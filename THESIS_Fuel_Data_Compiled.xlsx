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FOUS\"/>
    </mc:Choice>
  </mc:AlternateContent>
  <xr:revisionPtr revIDLastSave="0" documentId="13_ncr:1_{F291BF2F-A2F7-4484-9B12-F76F3B419871}" xr6:coauthVersionLast="47" xr6:coauthVersionMax="47" xr10:uidLastSave="{00000000-0000-0000-0000-000000000000}"/>
  <bookViews>
    <workbookView xWindow="-120" yWindow="-120" windowWidth="29040" windowHeight="15720" xr2:uid="{CA9C7817-C760-432F-B2A3-8F05CA195AA1}"/>
  </bookViews>
  <sheets>
    <sheet name="FOUS_1000-hour_byID" sheetId="3" r:id="rId1"/>
    <sheet name="LF_1000-hour_byI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" l="1"/>
  <c r="N47" i="1"/>
  <c r="N48" i="1"/>
  <c r="N45" i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Y9" i="1"/>
  <c r="Z9" i="1" s="1"/>
  <c r="Y8" i="1"/>
  <c r="Z8" i="1" s="1"/>
  <c r="Y7" i="1"/>
  <c r="Z7" i="1" s="1"/>
  <c r="Y6" i="1"/>
  <c r="Z6" i="1" s="1"/>
  <c r="Y5" i="1"/>
  <c r="Z5" i="1" s="1"/>
  <c r="Y4" i="1"/>
  <c r="Z4" i="1" s="1"/>
  <c r="Y3" i="1"/>
  <c r="Z3" i="1" s="1"/>
  <c r="U32" i="1"/>
  <c r="V32" i="1" s="1"/>
  <c r="U31" i="1"/>
  <c r="V31" i="1" s="1"/>
  <c r="U30" i="1"/>
  <c r="V30" i="1" s="1"/>
  <c r="U29" i="1"/>
  <c r="V29" i="1" s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3" i="1"/>
  <c r="V3" i="1" s="1"/>
  <c r="N34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" i="3"/>
  <c r="M39" i="1"/>
  <c r="M38" i="1"/>
  <c r="M37" i="1"/>
  <c r="M36" i="1"/>
  <c r="L6" i="3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L12" i="1"/>
  <c r="N12" i="1" s="1"/>
  <c r="L13" i="1"/>
  <c r="N13" i="1" s="1"/>
  <c r="L14" i="1"/>
  <c r="L15" i="1"/>
  <c r="L16" i="1"/>
  <c r="L17" i="1"/>
  <c r="L18" i="1"/>
  <c r="L19" i="1"/>
  <c r="L20" i="1"/>
  <c r="L21" i="1"/>
  <c r="L22" i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" i="1"/>
  <c r="N3" i="1" s="1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5" i="3"/>
  <c r="L4" i="3"/>
  <c r="L3" i="3"/>
  <c r="V36" i="1" l="1"/>
  <c r="Z36" i="1"/>
  <c r="L39" i="1"/>
  <c r="L36" i="1"/>
  <c r="N36" i="1" s="1"/>
  <c r="L37" i="1"/>
  <c r="L38" i="1"/>
  <c r="N16" i="1"/>
  <c r="N11" i="1"/>
  <c r="N22" i="1"/>
  <c r="N21" i="1"/>
  <c r="N20" i="1"/>
  <c r="N19" i="1"/>
  <c r="N18" i="1"/>
  <c r="N17" i="1"/>
  <c r="N15" i="1"/>
  <c r="N14" i="1"/>
</calcChain>
</file>

<file path=xl/sharedStrings.xml><?xml version="1.0" encoding="utf-8"?>
<sst xmlns="http://schemas.openxmlformats.org/spreadsheetml/2006/main" count="111" uniqueCount="85">
  <si>
    <t>Bush</t>
  </si>
  <si>
    <t>Creek</t>
  </si>
  <si>
    <t>Dixie</t>
  </si>
  <si>
    <t>Dolan</t>
  </si>
  <si>
    <t>Black</t>
  </si>
  <si>
    <t>PineGulch</t>
  </si>
  <si>
    <t>Mullen</t>
  </si>
  <si>
    <t>Moose</t>
  </si>
  <si>
    <t>Monument</t>
  </si>
  <si>
    <t>McFarland</t>
  </si>
  <si>
    <t>Bootleg</t>
  </si>
  <si>
    <t>Bighorn</t>
  </si>
  <si>
    <t>Badger</t>
  </si>
  <si>
    <t>Antelope</t>
  </si>
  <si>
    <t>Slater</t>
  </si>
  <si>
    <t>Woodhead</t>
  </si>
  <si>
    <t>Whitney</t>
  </si>
  <si>
    <t>Telegraph</t>
  </si>
  <si>
    <t>LON</t>
  </si>
  <si>
    <t>LAT</t>
  </si>
  <si>
    <t>Riverside</t>
  </si>
  <si>
    <t>Bobcat</t>
  </si>
  <si>
    <t>Archie Creek</t>
  </si>
  <si>
    <t>Beachie Creek</t>
  </si>
  <si>
    <t>Cameron Peak</t>
  </si>
  <si>
    <t>Cougar Peak</t>
  </si>
  <si>
    <t>East Troublesome</t>
  </si>
  <si>
    <t>Holiday Farm</t>
  </si>
  <si>
    <t>Richard Springs</t>
  </si>
  <si>
    <t>Schneider Springs</t>
  </si>
  <si>
    <t>ELEV_m</t>
  </si>
  <si>
    <t>Date_data</t>
  </si>
  <si>
    <t>LAT_data</t>
  </si>
  <si>
    <t>LON_data</t>
  </si>
  <si>
    <t>Fuel_moisture_%</t>
  </si>
  <si>
    <t>Date_Ignition</t>
  </si>
  <si>
    <t>Fire_name</t>
  </si>
  <si>
    <t>Caldor</t>
  </si>
  <si>
    <t>Lionshead</t>
  </si>
  <si>
    <t>Lava</t>
  </si>
  <si>
    <t>Cinder Butte</t>
  </si>
  <si>
    <t>Black Pine</t>
  </si>
  <si>
    <t>County Line</t>
  </si>
  <si>
    <t>Burro</t>
  </si>
  <si>
    <t>Bear Trap</t>
  </si>
  <si>
    <t>Dome</t>
  </si>
  <si>
    <t>Watson Creek</t>
  </si>
  <si>
    <t>Juniper</t>
  </si>
  <si>
    <t>Butte</t>
  </si>
  <si>
    <t>High Park</t>
  </si>
  <si>
    <t>Brattain</t>
  </si>
  <si>
    <t>Donnell</t>
  </si>
  <si>
    <t>Walker</t>
  </si>
  <si>
    <t>Chimney</t>
  </si>
  <si>
    <t>Beaver Creek</t>
  </si>
  <si>
    <t>Pole Creek</t>
  </si>
  <si>
    <t>Black Rock</t>
  </si>
  <si>
    <t>Zogg</t>
  </si>
  <si>
    <t>Delta</t>
  </si>
  <si>
    <t>Trail Creek</t>
  </si>
  <si>
    <t>Ryan</t>
  </si>
  <si>
    <t>Bull Draw</t>
  </si>
  <si>
    <t>Sarpy</t>
  </si>
  <si>
    <t>Nena Springs</t>
  </si>
  <si>
    <t>Jolly Mountain</t>
  </si>
  <si>
    <t>McKinney</t>
  </si>
  <si>
    <t>Mescal</t>
  </si>
  <si>
    <t>Williams Flat</t>
  </si>
  <si>
    <t>Mesa</t>
  </si>
  <si>
    <t>DIFF</t>
  </si>
  <si>
    <t>ELEV_RAWS_ft</t>
  </si>
  <si>
    <t>ELEV_MTBS_m</t>
  </si>
  <si>
    <t>FOUS_RAWS_ELEV_ft</t>
  </si>
  <si>
    <t>FOUS_R_ELEV_ft</t>
  </si>
  <si>
    <t>LF_ELEV_R_ft</t>
  </si>
  <si>
    <t>Difference</t>
  </si>
  <si>
    <t>DIFFERENCE</t>
  </si>
  <si>
    <t>Total:</t>
  </si>
  <si>
    <t>MIN</t>
  </si>
  <si>
    <t>MAX</t>
  </si>
  <si>
    <t>MEAN</t>
  </si>
  <si>
    <t>MEDIAN</t>
  </si>
  <si>
    <t>FOUS</t>
  </si>
  <si>
    <t>LF</t>
  </si>
  <si>
    <t>ELEVATION (FEET)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</si>
</sst>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1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9" fontId="0" fillId="3" borderId="0" xfId="0" applyNumberFormat="1" applyFill="1" applyAlignment="1">
      <alignment horizontal="center"/>
    </xf>
    <xf numFmtId="2" fontId="0" fillId="3" borderId="0" xfId="0" quotePrefix="1" applyNumberFormat="1" applyFill="1"/>
    <xf numFmtId="2" fontId="0" fillId="3" borderId="0" xfId="0" applyNumberFormat="1" applyFill="1"/>
    <xf numFmtId="1" fontId="0" fillId="2" borderId="0" xfId="0" applyNumberFormat="1" applyFill="1"/>
    <xf numFmtId="1" fontId="0" fillId="0" borderId="4" xfId="0" applyNumberFormat="1" applyBorder="1"/>
    <xf numFmtId="0" fontId="0" fillId="0" borderId="4" xfId="0" applyBorder="1" applyAlignment="1">
      <alignment horizontal="center"/>
    </xf>
    <xf numFmtId="164" fontId="0" fillId="3" borderId="2" xfId="0" applyNumberFormat="1" applyFill="1" applyBorder="1"/>
    <xf numFmtId="164" fontId="0" fillId="0" borderId="2" xfId="0" applyNumberFormat="1" applyBorder="1"/>
    <xf numFmtId="164" fontId="0" fillId="3" borderId="0" xfId="0" quotePrefix="1" applyNumberFormat="1" applyFill="1"/>
    <xf numFmtId="164" fontId="0" fillId="0" borderId="0" xfId="0" applyNumberFormat="1"/>
    <xf numFmtId="164" fontId="0" fillId="3" borderId="0" xfId="0" applyNumberFormat="1" applyFill="1"/>
    <xf numFmtId="0" fontId="0" fillId="0" borderId="4" xfId="0" applyBorder="1"/>
    <xf numFmtId="0" fontId="0" fillId="3" borderId="4" xfId="0" applyFill="1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0" fillId="0" borderId="6" xfId="0" applyBorder="1"/>
    <xf numFmtId="1" fontId="0" fillId="0" borderId="6" xfId="0" applyNumberFormat="1" applyBorder="1"/>
    <xf numFmtId="1" fontId="0" fillId="0" borderId="2" xfId="0" applyNumberFormat="1" applyBorder="1" applyAlignment="1">
      <alignment horizontal="center"/>
    </xf>
    <xf numFmtId="0" fontId="1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1" fontId="0" fillId="0" borderId="11" xfId="0" applyNumberFormat="1" applyBorder="1"/>
    <xf numFmtId="0" fontId="0" fillId="0" borderId="12" xfId="0" applyBorder="1"/>
    <xf numFmtId="0" fontId="0" fillId="0" borderId="13" xfId="0" applyBorder="1"/>
    <xf numFmtId="1" fontId="0" fillId="0" borderId="13" xfId="0" applyNumberFormat="1" applyBorder="1"/>
    <xf numFmtId="1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902E-78BB-4984-94E5-91046A4E4B84}">
  <dimension ref="A2:N34"/>
  <sheetViews>
    <sheetView showGridLines="0" tabSelected="1" zoomScale="118" workbookViewId="0">
      <selection activeCell="Q14" sqref="Q14"/>
    </sheetView>
  </sheetViews>
  <sheetFormatPr defaultRowHeight="15" x14ac:dyDescent="0.25"/>
  <cols>
    <col min="1" max="1" width="9.28515625" bestFit="1" customWidth="1"/>
    <col min="2" max="2" width="18.42578125" customWidth="1"/>
    <col min="3" max="3" width="17.28515625" customWidth="1"/>
    <col min="4" max="4" width="12" customWidth="1"/>
    <col min="5" max="5" width="12.42578125" customWidth="1"/>
    <col min="6" max="6" width="12" style="24" bestFit="1" customWidth="1"/>
    <col min="7" max="7" width="9.28515625" style="24" bestFit="1" customWidth="1"/>
    <col min="8" max="8" width="10" style="24" customWidth="1"/>
    <col min="9" max="9" width="14.28515625" style="24" customWidth="1"/>
    <col min="10" max="10" width="19.28515625" customWidth="1"/>
    <col min="11" max="11" width="10.28515625" hidden="1" customWidth="1"/>
    <col min="12" max="12" width="19.7109375" customWidth="1"/>
  </cols>
  <sheetData>
    <row r="2" spans="1:14" x14ac:dyDescent="0.25">
      <c r="B2" s="4" t="s">
        <v>36</v>
      </c>
      <c r="C2" s="7" t="s">
        <v>34</v>
      </c>
      <c r="D2" s="7" t="s">
        <v>31</v>
      </c>
      <c r="E2" s="5" t="s">
        <v>35</v>
      </c>
      <c r="F2" s="21" t="s">
        <v>32</v>
      </c>
      <c r="G2" s="22" t="s">
        <v>19</v>
      </c>
      <c r="H2" s="21" t="s">
        <v>33</v>
      </c>
      <c r="I2" s="22" t="s">
        <v>18</v>
      </c>
      <c r="J2" s="7" t="s">
        <v>72</v>
      </c>
      <c r="K2" s="5" t="s">
        <v>30</v>
      </c>
      <c r="L2" s="6" t="s">
        <v>73</v>
      </c>
      <c r="N2" t="s">
        <v>75</v>
      </c>
    </row>
    <row r="3" spans="1:14" x14ac:dyDescent="0.25">
      <c r="A3">
        <v>1</v>
      </c>
      <c r="B3" s="2" t="s">
        <v>13</v>
      </c>
      <c r="C3" s="10">
        <v>9</v>
      </c>
      <c r="D3" s="8">
        <v>44410</v>
      </c>
      <c r="E3" s="1">
        <v>44409</v>
      </c>
      <c r="F3" s="23">
        <v>41.293611111111098</v>
      </c>
      <c r="G3" s="24">
        <v>40.116</v>
      </c>
      <c r="H3" s="25">
        <v>-122.05444439999999</v>
      </c>
      <c r="I3" s="24">
        <v>-117.06699999999999</v>
      </c>
      <c r="J3" s="9">
        <v>3590</v>
      </c>
      <c r="K3">
        <v>1626</v>
      </c>
      <c r="L3" s="3">
        <f t="shared" ref="L3:L31" si="0">K3*3.28084</f>
        <v>5334.6458400000001</v>
      </c>
      <c r="N3" s="3">
        <f>L3-J3</f>
        <v>1744.6458400000001</v>
      </c>
    </row>
    <row r="4" spans="1:14" x14ac:dyDescent="0.25">
      <c r="A4">
        <v>2</v>
      </c>
      <c r="B4" t="s">
        <v>22</v>
      </c>
      <c r="C4" s="10">
        <v>5</v>
      </c>
      <c r="D4" s="8">
        <v>44072</v>
      </c>
      <c r="E4" s="1">
        <v>44082</v>
      </c>
      <c r="F4" s="23">
        <v>42.576944444444401</v>
      </c>
      <c r="G4" s="24">
        <v>43.366</v>
      </c>
      <c r="H4" s="25">
        <v>-121.89388889999999</v>
      </c>
      <c r="I4" s="24">
        <v>-122.898</v>
      </c>
      <c r="J4" s="9">
        <v>3406</v>
      </c>
      <c r="K4">
        <v>1038</v>
      </c>
      <c r="L4" s="3">
        <f t="shared" si="0"/>
        <v>3405.5119199999999</v>
      </c>
      <c r="N4" s="3">
        <f t="shared" ref="N4:N32" si="1">L4-J4</f>
        <v>-0.48808000000008178</v>
      </c>
    </row>
    <row r="5" spans="1:14" x14ac:dyDescent="0.25">
      <c r="A5">
        <v>3</v>
      </c>
      <c r="B5" s="2" t="s">
        <v>12</v>
      </c>
      <c r="C5" s="10">
        <v>10</v>
      </c>
      <c r="D5" s="8">
        <v>44077</v>
      </c>
      <c r="E5" s="1">
        <v>44086</v>
      </c>
      <c r="F5" s="23">
        <v>42.164166666666603</v>
      </c>
      <c r="G5" s="24">
        <v>42.243000000000002</v>
      </c>
      <c r="H5" s="25">
        <v>-114.1927778</v>
      </c>
      <c r="I5" s="24">
        <v>-114.17</v>
      </c>
      <c r="J5" s="9">
        <v>7574</v>
      </c>
      <c r="K5">
        <v>2165</v>
      </c>
      <c r="L5" s="3">
        <f t="shared" si="0"/>
        <v>7103.0186000000003</v>
      </c>
      <c r="N5" s="3">
        <f t="shared" si="1"/>
        <v>-470.98139999999967</v>
      </c>
    </row>
    <row r="6" spans="1:14" x14ac:dyDescent="0.25">
      <c r="A6">
        <v>4</v>
      </c>
      <c r="B6" s="2" t="s">
        <v>23</v>
      </c>
      <c r="C6" s="10">
        <v>6</v>
      </c>
      <c r="D6" s="8">
        <v>44055</v>
      </c>
      <c r="E6" s="1">
        <v>44059</v>
      </c>
      <c r="F6" s="23">
        <v>43.8183333333333</v>
      </c>
      <c r="G6" s="24">
        <v>44.859000000000002</v>
      </c>
      <c r="H6" s="25">
        <v>-119.681944444444</v>
      </c>
      <c r="I6" s="24">
        <v>-122.379</v>
      </c>
      <c r="J6" s="9">
        <v>5160</v>
      </c>
      <c r="K6">
        <v>747</v>
      </c>
      <c r="L6" s="3">
        <f t="shared" si="0"/>
        <v>2450.78748</v>
      </c>
      <c r="N6" s="3">
        <f t="shared" si="1"/>
        <v>-2709.21252</v>
      </c>
    </row>
    <row r="7" spans="1:14" x14ac:dyDescent="0.25">
      <c r="A7">
        <v>5</v>
      </c>
      <c r="B7" s="2" t="s">
        <v>11</v>
      </c>
      <c r="C7" s="10">
        <v>6</v>
      </c>
      <c r="D7" s="8">
        <v>43952</v>
      </c>
      <c r="E7" s="1">
        <v>43989</v>
      </c>
      <c r="F7" s="23">
        <v>32.481111111111098</v>
      </c>
      <c r="G7" s="24">
        <v>32.442999999999998</v>
      </c>
      <c r="H7" s="25">
        <v>-110.72499999999999</v>
      </c>
      <c r="I7" s="24">
        <v>-110.727</v>
      </c>
      <c r="J7" s="9">
        <v>7554</v>
      </c>
      <c r="K7">
        <v>1756</v>
      </c>
      <c r="L7" s="3">
        <f t="shared" si="0"/>
        <v>5761.1550399999996</v>
      </c>
      <c r="N7" s="3">
        <f t="shared" si="1"/>
        <v>-1792.8449600000004</v>
      </c>
    </row>
    <row r="8" spans="1:14" x14ac:dyDescent="0.25">
      <c r="A8">
        <v>6</v>
      </c>
      <c r="B8" t="s">
        <v>4</v>
      </c>
      <c r="C8" s="10">
        <v>8</v>
      </c>
      <c r="D8" s="8">
        <v>44666</v>
      </c>
      <c r="E8" s="1">
        <v>44694</v>
      </c>
      <c r="F8" s="23">
        <v>34.060555555555503</v>
      </c>
      <c r="G8" s="24">
        <v>33.192999999999998</v>
      </c>
      <c r="H8" s="25">
        <v>-108.44499999999999</v>
      </c>
      <c r="I8" s="24">
        <v>-107.843</v>
      </c>
      <c r="J8" s="9">
        <v>8748</v>
      </c>
      <c r="K8">
        <v>2611</v>
      </c>
      <c r="L8" s="3">
        <f t="shared" si="0"/>
        <v>8566.2732400000004</v>
      </c>
      <c r="N8" s="3">
        <f t="shared" si="1"/>
        <v>-181.72675999999956</v>
      </c>
    </row>
    <row r="9" spans="1:14" x14ac:dyDescent="0.25">
      <c r="A9">
        <v>7</v>
      </c>
      <c r="B9" t="s">
        <v>21</v>
      </c>
      <c r="C9" s="10">
        <v>8</v>
      </c>
      <c r="D9" s="8">
        <v>44074</v>
      </c>
      <c r="E9" s="1">
        <v>44080</v>
      </c>
      <c r="F9" s="23">
        <v>40.337499999999999</v>
      </c>
      <c r="G9" s="24">
        <v>34.325000000000003</v>
      </c>
      <c r="H9" s="25">
        <v>-123.06555555555499</v>
      </c>
      <c r="I9" s="24">
        <v>-117.93600000000001</v>
      </c>
      <c r="J9" s="9">
        <v>4481</v>
      </c>
      <c r="K9">
        <v>1934</v>
      </c>
      <c r="L9" s="3">
        <f t="shared" si="0"/>
        <v>6345.1445599999997</v>
      </c>
      <c r="N9" s="3">
        <f t="shared" si="1"/>
        <v>1864.1445599999997</v>
      </c>
    </row>
    <row r="10" spans="1:14" x14ac:dyDescent="0.25">
      <c r="A10">
        <v>8</v>
      </c>
      <c r="B10" s="2" t="s">
        <v>10</v>
      </c>
      <c r="C10" s="10">
        <v>7</v>
      </c>
      <c r="D10" s="8">
        <v>44378</v>
      </c>
      <c r="E10" s="1">
        <v>44402</v>
      </c>
      <c r="F10" s="23">
        <v>42.576944444444401</v>
      </c>
      <c r="G10" s="24">
        <v>42.656999999999996</v>
      </c>
      <c r="H10" s="25">
        <v>-121.89388889999999</v>
      </c>
      <c r="I10" s="24">
        <v>-121.07899999999999</v>
      </c>
      <c r="J10" s="9">
        <v>4492</v>
      </c>
      <c r="K10">
        <v>1617</v>
      </c>
      <c r="L10" s="3">
        <f t="shared" si="0"/>
        <v>5305.1182799999997</v>
      </c>
      <c r="N10" s="3">
        <f t="shared" si="1"/>
        <v>813.11827999999969</v>
      </c>
    </row>
    <row r="11" spans="1:14" x14ac:dyDescent="0.25">
      <c r="A11">
        <v>9</v>
      </c>
      <c r="B11" t="s">
        <v>0</v>
      </c>
      <c r="C11" s="10">
        <v>8</v>
      </c>
      <c r="D11" s="8">
        <v>43985</v>
      </c>
      <c r="E11" s="1">
        <v>43995</v>
      </c>
      <c r="F11" s="25">
        <v>34.456388889999999</v>
      </c>
      <c r="G11" s="24">
        <v>33.811</v>
      </c>
      <c r="H11" s="25">
        <v>-111.4063889</v>
      </c>
      <c r="I11" s="24">
        <v>-111.364</v>
      </c>
      <c r="J11" s="9">
        <v>7260</v>
      </c>
      <c r="K11">
        <v>1454</v>
      </c>
      <c r="L11" s="3">
        <f t="shared" si="0"/>
        <v>4770.3413600000003</v>
      </c>
      <c r="N11" s="3">
        <f t="shared" si="1"/>
        <v>-2489.6586399999997</v>
      </c>
    </row>
    <row r="12" spans="1:14" x14ac:dyDescent="0.25">
      <c r="A12">
        <v>10</v>
      </c>
      <c r="B12" t="s">
        <v>37</v>
      </c>
      <c r="C12" s="10">
        <v>9</v>
      </c>
      <c r="D12" s="8">
        <v>44042</v>
      </c>
      <c r="E12" s="1">
        <v>44423</v>
      </c>
      <c r="F12" s="23">
        <v>38.5683333333333</v>
      </c>
      <c r="G12" s="24">
        <v>38.723999999999997</v>
      </c>
      <c r="H12" s="25">
        <v>-120.26694444444399</v>
      </c>
      <c r="I12" s="24">
        <v>-120.29</v>
      </c>
      <c r="J12" s="9">
        <v>7100</v>
      </c>
      <c r="K12">
        <v>1866</v>
      </c>
      <c r="L12" s="3">
        <f t="shared" si="0"/>
        <v>6122.0474400000003</v>
      </c>
      <c r="N12" s="3">
        <f t="shared" si="1"/>
        <v>-977.95255999999972</v>
      </c>
    </row>
    <row r="13" spans="1:14" s="2" customFormat="1" x14ac:dyDescent="0.25">
      <c r="A13">
        <v>11</v>
      </c>
      <c r="B13" s="2" t="s">
        <v>24</v>
      </c>
      <c r="C13" s="10">
        <v>8</v>
      </c>
      <c r="D13" s="8">
        <v>44047</v>
      </c>
      <c r="E13" s="1">
        <v>44056</v>
      </c>
      <c r="F13" s="23">
        <v>40.376666666666601</v>
      </c>
      <c r="G13" s="24">
        <v>40.619999999999997</v>
      </c>
      <c r="H13" s="25">
        <v>-105.5955556</v>
      </c>
      <c r="I13" s="24">
        <v>-105.551</v>
      </c>
      <c r="J13" s="9">
        <v>8520</v>
      </c>
      <c r="K13">
        <v>2632</v>
      </c>
      <c r="L13" s="3">
        <f t="shared" si="0"/>
        <v>8635.1708799999997</v>
      </c>
      <c r="N13" s="3">
        <f t="shared" si="1"/>
        <v>115.17087999999967</v>
      </c>
    </row>
    <row r="14" spans="1:14" s="2" customFormat="1" x14ac:dyDescent="0.25">
      <c r="A14">
        <v>12</v>
      </c>
      <c r="B14" t="s">
        <v>25</v>
      </c>
      <c r="C14" s="10">
        <v>9</v>
      </c>
      <c r="D14" s="8">
        <v>44409</v>
      </c>
      <c r="E14" s="1">
        <v>44446</v>
      </c>
      <c r="F14" s="25">
        <v>42.19</v>
      </c>
      <c r="G14" s="24">
        <v>42.402000000000001</v>
      </c>
      <c r="H14" s="25">
        <v>-121.1652778</v>
      </c>
      <c r="I14" s="24">
        <v>-120.49</v>
      </c>
      <c r="J14" s="9">
        <v>4928</v>
      </c>
      <c r="K14">
        <v>2048</v>
      </c>
      <c r="L14" s="3">
        <f t="shared" si="0"/>
        <v>6719.16032</v>
      </c>
      <c r="N14" s="3">
        <f t="shared" si="1"/>
        <v>1791.16032</v>
      </c>
    </row>
    <row r="15" spans="1:14" s="2" customFormat="1" x14ac:dyDescent="0.25">
      <c r="A15">
        <v>13</v>
      </c>
      <c r="B15" t="s">
        <v>1</v>
      </c>
      <c r="C15" s="10">
        <v>7</v>
      </c>
      <c r="D15" s="8">
        <v>44070</v>
      </c>
      <c r="E15" s="1">
        <v>44078</v>
      </c>
      <c r="F15" s="23">
        <v>36.6047222222222</v>
      </c>
      <c r="G15" s="24">
        <v>37.317</v>
      </c>
      <c r="H15" s="25">
        <v>-118.76833329999999</v>
      </c>
      <c r="I15" s="24">
        <v>-119.214</v>
      </c>
      <c r="J15" s="9">
        <v>6983</v>
      </c>
      <c r="K15">
        <v>2226</v>
      </c>
      <c r="L15" s="3">
        <f t="shared" si="0"/>
        <v>7303.14984</v>
      </c>
      <c r="N15" s="3">
        <f t="shared" si="1"/>
        <v>320.14984000000004</v>
      </c>
    </row>
    <row r="16" spans="1:14" s="2" customFormat="1" x14ac:dyDescent="0.25">
      <c r="A16">
        <v>14</v>
      </c>
      <c r="B16" s="2" t="s">
        <v>2</v>
      </c>
      <c r="C16" s="11">
        <v>6.8733300000000002</v>
      </c>
      <c r="D16" s="8">
        <v>44389</v>
      </c>
      <c r="E16" s="1">
        <v>44390</v>
      </c>
      <c r="F16" s="23">
        <v>39.539722222222203</v>
      </c>
      <c r="G16" s="24">
        <v>45.536000000000001</v>
      </c>
      <c r="H16" s="25">
        <v>-121.0238889</v>
      </c>
      <c r="I16" s="24">
        <v>-115.38500000000001</v>
      </c>
      <c r="J16" s="9">
        <v>3540</v>
      </c>
      <c r="K16">
        <v>1957</v>
      </c>
      <c r="L16" s="3">
        <f t="shared" si="0"/>
        <v>6420.6038799999997</v>
      </c>
      <c r="N16" s="3">
        <f t="shared" si="1"/>
        <v>2880.6038799999997</v>
      </c>
    </row>
    <row r="17" spans="1:14" x14ac:dyDescent="0.25">
      <c r="A17">
        <v>15</v>
      </c>
      <c r="B17" t="s">
        <v>3</v>
      </c>
      <c r="C17" s="10">
        <v>13</v>
      </c>
      <c r="D17" s="8">
        <v>44356</v>
      </c>
      <c r="E17" s="1">
        <v>44061</v>
      </c>
      <c r="F17" s="23">
        <v>37.816666666666599</v>
      </c>
      <c r="G17" s="24">
        <v>36.073</v>
      </c>
      <c r="H17" s="25">
        <v>-122.0455556</v>
      </c>
      <c r="I17" s="24">
        <v>-121.468</v>
      </c>
      <c r="J17" s="9">
        <v>1300</v>
      </c>
      <c r="K17">
        <v>1005</v>
      </c>
      <c r="L17" s="3">
        <f t="shared" si="0"/>
        <v>3297.2442000000001</v>
      </c>
      <c r="N17" s="3">
        <f t="shared" si="1"/>
        <v>1997.2442000000001</v>
      </c>
    </row>
    <row r="18" spans="1:14" x14ac:dyDescent="0.25">
      <c r="A18">
        <v>16</v>
      </c>
      <c r="B18" s="2" t="s">
        <v>26</v>
      </c>
      <c r="C18" s="10">
        <v>9</v>
      </c>
      <c r="D18" s="8">
        <v>44044</v>
      </c>
      <c r="E18" s="1">
        <v>44118</v>
      </c>
      <c r="F18" s="23">
        <v>39.835833333333298</v>
      </c>
      <c r="G18" s="24">
        <v>40.231000000000002</v>
      </c>
      <c r="H18" s="25">
        <v>-106.0458333</v>
      </c>
      <c r="I18" s="24">
        <v>-105.996</v>
      </c>
      <c r="J18" s="9">
        <v>10003</v>
      </c>
      <c r="K18" s="2">
        <v>3089</v>
      </c>
      <c r="L18" s="3">
        <f t="shared" si="0"/>
        <v>10134.51476</v>
      </c>
      <c r="N18" s="3">
        <f t="shared" si="1"/>
        <v>131.51476000000002</v>
      </c>
    </row>
    <row r="19" spans="1:14" x14ac:dyDescent="0.25">
      <c r="A19">
        <v>17</v>
      </c>
      <c r="B19" t="s">
        <v>27</v>
      </c>
      <c r="C19" s="10">
        <v>5</v>
      </c>
      <c r="D19" s="8">
        <v>44072</v>
      </c>
      <c r="E19" s="1">
        <v>44081</v>
      </c>
      <c r="F19" s="23">
        <v>42.576944444444401</v>
      </c>
      <c r="G19" s="24">
        <v>44.158999999999999</v>
      </c>
      <c r="H19" s="25">
        <v>-121.89388889999999</v>
      </c>
      <c r="I19" s="24">
        <v>-122.496</v>
      </c>
      <c r="J19" s="9">
        <v>4492</v>
      </c>
      <c r="K19">
        <v>495</v>
      </c>
      <c r="L19" s="3">
        <f t="shared" si="0"/>
        <v>1624.0157999999999</v>
      </c>
      <c r="N19" s="3">
        <f t="shared" si="1"/>
        <v>-2867.9841999999999</v>
      </c>
    </row>
    <row r="20" spans="1:14" x14ac:dyDescent="0.25">
      <c r="A20">
        <v>18</v>
      </c>
      <c r="B20" s="2" t="s">
        <v>38</v>
      </c>
      <c r="C20" s="10">
        <v>6</v>
      </c>
      <c r="D20" s="8">
        <v>44052</v>
      </c>
      <c r="E20" s="1">
        <v>44060</v>
      </c>
      <c r="F20" s="25">
        <v>42.576944444444401</v>
      </c>
      <c r="G20" s="24">
        <v>44.776000000000003</v>
      </c>
      <c r="H20" s="25">
        <v>-121.893888888888</v>
      </c>
      <c r="I20" s="24">
        <v>-121.84</v>
      </c>
      <c r="J20" s="9">
        <v>4492</v>
      </c>
      <c r="K20">
        <v>1416</v>
      </c>
      <c r="L20" s="3">
        <f t="shared" si="0"/>
        <v>4645.6694399999997</v>
      </c>
      <c r="N20" s="3">
        <f t="shared" si="1"/>
        <v>153.66943999999967</v>
      </c>
    </row>
    <row r="21" spans="1:14" x14ac:dyDescent="0.25">
      <c r="A21">
        <v>19</v>
      </c>
      <c r="B21" s="2" t="s">
        <v>9</v>
      </c>
      <c r="C21" s="10">
        <v>8</v>
      </c>
      <c r="D21" s="8">
        <v>44378</v>
      </c>
      <c r="E21" s="1">
        <v>44406</v>
      </c>
      <c r="F21" s="23">
        <v>40.337499999999999</v>
      </c>
      <c r="G21" s="24">
        <v>40.277999999999999</v>
      </c>
      <c r="H21" s="25">
        <v>-123.0655556</v>
      </c>
      <c r="I21" s="24">
        <v>-122.919</v>
      </c>
      <c r="J21" s="9">
        <v>4481</v>
      </c>
      <c r="K21">
        <v>958</v>
      </c>
      <c r="L21" s="3">
        <f t="shared" si="0"/>
        <v>3143.0447199999999</v>
      </c>
      <c r="N21" s="3">
        <f t="shared" si="1"/>
        <v>-1337.9552800000001</v>
      </c>
    </row>
    <row r="22" spans="1:14" x14ac:dyDescent="0.25">
      <c r="A22">
        <v>20</v>
      </c>
      <c r="B22" s="2" t="s">
        <v>8</v>
      </c>
      <c r="C22" s="10">
        <v>7</v>
      </c>
      <c r="D22" s="8">
        <v>44405</v>
      </c>
      <c r="E22" s="1">
        <v>44407</v>
      </c>
      <c r="F22" s="23">
        <v>40.742222222222203</v>
      </c>
      <c r="G22" s="24">
        <v>40.72</v>
      </c>
      <c r="H22" s="25">
        <v>-123.2491667</v>
      </c>
      <c r="I22" s="24">
        <v>-123.261</v>
      </c>
      <c r="J22" s="9">
        <v>1722</v>
      </c>
      <c r="K22">
        <v>725</v>
      </c>
      <c r="L22" s="3">
        <f t="shared" si="0"/>
        <v>2378.6089999999999</v>
      </c>
      <c r="N22" s="3">
        <f t="shared" si="1"/>
        <v>656.60899999999992</v>
      </c>
    </row>
    <row r="23" spans="1:14" x14ac:dyDescent="0.25">
      <c r="A23">
        <v>21</v>
      </c>
      <c r="B23" s="2" t="s">
        <v>7</v>
      </c>
      <c r="C23" s="10">
        <v>6</v>
      </c>
      <c r="D23" s="8">
        <v>44755</v>
      </c>
      <c r="E23" s="1">
        <v>44759</v>
      </c>
      <c r="F23" s="23">
        <v>45.420555555555502</v>
      </c>
      <c r="G23" s="24">
        <v>45.31</v>
      </c>
      <c r="H23" s="25">
        <v>-114.0180556</v>
      </c>
      <c r="I23" s="24">
        <v>-114.154</v>
      </c>
      <c r="J23" s="9">
        <v>4210</v>
      </c>
      <c r="K23">
        <v>2339</v>
      </c>
      <c r="L23" s="3">
        <f t="shared" si="0"/>
        <v>7673.8847599999999</v>
      </c>
      <c r="N23" s="3">
        <f t="shared" si="1"/>
        <v>3463.8847599999999</v>
      </c>
    </row>
    <row r="24" spans="1:14" x14ac:dyDescent="0.25">
      <c r="A24">
        <v>22</v>
      </c>
      <c r="B24" s="2" t="s">
        <v>6</v>
      </c>
      <c r="C24" s="10">
        <v>8</v>
      </c>
      <c r="D24" s="8">
        <v>44089</v>
      </c>
      <c r="E24" s="1">
        <v>44092</v>
      </c>
      <c r="F24" s="23">
        <v>40.9172222222222</v>
      </c>
      <c r="G24" s="24">
        <v>41.097999999999999</v>
      </c>
      <c r="H24" s="25">
        <v>-106.44694440000001</v>
      </c>
      <c r="I24" s="24">
        <v>-106.25</v>
      </c>
      <c r="J24" s="9">
        <v>8655</v>
      </c>
      <c r="K24">
        <v>2684</v>
      </c>
      <c r="L24" s="3">
        <f t="shared" si="0"/>
        <v>8805.7745599999998</v>
      </c>
      <c r="N24" s="3">
        <f t="shared" si="1"/>
        <v>150.77455999999984</v>
      </c>
    </row>
    <row r="25" spans="1:14" x14ac:dyDescent="0.25">
      <c r="A25">
        <v>23</v>
      </c>
      <c r="B25" s="2" t="s">
        <v>5</v>
      </c>
      <c r="C25" s="10">
        <v>12</v>
      </c>
      <c r="D25" s="8">
        <v>44040</v>
      </c>
      <c r="E25" s="1">
        <v>44043</v>
      </c>
      <c r="F25" s="23">
        <v>38.764444444444401</v>
      </c>
      <c r="G25" s="24">
        <v>39.409999999999997</v>
      </c>
      <c r="H25" s="25">
        <v>-108.6327778</v>
      </c>
      <c r="I25" s="24">
        <v>-108.536</v>
      </c>
      <c r="J25" s="9">
        <v>8137</v>
      </c>
      <c r="K25">
        <v>2309</v>
      </c>
      <c r="L25" s="3">
        <f t="shared" si="0"/>
        <v>7575.4595600000002</v>
      </c>
      <c r="N25" s="3">
        <f t="shared" si="1"/>
        <v>-561.54043999999976</v>
      </c>
    </row>
    <row r="26" spans="1:14" x14ac:dyDescent="0.25">
      <c r="A26">
        <v>24</v>
      </c>
      <c r="B26" s="2" t="s">
        <v>28</v>
      </c>
      <c r="C26" s="10">
        <v>6</v>
      </c>
      <c r="D26" s="8">
        <v>44411</v>
      </c>
      <c r="E26" s="1">
        <v>44416</v>
      </c>
      <c r="F26" s="23">
        <v>46.101388888888799</v>
      </c>
      <c r="G26" s="24">
        <v>45.716000000000001</v>
      </c>
      <c r="H26" s="25">
        <v>-106.0919444</v>
      </c>
      <c r="I26" s="24">
        <v>-106.53100000000001</v>
      </c>
      <c r="J26" s="9">
        <v>3120</v>
      </c>
      <c r="K26">
        <v>998</v>
      </c>
      <c r="L26" s="3">
        <f t="shared" si="0"/>
        <v>3274.2783199999999</v>
      </c>
      <c r="N26" s="3">
        <f t="shared" si="1"/>
        <v>154.27831999999989</v>
      </c>
    </row>
    <row r="27" spans="1:14" x14ac:dyDescent="0.25">
      <c r="A27">
        <v>25</v>
      </c>
      <c r="B27" s="2" t="s">
        <v>20</v>
      </c>
      <c r="C27" s="10">
        <v>8</v>
      </c>
      <c r="D27" s="8">
        <v>44076</v>
      </c>
      <c r="E27" s="1">
        <v>44082</v>
      </c>
      <c r="F27" s="23">
        <v>43.8183333333333</v>
      </c>
      <c r="G27" s="24">
        <v>45.128999999999998</v>
      </c>
      <c r="H27" s="25">
        <v>-119.681944444444</v>
      </c>
      <c r="I27" s="24">
        <v>-122.224</v>
      </c>
      <c r="J27" s="9">
        <v>7554</v>
      </c>
      <c r="K27">
        <v>1146</v>
      </c>
      <c r="L27" s="3">
        <f t="shared" si="0"/>
        <v>3759.8426399999998</v>
      </c>
      <c r="N27" s="3">
        <f t="shared" si="1"/>
        <v>-3794.1573600000002</v>
      </c>
    </row>
    <row r="28" spans="1:14" x14ac:dyDescent="0.25">
      <c r="A28">
        <v>26</v>
      </c>
      <c r="B28" t="s">
        <v>29</v>
      </c>
      <c r="C28" s="10">
        <v>6</v>
      </c>
      <c r="D28" s="8">
        <v>44404</v>
      </c>
      <c r="E28" s="1">
        <v>44413</v>
      </c>
      <c r="F28" s="25">
        <v>48.616700000000002</v>
      </c>
      <c r="G28" s="24">
        <v>46.84</v>
      </c>
      <c r="H28" s="25">
        <v>-118.2667</v>
      </c>
      <c r="I28" s="24">
        <v>-121.1</v>
      </c>
      <c r="J28" s="9">
        <v>4400</v>
      </c>
      <c r="K28">
        <v>1181</v>
      </c>
      <c r="L28" s="3">
        <f t="shared" si="0"/>
        <v>3874.6720399999999</v>
      </c>
      <c r="N28" s="3">
        <f t="shared" si="1"/>
        <v>-525.32796000000008</v>
      </c>
    </row>
    <row r="29" spans="1:14" x14ac:dyDescent="0.25">
      <c r="A29">
        <v>27</v>
      </c>
      <c r="B29" t="s">
        <v>14</v>
      </c>
      <c r="C29" s="10">
        <v>8</v>
      </c>
      <c r="D29" s="8">
        <v>44076</v>
      </c>
      <c r="E29" s="1">
        <v>44082</v>
      </c>
      <c r="F29" s="23">
        <v>41.849722222222198</v>
      </c>
      <c r="G29" s="24">
        <v>41.932000000000002</v>
      </c>
      <c r="H29" s="25">
        <v>-124.00749999999999</v>
      </c>
      <c r="I29" s="24">
        <v>-123.539</v>
      </c>
      <c r="J29" s="9">
        <v>700</v>
      </c>
      <c r="K29">
        <v>1544</v>
      </c>
      <c r="L29" s="3">
        <f t="shared" si="0"/>
        <v>5065.6169600000003</v>
      </c>
      <c r="N29" s="3">
        <f t="shared" si="1"/>
        <v>4365.6169600000003</v>
      </c>
    </row>
    <row r="30" spans="1:14" x14ac:dyDescent="0.25">
      <c r="A30">
        <v>28</v>
      </c>
      <c r="B30" t="s">
        <v>17</v>
      </c>
      <c r="C30" s="10">
        <v>5</v>
      </c>
      <c r="D30" s="8">
        <v>44319</v>
      </c>
      <c r="E30" s="1">
        <v>44351</v>
      </c>
      <c r="F30" s="23">
        <v>32.481111111111098</v>
      </c>
      <c r="G30" s="24">
        <v>33.259</v>
      </c>
      <c r="H30" s="25">
        <v>-110.72499999999999</v>
      </c>
      <c r="I30" s="24">
        <v>-110.94</v>
      </c>
      <c r="J30" s="9">
        <v>7554</v>
      </c>
      <c r="K30">
        <v>1047</v>
      </c>
      <c r="L30" s="3">
        <f t="shared" si="0"/>
        <v>3435.0394799999999</v>
      </c>
      <c r="N30" s="3">
        <f t="shared" si="1"/>
        <v>-4118.9605200000005</v>
      </c>
    </row>
    <row r="31" spans="1:14" x14ac:dyDescent="0.25">
      <c r="A31">
        <v>29</v>
      </c>
      <c r="B31" t="s">
        <v>16</v>
      </c>
      <c r="C31" s="10">
        <v>9</v>
      </c>
      <c r="D31" s="8">
        <v>44076</v>
      </c>
      <c r="E31" s="1">
        <v>44082</v>
      </c>
      <c r="F31" s="25">
        <v>48.520555555555497</v>
      </c>
      <c r="G31" s="24">
        <v>47.613999999999997</v>
      </c>
      <c r="H31" s="25">
        <v>-120.1430556</v>
      </c>
      <c r="I31" s="24">
        <v>-118.569</v>
      </c>
      <c r="J31" s="9">
        <v>2800</v>
      </c>
      <c r="K31">
        <v>678</v>
      </c>
      <c r="L31" s="3">
        <f t="shared" si="0"/>
        <v>2224.4095200000002</v>
      </c>
      <c r="N31" s="3">
        <f t="shared" si="1"/>
        <v>-575.59047999999984</v>
      </c>
    </row>
    <row r="32" spans="1:14" x14ac:dyDescent="0.25">
      <c r="A32">
        <v>30</v>
      </c>
      <c r="B32" t="s">
        <v>15</v>
      </c>
      <c r="C32" s="10">
        <v>5</v>
      </c>
      <c r="D32" s="8">
        <v>44052</v>
      </c>
      <c r="E32" s="1">
        <v>44081</v>
      </c>
      <c r="F32" s="23">
        <v>44.847499999999997</v>
      </c>
      <c r="G32" s="24">
        <v>44.747</v>
      </c>
      <c r="H32" s="25">
        <v>-116.4266667</v>
      </c>
      <c r="I32" s="24">
        <v>-116.77200000000001</v>
      </c>
      <c r="J32" s="9">
        <v>3900</v>
      </c>
      <c r="K32">
        <v>2098</v>
      </c>
      <c r="L32" s="3">
        <f>K32*3.28084</f>
        <v>6883.2023200000003</v>
      </c>
      <c r="N32" s="3">
        <f t="shared" si="1"/>
        <v>2983.2023200000003</v>
      </c>
    </row>
    <row r="34" spans="14:14" x14ac:dyDescent="0.25">
      <c r="N34" s="3">
        <f>SUM(N3:N32)</f>
        <v>1181.4067599999994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69DF-7FBD-4EB8-9B3A-BD29BA35A2B1}">
  <dimension ref="A2:Z48"/>
  <sheetViews>
    <sheetView showGridLines="0" zoomScale="70" workbookViewId="0">
      <selection activeCell="N55" sqref="N55"/>
    </sheetView>
  </sheetViews>
  <sheetFormatPr defaultRowHeight="15" x14ac:dyDescent="0.25"/>
  <cols>
    <col min="1" max="1" width="9.28515625" bestFit="1" customWidth="1"/>
    <col min="2" max="2" width="18.42578125" customWidth="1"/>
    <col min="3" max="3" width="17.28515625" style="13" customWidth="1"/>
    <col min="4" max="4" width="12" customWidth="1"/>
    <col min="5" max="5" width="12.42578125" customWidth="1"/>
    <col min="6" max="6" width="10.5703125" customWidth="1"/>
    <col min="7" max="7" width="9.28515625" bestFit="1" customWidth="1"/>
    <col min="8" max="8" width="10" customWidth="1"/>
    <col min="9" max="9" width="9.28515625" bestFit="1" customWidth="1"/>
    <col min="10" max="10" width="14" customWidth="1"/>
    <col min="11" max="11" width="14.7109375" hidden="1" customWidth="1"/>
    <col min="12" max="12" width="12.140625" customWidth="1"/>
    <col min="13" max="13" width="13" style="3" customWidth="1"/>
    <col min="14" max="14" width="14.28515625" customWidth="1"/>
    <col min="18" max="18" width="6.28515625" customWidth="1"/>
    <col min="19" max="19" width="16.85546875" customWidth="1"/>
    <col min="20" max="20" width="13.85546875" hidden="1" customWidth="1"/>
    <col min="21" max="21" width="13.42578125" customWidth="1"/>
    <col min="22" max="22" width="11.7109375" customWidth="1"/>
    <col min="23" max="23" width="18.140625" customWidth="1"/>
    <col min="24" max="24" width="0" hidden="1" customWidth="1"/>
    <col min="25" max="25" width="14.85546875" customWidth="1"/>
    <col min="26" max="26" width="11.140625" customWidth="1"/>
  </cols>
  <sheetData>
    <row r="2" spans="1:26" x14ac:dyDescent="0.25">
      <c r="B2" s="4" t="s">
        <v>36</v>
      </c>
      <c r="C2" s="12" t="s">
        <v>34</v>
      </c>
      <c r="D2" s="7" t="s">
        <v>31</v>
      </c>
      <c r="E2" s="5" t="s">
        <v>35</v>
      </c>
      <c r="F2" s="7" t="s">
        <v>32</v>
      </c>
      <c r="G2" s="5" t="s">
        <v>19</v>
      </c>
      <c r="H2" s="7" t="s">
        <v>33</v>
      </c>
      <c r="I2" s="5" t="s">
        <v>18</v>
      </c>
      <c r="J2" s="7" t="s">
        <v>70</v>
      </c>
      <c r="K2" s="5" t="s">
        <v>71</v>
      </c>
      <c r="L2" s="6" t="s">
        <v>74</v>
      </c>
      <c r="M2" s="19" t="s">
        <v>73</v>
      </c>
      <c r="N2" s="20" t="s">
        <v>69</v>
      </c>
      <c r="S2" s="27" t="s">
        <v>70</v>
      </c>
      <c r="T2" s="5" t="s">
        <v>71</v>
      </c>
      <c r="U2" s="6" t="s">
        <v>74</v>
      </c>
      <c r="V2" s="26" t="s">
        <v>76</v>
      </c>
      <c r="W2" s="7" t="s">
        <v>72</v>
      </c>
      <c r="X2" s="5" t="s">
        <v>30</v>
      </c>
      <c r="Y2" s="6" t="s">
        <v>73</v>
      </c>
      <c r="Z2" s="26" t="s">
        <v>76</v>
      </c>
    </row>
    <row r="3" spans="1:26" x14ac:dyDescent="0.25">
      <c r="A3">
        <v>1</v>
      </c>
      <c r="B3" t="s">
        <v>39</v>
      </c>
      <c r="C3" s="15">
        <v>7.0000000000000007E-2</v>
      </c>
      <c r="D3" s="8">
        <v>44369</v>
      </c>
      <c r="E3" s="1">
        <v>44371</v>
      </c>
      <c r="F3" s="16">
        <v>41.719444444444399</v>
      </c>
      <c r="G3" s="14">
        <v>41.494999999999997</v>
      </c>
      <c r="H3" s="17">
        <v>-121.71194439999999</v>
      </c>
      <c r="I3" s="14">
        <v>-122.276</v>
      </c>
      <c r="J3" s="9">
        <v>5040</v>
      </c>
      <c r="K3">
        <v>1385</v>
      </c>
      <c r="L3" s="3">
        <f>K3*3.2804</f>
        <v>4543.3540000000003</v>
      </c>
      <c r="M3" s="3">
        <v>5334.6458400000001</v>
      </c>
      <c r="N3" s="3">
        <f t="shared" ref="N3:N32" si="0">M3-L3</f>
        <v>791.29183999999987</v>
      </c>
      <c r="S3" s="9">
        <v>5040</v>
      </c>
      <c r="T3">
        <v>1385</v>
      </c>
      <c r="U3" s="3">
        <f t="shared" ref="U3:U32" si="1">T3*3.2804</f>
        <v>4543.3540000000003</v>
      </c>
      <c r="V3" s="3">
        <f t="shared" ref="V3:V32" si="2">U3-S3</f>
        <v>-496.64599999999973</v>
      </c>
      <c r="W3" s="9">
        <v>3590</v>
      </c>
      <c r="X3">
        <v>1626</v>
      </c>
      <c r="Y3" s="3">
        <f t="shared" ref="Y3:Y31" si="3">X3*3.28084</f>
        <v>5334.6458400000001</v>
      </c>
      <c r="Z3" s="3">
        <f>Y3-W3</f>
        <v>1744.6458400000001</v>
      </c>
    </row>
    <row r="4" spans="1:26" x14ac:dyDescent="0.25">
      <c r="A4">
        <v>2</v>
      </c>
      <c r="B4" t="s">
        <v>40</v>
      </c>
      <c r="C4" s="15">
        <v>0.04</v>
      </c>
      <c r="D4" s="8">
        <v>42926</v>
      </c>
      <c r="E4" s="1">
        <v>42949</v>
      </c>
      <c r="F4" s="16">
        <v>43.801111111111098</v>
      </c>
      <c r="G4" s="14">
        <v>43.43</v>
      </c>
      <c r="H4" s="17">
        <v>-117.943888888888</v>
      </c>
      <c r="I4" s="14">
        <v>-119.88800000000001</v>
      </c>
      <c r="J4" s="9">
        <v>3000</v>
      </c>
      <c r="K4">
        <v>1559</v>
      </c>
      <c r="L4" s="3">
        <f t="shared" ref="L4:L32" si="4">K4*3.2804</f>
        <v>5114.1436000000003</v>
      </c>
      <c r="M4" s="3">
        <v>3405.5119199999999</v>
      </c>
      <c r="N4" s="3">
        <f t="shared" si="0"/>
        <v>-1708.6316800000004</v>
      </c>
      <c r="S4" s="9">
        <v>3000</v>
      </c>
      <c r="T4">
        <v>1559</v>
      </c>
      <c r="U4" s="3">
        <f t="shared" si="1"/>
        <v>5114.1436000000003</v>
      </c>
      <c r="V4" s="3">
        <f t="shared" si="2"/>
        <v>2114.1436000000003</v>
      </c>
      <c r="W4" s="9">
        <v>3406</v>
      </c>
      <c r="X4">
        <v>1038</v>
      </c>
      <c r="Y4" s="3">
        <f t="shared" si="3"/>
        <v>3405.5119199999999</v>
      </c>
      <c r="Z4" s="3">
        <f t="shared" ref="Z4:Z32" si="5">Y4-W4</f>
        <v>-0.48808000000008178</v>
      </c>
    </row>
    <row r="5" spans="1:26" x14ac:dyDescent="0.25">
      <c r="A5">
        <v>3</v>
      </c>
      <c r="B5" t="s">
        <v>41</v>
      </c>
      <c r="C5" s="15">
        <v>0.12</v>
      </c>
      <c r="D5" s="8">
        <v>39268</v>
      </c>
      <c r="E5" s="1">
        <v>39269</v>
      </c>
      <c r="F5" s="16">
        <v>44.911111111111097</v>
      </c>
      <c r="G5" s="14">
        <v>42.220999999999997</v>
      </c>
      <c r="H5" s="17">
        <v>-116.0977778</v>
      </c>
      <c r="I5" s="14">
        <v>-113.193</v>
      </c>
      <c r="J5" s="9">
        <v>5020</v>
      </c>
      <c r="K5">
        <v>1858</v>
      </c>
      <c r="L5" s="3">
        <f t="shared" si="4"/>
        <v>6094.9832000000006</v>
      </c>
      <c r="M5" s="3">
        <v>7103.0186000000003</v>
      </c>
      <c r="N5" s="3">
        <f t="shared" si="0"/>
        <v>1008.0353999999998</v>
      </c>
      <c r="S5" s="9">
        <v>5020</v>
      </c>
      <c r="T5">
        <v>1858</v>
      </c>
      <c r="U5" s="3">
        <f t="shared" si="1"/>
        <v>6094.9832000000006</v>
      </c>
      <c r="V5" s="3">
        <f t="shared" si="2"/>
        <v>1074.9832000000006</v>
      </c>
      <c r="W5" s="9">
        <v>7574</v>
      </c>
      <c r="X5">
        <v>2165</v>
      </c>
      <c r="Y5" s="3">
        <f t="shared" si="3"/>
        <v>7103.0186000000003</v>
      </c>
      <c r="Z5" s="3">
        <f t="shared" si="5"/>
        <v>-470.98139999999967</v>
      </c>
    </row>
    <row r="6" spans="1:26" x14ac:dyDescent="0.25">
      <c r="A6">
        <v>4</v>
      </c>
      <c r="B6" t="s">
        <v>42</v>
      </c>
      <c r="C6" s="15">
        <v>0.08</v>
      </c>
      <c r="D6" s="8">
        <v>42181</v>
      </c>
      <c r="E6" s="1">
        <v>42228</v>
      </c>
      <c r="F6" s="16">
        <v>42.576944444444401</v>
      </c>
      <c r="G6" s="14">
        <v>44.829000000000001</v>
      </c>
      <c r="H6" s="17">
        <v>-121.89388889999999</v>
      </c>
      <c r="I6" s="14">
        <v>-121.41200000000001</v>
      </c>
      <c r="J6" s="9">
        <v>4492</v>
      </c>
      <c r="K6">
        <v>816</v>
      </c>
      <c r="L6" s="3">
        <f t="shared" si="4"/>
        <v>2676.8064000000004</v>
      </c>
      <c r="M6" s="3">
        <v>2450.78748</v>
      </c>
      <c r="N6" s="3">
        <f t="shared" si="0"/>
        <v>-226.01892000000043</v>
      </c>
      <c r="S6" s="9">
        <v>4492</v>
      </c>
      <c r="T6">
        <v>816</v>
      </c>
      <c r="U6" s="3">
        <f t="shared" si="1"/>
        <v>2676.8064000000004</v>
      </c>
      <c r="V6" s="3">
        <f t="shared" si="2"/>
        <v>-1815.1935999999996</v>
      </c>
      <c r="W6" s="9">
        <v>5160</v>
      </c>
      <c r="X6">
        <v>747</v>
      </c>
      <c r="Y6" s="3">
        <f t="shared" si="3"/>
        <v>2450.78748</v>
      </c>
      <c r="Z6" s="3">
        <f t="shared" si="5"/>
        <v>-2709.21252</v>
      </c>
    </row>
    <row r="7" spans="1:26" x14ac:dyDescent="0.25">
      <c r="A7">
        <v>5</v>
      </c>
      <c r="B7" t="s">
        <v>43</v>
      </c>
      <c r="C7" s="15">
        <v>0.11</v>
      </c>
      <c r="D7" s="8">
        <v>42878</v>
      </c>
      <c r="E7" s="1">
        <v>42916</v>
      </c>
      <c r="F7" s="16">
        <v>32.626111111111101</v>
      </c>
      <c r="G7" s="14">
        <v>32.378</v>
      </c>
      <c r="H7" s="17">
        <v>-109.8358333</v>
      </c>
      <c r="I7" s="14">
        <v>-110.60899999999999</v>
      </c>
      <c r="J7" s="9">
        <v>8686</v>
      </c>
      <c r="K7">
        <v>1205</v>
      </c>
      <c r="L7" s="3">
        <f t="shared" si="4"/>
        <v>3952.8820000000001</v>
      </c>
      <c r="M7" s="3">
        <v>5761.1550399999996</v>
      </c>
      <c r="N7" s="3">
        <f t="shared" si="0"/>
        <v>1808.2730399999996</v>
      </c>
      <c r="S7" s="9">
        <v>8686</v>
      </c>
      <c r="T7">
        <v>1205</v>
      </c>
      <c r="U7" s="3">
        <f t="shared" si="1"/>
        <v>3952.8820000000001</v>
      </c>
      <c r="V7" s="3">
        <f t="shared" si="2"/>
        <v>-4733.1180000000004</v>
      </c>
      <c r="W7" s="9">
        <v>7554</v>
      </c>
      <c r="X7">
        <v>1756</v>
      </c>
      <c r="Y7" s="3">
        <f t="shared" si="3"/>
        <v>5761.1550399999996</v>
      </c>
      <c r="Z7" s="3">
        <f t="shared" si="5"/>
        <v>-1792.8449600000004</v>
      </c>
    </row>
    <row r="8" spans="1:26" x14ac:dyDescent="0.25">
      <c r="A8">
        <v>6</v>
      </c>
      <c r="B8" t="s">
        <v>44</v>
      </c>
      <c r="C8" s="15">
        <v>0.08</v>
      </c>
      <c r="D8" s="8">
        <v>44666</v>
      </c>
      <c r="E8" s="1">
        <v>44709</v>
      </c>
      <c r="F8" s="16">
        <v>34.060555555555503</v>
      </c>
      <c r="G8" s="14">
        <v>33.798000000000002</v>
      </c>
      <c r="H8" s="17">
        <v>-108.44499999999999</v>
      </c>
      <c r="I8" s="14">
        <v>-107.51900000000001</v>
      </c>
      <c r="J8" s="9">
        <v>8748</v>
      </c>
      <c r="K8">
        <v>2496</v>
      </c>
      <c r="L8" s="3">
        <f t="shared" si="4"/>
        <v>8187.8784000000005</v>
      </c>
      <c r="M8" s="3">
        <v>8566.2732400000004</v>
      </c>
      <c r="N8" s="3">
        <f t="shared" si="0"/>
        <v>378.39483999999993</v>
      </c>
      <c r="S8" s="9">
        <v>8748</v>
      </c>
      <c r="T8">
        <v>2496</v>
      </c>
      <c r="U8" s="3">
        <f t="shared" si="1"/>
        <v>8187.8784000000005</v>
      </c>
      <c r="V8" s="3">
        <f t="shared" si="2"/>
        <v>-560.12159999999949</v>
      </c>
      <c r="W8" s="9">
        <v>8748</v>
      </c>
      <c r="X8">
        <v>2611</v>
      </c>
      <c r="Y8" s="3">
        <f t="shared" si="3"/>
        <v>8566.2732400000004</v>
      </c>
      <c r="Z8" s="3">
        <f t="shared" si="5"/>
        <v>-181.72675999999956</v>
      </c>
    </row>
    <row r="9" spans="1:26" x14ac:dyDescent="0.25">
      <c r="A9">
        <v>7</v>
      </c>
      <c r="B9" t="s">
        <v>45</v>
      </c>
      <c r="C9" s="15">
        <v>0.06</v>
      </c>
      <c r="D9" s="8">
        <v>44034</v>
      </c>
      <c r="E9" s="1">
        <v>44058</v>
      </c>
      <c r="F9" s="16">
        <v>36.462222222222202</v>
      </c>
      <c r="G9" s="14">
        <v>35.302</v>
      </c>
      <c r="H9" s="17">
        <v>-118.6322222</v>
      </c>
      <c r="I9" s="14">
        <v>-115.589</v>
      </c>
      <c r="J9" s="9">
        <v>7340</v>
      </c>
      <c r="K9">
        <v>1610</v>
      </c>
      <c r="L9" s="3">
        <f t="shared" si="4"/>
        <v>5281.4440000000004</v>
      </c>
      <c r="M9" s="3">
        <v>6345.1445599999997</v>
      </c>
      <c r="N9" s="3">
        <f t="shared" si="0"/>
        <v>1063.7005599999993</v>
      </c>
      <c r="S9" s="9">
        <v>7340</v>
      </c>
      <c r="T9">
        <v>1610</v>
      </c>
      <c r="U9" s="3">
        <f t="shared" si="1"/>
        <v>5281.4440000000004</v>
      </c>
      <c r="V9" s="3">
        <f t="shared" si="2"/>
        <v>-2058.5559999999996</v>
      </c>
      <c r="W9" s="9">
        <v>4481</v>
      </c>
      <c r="X9">
        <v>1934</v>
      </c>
      <c r="Y9" s="3">
        <f t="shared" si="3"/>
        <v>6345.1445599999997</v>
      </c>
      <c r="Z9" s="3">
        <f t="shared" si="5"/>
        <v>1864.1445599999997</v>
      </c>
    </row>
    <row r="10" spans="1:26" x14ac:dyDescent="0.25">
      <c r="A10">
        <v>8</v>
      </c>
      <c r="B10" t="s">
        <v>46</v>
      </c>
      <c r="C10" s="15">
        <v>0.06</v>
      </c>
      <c r="D10" s="8">
        <v>43320</v>
      </c>
      <c r="E10" s="1">
        <v>43327</v>
      </c>
      <c r="F10" s="16">
        <v>43.801111111111098</v>
      </c>
      <c r="G10" s="14">
        <v>42.597000000000001</v>
      </c>
      <c r="H10" s="17">
        <v>-117.9438889</v>
      </c>
      <c r="I10" s="14">
        <v>-120.74299999999999</v>
      </c>
      <c r="J10" s="9">
        <v>3000</v>
      </c>
      <c r="K10">
        <v>2063</v>
      </c>
      <c r="L10" s="3">
        <f t="shared" si="4"/>
        <v>6767.4652000000006</v>
      </c>
      <c r="M10" s="3">
        <v>5305.1182799999997</v>
      </c>
      <c r="N10" s="3">
        <f t="shared" si="0"/>
        <v>-1462.3469200000009</v>
      </c>
      <c r="S10" s="9">
        <v>3000</v>
      </c>
      <c r="T10">
        <v>2063</v>
      </c>
      <c r="U10" s="3">
        <f t="shared" si="1"/>
        <v>6767.4652000000006</v>
      </c>
      <c r="V10" s="3">
        <f t="shared" si="2"/>
        <v>3767.4652000000006</v>
      </c>
      <c r="W10" s="9">
        <v>4492</v>
      </c>
      <c r="X10">
        <v>1617</v>
      </c>
      <c r="Y10" s="3">
        <f t="shared" si="3"/>
        <v>5305.1182799999997</v>
      </c>
      <c r="Z10" s="3">
        <f t="shared" si="5"/>
        <v>813.11827999999969</v>
      </c>
    </row>
    <row r="11" spans="1:26" x14ac:dyDescent="0.25">
      <c r="A11">
        <v>9</v>
      </c>
      <c r="B11" t="s">
        <v>47</v>
      </c>
      <c r="C11" s="15">
        <v>0.05</v>
      </c>
      <c r="D11" s="8">
        <v>42508</v>
      </c>
      <c r="E11" s="1">
        <v>42510</v>
      </c>
      <c r="F11" s="17">
        <v>33.858600000000003</v>
      </c>
      <c r="G11" s="14">
        <v>33.863999999999997</v>
      </c>
      <c r="H11" s="17">
        <v>-109.0825</v>
      </c>
      <c r="I11" s="14">
        <v>-110.926</v>
      </c>
      <c r="J11" s="9">
        <v>8200</v>
      </c>
      <c r="K11">
        <v>1994</v>
      </c>
      <c r="L11" s="3">
        <f t="shared" si="4"/>
        <v>6541.1176000000005</v>
      </c>
      <c r="M11" s="3">
        <v>4770.3413600000003</v>
      </c>
      <c r="N11" s="3">
        <f t="shared" si="0"/>
        <v>-1770.7762400000001</v>
      </c>
      <c r="S11" s="9">
        <v>8200</v>
      </c>
      <c r="T11">
        <v>1994</v>
      </c>
      <c r="U11" s="3">
        <f t="shared" si="1"/>
        <v>6541.1176000000005</v>
      </c>
      <c r="V11" s="3">
        <f t="shared" si="2"/>
        <v>-1658.8823999999995</v>
      </c>
      <c r="W11" s="9">
        <v>7260</v>
      </c>
      <c r="X11">
        <v>1454</v>
      </c>
      <c r="Y11" s="3">
        <f t="shared" si="3"/>
        <v>4770.3413600000003</v>
      </c>
      <c r="Z11" s="3">
        <f t="shared" si="5"/>
        <v>-2489.6586399999997</v>
      </c>
    </row>
    <row r="12" spans="1:26" x14ac:dyDescent="0.25">
      <c r="A12">
        <v>10</v>
      </c>
      <c r="B12" t="s">
        <v>48</v>
      </c>
      <c r="C12" s="15">
        <v>0.06</v>
      </c>
      <c r="D12" s="8">
        <v>42248</v>
      </c>
      <c r="E12" s="1">
        <v>42256</v>
      </c>
      <c r="F12" s="16">
        <v>38.063055555555501</v>
      </c>
      <c r="G12" s="14">
        <v>38.265999999999998</v>
      </c>
      <c r="H12" s="17">
        <v>-120.2475</v>
      </c>
      <c r="I12" s="14">
        <v>-120.592</v>
      </c>
      <c r="J12" s="9">
        <v>4942</v>
      </c>
      <c r="K12">
        <v>643</v>
      </c>
      <c r="L12" s="3">
        <f t="shared" si="4"/>
        <v>2109.2972</v>
      </c>
      <c r="M12" s="3">
        <v>6122.0474400000003</v>
      </c>
      <c r="N12" s="3">
        <f t="shared" si="0"/>
        <v>4012.7502400000003</v>
      </c>
      <c r="S12" s="9">
        <v>4942</v>
      </c>
      <c r="T12">
        <v>643</v>
      </c>
      <c r="U12" s="3">
        <f t="shared" si="1"/>
        <v>2109.2972</v>
      </c>
      <c r="V12" s="3">
        <f t="shared" si="2"/>
        <v>-2832.7028</v>
      </c>
      <c r="W12" s="9">
        <v>7100</v>
      </c>
      <c r="X12">
        <v>1866</v>
      </c>
      <c r="Y12" s="3">
        <f t="shared" si="3"/>
        <v>6122.0474400000003</v>
      </c>
      <c r="Z12" s="3">
        <f t="shared" si="5"/>
        <v>-977.95255999999972</v>
      </c>
    </row>
    <row r="13" spans="1:26" s="2" customFormat="1" x14ac:dyDescent="0.25">
      <c r="A13">
        <v>11</v>
      </c>
      <c r="B13" t="s">
        <v>49</v>
      </c>
      <c r="C13" s="15">
        <v>0.12</v>
      </c>
      <c r="D13" s="8">
        <v>41059</v>
      </c>
      <c r="E13" s="1">
        <v>41069</v>
      </c>
      <c r="F13" s="17">
        <v>40.762500000000003</v>
      </c>
      <c r="G13" s="14">
        <v>40.658000000000001</v>
      </c>
      <c r="H13" s="17">
        <v>-105.6188889</v>
      </c>
      <c r="I13" s="14">
        <v>-105.357</v>
      </c>
      <c r="J13" s="9">
        <v>8216</v>
      </c>
      <c r="K13">
        <v>2166</v>
      </c>
      <c r="L13" s="3">
        <f t="shared" si="4"/>
        <v>7105.3464000000004</v>
      </c>
      <c r="M13" s="18">
        <v>8635.1708799999997</v>
      </c>
      <c r="N13" s="3">
        <f t="shared" si="0"/>
        <v>1529.8244799999993</v>
      </c>
      <c r="S13" s="9">
        <v>8216</v>
      </c>
      <c r="T13">
        <v>2166</v>
      </c>
      <c r="U13" s="3">
        <f t="shared" si="1"/>
        <v>7105.3464000000004</v>
      </c>
      <c r="V13" s="3">
        <f t="shared" si="2"/>
        <v>-1110.6535999999996</v>
      </c>
      <c r="W13" s="9">
        <v>8520</v>
      </c>
      <c r="X13">
        <v>2632</v>
      </c>
      <c r="Y13" s="3">
        <f t="shared" si="3"/>
        <v>8635.1708799999997</v>
      </c>
      <c r="Z13" s="3">
        <f t="shared" si="5"/>
        <v>115.17087999999967</v>
      </c>
    </row>
    <row r="14" spans="1:26" s="2" customFormat="1" x14ac:dyDescent="0.25">
      <c r="A14">
        <v>12</v>
      </c>
      <c r="B14" t="s">
        <v>50</v>
      </c>
      <c r="C14" s="15">
        <v>0.05</v>
      </c>
      <c r="D14" s="8">
        <v>44072</v>
      </c>
      <c r="E14" s="1">
        <v>44081</v>
      </c>
      <c r="F14" s="16">
        <v>42.576944444444401</v>
      </c>
      <c r="G14" s="14">
        <v>42.619</v>
      </c>
      <c r="H14" s="17">
        <v>-121.89388889999999</v>
      </c>
      <c r="I14" s="14">
        <v>-120.577</v>
      </c>
      <c r="J14" s="9">
        <v>4492</v>
      </c>
      <c r="K14">
        <v>1769</v>
      </c>
      <c r="L14" s="3">
        <f t="shared" si="4"/>
        <v>5803.0276000000003</v>
      </c>
      <c r="M14" s="18">
        <v>6719.16032</v>
      </c>
      <c r="N14" s="3">
        <f t="shared" si="0"/>
        <v>916.13271999999961</v>
      </c>
      <c r="S14" s="9">
        <v>4492</v>
      </c>
      <c r="T14">
        <v>1769</v>
      </c>
      <c r="U14" s="3">
        <f t="shared" si="1"/>
        <v>5803.0276000000003</v>
      </c>
      <c r="V14" s="3">
        <f t="shared" si="2"/>
        <v>1311.0276000000003</v>
      </c>
      <c r="W14" s="9">
        <v>4928</v>
      </c>
      <c r="X14">
        <v>2048</v>
      </c>
      <c r="Y14" s="3">
        <f t="shared" si="3"/>
        <v>6719.16032</v>
      </c>
      <c r="Z14" s="3">
        <f t="shared" si="5"/>
        <v>1791.16032</v>
      </c>
    </row>
    <row r="15" spans="1:26" s="2" customFormat="1" x14ac:dyDescent="0.25">
      <c r="A15">
        <v>13</v>
      </c>
      <c r="B15" t="s">
        <v>51</v>
      </c>
      <c r="C15" s="15">
        <v>0.08</v>
      </c>
      <c r="D15" s="8">
        <v>43291</v>
      </c>
      <c r="E15" s="1">
        <v>43313</v>
      </c>
      <c r="F15" s="16">
        <v>38.063055555555501</v>
      </c>
      <c r="G15" s="14">
        <v>38.383000000000003</v>
      </c>
      <c r="H15" s="17">
        <v>-120.2475</v>
      </c>
      <c r="I15" s="14">
        <v>-119.822</v>
      </c>
      <c r="J15" s="9">
        <v>4942</v>
      </c>
      <c r="K15">
        <v>2178</v>
      </c>
      <c r="L15" s="3">
        <f t="shared" si="4"/>
        <v>7144.7112000000006</v>
      </c>
      <c r="M15" s="18">
        <v>7303.14984</v>
      </c>
      <c r="N15" s="3">
        <f t="shared" si="0"/>
        <v>158.4386399999994</v>
      </c>
      <c r="S15" s="9">
        <v>4942</v>
      </c>
      <c r="T15">
        <v>2178</v>
      </c>
      <c r="U15" s="3">
        <f t="shared" si="1"/>
        <v>7144.7112000000006</v>
      </c>
      <c r="V15" s="3">
        <f t="shared" si="2"/>
        <v>2202.7112000000006</v>
      </c>
      <c r="W15" s="9">
        <v>6983</v>
      </c>
      <c r="X15">
        <v>2226</v>
      </c>
      <c r="Y15" s="3">
        <f t="shared" si="3"/>
        <v>7303.14984</v>
      </c>
      <c r="Z15" s="3">
        <f t="shared" si="5"/>
        <v>320.14984000000004</v>
      </c>
    </row>
    <row r="16" spans="1:26" s="2" customFormat="1" x14ac:dyDescent="0.25">
      <c r="A16">
        <v>14</v>
      </c>
      <c r="B16" t="s">
        <v>52</v>
      </c>
      <c r="C16" s="15">
        <v>0.09</v>
      </c>
      <c r="D16" s="8">
        <v>43713</v>
      </c>
      <c r="E16" s="1">
        <v>43712</v>
      </c>
      <c r="F16" s="16">
        <v>39.973333333333301</v>
      </c>
      <c r="G16" s="14">
        <v>40.090000000000003</v>
      </c>
      <c r="H16" s="17">
        <v>-120.9419444</v>
      </c>
      <c r="I16" s="14">
        <v>-120.58499999999999</v>
      </c>
      <c r="J16" s="9">
        <v>3652</v>
      </c>
      <c r="K16">
        <v>1826</v>
      </c>
      <c r="L16" s="3">
        <f t="shared" si="4"/>
        <v>5990.0104000000001</v>
      </c>
      <c r="M16" s="18">
        <v>6420.6038799999997</v>
      </c>
      <c r="N16" s="3">
        <f t="shared" si="0"/>
        <v>430.59347999999954</v>
      </c>
      <c r="S16" s="9">
        <v>3652</v>
      </c>
      <c r="T16">
        <v>1826</v>
      </c>
      <c r="U16" s="3">
        <f t="shared" si="1"/>
        <v>5990.0104000000001</v>
      </c>
      <c r="V16" s="3">
        <f t="shared" si="2"/>
        <v>2338.0104000000001</v>
      </c>
      <c r="W16" s="9">
        <v>3540</v>
      </c>
      <c r="X16">
        <v>1957</v>
      </c>
      <c r="Y16" s="3">
        <f t="shared" si="3"/>
        <v>6420.6038799999997</v>
      </c>
      <c r="Z16" s="3">
        <f t="shared" si="5"/>
        <v>2880.6038799999997</v>
      </c>
    </row>
    <row r="17" spans="1:26" x14ac:dyDescent="0.25">
      <c r="A17">
        <v>15</v>
      </c>
      <c r="B17" t="s">
        <v>53</v>
      </c>
      <c r="C17" s="15">
        <v>0.09</v>
      </c>
      <c r="D17" s="8">
        <v>42592</v>
      </c>
      <c r="E17" s="1">
        <v>42595</v>
      </c>
      <c r="F17" s="16">
        <v>39.264444444444401</v>
      </c>
      <c r="G17" s="14">
        <v>35.738</v>
      </c>
      <c r="H17" s="17">
        <v>-122.86944440000001</v>
      </c>
      <c r="I17" s="14">
        <v>-121.075</v>
      </c>
      <c r="J17" s="9">
        <v>3850</v>
      </c>
      <c r="K17">
        <v>424</v>
      </c>
      <c r="L17" s="3">
        <f t="shared" si="4"/>
        <v>1390.8896</v>
      </c>
      <c r="M17" s="3">
        <v>3297.2442000000001</v>
      </c>
      <c r="N17" s="3">
        <f t="shared" si="0"/>
        <v>1906.3546000000001</v>
      </c>
      <c r="S17" s="9">
        <v>3850</v>
      </c>
      <c r="T17">
        <v>424</v>
      </c>
      <c r="U17" s="3">
        <f t="shared" si="1"/>
        <v>1390.8896</v>
      </c>
      <c r="V17" s="3">
        <f t="shared" si="2"/>
        <v>-2459.1104</v>
      </c>
      <c r="W17" s="9">
        <v>1300</v>
      </c>
      <c r="X17">
        <v>1005</v>
      </c>
      <c r="Y17" s="3">
        <f t="shared" si="3"/>
        <v>3297.2442000000001</v>
      </c>
      <c r="Z17" s="3">
        <f t="shared" si="5"/>
        <v>1997.2442000000001</v>
      </c>
    </row>
    <row r="18" spans="1:26" x14ac:dyDescent="0.25">
      <c r="A18">
        <v>16</v>
      </c>
      <c r="B18" t="s">
        <v>54</v>
      </c>
      <c r="C18" s="15">
        <v>0.17</v>
      </c>
      <c r="D18" s="8">
        <v>42536</v>
      </c>
      <c r="E18" s="1">
        <v>42540</v>
      </c>
      <c r="F18" s="17">
        <v>40.762500000000003</v>
      </c>
      <c r="G18" s="14">
        <v>40.957000000000001</v>
      </c>
      <c r="H18" s="17">
        <v>-105.6188889</v>
      </c>
      <c r="I18" s="14">
        <v>-106.505</v>
      </c>
      <c r="J18" s="9">
        <v>8216</v>
      </c>
      <c r="K18">
        <v>2684</v>
      </c>
      <c r="L18" s="3">
        <f t="shared" si="4"/>
        <v>8804.5936000000002</v>
      </c>
      <c r="M18" s="3">
        <v>10134.51476</v>
      </c>
      <c r="N18" s="3">
        <f t="shared" si="0"/>
        <v>1329.9211599999999</v>
      </c>
      <c r="S18" s="9">
        <v>8216</v>
      </c>
      <c r="T18">
        <v>2684</v>
      </c>
      <c r="U18" s="3">
        <f t="shared" si="1"/>
        <v>8804.5936000000002</v>
      </c>
      <c r="V18" s="3">
        <f t="shared" si="2"/>
        <v>588.59360000000015</v>
      </c>
      <c r="W18" s="9">
        <v>10003</v>
      </c>
      <c r="X18" s="2">
        <v>3089</v>
      </c>
      <c r="Y18" s="3">
        <f t="shared" si="3"/>
        <v>10134.51476</v>
      </c>
      <c r="Z18" s="3">
        <f t="shared" si="5"/>
        <v>131.51476000000002</v>
      </c>
    </row>
    <row r="19" spans="1:26" x14ac:dyDescent="0.25">
      <c r="A19">
        <v>17</v>
      </c>
      <c r="B19" t="s">
        <v>55</v>
      </c>
      <c r="C19" s="15">
        <v>0.14000000000000001</v>
      </c>
      <c r="D19" s="8">
        <v>41128</v>
      </c>
      <c r="E19" s="1">
        <v>41161</v>
      </c>
      <c r="F19" s="17">
        <v>43.547499999999999</v>
      </c>
      <c r="G19" s="14">
        <v>44.177999999999997</v>
      </c>
      <c r="H19" s="17">
        <v>-121.7872222</v>
      </c>
      <c r="I19" s="14">
        <v>-121.675</v>
      </c>
      <c r="J19" s="9">
        <v>5105</v>
      </c>
      <c r="K19">
        <v>1562</v>
      </c>
      <c r="L19" s="3">
        <f t="shared" si="4"/>
        <v>5123.9848000000002</v>
      </c>
      <c r="M19" s="3">
        <v>1624.0157999999999</v>
      </c>
      <c r="N19" s="3">
        <f t="shared" si="0"/>
        <v>-3499.9690000000001</v>
      </c>
      <c r="S19" s="9">
        <v>5105</v>
      </c>
      <c r="T19">
        <v>1562</v>
      </c>
      <c r="U19" s="3">
        <f t="shared" si="1"/>
        <v>5123.9848000000002</v>
      </c>
      <c r="V19" s="3">
        <f t="shared" si="2"/>
        <v>18.984800000000178</v>
      </c>
      <c r="W19" s="9">
        <v>4492</v>
      </c>
      <c r="X19">
        <v>495</v>
      </c>
      <c r="Y19" s="3">
        <f t="shared" si="3"/>
        <v>1624.0157999999999</v>
      </c>
      <c r="Z19" s="3">
        <f t="shared" si="5"/>
        <v>-2867.9841999999999</v>
      </c>
    </row>
    <row r="20" spans="1:26" x14ac:dyDescent="0.25">
      <c r="A20">
        <v>18</v>
      </c>
      <c r="B20" t="s">
        <v>56</v>
      </c>
      <c r="C20" s="15">
        <v>0.05</v>
      </c>
      <c r="D20" s="8">
        <v>41852</v>
      </c>
      <c r="E20" s="1">
        <v>41834</v>
      </c>
      <c r="F20" s="16">
        <v>42.576944444444401</v>
      </c>
      <c r="G20" s="14">
        <v>45.01</v>
      </c>
      <c r="H20" s="17">
        <v>-121.89388889999999</v>
      </c>
      <c r="I20" s="14">
        <v>-120.554</v>
      </c>
      <c r="J20" s="9">
        <v>4492</v>
      </c>
      <c r="K20">
        <v>993</v>
      </c>
      <c r="L20" s="3">
        <f t="shared" si="4"/>
        <v>3257.4372000000003</v>
      </c>
      <c r="M20" s="3">
        <v>4645.6694399999997</v>
      </c>
      <c r="N20" s="3">
        <f t="shared" si="0"/>
        <v>1388.2322399999994</v>
      </c>
      <c r="S20" s="9">
        <v>4492</v>
      </c>
      <c r="T20">
        <v>993</v>
      </c>
      <c r="U20" s="3">
        <f t="shared" si="1"/>
        <v>3257.4372000000003</v>
      </c>
      <c r="V20" s="3">
        <f t="shared" si="2"/>
        <v>-1234.5627999999997</v>
      </c>
      <c r="W20" s="9">
        <v>4492</v>
      </c>
      <c r="X20">
        <v>1416</v>
      </c>
      <c r="Y20" s="3">
        <f t="shared" si="3"/>
        <v>4645.6694399999997</v>
      </c>
      <c r="Z20" s="3">
        <f t="shared" si="5"/>
        <v>153.66943999999967</v>
      </c>
    </row>
    <row r="21" spans="1:26" x14ac:dyDescent="0.25">
      <c r="A21">
        <v>19</v>
      </c>
      <c r="B21" t="s">
        <v>57</v>
      </c>
      <c r="C21" s="15">
        <v>0.08</v>
      </c>
      <c r="D21" s="8">
        <v>44074</v>
      </c>
      <c r="E21" s="1">
        <v>44101</v>
      </c>
      <c r="F21" s="16">
        <v>40.337499999999999</v>
      </c>
      <c r="G21" s="14">
        <v>40.421999999999997</v>
      </c>
      <c r="H21" s="17">
        <v>-123.0655556</v>
      </c>
      <c r="I21" s="14">
        <v>-122.62</v>
      </c>
      <c r="J21" s="9">
        <v>4481</v>
      </c>
      <c r="K21">
        <v>302</v>
      </c>
      <c r="L21" s="3">
        <f t="shared" si="4"/>
        <v>990.68080000000009</v>
      </c>
      <c r="M21" s="3">
        <v>3143.0447199999999</v>
      </c>
      <c r="N21" s="3">
        <f t="shared" si="0"/>
        <v>2152.3639199999998</v>
      </c>
      <c r="S21" s="9">
        <v>4481</v>
      </c>
      <c r="T21">
        <v>302</v>
      </c>
      <c r="U21" s="3">
        <f t="shared" si="1"/>
        <v>990.68080000000009</v>
      </c>
      <c r="V21" s="3">
        <f t="shared" si="2"/>
        <v>-3490.3191999999999</v>
      </c>
      <c r="W21" s="9">
        <v>4481</v>
      </c>
      <c r="X21">
        <v>958</v>
      </c>
      <c r="Y21" s="3">
        <f t="shared" si="3"/>
        <v>3143.0447199999999</v>
      </c>
      <c r="Z21" s="3">
        <f t="shared" si="5"/>
        <v>-1337.9552800000001</v>
      </c>
    </row>
    <row r="22" spans="1:26" x14ac:dyDescent="0.25">
      <c r="A22">
        <v>20</v>
      </c>
      <c r="B22" t="s">
        <v>58</v>
      </c>
      <c r="C22" s="15">
        <v>7.0000000000000007E-2</v>
      </c>
      <c r="D22" s="8">
        <v>43345</v>
      </c>
      <c r="E22" s="1">
        <v>43348</v>
      </c>
      <c r="F22" s="16">
        <v>40.915833333333303</v>
      </c>
      <c r="G22" s="14">
        <v>41.006999999999998</v>
      </c>
      <c r="H22" s="17">
        <v>-122.4347222</v>
      </c>
      <c r="I22" s="14">
        <v>-122.462</v>
      </c>
      <c r="J22" s="9">
        <v>3259</v>
      </c>
      <c r="K22">
        <v>1119</v>
      </c>
      <c r="L22" s="3">
        <f t="shared" si="4"/>
        <v>3670.7676000000001</v>
      </c>
      <c r="M22" s="3">
        <v>2378.6089999999999</v>
      </c>
      <c r="N22" s="3">
        <f t="shared" si="0"/>
        <v>-1292.1586000000002</v>
      </c>
      <c r="S22" s="9">
        <v>3259</v>
      </c>
      <c r="T22">
        <v>1119</v>
      </c>
      <c r="U22" s="3">
        <f t="shared" si="1"/>
        <v>3670.7676000000001</v>
      </c>
      <c r="V22" s="3">
        <f t="shared" si="2"/>
        <v>411.76760000000013</v>
      </c>
      <c r="W22" s="9">
        <v>1722</v>
      </c>
      <c r="X22">
        <v>725</v>
      </c>
      <c r="Y22" s="3">
        <f t="shared" si="3"/>
        <v>2378.6089999999999</v>
      </c>
      <c r="Z22" s="3">
        <f t="shared" si="5"/>
        <v>656.60899999999992</v>
      </c>
    </row>
    <row r="23" spans="1:26" x14ac:dyDescent="0.25">
      <c r="A23">
        <v>21</v>
      </c>
      <c r="B23" t="s">
        <v>59</v>
      </c>
      <c r="C23" s="15">
        <v>0.15</v>
      </c>
      <c r="D23" s="8">
        <v>44395</v>
      </c>
      <c r="E23" s="1">
        <v>44385</v>
      </c>
      <c r="F23" s="16">
        <v>45.6927777777777</v>
      </c>
      <c r="G23" s="14">
        <v>45.624000000000002</v>
      </c>
      <c r="H23" s="17">
        <v>-113.96972220000001</v>
      </c>
      <c r="I23" s="14">
        <v>-113.76600000000001</v>
      </c>
      <c r="J23" s="9">
        <v>7729</v>
      </c>
      <c r="K23">
        <v>2152</v>
      </c>
      <c r="L23" s="3">
        <f t="shared" si="4"/>
        <v>7059.4208000000008</v>
      </c>
      <c r="M23" s="3">
        <v>7673.8847599999999</v>
      </c>
      <c r="N23" s="3">
        <f t="shared" si="0"/>
        <v>614.46395999999913</v>
      </c>
      <c r="S23" s="9">
        <v>7729</v>
      </c>
      <c r="T23">
        <v>2152</v>
      </c>
      <c r="U23" s="3">
        <f t="shared" si="1"/>
        <v>7059.4208000000008</v>
      </c>
      <c r="V23" s="3">
        <f t="shared" si="2"/>
        <v>-669.57919999999922</v>
      </c>
      <c r="W23" s="9">
        <v>4210</v>
      </c>
      <c r="X23">
        <v>2339</v>
      </c>
      <c r="Y23" s="3">
        <f t="shared" si="3"/>
        <v>7673.8847599999999</v>
      </c>
      <c r="Z23" s="3">
        <f t="shared" si="5"/>
        <v>3463.8847599999999</v>
      </c>
    </row>
    <row r="24" spans="1:26" x14ac:dyDescent="0.25">
      <c r="A24">
        <v>22</v>
      </c>
      <c r="B24" t="s">
        <v>60</v>
      </c>
      <c r="C24" s="15">
        <v>0.11</v>
      </c>
      <c r="D24" s="8">
        <v>43344</v>
      </c>
      <c r="E24" s="1">
        <v>43358</v>
      </c>
      <c r="F24" s="16">
        <v>41.074166666666599</v>
      </c>
      <c r="G24" s="14">
        <v>41.04</v>
      </c>
      <c r="H24" s="17">
        <v>-106.1311111</v>
      </c>
      <c r="I24" s="14">
        <v>-106.613</v>
      </c>
      <c r="J24" s="9">
        <v>9078</v>
      </c>
      <c r="K24">
        <v>2693</v>
      </c>
      <c r="L24" s="3">
        <f t="shared" si="4"/>
        <v>8834.1172000000006</v>
      </c>
      <c r="M24" s="3">
        <v>8805.7745599999998</v>
      </c>
      <c r="N24" s="3">
        <f t="shared" si="0"/>
        <v>-28.342640000000756</v>
      </c>
      <c r="S24" s="9">
        <v>9078</v>
      </c>
      <c r="T24">
        <v>2693</v>
      </c>
      <c r="U24" s="3">
        <f t="shared" si="1"/>
        <v>8834.1172000000006</v>
      </c>
      <c r="V24" s="3">
        <f t="shared" si="2"/>
        <v>-243.88279999999941</v>
      </c>
      <c r="W24" s="9">
        <v>8655</v>
      </c>
      <c r="X24">
        <v>2684</v>
      </c>
      <c r="Y24" s="3">
        <f t="shared" si="3"/>
        <v>8805.7745599999998</v>
      </c>
      <c r="Z24" s="3">
        <f t="shared" si="5"/>
        <v>150.77455999999984</v>
      </c>
    </row>
    <row r="25" spans="1:26" x14ac:dyDescent="0.25">
      <c r="A25">
        <v>23</v>
      </c>
      <c r="B25" t="s">
        <v>61</v>
      </c>
      <c r="C25" s="15">
        <v>7.0000000000000007E-2</v>
      </c>
      <c r="D25" s="8">
        <v>43295</v>
      </c>
      <c r="E25" s="1">
        <v>43310</v>
      </c>
      <c r="F25" s="16">
        <v>38.764444444444401</v>
      </c>
      <c r="G25" s="14">
        <v>38.511000000000003</v>
      </c>
      <c r="H25" s="17">
        <v>-108.6327778</v>
      </c>
      <c r="I25" s="14">
        <v>-108.658</v>
      </c>
      <c r="J25" s="9">
        <v>8137</v>
      </c>
      <c r="K25">
        <v>2412</v>
      </c>
      <c r="L25" s="3">
        <f t="shared" si="4"/>
        <v>7912.3248000000003</v>
      </c>
      <c r="M25" s="3">
        <v>7575.4595600000002</v>
      </c>
      <c r="N25" s="3">
        <f t="shared" si="0"/>
        <v>-336.86524000000009</v>
      </c>
      <c r="S25" s="9">
        <v>8137</v>
      </c>
      <c r="T25">
        <v>2412</v>
      </c>
      <c r="U25" s="3">
        <f t="shared" si="1"/>
        <v>7912.3248000000003</v>
      </c>
      <c r="V25" s="3">
        <f t="shared" si="2"/>
        <v>-224.67519999999968</v>
      </c>
      <c r="W25" s="9">
        <v>8137</v>
      </c>
      <c r="X25">
        <v>2309</v>
      </c>
      <c r="Y25" s="3">
        <f t="shared" si="3"/>
        <v>7575.4595600000002</v>
      </c>
      <c r="Z25" s="3">
        <f t="shared" si="5"/>
        <v>-561.54043999999976</v>
      </c>
    </row>
    <row r="26" spans="1:26" x14ac:dyDescent="0.25">
      <c r="A26">
        <v>24</v>
      </c>
      <c r="B26" t="s">
        <v>62</v>
      </c>
      <c r="C26" s="15">
        <v>0.05</v>
      </c>
      <c r="D26" s="8">
        <v>44063</v>
      </c>
      <c r="E26" s="1">
        <v>44076</v>
      </c>
      <c r="F26" s="16">
        <v>45.243333333333297</v>
      </c>
      <c r="G26" s="14">
        <v>45.658000000000001</v>
      </c>
      <c r="H26" s="17">
        <v>-106.6963889</v>
      </c>
      <c r="I26" s="14">
        <v>-107.00700000000001</v>
      </c>
      <c r="J26" s="9">
        <v>3910</v>
      </c>
      <c r="K26">
        <v>1223</v>
      </c>
      <c r="L26" s="3">
        <f t="shared" si="4"/>
        <v>4011.9292</v>
      </c>
      <c r="M26" s="3">
        <v>3274.2783199999999</v>
      </c>
      <c r="N26" s="3">
        <f t="shared" si="0"/>
        <v>-737.65088000000014</v>
      </c>
      <c r="S26" s="9">
        <v>3910</v>
      </c>
      <c r="T26">
        <v>1223</v>
      </c>
      <c r="U26" s="3">
        <f t="shared" si="1"/>
        <v>4011.9292</v>
      </c>
      <c r="V26" s="3">
        <f t="shared" si="2"/>
        <v>101.92920000000004</v>
      </c>
      <c r="W26" s="9">
        <v>3120</v>
      </c>
      <c r="X26">
        <v>998</v>
      </c>
      <c r="Y26" s="3">
        <f t="shared" si="3"/>
        <v>3274.2783199999999</v>
      </c>
      <c r="Z26" s="3">
        <f t="shared" si="5"/>
        <v>154.27831999999989</v>
      </c>
    </row>
    <row r="27" spans="1:26" x14ac:dyDescent="0.25">
      <c r="A27">
        <v>25</v>
      </c>
      <c r="B27" t="s">
        <v>63</v>
      </c>
      <c r="C27" s="15">
        <v>0.04</v>
      </c>
      <c r="D27" s="8">
        <v>42926</v>
      </c>
      <c r="E27" s="1">
        <v>42956</v>
      </c>
      <c r="F27" s="16">
        <v>43.801111111111098</v>
      </c>
      <c r="G27" s="14">
        <v>44.973999999999997</v>
      </c>
      <c r="H27" s="17">
        <v>-117.9438889</v>
      </c>
      <c r="I27" s="14">
        <v>-121.19799999999999</v>
      </c>
      <c r="J27" s="9">
        <v>3000</v>
      </c>
      <c r="K27">
        <v>1061</v>
      </c>
      <c r="L27" s="3">
        <f t="shared" si="4"/>
        <v>3480.5044000000003</v>
      </c>
      <c r="M27" s="3">
        <v>3759.8426399999998</v>
      </c>
      <c r="N27" s="3">
        <f t="shared" si="0"/>
        <v>279.33823999999959</v>
      </c>
      <c r="S27" s="9">
        <v>3000</v>
      </c>
      <c r="T27">
        <v>1061</v>
      </c>
      <c r="U27" s="3">
        <f t="shared" si="1"/>
        <v>3480.5044000000003</v>
      </c>
      <c r="V27" s="3">
        <f t="shared" si="2"/>
        <v>480.50440000000026</v>
      </c>
      <c r="W27" s="9">
        <v>7554</v>
      </c>
      <c r="X27">
        <v>1146</v>
      </c>
      <c r="Y27" s="3">
        <f t="shared" si="3"/>
        <v>3759.8426399999998</v>
      </c>
      <c r="Z27" s="3">
        <f t="shared" si="5"/>
        <v>-3794.1573600000002</v>
      </c>
    </row>
    <row r="28" spans="1:26" x14ac:dyDescent="0.25">
      <c r="A28">
        <v>26</v>
      </c>
      <c r="B28" t="s">
        <v>64</v>
      </c>
      <c r="C28" s="15">
        <v>0.15</v>
      </c>
      <c r="D28" s="8">
        <v>42955</v>
      </c>
      <c r="E28" s="1">
        <v>42958</v>
      </c>
      <c r="F28" s="17">
        <v>48.616700000000002</v>
      </c>
      <c r="G28" s="14">
        <v>47.341000000000001</v>
      </c>
      <c r="H28" s="17">
        <v>-118.2667</v>
      </c>
      <c r="I28" s="14">
        <v>-120.97799999999999</v>
      </c>
      <c r="J28" s="9">
        <v>4400</v>
      </c>
      <c r="K28">
        <v>1325</v>
      </c>
      <c r="L28" s="3">
        <f t="shared" si="4"/>
        <v>4346.5300000000007</v>
      </c>
      <c r="M28" s="3">
        <v>3874.6720399999999</v>
      </c>
      <c r="N28" s="3">
        <f t="shared" si="0"/>
        <v>-471.85796000000073</v>
      </c>
      <c r="S28" s="9">
        <v>4400</v>
      </c>
      <c r="T28">
        <v>1325</v>
      </c>
      <c r="U28" s="3">
        <f t="shared" si="1"/>
        <v>4346.5300000000007</v>
      </c>
      <c r="V28" s="3">
        <f t="shared" si="2"/>
        <v>-53.469999999999345</v>
      </c>
      <c r="W28" s="9">
        <v>4400</v>
      </c>
      <c r="X28">
        <v>1181</v>
      </c>
      <c r="Y28" s="3">
        <f t="shared" si="3"/>
        <v>3874.6720399999999</v>
      </c>
      <c r="Z28" s="3">
        <f t="shared" si="5"/>
        <v>-525.32796000000008</v>
      </c>
    </row>
    <row r="29" spans="1:26" x14ac:dyDescent="0.25">
      <c r="A29">
        <v>27</v>
      </c>
      <c r="B29" t="s">
        <v>65</v>
      </c>
      <c r="C29" s="15">
        <v>0.05</v>
      </c>
      <c r="D29" s="8">
        <v>44759</v>
      </c>
      <c r="E29" s="1">
        <v>44771</v>
      </c>
      <c r="F29" s="16">
        <v>41.838611111111099</v>
      </c>
      <c r="G29" s="14">
        <v>41.811999999999998</v>
      </c>
      <c r="H29" s="17">
        <v>-122.8502778</v>
      </c>
      <c r="I29" s="14">
        <v>-122.833</v>
      </c>
      <c r="J29" s="9">
        <v>1940</v>
      </c>
      <c r="K29">
        <v>854</v>
      </c>
      <c r="L29" s="3">
        <f t="shared" si="4"/>
        <v>2801.4616000000001</v>
      </c>
      <c r="M29" s="3">
        <v>5065.6169600000003</v>
      </c>
      <c r="N29" s="3">
        <f t="shared" si="0"/>
        <v>2264.1553600000002</v>
      </c>
      <c r="S29" s="9">
        <v>1940</v>
      </c>
      <c r="T29">
        <v>854</v>
      </c>
      <c r="U29" s="3">
        <f t="shared" si="1"/>
        <v>2801.4616000000001</v>
      </c>
      <c r="V29" s="3">
        <f t="shared" si="2"/>
        <v>861.46160000000009</v>
      </c>
      <c r="W29" s="9">
        <v>700</v>
      </c>
      <c r="X29">
        <v>1544</v>
      </c>
      <c r="Y29" s="3">
        <f t="shared" si="3"/>
        <v>5065.6169600000003</v>
      </c>
      <c r="Z29" s="3">
        <f t="shared" si="5"/>
        <v>4365.6169600000003</v>
      </c>
    </row>
    <row r="30" spans="1:26" x14ac:dyDescent="0.25">
      <c r="A30">
        <v>28</v>
      </c>
      <c r="B30" t="s">
        <v>66</v>
      </c>
      <c r="C30" s="15">
        <v>0.06</v>
      </c>
      <c r="D30" s="8">
        <v>44357</v>
      </c>
      <c r="E30" s="1">
        <v>44348</v>
      </c>
      <c r="F30" s="17">
        <v>34.239100000000001</v>
      </c>
      <c r="G30" s="14">
        <v>33.244</v>
      </c>
      <c r="H30" s="17">
        <v>-110.3189</v>
      </c>
      <c r="I30" s="14">
        <v>-110.61499999999999</v>
      </c>
      <c r="J30" s="9">
        <v>6900</v>
      </c>
      <c r="K30">
        <v>1458</v>
      </c>
      <c r="L30" s="3">
        <f t="shared" si="4"/>
        <v>4782.8232000000007</v>
      </c>
      <c r="M30" s="3">
        <v>3435.0394799999999</v>
      </c>
      <c r="N30" s="3">
        <f t="shared" si="0"/>
        <v>-1347.7837200000008</v>
      </c>
      <c r="S30" s="9">
        <v>6900</v>
      </c>
      <c r="T30">
        <v>1458</v>
      </c>
      <c r="U30" s="3">
        <f t="shared" si="1"/>
        <v>4782.8232000000007</v>
      </c>
      <c r="V30" s="3">
        <f t="shared" si="2"/>
        <v>-2117.1767999999993</v>
      </c>
      <c r="W30" s="9">
        <v>7554</v>
      </c>
      <c r="X30">
        <v>1047</v>
      </c>
      <c r="Y30" s="3">
        <f t="shared" si="3"/>
        <v>3435.0394799999999</v>
      </c>
      <c r="Z30" s="3">
        <f t="shared" si="5"/>
        <v>-4118.9605200000005</v>
      </c>
    </row>
    <row r="31" spans="1:26" x14ac:dyDescent="0.25">
      <c r="A31">
        <v>29</v>
      </c>
      <c r="B31" t="s">
        <v>67</v>
      </c>
      <c r="C31" s="15">
        <v>0.15</v>
      </c>
      <c r="D31" s="8">
        <v>43668</v>
      </c>
      <c r="E31" s="1">
        <v>43679</v>
      </c>
      <c r="F31" s="17">
        <v>48.616700000000002</v>
      </c>
      <c r="G31" s="14">
        <v>47.976999999999997</v>
      </c>
      <c r="H31" s="17">
        <v>-118.2667</v>
      </c>
      <c r="I31" s="14">
        <v>-118.498</v>
      </c>
      <c r="J31" s="9">
        <v>4400</v>
      </c>
      <c r="K31">
        <v>1028</v>
      </c>
      <c r="L31" s="3">
        <f t="shared" si="4"/>
        <v>3372.2512000000002</v>
      </c>
      <c r="M31" s="3">
        <v>2224.4095200000002</v>
      </c>
      <c r="N31" s="3">
        <f t="shared" si="0"/>
        <v>-1147.84168</v>
      </c>
      <c r="S31" s="9">
        <v>4400</v>
      </c>
      <c r="T31">
        <v>1028</v>
      </c>
      <c r="U31" s="3">
        <f t="shared" si="1"/>
        <v>3372.2512000000002</v>
      </c>
      <c r="V31" s="3">
        <f t="shared" si="2"/>
        <v>-1027.7487999999998</v>
      </c>
      <c r="W31" s="9">
        <v>2800</v>
      </c>
      <c r="X31">
        <v>678</v>
      </c>
      <c r="Y31" s="3">
        <f t="shared" si="3"/>
        <v>2224.4095200000002</v>
      </c>
      <c r="Z31" s="3">
        <f t="shared" si="5"/>
        <v>-575.59047999999984</v>
      </c>
    </row>
    <row r="32" spans="1:26" x14ac:dyDescent="0.25">
      <c r="A32">
        <v>30</v>
      </c>
      <c r="B32" t="s">
        <v>68</v>
      </c>
      <c r="C32" s="15">
        <v>0.25</v>
      </c>
      <c r="D32" s="8">
        <v>43668</v>
      </c>
      <c r="E32" s="1">
        <v>43307</v>
      </c>
      <c r="F32" s="17">
        <v>48.616700000000002</v>
      </c>
      <c r="G32" s="14">
        <v>44.662999999999997</v>
      </c>
      <c r="H32" s="17">
        <v>-118.2667</v>
      </c>
      <c r="I32" s="14">
        <v>-116.35</v>
      </c>
      <c r="J32" s="9">
        <v>4400</v>
      </c>
      <c r="K32">
        <v>1247</v>
      </c>
      <c r="L32" s="3">
        <f t="shared" si="4"/>
        <v>4090.6588000000002</v>
      </c>
      <c r="M32" s="3">
        <v>6883.2023200000003</v>
      </c>
      <c r="N32" s="3">
        <f t="shared" si="0"/>
        <v>2792.5435200000002</v>
      </c>
      <c r="S32" s="9">
        <v>4400</v>
      </c>
      <c r="T32">
        <v>1247</v>
      </c>
      <c r="U32" s="3">
        <f t="shared" si="1"/>
        <v>4090.6588000000002</v>
      </c>
      <c r="V32" s="3">
        <f t="shared" si="2"/>
        <v>-309.34119999999984</v>
      </c>
      <c r="W32" s="9">
        <v>3900</v>
      </c>
      <c r="X32">
        <v>2098</v>
      </c>
      <c r="Y32" s="3">
        <f>X32*3.28084</f>
        <v>6883.2023200000003</v>
      </c>
      <c r="Z32" s="3">
        <f t="shared" si="5"/>
        <v>2983.2023200000003</v>
      </c>
    </row>
    <row r="33" spans="3:26" x14ac:dyDescent="0.25">
      <c r="C33" s="15"/>
      <c r="D33" s="8"/>
      <c r="E33" s="1"/>
      <c r="F33" s="14"/>
      <c r="G33" s="14"/>
      <c r="H33" s="14"/>
      <c r="I33" s="14"/>
      <c r="L33" s="3"/>
      <c r="N33" s="3"/>
      <c r="S33" s="9"/>
      <c r="U33" s="3"/>
      <c r="V33" s="3"/>
      <c r="W33" s="9"/>
      <c r="Y33" s="3"/>
      <c r="Z33" s="3"/>
    </row>
    <row r="34" spans="3:26" x14ac:dyDescent="0.25">
      <c r="C34" s="15"/>
      <c r="D34" s="8"/>
      <c r="E34" s="1"/>
      <c r="F34" s="14"/>
      <c r="G34" s="14"/>
      <c r="H34" s="14"/>
      <c r="I34" s="14"/>
      <c r="J34" s="31" t="s">
        <v>84</v>
      </c>
      <c r="L34" s="3"/>
      <c r="N34" s="3"/>
      <c r="S34" s="9"/>
      <c r="U34" s="3"/>
      <c r="V34" s="3"/>
      <c r="W34" s="9"/>
      <c r="Y34" s="3"/>
      <c r="Z34" s="3"/>
    </row>
    <row r="35" spans="3:26" x14ac:dyDescent="0.25">
      <c r="J35" s="4"/>
      <c r="K35" s="5"/>
      <c r="L35" s="30" t="s">
        <v>82</v>
      </c>
      <c r="M35" s="34" t="s">
        <v>83</v>
      </c>
      <c r="N35" s="6" t="s">
        <v>76</v>
      </c>
    </row>
    <row r="36" spans="3:26" x14ac:dyDescent="0.25">
      <c r="J36" t="s">
        <v>78</v>
      </c>
      <c r="L36" s="29">
        <f>MIN(L3:L32)</f>
        <v>990.68080000000009</v>
      </c>
      <c r="M36" s="29">
        <f>MIN(M3:M32)</f>
        <v>1624.0157999999999</v>
      </c>
      <c r="N36" s="3">
        <f>L36-M36</f>
        <v>-633.33499999999981</v>
      </c>
      <c r="U36" s="28" t="s">
        <v>77</v>
      </c>
      <c r="V36" s="3">
        <f>SUM(V3:V32)</f>
        <v>-11824.157999999992</v>
      </c>
      <c r="Y36" s="28" t="s">
        <v>77</v>
      </c>
      <c r="Z36" s="3">
        <f>SUM(Z3:Z32)</f>
        <v>1181.4067599999994</v>
      </c>
    </row>
    <row r="37" spans="3:26" x14ac:dyDescent="0.25">
      <c r="J37" t="s">
        <v>79</v>
      </c>
      <c r="L37" s="29">
        <f>MAX(L3:L32)</f>
        <v>8834.1172000000006</v>
      </c>
      <c r="M37" s="29">
        <f>MAX(M3:M32)</f>
        <v>10134.51476</v>
      </c>
    </row>
    <row r="38" spans="3:26" x14ac:dyDescent="0.25">
      <c r="J38" t="s">
        <v>80</v>
      </c>
      <c r="L38" s="29">
        <f>AVERAGE(L3:L32)</f>
        <v>5041.4280666666682</v>
      </c>
      <c r="M38" s="29">
        <f>AVERAGE(M3:M32)</f>
        <v>5401.2468920000001</v>
      </c>
    </row>
    <row r="39" spans="3:26" x14ac:dyDescent="0.25">
      <c r="J39" t="s">
        <v>81</v>
      </c>
      <c r="L39" s="29">
        <f>MEDIAN(L3:L32)</f>
        <v>4948.483400000001</v>
      </c>
      <c r="M39" s="29">
        <f>MEDIAN(M3:M32)</f>
        <v>5319.8820599999999</v>
      </c>
    </row>
    <row r="42" spans="3:26" ht="15.75" thickBot="1" x14ac:dyDescent="0.3"/>
    <row r="43" spans="3:26" x14ac:dyDescent="0.25">
      <c r="J43" s="35" t="s">
        <v>84</v>
      </c>
      <c r="K43" s="32"/>
      <c r="L43" s="32"/>
      <c r="M43" s="33"/>
      <c r="N43" s="36"/>
    </row>
    <row r="44" spans="3:26" x14ac:dyDescent="0.25">
      <c r="J44" s="37"/>
      <c r="K44" s="5"/>
      <c r="L44" s="34" t="s">
        <v>82</v>
      </c>
      <c r="M44" s="30" t="s">
        <v>83</v>
      </c>
      <c r="N44" s="38" t="s">
        <v>76</v>
      </c>
    </row>
    <row r="45" spans="3:26" x14ac:dyDescent="0.25">
      <c r="J45" s="39" t="s">
        <v>78</v>
      </c>
      <c r="L45" s="3">
        <v>1624.0157999999999</v>
      </c>
      <c r="M45" s="3">
        <v>990.68080000000009</v>
      </c>
      <c r="N45" s="40">
        <f>L45-M45</f>
        <v>633.33499999999981</v>
      </c>
    </row>
    <row r="46" spans="3:26" x14ac:dyDescent="0.25">
      <c r="J46" s="39" t="s">
        <v>79</v>
      </c>
      <c r="L46" s="3">
        <v>10134.51476</v>
      </c>
      <c r="M46" s="3">
        <v>8834.1172000000006</v>
      </c>
      <c r="N46" s="40">
        <f t="shared" ref="N46:N48" si="6">L46-M46</f>
        <v>1300.3975599999994</v>
      </c>
    </row>
    <row r="47" spans="3:26" x14ac:dyDescent="0.25">
      <c r="J47" s="39" t="s">
        <v>80</v>
      </c>
      <c r="L47" s="3">
        <v>5401.2468920000001</v>
      </c>
      <c r="M47" s="3">
        <v>5041.4280666666682</v>
      </c>
      <c r="N47" s="40">
        <f t="shared" si="6"/>
        <v>359.81882533333192</v>
      </c>
    </row>
    <row r="48" spans="3:26" ht="15.75" thickBot="1" x14ac:dyDescent="0.3">
      <c r="J48" s="41" t="s">
        <v>81</v>
      </c>
      <c r="K48" s="42"/>
      <c r="L48" s="43">
        <v>5319.8820599999999</v>
      </c>
      <c r="M48" s="43">
        <v>4948.483400000001</v>
      </c>
      <c r="N48" s="44">
        <f t="shared" si="6"/>
        <v>371.39865999999893</v>
      </c>
    </row>
  </sheetData>
  <sortState xmlns:xlrd2="http://schemas.microsoft.com/office/spreadsheetml/2017/richdata2" ref="A3:I35">
    <sortCondition ref="A3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FOUS_1000-hour_byID</vt:lpstr>
      <vt:lpstr>LF_1000-hour_byID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2025-12-15T05:45:15Z</dcterms:created>
  <dcterms:modified xsi:type="dcterms:W3CDTF">2026-02-03T16:46:23Z</dcterms:modified>
</cp:coreProperties>
</file>