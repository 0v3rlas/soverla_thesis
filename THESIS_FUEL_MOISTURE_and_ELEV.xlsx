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9105AA6F-C665-422B-8696-D8EE15157DF6}" xr6:coauthVersionLast="47" xr6:coauthVersionMax="47" xr10:uidLastSave="{00000000-0000-0000-0000-000000000000}"/>
  <bookViews>
    <workbookView xWindow="-110" yWindow="-110" windowWidth="19420" windowHeight="11500" activeTab="1" xr2:uid="{CA9C7817-C760-432F-B2A3-8F05CA195AA1}"/>
  </bookViews>
  <sheets>
    <sheet name="FOUS_1000-hour_byID" sheetId="3" r:id="rId1"/>
    <sheet name="LF_1000-hour_byID" sheetId="1" r:id="rId2"/>
    <sheet name="Full_Sheet" sheetId="2" r:id="rId3"/>
    <sheet name="WP_RAWS" sheetId="4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4" l="1"/>
  <c r="I57" i="4"/>
  <c r="I56" i="4"/>
  <c r="I55" i="4"/>
  <c r="I49" i="4"/>
  <c r="I50" i="4"/>
  <c r="I51" i="4"/>
  <c r="I48" i="4"/>
  <c r="I34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16" i="4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" i="3"/>
  <c r="M4" i="1"/>
  <c r="P4" i="1" s="1"/>
  <c r="M5" i="1"/>
  <c r="P5" i="1" s="1"/>
  <c r="M6" i="1"/>
  <c r="P6" i="1" s="1"/>
  <c r="M7" i="1"/>
  <c r="P7" i="1" s="1"/>
  <c r="M8" i="1"/>
  <c r="P8" i="1" s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16" i="1"/>
  <c r="P16" i="1" s="1"/>
  <c r="M17" i="1"/>
  <c r="P17" i="1" s="1"/>
  <c r="M18" i="1"/>
  <c r="P18" i="1" s="1"/>
  <c r="M19" i="1"/>
  <c r="P19" i="1" s="1"/>
  <c r="M20" i="1"/>
  <c r="P20" i="1" s="1"/>
  <c r="M21" i="1"/>
  <c r="P21" i="1" s="1"/>
  <c r="M22" i="1"/>
  <c r="P22" i="1" s="1"/>
  <c r="M23" i="1"/>
  <c r="P23" i="1" s="1"/>
  <c r="M24" i="1"/>
  <c r="P24" i="1" s="1"/>
  <c r="M25" i="1"/>
  <c r="P25" i="1" s="1"/>
  <c r="M26" i="1"/>
  <c r="P26" i="1" s="1"/>
  <c r="M27" i="1"/>
  <c r="P27" i="1" s="1"/>
  <c r="M28" i="1"/>
  <c r="P28" i="1" s="1"/>
  <c r="M29" i="1"/>
  <c r="P29" i="1" s="1"/>
  <c r="M30" i="1"/>
  <c r="P30" i="1" s="1"/>
  <c r="M31" i="1"/>
  <c r="P31" i="1" s="1"/>
  <c r="M32" i="1"/>
  <c r="P32" i="1" s="1"/>
  <c r="M3" i="1"/>
  <c r="P3" i="1" s="1"/>
  <c r="N6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5" i="3"/>
  <c r="N4" i="3"/>
  <c r="N3" i="3"/>
</calcChain>
</file>

<file path=xl/sharedStrings.xml><?xml version="1.0" encoding="utf-8"?>
<sst xmlns="http://schemas.openxmlformats.org/spreadsheetml/2006/main" count="645" uniqueCount="218">
  <si>
    <t>USFS - Coconino NF</t>
  </si>
  <si>
    <t>SWCC</t>
  </si>
  <si>
    <t>COF Baker</t>
  </si>
  <si>
    <t>None</t>
  </si>
  <si>
    <t>1000-Hour</t>
  </si>
  <si>
    <t>Bush</t>
  </si>
  <si>
    <t>NW07-LFC</t>
  </si>
  <si>
    <t>NWCC</t>
  </si>
  <si>
    <t>Gerber</t>
  </si>
  <si>
    <t>CougarPk</t>
  </si>
  <si>
    <t>36.60472222222222</t>
  </si>
  <si>
    <t>Sequoia-Kings NP</t>
  </si>
  <si>
    <t>SOCC</t>
  </si>
  <si>
    <t>CA-KNP Red Fir</t>
  </si>
  <si>
    <t>Creek</t>
  </si>
  <si>
    <t>39.53972222222222</t>
  </si>
  <si>
    <t>Tahoe NF</t>
  </si>
  <si>
    <t>NOCC</t>
  </si>
  <si>
    <t>N. Yuba Brandy City</t>
  </si>
  <si>
    <t>Dixie</t>
  </si>
  <si>
    <t>37.81666666666667</t>
  </si>
  <si>
    <t>PGE - NOCC</t>
  </si>
  <si>
    <t>Las Trampas</t>
  </si>
  <si>
    <t>Dolan</t>
  </si>
  <si>
    <t>42.57694444444445</t>
  </si>
  <si>
    <t>Chiloquin</t>
  </si>
  <si>
    <t>HolidayFrm</t>
  </si>
  <si>
    <t>34.06055555555555</t>
  </si>
  <si>
    <t>USFS - Gila NF</t>
  </si>
  <si>
    <t>GNF Slaughter</t>
  </si>
  <si>
    <t>Black</t>
  </si>
  <si>
    <t>ArchieCrk</t>
  </si>
  <si>
    <t>46.10138888888889</t>
  </si>
  <si>
    <t>Miles City BLM Dispatch</t>
  </si>
  <si>
    <t>NRCC</t>
  </si>
  <si>
    <t>Miller Creek</t>
  </si>
  <si>
    <t>RichardSpr</t>
  </si>
  <si>
    <t>38.76444444444444</t>
  </si>
  <si>
    <t>GMUG NF</t>
  </si>
  <si>
    <t>RMCC</t>
  </si>
  <si>
    <t>Rocky Pitch</t>
  </si>
  <si>
    <t>PineGulch</t>
  </si>
  <si>
    <t>40.91722222222222</t>
  </si>
  <si>
    <t>Medicine Bow-Routt NF</t>
  </si>
  <si>
    <t>Independence MTN</t>
  </si>
  <si>
    <t>Mullen</t>
  </si>
  <si>
    <t>45.42055555555555</t>
  </si>
  <si>
    <t>Salmon-Challis NF</t>
  </si>
  <si>
    <t>GBCC</t>
  </si>
  <si>
    <t>Donnelly Gulch</t>
  </si>
  <si>
    <t>Moose</t>
  </si>
  <si>
    <t>40.74222222222223</t>
  </si>
  <si>
    <t>Shasta-Trinity NF</t>
  </si>
  <si>
    <t>Big Bar</t>
  </si>
  <si>
    <t>Monument</t>
  </si>
  <si>
    <t>40.337500000000006</t>
  </si>
  <si>
    <t>Yolla Bolla</t>
  </si>
  <si>
    <t>McFarland</t>
  </si>
  <si>
    <t>39.83583333333333</t>
  </si>
  <si>
    <t>Arapaho and Roosevelt NF</t>
  </si>
  <si>
    <t>Kinney Creek</t>
  </si>
  <si>
    <t>EastTrblsm</t>
  </si>
  <si>
    <t>39.973333333333336</t>
  </si>
  <si>
    <t>Plumas NF</t>
  </si>
  <si>
    <t>Quincy RD</t>
  </si>
  <si>
    <t>40.376666666666665</t>
  </si>
  <si>
    <t>Rocky Mountain National Park</t>
  </si>
  <si>
    <t>Beaver Meadows</t>
  </si>
  <si>
    <t>CameronPk</t>
  </si>
  <si>
    <t>Bootleg</t>
  </si>
  <si>
    <t>32.48111111111111</t>
  </si>
  <si>
    <t>USFS - Coronado NF</t>
  </si>
  <si>
    <t>CNF Scout Camp</t>
  </si>
  <si>
    <t>Bighorn</t>
  </si>
  <si>
    <t>42.16416666666667</t>
  </si>
  <si>
    <t>Sawtooth South</t>
  </si>
  <si>
    <t>ID-STF Bostetter</t>
  </si>
  <si>
    <t>Badger</t>
  </si>
  <si>
    <t>41.29361111111111</t>
  </si>
  <si>
    <t>McCloud (SHF)</t>
  </si>
  <si>
    <t>Antelope</t>
  </si>
  <si>
    <t>NW09-COF</t>
  </si>
  <si>
    <t>Lane Creek</t>
  </si>
  <si>
    <t>SchneiderSprings</t>
  </si>
  <si>
    <t>41.849722222222226</t>
  </si>
  <si>
    <t>Six Rivers NF</t>
  </si>
  <si>
    <t>Gasquet</t>
  </si>
  <si>
    <t>Slater</t>
  </si>
  <si>
    <t>44.847500000000004</t>
  </si>
  <si>
    <t>Payette NF</t>
  </si>
  <si>
    <t>Weiser River</t>
  </si>
  <si>
    <t>Woodhead</t>
  </si>
  <si>
    <t>NW08-OWF</t>
  </si>
  <si>
    <t>Sullivan Pond</t>
  </si>
  <si>
    <t>Whitney</t>
  </si>
  <si>
    <t>Telegraph</t>
  </si>
  <si>
    <t>ELE</t>
  </si>
  <si>
    <t>LON</t>
  </si>
  <si>
    <t>LAT</t>
  </si>
  <si>
    <t>GROUP</t>
  </si>
  <si>
    <t>GACC</t>
  </si>
  <si>
    <t>NAME</t>
  </si>
  <si>
    <t>PERCENT</t>
  </si>
  <si>
    <t>FUEL_VARIATION</t>
  </si>
  <si>
    <t>FUEL_TYPE</t>
  </si>
  <si>
    <t>DATE</t>
  </si>
  <si>
    <t>STID</t>
  </si>
  <si>
    <t>Ignition</t>
  </si>
  <si>
    <t>Riverside</t>
  </si>
  <si>
    <t>Bobcat</t>
  </si>
  <si>
    <t>BeachieCk</t>
  </si>
  <si>
    <t>Archie Creek</t>
  </si>
  <si>
    <t>Beachie Creek</t>
  </si>
  <si>
    <t>Cameron Peak</t>
  </si>
  <si>
    <t>Cougar Peak</t>
  </si>
  <si>
    <t>East Troublesome</t>
  </si>
  <si>
    <t>Holiday Farm</t>
  </si>
  <si>
    <t>Richard Springs</t>
  </si>
  <si>
    <t>Schneider Springs</t>
  </si>
  <si>
    <t>ELEV_m</t>
  </si>
  <si>
    <t>Date_data</t>
  </si>
  <si>
    <t>LAT_data</t>
  </si>
  <si>
    <t>LON_data</t>
  </si>
  <si>
    <t>Fuel_moisture_%</t>
  </si>
  <si>
    <t>ELEV_ft</t>
  </si>
  <si>
    <t>ELEV_data_ft</t>
  </si>
  <si>
    <t>Date_Ignition</t>
  </si>
  <si>
    <t>Fire_name</t>
  </si>
  <si>
    <t>Caldor</t>
  </si>
  <si>
    <t>Lionshead</t>
  </si>
  <si>
    <t>Lava</t>
  </si>
  <si>
    <t>Cinder Butte</t>
  </si>
  <si>
    <t>Black Pine</t>
  </si>
  <si>
    <t>County Line</t>
  </si>
  <si>
    <t>Burro</t>
  </si>
  <si>
    <t>Bear Trap</t>
  </si>
  <si>
    <t>Dome</t>
  </si>
  <si>
    <t>Watson Creek</t>
  </si>
  <si>
    <t>Juniper</t>
  </si>
  <si>
    <t>Butte</t>
  </si>
  <si>
    <t>High Park</t>
  </si>
  <si>
    <t>Brattain</t>
  </si>
  <si>
    <t>Donnell</t>
  </si>
  <si>
    <t>Walker</t>
  </si>
  <si>
    <t>Chimney</t>
  </si>
  <si>
    <t>Beaver Creek</t>
  </si>
  <si>
    <t>Pole Creek</t>
  </si>
  <si>
    <t>Black Rock</t>
  </si>
  <si>
    <t>Zogg</t>
  </si>
  <si>
    <t>Delta</t>
  </si>
  <si>
    <t>Trail Creek</t>
  </si>
  <si>
    <t>Ryan</t>
  </si>
  <si>
    <t>Bull Draw</t>
  </si>
  <si>
    <t>Sarpy</t>
  </si>
  <si>
    <t>Nena Springs</t>
  </si>
  <si>
    <t>Jolly Mountain</t>
  </si>
  <si>
    <t>McKinney</t>
  </si>
  <si>
    <t>Mescal</t>
  </si>
  <si>
    <t>Williams Flat</t>
  </si>
  <si>
    <t>Mesa</t>
  </si>
  <si>
    <t>FOUS_ELEV</t>
  </si>
  <si>
    <t>DIFF</t>
  </si>
  <si>
    <t>Fire_ID</t>
  </si>
  <si>
    <t>difference</t>
  </si>
  <si>
    <t>WP LAT</t>
  </si>
  <si>
    <t>WP LON</t>
  </si>
  <si>
    <t>−110.8133</t>
  </si>
  <si>
    <t>Saguaro RAWS site AZ</t>
  </si>
  <si>
    <t>Hour</t>
  </si>
  <si>
    <t>Total</t>
  </si>
  <si>
    <t>Air</t>
  </si>
  <si>
    <t>Fuel</t>
  </si>
  <si>
    <t>Relative</t>
  </si>
  <si>
    <t>of Day</t>
  </si>
  <si>
    <t>Solar</t>
  </si>
  <si>
    <t>Wind</t>
  </si>
  <si>
    <t>Temperature</t>
  </si>
  <si>
    <t>Moisture</t>
  </si>
  <si>
    <t>Humidity</t>
  </si>
  <si>
    <t>Dew</t>
  </si>
  <si>
    <t>Wet</t>
  </si>
  <si>
    <t>Ending at</t>
  </si>
  <si>
    <t>Rad.</t>
  </si>
  <si>
    <t>Ave.</t>
  </si>
  <si>
    <t>V. Dir.</t>
  </si>
  <si>
    <t>Max.</t>
  </si>
  <si>
    <t>Mean</t>
  </si>
  <si>
    <t>Point</t>
  </si>
  <si>
    <t>Bulb</t>
  </si>
  <si>
    <t>Precip.</t>
  </si>
  <si>
    <t>L.S.T.</t>
  </si>
  <si>
    <t>° ly.</t>
  </si>
  <si>
    <t>mph</t>
  </si>
  <si>
    <t>Deg</t>
  </si>
  <si>
    <t>Deg. F.</t>
  </si>
  <si>
    <t>Percent</t>
  </si>
  <si>
    <t>inches</t>
  </si>
  <si>
    <t>DAILY STATISTICS</t>
  </si>
  <si>
    <t>Min.</t>
  </si>
  <si>
    <t>BIGHORN FIRE</t>
  </si>
  <si>
    <t xml:space="preserve">Saguaro Arizona RAWS </t>
  </si>
  <si>
    <t>Daily Summary</t>
  </si>
  <si>
    <r>
      <t>12Z (5 AM MST)</t>
    </r>
    <r>
      <rPr>
        <sz val="11"/>
        <color theme="1"/>
        <rFont val="Aptos Narrow"/>
        <family val="2"/>
        <scheme val="minor"/>
      </rPr>
      <t xml:space="preserve"> → near </t>
    </r>
    <r>
      <rPr>
        <b/>
        <sz val="11"/>
        <color theme="1"/>
        <rFont val="Aptos Narrow"/>
        <family val="2"/>
        <scheme val="minor"/>
      </rPr>
      <t>daily minimum temp / max RH</t>
    </r>
  </si>
  <si>
    <r>
      <t>18Z (11 AM MST)</t>
    </r>
    <r>
      <rPr>
        <sz val="11"/>
        <color theme="1"/>
        <rFont val="Aptos Narrow"/>
        <family val="2"/>
        <scheme val="minor"/>
      </rPr>
      <t xml:space="preserve"> → warming up, RH dropping</t>
    </r>
  </si>
  <si>
    <r>
      <t>00Z (5 PM MST)</t>
    </r>
    <r>
      <rPr>
        <sz val="11"/>
        <color theme="1"/>
        <rFont val="Aptos Narrow"/>
        <family val="2"/>
        <scheme val="minor"/>
      </rPr>
      <t xml:space="preserve"> → near </t>
    </r>
    <r>
      <rPr>
        <b/>
        <sz val="11"/>
        <color theme="1"/>
        <rFont val="Aptos Narrow"/>
        <family val="2"/>
        <scheme val="minor"/>
      </rPr>
      <t>daily max temp / min RH</t>
    </r>
  </si>
  <si>
    <r>
      <t>06Z (11 PM MST)</t>
    </r>
    <r>
      <rPr>
        <sz val="11"/>
        <color theme="1"/>
        <rFont val="Aptos Narrow"/>
        <family val="2"/>
        <scheme val="minor"/>
      </rPr>
      <t xml:space="preserve"> → nighttime recovery</t>
    </r>
  </si>
  <si>
    <t>12Z / 5:00 AM</t>
  </si>
  <si>
    <t>18Z / 11 AM</t>
  </si>
  <si>
    <t>00Z / 5 PM</t>
  </si>
  <si>
    <t>06Z / 11PM</t>
  </si>
  <si>
    <t>6/8/2020 AZ not UK</t>
  </si>
  <si>
    <t>ERA5_RH</t>
  </si>
  <si>
    <t>ERA5_t_C_sfc</t>
  </si>
  <si>
    <t>t_F</t>
  </si>
  <si>
    <t>6/9/2020 AZ not UK</t>
  </si>
  <si>
    <t>ERA5_t</t>
  </si>
  <si>
    <t>RAWS_t</t>
  </si>
  <si>
    <t>RAWS_RH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</si>
</sst>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3.5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4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0" fillId="3" borderId="0" xfId="0" quotePrefix="1" applyFill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4" borderId="2" xfId="0" applyFill="1" applyBorder="1"/>
    <xf numFmtId="14" fontId="0" fillId="4" borderId="0" xfId="0" applyNumberFormat="1" applyFill="1"/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9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8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0" fontId="8" fillId="0" borderId="0" xfId="0" applyFont="1" applyAlignment="1">
      <alignment horizontal="right"/>
    </xf>
    <xf numFmtId="18" fontId="7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8" fillId="0" borderId="0" xfId="0" applyFont="1"/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right" vertical="center" wrapText="1"/>
    </xf>
    <xf numFmtId="2" fontId="8" fillId="0" borderId="0" xfId="0" applyNumberFormat="1" applyFont="1" applyAlignment="1">
      <alignment horizontal="right"/>
    </xf>
    <xf numFmtId="2" fontId="8" fillId="0" borderId="0" xfId="0" applyNumberFormat="1" applyFont="1"/>
    <xf numFmtId="2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8" fillId="4" borderId="0" xfId="0" applyFont="1" applyFill="1"/>
    <xf numFmtId="0" fontId="7" fillId="4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Fill="1"/>
    <xf numFmtId="164" fontId="0" fillId="4" borderId="2" xfId="0" applyNumberFormat="1" applyFill="1" applyBorder="1"/>
    <xf numFmtId="164" fontId="0" fillId="0" borderId="2" xfId="0" applyNumberFormat="1" applyBorder="1"/>
    <xf numFmtId="164" fontId="0" fillId="4" borderId="0" xfId="0" quotePrefix="1" applyNumberFormat="1" applyFill="1"/>
    <xf numFmtId="164" fontId="0" fillId="0" borderId="0" xfId="0" applyNumberFormat="1"/>
    <xf numFmtId="164" fontId="0" fillId="4" borderId="0" xfId="0" applyNumberFormat="1" applyFill="1"/>
    <xf numFmtId="3" fontId="0" fillId="4" borderId="2" xfId="0" applyNumberFormat="1" applyFill="1" applyBorder="1"/>
    <xf numFmtId="3" fontId="0" fillId="0" borderId="2" xfId="0" applyNumberFormat="1" applyBorder="1"/>
    <xf numFmtId="3" fontId="0" fillId="0" borderId="3" xfId="0" applyNumberFormat="1" applyBorder="1"/>
    <xf numFmtId="3" fontId="0" fillId="4" borderId="0" xfId="0" applyNumberFormat="1" applyFill="1"/>
    <xf numFmtId="3" fontId="0" fillId="0" borderId="0" xfId="0" applyNumberFormat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902E-78BB-4984-94E5-91046A4E4B84}">
  <dimension ref="A2:Q32"/>
  <sheetViews>
    <sheetView showGridLines="0" zoomScale="64" workbookViewId="0">
      <selection activeCell="P31" sqref="P31"/>
    </sheetView>
  </sheetViews>
  <sheetFormatPr defaultRowHeight="14.5" x14ac:dyDescent="0.35"/>
  <cols>
    <col min="1" max="1" width="9.26953125" bestFit="1" customWidth="1"/>
    <col min="2" max="2" width="18.453125" customWidth="1"/>
    <col min="3" max="3" width="17.26953125" customWidth="1"/>
    <col min="4" max="4" width="12" customWidth="1"/>
    <col min="5" max="5" width="12.453125" customWidth="1"/>
    <col min="6" max="6" width="12" style="50" bestFit="1" customWidth="1"/>
    <col min="7" max="7" width="9.26953125" style="50" bestFit="1" customWidth="1"/>
    <col min="8" max="8" width="9.26953125" style="50" customWidth="1"/>
    <col min="9" max="9" width="10" style="50" customWidth="1"/>
    <col min="10" max="10" width="9.26953125" style="50" bestFit="1" customWidth="1"/>
    <col min="11" max="11" width="9.26953125" style="50" customWidth="1"/>
    <col min="12" max="12" width="12.453125" style="56" customWidth="1"/>
    <col min="13" max="13" width="10.26953125" style="56" hidden="1" customWidth="1"/>
    <col min="14" max="14" width="10.54296875" style="56" customWidth="1"/>
  </cols>
  <sheetData>
    <row r="2" spans="1:17" x14ac:dyDescent="0.35">
      <c r="B2" s="10" t="s">
        <v>127</v>
      </c>
      <c r="C2" s="12" t="s">
        <v>123</v>
      </c>
      <c r="D2" s="12" t="s">
        <v>120</v>
      </c>
      <c r="E2" s="11" t="s">
        <v>126</v>
      </c>
      <c r="F2" s="47" t="s">
        <v>121</v>
      </c>
      <c r="G2" s="48" t="s">
        <v>98</v>
      </c>
      <c r="H2" s="48" t="s">
        <v>163</v>
      </c>
      <c r="I2" s="47" t="s">
        <v>122</v>
      </c>
      <c r="J2" s="48" t="s">
        <v>97</v>
      </c>
      <c r="K2" s="48" t="s">
        <v>163</v>
      </c>
      <c r="L2" s="52" t="s">
        <v>125</v>
      </c>
      <c r="M2" s="53" t="s">
        <v>119</v>
      </c>
      <c r="N2" s="54" t="s">
        <v>124</v>
      </c>
    </row>
    <row r="3" spans="1:17" x14ac:dyDescent="0.35">
      <c r="A3">
        <v>1</v>
      </c>
      <c r="B3" s="3" t="s">
        <v>80</v>
      </c>
      <c r="C3" s="17">
        <v>0.09</v>
      </c>
      <c r="D3" s="13">
        <v>44410</v>
      </c>
      <c r="E3" s="1">
        <v>44409</v>
      </c>
      <c r="F3" s="49">
        <v>41.293611111111098</v>
      </c>
      <c r="G3" s="50">
        <v>40.116</v>
      </c>
      <c r="H3" s="50">
        <f>F3-G3</f>
        <v>1.1776111111110978</v>
      </c>
      <c r="I3" s="51">
        <v>-122.05444439999999</v>
      </c>
      <c r="J3" s="50">
        <v>-117.06699999999999</v>
      </c>
      <c r="K3" s="50">
        <f>I3-J3</f>
        <v>-4.9874444000000011</v>
      </c>
      <c r="L3" s="55">
        <v>3590</v>
      </c>
      <c r="M3" s="56">
        <v>1807</v>
      </c>
      <c r="N3" s="56">
        <f t="shared" ref="N3:N31" si="0">M3*3.28084</f>
        <v>5928.4778800000004</v>
      </c>
    </row>
    <row r="4" spans="1:17" x14ac:dyDescent="0.35">
      <c r="A4">
        <v>2</v>
      </c>
      <c r="B4" t="s">
        <v>111</v>
      </c>
      <c r="C4" s="17">
        <v>0.05</v>
      </c>
      <c r="D4" s="13">
        <v>44072</v>
      </c>
      <c r="E4" s="1">
        <v>44082</v>
      </c>
      <c r="F4" s="49">
        <v>42.576944444444401</v>
      </c>
      <c r="G4" s="50">
        <v>43.366</v>
      </c>
      <c r="H4" s="50">
        <f t="shared" ref="H4:H32" si="1">F4-G4</f>
        <v>-0.78905555555559914</v>
      </c>
      <c r="I4" s="51">
        <v>-121.89388889999999</v>
      </c>
      <c r="J4" s="50">
        <v>-122.898</v>
      </c>
      <c r="K4" s="50">
        <f t="shared" ref="K4:K32" si="2">I4-J4</f>
        <v>1.0041111000000029</v>
      </c>
      <c r="L4" s="55">
        <v>4492</v>
      </c>
      <c r="M4" s="56">
        <v>1038</v>
      </c>
      <c r="N4" s="56">
        <f t="shared" si="0"/>
        <v>3405.5119199999999</v>
      </c>
    </row>
    <row r="5" spans="1:17" x14ac:dyDescent="0.35">
      <c r="A5">
        <v>3</v>
      </c>
      <c r="B5" s="3" t="s">
        <v>77</v>
      </c>
      <c r="C5" s="17">
        <v>0.1</v>
      </c>
      <c r="D5" s="13">
        <v>44077</v>
      </c>
      <c r="E5" s="1">
        <v>44086</v>
      </c>
      <c r="F5" s="49">
        <v>42.164166666666603</v>
      </c>
      <c r="G5" s="50">
        <v>42.243000000000002</v>
      </c>
      <c r="H5" s="50">
        <f t="shared" si="1"/>
        <v>-7.883333333339948E-2</v>
      </c>
      <c r="I5" s="51">
        <v>-114.1927778</v>
      </c>
      <c r="J5" s="50">
        <v>-114.17</v>
      </c>
      <c r="K5" s="50">
        <f t="shared" si="2"/>
        <v>-2.277780000000007E-2</v>
      </c>
      <c r="L5" s="55">
        <v>7574</v>
      </c>
      <c r="M5" s="56">
        <v>2165</v>
      </c>
      <c r="N5" s="56">
        <f t="shared" si="0"/>
        <v>7103.0186000000003</v>
      </c>
      <c r="P5" t="s">
        <v>167</v>
      </c>
    </row>
    <row r="6" spans="1:17" x14ac:dyDescent="0.35">
      <c r="A6">
        <v>4</v>
      </c>
      <c r="B6" s="3" t="s">
        <v>112</v>
      </c>
      <c r="C6" s="17">
        <v>0.06</v>
      </c>
      <c r="D6" s="13">
        <v>44055</v>
      </c>
      <c r="E6" s="1">
        <v>44059</v>
      </c>
      <c r="F6" s="49">
        <v>43.8183333333333</v>
      </c>
      <c r="G6" s="50">
        <v>44.859000000000002</v>
      </c>
      <c r="H6" s="50">
        <f t="shared" si="1"/>
        <v>-1.0406666666667022</v>
      </c>
      <c r="I6" s="51">
        <v>-119.681944444444</v>
      </c>
      <c r="J6" s="50">
        <v>-122.379</v>
      </c>
      <c r="K6" s="50">
        <f t="shared" si="2"/>
        <v>2.6970555555560054</v>
      </c>
      <c r="L6" s="55">
        <v>5160</v>
      </c>
      <c r="M6" s="56">
        <v>747</v>
      </c>
      <c r="N6" s="56">
        <f>M3*3.28084</f>
        <v>5928.4778800000004</v>
      </c>
      <c r="P6" t="s">
        <v>164</v>
      </c>
      <c r="Q6" t="s">
        <v>165</v>
      </c>
    </row>
    <row r="7" spans="1:17" x14ac:dyDescent="0.35">
      <c r="A7">
        <v>5</v>
      </c>
      <c r="B7" s="46" t="s">
        <v>73</v>
      </c>
      <c r="C7" s="17">
        <v>0.06</v>
      </c>
      <c r="D7" s="13">
        <v>43952</v>
      </c>
      <c r="E7" s="1">
        <v>43989</v>
      </c>
      <c r="F7" s="49">
        <v>32.481111111111098</v>
      </c>
      <c r="G7" s="50">
        <v>32.442999999999998</v>
      </c>
      <c r="H7" s="50">
        <f t="shared" si="1"/>
        <v>3.811111111109966E-2</v>
      </c>
      <c r="I7" s="51">
        <v>-110.72499999999999</v>
      </c>
      <c r="J7" s="50">
        <v>-110.727</v>
      </c>
      <c r="K7" s="50">
        <f t="shared" si="2"/>
        <v>2.0000000000095497E-3</v>
      </c>
      <c r="L7" s="55">
        <v>7554</v>
      </c>
      <c r="M7" s="56">
        <v>1756</v>
      </c>
      <c r="N7" s="56">
        <f t="shared" si="0"/>
        <v>5761.1550399999996</v>
      </c>
      <c r="P7">
        <v>32.316699999999997</v>
      </c>
      <c r="Q7" t="s">
        <v>166</v>
      </c>
    </row>
    <row r="8" spans="1:17" x14ac:dyDescent="0.35">
      <c r="A8">
        <v>6</v>
      </c>
      <c r="B8" t="s">
        <v>30</v>
      </c>
      <c r="C8" s="17">
        <v>0.08</v>
      </c>
      <c r="D8" s="13">
        <v>44666</v>
      </c>
      <c r="E8" s="1">
        <v>44694</v>
      </c>
      <c r="F8" s="49">
        <v>34.060555555555503</v>
      </c>
      <c r="G8" s="50">
        <v>33.192999999999998</v>
      </c>
      <c r="H8" s="50">
        <f t="shared" si="1"/>
        <v>0.86755555555550501</v>
      </c>
      <c r="I8" s="51">
        <v>-108.44499999999999</v>
      </c>
      <c r="J8" s="50">
        <v>-107.843</v>
      </c>
      <c r="K8" s="50">
        <f t="shared" si="2"/>
        <v>-0.60199999999998965</v>
      </c>
      <c r="L8" s="55">
        <v>8748</v>
      </c>
      <c r="M8" s="56">
        <v>2611</v>
      </c>
      <c r="N8" s="56">
        <f t="shared" si="0"/>
        <v>8566.2732400000004</v>
      </c>
    </row>
    <row r="9" spans="1:17" x14ac:dyDescent="0.35">
      <c r="A9">
        <v>7</v>
      </c>
      <c r="B9" t="s">
        <v>109</v>
      </c>
      <c r="C9" s="17">
        <v>0.08</v>
      </c>
      <c r="D9" s="13">
        <v>44074</v>
      </c>
      <c r="E9" s="1">
        <v>44080</v>
      </c>
      <c r="F9" s="49">
        <v>40.337499999999999</v>
      </c>
      <c r="G9" s="50">
        <v>34.325000000000003</v>
      </c>
      <c r="H9" s="50">
        <f t="shared" si="1"/>
        <v>6.0124999999999957</v>
      </c>
      <c r="I9" s="51">
        <v>-123.06555555555499</v>
      </c>
      <c r="J9" s="50">
        <v>-117.93600000000001</v>
      </c>
      <c r="K9" s="50">
        <f t="shared" si="2"/>
        <v>-5.1295555555549868</v>
      </c>
      <c r="L9" s="55">
        <v>4481</v>
      </c>
      <c r="M9" s="56">
        <v>1934</v>
      </c>
      <c r="N9" s="56">
        <f t="shared" si="0"/>
        <v>6345.1445599999997</v>
      </c>
    </row>
    <row r="10" spans="1:17" x14ac:dyDescent="0.35">
      <c r="A10">
        <v>8</v>
      </c>
      <c r="B10" s="3" t="s">
        <v>69</v>
      </c>
      <c r="C10" s="17">
        <v>7.0000000000000007E-2</v>
      </c>
      <c r="D10" s="13">
        <v>44378</v>
      </c>
      <c r="E10" s="1">
        <v>44402</v>
      </c>
      <c r="F10" s="49">
        <v>42.576944444444401</v>
      </c>
      <c r="G10" s="50">
        <v>42.656999999999996</v>
      </c>
      <c r="H10" s="50">
        <f t="shared" si="1"/>
        <v>-8.0055555555595959E-2</v>
      </c>
      <c r="I10" s="51">
        <v>-121.89388889999999</v>
      </c>
      <c r="J10" s="50">
        <v>-121.07899999999999</v>
      </c>
      <c r="K10" s="50">
        <f t="shared" si="2"/>
        <v>-0.81488889999999969</v>
      </c>
      <c r="L10" s="55">
        <v>4492</v>
      </c>
      <c r="M10" s="56">
        <v>1617</v>
      </c>
      <c r="N10" s="56">
        <f t="shared" si="0"/>
        <v>5305.1182799999997</v>
      </c>
    </row>
    <row r="11" spans="1:17" x14ac:dyDescent="0.35">
      <c r="A11">
        <v>9</v>
      </c>
      <c r="B11" t="s">
        <v>5</v>
      </c>
      <c r="C11" s="17">
        <v>0.08</v>
      </c>
      <c r="D11" s="13">
        <v>43985</v>
      </c>
      <c r="E11" s="1">
        <v>43995</v>
      </c>
      <c r="F11" s="51">
        <v>34.456388889999999</v>
      </c>
      <c r="G11" s="50">
        <v>33.811</v>
      </c>
      <c r="H11" s="50">
        <f t="shared" si="1"/>
        <v>0.64538888999999955</v>
      </c>
      <c r="I11" s="51">
        <v>-111.4063889</v>
      </c>
      <c r="J11" s="50">
        <v>-111.364</v>
      </c>
      <c r="K11" s="50">
        <f t="shared" si="2"/>
        <v>-4.2388899999991736E-2</v>
      </c>
      <c r="L11" s="55">
        <v>7260</v>
      </c>
      <c r="M11" s="56">
        <v>1454</v>
      </c>
      <c r="N11" s="56">
        <f t="shared" si="0"/>
        <v>4770.3413600000003</v>
      </c>
    </row>
    <row r="12" spans="1:17" x14ac:dyDescent="0.35">
      <c r="A12">
        <v>10</v>
      </c>
      <c r="B12" t="s">
        <v>128</v>
      </c>
      <c r="C12" s="17">
        <v>0.09</v>
      </c>
      <c r="D12" s="13">
        <v>44042</v>
      </c>
      <c r="E12" s="1">
        <v>44423</v>
      </c>
      <c r="F12" s="49">
        <v>38.5683333333333</v>
      </c>
      <c r="G12" s="50">
        <v>38.723999999999997</v>
      </c>
      <c r="H12" s="50">
        <f t="shared" si="1"/>
        <v>-0.15566666666669704</v>
      </c>
      <c r="I12" s="51">
        <v>-120.26694444444399</v>
      </c>
      <c r="J12" s="50">
        <v>-120.29</v>
      </c>
      <c r="K12" s="50">
        <f t="shared" si="2"/>
        <v>2.3055555556013019E-2</v>
      </c>
      <c r="L12" s="55">
        <v>7100</v>
      </c>
      <c r="M12" s="56">
        <v>1866</v>
      </c>
      <c r="N12" s="56">
        <f t="shared" si="0"/>
        <v>6122.0474400000003</v>
      </c>
    </row>
    <row r="13" spans="1:17" s="3" customFormat="1" x14ac:dyDescent="0.35">
      <c r="A13">
        <v>11</v>
      </c>
      <c r="B13" s="3" t="s">
        <v>113</v>
      </c>
      <c r="C13" s="17">
        <v>0.08</v>
      </c>
      <c r="D13" s="13">
        <v>44047</v>
      </c>
      <c r="E13" s="1">
        <v>44056</v>
      </c>
      <c r="F13" s="49">
        <v>40.376666666666601</v>
      </c>
      <c r="G13" s="50">
        <v>40.619999999999997</v>
      </c>
      <c r="H13" s="50">
        <f t="shared" si="1"/>
        <v>-0.24333333333339624</v>
      </c>
      <c r="I13" s="51">
        <v>-105.5955556</v>
      </c>
      <c r="J13" s="50">
        <v>-105.551</v>
      </c>
      <c r="K13" s="50">
        <f t="shared" si="2"/>
        <v>-4.4555599999995366E-2</v>
      </c>
      <c r="L13" s="55">
        <v>8520</v>
      </c>
      <c r="M13" s="56">
        <v>2632</v>
      </c>
      <c r="N13" s="56">
        <f t="shared" si="0"/>
        <v>8635.1708799999997</v>
      </c>
    </row>
    <row r="14" spans="1:17" s="3" customFormat="1" x14ac:dyDescent="0.35">
      <c r="A14">
        <v>12</v>
      </c>
      <c r="B14" t="s">
        <v>114</v>
      </c>
      <c r="C14" s="17">
        <v>0.09</v>
      </c>
      <c r="D14" s="13">
        <v>44409</v>
      </c>
      <c r="E14" s="1">
        <v>44446</v>
      </c>
      <c r="F14" s="51">
        <v>42.19</v>
      </c>
      <c r="G14" s="50">
        <v>42.402000000000001</v>
      </c>
      <c r="H14" s="50">
        <f t="shared" si="1"/>
        <v>-0.2120000000000033</v>
      </c>
      <c r="I14" s="51">
        <v>-121.1652778</v>
      </c>
      <c r="J14" s="50">
        <v>-120.49</v>
      </c>
      <c r="K14" s="50">
        <f t="shared" si="2"/>
        <v>-0.67527780000000348</v>
      </c>
      <c r="L14" s="55">
        <v>4928</v>
      </c>
      <c r="M14" s="56">
        <v>2048</v>
      </c>
      <c r="N14" s="56">
        <f t="shared" si="0"/>
        <v>6719.16032</v>
      </c>
    </row>
    <row r="15" spans="1:17" s="3" customFormat="1" x14ac:dyDescent="0.35">
      <c r="A15">
        <v>13</v>
      </c>
      <c r="B15" t="s">
        <v>14</v>
      </c>
      <c r="C15" s="17">
        <v>7.0000000000000007E-2</v>
      </c>
      <c r="D15" s="13">
        <v>44070</v>
      </c>
      <c r="E15" s="1">
        <v>44078</v>
      </c>
      <c r="F15" s="49">
        <v>36.6047222222222</v>
      </c>
      <c r="G15" s="50">
        <v>37.317</v>
      </c>
      <c r="H15" s="50">
        <f t="shared" si="1"/>
        <v>-0.71227777777779977</v>
      </c>
      <c r="I15" s="51">
        <v>-118.76833329999999</v>
      </c>
      <c r="J15" s="50">
        <v>-119.214</v>
      </c>
      <c r="K15" s="50">
        <f t="shared" si="2"/>
        <v>0.44566670000000386</v>
      </c>
      <c r="L15" s="55">
        <v>6983</v>
      </c>
      <c r="M15" s="56">
        <v>2226</v>
      </c>
      <c r="N15" s="56">
        <f t="shared" si="0"/>
        <v>7303.14984</v>
      </c>
    </row>
    <row r="16" spans="1:17" s="3" customFormat="1" x14ac:dyDescent="0.35">
      <c r="A16">
        <v>14</v>
      </c>
      <c r="B16" s="3" t="s">
        <v>19</v>
      </c>
      <c r="C16" s="17">
        <v>7.0000000000000007E-2</v>
      </c>
      <c r="D16" s="13">
        <v>44389</v>
      </c>
      <c r="E16" s="1">
        <v>44390</v>
      </c>
      <c r="F16" s="49">
        <v>39.539722222222203</v>
      </c>
      <c r="G16" s="50">
        <v>45.536000000000001</v>
      </c>
      <c r="H16" s="50">
        <f t="shared" si="1"/>
        <v>-5.9962777777777987</v>
      </c>
      <c r="I16" s="51">
        <v>-121.0238889</v>
      </c>
      <c r="J16" s="50">
        <v>-115.38500000000001</v>
      </c>
      <c r="K16" s="50">
        <f t="shared" si="2"/>
        <v>-5.6388888999999978</v>
      </c>
      <c r="L16" s="55">
        <v>3450</v>
      </c>
      <c r="M16" s="56">
        <v>1957</v>
      </c>
      <c r="N16" s="56">
        <f t="shared" si="0"/>
        <v>6420.6038799999997</v>
      </c>
    </row>
    <row r="17" spans="1:14" x14ac:dyDescent="0.35">
      <c r="A17">
        <v>15</v>
      </c>
      <c r="B17" t="s">
        <v>23</v>
      </c>
      <c r="C17" s="17">
        <v>0.13</v>
      </c>
      <c r="D17" s="13">
        <v>44356</v>
      </c>
      <c r="E17" s="1">
        <v>44061</v>
      </c>
      <c r="F17" s="49">
        <v>37.816666666666599</v>
      </c>
      <c r="G17" s="50">
        <v>36.073</v>
      </c>
      <c r="H17" s="50">
        <f t="shared" si="1"/>
        <v>1.7436666666665985</v>
      </c>
      <c r="I17" s="51">
        <v>-122.0455556</v>
      </c>
      <c r="J17" s="50">
        <v>-121.468</v>
      </c>
      <c r="K17" s="50">
        <f t="shared" si="2"/>
        <v>-0.57755559999999662</v>
      </c>
      <c r="L17" s="55">
        <v>1300</v>
      </c>
      <c r="M17" s="56">
        <v>1005</v>
      </c>
      <c r="N17" s="56">
        <f t="shared" si="0"/>
        <v>3297.2442000000001</v>
      </c>
    </row>
    <row r="18" spans="1:14" x14ac:dyDescent="0.35">
      <c r="A18">
        <v>16</v>
      </c>
      <c r="B18" s="3" t="s">
        <v>115</v>
      </c>
      <c r="C18" s="17">
        <v>0.09</v>
      </c>
      <c r="D18" s="13">
        <v>44044</v>
      </c>
      <c r="E18" s="1">
        <v>44118</v>
      </c>
      <c r="F18" s="49">
        <v>39.835833333333298</v>
      </c>
      <c r="G18" s="50">
        <v>40.231000000000002</v>
      </c>
      <c r="H18" s="50">
        <f t="shared" si="1"/>
        <v>-0.39516666666670375</v>
      </c>
      <c r="I18" s="51">
        <v>-106.0458333</v>
      </c>
      <c r="J18" s="50">
        <v>-105.996</v>
      </c>
      <c r="K18" s="50">
        <f t="shared" si="2"/>
        <v>-4.9833300000003078E-2</v>
      </c>
      <c r="L18" s="55">
        <v>10003</v>
      </c>
      <c r="M18" s="57">
        <v>3089</v>
      </c>
      <c r="N18" s="56">
        <f t="shared" si="0"/>
        <v>10134.51476</v>
      </c>
    </row>
    <row r="19" spans="1:14" x14ac:dyDescent="0.35">
      <c r="A19">
        <v>17</v>
      </c>
      <c r="B19" t="s">
        <v>116</v>
      </c>
      <c r="C19" s="17">
        <v>0.05</v>
      </c>
      <c r="D19" s="13">
        <v>44072</v>
      </c>
      <c r="E19" s="1">
        <v>44081</v>
      </c>
      <c r="F19" s="49">
        <v>42.576944444444401</v>
      </c>
      <c r="G19" s="50">
        <v>44.158999999999999</v>
      </c>
      <c r="H19" s="50">
        <f t="shared" si="1"/>
        <v>-1.5820555555555984</v>
      </c>
      <c r="I19" s="51">
        <v>-121.89388889999999</v>
      </c>
      <c r="J19" s="50">
        <v>-122.496</v>
      </c>
      <c r="K19" s="50">
        <f t="shared" si="2"/>
        <v>0.6021111000000019</v>
      </c>
      <c r="L19" s="55">
        <v>4492</v>
      </c>
      <c r="M19" s="56">
        <v>495</v>
      </c>
      <c r="N19" s="56">
        <f t="shared" si="0"/>
        <v>1624.0157999999999</v>
      </c>
    </row>
    <row r="20" spans="1:14" x14ac:dyDescent="0.35">
      <c r="A20">
        <v>18</v>
      </c>
      <c r="B20" s="3" t="s">
        <v>129</v>
      </c>
      <c r="C20" s="17">
        <v>0.06</v>
      </c>
      <c r="D20" s="13">
        <v>44052</v>
      </c>
      <c r="E20" s="1">
        <v>44060</v>
      </c>
      <c r="F20" s="51">
        <v>42.576944444444401</v>
      </c>
      <c r="G20" s="50">
        <v>44.776000000000003</v>
      </c>
      <c r="H20" s="50">
        <f t="shared" si="1"/>
        <v>-2.1990555555556028</v>
      </c>
      <c r="I20" s="51">
        <v>-121.893888888888</v>
      </c>
      <c r="J20" s="50">
        <v>-121.84</v>
      </c>
      <c r="K20" s="50">
        <f t="shared" si="2"/>
        <v>-5.38888888879967E-2</v>
      </c>
      <c r="L20" s="55">
        <v>4492</v>
      </c>
      <c r="M20" s="56">
        <v>1416</v>
      </c>
      <c r="N20" s="56">
        <f t="shared" si="0"/>
        <v>4645.6694399999997</v>
      </c>
    </row>
    <row r="21" spans="1:14" x14ac:dyDescent="0.35">
      <c r="A21">
        <v>19</v>
      </c>
      <c r="B21" s="3" t="s">
        <v>57</v>
      </c>
      <c r="C21" s="17">
        <v>0.08</v>
      </c>
      <c r="D21" s="13">
        <v>44378</v>
      </c>
      <c r="E21" s="1">
        <v>44406</v>
      </c>
      <c r="F21" s="49">
        <v>40.337499999999999</v>
      </c>
      <c r="G21" s="50">
        <v>40.277999999999999</v>
      </c>
      <c r="H21" s="50">
        <f t="shared" si="1"/>
        <v>5.9499999999999886E-2</v>
      </c>
      <c r="I21" s="51">
        <v>-123.0655556</v>
      </c>
      <c r="J21" s="50">
        <v>-122.919</v>
      </c>
      <c r="K21" s="50">
        <f t="shared" si="2"/>
        <v>-0.14655559999999923</v>
      </c>
      <c r="L21" s="55">
        <v>4481</v>
      </c>
      <c r="M21" s="56">
        <v>958</v>
      </c>
      <c r="N21" s="56">
        <f t="shared" si="0"/>
        <v>3143.0447199999999</v>
      </c>
    </row>
    <row r="22" spans="1:14" x14ac:dyDescent="0.35">
      <c r="A22">
        <v>20</v>
      </c>
      <c r="B22" s="3" t="s">
        <v>54</v>
      </c>
      <c r="C22" s="17">
        <v>7.0000000000000007E-2</v>
      </c>
      <c r="D22" s="13">
        <v>44405</v>
      </c>
      <c r="E22" s="1">
        <v>44407</v>
      </c>
      <c r="F22" s="49">
        <v>40.742222222222203</v>
      </c>
      <c r="G22" s="50">
        <v>40.72</v>
      </c>
      <c r="H22" s="50">
        <f t="shared" si="1"/>
        <v>2.222222222220438E-2</v>
      </c>
      <c r="I22" s="51">
        <v>-123.2491667</v>
      </c>
      <c r="J22" s="50">
        <v>-123.261</v>
      </c>
      <c r="K22" s="50">
        <f t="shared" si="2"/>
        <v>1.1833299999992164E-2</v>
      </c>
      <c r="L22" s="55">
        <v>1722</v>
      </c>
      <c r="M22" s="56">
        <v>725</v>
      </c>
      <c r="N22" s="56">
        <f t="shared" si="0"/>
        <v>2378.6089999999999</v>
      </c>
    </row>
    <row r="23" spans="1:14" x14ac:dyDescent="0.35">
      <c r="A23">
        <v>21</v>
      </c>
      <c r="B23" s="3" t="s">
        <v>50</v>
      </c>
      <c r="C23" s="17">
        <v>0.06</v>
      </c>
      <c r="D23" s="13">
        <v>44755</v>
      </c>
      <c r="E23" s="1">
        <v>44759</v>
      </c>
      <c r="F23" s="49">
        <v>45.420555555555502</v>
      </c>
      <c r="G23" s="50">
        <v>45.31</v>
      </c>
      <c r="H23" s="50">
        <f t="shared" si="1"/>
        <v>0.11055555555550001</v>
      </c>
      <c r="I23" s="51">
        <v>-114.0180556</v>
      </c>
      <c r="J23" s="50">
        <v>-114.154</v>
      </c>
      <c r="K23" s="50">
        <f t="shared" si="2"/>
        <v>0.13594439999999963</v>
      </c>
      <c r="L23" s="55">
        <v>4210</v>
      </c>
      <c r="M23" s="56">
        <v>2339</v>
      </c>
      <c r="N23" s="56">
        <f t="shared" si="0"/>
        <v>7673.8847599999999</v>
      </c>
    </row>
    <row r="24" spans="1:14" x14ac:dyDescent="0.35">
      <c r="A24">
        <v>22</v>
      </c>
      <c r="B24" s="3" t="s">
        <v>45</v>
      </c>
      <c r="C24" s="17">
        <v>0.08</v>
      </c>
      <c r="D24" s="13">
        <v>44089</v>
      </c>
      <c r="E24" s="1">
        <v>44092</v>
      </c>
      <c r="F24" s="49">
        <v>40.9172222222222</v>
      </c>
      <c r="G24" s="50">
        <v>41.097999999999999</v>
      </c>
      <c r="H24" s="50">
        <f t="shared" si="1"/>
        <v>-0.18077777777779858</v>
      </c>
      <c r="I24" s="51">
        <v>-106.44694440000001</v>
      </c>
      <c r="J24" s="50">
        <v>-106.25</v>
      </c>
      <c r="K24" s="50">
        <f t="shared" si="2"/>
        <v>-0.19694440000000668</v>
      </c>
      <c r="L24" s="55">
        <v>8655</v>
      </c>
      <c r="M24" s="56">
        <v>2684</v>
      </c>
      <c r="N24" s="56">
        <f t="shared" si="0"/>
        <v>8805.7745599999998</v>
      </c>
    </row>
    <row r="25" spans="1:14" x14ac:dyDescent="0.35">
      <c r="A25">
        <v>23</v>
      </c>
      <c r="B25" s="3" t="s">
        <v>41</v>
      </c>
      <c r="C25" s="17">
        <v>0.12</v>
      </c>
      <c r="D25" s="13">
        <v>44040</v>
      </c>
      <c r="E25" s="1">
        <v>44043</v>
      </c>
      <c r="F25" s="49">
        <v>38.764444444444401</v>
      </c>
      <c r="G25" s="50">
        <v>39.409999999999997</v>
      </c>
      <c r="H25" s="50">
        <f t="shared" si="1"/>
        <v>-0.64555555555559607</v>
      </c>
      <c r="I25" s="51">
        <v>-108.6327778</v>
      </c>
      <c r="J25" s="50">
        <v>-108.536</v>
      </c>
      <c r="K25" s="50">
        <f t="shared" si="2"/>
        <v>-9.6777799999998138E-2</v>
      </c>
      <c r="L25" s="55">
        <v>8137</v>
      </c>
      <c r="M25" s="56">
        <v>2309</v>
      </c>
      <c r="N25" s="56">
        <f t="shared" si="0"/>
        <v>7575.4595600000002</v>
      </c>
    </row>
    <row r="26" spans="1:14" x14ac:dyDescent="0.35">
      <c r="A26">
        <v>24</v>
      </c>
      <c r="B26" s="3" t="s">
        <v>117</v>
      </c>
      <c r="C26" s="17">
        <v>0.06</v>
      </c>
      <c r="D26" s="13">
        <v>44411</v>
      </c>
      <c r="E26" s="1">
        <v>44416</v>
      </c>
      <c r="F26" s="49">
        <v>46.101388888888799</v>
      </c>
      <c r="G26" s="50">
        <v>45.716000000000001</v>
      </c>
      <c r="H26" s="50">
        <f t="shared" si="1"/>
        <v>0.38538888888879796</v>
      </c>
      <c r="I26" s="51">
        <v>-106.0919444</v>
      </c>
      <c r="J26" s="50">
        <v>-106.53100000000001</v>
      </c>
      <c r="K26" s="50">
        <f t="shared" si="2"/>
        <v>0.43905560000000321</v>
      </c>
      <c r="L26" s="55">
        <v>3120</v>
      </c>
      <c r="M26" s="56">
        <v>998</v>
      </c>
      <c r="N26" s="56">
        <f t="shared" si="0"/>
        <v>3274.2783199999999</v>
      </c>
    </row>
    <row r="27" spans="1:14" x14ac:dyDescent="0.35">
      <c r="A27">
        <v>25</v>
      </c>
      <c r="B27" s="3" t="s">
        <v>108</v>
      </c>
      <c r="C27" s="17">
        <v>0.08</v>
      </c>
      <c r="D27" s="13">
        <v>44076</v>
      </c>
      <c r="E27" s="1">
        <v>44082</v>
      </c>
      <c r="F27" s="49">
        <v>43.8183333333333</v>
      </c>
      <c r="G27" s="50">
        <v>45.128999999999998</v>
      </c>
      <c r="H27" s="50">
        <f t="shared" si="1"/>
        <v>-1.3106666666666982</v>
      </c>
      <c r="I27" s="51">
        <v>-119.681944444444</v>
      </c>
      <c r="J27" s="50">
        <v>-122.224</v>
      </c>
      <c r="K27" s="50">
        <f t="shared" si="2"/>
        <v>2.5420555555560043</v>
      </c>
      <c r="L27" s="55">
        <v>5160</v>
      </c>
      <c r="M27" s="56">
        <v>1146</v>
      </c>
      <c r="N27" s="56">
        <f t="shared" si="0"/>
        <v>3759.8426399999998</v>
      </c>
    </row>
    <row r="28" spans="1:14" x14ac:dyDescent="0.35">
      <c r="A28">
        <v>26</v>
      </c>
      <c r="B28" t="s">
        <v>118</v>
      </c>
      <c r="C28" s="17">
        <v>0.06</v>
      </c>
      <c r="D28" s="13">
        <v>44404</v>
      </c>
      <c r="E28" s="1">
        <v>44413</v>
      </c>
      <c r="F28" s="51">
        <v>48.616700000000002</v>
      </c>
      <c r="G28" s="50">
        <v>46.84</v>
      </c>
      <c r="H28" s="50">
        <f t="shared" si="1"/>
        <v>1.7766999999999982</v>
      </c>
      <c r="I28" s="51">
        <v>-118.2667</v>
      </c>
      <c r="J28" s="50">
        <v>-121.1</v>
      </c>
      <c r="K28" s="50">
        <f t="shared" si="2"/>
        <v>2.8332999999999942</v>
      </c>
      <c r="L28" s="55">
        <v>4400</v>
      </c>
      <c r="M28" s="56">
        <v>1181</v>
      </c>
      <c r="N28" s="56">
        <f t="shared" si="0"/>
        <v>3874.6720399999999</v>
      </c>
    </row>
    <row r="29" spans="1:14" x14ac:dyDescent="0.35">
      <c r="A29">
        <v>27</v>
      </c>
      <c r="B29" t="s">
        <v>87</v>
      </c>
      <c r="C29" s="17">
        <v>0.08</v>
      </c>
      <c r="D29" s="13">
        <v>44076</v>
      </c>
      <c r="E29" s="1">
        <v>44082</v>
      </c>
      <c r="F29" s="49">
        <v>41.849722222222198</v>
      </c>
      <c r="G29" s="50">
        <v>41.932000000000002</v>
      </c>
      <c r="H29" s="50">
        <f t="shared" si="1"/>
        <v>-8.2277777777804317E-2</v>
      </c>
      <c r="I29" s="51">
        <v>-124.00749999999999</v>
      </c>
      <c r="J29" s="50">
        <v>-123.539</v>
      </c>
      <c r="K29" s="50">
        <f t="shared" si="2"/>
        <v>-0.4684999999999917</v>
      </c>
      <c r="L29" s="55">
        <v>700</v>
      </c>
      <c r="M29" s="56">
        <v>1544</v>
      </c>
      <c r="N29" s="56">
        <f t="shared" si="0"/>
        <v>5065.6169600000003</v>
      </c>
    </row>
    <row r="30" spans="1:14" x14ac:dyDescent="0.35">
      <c r="A30">
        <v>28</v>
      </c>
      <c r="B30" t="s">
        <v>95</v>
      </c>
      <c r="C30" s="17">
        <v>0.05</v>
      </c>
      <c r="D30" s="13">
        <v>44319</v>
      </c>
      <c r="E30" s="1">
        <v>44351</v>
      </c>
      <c r="F30" s="49">
        <v>32.481111111111098</v>
      </c>
      <c r="G30" s="50">
        <v>33.259</v>
      </c>
      <c r="H30" s="50">
        <f t="shared" si="1"/>
        <v>-0.77788888888890284</v>
      </c>
      <c r="I30" s="51">
        <v>-110.72499999999999</v>
      </c>
      <c r="J30" s="50">
        <v>-110.94</v>
      </c>
      <c r="K30" s="50">
        <f t="shared" si="2"/>
        <v>0.21500000000000341</v>
      </c>
      <c r="L30" s="55">
        <v>7554</v>
      </c>
      <c r="M30" s="56">
        <v>1047</v>
      </c>
      <c r="N30" s="56">
        <f t="shared" si="0"/>
        <v>3435.0394799999999</v>
      </c>
    </row>
    <row r="31" spans="1:14" x14ac:dyDescent="0.35">
      <c r="A31">
        <v>29</v>
      </c>
      <c r="B31" t="s">
        <v>94</v>
      </c>
      <c r="C31" s="17">
        <v>0.09</v>
      </c>
      <c r="D31" s="13">
        <v>44076</v>
      </c>
      <c r="E31" s="1">
        <v>44082</v>
      </c>
      <c r="F31" s="51">
        <v>48.520555555555497</v>
      </c>
      <c r="G31" s="50">
        <v>47.613999999999997</v>
      </c>
      <c r="H31" s="50">
        <f t="shared" si="1"/>
        <v>0.90655555555549938</v>
      </c>
      <c r="I31" s="51">
        <v>-120.1430556</v>
      </c>
      <c r="J31" s="50">
        <v>-118.569</v>
      </c>
      <c r="K31" s="50">
        <f t="shared" si="2"/>
        <v>-1.5740555999999941</v>
      </c>
      <c r="L31" s="55">
        <v>2800</v>
      </c>
      <c r="M31" s="56">
        <v>678</v>
      </c>
      <c r="N31" s="56">
        <f t="shared" si="0"/>
        <v>2224.4095200000002</v>
      </c>
    </row>
    <row r="32" spans="1:14" x14ac:dyDescent="0.35">
      <c r="A32">
        <v>30</v>
      </c>
      <c r="B32" t="s">
        <v>91</v>
      </c>
      <c r="C32" s="17">
        <v>0.05</v>
      </c>
      <c r="D32" s="13">
        <v>44052</v>
      </c>
      <c r="E32" s="1">
        <v>44081</v>
      </c>
      <c r="F32" s="49">
        <v>44.847499999999997</v>
      </c>
      <c r="G32" s="50">
        <v>44.747</v>
      </c>
      <c r="H32" s="50">
        <f t="shared" si="1"/>
        <v>0.1004999999999967</v>
      </c>
      <c r="I32" s="51">
        <v>-116.4266667</v>
      </c>
      <c r="J32" s="50">
        <v>-116.77200000000001</v>
      </c>
      <c r="K32" s="50">
        <f t="shared" si="2"/>
        <v>0.34533330000000717</v>
      </c>
      <c r="L32" s="55">
        <v>3900</v>
      </c>
      <c r="M32" s="56">
        <v>2098</v>
      </c>
      <c r="N32" s="56">
        <f>M32*3.28084</f>
        <v>6883.2023200000003</v>
      </c>
    </row>
  </sheetData>
  <pageMargins left="0.7" right="0.7" top="0.75" bottom="0.75" header="0.3" footer="0.3"/>
  <ignoredErrors>
    <ignoredError sqref="N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69DF-7FBD-4EB8-9B3A-BD29BA35A2B1}">
  <dimension ref="B2:P32"/>
  <sheetViews>
    <sheetView showGridLines="0" tabSelected="1" zoomScale="71" workbookViewId="0">
      <selection activeCell="S18" sqref="S18"/>
    </sheetView>
  </sheetViews>
  <sheetFormatPr defaultRowHeight="14.5" x14ac:dyDescent="0.35"/>
  <cols>
    <col min="2" max="2" width="9.26953125" bestFit="1" customWidth="1"/>
    <col min="3" max="3" width="18.453125" customWidth="1"/>
    <col min="4" max="4" width="17.26953125" style="15" customWidth="1"/>
    <col min="5" max="5" width="12" customWidth="1"/>
    <col min="6" max="6" width="12.453125" customWidth="1"/>
    <col min="7" max="7" width="10.54296875" style="50" customWidth="1"/>
    <col min="8" max="8" width="9.26953125" style="50" bestFit="1" customWidth="1"/>
    <col min="9" max="9" width="10" style="50" customWidth="1"/>
    <col min="10" max="10" width="9.26953125" style="50" bestFit="1" customWidth="1"/>
    <col min="11" max="11" width="12.453125" style="56" customWidth="1"/>
    <col min="12" max="12" width="10.26953125" style="56" hidden="1" customWidth="1"/>
    <col min="13" max="13" width="10.54296875" style="56" customWidth="1"/>
    <col min="15" max="15" width="11.453125" customWidth="1"/>
  </cols>
  <sheetData>
    <row r="2" spans="2:16" x14ac:dyDescent="0.35">
      <c r="B2" s="18" t="s">
        <v>162</v>
      </c>
      <c r="C2" s="10" t="s">
        <v>127</v>
      </c>
      <c r="D2" s="14" t="s">
        <v>123</v>
      </c>
      <c r="E2" s="12" t="s">
        <v>120</v>
      </c>
      <c r="F2" s="11" t="s">
        <v>126</v>
      </c>
      <c r="G2" s="47" t="s">
        <v>121</v>
      </c>
      <c r="H2" s="48" t="s">
        <v>98</v>
      </c>
      <c r="I2" s="47" t="s">
        <v>122</v>
      </c>
      <c r="J2" s="48" t="s">
        <v>97</v>
      </c>
      <c r="K2" s="52" t="s">
        <v>125</v>
      </c>
      <c r="L2" s="53" t="s">
        <v>119</v>
      </c>
      <c r="M2" s="54" t="s">
        <v>124</v>
      </c>
      <c r="O2" t="s">
        <v>160</v>
      </c>
      <c r="P2" s="15" t="s">
        <v>161</v>
      </c>
    </row>
    <row r="3" spans="2:16" x14ac:dyDescent="0.35">
      <c r="B3">
        <v>1</v>
      </c>
      <c r="C3" t="s">
        <v>130</v>
      </c>
      <c r="D3" s="17">
        <v>7.0000000000000007E-2</v>
      </c>
      <c r="E3" s="13">
        <v>44369</v>
      </c>
      <c r="F3" s="1">
        <v>44371</v>
      </c>
      <c r="G3" s="49">
        <v>41.719444444444399</v>
      </c>
      <c r="H3" s="50">
        <v>41.494999999999997</v>
      </c>
      <c r="I3" s="51">
        <v>-121.71194439999999</v>
      </c>
      <c r="J3" s="50">
        <v>-122.276</v>
      </c>
      <c r="K3" s="55">
        <v>5040</v>
      </c>
      <c r="L3" s="56">
        <v>1385</v>
      </c>
      <c r="M3" s="56">
        <f>L3*3.2804</f>
        <v>4543.3540000000003</v>
      </c>
      <c r="O3">
        <v>5928.4778800000004</v>
      </c>
      <c r="P3" s="9">
        <f>O3-M3</f>
        <v>1385.1238800000001</v>
      </c>
    </row>
    <row r="4" spans="2:16" x14ac:dyDescent="0.35">
      <c r="B4">
        <v>2</v>
      </c>
      <c r="C4" t="s">
        <v>131</v>
      </c>
      <c r="D4" s="17">
        <v>0.04</v>
      </c>
      <c r="E4" s="13">
        <v>42926</v>
      </c>
      <c r="F4" s="1">
        <v>42949</v>
      </c>
      <c r="G4" s="49">
        <v>43.801111111111098</v>
      </c>
      <c r="H4" s="50">
        <v>43.43</v>
      </c>
      <c r="I4" s="51">
        <v>-117.943888888888</v>
      </c>
      <c r="J4" s="50">
        <v>-119.88800000000001</v>
      </c>
      <c r="K4" s="55">
        <v>3000</v>
      </c>
      <c r="L4" s="56">
        <v>1559</v>
      </c>
      <c r="M4" s="56">
        <f t="shared" ref="M4:M32" si="0">L4*3.2804</f>
        <v>5114.1436000000003</v>
      </c>
      <c r="O4">
        <v>3405.5119199999999</v>
      </c>
      <c r="P4" s="9">
        <f t="shared" ref="P4:P32" si="1">O4-M4</f>
        <v>-1708.6316800000004</v>
      </c>
    </row>
    <row r="5" spans="2:16" x14ac:dyDescent="0.35">
      <c r="B5">
        <v>3</v>
      </c>
      <c r="C5" t="s">
        <v>132</v>
      </c>
      <c r="D5" s="17">
        <v>0.12</v>
      </c>
      <c r="E5" s="13">
        <v>39268</v>
      </c>
      <c r="F5" s="1">
        <v>39269</v>
      </c>
      <c r="G5" s="49">
        <v>44.911111111111097</v>
      </c>
      <c r="H5" s="50">
        <v>42.220999999999997</v>
      </c>
      <c r="I5" s="51">
        <v>-116.0977778</v>
      </c>
      <c r="J5" s="50">
        <v>-113.193</v>
      </c>
      <c r="K5" s="55">
        <v>5020</v>
      </c>
      <c r="L5" s="56">
        <v>1858</v>
      </c>
      <c r="M5" s="56">
        <f t="shared" si="0"/>
        <v>6094.9832000000006</v>
      </c>
      <c r="O5">
        <v>7103.0186000000003</v>
      </c>
      <c r="P5" s="9">
        <f t="shared" si="1"/>
        <v>1008.0353999999998</v>
      </c>
    </row>
    <row r="6" spans="2:16" x14ac:dyDescent="0.35">
      <c r="B6">
        <v>4</v>
      </c>
      <c r="C6" t="s">
        <v>133</v>
      </c>
      <c r="D6" s="17">
        <v>0.08</v>
      </c>
      <c r="E6" s="13">
        <v>42181</v>
      </c>
      <c r="F6" s="1">
        <v>42228</v>
      </c>
      <c r="G6" s="49">
        <v>42.576944444444401</v>
      </c>
      <c r="H6" s="50">
        <v>44.829000000000001</v>
      </c>
      <c r="I6" s="51">
        <v>-121.89388889999999</v>
      </c>
      <c r="J6" s="50">
        <v>-121.41200000000001</v>
      </c>
      <c r="K6" s="55">
        <v>4492</v>
      </c>
      <c r="L6" s="56">
        <v>816</v>
      </c>
      <c r="M6" s="56">
        <f t="shared" si="0"/>
        <v>2676.8064000000004</v>
      </c>
      <c r="O6">
        <v>5928.4778800000004</v>
      </c>
      <c r="P6" s="9">
        <f t="shared" si="1"/>
        <v>3251.67148</v>
      </c>
    </row>
    <row r="7" spans="2:16" x14ac:dyDescent="0.35">
      <c r="B7">
        <v>5</v>
      </c>
      <c r="C7" t="s">
        <v>134</v>
      </c>
      <c r="D7" s="17">
        <v>0.11</v>
      </c>
      <c r="E7" s="13">
        <v>42878</v>
      </c>
      <c r="F7" s="1">
        <v>42916</v>
      </c>
      <c r="G7" s="49">
        <v>32.626111111111101</v>
      </c>
      <c r="H7" s="50">
        <v>32.378</v>
      </c>
      <c r="I7" s="51">
        <v>-109.8358333</v>
      </c>
      <c r="J7" s="50">
        <v>-110.60899999999999</v>
      </c>
      <c r="K7" s="55">
        <v>8686</v>
      </c>
      <c r="L7" s="56">
        <v>1205</v>
      </c>
      <c r="M7" s="56">
        <f t="shared" si="0"/>
        <v>3952.8820000000001</v>
      </c>
      <c r="O7">
        <v>5761.1550399999996</v>
      </c>
      <c r="P7" s="9">
        <f t="shared" si="1"/>
        <v>1808.2730399999996</v>
      </c>
    </row>
    <row r="8" spans="2:16" x14ac:dyDescent="0.35">
      <c r="B8">
        <v>6</v>
      </c>
      <c r="C8" t="s">
        <v>135</v>
      </c>
      <c r="D8" s="17">
        <v>0.08</v>
      </c>
      <c r="E8" s="13">
        <v>44666</v>
      </c>
      <c r="F8" s="1">
        <v>44709</v>
      </c>
      <c r="G8" s="49">
        <v>34.060555555555503</v>
      </c>
      <c r="H8" s="50">
        <v>33.798000000000002</v>
      </c>
      <c r="I8" s="51">
        <v>-108.44499999999999</v>
      </c>
      <c r="J8" s="50">
        <v>-107.51900000000001</v>
      </c>
      <c r="K8" s="55">
        <v>8748</v>
      </c>
      <c r="L8" s="56">
        <v>2496</v>
      </c>
      <c r="M8" s="56">
        <f t="shared" si="0"/>
        <v>8187.8784000000005</v>
      </c>
      <c r="O8">
        <v>8566.2732400000004</v>
      </c>
      <c r="P8" s="9">
        <f t="shared" si="1"/>
        <v>378.39483999999993</v>
      </c>
    </row>
    <row r="9" spans="2:16" x14ac:dyDescent="0.35">
      <c r="B9">
        <v>7</v>
      </c>
      <c r="C9" t="s">
        <v>136</v>
      </c>
      <c r="D9" s="17">
        <v>0.06</v>
      </c>
      <c r="E9" s="13">
        <v>44034</v>
      </c>
      <c r="F9" s="1">
        <v>44058</v>
      </c>
      <c r="G9" s="49">
        <v>36.462222222222202</v>
      </c>
      <c r="H9" s="50">
        <v>35.302</v>
      </c>
      <c r="I9" s="51">
        <v>-118.6322222</v>
      </c>
      <c r="J9" s="50">
        <v>-115.589</v>
      </c>
      <c r="K9" s="55">
        <v>7340</v>
      </c>
      <c r="L9" s="56">
        <v>1610</v>
      </c>
      <c r="M9" s="56">
        <f t="shared" si="0"/>
        <v>5281.4440000000004</v>
      </c>
      <c r="O9">
        <v>6345.1445599999997</v>
      </c>
      <c r="P9" s="9">
        <f t="shared" si="1"/>
        <v>1063.7005599999993</v>
      </c>
    </row>
    <row r="10" spans="2:16" x14ac:dyDescent="0.35">
      <c r="B10">
        <v>8</v>
      </c>
      <c r="C10" t="s">
        <v>137</v>
      </c>
      <c r="D10" s="17">
        <v>0.06</v>
      </c>
      <c r="E10" s="13">
        <v>43320</v>
      </c>
      <c r="F10" s="1">
        <v>43327</v>
      </c>
      <c r="G10" s="49">
        <v>43.801111111111098</v>
      </c>
      <c r="H10" s="50">
        <v>42.597000000000001</v>
      </c>
      <c r="I10" s="51">
        <v>-117.9438889</v>
      </c>
      <c r="J10" s="50">
        <v>-120.74299999999999</v>
      </c>
      <c r="K10" s="55">
        <v>3000</v>
      </c>
      <c r="L10" s="56">
        <v>2063</v>
      </c>
      <c r="M10" s="56">
        <f t="shared" si="0"/>
        <v>6767.4652000000006</v>
      </c>
      <c r="O10">
        <v>5305.1182799999997</v>
      </c>
      <c r="P10" s="9">
        <f t="shared" si="1"/>
        <v>-1462.3469200000009</v>
      </c>
    </row>
    <row r="11" spans="2:16" x14ac:dyDescent="0.35">
      <c r="B11">
        <v>9</v>
      </c>
      <c r="C11" t="s">
        <v>138</v>
      </c>
      <c r="D11" s="17">
        <v>0.05</v>
      </c>
      <c r="E11" s="13">
        <v>42508</v>
      </c>
      <c r="F11" s="1">
        <v>42510</v>
      </c>
      <c r="G11" s="51">
        <v>33.858600000000003</v>
      </c>
      <c r="H11" s="50">
        <v>33.863999999999997</v>
      </c>
      <c r="I11" s="51">
        <v>-109.0825</v>
      </c>
      <c r="J11" s="50">
        <v>-110.926</v>
      </c>
      <c r="K11" s="55">
        <v>8200</v>
      </c>
      <c r="L11" s="56">
        <v>1994</v>
      </c>
      <c r="M11" s="56">
        <f t="shared" si="0"/>
        <v>6541.1176000000005</v>
      </c>
      <c r="O11">
        <v>4770.3413600000003</v>
      </c>
      <c r="P11" s="9">
        <f t="shared" si="1"/>
        <v>-1770.7762400000001</v>
      </c>
    </row>
    <row r="12" spans="2:16" x14ac:dyDescent="0.35">
      <c r="B12">
        <v>10</v>
      </c>
      <c r="C12" t="s">
        <v>139</v>
      </c>
      <c r="D12" s="17">
        <v>0.06</v>
      </c>
      <c r="E12" s="13">
        <v>42248</v>
      </c>
      <c r="F12" s="1">
        <v>42256</v>
      </c>
      <c r="G12" s="49">
        <v>38.063055555555501</v>
      </c>
      <c r="H12" s="50">
        <v>38.265999999999998</v>
      </c>
      <c r="I12" s="51">
        <v>-120.2475</v>
      </c>
      <c r="J12" s="50">
        <v>-120.592</v>
      </c>
      <c r="K12" s="55">
        <v>4942</v>
      </c>
      <c r="L12" s="56">
        <v>643</v>
      </c>
      <c r="M12" s="56">
        <f t="shared" si="0"/>
        <v>2109.2972</v>
      </c>
      <c r="O12">
        <v>6122.0474400000003</v>
      </c>
      <c r="P12" s="9">
        <f t="shared" si="1"/>
        <v>4012.7502400000003</v>
      </c>
    </row>
    <row r="13" spans="2:16" s="3" customFormat="1" x14ac:dyDescent="0.35">
      <c r="B13">
        <v>11</v>
      </c>
      <c r="C13" t="s">
        <v>140</v>
      </c>
      <c r="D13" s="17">
        <v>0.12</v>
      </c>
      <c r="E13" s="13">
        <v>41059</v>
      </c>
      <c r="F13" s="1">
        <v>41069</v>
      </c>
      <c r="G13" s="51">
        <v>40.762500000000003</v>
      </c>
      <c r="H13" s="50">
        <v>40.658000000000001</v>
      </c>
      <c r="I13" s="51">
        <v>-105.6188889</v>
      </c>
      <c r="J13" s="50">
        <v>-105.357</v>
      </c>
      <c r="K13" s="55">
        <v>8216</v>
      </c>
      <c r="L13" s="56">
        <v>2166</v>
      </c>
      <c r="M13" s="56">
        <f t="shared" si="0"/>
        <v>7105.3464000000004</v>
      </c>
      <c r="O13" s="3">
        <v>8635.1708799999997</v>
      </c>
      <c r="P13" s="9">
        <f t="shared" si="1"/>
        <v>1529.8244799999993</v>
      </c>
    </row>
    <row r="14" spans="2:16" s="3" customFormat="1" x14ac:dyDescent="0.35">
      <c r="B14">
        <v>12</v>
      </c>
      <c r="C14" t="s">
        <v>141</v>
      </c>
      <c r="D14" s="17">
        <v>0.05</v>
      </c>
      <c r="E14" s="13">
        <v>44072</v>
      </c>
      <c r="F14" s="1">
        <v>44081</v>
      </c>
      <c r="G14" s="49">
        <v>42.576944444444401</v>
      </c>
      <c r="H14" s="50">
        <v>42.619</v>
      </c>
      <c r="I14" s="51">
        <v>-121.89388889999999</v>
      </c>
      <c r="J14" s="50">
        <v>-120.577</v>
      </c>
      <c r="K14" s="55">
        <v>4492</v>
      </c>
      <c r="L14" s="56">
        <v>1769</v>
      </c>
      <c r="M14" s="56">
        <f t="shared" si="0"/>
        <v>5803.0276000000003</v>
      </c>
      <c r="O14" s="3">
        <v>6719.16032</v>
      </c>
      <c r="P14" s="9">
        <f t="shared" si="1"/>
        <v>916.13271999999961</v>
      </c>
    </row>
    <row r="15" spans="2:16" s="3" customFormat="1" x14ac:dyDescent="0.35">
      <c r="B15">
        <v>13</v>
      </c>
      <c r="C15" t="s">
        <v>142</v>
      </c>
      <c r="D15" s="17">
        <v>0.08</v>
      </c>
      <c r="E15" s="13">
        <v>43291</v>
      </c>
      <c r="F15" s="1">
        <v>43313</v>
      </c>
      <c r="G15" s="49">
        <v>38.063055555555501</v>
      </c>
      <c r="H15" s="50">
        <v>38.383000000000003</v>
      </c>
      <c r="I15" s="51">
        <v>-120.2475</v>
      </c>
      <c r="J15" s="50">
        <v>-119.822</v>
      </c>
      <c r="K15" s="55">
        <v>4942</v>
      </c>
      <c r="L15" s="56">
        <v>2178</v>
      </c>
      <c r="M15" s="56">
        <f t="shared" si="0"/>
        <v>7144.7112000000006</v>
      </c>
      <c r="O15" s="3">
        <v>7303.14984</v>
      </c>
      <c r="P15" s="9">
        <f t="shared" si="1"/>
        <v>158.4386399999994</v>
      </c>
    </row>
    <row r="16" spans="2:16" s="3" customFormat="1" x14ac:dyDescent="0.35">
      <c r="B16">
        <v>14</v>
      </c>
      <c r="C16" t="s">
        <v>143</v>
      </c>
      <c r="D16" s="17">
        <v>0.09</v>
      </c>
      <c r="E16" s="13">
        <v>43713</v>
      </c>
      <c r="F16" s="1">
        <v>43712</v>
      </c>
      <c r="G16" s="49">
        <v>39.973333333333301</v>
      </c>
      <c r="H16" s="50">
        <v>40.090000000000003</v>
      </c>
      <c r="I16" s="51">
        <v>-120.9419444</v>
      </c>
      <c r="J16" s="50">
        <v>-120.58499999999999</v>
      </c>
      <c r="K16" s="55">
        <v>3652</v>
      </c>
      <c r="L16" s="56">
        <v>1826</v>
      </c>
      <c r="M16" s="56">
        <f t="shared" si="0"/>
        <v>5990.0104000000001</v>
      </c>
      <c r="O16" s="3">
        <v>6420.6038799999997</v>
      </c>
      <c r="P16" s="9">
        <f t="shared" si="1"/>
        <v>430.59347999999954</v>
      </c>
    </row>
    <row r="17" spans="2:16" x14ac:dyDescent="0.35">
      <c r="B17">
        <v>15</v>
      </c>
      <c r="C17" t="s">
        <v>144</v>
      </c>
      <c r="D17" s="17">
        <v>0.09</v>
      </c>
      <c r="E17" s="13">
        <v>42592</v>
      </c>
      <c r="F17" s="1">
        <v>42595</v>
      </c>
      <c r="G17" s="49">
        <v>39.264444444444401</v>
      </c>
      <c r="H17" s="50">
        <v>35.738</v>
      </c>
      <c r="I17" s="51">
        <v>-122.86944440000001</v>
      </c>
      <c r="J17" s="50">
        <v>-121.075</v>
      </c>
      <c r="K17" s="55">
        <v>3850</v>
      </c>
      <c r="L17" s="56">
        <v>424</v>
      </c>
      <c r="M17" s="56">
        <f t="shared" si="0"/>
        <v>1390.8896</v>
      </c>
      <c r="O17">
        <v>3297.2442000000001</v>
      </c>
      <c r="P17" s="9">
        <f t="shared" si="1"/>
        <v>1906.3546000000001</v>
      </c>
    </row>
    <row r="18" spans="2:16" x14ac:dyDescent="0.35">
      <c r="B18">
        <v>16</v>
      </c>
      <c r="C18" t="s">
        <v>145</v>
      </c>
      <c r="D18" s="17">
        <v>0.17</v>
      </c>
      <c r="E18" s="13">
        <v>42536</v>
      </c>
      <c r="F18" s="1">
        <v>42540</v>
      </c>
      <c r="G18" s="51">
        <v>40.762500000000003</v>
      </c>
      <c r="H18" s="50">
        <v>40.957000000000001</v>
      </c>
      <c r="I18" s="51">
        <v>-105.6188889</v>
      </c>
      <c r="J18" s="50">
        <v>-106.505</v>
      </c>
      <c r="K18" s="55">
        <v>8216</v>
      </c>
      <c r="L18" s="56">
        <v>2684</v>
      </c>
      <c r="M18" s="56">
        <f t="shared" si="0"/>
        <v>8804.5936000000002</v>
      </c>
      <c r="O18">
        <v>10134.51476</v>
      </c>
      <c r="P18" s="9">
        <f t="shared" si="1"/>
        <v>1329.9211599999999</v>
      </c>
    </row>
    <row r="19" spans="2:16" x14ac:dyDescent="0.35">
      <c r="B19">
        <v>17</v>
      </c>
      <c r="C19" t="s">
        <v>146</v>
      </c>
      <c r="D19" s="17">
        <v>0.14000000000000001</v>
      </c>
      <c r="E19" s="13">
        <v>41128</v>
      </c>
      <c r="F19" s="1">
        <v>41161</v>
      </c>
      <c r="G19" s="51">
        <v>43.547499999999999</v>
      </c>
      <c r="H19" s="50">
        <v>44.177999999999997</v>
      </c>
      <c r="I19" s="51">
        <v>-121.7872222</v>
      </c>
      <c r="J19" s="50">
        <v>-121.675</v>
      </c>
      <c r="K19" s="55">
        <v>5105</v>
      </c>
      <c r="L19" s="56">
        <v>1562</v>
      </c>
      <c r="M19" s="56">
        <f t="shared" si="0"/>
        <v>5123.9848000000002</v>
      </c>
      <c r="O19">
        <v>1624.0157999999999</v>
      </c>
      <c r="P19" s="9">
        <f t="shared" si="1"/>
        <v>-3499.9690000000001</v>
      </c>
    </row>
    <row r="20" spans="2:16" x14ac:dyDescent="0.35">
      <c r="B20">
        <v>18</v>
      </c>
      <c r="C20" t="s">
        <v>147</v>
      </c>
      <c r="D20" s="17">
        <v>0.05</v>
      </c>
      <c r="E20" s="13">
        <v>41852</v>
      </c>
      <c r="F20" s="1">
        <v>41834</v>
      </c>
      <c r="G20" s="49">
        <v>42.576944444444401</v>
      </c>
      <c r="H20" s="50">
        <v>45.01</v>
      </c>
      <c r="I20" s="51">
        <v>-121.89388889999999</v>
      </c>
      <c r="J20" s="50">
        <v>-120.554</v>
      </c>
      <c r="K20" s="55">
        <v>4492</v>
      </c>
      <c r="L20" s="56">
        <v>993</v>
      </c>
      <c r="M20" s="56">
        <f t="shared" si="0"/>
        <v>3257.4372000000003</v>
      </c>
      <c r="O20">
        <v>4645.6694399999997</v>
      </c>
      <c r="P20" s="9">
        <f t="shared" si="1"/>
        <v>1388.2322399999994</v>
      </c>
    </row>
    <row r="21" spans="2:16" x14ac:dyDescent="0.35">
      <c r="B21">
        <v>19</v>
      </c>
      <c r="C21" t="s">
        <v>148</v>
      </c>
      <c r="D21" s="17">
        <v>0.08</v>
      </c>
      <c r="E21" s="13">
        <v>44074</v>
      </c>
      <c r="F21" s="1">
        <v>44101</v>
      </c>
      <c r="G21" s="49">
        <v>40.337499999999999</v>
      </c>
      <c r="H21" s="50">
        <v>40.421999999999997</v>
      </c>
      <c r="I21" s="51">
        <v>-123.0655556</v>
      </c>
      <c r="J21" s="50">
        <v>-122.62</v>
      </c>
      <c r="K21" s="55">
        <v>4481</v>
      </c>
      <c r="L21" s="56">
        <v>302</v>
      </c>
      <c r="M21" s="56">
        <f t="shared" si="0"/>
        <v>990.68080000000009</v>
      </c>
      <c r="O21">
        <v>3143.0447199999999</v>
      </c>
      <c r="P21" s="9">
        <f t="shared" si="1"/>
        <v>2152.3639199999998</v>
      </c>
    </row>
    <row r="22" spans="2:16" x14ac:dyDescent="0.35">
      <c r="B22">
        <v>20</v>
      </c>
      <c r="C22" t="s">
        <v>149</v>
      </c>
      <c r="D22" s="17">
        <v>7.0000000000000007E-2</v>
      </c>
      <c r="E22" s="13">
        <v>43345</v>
      </c>
      <c r="F22" s="1">
        <v>43348</v>
      </c>
      <c r="G22" s="49">
        <v>40.915833333333303</v>
      </c>
      <c r="H22" s="50">
        <v>41.006999999999998</v>
      </c>
      <c r="I22" s="51">
        <v>-122.4347222</v>
      </c>
      <c r="J22" s="50">
        <v>-122.462</v>
      </c>
      <c r="K22" s="55">
        <v>3259</v>
      </c>
      <c r="L22" s="56">
        <v>1119</v>
      </c>
      <c r="M22" s="56">
        <f t="shared" si="0"/>
        <v>3670.7676000000001</v>
      </c>
      <c r="O22">
        <v>2378.6089999999999</v>
      </c>
      <c r="P22" s="9">
        <f t="shared" si="1"/>
        <v>-1292.1586000000002</v>
      </c>
    </row>
    <row r="23" spans="2:16" x14ac:dyDescent="0.35">
      <c r="B23">
        <v>21</v>
      </c>
      <c r="C23" t="s">
        <v>150</v>
      </c>
      <c r="D23" s="17">
        <v>0.15</v>
      </c>
      <c r="E23" s="13">
        <v>44395</v>
      </c>
      <c r="F23" s="1">
        <v>44385</v>
      </c>
      <c r="G23" s="49">
        <v>45.6927777777777</v>
      </c>
      <c r="H23" s="50">
        <v>45.624000000000002</v>
      </c>
      <c r="I23" s="51">
        <v>-113.96972220000001</v>
      </c>
      <c r="J23" s="50">
        <v>-113.76600000000001</v>
      </c>
      <c r="K23" s="55">
        <v>7729</v>
      </c>
      <c r="L23" s="56">
        <v>2152</v>
      </c>
      <c r="M23" s="56">
        <f t="shared" si="0"/>
        <v>7059.4208000000008</v>
      </c>
      <c r="O23">
        <v>7673.8847599999999</v>
      </c>
      <c r="P23" s="9">
        <f t="shared" si="1"/>
        <v>614.46395999999913</v>
      </c>
    </row>
    <row r="24" spans="2:16" x14ac:dyDescent="0.35">
      <c r="B24">
        <v>22</v>
      </c>
      <c r="C24" t="s">
        <v>151</v>
      </c>
      <c r="D24" s="17">
        <v>0.11</v>
      </c>
      <c r="E24" s="13">
        <v>43344</v>
      </c>
      <c r="F24" s="1">
        <v>43358</v>
      </c>
      <c r="G24" s="49">
        <v>41.074166666666599</v>
      </c>
      <c r="H24" s="50">
        <v>41.04</v>
      </c>
      <c r="I24" s="51">
        <v>-106.1311111</v>
      </c>
      <c r="J24" s="50">
        <v>-106.613</v>
      </c>
      <c r="K24" s="55">
        <v>9078</v>
      </c>
      <c r="L24" s="56">
        <v>2693</v>
      </c>
      <c r="M24" s="56">
        <f t="shared" si="0"/>
        <v>8834.1172000000006</v>
      </c>
      <c r="O24">
        <v>8805.7745599999998</v>
      </c>
      <c r="P24" s="9">
        <f t="shared" si="1"/>
        <v>-28.342640000000756</v>
      </c>
    </row>
    <row r="25" spans="2:16" x14ac:dyDescent="0.35">
      <c r="B25">
        <v>23</v>
      </c>
      <c r="C25" t="s">
        <v>152</v>
      </c>
      <c r="D25" s="17">
        <v>7.0000000000000007E-2</v>
      </c>
      <c r="E25" s="13">
        <v>43295</v>
      </c>
      <c r="F25" s="1">
        <v>43310</v>
      </c>
      <c r="G25" s="49">
        <v>38.764444444444401</v>
      </c>
      <c r="H25" s="50">
        <v>38.511000000000003</v>
      </c>
      <c r="I25" s="51">
        <v>-108.6327778</v>
      </c>
      <c r="J25" s="50">
        <v>-108.658</v>
      </c>
      <c r="K25" s="55">
        <v>8137</v>
      </c>
      <c r="L25" s="56">
        <v>2412</v>
      </c>
      <c r="M25" s="56">
        <f t="shared" si="0"/>
        <v>7912.3248000000003</v>
      </c>
      <c r="O25">
        <v>7575.4595600000002</v>
      </c>
      <c r="P25" s="9">
        <f t="shared" si="1"/>
        <v>-336.86524000000009</v>
      </c>
    </row>
    <row r="26" spans="2:16" x14ac:dyDescent="0.35">
      <c r="B26">
        <v>24</v>
      </c>
      <c r="C26" t="s">
        <v>153</v>
      </c>
      <c r="D26" s="17">
        <v>0.05</v>
      </c>
      <c r="E26" s="13">
        <v>44063</v>
      </c>
      <c r="F26" s="1">
        <v>44076</v>
      </c>
      <c r="G26" s="49">
        <v>45.243333333333297</v>
      </c>
      <c r="H26" s="50">
        <v>45.658000000000001</v>
      </c>
      <c r="I26" s="51">
        <v>-106.6963889</v>
      </c>
      <c r="J26" s="50">
        <v>-107.00700000000001</v>
      </c>
      <c r="K26" s="55">
        <v>3910</v>
      </c>
      <c r="L26" s="56">
        <v>1223</v>
      </c>
      <c r="M26" s="56">
        <f t="shared" si="0"/>
        <v>4011.9292</v>
      </c>
      <c r="O26">
        <v>3274.2783199999999</v>
      </c>
      <c r="P26" s="9">
        <f t="shared" si="1"/>
        <v>-737.65088000000014</v>
      </c>
    </row>
    <row r="27" spans="2:16" x14ac:dyDescent="0.35">
      <c r="B27">
        <v>25</v>
      </c>
      <c r="C27" t="s">
        <v>154</v>
      </c>
      <c r="D27" s="17">
        <v>0.04</v>
      </c>
      <c r="E27" s="13">
        <v>42926</v>
      </c>
      <c r="F27" s="1">
        <v>42956</v>
      </c>
      <c r="G27" s="49">
        <v>43.801111111111098</v>
      </c>
      <c r="H27" s="50">
        <v>44.973999999999997</v>
      </c>
      <c r="I27" s="51">
        <v>-117.9438889</v>
      </c>
      <c r="J27" s="50">
        <v>-121.19799999999999</v>
      </c>
      <c r="K27" s="55">
        <v>3000</v>
      </c>
      <c r="L27" s="56">
        <v>1061</v>
      </c>
      <c r="M27" s="56">
        <f t="shared" si="0"/>
        <v>3480.5044000000003</v>
      </c>
      <c r="O27">
        <v>3759.8426399999998</v>
      </c>
      <c r="P27" s="9">
        <f t="shared" si="1"/>
        <v>279.33823999999959</v>
      </c>
    </row>
    <row r="28" spans="2:16" x14ac:dyDescent="0.35">
      <c r="B28">
        <v>26</v>
      </c>
      <c r="C28" t="s">
        <v>155</v>
      </c>
      <c r="D28" s="17">
        <v>0.15</v>
      </c>
      <c r="E28" s="13">
        <v>42955</v>
      </c>
      <c r="F28" s="1">
        <v>42958</v>
      </c>
      <c r="G28" s="51">
        <v>48.616700000000002</v>
      </c>
      <c r="H28" s="50">
        <v>47.341000000000001</v>
      </c>
      <c r="I28" s="51">
        <v>-118.2667</v>
      </c>
      <c r="J28" s="50">
        <v>-120.97799999999999</v>
      </c>
      <c r="K28" s="55">
        <v>4400</v>
      </c>
      <c r="L28" s="56">
        <v>1325</v>
      </c>
      <c r="M28" s="56">
        <f t="shared" si="0"/>
        <v>4346.5300000000007</v>
      </c>
      <c r="O28">
        <v>3874.6720399999999</v>
      </c>
      <c r="P28" s="9">
        <f t="shared" si="1"/>
        <v>-471.85796000000073</v>
      </c>
    </row>
    <row r="29" spans="2:16" x14ac:dyDescent="0.35">
      <c r="B29">
        <v>27</v>
      </c>
      <c r="C29" t="s">
        <v>156</v>
      </c>
      <c r="D29" s="17">
        <v>0.05</v>
      </c>
      <c r="E29" s="13">
        <v>44759</v>
      </c>
      <c r="F29" s="1">
        <v>44771</v>
      </c>
      <c r="G29" s="49">
        <v>41.838611111111099</v>
      </c>
      <c r="H29" s="50">
        <v>41.811999999999998</v>
      </c>
      <c r="I29" s="51">
        <v>-122.8502778</v>
      </c>
      <c r="J29" s="50">
        <v>-122.833</v>
      </c>
      <c r="K29" s="55">
        <v>1940</v>
      </c>
      <c r="L29" s="56">
        <v>854</v>
      </c>
      <c r="M29" s="56">
        <f t="shared" si="0"/>
        <v>2801.4616000000001</v>
      </c>
      <c r="O29">
        <v>5065.6169600000003</v>
      </c>
      <c r="P29" s="9">
        <f t="shared" si="1"/>
        <v>2264.1553600000002</v>
      </c>
    </row>
    <row r="30" spans="2:16" x14ac:dyDescent="0.35">
      <c r="B30">
        <v>28</v>
      </c>
      <c r="C30" t="s">
        <v>157</v>
      </c>
      <c r="D30" s="17">
        <v>0.06</v>
      </c>
      <c r="E30" s="13">
        <v>44357</v>
      </c>
      <c r="F30" s="1">
        <v>44348</v>
      </c>
      <c r="G30" s="51">
        <v>34.239100000000001</v>
      </c>
      <c r="H30" s="50">
        <v>33.244</v>
      </c>
      <c r="I30" s="51">
        <v>-110.3189</v>
      </c>
      <c r="J30" s="50">
        <v>-110.61499999999999</v>
      </c>
      <c r="K30" s="55">
        <v>6900</v>
      </c>
      <c r="L30" s="56">
        <v>1458</v>
      </c>
      <c r="M30" s="56">
        <f t="shared" si="0"/>
        <v>4782.8232000000007</v>
      </c>
      <c r="O30">
        <v>3435.0394799999999</v>
      </c>
      <c r="P30" s="9">
        <f t="shared" si="1"/>
        <v>-1347.7837200000008</v>
      </c>
    </row>
    <row r="31" spans="2:16" x14ac:dyDescent="0.35">
      <c r="B31">
        <v>29</v>
      </c>
      <c r="C31" t="s">
        <v>158</v>
      </c>
      <c r="D31" s="17">
        <v>0.15</v>
      </c>
      <c r="E31" s="13">
        <v>43668</v>
      </c>
      <c r="F31" s="1">
        <v>43679</v>
      </c>
      <c r="G31" s="51">
        <v>48.616700000000002</v>
      </c>
      <c r="H31" s="50">
        <v>47.976999999999997</v>
      </c>
      <c r="I31" s="51">
        <v>-118.2667</v>
      </c>
      <c r="J31" s="50">
        <v>-118.498</v>
      </c>
      <c r="K31" s="55">
        <v>4400</v>
      </c>
      <c r="L31" s="56">
        <v>1028</v>
      </c>
      <c r="M31" s="56">
        <f t="shared" si="0"/>
        <v>3372.2512000000002</v>
      </c>
      <c r="O31">
        <v>2224.4095200000002</v>
      </c>
      <c r="P31" s="9">
        <f t="shared" si="1"/>
        <v>-1147.84168</v>
      </c>
    </row>
    <row r="32" spans="2:16" x14ac:dyDescent="0.35">
      <c r="B32">
        <v>30</v>
      </c>
      <c r="C32" t="s">
        <v>159</v>
      </c>
      <c r="D32" s="17">
        <v>0.25</v>
      </c>
      <c r="E32" s="13">
        <v>43668</v>
      </c>
      <c r="F32" s="1">
        <v>43307</v>
      </c>
      <c r="G32" s="51">
        <v>48.616700000000002</v>
      </c>
      <c r="H32" s="50">
        <v>44.662999999999997</v>
      </c>
      <c r="I32" s="51">
        <v>-118.2667</v>
      </c>
      <c r="J32" s="50">
        <v>-116.35</v>
      </c>
      <c r="K32" s="55">
        <v>4400</v>
      </c>
      <c r="L32" s="56">
        <v>1247</v>
      </c>
      <c r="M32" s="56">
        <f t="shared" si="0"/>
        <v>4090.6588000000002</v>
      </c>
      <c r="O32">
        <v>6883.2023200000003</v>
      </c>
      <c r="P32" s="9">
        <f t="shared" si="1"/>
        <v>2792.5435200000002</v>
      </c>
    </row>
  </sheetData>
  <sortState xmlns:xlrd2="http://schemas.microsoft.com/office/spreadsheetml/2017/richdata2" ref="B3:J33">
    <sortCondition ref="B3:B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70FE-4DE3-4108-8FF1-064A7DADF530}">
  <dimension ref="A1:N78"/>
  <sheetViews>
    <sheetView topLeftCell="C1" workbookViewId="0">
      <selection activeCell="K12" sqref="K12"/>
    </sheetView>
  </sheetViews>
  <sheetFormatPr defaultRowHeight="14.5" x14ac:dyDescent="0.35"/>
  <cols>
    <col min="2" max="3" width="22.7265625" customWidth="1"/>
    <col min="5" max="5" width="12" customWidth="1"/>
    <col min="6" max="6" width="10.81640625" customWidth="1"/>
    <col min="9" max="9" width="19.81640625" customWidth="1"/>
    <col min="11" max="11" width="27.36328125" customWidth="1"/>
  </cols>
  <sheetData>
    <row r="1" spans="1:14" x14ac:dyDescent="0.35">
      <c r="C1" t="s">
        <v>107</v>
      </c>
      <c r="D1" t="s">
        <v>106</v>
      </c>
      <c r="E1" t="s">
        <v>105</v>
      </c>
      <c r="F1" t="s">
        <v>104</v>
      </c>
      <c r="G1" t="s">
        <v>103</v>
      </c>
      <c r="H1" t="s">
        <v>102</v>
      </c>
      <c r="I1" t="s">
        <v>101</v>
      </c>
      <c r="J1" t="s">
        <v>100</v>
      </c>
      <c r="K1" t="s">
        <v>99</v>
      </c>
      <c r="L1" t="s">
        <v>98</v>
      </c>
      <c r="M1" t="s">
        <v>97</v>
      </c>
      <c r="N1" t="s">
        <v>96</v>
      </c>
    </row>
    <row r="2" spans="1:14" x14ac:dyDescent="0.35">
      <c r="A2">
        <v>1</v>
      </c>
      <c r="B2" s="3" t="s">
        <v>80</v>
      </c>
      <c r="C2">
        <v>20210801</v>
      </c>
      <c r="D2" s="3"/>
      <c r="E2" s="5">
        <v>44410</v>
      </c>
      <c r="F2" s="3" t="s">
        <v>4</v>
      </c>
      <c r="G2" s="3"/>
      <c r="H2" s="3">
        <v>9</v>
      </c>
      <c r="I2" s="3" t="s">
        <v>79</v>
      </c>
      <c r="J2" s="3" t="s">
        <v>17</v>
      </c>
      <c r="K2" s="3" t="s">
        <v>52</v>
      </c>
      <c r="L2" s="4" t="s">
        <v>78</v>
      </c>
      <c r="M2" s="3">
        <v>-122.05444439999999</v>
      </c>
      <c r="N2" s="3">
        <v>3590</v>
      </c>
    </row>
    <row r="3" spans="1:14" x14ac:dyDescent="0.35">
      <c r="A3">
        <v>2</v>
      </c>
      <c r="B3" s="3" t="s">
        <v>31</v>
      </c>
      <c r="C3">
        <v>20200908</v>
      </c>
      <c r="D3">
        <v>206</v>
      </c>
      <c r="E3" s="1">
        <v>43983</v>
      </c>
      <c r="F3" t="s">
        <v>4</v>
      </c>
      <c r="G3" t="s">
        <v>3</v>
      </c>
      <c r="H3">
        <v>17</v>
      </c>
      <c r="I3" t="s">
        <v>25</v>
      </c>
      <c r="J3" t="s">
        <v>7</v>
      </c>
      <c r="K3" t="s">
        <v>6</v>
      </c>
      <c r="L3" s="2" t="s">
        <v>24</v>
      </c>
      <c r="M3">
        <v>-121.89388889999999</v>
      </c>
      <c r="N3">
        <v>4492</v>
      </c>
    </row>
    <row r="4" spans="1:14" x14ac:dyDescent="0.35">
      <c r="A4">
        <v>2</v>
      </c>
      <c r="D4">
        <v>206</v>
      </c>
      <c r="E4" s="1">
        <v>43997</v>
      </c>
      <c r="F4" t="s">
        <v>4</v>
      </c>
      <c r="G4" t="s">
        <v>3</v>
      </c>
      <c r="H4">
        <v>16</v>
      </c>
      <c r="I4" t="s">
        <v>25</v>
      </c>
      <c r="J4" t="s">
        <v>7</v>
      </c>
      <c r="K4" t="s">
        <v>6</v>
      </c>
      <c r="L4" s="2" t="s">
        <v>24</v>
      </c>
      <c r="M4">
        <v>-121.89388889999999</v>
      </c>
      <c r="N4">
        <v>4492</v>
      </c>
    </row>
    <row r="5" spans="1:14" x14ac:dyDescent="0.35">
      <c r="A5">
        <v>2</v>
      </c>
      <c r="D5">
        <v>206</v>
      </c>
      <c r="E5" s="1">
        <v>44015</v>
      </c>
      <c r="F5" t="s">
        <v>4</v>
      </c>
      <c r="G5" t="s">
        <v>3</v>
      </c>
      <c r="H5">
        <v>9</v>
      </c>
      <c r="I5" t="s">
        <v>25</v>
      </c>
      <c r="J5" t="s">
        <v>7</v>
      </c>
      <c r="K5" t="s">
        <v>6</v>
      </c>
      <c r="L5" s="2" t="s">
        <v>24</v>
      </c>
      <c r="M5">
        <v>-121.89388889999999</v>
      </c>
      <c r="N5">
        <v>4492</v>
      </c>
    </row>
    <row r="6" spans="1:14" x14ac:dyDescent="0.35">
      <c r="A6">
        <v>2</v>
      </c>
      <c r="D6">
        <v>206</v>
      </c>
      <c r="E6" s="1">
        <v>44029</v>
      </c>
      <c r="F6" t="s">
        <v>4</v>
      </c>
      <c r="G6" t="s">
        <v>3</v>
      </c>
      <c r="H6">
        <v>7</v>
      </c>
      <c r="I6" t="s">
        <v>25</v>
      </c>
      <c r="J6" t="s">
        <v>7</v>
      </c>
      <c r="K6" t="s">
        <v>6</v>
      </c>
      <c r="L6" s="2" t="s">
        <v>24</v>
      </c>
      <c r="M6">
        <v>-121.89388889999999</v>
      </c>
      <c r="N6">
        <v>4492</v>
      </c>
    </row>
    <row r="7" spans="1:14" x14ac:dyDescent="0.35">
      <c r="A7">
        <v>2</v>
      </c>
      <c r="D7">
        <v>206</v>
      </c>
      <c r="E7" s="1">
        <v>44052</v>
      </c>
      <c r="F7" t="s">
        <v>4</v>
      </c>
      <c r="G7" t="s">
        <v>3</v>
      </c>
      <c r="H7">
        <v>6</v>
      </c>
      <c r="I7" t="s">
        <v>25</v>
      </c>
      <c r="J7" t="s">
        <v>7</v>
      </c>
      <c r="K7" t="s">
        <v>6</v>
      </c>
      <c r="L7" s="2" t="s">
        <v>24</v>
      </c>
      <c r="M7">
        <v>-121.89388889999999</v>
      </c>
      <c r="N7">
        <v>4492</v>
      </c>
    </row>
    <row r="8" spans="1:14" s="6" customFormat="1" x14ac:dyDescent="0.35">
      <c r="A8" s="6">
        <v>2</v>
      </c>
      <c r="D8" s="6">
        <v>206</v>
      </c>
      <c r="E8" s="7">
        <v>44072</v>
      </c>
      <c r="F8" s="6" t="s">
        <v>4</v>
      </c>
      <c r="G8" s="6" t="s">
        <v>3</v>
      </c>
      <c r="H8" s="6">
        <v>5</v>
      </c>
      <c r="I8" s="6" t="s">
        <v>25</v>
      </c>
      <c r="J8" s="6" t="s">
        <v>7</v>
      </c>
      <c r="K8" s="6" t="s">
        <v>6</v>
      </c>
      <c r="L8" s="8" t="s">
        <v>24</v>
      </c>
      <c r="M8" s="6">
        <v>-121.89388889999999</v>
      </c>
      <c r="N8" s="6">
        <v>4492</v>
      </c>
    </row>
    <row r="9" spans="1:14" x14ac:dyDescent="0.35">
      <c r="A9">
        <v>3</v>
      </c>
      <c r="B9" s="3" t="s">
        <v>77</v>
      </c>
      <c r="C9">
        <v>20200912</v>
      </c>
      <c r="D9" s="3"/>
      <c r="E9" s="5">
        <v>44077</v>
      </c>
      <c r="F9" s="3" t="s">
        <v>4</v>
      </c>
      <c r="G9" s="3"/>
      <c r="H9" s="3">
        <v>10</v>
      </c>
      <c r="I9" s="3" t="s">
        <v>76</v>
      </c>
      <c r="J9" s="3" t="s">
        <v>48</v>
      </c>
      <c r="K9" s="3" t="s">
        <v>75</v>
      </c>
      <c r="L9" s="4" t="s">
        <v>74</v>
      </c>
      <c r="M9" s="3">
        <v>-114.1927778</v>
      </c>
      <c r="N9" s="3">
        <v>7574</v>
      </c>
    </row>
    <row r="10" spans="1:14" x14ac:dyDescent="0.35">
      <c r="A10">
        <v>4</v>
      </c>
      <c r="B10" s="3" t="s">
        <v>110</v>
      </c>
      <c r="C10">
        <v>20200816</v>
      </c>
      <c r="D10" s="3"/>
      <c r="E10" s="5"/>
      <c r="F10" s="3"/>
      <c r="G10" s="3"/>
      <c r="H10" s="3"/>
      <c r="I10" s="3"/>
      <c r="J10" s="3"/>
      <c r="K10" s="3"/>
      <c r="L10" s="4"/>
      <c r="M10" s="3"/>
      <c r="N10" s="3"/>
    </row>
    <row r="11" spans="1:14" x14ac:dyDescent="0.35">
      <c r="A11">
        <v>5</v>
      </c>
      <c r="B11" s="3" t="s">
        <v>73</v>
      </c>
      <c r="C11">
        <v>20200607</v>
      </c>
      <c r="D11" s="3"/>
      <c r="E11" s="5">
        <v>43952</v>
      </c>
      <c r="F11" s="3" t="s">
        <v>4</v>
      </c>
      <c r="G11" s="3"/>
      <c r="H11" s="3">
        <v>6</v>
      </c>
      <c r="I11" s="3" t="s">
        <v>72</v>
      </c>
      <c r="J11" s="3" t="s">
        <v>1</v>
      </c>
      <c r="K11" s="3" t="s">
        <v>71</v>
      </c>
      <c r="L11" s="4" t="s">
        <v>70</v>
      </c>
      <c r="M11" s="3">
        <v>-110.72499999999999</v>
      </c>
      <c r="N11" s="3">
        <v>7554</v>
      </c>
    </row>
    <row r="12" spans="1:14" x14ac:dyDescent="0.35">
      <c r="A12">
        <v>6</v>
      </c>
      <c r="B12" t="s">
        <v>30</v>
      </c>
      <c r="C12">
        <v>20220513</v>
      </c>
      <c r="D12">
        <v>503</v>
      </c>
      <c r="E12" s="1">
        <v>44666</v>
      </c>
      <c r="F12" t="s">
        <v>4</v>
      </c>
      <c r="G12" t="s">
        <v>3</v>
      </c>
      <c r="H12">
        <v>8</v>
      </c>
      <c r="I12" t="s">
        <v>29</v>
      </c>
      <c r="J12" t="s">
        <v>1</v>
      </c>
      <c r="K12" t="s">
        <v>28</v>
      </c>
      <c r="L12" s="2" t="s">
        <v>27</v>
      </c>
      <c r="M12">
        <v>-108.44499999999999</v>
      </c>
      <c r="N12">
        <v>8748</v>
      </c>
    </row>
    <row r="13" spans="1:14" x14ac:dyDescent="0.35">
      <c r="A13">
        <v>6</v>
      </c>
      <c r="D13">
        <v>503</v>
      </c>
      <c r="E13" s="1">
        <v>44727</v>
      </c>
      <c r="F13" t="s">
        <v>4</v>
      </c>
      <c r="G13" t="s">
        <v>3</v>
      </c>
      <c r="H13">
        <v>4</v>
      </c>
      <c r="I13" t="s">
        <v>29</v>
      </c>
      <c r="J13" t="s">
        <v>1</v>
      </c>
      <c r="K13" t="s">
        <v>28</v>
      </c>
      <c r="L13" s="2" t="s">
        <v>27</v>
      </c>
      <c r="M13">
        <v>-108.44499999999999</v>
      </c>
      <c r="N13">
        <v>8748</v>
      </c>
    </row>
    <row r="14" spans="1:14" x14ac:dyDescent="0.35">
      <c r="A14">
        <v>6</v>
      </c>
      <c r="D14">
        <v>503</v>
      </c>
      <c r="E14" s="1">
        <v>44819</v>
      </c>
      <c r="F14" t="s">
        <v>4</v>
      </c>
      <c r="G14" t="s">
        <v>3</v>
      </c>
      <c r="H14">
        <v>35</v>
      </c>
      <c r="I14" t="s">
        <v>29</v>
      </c>
      <c r="J14" t="s">
        <v>1</v>
      </c>
      <c r="K14" t="s">
        <v>28</v>
      </c>
      <c r="L14" s="2" t="s">
        <v>27</v>
      </c>
      <c r="M14">
        <v>-108.44499999999999</v>
      </c>
      <c r="N14">
        <v>8748</v>
      </c>
    </row>
    <row r="15" spans="1:14" x14ac:dyDescent="0.35">
      <c r="A15">
        <v>6</v>
      </c>
      <c r="D15">
        <v>503</v>
      </c>
      <c r="E15" s="1">
        <v>44831</v>
      </c>
      <c r="F15" t="s">
        <v>4</v>
      </c>
      <c r="G15" t="s">
        <v>3</v>
      </c>
      <c r="H15">
        <v>95</v>
      </c>
      <c r="I15" t="s">
        <v>29</v>
      </c>
      <c r="J15" t="s">
        <v>1</v>
      </c>
      <c r="K15" t="s">
        <v>28</v>
      </c>
      <c r="L15" s="2" t="s">
        <v>27</v>
      </c>
      <c r="M15">
        <v>-108.44499999999999</v>
      </c>
      <c r="N15">
        <v>8748</v>
      </c>
    </row>
    <row r="16" spans="1:14" x14ac:dyDescent="0.35">
      <c r="A16">
        <v>6</v>
      </c>
      <c r="D16">
        <v>503</v>
      </c>
      <c r="E16" s="1">
        <v>44847</v>
      </c>
      <c r="F16" t="s">
        <v>4</v>
      </c>
      <c r="G16" t="s">
        <v>3</v>
      </c>
      <c r="H16">
        <v>79</v>
      </c>
      <c r="I16" t="s">
        <v>29</v>
      </c>
      <c r="J16" t="s">
        <v>1</v>
      </c>
      <c r="K16" t="s">
        <v>28</v>
      </c>
      <c r="L16" s="2" t="s">
        <v>27</v>
      </c>
      <c r="M16">
        <v>-108.44499999999999</v>
      </c>
      <c r="N16">
        <v>8748</v>
      </c>
    </row>
    <row r="17" spans="1:14" x14ac:dyDescent="0.35">
      <c r="A17">
        <v>6</v>
      </c>
      <c r="D17">
        <v>503</v>
      </c>
      <c r="E17" s="1">
        <v>44886</v>
      </c>
      <c r="F17" t="s">
        <v>4</v>
      </c>
      <c r="G17" t="s">
        <v>3</v>
      </c>
      <c r="H17">
        <v>64</v>
      </c>
      <c r="I17" t="s">
        <v>29</v>
      </c>
      <c r="J17" t="s">
        <v>1</v>
      </c>
      <c r="K17" t="s">
        <v>28</v>
      </c>
      <c r="L17" s="2" t="s">
        <v>27</v>
      </c>
      <c r="M17">
        <v>-108.44499999999999</v>
      </c>
      <c r="N17">
        <v>8748</v>
      </c>
    </row>
    <row r="18" spans="1:14" x14ac:dyDescent="0.35">
      <c r="A18">
        <v>7</v>
      </c>
      <c r="B18" t="s">
        <v>109</v>
      </c>
      <c r="C18">
        <v>20200906</v>
      </c>
      <c r="E18" s="1"/>
      <c r="L18" s="2"/>
    </row>
    <row r="19" spans="1:14" x14ac:dyDescent="0.35">
      <c r="A19">
        <v>8</v>
      </c>
      <c r="B19" s="3" t="s">
        <v>69</v>
      </c>
      <c r="C19">
        <v>20210725</v>
      </c>
      <c r="D19" s="3"/>
      <c r="E19" s="5">
        <v>44378</v>
      </c>
      <c r="F19" s="3" t="s">
        <v>4</v>
      </c>
      <c r="G19" s="3"/>
      <c r="H19" s="3">
        <v>7</v>
      </c>
      <c r="I19" s="3" t="s">
        <v>25</v>
      </c>
      <c r="J19" s="3" t="s">
        <v>7</v>
      </c>
      <c r="K19" s="3" t="s">
        <v>6</v>
      </c>
      <c r="L19" s="4" t="s">
        <v>24</v>
      </c>
      <c r="M19" s="3">
        <v>-121.89388889999999</v>
      </c>
      <c r="N19" s="3">
        <v>4492</v>
      </c>
    </row>
    <row r="20" spans="1:14" x14ac:dyDescent="0.35">
      <c r="A20">
        <v>9</v>
      </c>
      <c r="B20" t="s">
        <v>5</v>
      </c>
      <c r="C20">
        <v>20200613</v>
      </c>
      <c r="D20">
        <v>253</v>
      </c>
      <c r="E20" s="1">
        <v>43924</v>
      </c>
      <c r="F20" t="s">
        <v>4</v>
      </c>
      <c r="G20" t="s">
        <v>3</v>
      </c>
      <c r="H20">
        <v>16</v>
      </c>
      <c r="I20" t="s">
        <v>2</v>
      </c>
      <c r="J20" t="s">
        <v>1</v>
      </c>
      <c r="K20" t="s">
        <v>0</v>
      </c>
      <c r="L20">
        <v>34.456388889999999</v>
      </c>
      <c r="M20">
        <v>-111.4063889</v>
      </c>
      <c r="N20">
        <v>7260</v>
      </c>
    </row>
    <row r="21" spans="1:14" x14ac:dyDescent="0.35">
      <c r="A21">
        <v>9</v>
      </c>
      <c r="D21">
        <v>253</v>
      </c>
      <c r="E21" s="1">
        <v>43958</v>
      </c>
      <c r="F21" t="s">
        <v>4</v>
      </c>
      <c r="G21" t="s">
        <v>3</v>
      </c>
      <c r="H21">
        <v>12</v>
      </c>
      <c r="I21" t="s">
        <v>2</v>
      </c>
      <c r="J21" t="s">
        <v>1</v>
      </c>
      <c r="K21" t="s">
        <v>0</v>
      </c>
      <c r="L21">
        <v>34.456388889999999</v>
      </c>
      <c r="M21">
        <v>-111.4063889</v>
      </c>
      <c r="N21">
        <v>7260</v>
      </c>
    </row>
    <row r="22" spans="1:14" x14ac:dyDescent="0.35">
      <c r="A22">
        <v>9</v>
      </c>
      <c r="D22">
        <v>253</v>
      </c>
      <c r="E22" s="1">
        <v>43985</v>
      </c>
      <c r="F22" t="s">
        <v>4</v>
      </c>
      <c r="G22" t="s">
        <v>3</v>
      </c>
      <c r="H22">
        <v>8</v>
      </c>
      <c r="I22" t="s">
        <v>2</v>
      </c>
      <c r="J22" t="s">
        <v>1</v>
      </c>
      <c r="K22" t="s">
        <v>0</v>
      </c>
      <c r="L22">
        <v>34.456388889999999</v>
      </c>
      <c r="M22">
        <v>-111.4063889</v>
      </c>
      <c r="N22">
        <v>7260</v>
      </c>
    </row>
    <row r="23" spans="1:14" x14ac:dyDescent="0.35">
      <c r="A23">
        <v>9</v>
      </c>
      <c r="D23">
        <v>253</v>
      </c>
      <c r="E23" s="1">
        <v>44020</v>
      </c>
      <c r="F23" t="s">
        <v>4</v>
      </c>
      <c r="G23" t="s">
        <v>3</v>
      </c>
      <c r="H23">
        <v>7</v>
      </c>
      <c r="I23" t="s">
        <v>2</v>
      </c>
      <c r="J23" t="s">
        <v>1</v>
      </c>
      <c r="K23" t="s">
        <v>0</v>
      </c>
      <c r="L23">
        <v>34.456388889999999</v>
      </c>
      <c r="M23">
        <v>-111.4063889</v>
      </c>
      <c r="N23">
        <v>7260</v>
      </c>
    </row>
    <row r="24" spans="1:14" x14ac:dyDescent="0.35">
      <c r="A24">
        <v>9</v>
      </c>
      <c r="D24">
        <v>253</v>
      </c>
      <c r="E24" s="1">
        <v>44101</v>
      </c>
      <c r="F24" t="s">
        <v>4</v>
      </c>
      <c r="G24" t="s">
        <v>3</v>
      </c>
      <c r="H24">
        <v>9</v>
      </c>
      <c r="I24" t="s">
        <v>2</v>
      </c>
      <c r="J24" t="s">
        <v>1</v>
      </c>
      <c r="K24" t="s">
        <v>0</v>
      </c>
      <c r="L24">
        <v>34.456388889999999</v>
      </c>
      <c r="M24">
        <v>-111.4063889</v>
      </c>
      <c r="N24">
        <v>7260</v>
      </c>
    </row>
    <row r="25" spans="1:14" x14ac:dyDescent="0.35">
      <c r="A25">
        <v>9</v>
      </c>
      <c r="D25">
        <v>253</v>
      </c>
      <c r="E25" s="1">
        <v>44119</v>
      </c>
      <c r="F25" t="s">
        <v>4</v>
      </c>
      <c r="G25" t="s">
        <v>3</v>
      </c>
      <c r="H25">
        <v>6</v>
      </c>
      <c r="I25" t="s">
        <v>2</v>
      </c>
      <c r="J25" t="s">
        <v>1</v>
      </c>
      <c r="K25" t="s">
        <v>0</v>
      </c>
      <c r="L25">
        <v>34.456388889999999</v>
      </c>
      <c r="M25">
        <v>-111.4063889</v>
      </c>
      <c r="N25">
        <v>7260</v>
      </c>
    </row>
    <row r="26" spans="1:14" s="3" customFormat="1" x14ac:dyDescent="0.35">
      <c r="A26">
        <v>11</v>
      </c>
      <c r="B26" s="3" t="s">
        <v>68</v>
      </c>
      <c r="C26">
        <v>20200813</v>
      </c>
      <c r="E26" s="5">
        <v>44047</v>
      </c>
      <c r="F26" s="3" t="s">
        <v>4</v>
      </c>
      <c r="H26" s="3">
        <v>8</v>
      </c>
      <c r="I26" s="3" t="s">
        <v>67</v>
      </c>
      <c r="J26" s="3" t="s">
        <v>39</v>
      </c>
      <c r="K26" s="3" t="s">
        <v>66</v>
      </c>
      <c r="L26" s="4" t="s">
        <v>65</v>
      </c>
      <c r="M26" s="3">
        <v>-105.5955556</v>
      </c>
      <c r="N26" s="3">
        <v>8520</v>
      </c>
    </row>
    <row r="27" spans="1:14" s="3" customFormat="1" x14ac:dyDescent="0.35">
      <c r="A27">
        <v>12</v>
      </c>
      <c r="B27" t="s">
        <v>9</v>
      </c>
      <c r="C27">
        <v>20210907</v>
      </c>
      <c r="D27">
        <v>489</v>
      </c>
      <c r="E27" s="1">
        <v>44363</v>
      </c>
      <c r="F27" t="s">
        <v>4</v>
      </c>
      <c r="G27" t="s">
        <v>3</v>
      </c>
      <c r="H27">
        <v>8</v>
      </c>
      <c r="I27" t="s">
        <v>8</v>
      </c>
      <c r="J27" t="s">
        <v>7</v>
      </c>
      <c r="K27" t="s">
        <v>6</v>
      </c>
      <c r="L27">
        <v>42.19</v>
      </c>
      <c r="M27">
        <v>-121.1652778</v>
      </c>
      <c r="N27">
        <v>4928</v>
      </c>
    </row>
    <row r="28" spans="1:14" s="3" customFormat="1" x14ac:dyDescent="0.35">
      <c r="A28">
        <v>12</v>
      </c>
      <c r="B28"/>
      <c r="D28">
        <v>489</v>
      </c>
      <c r="E28" s="1">
        <v>44409</v>
      </c>
      <c r="F28" t="s">
        <v>4</v>
      </c>
      <c r="G28" t="s">
        <v>3</v>
      </c>
      <c r="H28">
        <v>9</v>
      </c>
      <c r="I28" t="s">
        <v>8</v>
      </c>
      <c r="J28" t="s">
        <v>7</v>
      </c>
      <c r="K28" t="s">
        <v>6</v>
      </c>
      <c r="L28">
        <v>42.19</v>
      </c>
      <c r="M28">
        <v>-121.1652778</v>
      </c>
      <c r="N28">
        <v>4928</v>
      </c>
    </row>
    <row r="29" spans="1:14" s="3" customFormat="1" x14ac:dyDescent="0.35">
      <c r="A29">
        <v>13</v>
      </c>
      <c r="B29" t="s">
        <v>14</v>
      </c>
      <c r="C29">
        <v>20200904</v>
      </c>
      <c r="D29">
        <v>163</v>
      </c>
      <c r="E29" s="1">
        <v>43990</v>
      </c>
      <c r="F29" t="s">
        <v>4</v>
      </c>
      <c r="G29" t="s">
        <v>3</v>
      </c>
      <c r="H29">
        <v>20</v>
      </c>
      <c r="I29" t="s">
        <v>13</v>
      </c>
      <c r="J29" t="s">
        <v>12</v>
      </c>
      <c r="K29" t="s">
        <v>11</v>
      </c>
      <c r="L29" s="2" t="s">
        <v>10</v>
      </c>
      <c r="M29">
        <v>-118.76833329999999</v>
      </c>
      <c r="N29">
        <v>6983</v>
      </c>
    </row>
    <row r="30" spans="1:14" s="3" customFormat="1" x14ac:dyDescent="0.35">
      <c r="A30">
        <v>13</v>
      </c>
      <c r="B30"/>
      <c r="C30"/>
      <c r="D30">
        <v>163</v>
      </c>
      <c r="E30" s="1">
        <v>44025</v>
      </c>
      <c r="F30" t="s">
        <v>4</v>
      </c>
      <c r="G30" t="s">
        <v>3</v>
      </c>
      <c r="H30">
        <v>9</v>
      </c>
      <c r="I30" t="s">
        <v>13</v>
      </c>
      <c r="J30" t="s">
        <v>12</v>
      </c>
      <c r="K30" t="s">
        <v>11</v>
      </c>
      <c r="L30" s="2" t="s">
        <v>10</v>
      </c>
      <c r="M30">
        <v>-118.76833329999999</v>
      </c>
      <c r="N30">
        <v>6983</v>
      </c>
    </row>
    <row r="31" spans="1:14" s="3" customFormat="1" x14ac:dyDescent="0.35">
      <c r="A31">
        <v>13</v>
      </c>
      <c r="B31"/>
      <c r="C31"/>
      <c r="D31">
        <v>163</v>
      </c>
      <c r="E31" s="1">
        <v>44070</v>
      </c>
      <c r="F31" t="s">
        <v>4</v>
      </c>
      <c r="G31" t="s">
        <v>3</v>
      </c>
      <c r="H31">
        <v>7</v>
      </c>
      <c r="I31" t="s">
        <v>13</v>
      </c>
      <c r="J31" t="s">
        <v>12</v>
      </c>
      <c r="K31" t="s">
        <v>11</v>
      </c>
      <c r="L31" s="2" t="s">
        <v>10</v>
      </c>
      <c r="M31">
        <v>-118.76833329999999</v>
      </c>
      <c r="N31">
        <v>6983</v>
      </c>
    </row>
    <row r="32" spans="1:14" s="3" customFormat="1" x14ac:dyDescent="0.35">
      <c r="A32">
        <v>13</v>
      </c>
      <c r="B32"/>
      <c r="C32"/>
      <c r="D32">
        <v>163</v>
      </c>
      <c r="E32" s="1">
        <v>44111</v>
      </c>
      <c r="F32" t="s">
        <v>4</v>
      </c>
      <c r="G32" t="s">
        <v>3</v>
      </c>
      <c r="H32">
        <v>5</v>
      </c>
      <c r="I32" t="s">
        <v>13</v>
      </c>
      <c r="J32" t="s">
        <v>12</v>
      </c>
      <c r="K32" t="s">
        <v>11</v>
      </c>
      <c r="L32" s="2" t="s">
        <v>10</v>
      </c>
      <c r="M32">
        <v>-118.76833329999999</v>
      </c>
      <c r="N32">
        <v>6983</v>
      </c>
    </row>
    <row r="33" spans="1:14" s="3" customFormat="1" x14ac:dyDescent="0.35">
      <c r="A33">
        <v>13</v>
      </c>
      <c r="B33"/>
      <c r="C33"/>
      <c r="D33">
        <v>163</v>
      </c>
      <c r="E33" s="1">
        <v>44167</v>
      </c>
      <c r="F33" t="s">
        <v>4</v>
      </c>
      <c r="G33" t="s">
        <v>3</v>
      </c>
      <c r="H33">
        <v>10</v>
      </c>
      <c r="I33" t="s">
        <v>13</v>
      </c>
      <c r="J33" t="s">
        <v>12</v>
      </c>
      <c r="K33" t="s">
        <v>11</v>
      </c>
      <c r="L33" s="2" t="s">
        <v>10</v>
      </c>
      <c r="M33">
        <v>-118.76833329999999</v>
      </c>
      <c r="N33">
        <v>6983</v>
      </c>
    </row>
    <row r="34" spans="1:14" s="3" customFormat="1" x14ac:dyDescent="0.35">
      <c r="A34">
        <v>14</v>
      </c>
      <c r="B34" s="3" t="s">
        <v>19</v>
      </c>
      <c r="C34">
        <v>20210713</v>
      </c>
      <c r="E34" s="5">
        <v>44355</v>
      </c>
      <c r="F34" s="3" t="s">
        <v>4</v>
      </c>
      <c r="H34" s="3">
        <v>11</v>
      </c>
      <c r="I34" s="3" t="s">
        <v>64</v>
      </c>
      <c r="J34" s="3" t="s">
        <v>17</v>
      </c>
      <c r="K34" s="3" t="s">
        <v>63</v>
      </c>
      <c r="L34" s="4" t="s">
        <v>62</v>
      </c>
      <c r="M34" s="3">
        <v>-120.9419444</v>
      </c>
      <c r="N34" s="3">
        <v>3652</v>
      </c>
    </row>
    <row r="35" spans="1:14" s="3" customFormat="1" x14ac:dyDescent="0.35">
      <c r="A35">
        <v>14</v>
      </c>
      <c r="B35" t="s">
        <v>19</v>
      </c>
      <c r="C35"/>
      <c r="D35">
        <v>131</v>
      </c>
      <c r="E35" s="1">
        <v>44349</v>
      </c>
      <c r="F35" t="s">
        <v>4</v>
      </c>
      <c r="G35" t="s">
        <v>3</v>
      </c>
      <c r="H35">
        <v>10.333299999999999</v>
      </c>
      <c r="I35" t="s">
        <v>18</v>
      </c>
      <c r="J35" t="s">
        <v>17</v>
      </c>
      <c r="K35" t="s">
        <v>16</v>
      </c>
      <c r="L35" s="2" t="s">
        <v>15</v>
      </c>
      <c r="M35">
        <v>-121.0238889</v>
      </c>
      <c r="N35">
        <v>3450</v>
      </c>
    </row>
    <row r="36" spans="1:14" s="3" customFormat="1" x14ac:dyDescent="0.35">
      <c r="A36">
        <v>14</v>
      </c>
      <c r="B36"/>
      <c r="C36"/>
      <c r="D36">
        <v>131</v>
      </c>
      <c r="E36" s="1">
        <v>44363</v>
      </c>
      <c r="F36" t="s">
        <v>4</v>
      </c>
      <c r="G36" t="s">
        <v>3</v>
      </c>
      <c r="H36">
        <v>13.3667</v>
      </c>
      <c r="I36" t="s">
        <v>18</v>
      </c>
      <c r="J36" t="s">
        <v>17</v>
      </c>
      <c r="K36" t="s">
        <v>16</v>
      </c>
      <c r="L36" s="2" t="s">
        <v>15</v>
      </c>
      <c r="M36">
        <v>-121.0238889</v>
      </c>
      <c r="N36">
        <v>3450</v>
      </c>
    </row>
    <row r="37" spans="1:14" s="3" customFormat="1" x14ac:dyDescent="0.35">
      <c r="A37">
        <v>14</v>
      </c>
      <c r="B37"/>
      <c r="C37"/>
      <c r="D37">
        <v>131</v>
      </c>
      <c r="E37" s="1">
        <v>44376</v>
      </c>
      <c r="F37" t="s">
        <v>4</v>
      </c>
      <c r="G37" t="s">
        <v>3</v>
      </c>
      <c r="H37">
        <v>11.566700000000001</v>
      </c>
      <c r="I37" t="s">
        <v>18</v>
      </c>
      <c r="J37" t="s">
        <v>17</v>
      </c>
      <c r="K37" t="s">
        <v>16</v>
      </c>
      <c r="L37" s="2" t="s">
        <v>15</v>
      </c>
      <c r="M37">
        <v>-121.0238889</v>
      </c>
      <c r="N37">
        <v>3450</v>
      </c>
    </row>
    <row r="38" spans="1:14" s="3" customFormat="1" x14ac:dyDescent="0.35">
      <c r="A38">
        <v>14</v>
      </c>
      <c r="B38"/>
      <c r="C38"/>
      <c r="D38">
        <v>131</v>
      </c>
      <c r="E38" s="1">
        <v>44389</v>
      </c>
      <c r="F38" t="s">
        <v>4</v>
      </c>
      <c r="G38" t="s">
        <v>3</v>
      </c>
      <c r="H38">
        <v>6.8733300000000002</v>
      </c>
      <c r="I38" t="s">
        <v>18</v>
      </c>
      <c r="J38" t="s">
        <v>17</v>
      </c>
      <c r="K38" t="s">
        <v>16</v>
      </c>
      <c r="L38" s="2" t="s">
        <v>15</v>
      </c>
      <c r="M38">
        <v>-121.0238889</v>
      </c>
      <c r="N38">
        <v>3450</v>
      </c>
    </row>
    <row r="39" spans="1:14" x14ac:dyDescent="0.35">
      <c r="A39">
        <v>14</v>
      </c>
      <c r="D39">
        <v>131</v>
      </c>
      <c r="E39" s="1">
        <v>44412</v>
      </c>
      <c r="F39" t="s">
        <v>4</v>
      </c>
      <c r="G39" t="s">
        <v>3</v>
      </c>
      <c r="H39">
        <v>6.7</v>
      </c>
      <c r="I39" t="s">
        <v>18</v>
      </c>
      <c r="J39" t="s">
        <v>17</v>
      </c>
      <c r="K39" t="s">
        <v>16</v>
      </c>
      <c r="L39" s="2" t="s">
        <v>15</v>
      </c>
      <c r="M39">
        <v>-121.0238889</v>
      </c>
      <c r="N39">
        <v>3450</v>
      </c>
    </row>
    <row r="40" spans="1:14" x14ac:dyDescent="0.35">
      <c r="A40">
        <v>14</v>
      </c>
      <c r="D40">
        <v>131</v>
      </c>
      <c r="E40" s="1">
        <v>44431</v>
      </c>
      <c r="F40" t="s">
        <v>4</v>
      </c>
      <c r="G40" t="s">
        <v>3</v>
      </c>
      <c r="H40">
        <v>9.1999999999999993</v>
      </c>
      <c r="I40" t="s">
        <v>18</v>
      </c>
      <c r="J40" t="s">
        <v>17</v>
      </c>
      <c r="K40" t="s">
        <v>16</v>
      </c>
      <c r="L40" s="2" t="s">
        <v>15</v>
      </c>
      <c r="M40">
        <v>-121.0238889</v>
      </c>
      <c r="N40">
        <v>3450</v>
      </c>
    </row>
    <row r="41" spans="1:14" x14ac:dyDescent="0.35">
      <c r="A41">
        <v>14</v>
      </c>
      <c r="D41">
        <v>131</v>
      </c>
      <c r="E41" s="1">
        <v>44453</v>
      </c>
      <c r="F41" t="s">
        <v>4</v>
      </c>
      <c r="G41" t="s">
        <v>3</v>
      </c>
      <c r="H41">
        <v>10.9</v>
      </c>
      <c r="I41" t="s">
        <v>18</v>
      </c>
      <c r="J41" t="s">
        <v>17</v>
      </c>
      <c r="K41" t="s">
        <v>16</v>
      </c>
      <c r="L41" s="2" t="s">
        <v>15</v>
      </c>
      <c r="M41">
        <v>-121.0238889</v>
      </c>
      <c r="N41">
        <v>3450</v>
      </c>
    </row>
    <row r="42" spans="1:14" x14ac:dyDescent="0.35">
      <c r="A42">
        <v>15</v>
      </c>
      <c r="B42" t="s">
        <v>23</v>
      </c>
      <c r="C42">
        <v>20200818</v>
      </c>
      <c r="D42">
        <v>690</v>
      </c>
      <c r="E42" s="1">
        <v>44300</v>
      </c>
      <c r="F42" t="s">
        <v>4</v>
      </c>
      <c r="G42" t="s">
        <v>3</v>
      </c>
      <c r="H42">
        <v>16</v>
      </c>
      <c r="I42" t="s">
        <v>22</v>
      </c>
      <c r="J42" t="s">
        <v>17</v>
      </c>
      <c r="K42" t="s">
        <v>21</v>
      </c>
      <c r="L42" s="2" t="s">
        <v>20</v>
      </c>
      <c r="M42">
        <v>-122.0455556</v>
      </c>
      <c r="N42">
        <v>1300</v>
      </c>
    </row>
    <row r="43" spans="1:14" x14ac:dyDescent="0.35">
      <c r="A43">
        <v>15</v>
      </c>
      <c r="D43">
        <v>690</v>
      </c>
      <c r="E43" s="1">
        <v>44356</v>
      </c>
      <c r="F43" t="s">
        <v>4</v>
      </c>
      <c r="G43" t="s">
        <v>3</v>
      </c>
      <c r="H43">
        <v>13</v>
      </c>
      <c r="I43" t="s">
        <v>22</v>
      </c>
      <c r="J43" t="s">
        <v>17</v>
      </c>
      <c r="K43" t="s">
        <v>21</v>
      </c>
      <c r="L43" s="2" t="s">
        <v>20</v>
      </c>
      <c r="M43">
        <v>-122.0455556</v>
      </c>
      <c r="N43">
        <v>1300</v>
      </c>
    </row>
    <row r="44" spans="1:14" x14ac:dyDescent="0.35">
      <c r="A44">
        <v>16</v>
      </c>
      <c r="B44" s="3" t="s">
        <v>61</v>
      </c>
      <c r="C44">
        <v>20201014</v>
      </c>
      <c r="D44" s="3"/>
      <c r="E44" s="5">
        <v>44044</v>
      </c>
      <c r="F44" s="3" t="s">
        <v>4</v>
      </c>
      <c r="G44" s="3"/>
      <c r="H44" s="3">
        <v>9</v>
      </c>
      <c r="I44" s="3" t="s">
        <v>60</v>
      </c>
      <c r="J44" s="3" t="s">
        <v>39</v>
      </c>
      <c r="K44" s="3" t="s">
        <v>59</v>
      </c>
      <c r="L44" s="4" t="s">
        <v>58</v>
      </c>
      <c r="M44" s="3">
        <v>-106.0458333</v>
      </c>
      <c r="N44" s="3">
        <v>10003</v>
      </c>
    </row>
    <row r="45" spans="1:14" x14ac:dyDescent="0.35">
      <c r="A45">
        <v>17</v>
      </c>
      <c r="B45" t="s">
        <v>26</v>
      </c>
      <c r="C45">
        <v>20200907</v>
      </c>
      <c r="D45">
        <v>206</v>
      </c>
      <c r="E45" s="1">
        <v>43983</v>
      </c>
      <c r="F45" t="s">
        <v>4</v>
      </c>
      <c r="G45" t="s">
        <v>3</v>
      </c>
      <c r="H45">
        <v>17</v>
      </c>
      <c r="I45" t="s">
        <v>25</v>
      </c>
      <c r="J45" t="s">
        <v>7</v>
      </c>
      <c r="K45" t="s">
        <v>6</v>
      </c>
      <c r="L45" s="2" t="s">
        <v>24</v>
      </c>
      <c r="M45">
        <v>-121.89388889999999</v>
      </c>
      <c r="N45">
        <v>4492</v>
      </c>
    </row>
    <row r="46" spans="1:14" x14ac:dyDescent="0.35">
      <c r="A46">
        <v>17</v>
      </c>
      <c r="D46">
        <v>206</v>
      </c>
      <c r="E46" s="1">
        <v>43997</v>
      </c>
      <c r="F46" t="s">
        <v>4</v>
      </c>
      <c r="G46" t="s">
        <v>3</v>
      </c>
      <c r="H46">
        <v>16</v>
      </c>
      <c r="I46" t="s">
        <v>25</v>
      </c>
      <c r="J46" t="s">
        <v>7</v>
      </c>
      <c r="K46" t="s">
        <v>6</v>
      </c>
      <c r="L46" s="2" t="s">
        <v>24</v>
      </c>
      <c r="M46">
        <v>-121.89388889999999</v>
      </c>
      <c r="N46">
        <v>4492</v>
      </c>
    </row>
    <row r="47" spans="1:14" x14ac:dyDescent="0.35">
      <c r="A47">
        <v>17</v>
      </c>
      <c r="D47">
        <v>206</v>
      </c>
      <c r="E47" s="1">
        <v>44015</v>
      </c>
      <c r="F47" t="s">
        <v>4</v>
      </c>
      <c r="G47" t="s">
        <v>3</v>
      </c>
      <c r="H47">
        <v>9</v>
      </c>
      <c r="I47" t="s">
        <v>25</v>
      </c>
      <c r="J47" t="s">
        <v>7</v>
      </c>
      <c r="K47" t="s">
        <v>6</v>
      </c>
      <c r="L47" s="2" t="s">
        <v>24</v>
      </c>
      <c r="M47">
        <v>-121.89388889999999</v>
      </c>
      <c r="N47">
        <v>4492</v>
      </c>
    </row>
    <row r="48" spans="1:14" x14ac:dyDescent="0.35">
      <c r="A48">
        <v>17</v>
      </c>
      <c r="D48">
        <v>206</v>
      </c>
      <c r="E48" s="1">
        <v>44029</v>
      </c>
      <c r="F48" t="s">
        <v>4</v>
      </c>
      <c r="G48" t="s">
        <v>3</v>
      </c>
      <c r="H48">
        <v>7</v>
      </c>
      <c r="I48" t="s">
        <v>25</v>
      </c>
      <c r="J48" t="s">
        <v>7</v>
      </c>
      <c r="K48" t="s">
        <v>6</v>
      </c>
      <c r="L48" s="2" t="s">
        <v>24</v>
      </c>
      <c r="M48">
        <v>-121.89388889999999</v>
      </c>
      <c r="N48">
        <v>4492</v>
      </c>
    </row>
    <row r="49" spans="1:14" x14ac:dyDescent="0.35">
      <c r="A49">
        <v>17</v>
      </c>
      <c r="D49">
        <v>206</v>
      </c>
      <c r="E49" s="1">
        <v>44052</v>
      </c>
      <c r="F49" t="s">
        <v>4</v>
      </c>
      <c r="G49" t="s">
        <v>3</v>
      </c>
      <c r="H49">
        <v>6</v>
      </c>
      <c r="I49" t="s">
        <v>25</v>
      </c>
      <c r="J49" t="s">
        <v>7</v>
      </c>
      <c r="K49" t="s">
        <v>6</v>
      </c>
      <c r="L49" s="2" t="s">
        <v>24</v>
      </c>
      <c r="M49">
        <v>-121.89388889999999</v>
      </c>
      <c r="N49">
        <v>4492</v>
      </c>
    </row>
    <row r="50" spans="1:14" x14ac:dyDescent="0.35">
      <c r="A50">
        <v>17</v>
      </c>
      <c r="D50">
        <v>206</v>
      </c>
      <c r="E50" s="1">
        <v>44072</v>
      </c>
      <c r="F50" t="s">
        <v>4</v>
      </c>
      <c r="G50" t="s">
        <v>3</v>
      </c>
      <c r="H50">
        <v>5</v>
      </c>
      <c r="I50" t="s">
        <v>25</v>
      </c>
      <c r="J50" t="s">
        <v>7</v>
      </c>
      <c r="K50" t="s">
        <v>6</v>
      </c>
      <c r="L50" s="2" t="s">
        <v>24</v>
      </c>
      <c r="M50">
        <v>-121.89388889999999</v>
      </c>
      <c r="N50">
        <v>4492</v>
      </c>
    </row>
    <row r="51" spans="1:14" x14ac:dyDescent="0.35">
      <c r="A51">
        <v>19</v>
      </c>
      <c r="B51" s="3" t="s">
        <v>57</v>
      </c>
      <c r="C51">
        <v>20210729</v>
      </c>
      <c r="D51" s="3"/>
      <c r="E51" s="5">
        <v>44378</v>
      </c>
      <c r="F51" s="3" t="s">
        <v>4</v>
      </c>
      <c r="G51" s="3"/>
      <c r="H51" s="3">
        <v>8</v>
      </c>
      <c r="I51" s="3" t="s">
        <v>56</v>
      </c>
      <c r="J51" s="3" t="s">
        <v>17</v>
      </c>
      <c r="K51" s="3" t="s">
        <v>52</v>
      </c>
      <c r="L51" s="4" t="s">
        <v>55</v>
      </c>
      <c r="M51" s="3">
        <v>-123.0655556</v>
      </c>
      <c r="N51" s="3">
        <v>4481</v>
      </c>
    </row>
    <row r="52" spans="1:14" x14ac:dyDescent="0.35">
      <c r="A52">
        <v>20</v>
      </c>
      <c r="B52" s="3" t="s">
        <v>54</v>
      </c>
      <c r="C52">
        <v>20210730</v>
      </c>
      <c r="D52" s="3"/>
      <c r="E52" s="5">
        <v>44405</v>
      </c>
      <c r="F52" s="3" t="s">
        <v>4</v>
      </c>
      <c r="G52" s="3"/>
      <c r="H52" s="3">
        <v>7</v>
      </c>
      <c r="I52" s="3" t="s">
        <v>53</v>
      </c>
      <c r="J52" s="3" t="s">
        <v>17</v>
      </c>
      <c r="K52" s="3" t="s">
        <v>52</v>
      </c>
      <c r="L52" s="4" t="s">
        <v>51</v>
      </c>
      <c r="M52" s="3">
        <v>-123.2491667</v>
      </c>
      <c r="N52" s="3">
        <v>1722</v>
      </c>
    </row>
    <row r="53" spans="1:14" x14ac:dyDescent="0.35">
      <c r="A53">
        <v>21</v>
      </c>
      <c r="B53" s="3" t="s">
        <v>50</v>
      </c>
      <c r="C53">
        <v>20220717</v>
      </c>
      <c r="D53" s="3"/>
      <c r="E53" s="5">
        <v>44755</v>
      </c>
      <c r="F53" s="3" t="s">
        <v>4</v>
      </c>
      <c r="G53" s="3"/>
      <c r="H53" s="3">
        <v>6</v>
      </c>
      <c r="I53" s="3" t="s">
        <v>49</v>
      </c>
      <c r="J53" s="3" t="s">
        <v>48</v>
      </c>
      <c r="K53" s="3" t="s">
        <v>47</v>
      </c>
      <c r="L53" s="4" t="s">
        <v>46</v>
      </c>
      <c r="M53" s="3">
        <v>-114.0180556</v>
      </c>
      <c r="N53" s="3">
        <v>4210</v>
      </c>
    </row>
    <row r="54" spans="1:14" x14ac:dyDescent="0.35">
      <c r="A54">
        <v>22</v>
      </c>
      <c r="B54" s="3" t="s">
        <v>45</v>
      </c>
      <c r="C54">
        <v>20200918</v>
      </c>
      <c r="D54" s="3"/>
      <c r="E54" s="5">
        <v>44089</v>
      </c>
      <c r="F54" s="3" t="s">
        <v>4</v>
      </c>
      <c r="G54" s="3"/>
      <c r="H54" s="3">
        <v>8</v>
      </c>
      <c r="I54" s="3" t="s">
        <v>44</v>
      </c>
      <c r="J54" s="3" t="s">
        <v>39</v>
      </c>
      <c r="K54" s="3" t="s">
        <v>43</v>
      </c>
      <c r="L54" s="4" t="s">
        <v>42</v>
      </c>
      <c r="M54" s="3">
        <v>-106.44694440000001</v>
      </c>
      <c r="N54" s="3">
        <v>8655</v>
      </c>
    </row>
    <row r="55" spans="1:14" x14ac:dyDescent="0.35">
      <c r="A55">
        <v>23</v>
      </c>
      <c r="B55" s="3" t="s">
        <v>41</v>
      </c>
      <c r="C55">
        <v>20200731</v>
      </c>
      <c r="D55" s="3"/>
      <c r="E55" s="5">
        <v>44040</v>
      </c>
      <c r="F55" s="3" t="s">
        <v>4</v>
      </c>
      <c r="G55" s="3"/>
      <c r="H55" s="3">
        <v>12</v>
      </c>
      <c r="I55" s="3" t="s">
        <v>40</v>
      </c>
      <c r="J55" s="3" t="s">
        <v>39</v>
      </c>
      <c r="K55" s="3" t="s">
        <v>38</v>
      </c>
      <c r="L55" s="4" t="s">
        <v>37</v>
      </c>
      <c r="M55" s="3">
        <v>-108.6327778</v>
      </c>
      <c r="N55" s="3">
        <v>8137</v>
      </c>
    </row>
    <row r="56" spans="1:14" x14ac:dyDescent="0.35">
      <c r="A56">
        <v>24</v>
      </c>
      <c r="B56" s="3" t="s">
        <v>36</v>
      </c>
      <c r="C56">
        <v>20210808</v>
      </c>
      <c r="D56" s="3"/>
      <c r="E56" s="5">
        <v>44411</v>
      </c>
      <c r="F56" s="3" t="s">
        <v>4</v>
      </c>
      <c r="G56" s="3"/>
      <c r="H56" s="3">
        <v>6</v>
      </c>
      <c r="I56" s="3" t="s">
        <v>35</v>
      </c>
      <c r="J56" s="3" t="s">
        <v>34</v>
      </c>
      <c r="K56" s="3" t="s">
        <v>33</v>
      </c>
      <c r="L56" s="4" t="s">
        <v>32</v>
      </c>
      <c r="M56" s="3">
        <v>-106.0919444</v>
      </c>
      <c r="N56" s="3">
        <v>3120</v>
      </c>
    </row>
    <row r="57" spans="1:14" x14ac:dyDescent="0.35">
      <c r="A57">
        <v>25</v>
      </c>
      <c r="B57" s="3" t="s">
        <v>108</v>
      </c>
      <c r="C57">
        <v>20200908</v>
      </c>
      <c r="D57" s="3"/>
      <c r="E57" s="5"/>
      <c r="F57" s="3"/>
      <c r="G57" s="3"/>
      <c r="H57" s="3"/>
      <c r="I57" s="3"/>
      <c r="J57" s="3"/>
      <c r="K57" s="3"/>
      <c r="L57" s="4"/>
      <c r="M57" s="3"/>
      <c r="N57" s="3"/>
    </row>
    <row r="58" spans="1:14" x14ac:dyDescent="0.35">
      <c r="A58">
        <v>26</v>
      </c>
      <c r="B58" t="s">
        <v>83</v>
      </c>
      <c r="C58">
        <v>20210805</v>
      </c>
      <c r="D58">
        <v>1669</v>
      </c>
      <c r="E58" s="1">
        <v>44350</v>
      </c>
      <c r="F58" t="s">
        <v>4</v>
      </c>
      <c r="G58" t="s">
        <v>3</v>
      </c>
      <c r="H58">
        <v>14</v>
      </c>
      <c r="I58" t="s">
        <v>82</v>
      </c>
      <c r="J58" t="s">
        <v>7</v>
      </c>
      <c r="K58" t="s">
        <v>81</v>
      </c>
      <c r="L58">
        <v>48.616700000000002</v>
      </c>
      <c r="M58">
        <v>-118.2667</v>
      </c>
      <c r="N58">
        <v>4400</v>
      </c>
    </row>
    <row r="59" spans="1:14" x14ac:dyDescent="0.35">
      <c r="A59">
        <v>26</v>
      </c>
      <c r="D59">
        <v>1669</v>
      </c>
      <c r="E59" s="1">
        <v>44364</v>
      </c>
      <c r="F59" t="s">
        <v>4</v>
      </c>
      <c r="G59" t="s">
        <v>3</v>
      </c>
      <c r="H59">
        <v>19</v>
      </c>
      <c r="I59" t="s">
        <v>82</v>
      </c>
      <c r="J59" t="s">
        <v>7</v>
      </c>
      <c r="K59" t="s">
        <v>81</v>
      </c>
      <c r="L59">
        <v>48.616700000000002</v>
      </c>
      <c r="M59">
        <v>-118.2667</v>
      </c>
      <c r="N59">
        <v>4400</v>
      </c>
    </row>
    <row r="60" spans="1:14" x14ac:dyDescent="0.35">
      <c r="A60">
        <v>26</v>
      </c>
      <c r="D60">
        <v>1669</v>
      </c>
      <c r="E60" s="1">
        <v>44375</v>
      </c>
      <c r="F60" t="s">
        <v>4</v>
      </c>
      <c r="G60" t="s">
        <v>3</v>
      </c>
      <c r="H60">
        <v>11</v>
      </c>
      <c r="I60" t="s">
        <v>82</v>
      </c>
      <c r="J60" t="s">
        <v>7</v>
      </c>
      <c r="K60" t="s">
        <v>81</v>
      </c>
      <c r="L60">
        <v>48.616700000000002</v>
      </c>
      <c r="M60">
        <v>-118.2667</v>
      </c>
      <c r="N60">
        <v>4400</v>
      </c>
    </row>
    <row r="61" spans="1:14" x14ac:dyDescent="0.35">
      <c r="A61">
        <v>26</v>
      </c>
      <c r="D61">
        <v>1669</v>
      </c>
      <c r="E61" s="1">
        <v>44383</v>
      </c>
      <c r="F61" t="s">
        <v>4</v>
      </c>
      <c r="G61" t="s">
        <v>3</v>
      </c>
      <c r="H61">
        <v>8</v>
      </c>
      <c r="I61" t="s">
        <v>82</v>
      </c>
      <c r="J61" t="s">
        <v>7</v>
      </c>
      <c r="K61" t="s">
        <v>81</v>
      </c>
      <c r="L61">
        <v>48.616700000000002</v>
      </c>
      <c r="M61">
        <v>-118.2667</v>
      </c>
      <c r="N61">
        <v>4400</v>
      </c>
    </row>
    <row r="62" spans="1:14" x14ac:dyDescent="0.35">
      <c r="A62">
        <v>26</v>
      </c>
      <c r="D62">
        <v>1669</v>
      </c>
      <c r="E62" s="1">
        <v>44390</v>
      </c>
      <c r="F62" t="s">
        <v>4</v>
      </c>
      <c r="G62" t="s">
        <v>3</v>
      </c>
      <c r="H62">
        <v>7</v>
      </c>
      <c r="I62" t="s">
        <v>82</v>
      </c>
      <c r="J62" t="s">
        <v>7</v>
      </c>
      <c r="K62" t="s">
        <v>81</v>
      </c>
      <c r="L62">
        <v>48.616700000000002</v>
      </c>
      <c r="M62">
        <v>-118.2667</v>
      </c>
      <c r="N62">
        <v>4400</v>
      </c>
    </row>
    <row r="63" spans="1:14" x14ac:dyDescent="0.35">
      <c r="A63">
        <v>26</v>
      </c>
      <c r="D63">
        <v>1669</v>
      </c>
      <c r="E63" s="1">
        <v>44404</v>
      </c>
      <c r="F63" t="s">
        <v>4</v>
      </c>
      <c r="G63" t="s">
        <v>3</v>
      </c>
      <c r="H63">
        <v>6</v>
      </c>
      <c r="I63" t="s">
        <v>82</v>
      </c>
      <c r="J63" t="s">
        <v>7</v>
      </c>
      <c r="K63" t="s">
        <v>81</v>
      </c>
      <c r="L63">
        <v>48.616700000000002</v>
      </c>
      <c r="M63">
        <v>-118.2667</v>
      </c>
      <c r="N63">
        <v>4400</v>
      </c>
    </row>
    <row r="64" spans="1:14" x14ac:dyDescent="0.35">
      <c r="A64">
        <v>26</v>
      </c>
      <c r="D64">
        <v>1669</v>
      </c>
      <c r="E64" s="1">
        <v>44427</v>
      </c>
      <c r="F64" t="s">
        <v>4</v>
      </c>
      <c r="G64" t="s">
        <v>3</v>
      </c>
      <c r="H64">
        <v>16</v>
      </c>
      <c r="I64" t="s">
        <v>82</v>
      </c>
      <c r="J64" t="s">
        <v>7</v>
      </c>
      <c r="K64" t="s">
        <v>81</v>
      </c>
      <c r="L64">
        <v>48.616700000000002</v>
      </c>
      <c r="M64">
        <v>-118.2667</v>
      </c>
      <c r="N64">
        <v>4400</v>
      </c>
    </row>
    <row r="65" spans="1:14" x14ac:dyDescent="0.35">
      <c r="A65">
        <v>26</v>
      </c>
      <c r="D65">
        <v>1669</v>
      </c>
      <c r="E65" s="1">
        <v>44438</v>
      </c>
      <c r="F65" t="s">
        <v>4</v>
      </c>
      <c r="G65" t="s">
        <v>3</v>
      </c>
      <c r="H65">
        <v>14</v>
      </c>
      <c r="I65" t="s">
        <v>82</v>
      </c>
      <c r="J65" t="s">
        <v>7</v>
      </c>
      <c r="K65" t="s">
        <v>81</v>
      </c>
      <c r="L65">
        <v>48.616700000000002</v>
      </c>
      <c r="M65">
        <v>-118.2667</v>
      </c>
      <c r="N65">
        <v>4400</v>
      </c>
    </row>
    <row r="66" spans="1:14" x14ac:dyDescent="0.35">
      <c r="A66">
        <v>27</v>
      </c>
      <c r="B66" t="s">
        <v>87</v>
      </c>
      <c r="C66">
        <v>20200908</v>
      </c>
      <c r="D66">
        <v>480</v>
      </c>
      <c r="E66" s="1">
        <v>44076</v>
      </c>
      <c r="F66" t="s">
        <v>4</v>
      </c>
      <c r="G66" t="s">
        <v>3</v>
      </c>
      <c r="H66">
        <v>8</v>
      </c>
      <c r="I66" t="s">
        <v>86</v>
      </c>
      <c r="J66" t="s">
        <v>17</v>
      </c>
      <c r="K66" t="s">
        <v>85</v>
      </c>
      <c r="L66" s="2" t="s">
        <v>84</v>
      </c>
      <c r="M66">
        <v>-124.00749999999999</v>
      </c>
      <c r="N66">
        <v>700</v>
      </c>
    </row>
    <row r="67" spans="1:14" x14ac:dyDescent="0.35">
      <c r="A67">
        <v>28</v>
      </c>
      <c r="B67" t="s">
        <v>95</v>
      </c>
      <c r="C67">
        <v>20210604</v>
      </c>
      <c r="D67">
        <v>240</v>
      </c>
      <c r="E67" s="1">
        <v>44292</v>
      </c>
      <c r="F67" t="s">
        <v>4</v>
      </c>
      <c r="G67" t="s">
        <v>3</v>
      </c>
      <c r="H67">
        <v>5</v>
      </c>
      <c r="I67" t="s">
        <v>72</v>
      </c>
      <c r="J67" t="s">
        <v>1</v>
      </c>
      <c r="K67" t="s">
        <v>71</v>
      </c>
      <c r="L67" s="2" t="s">
        <v>70</v>
      </c>
      <c r="M67">
        <v>-110.72499999999999</v>
      </c>
      <c r="N67">
        <v>7554</v>
      </c>
    </row>
    <row r="68" spans="1:14" x14ac:dyDescent="0.35">
      <c r="A68">
        <v>28</v>
      </c>
      <c r="D68">
        <v>240</v>
      </c>
      <c r="E68" s="1">
        <v>44319</v>
      </c>
      <c r="F68" t="s">
        <v>4</v>
      </c>
      <c r="G68" t="s">
        <v>3</v>
      </c>
      <c r="H68">
        <v>5</v>
      </c>
      <c r="I68" t="s">
        <v>72</v>
      </c>
      <c r="J68" t="s">
        <v>1</v>
      </c>
      <c r="K68" t="s">
        <v>71</v>
      </c>
      <c r="L68" s="2" t="s">
        <v>70</v>
      </c>
      <c r="M68">
        <v>-110.72499999999999</v>
      </c>
      <c r="N68">
        <v>7554</v>
      </c>
    </row>
    <row r="69" spans="1:14" x14ac:dyDescent="0.35">
      <c r="A69">
        <v>28</v>
      </c>
      <c r="D69">
        <v>240</v>
      </c>
      <c r="E69" s="1">
        <v>44366</v>
      </c>
      <c r="F69" t="s">
        <v>4</v>
      </c>
      <c r="G69" t="s">
        <v>3</v>
      </c>
      <c r="H69">
        <v>6</v>
      </c>
      <c r="I69" t="s">
        <v>72</v>
      </c>
      <c r="J69" t="s">
        <v>1</v>
      </c>
      <c r="K69" t="s">
        <v>71</v>
      </c>
      <c r="L69" s="2" t="s">
        <v>70</v>
      </c>
      <c r="M69">
        <v>-110.72499999999999</v>
      </c>
      <c r="N69">
        <v>7554</v>
      </c>
    </row>
    <row r="70" spans="1:14" x14ac:dyDescent="0.35">
      <c r="A70">
        <v>29</v>
      </c>
      <c r="B70" t="s">
        <v>94</v>
      </c>
      <c r="C70">
        <v>20200908</v>
      </c>
      <c r="D70">
        <v>1195</v>
      </c>
      <c r="E70" s="1">
        <v>44006</v>
      </c>
      <c r="F70" t="s">
        <v>4</v>
      </c>
      <c r="G70" t="s">
        <v>3</v>
      </c>
      <c r="H70">
        <v>25</v>
      </c>
      <c r="I70" t="s">
        <v>93</v>
      </c>
      <c r="J70" t="s">
        <v>7</v>
      </c>
      <c r="K70" t="s">
        <v>92</v>
      </c>
      <c r="L70">
        <v>48.520555555555497</v>
      </c>
      <c r="M70">
        <v>-120.1430556</v>
      </c>
      <c r="N70">
        <v>2800</v>
      </c>
    </row>
    <row r="71" spans="1:14" x14ac:dyDescent="0.35">
      <c r="A71">
        <v>29</v>
      </c>
      <c r="D71">
        <v>1195</v>
      </c>
      <c r="E71" s="1">
        <v>44020</v>
      </c>
      <c r="F71" t="s">
        <v>4</v>
      </c>
      <c r="G71" t="s">
        <v>3</v>
      </c>
      <c r="H71">
        <v>13</v>
      </c>
      <c r="I71" t="s">
        <v>93</v>
      </c>
      <c r="J71" t="s">
        <v>7</v>
      </c>
      <c r="K71" t="s">
        <v>92</v>
      </c>
      <c r="L71">
        <v>48.520555555555497</v>
      </c>
      <c r="M71">
        <v>-120.1430556</v>
      </c>
      <c r="N71">
        <v>2800</v>
      </c>
    </row>
    <row r="72" spans="1:14" x14ac:dyDescent="0.35">
      <c r="A72">
        <v>29</v>
      </c>
      <c r="D72">
        <v>1195</v>
      </c>
      <c r="E72" s="1">
        <v>44034</v>
      </c>
      <c r="F72" t="s">
        <v>4</v>
      </c>
      <c r="G72" t="s">
        <v>3</v>
      </c>
      <c r="H72">
        <v>11</v>
      </c>
      <c r="I72" t="s">
        <v>93</v>
      </c>
      <c r="J72" t="s">
        <v>7</v>
      </c>
      <c r="K72" t="s">
        <v>92</v>
      </c>
      <c r="L72">
        <v>48.520555555555497</v>
      </c>
      <c r="M72">
        <v>-120.1430556</v>
      </c>
      <c r="N72">
        <v>2800</v>
      </c>
    </row>
    <row r="73" spans="1:14" x14ac:dyDescent="0.35">
      <c r="A73">
        <v>29</v>
      </c>
      <c r="D73">
        <v>1195</v>
      </c>
      <c r="E73" s="1">
        <v>44048</v>
      </c>
      <c r="F73" t="s">
        <v>4</v>
      </c>
      <c r="G73" t="s">
        <v>3</v>
      </c>
      <c r="H73">
        <v>8</v>
      </c>
      <c r="I73" t="s">
        <v>93</v>
      </c>
      <c r="J73" t="s">
        <v>7</v>
      </c>
      <c r="K73" t="s">
        <v>92</v>
      </c>
      <c r="L73">
        <v>48.520555555555497</v>
      </c>
      <c r="M73">
        <v>-120.1430556</v>
      </c>
      <c r="N73">
        <v>2800</v>
      </c>
    </row>
    <row r="74" spans="1:14" x14ac:dyDescent="0.35">
      <c r="A74">
        <v>29</v>
      </c>
      <c r="D74">
        <v>1195</v>
      </c>
      <c r="E74" s="1">
        <v>44062</v>
      </c>
      <c r="F74" t="s">
        <v>4</v>
      </c>
      <c r="G74" t="s">
        <v>3</v>
      </c>
      <c r="H74">
        <v>8</v>
      </c>
      <c r="I74" t="s">
        <v>93</v>
      </c>
      <c r="J74" t="s">
        <v>7</v>
      </c>
      <c r="K74" t="s">
        <v>92</v>
      </c>
      <c r="L74">
        <v>48.520555555555497</v>
      </c>
      <c r="M74">
        <v>-120.1430556</v>
      </c>
      <c r="N74">
        <v>2800</v>
      </c>
    </row>
    <row r="75" spans="1:14" x14ac:dyDescent="0.35">
      <c r="A75">
        <v>29</v>
      </c>
      <c r="D75">
        <v>1195</v>
      </c>
      <c r="E75" s="1">
        <v>44076</v>
      </c>
      <c r="F75" t="s">
        <v>4</v>
      </c>
      <c r="G75" t="s">
        <v>3</v>
      </c>
      <c r="H75">
        <v>9</v>
      </c>
      <c r="I75" t="s">
        <v>93</v>
      </c>
      <c r="J75" t="s">
        <v>7</v>
      </c>
      <c r="K75" t="s">
        <v>92</v>
      </c>
      <c r="L75">
        <v>48.520555555555497</v>
      </c>
      <c r="M75">
        <v>-120.1430556</v>
      </c>
      <c r="N75">
        <v>2800</v>
      </c>
    </row>
    <row r="76" spans="1:14" x14ac:dyDescent="0.35">
      <c r="A76">
        <v>29</v>
      </c>
      <c r="D76">
        <v>1195</v>
      </c>
      <c r="E76" s="1">
        <v>44104</v>
      </c>
      <c r="F76" t="s">
        <v>4</v>
      </c>
      <c r="G76" t="s">
        <v>3</v>
      </c>
      <c r="H76">
        <v>11</v>
      </c>
      <c r="I76" t="s">
        <v>93</v>
      </c>
      <c r="J76" t="s">
        <v>7</v>
      </c>
      <c r="K76" t="s">
        <v>92</v>
      </c>
      <c r="L76">
        <v>48.520555555555497</v>
      </c>
      <c r="M76">
        <v>-120.1430556</v>
      </c>
      <c r="N76">
        <v>2800</v>
      </c>
    </row>
    <row r="77" spans="1:14" x14ac:dyDescent="0.35">
      <c r="A77">
        <v>29</v>
      </c>
      <c r="D77">
        <v>1195</v>
      </c>
      <c r="E77" s="1">
        <v>44120</v>
      </c>
      <c r="F77" t="s">
        <v>4</v>
      </c>
      <c r="G77" t="s">
        <v>3</v>
      </c>
      <c r="H77">
        <v>42</v>
      </c>
      <c r="I77" t="s">
        <v>93</v>
      </c>
      <c r="J77" t="s">
        <v>7</v>
      </c>
      <c r="K77" t="s">
        <v>92</v>
      </c>
      <c r="L77">
        <v>48.520555555555497</v>
      </c>
      <c r="M77">
        <v>-120.1430556</v>
      </c>
      <c r="N77">
        <v>2800</v>
      </c>
    </row>
    <row r="78" spans="1:14" x14ac:dyDescent="0.35">
      <c r="A78">
        <v>30</v>
      </c>
      <c r="B78" t="s">
        <v>91</v>
      </c>
      <c r="C78">
        <v>20200907</v>
      </c>
      <c r="D78">
        <v>1316</v>
      </c>
      <c r="E78" s="1">
        <v>44052</v>
      </c>
      <c r="F78" t="s">
        <v>4</v>
      </c>
      <c r="G78" t="s">
        <v>3</v>
      </c>
      <c r="H78">
        <v>5</v>
      </c>
      <c r="I78" t="s">
        <v>90</v>
      </c>
      <c r="J78" t="s">
        <v>48</v>
      </c>
      <c r="K78" t="s">
        <v>89</v>
      </c>
      <c r="L78" s="2" t="s">
        <v>88</v>
      </c>
      <c r="M78">
        <v>-116.4266667</v>
      </c>
      <c r="N78">
        <v>3900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AA86-AB4A-4D7C-8370-E2FAC2414708}">
  <dimension ref="A1:S58"/>
  <sheetViews>
    <sheetView showGridLines="0" zoomScale="78" zoomScaleNormal="78" workbookViewId="0">
      <pane xSplit="6" topLeftCell="G1" activePane="topRight" state="frozen"/>
      <selection activeCell="A4" sqref="A4"/>
      <selection pane="topRight" activeCell="U48" sqref="U48"/>
    </sheetView>
  </sheetViews>
  <sheetFormatPr defaultRowHeight="14.5" x14ac:dyDescent="0.35"/>
  <cols>
    <col min="1" max="1" width="46.7265625" customWidth="1"/>
    <col min="2" max="2" width="8.7265625" hidden="1" customWidth="1"/>
    <col min="3" max="6" width="0" hidden="1" customWidth="1"/>
    <col min="7" max="7" width="9.81640625" customWidth="1"/>
    <col min="8" max="8" width="10.26953125" style="16" hidden="1" customWidth="1"/>
    <col min="9" max="9" width="12.1796875" style="16" customWidth="1"/>
    <col min="10" max="10" width="13.7265625" hidden="1" customWidth="1"/>
    <col min="11" max="12" width="0" hidden="1" customWidth="1"/>
    <col min="13" max="13" width="1.90625" hidden="1" customWidth="1"/>
    <col min="14" max="14" width="11.26953125" customWidth="1"/>
    <col min="15" max="15" width="12.36328125" style="16" customWidth="1"/>
    <col min="16" max="19" width="0" hidden="1" customWidth="1"/>
  </cols>
  <sheetData>
    <row r="1" spans="1:19" x14ac:dyDescent="0.35">
      <c r="B1" t="s">
        <v>98</v>
      </c>
      <c r="C1" t="s">
        <v>97</v>
      </c>
    </row>
    <row r="2" spans="1:19" x14ac:dyDescent="0.35">
      <c r="A2" s="25" t="s">
        <v>200</v>
      </c>
      <c r="B2">
        <v>32.316699999999997</v>
      </c>
      <c r="C2" t="s">
        <v>166</v>
      </c>
    </row>
    <row r="3" spans="1:19" x14ac:dyDescent="0.35">
      <c r="A3" s="22" t="s">
        <v>199</v>
      </c>
      <c r="B3">
        <v>32.442999999999998</v>
      </c>
      <c r="C3">
        <v>-110.727</v>
      </c>
    </row>
    <row r="4" spans="1:19" x14ac:dyDescent="0.35">
      <c r="A4" s="19"/>
    </row>
    <row r="5" spans="1:19" x14ac:dyDescent="0.35">
      <c r="A5" s="19" t="s">
        <v>201</v>
      </c>
    </row>
    <row r="6" spans="1:19" ht="17" hidden="1" x14ac:dyDescent="0.35">
      <c r="A6" s="21">
        <v>43989</v>
      </c>
    </row>
    <row r="7" spans="1:19" ht="18" hidden="1" x14ac:dyDescent="0.35">
      <c r="A7" s="20"/>
    </row>
    <row r="8" spans="1:19" hidden="1" x14ac:dyDescent="0.35">
      <c r="A8" s="22" t="s">
        <v>168</v>
      </c>
      <c r="B8" s="22" t="s">
        <v>169</v>
      </c>
      <c r="C8" s="22"/>
      <c r="D8" s="44"/>
      <c r="E8" s="44"/>
      <c r="F8" s="44"/>
      <c r="G8" s="22" t="s">
        <v>170</v>
      </c>
      <c r="H8" s="34"/>
      <c r="I8" s="34"/>
      <c r="J8" s="22" t="s">
        <v>171</v>
      </c>
      <c r="K8" s="22"/>
      <c r="L8" s="22" t="s">
        <v>171</v>
      </c>
      <c r="M8" s="22"/>
      <c r="N8" s="22" t="s">
        <v>172</v>
      </c>
      <c r="O8" s="34"/>
      <c r="P8" s="22"/>
      <c r="Q8" s="22"/>
      <c r="R8" s="22"/>
      <c r="S8" s="22"/>
    </row>
    <row r="9" spans="1:19" hidden="1" x14ac:dyDescent="0.35">
      <c r="A9" s="22" t="s">
        <v>173</v>
      </c>
      <c r="B9" s="22" t="s">
        <v>174</v>
      </c>
      <c r="C9" s="22"/>
      <c r="D9" s="44" t="s">
        <v>175</v>
      </c>
      <c r="E9" s="44"/>
      <c r="F9" s="44"/>
      <c r="G9" s="22" t="s">
        <v>176</v>
      </c>
      <c r="H9" s="34"/>
      <c r="I9" s="34"/>
      <c r="J9" s="22" t="s">
        <v>176</v>
      </c>
      <c r="K9" s="22"/>
      <c r="L9" s="22" t="s">
        <v>177</v>
      </c>
      <c r="M9" s="22"/>
      <c r="N9" s="22" t="s">
        <v>178</v>
      </c>
      <c r="O9" s="34"/>
      <c r="P9" s="22" t="s">
        <v>179</v>
      </c>
      <c r="Q9" s="22" t="s">
        <v>180</v>
      </c>
      <c r="R9" s="22"/>
      <c r="S9" s="22" t="s">
        <v>169</v>
      </c>
    </row>
    <row r="10" spans="1:19" ht="28" hidden="1" x14ac:dyDescent="0.35">
      <c r="A10" s="22" t="s">
        <v>181</v>
      </c>
      <c r="B10" s="22" t="s">
        <v>182</v>
      </c>
      <c r="C10" s="22"/>
      <c r="D10" s="22" t="s">
        <v>183</v>
      </c>
      <c r="E10" s="22" t="s">
        <v>184</v>
      </c>
      <c r="F10" s="22" t="s">
        <v>185</v>
      </c>
      <c r="G10" s="22" t="s">
        <v>186</v>
      </c>
      <c r="H10" s="34" t="s">
        <v>212</v>
      </c>
      <c r="I10" s="34" t="s">
        <v>213</v>
      </c>
      <c r="J10" s="22" t="s">
        <v>186</v>
      </c>
      <c r="K10" s="22"/>
      <c r="L10" s="22" t="s">
        <v>186</v>
      </c>
      <c r="M10" s="22"/>
      <c r="N10" s="22" t="s">
        <v>186</v>
      </c>
      <c r="O10" s="34" t="s">
        <v>211</v>
      </c>
      <c r="P10" s="22" t="s">
        <v>187</v>
      </c>
      <c r="Q10" s="22" t="s">
        <v>188</v>
      </c>
      <c r="R10" s="22"/>
      <c r="S10" s="22" t="s">
        <v>189</v>
      </c>
    </row>
    <row r="11" spans="1:19" hidden="1" x14ac:dyDescent="0.35">
      <c r="A11" s="22" t="s">
        <v>190</v>
      </c>
      <c r="B11" s="22" t="s">
        <v>191</v>
      </c>
      <c r="C11" s="22"/>
      <c r="D11" s="22" t="s">
        <v>192</v>
      </c>
      <c r="E11" s="22" t="s">
        <v>193</v>
      </c>
      <c r="F11" s="22" t="s">
        <v>192</v>
      </c>
      <c r="G11" s="22" t="s">
        <v>194</v>
      </c>
      <c r="H11" s="34"/>
      <c r="I11" s="34"/>
      <c r="J11" s="22" t="s">
        <v>194</v>
      </c>
      <c r="K11" s="22"/>
      <c r="L11" s="22" t="s">
        <v>195</v>
      </c>
      <c r="M11" s="22"/>
      <c r="N11" s="22" t="s">
        <v>195</v>
      </c>
      <c r="O11" s="34"/>
      <c r="P11" s="44" t="s">
        <v>194</v>
      </c>
      <c r="Q11" s="44"/>
      <c r="R11" s="22"/>
      <c r="S11" s="22" t="s">
        <v>196</v>
      </c>
    </row>
    <row r="12" spans="1:19" hidden="1" x14ac:dyDescent="0.35">
      <c r="A12" s="23">
        <v>4.1666666666666664E-2</v>
      </c>
      <c r="B12" s="24">
        <v>0</v>
      </c>
      <c r="C12" s="24"/>
      <c r="D12" s="24">
        <v>1</v>
      </c>
      <c r="E12" s="24">
        <v>297</v>
      </c>
      <c r="F12" s="24">
        <v>7</v>
      </c>
      <c r="G12" s="22">
        <v>72</v>
      </c>
      <c r="H12" s="34"/>
      <c r="I12" s="35"/>
      <c r="J12" s="22">
        <v>68</v>
      </c>
      <c r="K12" s="24"/>
      <c r="L12" s="22">
        <v>4.8</v>
      </c>
      <c r="M12" s="24"/>
      <c r="N12" s="22">
        <v>26</v>
      </c>
      <c r="O12" s="35"/>
      <c r="P12" s="24">
        <v>35</v>
      </c>
      <c r="Q12" s="24">
        <v>52</v>
      </c>
      <c r="R12" s="24"/>
      <c r="S12" s="22">
        <v>0</v>
      </c>
    </row>
    <row r="13" spans="1:19" hidden="1" x14ac:dyDescent="0.35">
      <c r="A13" s="23">
        <v>8.3333333333333329E-2</v>
      </c>
      <c r="B13" s="24">
        <v>0</v>
      </c>
      <c r="C13" s="24"/>
      <c r="D13" s="24">
        <v>3</v>
      </c>
      <c r="E13" s="24">
        <v>5</v>
      </c>
      <c r="F13" s="24">
        <v>5</v>
      </c>
      <c r="G13" s="22">
        <v>68</v>
      </c>
      <c r="H13" s="34"/>
      <c r="I13" s="35"/>
      <c r="J13" s="22">
        <v>63</v>
      </c>
      <c r="K13" s="24"/>
      <c r="L13" s="22">
        <v>5.4</v>
      </c>
      <c r="M13" s="24"/>
      <c r="N13" s="22">
        <v>31</v>
      </c>
      <c r="O13" s="35"/>
      <c r="P13" s="24">
        <v>36</v>
      </c>
      <c r="Q13" s="24">
        <v>51</v>
      </c>
      <c r="R13" s="24"/>
      <c r="S13" s="22">
        <v>0</v>
      </c>
    </row>
    <row r="14" spans="1:19" hidden="1" x14ac:dyDescent="0.35">
      <c r="A14" s="23">
        <v>0.125</v>
      </c>
      <c r="B14" s="24">
        <v>0</v>
      </c>
      <c r="C14" s="24"/>
      <c r="D14" s="24">
        <v>1</v>
      </c>
      <c r="E14" s="24">
        <v>18</v>
      </c>
      <c r="F14" s="24">
        <v>4</v>
      </c>
      <c r="G14" s="22">
        <v>65</v>
      </c>
      <c r="H14" s="34"/>
      <c r="I14" s="35"/>
      <c r="J14" s="22">
        <v>60</v>
      </c>
      <c r="K14" s="24"/>
      <c r="L14" s="22">
        <v>5.9</v>
      </c>
      <c r="M14" s="24"/>
      <c r="N14" s="22">
        <v>35</v>
      </c>
      <c r="O14" s="35"/>
      <c r="P14" s="24">
        <v>37</v>
      </c>
      <c r="Q14" s="24">
        <v>50</v>
      </c>
      <c r="R14" s="24"/>
      <c r="S14" s="22">
        <v>0</v>
      </c>
    </row>
    <row r="15" spans="1:19" hidden="1" x14ac:dyDescent="0.35">
      <c r="A15" s="23">
        <v>0.16666666666666666</v>
      </c>
      <c r="B15" s="24">
        <v>0</v>
      </c>
      <c r="C15" s="24"/>
      <c r="D15" s="24">
        <v>2</v>
      </c>
      <c r="E15" s="24">
        <v>347</v>
      </c>
      <c r="F15" s="24">
        <v>6</v>
      </c>
      <c r="G15" s="22">
        <v>67</v>
      </c>
      <c r="H15" s="34"/>
      <c r="I15" s="35"/>
      <c r="J15" s="22">
        <v>62</v>
      </c>
      <c r="K15" s="24"/>
      <c r="L15" s="22">
        <v>6.2</v>
      </c>
      <c r="M15" s="24"/>
      <c r="N15" s="22">
        <v>33</v>
      </c>
      <c r="O15" s="35"/>
      <c r="P15" s="24">
        <v>37</v>
      </c>
      <c r="Q15" s="24">
        <v>50</v>
      </c>
      <c r="R15" s="24"/>
      <c r="S15" s="22">
        <v>0</v>
      </c>
    </row>
    <row r="16" spans="1:19" hidden="1" x14ac:dyDescent="0.35">
      <c r="A16" s="26" t="s">
        <v>202</v>
      </c>
      <c r="B16" s="24">
        <v>0</v>
      </c>
      <c r="C16" s="24"/>
      <c r="D16" s="24">
        <v>2</v>
      </c>
      <c r="E16" s="24">
        <v>332</v>
      </c>
      <c r="F16" s="24">
        <v>5</v>
      </c>
      <c r="G16" s="22">
        <v>63</v>
      </c>
      <c r="H16" s="16">
        <v>17.362359619140602</v>
      </c>
      <c r="I16" s="16">
        <f>(H16* 9/5) + 32</f>
        <v>63.252247314453079</v>
      </c>
      <c r="J16" s="22">
        <v>58</v>
      </c>
      <c r="K16" s="24"/>
      <c r="L16" s="22">
        <v>6.5</v>
      </c>
      <c r="M16" s="24"/>
      <c r="N16" s="22">
        <v>39</v>
      </c>
      <c r="O16" s="16">
        <v>55.9840487040371</v>
      </c>
      <c r="P16" s="24">
        <v>38</v>
      </c>
      <c r="Q16" s="24">
        <v>49</v>
      </c>
      <c r="R16" s="24"/>
      <c r="S16" s="22">
        <v>0</v>
      </c>
    </row>
    <row r="17" spans="1:19" hidden="1" x14ac:dyDescent="0.35">
      <c r="A17" s="23">
        <v>0.25</v>
      </c>
      <c r="B17" s="24">
        <v>1.8</v>
      </c>
      <c r="C17" s="24"/>
      <c r="D17" s="24">
        <v>1</v>
      </c>
      <c r="E17" s="24">
        <v>49</v>
      </c>
      <c r="F17" s="24">
        <v>3</v>
      </c>
      <c r="G17" s="22">
        <v>64</v>
      </c>
      <c r="H17" s="16">
        <v>27.078424072265602</v>
      </c>
      <c r="I17" s="16">
        <f t="shared" ref="I17:I34" si="0">(H17* 9/5) + 32</f>
        <v>80.741163330078081</v>
      </c>
      <c r="J17" s="22">
        <v>59</v>
      </c>
      <c r="K17" s="24"/>
      <c r="L17" s="22">
        <v>7.1</v>
      </c>
      <c r="M17" s="24"/>
      <c r="N17" s="22">
        <v>41</v>
      </c>
      <c r="O17" s="16">
        <v>22.8820474948424</v>
      </c>
      <c r="P17" s="24">
        <v>40</v>
      </c>
      <c r="Q17" s="24">
        <v>50</v>
      </c>
      <c r="R17" s="24"/>
      <c r="S17" s="22">
        <v>0</v>
      </c>
    </row>
    <row r="18" spans="1:19" hidden="1" x14ac:dyDescent="0.35">
      <c r="A18" s="23">
        <v>0.29166666666666669</v>
      </c>
      <c r="B18" s="24">
        <v>16.899999999999999</v>
      </c>
      <c r="C18" s="24"/>
      <c r="D18" s="24">
        <v>2</v>
      </c>
      <c r="E18" s="24">
        <v>32</v>
      </c>
      <c r="F18" s="24">
        <v>4</v>
      </c>
      <c r="G18" s="22">
        <v>80</v>
      </c>
      <c r="H18" s="16">
        <v>29.964959716796901</v>
      </c>
      <c r="I18" s="16">
        <f t="shared" si="0"/>
        <v>85.936927490234424</v>
      </c>
      <c r="J18" s="22">
        <v>81</v>
      </c>
      <c r="K18" s="24"/>
      <c r="L18" s="22">
        <v>5</v>
      </c>
      <c r="M18" s="24"/>
      <c r="N18" s="22">
        <v>25</v>
      </c>
      <c r="O18" s="16">
        <v>19.259889378817299</v>
      </c>
      <c r="P18" s="24">
        <v>41</v>
      </c>
      <c r="Q18" s="24">
        <v>57</v>
      </c>
      <c r="R18" s="24"/>
      <c r="S18" s="22">
        <v>0</v>
      </c>
    </row>
    <row r="19" spans="1:19" hidden="1" x14ac:dyDescent="0.35">
      <c r="A19" s="23">
        <v>0.33333333333333331</v>
      </c>
      <c r="B19" s="24">
        <v>34.299999999999997</v>
      </c>
      <c r="C19" s="24"/>
      <c r="D19" s="24">
        <v>2</v>
      </c>
      <c r="E19" s="24">
        <v>149</v>
      </c>
      <c r="F19" s="24">
        <v>6</v>
      </c>
      <c r="G19" s="22">
        <v>83</v>
      </c>
      <c r="H19" s="16">
        <v>22.864221191406301</v>
      </c>
      <c r="I19" s="16">
        <f t="shared" si="0"/>
        <v>73.155598144531339</v>
      </c>
      <c r="J19" s="22">
        <v>91</v>
      </c>
      <c r="K19" s="24"/>
      <c r="L19" s="22">
        <v>3.5</v>
      </c>
      <c r="M19" s="24"/>
      <c r="N19" s="22">
        <v>20</v>
      </c>
      <c r="O19" s="16">
        <v>34.893353459358103</v>
      </c>
      <c r="P19" s="24">
        <v>38</v>
      </c>
      <c r="Q19" s="24">
        <v>57</v>
      </c>
      <c r="R19" s="24"/>
      <c r="S19" s="22">
        <v>0</v>
      </c>
    </row>
    <row r="20" spans="1:19" hidden="1" x14ac:dyDescent="0.35">
      <c r="A20" s="23">
        <v>0.375</v>
      </c>
      <c r="B20" s="24">
        <v>51.4</v>
      </c>
      <c r="C20" s="24"/>
      <c r="D20" s="24">
        <v>5</v>
      </c>
      <c r="E20" s="24">
        <v>226</v>
      </c>
      <c r="F20" s="24">
        <v>9</v>
      </c>
      <c r="G20" s="22">
        <v>85</v>
      </c>
      <c r="H20" s="35"/>
      <c r="I20" s="16">
        <f t="shared" si="0"/>
        <v>32</v>
      </c>
      <c r="J20" s="22">
        <v>98</v>
      </c>
      <c r="K20" s="24"/>
      <c r="L20" s="22">
        <v>2.5</v>
      </c>
      <c r="M20" s="24"/>
      <c r="N20" s="22">
        <v>15</v>
      </c>
      <c r="O20" s="35"/>
      <c r="P20" s="24">
        <v>32</v>
      </c>
      <c r="Q20" s="24">
        <v>56</v>
      </c>
      <c r="R20" s="24"/>
      <c r="S20" s="22">
        <v>0</v>
      </c>
    </row>
    <row r="21" spans="1:19" hidden="1" x14ac:dyDescent="0.35">
      <c r="A21" s="23">
        <v>0.41666666666666669</v>
      </c>
      <c r="B21" s="24">
        <v>66</v>
      </c>
      <c r="C21" s="24"/>
      <c r="D21" s="24">
        <v>7</v>
      </c>
      <c r="E21" s="24">
        <v>270</v>
      </c>
      <c r="F21" s="24">
        <v>14</v>
      </c>
      <c r="G21" s="22">
        <v>87</v>
      </c>
      <c r="H21" s="35"/>
      <c r="I21" s="16">
        <f t="shared" si="0"/>
        <v>32</v>
      </c>
      <c r="J21" s="22">
        <v>104</v>
      </c>
      <c r="K21" s="24"/>
      <c r="L21" s="22">
        <v>1.8</v>
      </c>
      <c r="M21" s="24"/>
      <c r="N21" s="22">
        <v>14</v>
      </c>
      <c r="O21" s="35"/>
      <c r="P21" s="24">
        <v>32</v>
      </c>
      <c r="Q21" s="24">
        <v>56</v>
      </c>
      <c r="R21" s="24"/>
      <c r="S21" s="22">
        <v>0</v>
      </c>
    </row>
    <row r="22" spans="1:19" hidden="1" x14ac:dyDescent="0.35">
      <c r="A22" s="26" t="s">
        <v>203</v>
      </c>
      <c r="B22" s="24">
        <v>76.2</v>
      </c>
      <c r="C22" s="24"/>
      <c r="D22" s="24">
        <v>7</v>
      </c>
      <c r="E22" s="24">
        <v>296</v>
      </c>
      <c r="F22" s="24">
        <v>15</v>
      </c>
      <c r="G22" s="22">
        <v>90</v>
      </c>
      <c r="H22" s="16">
        <v>27.078424072265602</v>
      </c>
      <c r="I22" s="16">
        <f t="shared" si="0"/>
        <v>80.741163330078081</v>
      </c>
      <c r="J22" s="22">
        <v>111</v>
      </c>
      <c r="K22" s="24"/>
      <c r="L22" s="22">
        <v>1.5</v>
      </c>
      <c r="M22" s="24"/>
      <c r="N22" s="22">
        <v>14</v>
      </c>
      <c r="O22" s="16">
        <v>22.8820474948424</v>
      </c>
      <c r="P22" s="24">
        <v>34</v>
      </c>
      <c r="Q22" s="24">
        <v>58</v>
      </c>
      <c r="R22" s="24"/>
      <c r="S22" s="22">
        <v>0</v>
      </c>
    </row>
    <row r="23" spans="1:19" hidden="1" x14ac:dyDescent="0.35">
      <c r="A23" s="23">
        <v>0.5</v>
      </c>
      <c r="B23" s="24">
        <v>81.7</v>
      </c>
      <c r="C23" s="24"/>
      <c r="D23" s="24">
        <v>9</v>
      </c>
      <c r="E23" s="24">
        <v>231</v>
      </c>
      <c r="F23" s="24">
        <v>21</v>
      </c>
      <c r="G23" s="22">
        <v>92</v>
      </c>
      <c r="H23" s="35"/>
      <c r="I23" s="16">
        <f t="shared" si="0"/>
        <v>32</v>
      </c>
      <c r="J23" s="22">
        <v>108</v>
      </c>
      <c r="K23" s="24"/>
      <c r="L23" s="22">
        <v>1.6</v>
      </c>
      <c r="M23" s="24"/>
      <c r="N23" s="22">
        <v>14</v>
      </c>
      <c r="O23" s="35"/>
      <c r="P23" s="24">
        <v>36</v>
      </c>
      <c r="Q23" s="24">
        <v>59</v>
      </c>
      <c r="R23" s="24"/>
      <c r="S23" s="22">
        <v>0</v>
      </c>
    </row>
    <row r="24" spans="1:19" hidden="1" x14ac:dyDescent="0.35">
      <c r="A24" s="23">
        <v>0.54166666666666663</v>
      </c>
      <c r="B24" s="24">
        <v>82.7</v>
      </c>
      <c r="C24" s="24"/>
      <c r="D24" s="24">
        <v>5</v>
      </c>
      <c r="E24" s="24">
        <v>238</v>
      </c>
      <c r="F24" s="24">
        <v>18</v>
      </c>
      <c r="G24" s="22">
        <v>94</v>
      </c>
      <c r="H24" s="35"/>
      <c r="I24" s="16">
        <f t="shared" si="0"/>
        <v>32</v>
      </c>
      <c r="J24" s="22">
        <v>112</v>
      </c>
      <c r="K24" s="24"/>
      <c r="L24" s="22">
        <v>1.5</v>
      </c>
      <c r="M24" s="24"/>
      <c r="N24" s="22">
        <v>14</v>
      </c>
      <c r="O24" s="35"/>
      <c r="P24" s="24">
        <v>38</v>
      </c>
      <c r="Q24" s="24">
        <v>60</v>
      </c>
      <c r="R24" s="24"/>
      <c r="S24" s="22">
        <v>0</v>
      </c>
    </row>
    <row r="25" spans="1:19" hidden="1" x14ac:dyDescent="0.35">
      <c r="A25" s="23">
        <v>0.58333333333333337</v>
      </c>
      <c r="B25" s="24">
        <v>79.599999999999994</v>
      </c>
      <c r="C25" s="24"/>
      <c r="D25" s="24">
        <v>10</v>
      </c>
      <c r="E25" s="24">
        <v>238</v>
      </c>
      <c r="F25" s="24">
        <v>18</v>
      </c>
      <c r="G25" s="22">
        <v>95</v>
      </c>
      <c r="H25" s="35"/>
      <c r="I25" s="16">
        <f t="shared" si="0"/>
        <v>32</v>
      </c>
      <c r="J25" s="22">
        <v>109</v>
      </c>
      <c r="K25" s="24"/>
      <c r="L25" s="22">
        <v>1.6</v>
      </c>
      <c r="M25" s="24"/>
      <c r="N25" s="22">
        <v>14</v>
      </c>
      <c r="O25" s="35"/>
      <c r="P25" s="24">
        <v>38</v>
      </c>
      <c r="Q25" s="24">
        <v>61</v>
      </c>
      <c r="R25" s="24"/>
      <c r="S25" s="22">
        <v>0</v>
      </c>
    </row>
    <row r="26" spans="1:19" hidden="1" x14ac:dyDescent="0.35">
      <c r="A26" s="23">
        <v>0.625</v>
      </c>
      <c r="B26" s="24">
        <v>71.5</v>
      </c>
      <c r="C26" s="24"/>
      <c r="D26" s="24">
        <v>11</v>
      </c>
      <c r="E26" s="24">
        <v>253</v>
      </c>
      <c r="F26" s="24">
        <v>22</v>
      </c>
      <c r="G26" s="22">
        <v>95</v>
      </c>
      <c r="H26" s="35"/>
      <c r="I26" s="16">
        <f t="shared" si="0"/>
        <v>32</v>
      </c>
      <c r="J26" s="22">
        <v>105</v>
      </c>
      <c r="K26" s="24"/>
      <c r="L26" s="22">
        <v>1.8</v>
      </c>
      <c r="M26" s="24"/>
      <c r="N26" s="22">
        <v>14</v>
      </c>
      <c r="O26" s="35"/>
      <c r="P26" s="24">
        <v>38</v>
      </c>
      <c r="Q26" s="24">
        <v>61</v>
      </c>
      <c r="R26" s="24"/>
      <c r="S26" s="22">
        <v>0</v>
      </c>
    </row>
    <row r="27" spans="1:19" hidden="1" x14ac:dyDescent="0.35">
      <c r="A27" s="23">
        <v>0.66666666666666663</v>
      </c>
      <c r="B27" s="24">
        <v>59.1</v>
      </c>
      <c r="C27" s="24"/>
      <c r="D27" s="24">
        <v>10</v>
      </c>
      <c r="E27" s="24">
        <v>219</v>
      </c>
      <c r="F27" s="24">
        <v>21</v>
      </c>
      <c r="G27" s="22">
        <v>95</v>
      </c>
      <c r="H27" s="35"/>
      <c r="I27" s="16">
        <f t="shared" si="0"/>
        <v>32</v>
      </c>
      <c r="J27" s="22">
        <v>98</v>
      </c>
      <c r="K27" s="24"/>
      <c r="L27" s="22">
        <v>2.4</v>
      </c>
      <c r="M27" s="24"/>
      <c r="N27" s="22">
        <v>13</v>
      </c>
      <c r="O27" s="35"/>
      <c r="P27" s="24">
        <v>36</v>
      </c>
      <c r="Q27" s="24">
        <v>60</v>
      </c>
      <c r="R27" s="24"/>
      <c r="S27" s="22">
        <v>0</v>
      </c>
    </row>
    <row r="28" spans="1:19" hidden="1" x14ac:dyDescent="0.35">
      <c r="A28" s="26" t="s">
        <v>204</v>
      </c>
      <c r="B28" s="24">
        <v>43.7</v>
      </c>
      <c r="C28" s="24"/>
      <c r="D28" s="24">
        <v>10</v>
      </c>
      <c r="E28" s="24">
        <v>224</v>
      </c>
      <c r="F28" s="24">
        <v>20</v>
      </c>
      <c r="G28" s="22">
        <v>93</v>
      </c>
      <c r="H28" s="16">
        <v>29.964959716796901</v>
      </c>
      <c r="I28" s="16">
        <f t="shared" si="0"/>
        <v>85.936927490234424</v>
      </c>
      <c r="J28" s="22">
        <v>96</v>
      </c>
      <c r="K28" s="24"/>
      <c r="L28" s="22">
        <v>2.7</v>
      </c>
      <c r="M28" s="24"/>
      <c r="N28" s="22">
        <v>15</v>
      </c>
      <c r="O28" s="16">
        <v>19.259889378817299</v>
      </c>
      <c r="P28" s="24">
        <v>39</v>
      </c>
      <c r="Q28" s="24">
        <v>60</v>
      </c>
      <c r="R28" s="24"/>
      <c r="S28" s="22">
        <v>0</v>
      </c>
    </row>
    <row r="29" spans="1:19" hidden="1" x14ac:dyDescent="0.35">
      <c r="A29" s="23">
        <v>0.75</v>
      </c>
      <c r="B29" s="24">
        <v>26.5</v>
      </c>
      <c r="C29" s="24"/>
      <c r="D29" s="24">
        <v>9</v>
      </c>
      <c r="E29" s="24">
        <v>254</v>
      </c>
      <c r="F29" s="24">
        <v>18</v>
      </c>
      <c r="G29" s="22">
        <v>91</v>
      </c>
      <c r="H29" s="16">
        <v>22.864221191406301</v>
      </c>
      <c r="I29" s="16">
        <f t="shared" si="0"/>
        <v>73.155598144531339</v>
      </c>
      <c r="J29" s="22">
        <v>91</v>
      </c>
      <c r="K29" s="24"/>
      <c r="L29" s="22">
        <v>3.1</v>
      </c>
      <c r="M29" s="24"/>
      <c r="N29" s="22">
        <v>15</v>
      </c>
      <c r="O29" s="35"/>
      <c r="P29" s="24">
        <v>37</v>
      </c>
      <c r="Q29" s="24">
        <v>59</v>
      </c>
      <c r="R29" s="24"/>
      <c r="S29" s="22">
        <v>0</v>
      </c>
    </row>
    <row r="30" spans="1:19" hidden="1" x14ac:dyDescent="0.35">
      <c r="A30" s="23">
        <v>0.79166666666666663</v>
      </c>
      <c r="B30" s="24">
        <v>7.2</v>
      </c>
      <c r="C30" s="24"/>
      <c r="D30" s="24">
        <v>8</v>
      </c>
      <c r="E30" s="24">
        <v>240</v>
      </c>
      <c r="F30" s="24">
        <v>19</v>
      </c>
      <c r="G30" s="22">
        <v>87</v>
      </c>
      <c r="H30" s="35"/>
      <c r="I30" s="16">
        <f t="shared" si="0"/>
        <v>32</v>
      </c>
      <c r="J30" s="22">
        <v>86</v>
      </c>
      <c r="K30" s="24"/>
      <c r="L30" s="22">
        <v>3.6</v>
      </c>
      <c r="M30" s="24"/>
      <c r="N30" s="22">
        <v>18</v>
      </c>
      <c r="O30" s="35"/>
      <c r="P30" s="24">
        <v>38</v>
      </c>
      <c r="Q30" s="24">
        <v>58</v>
      </c>
      <c r="R30" s="24"/>
      <c r="S30" s="22">
        <v>0</v>
      </c>
    </row>
    <row r="31" spans="1:19" hidden="1" x14ac:dyDescent="0.35">
      <c r="A31" s="23">
        <v>0.83333333333333337</v>
      </c>
      <c r="B31" s="24">
        <v>0.3</v>
      </c>
      <c r="C31" s="24"/>
      <c r="D31" s="24">
        <v>9</v>
      </c>
      <c r="E31" s="24">
        <v>287</v>
      </c>
      <c r="F31" s="24">
        <v>15</v>
      </c>
      <c r="G31" s="22">
        <v>83</v>
      </c>
      <c r="H31" s="35"/>
      <c r="I31" s="16">
        <f t="shared" si="0"/>
        <v>32</v>
      </c>
      <c r="J31" s="22">
        <v>81</v>
      </c>
      <c r="K31" s="24"/>
      <c r="L31" s="22">
        <v>4.5</v>
      </c>
      <c r="M31" s="24"/>
      <c r="N31" s="22">
        <v>24</v>
      </c>
      <c r="O31" s="35"/>
      <c r="P31" s="24">
        <v>43</v>
      </c>
      <c r="Q31" s="24">
        <v>58</v>
      </c>
      <c r="R31" s="24"/>
      <c r="S31" s="22">
        <v>0</v>
      </c>
    </row>
    <row r="32" spans="1:19" hidden="1" x14ac:dyDescent="0.35">
      <c r="A32" s="23">
        <v>0.875</v>
      </c>
      <c r="B32" s="24">
        <v>0</v>
      </c>
      <c r="C32" s="24"/>
      <c r="D32" s="24">
        <v>10</v>
      </c>
      <c r="E32" s="24">
        <v>290</v>
      </c>
      <c r="F32" s="24">
        <v>18</v>
      </c>
      <c r="G32" s="22">
        <v>81</v>
      </c>
      <c r="H32" s="35"/>
      <c r="I32" s="16">
        <f t="shared" si="0"/>
        <v>32</v>
      </c>
      <c r="J32" s="22">
        <v>79</v>
      </c>
      <c r="K32" s="24"/>
      <c r="L32" s="22">
        <v>4.7</v>
      </c>
      <c r="M32" s="24"/>
      <c r="N32" s="22">
        <v>24</v>
      </c>
      <c r="O32" s="35"/>
      <c r="P32" s="24">
        <v>41</v>
      </c>
      <c r="Q32" s="24">
        <v>57</v>
      </c>
      <c r="R32" s="24"/>
      <c r="S32" s="22">
        <v>0</v>
      </c>
    </row>
    <row r="33" spans="1:19" hidden="1" x14ac:dyDescent="0.35">
      <c r="A33" s="23">
        <v>0.91666666666666663</v>
      </c>
      <c r="B33" s="24">
        <v>0</v>
      </c>
      <c r="C33" s="24"/>
      <c r="D33" s="24">
        <v>8</v>
      </c>
      <c r="E33" s="24">
        <v>283</v>
      </c>
      <c r="F33" s="24">
        <v>21</v>
      </c>
      <c r="G33" s="22">
        <v>80</v>
      </c>
      <c r="H33" s="35"/>
      <c r="I33" s="16">
        <f t="shared" si="0"/>
        <v>32</v>
      </c>
      <c r="J33" s="22">
        <v>77</v>
      </c>
      <c r="K33" s="24"/>
      <c r="L33" s="22">
        <v>4.7</v>
      </c>
      <c r="M33" s="24"/>
      <c r="N33" s="22">
        <v>24</v>
      </c>
      <c r="O33" s="35"/>
      <c r="P33" s="24">
        <v>40</v>
      </c>
      <c r="Q33" s="24">
        <v>56</v>
      </c>
      <c r="R33" s="24"/>
      <c r="S33" s="22">
        <v>0</v>
      </c>
    </row>
    <row r="34" spans="1:19" hidden="1" x14ac:dyDescent="0.35">
      <c r="A34" s="26" t="s">
        <v>205</v>
      </c>
      <c r="B34" s="24">
        <v>0</v>
      </c>
      <c r="C34" s="24"/>
      <c r="D34" s="24">
        <v>9</v>
      </c>
      <c r="E34" s="24">
        <v>277</v>
      </c>
      <c r="F34" s="24">
        <v>17</v>
      </c>
      <c r="G34" s="22">
        <v>79</v>
      </c>
      <c r="H34" s="16">
        <v>22.864221191406301</v>
      </c>
      <c r="I34" s="16">
        <f t="shared" si="0"/>
        <v>73.155598144531339</v>
      </c>
      <c r="J34" s="22">
        <v>76</v>
      </c>
      <c r="K34" s="24"/>
      <c r="L34" s="22">
        <v>5.0999999999999996</v>
      </c>
      <c r="M34" s="24"/>
      <c r="N34" s="22">
        <v>26</v>
      </c>
      <c r="O34" s="16">
        <v>34.893353459358103</v>
      </c>
      <c r="P34" s="24">
        <v>41</v>
      </c>
      <c r="Q34" s="24">
        <v>57</v>
      </c>
      <c r="R34" s="24"/>
      <c r="S34" s="22">
        <v>0</v>
      </c>
    </row>
    <row r="35" spans="1:19" hidden="1" x14ac:dyDescent="0.35">
      <c r="A35" s="23">
        <v>0</v>
      </c>
      <c r="B35" s="24">
        <v>0</v>
      </c>
      <c r="C35" s="24"/>
      <c r="D35" s="24">
        <v>6</v>
      </c>
      <c r="E35" s="24">
        <v>267</v>
      </c>
      <c r="F35" s="24">
        <v>14</v>
      </c>
      <c r="G35" s="22">
        <v>77</v>
      </c>
      <c r="H35" s="34"/>
      <c r="I35" s="16">
        <v>22.864221191406301</v>
      </c>
      <c r="J35" s="22">
        <v>74</v>
      </c>
      <c r="K35" s="24"/>
      <c r="L35" s="22">
        <v>5.5</v>
      </c>
      <c r="M35" s="24"/>
      <c r="N35" s="22">
        <v>29</v>
      </c>
      <c r="O35" s="35"/>
      <c r="P35" s="24">
        <v>42</v>
      </c>
      <c r="Q35" s="24">
        <v>56</v>
      </c>
      <c r="R35" s="24"/>
      <c r="S35" s="22">
        <v>0</v>
      </c>
    </row>
    <row r="36" spans="1:19" hidden="1" x14ac:dyDescent="0.35">
      <c r="A36" s="45" t="s">
        <v>197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</row>
    <row r="37" spans="1:19" hidden="1" x14ac:dyDescent="0.35">
      <c r="A37" s="22"/>
      <c r="B37" s="22" t="s">
        <v>169</v>
      </c>
      <c r="C37" s="22"/>
      <c r="D37" s="44"/>
      <c r="E37" s="44"/>
      <c r="F37" s="44"/>
      <c r="G37" s="22" t="s">
        <v>170</v>
      </c>
      <c r="H37" s="34"/>
      <c r="I37" s="34"/>
      <c r="J37" s="22" t="s">
        <v>171</v>
      </c>
      <c r="K37" s="22"/>
      <c r="L37" s="22" t="s">
        <v>171</v>
      </c>
      <c r="M37" s="22"/>
      <c r="N37" s="22" t="s">
        <v>172</v>
      </c>
      <c r="O37" s="34"/>
      <c r="P37" s="22"/>
      <c r="Q37" s="22"/>
      <c r="R37" s="22"/>
      <c r="S37" s="22"/>
    </row>
    <row r="38" spans="1:19" hidden="1" x14ac:dyDescent="0.35">
      <c r="A38" s="22"/>
      <c r="B38" s="22" t="s">
        <v>174</v>
      </c>
      <c r="C38" s="22"/>
      <c r="D38" s="44" t="s">
        <v>175</v>
      </c>
      <c r="E38" s="44"/>
      <c r="F38" s="44"/>
      <c r="G38" s="22" t="s">
        <v>176</v>
      </c>
      <c r="H38" s="34"/>
      <c r="I38" s="34"/>
      <c r="J38" s="22" t="s">
        <v>176</v>
      </c>
      <c r="K38" s="22"/>
      <c r="L38" s="22" t="s">
        <v>177</v>
      </c>
      <c r="M38" s="22"/>
      <c r="N38" s="22" t="s">
        <v>178</v>
      </c>
      <c r="O38" s="34"/>
      <c r="P38" s="22" t="s">
        <v>179</v>
      </c>
      <c r="Q38" s="22" t="s">
        <v>180</v>
      </c>
      <c r="R38" s="22"/>
      <c r="S38" s="22" t="s">
        <v>169</v>
      </c>
    </row>
    <row r="39" spans="1:19" hidden="1" x14ac:dyDescent="0.35">
      <c r="A39" s="22"/>
      <c r="B39" s="22" t="s">
        <v>182</v>
      </c>
      <c r="C39" s="22"/>
      <c r="D39" s="22" t="s">
        <v>183</v>
      </c>
      <c r="E39" s="22" t="s">
        <v>184</v>
      </c>
      <c r="F39" s="22" t="s">
        <v>185</v>
      </c>
      <c r="G39" s="22" t="s">
        <v>186</v>
      </c>
      <c r="H39" s="34"/>
      <c r="I39" s="34"/>
      <c r="J39" s="22" t="s">
        <v>186</v>
      </c>
      <c r="K39" s="22"/>
      <c r="L39" s="22" t="s">
        <v>186</v>
      </c>
      <c r="M39" s="22"/>
      <c r="N39" s="22" t="s">
        <v>186</v>
      </c>
      <c r="O39" s="34"/>
      <c r="P39" s="22" t="s">
        <v>187</v>
      </c>
      <c r="Q39" s="22" t="s">
        <v>188</v>
      </c>
      <c r="R39" s="22"/>
      <c r="S39" s="22" t="s">
        <v>189</v>
      </c>
    </row>
    <row r="40" spans="1:19" hidden="1" x14ac:dyDescent="0.35">
      <c r="A40" s="22"/>
      <c r="B40" s="22" t="s">
        <v>191</v>
      </c>
      <c r="C40" s="22"/>
      <c r="D40" s="22" t="s">
        <v>192</v>
      </c>
      <c r="E40" s="22" t="s">
        <v>193</v>
      </c>
      <c r="F40" s="22" t="s">
        <v>192</v>
      </c>
      <c r="G40" s="22" t="s">
        <v>194</v>
      </c>
      <c r="H40" s="34"/>
      <c r="I40" s="34"/>
      <c r="J40" s="22" t="s">
        <v>194</v>
      </c>
      <c r="K40" s="22"/>
      <c r="L40" s="22" t="s">
        <v>195</v>
      </c>
      <c r="M40" s="22"/>
      <c r="N40" s="22" t="s">
        <v>195</v>
      </c>
      <c r="O40" s="34"/>
      <c r="P40" s="44" t="s">
        <v>194</v>
      </c>
      <c r="Q40" s="44"/>
      <c r="R40" s="22"/>
      <c r="S40" s="22" t="s">
        <v>196</v>
      </c>
    </row>
    <row r="41" spans="1:19" hidden="1" x14ac:dyDescent="0.35">
      <c r="A41" s="24" t="s">
        <v>169</v>
      </c>
      <c r="B41" s="24">
        <v>699</v>
      </c>
      <c r="C41" s="24"/>
      <c r="D41" s="24"/>
      <c r="E41" s="24"/>
      <c r="F41" s="24"/>
      <c r="G41" s="24"/>
      <c r="H41" s="35"/>
      <c r="I41" s="35"/>
      <c r="J41" s="24"/>
      <c r="K41" s="24"/>
      <c r="L41" s="24"/>
      <c r="M41" s="24"/>
      <c r="N41" s="24"/>
      <c r="O41" s="35"/>
      <c r="P41" s="24"/>
      <c r="Q41" s="24"/>
      <c r="R41" s="24"/>
      <c r="S41" s="22">
        <v>0</v>
      </c>
    </row>
    <row r="42" spans="1:19" hidden="1" x14ac:dyDescent="0.35">
      <c r="A42" s="24" t="s">
        <v>183</v>
      </c>
      <c r="B42" s="24"/>
      <c r="C42" s="24"/>
      <c r="D42" s="24">
        <v>6.1</v>
      </c>
      <c r="E42" s="24">
        <v>276</v>
      </c>
      <c r="F42" s="24"/>
      <c r="G42" s="22">
        <v>81.900000000000006</v>
      </c>
      <c r="H42" s="34"/>
      <c r="I42" s="35"/>
      <c r="J42" s="22">
        <v>85.3</v>
      </c>
      <c r="K42" s="24"/>
      <c r="L42" s="22">
        <v>3.9</v>
      </c>
      <c r="M42" s="24"/>
      <c r="N42" s="22">
        <v>22</v>
      </c>
      <c r="O42" s="35"/>
      <c r="P42" s="24">
        <v>38</v>
      </c>
      <c r="Q42" s="24">
        <v>56</v>
      </c>
      <c r="R42" s="24"/>
      <c r="S42" s="24"/>
    </row>
    <row r="43" spans="1:19" hidden="1" x14ac:dyDescent="0.35">
      <c r="A43" s="24" t="s">
        <v>185</v>
      </c>
      <c r="B43" s="24"/>
      <c r="C43" s="24"/>
      <c r="D43" s="24"/>
      <c r="E43" s="24"/>
      <c r="F43" s="24">
        <v>22</v>
      </c>
      <c r="G43" s="22">
        <v>95</v>
      </c>
      <c r="H43" s="34"/>
      <c r="I43" s="35"/>
      <c r="J43" s="22">
        <v>112</v>
      </c>
      <c r="K43" s="24"/>
      <c r="L43" s="22">
        <v>7.1</v>
      </c>
      <c r="M43" s="24"/>
      <c r="N43" s="22">
        <v>41</v>
      </c>
      <c r="O43" s="35"/>
      <c r="P43" s="24"/>
      <c r="Q43" s="24"/>
      <c r="R43" s="24"/>
      <c r="S43" s="24"/>
    </row>
    <row r="44" spans="1:19" hidden="1" x14ac:dyDescent="0.35">
      <c r="A44" s="24" t="s">
        <v>198</v>
      </c>
      <c r="B44" s="24"/>
      <c r="C44" s="24"/>
      <c r="D44" s="24"/>
      <c r="E44" s="24"/>
      <c r="F44" s="24"/>
      <c r="G44" s="22">
        <v>63</v>
      </c>
      <c r="H44" s="34"/>
      <c r="I44" s="35"/>
      <c r="J44" s="22">
        <v>58</v>
      </c>
      <c r="K44" s="24"/>
      <c r="L44" s="22">
        <v>1.5</v>
      </c>
      <c r="M44" s="24"/>
      <c r="N44" s="22">
        <v>13</v>
      </c>
      <c r="O44" s="35"/>
      <c r="P44" s="24"/>
    </row>
    <row r="45" spans="1:19" x14ac:dyDescent="0.35">
      <c r="A45" s="24"/>
      <c r="B45" s="24"/>
      <c r="C45" s="24"/>
      <c r="D45" s="24"/>
      <c r="E45" s="24"/>
      <c r="F45" s="24"/>
      <c r="G45" s="22"/>
      <c r="H45" s="34"/>
      <c r="I45" s="35"/>
      <c r="J45" s="22"/>
      <c r="K45" s="24"/>
      <c r="L45" s="22"/>
      <c r="M45" s="24"/>
      <c r="N45" s="22"/>
      <c r="O45" s="35"/>
      <c r="P45" s="24"/>
    </row>
    <row r="46" spans="1:19" ht="17" x14ac:dyDescent="0.35">
      <c r="A46" s="21" t="s">
        <v>210</v>
      </c>
    </row>
    <row r="47" spans="1:19" ht="16" x14ac:dyDescent="0.4">
      <c r="G47" s="41" t="s">
        <v>216</v>
      </c>
      <c r="H47" s="37"/>
      <c r="I47" s="37" t="s">
        <v>215</v>
      </c>
      <c r="J47" s="30"/>
      <c r="K47" s="30"/>
      <c r="L47" s="30"/>
      <c r="M47" s="30"/>
      <c r="N47" s="41" t="s">
        <v>217</v>
      </c>
      <c r="O47" s="37" t="s">
        <v>211</v>
      </c>
    </row>
    <row r="48" spans="1:19" ht="18.5" x14ac:dyDescent="0.4">
      <c r="A48" s="28" t="s">
        <v>206</v>
      </c>
      <c r="B48" s="29">
        <v>0</v>
      </c>
      <c r="C48" s="29"/>
      <c r="D48" s="29">
        <v>2</v>
      </c>
      <c r="E48" s="29">
        <v>349</v>
      </c>
      <c r="F48" s="29">
        <v>5</v>
      </c>
      <c r="G48" s="42">
        <v>63</v>
      </c>
      <c r="H48" s="36">
        <v>18.223992919921901</v>
      </c>
      <c r="I48" s="36">
        <f t="shared" ref="I48:I51" si="1">(H48* 9/5) + 32</f>
        <v>64.803187255859427</v>
      </c>
      <c r="J48" s="31">
        <v>60</v>
      </c>
      <c r="K48" s="31"/>
      <c r="L48" s="31">
        <v>7.5</v>
      </c>
      <c r="M48" s="31"/>
      <c r="N48" s="42">
        <v>46</v>
      </c>
      <c r="O48" s="36">
        <v>45.211707101765001</v>
      </c>
      <c r="P48" s="32">
        <v>42</v>
      </c>
      <c r="Q48" s="32">
        <v>51</v>
      </c>
      <c r="R48" s="32"/>
      <c r="S48" s="33">
        <v>0</v>
      </c>
    </row>
    <row r="49" spans="1:19" ht="16" x14ac:dyDescent="0.4">
      <c r="A49" s="27" t="s">
        <v>207</v>
      </c>
      <c r="G49" s="42">
        <v>86</v>
      </c>
      <c r="H49" s="36">
        <v>25.261804199218801</v>
      </c>
      <c r="I49" s="36">
        <f t="shared" si="1"/>
        <v>77.471247558593845</v>
      </c>
      <c r="J49" s="27"/>
      <c r="K49" s="27"/>
      <c r="L49" s="27"/>
      <c r="M49" s="27"/>
      <c r="N49" s="43">
        <v>22</v>
      </c>
      <c r="O49" s="36">
        <v>18.500247883344102</v>
      </c>
    </row>
    <row r="50" spans="1:19" ht="16" x14ac:dyDescent="0.4">
      <c r="A50" s="27" t="s">
        <v>208</v>
      </c>
      <c r="G50" s="43">
        <v>87</v>
      </c>
      <c r="H50" s="36">
        <v>26.856042480468801</v>
      </c>
      <c r="I50" s="36">
        <f t="shared" si="1"/>
        <v>80.340876464843845</v>
      </c>
      <c r="J50" s="27"/>
      <c r="K50" s="27"/>
      <c r="L50" s="27"/>
      <c r="M50" s="27"/>
      <c r="N50" s="43">
        <v>11</v>
      </c>
      <c r="O50" s="36">
        <v>14.643751801626999</v>
      </c>
    </row>
    <row r="51" spans="1:19" ht="16" x14ac:dyDescent="0.4">
      <c r="A51" s="27" t="s">
        <v>209</v>
      </c>
      <c r="G51" s="41">
        <v>73</v>
      </c>
      <c r="H51" s="37">
        <v>18.460534667968801</v>
      </c>
      <c r="I51" s="37">
        <f t="shared" si="1"/>
        <v>65.228962402343839</v>
      </c>
      <c r="J51" s="30"/>
      <c r="K51" s="30"/>
      <c r="L51" s="30"/>
      <c r="M51" s="30"/>
      <c r="N51" s="41">
        <v>7</v>
      </c>
      <c r="O51" s="37">
        <v>11.832904443193501</v>
      </c>
    </row>
    <row r="52" spans="1:19" ht="16" x14ac:dyDescent="0.4">
      <c r="G52" s="41"/>
      <c r="H52" s="37"/>
      <c r="I52" s="37"/>
      <c r="J52" s="30"/>
      <c r="K52" s="30"/>
      <c r="L52" s="30"/>
      <c r="M52" s="30"/>
      <c r="N52" s="41"/>
      <c r="O52" s="37"/>
    </row>
    <row r="53" spans="1:19" ht="18" x14ac:dyDescent="0.4">
      <c r="A53" s="21" t="s">
        <v>214</v>
      </c>
      <c r="G53" s="41"/>
      <c r="H53" s="38"/>
      <c r="I53" s="38"/>
      <c r="J53" s="31"/>
      <c r="K53" s="31"/>
      <c r="L53" s="31"/>
      <c r="M53" s="39"/>
      <c r="N53" s="42"/>
      <c r="O53" s="40"/>
      <c r="P53" s="29"/>
      <c r="Q53" s="20">
        <v>2.6</v>
      </c>
      <c r="R53" s="29"/>
      <c r="S53" s="20">
        <v>22</v>
      </c>
    </row>
    <row r="54" spans="1:19" ht="16" x14ac:dyDescent="0.4">
      <c r="G54" s="41"/>
      <c r="H54" s="37"/>
      <c r="I54" s="37"/>
      <c r="J54" s="30"/>
      <c r="K54" s="30"/>
      <c r="L54" s="30"/>
      <c r="M54" s="30"/>
      <c r="N54" s="41"/>
      <c r="O54" s="37"/>
    </row>
    <row r="55" spans="1:19" ht="16" x14ac:dyDescent="0.4">
      <c r="A55" s="28" t="s">
        <v>206</v>
      </c>
      <c r="G55" s="41">
        <v>52</v>
      </c>
      <c r="H55" s="37">
        <v>13.839440917968799</v>
      </c>
      <c r="I55" s="37">
        <f t="shared" ref="I55:I58" si="2">(H55* 9/5) + 32</f>
        <v>56.910993652343841</v>
      </c>
      <c r="J55" s="30"/>
      <c r="K55" s="30"/>
      <c r="L55" s="30"/>
      <c r="M55" s="30"/>
      <c r="N55" s="41">
        <v>19</v>
      </c>
      <c r="O55" s="37">
        <v>14.448419461222</v>
      </c>
    </row>
    <row r="56" spans="1:19" ht="16" x14ac:dyDescent="0.4">
      <c r="A56" s="27" t="s">
        <v>207</v>
      </c>
      <c r="G56" s="41">
        <v>84</v>
      </c>
      <c r="H56" s="37">
        <v>26.298974609375001</v>
      </c>
      <c r="I56" s="37">
        <f t="shared" si="2"/>
        <v>79.338154296875004</v>
      </c>
      <c r="J56" s="30"/>
      <c r="K56" s="30"/>
      <c r="L56" s="30"/>
      <c r="M56" s="30"/>
      <c r="N56" s="41">
        <v>6</v>
      </c>
      <c r="O56" s="37">
        <v>5.2563177285747402</v>
      </c>
    </row>
    <row r="57" spans="1:19" ht="16" x14ac:dyDescent="0.4">
      <c r="A57" s="27" t="s">
        <v>208</v>
      </c>
      <c r="G57" s="41">
        <v>92</v>
      </c>
      <c r="H57" s="37">
        <v>29.971704101562501</v>
      </c>
      <c r="I57" s="37">
        <f t="shared" si="2"/>
        <v>85.949067382812501</v>
      </c>
      <c r="J57" s="30"/>
      <c r="K57" s="30"/>
      <c r="L57" s="30"/>
      <c r="M57" s="30"/>
      <c r="N57" s="41">
        <v>4</v>
      </c>
      <c r="O57" s="37">
        <v>5.4275233036147998</v>
      </c>
    </row>
    <row r="58" spans="1:19" ht="16" x14ac:dyDescent="0.4">
      <c r="A58" s="27" t="s">
        <v>209</v>
      </c>
      <c r="G58" s="41">
        <v>64</v>
      </c>
      <c r="H58" s="37">
        <v>19.205102539062501</v>
      </c>
      <c r="I58" s="37">
        <f t="shared" si="2"/>
        <v>66.569184570312501</v>
      </c>
      <c r="J58" s="30"/>
      <c r="K58" s="30"/>
      <c r="L58" s="30"/>
      <c r="M58" s="30"/>
      <c r="N58" s="41">
        <v>14</v>
      </c>
      <c r="O58" s="37">
        <v>13.234379960698099</v>
      </c>
    </row>
  </sheetData>
  <mergeCells count="7">
    <mergeCell ref="P40:Q40"/>
    <mergeCell ref="D8:F8"/>
    <mergeCell ref="D9:F9"/>
    <mergeCell ref="P11:Q11"/>
    <mergeCell ref="A36:L36"/>
    <mergeCell ref="D37:F37"/>
    <mergeCell ref="D38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FOUS_1000-hour_byID</vt:lpstr>
      <vt:lpstr>LF_1000-hour_byID</vt:lpstr>
      <vt:lpstr>Full_Sheet</vt:lpstr>
      <vt:lpstr>WP_RAWS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2025-12-15T05:45:15Z</dcterms:created>
  <dcterms:modified xsi:type="dcterms:W3CDTF">2026-04-25T04:57:32Z</dcterms:modified>
</cp:coreProperties>
</file>