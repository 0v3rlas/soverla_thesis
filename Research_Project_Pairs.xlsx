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verl\Documents\CWU\Thesis_Project\On GitHub\"/>
    </mc:Choice>
  </mc:AlternateContent>
  <xr:revisionPtr revIDLastSave="0" documentId="13_ncr:1_{39F9524F-11E2-4D75-9855-BD44B7C9B07F}" xr6:coauthVersionLast="47" xr6:coauthVersionMax="47" xr10:uidLastSave="{00000000-0000-0000-0000-000000000000}"/>
  <bookViews>
    <workbookView xWindow="-110" yWindow="-110" windowWidth="19420" windowHeight="11500" tabRatio="960" xr2:uid="{00000000-000D-0000-FFFF-FFFF00000000}"/>
  </bookViews>
  <sheets>
    <sheet name="Project Pairs" sheetId="4" r:id="rId1"/>
    <sheet name="Inflation Rates by Year" sheetId="2" r:id="rId2"/>
    <sheet name="XLFCandidates" sheetId="3" state="hidden" r:id="rId3"/>
    <sheet name="DryGulchLF(39)" sheetId="6" state="hidden" r:id="rId4"/>
    <sheet name="CubCreek2LF(38)" sheetId="7" state="hidden" r:id="rId5"/>
    <sheet name="BackboneLF(37)" sheetId="8" state="hidden" r:id="rId6"/>
    <sheet name="CooksPeakLF(36)" sheetId="9" state="hidden" r:id="rId7"/>
    <sheet name="HirzLF(34)" sheetId="10" state="hidden" r:id="rId8"/>
    <sheet name="PierLF(33)" sheetId="11" state="hidden" r:id="rId9"/>
    <sheet name="IslandLF(31)" sheetId="12" state="hidden" r:id="rId10"/>
    <sheet name="WhitmoreLF(32)" sheetId="13" state="hidden" r:id="rId11"/>
    <sheet name="Road702LF(29)" sheetId="14" state="hidden" r:id="rId12"/>
    <sheet name="RiverLF(42)" sheetId="15" state="hidden" r:id="rId13"/>
    <sheet name="McCashXLF(1)" sheetId="16" state="hidden" r:id="rId14"/>
    <sheet name="SoberanesXLF(30)" sheetId="17" state="hidden" r:id="rId15"/>
    <sheet name="KlondikeXLF(28)" sheetId="18" state="hidden" r:id="rId16"/>
    <sheet name="BoxcarXLF(23)" sheetId="19" state="hidden" r:id="rId17"/>
    <sheet name="MosquitoXLF(22)" sheetId="20" state="hidden" r:id="rId18"/>
    <sheet name="GooseCreekXLF(21)" sheetId="21" state="hidden" r:id="rId19"/>
    <sheet name="EvansCanyonXLF(20)" sheetId="22" state="hidden" r:id="rId20"/>
    <sheet name="RafaelXLF(19)" sheetId="23" state="hidden" r:id="rId21"/>
    <sheet name="EastForkXLF(18)" sheetId="24" state="hidden" r:id="rId22"/>
    <sheet name="CaldwellXLF(17)" sheetId="25" state="hidden" r:id="rId23"/>
    <sheet name="DiamondCreekXLF(16)" sheetId="26" state="hidden" r:id="rId24"/>
    <sheet name="HighlineXLF(13)" sheetId="27" state="hidden" r:id="rId25"/>
    <sheet name="WoodburyXLF(11)" sheetId="28" state="hidden" r:id="rId26"/>
    <sheet name="SpringCreekXLF(10)" sheetId="29" state="hidden" r:id="rId27"/>
    <sheet name="SartinDrawXLF(9)" sheetId="30" state="hidden" r:id="rId28"/>
    <sheet name="BoundaryXLF(8)" sheetId="31" state="hidden" r:id="rId29"/>
    <sheet name="CampXLF(7)" sheetId="32" state="hidden" r:id="rId30"/>
    <sheet name="GrassValleyXLF(5)" sheetId="33" state="hidden" r:id="rId31"/>
    <sheet name="NorthStarXLF(2)" sheetId="34" state="hidden" r:id="rId32"/>
    <sheet name="RoughXLF(4)" sheetId="35" state="hidden" r:id="rId33"/>
    <sheet name="CarrXLF(6)" sheetId="36" state="hidden" r:id="rId34"/>
    <sheet name="CarltonCplxFOUS (33)" sheetId="37" state="hidden" r:id="rId35"/>
    <sheet name="BasinFOUS(32)" sheetId="38" state="hidden" r:id="rId36"/>
    <sheet name="ChetcoBarFOUS(34)" sheetId="39" state="hidden" r:id="rId37"/>
    <sheet name="AshCreekFOUS(31)" sheetId="40" state="hidden" r:id="rId38"/>
    <sheet name="JohnsonXLF(3)" sheetId="60" state="hidden" r:id="rId39"/>
  </sheets>
  <externalReferences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1" i="4" l="1"/>
  <c r="U31" i="4"/>
  <c r="T30" i="4"/>
  <c r="U30" i="4"/>
  <c r="U29" i="4"/>
  <c r="T29" i="4"/>
  <c r="T27" i="4"/>
  <c r="T26" i="4"/>
  <c r="U25" i="4"/>
  <c r="U24" i="4"/>
  <c r="T23" i="4"/>
  <c r="U22" i="4"/>
  <c r="T22" i="4"/>
  <c r="U21" i="4"/>
  <c r="T21" i="4"/>
  <c r="T20" i="4"/>
  <c r="U20" i="4"/>
  <c r="U19" i="4"/>
  <c r="T19" i="4"/>
  <c r="T18" i="4"/>
  <c r="U18" i="4"/>
  <c r="T17" i="4"/>
  <c r="T16" i="4"/>
  <c r="T14" i="4"/>
  <c r="U13" i="4"/>
  <c r="T13" i="4"/>
  <c r="U10" i="4"/>
  <c r="T9" i="4"/>
  <c r="U8" i="4"/>
  <c r="U6" i="4"/>
  <c r="T5" i="4"/>
  <c r="U4" i="4"/>
  <c r="T3" i="4"/>
  <c r="U3" i="4"/>
  <c r="U2" i="4"/>
  <c r="Q28" i="4"/>
  <c r="Q25" i="4"/>
  <c r="O25" i="4"/>
  <c r="Q24" i="4"/>
  <c r="Q23" i="4"/>
  <c r="O23" i="4"/>
  <c r="E22" i="4"/>
  <c r="O21" i="4"/>
  <c r="Q21" i="4"/>
  <c r="O20" i="4"/>
  <c r="Q19" i="4"/>
  <c r="O19" i="4"/>
  <c r="O18" i="4"/>
  <c r="Q17" i="4"/>
  <c r="O16" i="4"/>
  <c r="Q16" i="4"/>
  <c r="O15" i="4"/>
  <c r="Q13" i="4"/>
  <c r="O13" i="4"/>
  <c r="O12" i="4"/>
  <c r="Q12" i="4"/>
  <c r="Q10" i="4"/>
  <c r="O9" i="4"/>
  <c r="Q5" i="4"/>
  <c r="O5" i="4"/>
  <c r="Q4" i="4"/>
  <c r="O2" i="4"/>
  <c r="Q6" i="4"/>
  <c r="O3" i="4"/>
  <c r="S28" i="4"/>
  <c r="T2" i="4"/>
  <c r="Q2" i="4"/>
  <c r="H36" i="60"/>
  <c r="G36" i="60"/>
  <c r="F36" i="60"/>
  <c r="H35" i="60"/>
  <c r="G35" i="60"/>
  <c r="F35" i="60"/>
  <c r="H34" i="60"/>
  <c r="G34" i="60"/>
  <c r="F34" i="60"/>
  <c r="H33" i="60"/>
  <c r="G33" i="60"/>
  <c r="F33" i="60"/>
  <c r="H32" i="60"/>
  <c r="F32" i="60"/>
  <c r="G32" i="60" s="1"/>
  <c r="H31" i="60"/>
  <c r="G31" i="60"/>
  <c r="F31" i="60"/>
  <c r="H30" i="60"/>
  <c r="G30" i="60"/>
  <c r="F30" i="60"/>
  <c r="H29" i="60"/>
  <c r="F29" i="60"/>
  <c r="G29" i="60" s="1"/>
  <c r="H28" i="60"/>
  <c r="G28" i="60"/>
  <c r="F28" i="60"/>
  <c r="H27" i="60"/>
  <c r="F27" i="60"/>
  <c r="G27" i="60" s="1"/>
  <c r="H26" i="60"/>
  <c r="F26" i="60"/>
  <c r="G26" i="60" s="1"/>
  <c r="H25" i="60"/>
  <c r="G25" i="60"/>
  <c r="F25" i="60"/>
  <c r="H24" i="60"/>
  <c r="F24" i="60"/>
  <c r="G24" i="60" s="1"/>
  <c r="H23" i="60"/>
  <c r="G23" i="60"/>
  <c r="F23" i="60"/>
  <c r="H22" i="60"/>
  <c r="F22" i="60"/>
  <c r="G22" i="60" s="1"/>
  <c r="H21" i="60"/>
  <c r="F21" i="60"/>
  <c r="G21" i="60" s="1"/>
  <c r="H20" i="60"/>
  <c r="F20" i="60"/>
  <c r="G20" i="60" s="1"/>
  <c r="H19" i="60"/>
  <c r="G19" i="60"/>
  <c r="F19" i="60"/>
  <c r="H18" i="60"/>
  <c r="G18" i="60"/>
  <c r="F18" i="60"/>
  <c r="H17" i="60"/>
  <c r="F17" i="60"/>
  <c r="G17" i="60" s="1"/>
  <c r="H16" i="60"/>
  <c r="F16" i="60"/>
  <c r="G16" i="60" s="1"/>
  <c r="H15" i="60"/>
  <c r="F15" i="60"/>
  <c r="G15" i="60" s="1"/>
  <c r="H14" i="60"/>
  <c r="F14" i="60"/>
  <c r="G14" i="60" s="1"/>
  <c r="H13" i="60"/>
  <c r="G13" i="60"/>
  <c r="F13" i="60"/>
  <c r="H12" i="60"/>
  <c r="G12" i="60"/>
  <c r="F12" i="60"/>
  <c r="H11" i="60"/>
  <c r="G11" i="60"/>
  <c r="F11" i="60"/>
  <c r="H10" i="60"/>
  <c r="F10" i="60"/>
  <c r="G10" i="60" s="1"/>
  <c r="H9" i="60"/>
  <c r="G9" i="60"/>
  <c r="F9" i="60"/>
  <c r="H8" i="60"/>
  <c r="F8" i="60"/>
  <c r="G8" i="60" s="1"/>
  <c r="H7" i="60"/>
  <c r="F7" i="60"/>
  <c r="G7" i="60" s="1"/>
  <c r="H6" i="60"/>
  <c r="F6" i="60"/>
  <c r="G6" i="60" s="1"/>
  <c r="H5" i="60"/>
  <c r="F5" i="60"/>
  <c r="G5" i="60" s="1"/>
  <c r="H4" i="60"/>
  <c r="G4" i="60"/>
  <c r="F4" i="60"/>
  <c r="H3" i="60"/>
  <c r="G3" i="60"/>
  <c r="F3" i="60"/>
  <c r="H2" i="60"/>
  <c r="F2" i="60"/>
  <c r="G2" i="60" s="1"/>
  <c r="J39" i="36"/>
  <c r="I39" i="36"/>
  <c r="F39" i="36" s="1"/>
  <c r="G39" i="36"/>
  <c r="J38" i="36"/>
  <c r="I38" i="36"/>
  <c r="F38" i="36" s="1"/>
  <c r="J37" i="36"/>
  <c r="I37" i="36"/>
  <c r="J36" i="36"/>
  <c r="I36" i="36"/>
  <c r="J35" i="36"/>
  <c r="I35" i="36"/>
  <c r="H35" i="36"/>
  <c r="J34" i="36"/>
  <c r="I34" i="36"/>
  <c r="F34" i="36" s="1"/>
  <c r="J33" i="36"/>
  <c r="I33" i="36"/>
  <c r="H33" i="36"/>
  <c r="J32" i="36"/>
  <c r="I32" i="36"/>
  <c r="F33" i="36" s="1"/>
  <c r="F32" i="36"/>
  <c r="J31" i="36"/>
  <c r="I31" i="36"/>
  <c r="F31" i="36"/>
  <c r="G31" i="36" s="1"/>
  <c r="J30" i="36"/>
  <c r="I30" i="36"/>
  <c r="J29" i="36"/>
  <c r="I29" i="36"/>
  <c r="H29" i="36" s="1"/>
  <c r="F29" i="36"/>
  <c r="J28" i="36"/>
  <c r="I28" i="36"/>
  <c r="H28" i="36"/>
  <c r="F28" i="36"/>
  <c r="J27" i="36"/>
  <c r="I27" i="36"/>
  <c r="G27" i="36"/>
  <c r="J26" i="36"/>
  <c r="I26" i="36"/>
  <c r="F27" i="36" s="1"/>
  <c r="H26" i="36"/>
  <c r="F26" i="36"/>
  <c r="J25" i="36"/>
  <c r="I25" i="36"/>
  <c r="G25" i="36"/>
  <c r="F25" i="36"/>
  <c r="J24" i="36"/>
  <c r="I24" i="36"/>
  <c r="H25" i="36" s="1"/>
  <c r="J23" i="36"/>
  <c r="I23" i="36"/>
  <c r="J22" i="36"/>
  <c r="I22" i="36"/>
  <c r="J21" i="36"/>
  <c r="I21" i="36"/>
  <c r="J20" i="36"/>
  <c r="I20" i="36"/>
  <c r="F20" i="36"/>
  <c r="G20" i="36" s="1"/>
  <c r="J19" i="36"/>
  <c r="I19" i="36"/>
  <c r="F19" i="36" s="1"/>
  <c r="J18" i="36"/>
  <c r="I18" i="36"/>
  <c r="F18" i="36"/>
  <c r="J17" i="36"/>
  <c r="I17" i="36"/>
  <c r="H17" i="36"/>
  <c r="F17" i="36"/>
  <c r="J16" i="36"/>
  <c r="I16" i="36"/>
  <c r="J15" i="36"/>
  <c r="I15" i="36"/>
  <c r="H15" i="36" s="1"/>
  <c r="J14" i="36"/>
  <c r="I14" i="36"/>
  <c r="F14" i="36" s="1"/>
  <c r="J13" i="36"/>
  <c r="I13" i="36"/>
  <c r="J12" i="36"/>
  <c r="I12" i="36"/>
  <c r="F12" i="36"/>
  <c r="G12" i="36" s="1"/>
  <c r="J11" i="36"/>
  <c r="I11" i="36"/>
  <c r="H11" i="36"/>
  <c r="F11" i="36"/>
  <c r="J10" i="36"/>
  <c r="I10" i="36"/>
  <c r="F10" i="36" s="1"/>
  <c r="J9" i="36"/>
  <c r="I9" i="36"/>
  <c r="G9" i="36"/>
  <c r="F9" i="36"/>
  <c r="J8" i="36"/>
  <c r="I8" i="36"/>
  <c r="J7" i="36"/>
  <c r="I7" i="36"/>
  <c r="F7" i="36" s="1"/>
  <c r="G7" i="36" s="1"/>
  <c r="J6" i="36"/>
  <c r="I6" i="36"/>
  <c r="H6" i="36"/>
  <c r="G6" i="36"/>
  <c r="J5" i="36"/>
  <c r="I5" i="36"/>
  <c r="F6" i="36" s="1"/>
  <c r="F5" i="36"/>
  <c r="J4" i="36"/>
  <c r="I4" i="36"/>
  <c r="F4" i="36" s="1"/>
  <c r="H4" i="36"/>
  <c r="G4" i="36"/>
  <c r="J3" i="36"/>
  <c r="I3" i="36"/>
  <c r="F3" i="36"/>
  <c r="J2" i="36"/>
  <c r="I2" i="36"/>
  <c r="F2" i="36" s="1"/>
  <c r="G2" i="36"/>
  <c r="J71" i="35"/>
  <c r="J70" i="35"/>
  <c r="I70" i="35"/>
  <c r="H70" i="35"/>
  <c r="J69" i="35"/>
  <c r="I69" i="35"/>
  <c r="F69" i="35"/>
  <c r="G69" i="35" s="1"/>
  <c r="J68" i="35"/>
  <c r="I68" i="35"/>
  <c r="F68" i="35" s="1"/>
  <c r="H68" i="35"/>
  <c r="J67" i="35"/>
  <c r="I67" i="35"/>
  <c r="H67" i="35"/>
  <c r="F67" i="35"/>
  <c r="J66" i="35"/>
  <c r="I66" i="35"/>
  <c r="J65" i="35"/>
  <c r="I65" i="35"/>
  <c r="J64" i="35"/>
  <c r="I64" i="35"/>
  <c r="H64" i="35"/>
  <c r="F64" i="35"/>
  <c r="G64" i="35" s="1"/>
  <c r="J63" i="35"/>
  <c r="I63" i="35"/>
  <c r="F63" i="35"/>
  <c r="J62" i="35"/>
  <c r="I62" i="35"/>
  <c r="J61" i="35"/>
  <c r="I61" i="35"/>
  <c r="H62" i="35" s="1"/>
  <c r="F61" i="35"/>
  <c r="J60" i="35"/>
  <c r="I60" i="35"/>
  <c r="H60" i="35"/>
  <c r="F60" i="35"/>
  <c r="J59" i="35"/>
  <c r="I59" i="35"/>
  <c r="J58" i="35"/>
  <c r="I58" i="35"/>
  <c r="H58" i="35" s="1"/>
  <c r="J57" i="35"/>
  <c r="I57" i="35"/>
  <c r="J56" i="35"/>
  <c r="I56" i="35"/>
  <c r="F56" i="35" s="1"/>
  <c r="G56" i="35" s="1"/>
  <c r="H56" i="35"/>
  <c r="J55" i="35"/>
  <c r="I55" i="35"/>
  <c r="F55" i="35" s="1"/>
  <c r="H55" i="35"/>
  <c r="J54" i="35"/>
  <c r="I54" i="35"/>
  <c r="J53" i="35"/>
  <c r="I53" i="35"/>
  <c r="F53" i="35"/>
  <c r="G53" i="35" s="1"/>
  <c r="J52" i="35"/>
  <c r="I52" i="35"/>
  <c r="J51" i="35"/>
  <c r="I51" i="35"/>
  <c r="H51" i="35"/>
  <c r="J50" i="35"/>
  <c r="I50" i="35"/>
  <c r="J49" i="35"/>
  <c r="I49" i="35"/>
  <c r="J48" i="35"/>
  <c r="I48" i="35"/>
  <c r="F48" i="35"/>
  <c r="J47" i="35"/>
  <c r="I47" i="35"/>
  <c r="F47" i="35"/>
  <c r="J46" i="35"/>
  <c r="I46" i="35"/>
  <c r="F46" i="35"/>
  <c r="G46" i="35" s="1"/>
  <c r="J45" i="35"/>
  <c r="I45" i="35"/>
  <c r="F45" i="35" s="1"/>
  <c r="G45" i="35"/>
  <c r="J44" i="35"/>
  <c r="I44" i="35"/>
  <c r="F44" i="35"/>
  <c r="J43" i="35"/>
  <c r="I43" i="35"/>
  <c r="F43" i="35" s="1"/>
  <c r="G43" i="35"/>
  <c r="J42" i="35"/>
  <c r="I42" i="35"/>
  <c r="F42" i="35"/>
  <c r="G42" i="35" s="1"/>
  <c r="J41" i="35"/>
  <c r="I41" i="35"/>
  <c r="J40" i="35"/>
  <c r="I40" i="35"/>
  <c r="J39" i="35"/>
  <c r="I39" i="35"/>
  <c r="J38" i="35"/>
  <c r="I38" i="35"/>
  <c r="H38" i="35"/>
  <c r="F38" i="35"/>
  <c r="J37" i="35"/>
  <c r="I37" i="35"/>
  <c r="H37" i="35"/>
  <c r="F37" i="35"/>
  <c r="J36" i="35"/>
  <c r="I36" i="35"/>
  <c r="F36" i="35" s="1"/>
  <c r="G36" i="35" s="1"/>
  <c r="H36" i="35"/>
  <c r="J35" i="35"/>
  <c r="I35" i="35"/>
  <c r="J34" i="35"/>
  <c r="I34" i="35"/>
  <c r="F34" i="35" s="1"/>
  <c r="J33" i="35"/>
  <c r="I33" i="35"/>
  <c r="H33" i="35"/>
  <c r="G33" i="35"/>
  <c r="F33" i="35"/>
  <c r="J32" i="35"/>
  <c r="I32" i="35"/>
  <c r="F32" i="35"/>
  <c r="J31" i="35"/>
  <c r="I31" i="35"/>
  <c r="J30" i="35"/>
  <c r="I30" i="35"/>
  <c r="H30" i="35" s="1"/>
  <c r="F30" i="35"/>
  <c r="G30" i="35" s="1"/>
  <c r="J29" i="35"/>
  <c r="I29" i="35"/>
  <c r="F29" i="35" s="1"/>
  <c r="G29" i="35" s="1"/>
  <c r="J28" i="35"/>
  <c r="I28" i="35"/>
  <c r="H28" i="35"/>
  <c r="F28" i="35"/>
  <c r="G28" i="35" s="1"/>
  <c r="J27" i="35"/>
  <c r="I27" i="35"/>
  <c r="J26" i="35"/>
  <c r="I26" i="35"/>
  <c r="J25" i="35"/>
  <c r="I25" i="35"/>
  <c r="H25" i="35"/>
  <c r="F25" i="35"/>
  <c r="G25" i="35" s="1"/>
  <c r="J24" i="35"/>
  <c r="I24" i="35"/>
  <c r="J23" i="35"/>
  <c r="I23" i="35"/>
  <c r="J22" i="35"/>
  <c r="I22" i="35"/>
  <c r="H22" i="35"/>
  <c r="G22" i="35"/>
  <c r="F22" i="35"/>
  <c r="J21" i="35"/>
  <c r="I21" i="35"/>
  <c r="F21" i="35" s="1"/>
  <c r="J20" i="35"/>
  <c r="I20" i="35"/>
  <c r="J19" i="35"/>
  <c r="I19" i="35"/>
  <c r="J18" i="35"/>
  <c r="I18" i="35"/>
  <c r="H18" i="35"/>
  <c r="F18" i="35"/>
  <c r="J17" i="35"/>
  <c r="I17" i="35"/>
  <c r="J16" i="35"/>
  <c r="I16" i="35"/>
  <c r="F16" i="35" s="1"/>
  <c r="H16" i="35"/>
  <c r="J15" i="35"/>
  <c r="I15" i="35"/>
  <c r="G15" i="35"/>
  <c r="F15" i="35"/>
  <c r="J14" i="35"/>
  <c r="I14" i="35"/>
  <c r="H14" i="35"/>
  <c r="J13" i="35"/>
  <c r="I13" i="35"/>
  <c r="J12" i="35"/>
  <c r="I12" i="35"/>
  <c r="J11" i="35"/>
  <c r="I11" i="35"/>
  <c r="J10" i="35"/>
  <c r="I10" i="35"/>
  <c r="J9" i="35"/>
  <c r="I9" i="35"/>
  <c r="F9" i="35"/>
  <c r="G9" i="35" s="1"/>
  <c r="J8" i="35"/>
  <c r="I8" i="35"/>
  <c r="J7" i="35"/>
  <c r="I7" i="35"/>
  <c r="F7" i="35" s="1"/>
  <c r="G7" i="35"/>
  <c r="J6" i="35"/>
  <c r="I6" i="35"/>
  <c r="F6" i="35"/>
  <c r="J5" i="35"/>
  <c r="I5" i="35"/>
  <c r="H5" i="35"/>
  <c r="J4" i="35"/>
  <c r="I4" i="35"/>
  <c r="H4" i="35" s="1"/>
  <c r="F4" i="35"/>
  <c r="J3" i="35"/>
  <c r="I3" i="35"/>
  <c r="J2" i="35"/>
  <c r="I2" i="35"/>
  <c r="F2" i="35" s="1"/>
  <c r="G2" i="35" s="1"/>
  <c r="H2" i="35"/>
  <c r="J48" i="34"/>
  <c r="I48" i="34"/>
  <c r="H48" i="34"/>
  <c r="F48" i="34"/>
  <c r="G48" i="34" s="1"/>
  <c r="J47" i="34"/>
  <c r="I47" i="34"/>
  <c r="J46" i="34"/>
  <c r="I46" i="34"/>
  <c r="J45" i="34"/>
  <c r="I45" i="34"/>
  <c r="F45" i="34"/>
  <c r="J44" i="34"/>
  <c r="I44" i="34"/>
  <c r="F44" i="34"/>
  <c r="G44" i="34" s="1"/>
  <c r="J43" i="34"/>
  <c r="I43" i="34"/>
  <c r="F43" i="34" s="1"/>
  <c r="J42" i="34"/>
  <c r="I42" i="34"/>
  <c r="F42" i="34" s="1"/>
  <c r="J41" i="34"/>
  <c r="I41" i="34"/>
  <c r="F41" i="34"/>
  <c r="J40" i="34"/>
  <c r="I40" i="34"/>
  <c r="F40" i="34" s="1"/>
  <c r="G40" i="34"/>
  <c r="J39" i="34"/>
  <c r="I39" i="34"/>
  <c r="F39" i="34"/>
  <c r="J38" i="34"/>
  <c r="I38" i="34"/>
  <c r="F38" i="34" s="1"/>
  <c r="G38" i="34"/>
  <c r="J37" i="34"/>
  <c r="I37" i="34"/>
  <c r="G37" i="34"/>
  <c r="F37" i="34"/>
  <c r="J36" i="34"/>
  <c r="I36" i="34"/>
  <c r="H30" i="34" s="1"/>
  <c r="H36" i="34"/>
  <c r="J35" i="34"/>
  <c r="I35" i="34"/>
  <c r="G35" i="34"/>
  <c r="F35" i="34"/>
  <c r="J34" i="34"/>
  <c r="I34" i="34"/>
  <c r="H34" i="34"/>
  <c r="F34" i="34"/>
  <c r="J33" i="34"/>
  <c r="I33" i="34"/>
  <c r="J32" i="34"/>
  <c r="I32" i="34"/>
  <c r="F32" i="34"/>
  <c r="J31" i="34"/>
  <c r="I31" i="34"/>
  <c r="F31" i="34"/>
  <c r="J30" i="34"/>
  <c r="I30" i="34"/>
  <c r="F30" i="34" s="1"/>
  <c r="J29" i="34"/>
  <c r="I29" i="34"/>
  <c r="F29" i="34"/>
  <c r="J28" i="34"/>
  <c r="I28" i="34"/>
  <c r="F28" i="34" s="1"/>
  <c r="J27" i="34"/>
  <c r="I27" i="34"/>
  <c r="F27" i="34" s="1"/>
  <c r="H27" i="34"/>
  <c r="G27" i="34"/>
  <c r="J26" i="34"/>
  <c r="I26" i="34"/>
  <c r="F26" i="34"/>
  <c r="J25" i="34"/>
  <c r="I25" i="34"/>
  <c r="J24" i="34"/>
  <c r="I24" i="34"/>
  <c r="J23" i="34"/>
  <c r="I23" i="34"/>
  <c r="F23" i="34" s="1"/>
  <c r="G23" i="34"/>
  <c r="J22" i="34"/>
  <c r="I22" i="34"/>
  <c r="J21" i="34"/>
  <c r="I21" i="34"/>
  <c r="F21" i="34" s="1"/>
  <c r="J20" i="34"/>
  <c r="I20" i="34"/>
  <c r="F20" i="34" s="1"/>
  <c r="J19" i="34"/>
  <c r="I19" i="34"/>
  <c r="J18" i="34"/>
  <c r="I18" i="34"/>
  <c r="J17" i="34"/>
  <c r="I17" i="34"/>
  <c r="F17" i="34" s="1"/>
  <c r="H17" i="34"/>
  <c r="J16" i="34"/>
  <c r="I16" i="34"/>
  <c r="J15" i="34"/>
  <c r="I15" i="34"/>
  <c r="J14" i="34"/>
  <c r="I14" i="34"/>
  <c r="J13" i="34"/>
  <c r="I13" i="34"/>
  <c r="F13" i="34"/>
  <c r="J12" i="34"/>
  <c r="I12" i="34"/>
  <c r="J11" i="34"/>
  <c r="I11" i="34"/>
  <c r="H11" i="34" s="1"/>
  <c r="J10" i="34"/>
  <c r="I10" i="34"/>
  <c r="H10" i="34"/>
  <c r="J9" i="34"/>
  <c r="I9" i="34"/>
  <c r="J8" i="34"/>
  <c r="I8" i="34"/>
  <c r="F8" i="34"/>
  <c r="J7" i="34"/>
  <c r="I7" i="34"/>
  <c r="F7" i="34" s="1"/>
  <c r="H7" i="34"/>
  <c r="J6" i="34"/>
  <c r="I6" i="34"/>
  <c r="G6" i="34"/>
  <c r="F6" i="34"/>
  <c r="J5" i="34"/>
  <c r="I5" i="34"/>
  <c r="F5" i="34"/>
  <c r="J4" i="34"/>
  <c r="I4" i="34"/>
  <c r="F4" i="34" s="1"/>
  <c r="G4" i="34"/>
  <c r="J3" i="34"/>
  <c r="I3" i="34"/>
  <c r="G3" i="34"/>
  <c r="F3" i="34"/>
  <c r="J2" i="34"/>
  <c r="I2" i="34"/>
  <c r="G2" i="34"/>
  <c r="F2" i="34"/>
  <c r="J71" i="33"/>
  <c r="J5" i="33"/>
  <c r="I5" i="33"/>
  <c r="F5" i="33"/>
  <c r="G5" i="33" s="1"/>
  <c r="J4" i="33"/>
  <c r="I4" i="33"/>
  <c r="J3" i="33"/>
  <c r="I3" i="33"/>
  <c r="J2" i="33"/>
  <c r="I2" i="33"/>
  <c r="H2" i="33"/>
  <c r="G2" i="33"/>
  <c r="F2" i="33"/>
  <c r="J19" i="32"/>
  <c r="I19" i="32"/>
  <c r="H19" i="32"/>
  <c r="F19" i="32"/>
  <c r="J18" i="32"/>
  <c r="I18" i="32"/>
  <c r="H18" i="32"/>
  <c r="G18" i="32"/>
  <c r="F18" i="32"/>
  <c r="J17" i="32"/>
  <c r="I17" i="32"/>
  <c r="F17" i="32" s="1"/>
  <c r="G17" i="32" s="1"/>
  <c r="H17" i="32"/>
  <c r="J16" i="32"/>
  <c r="I16" i="32"/>
  <c r="F16" i="32" s="1"/>
  <c r="G16" i="32"/>
  <c r="J15" i="32"/>
  <c r="I15" i="32"/>
  <c r="H15" i="32"/>
  <c r="J14" i="32"/>
  <c r="I14" i="32"/>
  <c r="J13" i="32"/>
  <c r="I13" i="32"/>
  <c r="H14" i="32" s="1"/>
  <c r="F13" i="32"/>
  <c r="G13" i="32" s="1"/>
  <c r="J12" i="32"/>
  <c r="I12" i="32"/>
  <c r="H12" i="32"/>
  <c r="F12" i="32"/>
  <c r="G12" i="32" s="1"/>
  <c r="J11" i="32"/>
  <c r="I11" i="32"/>
  <c r="J10" i="32"/>
  <c r="I10" i="32"/>
  <c r="H10" i="32" s="1"/>
  <c r="J9" i="32"/>
  <c r="I9" i="32"/>
  <c r="J8" i="32"/>
  <c r="I8" i="32"/>
  <c r="F8" i="32" s="1"/>
  <c r="H8" i="32"/>
  <c r="G8" i="32"/>
  <c r="J7" i="32"/>
  <c r="I7" i="32"/>
  <c r="J6" i="32"/>
  <c r="I6" i="32"/>
  <c r="J5" i="32"/>
  <c r="I5" i="32"/>
  <c r="H5" i="32"/>
  <c r="J4" i="32"/>
  <c r="I4" i="32"/>
  <c r="J3" i="32"/>
  <c r="I3" i="32"/>
  <c r="H3" i="32"/>
  <c r="F3" i="32"/>
  <c r="G3" i="32" s="1"/>
  <c r="J2" i="32"/>
  <c r="I2" i="32"/>
  <c r="H2" i="32"/>
  <c r="G2" i="32"/>
  <c r="F2" i="32"/>
  <c r="J71" i="31"/>
  <c r="J64" i="31"/>
  <c r="I64" i="31"/>
  <c r="F64" i="31"/>
  <c r="J63" i="31"/>
  <c r="I63" i="31"/>
  <c r="F63" i="31"/>
  <c r="J62" i="31"/>
  <c r="I62" i="31"/>
  <c r="F62" i="31"/>
  <c r="J61" i="31"/>
  <c r="I61" i="31"/>
  <c r="F61" i="31" s="1"/>
  <c r="J60" i="31"/>
  <c r="I60" i="31"/>
  <c r="J59" i="31"/>
  <c r="I59" i="31"/>
  <c r="J58" i="31"/>
  <c r="I58" i="31"/>
  <c r="J57" i="31"/>
  <c r="I57" i="31"/>
  <c r="F57" i="31"/>
  <c r="J56" i="31"/>
  <c r="I56" i="31"/>
  <c r="J55" i="31"/>
  <c r="I55" i="31"/>
  <c r="F55" i="31" s="1"/>
  <c r="J54" i="31"/>
  <c r="I54" i="31"/>
  <c r="J53" i="31"/>
  <c r="I53" i="31"/>
  <c r="J52" i="31"/>
  <c r="I52" i="31"/>
  <c r="F52" i="31" s="1"/>
  <c r="J51" i="31"/>
  <c r="I51" i="31"/>
  <c r="F51" i="31"/>
  <c r="J50" i="31"/>
  <c r="I50" i="31"/>
  <c r="J49" i="31"/>
  <c r="I49" i="31"/>
  <c r="F50" i="31" s="1"/>
  <c r="F49" i="31"/>
  <c r="J48" i="31"/>
  <c r="I48" i="31"/>
  <c r="F48" i="31"/>
  <c r="J47" i="31"/>
  <c r="I47" i="31"/>
  <c r="F47" i="31"/>
  <c r="J46" i="31"/>
  <c r="I46" i="31"/>
  <c r="F46" i="31" s="1"/>
  <c r="J45" i="31"/>
  <c r="I45" i="31"/>
  <c r="J44" i="31"/>
  <c r="I44" i="31"/>
  <c r="F44" i="31" s="1"/>
  <c r="J43" i="31"/>
  <c r="I43" i="31"/>
  <c r="J42" i="31"/>
  <c r="I42" i="31"/>
  <c r="J41" i="31"/>
  <c r="I41" i="31"/>
  <c r="F41" i="31"/>
  <c r="J40" i="31"/>
  <c r="I40" i="31"/>
  <c r="F40" i="31"/>
  <c r="J39" i="31"/>
  <c r="I39" i="31"/>
  <c r="F39" i="31"/>
  <c r="J38" i="31"/>
  <c r="I38" i="31"/>
  <c r="J37" i="31"/>
  <c r="I37" i="31"/>
  <c r="F38" i="31" s="1"/>
  <c r="F37" i="31"/>
  <c r="J36" i="31"/>
  <c r="I36" i="31"/>
  <c r="F36" i="31" s="1"/>
  <c r="J35" i="31"/>
  <c r="I35" i="31"/>
  <c r="F35" i="31"/>
  <c r="J34" i="31"/>
  <c r="I34" i="31"/>
  <c r="J33" i="31"/>
  <c r="K33" i="31" s="1"/>
  <c r="L33" i="31" s="1"/>
  <c r="I33" i="31"/>
  <c r="J32" i="31"/>
  <c r="I32" i="31"/>
  <c r="F32" i="31" s="1"/>
  <c r="J31" i="31"/>
  <c r="I31" i="31"/>
  <c r="J30" i="31"/>
  <c r="I30" i="31"/>
  <c r="F30" i="31" s="1"/>
  <c r="J29" i="31"/>
  <c r="I29" i="31"/>
  <c r="F29" i="31"/>
  <c r="J28" i="31"/>
  <c r="I28" i="31"/>
  <c r="F28" i="31"/>
  <c r="J27" i="31"/>
  <c r="I27" i="31"/>
  <c r="F27" i="31"/>
  <c r="J26" i="31"/>
  <c r="I26" i="31"/>
  <c r="F26" i="31" s="1"/>
  <c r="J25" i="31"/>
  <c r="I25" i="31"/>
  <c r="J24" i="31"/>
  <c r="I24" i="31"/>
  <c r="J23" i="31"/>
  <c r="I23" i="31"/>
  <c r="F23" i="31" s="1"/>
  <c r="J22" i="31"/>
  <c r="I22" i="31"/>
  <c r="J21" i="31"/>
  <c r="I21" i="31"/>
  <c r="F21" i="31" s="1"/>
  <c r="J20" i="31"/>
  <c r="I20" i="31"/>
  <c r="F20" i="31"/>
  <c r="J19" i="31"/>
  <c r="K19" i="31" s="1"/>
  <c r="L19" i="31" s="1"/>
  <c r="I19" i="31"/>
  <c r="F19" i="31"/>
  <c r="J18" i="31"/>
  <c r="I18" i="31"/>
  <c r="J17" i="31"/>
  <c r="I17" i="31"/>
  <c r="F17" i="31" s="1"/>
  <c r="J16" i="31"/>
  <c r="I16" i="31"/>
  <c r="J15" i="31"/>
  <c r="I15" i="31"/>
  <c r="F16" i="31" s="1"/>
  <c r="F15" i="31"/>
  <c r="J14" i="31"/>
  <c r="I14" i="31"/>
  <c r="F14" i="31"/>
  <c r="J13" i="31"/>
  <c r="I13" i="31"/>
  <c r="F13" i="31"/>
  <c r="J12" i="31"/>
  <c r="I12" i="31"/>
  <c r="F12" i="31" s="1"/>
  <c r="J11" i="31"/>
  <c r="I11" i="31"/>
  <c r="F11" i="31" s="1"/>
  <c r="J10" i="31"/>
  <c r="I10" i="31"/>
  <c r="K9" i="31"/>
  <c r="L9" i="31" s="1"/>
  <c r="J9" i="31"/>
  <c r="I9" i="31"/>
  <c r="F9" i="31" s="1"/>
  <c r="J8" i="31"/>
  <c r="I8" i="31"/>
  <c r="F8" i="31"/>
  <c r="J7" i="31"/>
  <c r="I7" i="31"/>
  <c r="J6" i="31"/>
  <c r="I6" i="31"/>
  <c r="F6" i="31" s="1"/>
  <c r="J5" i="31"/>
  <c r="I5" i="31"/>
  <c r="J4" i="31"/>
  <c r="I4" i="31"/>
  <c r="J3" i="31"/>
  <c r="I3" i="31"/>
  <c r="J2" i="31"/>
  <c r="K2" i="31" s="1"/>
  <c r="I2" i="31"/>
  <c r="K7" i="30"/>
  <c r="L7" i="30" s="1"/>
  <c r="J7" i="30"/>
  <c r="I7" i="30"/>
  <c r="H7" i="30"/>
  <c r="J6" i="30"/>
  <c r="I6" i="30"/>
  <c r="H6" i="30"/>
  <c r="F6" i="30"/>
  <c r="J5" i="30"/>
  <c r="I5" i="30"/>
  <c r="J4" i="30"/>
  <c r="I4" i="30"/>
  <c r="J3" i="30"/>
  <c r="I3" i="30"/>
  <c r="J2" i="30"/>
  <c r="I2" i="30"/>
  <c r="J29" i="29"/>
  <c r="I29" i="29"/>
  <c r="F29" i="29" s="1"/>
  <c r="J28" i="29"/>
  <c r="I28" i="29"/>
  <c r="G28" i="29"/>
  <c r="F28" i="29"/>
  <c r="J27" i="29"/>
  <c r="I27" i="29"/>
  <c r="J26" i="29"/>
  <c r="I26" i="29"/>
  <c r="F26" i="29" s="1"/>
  <c r="G26" i="29" s="1"/>
  <c r="J25" i="29"/>
  <c r="I25" i="29"/>
  <c r="F25" i="29" s="1"/>
  <c r="H25" i="29"/>
  <c r="J24" i="29"/>
  <c r="I24" i="29"/>
  <c r="J23" i="29"/>
  <c r="I23" i="29"/>
  <c r="J22" i="29"/>
  <c r="I22" i="29"/>
  <c r="H22" i="29"/>
  <c r="G22" i="29"/>
  <c r="J21" i="29"/>
  <c r="I21" i="29"/>
  <c r="F22" i="29" s="1"/>
  <c r="H21" i="29"/>
  <c r="F21" i="29"/>
  <c r="G21" i="29" s="1"/>
  <c r="J20" i="29"/>
  <c r="I20" i="29"/>
  <c r="F20" i="29" s="1"/>
  <c r="J19" i="29"/>
  <c r="I19" i="29"/>
  <c r="J18" i="29"/>
  <c r="I18" i="29"/>
  <c r="F18" i="29" s="1"/>
  <c r="J17" i="29"/>
  <c r="I17" i="29"/>
  <c r="H17" i="29"/>
  <c r="F17" i="29"/>
  <c r="G17" i="29" s="1"/>
  <c r="J16" i="29"/>
  <c r="I16" i="29"/>
  <c r="H16" i="29"/>
  <c r="J15" i="29"/>
  <c r="I15" i="29"/>
  <c r="J14" i="29"/>
  <c r="I14" i="29"/>
  <c r="F14" i="29" s="1"/>
  <c r="G14" i="29" s="1"/>
  <c r="H14" i="29"/>
  <c r="J13" i="29"/>
  <c r="I13" i="29"/>
  <c r="H13" i="29"/>
  <c r="J12" i="29"/>
  <c r="I12" i="29"/>
  <c r="J11" i="29"/>
  <c r="I11" i="29"/>
  <c r="H12" i="29" s="1"/>
  <c r="J10" i="29"/>
  <c r="I10" i="29"/>
  <c r="J9" i="29"/>
  <c r="I9" i="29"/>
  <c r="J8" i="29"/>
  <c r="I8" i="29"/>
  <c r="F8" i="29" s="1"/>
  <c r="J7" i="29"/>
  <c r="I7" i="29"/>
  <c r="F7" i="29" s="1"/>
  <c r="G7" i="29" s="1"/>
  <c r="J6" i="29"/>
  <c r="I6" i="29"/>
  <c r="F6" i="29"/>
  <c r="G6" i="29" s="1"/>
  <c r="J5" i="29"/>
  <c r="I5" i="29"/>
  <c r="J4" i="29"/>
  <c r="I4" i="29"/>
  <c r="F4" i="29" s="1"/>
  <c r="J3" i="29"/>
  <c r="I3" i="29"/>
  <c r="J2" i="29"/>
  <c r="I2" i="29"/>
  <c r="F3" i="29" s="1"/>
  <c r="H2" i="29"/>
  <c r="J28" i="28"/>
  <c r="I28" i="28"/>
  <c r="H28" i="28"/>
  <c r="F28" i="28"/>
  <c r="G28" i="28" s="1"/>
  <c r="J27" i="28"/>
  <c r="I27" i="28"/>
  <c r="J26" i="28"/>
  <c r="I26" i="28"/>
  <c r="F26" i="28"/>
  <c r="G26" i="28" s="1"/>
  <c r="J25" i="28"/>
  <c r="I25" i="28"/>
  <c r="J24" i="28"/>
  <c r="I24" i="28"/>
  <c r="F24" i="28"/>
  <c r="G24" i="28" s="1"/>
  <c r="J23" i="28"/>
  <c r="I23" i="28"/>
  <c r="F23" i="28" s="1"/>
  <c r="G23" i="28" s="1"/>
  <c r="H23" i="28"/>
  <c r="J22" i="28"/>
  <c r="I22" i="28"/>
  <c r="H22" i="28"/>
  <c r="F22" i="28"/>
  <c r="G22" i="28" s="1"/>
  <c r="J21" i="28"/>
  <c r="I21" i="28"/>
  <c r="H21" i="28"/>
  <c r="F21" i="28"/>
  <c r="J20" i="28"/>
  <c r="I20" i="28"/>
  <c r="H20" i="28"/>
  <c r="J19" i="28"/>
  <c r="I19" i="28"/>
  <c r="F19" i="28" s="1"/>
  <c r="H19" i="28"/>
  <c r="G19" i="28"/>
  <c r="J18" i="28"/>
  <c r="I18" i="28"/>
  <c r="J17" i="28"/>
  <c r="I17" i="28"/>
  <c r="J16" i="28"/>
  <c r="I16" i="28"/>
  <c r="J15" i="28"/>
  <c r="I15" i="28"/>
  <c r="F15" i="28"/>
  <c r="G15" i="28" s="1"/>
  <c r="J14" i="28"/>
  <c r="I14" i="28"/>
  <c r="H14" i="28"/>
  <c r="J13" i="28"/>
  <c r="I13" i="28"/>
  <c r="F14" i="28" s="1"/>
  <c r="G14" i="28" s="1"/>
  <c r="H13" i="28"/>
  <c r="G13" i="28"/>
  <c r="F13" i="28"/>
  <c r="J12" i="28"/>
  <c r="I12" i="28"/>
  <c r="J11" i="28"/>
  <c r="I11" i="28"/>
  <c r="G11" i="28"/>
  <c r="F11" i="28"/>
  <c r="J10" i="28"/>
  <c r="I10" i="28"/>
  <c r="H10" i="28" s="1"/>
  <c r="F10" i="28"/>
  <c r="G10" i="28" s="1"/>
  <c r="J9" i="28"/>
  <c r="I9" i="28"/>
  <c r="F9" i="28" s="1"/>
  <c r="G9" i="28" s="1"/>
  <c r="H9" i="28"/>
  <c r="J8" i="28"/>
  <c r="I8" i="28"/>
  <c r="J7" i="28"/>
  <c r="I7" i="28"/>
  <c r="H7" i="28"/>
  <c r="J6" i="28"/>
  <c r="I6" i="28"/>
  <c r="H6" i="28"/>
  <c r="G6" i="28"/>
  <c r="F6" i="28"/>
  <c r="J5" i="28"/>
  <c r="I5" i="28"/>
  <c r="J4" i="28"/>
  <c r="I4" i="28"/>
  <c r="J3" i="28"/>
  <c r="I3" i="28"/>
  <c r="F3" i="28" s="1"/>
  <c r="H3" i="28"/>
  <c r="G3" i="28"/>
  <c r="J2" i="28"/>
  <c r="I2" i="28"/>
  <c r="G2" i="28"/>
  <c r="F2" i="28"/>
  <c r="J47" i="27"/>
  <c r="I47" i="27"/>
  <c r="J46" i="27"/>
  <c r="I46" i="27"/>
  <c r="F46" i="27" s="1"/>
  <c r="J45" i="27"/>
  <c r="I45" i="27"/>
  <c r="F45" i="27"/>
  <c r="J44" i="27"/>
  <c r="I44" i="27"/>
  <c r="F44" i="27"/>
  <c r="J43" i="27"/>
  <c r="I43" i="27"/>
  <c r="J42" i="27"/>
  <c r="I42" i="27"/>
  <c r="J41" i="27"/>
  <c r="I41" i="27"/>
  <c r="F41" i="27"/>
  <c r="J40" i="27"/>
  <c r="I40" i="27"/>
  <c r="F40" i="27"/>
  <c r="J39" i="27"/>
  <c r="I39" i="27"/>
  <c r="F39" i="27"/>
  <c r="J38" i="27"/>
  <c r="I38" i="27"/>
  <c r="J37" i="27"/>
  <c r="I37" i="27"/>
  <c r="J36" i="27"/>
  <c r="I36" i="27"/>
  <c r="F36" i="27" s="1"/>
  <c r="J35" i="27"/>
  <c r="I35" i="27"/>
  <c r="F35" i="27" s="1"/>
  <c r="G35" i="27"/>
  <c r="J34" i="27"/>
  <c r="I34" i="27"/>
  <c r="J33" i="27"/>
  <c r="I33" i="27"/>
  <c r="J32" i="27"/>
  <c r="I32" i="27"/>
  <c r="F32" i="27"/>
  <c r="J31" i="27"/>
  <c r="I31" i="27"/>
  <c r="J30" i="27"/>
  <c r="I30" i="27"/>
  <c r="H30" i="27"/>
  <c r="F30" i="27"/>
  <c r="J29" i="27"/>
  <c r="I29" i="27"/>
  <c r="F29" i="27"/>
  <c r="J28" i="27"/>
  <c r="I28" i="27"/>
  <c r="H28" i="27"/>
  <c r="J27" i="27"/>
  <c r="I27" i="27"/>
  <c r="J26" i="27"/>
  <c r="I26" i="27"/>
  <c r="J25" i="27"/>
  <c r="I25" i="27"/>
  <c r="F26" i="27" s="1"/>
  <c r="F25" i="27"/>
  <c r="J24" i="27"/>
  <c r="I24" i="27"/>
  <c r="H24" i="27"/>
  <c r="J23" i="27"/>
  <c r="I23" i="27"/>
  <c r="F23" i="27" s="1"/>
  <c r="J22" i="27"/>
  <c r="I22" i="27"/>
  <c r="J21" i="27"/>
  <c r="I21" i="27"/>
  <c r="J20" i="27"/>
  <c r="I20" i="27"/>
  <c r="F20" i="27" s="1"/>
  <c r="J19" i="27"/>
  <c r="I19" i="27"/>
  <c r="J18" i="27"/>
  <c r="I18" i="27"/>
  <c r="J17" i="27"/>
  <c r="I17" i="27"/>
  <c r="F17" i="27" s="1"/>
  <c r="J16" i="27"/>
  <c r="I16" i="27"/>
  <c r="F16" i="27"/>
  <c r="J15" i="27"/>
  <c r="I15" i="27"/>
  <c r="J14" i="27"/>
  <c r="I14" i="27"/>
  <c r="F14" i="27" s="1"/>
  <c r="G14" i="27"/>
  <c r="J13" i="27"/>
  <c r="I13" i="27"/>
  <c r="F13" i="27"/>
  <c r="J12" i="27"/>
  <c r="I12" i="27"/>
  <c r="F12" i="27" s="1"/>
  <c r="J11" i="27"/>
  <c r="I11" i="27"/>
  <c r="J10" i="27"/>
  <c r="I10" i="27"/>
  <c r="H10" i="27" s="1"/>
  <c r="J9" i="27"/>
  <c r="I9" i="27"/>
  <c r="F9" i="27" s="1"/>
  <c r="J8" i="27"/>
  <c r="I8" i="27"/>
  <c r="F8" i="27" s="1"/>
  <c r="J7" i="27"/>
  <c r="I7" i="27"/>
  <c r="H7" i="27"/>
  <c r="F7" i="27"/>
  <c r="J6" i="27"/>
  <c r="I6" i="27"/>
  <c r="J5" i="27"/>
  <c r="I5" i="27"/>
  <c r="F6" i="27" s="1"/>
  <c r="F5" i="27"/>
  <c r="J4" i="27"/>
  <c r="I4" i="27"/>
  <c r="J3" i="27"/>
  <c r="I3" i="27"/>
  <c r="J2" i="27"/>
  <c r="I2" i="27"/>
  <c r="F2" i="27"/>
  <c r="J56" i="26"/>
  <c r="I56" i="26"/>
  <c r="J55" i="26"/>
  <c r="I55" i="26"/>
  <c r="J54" i="26"/>
  <c r="I54" i="26"/>
  <c r="H27" i="26" s="1"/>
  <c r="J53" i="26"/>
  <c r="I53" i="26"/>
  <c r="F53" i="26"/>
  <c r="J52" i="26"/>
  <c r="I52" i="26"/>
  <c r="J51" i="26"/>
  <c r="I51" i="26"/>
  <c r="F51" i="26" s="1"/>
  <c r="J50" i="26"/>
  <c r="I50" i="26"/>
  <c r="J49" i="26"/>
  <c r="I49" i="26"/>
  <c r="J48" i="26"/>
  <c r="I48" i="26"/>
  <c r="F48" i="26" s="1"/>
  <c r="J47" i="26"/>
  <c r="I47" i="26"/>
  <c r="F47" i="26"/>
  <c r="J46" i="26"/>
  <c r="I46" i="26"/>
  <c r="F46" i="26"/>
  <c r="J45" i="26"/>
  <c r="I45" i="26"/>
  <c r="J44" i="26"/>
  <c r="I44" i="26"/>
  <c r="F44" i="26" s="1"/>
  <c r="J43" i="26"/>
  <c r="I43" i="26"/>
  <c r="F43" i="26"/>
  <c r="J42" i="26"/>
  <c r="I42" i="26"/>
  <c r="F42" i="26"/>
  <c r="J41" i="26"/>
  <c r="I41" i="26"/>
  <c r="F41" i="26" s="1"/>
  <c r="J40" i="26"/>
  <c r="I40" i="26"/>
  <c r="F40" i="26" s="1"/>
  <c r="J39" i="26"/>
  <c r="I39" i="26"/>
  <c r="F39" i="26" s="1"/>
  <c r="J38" i="26"/>
  <c r="I38" i="26"/>
  <c r="J37" i="26"/>
  <c r="I37" i="26"/>
  <c r="J36" i="26"/>
  <c r="I36" i="26"/>
  <c r="J35" i="26"/>
  <c r="I35" i="26"/>
  <c r="J34" i="26"/>
  <c r="I34" i="26"/>
  <c r="F34" i="26"/>
  <c r="J33" i="26"/>
  <c r="I33" i="26"/>
  <c r="F33" i="26"/>
  <c r="J32" i="26"/>
  <c r="I32" i="26"/>
  <c r="F32" i="26"/>
  <c r="J31" i="26"/>
  <c r="I31" i="26"/>
  <c r="F31" i="26"/>
  <c r="J30" i="26"/>
  <c r="I30" i="26"/>
  <c r="F30" i="26" s="1"/>
  <c r="J29" i="26"/>
  <c r="I29" i="26"/>
  <c r="F29" i="26" s="1"/>
  <c r="J28" i="26"/>
  <c r="I28" i="26"/>
  <c r="J27" i="26"/>
  <c r="I27" i="26"/>
  <c r="J26" i="26"/>
  <c r="I26" i="26"/>
  <c r="F26" i="26" s="1"/>
  <c r="J25" i="26"/>
  <c r="I25" i="26"/>
  <c r="F25" i="26"/>
  <c r="J24" i="26"/>
  <c r="I24" i="26"/>
  <c r="J23" i="26"/>
  <c r="I23" i="26"/>
  <c r="F24" i="26" s="1"/>
  <c r="J22" i="26"/>
  <c r="I22" i="26"/>
  <c r="J21" i="26"/>
  <c r="I21" i="26"/>
  <c r="H21" i="26"/>
  <c r="J20" i="26"/>
  <c r="I20" i="26"/>
  <c r="J19" i="26"/>
  <c r="I19" i="26"/>
  <c r="F19" i="26" s="1"/>
  <c r="J18" i="26"/>
  <c r="I18" i="26"/>
  <c r="F18" i="26"/>
  <c r="J17" i="26"/>
  <c r="I17" i="26"/>
  <c r="F17" i="26"/>
  <c r="J16" i="26"/>
  <c r="I16" i="26"/>
  <c r="J15" i="26"/>
  <c r="I15" i="26"/>
  <c r="F15" i="26" s="1"/>
  <c r="J14" i="26"/>
  <c r="I14" i="26"/>
  <c r="J13" i="26"/>
  <c r="I13" i="26"/>
  <c r="J12" i="26"/>
  <c r="I12" i="26"/>
  <c r="J11" i="26"/>
  <c r="I11" i="26"/>
  <c r="J10" i="26"/>
  <c r="I10" i="26"/>
  <c r="F10" i="26" s="1"/>
  <c r="J9" i="26"/>
  <c r="I9" i="26"/>
  <c r="F9" i="26" s="1"/>
  <c r="J8" i="26"/>
  <c r="I8" i="26"/>
  <c r="F8" i="26"/>
  <c r="J7" i="26"/>
  <c r="I7" i="26"/>
  <c r="F7" i="26" s="1"/>
  <c r="J6" i="26"/>
  <c r="I6" i="26"/>
  <c r="F6" i="26"/>
  <c r="J5" i="26"/>
  <c r="I5" i="26"/>
  <c r="F5" i="26"/>
  <c r="J4" i="26"/>
  <c r="I4" i="26"/>
  <c r="J3" i="26"/>
  <c r="I3" i="26"/>
  <c r="F3" i="26" s="1"/>
  <c r="J2" i="26"/>
  <c r="I2" i="26"/>
  <c r="F2" i="26" s="1"/>
  <c r="J4" i="25"/>
  <c r="I4" i="25"/>
  <c r="H4" i="25" s="1"/>
  <c r="J3" i="25"/>
  <c r="I3" i="25"/>
  <c r="J2" i="25"/>
  <c r="I2" i="25"/>
  <c r="F3" i="25" s="1"/>
  <c r="H2" i="25"/>
  <c r="F2" i="25"/>
  <c r="J28" i="24"/>
  <c r="I28" i="24"/>
  <c r="F28" i="24"/>
  <c r="G28" i="24" s="1"/>
  <c r="J27" i="24"/>
  <c r="I27" i="24"/>
  <c r="F27" i="24" s="1"/>
  <c r="G27" i="24" s="1"/>
  <c r="J26" i="24"/>
  <c r="I26" i="24"/>
  <c r="F26" i="24" s="1"/>
  <c r="G26" i="24" s="1"/>
  <c r="J25" i="24"/>
  <c r="I25" i="24"/>
  <c r="F25" i="24" s="1"/>
  <c r="G25" i="24" s="1"/>
  <c r="J24" i="24"/>
  <c r="I24" i="24"/>
  <c r="G24" i="24"/>
  <c r="J23" i="24"/>
  <c r="I23" i="24"/>
  <c r="F24" i="24" s="1"/>
  <c r="J22" i="24"/>
  <c r="I22" i="24"/>
  <c r="H22" i="24"/>
  <c r="G22" i="24"/>
  <c r="F22" i="24"/>
  <c r="J21" i="24"/>
  <c r="I21" i="24"/>
  <c r="G21" i="24"/>
  <c r="F21" i="24"/>
  <c r="J20" i="24"/>
  <c r="I20" i="24"/>
  <c r="J19" i="24"/>
  <c r="I19" i="24"/>
  <c r="F20" i="24" s="1"/>
  <c r="G20" i="24" s="1"/>
  <c r="J18" i="24"/>
  <c r="I18" i="24"/>
  <c r="F19" i="24" s="1"/>
  <c r="G19" i="24" s="1"/>
  <c r="J17" i="24"/>
  <c r="I17" i="24"/>
  <c r="F17" i="24" s="1"/>
  <c r="G17" i="24" s="1"/>
  <c r="J16" i="24"/>
  <c r="I16" i="24"/>
  <c r="F16" i="24"/>
  <c r="G16" i="24" s="1"/>
  <c r="J15" i="24"/>
  <c r="I15" i="24"/>
  <c r="F15" i="24" s="1"/>
  <c r="G15" i="24"/>
  <c r="J14" i="24"/>
  <c r="I14" i="24"/>
  <c r="J13" i="24"/>
  <c r="I13" i="24"/>
  <c r="F14" i="24" s="1"/>
  <c r="G14" i="24" s="1"/>
  <c r="F13" i="24"/>
  <c r="G13" i="24" s="1"/>
  <c r="J12" i="24"/>
  <c r="I12" i="24"/>
  <c r="J11" i="24"/>
  <c r="I11" i="24"/>
  <c r="F11" i="24" s="1"/>
  <c r="G11" i="24" s="1"/>
  <c r="J10" i="24"/>
  <c r="I10" i="24"/>
  <c r="F10" i="24"/>
  <c r="G10" i="24" s="1"/>
  <c r="J9" i="24"/>
  <c r="I9" i="24"/>
  <c r="F9" i="24" s="1"/>
  <c r="G9" i="24" s="1"/>
  <c r="J8" i="24"/>
  <c r="I8" i="24"/>
  <c r="F8" i="24"/>
  <c r="J7" i="24"/>
  <c r="I7" i="24"/>
  <c r="J6" i="24"/>
  <c r="I6" i="24"/>
  <c r="F6" i="24" s="1"/>
  <c r="G6" i="24" s="1"/>
  <c r="J5" i="24"/>
  <c r="I5" i="24"/>
  <c r="J4" i="24"/>
  <c r="I4" i="24"/>
  <c r="H4" i="24"/>
  <c r="J3" i="24"/>
  <c r="I3" i="24"/>
  <c r="J2" i="24"/>
  <c r="I2" i="24"/>
  <c r="J23" i="23"/>
  <c r="I23" i="23"/>
  <c r="H23" i="23"/>
  <c r="F23" i="23"/>
  <c r="J22" i="23"/>
  <c r="I22" i="23"/>
  <c r="J21" i="23"/>
  <c r="I21" i="23"/>
  <c r="H21" i="23"/>
  <c r="J20" i="23"/>
  <c r="I20" i="23"/>
  <c r="F20" i="23" s="1"/>
  <c r="J19" i="23"/>
  <c r="I19" i="23"/>
  <c r="J18" i="23"/>
  <c r="I18" i="23"/>
  <c r="J17" i="23"/>
  <c r="I17" i="23"/>
  <c r="J16" i="23"/>
  <c r="I16" i="23"/>
  <c r="F16" i="23"/>
  <c r="J15" i="23"/>
  <c r="I15" i="23"/>
  <c r="H15" i="23"/>
  <c r="F15" i="23"/>
  <c r="J14" i="23"/>
  <c r="K14" i="23" s="1"/>
  <c r="L14" i="23" s="1"/>
  <c r="I14" i="23"/>
  <c r="H14" i="23"/>
  <c r="F14" i="23"/>
  <c r="K13" i="23"/>
  <c r="L13" i="23" s="1"/>
  <c r="J13" i="23"/>
  <c r="I13" i="23"/>
  <c r="J12" i="23"/>
  <c r="I12" i="23"/>
  <c r="J11" i="23"/>
  <c r="I11" i="23"/>
  <c r="K10" i="23"/>
  <c r="L10" i="23" s="1"/>
  <c r="J10" i="23"/>
  <c r="I10" i="23"/>
  <c r="F10" i="23" s="1"/>
  <c r="G10" i="23" s="1"/>
  <c r="J9" i="23"/>
  <c r="I9" i="23"/>
  <c r="H9" i="23"/>
  <c r="F9" i="23"/>
  <c r="J8" i="23"/>
  <c r="K8" i="23" s="1"/>
  <c r="L8" i="23" s="1"/>
  <c r="I8" i="23"/>
  <c r="K7" i="23"/>
  <c r="L7" i="23" s="1"/>
  <c r="J7" i="23"/>
  <c r="I7" i="23"/>
  <c r="H7" i="23"/>
  <c r="F7" i="23"/>
  <c r="J6" i="23"/>
  <c r="I6" i="23"/>
  <c r="F6" i="23"/>
  <c r="K5" i="23"/>
  <c r="L5" i="23" s="1"/>
  <c r="J5" i="23"/>
  <c r="I5" i="23"/>
  <c r="H5" i="23"/>
  <c r="J4" i="23"/>
  <c r="I4" i="23"/>
  <c r="F4" i="23" s="1"/>
  <c r="H4" i="23"/>
  <c r="J3" i="23"/>
  <c r="I3" i="23"/>
  <c r="J2" i="23"/>
  <c r="I2" i="23"/>
  <c r="F3" i="23" s="1"/>
  <c r="F2" i="23"/>
  <c r="G2" i="23" s="1"/>
  <c r="J16" i="22"/>
  <c r="I16" i="22"/>
  <c r="F16" i="22"/>
  <c r="J15" i="22"/>
  <c r="I15" i="22"/>
  <c r="H15" i="22" s="1"/>
  <c r="J14" i="22"/>
  <c r="I14" i="22"/>
  <c r="F14" i="22" s="1"/>
  <c r="J13" i="22"/>
  <c r="I13" i="22"/>
  <c r="J12" i="22"/>
  <c r="I12" i="22"/>
  <c r="J11" i="22"/>
  <c r="I11" i="22"/>
  <c r="J10" i="22"/>
  <c r="I10" i="22"/>
  <c r="J9" i="22"/>
  <c r="I9" i="22"/>
  <c r="F9" i="22"/>
  <c r="G9" i="22" s="1"/>
  <c r="J8" i="22"/>
  <c r="I8" i="22"/>
  <c r="F8" i="22"/>
  <c r="J7" i="22"/>
  <c r="I7" i="22"/>
  <c r="J6" i="22"/>
  <c r="I6" i="22"/>
  <c r="J5" i="22"/>
  <c r="I5" i="22"/>
  <c r="J4" i="22"/>
  <c r="I4" i="22"/>
  <c r="F4" i="22" s="1"/>
  <c r="J3" i="22"/>
  <c r="I3" i="22"/>
  <c r="F3" i="22" s="1"/>
  <c r="J2" i="22"/>
  <c r="I2" i="22"/>
  <c r="F2" i="22" s="1"/>
  <c r="J14" i="21"/>
  <c r="I14" i="21"/>
  <c r="F14" i="21" s="1"/>
  <c r="J13" i="21"/>
  <c r="I13" i="21"/>
  <c r="J12" i="21"/>
  <c r="I12" i="21"/>
  <c r="F12" i="21" s="1"/>
  <c r="J11" i="21"/>
  <c r="I11" i="21"/>
  <c r="F11" i="21" s="1"/>
  <c r="J10" i="21"/>
  <c r="I10" i="21"/>
  <c r="J9" i="21"/>
  <c r="I9" i="21"/>
  <c r="F9" i="21" s="1"/>
  <c r="H9" i="21"/>
  <c r="J8" i="21"/>
  <c r="I8" i="21"/>
  <c r="J7" i="21"/>
  <c r="I7" i="21"/>
  <c r="F8" i="21" s="1"/>
  <c r="F7" i="21"/>
  <c r="J6" i="21"/>
  <c r="I6" i="21"/>
  <c r="F6" i="21"/>
  <c r="J5" i="21"/>
  <c r="I5" i="21"/>
  <c r="J4" i="21"/>
  <c r="I4" i="21"/>
  <c r="F4" i="21"/>
  <c r="J3" i="21"/>
  <c r="I3" i="21"/>
  <c r="F3" i="21" s="1"/>
  <c r="J2" i="21"/>
  <c r="I2" i="21"/>
  <c r="F2" i="21" s="1"/>
  <c r="K48" i="20"/>
  <c r="L48" i="20" s="1"/>
  <c r="J48" i="20"/>
  <c r="I48" i="20"/>
  <c r="H48" i="20"/>
  <c r="K47" i="20"/>
  <c r="L47" i="20" s="1"/>
  <c r="J47" i="20"/>
  <c r="I47" i="20"/>
  <c r="L46" i="20"/>
  <c r="J46" i="20"/>
  <c r="K46" i="20" s="1"/>
  <c r="I46" i="20"/>
  <c r="G46" i="20"/>
  <c r="F46" i="20"/>
  <c r="J45" i="20"/>
  <c r="K45" i="20" s="1"/>
  <c r="L45" i="20" s="1"/>
  <c r="I45" i="20"/>
  <c r="L44" i="20"/>
  <c r="K44" i="20"/>
  <c r="J44" i="20"/>
  <c r="I44" i="20"/>
  <c r="H44" i="20"/>
  <c r="J43" i="20"/>
  <c r="K43" i="20" s="1"/>
  <c r="L43" i="20" s="1"/>
  <c r="I43" i="20"/>
  <c r="J42" i="20"/>
  <c r="K42" i="20" s="1"/>
  <c r="I42" i="20"/>
  <c r="K41" i="20"/>
  <c r="L41" i="20" s="1"/>
  <c r="J41" i="20"/>
  <c r="I41" i="20"/>
  <c r="K40" i="20"/>
  <c r="L40" i="20" s="1"/>
  <c r="J40" i="20"/>
  <c r="I40" i="20"/>
  <c r="H41" i="20" s="1"/>
  <c r="J39" i="20"/>
  <c r="K39" i="20" s="1"/>
  <c r="L39" i="20" s="1"/>
  <c r="I39" i="20"/>
  <c r="F39" i="20"/>
  <c r="J38" i="20"/>
  <c r="K38" i="20" s="1"/>
  <c r="L38" i="20" s="1"/>
  <c r="I38" i="20"/>
  <c r="F38" i="20" s="1"/>
  <c r="L37" i="20"/>
  <c r="J37" i="20"/>
  <c r="K37" i="20" s="1"/>
  <c r="I37" i="20"/>
  <c r="F37" i="20" s="1"/>
  <c r="K36" i="20"/>
  <c r="L36" i="20" s="1"/>
  <c r="J36" i="20"/>
  <c r="I36" i="20"/>
  <c r="F36" i="20"/>
  <c r="K35" i="20"/>
  <c r="J35" i="20"/>
  <c r="I35" i="20"/>
  <c r="F35" i="20" s="1"/>
  <c r="K34" i="20"/>
  <c r="L34" i="20" s="1"/>
  <c r="J34" i="20"/>
  <c r="I34" i="20"/>
  <c r="F34" i="20"/>
  <c r="K33" i="20"/>
  <c r="L33" i="20" s="1"/>
  <c r="J33" i="20"/>
  <c r="I33" i="20"/>
  <c r="F33" i="20" s="1"/>
  <c r="H33" i="20"/>
  <c r="J32" i="20"/>
  <c r="K32" i="20" s="1"/>
  <c r="L32" i="20" s="1"/>
  <c r="I32" i="20"/>
  <c r="H32" i="20"/>
  <c r="F32" i="20"/>
  <c r="L31" i="20"/>
  <c r="J31" i="20"/>
  <c r="K31" i="20" s="1"/>
  <c r="I31" i="20"/>
  <c r="G31" i="20"/>
  <c r="F31" i="20"/>
  <c r="L30" i="20"/>
  <c r="K30" i="20"/>
  <c r="J30" i="20"/>
  <c r="I30" i="20"/>
  <c r="F30" i="20" s="1"/>
  <c r="H30" i="20"/>
  <c r="J29" i="20"/>
  <c r="K29" i="20" s="1"/>
  <c r="L29" i="20" s="1"/>
  <c r="I29" i="20"/>
  <c r="J28" i="20"/>
  <c r="K28" i="20" s="1"/>
  <c r="L28" i="20" s="1"/>
  <c r="I28" i="20"/>
  <c r="F28" i="20" s="1"/>
  <c r="G28" i="20"/>
  <c r="J27" i="20"/>
  <c r="K27" i="20" s="1"/>
  <c r="L27" i="20" s="1"/>
  <c r="I27" i="20"/>
  <c r="F27" i="20"/>
  <c r="G27" i="20" s="1"/>
  <c r="J26" i="20"/>
  <c r="K26" i="20" s="1"/>
  <c r="L26" i="20" s="1"/>
  <c r="I26" i="20"/>
  <c r="K25" i="20"/>
  <c r="L25" i="20" s="1"/>
  <c r="J25" i="20"/>
  <c r="I25" i="20"/>
  <c r="F26" i="20" s="1"/>
  <c r="H25" i="20"/>
  <c r="L24" i="20"/>
  <c r="K24" i="20"/>
  <c r="J24" i="20"/>
  <c r="I24" i="20"/>
  <c r="H24" i="20"/>
  <c r="J23" i="20"/>
  <c r="K23" i="20" s="1"/>
  <c r="L23" i="20" s="1"/>
  <c r="I23" i="20"/>
  <c r="H23" i="20"/>
  <c r="F23" i="20"/>
  <c r="L22" i="20"/>
  <c r="J22" i="20"/>
  <c r="K22" i="20" s="1"/>
  <c r="I22" i="20"/>
  <c r="F22" i="20"/>
  <c r="J21" i="20"/>
  <c r="K21" i="20" s="1"/>
  <c r="L21" i="20" s="1"/>
  <c r="I21" i="20"/>
  <c r="G21" i="20"/>
  <c r="F21" i="20"/>
  <c r="L20" i="20"/>
  <c r="K20" i="20"/>
  <c r="J20" i="20"/>
  <c r="I20" i="20"/>
  <c r="H20" i="20"/>
  <c r="L19" i="20"/>
  <c r="K19" i="20"/>
  <c r="J19" i="20"/>
  <c r="I19" i="20"/>
  <c r="F20" i="20" s="1"/>
  <c r="F19" i="20"/>
  <c r="J18" i="20"/>
  <c r="K18" i="20" s="1"/>
  <c r="I18" i="20"/>
  <c r="F18" i="20" s="1"/>
  <c r="L17" i="20"/>
  <c r="J17" i="20"/>
  <c r="K17" i="20" s="1"/>
  <c r="I17" i="20"/>
  <c r="F17" i="20"/>
  <c r="G17" i="20" s="1"/>
  <c r="J16" i="20"/>
  <c r="K16" i="20" s="1"/>
  <c r="L16" i="20" s="1"/>
  <c r="I16" i="20"/>
  <c r="F16" i="20" s="1"/>
  <c r="J15" i="20"/>
  <c r="K15" i="20" s="1"/>
  <c r="L15" i="20" s="1"/>
  <c r="I15" i="20"/>
  <c r="G15" i="20"/>
  <c r="F15" i="20"/>
  <c r="K14" i="20"/>
  <c r="L14" i="20" s="1"/>
  <c r="J14" i="20"/>
  <c r="I14" i="20"/>
  <c r="F14" i="20"/>
  <c r="J13" i="20"/>
  <c r="K13" i="20" s="1"/>
  <c r="L13" i="20" s="1"/>
  <c r="I13" i="20"/>
  <c r="G13" i="20"/>
  <c r="F13" i="20"/>
  <c r="J12" i="20"/>
  <c r="K12" i="20" s="1"/>
  <c r="L12" i="20" s="1"/>
  <c r="I12" i="20"/>
  <c r="F12" i="20"/>
  <c r="G12" i="20" s="1"/>
  <c r="J11" i="20"/>
  <c r="K11" i="20" s="1"/>
  <c r="L11" i="20" s="1"/>
  <c r="I11" i="20"/>
  <c r="H11" i="20"/>
  <c r="L10" i="20"/>
  <c r="K10" i="20"/>
  <c r="J10" i="20"/>
  <c r="I10" i="20"/>
  <c r="G10" i="20"/>
  <c r="F10" i="20"/>
  <c r="J9" i="20"/>
  <c r="K9" i="20" s="1"/>
  <c r="L9" i="20" s="1"/>
  <c r="I9" i="20"/>
  <c r="J8" i="20"/>
  <c r="K8" i="20" s="1"/>
  <c r="L8" i="20" s="1"/>
  <c r="I8" i="20"/>
  <c r="F8" i="20" s="1"/>
  <c r="H8" i="20"/>
  <c r="G8" i="20"/>
  <c r="J7" i="20"/>
  <c r="K7" i="20" s="1"/>
  <c r="I7" i="20"/>
  <c r="F7" i="20" s="1"/>
  <c r="H7" i="20"/>
  <c r="K6" i="20"/>
  <c r="L6" i="20" s="1"/>
  <c r="J6" i="20"/>
  <c r="I6" i="20"/>
  <c r="K5" i="20"/>
  <c r="J5" i="20"/>
  <c r="I5" i="20"/>
  <c r="J4" i="20"/>
  <c r="K4" i="20" s="1"/>
  <c r="L4" i="20" s="1"/>
  <c r="I4" i="20"/>
  <c r="F4" i="20"/>
  <c r="G4" i="20" s="1"/>
  <c r="J3" i="20"/>
  <c r="K3" i="20" s="1"/>
  <c r="L3" i="20" s="1"/>
  <c r="I3" i="20"/>
  <c r="F3" i="20" s="1"/>
  <c r="G3" i="20"/>
  <c r="K2" i="20"/>
  <c r="L2" i="20" s="1"/>
  <c r="J2" i="20"/>
  <c r="I2" i="20"/>
  <c r="F2" i="20"/>
  <c r="J12" i="19"/>
  <c r="I12" i="19"/>
  <c r="J11" i="19"/>
  <c r="I11" i="19"/>
  <c r="J10" i="19"/>
  <c r="I10" i="19"/>
  <c r="H10" i="19" s="1"/>
  <c r="F10" i="19"/>
  <c r="G10" i="19" s="1"/>
  <c r="J9" i="19"/>
  <c r="I9" i="19"/>
  <c r="F9" i="19"/>
  <c r="G9" i="19" s="1"/>
  <c r="J8" i="19"/>
  <c r="I8" i="19"/>
  <c r="F8" i="19" s="1"/>
  <c r="G8" i="19" s="1"/>
  <c r="J7" i="19"/>
  <c r="I7" i="19"/>
  <c r="F7" i="19" s="1"/>
  <c r="G7" i="19" s="1"/>
  <c r="J6" i="19"/>
  <c r="I6" i="19"/>
  <c r="F6" i="19"/>
  <c r="G6" i="19" s="1"/>
  <c r="J5" i="19"/>
  <c r="I5" i="19"/>
  <c r="H6" i="19" s="1"/>
  <c r="J4" i="19"/>
  <c r="I4" i="19"/>
  <c r="F4" i="19" s="1"/>
  <c r="G4" i="19" s="1"/>
  <c r="J3" i="19"/>
  <c r="I3" i="19"/>
  <c r="F3" i="19"/>
  <c r="G3" i="19" s="1"/>
  <c r="J2" i="19"/>
  <c r="I2" i="19"/>
  <c r="H2" i="19" s="1"/>
  <c r="J107" i="18"/>
  <c r="I107" i="18"/>
  <c r="G107" i="18"/>
  <c r="F107" i="18"/>
  <c r="J106" i="18"/>
  <c r="I106" i="18"/>
  <c r="J105" i="18"/>
  <c r="I105" i="18"/>
  <c r="H105" i="18" s="1"/>
  <c r="F105" i="18"/>
  <c r="G105" i="18" s="1"/>
  <c r="J104" i="18"/>
  <c r="I104" i="18"/>
  <c r="F104" i="18" s="1"/>
  <c r="H104" i="18"/>
  <c r="J103" i="18"/>
  <c r="I103" i="18"/>
  <c r="J102" i="18"/>
  <c r="I102" i="18"/>
  <c r="F102" i="18" s="1"/>
  <c r="G102" i="18"/>
  <c r="J101" i="18"/>
  <c r="I101" i="18"/>
  <c r="F101" i="18"/>
  <c r="G101" i="18" s="1"/>
  <c r="J100" i="18"/>
  <c r="I100" i="18"/>
  <c r="F100" i="18" s="1"/>
  <c r="G100" i="18" s="1"/>
  <c r="J99" i="18"/>
  <c r="I99" i="18"/>
  <c r="H89" i="18" s="1"/>
  <c r="J98" i="18"/>
  <c r="I98" i="18"/>
  <c r="F98" i="18"/>
  <c r="J97" i="18"/>
  <c r="I97" i="18"/>
  <c r="F97" i="18" s="1"/>
  <c r="H97" i="18"/>
  <c r="G97" i="18"/>
  <c r="J96" i="18"/>
  <c r="I96" i="18"/>
  <c r="J95" i="18"/>
  <c r="I95" i="18"/>
  <c r="H95" i="18" s="1"/>
  <c r="J94" i="18"/>
  <c r="I94" i="18"/>
  <c r="H94" i="18"/>
  <c r="F94" i="18"/>
  <c r="J93" i="18"/>
  <c r="I93" i="18"/>
  <c r="G93" i="18"/>
  <c r="F93" i="18"/>
  <c r="J92" i="18"/>
  <c r="I92" i="18"/>
  <c r="F92" i="18"/>
  <c r="J91" i="18"/>
  <c r="I91" i="18"/>
  <c r="F91" i="18"/>
  <c r="J90" i="18"/>
  <c r="I90" i="18"/>
  <c r="J89" i="18"/>
  <c r="I89" i="18"/>
  <c r="F90" i="18" s="1"/>
  <c r="G90" i="18" s="1"/>
  <c r="J88" i="18"/>
  <c r="I88" i="18"/>
  <c r="J87" i="18"/>
  <c r="I87" i="18"/>
  <c r="J86" i="18"/>
  <c r="I86" i="18"/>
  <c r="F86" i="18" s="1"/>
  <c r="J85" i="18"/>
  <c r="I85" i="18"/>
  <c r="F85" i="18" s="1"/>
  <c r="G85" i="18" s="1"/>
  <c r="J84" i="18"/>
  <c r="I84" i="18"/>
  <c r="F84" i="18" s="1"/>
  <c r="H84" i="18"/>
  <c r="J83" i="18"/>
  <c r="I83" i="18"/>
  <c r="F83" i="18"/>
  <c r="J82" i="18"/>
  <c r="I82" i="18"/>
  <c r="J81" i="18"/>
  <c r="I81" i="18"/>
  <c r="J80" i="18"/>
  <c r="I80" i="18"/>
  <c r="F80" i="18" s="1"/>
  <c r="H80" i="18"/>
  <c r="J79" i="18"/>
  <c r="I79" i="18"/>
  <c r="F79" i="18" s="1"/>
  <c r="J78" i="18"/>
  <c r="I78" i="18"/>
  <c r="J77" i="18"/>
  <c r="I77" i="18"/>
  <c r="F77" i="18" s="1"/>
  <c r="G77" i="18" s="1"/>
  <c r="J76" i="18"/>
  <c r="I76" i="18"/>
  <c r="F76" i="18" s="1"/>
  <c r="G76" i="18"/>
  <c r="J75" i="18"/>
  <c r="I75" i="18"/>
  <c r="H75" i="18"/>
  <c r="J74" i="18"/>
  <c r="I74" i="18"/>
  <c r="F75" i="18" s="1"/>
  <c r="F74" i="18"/>
  <c r="J73" i="18"/>
  <c r="I73" i="18"/>
  <c r="F73" i="18" s="1"/>
  <c r="H73" i="18"/>
  <c r="J72" i="18"/>
  <c r="I72" i="18"/>
  <c r="H72" i="18"/>
  <c r="F72" i="18"/>
  <c r="J71" i="18"/>
  <c r="I71" i="18"/>
  <c r="J70" i="18"/>
  <c r="I70" i="18"/>
  <c r="F71" i="18" s="1"/>
  <c r="F70" i="18"/>
  <c r="G70" i="18" s="1"/>
  <c r="J69" i="18"/>
  <c r="I69" i="18"/>
  <c r="F69" i="18" s="1"/>
  <c r="J68" i="18"/>
  <c r="I68" i="18"/>
  <c r="F68" i="18"/>
  <c r="J67" i="18"/>
  <c r="I67" i="18"/>
  <c r="F67" i="18"/>
  <c r="J66" i="18"/>
  <c r="I66" i="18"/>
  <c r="J65" i="18"/>
  <c r="I65" i="18"/>
  <c r="J64" i="18"/>
  <c r="I64" i="18"/>
  <c r="H64" i="18"/>
  <c r="F64" i="18"/>
  <c r="J63" i="18"/>
  <c r="I63" i="18"/>
  <c r="F63" i="18"/>
  <c r="J62" i="18"/>
  <c r="I62" i="18"/>
  <c r="F62" i="18" s="1"/>
  <c r="J61" i="18"/>
  <c r="I61" i="18"/>
  <c r="H61" i="18"/>
  <c r="J60" i="18"/>
  <c r="I60" i="18"/>
  <c r="H60" i="18"/>
  <c r="G60" i="18"/>
  <c r="F60" i="18"/>
  <c r="J59" i="18"/>
  <c r="I59" i="18"/>
  <c r="J58" i="18"/>
  <c r="I58" i="18"/>
  <c r="J57" i="18"/>
  <c r="I57" i="18"/>
  <c r="F57" i="18" s="1"/>
  <c r="G57" i="18" s="1"/>
  <c r="J56" i="18"/>
  <c r="I56" i="18"/>
  <c r="F56" i="18"/>
  <c r="J55" i="18"/>
  <c r="I55" i="18"/>
  <c r="F55" i="18" s="1"/>
  <c r="J54" i="18"/>
  <c r="I54" i="18"/>
  <c r="F54" i="18" s="1"/>
  <c r="J53" i="18"/>
  <c r="I53" i="18"/>
  <c r="F53" i="18" s="1"/>
  <c r="G53" i="18"/>
  <c r="J52" i="18"/>
  <c r="I52" i="18"/>
  <c r="F52" i="18"/>
  <c r="G52" i="18" s="1"/>
  <c r="J51" i="18"/>
  <c r="I51" i="18"/>
  <c r="J50" i="18"/>
  <c r="I50" i="18"/>
  <c r="J49" i="18"/>
  <c r="I49" i="18"/>
  <c r="H49" i="18"/>
  <c r="J48" i="18"/>
  <c r="I48" i="18"/>
  <c r="J47" i="18"/>
  <c r="I47" i="18"/>
  <c r="H47" i="18"/>
  <c r="F47" i="18"/>
  <c r="J46" i="18"/>
  <c r="I46" i="18"/>
  <c r="F46" i="18"/>
  <c r="J45" i="18"/>
  <c r="I45" i="18"/>
  <c r="H45" i="18"/>
  <c r="G45" i="18"/>
  <c r="F45" i="18"/>
  <c r="J44" i="18"/>
  <c r="I44" i="18"/>
  <c r="J43" i="18"/>
  <c r="I43" i="18"/>
  <c r="J42" i="18"/>
  <c r="I42" i="18"/>
  <c r="F42" i="18" s="1"/>
  <c r="G42" i="18" s="1"/>
  <c r="J41" i="18"/>
  <c r="I41" i="18"/>
  <c r="F41" i="18" s="1"/>
  <c r="G41" i="18"/>
  <c r="J40" i="18"/>
  <c r="I40" i="18"/>
  <c r="F40" i="18" s="1"/>
  <c r="J39" i="18"/>
  <c r="I39" i="18"/>
  <c r="H39" i="18"/>
  <c r="J38" i="18"/>
  <c r="I38" i="18"/>
  <c r="H38" i="18"/>
  <c r="J37" i="18"/>
  <c r="I37" i="18"/>
  <c r="F37" i="18" s="1"/>
  <c r="H37" i="18"/>
  <c r="J36" i="18"/>
  <c r="I36" i="18"/>
  <c r="J35" i="18"/>
  <c r="I35" i="18"/>
  <c r="J34" i="18"/>
  <c r="I34" i="18"/>
  <c r="H34" i="18" s="1"/>
  <c r="J33" i="18"/>
  <c r="I33" i="18"/>
  <c r="F33" i="18" s="1"/>
  <c r="H33" i="18"/>
  <c r="J32" i="18"/>
  <c r="I32" i="18"/>
  <c r="H32" i="18"/>
  <c r="F32" i="18"/>
  <c r="J31" i="18"/>
  <c r="I31" i="18"/>
  <c r="F31" i="18"/>
  <c r="G31" i="18" s="1"/>
  <c r="J30" i="18"/>
  <c r="I30" i="18"/>
  <c r="H30" i="18" s="1"/>
  <c r="F30" i="18"/>
  <c r="G30" i="18" s="1"/>
  <c r="J29" i="18"/>
  <c r="I29" i="18"/>
  <c r="F29" i="18" s="1"/>
  <c r="J28" i="18"/>
  <c r="I28" i="18"/>
  <c r="G28" i="18"/>
  <c r="F28" i="18"/>
  <c r="J27" i="18"/>
  <c r="I27" i="18"/>
  <c r="H27" i="18"/>
  <c r="J26" i="18"/>
  <c r="I26" i="18"/>
  <c r="F27" i="18" s="1"/>
  <c r="F26" i="18"/>
  <c r="J25" i="18"/>
  <c r="I25" i="18"/>
  <c r="F25" i="18" s="1"/>
  <c r="J24" i="18"/>
  <c r="I24" i="18"/>
  <c r="J23" i="18"/>
  <c r="I23" i="18"/>
  <c r="H23" i="18"/>
  <c r="J22" i="18"/>
  <c r="I22" i="18"/>
  <c r="F22" i="18" s="1"/>
  <c r="H22" i="18"/>
  <c r="J21" i="18"/>
  <c r="I21" i="18"/>
  <c r="J20" i="18"/>
  <c r="I20" i="18"/>
  <c r="H20" i="18"/>
  <c r="J19" i="18"/>
  <c r="I19" i="18"/>
  <c r="H19" i="18"/>
  <c r="J18" i="18"/>
  <c r="I18" i="18"/>
  <c r="H18" i="18"/>
  <c r="J17" i="18"/>
  <c r="I17" i="18"/>
  <c r="F17" i="18"/>
  <c r="J16" i="18"/>
  <c r="I16" i="18"/>
  <c r="H16" i="18"/>
  <c r="J15" i="18"/>
  <c r="I15" i="18"/>
  <c r="J14" i="18"/>
  <c r="I14" i="18"/>
  <c r="F14" i="18" s="1"/>
  <c r="H14" i="18"/>
  <c r="G14" i="18"/>
  <c r="J13" i="18"/>
  <c r="I13" i="18"/>
  <c r="G13" i="18"/>
  <c r="J12" i="18"/>
  <c r="I12" i="18"/>
  <c r="F13" i="18" s="1"/>
  <c r="J11" i="18"/>
  <c r="I11" i="18"/>
  <c r="G11" i="18"/>
  <c r="F11" i="18"/>
  <c r="J10" i="18"/>
  <c r="I10" i="18"/>
  <c r="H10" i="18"/>
  <c r="G10" i="18"/>
  <c r="J9" i="18"/>
  <c r="I9" i="18"/>
  <c r="F10" i="18" s="1"/>
  <c r="J8" i="18"/>
  <c r="I8" i="18"/>
  <c r="F9" i="18" s="1"/>
  <c r="H8" i="18"/>
  <c r="F8" i="18"/>
  <c r="J7" i="18"/>
  <c r="I7" i="18"/>
  <c r="J6" i="18"/>
  <c r="I6" i="18"/>
  <c r="F6" i="18" s="1"/>
  <c r="J5" i="18"/>
  <c r="I5" i="18"/>
  <c r="H5" i="18"/>
  <c r="J4" i="18"/>
  <c r="I4" i="18"/>
  <c r="H4" i="18"/>
  <c r="J3" i="18"/>
  <c r="I3" i="18"/>
  <c r="H3" i="18"/>
  <c r="G3" i="18"/>
  <c r="F3" i="18"/>
  <c r="J2" i="18"/>
  <c r="I2" i="18"/>
  <c r="F2" i="18"/>
  <c r="J86" i="17"/>
  <c r="I86" i="17"/>
  <c r="F86" i="17" s="1"/>
  <c r="H86" i="17"/>
  <c r="J85" i="17"/>
  <c r="I85" i="17"/>
  <c r="H85" i="17" s="1"/>
  <c r="J84" i="17"/>
  <c r="I84" i="17"/>
  <c r="F84" i="17"/>
  <c r="J83" i="17"/>
  <c r="I83" i="17"/>
  <c r="J82" i="17"/>
  <c r="I82" i="17"/>
  <c r="J81" i="17"/>
  <c r="I81" i="17"/>
  <c r="J80" i="17"/>
  <c r="I80" i="17"/>
  <c r="J79" i="17"/>
  <c r="I79" i="17"/>
  <c r="J78" i="17"/>
  <c r="I78" i="17"/>
  <c r="J77" i="17"/>
  <c r="I77" i="17"/>
  <c r="F77" i="17"/>
  <c r="G77" i="17" s="1"/>
  <c r="J76" i="17"/>
  <c r="I76" i="17"/>
  <c r="H76" i="17"/>
  <c r="F76" i="17"/>
  <c r="G76" i="17" s="1"/>
  <c r="J75" i="17"/>
  <c r="I75" i="17"/>
  <c r="F75" i="17"/>
  <c r="G75" i="17" s="1"/>
  <c r="J74" i="17"/>
  <c r="I74" i="17"/>
  <c r="H74" i="17" s="1"/>
  <c r="F74" i="17"/>
  <c r="J73" i="17"/>
  <c r="I73" i="17"/>
  <c r="H73" i="17"/>
  <c r="J72" i="17"/>
  <c r="I72" i="17"/>
  <c r="F72" i="17" s="1"/>
  <c r="H72" i="17"/>
  <c r="G72" i="17"/>
  <c r="J71" i="17"/>
  <c r="I71" i="17"/>
  <c r="F71" i="17"/>
  <c r="G71" i="17" s="1"/>
  <c r="J70" i="17"/>
  <c r="I70" i="17"/>
  <c r="J69" i="17"/>
  <c r="I69" i="17"/>
  <c r="J68" i="17"/>
  <c r="I68" i="17"/>
  <c r="H68" i="17"/>
  <c r="F68" i="17"/>
  <c r="G68" i="17" s="1"/>
  <c r="J67" i="17"/>
  <c r="I67" i="17"/>
  <c r="J66" i="17"/>
  <c r="I66" i="17"/>
  <c r="H66" i="17"/>
  <c r="G66" i="17"/>
  <c r="F66" i="17"/>
  <c r="J65" i="17"/>
  <c r="I65" i="17"/>
  <c r="G65" i="17"/>
  <c r="F65" i="17"/>
  <c r="J64" i="17"/>
  <c r="I64" i="17"/>
  <c r="J63" i="17"/>
  <c r="I63" i="17"/>
  <c r="J62" i="17"/>
  <c r="I62" i="17"/>
  <c r="J61" i="17"/>
  <c r="I61" i="17"/>
  <c r="H61" i="17"/>
  <c r="F61" i="17"/>
  <c r="G61" i="17" s="1"/>
  <c r="J60" i="17"/>
  <c r="I60" i="17"/>
  <c r="F60" i="17" s="1"/>
  <c r="G60" i="17" s="1"/>
  <c r="J59" i="17"/>
  <c r="I59" i="17"/>
  <c r="H59" i="17"/>
  <c r="J58" i="17"/>
  <c r="I58" i="17"/>
  <c r="F58" i="17" s="1"/>
  <c r="G58" i="17" s="1"/>
  <c r="H58" i="17"/>
  <c r="J57" i="17"/>
  <c r="I57" i="17"/>
  <c r="F57" i="17"/>
  <c r="G57" i="17" s="1"/>
  <c r="J56" i="17"/>
  <c r="I56" i="17"/>
  <c r="J55" i="17"/>
  <c r="I55" i="17"/>
  <c r="H56" i="17" s="1"/>
  <c r="J54" i="17"/>
  <c r="I54" i="17"/>
  <c r="H54" i="17"/>
  <c r="J53" i="17"/>
  <c r="I53" i="17"/>
  <c r="J52" i="17"/>
  <c r="I52" i="17"/>
  <c r="H52" i="17"/>
  <c r="J51" i="17"/>
  <c r="I51" i="17"/>
  <c r="F51" i="17" s="1"/>
  <c r="G51" i="17" s="1"/>
  <c r="H51" i="17"/>
  <c r="J50" i="17"/>
  <c r="I50" i="17"/>
  <c r="H50" i="17"/>
  <c r="G50" i="17"/>
  <c r="F50" i="17"/>
  <c r="J49" i="17"/>
  <c r="I49" i="17"/>
  <c r="H49" i="17"/>
  <c r="G49" i="17"/>
  <c r="F49" i="17"/>
  <c r="J48" i="17"/>
  <c r="I48" i="17"/>
  <c r="F48" i="17"/>
  <c r="G48" i="17" s="1"/>
  <c r="J47" i="17"/>
  <c r="I47" i="17"/>
  <c r="H47" i="17" s="1"/>
  <c r="J46" i="17"/>
  <c r="I46" i="17"/>
  <c r="J45" i="17"/>
  <c r="I45" i="17"/>
  <c r="J44" i="17"/>
  <c r="I44" i="17"/>
  <c r="F44" i="17" s="1"/>
  <c r="H44" i="17"/>
  <c r="G44" i="17"/>
  <c r="J43" i="17"/>
  <c r="I43" i="17"/>
  <c r="J42" i="17"/>
  <c r="I42" i="17"/>
  <c r="J41" i="17"/>
  <c r="I41" i="17"/>
  <c r="J40" i="17"/>
  <c r="I40" i="17"/>
  <c r="F40" i="17" s="1"/>
  <c r="J39" i="17"/>
  <c r="I39" i="17"/>
  <c r="J38" i="17"/>
  <c r="I38" i="17"/>
  <c r="H38" i="17"/>
  <c r="F38" i="17"/>
  <c r="G38" i="17" s="1"/>
  <c r="J37" i="17"/>
  <c r="I37" i="17"/>
  <c r="J36" i="17"/>
  <c r="I36" i="17"/>
  <c r="J35" i="17"/>
  <c r="I35" i="17"/>
  <c r="J34" i="17"/>
  <c r="I34" i="17"/>
  <c r="H34" i="17"/>
  <c r="J33" i="17"/>
  <c r="I33" i="17"/>
  <c r="J32" i="17"/>
  <c r="I32" i="17"/>
  <c r="F32" i="17"/>
  <c r="J31" i="17"/>
  <c r="I31" i="17"/>
  <c r="H31" i="17"/>
  <c r="J30" i="17"/>
  <c r="I30" i="17"/>
  <c r="H30" i="17" s="1"/>
  <c r="J29" i="17"/>
  <c r="I29" i="17"/>
  <c r="F29" i="17" s="1"/>
  <c r="G29" i="17" s="1"/>
  <c r="J28" i="17"/>
  <c r="I28" i="17"/>
  <c r="J27" i="17"/>
  <c r="I27" i="17"/>
  <c r="H27" i="17" s="1"/>
  <c r="F27" i="17"/>
  <c r="G27" i="17" s="1"/>
  <c r="J26" i="17"/>
  <c r="I26" i="17"/>
  <c r="F26" i="17" s="1"/>
  <c r="G26" i="17" s="1"/>
  <c r="H26" i="17"/>
  <c r="J25" i="17"/>
  <c r="I25" i="17"/>
  <c r="F25" i="17" s="1"/>
  <c r="G25" i="17"/>
  <c r="J24" i="17"/>
  <c r="I24" i="17"/>
  <c r="F24" i="17"/>
  <c r="G24" i="17" s="1"/>
  <c r="J23" i="17"/>
  <c r="I23" i="17"/>
  <c r="J22" i="17"/>
  <c r="I22" i="17"/>
  <c r="F23" i="17" s="1"/>
  <c r="G23" i="17" s="1"/>
  <c r="H22" i="17"/>
  <c r="G22" i="17"/>
  <c r="F22" i="17"/>
  <c r="J21" i="17"/>
  <c r="I21" i="17"/>
  <c r="F21" i="17"/>
  <c r="G21" i="17" s="1"/>
  <c r="J20" i="17"/>
  <c r="I20" i="17"/>
  <c r="H20" i="17"/>
  <c r="G20" i="17"/>
  <c r="J19" i="17"/>
  <c r="I19" i="17"/>
  <c r="F20" i="17" s="1"/>
  <c r="J18" i="17"/>
  <c r="I18" i="17"/>
  <c r="F18" i="17" s="1"/>
  <c r="J17" i="17"/>
  <c r="I17" i="17"/>
  <c r="J16" i="17"/>
  <c r="I16" i="17"/>
  <c r="F16" i="17" s="1"/>
  <c r="H16" i="17"/>
  <c r="J15" i="17"/>
  <c r="I15" i="17"/>
  <c r="J14" i="17"/>
  <c r="I14" i="17"/>
  <c r="J13" i="17"/>
  <c r="I13" i="17"/>
  <c r="F13" i="17" s="1"/>
  <c r="H13" i="17"/>
  <c r="G13" i="17"/>
  <c r="J12" i="17"/>
  <c r="I12" i="17"/>
  <c r="F12" i="17" s="1"/>
  <c r="G12" i="17" s="1"/>
  <c r="H12" i="17"/>
  <c r="J11" i="17"/>
  <c r="I11" i="17"/>
  <c r="H11" i="17"/>
  <c r="G11" i="17"/>
  <c r="F11" i="17"/>
  <c r="J10" i="17"/>
  <c r="I10" i="17"/>
  <c r="J9" i="17"/>
  <c r="I9" i="17"/>
  <c r="J8" i="17"/>
  <c r="I8" i="17"/>
  <c r="F8" i="17" s="1"/>
  <c r="H8" i="17"/>
  <c r="G8" i="17"/>
  <c r="J7" i="17"/>
  <c r="I7" i="17"/>
  <c r="H7" i="17"/>
  <c r="G7" i="17"/>
  <c r="F7" i="17"/>
  <c r="J6" i="17"/>
  <c r="I6" i="17"/>
  <c r="F6" i="17"/>
  <c r="G6" i="17" s="1"/>
  <c r="J5" i="17"/>
  <c r="I5" i="17"/>
  <c r="H5" i="17" s="1"/>
  <c r="J4" i="17"/>
  <c r="I4" i="17"/>
  <c r="F5" i="17" s="1"/>
  <c r="H4" i="17"/>
  <c r="F4" i="17"/>
  <c r="G4" i="17" s="1"/>
  <c r="J3" i="17"/>
  <c r="I3" i="17"/>
  <c r="H3" i="17"/>
  <c r="F3" i="17"/>
  <c r="G3" i="17" s="1"/>
  <c r="J2" i="17"/>
  <c r="I2" i="17"/>
  <c r="H2" i="17"/>
  <c r="F2" i="17"/>
  <c r="G2" i="17" s="1"/>
  <c r="K89" i="16"/>
  <c r="L89" i="16" s="1"/>
  <c r="J89" i="16"/>
  <c r="I89" i="16"/>
  <c r="H89" i="16"/>
  <c r="J88" i="16"/>
  <c r="K88" i="16" s="1"/>
  <c r="L88" i="16" s="1"/>
  <c r="I88" i="16"/>
  <c r="F88" i="16" s="1"/>
  <c r="G88" i="16"/>
  <c r="J87" i="16"/>
  <c r="I87" i="16"/>
  <c r="F87" i="16"/>
  <c r="J86" i="16"/>
  <c r="K86" i="16" s="1"/>
  <c r="L86" i="16" s="1"/>
  <c r="I86" i="16"/>
  <c r="G86" i="16"/>
  <c r="F86" i="16"/>
  <c r="J85" i="16"/>
  <c r="I85" i="16"/>
  <c r="H85" i="16"/>
  <c r="J84" i="16"/>
  <c r="K84" i="16" s="1"/>
  <c r="L84" i="16" s="1"/>
  <c r="I84" i="16"/>
  <c r="F84" i="16" s="1"/>
  <c r="J83" i="16"/>
  <c r="I83" i="16"/>
  <c r="F83" i="16"/>
  <c r="J82" i="16"/>
  <c r="K82" i="16" s="1"/>
  <c r="L82" i="16" s="1"/>
  <c r="I82" i="16"/>
  <c r="J81" i="16"/>
  <c r="I81" i="16"/>
  <c r="K80" i="16"/>
  <c r="L80" i="16" s="1"/>
  <c r="J80" i="16"/>
  <c r="I80" i="16"/>
  <c r="J79" i="16"/>
  <c r="K79" i="16" s="1"/>
  <c r="L79" i="16" s="1"/>
  <c r="I79" i="16"/>
  <c r="F80" i="16" s="1"/>
  <c r="F79" i="16"/>
  <c r="J78" i="16"/>
  <c r="K78" i="16" s="1"/>
  <c r="L78" i="16" s="1"/>
  <c r="I78" i="16"/>
  <c r="H78" i="16"/>
  <c r="J77" i="16"/>
  <c r="I77" i="16"/>
  <c r="F77" i="16" s="1"/>
  <c r="H77" i="16"/>
  <c r="J76" i="16"/>
  <c r="I76" i="16"/>
  <c r="K75" i="16"/>
  <c r="L75" i="16" s="1"/>
  <c r="J75" i="16"/>
  <c r="I75" i="16"/>
  <c r="F76" i="16" s="1"/>
  <c r="G76" i="16" s="1"/>
  <c r="J74" i="16"/>
  <c r="I74" i="16"/>
  <c r="H74" i="16"/>
  <c r="G74" i="16"/>
  <c r="F74" i="16"/>
  <c r="J73" i="16"/>
  <c r="I73" i="16"/>
  <c r="F73" i="16" s="1"/>
  <c r="J72" i="16"/>
  <c r="I72" i="16"/>
  <c r="H72" i="16"/>
  <c r="J71" i="16"/>
  <c r="I71" i="16"/>
  <c r="F71" i="16" s="1"/>
  <c r="J70" i="16"/>
  <c r="I70" i="16"/>
  <c r="J69" i="16"/>
  <c r="I69" i="16"/>
  <c r="J68" i="16"/>
  <c r="K68" i="16" s="1"/>
  <c r="L68" i="16" s="1"/>
  <c r="I68" i="16"/>
  <c r="H68" i="16"/>
  <c r="F68" i="16"/>
  <c r="J67" i="16"/>
  <c r="I67" i="16"/>
  <c r="F67" i="16" s="1"/>
  <c r="J66" i="16"/>
  <c r="K66" i="16" s="1"/>
  <c r="L66" i="16" s="1"/>
  <c r="I66" i="16"/>
  <c r="F66" i="16"/>
  <c r="J65" i="16"/>
  <c r="I65" i="16"/>
  <c r="G65" i="16"/>
  <c r="F65" i="16"/>
  <c r="J64" i="16"/>
  <c r="I64" i="16"/>
  <c r="J63" i="16"/>
  <c r="K63" i="16" s="1"/>
  <c r="L63" i="16" s="1"/>
  <c r="I63" i="16"/>
  <c r="F63" i="16" s="1"/>
  <c r="H63" i="16"/>
  <c r="J62" i="16"/>
  <c r="K62" i="16" s="1"/>
  <c r="L62" i="16" s="1"/>
  <c r="I62" i="16"/>
  <c r="F62" i="16"/>
  <c r="J61" i="16"/>
  <c r="I61" i="16"/>
  <c r="F61" i="16" s="1"/>
  <c r="H61" i="16"/>
  <c r="J60" i="16"/>
  <c r="I60" i="16"/>
  <c r="F60" i="16"/>
  <c r="K59" i="16"/>
  <c r="L59" i="16" s="1"/>
  <c r="J59" i="16"/>
  <c r="I59" i="16"/>
  <c r="J58" i="16"/>
  <c r="I58" i="16"/>
  <c r="F58" i="16"/>
  <c r="K57" i="16"/>
  <c r="L57" i="16" s="1"/>
  <c r="J57" i="16"/>
  <c r="I57" i="16"/>
  <c r="H57" i="16"/>
  <c r="J56" i="16"/>
  <c r="I56" i="16"/>
  <c r="H56" i="16"/>
  <c r="J55" i="16"/>
  <c r="I55" i="16"/>
  <c r="J54" i="16"/>
  <c r="I54" i="16"/>
  <c r="J53" i="16"/>
  <c r="I53" i="16"/>
  <c r="H53" i="16" s="1"/>
  <c r="J52" i="16"/>
  <c r="K52" i="16" s="1"/>
  <c r="L52" i="16" s="1"/>
  <c r="I52" i="16"/>
  <c r="F52" i="16" s="1"/>
  <c r="J51" i="16"/>
  <c r="I51" i="16"/>
  <c r="J50" i="16"/>
  <c r="I50" i="16"/>
  <c r="J49" i="16"/>
  <c r="I49" i="16"/>
  <c r="H49" i="16"/>
  <c r="F49" i="16"/>
  <c r="G49" i="16" s="1"/>
  <c r="J48" i="16"/>
  <c r="I48" i="16"/>
  <c r="G48" i="16"/>
  <c r="F48" i="16"/>
  <c r="J47" i="16"/>
  <c r="I47" i="16"/>
  <c r="H47" i="16"/>
  <c r="F47" i="16"/>
  <c r="J46" i="16"/>
  <c r="I46" i="16"/>
  <c r="H46" i="16"/>
  <c r="F46" i="16"/>
  <c r="J45" i="16"/>
  <c r="I45" i="16"/>
  <c r="K44" i="16"/>
  <c r="J44" i="16"/>
  <c r="I44" i="16"/>
  <c r="J43" i="16"/>
  <c r="K43" i="16" s="1"/>
  <c r="I43" i="16"/>
  <c r="F43" i="16"/>
  <c r="G43" i="16" s="1"/>
  <c r="L42" i="16"/>
  <c r="K42" i="16"/>
  <c r="J42" i="16"/>
  <c r="I42" i="16"/>
  <c r="J41" i="16"/>
  <c r="I41" i="16"/>
  <c r="F41" i="16" s="1"/>
  <c r="G41" i="16"/>
  <c r="K40" i="16"/>
  <c r="L40" i="16" s="1"/>
  <c r="J40" i="16"/>
  <c r="I40" i="16"/>
  <c r="F40" i="16"/>
  <c r="J39" i="16"/>
  <c r="I39" i="16"/>
  <c r="H39" i="16"/>
  <c r="F39" i="16"/>
  <c r="K38" i="16"/>
  <c r="L38" i="16" s="1"/>
  <c r="J38" i="16"/>
  <c r="I38" i="16"/>
  <c r="F38" i="16" s="1"/>
  <c r="J37" i="16"/>
  <c r="K37" i="16" s="1"/>
  <c r="L37" i="16" s="1"/>
  <c r="I37" i="16"/>
  <c r="J36" i="16"/>
  <c r="I36" i="16"/>
  <c r="H36" i="16"/>
  <c r="J35" i="16"/>
  <c r="I35" i="16"/>
  <c r="H35" i="16"/>
  <c r="J34" i="16"/>
  <c r="I34" i="16"/>
  <c r="F34" i="16" s="1"/>
  <c r="H34" i="16"/>
  <c r="J33" i="16"/>
  <c r="K33" i="16" s="1"/>
  <c r="L33" i="16" s="1"/>
  <c r="I33" i="16"/>
  <c r="H33" i="16"/>
  <c r="F33" i="16"/>
  <c r="G33" i="16" s="1"/>
  <c r="J32" i="16"/>
  <c r="I32" i="16"/>
  <c r="H32" i="16"/>
  <c r="J31" i="16"/>
  <c r="I31" i="16"/>
  <c r="F32" i="16" s="1"/>
  <c r="F31" i="16"/>
  <c r="G31" i="16" s="1"/>
  <c r="J30" i="16"/>
  <c r="I30" i="16"/>
  <c r="H30" i="16"/>
  <c r="J29" i="16"/>
  <c r="K29" i="16" s="1"/>
  <c r="L29" i="16" s="1"/>
  <c r="I29" i="16"/>
  <c r="F29" i="16"/>
  <c r="J28" i="16"/>
  <c r="I28" i="16"/>
  <c r="K27" i="16"/>
  <c r="L27" i="16" s="1"/>
  <c r="J27" i="16"/>
  <c r="I27" i="16"/>
  <c r="F28" i="16" s="1"/>
  <c r="H27" i="16"/>
  <c r="F27" i="16"/>
  <c r="G27" i="16" s="1"/>
  <c r="K26" i="16"/>
  <c r="L26" i="16" s="1"/>
  <c r="J26" i="16"/>
  <c r="I26" i="16"/>
  <c r="F26" i="16" s="1"/>
  <c r="H26" i="16"/>
  <c r="J25" i="16"/>
  <c r="K25" i="16" s="1"/>
  <c r="L25" i="16" s="1"/>
  <c r="I25" i="16"/>
  <c r="F25" i="16" s="1"/>
  <c r="K24" i="16"/>
  <c r="L24" i="16" s="1"/>
  <c r="J24" i="16"/>
  <c r="I24" i="16"/>
  <c r="H24" i="16"/>
  <c r="K23" i="16"/>
  <c r="L23" i="16" s="1"/>
  <c r="J23" i="16"/>
  <c r="I23" i="16"/>
  <c r="F23" i="16" s="1"/>
  <c r="G23" i="16" s="1"/>
  <c r="J22" i="16"/>
  <c r="I22" i="16"/>
  <c r="F22" i="16"/>
  <c r="J21" i="16"/>
  <c r="I21" i="16"/>
  <c r="J20" i="16"/>
  <c r="I20" i="16"/>
  <c r="K19" i="16"/>
  <c r="L19" i="16" s="1"/>
  <c r="J19" i="16"/>
  <c r="I19" i="16"/>
  <c r="F19" i="16" s="1"/>
  <c r="H19" i="16"/>
  <c r="G19" i="16"/>
  <c r="J18" i="16"/>
  <c r="K18" i="16" s="1"/>
  <c r="L18" i="16" s="1"/>
  <c r="I18" i="16"/>
  <c r="J17" i="16"/>
  <c r="I17" i="16"/>
  <c r="F17" i="16"/>
  <c r="G17" i="16" s="1"/>
  <c r="J16" i="16"/>
  <c r="K16" i="16" s="1"/>
  <c r="L16" i="16" s="1"/>
  <c r="I16" i="16"/>
  <c r="G16" i="16"/>
  <c r="F16" i="16"/>
  <c r="J15" i="16"/>
  <c r="I15" i="16"/>
  <c r="G15" i="16"/>
  <c r="F15" i="16"/>
  <c r="J14" i="16"/>
  <c r="K14" i="16" s="1"/>
  <c r="L14" i="16" s="1"/>
  <c r="I14" i="16"/>
  <c r="F14" i="16"/>
  <c r="J13" i="16"/>
  <c r="I13" i="16"/>
  <c r="F13" i="16"/>
  <c r="G13" i="16" s="1"/>
  <c r="J12" i="16"/>
  <c r="I12" i="16"/>
  <c r="F12" i="16" s="1"/>
  <c r="G12" i="16" s="1"/>
  <c r="J11" i="16"/>
  <c r="I11" i="16"/>
  <c r="G11" i="16"/>
  <c r="F11" i="16"/>
  <c r="J10" i="16"/>
  <c r="I10" i="16"/>
  <c r="F10" i="16"/>
  <c r="K9" i="16"/>
  <c r="L9" i="16" s="1"/>
  <c r="J9" i="16"/>
  <c r="I9" i="16"/>
  <c r="F9" i="16" s="1"/>
  <c r="H9" i="16"/>
  <c r="G9" i="16"/>
  <c r="K8" i="16"/>
  <c r="L8" i="16" s="1"/>
  <c r="J8" i="16"/>
  <c r="I8" i="16"/>
  <c r="F8" i="16"/>
  <c r="J7" i="16"/>
  <c r="I7" i="16"/>
  <c r="G7" i="16"/>
  <c r="F7" i="16"/>
  <c r="J6" i="16"/>
  <c r="I6" i="16"/>
  <c r="H6" i="16"/>
  <c r="L5" i="16"/>
  <c r="J5" i="16"/>
  <c r="K5" i="16" s="1"/>
  <c r="I5" i="16"/>
  <c r="F5" i="16" s="1"/>
  <c r="J4" i="16"/>
  <c r="I4" i="16"/>
  <c r="J3" i="16"/>
  <c r="K3" i="16" s="1"/>
  <c r="L3" i="16" s="1"/>
  <c r="I3" i="16"/>
  <c r="F3" i="16" s="1"/>
  <c r="G3" i="16" s="1"/>
  <c r="J2" i="16"/>
  <c r="I2" i="16"/>
  <c r="F2" i="16" s="1"/>
  <c r="H2" i="16"/>
  <c r="J21" i="15"/>
  <c r="I21" i="15"/>
  <c r="J20" i="15"/>
  <c r="I20" i="15"/>
  <c r="J19" i="15"/>
  <c r="I19" i="15"/>
  <c r="F20" i="15" s="1"/>
  <c r="J18" i="15"/>
  <c r="I18" i="15"/>
  <c r="F18" i="15" s="1"/>
  <c r="J17" i="15"/>
  <c r="I17" i="15"/>
  <c r="F17" i="15" s="1"/>
  <c r="H17" i="15"/>
  <c r="J16" i="15"/>
  <c r="I16" i="15"/>
  <c r="F16" i="15" s="1"/>
  <c r="J15" i="15"/>
  <c r="I15" i="15"/>
  <c r="H15" i="15"/>
  <c r="J14" i="15"/>
  <c r="I14" i="15"/>
  <c r="H14" i="15"/>
  <c r="F14" i="15"/>
  <c r="J13" i="15"/>
  <c r="I13" i="15"/>
  <c r="F13" i="15" s="1"/>
  <c r="H13" i="15"/>
  <c r="G13" i="15"/>
  <c r="J12" i="15"/>
  <c r="I12" i="15"/>
  <c r="H12" i="15"/>
  <c r="F12" i="15"/>
  <c r="J11" i="15"/>
  <c r="I11" i="15"/>
  <c r="F11" i="15"/>
  <c r="J10" i="15"/>
  <c r="I10" i="15"/>
  <c r="G10" i="15"/>
  <c r="F10" i="15"/>
  <c r="J9" i="15"/>
  <c r="I9" i="15"/>
  <c r="F9" i="15" s="1"/>
  <c r="J8" i="15"/>
  <c r="I8" i="15"/>
  <c r="J7" i="15"/>
  <c r="I7" i="15"/>
  <c r="J6" i="15"/>
  <c r="I6" i="15"/>
  <c r="F6" i="15" s="1"/>
  <c r="H6" i="15"/>
  <c r="J5" i="15"/>
  <c r="I5" i="15"/>
  <c r="G5" i="15"/>
  <c r="F5" i="15"/>
  <c r="J4" i="15"/>
  <c r="I4" i="15"/>
  <c r="J3" i="15"/>
  <c r="I3" i="15"/>
  <c r="J2" i="15"/>
  <c r="I2" i="15"/>
  <c r="H2" i="15" s="1"/>
  <c r="F2" i="15"/>
  <c r="J9" i="14"/>
  <c r="I9" i="14"/>
  <c r="F9" i="14"/>
  <c r="J8" i="14"/>
  <c r="I8" i="14"/>
  <c r="J7" i="14"/>
  <c r="I7" i="14"/>
  <c r="J6" i="14"/>
  <c r="I6" i="14"/>
  <c r="F6" i="14" s="1"/>
  <c r="J5" i="14"/>
  <c r="I5" i="14"/>
  <c r="F5" i="14" s="1"/>
  <c r="J4" i="14"/>
  <c r="I4" i="14"/>
  <c r="F4" i="14"/>
  <c r="J3" i="14"/>
  <c r="I3" i="14"/>
  <c r="F3" i="14" s="1"/>
  <c r="J2" i="14"/>
  <c r="I2" i="14"/>
  <c r="F2" i="14"/>
  <c r="J22" i="13"/>
  <c r="I22" i="13"/>
  <c r="H22" i="13"/>
  <c r="G22" i="13"/>
  <c r="F22" i="13"/>
  <c r="J21" i="13"/>
  <c r="K21" i="13" s="1"/>
  <c r="L21" i="13" s="1"/>
  <c r="I21" i="13"/>
  <c r="H21" i="13"/>
  <c r="F21" i="13"/>
  <c r="G21" i="13" s="1"/>
  <c r="K20" i="13"/>
  <c r="L20" i="13" s="1"/>
  <c r="J20" i="13"/>
  <c r="I20" i="13"/>
  <c r="J19" i="13"/>
  <c r="I19" i="13"/>
  <c r="F19" i="13" s="1"/>
  <c r="G19" i="13" s="1"/>
  <c r="H19" i="13"/>
  <c r="L18" i="13"/>
  <c r="K18" i="13"/>
  <c r="J18" i="13"/>
  <c r="I18" i="13"/>
  <c r="H18" i="13"/>
  <c r="F18" i="13"/>
  <c r="G18" i="13" s="1"/>
  <c r="J17" i="13"/>
  <c r="I17" i="13"/>
  <c r="H17" i="13"/>
  <c r="G17" i="13"/>
  <c r="F17" i="13"/>
  <c r="J16" i="13"/>
  <c r="K16" i="13" s="1"/>
  <c r="L16" i="13" s="1"/>
  <c r="I16" i="13"/>
  <c r="J15" i="13"/>
  <c r="K15" i="13" s="1"/>
  <c r="L15" i="13" s="1"/>
  <c r="I15" i="13"/>
  <c r="H15" i="13"/>
  <c r="F15" i="13"/>
  <c r="G15" i="13" s="1"/>
  <c r="K14" i="13"/>
  <c r="L14" i="13" s="1"/>
  <c r="J14" i="13"/>
  <c r="I14" i="13"/>
  <c r="F14" i="13" s="1"/>
  <c r="H14" i="13"/>
  <c r="G14" i="13"/>
  <c r="J13" i="13"/>
  <c r="I13" i="13"/>
  <c r="J12" i="13"/>
  <c r="K12" i="13" s="1"/>
  <c r="L12" i="13" s="1"/>
  <c r="I12" i="13"/>
  <c r="F12" i="13"/>
  <c r="G12" i="13" s="1"/>
  <c r="L11" i="13"/>
  <c r="J11" i="13"/>
  <c r="K11" i="13" s="1"/>
  <c r="I11" i="13"/>
  <c r="H11" i="13"/>
  <c r="F11" i="13"/>
  <c r="G11" i="13" s="1"/>
  <c r="J10" i="13"/>
  <c r="K10" i="13" s="1"/>
  <c r="L10" i="13" s="1"/>
  <c r="I10" i="13"/>
  <c r="H10" i="13" s="1"/>
  <c r="F10" i="13"/>
  <c r="G10" i="13" s="1"/>
  <c r="J9" i="13"/>
  <c r="I9" i="13"/>
  <c r="H9" i="13"/>
  <c r="F9" i="13"/>
  <c r="G9" i="13" s="1"/>
  <c r="K8" i="13"/>
  <c r="L8" i="13" s="1"/>
  <c r="J8" i="13"/>
  <c r="I8" i="13"/>
  <c r="F8" i="13"/>
  <c r="G8" i="13" s="1"/>
  <c r="L7" i="13"/>
  <c r="J7" i="13"/>
  <c r="K7" i="13" s="1"/>
  <c r="I7" i="13"/>
  <c r="H7" i="13"/>
  <c r="J6" i="13"/>
  <c r="I6" i="13"/>
  <c r="F6" i="13" s="1"/>
  <c r="H6" i="13"/>
  <c r="G6" i="13"/>
  <c r="J5" i="13"/>
  <c r="I5" i="13"/>
  <c r="J4" i="13"/>
  <c r="I4" i="13"/>
  <c r="F4" i="13" s="1"/>
  <c r="G4" i="13" s="1"/>
  <c r="K3" i="13"/>
  <c r="L3" i="13" s="1"/>
  <c r="J3" i="13"/>
  <c r="I3" i="13"/>
  <c r="H3" i="13"/>
  <c r="G3" i="13"/>
  <c r="F3" i="13"/>
  <c r="J2" i="13"/>
  <c r="K2" i="13" s="1"/>
  <c r="L2" i="13" s="1"/>
  <c r="I2" i="13"/>
  <c r="F2" i="13" s="1"/>
  <c r="H2" i="13"/>
  <c r="G2" i="13"/>
  <c r="J5" i="12"/>
  <c r="I5" i="12"/>
  <c r="J4" i="12"/>
  <c r="I4" i="12"/>
  <c r="J3" i="12"/>
  <c r="I3" i="12"/>
  <c r="F3" i="12" s="1"/>
  <c r="G3" i="12" s="1"/>
  <c r="H3" i="12"/>
  <c r="J2" i="12"/>
  <c r="I2" i="12"/>
  <c r="H2" i="12"/>
  <c r="F2" i="12"/>
  <c r="G2" i="12" s="1"/>
  <c r="J27" i="11"/>
  <c r="I27" i="11"/>
  <c r="F27" i="11" s="1"/>
  <c r="J26" i="11"/>
  <c r="I26" i="11"/>
  <c r="H26" i="11"/>
  <c r="J25" i="11"/>
  <c r="I25" i="11"/>
  <c r="F26" i="11" s="1"/>
  <c r="J24" i="11"/>
  <c r="I24" i="11"/>
  <c r="F24" i="11"/>
  <c r="J23" i="11"/>
  <c r="I23" i="11"/>
  <c r="F23" i="11"/>
  <c r="J22" i="11"/>
  <c r="I22" i="11"/>
  <c r="J21" i="11"/>
  <c r="I21" i="11"/>
  <c r="J20" i="11"/>
  <c r="I20" i="11"/>
  <c r="F20" i="11" s="1"/>
  <c r="J19" i="11"/>
  <c r="I19" i="11"/>
  <c r="F19" i="11"/>
  <c r="J18" i="11"/>
  <c r="I18" i="11"/>
  <c r="F18" i="11" s="1"/>
  <c r="G18" i="11"/>
  <c r="J17" i="11"/>
  <c r="I17" i="11"/>
  <c r="H17" i="11"/>
  <c r="J16" i="11"/>
  <c r="I16" i="11"/>
  <c r="J15" i="11"/>
  <c r="I15" i="11"/>
  <c r="F15" i="11"/>
  <c r="J14" i="11"/>
  <c r="I14" i="11"/>
  <c r="F14" i="11" s="1"/>
  <c r="H14" i="11"/>
  <c r="J13" i="11"/>
  <c r="I13" i="11"/>
  <c r="J12" i="11"/>
  <c r="I12" i="11"/>
  <c r="F13" i="11" s="1"/>
  <c r="G12" i="11"/>
  <c r="F12" i="11"/>
  <c r="J11" i="11"/>
  <c r="I11" i="11"/>
  <c r="F11" i="11"/>
  <c r="J10" i="11"/>
  <c r="I10" i="11"/>
  <c r="J9" i="11"/>
  <c r="I9" i="11"/>
  <c r="F9" i="11" s="1"/>
  <c r="J8" i="11"/>
  <c r="I8" i="11"/>
  <c r="H8" i="11"/>
  <c r="G8" i="11"/>
  <c r="F8" i="11"/>
  <c r="J7" i="11"/>
  <c r="I7" i="11"/>
  <c r="F7" i="11" s="1"/>
  <c r="J6" i="11"/>
  <c r="I6" i="11"/>
  <c r="H6" i="11"/>
  <c r="F6" i="11"/>
  <c r="J5" i="11"/>
  <c r="I5" i="11"/>
  <c r="F5" i="11"/>
  <c r="J4" i="11"/>
  <c r="I4" i="11"/>
  <c r="H4" i="11"/>
  <c r="F4" i="11"/>
  <c r="J3" i="11"/>
  <c r="I3" i="11"/>
  <c r="F3" i="11"/>
  <c r="J2" i="11"/>
  <c r="I2" i="11"/>
  <c r="F2" i="11"/>
  <c r="J37" i="10"/>
  <c r="I37" i="10"/>
  <c r="F37" i="10" s="1"/>
  <c r="G37" i="10"/>
  <c r="J36" i="10"/>
  <c r="I36" i="10"/>
  <c r="F36" i="10" s="1"/>
  <c r="J35" i="10"/>
  <c r="I35" i="10"/>
  <c r="F35" i="10" s="1"/>
  <c r="G35" i="10"/>
  <c r="J34" i="10"/>
  <c r="I34" i="10"/>
  <c r="F34" i="10"/>
  <c r="J33" i="10"/>
  <c r="I33" i="10"/>
  <c r="J32" i="10"/>
  <c r="I32" i="10"/>
  <c r="F33" i="10" s="1"/>
  <c r="J31" i="10"/>
  <c r="I31" i="10"/>
  <c r="H31" i="10"/>
  <c r="J30" i="10"/>
  <c r="I30" i="10"/>
  <c r="J29" i="10"/>
  <c r="I29" i="10"/>
  <c r="J28" i="10"/>
  <c r="I28" i="10"/>
  <c r="J27" i="10"/>
  <c r="I27" i="10"/>
  <c r="F27" i="10" s="1"/>
  <c r="J26" i="10"/>
  <c r="I26" i="10"/>
  <c r="J25" i="10"/>
  <c r="I25" i="10"/>
  <c r="F26" i="10" s="1"/>
  <c r="H25" i="10"/>
  <c r="F25" i="10"/>
  <c r="J24" i="10"/>
  <c r="I24" i="10"/>
  <c r="F24" i="10" s="1"/>
  <c r="H24" i="10"/>
  <c r="J23" i="10"/>
  <c r="I23" i="10"/>
  <c r="F23" i="10"/>
  <c r="J22" i="10"/>
  <c r="I22" i="10"/>
  <c r="H22" i="10"/>
  <c r="F22" i="10"/>
  <c r="J21" i="10"/>
  <c r="I21" i="10"/>
  <c r="F21" i="10" s="1"/>
  <c r="J20" i="10"/>
  <c r="I20" i="10"/>
  <c r="J19" i="10"/>
  <c r="I19" i="10"/>
  <c r="J18" i="10"/>
  <c r="I18" i="10"/>
  <c r="H18" i="10"/>
  <c r="J17" i="10"/>
  <c r="I17" i="10"/>
  <c r="F17" i="10" s="1"/>
  <c r="H17" i="10"/>
  <c r="J16" i="10"/>
  <c r="I16" i="10"/>
  <c r="F16" i="10"/>
  <c r="J15" i="10"/>
  <c r="I15" i="10"/>
  <c r="F15" i="10"/>
  <c r="G15" i="10" s="1"/>
  <c r="J14" i="10"/>
  <c r="I14" i="10"/>
  <c r="F14" i="10" s="1"/>
  <c r="J13" i="10"/>
  <c r="I13" i="10"/>
  <c r="F13" i="10" s="1"/>
  <c r="G13" i="10"/>
  <c r="J12" i="10"/>
  <c r="I12" i="10"/>
  <c r="F12" i="10"/>
  <c r="J11" i="10"/>
  <c r="I11" i="10"/>
  <c r="G11" i="10"/>
  <c r="F11" i="10"/>
  <c r="J10" i="10"/>
  <c r="I10" i="10"/>
  <c r="F10" i="10" s="1"/>
  <c r="G10" i="10" s="1"/>
  <c r="J9" i="10"/>
  <c r="I9" i="10"/>
  <c r="F9" i="10"/>
  <c r="G9" i="10" s="1"/>
  <c r="J8" i="10"/>
  <c r="I8" i="10"/>
  <c r="F8" i="10" s="1"/>
  <c r="J7" i="10"/>
  <c r="I7" i="10"/>
  <c r="H7" i="10"/>
  <c r="J6" i="10"/>
  <c r="I6" i="10"/>
  <c r="F7" i="10" s="1"/>
  <c r="H6" i="10"/>
  <c r="F6" i="10"/>
  <c r="G6" i="10" s="1"/>
  <c r="J5" i="10"/>
  <c r="I5" i="10"/>
  <c r="G5" i="10"/>
  <c r="F5" i="10"/>
  <c r="J4" i="10"/>
  <c r="I4" i="10"/>
  <c r="F4" i="10"/>
  <c r="J3" i="10"/>
  <c r="I3" i="10"/>
  <c r="F3" i="10"/>
  <c r="G3" i="10" s="1"/>
  <c r="J2" i="10"/>
  <c r="I2" i="10"/>
  <c r="F2" i="10" s="1"/>
  <c r="K21" i="9"/>
  <c r="L21" i="9" s="1"/>
  <c r="J21" i="9"/>
  <c r="I21" i="9"/>
  <c r="F21" i="9"/>
  <c r="L20" i="9"/>
  <c r="K20" i="9"/>
  <c r="J20" i="9"/>
  <c r="I20" i="9"/>
  <c r="H20" i="9"/>
  <c r="J19" i="9"/>
  <c r="I19" i="9"/>
  <c r="F20" i="9" s="1"/>
  <c r="G20" i="9" s="1"/>
  <c r="F19" i="9"/>
  <c r="G19" i="9" s="1"/>
  <c r="J18" i="9"/>
  <c r="K18" i="9" s="1"/>
  <c r="L18" i="9" s="1"/>
  <c r="I18" i="9"/>
  <c r="F18" i="9" s="1"/>
  <c r="J17" i="9"/>
  <c r="I17" i="9"/>
  <c r="G17" i="9"/>
  <c r="F17" i="9"/>
  <c r="J16" i="9"/>
  <c r="K16" i="9" s="1"/>
  <c r="L16" i="9" s="1"/>
  <c r="I16" i="9"/>
  <c r="F16" i="9"/>
  <c r="G16" i="9" s="1"/>
  <c r="K15" i="9"/>
  <c r="L15" i="9" s="1"/>
  <c r="J15" i="9"/>
  <c r="I15" i="9"/>
  <c r="H15" i="9"/>
  <c r="K14" i="9"/>
  <c r="L14" i="9" s="1"/>
  <c r="J14" i="9"/>
  <c r="I14" i="9"/>
  <c r="H14" i="9"/>
  <c r="F14" i="9"/>
  <c r="J13" i="9"/>
  <c r="I13" i="9"/>
  <c r="H13" i="9"/>
  <c r="G13" i="9"/>
  <c r="F13" i="9"/>
  <c r="K12" i="9"/>
  <c r="L12" i="9" s="1"/>
  <c r="J12" i="9"/>
  <c r="I12" i="9"/>
  <c r="J11" i="9"/>
  <c r="I11" i="9"/>
  <c r="J10" i="9"/>
  <c r="K10" i="9" s="1"/>
  <c r="L10" i="9" s="1"/>
  <c r="I10" i="9"/>
  <c r="H10" i="9"/>
  <c r="F10" i="9"/>
  <c r="K9" i="9"/>
  <c r="L9" i="9" s="1"/>
  <c r="J9" i="9"/>
  <c r="I9" i="9"/>
  <c r="J8" i="9"/>
  <c r="I8" i="9"/>
  <c r="F8" i="9" s="1"/>
  <c r="H8" i="9"/>
  <c r="G8" i="9"/>
  <c r="J7" i="9"/>
  <c r="K7" i="9" s="1"/>
  <c r="L7" i="9" s="1"/>
  <c r="I7" i="9"/>
  <c r="F7" i="9" s="1"/>
  <c r="H7" i="9"/>
  <c r="K6" i="9"/>
  <c r="L6" i="9" s="1"/>
  <c r="J6" i="9"/>
  <c r="I6" i="9"/>
  <c r="H6" i="9" s="1"/>
  <c r="F6" i="9"/>
  <c r="G6" i="9" s="1"/>
  <c r="J5" i="9"/>
  <c r="I5" i="9"/>
  <c r="F5" i="9"/>
  <c r="L4" i="9"/>
  <c r="J4" i="9"/>
  <c r="K4" i="9" s="1"/>
  <c r="I4" i="9"/>
  <c r="H5" i="9" s="1"/>
  <c r="H4" i="9"/>
  <c r="J3" i="9"/>
  <c r="K3" i="9" s="1"/>
  <c r="L3" i="9" s="1"/>
  <c r="I3" i="9"/>
  <c r="F3" i="9" s="1"/>
  <c r="H3" i="9"/>
  <c r="J2" i="9"/>
  <c r="I2" i="9"/>
  <c r="G2" i="9"/>
  <c r="F2" i="9"/>
  <c r="J16" i="8"/>
  <c r="I16" i="8"/>
  <c r="F16" i="8"/>
  <c r="K15" i="8"/>
  <c r="L15" i="8" s="1"/>
  <c r="J15" i="8"/>
  <c r="I15" i="8"/>
  <c r="F15" i="8"/>
  <c r="K14" i="8"/>
  <c r="L14" i="8" s="1"/>
  <c r="J14" i="8"/>
  <c r="I14" i="8"/>
  <c r="F14" i="8"/>
  <c r="J13" i="8"/>
  <c r="K13" i="8" s="1"/>
  <c r="L13" i="8" s="1"/>
  <c r="I13" i="8"/>
  <c r="F13" i="8"/>
  <c r="L12" i="8"/>
  <c r="J12" i="8"/>
  <c r="K12" i="8" s="1"/>
  <c r="I12" i="8"/>
  <c r="F12" i="8" s="1"/>
  <c r="L11" i="8"/>
  <c r="K11" i="8"/>
  <c r="J11" i="8"/>
  <c r="I11" i="8"/>
  <c r="J10" i="8"/>
  <c r="I10" i="8"/>
  <c r="J9" i="8"/>
  <c r="I9" i="8"/>
  <c r="H5" i="8" s="1"/>
  <c r="L8" i="8"/>
  <c r="J8" i="8"/>
  <c r="K8" i="8" s="1"/>
  <c r="I8" i="8"/>
  <c r="J7" i="8"/>
  <c r="K7" i="8" s="1"/>
  <c r="I7" i="8"/>
  <c r="F7" i="8"/>
  <c r="K6" i="8"/>
  <c r="L6" i="8" s="1"/>
  <c r="J6" i="8"/>
  <c r="I6" i="8"/>
  <c r="F6" i="8" s="1"/>
  <c r="K5" i="8"/>
  <c r="L5" i="8" s="1"/>
  <c r="J5" i="8"/>
  <c r="I5" i="8"/>
  <c r="J4" i="8"/>
  <c r="K4" i="8" s="1"/>
  <c r="I4" i="8"/>
  <c r="F4" i="8" s="1"/>
  <c r="L3" i="8"/>
  <c r="J3" i="8"/>
  <c r="K3" i="8" s="1"/>
  <c r="I3" i="8"/>
  <c r="F3" i="8"/>
  <c r="J2" i="8"/>
  <c r="K2" i="8" s="1"/>
  <c r="L2" i="8" s="1"/>
  <c r="I2" i="8"/>
  <c r="F2" i="8" s="1"/>
  <c r="J73" i="7"/>
  <c r="K73" i="7" s="1"/>
  <c r="L73" i="7" s="1"/>
  <c r="I73" i="7"/>
  <c r="F73" i="7" s="1"/>
  <c r="H73" i="7"/>
  <c r="J72" i="7"/>
  <c r="K72" i="7" s="1"/>
  <c r="L72" i="7" s="1"/>
  <c r="I72" i="7"/>
  <c r="H72" i="7"/>
  <c r="G72" i="7"/>
  <c r="F72" i="7"/>
  <c r="J71" i="7"/>
  <c r="I71" i="7"/>
  <c r="H71" i="7"/>
  <c r="G71" i="7"/>
  <c r="F71" i="7"/>
  <c r="J70" i="7"/>
  <c r="I70" i="7"/>
  <c r="H70" i="7"/>
  <c r="F70" i="7"/>
  <c r="G70" i="7" s="1"/>
  <c r="J69" i="7"/>
  <c r="K69" i="7" s="1"/>
  <c r="L69" i="7" s="1"/>
  <c r="I69" i="7"/>
  <c r="F69" i="7" s="1"/>
  <c r="G69" i="7"/>
  <c r="J68" i="7"/>
  <c r="K68" i="7" s="1"/>
  <c r="L68" i="7" s="1"/>
  <c r="I68" i="7"/>
  <c r="H68" i="7"/>
  <c r="F68" i="7"/>
  <c r="K67" i="7"/>
  <c r="L67" i="7" s="1"/>
  <c r="J67" i="7"/>
  <c r="I67" i="7"/>
  <c r="G67" i="7"/>
  <c r="K66" i="7"/>
  <c r="L66" i="7" s="1"/>
  <c r="J66" i="7"/>
  <c r="I66" i="7"/>
  <c r="F67" i="7" s="1"/>
  <c r="H66" i="7"/>
  <c r="F66" i="7"/>
  <c r="G66" i="7" s="1"/>
  <c r="J65" i="7"/>
  <c r="I65" i="7"/>
  <c r="F65" i="7" s="1"/>
  <c r="J64" i="7"/>
  <c r="K64" i="7" s="1"/>
  <c r="L64" i="7" s="1"/>
  <c r="I64" i="7"/>
  <c r="F64" i="7"/>
  <c r="K63" i="7"/>
  <c r="L63" i="7" s="1"/>
  <c r="J63" i="7"/>
  <c r="I63" i="7"/>
  <c r="H63" i="7"/>
  <c r="G63" i="7"/>
  <c r="F63" i="7"/>
  <c r="J62" i="7"/>
  <c r="K62" i="7" s="1"/>
  <c r="L62" i="7" s="1"/>
  <c r="I62" i="7"/>
  <c r="J61" i="7"/>
  <c r="K61" i="7" s="1"/>
  <c r="L61" i="7" s="1"/>
  <c r="I61" i="7"/>
  <c r="L60" i="7"/>
  <c r="K60" i="7"/>
  <c r="J60" i="7"/>
  <c r="I60" i="7"/>
  <c r="F60" i="7" s="1"/>
  <c r="J59" i="7"/>
  <c r="K59" i="7" s="1"/>
  <c r="I59" i="7"/>
  <c r="F59" i="7"/>
  <c r="G59" i="7" s="1"/>
  <c r="L58" i="7"/>
  <c r="K58" i="7"/>
  <c r="J58" i="7"/>
  <c r="I58" i="7"/>
  <c r="H59" i="7" s="1"/>
  <c r="K57" i="7"/>
  <c r="L57" i="7" s="1"/>
  <c r="J57" i="7"/>
  <c r="I57" i="7"/>
  <c r="K56" i="7"/>
  <c r="L56" i="7" s="1"/>
  <c r="J56" i="7"/>
  <c r="I56" i="7"/>
  <c r="F57" i="7" s="1"/>
  <c r="J55" i="7"/>
  <c r="K55" i="7" s="1"/>
  <c r="L55" i="7" s="1"/>
  <c r="I55" i="7"/>
  <c r="F55" i="7" s="1"/>
  <c r="G55" i="7" s="1"/>
  <c r="J54" i="7"/>
  <c r="K54" i="7" s="1"/>
  <c r="L54" i="7" s="1"/>
  <c r="I54" i="7"/>
  <c r="H54" i="7"/>
  <c r="J53" i="7"/>
  <c r="K53" i="7" s="1"/>
  <c r="L53" i="7" s="1"/>
  <c r="I53" i="7"/>
  <c r="H69" i="7" s="1"/>
  <c r="F53" i="7"/>
  <c r="G53" i="7" s="1"/>
  <c r="L52" i="7"/>
  <c r="K52" i="7"/>
  <c r="J52" i="7"/>
  <c r="I52" i="7"/>
  <c r="J51" i="7"/>
  <c r="K51" i="7" s="1"/>
  <c r="I51" i="7"/>
  <c r="F52" i="7" s="1"/>
  <c r="G52" i="7" s="1"/>
  <c r="G51" i="7"/>
  <c r="F51" i="7"/>
  <c r="J50" i="7"/>
  <c r="K50" i="7" s="1"/>
  <c r="L50" i="7" s="1"/>
  <c r="I50" i="7"/>
  <c r="H50" i="7" s="1"/>
  <c r="F50" i="7"/>
  <c r="K49" i="7"/>
  <c r="L49" i="7" s="1"/>
  <c r="J49" i="7"/>
  <c r="I49" i="7"/>
  <c r="H49" i="7"/>
  <c r="F49" i="7"/>
  <c r="G49" i="7" s="1"/>
  <c r="J48" i="7"/>
  <c r="I48" i="7"/>
  <c r="H48" i="7"/>
  <c r="F48" i="7"/>
  <c r="J47" i="7"/>
  <c r="K47" i="7" s="1"/>
  <c r="L47" i="7" s="1"/>
  <c r="I47" i="7"/>
  <c r="F47" i="7"/>
  <c r="G47" i="7" s="1"/>
  <c r="J46" i="7"/>
  <c r="K46" i="7" s="1"/>
  <c r="L46" i="7" s="1"/>
  <c r="I46" i="7"/>
  <c r="H46" i="7" s="1"/>
  <c r="J45" i="7"/>
  <c r="I45" i="7"/>
  <c r="G45" i="7"/>
  <c r="F45" i="7"/>
  <c r="K44" i="7"/>
  <c r="L44" i="7" s="1"/>
  <c r="J44" i="7"/>
  <c r="I44" i="7"/>
  <c r="F44" i="7" s="1"/>
  <c r="H44" i="7"/>
  <c r="G44" i="7"/>
  <c r="J43" i="7"/>
  <c r="K43" i="7" s="1"/>
  <c r="L43" i="7" s="1"/>
  <c r="I43" i="7"/>
  <c r="H43" i="7"/>
  <c r="G43" i="7"/>
  <c r="F43" i="7"/>
  <c r="K42" i="7"/>
  <c r="L42" i="7" s="1"/>
  <c r="J42" i="7"/>
  <c r="I42" i="7"/>
  <c r="F42" i="7"/>
  <c r="J41" i="7"/>
  <c r="K41" i="7" s="1"/>
  <c r="L41" i="7" s="1"/>
  <c r="I41" i="7"/>
  <c r="H41" i="7"/>
  <c r="G41" i="7"/>
  <c r="F41" i="7"/>
  <c r="J40" i="7"/>
  <c r="I40" i="7"/>
  <c r="K39" i="7"/>
  <c r="L39" i="7" s="1"/>
  <c r="J39" i="7"/>
  <c r="I39" i="7"/>
  <c r="J38" i="7"/>
  <c r="K38" i="7" s="1"/>
  <c r="L38" i="7" s="1"/>
  <c r="I38" i="7"/>
  <c r="J37" i="7"/>
  <c r="K37" i="7" s="1"/>
  <c r="I37" i="7"/>
  <c r="F38" i="7" s="1"/>
  <c r="K36" i="7"/>
  <c r="J36" i="7"/>
  <c r="I36" i="7"/>
  <c r="F36" i="7" s="1"/>
  <c r="J35" i="7"/>
  <c r="K35" i="7" s="1"/>
  <c r="L35" i="7" s="1"/>
  <c r="I35" i="7"/>
  <c r="F35" i="7" s="1"/>
  <c r="K34" i="7"/>
  <c r="L34" i="7" s="1"/>
  <c r="J34" i="7"/>
  <c r="I34" i="7"/>
  <c r="H34" i="7"/>
  <c r="J33" i="7"/>
  <c r="K33" i="7" s="1"/>
  <c r="I33" i="7"/>
  <c r="F33" i="7" s="1"/>
  <c r="J32" i="7"/>
  <c r="K32" i="7" s="1"/>
  <c r="L32" i="7" s="1"/>
  <c r="I32" i="7"/>
  <c r="F32" i="7" s="1"/>
  <c r="H32" i="7"/>
  <c r="K31" i="7"/>
  <c r="L31" i="7" s="1"/>
  <c r="J31" i="7"/>
  <c r="I31" i="7"/>
  <c r="H31" i="7"/>
  <c r="G31" i="7"/>
  <c r="F31" i="7"/>
  <c r="L30" i="7"/>
  <c r="J30" i="7"/>
  <c r="K30" i="7" s="1"/>
  <c r="I30" i="7"/>
  <c r="H30" i="7" s="1"/>
  <c r="J29" i="7"/>
  <c r="K29" i="7" s="1"/>
  <c r="L29" i="7" s="1"/>
  <c r="I29" i="7"/>
  <c r="F29" i="7"/>
  <c r="J28" i="7"/>
  <c r="K28" i="7" s="1"/>
  <c r="L28" i="7" s="1"/>
  <c r="I28" i="7"/>
  <c r="H28" i="7"/>
  <c r="G28" i="7"/>
  <c r="L27" i="7"/>
  <c r="J27" i="7"/>
  <c r="K27" i="7" s="1"/>
  <c r="I27" i="7"/>
  <c r="F28" i="7" s="1"/>
  <c r="H27" i="7"/>
  <c r="F27" i="7"/>
  <c r="J26" i="7"/>
  <c r="I26" i="7"/>
  <c r="H26" i="7"/>
  <c r="G26" i="7"/>
  <c r="F26" i="7"/>
  <c r="J25" i="7"/>
  <c r="I25" i="7"/>
  <c r="J24" i="7"/>
  <c r="K24" i="7" s="1"/>
  <c r="L24" i="7" s="1"/>
  <c r="I24" i="7"/>
  <c r="F24" i="7" s="1"/>
  <c r="G24" i="7"/>
  <c r="J23" i="7"/>
  <c r="I23" i="7"/>
  <c r="K22" i="7"/>
  <c r="J22" i="7"/>
  <c r="I22" i="7"/>
  <c r="F23" i="7" s="1"/>
  <c r="G23" i="7" s="1"/>
  <c r="J21" i="7"/>
  <c r="I21" i="7"/>
  <c r="H21" i="7" s="1"/>
  <c r="K20" i="7"/>
  <c r="L20" i="7" s="1"/>
  <c r="J20" i="7"/>
  <c r="I20" i="7"/>
  <c r="F20" i="7"/>
  <c r="K19" i="7"/>
  <c r="L19" i="7" s="1"/>
  <c r="J19" i="7"/>
  <c r="I19" i="7"/>
  <c r="H19" i="7"/>
  <c r="G19" i="7"/>
  <c r="F19" i="7"/>
  <c r="J18" i="7"/>
  <c r="K18" i="7" s="1"/>
  <c r="L18" i="7" s="1"/>
  <c r="I18" i="7"/>
  <c r="J17" i="7"/>
  <c r="K17" i="7" s="1"/>
  <c r="L17" i="7" s="1"/>
  <c r="I17" i="7"/>
  <c r="F17" i="7" s="1"/>
  <c r="L16" i="7"/>
  <c r="K16" i="7"/>
  <c r="J16" i="7"/>
  <c r="I16" i="7"/>
  <c r="J15" i="7"/>
  <c r="K15" i="7" s="1"/>
  <c r="L15" i="7" s="1"/>
  <c r="I15" i="7"/>
  <c r="F16" i="7" s="1"/>
  <c r="G16" i="7" s="1"/>
  <c r="H15" i="7"/>
  <c r="F15" i="7"/>
  <c r="J14" i="7"/>
  <c r="I14" i="7"/>
  <c r="H14" i="7"/>
  <c r="J13" i="7"/>
  <c r="I13" i="7"/>
  <c r="H13" i="7" s="1"/>
  <c r="J12" i="7"/>
  <c r="K12" i="7" s="1"/>
  <c r="L12" i="7" s="1"/>
  <c r="I12" i="7"/>
  <c r="F12" i="7" s="1"/>
  <c r="G12" i="7" s="1"/>
  <c r="L11" i="7"/>
  <c r="K11" i="7"/>
  <c r="J11" i="7"/>
  <c r="I11" i="7"/>
  <c r="H11" i="7"/>
  <c r="J10" i="7"/>
  <c r="K10" i="7" s="1"/>
  <c r="L10" i="7" s="1"/>
  <c r="I10" i="7"/>
  <c r="H10" i="7"/>
  <c r="J9" i="7"/>
  <c r="I9" i="7"/>
  <c r="F9" i="7" s="1"/>
  <c r="H9" i="7"/>
  <c r="G9" i="7"/>
  <c r="L8" i="7"/>
  <c r="K8" i="7"/>
  <c r="J8" i="7"/>
  <c r="I8" i="7"/>
  <c r="H8" i="7"/>
  <c r="F8" i="7"/>
  <c r="G8" i="7" s="1"/>
  <c r="J7" i="7"/>
  <c r="K7" i="7" s="1"/>
  <c r="L7" i="7" s="1"/>
  <c r="I7" i="7"/>
  <c r="H7" i="7"/>
  <c r="G7" i="7"/>
  <c r="F7" i="7"/>
  <c r="J6" i="7"/>
  <c r="K6" i="7" s="1"/>
  <c r="L6" i="7" s="1"/>
  <c r="I6" i="7"/>
  <c r="H6" i="7"/>
  <c r="F6" i="7"/>
  <c r="G6" i="7" s="1"/>
  <c r="J5" i="7"/>
  <c r="K5" i="7" s="1"/>
  <c r="L5" i="7" s="1"/>
  <c r="I5" i="7"/>
  <c r="H5" i="7"/>
  <c r="G5" i="7"/>
  <c r="F5" i="7"/>
  <c r="J4" i="7"/>
  <c r="I4" i="7"/>
  <c r="J3" i="7"/>
  <c r="K3" i="7" s="1"/>
  <c r="L3" i="7" s="1"/>
  <c r="I3" i="7"/>
  <c r="F3" i="7"/>
  <c r="G3" i="7" s="1"/>
  <c r="J2" i="7"/>
  <c r="K2" i="7" s="1"/>
  <c r="L2" i="7" s="1"/>
  <c r="I2" i="7"/>
  <c r="F2" i="7" s="1"/>
  <c r="G2" i="7" s="1"/>
  <c r="H2" i="7"/>
  <c r="K7" i="6"/>
  <c r="L7" i="6" s="1"/>
  <c r="J7" i="6"/>
  <c r="I7" i="6"/>
  <c r="F7" i="6"/>
  <c r="J6" i="6"/>
  <c r="I6" i="6"/>
  <c r="H6" i="6"/>
  <c r="K5" i="6"/>
  <c r="L5" i="6" s="1"/>
  <c r="J5" i="6"/>
  <c r="I5" i="6"/>
  <c r="F5" i="6" s="1"/>
  <c r="J4" i="6"/>
  <c r="K4" i="6" s="1"/>
  <c r="L4" i="6" s="1"/>
  <c r="I4" i="6"/>
  <c r="F4" i="6"/>
  <c r="J3" i="6"/>
  <c r="K3" i="6" s="1"/>
  <c r="L3" i="6" s="1"/>
  <c r="I3" i="6"/>
  <c r="H3" i="6"/>
  <c r="F3" i="6"/>
  <c r="K2" i="6"/>
  <c r="L2" i="6" s="1"/>
  <c r="J2" i="6"/>
  <c r="I2" i="6"/>
  <c r="H2" i="6"/>
  <c r="F2" i="6"/>
  <c r="G2" i="6" s="1"/>
  <c r="W45" i="4"/>
  <c r="N36" i="4"/>
  <c r="M36" i="4"/>
  <c r="L36" i="4"/>
  <c r="K36" i="4"/>
  <c r="J36" i="4"/>
  <c r="I36" i="4"/>
  <c r="H36" i="4"/>
  <c r="G36" i="4"/>
  <c r="F36" i="4"/>
  <c r="Q31" i="4"/>
  <c r="O31" i="4"/>
  <c r="Q30" i="4"/>
  <c r="O30" i="4"/>
  <c r="N30" i="4"/>
  <c r="O29" i="4"/>
  <c r="O28" i="4"/>
  <c r="N28" i="4"/>
  <c r="U26" i="4"/>
  <c r="O26" i="4"/>
  <c r="T25" i="4"/>
  <c r="O24" i="4"/>
  <c r="N21" i="4"/>
  <c r="Q20" i="4"/>
  <c r="Q18" i="4"/>
  <c r="O17" i="4"/>
  <c r="T15" i="4"/>
  <c r="N14" i="4"/>
  <c r="T10" i="4"/>
  <c r="O10" i="4"/>
  <c r="U7" i="4"/>
  <c r="Q7" i="4"/>
  <c r="N7" i="4"/>
  <c r="E7" i="4"/>
  <c r="T6" i="4"/>
  <c r="O6" i="4"/>
  <c r="N5" i="4"/>
  <c r="O4" i="4"/>
  <c r="Q3" i="4"/>
  <c r="C2" i="2"/>
  <c r="K4" i="16" s="1"/>
  <c r="L4" i="16" s="1"/>
  <c r="T28" i="4" l="1"/>
  <c r="U27" i="4"/>
  <c r="T24" i="4"/>
  <c r="U23" i="4"/>
  <c r="U17" i="4"/>
  <c r="U16" i="4"/>
  <c r="U15" i="4"/>
  <c r="U14" i="4"/>
  <c r="U12" i="4"/>
  <c r="T11" i="4"/>
  <c r="T36" i="4" s="1"/>
  <c r="U11" i="4"/>
  <c r="U9" i="4"/>
  <c r="U5" i="4"/>
  <c r="S5" i="4"/>
  <c r="S7" i="4"/>
  <c r="Q15" i="4"/>
  <c r="O14" i="4"/>
  <c r="Q9" i="4"/>
  <c r="O8" i="4"/>
  <c r="Q8" i="4"/>
  <c r="F31" i="10"/>
  <c r="G31" i="10" s="1"/>
  <c r="F32" i="10"/>
  <c r="F21" i="7"/>
  <c r="G21" i="7" s="1"/>
  <c r="H35" i="7"/>
  <c r="H55" i="7"/>
  <c r="H65" i="7"/>
  <c r="H18" i="9"/>
  <c r="H21" i="9"/>
  <c r="H9" i="9"/>
  <c r="H23" i="16"/>
  <c r="H69" i="17"/>
  <c r="H70" i="17"/>
  <c r="F70" i="17"/>
  <c r="F69" i="17"/>
  <c r="G69" i="17" s="1"/>
  <c r="F49" i="18"/>
  <c r="F48" i="18"/>
  <c r="G48" i="18" s="1"/>
  <c r="F9" i="8"/>
  <c r="G9" i="8" s="1"/>
  <c r="F25" i="11"/>
  <c r="G25" i="11" s="1"/>
  <c r="F19" i="15"/>
  <c r="G19" i="15" s="1"/>
  <c r="F42" i="17"/>
  <c r="G42" i="17" s="1"/>
  <c r="F43" i="17"/>
  <c r="G43" i="17" s="1"/>
  <c r="H42" i="17"/>
  <c r="H57" i="18"/>
  <c r="F49" i="26"/>
  <c r="G49" i="26" s="1"/>
  <c r="F50" i="26"/>
  <c r="F10" i="27"/>
  <c r="G10" i="27" s="1"/>
  <c r="F11" i="27"/>
  <c r="H5" i="12"/>
  <c r="F5" i="12"/>
  <c r="G5" i="12" s="1"/>
  <c r="F7" i="14"/>
  <c r="H9" i="14"/>
  <c r="G6" i="14"/>
  <c r="G9" i="14"/>
  <c r="H2" i="14"/>
  <c r="G7" i="14"/>
  <c r="G5" i="14"/>
  <c r="G4" i="14"/>
  <c r="H8" i="14"/>
  <c r="F8" i="14"/>
  <c r="G8" i="14" s="1"/>
  <c r="H3" i="14"/>
  <c r="G3" i="14"/>
  <c r="H7" i="14"/>
  <c r="H5" i="14"/>
  <c r="H35" i="18"/>
  <c r="F34" i="18"/>
  <c r="F56" i="7"/>
  <c r="H9" i="8"/>
  <c r="H19" i="15"/>
  <c r="F69" i="16"/>
  <c r="G69" i="16" s="1"/>
  <c r="H70" i="16"/>
  <c r="F70" i="16"/>
  <c r="G70" i="16" s="1"/>
  <c r="F87" i="18"/>
  <c r="H88" i="18"/>
  <c r="F12" i="19"/>
  <c r="G12" i="19" s="1"/>
  <c r="H12" i="19"/>
  <c r="F2" i="24"/>
  <c r="G2" i="24" s="1"/>
  <c r="F3" i="24"/>
  <c r="G3" i="24" s="1"/>
  <c r="F4" i="27"/>
  <c r="F3" i="27"/>
  <c r="G3" i="27" s="1"/>
  <c r="H4" i="19"/>
  <c r="H5" i="19"/>
  <c r="F5" i="19"/>
  <c r="G5" i="19" s="1"/>
  <c r="F22" i="7"/>
  <c r="G22" i="7" s="1"/>
  <c r="L36" i="7"/>
  <c r="H51" i="7"/>
  <c r="F61" i="7"/>
  <c r="H4" i="8"/>
  <c r="H15" i="8"/>
  <c r="H12" i="13"/>
  <c r="H13" i="13"/>
  <c r="F8" i="15"/>
  <c r="H7" i="15"/>
  <c r="F7" i="15"/>
  <c r="F14" i="17"/>
  <c r="G14" i="17" s="1"/>
  <c r="H14" i="17"/>
  <c r="F35" i="18"/>
  <c r="F51" i="18"/>
  <c r="F50" i="18"/>
  <c r="H42" i="26"/>
  <c r="F22" i="27"/>
  <c r="G22" i="27" s="1"/>
  <c r="F21" i="27"/>
  <c r="F47" i="27"/>
  <c r="G47" i="27" s="1"/>
  <c r="F2" i="31"/>
  <c r="G2" i="31" s="1"/>
  <c r="F3" i="31"/>
  <c r="G3" i="31" s="1"/>
  <c r="F10" i="8"/>
  <c r="G10" i="8" s="1"/>
  <c r="F36" i="17"/>
  <c r="H36" i="17"/>
  <c r="G83" i="17"/>
  <c r="F44" i="18"/>
  <c r="F43" i="18"/>
  <c r="F65" i="18"/>
  <c r="H66" i="18"/>
  <c r="L4" i="8"/>
  <c r="F28" i="10"/>
  <c r="G28" i="10" s="1"/>
  <c r="G2" i="14"/>
  <c r="L43" i="16"/>
  <c r="H15" i="17"/>
  <c r="G6" i="21"/>
  <c r="L2" i="31"/>
  <c r="F13" i="13"/>
  <c r="G13" i="13" s="1"/>
  <c r="F45" i="16"/>
  <c r="G45" i="16" s="1"/>
  <c r="F44" i="16"/>
  <c r="H44" i="16"/>
  <c r="F50" i="16"/>
  <c r="G50" i="16" s="1"/>
  <c r="H50" i="16"/>
  <c r="H9" i="18"/>
  <c r="H21" i="24"/>
  <c r="H11" i="24"/>
  <c r="H27" i="24"/>
  <c r="H7" i="24"/>
  <c r="F4" i="24"/>
  <c r="G4" i="24" s="1"/>
  <c r="H20" i="24"/>
  <c r="H23" i="24"/>
  <c r="H9" i="24"/>
  <c r="H19" i="24"/>
  <c r="H5" i="24"/>
  <c r="H26" i="24"/>
  <c r="H15" i="24"/>
  <c r="H25" i="24"/>
  <c r="H12" i="24"/>
  <c r="H24" i="24"/>
  <c r="H28" i="24"/>
  <c r="H2" i="24"/>
  <c r="H6" i="24"/>
  <c r="H14" i="24"/>
  <c r="H3" i="24"/>
  <c r="H16" i="24"/>
  <c r="H10" i="24"/>
  <c r="H8" i="24"/>
  <c r="H13" i="24"/>
  <c r="H18" i="24"/>
  <c r="H51" i="31"/>
  <c r="G48" i="31"/>
  <c r="H29" i="31"/>
  <c r="G26" i="31"/>
  <c r="H7" i="31"/>
  <c r="H60" i="31"/>
  <c r="G57" i="31"/>
  <c r="H38" i="31"/>
  <c r="G35" i="31"/>
  <c r="H16" i="31"/>
  <c r="G13" i="31"/>
  <c r="G64" i="31"/>
  <c r="G47" i="31"/>
  <c r="G37" i="31"/>
  <c r="G27" i="31"/>
  <c r="G17" i="31"/>
  <c r="G62" i="31"/>
  <c r="H55" i="31"/>
  <c r="H41" i="31"/>
  <c r="H17" i="31"/>
  <c r="H10" i="31"/>
  <c r="G40" i="31"/>
  <c r="H26" i="31"/>
  <c r="H19" i="31"/>
  <c r="H12" i="31"/>
  <c r="H53" i="31"/>
  <c r="H46" i="31"/>
  <c r="G29" i="31"/>
  <c r="G15" i="31"/>
  <c r="H63" i="31"/>
  <c r="H39" i="31"/>
  <c r="H32" i="31"/>
  <c r="G8" i="31"/>
  <c r="H59" i="31"/>
  <c r="G49" i="31"/>
  <c r="H35" i="31"/>
  <c r="H28" i="31"/>
  <c r="H21" i="31"/>
  <c r="H43" i="31"/>
  <c r="G14" i="31"/>
  <c r="G50" i="31"/>
  <c r="H25" i="31"/>
  <c r="H62" i="31"/>
  <c r="F58" i="31"/>
  <c r="G58" i="31" s="1"/>
  <c r="H54" i="31"/>
  <c r="H61" i="31"/>
  <c r="G61" i="31"/>
  <c r="H56" i="31"/>
  <c r="H24" i="31"/>
  <c r="H15" i="31"/>
  <c r="H50" i="31"/>
  <c r="G32" i="31"/>
  <c r="H18" i="31"/>
  <c r="H45" i="31"/>
  <c r="H27" i="31"/>
  <c r="H13" i="31"/>
  <c r="G63" i="31"/>
  <c r="H58" i="31"/>
  <c r="G36" i="31"/>
  <c r="H3" i="31"/>
  <c r="H49" i="31"/>
  <c r="H40" i="31"/>
  <c r="H31" i="31"/>
  <c r="H44" i="31"/>
  <c r="H2" i="31"/>
  <c r="G46" i="31"/>
  <c r="H34" i="31"/>
  <c r="G12" i="31"/>
  <c r="G39" i="31"/>
  <c r="G28" i="31"/>
  <c r="G55" i="31"/>
  <c r="H33" i="31"/>
  <c r="H22" i="31"/>
  <c r="H11" i="31"/>
  <c r="G6" i="31"/>
  <c r="G38" i="31"/>
  <c r="G16" i="31"/>
  <c r="G11" i="31"/>
  <c r="H5" i="31"/>
  <c r="F59" i="31"/>
  <c r="G59" i="31" s="1"/>
  <c r="H48" i="31"/>
  <c r="H37" i="31"/>
  <c r="H20" i="31"/>
  <c r="H36" i="31"/>
  <c r="H8" i="31"/>
  <c r="H64" i="31"/>
  <c r="H57" i="31"/>
  <c r="H42" i="31"/>
  <c r="G21" i="31"/>
  <c r="H14" i="31"/>
  <c r="G19" i="31"/>
  <c r="H4" i="31"/>
  <c r="G51" i="31"/>
  <c r="G23" i="31"/>
  <c r="H9" i="31"/>
  <c r="G9" i="31"/>
  <c r="H47" i="31"/>
  <c r="H30" i="31"/>
  <c r="G30" i="31"/>
  <c r="H23" i="31"/>
  <c r="H6" i="31"/>
  <c r="H52" i="31"/>
  <c r="G52" i="31"/>
  <c r="G44" i="31"/>
  <c r="G20" i="31"/>
  <c r="F37" i="7"/>
  <c r="G37" i="7" s="1"/>
  <c r="H20" i="11"/>
  <c r="H16" i="11"/>
  <c r="G13" i="11"/>
  <c r="G20" i="11"/>
  <c r="H23" i="11"/>
  <c r="H13" i="11"/>
  <c r="H3" i="11"/>
  <c r="G23" i="11"/>
  <c r="G3" i="11"/>
  <c r="G19" i="11"/>
  <c r="H12" i="11"/>
  <c r="G4" i="11"/>
  <c r="H25" i="11"/>
  <c r="G14" i="11"/>
  <c r="H10" i="11"/>
  <c r="G6" i="11"/>
  <c r="H21" i="11"/>
  <c r="G9" i="11"/>
  <c r="F21" i="11"/>
  <c r="G21" i="11" s="1"/>
  <c r="G5" i="11"/>
  <c r="H7" i="11"/>
  <c r="H24" i="11"/>
  <c r="G24" i="11"/>
  <c r="H11" i="11"/>
  <c r="H15" i="11"/>
  <c r="G11" i="11"/>
  <c r="H2" i="11"/>
  <c r="H19" i="11"/>
  <c r="G27" i="11"/>
  <c r="H5" i="11"/>
  <c r="H18" i="11"/>
  <c r="H9" i="11"/>
  <c r="G26" i="11"/>
  <c r="H22" i="11"/>
  <c r="G15" i="11"/>
  <c r="H27" i="11"/>
  <c r="F10" i="17"/>
  <c r="F9" i="17"/>
  <c r="F79" i="17"/>
  <c r="F80" i="17"/>
  <c r="G80" i="17" s="1"/>
  <c r="H18" i="23"/>
  <c r="F19" i="23"/>
  <c r="G19" i="23" s="1"/>
  <c r="F18" i="23"/>
  <c r="H11" i="8"/>
  <c r="H14" i="8"/>
  <c r="G14" i="8"/>
  <c r="H10" i="8"/>
  <c r="G7" i="8"/>
  <c r="H13" i="8"/>
  <c r="G2" i="8"/>
  <c r="H8" i="8"/>
  <c r="G4" i="8"/>
  <c r="H7" i="8"/>
  <c r="G3" i="8"/>
  <c r="G16" i="8"/>
  <c r="H12" i="8"/>
  <c r="H3" i="8"/>
  <c r="G15" i="8"/>
  <c r="H2" i="8"/>
  <c r="H6" i="8"/>
  <c r="F13" i="7"/>
  <c r="F18" i="7"/>
  <c r="G18" i="7" s="1"/>
  <c r="L22" i="7"/>
  <c r="H57" i="7"/>
  <c r="F29" i="10"/>
  <c r="G29" i="10" s="1"/>
  <c r="L37" i="7"/>
  <c r="L44" i="16"/>
  <c r="F51" i="16"/>
  <c r="F81" i="18"/>
  <c r="F82" i="18"/>
  <c r="F12" i="23"/>
  <c r="F11" i="23"/>
  <c r="F4" i="7"/>
  <c r="G4" i="7" s="1"/>
  <c r="H4" i="7"/>
  <c r="H37" i="7"/>
  <c r="F62" i="7"/>
  <c r="G62" i="7" s="1"/>
  <c r="G5" i="8"/>
  <c r="H16" i="8"/>
  <c r="H30" i="10"/>
  <c r="G27" i="10"/>
  <c r="H36" i="10"/>
  <c r="G33" i="10"/>
  <c r="H20" i="10"/>
  <c r="G17" i="10"/>
  <c r="G36" i="10"/>
  <c r="H23" i="10"/>
  <c r="H26" i="10"/>
  <c r="G23" i="10"/>
  <c r="H4" i="10"/>
  <c r="H35" i="10"/>
  <c r="G32" i="10"/>
  <c r="H19" i="10"/>
  <c r="G16" i="10"/>
  <c r="G25" i="10"/>
  <c r="H14" i="10"/>
  <c r="H10" i="10"/>
  <c r="H27" i="10"/>
  <c r="H16" i="10"/>
  <c r="G2" i="10"/>
  <c r="G34" i="10"/>
  <c r="H8" i="10"/>
  <c r="F30" i="10"/>
  <c r="G26" i="10"/>
  <c r="H15" i="10"/>
  <c r="G14" i="10"/>
  <c r="H2" i="10"/>
  <c r="G22" i="10"/>
  <c r="G30" i="10"/>
  <c r="H13" i="10"/>
  <c r="H9" i="10"/>
  <c r="H5" i="10"/>
  <c r="H34" i="10"/>
  <c r="H29" i="10"/>
  <c r="H33" i="10"/>
  <c r="H12" i="10"/>
  <c r="G8" i="10"/>
  <c r="G4" i="10"/>
  <c r="H37" i="10"/>
  <c r="G12" i="10"/>
  <c r="H28" i="10"/>
  <c r="G24" i="10"/>
  <c r="G7" i="10"/>
  <c r="H11" i="10"/>
  <c r="H3" i="10"/>
  <c r="F22" i="11"/>
  <c r="G22" i="11" s="1"/>
  <c r="F45" i="17"/>
  <c r="G45" i="17" s="1"/>
  <c r="F46" i="17"/>
  <c r="G46" i="17" s="1"/>
  <c r="F24" i="18"/>
  <c r="F23" i="18"/>
  <c r="G23" i="18" s="1"/>
  <c r="F35" i="26"/>
  <c r="F36" i="26"/>
  <c r="G36" i="26" s="1"/>
  <c r="F11" i="9"/>
  <c r="G11" i="9" s="1"/>
  <c r="H12" i="9"/>
  <c r="H11" i="9"/>
  <c r="H33" i="7"/>
  <c r="G41" i="31"/>
  <c r="F58" i="7"/>
  <c r="H58" i="7"/>
  <c r="G12" i="8"/>
  <c r="G15" i="15"/>
  <c r="F20" i="16"/>
  <c r="G20" i="16" s="1"/>
  <c r="F21" i="16"/>
  <c r="H20" i="16"/>
  <c r="H55" i="26"/>
  <c r="H33" i="26"/>
  <c r="G30" i="26"/>
  <c r="G54" i="26"/>
  <c r="H35" i="26"/>
  <c r="G32" i="26"/>
  <c r="H13" i="26"/>
  <c r="G10" i="26"/>
  <c r="H47" i="26"/>
  <c r="G44" i="26"/>
  <c r="H25" i="26"/>
  <c r="H3" i="26"/>
  <c r="H45" i="26"/>
  <c r="G14" i="26"/>
  <c r="H52" i="26"/>
  <c r="H38" i="26"/>
  <c r="H31" i="26"/>
  <c r="H24" i="26"/>
  <c r="H17" i="26"/>
  <c r="H7" i="26"/>
  <c r="G46" i="26"/>
  <c r="G42" i="26"/>
  <c r="G35" i="26"/>
  <c r="G31" i="26"/>
  <c r="G9" i="26"/>
  <c r="H48" i="26"/>
  <c r="H44" i="26"/>
  <c r="H11" i="26"/>
  <c r="G48" i="26"/>
  <c r="G33" i="26"/>
  <c r="H18" i="26"/>
  <c r="G11" i="26"/>
  <c r="H4" i="26"/>
  <c r="G40" i="26"/>
  <c r="H29" i="26"/>
  <c r="G29" i="26"/>
  <c r="G25" i="26"/>
  <c r="G7" i="26"/>
  <c r="G51" i="26"/>
  <c r="G47" i="26"/>
  <c r="H43" i="26"/>
  <c r="H36" i="26"/>
  <c r="H10" i="26"/>
  <c r="F54" i="26"/>
  <c r="H40" i="26"/>
  <c r="H26" i="26"/>
  <c r="G17" i="26"/>
  <c r="H49" i="26"/>
  <c r="H39" i="26"/>
  <c r="H30" i="26"/>
  <c r="H8" i="26"/>
  <c r="G24" i="26"/>
  <c r="H28" i="26"/>
  <c r="H19" i="26"/>
  <c r="H6" i="26"/>
  <c r="G2" i="26"/>
  <c r="G19" i="26"/>
  <c r="H15" i="26"/>
  <c r="G6" i="26"/>
  <c r="H56" i="26"/>
  <c r="H51" i="26"/>
  <c r="H37" i="26"/>
  <c r="H32" i="26"/>
  <c r="G18" i="26"/>
  <c r="H12" i="26"/>
  <c r="H41" i="26"/>
  <c r="G12" i="26"/>
  <c r="H53" i="26"/>
  <c r="G5" i="26"/>
  <c r="G39" i="26"/>
  <c r="H16" i="26"/>
  <c r="G15" i="26"/>
  <c r="H50" i="26"/>
  <c r="G26" i="26"/>
  <c r="G50" i="26"/>
  <c r="G43" i="26"/>
  <c r="H20" i="26"/>
  <c r="H14" i="26"/>
  <c r="G8" i="26"/>
  <c r="H2" i="26"/>
  <c r="H54" i="26"/>
  <c r="H34" i="26"/>
  <c r="G34" i="26"/>
  <c r="H5" i="26"/>
  <c r="G41" i="26"/>
  <c r="H46" i="26"/>
  <c r="G3" i="26"/>
  <c r="G53" i="26"/>
  <c r="H23" i="26"/>
  <c r="H9" i="26"/>
  <c r="H22" i="26"/>
  <c r="G6" i="8"/>
  <c r="F39" i="7"/>
  <c r="H40" i="7"/>
  <c r="F17" i="11"/>
  <c r="G17" i="11" s="1"/>
  <c r="F16" i="11"/>
  <c r="G16" i="11" s="1"/>
  <c r="H4" i="14"/>
  <c r="F4" i="15"/>
  <c r="G4" i="15" s="1"/>
  <c r="H3" i="15"/>
  <c r="F3" i="15"/>
  <c r="G3" i="15" s="1"/>
  <c r="F53" i="16"/>
  <c r="G53" i="16" s="1"/>
  <c r="L33" i="7"/>
  <c r="F34" i="7"/>
  <c r="G34" i="7" s="1"/>
  <c r="H21" i="16"/>
  <c r="F6" i="20"/>
  <c r="G6" i="20" s="1"/>
  <c r="F5" i="20"/>
  <c r="G5" i="20" s="1"/>
  <c r="F83" i="17"/>
  <c r="F82" i="17"/>
  <c r="F11" i="26"/>
  <c r="F12" i="26"/>
  <c r="F81" i="16"/>
  <c r="F82" i="16"/>
  <c r="G14" i="21"/>
  <c r="H5" i="21"/>
  <c r="G12" i="21"/>
  <c r="G7" i="21"/>
  <c r="F10" i="21"/>
  <c r="G10" i="21" s="1"/>
  <c r="G3" i="21"/>
  <c r="H6" i="21"/>
  <c r="H13" i="21"/>
  <c r="G9" i="21"/>
  <c r="G8" i="21"/>
  <c r="G11" i="21"/>
  <c r="H3" i="21"/>
  <c r="H7" i="21"/>
  <c r="H10" i="21"/>
  <c r="G2" i="21"/>
  <c r="H2" i="21"/>
  <c r="H8" i="21"/>
  <c r="H14" i="21"/>
  <c r="H12" i="21"/>
  <c r="H11" i="21"/>
  <c r="H4" i="21"/>
  <c r="G4" i="21"/>
  <c r="F27" i="28"/>
  <c r="G27" i="28" s="1"/>
  <c r="H26" i="28"/>
  <c r="H4" i="13"/>
  <c r="F5" i="13"/>
  <c r="F42" i="20"/>
  <c r="F43" i="20"/>
  <c r="G13" i="8"/>
  <c r="L7" i="8"/>
  <c r="F54" i="16"/>
  <c r="H4" i="6"/>
  <c r="H7" i="6"/>
  <c r="G4" i="6"/>
  <c r="G3" i="6"/>
  <c r="H5" i="6"/>
  <c r="G5" i="6"/>
  <c r="H25" i="7"/>
  <c r="H19" i="9"/>
  <c r="G21" i="10"/>
  <c r="G7" i="11"/>
  <c r="H4" i="12"/>
  <c r="H5" i="13"/>
  <c r="H6" i="14"/>
  <c r="H82" i="16"/>
  <c r="H55" i="17"/>
  <c r="F55" i="17"/>
  <c r="F54" i="17"/>
  <c r="G54" i="17" s="1"/>
  <c r="H17" i="24"/>
  <c r="F14" i="26"/>
  <c r="F13" i="26"/>
  <c r="G13" i="26" s="1"/>
  <c r="H27" i="28"/>
  <c r="G7" i="6"/>
  <c r="L59" i="7"/>
  <c r="F9" i="9"/>
  <c r="G9" i="9" s="1"/>
  <c r="H21" i="10"/>
  <c r="H32" i="10"/>
  <c r="G2" i="11"/>
  <c r="F4" i="12"/>
  <c r="G4" i="12" s="1"/>
  <c r="H16" i="13"/>
  <c r="F16" i="13"/>
  <c r="G16" i="13" s="1"/>
  <c r="H41" i="17"/>
  <c r="F41" i="17"/>
  <c r="F47" i="34"/>
  <c r="G47" i="34" s="1"/>
  <c r="F46" i="34"/>
  <c r="F23" i="35"/>
  <c r="G23" i="35" s="1"/>
  <c r="H24" i="35"/>
  <c r="F24" i="35"/>
  <c r="H23" i="35"/>
  <c r="F10" i="22"/>
  <c r="F7" i="28"/>
  <c r="G7" i="28" s="1"/>
  <c r="H8" i="28"/>
  <c r="F8" i="28"/>
  <c r="G8" i="28" s="1"/>
  <c r="F21" i="23"/>
  <c r="G21" i="23" s="1"/>
  <c r="H22" i="23"/>
  <c r="K21" i="7"/>
  <c r="L21" i="7" s="1"/>
  <c r="F25" i="7"/>
  <c r="G25" i="7" s="1"/>
  <c r="H29" i="7"/>
  <c r="H53" i="7"/>
  <c r="K65" i="7"/>
  <c r="L65" i="7" s="1"/>
  <c r="F5" i="8"/>
  <c r="K9" i="8"/>
  <c r="L9" i="8" s="1"/>
  <c r="K2" i="9"/>
  <c r="L2" i="9" s="1"/>
  <c r="F15" i="9"/>
  <c r="F15" i="15"/>
  <c r="G14" i="16"/>
  <c r="F24" i="16"/>
  <c r="G29" i="16"/>
  <c r="G34" i="16"/>
  <c r="G39" i="16"/>
  <c r="K53" i="16"/>
  <c r="L53" i="16" s="1"/>
  <c r="K85" i="16"/>
  <c r="L85" i="16" s="1"/>
  <c r="F28" i="17"/>
  <c r="G28" i="17" s="1"/>
  <c r="F89" i="18"/>
  <c r="F88" i="18"/>
  <c r="F11" i="19"/>
  <c r="G11" i="19" s="1"/>
  <c r="H11" i="19"/>
  <c r="H28" i="20"/>
  <c r="K2" i="23"/>
  <c r="L2" i="23" s="1"/>
  <c r="F18" i="24"/>
  <c r="G18" i="24" s="1"/>
  <c r="F22" i="26"/>
  <c r="G22" i="26" s="1"/>
  <c r="F23" i="26"/>
  <c r="G23" i="26" s="1"/>
  <c r="G11" i="27"/>
  <c r="H32" i="27"/>
  <c r="F23" i="29"/>
  <c r="H23" i="29"/>
  <c r="F3" i="30"/>
  <c r="H3" i="30"/>
  <c r="F2" i="30"/>
  <c r="G2" i="30" s="1"/>
  <c r="K59" i="31"/>
  <c r="L59" i="31" s="1"/>
  <c r="F34" i="17"/>
  <c r="G34" i="17" s="1"/>
  <c r="H35" i="17"/>
  <c r="F67" i="17"/>
  <c r="G67" i="17" s="1"/>
  <c r="H67" i="17"/>
  <c r="E21" i="4"/>
  <c r="E25" i="4"/>
  <c r="E15" i="4"/>
  <c r="S29" i="4"/>
  <c r="E29" i="4"/>
  <c r="K40" i="60"/>
  <c r="L40" i="60" s="1"/>
  <c r="K20" i="60"/>
  <c r="L20" i="60" s="1"/>
  <c r="K39" i="60"/>
  <c r="L39" i="60" s="1"/>
  <c r="E13" i="4"/>
  <c r="K38" i="60"/>
  <c r="L38" i="60" s="1"/>
  <c r="K28" i="60"/>
  <c r="L28" i="60" s="1"/>
  <c r="K6" i="60"/>
  <c r="L6" i="60" s="1"/>
  <c r="K3" i="60"/>
  <c r="L3" i="60" s="1"/>
  <c r="S2" i="4"/>
  <c r="K32" i="60"/>
  <c r="L32" i="60" s="1"/>
  <c r="K37" i="60"/>
  <c r="L37" i="60" s="1"/>
  <c r="K27" i="60"/>
  <c r="L27" i="60" s="1"/>
  <c r="K22" i="60"/>
  <c r="L22" i="60" s="1"/>
  <c r="K17" i="60"/>
  <c r="L17" i="60" s="1"/>
  <c r="K29" i="60"/>
  <c r="L29" i="60" s="1"/>
  <c r="K2" i="60"/>
  <c r="L2" i="60" s="1"/>
  <c r="K34" i="60"/>
  <c r="L34" i="60" s="1"/>
  <c r="K23" i="60"/>
  <c r="L23" i="60" s="1"/>
  <c r="K7" i="60"/>
  <c r="L7" i="60" s="1"/>
  <c r="K42" i="60"/>
  <c r="L42" i="60" s="1"/>
  <c r="K41" i="60"/>
  <c r="L41" i="60" s="1"/>
  <c r="K26" i="60"/>
  <c r="L26" i="60" s="1"/>
  <c r="K15" i="60"/>
  <c r="L15" i="60" s="1"/>
  <c r="K5" i="60"/>
  <c r="L5" i="60" s="1"/>
  <c r="K10" i="60"/>
  <c r="L10" i="60" s="1"/>
  <c r="K31" i="60"/>
  <c r="L31" i="60" s="1"/>
  <c r="K36" i="60"/>
  <c r="L36" i="60" s="1"/>
  <c r="K18" i="60"/>
  <c r="L18" i="60" s="1"/>
  <c r="K12" i="60"/>
  <c r="L12" i="60" s="1"/>
  <c r="K43" i="60"/>
  <c r="L43" i="60" s="1"/>
  <c r="E2" i="4"/>
  <c r="K9" i="60"/>
  <c r="L9" i="60" s="1"/>
  <c r="K21" i="60"/>
  <c r="L21" i="60" s="1"/>
  <c r="K14" i="60"/>
  <c r="L14" i="60" s="1"/>
  <c r="K33" i="60"/>
  <c r="L33" i="60" s="1"/>
  <c r="K8" i="60"/>
  <c r="L8" i="60" s="1"/>
  <c r="K13" i="31"/>
  <c r="L13" i="31" s="1"/>
  <c r="K16" i="60"/>
  <c r="L16" i="60" s="1"/>
  <c r="K30" i="60"/>
  <c r="L30" i="60" s="1"/>
  <c r="K44" i="31"/>
  <c r="L44" i="31" s="1"/>
  <c r="K35" i="60"/>
  <c r="L35" i="60" s="1"/>
  <c r="K4" i="60"/>
  <c r="L4" i="60" s="1"/>
  <c r="K19" i="60"/>
  <c r="L19" i="60" s="1"/>
  <c r="K11" i="60"/>
  <c r="L11" i="60" s="1"/>
  <c r="K35" i="31"/>
  <c r="L35" i="31" s="1"/>
  <c r="K24" i="60"/>
  <c r="L24" i="60" s="1"/>
  <c r="K63" i="31"/>
  <c r="L63" i="31" s="1"/>
  <c r="K13" i="60"/>
  <c r="L13" i="60" s="1"/>
  <c r="K6" i="30"/>
  <c r="L6" i="30" s="1"/>
  <c r="K45" i="31"/>
  <c r="L45" i="31" s="1"/>
  <c r="K4" i="31"/>
  <c r="L4" i="31" s="1"/>
  <c r="K25" i="60"/>
  <c r="L25" i="60" s="1"/>
  <c r="K58" i="31"/>
  <c r="L58" i="31" s="1"/>
  <c r="K6" i="23"/>
  <c r="L6" i="23" s="1"/>
  <c r="K49" i="31"/>
  <c r="L49" i="31" s="1"/>
  <c r="K40" i="31"/>
  <c r="L40" i="31" s="1"/>
  <c r="K30" i="31"/>
  <c r="L30" i="31" s="1"/>
  <c r="K50" i="31"/>
  <c r="L50" i="31" s="1"/>
  <c r="K6" i="31"/>
  <c r="L6" i="31" s="1"/>
  <c r="K17" i="23"/>
  <c r="L17" i="23" s="1"/>
  <c r="K55" i="31"/>
  <c r="L55" i="31" s="1"/>
  <c r="K22" i="31"/>
  <c r="L22" i="31" s="1"/>
  <c r="K27" i="31"/>
  <c r="L27" i="31" s="1"/>
  <c r="K83" i="16"/>
  <c r="L83" i="16" s="1"/>
  <c r="K21" i="16"/>
  <c r="L21" i="16" s="1"/>
  <c r="K13" i="13"/>
  <c r="L13" i="13" s="1"/>
  <c r="K5" i="9"/>
  <c r="L5" i="9" s="1"/>
  <c r="K70" i="7"/>
  <c r="L70" i="7" s="1"/>
  <c r="K48" i="7"/>
  <c r="L48" i="7" s="1"/>
  <c r="K26" i="7"/>
  <c r="L26" i="7" s="1"/>
  <c r="K4" i="7"/>
  <c r="L4" i="7" s="1"/>
  <c r="K48" i="16"/>
  <c r="L48" i="16" s="1"/>
  <c r="K31" i="16"/>
  <c r="L31" i="16" s="1"/>
  <c r="D2" i="2"/>
  <c r="K9" i="22" s="1"/>
  <c r="L9" i="22" s="1"/>
  <c r="K20" i="31"/>
  <c r="L20" i="31" s="1"/>
  <c r="K42" i="31"/>
  <c r="L42" i="31" s="1"/>
  <c r="K4" i="30"/>
  <c r="L4" i="30" s="1"/>
  <c r="K61" i="16"/>
  <c r="L61" i="16" s="1"/>
  <c r="K13" i="16"/>
  <c r="L13" i="16" s="1"/>
  <c r="K16" i="8"/>
  <c r="L16" i="8" s="1"/>
  <c r="K23" i="7"/>
  <c r="L23" i="7" s="1"/>
  <c r="K3" i="23"/>
  <c r="L3" i="23" s="1"/>
  <c r="K45" i="16"/>
  <c r="L45" i="16" s="1"/>
  <c r="K62" i="31"/>
  <c r="L62" i="31" s="1"/>
  <c r="K32" i="31"/>
  <c r="L32" i="31" s="1"/>
  <c r="K73" i="16"/>
  <c r="L73" i="16" s="1"/>
  <c r="K28" i="16"/>
  <c r="L28" i="16" s="1"/>
  <c r="K81" i="16"/>
  <c r="L81" i="16" s="1"/>
  <c r="K64" i="16"/>
  <c r="L64" i="16" s="1"/>
  <c r="K15" i="16"/>
  <c r="L15" i="16" s="1"/>
  <c r="K52" i="31"/>
  <c r="L52" i="31" s="1"/>
  <c r="K3" i="30"/>
  <c r="L3" i="30" s="1"/>
  <c r="K72" i="16"/>
  <c r="L72" i="16" s="1"/>
  <c r="K11" i="16"/>
  <c r="L11" i="16" s="1"/>
  <c r="K57" i="31"/>
  <c r="L57" i="31" s="1"/>
  <c r="K9" i="7"/>
  <c r="L9" i="7" s="1"/>
  <c r="K13" i="7"/>
  <c r="L13" i="7" s="1"/>
  <c r="K45" i="7"/>
  <c r="L45" i="7" s="1"/>
  <c r="H61" i="7"/>
  <c r="G58" i="7"/>
  <c r="H39" i="7"/>
  <c r="G36" i="7"/>
  <c r="H17" i="7"/>
  <c r="H64" i="7"/>
  <c r="G61" i="7"/>
  <c r="H42" i="7"/>
  <c r="G39" i="7"/>
  <c r="H20" i="7"/>
  <c r="G17" i="7"/>
  <c r="H67" i="7"/>
  <c r="G64" i="7"/>
  <c r="H45" i="7"/>
  <c r="G42" i="7"/>
  <c r="H23" i="7"/>
  <c r="G20" i="7"/>
  <c r="H60" i="7"/>
  <c r="G57" i="7"/>
  <c r="H38" i="7"/>
  <c r="G35" i="7"/>
  <c r="H16" i="7"/>
  <c r="G13" i="7"/>
  <c r="G56" i="7"/>
  <c r="G38" i="7"/>
  <c r="G27" i="7"/>
  <c r="H62" i="7"/>
  <c r="H47" i="7"/>
  <c r="G33" i="7"/>
  <c r="G29" i="7"/>
  <c r="H22" i="7"/>
  <c r="G15" i="7"/>
  <c r="G65" i="7"/>
  <c r="G50" i="7"/>
  <c r="H36" i="7"/>
  <c r="G32" i="7"/>
  <c r="H18" i="7"/>
  <c r="H3" i="7"/>
  <c r="G73" i="7"/>
  <c r="K19" i="9"/>
  <c r="L19" i="9" s="1"/>
  <c r="K4" i="13"/>
  <c r="L4" i="13" s="1"/>
  <c r="K17" i="13"/>
  <c r="L17" i="13" s="1"/>
  <c r="G6" i="15"/>
  <c r="H84" i="16"/>
  <c r="G81" i="16"/>
  <c r="H87" i="16"/>
  <c r="G84" i="16"/>
  <c r="H65" i="16"/>
  <c r="G62" i="16"/>
  <c r="H43" i="16"/>
  <c r="G40" i="16"/>
  <c r="H88" i="16"/>
  <c r="H71" i="16"/>
  <c r="G68" i="16"/>
  <c r="H58" i="16"/>
  <c r="G42" i="16"/>
  <c r="H29" i="16"/>
  <c r="G26" i="16"/>
  <c r="H7" i="16"/>
  <c r="H67" i="16"/>
  <c r="F64" i="16"/>
  <c r="G64" i="16" s="1"/>
  <c r="G54" i="16"/>
  <c r="H41" i="16"/>
  <c r="H25" i="16"/>
  <c r="G22" i="16"/>
  <c r="H3" i="16"/>
  <c r="H80" i="16"/>
  <c r="G73" i="16"/>
  <c r="H52" i="16"/>
  <c r="H42" i="16"/>
  <c r="G25" i="16"/>
  <c r="H18" i="16"/>
  <c r="G5" i="16"/>
  <c r="G80" i="16"/>
  <c r="H66" i="16"/>
  <c r="H59" i="16"/>
  <c r="G52" i="16"/>
  <c r="G18" i="16"/>
  <c r="H8" i="16"/>
  <c r="G87" i="16"/>
  <c r="H76" i="16"/>
  <c r="G66" i="16"/>
  <c r="H45" i="16"/>
  <c r="H38" i="16"/>
  <c r="H28" i="16"/>
  <c r="H11" i="16"/>
  <c r="G8" i="16"/>
  <c r="G83" i="16"/>
  <c r="H69" i="16"/>
  <c r="H62" i="16"/>
  <c r="H55" i="16"/>
  <c r="H48" i="16"/>
  <c r="H31" i="16"/>
  <c r="G21" i="16"/>
  <c r="H14" i="16"/>
  <c r="H79" i="16"/>
  <c r="G72" i="16"/>
  <c r="G58" i="16"/>
  <c r="G51" i="16"/>
  <c r="G24" i="16"/>
  <c r="H17" i="16"/>
  <c r="H75" i="16"/>
  <c r="G71" i="16"/>
  <c r="G67" i="16"/>
  <c r="G63" i="16"/>
  <c r="H54" i="16"/>
  <c r="G46" i="16"/>
  <c r="G38" i="16"/>
  <c r="G30" i="16"/>
  <c r="H10" i="16"/>
  <c r="G79" i="16"/>
  <c r="G75" i="16"/>
  <c r="H22" i="16"/>
  <c r="G10" i="16"/>
  <c r="H83" i="16"/>
  <c r="H13" i="16"/>
  <c r="G6" i="16"/>
  <c r="G2" i="16"/>
  <c r="H86" i="16"/>
  <c r="G82" i="16"/>
  <c r="G61" i="16"/>
  <c r="H16" i="16"/>
  <c r="H12" i="16"/>
  <c r="H5" i="16"/>
  <c r="G77" i="16"/>
  <c r="H73" i="16"/>
  <c r="G44" i="16"/>
  <c r="G32" i="16"/>
  <c r="G28" i="16"/>
  <c r="H4" i="16"/>
  <c r="H81" i="16"/>
  <c r="H64" i="16"/>
  <c r="G60" i="16"/>
  <c r="H51" i="16"/>
  <c r="G47" i="16"/>
  <c r="H15" i="16"/>
  <c r="F75" i="16"/>
  <c r="F40" i="20"/>
  <c r="G40" i="20" s="1"/>
  <c r="F5" i="22"/>
  <c r="F11" i="22"/>
  <c r="K21" i="23"/>
  <c r="L21" i="23" s="1"/>
  <c r="G3" i="25"/>
  <c r="H3" i="25"/>
  <c r="F4" i="25"/>
  <c r="G4" i="25" s="1"/>
  <c r="H18" i="27"/>
  <c r="K51" i="31"/>
  <c r="L51" i="31" s="1"/>
  <c r="F23" i="36"/>
  <c r="G23" i="36" s="1"/>
  <c r="F24" i="36"/>
  <c r="G24" i="36" s="1"/>
  <c r="F35" i="17"/>
  <c r="F78" i="17"/>
  <c r="H78" i="17"/>
  <c r="H15" i="18"/>
  <c r="G5" i="22"/>
  <c r="K15" i="23"/>
  <c r="L15" i="23" s="1"/>
  <c r="F37" i="26"/>
  <c r="G37" i="26" s="1"/>
  <c r="F38" i="26"/>
  <c r="G38" i="26" s="1"/>
  <c r="F18" i="27"/>
  <c r="F19" i="27"/>
  <c r="K36" i="31"/>
  <c r="L36" i="31" s="1"/>
  <c r="F19" i="34"/>
  <c r="F18" i="34"/>
  <c r="G18" i="34" s="1"/>
  <c r="F14" i="7"/>
  <c r="G14" i="7" s="1"/>
  <c r="F30" i="7"/>
  <c r="G30" i="7" s="1"/>
  <c r="F46" i="7"/>
  <c r="G46" i="7" s="1"/>
  <c r="K11" i="9"/>
  <c r="L11" i="9" s="1"/>
  <c r="H5" i="15"/>
  <c r="G2" i="15"/>
  <c r="G20" i="15"/>
  <c r="H18" i="15"/>
  <c r="G8" i="15"/>
  <c r="G18" i="15"/>
  <c r="H11" i="15"/>
  <c r="G11" i="15"/>
  <c r="G14" i="15"/>
  <c r="H4" i="15"/>
  <c r="G17" i="15"/>
  <c r="H10" i="15"/>
  <c r="G7" i="15"/>
  <c r="G9" i="15"/>
  <c r="H16" i="15"/>
  <c r="H20" i="15"/>
  <c r="G16" i="15"/>
  <c r="G12" i="15"/>
  <c r="H8" i="15"/>
  <c r="K34" i="16"/>
  <c r="L34" i="16" s="1"/>
  <c r="K39" i="16"/>
  <c r="L39" i="16" s="1"/>
  <c r="K54" i="16"/>
  <c r="L54" i="16" s="1"/>
  <c r="F21" i="18"/>
  <c r="G21" i="18" s="1"/>
  <c r="F20" i="18"/>
  <c r="G20" i="18" s="1"/>
  <c r="L18" i="20"/>
  <c r="F45" i="26"/>
  <c r="G45" i="26" s="1"/>
  <c r="H5" i="27"/>
  <c r="H12" i="27"/>
  <c r="F4" i="30"/>
  <c r="G4" i="30" s="1"/>
  <c r="H5" i="30"/>
  <c r="F5" i="30"/>
  <c r="G5" i="30" s="1"/>
  <c r="F13" i="22"/>
  <c r="G13" i="22" s="1"/>
  <c r="F12" i="22"/>
  <c r="G12" i="22" s="1"/>
  <c r="F10" i="29"/>
  <c r="H10" i="29"/>
  <c r="K14" i="7"/>
  <c r="L14" i="7" s="1"/>
  <c r="K10" i="8"/>
  <c r="L10" i="8" s="1"/>
  <c r="K9" i="13"/>
  <c r="L9" i="13" s="1"/>
  <c r="K22" i="13"/>
  <c r="L22" i="13" s="1"/>
  <c r="H21" i="15"/>
  <c r="F6" i="16"/>
  <c r="F30" i="16"/>
  <c r="F35" i="16"/>
  <c r="G35" i="16" s="1"/>
  <c r="F36" i="16"/>
  <c r="G36" i="16" s="1"/>
  <c r="H40" i="16"/>
  <c r="H60" i="16"/>
  <c r="K70" i="16"/>
  <c r="L70" i="16" s="1"/>
  <c r="F85" i="17"/>
  <c r="G85" i="17" s="1"/>
  <c r="H26" i="18"/>
  <c r="H19" i="20"/>
  <c r="F28" i="27"/>
  <c r="F27" i="27"/>
  <c r="H16" i="28"/>
  <c r="H15" i="28"/>
  <c r="F16" i="28"/>
  <c r="G16" i="28" s="1"/>
  <c r="K37" i="31"/>
  <c r="L37" i="31" s="1"/>
  <c r="F4" i="9"/>
  <c r="G4" i="9" s="1"/>
  <c r="F12" i="9"/>
  <c r="G12" i="9" s="1"/>
  <c r="F10" i="11"/>
  <c r="G10" i="11" s="1"/>
  <c r="K5" i="13"/>
  <c r="L5" i="13" s="1"/>
  <c r="K10" i="16"/>
  <c r="L10" i="16" s="1"/>
  <c r="F55" i="16"/>
  <c r="G55" i="16" s="1"/>
  <c r="F30" i="17"/>
  <c r="F47" i="17"/>
  <c r="H77" i="18"/>
  <c r="H7" i="19"/>
  <c r="F41" i="20"/>
  <c r="F48" i="20"/>
  <c r="G48" i="20" s="1"/>
  <c r="F47" i="20"/>
  <c r="F7" i="22"/>
  <c r="G7" i="22" s="1"/>
  <c r="F6" i="22"/>
  <c r="K13" i="24"/>
  <c r="L13" i="24" s="1"/>
  <c r="G6" i="27"/>
  <c r="G42" i="27"/>
  <c r="F11" i="29"/>
  <c r="F26" i="35"/>
  <c r="G26" i="35" s="1"/>
  <c r="H26" i="35"/>
  <c r="K30" i="16"/>
  <c r="L30" i="16" s="1"/>
  <c r="K35" i="16"/>
  <c r="L35" i="16" s="1"/>
  <c r="K49" i="16"/>
  <c r="L49" i="16" s="1"/>
  <c r="K55" i="16"/>
  <c r="L55" i="16" s="1"/>
  <c r="K65" i="16"/>
  <c r="L65" i="16" s="1"/>
  <c r="F64" i="17"/>
  <c r="F63" i="17"/>
  <c r="G63" i="17" s="1"/>
  <c r="F96" i="18"/>
  <c r="G96" i="18" s="1"/>
  <c r="F95" i="18"/>
  <c r="G95" i="18" s="1"/>
  <c r="K6" i="22"/>
  <c r="L6" i="22" s="1"/>
  <c r="K46" i="31"/>
  <c r="L46" i="31" s="1"/>
  <c r="F27" i="29"/>
  <c r="G27" i="29" s="1"/>
  <c r="H26" i="29"/>
  <c r="K6" i="16"/>
  <c r="L6" i="16" s="1"/>
  <c r="K71" i="16"/>
  <c r="L71" i="16" s="1"/>
  <c r="K76" i="16"/>
  <c r="L76" i="16" s="1"/>
  <c r="K87" i="16"/>
  <c r="L87" i="16" s="1"/>
  <c r="F52" i="17"/>
  <c r="G52" i="17" s="1"/>
  <c r="H53" i="17"/>
  <c r="L35" i="20"/>
  <c r="K23" i="23"/>
  <c r="L23" i="23" s="1"/>
  <c r="F22" i="34"/>
  <c r="H21" i="34"/>
  <c r="H66" i="35"/>
  <c r="H65" i="35"/>
  <c r="F65" i="35"/>
  <c r="G65" i="35" s="1"/>
  <c r="F66" i="35"/>
  <c r="K56" i="16"/>
  <c r="L56" i="16" s="1"/>
  <c r="F72" i="16"/>
  <c r="F15" i="17"/>
  <c r="F31" i="17"/>
  <c r="G31" i="17" s="1"/>
  <c r="H48" i="17"/>
  <c r="F81" i="17"/>
  <c r="H81" i="17"/>
  <c r="F12" i="18"/>
  <c r="F2" i="19"/>
  <c r="G2" i="19" s="1"/>
  <c r="L42" i="20"/>
  <c r="F55" i="26"/>
  <c r="G55" i="26" s="1"/>
  <c r="F5" i="28"/>
  <c r="G5" i="28" s="1"/>
  <c r="H5" i="28"/>
  <c r="F4" i="28"/>
  <c r="G4" i="28" s="1"/>
  <c r="H4" i="28"/>
  <c r="H27" i="29"/>
  <c r="K39" i="31"/>
  <c r="L39" i="31" s="1"/>
  <c r="L51" i="7"/>
  <c r="K36" i="16"/>
  <c r="L36" i="16" s="1"/>
  <c r="K50" i="16"/>
  <c r="L50" i="16" s="1"/>
  <c r="K18" i="23"/>
  <c r="L18" i="23" s="1"/>
  <c r="F6" i="6"/>
  <c r="G6" i="6" s="1"/>
  <c r="F40" i="7"/>
  <c r="G40" i="7" s="1"/>
  <c r="F8" i="8"/>
  <c r="G8" i="8" s="1"/>
  <c r="K17" i="9"/>
  <c r="L17" i="9" s="1"/>
  <c r="F7" i="13"/>
  <c r="G7" i="13" s="1"/>
  <c r="H8" i="13"/>
  <c r="K19" i="13"/>
  <c r="L19" i="13" s="1"/>
  <c r="K2" i="16"/>
  <c r="L2" i="16" s="1"/>
  <c r="K41" i="16"/>
  <c r="L41" i="16" s="1"/>
  <c r="K77" i="16"/>
  <c r="L77" i="16" s="1"/>
  <c r="F7" i="18"/>
  <c r="F39" i="18"/>
  <c r="F38" i="18"/>
  <c r="G38" i="18" s="1"/>
  <c r="H85" i="18"/>
  <c r="H8" i="22"/>
  <c r="K12" i="23"/>
  <c r="L12" i="23" s="1"/>
  <c r="F15" i="27"/>
  <c r="F20" i="13"/>
  <c r="G20" i="13" s="1"/>
  <c r="H20" i="13"/>
  <c r="K48" i="31"/>
  <c r="L48" i="31" s="1"/>
  <c r="F14" i="34"/>
  <c r="G14" i="34" s="1"/>
  <c r="F15" i="34"/>
  <c r="K7" i="16"/>
  <c r="L7" i="16" s="1"/>
  <c r="K22" i="16"/>
  <c r="L22" i="16" s="1"/>
  <c r="K46" i="16"/>
  <c r="L46" i="16" s="1"/>
  <c r="K67" i="16"/>
  <c r="L67" i="16" s="1"/>
  <c r="H4" i="22"/>
  <c r="F15" i="22"/>
  <c r="G2" i="22"/>
  <c r="H5" i="22"/>
  <c r="G16" i="22"/>
  <c r="H9" i="22"/>
  <c r="G6" i="22"/>
  <c r="G11" i="22"/>
  <c r="G14" i="22"/>
  <c r="G4" i="22"/>
  <c r="H10" i="22"/>
  <c r="H16" i="22"/>
  <c r="H12" i="22"/>
  <c r="G15" i="22"/>
  <c r="G3" i="22"/>
  <c r="H7" i="22"/>
  <c r="H14" i="22"/>
  <c r="G10" i="22"/>
  <c r="H2" i="22"/>
  <c r="H6" i="22"/>
  <c r="H13" i="22"/>
  <c r="H3" i="22"/>
  <c r="G8" i="22"/>
  <c r="H11" i="22"/>
  <c r="G45" i="27"/>
  <c r="H26" i="27"/>
  <c r="G23" i="27"/>
  <c r="H4" i="27"/>
  <c r="H35" i="27"/>
  <c r="G46" i="27"/>
  <c r="G36" i="27"/>
  <c r="G13" i="27"/>
  <c r="G38" i="27"/>
  <c r="G25" i="27"/>
  <c r="H15" i="27"/>
  <c r="G44" i="27"/>
  <c r="H21" i="27"/>
  <c r="H8" i="27"/>
  <c r="G5" i="27"/>
  <c r="H27" i="27"/>
  <c r="G20" i="27"/>
  <c r="H9" i="27"/>
  <c r="G2" i="27"/>
  <c r="H40" i="27"/>
  <c r="G26" i="27"/>
  <c r="G40" i="27"/>
  <c r="G15" i="27"/>
  <c r="G4" i="27"/>
  <c r="H46" i="27"/>
  <c r="F38" i="27"/>
  <c r="H22" i="27"/>
  <c r="G18" i="27"/>
  <c r="H14" i="27"/>
  <c r="H36" i="27"/>
  <c r="H44" i="27"/>
  <c r="G28" i="27"/>
  <c r="G24" i="27"/>
  <c r="H20" i="27"/>
  <c r="G16" i="27"/>
  <c r="G12" i="27"/>
  <c r="H31" i="27"/>
  <c r="G8" i="27"/>
  <c r="H47" i="27"/>
  <c r="H39" i="27"/>
  <c r="H41" i="27"/>
  <c r="G27" i="27"/>
  <c r="G41" i="27"/>
  <c r="H13" i="27"/>
  <c r="G9" i="27"/>
  <c r="G17" i="27"/>
  <c r="H3" i="27"/>
  <c r="H45" i="27"/>
  <c r="G21" i="27"/>
  <c r="G7" i="27"/>
  <c r="H34" i="27"/>
  <c r="H16" i="27"/>
  <c r="G39" i="27"/>
  <c r="H25" i="27"/>
  <c r="H11" i="27"/>
  <c r="H2" i="27"/>
  <c r="H43" i="27"/>
  <c r="G29" i="27"/>
  <c r="H6" i="27"/>
  <c r="H38" i="27"/>
  <c r="H19" i="27"/>
  <c r="H23" i="27"/>
  <c r="H33" i="27"/>
  <c r="G32" i="27"/>
  <c r="H37" i="27"/>
  <c r="G37" i="27"/>
  <c r="G19" i="27"/>
  <c r="F37" i="27"/>
  <c r="H42" i="27"/>
  <c r="H29" i="27"/>
  <c r="H17" i="27"/>
  <c r="K6" i="6"/>
  <c r="L6" i="6" s="1"/>
  <c r="H12" i="7"/>
  <c r="H24" i="7"/>
  <c r="K40" i="7"/>
  <c r="L40" i="7" s="1"/>
  <c r="G48" i="7"/>
  <c r="H52" i="7"/>
  <c r="H56" i="7"/>
  <c r="G60" i="7"/>
  <c r="G68" i="7"/>
  <c r="K71" i="7"/>
  <c r="L71" i="7" s="1"/>
  <c r="K13" i="9"/>
  <c r="L13" i="9" s="1"/>
  <c r="F18" i="10"/>
  <c r="G18" i="10" s="1"/>
  <c r="F19" i="10"/>
  <c r="G19" i="10" s="1"/>
  <c r="H9" i="15"/>
  <c r="K12" i="16"/>
  <c r="L12" i="16" s="1"/>
  <c r="K17" i="16"/>
  <c r="L17" i="16" s="1"/>
  <c r="K32" i="16"/>
  <c r="L32" i="16" s="1"/>
  <c r="H37" i="16"/>
  <c r="F78" i="16"/>
  <c r="G78" i="16" s="1"/>
  <c r="F89" i="16"/>
  <c r="G89" i="16" s="1"/>
  <c r="F33" i="17"/>
  <c r="H32" i="17"/>
  <c r="H39" i="17"/>
  <c r="F39" i="17"/>
  <c r="G39" i="17" s="1"/>
  <c r="K15" i="22"/>
  <c r="L15" i="22" s="1"/>
  <c r="G2" i="25"/>
  <c r="G30" i="27"/>
  <c r="F34" i="31"/>
  <c r="G34" i="31" s="1"/>
  <c r="F33" i="31"/>
  <c r="G33" i="31" s="1"/>
  <c r="K3" i="22"/>
  <c r="L3" i="22" s="1"/>
  <c r="H18" i="28"/>
  <c r="H17" i="28"/>
  <c r="H24" i="29"/>
  <c r="K43" i="31"/>
  <c r="L43" i="31" s="1"/>
  <c r="G15" i="9"/>
  <c r="G18" i="9"/>
  <c r="G21" i="9"/>
  <c r="H2" i="9"/>
  <c r="H17" i="9"/>
  <c r="G14" i="9"/>
  <c r="F85" i="16"/>
  <c r="G85" i="16" s="1"/>
  <c r="F19" i="17"/>
  <c r="G19" i="17" s="1"/>
  <c r="F15" i="18"/>
  <c r="G37" i="18"/>
  <c r="H41" i="18"/>
  <c r="G50" i="18"/>
  <c r="G81" i="18"/>
  <c r="H86" i="18"/>
  <c r="G91" i="18"/>
  <c r="F5" i="24"/>
  <c r="G5" i="24" s="1"/>
  <c r="F56" i="26"/>
  <c r="G56" i="26" s="1"/>
  <c r="H4" i="29"/>
  <c r="F24" i="31"/>
  <c r="G24" i="31" s="1"/>
  <c r="F25" i="31"/>
  <c r="G25" i="31" s="1"/>
  <c r="K38" i="31"/>
  <c r="L38" i="31" s="1"/>
  <c r="F21" i="36"/>
  <c r="F22" i="36"/>
  <c r="G22" i="36" s="1"/>
  <c r="H21" i="36"/>
  <c r="K5" i="24"/>
  <c r="L5" i="24" s="1"/>
  <c r="F20" i="26"/>
  <c r="G20" i="26" s="1"/>
  <c r="F42" i="27"/>
  <c r="F43" i="27"/>
  <c r="G43" i="27" s="1"/>
  <c r="K10" i="31"/>
  <c r="L10" i="31" s="1"/>
  <c r="K18" i="31"/>
  <c r="L18" i="31" s="1"/>
  <c r="K24" i="31"/>
  <c r="L24" i="31" s="1"/>
  <c r="K60" i="31"/>
  <c r="L60" i="31" s="1"/>
  <c r="F10" i="32"/>
  <c r="H11" i="32"/>
  <c r="F11" i="34"/>
  <c r="G11" i="34" s="1"/>
  <c r="F12" i="34"/>
  <c r="F10" i="7"/>
  <c r="G10" i="7" s="1"/>
  <c r="F11" i="8"/>
  <c r="G11" i="8" s="1"/>
  <c r="G3" i="9"/>
  <c r="G10" i="9"/>
  <c r="F56" i="16"/>
  <c r="G56" i="16" s="1"/>
  <c r="H19" i="17"/>
  <c r="F73" i="17"/>
  <c r="G73" i="17" s="1"/>
  <c r="H11" i="18"/>
  <c r="G29" i="18"/>
  <c r="G46" i="18"/>
  <c r="G56" i="18"/>
  <c r="H96" i="18"/>
  <c r="H42" i="20"/>
  <c r="H36" i="20"/>
  <c r="G33" i="20"/>
  <c r="H14" i="20"/>
  <c r="G11" i="20"/>
  <c r="H39" i="20"/>
  <c r="G36" i="20"/>
  <c r="H17" i="20"/>
  <c r="G14" i="20"/>
  <c r="H38" i="20"/>
  <c r="H21" i="20"/>
  <c r="G18" i="20"/>
  <c r="H4" i="20"/>
  <c r="G47" i="20"/>
  <c r="H40" i="20"/>
  <c r="G30" i="20"/>
  <c r="G23" i="20"/>
  <c r="H13" i="20"/>
  <c r="H43" i="20"/>
  <c r="H16" i="20"/>
  <c r="G43" i="20"/>
  <c r="H29" i="20"/>
  <c r="G16" i="20"/>
  <c r="H9" i="20"/>
  <c r="H46" i="20"/>
  <c r="H22" i="20"/>
  <c r="G19" i="20"/>
  <c r="G2" i="20"/>
  <c r="F24" i="20"/>
  <c r="G24" i="20" s="1"/>
  <c r="G20" i="20"/>
  <c r="G35" i="20"/>
  <c r="H31" i="20"/>
  <c r="H27" i="20"/>
  <c r="G7" i="20"/>
  <c r="H3" i="20"/>
  <c r="G42" i="20"/>
  <c r="G38" i="20"/>
  <c r="H34" i="20"/>
  <c r="H26" i="20"/>
  <c r="G34" i="20"/>
  <c r="G26" i="20"/>
  <c r="G22" i="20"/>
  <c r="H10" i="20"/>
  <c r="H6" i="20"/>
  <c r="H2" i="20"/>
  <c r="H18" i="20"/>
  <c r="H45" i="20"/>
  <c r="G41" i="20"/>
  <c r="H37" i="20"/>
  <c r="G25" i="20"/>
  <c r="H5" i="20"/>
  <c r="F29" i="20"/>
  <c r="G29" i="20" s="1"/>
  <c r="G39" i="20"/>
  <c r="F45" i="20"/>
  <c r="G45" i="20" s="1"/>
  <c r="F44" i="20"/>
  <c r="G44" i="20" s="1"/>
  <c r="H11" i="23"/>
  <c r="H16" i="23"/>
  <c r="G13" i="23"/>
  <c r="H3" i="23"/>
  <c r="H19" i="23"/>
  <c r="G16" i="23"/>
  <c r="G3" i="23"/>
  <c r="G15" i="23"/>
  <c r="H17" i="23"/>
  <c r="H10" i="23"/>
  <c r="G20" i="23"/>
  <c r="H6" i="23"/>
  <c r="H13" i="23"/>
  <c r="G6" i="23"/>
  <c r="G23" i="23"/>
  <c r="G9" i="23"/>
  <c r="H2" i="23"/>
  <c r="G22" i="23"/>
  <c r="G18" i="23"/>
  <c r="G14" i="23"/>
  <c r="F17" i="23"/>
  <c r="G17" i="23" s="1"/>
  <c r="G4" i="23"/>
  <c r="H12" i="23"/>
  <c r="H8" i="23"/>
  <c r="G12" i="23"/>
  <c r="H20" i="23"/>
  <c r="G11" i="23"/>
  <c r="G7" i="23"/>
  <c r="F22" i="23"/>
  <c r="F12" i="29"/>
  <c r="F4" i="16"/>
  <c r="G4" i="16" s="1"/>
  <c r="K47" i="16"/>
  <c r="L47" i="16" s="1"/>
  <c r="K60" i="16"/>
  <c r="L60" i="16" s="1"/>
  <c r="H7" i="18"/>
  <c r="G33" i="18"/>
  <c r="F13" i="21"/>
  <c r="G13" i="21" s="1"/>
  <c r="K22" i="23"/>
  <c r="L22" i="23" s="1"/>
  <c r="F21" i="26"/>
  <c r="G21" i="26" s="1"/>
  <c r="F5" i="29"/>
  <c r="G5" i="29" s="1"/>
  <c r="K11" i="31"/>
  <c r="L11" i="31" s="1"/>
  <c r="K31" i="31"/>
  <c r="L31" i="31" s="1"/>
  <c r="F53" i="31"/>
  <c r="G53" i="31" s="1"/>
  <c r="K61" i="31"/>
  <c r="L61" i="31" s="1"/>
  <c r="H16" i="36"/>
  <c r="F15" i="36"/>
  <c r="F11" i="7"/>
  <c r="G11" i="7" s="1"/>
  <c r="K25" i="7"/>
  <c r="L25" i="7" s="1"/>
  <c r="F54" i="7"/>
  <c r="G54" i="7" s="1"/>
  <c r="G7" i="9"/>
  <c r="F20" i="10"/>
  <c r="G20" i="10" s="1"/>
  <c r="K6" i="13"/>
  <c r="L6" i="13" s="1"/>
  <c r="K20" i="16"/>
  <c r="L20" i="16" s="1"/>
  <c r="F57" i="16"/>
  <c r="G57" i="16" s="1"/>
  <c r="K69" i="16"/>
  <c r="L69" i="16" s="1"/>
  <c r="H12" i="18"/>
  <c r="H42" i="18"/>
  <c r="F61" i="18"/>
  <c r="G61" i="18" s="1"/>
  <c r="H92" i="18"/>
  <c r="H15" i="20"/>
  <c r="F25" i="20"/>
  <c r="H35" i="20"/>
  <c r="F12" i="24"/>
  <c r="G12" i="24" s="1"/>
  <c r="K5" i="31"/>
  <c r="L5" i="31" s="1"/>
  <c r="K54" i="31"/>
  <c r="L54" i="31" s="1"/>
  <c r="F5" i="32"/>
  <c r="G5" i="32" s="1"/>
  <c r="H6" i="32"/>
  <c r="K34" i="31"/>
  <c r="L34" i="31" s="1"/>
  <c r="F56" i="31"/>
  <c r="G56" i="31" s="1"/>
  <c r="K41" i="31"/>
  <c r="L41" i="31" s="1"/>
  <c r="K74" i="16"/>
  <c r="L74" i="16" s="1"/>
  <c r="F62" i="17"/>
  <c r="F4" i="18"/>
  <c r="G4" i="18" s="1"/>
  <c r="F5" i="18"/>
  <c r="G22" i="18"/>
  <c r="H48" i="18"/>
  <c r="H53" i="18"/>
  <c r="G73" i="18"/>
  <c r="F78" i="18"/>
  <c r="G78" i="18" s="1"/>
  <c r="F15" i="29"/>
  <c r="H15" i="34"/>
  <c r="F11" i="35"/>
  <c r="H11" i="35"/>
  <c r="K14" i="31"/>
  <c r="L14" i="31" s="1"/>
  <c r="K19" i="23"/>
  <c r="L19" i="23" s="1"/>
  <c r="K28" i="31"/>
  <c r="L28" i="31" s="1"/>
  <c r="F24" i="34"/>
  <c r="G24" i="34" s="1"/>
  <c r="H25" i="34"/>
  <c r="F25" i="34"/>
  <c r="F42" i="16"/>
  <c r="F58" i="18"/>
  <c r="G58" i="18" s="1"/>
  <c r="H87" i="18"/>
  <c r="G84" i="18"/>
  <c r="H65" i="18"/>
  <c r="G62" i="18"/>
  <c r="H43" i="18"/>
  <c r="G40" i="18"/>
  <c r="H21" i="18"/>
  <c r="H90" i="18"/>
  <c r="G87" i="18"/>
  <c r="H68" i="18"/>
  <c r="G65" i="18"/>
  <c r="H46" i="18"/>
  <c r="G43" i="18"/>
  <c r="H24" i="18"/>
  <c r="H2" i="18"/>
  <c r="H101" i="18"/>
  <c r="G88" i="18"/>
  <c r="H81" i="18"/>
  <c r="H74" i="18"/>
  <c r="G71" i="18"/>
  <c r="G54" i="18"/>
  <c r="G34" i="18"/>
  <c r="G24" i="18"/>
  <c r="H17" i="18"/>
  <c r="G7" i="18"/>
  <c r="H93" i="18"/>
  <c r="G83" i="18"/>
  <c r="H76" i="18"/>
  <c r="G63" i="18"/>
  <c r="H56" i="18"/>
  <c r="H29" i="18"/>
  <c r="G26" i="18"/>
  <c r="G9" i="18"/>
  <c r="H99" i="18"/>
  <c r="G86" i="18"/>
  <c r="H79" i="18"/>
  <c r="H59" i="18"/>
  <c r="H52" i="18"/>
  <c r="G49" i="18"/>
  <c r="G32" i="18"/>
  <c r="G12" i="18"/>
  <c r="G2" i="18"/>
  <c r="H106" i="18"/>
  <c r="G79" i="18"/>
  <c r="H69" i="18"/>
  <c r="H102" i="18"/>
  <c r="G89" i="18"/>
  <c r="H82" i="18"/>
  <c r="G72" i="18"/>
  <c r="H62" i="18"/>
  <c r="G55" i="18"/>
  <c r="G35" i="18"/>
  <c r="H25" i="18"/>
  <c r="G15" i="18"/>
  <c r="G8" i="18"/>
  <c r="G104" i="18"/>
  <c r="H100" i="18"/>
  <c r="G92" i="18"/>
  <c r="G80" i="18"/>
  <c r="G68" i="18"/>
  <c r="G64" i="18"/>
  <c r="F99" i="18"/>
  <c r="G99" i="18" s="1"/>
  <c r="G75" i="18"/>
  <c r="H44" i="18"/>
  <c r="H6" i="18"/>
  <c r="H71" i="18"/>
  <c r="H67" i="18"/>
  <c r="H55" i="18"/>
  <c r="H51" i="18"/>
  <c r="G44" i="18"/>
  <c r="H40" i="18"/>
  <c r="G25" i="18"/>
  <c r="G6" i="18"/>
  <c r="H107" i="18"/>
  <c r="H103" i="18"/>
  <c r="H91" i="18"/>
  <c r="H83" i="18"/>
  <c r="G67" i="18"/>
  <c r="H63" i="18"/>
  <c r="G51" i="18"/>
  <c r="H36" i="18"/>
  <c r="G17" i="18"/>
  <c r="H13" i="18"/>
  <c r="H98" i="18"/>
  <c r="G47" i="18"/>
  <c r="H28" i="18"/>
  <c r="G98" i="18"/>
  <c r="H78" i="18"/>
  <c r="G74" i="18"/>
  <c r="H58" i="18"/>
  <c r="G94" i="18"/>
  <c r="G82" i="18"/>
  <c r="H70" i="18"/>
  <c r="H54" i="18"/>
  <c r="H50" i="18"/>
  <c r="G39" i="18"/>
  <c r="G5" i="18"/>
  <c r="H9" i="19"/>
  <c r="H8" i="19"/>
  <c r="G5" i="9"/>
  <c r="K8" i="9"/>
  <c r="L8" i="9" s="1"/>
  <c r="H16" i="9"/>
  <c r="K10" i="15"/>
  <c r="L10" i="15" s="1"/>
  <c r="F18" i="16"/>
  <c r="K58" i="16"/>
  <c r="L58" i="16" s="1"/>
  <c r="F17" i="17"/>
  <c r="G17" i="17" s="1"/>
  <c r="H17" i="17"/>
  <c r="F53" i="17"/>
  <c r="G53" i="17" s="1"/>
  <c r="F18" i="18"/>
  <c r="G18" i="18" s="1"/>
  <c r="F19" i="18"/>
  <c r="G19" i="18" s="1"/>
  <c r="G27" i="18"/>
  <c r="H31" i="18"/>
  <c r="G69" i="18"/>
  <c r="H12" i="20"/>
  <c r="G32" i="20"/>
  <c r="G37" i="20"/>
  <c r="H47" i="20"/>
  <c r="K4" i="23"/>
  <c r="L4" i="23" s="1"/>
  <c r="K19" i="24"/>
  <c r="L19" i="24" s="1"/>
  <c r="F17" i="28"/>
  <c r="G17" i="28" s="1"/>
  <c r="K64" i="31"/>
  <c r="L64" i="31" s="1"/>
  <c r="H12" i="35"/>
  <c r="F37" i="16"/>
  <c r="G37" i="16" s="1"/>
  <c r="G5" i="17"/>
  <c r="G9" i="17"/>
  <c r="H24" i="17"/>
  <c r="G32" i="17"/>
  <c r="G74" i="17"/>
  <c r="G78" i="17"/>
  <c r="G82" i="17"/>
  <c r="G86" i="17"/>
  <c r="F16" i="18"/>
  <c r="G16" i="18" s="1"/>
  <c r="F66" i="18"/>
  <c r="G66" i="18" s="1"/>
  <c r="F9" i="20"/>
  <c r="G9" i="20" s="1"/>
  <c r="F23" i="24"/>
  <c r="G23" i="24" s="1"/>
  <c r="F24" i="27"/>
  <c r="F2" i="29"/>
  <c r="F4" i="31"/>
  <c r="G4" i="31" s="1"/>
  <c r="F5" i="31"/>
  <c r="G5" i="31" s="1"/>
  <c r="K25" i="31"/>
  <c r="L25" i="31" s="1"/>
  <c r="F42" i="31"/>
  <c r="G42" i="31" s="1"/>
  <c r="F43" i="31"/>
  <c r="G43" i="31" s="1"/>
  <c r="F50" i="35"/>
  <c r="G50" i="35" s="1"/>
  <c r="F49" i="35"/>
  <c r="G49" i="35" s="1"/>
  <c r="H49" i="35"/>
  <c r="H61" i="35"/>
  <c r="F12" i="35"/>
  <c r="G12" i="35" s="1"/>
  <c r="H37" i="36"/>
  <c r="H39" i="36"/>
  <c r="H38" i="36"/>
  <c r="H32" i="36"/>
  <c r="F36" i="36"/>
  <c r="G36" i="36" s="1"/>
  <c r="H34" i="36"/>
  <c r="F37" i="36"/>
  <c r="H36" i="36"/>
  <c r="K11" i="23"/>
  <c r="L11" i="23" s="1"/>
  <c r="F33" i="27"/>
  <c r="G33" i="27" s="1"/>
  <c r="K53" i="31"/>
  <c r="L53" i="31" s="1"/>
  <c r="F19" i="35"/>
  <c r="G19" i="35" s="1"/>
  <c r="F20" i="35"/>
  <c r="G20" i="35" s="1"/>
  <c r="F31" i="35"/>
  <c r="G31" i="35" s="1"/>
  <c r="H32" i="35"/>
  <c r="K51" i="16"/>
  <c r="L51" i="16" s="1"/>
  <c r="F59" i="17"/>
  <c r="L5" i="20"/>
  <c r="K5" i="30"/>
  <c r="L5" i="30" s="1"/>
  <c r="K15" i="31"/>
  <c r="L15" i="31" s="1"/>
  <c r="H7" i="32"/>
  <c r="F6" i="32"/>
  <c r="G6" i="32" s="1"/>
  <c r="F3" i="33"/>
  <c r="G3" i="33" s="1"/>
  <c r="F4" i="33"/>
  <c r="G4" i="33" s="1"/>
  <c r="H13" i="35"/>
  <c r="F21" i="15"/>
  <c r="G21" i="15" s="1"/>
  <c r="H11" i="28"/>
  <c r="H12" i="28"/>
  <c r="K14" i="15"/>
  <c r="L14" i="15" s="1"/>
  <c r="H6" i="17"/>
  <c r="H10" i="17"/>
  <c r="H25" i="17"/>
  <c r="H33" i="17"/>
  <c r="F37" i="17"/>
  <c r="G37" i="17" s="1"/>
  <c r="G41" i="17"/>
  <c r="G56" i="17"/>
  <c r="H64" i="17"/>
  <c r="H71" i="17"/>
  <c r="H75" i="17"/>
  <c r="G79" i="17"/>
  <c r="F36" i="18"/>
  <c r="G36" i="18" s="1"/>
  <c r="K16" i="23"/>
  <c r="L16" i="23" s="1"/>
  <c r="G8" i="24"/>
  <c r="F16" i="26"/>
  <c r="G16" i="26" s="1"/>
  <c r="H25" i="28"/>
  <c r="F25" i="28"/>
  <c r="G25" i="28" s="1"/>
  <c r="F9" i="29"/>
  <c r="G9" i="29" s="1"/>
  <c r="K21" i="31"/>
  <c r="L21" i="31" s="1"/>
  <c r="F51" i="35"/>
  <c r="G51" i="35" s="1"/>
  <c r="H52" i="35"/>
  <c r="F52" i="35"/>
  <c r="G52" i="35" s="1"/>
  <c r="H57" i="35"/>
  <c r="H31" i="36"/>
  <c r="F59" i="16"/>
  <c r="G59" i="16" s="1"/>
  <c r="H84" i="17"/>
  <c r="G81" i="17"/>
  <c r="H62" i="17"/>
  <c r="G59" i="17"/>
  <c r="H40" i="17"/>
  <c r="H18" i="17"/>
  <c r="G15" i="17"/>
  <c r="G84" i="17"/>
  <c r="H65" i="17"/>
  <c r="G62" i="17"/>
  <c r="H43" i="17"/>
  <c r="G40" i="17"/>
  <c r="H21" i="17"/>
  <c r="G18" i="17"/>
  <c r="H82" i="17"/>
  <c r="G55" i="17"/>
  <c r="H45" i="17"/>
  <c r="G35" i="17"/>
  <c r="H28" i="17"/>
  <c r="H77" i="17"/>
  <c r="G64" i="17"/>
  <c r="H57" i="17"/>
  <c r="G47" i="17"/>
  <c r="H37" i="17"/>
  <c r="G30" i="17"/>
  <c r="G10" i="17"/>
  <c r="H80" i="17"/>
  <c r="G70" i="17"/>
  <c r="H60" i="17"/>
  <c r="G33" i="17"/>
  <c r="H23" i="17"/>
  <c r="H83" i="17"/>
  <c r="H63" i="17"/>
  <c r="H46" i="17"/>
  <c r="G36" i="17"/>
  <c r="H29" i="17"/>
  <c r="G16" i="17"/>
  <c r="H9" i="17"/>
  <c r="H79" i="17"/>
  <c r="F59" i="18"/>
  <c r="G59" i="18" s="1"/>
  <c r="F8" i="23"/>
  <c r="G8" i="23" s="1"/>
  <c r="F7" i="24"/>
  <c r="G7" i="24" s="1"/>
  <c r="F34" i="27"/>
  <c r="G34" i="27" s="1"/>
  <c r="F12" i="28"/>
  <c r="G12" i="28" s="1"/>
  <c r="H9" i="29"/>
  <c r="F24" i="29"/>
  <c r="F60" i="31"/>
  <c r="G60" i="31" s="1"/>
  <c r="K17" i="31"/>
  <c r="L17" i="31" s="1"/>
  <c r="H43" i="34"/>
  <c r="F40" i="35"/>
  <c r="G40" i="35" s="1"/>
  <c r="H39" i="35"/>
  <c r="F39" i="35"/>
  <c r="G39" i="35" s="1"/>
  <c r="F58" i="35"/>
  <c r="G58" i="35" s="1"/>
  <c r="H59" i="35"/>
  <c r="L7" i="20"/>
  <c r="F5" i="21"/>
  <c r="G5" i="21" s="1"/>
  <c r="F5" i="23"/>
  <c r="G5" i="23" s="1"/>
  <c r="K7" i="31"/>
  <c r="L7" i="31" s="1"/>
  <c r="K56" i="31"/>
  <c r="L56" i="31" s="1"/>
  <c r="F59" i="35"/>
  <c r="G59" i="35" s="1"/>
  <c r="F8" i="36"/>
  <c r="H8" i="36"/>
  <c r="K23" i="31"/>
  <c r="L23" i="31" s="1"/>
  <c r="K29" i="31"/>
  <c r="L29" i="31" s="1"/>
  <c r="H9" i="32"/>
  <c r="F9" i="32"/>
  <c r="G9" i="32" s="1"/>
  <c r="F41" i="35"/>
  <c r="H42" i="35"/>
  <c r="G5" i="13"/>
  <c r="F56" i="17"/>
  <c r="H3" i="19"/>
  <c r="K13" i="22"/>
  <c r="L13" i="22" s="1"/>
  <c r="G11" i="29"/>
  <c r="F7" i="31"/>
  <c r="G7" i="31" s="1"/>
  <c r="K16" i="31"/>
  <c r="L16" i="31" s="1"/>
  <c r="H18" i="34"/>
  <c r="H46" i="34"/>
  <c r="F10" i="35"/>
  <c r="G10" i="35" s="1"/>
  <c r="H7" i="29"/>
  <c r="K26" i="31"/>
  <c r="L26" i="31" s="1"/>
  <c r="G30" i="34"/>
  <c r="H41" i="34"/>
  <c r="F106" i="18"/>
  <c r="G106" i="18" s="1"/>
  <c r="K9" i="23"/>
  <c r="L9" i="23" s="1"/>
  <c r="F13" i="23"/>
  <c r="F31" i="27"/>
  <c r="G31" i="27" s="1"/>
  <c r="H3" i="29"/>
  <c r="F16" i="29"/>
  <c r="G20" i="29"/>
  <c r="K12" i="31"/>
  <c r="L12" i="31" s="1"/>
  <c r="F31" i="31"/>
  <c r="G31" i="31" s="1"/>
  <c r="H4" i="32"/>
  <c r="F4" i="32"/>
  <c r="G4" i="32" s="1"/>
  <c r="H14" i="34"/>
  <c r="H24" i="28"/>
  <c r="H19" i="29"/>
  <c r="G16" i="29"/>
  <c r="H28" i="29"/>
  <c r="G25" i="29"/>
  <c r="H6" i="29"/>
  <c r="G3" i="29"/>
  <c r="H20" i="29"/>
  <c r="G10" i="29"/>
  <c r="G29" i="29"/>
  <c r="G12" i="29"/>
  <c r="G2" i="29"/>
  <c r="H18" i="29"/>
  <c r="H8" i="29"/>
  <c r="H11" i="29"/>
  <c r="G24" i="29"/>
  <c r="H5" i="29"/>
  <c r="G23" i="29"/>
  <c r="H15" i="29"/>
  <c r="G4" i="29"/>
  <c r="G15" i="29"/>
  <c r="K3" i="31"/>
  <c r="L3" i="31" s="1"/>
  <c r="H44" i="34"/>
  <c r="G41" i="34"/>
  <c r="H22" i="34"/>
  <c r="G19" i="34"/>
  <c r="G39" i="34"/>
  <c r="H29" i="34"/>
  <c r="G26" i="34"/>
  <c r="G13" i="34"/>
  <c r="H45" i="34"/>
  <c r="G32" i="34"/>
  <c r="H19" i="34"/>
  <c r="H3" i="34"/>
  <c r="H47" i="34"/>
  <c r="H40" i="34"/>
  <c r="H33" i="34"/>
  <c r="H12" i="34"/>
  <c r="H2" i="34"/>
  <c r="G43" i="34"/>
  <c r="G36" i="34"/>
  <c r="G29" i="34"/>
  <c r="G22" i="34"/>
  <c r="G45" i="34"/>
  <c r="H26" i="34"/>
  <c r="G15" i="34"/>
  <c r="G8" i="34"/>
  <c r="F36" i="34"/>
  <c r="H32" i="34"/>
  <c r="H28" i="34"/>
  <c r="G21" i="34"/>
  <c r="H39" i="34"/>
  <c r="H35" i="34"/>
  <c r="H24" i="34"/>
  <c r="H6" i="34"/>
  <c r="G31" i="34"/>
  <c r="H20" i="34"/>
  <c r="G46" i="34"/>
  <c r="H42" i="34"/>
  <c r="H38" i="34"/>
  <c r="H16" i="34"/>
  <c r="G34" i="34"/>
  <c r="H23" i="34"/>
  <c r="G28" i="34"/>
  <c r="G7" i="34"/>
  <c r="H37" i="34"/>
  <c r="H31" i="34"/>
  <c r="H13" i="34"/>
  <c r="H5" i="34"/>
  <c r="H9" i="34"/>
  <c r="G5" i="34"/>
  <c r="G25" i="34"/>
  <c r="H8" i="34"/>
  <c r="H4" i="34"/>
  <c r="H17" i="35"/>
  <c r="F17" i="35"/>
  <c r="G17" i="35" s="1"/>
  <c r="F103" i="18"/>
  <c r="G103" i="18" s="1"/>
  <c r="K20" i="23"/>
  <c r="L20" i="23" s="1"/>
  <c r="F4" i="26"/>
  <c r="G4" i="26" s="1"/>
  <c r="F52" i="26"/>
  <c r="G52" i="26" s="1"/>
  <c r="G8" i="29"/>
  <c r="H29" i="29"/>
  <c r="G6" i="30"/>
  <c r="H2" i="30"/>
  <c r="G7" i="30"/>
  <c r="G3" i="30"/>
  <c r="H4" i="30"/>
  <c r="K8" i="31"/>
  <c r="L8" i="31" s="1"/>
  <c r="F45" i="31"/>
  <c r="G45" i="31" s="1"/>
  <c r="F14" i="32"/>
  <c r="G14" i="32" s="1"/>
  <c r="G20" i="34"/>
  <c r="G42" i="34"/>
  <c r="F33" i="34"/>
  <c r="G33" i="34" s="1"/>
  <c r="F11" i="20"/>
  <c r="F27" i="26"/>
  <c r="G27" i="26" s="1"/>
  <c r="F28" i="26"/>
  <c r="G28" i="26" s="1"/>
  <c r="F20" i="28"/>
  <c r="G20" i="28" s="1"/>
  <c r="G18" i="29"/>
  <c r="K47" i="31"/>
  <c r="L47" i="31" s="1"/>
  <c r="G12" i="34"/>
  <c r="G17" i="34"/>
  <c r="F54" i="35"/>
  <c r="H4" i="33"/>
  <c r="H5" i="33"/>
  <c r="H3" i="33"/>
  <c r="F35" i="35"/>
  <c r="G35" i="35" s="1"/>
  <c r="F35" i="36"/>
  <c r="F19" i="29"/>
  <c r="G19" i="29" s="1"/>
  <c r="F3" i="35"/>
  <c r="G3" i="35" s="1"/>
  <c r="H3" i="35"/>
  <c r="H5" i="36"/>
  <c r="H13" i="36"/>
  <c r="F54" i="31"/>
  <c r="G54" i="31" s="1"/>
  <c r="F11" i="32"/>
  <c r="G11" i="32" s="1"/>
  <c r="H16" i="32"/>
  <c r="F15" i="32"/>
  <c r="G15" i="32" s="1"/>
  <c r="F8" i="35"/>
  <c r="G8" i="35" s="1"/>
  <c r="F18" i="31"/>
  <c r="G18" i="31" s="1"/>
  <c r="F22" i="31"/>
  <c r="G22" i="31" s="1"/>
  <c r="F57" i="35"/>
  <c r="G57" i="35" s="1"/>
  <c r="O27" i="4"/>
  <c r="F62" i="35"/>
  <c r="G62" i="35" s="1"/>
  <c r="G6" i="35"/>
  <c r="H10" i="35"/>
  <c r="H21" i="35"/>
  <c r="G32" i="35"/>
  <c r="H43" i="35"/>
  <c r="F70" i="35"/>
  <c r="G70" i="35" s="1"/>
  <c r="G5" i="36"/>
  <c r="F9" i="34"/>
  <c r="G9" i="34" s="1"/>
  <c r="H63" i="35"/>
  <c r="G60" i="35"/>
  <c r="H41" i="35"/>
  <c r="G38" i="35"/>
  <c r="H19" i="35"/>
  <c r="G16" i="35"/>
  <c r="H47" i="35"/>
  <c r="G44" i="35"/>
  <c r="H34" i="35"/>
  <c r="G18" i="35"/>
  <c r="H8" i="35"/>
  <c r="G63" i="35"/>
  <c r="H53" i="35"/>
  <c r="G37" i="35"/>
  <c r="H27" i="35"/>
  <c r="G24" i="35"/>
  <c r="G11" i="35"/>
  <c r="H69" i="35"/>
  <c r="G66" i="35"/>
  <c r="H45" i="35"/>
  <c r="H31" i="35"/>
  <c r="G21" i="35"/>
  <c r="G55" i="35"/>
  <c r="G48" i="35"/>
  <c r="G41" i="35"/>
  <c r="G34" i="35"/>
  <c r="H6" i="35"/>
  <c r="G61" i="35"/>
  <c r="H54" i="35"/>
  <c r="G47" i="35"/>
  <c r="G67" i="35"/>
  <c r="G38" i="36"/>
  <c r="H19" i="36"/>
  <c r="H22" i="36"/>
  <c r="G19" i="36"/>
  <c r="G34" i="36"/>
  <c r="H24" i="36"/>
  <c r="G14" i="36"/>
  <c r="H7" i="36"/>
  <c r="G37" i="36"/>
  <c r="H30" i="36"/>
  <c r="G17" i="36"/>
  <c r="H10" i="36"/>
  <c r="F30" i="36"/>
  <c r="G30" i="36" s="1"/>
  <c r="H20" i="36"/>
  <c r="H3" i="36"/>
  <c r="G26" i="36"/>
  <c r="G15" i="36"/>
  <c r="G29" i="36"/>
  <c r="H18" i="36"/>
  <c r="G3" i="36"/>
  <c r="G32" i="36"/>
  <c r="G28" i="36"/>
  <c r="G21" i="36"/>
  <c r="H9" i="36"/>
  <c r="H2" i="36"/>
  <c r="Q11" i="4"/>
  <c r="F18" i="28"/>
  <c r="G18" i="28" s="1"/>
  <c r="F7" i="30"/>
  <c r="F7" i="32"/>
  <c r="G7" i="32" s="1"/>
  <c r="H7" i="35"/>
  <c r="H29" i="35"/>
  <c r="H40" i="35"/>
  <c r="H44" i="35"/>
  <c r="H48" i="35"/>
  <c r="G10" i="36"/>
  <c r="H14" i="36"/>
  <c r="G18" i="36"/>
  <c r="G35" i="36"/>
  <c r="F10" i="34"/>
  <c r="G10" i="34" s="1"/>
  <c r="G4" i="35"/>
  <c r="H15" i="35"/>
  <c r="G68" i="35"/>
  <c r="G11" i="36"/>
  <c r="H23" i="36"/>
  <c r="H27" i="36"/>
  <c r="F13" i="29"/>
  <c r="G13" i="29" s="1"/>
  <c r="F5" i="35"/>
  <c r="G5" i="35" s="1"/>
  <c r="H9" i="35"/>
  <c r="H20" i="35"/>
  <c r="F27" i="35"/>
  <c r="G27" i="35" s="1"/>
  <c r="H35" i="35"/>
  <c r="H46" i="35"/>
  <c r="H50" i="35"/>
  <c r="G54" i="35"/>
  <c r="G8" i="36"/>
  <c r="H12" i="36"/>
  <c r="F16" i="36"/>
  <c r="G16" i="36" s="1"/>
  <c r="G33" i="36"/>
  <c r="F13" i="35"/>
  <c r="G13" i="35" s="1"/>
  <c r="F10" i="31"/>
  <c r="G10" i="31" s="1"/>
  <c r="H13" i="32"/>
  <c r="G10" i="32"/>
  <c r="G19" i="32"/>
  <c r="F14" i="35"/>
  <c r="G14" i="35" s="1"/>
  <c r="F13" i="36"/>
  <c r="G13" i="36" s="1"/>
  <c r="H2" i="28"/>
  <c r="G21" i="28"/>
  <c r="F16" i="34"/>
  <c r="G16" i="34" s="1"/>
  <c r="Q29" i="4"/>
  <c r="O7" i="4"/>
  <c r="U43" i="4" l="1"/>
  <c r="U28" i="4"/>
  <c r="T43" i="4"/>
  <c r="T34" i="4"/>
  <c r="Q34" i="4"/>
  <c r="K14" i="24"/>
  <c r="L14" i="24" s="1"/>
  <c r="O22" i="4"/>
  <c r="O34" i="4" s="1"/>
  <c r="K4" i="22"/>
  <c r="L4" i="22" s="1"/>
  <c r="Q27" i="4"/>
  <c r="K6" i="24"/>
  <c r="L6" i="24" s="1"/>
  <c r="O11" i="4"/>
  <c r="O36" i="4" s="1"/>
  <c r="K15" i="24"/>
  <c r="L15" i="24" s="1"/>
  <c r="K11" i="22"/>
  <c r="L11" i="22" s="1"/>
  <c r="K2" i="22"/>
  <c r="L2" i="22" s="1"/>
  <c r="Q14" i="4"/>
  <c r="E30" i="4"/>
  <c r="E14" i="4"/>
  <c r="E8" i="4"/>
  <c r="S13" i="4"/>
  <c r="S25" i="4"/>
  <c r="E31" i="4"/>
  <c r="E24" i="4"/>
  <c r="S8" i="4"/>
  <c r="E23" i="4"/>
  <c r="K17" i="24"/>
  <c r="L17" i="24" s="1"/>
  <c r="K10" i="22"/>
  <c r="L10" i="22" s="1"/>
  <c r="K12" i="24"/>
  <c r="L12" i="24" s="1"/>
  <c r="K21" i="15"/>
  <c r="L21" i="15" s="1"/>
  <c r="K28" i="24"/>
  <c r="L28" i="24" s="1"/>
  <c r="K14" i="22"/>
  <c r="L14" i="22" s="1"/>
  <c r="E2" i="2"/>
  <c r="K24" i="24"/>
  <c r="L24" i="24" s="1"/>
  <c r="K2" i="25"/>
  <c r="L2" i="25" s="1"/>
  <c r="S20" i="4"/>
  <c r="K27" i="24"/>
  <c r="L27" i="24" s="1"/>
  <c r="K8" i="15"/>
  <c r="L8" i="15" s="1"/>
  <c r="K10" i="24"/>
  <c r="L10" i="24" s="1"/>
  <c r="K21" i="24"/>
  <c r="L21" i="24" s="1"/>
  <c r="K8" i="22"/>
  <c r="L8" i="22" s="1"/>
  <c r="K3" i="24"/>
  <c r="L3" i="24" s="1"/>
  <c r="K17" i="15"/>
  <c r="L17" i="15" s="1"/>
  <c r="K3" i="15"/>
  <c r="L3" i="15" s="1"/>
  <c r="K12" i="15"/>
  <c r="L12" i="15" s="1"/>
  <c r="K12" i="22"/>
  <c r="L12" i="22" s="1"/>
  <c r="K2" i="15"/>
  <c r="L2" i="15" s="1"/>
  <c r="K5" i="22"/>
  <c r="L5" i="22" s="1"/>
  <c r="K11" i="15"/>
  <c r="L11" i="15" s="1"/>
  <c r="K18" i="24"/>
  <c r="L18" i="24" s="1"/>
  <c r="K7" i="24"/>
  <c r="L7" i="24" s="1"/>
  <c r="K4" i="25"/>
  <c r="L4" i="25" s="1"/>
  <c r="K7" i="22"/>
  <c r="L7" i="22" s="1"/>
  <c r="K16" i="24"/>
  <c r="L16" i="24" s="1"/>
  <c r="K9" i="15"/>
  <c r="L9" i="15" s="1"/>
  <c r="K20" i="15"/>
  <c r="L20" i="15" s="1"/>
  <c r="K13" i="15"/>
  <c r="L13" i="15" s="1"/>
  <c r="K7" i="15"/>
  <c r="L7" i="15" s="1"/>
  <c r="K16" i="22"/>
  <c r="L16" i="22" s="1"/>
  <c r="K18" i="15"/>
  <c r="L18" i="15" s="1"/>
  <c r="K5" i="15"/>
  <c r="L5" i="15" s="1"/>
  <c r="K2" i="24"/>
  <c r="L2" i="24" s="1"/>
  <c r="K8" i="24"/>
  <c r="L8" i="24" s="1"/>
  <c r="K25" i="24"/>
  <c r="L25" i="24" s="1"/>
  <c r="K4" i="15"/>
  <c r="L4" i="15" s="1"/>
  <c r="K26" i="24"/>
  <c r="L26" i="24" s="1"/>
  <c r="K6" i="15"/>
  <c r="L6" i="15" s="1"/>
  <c r="K23" i="24"/>
  <c r="L23" i="24" s="1"/>
  <c r="K15" i="15"/>
  <c r="L15" i="15" s="1"/>
  <c r="K4" i="24"/>
  <c r="L4" i="24" s="1"/>
  <c r="K11" i="24"/>
  <c r="L11" i="24" s="1"/>
  <c r="K20" i="24"/>
  <c r="L20" i="24" s="1"/>
  <c r="K16" i="15"/>
  <c r="L16" i="15" s="1"/>
  <c r="K3" i="25"/>
  <c r="L3" i="25" s="1"/>
  <c r="K19" i="15"/>
  <c r="L19" i="15" s="1"/>
  <c r="Q22" i="4"/>
  <c r="K9" i="24"/>
  <c r="L9" i="24" s="1"/>
  <c r="K22" i="24"/>
  <c r="L22" i="24" s="1"/>
  <c r="S30" i="4" l="1"/>
  <c r="S15" i="4"/>
  <c r="K28" i="28"/>
  <c r="L28" i="28" s="1"/>
  <c r="K23" i="28"/>
  <c r="L23" i="28" s="1"/>
  <c r="K17" i="28"/>
  <c r="L17" i="28" s="1"/>
  <c r="K7" i="28"/>
  <c r="L7" i="28" s="1"/>
  <c r="F2" i="2"/>
  <c r="K2" i="28"/>
  <c r="L2" i="28" s="1"/>
  <c r="K6" i="28"/>
  <c r="L6" i="28" s="1"/>
  <c r="K16" i="28"/>
  <c r="L16" i="28" s="1"/>
  <c r="K10" i="28"/>
  <c r="L10" i="28" s="1"/>
  <c r="K13" i="28"/>
  <c r="L13" i="28" s="1"/>
  <c r="K18" i="28"/>
  <c r="L18" i="28" s="1"/>
  <c r="K3" i="28"/>
  <c r="L3" i="28" s="1"/>
  <c r="K14" i="28"/>
  <c r="L14" i="28" s="1"/>
  <c r="K8" i="28"/>
  <c r="L8" i="28" s="1"/>
  <c r="K19" i="28"/>
  <c r="L19" i="28" s="1"/>
  <c r="K20" i="28"/>
  <c r="L20" i="28" s="1"/>
  <c r="K25" i="28"/>
  <c r="L25" i="28" s="1"/>
  <c r="K4" i="28"/>
  <c r="L4" i="28" s="1"/>
  <c r="K5" i="28"/>
  <c r="L5" i="28" s="1"/>
  <c r="K11" i="28"/>
  <c r="L11" i="28" s="1"/>
  <c r="K15" i="28"/>
  <c r="L15" i="28" s="1"/>
  <c r="K22" i="28"/>
  <c r="L22" i="28" s="1"/>
  <c r="K12" i="28"/>
  <c r="L12" i="28" s="1"/>
  <c r="K21" i="28"/>
  <c r="L21" i="28" s="1"/>
  <c r="K26" i="28"/>
  <c r="L26" i="28" s="1"/>
  <c r="K24" i="28"/>
  <c r="L24" i="28" s="1"/>
  <c r="K27" i="28"/>
  <c r="L27" i="28" s="1"/>
  <c r="K9" i="28"/>
  <c r="L9" i="28" s="1"/>
  <c r="E28" i="4"/>
  <c r="E5" i="4"/>
  <c r="E36" i="4" l="1"/>
  <c r="E34" i="4"/>
  <c r="S21" i="4"/>
  <c r="S24" i="4"/>
  <c r="S31" i="4"/>
  <c r="S23" i="4"/>
  <c r="K19" i="32"/>
  <c r="L19" i="32" s="1"/>
  <c r="K25" i="29"/>
  <c r="L25" i="29" s="1"/>
  <c r="K17" i="36"/>
  <c r="L17" i="36" s="1"/>
  <c r="K2" i="33"/>
  <c r="L2" i="33" s="1"/>
  <c r="K5" i="33"/>
  <c r="L5" i="33" s="1"/>
  <c r="K11" i="29"/>
  <c r="L11" i="29" s="1"/>
  <c r="K25" i="36"/>
  <c r="L25" i="36" s="1"/>
  <c r="K20" i="36"/>
  <c r="L20" i="36" s="1"/>
  <c r="K23" i="36"/>
  <c r="L23" i="36" s="1"/>
  <c r="K3" i="29"/>
  <c r="L3" i="29" s="1"/>
  <c r="K7" i="36"/>
  <c r="L7" i="36" s="1"/>
  <c r="K23" i="29"/>
  <c r="L23" i="29" s="1"/>
  <c r="K19" i="29"/>
  <c r="L19" i="29" s="1"/>
  <c r="K27" i="36"/>
  <c r="L27" i="36" s="1"/>
  <c r="K21" i="36"/>
  <c r="L21" i="36" s="1"/>
  <c r="K3" i="32"/>
  <c r="L3" i="32" s="1"/>
  <c r="K14" i="36"/>
  <c r="L14" i="36" s="1"/>
  <c r="K14" i="29"/>
  <c r="L14" i="29" s="1"/>
  <c r="K4" i="29"/>
  <c r="L4" i="29" s="1"/>
  <c r="K8" i="21"/>
  <c r="L8" i="21" s="1"/>
  <c r="K95" i="18"/>
  <c r="L95" i="18" s="1"/>
  <c r="K38" i="36"/>
  <c r="L38" i="36" s="1"/>
  <c r="K32" i="18"/>
  <c r="L32" i="18" s="1"/>
  <c r="K7" i="10"/>
  <c r="L7" i="10" s="1"/>
  <c r="K3" i="21"/>
  <c r="L3" i="21" s="1"/>
  <c r="K3" i="33"/>
  <c r="L3" i="33" s="1"/>
  <c r="K6" i="32"/>
  <c r="L6" i="32" s="1"/>
  <c r="K58" i="18"/>
  <c r="L58" i="18" s="1"/>
  <c r="K4" i="36"/>
  <c r="L4" i="36" s="1"/>
  <c r="K11" i="32"/>
  <c r="L11" i="32" s="1"/>
  <c r="K66" i="18"/>
  <c r="L66" i="18" s="1"/>
  <c r="K12" i="29"/>
  <c r="L12" i="29" s="1"/>
  <c r="K32" i="36"/>
  <c r="L32" i="36" s="1"/>
  <c r="K89" i="18"/>
  <c r="L89" i="18" s="1"/>
  <c r="K63" i="18"/>
  <c r="L63" i="18" s="1"/>
  <c r="K13" i="18"/>
  <c r="L13" i="18" s="1"/>
  <c r="K7" i="32"/>
  <c r="L7" i="32" s="1"/>
  <c r="K3" i="36"/>
  <c r="L3" i="36" s="1"/>
  <c r="K9" i="21"/>
  <c r="L9" i="21" s="1"/>
  <c r="K17" i="18"/>
  <c r="L17" i="18" s="1"/>
  <c r="K18" i="32"/>
  <c r="L18" i="32" s="1"/>
  <c r="K16" i="36"/>
  <c r="L16" i="36" s="1"/>
  <c r="K13" i="21"/>
  <c r="L13" i="21" s="1"/>
  <c r="K10" i="32"/>
  <c r="L10" i="32" s="1"/>
  <c r="K91" i="18"/>
  <c r="L91" i="18" s="1"/>
  <c r="K86" i="18"/>
  <c r="L86" i="18" s="1"/>
  <c r="K81" i="18"/>
  <c r="L81" i="18" s="1"/>
  <c r="K41" i="18"/>
  <c r="L41" i="18" s="1"/>
  <c r="K5" i="19"/>
  <c r="L5" i="19" s="1"/>
  <c r="K60" i="18"/>
  <c r="L60" i="18" s="1"/>
  <c r="K15" i="18"/>
  <c r="L15" i="18" s="1"/>
  <c r="K34" i="36"/>
  <c r="L34" i="36" s="1"/>
  <c r="K5" i="29"/>
  <c r="L5" i="29" s="1"/>
  <c r="K73" i="18"/>
  <c r="L73" i="18" s="1"/>
  <c r="K38" i="18"/>
  <c r="L38" i="18" s="1"/>
  <c r="K103" i="18"/>
  <c r="L103" i="18" s="1"/>
  <c r="K61" i="18"/>
  <c r="L61" i="18" s="1"/>
  <c r="K12" i="18"/>
  <c r="L12" i="18" s="1"/>
  <c r="K49" i="18"/>
  <c r="L49" i="18" s="1"/>
  <c r="K22" i="18"/>
  <c r="L22" i="18" s="1"/>
  <c r="K67" i="18"/>
  <c r="L67" i="18" s="1"/>
  <c r="K27" i="18"/>
  <c r="L27" i="18" s="1"/>
  <c r="K7" i="14"/>
  <c r="L7" i="14" s="1"/>
  <c r="K2" i="14"/>
  <c r="L2" i="14" s="1"/>
  <c r="K7" i="19"/>
  <c r="L7" i="19" s="1"/>
  <c r="K107" i="18"/>
  <c r="L107" i="18" s="1"/>
  <c r="K37" i="18"/>
  <c r="L37" i="18" s="1"/>
  <c r="K5" i="18"/>
  <c r="L5" i="18" s="1"/>
  <c r="K4" i="10"/>
  <c r="L4" i="10" s="1"/>
  <c r="K83" i="18"/>
  <c r="L83" i="18" s="1"/>
  <c r="K6" i="14"/>
  <c r="L6" i="14" s="1"/>
  <c r="K8" i="36"/>
  <c r="L8" i="36" s="1"/>
  <c r="K28" i="10"/>
  <c r="L28" i="10" s="1"/>
  <c r="K5" i="21"/>
  <c r="L5" i="21" s="1"/>
  <c r="K94" i="18"/>
  <c r="L94" i="18" s="1"/>
  <c r="K36" i="18"/>
  <c r="L36" i="18" s="1"/>
  <c r="K10" i="21"/>
  <c r="L10" i="21" s="1"/>
  <c r="K76" i="18"/>
  <c r="L76" i="18" s="1"/>
  <c r="K11" i="10"/>
  <c r="L11" i="10" s="1"/>
  <c r="K3" i="10"/>
  <c r="L3" i="10" s="1"/>
  <c r="K88" i="18"/>
  <c r="L88" i="18" s="1"/>
  <c r="K64" i="18"/>
  <c r="L64" i="18" s="1"/>
  <c r="K16" i="29"/>
  <c r="L16" i="29" s="1"/>
  <c r="K35" i="18"/>
  <c r="L35" i="18" s="1"/>
  <c r="K19" i="18"/>
  <c r="L19" i="18" s="1"/>
  <c r="K14" i="18"/>
  <c r="L14" i="18" s="1"/>
  <c r="K36" i="10"/>
  <c r="L36" i="10" s="1"/>
  <c r="K4" i="19"/>
  <c r="L4" i="19" s="1"/>
  <c r="K93" i="18"/>
  <c r="L93" i="18" s="1"/>
  <c r="K9" i="14"/>
  <c r="L9" i="14" s="1"/>
  <c r="K22" i="29"/>
  <c r="L22" i="29" s="1"/>
  <c r="K4" i="14"/>
  <c r="L4" i="14" s="1"/>
  <c r="K39" i="18"/>
  <c r="L39" i="18" s="1"/>
  <c r="K37" i="10"/>
  <c r="L37" i="10" s="1"/>
  <c r="K25" i="10"/>
  <c r="L25" i="10" s="1"/>
  <c r="K20" i="10"/>
  <c r="L20" i="10" s="1"/>
  <c r="K9" i="19"/>
  <c r="L9" i="19" s="1"/>
  <c r="K18" i="18"/>
  <c r="L18" i="18" s="1"/>
  <c r="K3" i="14"/>
  <c r="L3" i="14" s="1"/>
  <c r="K18" i="10"/>
  <c r="L18" i="10" s="1"/>
  <c r="K90" i="18"/>
  <c r="L90" i="18" s="1"/>
  <c r="K35" i="10"/>
  <c r="L35" i="10" s="1"/>
  <c r="K23" i="10"/>
  <c r="L23" i="10" s="1"/>
  <c r="K80" i="18"/>
  <c r="L80" i="18" s="1"/>
  <c r="K17" i="10"/>
  <c r="L17" i="10" s="1"/>
  <c r="K72" i="18"/>
  <c r="L72" i="18" s="1"/>
  <c r="G2" i="2"/>
  <c r="K21" i="18"/>
  <c r="L21" i="18" s="1"/>
  <c r="K8" i="14"/>
  <c r="L8" i="14" s="1"/>
  <c r="K16" i="10"/>
  <c r="L16" i="10" s="1"/>
  <c r="K57" i="18"/>
  <c r="L57" i="18" s="1"/>
  <c r="K34" i="18"/>
  <c r="L34" i="18" s="1"/>
  <c r="K14" i="10"/>
  <c r="L14" i="10" s="1"/>
  <c r="K71" i="18"/>
  <c r="L71" i="18" s="1"/>
  <c r="K26" i="10"/>
  <c r="L26" i="10" s="1"/>
  <c r="K15" i="10"/>
  <c r="L15" i="10" s="1"/>
  <c r="K29" i="29"/>
  <c r="L29" i="29" s="1"/>
  <c r="K4" i="12"/>
  <c r="L4" i="12" s="1"/>
  <c r="K9" i="29"/>
  <c r="L9" i="29" s="1"/>
  <c r="K2" i="19"/>
  <c r="L2" i="19" s="1"/>
  <c r="K75" i="18"/>
  <c r="L75" i="18" s="1"/>
  <c r="K9" i="18"/>
  <c r="L9" i="18" s="1"/>
  <c r="K12" i="19"/>
  <c r="L12" i="19" s="1"/>
  <c r="K35" i="36"/>
  <c r="L35" i="36" s="1"/>
  <c r="K2" i="36"/>
  <c r="L2" i="36" s="1"/>
  <c r="K11" i="19"/>
  <c r="L11" i="19" s="1"/>
  <c r="K2" i="10"/>
  <c r="L2" i="10" s="1"/>
  <c r="K2" i="12"/>
  <c r="L2" i="12" s="1"/>
  <c r="K15" i="36"/>
  <c r="L15" i="36" s="1"/>
  <c r="K50" i="18"/>
  <c r="L50" i="18" s="1"/>
  <c r="K21" i="29"/>
  <c r="L21" i="29" s="1"/>
  <c r="K39" i="36"/>
  <c r="L39" i="36" s="1"/>
  <c r="K8" i="29"/>
  <c r="L8" i="29" s="1"/>
  <c r="K18" i="29"/>
  <c r="L18" i="29" s="1"/>
  <c r="K27" i="10"/>
  <c r="L27" i="10" s="1"/>
  <c r="K10" i="10"/>
  <c r="L10" i="10" s="1"/>
  <c r="K29" i="10"/>
  <c r="L29" i="10" s="1"/>
  <c r="K6" i="18"/>
  <c r="L6" i="18" s="1"/>
  <c r="K36" i="36"/>
  <c r="L36" i="36" s="1"/>
  <c r="K10" i="29"/>
  <c r="L10" i="29" s="1"/>
  <c r="K12" i="21"/>
  <c r="L12" i="21" s="1"/>
  <c r="K15" i="32"/>
  <c r="L15" i="32" s="1"/>
  <c r="K17" i="29"/>
  <c r="L17" i="29" s="1"/>
  <c r="K65" i="18"/>
  <c r="L65" i="18" s="1"/>
  <c r="K6" i="19"/>
  <c r="L6" i="19" s="1"/>
  <c r="K20" i="18"/>
  <c r="L20" i="18" s="1"/>
  <c r="K92" i="18"/>
  <c r="L92" i="18" s="1"/>
  <c r="K28" i="29"/>
  <c r="L28" i="29" s="1"/>
  <c r="K31" i="36"/>
  <c r="L31" i="36" s="1"/>
  <c r="K33" i="36"/>
  <c r="L33" i="36" s="1"/>
  <c r="K30" i="18"/>
  <c r="L30" i="18" s="1"/>
  <c r="K9" i="32"/>
  <c r="L9" i="32" s="1"/>
  <c r="K6" i="10"/>
  <c r="L6" i="10" s="1"/>
  <c r="K23" i="18"/>
  <c r="L23" i="18" s="1"/>
  <c r="K3" i="12"/>
  <c r="L3" i="12" s="1"/>
  <c r="K43" i="18"/>
  <c r="L43" i="18" s="1"/>
  <c r="K10" i="19"/>
  <c r="L10" i="19" s="1"/>
  <c r="K102" i="18"/>
  <c r="L102" i="18" s="1"/>
  <c r="K104" i="18"/>
  <c r="L104" i="18" s="1"/>
  <c r="K2" i="32"/>
  <c r="L2" i="32" s="1"/>
  <c r="K4" i="18"/>
  <c r="L4" i="18" s="1"/>
  <c r="K78" i="18"/>
  <c r="L78" i="18" s="1"/>
  <c r="K6" i="21"/>
  <c r="L6" i="21" s="1"/>
  <c r="K106" i="18"/>
  <c r="L106" i="18" s="1"/>
  <c r="K31" i="10"/>
  <c r="L31" i="10" s="1"/>
  <c r="K40" i="18"/>
  <c r="L40" i="18" s="1"/>
  <c r="K42" i="18"/>
  <c r="L42" i="18" s="1"/>
  <c r="K19" i="10"/>
  <c r="L19" i="10" s="1"/>
  <c r="K54" i="18"/>
  <c r="L54" i="18" s="1"/>
  <c r="K96" i="18"/>
  <c r="L96" i="18" s="1"/>
  <c r="K79" i="18"/>
  <c r="L79" i="18" s="1"/>
  <c r="K7" i="29"/>
  <c r="L7" i="29" s="1"/>
  <c r="K77" i="18"/>
  <c r="L77" i="18" s="1"/>
  <c r="K20" i="29"/>
  <c r="L20" i="29" s="1"/>
  <c r="K26" i="36"/>
  <c r="L26" i="36" s="1"/>
  <c r="K69" i="18"/>
  <c r="L69" i="18" s="1"/>
  <c r="K33" i="10"/>
  <c r="L33" i="10" s="1"/>
  <c r="K10" i="18"/>
  <c r="L10" i="18" s="1"/>
  <c r="K31" i="18"/>
  <c r="L31" i="18" s="1"/>
  <c r="K84" i="18"/>
  <c r="L84" i="18" s="1"/>
  <c r="K16" i="32"/>
  <c r="L16" i="32" s="1"/>
  <c r="K17" i="32"/>
  <c r="L17" i="32" s="1"/>
  <c r="K9" i="36"/>
  <c r="L9" i="36" s="1"/>
  <c r="K30" i="36"/>
  <c r="L30" i="36" s="1"/>
  <c r="K5" i="36"/>
  <c r="L5" i="36" s="1"/>
  <c r="K8" i="19"/>
  <c r="L8" i="19" s="1"/>
  <c r="K55" i="18"/>
  <c r="L55" i="18" s="1"/>
  <c r="K29" i="18"/>
  <c r="L29" i="18" s="1"/>
  <c r="K5" i="12"/>
  <c r="L5" i="12" s="1"/>
  <c r="K87" i="18"/>
  <c r="L87" i="18" s="1"/>
  <c r="K45" i="18"/>
  <c r="L45" i="18" s="1"/>
  <c r="K26" i="18"/>
  <c r="L26" i="18" s="1"/>
  <c r="K34" i="10"/>
  <c r="L34" i="10" s="1"/>
  <c r="K13" i="29"/>
  <c r="L13" i="29" s="1"/>
  <c r="K99" i="18"/>
  <c r="L99" i="18" s="1"/>
  <c r="K2" i="29"/>
  <c r="L2" i="29" s="1"/>
  <c r="K10" i="36"/>
  <c r="L10" i="36" s="1"/>
  <c r="K22" i="36"/>
  <c r="L22" i="36" s="1"/>
  <c r="K2" i="21"/>
  <c r="L2" i="21" s="1"/>
  <c r="K3" i="19"/>
  <c r="L3" i="19" s="1"/>
  <c r="K85" i="18"/>
  <c r="L85" i="18" s="1"/>
  <c r="K53" i="18"/>
  <c r="L53" i="18" s="1"/>
  <c r="K8" i="10"/>
  <c r="L8" i="10" s="1"/>
  <c r="K5" i="14"/>
  <c r="L5" i="14" s="1"/>
  <c r="K2" i="18"/>
  <c r="L2" i="18" s="1"/>
  <c r="K4" i="32"/>
  <c r="L4" i="32" s="1"/>
  <c r="K59" i="18"/>
  <c r="L59" i="18" s="1"/>
  <c r="K21" i="10"/>
  <c r="L21" i="10" s="1"/>
  <c r="K13" i="10"/>
  <c r="L13" i="10" s="1"/>
  <c r="K74" i="18"/>
  <c r="L74" i="18" s="1"/>
  <c r="K12" i="36"/>
  <c r="L12" i="36" s="1"/>
  <c r="K18" i="36"/>
  <c r="L18" i="36" s="1"/>
  <c r="K32" i="10"/>
  <c r="L32" i="10" s="1"/>
  <c r="K98" i="18"/>
  <c r="L98" i="18" s="1"/>
  <c r="K101" i="18"/>
  <c r="L101" i="18" s="1"/>
  <c r="K68" i="18"/>
  <c r="L68" i="18" s="1"/>
  <c r="K19" i="36"/>
  <c r="L19" i="36" s="1"/>
  <c r="K105" i="18"/>
  <c r="L105" i="18" s="1"/>
  <c r="K11" i="18"/>
  <c r="L11" i="18" s="1"/>
  <c r="K15" i="29"/>
  <c r="L15" i="29" s="1"/>
  <c r="K26" i="29"/>
  <c r="L26" i="29" s="1"/>
  <c r="K24" i="29"/>
  <c r="L24" i="29" s="1"/>
  <c r="K16" i="18"/>
  <c r="L16" i="18" s="1"/>
  <c r="K52" i="18"/>
  <c r="L52" i="18" s="1"/>
  <c r="K100" i="18"/>
  <c r="L100" i="18" s="1"/>
  <c r="K14" i="21"/>
  <c r="L14" i="21" s="1"/>
  <c r="K48" i="18"/>
  <c r="L48" i="18" s="1"/>
  <c r="K29" i="36"/>
  <c r="L29" i="36" s="1"/>
  <c r="K12" i="10"/>
  <c r="L12" i="10" s="1"/>
  <c r="K46" i="18"/>
  <c r="L46" i="18" s="1"/>
  <c r="K5" i="10"/>
  <c r="L5" i="10" s="1"/>
  <c r="K9" i="10"/>
  <c r="L9" i="10" s="1"/>
  <c r="K4" i="21"/>
  <c r="L4" i="21" s="1"/>
  <c r="K24" i="18"/>
  <c r="L24" i="18" s="1"/>
  <c r="K97" i="18"/>
  <c r="L97" i="18" s="1"/>
  <c r="K7" i="18"/>
  <c r="L7" i="18" s="1"/>
  <c r="K6" i="29"/>
  <c r="L6" i="29" s="1"/>
  <c r="K13" i="32"/>
  <c r="L13" i="32" s="1"/>
  <c r="K12" i="32"/>
  <c r="L12" i="32" s="1"/>
  <c r="K4" i="33"/>
  <c r="L4" i="33" s="1"/>
  <c r="K24" i="10"/>
  <c r="L24" i="10" s="1"/>
  <c r="K7" i="21"/>
  <c r="L7" i="21" s="1"/>
  <c r="K6" i="36"/>
  <c r="L6" i="36" s="1"/>
  <c r="K37" i="36"/>
  <c r="L37" i="36" s="1"/>
  <c r="K30" i="10"/>
  <c r="L30" i="10" s="1"/>
  <c r="K47" i="18"/>
  <c r="L47" i="18" s="1"/>
  <c r="K8" i="18"/>
  <c r="L8" i="18" s="1"/>
  <c r="K28" i="36"/>
  <c r="L28" i="36" s="1"/>
  <c r="K11" i="36"/>
  <c r="L11" i="36" s="1"/>
  <c r="K22" i="10"/>
  <c r="L22" i="10" s="1"/>
  <c r="K3" i="18"/>
  <c r="L3" i="18" s="1"/>
  <c r="K8" i="32"/>
  <c r="L8" i="32" s="1"/>
  <c r="K27" i="29"/>
  <c r="L27" i="29" s="1"/>
  <c r="K11" i="21"/>
  <c r="L11" i="21" s="1"/>
  <c r="K62" i="18"/>
  <c r="L62" i="18" s="1"/>
  <c r="K13" i="36"/>
  <c r="L13" i="36" s="1"/>
  <c r="K5" i="32"/>
  <c r="L5" i="32" s="1"/>
  <c r="K28" i="18"/>
  <c r="L28" i="18" s="1"/>
  <c r="K51" i="18"/>
  <c r="L51" i="18" s="1"/>
  <c r="K44" i="18"/>
  <c r="L44" i="18" s="1"/>
  <c r="K25" i="18"/>
  <c r="L25" i="18" s="1"/>
  <c r="K56" i="18"/>
  <c r="L56" i="18" s="1"/>
  <c r="K70" i="18"/>
  <c r="L70" i="18" s="1"/>
  <c r="K33" i="18"/>
  <c r="L33" i="18" s="1"/>
  <c r="K14" i="32"/>
  <c r="L14" i="32" s="1"/>
  <c r="K82" i="18"/>
  <c r="L82" i="18" s="1"/>
  <c r="K24" i="36"/>
  <c r="L24" i="36" s="1"/>
  <c r="S14" i="4" l="1"/>
  <c r="S26" i="4"/>
  <c r="S27" i="4"/>
  <c r="S3" i="4"/>
  <c r="K32" i="27"/>
  <c r="L32" i="27" s="1"/>
  <c r="K47" i="27"/>
  <c r="L47" i="27" s="1"/>
  <c r="K41" i="26"/>
  <c r="L41" i="26" s="1"/>
  <c r="K18" i="27"/>
  <c r="L18" i="27" s="1"/>
  <c r="K31" i="27"/>
  <c r="L31" i="27" s="1"/>
  <c r="K3" i="27"/>
  <c r="L3" i="27" s="1"/>
  <c r="K39" i="26"/>
  <c r="L39" i="26" s="1"/>
  <c r="K22" i="27"/>
  <c r="L22" i="27" s="1"/>
  <c r="K17" i="27"/>
  <c r="L17" i="27" s="1"/>
  <c r="K35" i="26"/>
  <c r="L35" i="26" s="1"/>
  <c r="K4" i="26"/>
  <c r="L4" i="26" s="1"/>
  <c r="K7" i="27"/>
  <c r="L7" i="27" s="1"/>
  <c r="K29" i="27"/>
  <c r="L29" i="27" s="1"/>
  <c r="K26" i="11"/>
  <c r="L26" i="11" s="1"/>
  <c r="K6" i="11"/>
  <c r="L6" i="11" s="1"/>
  <c r="K19" i="26"/>
  <c r="L19" i="26" s="1"/>
  <c r="K51" i="26"/>
  <c r="L51" i="26" s="1"/>
  <c r="K24" i="27"/>
  <c r="L24" i="27" s="1"/>
  <c r="K28" i="27"/>
  <c r="L28" i="27" s="1"/>
  <c r="K14" i="26"/>
  <c r="L14" i="26" s="1"/>
  <c r="K53" i="26"/>
  <c r="L53" i="26" s="1"/>
  <c r="K16" i="27"/>
  <c r="L16" i="27" s="1"/>
  <c r="K10" i="27"/>
  <c r="L10" i="27" s="1"/>
  <c r="K37" i="27"/>
  <c r="L37" i="27" s="1"/>
  <c r="K26" i="27"/>
  <c r="L26" i="27" s="1"/>
  <c r="K30" i="27"/>
  <c r="L30" i="27" s="1"/>
  <c r="K25" i="27"/>
  <c r="L25" i="27" s="1"/>
  <c r="K31" i="26"/>
  <c r="L31" i="26" s="1"/>
  <c r="K40" i="27"/>
  <c r="L40" i="27" s="1"/>
  <c r="K11" i="27"/>
  <c r="L11" i="27" s="1"/>
  <c r="K23" i="26"/>
  <c r="L23" i="26" s="1"/>
  <c r="K11" i="11"/>
  <c r="L11" i="11" s="1"/>
  <c r="K26" i="26"/>
  <c r="L26" i="26" s="1"/>
  <c r="K40" i="26"/>
  <c r="L40" i="26" s="1"/>
  <c r="K19" i="11"/>
  <c r="L19" i="11" s="1"/>
  <c r="K21" i="27"/>
  <c r="L21" i="27" s="1"/>
  <c r="K3" i="26"/>
  <c r="L3" i="26" s="1"/>
  <c r="K27" i="27"/>
  <c r="L27" i="27" s="1"/>
  <c r="K17" i="26"/>
  <c r="L17" i="26" s="1"/>
  <c r="K9" i="26"/>
  <c r="L9" i="26" s="1"/>
  <c r="K41" i="27"/>
  <c r="L41" i="27" s="1"/>
  <c r="K33" i="27"/>
  <c r="L33" i="27" s="1"/>
  <c r="H2" i="2"/>
  <c r="K21" i="26"/>
  <c r="L21" i="26" s="1"/>
  <c r="K27" i="26"/>
  <c r="L27" i="26" s="1"/>
  <c r="K22" i="11"/>
  <c r="L22" i="11" s="1"/>
  <c r="K27" i="11"/>
  <c r="L27" i="11" s="1"/>
  <c r="K10" i="11"/>
  <c r="L10" i="11" s="1"/>
  <c r="K23" i="27"/>
  <c r="L23" i="27" s="1"/>
  <c r="K4" i="11"/>
  <c r="L4" i="11" s="1"/>
  <c r="K14" i="11"/>
  <c r="L14" i="11" s="1"/>
  <c r="K50" i="26"/>
  <c r="L50" i="26" s="1"/>
  <c r="K24" i="26"/>
  <c r="L24" i="26" s="1"/>
  <c r="K13" i="11"/>
  <c r="L13" i="11" s="1"/>
  <c r="K2" i="11"/>
  <c r="L2" i="11" s="1"/>
  <c r="K13" i="26"/>
  <c r="L13" i="26" s="1"/>
  <c r="K13" i="27"/>
  <c r="L13" i="27" s="1"/>
  <c r="K36" i="27"/>
  <c r="L36" i="27" s="1"/>
  <c r="K32" i="26"/>
  <c r="L32" i="26" s="1"/>
  <c r="K47" i="26"/>
  <c r="L47" i="26" s="1"/>
  <c r="K49" i="26"/>
  <c r="L49" i="26" s="1"/>
  <c r="K9" i="27"/>
  <c r="L9" i="27" s="1"/>
  <c r="K15" i="26"/>
  <c r="L15" i="26" s="1"/>
  <c r="K22" i="26"/>
  <c r="L22" i="26" s="1"/>
  <c r="K33" i="26"/>
  <c r="L33" i="26" s="1"/>
  <c r="K42" i="26"/>
  <c r="L42" i="26" s="1"/>
  <c r="K29" i="26"/>
  <c r="L29" i="26" s="1"/>
  <c r="K25" i="11"/>
  <c r="L25" i="11" s="1"/>
  <c r="K4" i="27"/>
  <c r="L4" i="27" s="1"/>
  <c r="K45" i="27"/>
  <c r="L45" i="27" s="1"/>
  <c r="K19" i="27"/>
  <c r="L19" i="27" s="1"/>
  <c r="K21" i="11"/>
  <c r="L21" i="11" s="1"/>
  <c r="K36" i="26"/>
  <c r="L36" i="26" s="1"/>
  <c r="K44" i="27"/>
  <c r="L44" i="27" s="1"/>
  <c r="K2" i="26"/>
  <c r="L2" i="26" s="1"/>
  <c r="K10" i="26"/>
  <c r="L10" i="26" s="1"/>
  <c r="K46" i="27"/>
  <c r="L46" i="27" s="1"/>
  <c r="K18" i="26"/>
  <c r="L18" i="26" s="1"/>
  <c r="K46" i="26"/>
  <c r="L46" i="26" s="1"/>
  <c r="K8" i="26"/>
  <c r="L8" i="26" s="1"/>
  <c r="K54" i="26"/>
  <c r="L54" i="26" s="1"/>
  <c r="K5" i="27"/>
  <c r="L5" i="27" s="1"/>
  <c r="K15" i="27"/>
  <c r="L15" i="27" s="1"/>
  <c r="K25" i="26"/>
  <c r="L25" i="26" s="1"/>
  <c r="K12" i="26"/>
  <c r="L12" i="26" s="1"/>
  <c r="K15" i="11"/>
  <c r="L15" i="11" s="1"/>
  <c r="K37" i="26"/>
  <c r="L37" i="26" s="1"/>
  <c r="K20" i="27"/>
  <c r="L20" i="27" s="1"/>
  <c r="K44" i="26"/>
  <c r="L44" i="26" s="1"/>
  <c r="K12" i="27"/>
  <c r="L12" i="27" s="1"/>
  <c r="K55" i="26"/>
  <c r="L55" i="26" s="1"/>
  <c r="K17" i="11"/>
  <c r="L17" i="11" s="1"/>
  <c r="K14" i="27"/>
  <c r="L14" i="27" s="1"/>
  <c r="K11" i="26"/>
  <c r="L11" i="26" s="1"/>
  <c r="K38" i="27"/>
  <c r="L38" i="27" s="1"/>
  <c r="K45" i="26"/>
  <c r="L45" i="26" s="1"/>
  <c r="K9" i="11"/>
  <c r="L9" i="11" s="1"/>
  <c r="K2" i="30"/>
  <c r="L2" i="30" s="1"/>
  <c r="K20" i="26"/>
  <c r="L20" i="26" s="1"/>
  <c r="K18" i="11"/>
  <c r="L18" i="11" s="1"/>
  <c r="K34" i="26"/>
  <c r="L34" i="26" s="1"/>
  <c r="K43" i="26"/>
  <c r="L43" i="26" s="1"/>
  <c r="K3" i="11"/>
  <c r="L3" i="11" s="1"/>
  <c r="K16" i="11"/>
  <c r="L16" i="11" s="1"/>
  <c r="K7" i="26"/>
  <c r="L7" i="26" s="1"/>
  <c r="K20" i="11"/>
  <c r="L20" i="11" s="1"/>
  <c r="K8" i="11"/>
  <c r="L8" i="11" s="1"/>
  <c r="K30" i="26"/>
  <c r="L30" i="26" s="1"/>
  <c r="K5" i="26"/>
  <c r="L5" i="26" s="1"/>
  <c r="K42" i="27"/>
  <c r="L42" i="27" s="1"/>
  <c r="K23" i="11"/>
  <c r="L23" i="11" s="1"/>
  <c r="K12" i="11"/>
  <c r="L12" i="11" s="1"/>
  <c r="K34" i="27"/>
  <c r="L34" i="27" s="1"/>
  <c r="K6" i="26"/>
  <c r="L6" i="26" s="1"/>
  <c r="K38" i="26"/>
  <c r="L38" i="26" s="1"/>
  <c r="K6" i="27"/>
  <c r="L6" i="27" s="1"/>
  <c r="K5" i="11"/>
  <c r="L5" i="11" s="1"/>
  <c r="K16" i="26"/>
  <c r="L16" i="26" s="1"/>
  <c r="K52" i="26"/>
  <c r="L52" i="26" s="1"/>
  <c r="K28" i="26"/>
  <c r="L28" i="26" s="1"/>
  <c r="K2" i="27"/>
  <c r="L2" i="27" s="1"/>
  <c r="K48" i="26"/>
  <c r="L48" i="26" s="1"/>
  <c r="K35" i="27"/>
  <c r="L35" i="27" s="1"/>
  <c r="K7" i="11"/>
  <c r="L7" i="11" s="1"/>
  <c r="K24" i="11"/>
  <c r="L24" i="11" s="1"/>
  <c r="K56" i="26"/>
  <c r="L56" i="26" s="1"/>
  <c r="K8" i="27"/>
  <c r="L8" i="27" s="1"/>
  <c r="K39" i="27"/>
  <c r="L39" i="27" s="1"/>
  <c r="K43" i="27"/>
  <c r="L43" i="27" s="1"/>
  <c r="S16" i="4" l="1"/>
  <c r="K68" i="17"/>
  <c r="L68" i="17" s="1"/>
  <c r="K46" i="17"/>
  <c r="L46" i="17" s="1"/>
  <c r="K48" i="17"/>
  <c r="L48" i="17" s="1"/>
  <c r="K2" i="17"/>
  <c r="L2" i="17" s="1"/>
  <c r="K13" i="17"/>
  <c r="L13" i="17" s="1"/>
  <c r="K24" i="17"/>
  <c r="L24" i="17" s="1"/>
  <c r="K66" i="17"/>
  <c r="L66" i="17" s="1"/>
  <c r="K58" i="17"/>
  <c r="L58" i="17" s="1"/>
  <c r="K39" i="17"/>
  <c r="L39" i="17" s="1"/>
  <c r="K21" i="17"/>
  <c r="L21" i="17" s="1"/>
  <c r="K43" i="17"/>
  <c r="L43" i="17" s="1"/>
  <c r="K78" i="17"/>
  <c r="L78" i="17" s="1"/>
  <c r="K65" i="17"/>
  <c r="L65" i="17" s="1"/>
  <c r="K33" i="17"/>
  <c r="L33" i="17" s="1"/>
  <c r="K37" i="17"/>
  <c r="L37" i="17" s="1"/>
  <c r="K14" i="17"/>
  <c r="L14" i="17" s="1"/>
  <c r="K36" i="17"/>
  <c r="L36" i="17" s="1"/>
  <c r="K53" i="17"/>
  <c r="L53" i="17" s="1"/>
  <c r="K15" i="17"/>
  <c r="L15" i="17" s="1"/>
  <c r="K10" i="17"/>
  <c r="L10" i="17" s="1"/>
  <c r="K25" i="17"/>
  <c r="L25" i="17" s="1"/>
  <c r="K73" i="17"/>
  <c r="L73" i="17" s="1"/>
  <c r="K79" i="17"/>
  <c r="L79" i="17" s="1"/>
  <c r="K41" i="17"/>
  <c r="L41" i="17" s="1"/>
  <c r="K50" i="17"/>
  <c r="L50" i="17" s="1"/>
  <c r="K18" i="17"/>
  <c r="L18" i="17" s="1"/>
  <c r="K72" i="17"/>
  <c r="L72" i="17" s="1"/>
  <c r="K61" i="17"/>
  <c r="L61" i="17" s="1"/>
  <c r="K28" i="17"/>
  <c r="L28" i="17" s="1"/>
  <c r="K34" i="17"/>
  <c r="L34" i="17" s="1"/>
  <c r="K19" i="17"/>
  <c r="L19" i="17" s="1"/>
  <c r="K11" i="17"/>
  <c r="L11" i="17" s="1"/>
  <c r="K38" i="17"/>
  <c r="L38" i="17" s="1"/>
  <c r="I2" i="2"/>
  <c r="K57" i="17"/>
  <c r="L57" i="17" s="1"/>
  <c r="K70" i="17"/>
  <c r="L70" i="17" s="1"/>
  <c r="K76" i="17"/>
  <c r="L76" i="17" s="1"/>
  <c r="K42" i="17"/>
  <c r="L42" i="17" s="1"/>
  <c r="K26" i="17"/>
  <c r="L26" i="17" s="1"/>
  <c r="K54" i="17"/>
  <c r="L54" i="17" s="1"/>
  <c r="K56" i="17"/>
  <c r="L56" i="17" s="1"/>
  <c r="K63" i="17"/>
  <c r="L63" i="17" s="1"/>
  <c r="K86" i="17"/>
  <c r="L86" i="17" s="1"/>
  <c r="K6" i="17"/>
  <c r="L6" i="17" s="1"/>
  <c r="K3" i="17"/>
  <c r="L3" i="17" s="1"/>
  <c r="K74" i="17"/>
  <c r="L74" i="17" s="1"/>
  <c r="K8" i="17"/>
  <c r="L8" i="17" s="1"/>
  <c r="K45" i="17"/>
  <c r="L45" i="17" s="1"/>
  <c r="K47" i="17"/>
  <c r="L47" i="17" s="1"/>
  <c r="K62" i="17"/>
  <c r="L62" i="17" s="1"/>
  <c r="K35" i="17"/>
  <c r="L35" i="17" s="1"/>
  <c r="K16" i="17"/>
  <c r="L16" i="17" s="1"/>
  <c r="K9" i="17"/>
  <c r="L9" i="17" s="1"/>
  <c r="K51" i="17"/>
  <c r="L51" i="17" s="1"/>
  <c r="K52" i="17"/>
  <c r="L52" i="17" s="1"/>
  <c r="K85" i="17"/>
  <c r="L85" i="17" s="1"/>
  <c r="K59" i="17"/>
  <c r="L59" i="17" s="1"/>
  <c r="K7" i="17"/>
  <c r="L7" i="17" s="1"/>
  <c r="K30" i="17"/>
  <c r="L30" i="17" s="1"/>
  <c r="K22" i="17"/>
  <c r="L22" i="17" s="1"/>
  <c r="K29" i="17"/>
  <c r="L29" i="17" s="1"/>
  <c r="K67" i="17"/>
  <c r="L67" i="17" s="1"/>
  <c r="K23" i="17"/>
  <c r="L23" i="17" s="1"/>
  <c r="K71" i="17"/>
  <c r="L71" i="17" s="1"/>
  <c r="K77" i="17"/>
  <c r="L77" i="17" s="1"/>
  <c r="K20" i="17"/>
  <c r="L20" i="17" s="1"/>
  <c r="K55" i="17"/>
  <c r="L55" i="17" s="1"/>
  <c r="K17" i="17"/>
  <c r="L17" i="17" s="1"/>
  <c r="K83" i="17"/>
  <c r="L83" i="17" s="1"/>
  <c r="K80" i="17"/>
  <c r="L80" i="17" s="1"/>
  <c r="K75" i="17"/>
  <c r="L75" i="17" s="1"/>
  <c r="K82" i="17"/>
  <c r="L82" i="17" s="1"/>
  <c r="K84" i="17"/>
  <c r="L84" i="17" s="1"/>
  <c r="K81" i="17"/>
  <c r="L81" i="17" s="1"/>
  <c r="K27" i="17"/>
  <c r="L27" i="17" s="1"/>
  <c r="K12" i="17"/>
  <c r="L12" i="17" s="1"/>
  <c r="K5" i="17"/>
  <c r="L5" i="17" s="1"/>
  <c r="K32" i="17"/>
  <c r="L32" i="17" s="1"/>
  <c r="K49" i="17"/>
  <c r="L49" i="17" s="1"/>
  <c r="K44" i="17"/>
  <c r="L44" i="17" s="1"/>
  <c r="K64" i="17"/>
  <c r="L64" i="17" s="1"/>
  <c r="K4" i="17"/>
  <c r="L4" i="17" s="1"/>
  <c r="K40" i="17"/>
  <c r="L40" i="17" s="1"/>
  <c r="K69" i="17"/>
  <c r="L69" i="17" s="1"/>
  <c r="K31" i="17"/>
  <c r="L31" i="17" s="1"/>
  <c r="K60" i="17"/>
  <c r="L60" i="17" s="1"/>
  <c r="S11" i="4" l="1"/>
  <c r="K37" i="35"/>
  <c r="L37" i="35" s="1"/>
  <c r="K32" i="34"/>
  <c r="L32" i="34" s="1"/>
  <c r="K65" i="35"/>
  <c r="L65" i="35" s="1"/>
  <c r="K11" i="35"/>
  <c r="L11" i="35" s="1"/>
  <c r="K9" i="34"/>
  <c r="L9" i="34" s="1"/>
  <c r="K10" i="35"/>
  <c r="L10" i="35" s="1"/>
  <c r="K62" i="35"/>
  <c r="L62" i="35" s="1"/>
  <c r="K24" i="35"/>
  <c r="L24" i="35" s="1"/>
  <c r="K18" i="35"/>
  <c r="L18" i="35" s="1"/>
  <c r="K23" i="34"/>
  <c r="L23" i="34" s="1"/>
  <c r="K14" i="34"/>
  <c r="L14" i="34" s="1"/>
  <c r="K66" i="35"/>
  <c r="L66" i="35" s="1"/>
  <c r="K4" i="35"/>
  <c r="L4" i="35" s="1"/>
  <c r="K69" i="35"/>
  <c r="L69" i="35" s="1"/>
  <c r="K60" i="35"/>
  <c r="L60" i="35" s="1"/>
  <c r="K25" i="35"/>
  <c r="L25" i="35" s="1"/>
  <c r="K35" i="34"/>
  <c r="L35" i="34" s="1"/>
  <c r="K17" i="34"/>
  <c r="L17" i="34" s="1"/>
  <c r="K16" i="35"/>
  <c r="L16" i="35" s="1"/>
  <c r="K20" i="34"/>
  <c r="L20" i="34" s="1"/>
  <c r="K32" i="35"/>
  <c r="L32" i="35" s="1"/>
  <c r="K42" i="35"/>
  <c r="L42" i="35" s="1"/>
  <c r="K37" i="34"/>
  <c r="L37" i="34" s="1"/>
  <c r="K52" i="35"/>
  <c r="L52" i="35" s="1"/>
  <c r="K8" i="35"/>
  <c r="L8" i="35" s="1"/>
  <c r="K11" i="34"/>
  <c r="L11" i="34" s="1"/>
  <c r="K45" i="35"/>
  <c r="L45" i="35" s="1"/>
  <c r="K28" i="34"/>
  <c r="L28" i="34" s="1"/>
  <c r="K22" i="34"/>
  <c r="L22" i="34" s="1"/>
  <c r="K5" i="35"/>
  <c r="L5" i="35" s="1"/>
  <c r="K30" i="35"/>
  <c r="L30" i="35" s="1"/>
  <c r="K44" i="34"/>
  <c r="L44" i="34" s="1"/>
  <c r="K58" i="35"/>
  <c r="L58" i="35" s="1"/>
  <c r="K51" i="35"/>
  <c r="L51" i="35" s="1"/>
  <c r="K3" i="35"/>
  <c r="L3" i="35" s="1"/>
  <c r="K7" i="34"/>
  <c r="L7" i="34" s="1"/>
  <c r="K56" i="35"/>
  <c r="L56" i="35" s="1"/>
  <c r="K29" i="35"/>
  <c r="L29" i="35" s="1"/>
  <c r="K22" i="35"/>
  <c r="L22" i="35" s="1"/>
  <c r="K41" i="35"/>
  <c r="L41" i="35" s="1"/>
  <c r="K47" i="35"/>
  <c r="L47" i="35" s="1"/>
  <c r="K14" i="35"/>
  <c r="L14" i="35" s="1"/>
  <c r="K8" i="34"/>
  <c r="L8" i="34" s="1"/>
  <c r="K19" i="35"/>
  <c r="L19" i="35" s="1"/>
  <c r="K39" i="35"/>
  <c r="L39" i="35" s="1"/>
  <c r="J2" i="2"/>
  <c r="K48" i="34"/>
  <c r="L48" i="34" s="1"/>
  <c r="K43" i="34"/>
  <c r="L43" i="34" s="1"/>
  <c r="K2" i="34"/>
  <c r="L2" i="34" s="1"/>
  <c r="K24" i="34"/>
  <c r="L24" i="34" s="1"/>
  <c r="K70" i="35"/>
  <c r="L70" i="35" s="1"/>
  <c r="K36" i="34"/>
  <c r="L36" i="34" s="1"/>
  <c r="K6" i="35"/>
  <c r="L6" i="35" s="1"/>
  <c r="K31" i="35"/>
  <c r="L31" i="35" s="1"/>
  <c r="K16" i="34"/>
  <c r="L16" i="34" s="1"/>
  <c r="K20" i="35"/>
  <c r="L20" i="35" s="1"/>
  <c r="K21" i="34"/>
  <c r="L21" i="34" s="1"/>
  <c r="K15" i="35"/>
  <c r="L15" i="35" s="1"/>
  <c r="K13" i="35"/>
  <c r="L13" i="35" s="1"/>
  <c r="K19" i="34"/>
  <c r="L19" i="34" s="1"/>
  <c r="K44" i="35"/>
  <c r="L44" i="35" s="1"/>
  <c r="K17" i="35"/>
  <c r="L17" i="35" s="1"/>
  <c r="K34" i="34"/>
  <c r="L34" i="34" s="1"/>
  <c r="K13" i="34"/>
  <c r="L13" i="34" s="1"/>
  <c r="K38" i="35"/>
  <c r="L38" i="35" s="1"/>
  <c r="K5" i="34"/>
  <c r="L5" i="34" s="1"/>
  <c r="K50" i="35"/>
  <c r="L50" i="35" s="1"/>
  <c r="K6" i="34"/>
  <c r="L6" i="34" s="1"/>
  <c r="K67" i="35"/>
  <c r="L67" i="35" s="1"/>
  <c r="K28" i="35"/>
  <c r="L28" i="35" s="1"/>
  <c r="K26" i="34"/>
  <c r="L26" i="34" s="1"/>
  <c r="K9" i="35"/>
  <c r="L9" i="35" s="1"/>
  <c r="K48" i="35"/>
  <c r="L48" i="35" s="1"/>
  <c r="K7" i="35"/>
  <c r="L7" i="35" s="1"/>
  <c r="K54" i="35"/>
  <c r="L54" i="35" s="1"/>
  <c r="K25" i="34"/>
  <c r="L25" i="34" s="1"/>
  <c r="K12" i="34"/>
  <c r="L12" i="34" s="1"/>
  <c r="K59" i="35"/>
  <c r="L59" i="35" s="1"/>
  <c r="K15" i="34"/>
  <c r="L15" i="34" s="1"/>
  <c r="K29" i="34"/>
  <c r="L29" i="34" s="1"/>
  <c r="K4" i="34"/>
  <c r="L4" i="34" s="1"/>
  <c r="K41" i="34"/>
  <c r="L41" i="34" s="1"/>
  <c r="K49" i="35"/>
  <c r="L49" i="35" s="1"/>
  <c r="K12" i="35"/>
  <c r="L12" i="35" s="1"/>
  <c r="K18" i="34"/>
  <c r="L18" i="34" s="1"/>
  <c r="K43" i="35"/>
  <c r="L43" i="35" s="1"/>
  <c r="K61" i="35"/>
  <c r="L61" i="35" s="1"/>
  <c r="K47" i="34"/>
  <c r="L47" i="34" s="1"/>
  <c r="K45" i="34"/>
  <c r="L45" i="34" s="1"/>
  <c r="K39" i="34"/>
  <c r="L39" i="34" s="1"/>
  <c r="K53" i="35"/>
  <c r="L53" i="35" s="1"/>
  <c r="K26" i="35"/>
  <c r="L26" i="35" s="1"/>
  <c r="K36" i="35"/>
  <c r="L36" i="35" s="1"/>
  <c r="K63" i="35"/>
  <c r="L63" i="35" s="1"/>
  <c r="K68" i="35"/>
  <c r="L68" i="35" s="1"/>
  <c r="K34" i="35"/>
  <c r="L34" i="35" s="1"/>
  <c r="K3" i="34"/>
  <c r="L3" i="34" s="1"/>
  <c r="K31" i="34"/>
  <c r="L31" i="34" s="1"/>
  <c r="K40" i="35"/>
  <c r="L40" i="35" s="1"/>
  <c r="K30" i="34"/>
  <c r="L30" i="34" s="1"/>
  <c r="K33" i="34"/>
  <c r="L33" i="34" s="1"/>
  <c r="K46" i="34"/>
  <c r="L46" i="34" s="1"/>
  <c r="K57" i="35"/>
  <c r="L57" i="35" s="1"/>
  <c r="K10" i="34"/>
  <c r="L10" i="34" s="1"/>
  <c r="K64" i="35"/>
  <c r="L64" i="35" s="1"/>
  <c r="K27" i="35"/>
  <c r="L27" i="35" s="1"/>
  <c r="K46" i="35"/>
  <c r="L46" i="35" s="1"/>
  <c r="K38" i="34"/>
  <c r="L38" i="34" s="1"/>
  <c r="K21" i="35"/>
  <c r="L21" i="35" s="1"/>
  <c r="K55" i="35"/>
  <c r="L55" i="35" s="1"/>
  <c r="K27" i="34"/>
  <c r="L27" i="34" s="1"/>
  <c r="K33" i="35"/>
  <c r="L33" i="35" s="1"/>
  <c r="K2" i="35"/>
  <c r="L2" i="35" s="1"/>
  <c r="K35" i="35"/>
  <c r="L35" i="35" s="1"/>
  <c r="K42" i="34"/>
  <c r="L42" i="34" s="1"/>
  <c r="K40" i="34"/>
  <c r="L40" i="34" s="1"/>
  <c r="K23" i="35"/>
  <c r="L23" i="35" s="1"/>
  <c r="K2" i="2" l="1"/>
  <c r="L2" i="2" s="1"/>
  <c r="S18" i="4" l="1"/>
  <c r="S34" i="4" l="1"/>
  <c r="S3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tc={8BBC6331-0DCE-4F92-88C7-600F8158FB8D}</author>
  </authors>
  <commentList>
    <comment ref="R4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ID#AAABb5inE4Y
Stephanie Overla    (2025-01-20 20:29:34)
need inflation rates back to 2007</t>
        </r>
      </text>
    </comment>
    <comment ref="R8" authorId="1" shapeId="0" xr:uid="{8BBC6331-0DCE-4F92-88C7-600F8158FB8D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not be matched, too far away</t>
      </text>
    </comment>
    <comment ref="R12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ID#AAABiWGjLvw
Stephanie Overla    (2025-04-22 16:03:52)
Potentially an FOUS
------
ID#AAABjBCPCsU
Stephanie Overla    (2025-05-09 01:25:05)
High Park was here, may still go back to that fire.</t>
        </r>
      </text>
    </comment>
    <comment ref="R22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ID#AAABb5inE4U
Stephanie Overla    (2025-01-20 20:29:18)
no ICS209 report - look for IMSR next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ID#AAABiHj5otk
Stephanie Overla    (2025-04-19 19:14:16)
FOUS</t>
        </r>
      </text>
    </comment>
    <comment ref="A5" authorId="0" shapeId="0" xr:uid="{00000000-0006-0000-0200-00000E000000}">
      <text>
        <r>
          <rPr>
            <sz val="10"/>
            <color rgb="FF000000"/>
            <rFont val="Arial"/>
            <scheme val="minor"/>
          </rPr>
          <t>======
ID#AAABgK0upsM
Stephanie Overla    (2025-04-18 17:48:19)
FOUS</t>
        </r>
      </text>
    </comment>
    <comment ref="A9" authorId="0" shapeId="0" xr:uid="{00000000-0006-0000-0200-00000F000000}">
      <text>
        <r>
          <rPr>
            <sz val="10"/>
            <color rgb="FF000000"/>
            <rFont val="Arial"/>
            <scheme val="minor"/>
          </rPr>
          <t>======
ID#AAABgK0upsE
Stephanie Overla    (2025-04-18 17:39:32)
Qualifies as FOUS</t>
        </r>
      </text>
    </comment>
    <comment ref="A13" authorId="0" shapeId="0" xr:uid="{00000000-0006-0000-0200-00000D000000}">
      <text>
        <r>
          <rPr>
            <sz val="10"/>
            <color rgb="FF000000"/>
            <rFont val="Arial"/>
            <scheme val="minor"/>
          </rPr>
          <t>======
ID#AAABgK0upsQ
Stephanie Overla    (2025-04-18 17:56:31)
FOUS</t>
        </r>
      </text>
    </comment>
    <comment ref="A15" authorId="0" shapeId="0" xr:uid="{00000000-0006-0000-0200-00000C000000}">
      <text>
        <r>
          <rPr>
            <sz val="10"/>
            <color rgb="FF000000"/>
            <rFont val="Arial"/>
            <scheme val="minor"/>
          </rPr>
          <t>======
ID#AAABgK0upsU
Stephanie Overla    (2025-04-18 18:02:50)
FOUS</t>
        </r>
      </text>
    </comment>
    <comment ref="A21" authorId="0" shapeId="0" xr:uid="{00000000-0006-0000-0200-00000B000000}">
      <text>
        <r>
          <rPr>
            <sz val="10"/>
            <color rgb="FF000000"/>
            <rFont val="Arial"/>
            <scheme val="minor"/>
          </rPr>
          <t>======
ID#AAABgK0upsY
Stephanie Overla    (2025-04-18 18:39:13)
FOUS</t>
        </r>
      </text>
    </comment>
    <comment ref="A23" authorId="0" shapeId="0" xr:uid="{00000000-0006-0000-0200-00000A000000}">
      <text>
        <r>
          <rPr>
            <sz val="10"/>
            <color rgb="FF000000"/>
            <rFont val="Arial"/>
            <scheme val="minor"/>
          </rPr>
          <t>======
ID#AAABgK0upsg
Stephanie Overla    (2025-04-18 18:48:01)
FOUS</t>
        </r>
      </text>
    </comment>
    <comment ref="A33" authorId="0" shapeId="0" xr:uid="{00000000-0006-0000-0200-000009000000}">
      <text>
        <r>
          <rPr>
            <sz val="10"/>
            <color rgb="FF000000"/>
            <rFont val="Arial"/>
            <scheme val="minor"/>
          </rPr>
          <t>======
ID#AAABgK6PK3U
Stephanie Overla    (2025-04-19 05:06:53)
FOUS</t>
        </r>
      </text>
    </comment>
    <comment ref="A37" authorId="0" shapeId="0" xr:uid="{00000000-0006-0000-0200-000005000000}">
      <text>
        <r>
          <rPr>
            <sz val="10"/>
            <color rgb="FF000000"/>
            <rFont val="Arial"/>
            <scheme val="minor"/>
          </rPr>
          <t>======
ID#AAABiEG2AFA
Stephanie Overla    (2025-04-19 17:00:35)
1600 acres only</t>
        </r>
      </text>
    </comment>
    <comment ref="A43" authorId="0" shapeId="0" xr:uid="{00000000-0006-0000-0200-000008000000}">
      <text>
        <r>
          <rPr>
            <sz val="10"/>
            <color rgb="FF000000"/>
            <rFont val="Arial"/>
            <scheme val="minor"/>
          </rPr>
          <t>======
ID#AAABgK6PK3Y
Stephanie Overla    (2025-04-19 05:34:24)
FOUS</t>
        </r>
      </text>
    </comment>
    <comment ref="A51" authorId="0" shapeId="0" xr:uid="{00000000-0006-0000-0200-000006000000}">
      <text>
        <r>
          <rPr>
            <sz val="10"/>
            <color rgb="FF000000"/>
            <rFont val="Arial"/>
            <scheme val="minor"/>
          </rPr>
          <t>======
ID#AAABiEG2AE8
Stephanie Overla    (2025-04-19 16:59:44)
2 reports</t>
        </r>
      </text>
    </comment>
    <comment ref="A55" authorId="0" shapeId="0" xr:uid="{00000000-0006-0000-0200-000007000000}">
      <text>
        <r>
          <rPr>
            <sz val="10"/>
            <color rgb="FF000000"/>
            <rFont val="Arial"/>
            <scheme val="minor"/>
          </rPr>
          <t>======
ID#AAABiEG2AE4
Stephanie Overla    (2025-04-19 16:59:18)
complex</t>
        </r>
      </text>
    </comment>
    <comment ref="A57" authorId="0" shapeId="0" xr:uid="{00000000-0006-0000-0200-000004000000}">
      <text>
        <r>
          <rPr>
            <sz val="10"/>
            <color rgb="FF000000"/>
            <rFont val="Arial"/>
            <scheme val="minor"/>
          </rPr>
          <t>======
ID#AAABiHj5otY
Stephanie Overla    (2025-04-19 19:01:44)
FOUS</t>
        </r>
      </text>
    </comment>
    <comment ref="A59" authorId="0" shapeId="0" xr:uid="{00000000-0006-0000-0200-000003000000}">
      <text>
        <r>
          <rPr>
            <sz val="10"/>
            <color rgb="FF000000"/>
            <rFont val="Arial"/>
            <scheme val="minor"/>
          </rPr>
          <t>======
ID#AAABiHj5otc
Stephanie Overla    (2025-04-19 19:02:11)
Not enough data</t>
        </r>
      </text>
    </comment>
    <comment ref="A61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ID#AAABiWz1HJM
Stephanie Overla    (2025-04-22 15:07:32)
FOUS</t>
        </r>
      </text>
    </comment>
  </commentList>
</comments>
</file>

<file path=xl/sharedStrings.xml><?xml version="1.0" encoding="utf-8"?>
<sst xmlns="http://schemas.openxmlformats.org/spreadsheetml/2006/main" count="2617" uniqueCount="712">
  <si>
    <t>Year</t>
  </si>
  <si>
    <t>CPI Deflator (annual %)</t>
  </si>
  <si>
    <t>2021-22</t>
  </si>
  <si>
    <t>2020-22</t>
  </si>
  <si>
    <t>2019-22</t>
  </si>
  <si>
    <t>2018-22</t>
  </si>
  <si>
    <t>2017-22</t>
  </si>
  <si>
    <t>2016-22</t>
  </si>
  <si>
    <t>2015-22</t>
  </si>
  <si>
    <t>2014-22</t>
  </si>
  <si>
    <t>2013-22</t>
  </si>
  <si>
    <t>2012-22</t>
  </si>
  <si>
    <t>2011-22</t>
  </si>
  <si>
    <t>2010-22</t>
  </si>
  <si>
    <t>2009-22</t>
  </si>
  <si>
    <t>2008-22</t>
  </si>
  <si>
    <t>2007-22</t>
  </si>
  <si>
    <t>XLF</t>
  </si>
  <si>
    <t>LF CPAPD FINAL</t>
  </si>
  <si>
    <t>McCash 2021</t>
  </si>
  <si>
    <t>North Star 2015</t>
  </si>
  <si>
    <t>Johnson 2021</t>
  </si>
  <si>
    <t>Rough 2015</t>
  </si>
  <si>
    <t>Grass Valley 2018</t>
  </si>
  <si>
    <t>Carr 2018</t>
  </si>
  <si>
    <t>Camp 2018</t>
  </si>
  <si>
    <t>Boundary 2021</t>
  </si>
  <si>
    <t>Sartin Draw 2017</t>
  </si>
  <si>
    <t>Spring Creek 2018</t>
  </si>
  <si>
    <t>Woodbury 2019</t>
  </si>
  <si>
    <t>Millard 2006</t>
  </si>
  <si>
    <t>Highline 2017</t>
  </si>
  <si>
    <t>Arapaho 2012</t>
  </si>
  <si>
    <t>Barry Point 2012</t>
  </si>
  <si>
    <t>Diamond Creek 2017</t>
  </si>
  <si>
    <t>Caldwell 2020</t>
  </si>
  <si>
    <t>East Fork 2020</t>
  </si>
  <si>
    <t>Rafael 2021</t>
  </si>
  <si>
    <t>Evan's Canyon 2020</t>
  </si>
  <si>
    <t>Goose Creek 2018</t>
  </si>
  <si>
    <t>Mosquito 2022</t>
  </si>
  <si>
    <t>Boxcar 0410 RN 2018</t>
  </si>
  <si>
    <t>Horseshoe 2 2011</t>
  </si>
  <si>
    <t>Ranch 2018</t>
  </si>
  <si>
    <t xml:space="preserve"> </t>
  </si>
  <si>
    <t>Buzzard 2014</t>
  </si>
  <si>
    <t>Klondike 2018</t>
  </si>
  <si>
    <t>Four County 2021</t>
  </si>
  <si>
    <t>Soberanes 2016</t>
  </si>
  <si>
    <t>GACC</t>
  </si>
  <si>
    <t>FOUS</t>
  </si>
  <si>
    <t>FOUS CPAPD FINAL</t>
  </si>
  <si>
    <t>AveGrwth&gt;2.5Ls</t>
  </si>
  <si>
    <t>R^2 Scaled Ls</t>
  </si>
  <si>
    <t>Ave Growth over 2.5 As</t>
  </si>
  <si>
    <t>LF</t>
  </si>
  <si>
    <t>Average Growth over 2.5 As</t>
  </si>
  <si>
    <t>Northern California</t>
  </si>
  <si>
    <t>Antelope 2021</t>
  </si>
  <si>
    <t>Y</t>
  </si>
  <si>
    <t>Lava 2021</t>
  </si>
  <si>
    <t>lightning</t>
  </si>
  <si>
    <t>Northwest</t>
  </si>
  <si>
    <t>Archie Creek 2020</t>
  </si>
  <si>
    <t>Cinder Butte 2017</t>
  </si>
  <si>
    <t>unknown</t>
  </si>
  <si>
    <t>N</t>
  </si>
  <si>
    <t>Great Basin</t>
  </si>
  <si>
    <t>Badger 2020</t>
  </si>
  <si>
    <t>Black Pine 2007</t>
  </si>
  <si>
    <t>Beachie Creek 2020</t>
  </si>
  <si>
    <t>44 49 16 N</t>
  </si>
  <si>
    <t>122 11 17 W</t>
  </si>
  <si>
    <t>County Line 2 2015</t>
  </si>
  <si>
    <t>human</t>
  </si>
  <si>
    <t>Southwest</t>
  </si>
  <si>
    <t>Bighorn 2020</t>
  </si>
  <si>
    <t>Burro 2017</t>
  </si>
  <si>
    <t>Black Fire 2022</t>
  </si>
  <si>
    <t>33 12 13 N</t>
  </si>
  <si>
    <t>108 3 33 W</t>
  </si>
  <si>
    <t>Bear Trap 2022</t>
  </si>
  <si>
    <t>undetermined</t>
  </si>
  <si>
    <t>Southern California</t>
  </si>
  <si>
    <t>Bobcat 2020</t>
  </si>
  <si>
    <t>Dome 2020</t>
  </si>
  <si>
    <t>Bootleg 2021</t>
  </si>
  <si>
    <t>Watson Creek 2018</t>
  </si>
  <si>
    <t>Bush 2020</t>
  </si>
  <si>
    <t>Juniper 2016</t>
  </si>
  <si>
    <t>Northern Califormia</t>
  </si>
  <si>
    <t>Caldor 2021</t>
  </si>
  <si>
    <t>Butte 2015</t>
  </si>
  <si>
    <t>Rocky Mountain</t>
  </si>
  <si>
    <t>Cameron Peak 2020</t>
  </si>
  <si>
    <t>High Park 2012</t>
  </si>
  <si>
    <t>Cougar Peak 2021</t>
  </si>
  <si>
    <t>Brattain 2020</t>
  </si>
  <si>
    <t>Creek 2020</t>
  </si>
  <si>
    <t>37 12 4 N</t>
  </si>
  <si>
    <t>119 16 18 W</t>
  </si>
  <si>
    <t>Donnell 2018</t>
  </si>
  <si>
    <t>Dixie 2021</t>
  </si>
  <si>
    <t>Walker 2019</t>
  </si>
  <si>
    <t>Dolan 2020</t>
  </si>
  <si>
    <t>Chimney 2016</t>
  </si>
  <si>
    <t>East Troublesome 2020</t>
  </si>
  <si>
    <t>Beaver Creek 2016</t>
  </si>
  <si>
    <t>Holiday Farm 2020</t>
  </si>
  <si>
    <t>Pole Creek 2012</t>
  </si>
  <si>
    <t>Lionshead 2020</t>
  </si>
  <si>
    <t>Black Rock 2014</t>
  </si>
  <si>
    <t>McFarland 2021</t>
  </si>
  <si>
    <t>Zogg 2020</t>
  </si>
  <si>
    <t>Monument 2021</t>
  </si>
  <si>
    <t>40 45 8 N</t>
  </si>
  <si>
    <t>123 20 12 W</t>
  </si>
  <si>
    <t>Delta 2018</t>
  </si>
  <si>
    <t>Moose 2022</t>
  </si>
  <si>
    <t>Trail Creek 2021</t>
  </si>
  <si>
    <t>Mullen 2020</t>
  </si>
  <si>
    <t xml:space="preserve">undetermined </t>
  </si>
  <si>
    <t>Ryan 2018</t>
  </si>
  <si>
    <t>Pine Gulch 2020</t>
  </si>
  <si>
    <t>Bull Draw 2018</t>
  </si>
  <si>
    <t>Northern Rockies</t>
  </si>
  <si>
    <t>Richard Springs 2021</t>
  </si>
  <si>
    <t>Sarpy 2020</t>
  </si>
  <si>
    <t>Riverside 2020</t>
  </si>
  <si>
    <t>Nena Springs 2017</t>
  </si>
  <si>
    <t>Schneider Springs 2021</t>
  </si>
  <si>
    <t>Jolly Mountain 2017</t>
  </si>
  <si>
    <t>Slater 2020</t>
  </si>
  <si>
    <t>41 51 29 N</t>
  </si>
  <si>
    <t>123 21 13 W</t>
  </si>
  <si>
    <t>McKinney 2022</t>
  </si>
  <si>
    <t>Telegraph 2021</t>
  </si>
  <si>
    <t>Mescal 2021</t>
  </si>
  <si>
    <t>Whitney 2020</t>
  </si>
  <si>
    <t>47 42 26 N</t>
  </si>
  <si>
    <t>118 15 37 W</t>
  </si>
  <si>
    <t xml:space="preserve">Williams Flats 2019 </t>
  </si>
  <si>
    <t>Woodhead 2020</t>
  </si>
  <si>
    <t>Mesa 2018</t>
  </si>
  <si>
    <t>Mean</t>
  </si>
  <si>
    <t>Median</t>
  </si>
  <si>
    <t>Y = IN WUI</t>
  </si>
  <si>
    <t>Date</t>
  </si>
  <si>
    <t>Fire Day</t>
  </si>
  <si>
    <t>Cause</t>
  </si>
  <si>
    <t>Acres</t>
  </si>
  <si>
    <t>Cost</t>
  </si>
  <si>
    <t>growth</t>
  </si>
  <si>
    <t>As</t>
  </si>
  <si>
    <t>Ls</t>
  </si>
  <si>
    <t>Best</t>
  </si>
  <si>
    <t>ICS 209 Cost</t>
  </si>
  <si>
    <t>Real Cost (Adjusted for Inflation)</t>
  </si>
  <si>
    <t>Cost per day per acre</t>
  </si>
  <si>
    <t>07-05-17</t>
  </si>
  <si>
    <t>Unknown</t>
  </si>
  <si>
    <t xml:space="preserve">64000 </t>
  </si>
  <si>
    <t>07-07-17</t>
  </si>
  <si>
    <t>07-08-17</t>
  </si>
  <si>
    <t>07-09-17</t>
  </si>
  <si>
    <t>07-10-17</t>
  </si>
  <si>
    <t>07-11-17</t>
  </si>
  <si>
    <t>07-16-21</t>
  </si>
  <si>
    <t>Undetermined</t>
  </si>
  <si>
    <t xml:space="preserve">2000 </t>
  </si>
  <si>
    <t>07-17-21</t>
  </si>
  <si>
    <t xml:space="preserve">1528 </t>
  </si>
  <si>
    <t>07-18-21</t>
  </si>
  <si>
    <t xml:space="preserve">8255 </t>
  </si>
  <si>
    <t>07-19-21</t>
  </si>
  <si>
    <t xml:space="preserve">32473 </t>
  </si>
  <si>
    <t>07-20-21</t>
  </si>
  <si>
    <t xml:space="preserve">35134 </t>
  </si>
  <si>
    <t>07-21-21</t>
  </si>
  <si>
    <t xml:space="preserve">38671 </t>
  </si>
  <si>
    <t>07-22-21</t>
  </si>
  <si>
    <t xml:space="preserve">40877 </t>
  </si>
  <si>
    <t>07-23-21</t>
  </si>
  <si>
    <t xml:space="preserve">42785 </t>
  </si>
  <si>
    <t>07-24-21</t>
  </si>
  <si>
    <t xml:space="preserve">43739 </t>
  </si>
  <si>
    <t>07-25-21</t>
  </si>
  <si>
    <t xml:space="preserve">44100 </t>
  </si>
  <si>
    <t>07-26-21</t>
  </si>
  <si>
    <t xml:space="preserve">51153 </t>
  </si>
  <si>
    <t>07-27-21</t>
  </si>
  <si>
    <t xml:space="preserve">52832 </t>
  </si>
  <si>
    <t>07-28-21</t>
  </si>
  <si>
    <t xml:space="preserve">53277 </t>
  </si>
  <si>
    <t>07-29-21</t>
  </si>
  <si>
    <t xml:space="preserve">54858 </t>
  </si>
  <si>
    <t>07-30-21</t>
  </si>
  <si>
    <t>07-31-21</t>
  </si>
  <si>
    <t>D. Fire Suppression Strategy:</t>
  </si>
  <si>
    <t xml:space="preserve">58793 </t>
  </si>
  <si>
    <t>08-01-21</t>
  </si>
  <si>
    <t>08-02-21</t>
  </si>
  <si>
    <t xml:space="preserve">58697 </t>
  </si>
  <si>
    <t>08-03-21</t>
  </si>
  <si>
    <t xml:space="preserve">59377 </t>
  </si>
  <si>
    <t>08-04-21</t>
  </si>
  <si>
    <t xml:space="preserve">61026 </t>
  </si>
  <si>
    <t>08-05-21</t>
  </si>
  <si>
    <t xml:space="preserve">61391 </t>
  </si>
  <si>
    <t>08-06-21</t>
  </si>
  <si>
    <t xml:space="preserve">62368 </t>
  </si>
  <si>
    <t>08-07-21</t>
  </si>
  <si>
    <t>08-08-21</t>
  </si>
  <si>
    <t xml:space="preserve">62489 </t>
  </si>
  <si>
    <t>08-09-21</t>
  </si>
  <si>
    <t>08-10-21</t>
  </si>
  <si>
    <t>08-11-21</t>
  </si>
  <si>
    <t xml:space="preserve">63855 </t>
  </si>
  <si>
    <t>08-12-21</t>
  </si>
  <si>
    <t xml:space="preserve">66883 </t>
  </si>
  <si>
    <t>08-13-21</t>
  </si>
  <si>
    <t xml:space="preserve">67458 </t>
  </si>
  <si>
    <t>08-14-21</t>
  </si>
  <si>
    <t>08-15-21</t>
  </si>
  <si>
    <t xml:space="preserve">69678 </t>
  </si>
  <si>
    <t>08-16-21</t>
  </si>
  <si>
    <t>08-17-21</t>
  </si>
  <si>
    <t xml:space="preserve">69903 </t>
  </si>
  <si>
    <t>08-18-21</t>
  </si>
  <si>
    <t>08-19-21</t>
  </si>
  <si>
    <t xml:space="preserve">70154 </t>
  </si>
  <si>
    <t>08-20-21</t>
  </si>
  <si>
    <t>08-21-21</t>
  </si>
  <si>
    <t>08-22-21</t>
  </si>
  <si>
    <t xml:space="preserve">70186 </t>
  </si>
  <si>
    <t>08-23-21</t>
  </si>
  <si>
    <t>08-24-21</t>
  </si>
  <si>
    <t>08-25-21</t>
  </si>
  <si>
    <t>08-26-21</t>
  </si>
  <si>
    <t>08-27-21</t>
  </si>
  <si>
    <t>08-28-21</t>
  </si>
  <si>
    <t>08-29-21</t>
  </si>
  <si>
    <t>08-30-21</t>
  </si>
  <si>
    <t>08-31-21</t>
  </si>
  <si>
    <t>09-01-21</t>
  </si>
  <si>
    <t>09-02-21</t>
  </si>
  <si>
    <t>09-03-21</t>
  </si>
  <si>
    <t>09-04-21</t>
  </si>
  <si>
    <t>09-05-21</t>
  </si>
  <si>
    <t>09-06-21</t>
  </si>
  <si>
    <t>09-07-21</t>
  </si>
  <si>
    <t>09-08-21</t>
  </si>
  <si>
    <t xml:space="preserve">70168 </t>
  </si>
  <si>
    <t>09-09-21</t>
  </si>
  <si>
    <t>09-10-21</t>
  </si>
  <si>
    <t>09-11-21</t>
  </si>
  <si>
    <t>09-12-21</t>
  </si>
  <si>
    <t>09-13-21</t>
  </si>
  <si>
    <t>09-14-21</t>
  </si>
  <si>
    <t>09-15-21</t>
  </si>
  <si>
    <t>09-16-21</t>
  </si>
  <si>
    <t>09-17-21</t>
  </si>
  <si>
    <t>09-18-21</t>
  </si>
  <si>
    <t>09-20-21</t>
  </si>
  <si>
    <t>09-21-21</t>
  </si>
  <si>
    <t>09-22-21</t>
  </si>
  <si>
    <t>09-23-21</t>
  </si>
  <si>
    <t>09-24-21</t>
  </si>
  <si>
    <t>09-25-21</t>
  </si>
  <si>
    <t>09-26-21</t>
  </si>
  <si>
    <t>06-17-21</t>
  </si>
  <si>
    <t>Lightning/Natural</t>
  </si>
  <si>
    <t xml:space="preserve">7000 </t>
  </si>
  <si>
    <t>06-18-21</t>
  </si>
  <si>
    <t xml:space="preserve">17126 </t>
  </si>
  <si>
    <t>06-19-21</t>
  </si>
  <si>
    <t xml:space="preserve">24192 </t>
  </si>
  <si>
    <t>06-20-21</t>
  </si>
  <si>
    <t xml:space="preserve">34180 </t>
  </si>
  <si>
    <t>06-21-21</t>
  </si>
  <si>
    <t xml:space="preserve">38321 </t>
  </si>
  <si>
    <t>06-22-21</t>
  </si>
  <si>
    <t>06-23-21</t>
  </si>
  <si>
    <t xml:space="preserve">40619 </t>
  </si>
  <si>
    <t>06-24-21</t>
  </si>
  <si>
    <t xml:space="preserve">40841 </t>
  </si>
  <si>
    <t>06-25-21</t>
  </si>
  <si>
    <t xml:space="preserve">40855 </t>
  </si>
  <si>
    <t>06-26-21</t>
  </si>
  <si>
    <t>06-27-21</t>
  </si>
  <si>
    <t>06-28-21</t>
  </si>
  <si>
    <t>06-29-21</t>
  </si>
  <si>
    <t>07-01-21</t>
  </si>
  <si>
    <t>07-14-21</t>
  </si>
  <si>
    <t>04-17-22</t>
  </si>
  <si>
    <t xml:space="preserve">2209 </t>
  </si>
  <si>
    <t>04-18-22</t>
  </si>
  <si>
    <t xml:space="preserve">3500 </t>
  </si>
  <si>
    <t>04-19-22</t>
  </si>
  <si>
    <t xml:space="preserve">21000 </t>
  </si>
  <si>
    <t>04-20-22</t>
  </si>
  <si>
    <t xml:space="preserve">23000 </t>
  </si>
  <si>
    <t>04-21-22</t>
  </si>
  <si>
    <t xml:space="preserve">28217 </t>
  </si>
  <si>
    <t>04-22-22</t>
  </si>
  <si>
    <t xml:space="preserve">48672 </t>
  </si>
  <si>
    <t>04-23-22</t>
  </si>
  <si>
    <t xml:space="preserve">51982 </t>
  </si>
  <si>
    <t>04-24-22</t>
  </si>
  <si>
    <t xml:space="preserve">54021 </t>
  </si>
  <si>
    <t>04-25-22</t>
  </si>
  <si>
    <t xml:space="preserve">55172 </t>
  </si>
  <si>
    <t>04-26-22</t>
  </si>
  <si>
    <t xml:space="preserve">55199 </t>
  </si>
  <si>
    <t>04-27-22</t>
  </si>
  <si>
    <t xml:space="preserve">55931 </t>
  </si>
  <si>
    <t>04-28-22</t>
  </si>
  <si>
    <t xml:space="preserve">55978 </t>
  </si>
  <si>
    <t>04-29-22</t>
  </si>
  <si>
    <t xml:space="preserve">59063 </t>
  </si>
  <si>
    <t>04-30-22</t>
  </si>
  <si>
    <t xml:space="preserve">59065 </t>
  </si>
  <si>
    <t>05-01-22</t>
  </si>
  <si>
    <t xml:space="preserve">59076 </t>
  </si>
  <si>
    <t>05-02-22</t>
  </si>
  <si>
    <t xml:space="preserve">59359 </t>
  </si>
  <si>
    <t>05-03-22</t>
  </si>
  <si>
    <t>05-04-22</t>
  </si>
  <si>
    <t>05-13-22</t>
  </si>
  <si>
    <t>05-31-22</t>
  </si>
  <si>
    <t>08-09-18</t>
  </si>
  <si>
    <t>Human</t>
  </si>
  <si>
    <t xml:space="preserve">350 </t>
  </si>
  <si>
    <t>08-10-18</t>
  </si>
  <si>
    <t xml:space="preserve">280 </t>
  </si>
  <si>
    <t>08-11-18</t>
  </si>
  <si>
    <t xml:space="preserve">2030 </t>
  </si>
  <si>
    <t>08-12-18</t>
  </si>
  <si>
    <t xml:space="preserve">3825 </t>
  </si>
  <si>
    <t>08-14-18</t>
  </si>
  <si>
    <t xml:space="preserve">5689 </t>
  </si>
  <si>
    <t xml:space="preserve">5693 </t>
  </si>
  <si>
    <t>08-15-18</t>
  </si>
  <si>
    <t xml:space="preserve">7650 </t>
  </si>
  <si>
    <t>08-17-18</t>
  </si>
  <si>
    <t xml:space="preserve">11035 </t>
  </si>
  <si>
    <t>08-18-18</t>
  </si>
  <si>
    <t xml:space="preserve">12550 </t>
  </si>
  <si>
    <t xml:space="preserve">13059 </t>
  </si>
  <si>
    <t>08-19-18</t>
  </si>
  <si>
    <t xml:space="preserve">14214 </t>
  </si>
  <si>
    <t>08-20-18</t>
  </si>
  <si>
    <t xml:space="preserve">15210 </t>
  </si>
  <si>
    <t>08-22-18</t>
  </si>
  <si>
    <t xml:space="preserve">18814 </t>
  </si>
  <si>
    <t xml:space="preserve">19100 </t>
  </si>
  <si>
    <t>08-23-18</t>
  </si>
  <si>
    <t xml:space="preserve">22047 </t>
  </si>
  <si>
    <t>08-24-18</t>
  </si>
  <si>
    <t xml:space="preserve">23122 </t>
  </si>
  <si>
    <t>08-25-18</t>
  </si>
  <si>
    <t xml:space="preserve">25144 </t>
  </si>
  <si>
    <t>08-26-18</t>
  </si>
  <si>
    <t xml:space="preserve">28823 </t>
  </si>
  <si>
    <t>08-28-18</t>
  </si>
  <si>
    <t xml:space="preserve">30825 </t>
  </si>
  <si>
    <t>08-29-18</t>
  </si>
  <si>
    <t xml:space="preserve">33044 </t>
  </si>
  <si>
    <t>08-30-18</t>
  </si>
  <si>
    <t xml:space="preserve">34776 </t>
  </si>
  <si>
    <t>08-31-18</t>
  </si>
  <si>
    <t xml:space="preserve">36083 </t>
  </si>
  <si>
    <t>09-02-18</t>
  </si>
  <si>
    <t xml:space="preserve">42064 </t>
  </si>
  <si>
    <t>09-04-18</t>
  </si>
  <si>
    <t xml:space="preserve">46051 </t>
  </si>
  <si>
    <t>09-05-18</t>
  </si>
  <si>
    <t xml:space="preserve">46142 </t>
  </si>
  <si>
    <t>09-06-18</t>
  </si>
  <si>
    <t xml:space="preserve">46150 </t>
  </si>
  <si>
    <t>09-08-18</t>
  </si>
  <si>
    <t>09-09-18</t>
  </si>
  <si>
    <t>09-10-18</t>
  </si>
  <si>
    <t>09-12-18</t>
  </si>
  <si>
    <t>09-13-18</t>
  </si>
  <si>
    <t>09-14-18</t>
  </si>
  <si>
    <t>08-29-17</t>
  </si>
  <si>
    <t>08-30-17</t>
  </si>
  <si>
    <t xml:space="preserve">5289 </t>
  </si>
  <si>
    <t>08-31-17</t>
  </si>
  <si>
    <t xml:space="preserve">6794 </t>
  </si>
  <si>
    <t>09-01-17</t>
  </si>
  <si>
    <t xml:space="preserve">10311 </t>
  </si>
  <si>
    <t>09-02-17</t>
  </si>
  <si>
    <t xml:space="preserve">13240 </t>
  </si>
  <si>
    <t>09-03-17</t>
  </si>
  <si>
    <t xml:space="preserve">17418 </t>
  </si>
  <si>
    <t>09-04-17</t>
  </si>
  <si>
    <t xml:space="preserve">20529 </t>
  </si>
  <si>
    <t>09-05-17</t>
  </si>
  <si>
    <t>09-06-17</t>
  </si>
  <si>
    <t xml:space="preserve">20864 </t>
  </si>
  <si>
    <t>09-07-17</t>
  </si>
  <si>
    <t xml:space="preserve">24949 </t>
  </si>
  <si>
    <t>09-08-17</t>
  </si>
  <si>
    <t>09-09-17</t>
  </si>
  <si>
    <t xml:space="preserve">26748 </t>
  </si>
  <si>
    <t>09-10-17</t>
  </si>
  <si>
    <t xml:space="preserve">27586 </t>
  </si>
  <si>
    <t>09-11-17</t>
  </si>
  <si>
    <t xml:space="preserve">30390 </t>
  </si>
  <si>
    <t>09-12-17</t>
  </si>
  <si>
    <t>09-13-17</t>
  </si>
  <si>
    <t xml:space="preserve">31454 </t>
  </si>
  <si>
    <t>09-14-17</t>
  </si>
  <si>
    <t xml:space="preserve">32023 </t>
  </si>
  <si>
    <t>09-15-17</t>
  </si>
  <si>
    <t xml:space="preserve">32225 </t>
  </si>
  <si>
    <t>09-16-17</t>
  </si>
  <si>
    <t xml:space="preserve">33019 </t>
  </si>
  <si>
    <t>09-17-17</t>
  </si>
  <si>
    <t xml:space="preserve">36556 </t>
  </si>
  <si>
    <t>09-18-17</t>
  </si>
  <si>
    <t>09-19-17</t>
  </si>
  <si>
    <t>09-20-17</t>
  </si>
  <si>
    <t>09-21-17</t>
  </si>
  <si>
    <t>09-22-17</t>
  </si>
  <si>
    <t>09-23-17</t>
  </si>
  <si>
    <t>06-30-17</t>
  </si>
  <si>
    <t xml:space="preserve">65 </t>
  </si>
  <si>
    <t>07-01-17</t>
  </si>
  <si>
    <t xml:space="preserve">78 </t>
  </si>
  <si>
    <t>07-02-17</t>
  </si>
  <si>
    <t xml:space="preserve">98 </t>
  </si>
  <si>
    <t>07-03-17</t>
  </si>
  <si>
    <t xml:space="preserve">130 </t>
  </si>
  <si>
    <t>07-04-17</t>
  </si>
  <si>
    <t xml:space="preserve">200 </t>
  </si>
  <si>
    <t xml:space="preserve">257 </t>
  </si>
  <si>
    <t>07-06-17</t>
  </si>
  <si>
    <t xml:space="preserve">382 </t>
  </si>
  <si>
    <t xml:space="preserve">567 </t>
  </si>
  <si>
    <t xml:space="preserve">736 </t>
  </si>
  <si>
    <t xml:space="preserve">881 </t>
  </si>
  <si>
    <t xml:space="preserve">962 </t>
  </si>
  <si>
    <t xml:space="preserve">1039 </t>
  </si>
  <si>
    <t>07-12-17</t>
  </si>
  <si>
    <t xml:space="preserve">1069 </t>
  </si>
  <si>
    <t>07-13-17</t>
  </si>
  <si>
    <t xml:space="preserve">1090 </t>
  </si>
  <si>
    <t>07-14-17</t>
  </si>
  <si>
    <t xml:space="preserve">1141 </t>
  </si>
  <si>
    <t>07-15-17</t>
  </si>
  <si>
    <t xml:space="preserve">1176 </t>
  </si>
  <si>
    <t>07-16-17</t>
  </si>
  <si>
    <t xml:space="preserve">1195 </t>
  </si>
  <si>
    <t>07-17-17</t>
  </si>
  <si>
    <t xml:space="preserve">1220 </t>
  </si>
  <si>
    <t>07-18-17</t>
  </si>
  <si>
    <t xml:space="preserve">1235 </t>
  </si>
  <si>
    <t>07-19-17</t>
  </si>
  <si>
    <t xml:space="preserve">1255 </t>
  </si>
  <si>
    <t>07-20-17</t>
  </si>
  <si>
    <t xml:space="preserve">1229 </t>
  </si>
  <si>
    <t>07-21-17</t>
  </si>
  <si>
    <t xml:space="preserve">1300 </t>
  </si>
  <si>
    <t>07-22-17</t>
  </si>
  <si>
    <t xml:space="preserve">1315 </t>
  </si>
  <si>
    <t>07-23-17</t>
  </si>
  <si>
    <t xml:space="preserve">1330 </t>
  </si>
  <si>
    <t>07-24-17</t>
  </si>
  <si>
    <t xml:space="preserve">1276 </t>
  </si>
  <si>
    <t>07-25-17</t>
  </si>
  <si>
    <t xml:space="preserve">1291 </t>
  </si>
  <si>
    <t>07-26-17</t>
  </si>
  <si>
    <t xml:space="preserve">1295 </t>
  </si>
  <si>
    <t>07-27-17</t>
  </si>
  <si>
    <t xml:space="preserve">1303 </t>
  </si>
  <si>
    <t>07-28-17</t>
  </si>
  <si>
    <t xml:space="preserve">1306 </t>
  </si>
  <si>
    <t>07-29-17</t>
  </si>
  <si>
    <t>07-30-17</t>
  </si>
  <si>
    <t xml:space="preserve">1314 </t>
  </si>
  <si>
    <t>07-31-17</t>
  </si>
  <si>
    <t>08-01-17</t>
  </si>
  <si>
    <t xml:space="preserve">1350 </t>
  </si>
  <si>
    <t>08-02-17</t>
  </si>
  <si>
    <t xml:space="preserve">1375 </t>
  </si>
  <si>
    <t>08-03-17</t>
  </si>
  <si>
    <t xml:space="preserve">1440 </t>
  </si>
  <si>
    <t>08-04-17</t>
  </si>
  <si>
    <t xml:space="preserve">1468 </t>
  </si>
  <si>
    <t>08-05-17</t>
  </si>
  <si>
    <t>08-06-17</t>
  </si>
  <si>
    <t>08-07-17</t>
  </si>
  <si>
    <t xml:space="preserve">1470 </t>
  </si>
  <si>
    <t>08-08-17</t>
  </si>
  <si>
    <t>08-09-17</t>
  </si>
  <si>
    <t>08-10-17</t>
  </si>
  <si>
    <t>08-11-17</t>
  </si>
  <si>
    <t xml:space="preserve">1473 </t>
  </si>
  <si>
    <t>08-12-17</t>
  </si>
  <si>
    <t>08-13-17</t>
  </si>
  <si>
    <t xml:space="preserve">13497 </t>
  </si>
  <si>
    <t xml:space="preserve">4300 </t>
  </si>
  <si>
    <t xml:space="preserve">15000 </t>
  </si>
  <si>
    <t xml:space="preserve">53314 </t>
  </si>
  <si>
    <t xml:space="preserve">55970 </t>
  </si>
  <si>
    <t xml:space="preserve">56454 </t>
  </si>
  <si>
    <t xml:space="preserve">57460 </t>
  </si>
  <si>
    <t xml:space="preserve">57478 </t>
  </si>
  <si>
    <t xml:space="preserve">58087 </t>
  </si>
  <si>
    <t xml:space="preserve">58265 </t>
  </si>
  <si>
    <t xml:space="preserve">58276 </t>
  </si>
  <si>
    <t xml:space="preserve">58280 </t>
  </si>
  <si>
    <t>10-16-21</t>
  </si>
  <si>
    <t xml:space="preserve">58234 </t>
  </si>
  <si>
    <t xml:space="preserve">47000 </t>
  </si>
  <si>
    <t xml:space="preserve">41155 </t>
  </si>
  <si>
    <t xml:space="preserve">42425 </t>
  </si>
  <si>
    <t xml:space="preserve">41448 </t>
  </si>
  <si>
    <t xml:space="preserve">43582 </t>
  </si>
  <si>
    <t xml:space="preserve">44024 </t>
  </si>
  <si>
    <t>08-16-20</t>
  </si>
  <si>
    <t>08-17-20</t>
  </si>
  <si>
    <t xml:space="preserve">3793 </t>
  </si>
  <si>
    <t>08-18-20</t>
  </si>
  <si>
    <t xml:space="preserve">4509 </t>
  </si>
  <si>
    <t>08-19-20</t>
  </si>
  <si>
    <t xml:space="preserve">15050 </t>
  </si>
  <si>
    <t>08-20-20</t>
  </si>
  <si>
    <t xml:space="preserve">39464 </t>
  </si>
  <si>
    <t>08-21-20</t>
  </si>
  <si>
    <t xml:space="preserve">42583 </t>
  </si>
  <si>
    <t>08-22-20</t>
  </si>
  <si>
    <t xml:space="preserve">47773 </t>
  </si>
  <si>
    <t>08-23-20</t>
  </si>
  <si>
    <t xml:space="preserve">48424 </t>
  </si>
  <si>
    <t>08-24-20</t>
  </si>
  <si>
    <t>08-25-20</t>
  </si>
  <si>
    <t>08-26-20</t>
  </si>
  <si>
    <t>08-27-20</t>
  </si>
  <si>
    <t xml:space="preserve">48732 </t>
  </si>
  <si>
    <t>08-28-20</t>
  </si>
  <si>
    <t>08-29-20</t>
  </si>
  <si>
    <t xml:space="preserve">48088 </t>
  </si>
  <si>
    <t>08-30-20</t>
  </si>
  <si>
    <t>08-31-20</t>
  </si>
  <si>
    <t>09-01-20</t>
  </si>
  <si>
    <t>09-02-20</t>
  </si>
  <si>
    <t>09-03-20</t>
  </si>
  <si>
    <t>09-04-20</t>
  </si>
  <si>
    <t>08/01/2016 0600</t>
  </si>
  <si>
    <t>08/02/2016 0600</t>
  </si>
  <si>
    <t>08/03/2016 0600</t>
  </si>
  <si>
    <t>08/03/2016 1800</t>
  </si>
  <si>
    <t>08/04/2016 1800</t>
  </si>
  <si>
    <t>08/06/2016 0600</t>
  </si>
  <si>
    <t>08/06/2016 1800</t>
  </si>
  <si>
    <t>08/08/2016 0600</t>
  </si>
  <si>
    <t>08/09/2016 0600</t>
  </si>
  <si>
    <t>08/09/2016 1800</t>
  </si>
  <si>
    <t>08/10/2016 1800</t>
  </si>
  <si>
    <t>08/12/2016 0600</t>
  </si>
  <si>
    <t>08/12/2016 1800</t>
  </si>
  <si>
    <t>08/14/2016 0600</t>
  </si>
  <si>
    <t>08/15/2016 0600</t>
  </si>
  <si>
    <t>08/16/2016 0600</t>
  </si>
  <si>
    <t>08/17/2016 0600</t>
  </si>
  <si>
    <t>08/17/2016 1800</t>
  </si>
  <si>
    <t>08/19/2016 0600</t>
  </si>
  <si>
    <t>08/19/2016 1800</t>
  </si>
  <si>
    <t>08/20/2016 1800</t>
  </si>
  <si>
    <t>08/22/2016 0600</t>
  </si>
  <si>
    <t>08/23/2016 0600</t>
  </si>
  <si>
    <t>08/23/2016 1800</t>
  </si>
  <si>
    <t>08/25/2016 0600</t>
  </si>
  <si>
    <t>08/25/2016 1800</t>
  </si>
  <si>
    <t>08/27/2016 0600</t>
  </si>
  <si>
    <t>08/27/2016 1800</t>
  </si>
  <si>
    <t>08/28/2016 1800</t>
  </si>
  <si>
    <t>08/30/2016 0600</t>
  </si>
  <si>
    <t>08/30/2016 1800</t>
  </si>
  <si>
    <t>09/01/2016 0600</t>
  </si>
  <si>
    <t>09/02/2016 0600</t>
  </si>
  <si>
    <t>09/03/2016 0600</t>
  </si>
  <si>
    <t>09/04/2016 0600</t>
  </si>
  <si>
    <t>09/05/2016 0600</t>
  </si>
  <si>
    <t>09/06/2016 0600</t>
  </si>
  <si>
    <t>09/06/2016 1800</t>
  </si>
  <si>
    <t>09/08/2016 0600</t>
  </si>
  <si>
    <t>09/09/2016 0600</t>
  </si>
  <si>
    <t>09/09/2016 1800</t>
  </si>
  <si>
    <t>09/11/2016 0600</t>
  </si>
  <si>
    <t>09/12/2016 0600</t>
  </si>
  <si>
    <t>09/13/2016 0600</t>
  </si>
  <si>
    <t>09/14/2016 0600</t>
  </si>
  <si>
    <t>09/15/2016 0600</t>
  </si>
  <si>
    <t>09/15/2016 1800</t>
  </si>
  <si>
    <t>09/16/2016 1800</t>
  </si>
  <si>
    <t>09/17/2016 1800</t>
  </si>
  <si>
    <t>09/19/2016 0600</t>
  </si>
  <si>
    <t>09/19/2016 1800</t>
  </si>
  <si>
    <t>09/21/2016 0600</t>
  </si>
  <si>
    <t>09/21/2016 1800</t>
  </si>
  <si>
    <t>09/22/2016 1800</t>
  </si>
  <si>
    <t>09/23/2016 1800</t>
  </si>
  <si>
    <t>09/25/2016 0600</t>
  </si>
  <si>
    <t>09/25/2016 1800</t>
  </si>
  <si>
    <t>09/27/2016 0600</t>
  </si>
  <si>
    <t>09/27/2016 1800</t>
  </si>
  <si>
    <t>09/29/2016 0600</t>
  </si>
  <si>
    <t>09/29/2016 1800</t>
  </si>
  <si>
    <t>10/01/2016 0600</t>
  </si>
  <si>
    <t>10/01/2016 1800</t>
  </si>
  <si>
    <t>10/03/2016 0600</t>
  </si>
  <si>
    <t>10/03/2016 1800</t>
  </si>
  <si>
    <t>10/05/2016 0600</t>
  </si>
  <si>
    <t>10/06/2016 0600</t>
  </si>
  <si>
    <t>10/06/2016 1800</t>
  </si>
  <si>
    <t>10/08/2016 0600</t>
  </si>
  <si>
    <t>10/09/2016 1800</t>
  </si>
  <si>
    <t>10/10/2016 1800</t>
  </si>
  <si>
    <t>10/11/2016 1800</t>
  </si>
  <si>
    <t>10/12/2016 1800</t>
  </si>
  <si>
    <t>10/13/2016 1800</t>
  </si>
  <si>
    <t>10/14/2016 1800</t>
  </si>
  <si>
    <t>10/15/2016 1800</t>
  </si>
  <si>
    <t>10/16/2016 1800</t>
  </si>
  <si>
    <t>10/17/2016 1800</t>
  </si>
  <si>
    <t>10/18/2016 1800</t>
  </si>
  <si>
    <t>10/19/2016 1800</t>
  </si>
  <si>
    <t>10/20/2016 1800</t>
  </si>
  <si>
    <t>10/21/2016 1800</t>
  </si>
  <si>
    <t>10/22/2016 1800</t>
  </si>
  <si>
    <t>10/23/2016 1800</t>
  </si>
  <si>
    <t>10/24/2016 1800</t>
  </si>
  <si>
    <t>09/06/2022 2315</t>
  </si>
  <si>
    <t>09/07/2022 1700</t>
  </si>
  <si>
    <t>09/09/2022 0500</t>
  </si>
  <si>
    <t>09/10/2022 0530</t>
  </si>
  <si>
    <t>09/10/2022 1730</t>
  </si>
  <si>
    <t>09/12/2022 0500</t>
  </si>
  <si>
    <t>09/12/2022 1730</t>
  </si>
  <si>
    <t>09/13/2022 1730</t>
  </si>
  <si>
    <t>09/14/2022 1745</t>
  </si>
  <si>
    <t>09/16/2022 0530</t>
  </si>
  <si>
    <t>09/17/2022 0500</t>
  </si>
  <si>
    <t>09/18/2022 0500</t>
  </si>
  <si>
    <t>09/19/2022 0500</t>
  </si>
  <si>
    <t>09/19/2022 1700</t>
  </si>
  <si>
    <t>09/20/2022 0830</t>
  </si>
  <si>
    <t>09/21/2022 1645</t>
  </si>
  <si>
    <t>09/22/2022 1500</t>
  </si>
  <si>
    <t>09/23/2022 1700</t>
  </si>
  <si>
    <t>09/25/2022 1700</t>
  </si>
  <si>
    <t>09/26/2022 1700</t>
  </si>
  <si>
    <t>09/27/2022 1700</t>
  </si>
  <si>
    <t>09/28/2022 1700</t>
  </si>
  <si>
    <t>09/29/2022 1700</t>
  </si>
  <si>
    <t>09/30/2022 1700</t>
  </si>
  <si>
    <t>10/01/2022 1700</t>
  </si>
  <si>
    <t>10/02/2022 1500</t>
  </si>
  <si>
    <t>10/03/2022 0900</t>
  </si>
  <si>
    <t>10/03/2022 1430</t>
  </si>
  <si>
    <t>10/05/2022 1400</t>
  </si>
  <si>
    <t>10/06/2022 1700</t>
  </si>
  <si>
    <t>10/07/2022 1430</t>
  </si>
  <si>
    <t>10/08/2022 1700</t>
  </si>
  <si>
    <t>10/09/2022 1730</t>
  </si>
  <si>
    <t>10/10/2022 1730</t>
  </si>
  <si>
    <t>10/11/2022 1800</t>
  </si>
  <si>
    <t>10/12/2022 1730</t>
  </si>
  <si>
    <t>10/13/2022 1745</t>
  </si>
  <si>
    <t>10/14/2022 1745</t>
  </si>
  <si>
    <t>10/15/2022 1730</t>
  </si>
  <si>
    <t>10/16/2022 1730</t>
  </si>
  <si>
    <t>10/17/2022 1715</t>
  </si>
  <si>
    <t>10/18/2022 1730</t>
  </si>
  <si>
    <t>10/19/2022 1600</t>
  </si>
  <si>
    <t>10/20/2022 1715</t>
  </si>
  <si>
    <t>10/21/2022 1630</t>
  </si>
  <si>
    <t>10/22/2022 1715</t>
  </si>
  <si>
    <t>10/23/2022 1730</t>
  </si>
  <si>
    <t>Other</t>
  </si>
  <si>
    <t>Fire_#</t>
  </si>
  <si>
    <t>Name</t>
  </si>
  <si>
    <t>Lat</t>
  </si>
  <si>
    <t>Lon</t>
  </si>
  <si>
    <t>Size</t>
  </si>
  <si>
    <t>Fire_Day</t>
  </si>
  <si>
    <t>Acres_Growth</t>
  </si>
  <si>
    <t>Scaled_Acres_Gr.</t>
  </si>
  <si>
    <t>CarltonCplx</t>
  </si>
  <si>
    <t>ChetcoBar</t>
  </si>
  <si>
    <t>TP</t>
  </si>
  <si>
    <t>WP</t>
  </si>
  <si>
    <t>no</t>
  </si>
  <si>
    <t>yes</t>
  </si>
  <si>
    <t>Fire within 60km of FOUS at same time?</t>
  </si>
  <si>
    <t>yes, 3 plus 2 FOUS</t>
  </si>
  <si>
    <t>yes, 3 plus 1 FOUS</t>
  </si>
  <si>
    <t>yes, 4</t>
  </si>
  <si>
    <t>yes, but landscape differences, W and E of Cascade crest</t>
  </si>
  <si>
    <t>Lava</t>
  </si>
  <si>
    <t>Ls_1st_&gt;2.5</t>
  </si>
  <si>
    <t>Tortolita</t>
  </si>
  <si>
    <t>Day &gt;2.5</t>
  </si>
  <si>
    <t>Central, Boulder</t>
  </si>
  <si>
    <t>Both started after &gt;2.5 day</t>
  </si>
  <si>
    <t>Non FOUS burning at same time as FOUS</t>
  </si>
  <si>
    <t>yes, 2 plus 2 FOUS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</si>
</sst>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000"/>
    <numFmt numFmtId="166" formatCode="0.000"/>
    <numFmt numFmtId="167" formatCode="mm/dd/yyyy"/>
  </numFmts>
  <fonts count="1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&quot;Aptos Narrow&quot;"/>
    </font>
  </fonts>
  <fills count="20">
    <fill>
      <patternFill patternType="none"/>
    </fill>
    <fill>
      <patternFill patternType="gray125"/>
    </fill>
    <fill>
      <patternFill patternType="solid">
        <fgColor rgb="FFFEE1CC"/>
        <bgColor rgb="FFFEE1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D7E6B"/>
        <bgColor rgb="FFDD7E6B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rgb="FFD9EAD3"/>
      </patternFill>
    </fill>
    <fill>
      <patternFill patternType="solid">
        <fgColor theme="1" tint="0.34998626667073579"/>
        <bgColor rgb="FFFFF2CC"/>
      </patternFill>
    </fill>
    <fill>
      <patternFill patternType="solid">
        <fgColor theme="1" tint="0.34998626667073579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3" fillId="0" borderId="0" xfId="0" applyFont="1"/>
    <xf numFmtId="165" fontId="6" fillId="0" borderId="0" xfId="0" applyNumberFormat="1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8" fillId="0" borderId="0" xfId="0" applyFont="1"/>
    <xf numFmtId="164" fontId="8" fillId="0" borderId="0" xfId="0" applyNumberFormat="1" applyFont="1"/>
    <xf numFmtId="0" fontId="8" fillId="3" borderId="0" xfId="0" applyFont="1" applyFill="1"/>
    <xf numFmtId="164" fontId="9" fillId="0" borderId="0" xfId="0" applyNumberFormat="1" applyFont="1"/>
    <xf numFmtId="164" fontId="8" fillId="4" borderId="0" xfId="0" applyNumberFormat="1" applyFont="1" applyFill="1"/>
    <xf numFmtId="164" fontId="8" fillId="5" borderId="0" xfId="0" applyNumberFormat="1" applyFont="1" applyFill="1"/>
    <xf numFmtId="0" fontId="9" fillId="6" borderId="0" xfId="0" applyFont="1" applyFill="1"/>
    <xf numFmtId="0" fontId="8" fillId="6" borderId="0" xfId="0" applyFont="1" applyFill="1"/>
    <xf numFmtId="0" fontId="8" fillId="7" borderId="0" xfId="0" applyFont="1" applyFill="1"/>
    <xf numFmtId="164" fontId="8" fillId="8" borderId="0" xfId="0" applyNumberFormat="1" applyFont="1" applyFill="1"/>
    <xf numFmtId="0" fontId="10" fillId="0" borderId="0" xfId="0" applyFont="1"/>
    <xf numFmtId="164" fontId="10" fillId="0" borderId="0" xfId="0" applyNumberFormat="1" applyFont="1"/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8" fillId="9" borderId="0" xfId="0" applyFont="1" applyFill="1"/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8" fillId="10" borderId="0" xfId="0" applyFont="1" applyFill="1"/>
    <xf numFmtId="0" fontId="8" fillId="5" borderId="0" xfId="0" applyFont="1" applyFill="1"/>
    <xf numFmtId="0" fontId="8" fillId="3" borderId="1" xfId="0" applyFont="1" applyFill="1" applyBorder="1"/>
    <xf numFmtId="0" fontId="9" fillId="10" borderId="0" xfId="0" applyFont="1" applyFill="1"/>
    <xf numFmtId="0" fontId="9" fillId="3" borderId="0" xfId="0" applyFont="1" applyFill="1"/>
    <xf numFmtId="0" fontId="9" fillId="0" borderId="0" xfId="0" applyFont="1"/>
    <xf numFmtId="0" fontId="9" fillId="0" borderId="0" xfId="0" applyFont="1" applyAlignment="1">
      <alignment horizontal="center"/>
    </xf>
    <xf numFmtId="14" fontId="9" fillId="0" borderId="0" xfId="0" applyNumberFormat="1" applyFont="1"/>
    <xf numFmtId="4" fontId="9" fillId="0" borderId="0" xfId="0" applyNumberFormat="1" applyFont="1" applyAlignment="1">
      <alignment horizontal="center"/>
    </xf>
    <xf numFmtId="0" fontId="8" fillId="11" borderId="0" xfId="0" applyFont="1" applyFill="1"/>
    <xf numFmtId="2" fontId="8" fillId="0" borderId="0" xfId="0" applyNumberFormat="1" applyFont="1"/>
    <xf numFmtId="0" fontId="9" fillId="11" borderId="0" xfId="0" applyFont="1" applyFill="1"/>
    <xf numFmtId="0" fontId="8" fillId="12" borderId="0" xfId="0" applyFont="1" applyFill="1"/>
    <xf numFmtId="166" fontId="8" fillId="0" borderId="0" xfId="0" applyNumberFormat="1" applyFont="1"/>
    <xf numFmtId="0" fontId="9" fillId="12" borderId="0" xfId="0" applyFont="1" applyFill="1"/>
    <xf numFmtId="0" fontId="9" fillId="3" borderId="1" xfId="0" applyFont="1" applyFill="1" applyBorder="1"/>
    <xf numFmtId="0" fontId="9" fillId="9" borderId="0" xfId="0" applyFont="1" applyFill="1"/>
    <xf numFmtId="0" fontId="8" fillId="4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1" fillId="13" borderId="0" xfId="0" applyFont="1" applyFill="1"/>
    <xf numFmtId="0" fontId="8" fillId="13" borderId="0" xfId="0" applyFont="1" applyFill="1"/>
    <xf numFmtId="164" fontId="8" fillId="13" borderId="0" xfId="0" applyNumberFormat="1" applyFont="1" applyFill="1"/>
    <xf numFmtId="0" fontId="8" fillId="13" borderId="0" xfId="0" applyFont="1" applyFill="1" applyAlignment="1">
      <alignment horizontal="center"/>
    </xf>
    <xf numFmtId="4" fontId="8" fillId="13" borderId="0" xfId="0" applyNumberFormat="1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4" fontId="1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2" fillId="4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6" borderId="0" xfId="0" applyFont="1" applyFill="1"/>
    <xf numFmtId="164" fontId="2" fillId="14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0" fontId="14" fillId="15" borderId="0" xfId="0" applyFont="1" applyFill="1"/>
    <xf numFmtId="0" fontId="1" fillId="15" borderId="0" xfId="0" applyFont="1" applyFill="1"/>
    <xf numFmtId="0" fontId="14" fillId="15" borderId="0" xfId="0" applyFont="1" applyFill="1" applyAlignment="1">
      <alignment horizontal="right"/>
    </xf>
    <xf numFmtId="0" fontId="2" fillId="15" borderId="0" xfId="0" applyFont="1" applyFill="1" applyAlignment="1">
      <alignment wrapText="1"/>
    </xf>
    <xf numFmtId="0" fontId="13" fillId="15" borderId="0" xfId="0" applyFont="1" applyFill="1" applyAlignment="1">
      <alignment horizontal="right"/>
    </xf>
    <xf numFmtId="164" fontId="2" fillId="15" borderId="0" xfId="0" applyNumberFormat="1" applyFont="1" applyFill="1"/>
    <xf numFmtId="0" fontId="14" fillId="0" borderId="0" xfId="0" applyFont="1"/>
    <xf numFmtId="0" fontId="14" fillId="0" borderId="0" xfId="0" applyFont="1" applyAlignment="1">
      <alignment horizontal="right"/>
    </xf>
    <xf numFmtId="0" fontId="13" fillId="6" borderId="0" xfId="0" applyFont="1" applyFill="1" applyAlignment="1">
      <alignment horizontal="right"/>
    </xf>
    <xf numFmtId="164" fontId="2" fillId="14" borderId="0" xfId="0" applyNumberFormat="1" applyFont="1" applyFill="1"/>
    <xf numFmtId="164" fontId="2" fillId="3" borderId="0" xfId="0" applyNumberFormat="1" applyFont="1" applyFill="1"/>
    <xf numFmtId="0" fontId="14" fillId="0" borderId="0" xfId="0" applyFont="1" applyAlignment="1">
      <alignment horizontal="center"/>
    </xf>
    <xf numFmtId="0" fontId="2" fillId="0" borderId="0" xfId="0" applyFont="1" applyAlignment="1">
      <alignment wrapText="1"/>
    </xf>
    <xf numFmtId="167" fontId="13" fillId="0" borderId="0" xfId="0" applyNumberFormat="1" applyFont="1"/>
    <xf numFmtId="167" fontId="13" fillId="15" borderId="0" xfId="0" applyNumberFormat="1" applyFont="1" applyFill="1"/>
    <xf numFmtId="0" fontId="13" fillId="15" borderId="0" xfId="0" applyFont="1" applyFill="1"/>
    <xf numFmtId="14" fontId="13" fillId="0" borderId="0" xfId="0" applyNumberFormat="1" applyFont="1"/>
    <xf numFmtId="14" fontId="13" fillId="15" borderId="0" xfId="0" applyNumberFormat="1" applyFont="1" applyFill="1"/>
    <xf numFmtId="0" fontId="2" fillId="4" borderId="0" xfId="0" applyFont="1" applyFill="1"/>
    <xf numFmtId="0" fontId="15" fillId="14" borderId="0" xfId="0" applyFont="1" applyFill="1"/>
    <xf numFmtId="0" fontId="15" fillId="3" borderId="0" xfId="0" applyFont="1" applyFill="1"/>
    <xf numFmtId="0" fontId="15" fillId="4" borderId="0" xfId="0" applyFont="1" applyFill="1"/>
    <xf numFmtId="0" fontId="15" fillId="6" borderId="0" xfId="0" applyFont="1" applyFill="1"/>
    <xf numFmtId="0" fontId="2" fillId="3" borderId="0" xfId="0" applyFont="1" applyFill="1"/>
    <xf numFmtId="0" fontId="1" fillId="6" borderId="0" xfId="0" applyFont="1" applyFill="1"/>
    <xf numFmtId="0" fontId="16" fillId="0" borderId="0" xfId="0" applyFont="1"/>
    <xf numFmtId="0" fontId="16" fillId="0" borderId="0" xfId="0" applyFont="1" applyAlignment="1">
      <alignment horizontal="right"/>
    </xf>
    <xf numFmtId="164" fontId="2" fillId="6" borderId="0" xfId="0" applyNumberFormat="1" applyFont="1" applyFill="1" applyAlignment="1">
      <alignment horizontal="right"/>
    </xf>
    <xf numFmtId="164" fontId="2" fillId="15" borderId="0" xfId="0" applyNumberFormat="1" applyFont="1" applyFill="1" applyAlignment="1">
      <alignment wrapText="1"/>
    </xf>
    <xf numFmtId="0" fontId="10" fillId="16" borderId="0" xfId="0" applyFont="1" applyFill="1"/>
    <xf numFmtId="0" fontId="8" fillId="17" borderId="0" xfId="0" applyFont="1" applyFill="1"/>
    <xf numFmtId="0" fontId="8" fillId="18" borderId="1" xfId="0" applyFont="1" applyFill="1" applyBorder="1"/>
    <xf numFmtId="0" fontId="9" fillId="17" borderId="0" xfId="0" applyFont="1" applyFill="1"/>
    <xf numFmtId="0" fontId="8" fillId="17" borderId="1" xfId="0" applyFont="1" applyFill="1" applyBorder="1"/>
    <xf numFmtId="0" fontId="12" fillId="17" borderId="1" xfId="0" applyFont="1" applyFill="1" applyBorder="1"/>
    <xf numFmtId="0" fontId="9" fillId="17" borderId="1" xfId="0" applyFont="1" applyFill="1" applyBorder="1"/>
    <xf numFmtId="0" fontId="8" fillId="18" borderId="0" xfId="0" applyFont="1" applyFill="1"/>
    <xf numFmtId="0" fontId="8" fillId="19" borderId="0" xfId="0" applyFont="1" applyFill="1"/>
    <xf numFmtId="0" fontId="8" fillId="16" borderId="0" xfId="0" applyFont="1" applyFill="1"/>
    <xf numFmtId="0" fontId="0" fillId="16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3.xml"/><Relationship Id="rId47" Type="http://schemas.openxmlformats.org/officeDocument/2006/relationships/externalLink" Target="externalLinks/externalLink8.xml"/><Relationship Id="rId63" Type="http://schemas.openxmlformats.org/officeDocument/2006/relationships/externalLink" Target="externalLinks/externalLink24.xml"/><Relationship Id="rId68" Type="http://schemas.openxmlformats.org/officeDocument/2006/relationships/externalLink" Target="externalLinks/externalLink29.xml"/><Relationship Id="rId84" Type="http://schemas.openxmlformats.org/officeDocument/2006/relationships/externalLink" Target="externalLinks/externalLink45.xml"/><Relationship Id="rId89" Type="http://schemas.openxmlformats.org/officeDocument/2006/relationships/externalLink" Target="externalLinks/externalLink50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14.xml"/><Relationship Id="rId58" Type="http://schemas.openxmlformats.org/officeDocument/2006/relationships/externalLink" Target="externalLinks/externalLink19.xml"/><Relationship Id="rId74" Type="http://schemas.openxmlformats.org/officeDocument/2006/relationships/externalLink" Target="externalLinks/externalLink35.xml"/><Relationship Id="rId79" Type="http://schemas.openxmlformats.org/officeDocument/2006/relationships/externalLink" Target="externalLinks/externalLink40.xml"/><Relationship Id="rId102" Type="http://schemas.microsoft.com/office/2017/10/relationships/person" Target="persons/person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51.xml"/><Relationship Id="rId95" Type="http://schemas.openxmlformats.org/officeDocument/2006/relationships/externalLink" Target="externalLinks/externalLink56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externalLink" Target="externalLinks/externalLink4.xml"/><Relationship Id="rId48" Type="http://schemas.openxmlformats.org/officeDocument/2006/relationships/externalLink" Target="externalLinks/externalLink9.xml"/><Relationship Id="rId64" Type="http://schemas.openxmlformats.org/officeDocument/2006/relationships/externalLink" Target="externalLinks/externalLink25.xml"/><Relationship Id="rId69" Type="http://schemas.openxmlformats.org/officeDocument/2006/relationships/externalLink" Target="externalLinks/externalLink30.xml"/><Relationship Id="rId80" Type="http://schemas.openxmlformats.org/officeDocument/2006/relationships/externalLink" Target="externalLinks/externalLink41.xml"/><Relationship Id="rId85" Type="http://schemas.openxmlformats.org/officeDocument/2006/relationships/externalLink" Target="externalLinks/externalLink4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7.xml"/><Relationship Id="rId59" Type="http://schemas.openxmlformats.org/officeDocument/2006/relationships/externalLink" Target="externalLinks/externalLink20.xml"/><Relationship Id="rId67" Type="http://schemas.openxmlformats.org/officeDocument/2006/relationships/externalLink" Target="externalLinks/externalLink28.xml"/><Relationship Id="rId103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54" Type="http://schemas.openxmlformats.org/officeDocument/2006/relationships/externalLink" Target="externalLinks/externalLink15.xml"/><Relationship Id="rId62" Type="http://schemas.openxmlformats.org/officeDocument/2006/relationships/externalLink" Target="externalLinks/externalLink23.xml"/><Relationship Id="rId70" Type="http://schemas.openxmlformats.org/officeDocument/2006/relationships/externalLink" Target="externalLinks/externalLink31.xml"/><Relationship Id="rId75" Type="http://schemas.openxmlformats.org/officeDocument/2006/relationships/externalLink" Target="externalLinks/externalLink36.xml"/><Relationship Id="rId83" Type="http://schemas.openxmlformats.org/officeDocument/2006/relationships/externalLink" Target="externalLinks/externalLink44.xml"/><Relationship Id="rId88" Type="http://schemas.openxmlformats.org/officeDocument/2006/relationships/externalLink" Target="externalLinks/externalLink49.xml"/><Relationship Id="rId91" Type="http://schemas.openxmlformats.org/officeDocument/2006/relationships/externalLink" Target="externalLinks/externalLink52.xml"/><Relationship Id="rId96" Type="http://schemas.openxmlformats.org/officeDocument/2006/relationships/externalLink" Target="externalLinks/externalLink5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0.xml"/><Relationship Id="rId57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52" Type="http://schemas.openxmlformats.org/officeDocument/2006/relationships/externalLink" Target="externalLinks/externalLink13.xml"/><Relationship Id="rId60" Type="http://schemas.openxmlformats.org/officeDocument/2006/relationships/externalLink" Target="externalLinks/externalLink21.xml"/><Relationship Id="rId65" Type="http://schemas.openxmlformats.org/officeDocument/2006/relationships/externalLink" Target="externalLinks/externalLink26.xml"/><Relationship Id="rId73" Type="http://schemas.openxmlformats.org/officeDocument/2006/relationships/externalLink" Target="externalLinks/externalLink34.xml"/><Relationship Id="rId78" Type="http://schemas.openxmlformats.org/officeDocument/2006/relationships/externalLink" Target="externalLinks/externalLink39.xml"/><Relationship Id="rId81" Type="http://schemas.openxmlformats.org/officeDocument/2006/relationships/externalLink" Target="externalLinks/externalLink42.xml"/><Relationship Id="rId86" Type="http://schemas.openxmlformats.org/officeDocument/2006/relationships/externalLink" Target="externalLinks/externalLink47.xml"/><Relationship Id="rId94" Type="http://schemas.openxmlformats.org/officeDocument/2006/relationships/externalLink" Target="externalLinks/externalLink55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1.xml"/><Relationship Id="rId55" Type="http://schemas.openxmlformats.org/officeDocument/2006/relationships/externalLink" Target="externalLinks/externalLink16.xml"/><Relationship Id="rId76" Type="http://schemas.openxmlformats.org/officeDocument/2006/relationships/externalLink" Target="externalLinks/externalLink37.xml"/><Relationship Id="rId97" Type="http://schemas.openxmlformats.org/officeDocument/2006/relationships/externalLink" Target="externalLinks/externalLink58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2.xml"/><Relationship Id="rId92" Type="http://schemas.openxmlformats.org/officeDocument/2006/relationships/externalLink" Target="externalLinks/externalLink5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.xml"/><Relationship Id="rId45" Type="http://schemas.openxmlformats.org/officeDocument/2006/relationships/externalLink" Target="externalLinks/externalLink6.xml"/><Relationship Id="rId66" Type="http://schemas.openxmlformats.org/officeDocument/2006/relationships/externalLink" Target="externalLinks/externalLink27.xml"/><Relationship Id="rId87" Type="http://schemas.openxmlformats.org/officeDocument/2006/relationships/externalLink" Target="externalLinks/externalLink48.xml"/><Relationship Id="rId61" Type="http://schemas.openxmlformats.org/officeDocument/2006/relationships/externalLink" Target="externalLinks/externalLink22.xml"/><Relationship Id="rId82" Type="http://schemas.openxmlformats.org/officeDocument/2006/relationships/externalLink" Target="externalLinks/externalLink4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externalLink" Target="externalLinks/externalLink17.xml"/><Relationship Id="rId77" Type="http://schemas.openxmlformats.org/officeDocument/2006/relationships/externalLink" Target="externalLinks/externalLink38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2.xml"/><Relationship Id="rId72" Type="http://schemas.openxmlformats.org/officeDocument/2006/relationships/externalLink" Target="externalLinks/externalLink33.xml"/><Relationship Id="rId93" Type="http://schemas.openxmlformats.org/officeDocument/2006/relationships/externalLink" Target="externalLinks/externalLink54.xml"/><Relationship Id="rId98" Type="http://schemas.openxmlformats.org/officeDocument/2006/relationships/externalLink" Target="externalLinks/externalLink59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1_FOUS_Antelope.xlsx" TargetMode="External"/><Relationship Id="rId2" Type="http://schemas.openxmlformats.org/officeDocument/2006/relationships/externalLinkPath" Target="file:///C:\Users\overl\Documents\CWU\Thesis_Project\Exploring_Data\1_FOUS_Antelope.xlsx" TargetMode="External"/><Relationship Id="rId1" Type="http://schemas.openxmlformats.org/officeDocument/2006/relationships/externalLinkPath" Target="/Users/overl/Documents/CWU/Thesis_Project/Exploring_Data/1_FOUS_Antelop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1_LF_Lava.xlsx" TargetMode="External"/><Relationship Id="rId1" Type="http://schemas.openxmlformats.org/officeDocument/2006/relationships/externalLinkPath" Target="file:///D:\Thesis_Project\LF\1_LF_Lav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88112b8a432bc9f/FOUS_2_ArchieCrk.xlsx" TargetMode="External"/><Relationship Id="rId1" Type="http://schemas.openxmlformats.org/officeDocument/2006/relationships/externalLinkPath" Target="https://d.docs.live.net/688112b8a432bc9f/FOUS_2_ArchieCrk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2_LF_Cinderbutte.xlsx" TargetMode="External"/><Relationship Id="rId1" Type="http://schemas.openxmlformats.org/officeDocument/2006/relationships/externalLinkPath" Target="file:///D:\Thesis_Project\LF\2_LF_Cinderbutt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WU\Thesis_Project\Exploring_Data\FOUS_3_Badger.xlsx" TargetMode="External"/><Relationship Id="rId1" Type="http://schemas.openxmlformats.org/officeDocument/2006/relationships/externalLinkPath" Target="file:///D:\CWU\Thesis_Project\Exploring_Data\FOUS_3_Badg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3_LF_BlackPine.xlsx" TargetMode="External"/><Relationship Id="rId1" Type="http://schemas.openxmlformats.org/officeDocument/2006/relationships/externalLinkPath" Target="file:///D:\Thesis_Project\LF\3_LF_BlackPine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4_BeachieCrk.xlsx" TargetMode="External"/><Relationship Id="rId2" Type="http://schemas.openxmlformats.org/officeDocument/2006/relationships/externalLinkPath" Target="file:///C:\Users\overl\Documents\CWU\Thesis_Project\Exploring_Data\FOUS_4_BeachieCrk.xlsx" TargetMode="External"/><Relationship Id="rId1" Type="http://schemas.openxmlformats.org/officeDocument/2006/relationships/externalLinkPath" Target="/Users/overl/Documents/CWU/Thesis_Project/Exploring_Data/FOUS_4_BeachieCrk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4_LF_Countyline2.xlsx" TargetMode="External"/><Relationship Id="rId1" Type="http://schemas.openxmlformats.org/officeDocument/2006/relationships/externalLinkPath" Target="file:///D:\Thesis_Project\LF\4_LF_Countyline2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88112b8a432bc9f/FOUS_5_Bighorn.xlsx" TargetMode="External"/><Relationship Id="rId1" Type="http://schemas.openxmlformats.org/officeDocument/2006/relationships/externalLinkPath" Target="https://d.docs.live.net/688112b8a432bc9f/FOUS_5_Bighor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5_LF_Burro.xlsx" TargetMode="External"/><Relationship Id="rId1" Type="http://schemas.openxmlformats.org/officeDocument/2006/relationships/externalLinkPath" Target="file:///D:\Thesis_Project\LF\5_LF_Burro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5_Black.xlsx" TargetMode="External"/><Relationship Id="rId2" Type="http://schemas.openxmlformats.org/officeDocument/2006/relationships/externalLinkPath" Target="file:///C:\Users\overl\Documents\CWU\Thesis_Project\Exploring_Data\FOUS_5_Black.xlsx" TargetMode="External"/><Relationship Id="rId1" Type="http://schemas.openxmlformats.org/officeDocument/2006/relationships/externalLinkPath" Target="/Users/overl/Documents/CWU/Thesis_Project/Exploring_Data/FOUS_5_Black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LF_BearTrap.xlsx" TargetMode="External"/><Relationship Id="rId1" Type="http://schemas.openxmlformats.org/officeDocument/2006/relationships/externalLinkPath" Target="file:///D:\Thesis_Project\LF\LF_BearTrap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7_Bobcat.xlsx" TargetMode="External"/><Relationship Id="rId2" Type="http://schemas.openxmlformats.org/officeDocument/2006/relationships/externalLinkPath" Target="file:///C:\Users\overl\Documents\CWU\Thesis_Project\Exploring_Data\FOUS_7_Bobcat.xlsx" TargetMode="External"/><Relationship Id="rId1" Type="http://schemas.openxmlformats.org/officeDocument/2006/relationships/externalLinkPath" Target="/Users/overl/Documents/CWU/Thesis_Project/Exploring_Data/FOUS_7_Bobca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7_LF_Dome.xlsx" TargetMode="External"/><Relationship Id="rId1" Type="http://schemas.openxmlformats.org/officeDocument/2006/relationships/externalLinkPath" Target="file:///D:\Thesis_Project\LF\7_LF_Dome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8_Bootleg.xlsx" TargetMode="External"/><Relationship Id="rId2" Type="http://schemas.openxmlformats.org/officeDocument/2006/relationships/externalLinkPath" Target="file:///C:\Users\overl\Documents\CWU\Thesis_Project\Exploring_Data\FOUS_8_Bootleg.xlsx" TargetMode="External"/><Relationship Id="rId1" Type="http://schemas.openxmlformats.org/officeDocument/2006/relationships/externalLinkPath" Target="/Users/overl/Documents/CWU/Thesis_Project/Exploring_Data/FOUS_8_Bootleg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8_LF_WatsonCreek.xlsx" TargetMode="External"/><Relationship Id="rId1" Type="http://schemas.openxmlformats.org/officeDocument/2006/relationships/externalLinkPath" Target="file:///D:\Thesis_Project\LF\8_LF_WatsonCreek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9_Bush.xlsx" TargetMode="External"/><Relationship Id="rId2" Type="http://schemas.openxmlformats.org/officeDocument/2006/relationships/externalLinkPath" Target="file:///C:\Users\overl\Documents\CWU\Thesis_Project\Exploring_Data\FOUS_9_Bush.xlsx" TargetMode="External"/><Relationship Id="rId1" Type="http://schemas.openxmlformats.org/officeDocument/2006/relationships/externalLinkPath" Target="/Users/overl/Documents/CWU/Thesis_Project/Exploring_Data/FOUS_9_Bush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9_LF_Juniper.xlsx" TargetMode="External"/><Relationship Id="rId1" Type="http://schemas.openxmlformats.org/officeDocument/2006/relationships/externalLinkPath" Target="file:///D:\Thesis_Project\LF\9_LF_Juniper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10_Caldor.xlsx" TargetMode="External"/><Relationship Id="rId2" Type="http://schemas.openxmlformats.org/officeDocument/2006/relationships/externalLinkPath" Target="file:///C:\Users\overl\Documents\CWU\Thesis_Project\Exploring_Data\FOUS_10_Caldor.xlsx" TargetMode="External"/><Relationship Id="rId1" Type="http://schemas.openxmlformats.org/officeDocument/2006/relationships/externalLinkPath" Target="/Users/overl/Documents/CWU/Thesis_Project/Exploring_Data/FOUS_10_Caldo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10_LF_Butte.xlsx" TargetMode="External"/><Relationship Id="rId1" Type="http://schemas.openxmlformats.org/officeDocument/2006/relationships/externalLinkPath" Target="file:///D:\Thesis_Project\LF\10_LF_Butte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11_CameronPk.xlsx" TargetMode="External"/><Relationship Id="rId2" Type="http://schemas.openxmlformats.org/officeDocument/2006/relationships/externalLinkPath" Target="file:///C:\Users\overl\Documents\CWU\Thesis_Project\Exploring_Data\FOUS_11_CameronPk.xlsx" TargetMode="External"/><Relationship Id="rId1" Type="http://schemas.openxmlformats.org/officeDocument/2006/relationships/externalLinkPath" Target="/Users/overl/Documents/CWU/Thesis_Project/Exploring_Data/FOUS_11_CameronP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11_LF_HighPark.xlsx" TargetMode="External"/><Relationship Id="rId1" Type="http://schemas.openxmlformats.org/officeDocument/2006/relationships/externalLinkPath" Target="file:///D:\Thesis_Project\LF\11_LF_HighPark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12_CougarPk.xlsx" TargetMode="External"/><Relationship Id="rId2" Type="http://schemas.openxmlformats.org/officeDocument/2006/relationships/externalLinkPath" Target="file:///C:\Users\overl\Documents\CWU\Thesis_Project\Exploring_Data\FOUS_12_CougarPk.xlsx" TargetMode="External"/><Relationship Id="rId1" Type="http://schemas.openxmlformats.org/officeDocument/2006/relationships/externalLinkPath" Target="/Users/overl/Documents/CWU/Thesis_Project/Exploring_Data/FOUS_12_CougarPk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12_LF_Brattain.xlsx" TargetMode="External"/><Relationship Id="rId1" Type="http://schemas.openxmlformats.org/officeDocument/2006/relationships/externalLinkPath" Target="file:///D:\Thesis_Project\LF\12_LF_Brattain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13_Creek.xlsx" TargetMode="External"/><Relationship Id="rId2" Type="http://schemas.openxmlformats.org/officeDocument/2006/relationships/externalLinkPath" Target="file:///C:\Users\overl\Documents\CWU\Thesis_Project\Exploring_Data\FOUS_13_Creek.xlsx" TargetMode="External"/><Relationship Id="rId1" Type="http://schemas.openxmlformats.org/officeDocument/2006/relationships/externalLinkPath" Target="/Users/overl/Documents/CWU/Thesis_Project/Exploring_Data/FOUS_13_Creek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13_LF_Walker.xlsx" TargetMode="External"/><Relationship Id="rId1" Type="http://schemas.openxmlformats.org/officeDocument/2006/relationships/externalLinkPath" Target="file:///D:\Thesis_Project\LF\13_LF_Walker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14_Dixie.xlsx" TargetMode="External"/><Relationship Id="rId2" Type="http://schemas.openxmlformats.org/officeDocument/2006/relationships/externalLinkPath" Target="file:///C:\Users\overl\Documents\CWU\Thesis_Project\Exploring_Data\FOUS_14_Dixie.xlsx" TargetMode="External"/><Relationship Id="rId1" Type="http://schemas.openxmlformats.org/officeDocument/2006/relationships/externalLinkPath" Target="/Users/overl/Documents/CWU/Thesis_Project/Exploring_Data/FOUS_14_Dixie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14_LF_Walker.xlsx" TargetMode="External"/><Relationship Id="rId1" Type="http://schemas.openxmlformats.org/officeDocument/2006/relationships/externalLinkPath" Target="file:///D:\Thesis_Project\LF\14_LF_Walker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15_Dolan.xlsx" TargetMode="External"/><Relationship Id="rId2" Type="http://schemas.openxmlformats.org/officeDocument/2006/relationships/externalLinkPath" Target="file:///C:\Users\overl\Documents\CWU\Thesis_Project\Exploring_Data\FOUS_15_Dolan.xlsx" TargetMode="External"/><Relationship Id="rId1" Type="http://schemas.openxmlformats.org/officeDocument/2006/relationships/externalLinkPath" Target="/Users/overl/Documents/CWU/Thesis_Project/Exploring_Data/FOUS_15_Dola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15_LF_Chimney.xlsx" TargetMode="External"/><Relationship Id="rId1" Type="http://schemas.openxmlformats.org/officeDocument/2006/relationships/externalLinkPath" Target="file:///D:\Thesis_Project\LF\15_LF_Chimney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16_EastTrblsm.xlsx" TargetMode="External"/><Relationship Id="rId2" Type="http://schemas.openxmlformats.org/officeDocument/2006/relationships/externalLinkPath" Target="file:///C:\Users\overl\Documents\CWU\Thesis_Project\Exploring_Data\FOUS_16_EastTrblsm.xlsx" TargetMode="External"/><Relationship Id="rId1" Type="http://schemas.openxmlformats.org/officeDocument/2006/relationships/externalLinkPath" Target="/Users/overl/Documents/CWU/Thesis_Project/Exploring_Data/FOUS_16_EastTrblsm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16_LF_BeaverCrk.xlsx" TargetMode="External"/><Relationship Id="rId1" Type="http://schemas.openxmlformats.org/officeDocument/2006/relationships/externalLinkPath" Target="file:///D:\Thesis_Project\LF\16_LF_BeaverCrk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17_HolidayFrm.xlsx" TargetMode="External"/><Relationship Id="rId2" Type="http://schemas.openxmlformats.org/officeDocument/2006/relationships/externalLinkPath" Target="file:///C:\Users\overl\Documents\CWU\Thesis_Project\Exploring_Data\FOUS_17_HolidayFrm.xlsx" TargetMode="External"/><Relationship Id="rId1" Type="http://schemas.openxmlformats.org/officeDocument/2006/relationships/externalLinkPath" Target="/Users/overl/Documents/CWU/Thesis_Project/Exploring_Data/FOUS_17_HolidayFrm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17_LF_PoleCrk.xlsx" TargetMode="External"/><Relationship Id="rId1" Type="http://schemas.openxmlformats.org/officeDocument/2006/relationships/externalLinkPath" Target="file:///D:\Thesis_Project\LF\17_LF_PoleCrk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18_Lionshead.xlsx" TargetMode="External"/><Relationship Id="rId2" Type="http://schemas.openxmlformats.org/officeDocument/2006/relationships/externalLinkPath" Target="file:///C:\Users\overl\Documents\CWU\Thesis_Project\Exploring_Data\FOUS_18_Lionshead.xlsx" TargetMode="External"/><Relationship Id="rId1" Type="http://schemas.openxmlformats.org/officeDocument/2006/relationships/externalLinkPath" Target="/Users/overl/Documents/CWU/Thesis_Project/Exploring_Data/FOUS_18_Lionshead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18_LF_BlacRock.xlsx" TargetMode="External"/><Relationship Id="rId1" Type="http://schemas.openxmlformats.org/officeDocument/2006/relationships/externalLinkPath" Target="file:///D:\Thesis_Project\LF\18_LF_BlacRock.xlsx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20_McFarland.xlsx" TargetMode="External"/><Relationship Id="rId2" Type="http://schemas.openxmlformats.org/officeDocument/2006/relationships/externalLinkPath" Target="file:///C:\Users\overl\Documents\CWU\Thesis_Project\Exploring_Data\FOUS_20_McFarland.xlsx" TargetMode="External"/><Relationship Id="rId1" Type="http://schemas.openxmlformats.org/officeDocument/2006/relationships/externalLinkPath" Target="/Users/overl/Documents/CWU/Thesis_Project/Exploring_Data/FOUS_20_McFarland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19_LF_Zogg.xlsx" TargetMode="External"/><Relationship Id="rId1" Type="http://schemas.openxmlformats.org/officeDocument/2006/relationships/externalLinkPath" Target="file:///D:\Thesis_Project\LF\19_LF_Zogg.xlsx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21_Monument.xlsx" TargetMode="External"/><Relationship Id="rId2" Type="http://schemas.openxmlformats.org/officeDocument/2006/relationships/externalLinkPath" Target="file:///C:\Users\overl\Documents\CWU\Thesis_Project\Exploring_Data\FOUS_21_Monument.xlsx" TargetMode="External"/><Relationship Id="rId1" Type="http://schemas.openxmlformats.org/officeDocument/2006/relationships/externalLinkPath" Target="/Users/overl/Documents/CWU/Thesis_Project/Exploring_Data/FOUS_21_Monument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20_LF_Delta.xlsx" TargetMode="External"/><Relationship Id="rId1" Type="http://schemas.openxmlformats.org/officeDocument/2006/relationships/externalLinkPath" Target="file:///D:\Thesis_Project\LF\20_LF_Delta.xlsx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21_Moose.xlsx" TargetMode="External"/><Relationship Id="rId2" Type="http://schemas.openxmlformats.org/officeDocument/2006/relationships/externalLinkPath" Target="file:///C:\Users\overl\Documents\CWU\Thesis_Project\Exploring_Data\FOUS_21_Moose.xlsx" TargetMode="External"/><Relationship Id="rId1" Type="http://schemas.openxmlformats.org/officeDocument/2006/relationships/externalLinkPath" Target="/Users/overl/Documents/CWU/Thesis_Project/Exploring_Data/FOUS_21_Moose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21_LF_TrailCrk.xlsx" TargetMode="External"/><Relationship Id="rId1" Type="http://schemas.openxmlformats.org/officeDocument/2006/relationships/externalLinkPath" Target="file:///D:\Thesis_Project\LF\21_LF_TrailCrk.xlsx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22_Mullen.xlsx" TargetMode="External"/><Relationship Id="rId2" Type="http://schemas.openxmlformats.org/officeDocument/2006/relationships/externalLinkPath" Target="file:///C:\Users\overl\Documents\CWU\Thesis_Project\Exploring_Data\FOUS_22_Mullen.xlsx" TargetMode="External"/><Relationship Id="rId1" Type="http://schemas.openxmlformats.org/officeDocument/2006/relationships/externalLinkPath" Target="/Users/overl/Documents/CWU/Thesis_Project/Exploring_Data/FOUS_22_Mullen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22_LF_Ryan.xlsx" TargetMode="External"/><Relationship Id="rId1" Type="http://schemas.openxmlformats.org/officeDocument/2006/relationships/externalLinkPath" Target="file:///D:\Thesis_Project\LF\22_LF_Ryan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24_RichardSpr.xlsx" TargetMode="External"/><Relationship Id="rId2" Type="http://schemas.openxmlformats.org/officeDocument/2006/relationships/externalLinkPath" Target="file:///C:\Users\overl\Documents\CWU\Thesis_Project\Exploring_Data\FOUS_24_RichardSpr.xlsx" TargetMode="External"/><Relationship Id="rId1" Type="http://schemas.openxmlformats.org/officeDocument/2006/relationships/externalLinkPath" Target="/Users/overl/Documents/CWU/Thesis_Project/Exploring_Data/FOUS_24_RichardSpr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23_LF_BullDraw.xlsx" TargetMode="External"/><Relationship Id="rId1" Type="http://schemas.openxmlformats.org/officeDocument/2006/relationships/externalLinkPath" Target="file:///D:\Thesis_Project\LF\23_LF_BullDraw.xlsx" TargetMode="External"/></Relationships>
</file>

<file path=xl/externalLinks/_rels/externalLink47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24_RichardSpr2.xlsx" TargetMode="External"/><Relationship Id="rId2" Type="http://schemas.openxmlformats.org/officeDocument/2006/relationships/externalLinkPath" Target="file:///C:\Users\overl\Documents\CWU\Thesis_Project\Exploring_Data\FOUS_24_RichardSpr2.xlsx" TargetMode="External"/><Relationship Id="rId1" Type="http://schemas.openxmlformats.org/officeDocument/2006/relationships/externalLinkPath" Target="/Users/overl/Documents/CWU/Thesis_Project/Exploring_Data/FOUS_24_RichardSpr2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24_LF_Sarpy.xlsx" TargetMode="External"/><Relationship Id="rId1" Type="http://schemas.openxmlformats.org/officeDocument/2006/relationships/externalLinkPath" Target="file:///D:\Thesis_Project\LF\24_LF_Sarpy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25_LF_NenaSprings.xlsx" TargetMode="External"/><Relationship Id="rId1" Type="http://schemas.openxmlformats.org/officeDocument/2006/relationships/externalLinkPath" Target="file:///D:\Thesis_Project\LF\25_LF_NenaSprings.xlsx" TargetMode="External"/></Relationships>
</file>

<file path=xl/externalLinks/_rels/externalLink50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26_SchneiderSpr.xlsx" TargetMode="External"/><Relationship Id="rId2" Type="http://schemas.openxmlformats.org/officeDocument/2006/relationships/externalLinkPath" Target="file:///C:\Users\overl\Documents\CWU\Thesis_Project\Exploring_Data\FOUS_26_SchneiderSpr.xlsx" TargetMode="External"/><Relationship Id="rId1" Type="http://schemas.openxmlformats.org/officeDocument/2006/relationships/externalLinkPath" Target="/Users/overl/Documents/CWU/Thesis_Project/Exploring_Data/FOUS_26_SchneiderSpr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26_LF_JollyMtn.xlsx" TargetMode="External"/><Relationship Id="rId1" Type="http://schemas.openxmlformats.org/officeDocument/2006/relationships/externalLinkPath" Target="file:///D:\Thesis_Project\LF\26_LF_JollyMtn.xlsx" TargetMode="External"/></Relationships>
</file>

<file path=xl/externalLinks/_rels/externalLink52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27_Slater.xlsx" TargetMode="External"/><Relationship Id="rId2" Type="http://schemas.openxmlformats.org/officeDocument/2006/relationships/externalLinkPath" Target="file:///C:\Users\overl\Documents\CWU\Thesis_Project\Exploring_Data\FOUS_27_Slater.xlsx" TargetMode="External"/><Relationship Id="rId1" Type="http://schemas.openxmlformats.org/officeDocument/2006/relationships/externalLinkPath" Target="/Users/overl/Documents/CWU/Thesis_Project/Exploring_Data/FOUS_27_Slater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27_LF_McKinney.xlsx" TargetMode="External"/><Relationship Id="rId1" Type="http://schemas.openxmlformats.org/officeDocument/2006/relationships/externalLinkPath" Target="file:///D:\Thesis_Project\LF\27_LF_McKinney.xlsx" TargetMode="External"/></Relationships>
</file>

<file path=xl/externalLinks/_rels/externalLink54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28_Telegraph.xlsx" TargetMode="External"/><Relationship Id="rId2" Type="http://schemas.openxmlformats.org/officeDocument/2006/relationships/externalLinkPath" Target="file:///C:\Users\overl\Documents\CWU\Thesis_Project\Exploring_Data\FOUS_28_Telegraph.xlsx" TargetMode="External"/><Relationship Id="rId1" Type="http://schemas.openxmlformats.org/officeDocument/2006/relationships/externalLinkPath" Target="/Users/overl/Documents/CWU/Thesis_Project/Exploring_Data/FOUS_28_Telegraph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28_LF_Mescal.xlsx" TargetMode="External"/><Relationship Id="rId1" Type="http://schemas.openxmlformats.org/officeDocument/2006/relationships/externalLinkPath" Target="file:///D:\Thesis_Project\LF\28_LF_Mescal.xlsx" TargetMode="External"/></Relationships>
</file>

<file path=xl/externalLinks/_rels/externalLink56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29_Whitney.xlsx" TargetMode="External"/><Relationship Id="rId2" Type="http://schemas.openxmlformats.org/officeDocument/2006/relationships/externalLinkPath" Target="file:///C:\Users\overl\Documents\CWU\Thesis_Project\Exploring_Data\FOUS_29_Whitney.xlsx" TargetMode="External"/><Relationship Id="rId1" Type="http://schemas.openxmlformats.org/officeDocument/2006/relationships/externalLinkPath" Target="/Users/overl/Documents/CWU/Thesis_Project/Exploring_Data/FOUS_29_Whitney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29_LF_WilliamsFlat.xlsx" TargetMode="External"/><Relationship Id="rId1" Type="http://schemas.openxmlformats.org/officeDocument/2006/relationships/externalLinkPath" Target="file:///D:\Thesis_Project\LF\29_LF_WilliamsFlat.xlsx" TargetMode="External"/></Relationships>
</file>

<file path=xl/externalLinks/_rels/externalLink58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loring_Data/FOUS_30_Woodhead.xlsx" TargetMode="External"/><Relationship Id="rId2" Type="http://schemas.openxmlformats.org/officeDocument/2006/relationships/externalLinkPath" Target="file:///C:\Users\overl\Documents\CWU\Thesis_Project\Exploring_Data\FOUS_30_Woodhead.xlsx" TargetMode="External"/><Relationship Id="rId1" Type="http://schemas.openxmlformats.org/officeDocument/2006/relationships/externalLinkPath" Target="/Users/overl/Documents/CWU/Thesis_Project/Exploring_Data/FOUS_30_Woodhead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LF\30_LF_Mesa.xlsx" TargetMode="External"/><Relationship Id="rId1" Type="http://schemas.openxmlformats.org/officeDocument/2006/relationships/externalLinkPath" Target="file:///D:\Thesis_Project\LF\30_LF_Me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telope_FOUS_1"/>
    </sheetNames>
    <sheetDataSet>
      <sheetData sheetId="0">
        <row r="4">
          <cell r="H4">
            <v>3.8518374516103631</v>
          </cell>
        </row>
        <row r="5">
          <cell r="H5">
            <v>10.963721574419665</v>
          </cell>
          <cell r="J5">
            <v>5.4718468468468462</v>
          </cell>
        </row>
        <row r="6">
          <cell r="H6">
            <v>4.7020766255414062</v>
          </cell>
          <cell r="J6">
            <v>3.9828265765765765</v>
          </cell>
        </row>
        <row r="42">
          <cell r="H42">
            <v>0</v>
          </cell>
        </row>
        <row r="43">
          <cell r="H43">
            <v>3.9946487974140847</v>
          </cell>
          <cell r="J43">
            <v>6.7828224566029442</v>
          </cell>
        </row>
        <row r="44">
          <cell r="H44">
            <v>3.5372879075559993</v>
          </cell>
          <cell r="J44">
            <v>6.5979867062184132</v>
          </cell>
        </row>
        <row r="77">
          <cell r="O77">
            <v>581.95177727422549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vaLF(17)"/>
    </sheetNames>
    <sheetDataSet>
      <sheetData sheetId="0">
        <row r="4">
          <cell r="L4">
            <v>2.6436535493077171</v>
          </cell>
        </row>
        <row r="7">
          <cell r="J7">
            <v>20.696429247604982</v>
          </cell>
          <cell r="L7">
            <v>10.527185649446482</v>
          </cell>
        </row>
        <row r="8">
          <cell r="J8">
            <v>6.0476352758529286</v>
          </cell>
        </row>
        <row r="10">
          <cell r="J10">
            <v>7.0892498769358934</v>
          </cell>
        </row>
        <row r="73">
          <cell r="P73">
            <v>1509.3070544132681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chieCrk_FOUS_2"/>
    </sheetNames>
    <sheetDataSet>
      <sheetData sheetId="0">
        <row r="2">
          <cell r="I2">
            <v>6.351195815785073</v>
          </cell>
          <cell r="J2">
            <v>10.985322367852444</v>
          </cell>
        </row>
        <row r="3">
          <cell r="I3">
            <v>7.7093703912058507</v>
          </cell>
          <cell r="J3">
            <v>5.3597353836219224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nderButteLF(23)"/>
    </sheetNames>
    <sheetDataSet>
      <sheetData sheetId="0">
        <row r="2">
          <cell r="L2">
            <v>3.1632901020160968</v>
          </cell>
        </row>
        <row r="5">
          <cell r="J5">
            <v>8.3114351525765731</v>
          </cell>
          <cell r="L5">
            <v>3.1376796007612113</v>
          </cell>
        </row>
        <row r="13">
          <cell r="P13">
            <v>102.01438943216023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dger_FOUS_3"/>
    </sheetNames>
    <sheetDataSet>
      <sheetData sheetId="0">
        <row r="3">
          <cell r="H3">
            <v>3.6799208899468079</v>
          </cell>
        </row>
        <row r="4">
          <cell r="H4">
            <v>2.9887288581320126</v>
          </cell>
        </row>
        <row r="5">
          <cell r="G5">
            <v>5.3665398311571613</v>
          </cell>
          <cell r="H5">
            <v>4.3006460395900872</v>
          </cell>
        </row>
        <row r="8">
          <cell r="G8">
            <v>13.857581842184086</v>
          </cell>
          <cell r="H8">
            <v>5.9330433523426525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ckPineLF(21)"/>
    </sheetNames>
    <sheetDataSet>
      <sheetData sheetId="0">
        <row r="4">
          <cell r="I4">
            <v>7.9000451294394374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eachieCrk_FOUS_4"/>
    </sheetNames>
    <sheetDataSet>
      <sheetData sheetId="0">
        <row r="25">
          <cell r="I25">
            <v>61.337272501397599</v>
          </cell>
          <cell r="J25">
            <v>45.533745153408681</v>
          </cell>
        </row>
        <row r="26">
          <cell r="I26">
            <v>8.5789490030436664</v>
          </cell>
          <cell r="J26">
            <v>3.2958215997492983</v>
          </cell>
        </row>
        <row r="76">
          <cell r="N76">
            <v>176.39388860883039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2)CountyLine2LF"/>
    </sheetNames>
    <sheetDataSet>
      <sheetData sheetId="0">
        <row r="2">
          <cell r="I2">
            <v>2.9461216837531805</v>
          </cell>
          <cell r="K2">
            <v>8.0507563025202771</v>
          </cell>
        </row>
        <row r="4">
          <cell r="I4">
            <v>8.5110181975091894</v>
          </cell>
          <cell r="K4">
            <v>7.8255492308137331</v>
          </cell>
        </row>
        <row r="6">
          <cell r="I6">
            <v>5.5544214144359962</v>
          </cell>
          <cell r="K6">
            <v>3.339952238459301</v>
          </cell>
        </row>
        <row r="23">
          <cell r="O23">
            <v>183.01665005133393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ghorn_FOUS_5"/>
    </sheetNames>
    <sheetDataSet>
      <sheetData sheetId="0">
        <row r="12">
          <cell r="H12">
            <v>3.8534898694696</v>
          </cell>
          <cell r="I12">
            <v>3.4330689748154244</v>
          </cell>
        </row>
        <row r="15">
          <cell r="H15">
            <v>2.726680547541998</v>
          </cell>
        </row>
        <row r="18">
          <cell r="H18">
            <v>2.7832994673423141</v>
          </cell>
        </row>
        <row r="22">
          <cell r="H22">
            <v>2.9899739942636865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rroLF(24)"/>
    </sheetNames>
    <sheetDataSet>
      <sheetData sheetId="0">
        <row r="4">
          <cell r="G4">
            <v>3.9692622950819674</v>
          </cell>
          <cell r="I4">
            <v>2.5384179199092758</v>
          </cell>
        </row>
        <row r="5">
          <cell r="G5">
            <v>3.9795081967213117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lack_FOUS_6"/>
    </sheetNames>
    <sheetDataSet>
      <sheetData sheetId="0">
        <row r="3">
          <cell r="P3">
            <v>4.3799296173979094</v>
          </cell>
        </row>
        <row r="4">
          <cell r="P4">
            <v>4.2457122847437416</v>
          </cell>
        </row>
        <row r="5">
          <cell r="O5">
            <v>5.5169529058609319</v>
          </cell>
        </row>
        <row r="49">
          <cell r="T49">
            <v>183.30422038777618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3)Bear TrapLF"/>
    </sheetNames>
    <sheetDataSet>
      <sheetData sheetId="0">
        <row r="40">
          <cell r="AB40">
            <v>497.05689993459777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obcat_FOUS_7"/>
    </sheetNames>
    <sheetDataSet>
      <sheetData sheetId="0">
        <row r="2">
          <cell r="H2">
            <v>9.1748175611690019</v>
          </cell>
        </row>
        <row r="4">
          <cell r="H4">
            <v>3.3794785429612819</v>
          </cell>
        </row>
        <row r="15">
          <cell r="H15" t="e">
            <v>#REF!</v>
          </cell>
        </row>
        <row r="55">
          <cell r="L55">
            <v>988.2285398459361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meLF(12)"/>
    </sheetNames>
    <sheetDataSet>
      <sheetData sheetId="0">
        <row r="4">
          <cell r="I4">
            <v>5.066438656899221</v>
          </cell>
        </row>
        <row r="11">
          <cell r="O11">
            <v>58.177710443001416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ootlegFOUS(28)"/>
    </sheetNames>
    <sheetDataSet>
      <sheetData sheetId="0">
        <row r="2">
          <cell r="K2">
            <v>2.7726901581150289</v>
          </cell>
        </row>
        <row r="4">
          <cell r="K4">
            <v>2.8916129341151695</v>
          </cell>
        </row>
        <row r="6">
          <cell r="I6">
            <v>6.4715144956897497</v>
          </cell>
          <cell r="K6">
            <v>3.3237131151380663</v>
          </cell>
        </row>
        <row r="12">
          <cell r="I12">
            <v>5.0815587264076552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atsonCreekLF(28)"/>
    </sheetNames>
    <sheetDataSet>
      <sheetData sheetId="0">
        <row r="3">
          <cell r="I3">
            <v>3.2520505765752392</v>
          </cell>
        </row>
        <row r="4">
          <cell r="G4">
            <v>4.0035873225375234</v>
          </cell>
          <cell r="I4">
            <v>7.2677172923485518</v>
          </cell>
        </row>
        <row r="5">
          <cell r="I5">
            <v>2.5803863790953705</v>
          </cell>
        </row>
        <row r="6">
          <cell r="G6">
            <v>4.0446215543936237</v>
          </cell>
          <cell r="I6">
            <v>3.4143720903816779</v>
          </cell>
        </row>
        <row r="7">
          <cell r="G7">
            <v>2.6718784371457094</v>
          </cell>
        </row>
        <row r="10">
          <cell r="G10">
            <v>2.645227338105149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ushFOUS(19)"/>
    </sheetNames>
    <sheetDataSet>
      <sheetData sheetId="0">
        <row r="2">
          <cell r="I2">
            <v>4.2441524309422141</v>
          </cell>
        </row>
        <row r="3">
          <cell r="I3">
            <v>2.7264371364146176</v>
          </cell>
        </row>
        <row r="7">
          <cell r="H7">
            <v>3.0366545191388177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perLF(19)"/>
    </sheetNames>
    <sheetDataSet>
      <sheetData sheetId="0">
        <row r="6">
          <cell r="H6">
            <v>2.6475685928175934</v>
          </cell>
        </row>
        <row r="17">
          <cell r="F17">
            <v>4.8881851718846923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ldorFOUS(22)"/>
    </sheetNames>
    <sheetDataSet>
      <sheetData sheetId="0">
        <row r="3">
          <cell r="L3">
            <v>3.7544450972254393</v>
          </cell>
        </row>
        <row r="4">
          <cell r="K4">
            <v>14.671297712014095</v>
          </cell>
          <cell r="L4">
            <v>9.3680834258036256</v>
          </cell>
        </row>
        <row r="16">
          <cell r="K16">
            <v>6.4384005549951855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tteLF(22)"/>
    </sheetNames>
    <sheetDataSet>
      <sheetData sheetId="0">
        <row r="2">
          <cell r="L2" t="e">
            <v>#REF!</v>
          </cell>
        </row>
        <row r="3">
          <cell r="L3">
            <v>6.0776758177229375</v>
          </cell>
        </row>
        <row r="4">
          <cell r="L4">
            <v>3.9760243759817966</v>
          </cell>
        </row>
        <row r="24">
          <cell r="P24">
            <v>1313.8521288004602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meronPeakFOUS(29)"/>
    </sheetNames>
    <sheetDataSet>
      <sheetData sheetId="0">
        <row r="2">
          <cell r="J2">
            <v>4.5070617611220563</v>
          </cell>
        </row>
        <row r="4">
          <cell r="J4">
            <v>4.9620899009696062</v>
          </cell>
        </row>
        <row r="24">
          <cell r="J24">
            <v>4.6534363027450034</v>
          </cell>
        </row>
        <row r="25">
          <cell r="I25">
            <v>5.361190052860354</v>
          </cell>
          <cell r="J25">
            <v>9.3436250164057331</v>
          </cell>
        </row>
        <row r="26">
          <cell r="I26">
            <v>13.487383963615974</v>
          </cell>
        </row>
        <row r="27">
          <cell r="I27">
            <v>22.803496547063926</v>
          </cell>
        </row>
        <row r="45">
          <cell r="J45">
            <v>2.7740705364998313</v>
          </cell>
        </row>
        <row r="65">
          <cell r="J65">
            <v>3.9222787702435715</v>
          </cell>
        </row>
        <row r="66">
          <cell r="J66">
            <v>2.8800363471125134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ghParkLF(29)"/>
    </sheetNames>
    <sheetDataSet>
      <sheetData sheetId="0">
        <row r="3">
          <cell r="E3">
            <v>5.0639292424728479</v>
          </cell>
        </row>
        <row r="4">
          <cell r="E4">
            <v>6.2971449521103526</v>
          </cell>
        </row>
        <row r="16">
          <cell r="E16">
            <v>3.4693872874753677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ugarPeakFOUS(15)"/>
    </sheetNames>
    <sheetDataSet>
      <sheetData sheetId="0">
        <row r="3">
          <cell r="H3">
            <v>7.9574773989761471</v>
          </cell>
          <cell r="I3">
            <v>5.5852162430844974</v>
          </cell>
        </row>
        <row r="4">
          <cell r="H4">
            <v>17.062585774970049</v>
          </cell>
          <cell r="I4">
            <v>5.3146871517464236</v>
          </cell>
        </row>
        <row r="29">
          <cell r="M29">
            <v>320.22394074719529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attainLF(15)"/>
    </sheetNames>
    <sheetDataSet>
      <sheetData sheetId="0">
        <row r="8">
          <cell r="I8">
            <v>7.001432749111892</v>
          </cell>
          <cell r="J8">
            <v>3.5033504211192517</v>
          </cell>
        </row>
        <row r="24">
          <cell r="N24">
            <v>214.48731322250791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(4)CreekFOUS"/>
    </sheetNames>
    <sheetDataSet>
      <sheetData sheetId="0">
        <row r="3">
          <cell r="J3">
            <v>9.7175272114663258</v>
          </cell>
          <cell r="K3">
            <v>19.062639087532151</v>
          </cell>
        </row>
        <row r="4">
          <cell r="J4">
            <v>7.7533002540175575</v>
          </cell>
          <cell r="K4">
            <v>6.497421571822537</v>
          </cell>
        </row>
        <row r="5">
          <cell r="J5">
            <v>9.22819726503376</v>
          </cell>
          <cell r="K5">
            <v>6.037448001395564</v>
          </cell>
        </row>
        <row r="6">
          <cell r="J6">
            <v>7.7718632780110299</v>
          </cell>
          <cell r="K6">
            <v>4.3055441980082625</v>
          </cell>
        </row>
        <row r="13">
          <cell r="J13">
            <v>4.5198804932941998</v>
          </cell>
        </row>
        <row r="16">
          <cell r="J16">
            <v>4.4773582174021769</v>
          </cell>
        </row>
        <row r="83">
          <cell r="O83">
            <v>581.3593760381159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4)DonnellLF"/>
    </sheetNames>
    <sheetDataSet>
      <sheetData sheetId="0">
        <row r="3">
          <cell r="N3">
            <v>3.9815888225404614</v>
          </cell>
        </row>
        <row r="5">
          <cell r="N5">
            <v>2.5961045438392651</v>
          </cell>
        </row>
        <row r="6">
          <cell r="M6">
            <v>4.3290534979423869</v>
          </cell>
          <cell r="N6">
            <v>5.1843752784069226</v>
          </cell>
        </row>
        <row r="7">
          <cell r="M7">
            <v>6.0609053497942389</v>
          </cell>
          <cell r="N7">
            <v>4.8635435341213133</v>
          </cell>
        </row>
        <row r="9">
          <cell r="M9">
            <v>4.4592592592592597</v>
          </cell>
          <cell r="N9">
            <v>2.5922737967854541</v>
          </cell>
        </row>
        <row r="10">
          <cell r="M10">
            <v>3.9326748971193419</v>
          </cell>
        </row>
        <row r="12">
          <cell r="M12">
            <v>3.44641975308642</v>
          </cell>
        </row>
        <row r="22">
          <cell r="M22">
            <v>3.3346502057613172</v>
          </cell>
        </row>
        <row r="43">
          <cell r="R43">
            <v>1099.6144266717868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xieFOUS(7)"/>
    </sheetNames>
    <sheetDataSet>
      <sheetData sheetId="0">
        <row r="3">
          <cell r="P3">
            <v>3.1993916274182754</v>
          </cell>
        </row>
        <row r="4">
          <cell r="P4">
            <v>2.8061974517044033</v>
          </cell>
        </row>
        <row r="9">
          <cell r="O9">
            <v>4.5425631858520994</v>
          </cell>
          <cell r="P9">
            <v>7.8244514304414903</v>
          </cell>
        </row>
        <row r="10">
          <cell r="P10">
            <v>4.1371404165745451</v>
          </cell>
        </row>
        <row r="12">
          <cell r="O12">
            <v>5.6858515803340364</v>
          </cell>
          <cell r="P12">
            <v>5.4955907900718266</v>
          </cell>
        </row>
        <row r="13">
          <cell r="O13">
            <v>5.2471325400260973</v>
          </cell>
          <cell r="P13">
            <v>4.234260301490802</v>
          </cell>
        </row>
        <row r="25">
          <cell r="O25">
            <v>9.1974745382841849</v>
          </cell>
        </row>
        <row r="28">
          <cell r="O28">
            <v>11.186950397016949</v>
          </cell>
        </row>
        <row r="38">
          <cell r="O38">
            <v>5.2657288575109336</v>
          </cell>
        </row>
        <row r="39">
          <cell r="O39">
            <v>3.9499018487318192</v>
          </cell>
        </row>
        <row r="40">
          <cell r="O40">
            <v>4.1795498640623103</v>
          </cell>
        </row>
        <row r="51">
          <cell r="O51">
            <v>3.9847836986885827</v>
          </cell>
        </row>
        <row r="52">
          <cell r="O52">
            <v>4.0367213427882431</v>
          </cell>
        </row>
        <row r="106">
          <cell r="T106">
            <v>748.23169878425301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alkerLF(7)"/>
    </sheetNames>
    <sheetDataSet>
      <sheetData sheetId="0">
        <row r="5">
          <cell r="N5">
            <v>8.5142836214474062</v>
          </cell>
          <cell r="P5">
            <v>6.0613230377176022</v>
          </cell>
        </row>
        <row r="6">
          <cell r="N6">
            <v>5.6462423088192208</v>
          </cell>
        </row>
        <row r="23">
          <cell r="T23">
            <v>759.43822831995328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olanFOUS(30)"/>
    </sheetNames>
    <sheetDataSet>
      <sheetData sheetId="0">
        <row r="3">
          <cell r="I3">
            <v>7.4312912921256427</v>
          </cell>
        </row>
        <row r="22">
          <cell r="H22">
            <v>27.066322994619096</v>
          </cell>
          <cell r="I22">
            <v>8.8654263517819718</v>
          </cell>
        </row>
        <row r="23">
          <cell r="H23">
            <v>12.699393382496089</v>
          </cell>
          <cell r="I23">
            <v>3.2902969055516693</v>
          </cell>
        </row>
        <row r="24">
          <cell r="H24">
            <v>8.0972612660317562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mneyLF(30)"/>
    </sheetNames>
    <sheetDataSet>
      <sheetData sheetId="0">
        <row r="3">
          <cell r="I3">
            <v>3.2520505765752392</v>
          </cell>
        </row>
        <row r="4">
          <cell r="G4">
            <v>3.852309153508251</v>
          </cell>
          <cell r="I4">
            <v>7.2677172923485518</v>
          </cell>
        </row>
        <row r="5">
          <cell r="I5">
            <v>2.5803863790953705</v>
          </cell>
        </row>
        <row r="6">
          <cell r="G6">
            <v>3.8917928800393478</v>
          </cell>
          <cell r="I6">
            <v>3.4143720903816779</v>
          </cell>
        </row>
        <row r="7">
          <cell r="G7">
            <v>2.5709197605196654</v>
          </cell>
        </row>
        <row r="10">
          <cell r="G10">
            <v>2.5452756907108087</v>
          </cell>
        </row>
        <row r="25">
          <cell r="M25">
            <v>1634.2559127777311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astTroublesomeFOUS(18)"/>
    </sheetNames>
    <sheetDataSet>
      <sheetData sheetId="0">
        <row r="3">
          <cell r="I3">
            <v>3.0825434587323643</v>
          </cell>
        </row>
        <row r="9">
          <cell r="H9">
            <v>18.777960085030855</v>
          </cell>
        </row>
        <row r="10">
          <cell r="H10">
            <v>7.7475904484758429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averCreekLF(18)"/>
    </sheetNames>
    <sheetDataSet>
      <sheetData sheetId="0">
        <row r="2">
          <cell r="I2">
            <v>10.383501221773972</v>
          </cell>
        </row>
        <row r="4">
          <cell r="H4">
            <v>8.7006744264770983</v>
          </cell>
          <cell r="I4">
            <v>18.030129785154568</v>
          </cell>
        </row>
        <row r="5">
          <cell r="H5">
            <v>4.3503372132385492</v>
          </cell>
          <cell r="I5">
            <v>5.6024400725707153</v>
          </cell>
        </row>
        <row r="10">
          <cell r="H10">
            <v>7.7217144493919738</v>
          </cell>
          <cell r="I10">
            <v>7.6644513667671879</v>
          </cell>
        </row>
        <row r="11">
          <cell r="H11">
            <v>7.1397026273989006</v>
          </cell>
          <cell r="I11">
            <v>6.059957650196429</v>
          </cell>
        </row>
        <row r="12">
          <cell r="H12">
            <v>4.0204411113715075</v>
          </cell>
          <cell r="I12">
            <v>3.1111973296072928</v>
          </cell>
        </row>
        <row r="22">
          <cell r="H22">
            <v>4.508580058849569</v>
          </cell>
          <cell r="I22">
            <v>3.2445751794380895</v>
          </cell>
        </row>
        <row r="23">
          <cell r="H23">
            <v>9.2907324948571723</v>
          </cell>
          <cell r="I23">
            <v>6.1665589710394082</v>
          </cell>
        </row>
        <row r="30">
          <cell r="I30">
            <v>2.8771627730446347</v>
          </cell>
        </row>
        <row r="41">
          <cell r="H41">
            <v>6.0185922974767596</v>
          </cell>
          <cell r="I41">
            <v>3.0592967726411482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lidayFarmFOUS(26)"/>
    </sheetNames>
    <sheetDataSet>
      <sheetData sheetId="0">
        <row r="2">
          <cell r="I2">
            <v>9.0586617675944865</v>
          </cell>
          <cell r="J2">
            <v>6.449488031743865</v>
          </cell>
        </row>
        <row r="3">
          <cell r="I3">
            <v>20.813124660589047</v>
          </cell>
          <cell r="J3">
            <v>5.2623165368041942</v>
          </cell>
        </row>
        <row r="4">
          <cell r="I4">
            <v>11.088934336256601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eCreekLF(26)"/>
    </sheetNames>
    <sheetDataSet>
      <sheetData sheetId="0">
        <row r="2">
          <cell r="K2">
            <v>3.8221842758280133</v>
          </cell>
        </row>
        <row r="3">
          <cell r="K3">
            <v>2.6492451564310726</v>
          </cell>
        </row>
        <row r="8">
          <cell r="I8">
            <v>8.9568949430863967</v>
          </cell>
          <cell r="K8">
            <v>3.8299462174400549</v>
          </cell>
        </row>
        <row r="31">
          <cell r="O31">
            <v>848.85154063970799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onsheadFOUS(27)"/>
    </sheetNames>
    <sheetDataSet>
      <sheetData sheetId="0">
        <row r="23">
          <cell r="H23">
            <v>32.631814779848064</v>
          </cell>
          <cell r="I23">
            <v>19.730579979524563</v>
          </cell>
        </row>
        <row r="24">
          <cell r="H24">
            <v>7.0978491099512295</v>
          </cell>
          <cell r="I24">
            <v>2.9547639313032463</v>
          </cell>
        </row>
        <row r="28">
          <cell r="H28">
            <v>8.0265326987139662</v>
          </cell>
          <cell r="I28">
            <v>2.9015730075717028</v>
          </cell>
        </row>
        <row r="29">
          <cell r="H29">
            <v>5.7717424802007562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ckRockLF(27)"/>
    </sheetNames>
    <sheetDataSet>
      <sheetData sheetId="0">
        <row r="7">
          <cell r="H7">
            <v>10.511269408425623</v>
          </cell>
          <cell r="J7">
            <v>9.8911911020303638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cFarlandFOUS(25)"/>
    </sheetNames>
    <sheetDataSet>
      <sheetData sheetId="0">
        <row r="5">
          <cell r="G5">
            <v>2.7326660832687559</v>
          </cell>
        </row>
        <row r="6">
          <cell r="G6">
            <v>2.719360813606805</v>
          </cell>
        </row>
        <row r="20">
          <cell r="F20">
            <v>17.23031996364432</v>
          </cell>
          <cell r="G20">
            <v>5.8919965119131534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oggLF(25)"/>
    </sheetNames>
    <sheetDataSet>
      <sheetData sheetId="0">
        <row r="2">
          <cell r="K2">
            <v>3.8774034503941888</v>
          </cell>
        </row>
        <row r="3">
          <cell r="I3">
            <v>7.3135184067592034</v>
          </cell>
          <cell r="K3">
            <v>4.3134023887555912</v>
          </cell>
        </row>
        <row r="4">
          <cell r="I4">
            <v>5.6925165962582982</v>
          </cell>
        </row>
        <row r="18">
          <cell r="O18">
            <v>629.75873520046014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(6)MonumentFOUS"/>
    </sheetNames>
    <sheetDataSet>
      <sheetData sheetId="0">
        <row r="4">
          <cell r="J4">
            <v>3.9279158482406906</v>
          </cell>
        </row>
        <row r="5">
          <cell r="J5">
            <v>3.0971002850299376</v>
          </cell>
        </row>
        <row r="6">
          <cell r="J6">
            <v>2.9507162098742765</v>
          </cell>
        </row>
        <row r="7">
          <cell r="J7">
            <v>4.3684244163906261</v>
          </cell>
        </row>
        <row r="8">
          <cell r="J8">
            <v>2.8225442258656437</v>
          </cell>
        </row>
        <row r="9">
          <cell r="I9">
            <v>4.4551370538355357</v>
          </cell>
          <cell r="J9">
            <v>3.7541922856404928</v>
          </cell>
        </row>
        <row r="19">
          <cell r="I19">
            <v>6.8968645237625719</v>
          </cell>
          <cell r="J19">
            <v>3.2899491607165499</v>
          </cell>
        </row>
        <row r="20">
          <cell r="I20">
            <v>6.5000985998816807</v>
          </cell>
          <cell r="J20">
            <v>2.8527896730970781</v>
          </cell>
        </row>
        <row r="89">
          <cell r="N89">
            <v>829.80692660206876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6)DeltaLF"/>
    </sheetNames>
    <sheetDataSet>
      <sheetData sheetId="0">
        <row r="2">
          <cell r="J2">
            <v>7.4358454060686139</v>
          </cell>
        </row>
        <row r="3">
          <cell r="L3">
            <v>6.3585578568506955</v>
          </cell>
        </row>
        <row r="4">
          <cell r="J4">
            <v>7.622607081622701</v>
          </cell>
        </row>
        <row r="5">
          <cell r="J5">
            <v>2.7526622937410536</v>
          </cell>
        </row>
        <row r="7">
          <cell r="J7">
            <v>3.1842134239378352</v>
          </cell>
        </row>
        <row r="8">
          <cell r="J8">
            <v>3.023783681751687</v>
          </cell>
        </row>
        <row r="32">
          <cell r="P32">
            <v>1030.1449136861438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oseFOUS(13)"/>
    </sheetNames>
    <sheetDataSet>
      <sheetData sheetId="0">
        <row r="2">
          <cell r="K2">
            <v>21.852319019446075</v>
          </cell>
        </row>
        <row r="3">
          <cell r="J3">
            <v>9.0818324949118701</v>
          </cell>
          <cell r="K3">
            <v>5.4662940209140265</v>
          </cell>
        </row>
        <row r="4">
          <cell r="J4">
            <v>3.6293537114550132</v>
          </cell>
          <cell r="K4">
            <v>4.5496928613403709</v>
          </cell>
        </row>
        <row r="5">
          <cell r="J5">
            <v>3.4350447371452706</v>
          </cell>
          <cell r="K5">
            <v>3.0458656738297778</v>
          </cell>
        </row>
        <row r="6">
          <cell r="J6">
            <v>2.5099650551054107</v>
          </cell>
          <cell r="K6">
            <v>4.9183799320660926</v>
          </cell>
        </row>
        <row r="7">
          <cell r="J7">
            <v>4.4091240735762831</v>
          </cell>
          <cell r="K7">
            <v>3.0449596579211669</v>
          </cell>
        </row>
        <row r="8">
          <cell r="J8">
            <v>2.9501171229983485</v>
          </cell>
          <cell r="K8">
            <v>2.8175914130376527</v>
          </cell>
        </row>
        <row r="9">
          <cell r="J9">
            <v>2.8799969279213546</v>
          </cell>
        </row>
        <row r="15">
          <cell r="J15">
            <v>2.8892899658231248</v>
          </cell>
          <cell r="K15">
            <v>5.0126105094769926</v>
          </cell>
        </row>
        <row r="16">
          <cell r="J16">
            <v>6.3488345301639715</v>
          </cell>
        </row>
        <row r="17">
          <cell r="K17">
            <v>2.6344279226523897</v>
          </cell>
        </row>
        <row r="18">
          <cell r="J18">
            <v>3.5845781652010289</v>
          </cell>
        </row>
        <row r="20">
          <cell r="J20">
            <v>2.8284628086479011</v>
          </cell>
        </row>
        <row r="33">
          <cell r="J33">
            <v>2.6426020506124956</v>
          </cell>
        </row>
        <row r="34">
          <cell r="J34">
            <v>2.738911716139933</v>
          </cell>
        </row>
        <row r="111">
          <cell r="O111">
            <v>754.19530739986942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ilCreekLF(13)"/>
    </sheetNames>
    <sheetDataSet>
      <sheetData sheetId="0">
        <row r="3">
          <cell r="I3">
            <v>0</v>
          </cell>
        </row>
        <row r="5">
          <cell r="I5">
            <v>5.1868632458584685</v>
          </cell>
        </row>
        <row r="6">
          <cell r="G6">
            <v>5.0244948639801335</v>
          </cell>
          <cell r="I6">
            <v>10.636957956192184</v>
          </cell>
        </row>
        <row r="7">
          <cell r="G7">
            <v>4.6370922225984872</v>
          </cell>
          <cell r="I7">
            <v>6.9648168266080477</v>
          </cell>
        </row>
        <row r="10">
          <cell r="G10">
            <v>8.1002370470707756</v>
          </cell>
          <cell r="I10">
            <v>9.1449436023071442</v>
          </cell>
        </row>
        <row r="11">
          <cell r="G11">
            <v>7.0172705722993571</v>
          </cell>
          <cell r="I11">
            <v>6.6258971609243735</v>
          </cell>
        </row>
        <row r="12">
          <cell r="G12">
            <v>4.7075290664860594</v>
          </cell>
          <cell r="I12">
            <v>4.0034330479856486</v>
          </cell>
        </row>
        <row r="19">
          <cell r="G19">
            <v>4.8131843323174177</v>
          </cell>
          <cell r="I19">
            <v>3.4915544950802659</v>
          </cell>
        </row>
        <row r="20">
          <cell r="G20">
            <v>2.6545885540128684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ullenFOUS(14)"/>
    </sheetNames>
    <sheetDataSet>
      <sheetData sheetId="0">
        <row r="2">
          <cell r="H2">
            <v>5.1822472526411687</v>
          </cell>
        </row>
        <row r="8">
          <cell r="H8">
            <v>4.2371064671929943</v>
          </cell>
        </row>
        <row r="9">
          <cell r="G9">
            <v>4.2349189837062839</v>
          </cell>
          <cell r="H9">
            <v>6.3090938710391908</v>
          </cell>
        </row>
        <row r="10">
          <cell r="G10">
            <v>8.6674883252863566</v>
          </cell>
        </row>
        <row r="13">
          <cell r="G13">
            <v>4.2853718382161716</v>
          </cell>
          <cell r="H13">
            <v>2.6831156223245318</v>
          </cell>
        </row>
        <row r="14">
          <cell r="G14">
            <v>5.3269372109589668</v>
          </cell>
        </row>
        <row r="47">
          <cell r="M47">
            <v>274.31085091418947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yanLF(14)"/>
    </sheetNames>
    <sheetDataSet>
      <sheetData sheetId="0">
        <row r="3">
          <cell r="I3">
            <v>2.5714925476926114</v>
          </cell>
        </row>
        <row r="9">
          <cell r="G9">
            <v>3.4104125598422979</v>
          </cell>
          <cell r="I9">
            <v>3.8881426758719737</v>
          </cell>
        </row>
        <row r="10">
          <cell r="G10">
            <v>6.4976767107856936</v>
          </cell>
          <cell r="I10">
            <v>4.7004760213054935</v>
          </cell>
        </row>
        <row r="28">
          <cell r="M28">
            <v>333.84930368230613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ineGulchFOUS(10)"/>
    </sheetNames>
    <sheetDataSet>
      <sheetData sheetId="0">
        <row r="7">
          <cell r="H7">
            <v>2.5643700797159465</v>
          </cell>
        </row>
        <row r="13">
          <cell r="G13">
            <v>5.5315487709252054</v>
          </cell>
          <cell r="H13">
            <v>2.5218576136172133</v>
          </cell>
        </row>
        <row r="14">
          <cell r="G14">
            <v>6.6242851079442042</v>
          </cell>
          <cell r="H14">
            <v>2.5829960415131272</v>
          </cell>
        </row>
        <row r="20">
          <cell r="H20">
            <v>3.674830287376567</v>
          </cell>
        </row>
        <row r="55">
          <cell r="L55">
            <v>288.12591596106671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llDrawLF(10)"/>
    </sheetNames>
    <sheetDataSet>
      <sheetData sheetId="0">
        <row r="13">
          <cell r="H13">
            <v>3.9569003778214462</v>
          </cell>
        </row>
        <row r="76">
          <cell r="L76">
            <v>392.19533723139705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ichardSpringFOUS(9)"/>
    </sheetNames>
    <sheetDataSet>
      <sheetData sheetId="0">
        <row r="4">
          <cell r="J4">
            <v>8.7758312394086371</v>
          </cell>
          <cell r="K4">
            <v>3.5072805426153328</v>
          </cell>
        </row>
        <row r="15">
          <cell r="O15">
            <v>42.949453631741953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rpyLF(9)"/>
    </sheetNames>
    <sheetDataSet>
      <sheetData sheetId="0">
        <row r="4">
          <cell r="G4">
            <v>8.9119400115362435</v>
          </cell>
          <cell r="I4">
            <v>4.7361547138924616</v>
          </cell>
        </row>
        <row r="11">
          <cell r="R11">
            <v>20.901993155162472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naSpringsLF(16)"/>
    </sheetNames>
    <sheetDataSet>
      <sheetData sheetId="0">
        <row r="3">
          <cell r="K3">
            <v>5.4395144370817121</v>
          </cell>
        </row>
        <row r="24">
          <cell r="O24">
            <v>159.3899064943221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hneiderSpringsFOUS(20)"/>
    </sheetNames>
    <sheetDataSet>
      <sheetData sheetId="0">
        <row r="2">
          <cell r="K2">
            <v>8.8465955845703501</v>
          </cell>
        </row>
        <row r="9">
          <cell r="J9">
            <v>3.1659817692767485</v>
          </cell>
          <cell r="K9">
            <v>5.1419908592508365</v>
          </cell>
        </row>
        <row r="13">
          <cell r="J13">
            <v>4.6205170352659897</v>
          </cell>
          <cell r="K13">
            <v>4.9464311135439143</v>
          </cell>
        </row>
        <row r="15">
          <cell r="J15">
            <v>11.919904363419008</v>
          </cell>
          <cell r="K15">
            <v>9.3742544908006344</v>
          </cell>
        </row>
        <row r="16">
          <cell r="J16">
            <v>3.9231171548117154</v>
          </cell>
          <cell r="K16">
            <v>2.6118260441770373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ollyMountainLF(20)"/>
    </sheetNames>
    <sheetDataSet>
      <sheetData sheetId="0">
        <row r="2">
          <cell r="AA2">
            <v>2.9069463158590052</v>
          </cell>
        </row>
        <row r="20">
          <cell r="AA20">
            <v>2.9728346651723232</v>
          </cell>
        </row>
        <row r="23">
          <cell r="Y23">
            <v>4.6661595305368397</v>
          </cell>
          <cell r="AA23">
            <v>2.5252664712300925</v>
          </cell>
        </row>
        <row r="24">
          <cell r="Y24">
            <v>5.3584003477504893</v>
          </cell>
          <cell r="AA24">
            <v>2.5900729717416682</v>
          </cell>
        </row>
        <row r="25">
          <cell r="Y25">
            <v>4.3968702455987829</v>
          </cell>
        </row>
        <row r="37">
          <cell r="Y37">
            <v>3.9343620951966964</v>
          </cell>
        </row>
        <row r="57">
          <cell r="AE57">
            <v>825.56781990919217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(1)SlaterFOUS"/>
    </sheetNames>
    <sheetDataSet>
      <sheetData sheetId="0">
        <row r="2">
          <cell r="H2">
            <v>11.127360590068035</v>
          </cell>
          <cell r="I2">
            <v>22.725943185559995</v>
          </cell>
        </row>
        <row r="3">
          <cell r="H3">
            <v>31.572772938259043</v>
          </cell>
          <cell r="I3">
            <v>21.792549574437217</v>
          </cell>
        </row>
        <row r="4">
          <cell r="H4">
            <v>10.48553443123291</v>
          </cell>
          <cell r="I4">
            <v>5.1662613259409458</v>
          </cell>
        </row>
        <row r="58">
          <cell r="M58">
            <v>375.83965217163046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1)McKinneyLF"/>
    </sheetNames>
    <sheetDataSet>
      <sheetData sheetId="0">
        <row r="3">
          <cell r="N3">
            <v>49.576291196913765</v>
          </cell>
          <cell r="P3">
            <v>17.56644450979703</v>
          </cell>
        </row>
        <row r="4">
          <cell r="N4">
            <v>36.597342778276634</v>
          </cell>
          <cell r="P4">
            <v>5.5671178817572997</v>
          </cell>
        </row>
        <row r="102">
          <cell r="T102">
            <v>1605.9729289301274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legraphFOUS(11)"/>
    </sheetNames>
    <sheetDataSet>
      <sheetData sheetId="0">
        <row r="2">
          <cell r="J2">
            <v>3.2873743474764874</v>
          </cell>
        </row>
        <row r="3">
          <cell r="J3">
            <v>3.0030408047046087</v>
          </cell>
        </row>
        <row r="4">
          <cell r="I4">
            <v>3.9963486891240727</v>
          </cell>
        </row>
        <row r="11">
          <cell r="J11">
            <v>2.7540055747576218</v>
          </cell>
        </row>
        <row r="31">
          <cell r="N31">
            <v>227.70716486775063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scalLF(11)"/>
    </sheetNames>
    <sheetDataSet>
      <sheetData sheetId="0">
        <row r="5">
          <cell r="G5">
            <v>5.2317647058823527</v>
          </cell>
          <cell r="I5">
            <v>4.584029837526578</v>
          </cell>
        </row>
        <row r="18">
          <cell r="M18">
            <v>188.98168858131487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(5)WhitneyFOUS"/>
    </sheetNames>
    <sheetDataSet>
      <sheetData sheetId="0">
        <row r="2">
          <cell r="I2">
            <v>6.4615867535117308</v>
          </cell>
          <cell r="J2">
            <v>7.1897631413068028</v>
          </cell>
        </row>
        <row r="10">
          <cell r="N10">
            <v>29.634199921525546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5)WilliamsFlatLF"/>
    </sheetNames>
    <sheetDataSet>
      <sheetData sheetId="0">
        <row r="3">
          <cell r="L3">
            <v>6.2678296537173575</v>
          </cell>
        </row>
        <row r="4">
          <cell r="J4">
            <v>4.8047518336858204</v>
          </cell>
        </row>
        <row r="7">
          <cell r="L7">
            <v>3.9151787175463828</v>
          </cell>
        </row>
        <row r="8">
          <cell r="J8">
            <v>7.0132745353912611</v>
          </cell>
        </row>
        <row r="9">
          <cell r="J9">
            <v>3.1437699680511177</v>
          </cell>
        </row>
        <row r="25">
          <cell r="P25">
            <v>509.3115763424633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odheadFOUS(8)"/>
    </sheetNames>
    <sheetDataSet>
      <sheetData sheetId="0">
        <row r="3">
          <cell r="N3">
            <v>10.133282961061544</v>
          </cell>
          <cell r="O3">
            <v>12.75230454351799</v>
          </cell>
        </row>
        <row r="5">
          <cell r="N5">
            <v>5.4289336949096407</v>
          </cell>
        </row>
        <row r="9">
          <cell r="N9">
            <v>10.531703479826941</v>
          </cell>
        </row>
        <row r="40">
          <cell r="S40">
            <v>132.95272291800362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saLF(8)"/>
    </sheetNames>
    <sheetDataSet>
      <sheetData sheetId="0">
        <row r="2">
          <cell r="N2">
            <v>5.3572971571761858</v>
          </cell>
          <cell r="P2">
            <v>4.2860562213581677</v>
          </cell>
        </row>
        <row r="3">
          <cell r="N3">
            <v>7.8921915953800514</v>
          </cell>
          <cell r="P3">
            <v>3.6827920387697581</v>
          </cell>
        </row>
        <row r="4">
          <cell r="N4">
            <v>9.5877761456263144</v>
          </cell>
        </row>
        <row r="32">
          <cell r="T32">
            <v>522.24593038225669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ephanie Overla" id="{1D986667-824B-464B-90AD-5141356B98B4}" userId="688112b8a432bc9f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8" dT="2026-02-25T20:52:34.49" personId="{1D986667-824B-464B-90AD-5141356B98B4}" id="{8BBC6331-0DCE-4F92-88C7-600F8158FB8D}">
    <text>Should not be matched, too far away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947"/>
  <sheetViews>
    <sheetView tabSelected="1" zoomScale="68" workbookViewId="0">
      <selection activeCell="Y24" sqref="Y24"/>
    </sheetView>
  </sheetViews>
  <sheetFormatPr defaultColWidth="12.54296875" defaultRowHeight="15" customHeight="1"/>
  <cols>
    <col min="1" max="1" width="32.453125" customWidth="1"/>
    <col min="2" max="3" width="5" customWidth="1"/>
    <col min="4" max="4" width="27.54296875" customWidth="1"/>
    <col min="5" max="5" width="21.7265625" hidden="1" customWidth="1"/>
    <col min="6" max="6" width="14.453125" hidden="1" customWidth="1"/>
    <col min="7" max="7" width="10.7265625" hidden="1" customWidth="1"/>
    <col min="8" max="9" width="12.54296875" hidden="1" customWidth="1"/>
    <col min="10" max="10" width="11.26953125" hidden="1" customWidth="1"/>
    <col min="11" max="11" width="10.81640625" hidden="1" customWidth="1"/>
    <col min="12" max="13" width="9.453125" hidden="1" customWidth="1"/>
    <col min="14" max="14" width="9.26953125" hidden="1" customWidth="1"/>
    <col min="15" max="16" width="18.54296875" hidden="1" customWidth="1"/>
    <col min="17" max="17" width="25.453125" hidden="1" customWidth="1"/>
    <col min="18" max="18" width="25.453125" style="107" customWidth="1"/>
    <col min="19" max="19" width="19.1796875" hidden="1" customWidth="1"/>
    <col min="20" max="20" width="18.54296875" hidden="1" customWidth="1"/>
    <col min="21" max="21" width="25.453125" hidden="1" customWidth="1"/>
    <col min="22" max="22" width="14.26953125" hidden="1" customWidth="1"/>
    <col min="23" max="23" width="11.7265625" hidden="1" customWidth="1"/>
    <col min="24" max="24" width="6.7265625" hidden="1" customWidth="1"/>
    <col min="25" max="25" width="66.54296875" customWidth="1"/>
    <col min="26" max="26" width="39.81640625" customWidth="1"/>
    <col min="29" max="29" width="28.08984375" customWidth="1"/>
  </cols>
  <sheetData>
    <row r="1" spans="1:38" ht="15.75" customHeight="1">
      <c r="A1" s="11" t="s">
        <v>49</v>
      </c>
      <c r="B1" s="11" t="s">
        <v>696</v>
      </c>
      <c r="C1" s="11" t="s">
        <v>695</v>
      </c>
      <c r="D1" s="23" t="s">
        <v>50</v>
      </c>
      <c r="E1" s="24" t="s">
        <v>51</v>
      </c>
      <c r="F1" s="23"/>
      <c r="G1" s="25"/>
      <c r="H1" s="11"/>
      <c r="I1" s="11"/>
      <c r="J1" s="11"/>
      <c r="K1" s="11"/>
      <c r="L1" s="11"/>
      <c r="M1" s="11"/>
      <c r="N1" s="11"/>
      <c r="O1" s="26" t="s">
        <v>52</v>
      </c>
      <c r="P1" s="26" t="s">
        <v>53</v>
      </c>
      <c r="Q1" s="23" t="s">
        <v>54</v>
      </c>
      <c r="R1" s="97" t="s">
        <v>55</v>
      </c>
      <c r="S1" s="24" t="s">
        <v>18</v>
      </c>
      <c r="T1" s="26" t="s">
        <v>52</v>
      </c>
      <c r="U1" s="23" t="s">
        <v>56</v>
      </c>
      <c r="V1" s="27"/>
      <c r="W1" s="28"/>
      <c r="X1" s="11" t="s">
        <v>53</v>
      </c>
      <c r="Y1" t="s">
        <v>699</v>
      </c>
      <c r="Z1" s="27" t="s">
        <v>710</v>
      </c>
      <c r="AA1" s="27" t="s">
        <v>705</v>
      </c>
      <c r="AB1" s="27" t="s">
        <v>707</v>
      </c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2" spans="1:38" ht="15.75" customHeight="1">
      <c r="A2" s="29" t="s">
        <v>57</v>
      </c>
      <c r="B2" s="13">
        <v>21</v>
      </c>
      <c r="C2" s="13">
        <v>1</v>
      </c>
      <c r="D2" s="15" t="s">
        <v>58</v>
      </c>
      <c r="E2" s="14">
        <f>[1]Antelope_FOUS_1!O77</f>
        <v>581.95177727422549</v>
      </c>
      <c r="F2" s="13"/>
      <c r="G2" s="30" t="s">
        <v>59</v>
      </c>
      <c r="H2" s="13"/>
      <c r="I2" s="13"/>
      <c r="J2" s="13"/>
      <c r="K2" s="13"/>
      <c r="L2" s="13"/>
      <c r="M2" s="13"/>
      <c r="N2" s="13"/>
      <c r="O2" s="31">
        <f>AVERAGE([1]Antelope_FOUS_1!H4,[1]Antelope_FOUS_1!H5,[1]Antelope_FOUS_1!H6,[1]Antelope_FOUS_1!H42,[1]Antelope_FOUS_1!H43,[1]Antelope_FOUS_1!H44)</f>
        <v>4.5082620594235863</v>
      </c>
      <c r="P2" s="31"/>
      <c r="Q2" s="13">
        <f>AVERAGE([1]Antelope_FOUS_1!J5,[1]Antelope_FOUS_1!J6,[1]Antelope_FOUS_1!J43,[1]Antelope_FOUS_1!J44)</f>
        <v>5.7088706465611949</v>
      </c>
      <c r="R2" s="98" t="s">
        <v>60</v>
      </c>
      <c r="S2" s="14">
        <f>'[2]LavaLF(17)'!P73</f>
        <v>1509.3070544132681</v>
      </c>
      <c r="T2" s="31">
        <f>AVERAGE('[2]LavaLF(17)'!L4,'[2]LavaLF(17)'!L7)</f>
        <v>6.585419599377099</v>
      </c>
      <c r="U2" s="13">
        <f>AVERAGE('[2]LavaLF(17)'!J7,'[2]LavaLF(17)'!J8,'[2]LavaLF(17)'!J10)</f>
        <v>11.277771466797935</v>
      </c>
      <c r="V2" s="2" t="s">
        <v>61</v>
      </c>
      <c r="W2" s="1" t="s">
        <v>59</v>
      </c>
      <c r="Y2" t="s">
        <v>698</v>
      </c>
      <c r="Z2" t="s">
        <v>704</v>
      </c>
      <c r="AA2" t="s">
        <v>698</v>
      </c>
    </row>
    <row r="3" spans="1:38" ht="15.75" customHeight="1">
      <c r="A3" s="32" t="s">
        <v>62</v>
      </c>
      <c r="B3" s="13">
        <v>22</v>
      </c>
      <c r="C3" s="13">
        <v>2</v>
      </c>
      <c r="D3" s="15" t="s">
        <v>63</v>
      </c>
      <c r="E3" s="14">
        <v>348</v>
      </c>
      <c r="F3" s="13"/>
      <c r="G3" s="30" t="s">
        <v>59</v>
      </c>
      <c r="H3" s="13"/>
      <c r="I3" s="13"/>
      <c r="J3" s="13"/>
      <c r="K3" s="13"/>
      <c r="L3" s="13"/>
      <c r="M3" s="13"/>
      <c r="N3" s="13"/>
      <c r="O3" s="31">
        <f>AVERAGE([3]ArchieCrk_FOUS_2!J2,[3]ArchieCrk_FOUS_2!J3)</f>
        <v>8.1725288757371821</v>
      </c>
      <c r="P3" s="31"/>
      <c r="Q3" s="13">
        <f>AVERAGE([3]ArchieCrk_FOUS_2!I2,[3]ArchieCrk_FOUS_2!I3)</f>
        <v>7.0302831034954618</v>
      </c>
      <c r="R3" s="98" t="s">
        <v>64</v>
      </c>
      <c r="S3" s="14">
        <f>'[4]CinderButteLF(23)'!P13</f>
        <v>102.01438943216023</v>
      </c>
      <c r="T3" s="31">
        <f>AVERAGE('[4]CinderButteLF(23)'!L2,'[4]CinderButteLF(23)'!L5)</f>
        <v>3.1504848513886543</v>
      </c>
      <c r="U3" s="13">
        <f>AVERAGE('[4]CinderButteLF(23)'!J5)</f>
        <v>8.3114351525765731</v>
      </c>
      <c r="V3" s="2" t="s">
        <v>65</v>
      </c>
      <c r="W3" s="1" t="s">
        <v>66</v>
      </c>
      <c r="Y3" t="s">
        <v>698</v>
      </c>
      <c r="Z3" t="s">
        <v>706</v>
      </c>
      <c r="AA3" t="s">
        <v>698</v>
      </c>
      <c r="AB3" s="108">
        <v>43989</v>
      </c>
    </row>
    <row r="4" spans="1:38" ht="15.75" customHeight="1">
      <c r="A4" s="33" t="s">
        <v>67</v>
      </c>
      <c r="B4" s="13">
        <v>23</v>
      </c>
      <c r="C4" s="13">
        <v>3</v>
      </c>
      <c r="D4" s="34" t="s">
        <v>68</v>
      </c>
      <c r="E4" s="14">
        <v>201</v>
      </c>
      <c r="F4" s="13"/>
      <c r="G4" s="30" t="s">
        <v>59</v>
      </c>
      <c r="H4" s="13"/>
      <c r="I4" s="13"/>
      <c r="J4" s="13"/>
      <c r="K4" s="13"/>
      <c r="L4" s="13"/>
      <c r="M4" s="13"/>
      <c r="N4" s="13"/>
      <c r="O4" s="31">
        <f>AVERAGE([5]Badger_FOUS_3!H3,[5]Badger_FOUS_3!H4,[5]Badger_FOUS_3!H5,[5]Badger_FOUS_3!H8)</f>
        <v>4.2255847850028907</v>
      </c>
      <c r="P4" s="31"/>
      <c r="Q4" s="13">
        <f>AVERAGE([5]Badger_FOUS_3!G5,[5]Badger_FOUS_3!G8)</f>
        <v>9.6120608366706239</v>
      </c>
      <c r="R4" s="99" t="s">
        <v>69</v>
      </c>
      <c r="S4" s="14"/>
      <c r="T4" s="31"/>
      <c r="U4" s="13">
        <f>AVERAGE('[6]BlackPineLF(21)'!I4)</f>
        <v>7.9000451294394374</v>
      </c>
      <c r="W4" s="1" t="s">
        <v>59</v>
      </c>
      <c r="Y4" t="s">
        <v>697</v>
      </c>
      <c r="Z4" t="s">
        <v>697</v>
      </c>
    </row>
    <row r="5" spans="1:38" ht="15.75" customHeight="1">
      <c r="A5" s="35" t="s">
        <v>62</v>
      </c>
      <c r="B5" s="13">
        <v>24</v>
      </c>
      <c r="C5" s="13">
        <v>4</v>
      </c>
      <c r="D5" s="36" t="s">
        <v>70</v>
      </c>
      <c r="E5" s="16">
        <f>[7]BeachieCrk_FOUS_4!N76</f>
        <v>176.39388860883039</v>
      </c>
      <c r="F5" s="37"/>
      <c r="G5" s="38" t="s">
        <v>59</v>
      </c>
      <c r="H5" s="37" t="s">
        <v>71</v>
      </c>
      <c r="I5" s="37" t="s">
        <v>72</v>
      </c>
      <c r="J5" s="39">
        <v>44059</v>
      </c>
      <c r="K5" s="39">
        <v>44100</v>
      </c>
      <c r="L5" s="37"/>
      <c r="M5" s="37">
        <v>192843</v>
      </c>
      <c r="N5" s="37">
        <f>K5-J5</f>
        <v>41</v>
      </c>
      <c r="O5" s="40">
        <f>AVERAGE([7]BeachieCrk_FOUS_4!J25,[7]BeachieCrk_FOUS_4!J26)</f>
        <v>24.414783376578988</v>
      </c>
      <c r="P5" s="40"/>
      <c r="Q5" s="37">
        <f>AVERAGE([7]BeachieCrk_FOUS_4!I26,[7]BeachieCrk_FOUS_4!I25)</f>
        <v>34.958110752220634</v>
      </c>
      <c r="R5" s="100" t="s">
        <v>73</v>
      </c>
      <c r="S5" s="16">
        <f>'[8](2)CountyLine2LF'!O23</f>
        <v>183.01665005133393</v>
      </c>
      <c r="T5" s="40">
        <f>AVERAGE('[8](2)CountyLine2LF'!K2,'[8](2)CountyLine2LF'!K4,'[8](2)CountyLine2LF'!K6)</f>
        <v>6.4054192572644375</v>
      </c>
      <c r="U5" s="37">
        <f>AVERAGE('[8](2)CountyLine2LF'!I2,'[8](2)CountyLine2LF'!I4,'[8](2)CountyLine2LF'!I6)</f>
        <v>5.6705204318994546</v>
      </c>
      <c r="V5" s="2" t="s">
        <v>74</v>
      </c>
      <c r="W5" s="1" t="s">
        <v>59</v>
      </c>
      <c r="Y5" t="s">
        <v>698</v>
      </c>
    </row>
    <row r="6" spans="1:38" ht="15.75" customHeight="1">
      <c r="A6" s="41" t="s">
        <v>75</v>
      </c>
      <c r="B6" s="13">
        <v>25</v>
      </c>
      <c r="C6" s="13">
        <v>5</v>
      </c>
      <c r="D6" s="34" t="s">
        <v>76</v>
      </c>
      <c r="E6" s="14">
        <v>425</v>
      </c>
      <c r="F6" s="13"/>
      <c r="G6" s="30" t="s">
        <v>59</v>
      </c>
      <c r="H6" s="13"/>
      <c r="I6" s="13"/>
      <c r="J6" s="13"/>
      <c r="K6" s="13"/>
      <c r="L6" s="13"/>
      <c r="M6" s="13"/>
      <c r="N6" s="13"/>
      <c r="O6" s="31">
        <f>AVERAGE([9]Bighorn_FOUS_5!I12)</f>
        <v>3.4330689748154244</v>
      </c>
      <c r="P6" s="31"/>
      <c r="Q6" s="42">
        <f>AVERAGE([9]Bighorn_FOUS_5!H12,[9]Bighorn_FOUS_5!H15,[9]Bighorn_FOUS_5!H18,[9]Bighorn_FOUS_5!H22)</f>
        <v>3.0883609696543992</v>
      </c>
      <c r="R6" s="101" t="s">
        <v>77</v>
      </c>
      <c r="S6" s="14">
        <v>399</v>
      </c>
      <c r="T6" s="31">
        <f>AVERAGE('[10]BurroLF(24)'!I4)</f>
        <v>2.5384179199092758</v>
      </c>
      <c r="U6" s="13">
        <f>AVERAGE('[10]BurroLF(24)'!G4,'[10]BurroLF(24)'!G5)</f>
        <v>3.9743852459016393</v>
      </c>
      <c r="V6" s="2" t="s">
        <v>65</v>
      </c>
      <c r="W6" s="1" t="s">
        <v>66</v>
      </c>
      <c r="Y6" t="s">
        <v>698</v>
      </c>
      <c r="Z6" t="s">
        <v>708</v>
      </c>
      <c r="AA6" t="s">
        <v>697</v>
      </c>
      <c r="AC6" t="s">
        <v>709</v>
      </c>
    </row>
    <row r="7" spans="1:38" ht="15.75" customHeight="1">
      <c r="A7" s="43" t="s">
        <v>75</v>
      </c>
      <c r="B7" s="13">
        <v>26</v>
      </c>
      <c r="C7" s="13">
        <v>6</v>
      </c>
      <c r="D7" s="36" t="s">
        <v>78</v>
      </c>
      <c r="E7" s="16">
        <f>[11]Black_FOUS_6!T49</f>
        <v>183.30422038777618</v>
      </c>
      <c r="F7" s="37" t="s">
        <v>74</v>
      </c>
      <c r="G7" s="38"/>
      <c r="H7" s="37" t="s">
        <v>79</v>
      </c>
      <c r="I7" s="37" t="s">
        <v>80</v>
      </c>
      <c r="J7" s="39">
        <v>44694</v>
      </c>
      <c r="K7" s="39">
        <v>44731</v>
      </c>
      <c r="L7" s="37"/>
      <c r="M7" s="37">
        <v>325111</v>
      </c>
      <c r="N7" s="37">
        <f>K7-J7</f>
        <v>37</v>
      </c>
      <c r="O7" s="40">
        <f>AVERAGE([11]Black_FOUS_6!P3,[11]Black_FOUS_6!P4)</f>
        <v>4.312820951070826</v>
      </c>
      <c r="P7" s="40"/>
      <c r="Q7" s="37">
        <f>AVERAGE([11]Black_FOUS_6!O5)</f>
        <v>5.5169529058609319</v>
      </c>
      <c r="R7" s="100" t="s">
        <v>81</v>
      </c>
      <c r="S7" s="16">
        <f>'[12](3)Bear TrapLF'!AB40</f>
        <v>497.05689993459777</v>
      </c>
      <c r="T7" s="40">
        <v>0</v>
      </c>
      <c r="U7" s="37">
        <f>0</f>
        <v>0</v>
      </c>
      <c r="V7" s="2" t="s">
        <v>82</v>
      </c>
      <c r="W7" s="1"/>
      <c r="Y7" t="s">
        <v>698</v>
      </c>
    </row>
    <row r="8" spans="1:38" ht="15.75" customHeight="1">
      <c r="A8" s="44" t="s">
        <v>83</v>
      </c>
      <c r="B8" s="13">
        <v>27</v>
      </c>
      <c r="C8" s="13">
        <v>7</v>
      </c>
      <c r="D8" s="34" t="s">
        <v>84</v>
      </c>
      <c r="E8" s="14">
        <f>[13]Bobcat_FOUS_7!L55</f>
        <v>988.2285398459361</v>
      </c>
      <c r="F8" s="13"/>
      <c r="G8" s="30" t="s">
        <v>59</v>
      </c>
      <c r="H8" s="13"/>
      <c r="I8" s="13"/>
      <c r="J8" s="13"/>
      <c r="K8" s="13"/>
      <c r="L8" s="13"/>
      <c r="M8" s="13"/>
      <c r="N8" s="13"/>
      <c r="O8" s="31" t="e">
        <f>AVERAGE([13]Bobcat_FOUS_7!H2,[13]Bobcat_FOUS_7!H4,[13]Bobcat_FOUS_7!H15)</f>
        <v>#REF!</v>
      </c>
      <c r="P8" s="31"/>
      <c r="Q8" s="13" t="e">
        <f>AVERAGE([13]Bobcat_FOUS_7!H2,[13]Bobcat_FOUS_7!H4,[13]Bobcat_FOUS_7!H15,)</f>
        <v>#REF!</v>
      </c>
      <c r="R8" s="101" t="s">
        <v>85</v>
      </c>
      <c r="S8" s="14">
        <f>'[14]DomeLF(12)'!O11</f>
        <v>58.177710443001416</v>
      </c>
      <c r="T8" s="31">
        <v>0</v>
      </c>
      <c r="U8" s="13">
        <f>AVERAGE('[14]DomeLF(12)'!I4)</f>
        <v>5.066438656899221</v>
      </c>
      <c r="V8" s="2" t="s">
        <v>61</v>
      </c>
      <c r="W8" s="1" t="s">
        <v>66</v>
      </c>
      <c r="Y8" t="s">
        <v>697</v>
      </c>
      <c r="Z8" t="s">
        <v>697</v>
      </c>
    </row>
    <row r="9" spans="1:38" ht="15.75" customHeight="1">
      <c r="A9" s="32" t="s">
        <v>62</v>
      </c>
      <c r="B9" s="13">
        <v>28</v>
      </c>
      <c r="C9" s="13">
        <v>8</v>
      </c>
      <c r="D9" s="15" t="s">
        <v>86</v>
      </c>
      <c r="E9" s="14">
        <v>277</v>
      </c>
      <c r="F9" s="13"/>
      <c r="G9" s="30" t="s">
        <v>59</v>
      </c>
      <c r="H9" s="13"/>
      <c r="I9" s="13"/>
      <c r="J9" s="13"/>
      <c r="K9" s="13"/>
      <c r="L9" s="13"/>
      <c r="M9" s="13"/>
      <c r="N9" s="13"/>
      <c r="O9" s="31">
        <f>AVERAGE('[15]BootlegFOUS(28)'!K2,'[15]BootlegFOUS(28)'!K4,'[15]BootlegFOUS(28)'!K6)</f>
        <v>2.9960054024560883</v>
      </c>
      <c r="P9" s="31"/>
      <c r="Q9" s="13">
        <f>AVERAGE('[15]BootlegFOUS(28)'!I6,'[15]BootlegFOUS(28)'!I12)</f>
        <v>5.7765366110487024</v>
      </c>
      <c r="R9" s="98" t="s">
        <v>87</v>
      </c>
      <c r="S9" s="14">
        <v>381</v>
      </c>
      <c r="T9" s="31">
        <f>AVERAGE('[16]WatsonCreekLF(28)'!I3,'[16]WatsonCreekLF(28)'!I4,'[16]WatsonCreekLF(28)'!I5,'[16]WatsonCreekLF(28)'!I6)</f>
        <v>4.1286315846002104</v>
      </c>
      <c r="U9" s="45">
        <f>AVERAGE('[16]WatsonCreekLF(28)'!G4,'[16]WatsonCreekLF(28)'!G6,'[16]WatsonCreekLF(28)'!G7,'[16]WatsonCreekLF(28)'!G10)</f>
        <v>3.3413286630455015</v>
      </c>
      <c r="V9" s="2" t="s">
        <v>74</v>
      </c>
      <c r="W9" s="1" t="s">
        <v>66</v>
      </c>
      <c r="Y9" t="s">
        <v>698</v>
      </c>
    </row>
    <row r="10" spans="1:38" ht="15.75" customHeight="1">
      <c r="A10" s="41" t="s">
        <v>75</v>
      </c>
      <c r="B10" s="13">
        <v>29</v>
      </c>
      <c r="C10" s="13">
        <v>9</v>
      </c>
      <c r="D10" s="34" t="s">
        <v>88</v>
      </c>
      <c r="E10" s="14">
        <v>69</v>
      </c>
      <c r="F10" s="13"/>
      <c r="G10" s="30" t="s">
        <v>59</v>
      </c>
      <c r="H10" s="13"/>
      <c r="I10" s="13"/>
      <c r="J10" s="13"/>
      <c r="K10" s="13"/>
      <c r="L10" s="13"/>
      <c r="M10" s="13"/>
      <c r="N10" s="13"/>
      <c r="O10" s="31">
        <f>AVERAGE('[17]BushFOUS(19)'!I2,'[17]BushFOUS(19)'!I3)</f>
        <v>3.4852947836784161</v>
      </c>
      <c r="P10" s="31"/>
      <c r="Q10" s="13">
        <f>'[17]BushFOUS(19)'!H7</f>
        <v>3.0366545191388177</v>
      </c>
      <c r="R10" s="101" t="s">
        <v>89</v>
      </c>
      <c r="S10" s="14">
        <v>467</v>
      </c>
      <c r="T10" s="31">
        <f>AVERAGE('[18]JuniperLF(19)'!H6)</f>
        <v>2.6475685928175934</v>
      </c>
      <c r="U10" s="13">
        <f>AVERAGE('[18]JuniperLF(19)'!F17)</f>
        <v>4.8881851718846923</v>
      </c>
      <c r="V10" s="2" t="s">
        <v>61</v>
      </c>
      <c r="W10" s="1" t="s">
        <v>66</v>
      </c>
      <c r="Y10" t="s">
        <v>698</v>
      </c>
    </row>
    <row r="11" spans="1:38" ht="15.75" customHeight="1">
      <c r="A11" s="29" t="s">
        <v>90</v>
      </c>
      <c r="B11" s="13">
        <v>30</v>
      </c>
      <c r="C11" s="13">
        <v>10</v>
      </c>
      <c r="D11" s="15" t="s">
        <v>91</v>
      </c>
      <c r="E11" s="14">
        <v>1399</v>
      </c>
      <c r="F11" s="13"/>
      <c r="G11" s="30" t="s">
        <v>59</v>
      </c>
      <c r="H11" s="13"/>
      <c r="I11" s="13"/>
      <c r="J11" s="13"/>
      <c r="K11" s="13"/>
      <c r="L11" s="13"/>
      <c r="M11" s="13"/>
      <c r="N11" s="13"/>
      <c r="O11" s="31">
        <f>AVERAGE('[19]CaldorFOUS(22)'!L3,'[19]CaldorFOUS(22)'!L4)</f>
        <v>6.5612642615145322</v>
      </c>
      <c r="P11" s="31"/>
      <c r="Q11" s="13">
        <f>AVERAGE('[19]CaldorFOUS(22)'!K4,'[19]CaldorFOUS(22)'!K16,)</f>
        <v>7.0365660890030926</v>
      </c>
      <c r="R11" s="98" t="s">
        <v>92</v>
      </c>
      <c r="S11" s="14">
        <f>'[20]ButteLF(22)'!P24</f>
        <v>1313.8521288004602</v>
      </c>
      <c r="T11" s="31" t="e">
        <f>AVERAGE('[20]ButteLF(22)'!L2,'[20]ButteLF(22)'!L3,'[20]ButteLF(22)'!L4)</f>
        <v>#REF!</v>
      </c>
      <c r="U11" s="13" t="e">
        <f>AVERAGE('[20]ButteLF(22)'!L2,'[20]ButteLF(22)'!L3,'[20]ButteLF(22)'!L4)</f>
        <v>#REF!</v>
      </c>
      <c r="V11" s="2" t="s">
        <v>65</v>
      </c>
      <c r="W11" s="1" t="s">
        <v>59</v>
      </c>
      <c r="Y11" t="s">
        <v>697</v>
      </c>
      <c r="Z11" t="s">
        <v>697</v>
      </c>
    </row>
    <row r="12" spans="1:38" ht="15.75" customHeight="1">
      <c r="A12" s="15" t="s">
        <v>93</v>
      </c>
      <c r="B12" s="13">
        <v>31</v>
      </c>
      <c r="C12" s="13">
        <v>11</v>
      </c>
      <c r="D12" s="34" t="s">
        <v>94</v>
      </c>
      <c r="E12" s="14">
        <v>731</v>
      </c>
      <c r="F12" s="13"/>
      <c r="G12" s="30" t="s">
        <v>59</v>
      </c>
      <c r="H12" s="13"/>
      <c r="I12" s="13"/>
      <c r="J12" s="13"/>
      <c r="K12" s="13"/>
      <c r="L12" s="13"/>
      <c r="M12" s="13"/>
      <c r="N12" s="13"/>
      <c r="O12" s="31">
        <f>AVERAGE('[21]CameronPeakFOUS(29)'!J2,'[21]CameronPeakFOUS(29)'!J4,'[21]CameronPeakFOUS(29)'!J24,'[21]CameronPeakFOUS(29)'!J25,'[21]CameronPeakFOUS(29)'!J45,'[21]CameronPeakFOUS(29)'!J65,'[21]CameronPeakFOUS(29)'!J66)</f>
        <v>4.7203712335854737</v>
      </c>
      <c r="P12" s="31"/>
      <c r="Q12" s="42">
        <f>AVERAGE('[21]CameronPeakFOUS(29)'!I25,'[21]CameronPeakFOUS(29)'!I26,'[21]CameronPeakFOUS(29)'!I27)</f>
        <v>13.884023521180083</v>
      </c>
      <c r="R12" s="102" t="s">
        <v>95</v>
      </c>
      <c r="S12" s="3">
        <v>49</v>
      </c>
      <c r="T12" s="31">
        <v>6.2</v>
      </c>
      <c r="U12" s="13">
        <f>AVERAGE('[22]HighParkLF(29)'!E3,'[22]HighParkLF(29)'!E4,'[22]HighParkLF(29)'!E16)</f>
        <v>4.943487160686189</v>
      </c>
      <c r="V12" s="2" t="s">
        <v>61</v>
      </c>
      <c r="W12" s="1" t="s">
        <v>59</v>
      </c>
      <c r="Y12" t="s">
        <v>711</v>
      </c>
    </row>
    <row r="13" spans="1:38" ht="15.75" customHeight="1">
      <c r="A13" s="32" t="s">
        <v>62</v>
      </c>
      <c r="B13" s="13">
        <v>32</v>
      </c>
      <c r="C13" s="13">
        <v>12</v>
      </c>
      <c r="D13" s="15" t="s">
        <v>96</v>
      </c>
      <c r="E13" s="14">
        <f>'[23]CougarPeakFOUS(15)'!M29</f>
        <v>320.22394074719529</v>
      </c>
      <c r="F13" s="13"/>
      <c r="G13" s="30" t="s">
        <v>66</v>
      </c>
      <c r="H13" s="13"/>
      <c r="I13" s="13"/>
      <c r="J13" s="13"/>
      <c r="K13" s="13"/>
      <c r="L13" s="13"/>
      <c r="M13" s="13"/>
      <c r="N13" s="13"/>
      <c r="O13" s="31">
        <f>AVERAGE('[23]CougarPeakFOUS(15)'!I3,'[23]CougarPeakFOUS(15)'!I4)</f>
        <v>5.4499516974154609</v>
      </c>
      <c r="P13" s="31"/>
      <c r="Q13" s="13">
        <f>AVERAGE('[23]CougarPeakFOUS(15)'!H3,'[23]CougarPeakFOUS(15)'!H4)</f>
        <v>12.510031586973099</v>
      </c>
      <c r="R13" s="98" t="s">
        <v>97</v>
      </c>
      <c r="S13" s="14">
        <f>'[24]BrattainLF(15)'!N24</f>
        <v>214.48731322250791</v>
      </c>
      <c r="T13" s="31">
        <f>AVERAGE('[24]BrattainLF(15)'!J8)</f>
        <v>3.5033504211192517</v>
      </c>
      <c r="U13" s="13">
        <f>AVERAGE('[24]BrattainLF(15)'!I8)</f>
        <v>7.001432749111892</v>
      </c>
      <c r="V13" s="2" t="s">
        <v>74</v>
      </c>
      <c r="W13" s="1" t="s">
        <v>59</v>
      </c>
      <c r="Y13" t="s">
        <v>697</v>
      </c>
      <c r="Z13" t="s">
        <v>697</v>
      </c>
    </row>
    <row r="14" spans="1:38" ht="15.75" customHeight="1">
      <c r="A14" s="46" t="s">
        <v>83</v>
      </c>
      <c r="B14" s="13">
        <v>33</v>
      </c>
      <c r="C14" s="13">
        <v>13</v>
      </c>
      <c r="D14" s="47" t="s">
        <v>98</v>
      </c>
      <c r="E14" s="16">
        <f>'[25](4)CreekFOUS'!O83</f>
        <v>581.3593760381159</v>
      </c>
      <c r="F14" s="37" t="s">
        <v>82</v>
      </c>
      <c r="G14" s="30" t="s">
        <v>59</v>
      </c>
      <c r="H14" s="37" t="s">
        <v>99</v>
      </c>
      <c r="I14" s="37" t="s">
        <v>100</v>
      </c>
      <c r="J14" s="39">
        <v>44078</v>
      </c>
      <c r="K14" s="39">
        <v>44132</v>
      </c>
      <c r="L14" s="37"/>
      <c r="M14" s="37">
        <v>374770</v>
      </c>
      <c r="N14" s="37">
        <f>K14-J14</f>
        <v>54</v>
      </c>
      <c r="O14" s="40">
        <f>AVERAGE('[25](4)CreekFOUS'!K3,'[25](4)CreekFOUS'!K4,'[25](4)CreekFOUS'!K5,'[25](4)CreekFOUS'!K6)</f>
        <v>8.9757632146896285</v>
      </c>
      <c r="P14" s="40"/>
      <c r="Q14" s="37">
        <f>AVERAGE('[25](4)CreekFOUS'!J3,'[25](4)CreekFOUS'!J4,'[25](4)CreekFOUS'!J5,'[25](4)CreekFOUS'!J6,'[25](4)CreekFOUS'!J13,'[25](4)CreekFOUS'!J16,)</f>
        <v>6.2097323884607221</v>
      </c>
      <c r="R14" s="103" t="s">
        <v>101</v>
      </c>
      <c r="S14" s="16">
        <f>'[26](4)DonnellLF'!R43</f>
        <v>1099.6144266717868</v>
      </c>
      <c r="T14" s="40">
        <f>AVERAGE('[26](4)DonnellLF'!N3,'[26](4)DonnellLF'!N5,'[26](4)DonnellLF'!N6,'[26](4)DonnellLF'!N7,'[26](4)DonnellLF'!N9)</f>
        <v>3.8435771951386828</v>
      </c>
      <c r="U14" s="37">
        <f>AVERAGE('[26](4)DonnellLF'!M6,'[26](4)DonnellLF'!M7,'[26](4)DonnellLF'!M9,'[26](4)DonnellLF'!M10,'[26](4)DonnellLF'!M12,'[26](4)DonnellLF'!M22)</f>
        <v>4.2604938271604942</v>
      </c>
      <c r="V14" s="2" t="s">
        <v>65</v>
      </c>
      <c r="W14" s="1" t="s">
        <v>66</v>
      </c>
      <c r="Y14" t="s">
        <v>698</v>
      </c>
    </row>
    <row r="15" spans="1:38" ht="15.75" customHeight="1">
      <c r="A15" s="29" t="s">
        <v>57</v>
      </c>
      <c r="B15" s="13">
        <v>34</v>
      </c>
      <c r="C15" s="13">
        <v>14</v>
      </c>
      <c r="D15" s="15" t="s">
        <v>102</v>
      </c>
      <c r="E15" s="14">
        <f>'[27]DixieFOUS(7)'!T106</f>
        <v>748.23169878425301</v>
      </c>
      <c r="F15" s="13"/>
      <c r="G15" s="30" t="s">
        <v>59</v>
      </c>
      <c r="H15" s="15"/>
      <c r="I15" s="15"/>
      <c r="J15" s="15"/>
      <c r="K15" s="15"/>
      <c r="L15" s="15"/>
      <c r="M15" s="15"/>
      <c r="N15" s="15"/>
      <c r="O15" s="31">
        <f>AVERAGE('[27]DixieFOUS(7)'!P3,'[27]DixieFOUS(7)'!P4,'[27]DixieFOUS(7)'!P9,'[27]DixieFOUS(7)'!P10,'[27]DixieFOUS(7)'!P12,'[27]DixieFOUS(7)'!P13)</f>
        <v>4.6161720029502238</v>
      </c>
      <c r="P15" s="31"/>
      <c r="Q15" s="13">
        <f>AVERAGE('[27]DixieFOUS(7)'!O9,'[27]DixieFOUS(7)'!O12,'[27]DixieFOUS(7)'!O13,'[27]DixieFOUS(7)'!O25,'[27]DixieFOUS(7)'!O28,'[27]DixieFOUS(7)'!O38,'[27]DixieFOUS(7)'!O39,'[27]DixieFOUS(7)'!O40,'[27]DixieFOUS(7)'!O51,'[27]DixieFOUS(7)'!O52,)</f>
        <v>5.2069688957541143</v>
      </c>
      <c r="R15" s="98" t="s">
        <v>103</v>
      </c>
      <c r="S15" s="14">
        <f>'[28]WalkerLF(7)'!T23</f>
        <v>759.43822831995328</v>
      </c>
      <c r="T15" s="31">
        <f>AVERAGE('[28]WalkerLF(7)'!P5)</f>
        <v>6.0613230377176022</v>
      </c>
      <c r="U15" s="13">
        <f>AVERAGE('[28]WalkerLF(7)'!N5,'[28]WalkerLF(7)'!N6)</f>
        <v>7.0802629651333131</v>
      </c>
      <c r="V15" s="2" t="s">
        <v>65</v>
      </c>
      <c r="W15" s="1" t="s">
        <v>59</v>
      </c>
      <c r="Y15" t="s">
        <v>698</v>
      </c>
    </row>
    <row r="16" spans="1:38" ht="15.75" customHeight="1">
      <c r="A16" s="44" t="s">
        <v>83</v>
      </c>
      <c r="B16" s="13">
        <v>35</v>
      </c>
      <c r="C16" s="13">
        <v>15</v>
      </c>
      <c r="D16" s="15" t="s">
        <v>104</v>
      </c>
      <c r="E16" s="14">
        <v>659</v>
      </c>
      <c r="F16" s="13"/>
      <c r="G16" s="30" t="s">
        <v>59</v>
      </c>
      <c r="H16" s="13"/>
      <c r="I16" s="13"/>
      <c r="J16" s="13"/>
      <c r="K16" s="13"/>
      <c r="L16" s="13"/>
      <c r="M16" s="13"/>
      <c r="N16" s="13"/>
      <c r="O16" s="31">
        <f>AVERAGE('[29]DolanFOUS(30)'!I3,'[29]DolanFOUS(30)'!I22,'[29]DolanFOUS(30)'!I23)</f>
        <v>6.5290048498197608</v>
      </c>
      <c r="P16" s="31"/>
      <c r="Q16" s="42">
        <f>AVERAGE('[29]DolanFOUS(30)'!H22,'[29]DolanFOUS(30)'!H23,'[29]DolanFOUS(30)'!H24)</f>
        <v>15.95432588104898</v>
      </c>
      <c r="R16" s="98" t="s">
        <v>105</v>
      </c>
      <c r="S16" s="14">
        <f>'[30]ChimneyLF(30)'!M25</f>
        <v>1634.2559127777311</v>
      </c>
      <c r="T16" s="31">
        <f>AVERAGE('[30]ChimneyLF(30)'!I3,'[30]ChimneyLF(30)'!I4,'[30]ChimneyLF(30)'!I5,'[30]ChimneyLF(30)'!I6)</f>
        <v>4.1286315846002104</v>
      </c>
      <c r="U16" s="45">
        <f>AVERAGE('[30]ChimneyLF(30)'!G4,'[30]ChimneyLF(30)'!G6,'[30]ChimneyLF(30)'!G7,'[30]ChimneyLF(30)'!G10)</f>
        <v>3.2150743711945182</v>
      </c>
      <c r="V16" s="2" t="s">
        <v>74</v>
      </c>
      <c r="W16" s="1" t="s">
        <v>59</v>
      </c>
      <c r="Y16" t="s">
        <v>698</v>
      </c>
    </row>
    <row r="17" spans="1:26" ht="15.75" customHeight="1">
      <c r="A17" s="15" t="s">
        <v>93</v>
      </c>
      <c r="B17" s="13">
        <v>36</v>
      </c>
      <c r="C17" s="13">
        <v>16</v>
      </c>
      <c r="D17" s="15" t="s">
        <v>106</v>
      </c>
      <c r="E17" s="14">
        <v>93</v>
      </c>
      <c r="F17" s="13"/>
      <c r="G17" s="30" t="s">
        <v>59</v>
      </c>
      <c r="H17" s="13"/>
      <c r="I17" s="13"/>
      <c r="J17" s="13"/>
      <c r="K17" s="13"/>
      <c r="L17" s="13"/>
      <c r="M17" s="13"/>
      <c r="N17" s="13"/>
      <c r="O17" s="31">
        <f>AVERAGE('[31]EastTroublesomeFOUS(18)'!I3)</f>
        <v>3.0825434587323643</v>
      </c>
      <c r="P17" s="31"/>
      <c r="Q17" s="13">
        <f>AVERAGE('[31]EastTroublesomeFOUS(18)'!H9,'[31]EastTroublesomeFOUS(18)'!H10)</f>
        <v>13.26277526675335</v>
      </c>
      <c r="R17" s="98" t="s">
        <v>107</v>
      </c>
      <c r="S17" s="14">
        <v>996</v>
      </c>
      <c r="T17" s="31">
        <f>AVERAGE('[32]BeaverCreekLF(18)'!I2,'[32]BeaverCreekLF(18)'!I4,'[32]BeaverCreekLF(18)'!I5,'[32]BeaverCreekLF(18)'!I10,'[32]BeaverCreekLF(18)'!I11,'[32]BeaverCreekLF(18)'!I12,'[32]BeaverCreekLF(18)'!I22,'[32]BeaverCreekLF(18)'!I23,'[32]BeaverCreekLF(18)'!I30,'[32]BeaverCreekLF(18)'!I41)</f>
        <v>6.6199271122233441</v>
      </c>
      <c r="U17" s="13">
        <f>AVERAGE('[32]BeaverCreekLF(18)'!H4,'[32]BeaverCreekLF(18)'!H5,'[32]BeaverCreekLF(18)'!H10,'[32]BeaverCreekLF(18)'!H11,'[32]BeaverCreekLF(18)'!H12,'[32]BeaverCreekLF(18)'!H22,'[32]BeaverCreekLF(18)'!H23,'[32]BeaverCreekLF(18)'!H41)</f>
        <v>6.4688468348826911</v>
      </c>
      <c r="V17" s="2" t="s">
        <v>65</v>
      </c>
      <c r="W17" s="1" t="s">
        <v>66</v>
      </c>
      <c r="Y17" t="s">
        <v>698</v>
      </c>
    </row>
    <row r="18" spans="1:26" ht="15.75" customHeight="1">
      <c r="A18" s="32" t="s">
        <v>62</v>
      </c>
      <c r="B18" s="13">
        <v>37</v>
      </c>
      <c r="C18" s="13">
        <v>17</v>
      </c>
      <c r="D18" s="15" t="s">
        <v>108</v>
      </c>
      <c r="E18" s="14">
        <v>192</v>
      </c>
      <c r="F18" s="13"/>
      <c r="G18" s="30" t="s">
        <v>59</v>
      </c>
      <c r="H18" s="13"/>
      <c r="I18" s="13"/>
      <c r="J18" s="13"/>
      <c r="K18" s="13"/>
      <c r="L18" s="13"/>
      <c r="M18" s="13"/>
      <c r="N18" s="13"/>
      <c r="O18" s="31">
        <f>AVERAGE('[33]HolidayFarmFOUS(26)'!J2,'[33]HolidayFarmFOUS(26)'!J3)</f>
        <v>5.8559022842740296</v>
      </c>
      <c r="P18" s="31"/>
      <c r="Q18" s="13">
        <f>AVERAGE('[33]HolidayFarmFOUS(26)'!I2,'[33]HolidayFarmFOUS(26)'!I3,'[33]HolidayFarmFOUS(26)'!I4)</f>
        <v>13.653573588146712</v>
      </c>
      <c r="R18" s="98" t="s">
        <v>109</v>
      </c>
      <c r="S18" s="14">
        <f>'[34]PoleCreekLF(26)'!O31</f>
        <v>848.85154063970799</v>
      </c>
      <c r="T18" s="31">
        <f>AVERAGE('[34]PoleCreekLF(26)'!K2,'[34]PoleCreekLF(26)'!K3,'[34]PoleCreekLF(26)'!K8)</f>
        <v>3.433791883233047</v>
      </c>
      <c r="U18" s="13">
        <f>AVERAGE('[34]PoleCreekLF(26)'!I8)</f>
        <v>8.9568949430863967</v>
      </c>
      <c r="V18" s="2" t="s">
        <v>65</v>
      </c>
      <c r="W18" s="1" t="s">
        <v>66</v>
      </c>
      <c r="Y18" t="s">
        <v>697</v>
      </c>
      <c r="Z18" t="s">
        <v>697</v>
      </c>
    </row>
    <row r="19" spans="1:26" ht="15.75" customHeight="1">
      <c r="A19" s="32" t="s">
        <v>62</v>
      </c>
      <c r="B19" s="13">
        <v>38</v>
      </c>
      <c r="C19" s="13">
        <v>18</v>
      </c>
      <c r="D19" s="15" t="s">
        <v>110</v>
      </c>
      <c r="E19" s="14">
        <v>348</v>
      </c>
      <c r="F19" s="13"/>
      <c r="G19" s="30" t="s">
        <v>59</v>
      </c>
      <c r="H19" s="13"/>
      <c r="I19" s="13"/>
      <c r="J19" s="13"/>
      <c r="K19" s="13"/>
      <c r="L19" s="13"/>
      <c r="M19" s="13"/>
      <c r="N19" s="13"/>
      <c r="O19" s="31">
        <f>AVERAGE('[35]LionsheadFOUS(27)'!I23,'[35]LionsheadFOUS(27)'!I24,'[35]LionsheadFOUS(27)'!I28)</f>
        <v>8.5289723061331717</v>
      </c>
      <c r="P19" s="31"/>
      <c r="Q19" s="13">
        <f>AVERAGE('[35]LionsheadFOUS(27)'!H23,'[35]LionsheadFOUS(27)'!H24,'[35]LionsheadFOUS(27)'!H28,'[35]LionsheadFOUS(27)'!H29)</f>
        <v>13.381984767178503</v>
      </c>
      <c r="R19" s="98" t="s">
        <v>111</v>
      </c>
      <c r="S19" s="14">
        <v>16</v>
      </c>
      <c r="T19" s="31">
        <f>AVERAGE('[36]BlackRockLF(27)'!J7)</f>
        <v>9.8911911020303638</v>
      </c>
      <c r="U19" s="45">
        <f>AVERAGE('[36]BlackRockLF(27)'!H7)</f>
        <v>10.511269408425623</v>
      </c>
      <c r="V19" s="2" t="s">
        <v>65</v>
      </c>
      <c r="W19" s="1" t="s">
        <v>59</v>
      </c>
      <c r="Y19" t="s">
        <v>700</v>
      </c>
    </row>
    <row r="20" spans="1:26" ht="15.75" customHeight="1">
      <c r="A20" s="29" t="s">
        <v>57</v>
      </c>
      <c r="B20" s="13">
        <v>39</v>
      </c>
      <c r="C20" s="13">
        <v>19</v>
      </c>
      <c r="D20" s="15" t="s">
        <v>112</v>
      </c>
      <c r="E20" s="14">
        <v>418</v>
      </c>
      <c r="F20" s="13"/>
      <c r="G20" s="30" t="s">
        <v>59</v>
      </c>
      <c r="H20" s="13"/>
      <c r="I20" s="13"/>
      <c r="J20" s="13"/>
      <c r="K20" s="13"/>
      <c r="L20" s="13"/>
      <c r="M20" s="13"/>
      <c r="N20" s="13"/>
      <c r="O20" s="31">
        <f>AVERAGE('[37]McFarlandFOUS(25)'!G5,'[37]McFarlandFOUS(25)'!G6,'[37]McFarlandFOUS(25)'!G20)</f>
        <v>3.7813411362629048</v>
      </c>
      <c r="P20" s="31"/>
      <c r="Q20" s="13">
        <f>AVERAGE('[37]McFarlandFOUS(25)'!F20)</f>
        <v>17.23031996364432</v>
      </c>
      <c r="R20" s="98" t="s">
        <v>113</v>
      </c>
      <c r="S20" s="14">
        <f>'[38]ZoggLF(25)'!O18</f>
        <v>629.75873520046014</v>
      </c>
      <c r="T20" s="31">
        <f>AVERAGE('[38]ZoggLF(25)'!K2,'[38]ZoggLF(25)'!K3)</f>
        <v>4.09540291957489</v>
      </c>
      <c r="U20" s="13">
        <f>AVERAGE('[38]ZoggLF(25)'!I3,'[38]ZoggLF(25)'!I4)</f>
        <v>6.5030175015087508</v>
      </c>
      <c r="V20" s="2" t="s">
        <v>65</v>
      </c>
      <c r="W20" s="1" t="s">
        <v>59</v>
      </c>
      <c r="Y20" t="s">
        <v>697</v>
      </c>
      <c r="Z20" t="s">
        <v>697</v>
      </c>
    </row>
    <row r="21" spans="1:26" ht="15.75" customHeight="1">
      <c r="A21" s="48" t="s">
        <v>57</v>
      </c>
      <c r="B21" s="13">
        <v>40</v>
      </c>
      <c r="C21" s="13">
        <v>20</v>
      </c>
      <c r="D21" s="36" t="s">
        <v>114</v>
      </c>
      <c r="E21" s="16">
        <f>'[39](6)MonumentFOUS'!N89</f>
        <v>829.80692660206876</v>
      </c>
      <c r="F21" s="37"/>
      <c r="G21" s="30" t="s">
        <v>59</v>
      </c>
      <c r="H21" s="37" t="s">
        <v>115</v>
      </c>
      <c r="I21" s="37" t="s">
        <v>116</v>
      </c>
      <c r="J21" s="39">
        <v>44407</v>
      </c>
      <c r="K21" s="39">
        <v>44460</v>
      </c>
      <c r="L21" s="37"/>
      <c r="M21" s="37">
        <v>219254</v>
      </c>
      <c r="N21" s="37">
        <f>K21-J21</f>
        <v>53</v>
      </c>
      <c r="O21" s="40">
        <f>AVERAGE('[39](6)MonumentFOUS'!J4,'[39](6)MonumentFOUS'!J5,'[39](6)MonumentFOUS'!J6,'[39](6)MonumentFOUS'!J7,'[39](6)MonumentFOUS'!J8,'[39](6)MonumentFOUS'!J9,'[39](6)MonumentFOUS'!J20,'[39](6)MonumentFOUS'!J19,)</f>
        <v>3.0070702338728106</v>
      </c>
      <c r="P21" s="40"/>
      <c r="Q21" s="37">
        <f>AVERAGE('[39](6)MonumentFOUS'!I9,'[39](6)MonumentFOUS'!I19,'[39](6)MonumentFOUS'!I20)</f>
        <v>5.9507000591599288</v>
      </c>
      <c r="R21" s="100" t="s">
        <v>117</v>
      </c>
      <c r="S21" s="16">
        <f>'[40](6)DeltaLF'!P32</f>
        <v>1030.1449136861438</v>
      </c>
      <c r="T21" s="40">
        <f>AVERAGE('[40](6)DeltaLF'!L3)</f>
        <v>6.3585578568506955</v>
      </c>
      <c r="U21" s="37">
        <f>AVERAGE('[40](6)DeltaLF'!J2,'[40](6)DeltaLF'!J4,'[40](6)DeltaLF'!J5,'[40](6)DeltaLF'!J7,'[40](6)DeltaLF'!J8)</f>
        <v>4.8038223774243782</v>
      </c>
      <c r="V21" s="2" t="s">
        <v>74</v>
      </c>
      <c r="W21" s="1" t="s">
        <v>59</v>
      </c>
      <c r="Y21" t="s">
        <v>701</v>
      </c>
    </row>
    <row r="22" spans="1:26" ht="15.75" customHeight="1">
      <c r="A22" s="33" t="s">
        <v>67</v>
      </c>
      <c r="B22" s="13">
        <v>41</v>
      </c>
      <c r="C22" s="13">
        <v>21</v>
      </c>
      <c r="D22" s="15" t="s">
        <v>118</v>
      </c>
      <c r="E22" s="14">
        <f>'[41]MooseFOUS(13)'!O111</f>
        <v>754.19530739986942</v>
      </c>
      <c r="F22" s="13" t="s">
        <v>74</v>
      </c>
      <c r="G22" s="30" t="s">
        <v>59</v>
      </c>
      <c r="H22" s="20"/>
      <c r="I22" s="20"/>
      <c r="J22" s="20"/>
      <c r="K22" s="20"/>
      <c r="L22" s="20"/>
      <c r="M22" s="20"/>
      <c r="N22" s="20"/>
      <c r="O22" s="31">
        <f>AVERAGE('[41]MooseFOUS(13)'!K2,'[41]MooseFOUS(13)'!K3,'[41]MooseFOUS(13)'!K4,'[41]MooseFOUS(13)'!K5,'[41]MooseFOUS(13)'!K6,'[41]MooseFOUS(13)'!K8,'[41]MooseFOUS(13)'!K7,'[41]MooseFOUS(13)'!K15,'[41]MooseFOUS(13)'!K17)</f>
        <v>5.9269045567427288</v>
      </c>
      <c r="P22" s="31"/>
      <c r="Q22" s="13">
        <f>AVERAGE('[41]MooseFOUS(13)'!J3,'[41]MooseFOUS(13)'!J4,'[41]MooseFOUS(13)'!J5,'[41]MooseFOUS(13)'!J6,'[41]MooseFOUS(13)'!J7,'[41]MooseFOUS(13)'!J8,'[41]MooseFOUS(13)'!J9,'[41]MooseFOUS(13)'!J15,'[41]MooseFOUS(13)'!J16,'[41]MooseFOUS(13)'!J18,'[41]MooseFOUS(13)'!J20,'[41]MooseFOUS(13)'!J33,'[41]MooseFOUS(13)'!J34,)</f>
        <v>3.5662938114072857</v>
      </c>
      <c r="R22" s="104" t="s">
        <v>119</v>
      </c>
      <c r="S22" s="14"/>
      <c r="T22" s="31">
        <f>AVERAGE('[42]TrailCreekLF(13)'!I3,'[42]TrailCreekLF(13)'!I5,'[42]TrailCreekLF(13)'!I6,'[42]TrailCreekLF(13)'!I7,'[42]TrailCreekLF(13)'!I10,'[42]TrailCreekLF(13)'!I11,'[42]TrailCreekLF(13)'!I12,'[42]TrailCreekLF(13)'!I19)</f>
        <v>5.7568082918695165</v>
      </c>
      <c r="U22" s="13">
        <f>AVERAGE('[42]TrailCreekLF(13)'!G6,'[42]TrailCreekLF(13)'!G7,'[42]TrailCreekLF(13)'!G10,'[42]TrailCreekLF(13)'!G11,'[42]TrailCreekLF(13)'!G12,'[42]TrailCreekLF(13)'!G19,'[42]TrailCreekLF(13)'!G20)</f>
        <v>5.2791995226807282</v>
      </c>
      <c r="V22" s="2"/>
      <c r="W22" s="1" t="s">
        <v>66</v>
      </c>
      <c r="Y22" t="s">
        <v>702</v>
      </c>
    </row>
    <row r="23" spans="1:26" ht="15.75" customHeight="1">
      <c r="A23" s="15" t="s">
        <v>93</v>
      </c>
      <c r="B23" s="13">
        <v>42</v>
      </c>
      <c r="C23" s="13">
        <v>22</v>
      </c>
      <c r="D23" s="15" t="s">
        <v>120</v>
      </c>
      <c r="E23" s="14">
        <f>'[43]MullenFOUS(14)'!M47</f>
        <v>274.31085091418947</v>
      </c>
      <c r="F23" s="13" t="s">
        <v>121</v>
      </c>
      <c r="G23" s="30" t="s">
        <v>59</v>
      </c>
      <c r="H23" s="13"/>
      <c r="I23" s="13"/>
      <c r="J23" s="13"/>
      <c r="K23" s="13"/>
      <c r="L23" s="13"/>
      <c r="M23" s="13"/>
      <c r="N23" s="13"/>
      <c r="O23" s="31">
        <f>AVERAGE('[43]MullenFOUS(14)'!H2,'[43]MullenFOUS(14)'!H8,'[43]MullenFOUS(14)'!H9,'[43]MullenFOUS(14)'!H13)</f>
        <v>4.6028908032994718</v>
      </c>
      <c r="P23" s="31"/>
      <c r="Q23" s="13">
        <f>AVERAGE('[43]MullenFOUS(14)'!G9,'[43]MullenFOUS(14)'!G10,'[43]MullenFOUS(14)'!G13,'[43]MullenFOUS(14)'!G14,)</f>
        <v>4.5029432716335558</v>
      </c>
      <c r="R23" s="98" t="s">
        <v>122</v>
      </c>
      <c r="S23" s="14">
        <f>'[44]RyanLF(14)'!M28</f>
        <v>333.84930368230613</v>
      </c>
      <c r="T23" s="31">
        <f>AVERAGE('[44]RyanLF(14)'!I3,'[44]RyanLF(14)'!I9,'[44]RyanLF(14)'!I10)</f>
        <v>3.7200370816233597</v>
      </c>
      <c r="U23" s="13">
        <f>AVERAGE('[44]RyanLF(14)'!G9,'[44]RyanLF(14)'!G10)</f>
        <v>4.9540446353139957</v>
      </c>
      <c r="V23" s="2" t="s">
        <v>82</v>
      </c>
      <c r="W23" s="1" t="s">
        <v>66</v>
      </c>
      <c r="Y23" t="s">
        <v>697</v>
      </c>
      <c r="Z23" t="s">
        <v>697</v>
      </c>
    </row>
    <row r="24" spans="1:26" ht="15.75" customHeight="1">
      <c r="A24" s="15" t="s">
        <v>93</v>
      </c>
      <c r="B24" s="13">
        <v>43</v>
      </c>
      <c r="C24" s="13">
        <v>23</v>
      </c>
      <c r="D24" s="15" t="s">
        <v>123</v>
      </c>
      <c r="E24" s="14">
        <f>'[45]PineGulchFOUS(10)'!L55</f>
        <v>288.12591596106671</v>
      </c>
      <c r="F24" s="13" t="s">
        <v>61</v>
      </c>
      <c r="G24" s="30" t="s">
        <v>59</v>
      </c>
      <c r="H24" s="15"/>
      <c r="I24" s="15"/>
      <c r="J24" s="15"/>
      <c r="K24" s="15"/>
      <c r="L24" s="15"/>
      <c r="M24" s="15"/>
      <c r="N24" s="15"/>
      <c r="O24" s="31">
        <f>AVERAGE('[45]PineGulchFOUS(10)'!H7,'[45]PineGulchFOUS(10)'!H13,'[45]PineGulchFOUS(10)'!H14,'[45]PineGulchFOUS(10)'!H20)</f>
        <v>2.8360135055557136</v>
      </c>
      <c r="P24" s="31"/>
      <c r="Q24" s="13">
        <f>AVERAGE('[45]PineGulchFOUS(10)'!G13,'[45]PineGulchFOUS(10)'!G14)</f>
        <v>6.0779169394347043</v>
      </c>
      <c r="R24" s="98" t="s">
        <v>124</v>
      </c>
      <c r="S24" s="14">
        <f>'[46]BullDrawLF(10)'!L76</f>
        <v>392.19533723139705</v>
      </c>
      <c r="T24" s="31">
        <f>AVERAGE('[46]BullDrawLF(10)'!H13)</f>
        <v>3.9569003778214462</v>
      </c>
      <c r="U24" s="13">
        <f>AVERAGE('[46]BullDrawLF(10)'!H13)</f>
        <v>3.9569003778214462</v>
      </c>
      <c r="V24" s="2" t="s">
        <v>65</v>
      </c>
      <c r="W24" s="1" t="s">
        <v>66</v>
      </c>
      <c r="Y24" t="s">
        <v>697</v>
      </c>
      <c r="Z24" t="s">
        <v>697</v>
      </c>
    </row>
    <row r="25" spans="1:26" ht="15.75" customHeight="1">
      <c r="A25" s="49" t="s">
        <v>125</v>
      </c>
      <c r="B25" s="13">
        <v>44</v>
      </c>
      <c r="C25" s="13">
        <v>24</v>
      </c>
      <c r="D25" s="15" t="s">
        <v>126</v>
      </c>
      <c r="E25" s="14">
        <f>'[47]RichardSpringFOUS(9)'!O15</f>
        <v>42.949453631741953</v>
      </c>
      <c r="F25" s="13" t="s">
        <v>82</v>
      </c>
      <c r="G25" s="30" t="s">
        <v>59</v>
      </c>
      <c r="H25" s="13"/>
      <c r="I25" s="13"/>
      <c r="J25" s="13"/>
      <c r="K25" s="13"/>
      <c r="L25" s="13"/>
      <c r="M25" s="13"/>
      <c r="N25" s="13"/>
      <c r="O25" s="31">
        <f>AVERAGE('[47]RichardSpringFOUS(9)'!K4)</f>
        <v>3.5072805426153328</v>
      </c>
      <c r="P25" s="31"/>
      <c r="Q25" s="13">
        <f>AVERAGE('[47]RichardSpringFOUS(9)'!J4)</f>
        <v>8.7758312394086371</v>
      </c>
      <c r="R25" s="98" t="s">
        <v>127</v>
      </c>
      <c r="S25" s="14">
        <f>'[48]SarpyLF(9)'!R11</f>
        <v>20.901993155162472</v>
      </c>
      <c r="T25" s="31">
        <f>AVERAGE('[48]SarpyLF(9)'!I4)</f>
        <v>4.7361547138924616</v>
      </c>
      <c r="U25" s="13">
        <f>AVERAGE('[48]SarpyLF(9)'!G4)</f>
        <v>8.9119400115362435</v>
      </c>
      <c r="V25" s="2" t="s">
        <v>65</v>
      </c>
      <c r="W25" s="1" t="s">
        <v>66</v>
      </c>
      <c r="Y25" t="s">
        <v>698</v>
      </c>
    </row>
    <row r="26" spans="1:26" ht="15.75" customHeight="1">
      <c r="A26" s="32" t="s">
        <v>62</v>
      </c>
      <c r="B26" s="13">
        <v>45</v>
      </c>
      <c r="C26" s="13">
        <v>25</v>
      </c>
      <c r="D26" s="15" t="s">
        <v>128</v>
      </c>
      <c r="E26" s="14">
        <v>170</v>
      </c>
      <c r="F26" s="13"/>
      <c r="G26" s="30" t="s">
        <v>59</v>
      </c>
      <c r="H26" s="13"/>
      <c r="I26" s="13"/>
      <c r="J26" s="13"/>
      <c r="K26" s="13"/>
      <c r="L26" s="13"/>
      <c r="M26" s="13"/>
      <c r="N26" s="13"/>
      <c r="O26" s="31" t="e">
        <f>AVERAGE(#REF!,#REF!)</f>
        <v>#REF!</v>
      </c>
      <c r="P26" s="31"/>
      <c r="Q26" s="13"/>
      <c r="R26" s="98" t="s">
        <v>129</v>
      </c>
      <c r="S26" s="14">
        <f>'[49]NenaSpringsLF(16)'!O24</f>
        <v>159.3899064943221</v>
      </c>
      <c r="T26" s="31">
        <f>AVERAGE('[49]NenaSpringsLF(16)'!K3)</f>
        <v>5.4395144370817121</v>
      </c>
      <c r="U26" s="13">
        <f>0</f>
        <v>0</v>
      </c>
      <c r="V26" s="2" t="s">
        <v>74</v>
      </c>
      <c r="W26" s="1" t="s">
        <v>59</v>
      </c>
      <c r="Y26" t="s">
        <v>698</v>
      </c>
    </row>
    <row r="27" spans="1:26" ht="15.75" customHeight="1">
      <c r="A27" s="32" t="s">
        <v>62</v>
      </c>
      <c r="B27" s="13">
        <v>46</v>
      </c>
      <c r="C27" s="13">
        <v>26</v>
      </c>
      <c r="D27" s="15" t="s">
        <v>130</v>
      </c>
      <c r="E27" s="14">
        <v>568</v>
      </c>
      <c r="F27" s="13"/>
      <c r="G27" s="30" t="s">
        <v>59</v>
      </c>
      <c r="H27" s="13"/>
      <c r="I27" s="13"/>
      <c r="J27" s="13"/>
      <c r="K27" s="13"/>
      <c r="L27" s="13"/>
      <c r="M27" s="13"/>
      <c r="N27" s="13"/>
      <c r="O27" s="31">
        <f>AVERAGE('[50]SchneiderSpringsFOUS(20)'!K2,'[50]SchneiderSpringsFOUS(20)'!K9,'[50]SchneiderSpringsFOUS(20)'!K13,'[50]SchneiderSpringsFOUS(20)'!K15,'[50]SchneiderSpringsFOUS(20)'!K16)</f>
        <v>6.1842196184685543</v>
      </c>
      <c r="P27" s="31"/>
      <c r="Q27" s="13">
        <f>AVERAGE('[50]SchneiderSpringsFOUS(20)'!J9,'[50]SchneiderSpringsFOUS(20)'!J13,'[50]SchneiderSpringsFOUS(20)'!J15,'[50]SchneiderSpringsFOUS(20)'!J16,)</f>
        <v>4.7259040645546921</v>
      </c>
      <c r="R27" s="98" t="s">
        <v>131</v>
      </c>
      <c r="S27" s="14">
        <f>'[51]JollyMountainLF(20)'!AE57</f>
        <v>825.56781990919217</v>
      </c>
      <c r="T27" s="31">
        <f>AVERAGE('[51]JollyMountainLF(20)'!AA2,'[51]JollyMountainLF(20)'!AA20,'[51]JollyMountainLF(20)'!AA23,'[51]JollyMountainLF(20)'!AA24)</f>
        <v>2.7487801060007722</v>
      </c>
      <c r="U27" s="13">
        <f>AVERAGE('[51]JollyMountainLF(20)'!Y23,'[51]JollyMountainLF(20)'!Y24,'[51]JollyMountainLF(20)'!Y25,'[51]JollyMountainLF(20)'!Y37)</f>
        <v>4.588948054770702</v>
      </c>
      <c r="V27" s="2" t="s">
        <v>65</v>
      </c>
      <c r="W27" s="1" t="s">
        <v>59</v>
      </c>
      <c r="Y27" t="s">
        <v>703</v>
      </c>
    </row>
    <row r="28" spans="1:26" ht="15.75" customHeight="1">
      <c r="A28" s="48" t="s">
        <v>57</v>
      </c>
      <c r="B28" s="13">
        <v>47</v>
      </c>
      <c r="C28" s="13">
        <v>27</v>
      </c>
      <c r="D28" s="36" t="s">
        <v>132</v>
      </c>
      <c r="E28" s="16">
        <f>'[52](1)SlaterFOUS'!M58</f>
        <v>375.83965217163046</v>
      </c>
      <c r="F28" s="37"/>
      <c r="G28" s="30" t="s">
        <v>59</v>
      </c>
      <c r="H28" s="37" t="s">
        <v>133</v>
      </c>
      <c r="I28" s="37" t="s">
        <v>134</v>
      </c>
      <c r="J28" s="39">
        <v>44082</v>
      </c>
      <c r="K28" s="39">
        <v>44138</v>
      </c>
      <c r="L28" s="37"/>
      <c r="M28" s="37">
        <v>157270</v>
      </c>
      <c r="N28" s="37">
        <f>K28-J28</f>
        <v>56</v>
      </c>
      <c r="O28" s="40">
        <f>AVERAGE('[52](1)SlaterFOUS'!I2,'[52](1)SlaterFOUS'!I3,'[52](1)SlaterFOUS'!I4,)</f>
        <v>12.42118852148454</v>
      </c>
      <c r="P28" s="40"/>
      <c r="Q28" s="37">
        <f>AVERAGE('[52](1)SlaterFOUS'!H4,'[52](1)SlaterFOUS'!H3,'[52](1)SlaterFOUS'!H2)</f>
        <v>17.728555986519996</v>
      </c>
      <c r="R28" s="100" t="s">
        <v>135</v>
      </c>
      <c r="S28" s="16">
        <f>'[53](1)McKinneyLF'!T102</f>
        <v>1605.9729289301274</v>
      </c>
      <c r="T28" s="40">
        <f>AVERAGE('[53](1)McKinneyLF'!P3,'[53](1)McKinneyLF'!P4)</f>
        <v>11.566781195777164</v>
      </c>
      <c r="U28" s="37">
        <f>AVERAGE('[53](1)McKinneyLF'!N3,'[53](1)McKinneyLF'!N4)</f>
        <v>43.086816987595199</v>
      </c>
      <c r="V28" s="50" t="s">
        <v>82</v>
      </c>
      <c r="W28" s="51"/>
      <c r="Y28" t="s">
        <v>698</v>
      </c>
    </row>
    <row r="29" spans="1:26" ht="15.75" customHeight="1">
      <c r="A29" s="41" t="s">
        <v>75</v>
      </c>
      <c r="B29" s="13">
        <v>48</v>
      </c>
      <c r="C29" s="13">
        <v>28</v>
      </c>
      <c r="D29" s="15" t="s">
        <v>136</v>
      </c>
      <c r="E29" s="14">
        <f>'[54]TelegraphFOUS(11)'!N31</f>
        <v>227.70716486775063</v>
      </c>
      <c r="F29" s="13"/>
      <c r="G29" s="30" t="s">
        <v>59</v>
      </c>
      <c r="H29" s="13"/>
      <c r="I29" s="13"/>
      <c r="J29" s="13"/>
      <c r="K29" s="13"/>
      <c r="L29" s="13"/>
      <c r="M29" s="13"/>
      <c r="N29" s="13"/>
      <c r="O29" s="31">
        <f>AVERAGE('[54]TelegraphFOUS(11)'!J2,'[54]TelegraphFOUS(11)'!J3,'[54]TelegraphFOUS(11)'!J11)</f>
        <v>3.0148069089795726</v>
      </c>
      <c r="P29" s="31"/>
      <c r="Q29" s="13">
        <f>AVERAGE('[54]TelegraphFOUS(11)'!I4,)</f>
        <v>1.9981743445620364</v>
      </c>
      <c r="R29" s="98" t="s">
        <v>137</v>
      </c>
      <c r="S29" s="14">
        <f>'[55]MescalLF(11)'!M18</f>
        <v>188.98168858131487</v>
      </c>
      <c r="T29" s="31">
        <f>AVERAGE('[55]MescalLF(11)'!I5)</f>
        <v>4.584029837526578</v>
      </c>
      <c r="U29" s="13">
        <f>AVERAGE('[55]MescalLF(11)'!G5)</f>
        <v>5.2317647058823527</v>
      </c>
      <c r="V29" s="2" t="s">
        <v>82</v>
      </c>
      <c r="W29" s="1" t="s">
        <v>59</v>
      </c>
      <c r="Y29" t="s">
        <v>698</v>
      </c>
    </row>
    <row r="30" spans="1:26" ht="15.75" customHeight="1">
      <c r="A30" s="35" t="s">
        <v>62</v>
      </c>
      <c r="B30" s="13">
        <v>49</v>
      </c>
      <c r="C30" s="13">
        <v>29</v>
      </c>
      <c r="D30" s="36" t="s">
        <v>138</v>
      </c>
      <c r="E30" s="16">
        <f>'[56](5)WhitneyFOUS'!N10</f>
        <v>29.634199921525546</v>
      </c>
      <c r="F30" s="37" t="s">
        <v>82</v>
      </c>
      <c r="G30" s="38" t="s">
        <v>59</v>
      </c>
      <c r="H30" s="37" t="s">
        <v>139</v>
      </c>
      <c r="I30" s="37" t="s">
        <v>140</v>
      </c>
      <c r="J30" s="39">
        <v>44082</v>
      </c>
      <c r="K30" s="39">
        <v>44088</v>
      </c>
      <c r="L30" s="37"/>
      <c r="M30" s="37">
        <v>127430</v>
      </c>
      <c r="N30" s="37">
        <f>K30-J30</f>
        <v>6</v>
      </c>
      <c r="O30" s="40">
        <f>AVERAGE('[56](5)WhitneyFOUS'!J2)</f>
        <v>7.1897631413068028</v>
      </c>
      <c r="P30" s="40"/>
      <c r="Q30" s="37">
        <f>'[56](5)WhitneyFOUS'!I2</f>
        <v>6.4615867535117308</v>
      </c>
      <c r="R30" s="100" t="s">
        <v>141</v>
      </c>
      <c r="S30" s="16">
        <f>'[57](5)WilliamsFlatLF'!P25</f>
        <v>509.3115763424633</v>
      </c>
      <c r="T30" s="40">
        <f>AVERAGE('[57](5)WilliamsFlatLF'!L3,'[57](5)WilliamsFlatLF'!L7)</f>
        <v>5.0915041856318703</v>
      </c>
      <c r="U30" s="37">
        <f>AVERAGE('[57](5)WilliamsFlatLF'!J4,'[57](5)WilliamsFlatLF'!J8,'[57](5)WilliamsFlatLF'!J9)</f>
        <v>4.9872654457093999</v>
      </c>
      <c r="V30" s="2" t="s">
        <v>65</v>
      </c>
      <c r="W30" s="1" t="s">
        <v>66</v>
      </c>
      <c r="Y30" t="s">
        <v>698</v>
      </c>
    </row>
    <row r="31" spans="1:26" ht="15.75" customHeight="1">
      <c r="A31" s="33" t="s">
        <v>67</v>
      </c>
      <c r="B31" s="13">
        <v>50</v>
      </c>
      <c r="C31" s="13">
        <v>30</v>
      </c>
      <c r="D31" s="15" t="s">
        <v>142</v>
      </c>
      <c r="E31" s="14">
        <f>'[58]WoodheadFOUS(8)'!S40</f>
        <v>132.95272291800362</v>
      </c>
      <c r="F31" s="13"/>
      <c r="G31" s="30" t="s">
        <v>59</v>
      </c>
      <c r="H31" s="15"/>
      <c r="I31" s="15"/>
      <c r="J31" s="15"/>
      <c r="K31" s="15"/>
      <c r="L31" s="15"/>
      <c r="M31" s="15"/>
      <c r="N31" s="15"/>
      <c r="O31" s="31">
        <f>AVERAGE('[58]WoodheadFOUS(8)'!O3)</f>
        <v>12.75230454351799</v>
      </c>
      <c r="P31" s="31"/>
      <c r="Q31" s="13">
        <f>AVERAGE('[58]WoodheadFOUS(8)'!N3,'[58]WoodheadFOUS(8)'!N9,'[58]WoodheadFOUS(8)'!N5)</f>
        <v>8.6979733785993751</v>
      </c>
      <c r="R31" s="98" t="s">
        <v>143</v>
      </c>
      <c r="S31" s="14">
        <f>'[59]MesaLF(8)'!T32</f>
        <v>522.24593038225669</v>
      </c>
      <c r="T31" s="31">
        <f>AVERAGE('[59]MesaLF(8)'!P2,'[59]MesaLF(8)'!P3)</f>
        <v>3.9844241300639629</v>
      </c>
      <c r="U31" s="13">
        <f>AVERAGE('[59]MesaLF(8)'!N2,'[59]MesaLF(8)'!N3,'[59]MesaLF(8)'!N4)</f>
        <v>7.6124216327275178</v>
      </c>
      <c r="V31" s="2" t="s">
        <v>74</v>
      </c>
      <c r="W31" s="1" t="s">
        <v>66</v>
      </c>
      <c r="Y31" t="s">
        <v>697</v>
      </c>
      <c r="Z31" t="s">
        <v>697</v>
      </c>
    </row>
    <row r="34" spans="1:38" ht="15.75" customHeight="1">
      <c r="A34" s="52"/>
      <c r="B34" s="53"/>
      <c r="C34" s="53"/>
      <c r="D34" s="53" t="s">
        <v>144</v>
      </c>
      <c r="E34" s="54">
        <f>AVERAGE(E4:E33)</f>
        <v>410.83085209999842</v>
      </c>
      <c r="F34" s="53"/>
      <c r="G34" s="55"/>
      <c r="H34" s="53"/>
      <c r="I34" s="53"/>
      <c r="J34" s="53"/>
      <c r="K34" s="53"/>
      <c r="L34" s="53"/>
      <c r="M34" s="53"/>
      <c r="N34" s="53"/>
      <c r="O34" s="56" t="e">
        <f>AVERAGE(O4:O33)</f>
        <v>#REF!</v>
      </c>
      <c r="P34" s="56"/>
      <c r="Q34" s="53" t="e">
        <f>AVERAGE(Q4:Q32)</f>
        <v>#REF!</v>
      </c>
      <c r="R34" s="105"/>
      <c r="S34" s="54">
        <f>AVERAGE(S4:S33)</f>
        <v>582.11811324831626</v>
      </c>
      <c r="T34" s="56" t="e">
        <f>AVERAGE(T2:T33)</f>
        <v>#REF!</v>
      </c>
      <c r="U34" s="52"/>
      <c r="V34" s="52"/>
      <c r="W34" s="57"/>
      <c r="X34" s="53"/>
      <c r="Y34" s="54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</row>
    <row r="35" spans="1:38" ht="15.75" customHeight="1">
      <c r="B35" s="13"/>
      <c r="C35" s="13"/>
      <c r="E35" s="14"/>
      <c r="G35" s="1"/>
      <c r="O35" s="31"/>
      <c r="P35" s="31"/>
      <c r="R35" s="106"/>
      <c r="S35" s="3"/>
      <c r="T35" s="58"/>
      <c r="W35" s="1"/>
      <c r="X35" s="13"/>
      <c r="Y35" s="14"/>
    </row>
    <row r="36" spans="1:38" ht="15.75" customHeight="1">
      <c r="A36" s="52"/>
      <c r="B36" s="53"/>
      <c r="C36" s="53"/>
      <c r="D36" s="53" t="s">
        <v>145</v>
      </c>
      <c r="E36" s="54">
        <f t="shared" ref="E36:O36" si="0">MEDIAN(E4:E33)</f>
        <v>304.174928354131</v>
      </c>
      <c r="F36" s="54" t="e">
        <f t="shared" si="0"/>
        <v>#NUM!</v>
      </c>
      <c r="G36" s="54" t="e">
        <f t="shared" si="0"/>
        <v>#NUM!</v>
      </c>
      <c r="H36" s="54" t="e">
        <f t="shared" si="0"/>
        <v>#NUM!</v>
      </c>
      <c r="I36" s="54" t="e">
        <f t="shared" si="0"/>
        <v>#NUM!</v>
      </c>
      <c r="J36" s="54">
        <f t="shared" si="0"/>
        <v>44082</v>
      </c>
      <c r="K36" s="54">
        <f t="shared" si="0"/>
        <v>44135</v>
      </c>
      <c r="L36" s="54" t="e">
        <f t="shared" si="0"/>
        <v>#NUM!</v>
      </c>
      <c r="M36" s="54">
        <f t="shared" si="0"/>
        <v>206048.5</v>
      </c>
      <c r="N36" s="54">
        <f t="shared" si="0"/>
        <v>47</v>
      </c>
      <c r="O36" s="56" t="e">
        <f t="shared" si="0"/>
        <v>#REF!</v>
      </c>
      <c r="P36" s="56"/>
      <c r="Q36" s="53"/>
      <c r="R36" s="105"/>
      <c r="S36" s="54">
        <f>MEDIAN(S4:S33)</f>
        <v>482.02844996729891</v>
      </c>
      <c r="T36" s="56" t="e">
        <f>MEDIAN(T2:T33)</f>
        <v>#REF!</v>
      </c>
      <c r="U36" s="52"/>
      <c r="V36" s="52"/>
      <c r="W36" s="57"/>
      <c r="X36" s="53"/>
      <c r="Y36" s="54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</row>
    <row r="37" spans="1:38" ht="15.75" customHeight="1">
      <c r="B37" s="13"/>
      <c r="C37" s="13"/>
      <c r="E37" s="14"/>
      <c r="G37" s="1"/>
      <c r="O37" s="31"/>
      <c r="P37" s="31"/>
      <c r="R37" s="106"/>
      <c r="S37" s="3"/>
      <c r="T37" s="58"/>
      <c r="W37" s="1"/>
      <c r="X37" s="13"/>
      <c r="Y37" s="14"/>
    </row>
    <row r="38" spans="1:38" ht="15.75" customHeight="1">
      <c r="B38" s="13"/>
      <c r="C38" s="13"/>
      <c r="E38" s="14"/>
      <c r="G38" s="1"/>
      <c r="O38" s="31"/>
      <c r="P38" s="31"/>
      <c r="R38" s="106"/>
      <c r="S38" s="3"/>
      <c r="T38" s="58"/>
      <c r="W38" s="1"/>
      <c r="X38" s="13"/>
      <c r="Y38" s="14"/>
    </row>
    <row r="39" spans="1:38" ht="15.75" customHeight="1">
      <c r="B39" s="13"/>
      <c r="C39" s="13"/>
      <c r="E39" s="14"/>
      <c r="G39" s="1"/>
      <c r="O39" s="31"/>
      <c r="P39" s="31"/>
      <c r="R39" s="106"/>
      <c r="S39" s="3"/>
      <c r="T39" s="58"/>
      <c r="W39" s="1"/>
      <c r="X39" s="13"/>
      <c r="Y39" s="14"/>
    </row>
    <row r="40" spans="1:38" ht="15.75" customHeight="1">
      <c r="B40" s="13"/>
      <c r="C40" s="13"/>
      <c r="E40" s="14"/>
      <c r="G40" s="1"/>
      <c r="O40" s="31"/>
      <c r="P40" s="31"/>
      <c r="R40" s="106"/>
      <c r="S40" s="3"/>
      <c r="T40" s="58"/>
      <c r="W40" s="1"/>
      <c r="X40" s="13"/>
      <c r="Y40" s="14"/>
    </row>
    <row r="41" spans="1:38" ht="15.75" customHeight="1">
      <c r="B41" s="13"/>
      <c r="C41" s="13"/>
      <c r="E41" s="14"/>
      <c r="G41" s="1"/>
      <c r="O41" s="31"/>
      <c r="P41" s="31"/>
      <c r="R41" s="106"/>
      <c r="S41" s="3"/>
      <c r="T41" s="58"/>
      <c r="W41" s="1"/>
      <c r="X41" s="13"/>
      <c r="Y41" s="14"/>
    </row>
    <row r="42" spans="1:38" ht="15.75" customHeight="1">
      <c r="B42" s="13"/>
      <c r="C42" s="13"/>
      <c r="E42" s="14"/>
      <c r="G42" s="1"/>
      <c r="O42" s="31"/>
      <c r="P42" s="31"/>
      <c r="R42" s="106"/>
      <c r="S42" s="3"/>
      <c r="T42" s="58"/>
      <c r="W42" s="1"/>
      <c r="X42" s="13"/>
    </row>
    <row r="43" spans="1:38" ht="15.75" customHeight="1">
      <c r="A43" s="13"/>
      <c r="B43" s="13"/>
      <c r="C43" s="13"/>
      <c r="O43" s="31"/>
      <c r="P43" s="31"/>
      <c r="R43" s="106"/>
      <c r="S43" s="3"/>
      <c r="T43" s="56" t="e">
        <f>AVERAGE(T4:T32)</f>
        <v>#REF!</v>
      </c>
      <c r="U43" s="53" t="e">
        <f>AVERAGE(U4:U32)</f>
        <v>#REF!</v>
      </c>
      <c r="W43" s="1"/>
      <c r="X43" s="13"/>
      <c r="Y43" s="14"/>
    </row>
    <row r="44" spans="1:38" ht="15.75" customHeight="1">
      <c r="B44" s="13"/>
      <c r="C44" s="13"/>
      <c r="O44" s="31"/>
      <c r="P44" s="31"/>
      <c r="R44" s="106"/>
      <c r="S44" s="3"/>
      <c r="T44" s="58"/>
      <c r="W44" s="1"/>
      <c r="X44" s="13"/>
      <c r="Y44" s="14"/>
    </row>
    <row r="45" spans="1:38" ht="15.75" customHeight="1">
      <c r="B45" s="13"/>
      <c r="C45" s="13"/>
      <c r="O45" s="31"/>
      <c r="P45" s="31"/>
      <c r="R45" s="106"/>
      <c r="S45" s="3"/>
      <c r="T45" s="31"/>
      <c r="U45" s="13"/>
      <c r="V45" s="13" t="s">
        <v>146</v>
      </c>
      <c r="W45" s="59">
        <f>14/28</f>
        <v>0.5</v>
      </c>
      <c r="X45" s="13"/>
      <c r="Y45" s="14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ht="15.75" customHeight="1">
      <c r="B46" s="13"/>
      <c r="C46" s="13"/>
      <c r="O46" s="31"/>
      <c r="P46" s="31"/>
      <c r="R46" s="106"/>
      <c r="S46" s="3"/>
      <c r="T46" s="58"/>
      <c r="W46" s="1"/>
      <c r="X46" s="13"/>
    </row>
    <row r="47" spans="1:38" ht="15.75" customHeight="1">
      <c r="B47" s="13"/>
      <c r="C47" s="13"/>
      <c r="E47" s="14"/>
      <c r="G47" s="1"/>
      <c r="O47" s="31"/>
      <c r="P47" s="31"/>
      <c r="R47" s="106"/>
      <c r="S47" s="3"/>
      <c r="T47" s="58"/>
      <c r="W47" s="1"/>
    </row>
    <row r="48" spans="1:38" ht="15.75" customHeight="1">
      <c r="B48" s="13"/>
      <c r="C48" s="13"/>
      <c r="E48" s="14"/>
      <c r="G48" s="1"/>
      <c r="O48" s="31"/>
      <c r="P48" s="31"/>
      <c r="R48" s="106"/>
      <c r="S48" s="3"/>
      <c r="T48" s="58"/>
      <c r="W48" s="1"/>
    </row>
    <row r="49" spans="2:23" ht="15.75" customHeight="1">
      <c r="B49" s="13"/>
      <c r="C49" s="13"/>
      <c r="E49" s="14"/>
      <c r="G49" s="1"/>
      <c r="O49" s="31"/>
      <c r="P49" s="31"/>
      <c r="R49" s="106"/>
      <c r="S49" s="3"/>
      <c r="T49" s="58"/>
      <c r="W49" s="1"/>
    </row>
    <row r="50" spans="2:23" ht="15.75" customHeight="1">
      <c r="B50" s="13"/>
      <c r="C50" s="13"/>
      <c r="E50" s="14"/>
      <c r="G50" s="1"/>
      <c r="O50" s="31"/>
      <c r="P50" s="31"/>
      <c r="R50" s="106"/>
      <c r="S50" s="3"/>
      <c r="T50" s="58"/>
      <c r="W50" s="1"/>
    </row>
    <row r="51" spans="2:23" ht="15.75" customHeight="1">
      <c r="B51" s="13"/>
      <c r="C51" s="13"/>
      <c r="E51" s="14"/>
      <c r="G51" s="1"/>
      <c r="O51" s="31"/>
      <c r="P51" s="31"/>
      <c r="R51" s="106"/>
      <c r="S51" s="3"/>
      <c r="T51" s="58"/>
      <c r="W51" s="1"/>
    </row>
    <row r="52" spans="2:23" ht="15.75" customHeight="1">
      <c r="B52" s="13"/>
      <c r="C52" s="13"/>
      <c r="E52" s="14"/>
      <c r="G52" s="1"/>
      <c r="O52" s="31"/>
      <c r="P52" s="31"/>
      <c r="R52" s="106"/>
      <c r="S52" s="3"/>
      <c r="T52" s="58"/>
      <c r="W52" s="1"/>
    </row>
    <row r="53" spans="2:23" ht="15.75" customHeight="1">
      <c r="B53" s="13"/>
      <c r="C53" s="13"/>
      <c r="E53" s="14"/>
      <c r="G53" s="1"/>
      <c r="O53" s="31"/>
      <c r="P53" s="31"/>
      <c r="R53" s="106"/>
      <c r="S53" s="3"/>
      <c r="T53" s="58"/>
      <c r="W53" s="1"/>
    </row>
    <row r="54" spans="2:23" ht="15.75" customHeight="1">
      <c r="B54" s="13"/>
      <c r="C54" s="13"/>
      <c r="E54" s="14"/>
      <c r="G54" s="1"/>
      <c r="O54" s="31"/>
      <c r="P54" s="31"/>
      <c r="R54" s="106"/>
      <c r="S54" s="3"/>
      <c r="T54" s="58"/>
      <c r="W54" s="1"/>
    </row>
    <row r="55" spans="2:23" ht="15.75" customHeight="1">
      <c r="B55" s="13"/>
      <c r="C55" s="13"/>
      <c r="E55" s="14"/>
      <c r="G55" s="1"/>
      <c r="O55" s="31"/>
      <c r="P55" s="31"/>
      <c r="R55" s="106"/>
      <c r="S55" s="3"/>
      <c r="T55" s="58"/>
      <c r="W55" s="1"/>
    </row>
    <row r="56" spans="2:23" ht="15.75" customHeight="1">
      <c r="B56" s="13"/>
      <c r="C56" s="13"/>
      <c r="E56" s="14"/>
      <c r="G56" s="1"/>
      <c r="O56" s="31"/>
      <c r="P56" s="31"/>
      <c r="R56" s="106"/>
      <c r="S56" s="3"/>
      <c r="T56" s="58"/>
      <c r="W56" s="1"/>
    </row>
    <row r="57" spans="2:23" ht="15.75" customHeight="1">
      <c r="B57" s="13"/>
      <c r="C57" s="13"/>
      <c r="E57" s="14"/>
      <c r="G57" s="1"/>
      <c r="O57" s="31"/>
      <c r="P57" s="31"/>
      <c r="R57" s="106"/>
      <c r="S57" s="3"/>
      <c r="T57" s="58"/>
      <c r="W57" s="1"/>
    </row>
    <row r="58" spans="2:23" ht="15.75" customHeight="1">
      <c r="B58" s="13"/>
      <c r="C58" s="13"/>
      <c r="E58" s="14"/>
      <c r="G58" s="1"/>
      <c r="O58" s="31"/>
      <c r="P58" s="31"/>
      <c r="R58" s="106"/>
      <c r="S58" s="3"/>
      <c r="T58" s="58"/>
      <c r="W58" s="1"/>
    </row>
    <row r="59" spans="2:23" ht="15.75" customHeight="1">
      <c r="B59" s="13"/>
      <c r="C59" s="13"/>
      <c r="E59" s="14"/>
      <c r="G59" s="1"/>
      <c r="O59" s="31"/>
      <c r="P59" s="31"/>
      <c r="R59" s="106"/>
      <c r="S59" s="3"/>
      <c r="T59" s="58"/>
      <c r="W59" s="1"/>
    </row>
    <row r="60" spans="2:23" ht="15.75" customHeight="1">
      <c r="B60" s="13"/>
      <c r="C60" s="13"/>
      <c r="E60" s="14"/>
      <c r="G60" s="1"/>
      <c r="O60" s="31"/>
      <c r="P60" s="31"/>
      <c r="R60" s="106"/>
      <c r="S60" s="3"/>
      <c r="T60" s="58"/>
      <c r="W60" s="1"/>
    </row>
    <row r="61" spans="2:23" ht="15.75" customHeight="1">
      <c r="B61" s="13"/>
      <c r="C61" s="13"/>
      <c r="E61" s="14"/>
      <c r="G61" s="1"/>
      <c r="O61" s="31"/>
      <c r="P61" s="31"/>
      <c r="R61" s="106"/>
      <c r="S61" s="3"/>
      <c r="T61" s="58"/>
      <c r="W61" s="1"/>
    </row>
    <row r="62" spans="2:23" ht="15.75" customHeight="1">
      <c r="B62" s="13"/>
      <c r="C62" s="13"/>
      <c r="E62" s="14"/>
      <c r="G62" s="1"/>
      <c r="O62" s="31"/>
      <c r="P62" s="31"/>
      <c r="R62" s="106"/>
      <c r="S62" s="3"/>
      <c r="T62" s="58"/>
      <c r="W62" s="1"/>
    </row>
    <row r="63" spans="2:23" ht="15.75" customHeight="1">
      <c r="B63" s="13"/>
      <c r="C63" s="13"/>
      <c r="E63" s="14"/>
      <c r="G63" s="1"/>
      <c r="O63" s="31"/>
      <c r="P63" s="31"/>
      <c r="R63" s="106"/>
      <c r="S63" s="3"/>
      <c r="T63" s="58"/>
      <c r="W63" s="1"/>
    </row>
    <row r="64" spans="2:23" ht="15.75" customHeight="1">
      <c r="B64" s="13"/>
      <c r="C64" s="13"/>
      <c r="E64" s="14"/>
      <c r="G64" s="1"/>
      <c r="O64" s="31"/>
      <c r="P64" s="31"/>
      <c r="R64" s="106"/>
      <c r="S64" s="3"/>
      <c r="T64" s="58"/>
      <c r="W64" s="1"/>
    </row>
    <row r="65" spans="2:25" ht="15.75" customHeight="1">
      <c r="B65" s="13"/>
      <c r="C65" s="13"/>
      <c r="E65" s="14"/>
      <c r="G65" s="1"/>
      <c r="O65" s="31"/>
      <c r="P65" s="31"/>
      <c r="R65" s="106"/>
      <c r="S65" s="3"/>
      <c r="T65" s="58"/>
      <c r="W65" s="1"/>
    </row>
    <row r="66" spans="2:25" ht="15.75" customHeight="1">
      <c r="B66" s="13"/>
      <c r="C66" s="13"/>
      <c r="E66" s="14"/>
      <c r="G66" s="1"/>
      <c r="O66" s="31"/>
      <c r="P66" s="31"/>
      <c r="R66" s="106"/>
      <c r="S66" s="3"/>
      <c r="T66" s="58"/>
      <c r="W66" s="1"/>
    </row>
    <row r="67" spans="2:25" ht="15.75" customHeight="1">
      <c r="B67" s="13"/>
      <c r="C67" s="13"/>
      <c r="E67" s="14"/>
      <c r="G67" s="1"/>
      <c r="O67" s="31"/>
      <c r="P67" s="31"/>
      <c r="R67" s="106"/>
      <c r="S67" s="3"/>
      <c r="T67" s="58"/>
      <c r="W67" s="1"/>
    </row>
    <row r="68" spans="2:25" ht="15.75" customHeight="1">
      <c r="B68" s="13"/>
      <c r="C68" s="13"/>
      <c r="E68" s="14"/>
      <c r="G68" s="1"/>
      <c r="O68" s="31"/>
      <c r="P68" s="31"/>
      <c r="R68" s="106"/>
      <c r="S68" s="3"/>
      <c r="T68" s="58"/>
      <c r="W68" s="1"/>
    </row>
    <row r="69" spans="2:25" ht="15.75" customHeight="1">
      <c r="B69" s="13"/>
      <c r="C69" s="13"/>
      <c r="E69" s="14"/>
      <c r="G69" s="1"/>
      <c r="O69" s="31"/>
      <c r="P69" s="31"/>
      <c r="R69" s="106"/>
      <c r="S69" s="3"/>
      <c r="T69" s="58"/>
      <c r="W69" s="1"/>
      <c r="X69" s="13"/>
      <c r="Y69" s="14"/>
    </row>
    <row r="70" spans="2:25" ht="15.75" customHeight="1">
      <c r="B70" s="13"/>
      <c r="C70" s="13"/>
      <c r="E70" s="14"/>
      <c r="G70" s="1"/>
      <c r="O70" s="31"/>
      <c r="P70" s="31"/>
      <c r="R70" s="106"/>
      <c r="S70" s="3"/>
      <c r="T70" s="58"/>
      <c r="W70" s="1"/>
    </row>
    <row r="71" spans="2:25" ht="15.75" customHeight="1">
      <c r="B71" s="13"/>
      <c r="C71" s="13"/>
      <c r="E71" s="14"/>
      <c r="G71" s="1"/>
      <c r="O71" s="31"/>
      <c r="P71" s="31"/>
      <c r="R71" s="106"/>
      <c r="S71" s="3"/>
      <c r="T71" s="58"/>
      <c r="W71" s="1"/>
    </row>
    <row r="72" spans="2:25" ht="15.75" customHeight="1">
      <c r="B72" s="13"/>
      <c r="C72" s="13"/>
      <c r="E72" s="14"/>
      <c r="G72" s="1"/>
      <c r="O72" s="31"/>
      <c r="P72" s="31"/>
      <c r="R72" s="106"/>
      <c r="S72" s="3"/>
      <c r="T72" s="58"/>
      <c r="W72" s="1"/>
      <c r="X72" s="13"/>
      <c r="Y72" s="14"/>
    </row>
    <row r="73" spans="2:25" ht="15.75" customHeight="1">
      <c r="B73" s="13"/>
      <c r="C73" s="13"/>
      <c r="E73" s="14"/>
      <c r="G73" s="1"/>
      <c r="O73" s="31"/>
      <c r="P73" s="31"/>
      <c r="R73" s="106"/>
      <c r="S73" s="3"/>
      <c r="T73" s="58"/>
      <c r="W73" s="1"/>
      <c r="X73" s="13"/>
      <c r="Y73" s="14"/>
    </row>
    <row r="74" spans="2:25" ht="15.75" customHeight="1">
      <c r="B74" s="13"/>
      <c r="C74" s="13"/>
      <c r="E74" s="14"/>
      <c r="G74" s="1"/>
      <c r="O74" s="31"/>
      <c r="P74" s="31"/>
      <c r="R74" s="106"/>
      <c r="S74" s="3"/>
      <c r="T74" s="58"/>
      <c r="W74" s="1"/>
      <c r="X74" s="13"/>
      <c r="Y74" s="14"/>
    </row>
    <row r="75" spans="2:25" ht="15.75" customHeight="1">
      <c r="B75" s="13"/>
      <c r="C75" s="13"/>
      <c r="E75" s="14"/>
      <c r="G75" s="1"/>
      <c r="O75" s="31"/>
      <c r="P75" s="31"/>
      <c r="R75" s="106"/>
      <c r="S75" s="3"/>
      <c r="T75" s="58"/>
      <c r="W75" s="1"/>
      <c r="X75" s="13"/>
      <c r="Y75" s="14"/>
    </row>
    <row r="76" spans="2:25" ht="15.75" customHeight="1">
      <c r="B76" s="13"/>
      <c r="C76" s="13"/>
      <c r="E76" s="14"/>
      <c r="G76" s="1"/>
      <c r="O76" s="31"/>
      <c r="P76" s="31"/>
      <c r="R76" s="106"/>
      <c r="S76" s="3"/>
      <c r="T76" s="58"/>
      <c r="W76" s="1"/>
      <c r="X76" s="13"/>
      <c r="Y76" s="14"/>
    </row>
    <row r="77" spans="2:25" ht="15.75" customHeight="1">
      <c r="B77" s="13"/>
      <c r="C77" s="13"/>
      <c r="E77" s="14"/>
      <c r="G77" s="1"/>
      <c r="O77" s="31"/>
      <c r="P77" s="31"/>
      <c r="R77" s="106"/>
      <c r="S77" s="3"/>
      <c r="T77" s="58"/>
      <c r="W77" s="1"/>
      <c r="X77" s="13"/>
      <c r="Y77" s="14"/>
    </row>
    <row r="78" spans="2:25" ht="15.75" customHeight="1">
      <c r="B78" s="13"/>
      <c r="C78" s="13"/>
      <c r="E78" s="14"/>
      <c r="G78" s="1"/>
      <c r="O78" s="31"/>
      <c r="P78" s="31"/>
      <c r="R78" s="106"/>
      <c r="S78" s="3"/>
      <c r="T78" s="58"/>
      <c r="W78" s="1"/>
      <c r="X78" s="13"/>
      <c r="Y78" s="14"/>
    </row>
    <row r="79" spans="2:25" ht="15.75" customHeight="1">
      <c r="B79" s="13"/>
      <c r="C79" s="13"/>
      <c r="E79" s="14"/>
      <c r="G79" s="1"/>
      <c r="O79" s="31"/>
      <c r="P79" s="31"/>
      <c r="R79" s="106"/>
      <c r="S79" s="3"/>
      <c r="T79" s="58"/>
      <c r="W79" s="1"/>
      <c r="X79" s="13"/>
      <c r="Y79" s="14"/>
    </row>
    <row r="80" spans="2:25" ht="15.75" customHeight="1">
      <c r="B80" s="13"/>
      <c r="C80" s="13"/>
      <c r="E80" s="14"/>
      <c r="G80" s="1"/>
      <c r="O80" s="31"/>
      <c r="P80" s="31"/>
      <c r="R80" s="106"/>
      <c r="S80" s="3"/>
      <c r="T80" s="58"/>
      <c r="W80" s="1"/>
      <c r="X80" s="13"/>
      <c r="Y80" s="14"/>
    </row>
    <row r="81" spans="2:25" ht="15.75" customHeight="1">
      <c r="B81" s="13"/>
      <c r="C81" s="13"/>
      <c r="E81" s="14"/>
      <c r="G81" s="1"/>
      <c r="O81" s="31"/>
      <c r="P81" s="31"/>
      <c r="R81" s="106"/>
      <c r="S81" s="3"/>
      <c r="T81" s="58"/>
      <c r="W81" s="1"/>
      <c r="X81" s="13"/>
      <c r="Y81" s="14"/>
    </row>
    <row r="82" spans="2:25" ht="15.75" customHeight="1">
      <c r="B82" s="13"/>
      <c r="C82" s="13"/>
      <c r="E82" s="14"/>
      <c r="G82" s="1"/>
      <c r="O82" s="31"/>
      <c r="P82" s="31"/>
      <c r="R82" s="106"/>
      <c r="S82" s="3"/>
      <c r="T82" s="58"/>
      <c r="W82" s="1"/>
      <c r="X82" s="13"/>
      <c r="Y82" s="14"/>
    </row>
    <row r="83" spans="2:25" ht="15.75" customHeight="1">
      <c r="B83" s="13"/>
      <c r="C83" s="13"/>
      <c r="E83" s="14"/>
      <c r="G83" s="1"/>
      <c r="O83" s="31"/>
      <c r="P83" s="31"/>
      <c r="R83" s="106"/>
      <c r="S83" s="3"/>
      <c r="T83" s="58"/>
      <c r="W83" s="1"/>
      <c r="X83" s="13"/>
      <c r="Y83" s="14"/>
    </row>
    <row r="84" spans="2:25" ht="15.75" customHeight="1">
      <c r="B84" s="13"/>
      <c r="C84" s="13"/>
      <c r="E84" s="14"/>
      <c r="G84" s="1"/>
      <c r="O84" s="31"/>
      <c r="P84" s="31"/>
      <c r="R84" s="106"/>
      <c r="S84" s="3"/>
      <c r="T84" s="58"/>
      <c r="W84" s="1"/>
      <c r="X84" s="13"/>
      <c r="Y84" s="14"/>
    </row>
    <row r="85" spans="2:25" ht="15.75" customHeight="1">
      <c r="B85" s="13"/>
      <c r="C85" s="13"/>
      <c r="E85" s="14"/>
      <c r="G85" s="1"/>
      <c r="O85" s="31"/>
      <c r="P85" s="31"/>
      <c r="R85" s="106"/>
      <c r="S85" s="3"/>
      <c r="T85" s="58"/>
      <c r="W85" s="1"/>
      <c r="X85" s="13"/>
      <c r="Y85" s="14"/>
    </row>
    <row r="86" spans="2:25" ht="15.75" customHeight="1">
      <c r="B86" s="13"/>
      <c r="C86" s="13"/>
      <c r="E86" s="14"/>
      <c r="G86" s="1"/>
      <c r="O86" s="31"/>
      <c r="P86" s="31"/>
      <c r="R86" s="106"/>
      <c r="S86" s="3"/>
      <c r="T86" s="58"/>
      <c r="W86" s="1"/>
      <c r="X86" s="13"/>
      <c r="Y86" s="14"/>
    </row>
    <row r="87" spans="2:25" ht="15.75" customHeight="1">
      <c r="B87" s="13"/>
      <c r="C87" s="13"/>
      <c r="E87" s="14"/>
      <c r="G87" s="1"/>
      <c r="O87" s="31"/>
      <c r="P87" s="31"/>
      <c r="R87" s="106"/>
      <c r="S87" s="3"/>
      <c r="T87" s="58"/>
      <c r="W87" s="1"/>
      <c r="X87" s="13"/>
      <c r="Y87" s="14"/>
    </row>
    <row r="88" spans="2:25" ht="15.75" customHeight="1">
      <c r="B88" s="13"/>
      <c r="C88" s="13"/>
      <c r="E88" s="14"/>
      <c r="G88" s="1"/>
      <c r="O88" s="31"/>
      <c r="P88" s="31"/>
      <c r="R88" s="106"/>
      <c r="S88" s="3"/>
      <c r="T88" s="58"/>
      <c r="W88" s="1"/>
      <c r="X88" s="13"/>
      <c r="Y88" s="14"/>
    </row>
    <row r="89" spans="2:25" ht="15.75" customHeight="1">
      <c r="B89" s="13"/>
      <c r="C89" s="13"/>
      <c r="E89" s="14"/>
      <c r="G89" s="1"/>
      <c r="O89" s="31"/>
      <c r="P89" s="31"/>
      <c r="R89" s="106"/>
      <c r="S89" s="3"/>
      <c r="T89" s="58"/>
      <c r="W89" s="1"/>
      <c r="X89" s="13"/>
      <c r="Y89" s="14"/>
    </row>
    <row r="90" spans="2:25" ht="15.75" customHeight="1">
      <c r="B90" s="13"/>
      <c r="C90" s="13"/>
      <c r="E90" s="14"/>
      <c r="G90" s="1"/>
      <c r="O90" s="31"/>
      <c r="P90" s="31"/>
      <c r="R90" s="106"/>
      <c r="S90" s="3"/>
      <c r="T90" s="58"/>
      <c r="W90" s="1"/>
      <c r="X90" s="13"/>
      <c r="Y90" s="14"/>
    </row>
    <row r="91" spans="2:25" ht="15.75" customHeight="1">
      <c r="B91" s="13"/>
      <c r="C91" s="13"/>
      <c r="E91" s="14"/>
      <c r="G91" s="1"/>
      <c r="O91" s="31"/>
      <c r="P91" s="31"/>
      <c r="R91" s="106"/>
      <c r="S91" s="3"/>
      <c r="T91" s="58"/>
      <c r="W91" s="1"/>
      <c r="X91" s="13"/>
      <c r="Y91" s="14"/>
    </row>
    <row r="92" spans="2:25" ht="15.75" customHeight="1">
      <c r="B92" s="13"/>
      <c r="C92" s="13"/>
      <c r="E92" s="14"/>
      <c r="G92" s="1"/>
      <c r="O92" s="31"/>
      <c r="P92" s="31"/>
      <c r="R92" s="106"/>
      <c r="S92" s="3"/>
      <c r="T92" s="58"/>
      <c r="W92" s="1"/>
      <c r="X92" s="13"/>
      <c r="Y92" s="14"/>
    </row>
    <row r="93" spans="2:25" ht="15.75" customHeight="1">
      <c r="B93" s="13"/>
      <c r="C93" s="13"/>
      <c r="E93" s="14"/>
      <c r="G93" s="1"/>
      <c r="O93" s="31"/>
      <c r="P93" s="31"/>
      <c r="R93" s="106"/>
      <c r="S93" s="3"/>
      <c r="T93" s="58"/>
      <c r="W93" s="1"/>
      <c r="X93" s="13"/>
      <c r="Y93" s="14"/>
    </row>
    <row r="94" spans="2:25" ht="15.75" customHeight="1">
      <c r="B94" s="13"/>
      <c r="C94" s="13"/>
      <c r="E94" s="14"/>
      <c r="G94" s="1"/>
      <c r="O94" s="31"/>
      <c r="P94" s="31"/>
      <c r="R94" s="106"/>
      <c r="S94" s="3"/>
      <c r="T94" s="58"/>
      <c r="W94" s="1"/>
      <c r="X94" s="13"/>
      <c r="Y94" s="14"/>
    </row>
    <row r="95" spans="2:25" ht="15.75" customHeight="1">
      <c r="B95" s="13"/>
      <c r="C95" s="13"/>
      <c r="E95" s="14"/>
      <c r="G95" s="1"/>
      <c r="O95" s="31"/>
      <c r="P95" s="31"/>
      <c r="R95" s="106"/>
      <c r="S95" s="3"/>
      <c r="T95" s="58"/>
      <c r="W95" s="1"/>
      <c r="X95" s="13"/>
      <c r="Y95" s="14"/>
    </row>
    <row r="96" spans="2:25" ht="15.75" customHeight="1">
      <c r="B96" s="13"/>
      <c r="C96" s="13"/>
      <c r="E96" s="14"/>
      <c r="G96" s="1"/>
      <c r="O96" s="31"/>
      <c r="P96" s="31"/>
      <c r="R96" s="106"/>
      <c r="S96" s="3"/>
      <c r="T96" s="58"/>
      <c r="W96" s="1"/>
      <c r="X96" s="13"/>
      <c r="Y96" s="14"/>
    </row>
    <row r="97" spans="2:25" ht="15.75" customHeight="1">
      <c r="B97" s="13"/>
      <c r="C97" s="13"/>
      <c r="E97" s="14"/>
      <c r="G97" s="1"/>
      <c r="O97" s="31"/>
      <c r="P97" s="31"/>
      <c r="R97" s="106"/>
      <c r="S97" s="3"/>
      <c r="T97" s="58"/>
      <c r="W97" s="1"/>
      <c r="X97" s="13"/>
      <c r="Y97" s="14"/>
    </row>
    <row r="98" spans="2:25" ht="15.75" customHeight="1">
      <c r="B98" s="13"/>
      <c r="C98" s="13"/>
      <c r="E98" s="14"/>
      <c r="G98" s="1"/>
      <c r="O98" s="31"/>
      <c r="P98" s="31"/>
      <c r="R98" s="106"/>
      <c r="S98" s="3"/>
      <c r="T98" s="58"/>
      <c r="W98" s="1"/>
      <c r="X98" s="13"/>
      <c r="Y98" s="14"/>
    </row>
    <row r="99" spans="2:25" ht="15.75" customHeight="1">
      <c r="B99" s="13"/>
      <c r="C99" s="13"/>
      <c r="E99" s="14"/>
      <c r="G99" s="1"/>
      <c r="O99" s="31"/>
      <c r="P99" s="31"/>
      <c r="R99" s="106"/>
      <c r="S99" s="3"/>
      <c r="T99" s="58"/>
      <c r="W99" s="1"/>
      <c r="X99" s="13"/>
      <c r="Y99" s="14"/>
    </row>
    <row r="100" spans="2:25" ht="15.75" customHeight="1">
      <c r="B100" s="13"/>
      <c r="C100" s="13"/>
      <c r="E100" s="14"/>
      <c r="G100" s="1"/>
      <c r="O100" s="31"/>
      <c r="P100" s="31"/>
      <c r="R100" s="106"/>
      <c r="S100" s="3"/>
      <c r="T100" s="58"/>
      <c r="W100" s="1"/>
      <c r="X100" s="13"/>
      <c r="Y100" s="14"/>
    </row>
    <row r="101" spans="2:25" ht="15.75" customHeight="1">
      <c r="B101" s="13"/>
      <c r="C101" s="13"/>
      <c r="E101" s="14"/>
      <c r="G101" s="1"/>
      <c r="O101" s="31"/>
      <c r="P101" s="31"/>
      <c r="R101" s="106"/>
      <c r="S101" s="3"/>
      <c r="T101" s="58"/>
      <c r="W101" s="1"/>
      <c r="X101" s="13"/>
      <c r="Y101" s="14"/>
    </row>
    <row r="102" spans="2:25" ht="15.75" customHeight="1">
      <c r="B102" s="13"/>
      <c r="C102" s="13"/>
      <c r="E102" s="14"/>
      <c r="G102" s="1"/>
      <c r="O102" s="31"/>
      <c r="P102" s="31"/>
      <c r="R102" s="106"/>
      <c r="S102" s="3"/>
      <c r="T102" s="58"/>
      <c r="W102" s="1"/>
      <c r="X102" s="13"/>
      <c r="Y102" s="14"/>
    </row>
    <row r="103" spans="2:25" ht="15.75" customHeight="1">
      <c r="B103" s="13"/>
      <c r="C103" s="13"/>
      <c r="E103" s="14"/>
      <c r="G103" s="1"/>
      <c r="O103" s="31"/>
      <c r="P103" s="31"/>
      <c r="R103" s="106"/>
      <c r="S103" s="3"/>
      <c r="T103" s="58"/>
      <c r="W103" s="1"/>
      <c r="X103" s="13"/>
      <c r="Y103" s="14"/>
    </row>
    <row r="104" spans="2:25" ht="15.75" customHeight="1">
      <c r="B104" s="13"/>
      <c r="C104" s="13"/>
      <c r="E104" s="14"/>
      <c r="G104" s="1"/>
      <c r="O104" s="31"/>
      <c r="P104" s="31"/>
      <c r="R104" s="106"/>
      <c r="S104" s="3"/>
      <c r="T104" s="58"/>
      <c r="W104" s="1"/>
      <c r="X104" s="13"/>
      <c r="Y104" s="14"/>
    </row>
    <row r="105" spans="2:25" ht="15.75" customHeight="1">
      <c r="B105" s="13"/>
      <c r="C105" s="13"/>
      <c r="E105" s="14"/>
      <c r="G105" s="1"/>
      <c r="O105" s="31"/>
      <c r="P105" s="31"/>
      <c r="R105" s="106"/>
      <c r="S105" s="3"/>
      <c r="T105" s="58"/>
      <c r="W105" s="1"/>
      <c r="X105" s="13"/>
      <c r="Y105" s="14"/>
    </row>
    <row r="106" spans="2:25" ht="15.75" customHeight="1">
      <c r="B106" s="13"/>
      <c r="C106" s="13"/>
      <c r="E106" s="14"/>
      <c r="G106" s="1"/>
      <c r="O106" s="31"/>
      <c r="P106" s="31"/>
      <c r="R106" s="106"/>
      <c r="S106" s="3"/>
      <c r="T106" s="58"/>
      <c r="W106" s="1"/>
      <c r="X106" s="13"/>
      <c r="Y106" s="14"/>
    </row>
    <row r="107" spans="2:25" ht="15.75" customHeight="1">
      <c r="B107" s="13"/>
      <c r="C107" s="13"/>
      <c r="E107" s="14"/>
      <c r="G107" s="1"/>
      <c r="O107" s="31"/>
      <c r="P107" s="31"/>
      <c r="R107" s="106"/>
      <c r="S107" s="3"/>
      <c r="T107" s="58"/>
      <c r="W107" s="1"/>
      <c r="X107" s="13"/>
      <c r="Y107" s="14"/>
    </row>
    <row r="108" spans="2:25" ht="15.75" customHeight="1">
      <c r="B108" s="13"/>
      <c r="C108" s="13"/>
      <c r="E108" s="14"/>
      <c r="G108" s="1"/>
      <c r="O108" s="31"/>
      <c r="P108" s="31"/>
      <c r="R108" s="106"/>
      <c r="S108" s="3"/>
      <c r="T108" s="58"/>
      <c r="W108" s="1"/>
      <c r="X108" s="13"/>
      <c r="Y108" s="14"/>
    </row>
    <row r="109" spans="2:25" ht="15.75" customHeight="1">
      <c r="B109" s="13"/>
      <c r="C109" s="13"/>
      <c r="E109" s="14"/>
      <c r="G109" s="1"/>
      <c r="O109" s="31"/>
      <c r="P109" s="31"/>
      <c r="R109" s="106"/>
      <c r="S109" s="3"/>
      <c r="T109" s="58"/>
      <c r="W109" s="1"/>
      <c r="X109" s="13"/>
      <c r="Y109" s="14"/>
    </row>
    <row r="110" spans="2:25" ht="15.75" customHeight="1">
      <c r="B110" s="13"/>
      <c r="C110" s="13"/>
      <c r="E110" s="14"/>
      <c r="G110" s="1"/>
      <c r="O110" s="31"/>
      <c r="P110" s="31"/>
      <c r="R110" s="106"/>
      <c r="S110" s="3"/>
      <c r="T110" s="58"/>
      <c r="W110" s="1"/>
      <c r="X110" s="13"/>
      <c r="Y110" s="14"/>
    </row>
    <row r="111" spans="2:25" ht="15.75" customHeight="1">
      <c r="B111" s="13"/>
      <c r="C111" s="13"/>
      <c r="E111" s="14"/>
      <c r="G111" s="1"/>
      <c r="O111" s="31"/>
      <c r="P111" s="31"/>
      <c r="R111" s="106"/>
      <c r="S111" s="3"/>
      <c r="T111" s="58"/>
      <c r="W111" s="1"/>
      <c r="X111" s="13"/>
      <c r="Y111" s="14"/>
    </row>
    <row r="112" spans="2:25" ht="15.75" customHeight="1">
      <c r="B112" s="13"/>
      <c r="C112" s="13"/>
      <c r="E112" s="14"/>
      <c r="G112" s="1"/>
      <c r="O112" s="31"/>
      <c r="P112" s="31"/>
      <c r="R112" s="106"/>
      <c r="S112" s="3"/>
      <c r="T112" s="58"/>
      <c r="W112" s="1"/>
      <c r="X112" s="13"/>
      <c r="Y112" s="14"/>
    </row>
    <row r="113" spans="2:25" ht="15.75" customHeight="1">
      <c r="B113" s="13"/>
      <c r="C113" s="13"/>
      <c r="E113" s="14"/>
      <c r="G113" s="1"/>
      <c r="O113" s="31"/>
      <c r="P113" s="31"/>
      <c r="R113" s="106"/>
      <c r="S113" s="3"/>
      <c r="T113" s="58"/>
      <c r="W113" s="1"/>
      <c r="X113" s="13"/>
      <c r="Y113" s="14"/>
    </row>
    <row r="114" spans="2:25" ht="15.75" customHeight="1">
      <c r="B114" s="13"/>
      <c r="C114" s="13"/>
      <c r="E114" s="14"/>
      <c r="G114" s="1"/>
      <c r="O114" s="31"/>
      <c r="P114" s="31"/>
      <c r="R114" s="106"/>
      <c r="S114" s="3"/>
      <c r="T114" s="58"/>
      <c r="W114" s="1"/>
      <c r="X114" s="13"/>
      <c r="Y114" s="14"/>
    </row>
    <row r="115" spans="2:25" ht="15.75" customHeight="1">
      <c r="B115" s="13"/>
      <c r="C115" s="13"/>
      <c r="E115" s="14"/>
      <c r="G115" s="1"/>
      <c r="O115" s="31"/>
      <c r="P115" s="31"/>
      <c r="R115" s="106"/>
      <c r="S115" s="3"/>
      <c r="T115" s="58"/>
      <c r="W115" s="1"/>
      <c r="X115" s="13"/>
      <c r="Y115" s="14"/>
    </row>
    <row r="116" spans="2:25" ht="15.75" customHeight="1">
      <c r="B116" s="13"/>
      <c r="C116" s="13"/>
      <c r="E116" s="14"/>
      <c r="G116" s="1"/>
      <c r="O116" s="31"/>
      <c r="P116" s="31"/>
      <c r="R116" s="106"/>
      <c r="S116" s="3"/>
      <c r="T116" s="58"/>
      <c r="W116" s="1"/>
      <c r="X116" s="13"/>
      <c r="Y116" s="14"/>
    </row>
    <row r="117" spans="2:25" ht="15.75" customHeight="1">
      <c r="B117" s="13"/>
      <c r="C117" s="13"/>
      <c r="E117" s="14"/>
      <c r="G117" s="1"/>
      <c r="O117" s="31"/>
      <c r="P117" s="31"/>
      <c r="R117" s="106"/>
      <c r="S117" s="3"/>
      <c r="T117" s="58"/>
      <c r="W117" s="1"/>
      <c r="X117" s="13"/>
      <c r="Y117" s="14"/>
    </row>
    <row r="118" spans="2:25" ht="15.75" customHeight="1">
      <c r="B118" s="13"/>
      <c r="C118" s="13"/>
      <c r="E118" s="14"/>
      <c r="G118" s="1"/>
      <c r="O118" s="31"/>
      <c r="P118" s="31"/>
      <c r="R118" s="106"/>
      <c r="S118" s="3"/>
      <c r="T118" s="58"/>
      <c r="W118" s="1"/>
      <c r="X118" s="13"/>
      <c r="Y118" s="14"/>
    </row>
    <row r="119" spans="2:25" ht="15.75" customHeight="1">
      <c r="B119" s="13"/>
      <c r="C119" s="13"/>
      <c r="E119" s="14"/>
      <c r="G119" s="1"/>
      <c r="O119" s="31"/>
      <c r="P119" s="31"/>
      <c r="R119" s="106"/>
      <c r="S119" s="3"/>
      <c r="T119" s="58"/>
      <c r="W119" s="1"/>
      <c r="X119" s="13"/>
      <c r="Y119" s="14"/>
    </row>
    <row r="120" spans="2:25" ht="15.75" customHeight="1">
      <c r="B120" s="13"/>
      <c r="C120" s="13"/>
      <c r="E120" s="14"/>
      <c r="G120" s="1"/>
      <c r="O120" s="31"/>
      <c r="P120" s="31"/>
      <c r="R120" s="106"/>
      <c r="S120" s="3"/>
      <c r="T120" s="58"/>
      <c r="W120" s="1"/>
      <c r="X120" s="13"/>
      <c r="Y120" s="14"/>
    </row>
    <row r="121" spans="2:25" ht="15.75" customHeight="1">
      <c r="B121" s="13"/>
      <c r="C121" s="13"/>
      <c r="E121" s="14"/>
      <c r="G121" s="1"/>
      <c r="O121" s="31"/>
      <c r="P121" s="31"/>
      <c r="R121" s="106"/>
      <c r="S121" s="3"/>
      <c r="T121" s="58"/>
      <c r="W121" s="1"/>
      <c r="X121" s="13"/>
      <c r="Y121" s="14"/>
    </row>
    <row r="122" spans="2:25" ht="15.75" customHeight="1">
      <c r="B122" s="13"/>
      <c r="C122" s="13"/>
      <c r="E122" s="14"/>
      <c r="G122" s="1"/>
      <c r="O122" s="31"/>
      <c r="P122" s="31"/>
      <c r="R122" s="106"/>
      <c r="S122" s="3"/>
      <c r="T122" s="58"/>
      <c r="W122" s="1"/>
      <c r="X122" s="13"/>
      <c r="Y122" s="14"/>
    </row>
    <row r="123" spans="2:25" ht="15.75" customHeight="1">
      <c r="B123" s="13"/>
      <c r="C123" s="13"/>
      <c r="E123" s="14"/>
      <c r="G123" s="1"/>
      <c r="O123" s="31"/>
      <c r="P123" s="31"/>
      <c r="R123" s="106"/>
      <c r="S123" s="3"/>
      <c r="T123" s="58"/>
      <c r="W123" s="1"/>
      <c r="X123" s="13"/>
      <c r="Y123" s="14"/>
    </row>
    <row r="124" spans="2:25" ht="15.75" customHeight="1">
      <c r="B124" s="13"/>
      <c r="C124" s="13"/>
      <c r="E124" s="14"/>
      <c r="G124" s="1"/>
      <c r="O124" s="31"/>
      <c r="P124" s="31"/>
      <c r="R124" s="106"/>
      <c r="S124" s="3"/>
      <c r="T124" s="58"/>
      <c r="W124" s="1"/>
      <c r="X124" s="13"/>
      <c r="Y124" s="14"/>
    </row>
    <row r="125" spans="2:25" ht="15.75" customHeight="1">
      <c r="B125" s="13"/>
      <c r="C125" s="13"/>
      <c r="E125" s="14"/>
      <c r="G125" s="1"/>
      <c r="O125" s="31"/>
      <c r="P125" s="31"/>
      <c r="R125" s="106"/>
      <c r="S125" s="3"/>
      <c r="T125" s="58"/>
      <c r="W125" s="1"/>
      <c r="X125" s="13"/>
      <c r="Y125" s="14"/>
    </row>
    <row r="126" spans="2:25" ht="15.75" customHeight="1">
      <c r="B126" s="13"/>
      <c r="C126" s="13"/>
      <c r="E126" s="14"/>
      <c r="G126" s="1"/>
      <c r="O126" s="31"/>
      <c r="P126" s="31"/>
      <c r="R126" s="106"/>
      <c r="S126" s="3"/>
      <c r="T126" s="58"/>
      <c r="W126" s="1"/>
      <c r="X126" s="13"/>
      <c r="Y126" s="14"/>
    </row>
    <row r="127" spans="2:25" ht="15.75" customHeight="1">
      <c r="B127" s="13"/>
      <c r="C127" s="13"/>
      <c r="E127" s="14"/>
      <c r="G127" s="1"/>
      <c r="O127" s="31"/>
      <c r="P127" s="31"/>
      <c r="R127" s="106"/>
      <c r="S127" s="3"/>
      <c r="T127" s="58"/>
      <c r="W127" s="1"/>
      <c r="X127" s="13"/>
      <c r="Y127" s="14"/>
    </row>
    <row r="128" spans="2:25" ht="15.75" customHeight="1">
      <c r="B128" s="13"/>
      <c r="C128" s="13"/>
      <c r="E128" s="14"/>
      <c r="G128" s="1"/>
      <c r="O128" s="31"/>
      <c r="P128" s="31"/>
      <c r="R128" s="106"/>
      <c r="S128" s="3"/>
      <c r="T128" s="58"/>
      <c r="W128" s="1"/>
      <c r="X128" s="13"/>
      <c r="Y128" s="14"/>
    </row>
    <row r="129" spans="2:25" ht="15.75" customHeight="1">
      <c r="B129" s="13"/>
      <c r="C129" s="13"/>
      <c r="E129" s="14"/>
      <c r="G129" s="1"/>
      <c r="O129" s="31"/>
      <c r="P129" s="31"/>
      <c r="R129" s="106"/>
      <c r="S129" s="3"/>
      <c r="T129" s="58"/>
      <c r="W129" s="1"/>
      <c r="X129" s="13"/>
      <c r="Y129" s="14"/>
    </row>
    <row r="130" spans="2:25" ht="15.75" customHeight="1">
      <c r="B130" s="13"/>
      <c r="C130" s="13"/>
      <c r="E130" s="14"/>
      <c r="G130" s="1"/>
      <c r="O130" s="31"/>
      <c r="P130" s="31"/>
      <c r="R130" s="106"/>
      <c r="S130" s="3"/>
      <c r="T130" s="58"/>
      <c r="W130" s="1"/>
      <c r="X130" s="13"/>
      <c r="Y130" s="14"/>
    </row>
    <row r="131" spans="2:25" ht="15.75" customHeight="1">
      <c r="B131" s="13"/>
      <c r="C131" s="13"/>
      <c r="E131" s="14"/>
      <c r="G131" s="1"/>
      <c r="O131" s="31"/>
      <c r="P131" s="31"/>
      <c r="R131" s="106"/>
      <c r="S131" s="3"/>
      <c r="T131" s="58"/>
      <c r="W131" s="1"/>
      <c r="X131" s="13"/>
      <c r="Y131" s="14"/>
    </row>
    <row r="132" spans="2:25" ht="15.75" customHeight="1">
      <c r="B132" s="13"/>
      <c r="C132" s="13"/>
      <c r="E132" s="14"/>
      <c r="G132" s="1"/>
      <c r="O132" s="31"/>
      <c r="P132" s="31"/>
      <c r="R132" s="106"/>
      <c r="S132" s="3"/>
      <c r="T132" s="58"/>
      <c r="W132" s="1"/>
      <c r="X132" s="13"/>
      <c r="Y132" s="14"/>
    </row>
    <row r="133" spans="2:25" ht="15.75" customHeight="1">
      <c r="B133" s="13"/>
      <c r="C133" s="13"/>
      <c r="E133" s="14"/>
      <c r="G133" s="1"/>
      <c r="O133" s="31"/>
      <c r="P133" s="31"/>
      <c r="R133" s="106"/>
      <c r="S133" s="3"/>
      <c r="T133" s="58"/>
      <c r="W133" s="1"/>
      <c r="X133" s="13"/>
      <c r="Y133" s="14"/>
    </row>
    <row r="134" spans="2:25" ht="15.75" customHeight="1">
      <c r="B134" s="13"/>
      <c r="C134" s="13"/>
      <c r="E134" s="14"/>
      <c r="G134" s="1"/>
      <c r="O134" s="31"/>
      <c r="P134" s="31"/>
      <c r="R134" s="106"/>
      <c r="S134" s="3"/>
      <c r="T134" s="58"/>
      <c r="W134" s="1"/>
      <c r="X134" s="13"/>
      <c r="Y134" s="14"/>
    </row>
    <row r="135" spans="2:25" ht="15.75" customHeight="1">
      <c r="B135" s="13"/>
      <c r="C135" s="13"/>
      <c r="E135" s="14"/>
      <c r="G135" s="1"/>
      <c r="O135" s="31"/>
      <c r="P135" s="31"/>
      <c r="R135" s="106"/>
      <c r="S135" s="3"/>
      <c r="T135" s="58"/>
      <c r="W135" s="1"/>
      <c r="X135" s="13"/>
      <c r="Y135" s="14"/>
    </row>
    <row r="136" spans="2:25" ht="15.75" customHeight="1">
      <c r="B136" s="13"/>
      <c r="C136" s="13"/>
      <c r="E136" s="14"/>
      <c r="G136" s="1"/>
      <c r="O136" s="31"/>
      <c r="P136" s="31"/>
      <c r="R136" s="106"/>
      <c r="S136" s="3"/>
      <c r="T136" s="58"/>
      <c r="W136" s="1"/>
      <c r="X136" s="13"/>
      <c r="Y136" s="14"/>
    </row>
    <row r="137" spans="2:25" ht="15.75" customHeight="1">
      <c r="B137" s="13"/>
      <c r="C137" s="13"/>
      <c r="E137" s="14"/>
      <c r="G137" s="1"/>
      <c r="O137" s="31"/>
      <c r="P137" s="31"/>
      <c r="R137" s="106"/>
      <c r="S137" s="3"/>
      <c r="T137" s="58"/>
      <c r="W137" s="1"/>
      <c r="X137" s="13"/>
      <c r="Y137" s="14"/>
    </row>
    <row r="138" spans="2:25" ht="15.75" customHeight="1">
      <c r="B138" s="13"/>
      <c r="C138" s="13"/>
      <c r="E138" s="14"/>
      <c r="G138" s="1"/>
      <c r="O138" s="31"/>
      <c r="P138" s="31"/>
      <c r="R138" s="106"/>
      <c r="S138" s="3"/>
      <c r="T138" s="58"/>
      <c r="W138" s="1"/>
      <c r="X138" s="13"/>
      <c r="Y138" s="14"/>
    </row>
    <row r="139" spans="2:25" ht="15.75" customHeight="1">
      <c r="B139" s="13"/>
      <c r="C139" s="13"/>
      <c r="E139" s="14"/>
      <c r="G139" s="1"/>
      <c r="O139" s="31"/>
      <c r="P139" s="31"/>
      <c r="R139" s="106"/>
      <c r="S139" s="3"/>
      <c r="T139" s="58"/>
      <c r="W139" s="1"/>
      <c r="X139" s="13"/>
      <c r="Y139" s="14"/>
    </row>
    <row r="140" spans="2:25" ht="15.75" customHeight="1">
      <c r="B140" s="13"/>
      <c r="C140" s="13"/>
      <c r="E140" s="14"/>
      <c r="G140" s="1"/>
      <c r="O140" s="31"/>
      <c r="P140" s="31"/>
      <c r="R140" s="106"/>
      <c r="S140" s="3"/>
      <c r="T140" s="58"/>
      <c r="W140" s="1"/>
      <c r="X140" s="13"/>
      <c r="Y140" s="14"/>
    </row>
    <row r="141" spans="2:25" ht="15.75" customHeight="1">
      <c r="B141" s="13"/>
      <c r="C141" s="13"/>
      <c r="E141" s="14"/>
      <c r="G141" s="1"/>
      <c r="O141" s="31"/>
      <c r="P141" s="31"/>
      <c r="R141" s="106"/>
      <c r="S141" s="3"/>
      <c r="T141" s="58"/>
      <c r="W141" s="1"/>
      <c r="X141" s="13"/>
      <c r="Y141" s="14"/>
    </row>
    <row r="142" spans="2:25" ht="15.75" customHeight="1">
      <c r="B142" s="13"/>
      <c r="C142" s="13"/>
      <c r="E142" s="14"/>
      <c r="G142" s="1"/>
      <c r="O142" s="31"/>
      <c r="P142" s="31"/>
      <c r="R142" s="106"/>
      <c r="S142" s="3"/>
      <c r="T142" s="58"/>
      <c r="W142" s="1"/>
      <c r="X142" s="13"/>
      <c r="Y142" s="14"/>
    </row>
    <row r="143" spans="2:25" ht="15.75" customHeight="1">
      <c r="B143" s="13"/>
      <c r="C143" s="13"/>
      <c r="E143" s="14"/>
      <c r="G143" s="1"/>
      <c r="O143" s="31"/>
      <c r="P143" s="31"/>
      <c r="R143" s="106"/>
      <c r="S143" s="3"/>
      <c r="T143" s="58"/>
      <c r="W143" s="1"/>
      <c r="X143" s="13"/>
      <c r="Y143" s="14"/>
    </row>
    <row r="144" spans="2:25" ht="15.75" customHeight="1">
      <c r="B144" s="13"/>
      <c r="C144" s="13"/>
      <c r="E144" s="14"/>
      <c r="G144" s="1"/>
      <c r="O144" s="31"/>
      <c r="P144" s="31"/>
      <c r="R144" s="106"/>
      <c r="S144" s="3"/>
      <c r="T144" s="58"/>
      <c r="W144" s="1"/>
      <c r="X144" s="13"/>
      <c r="Y144" s="14"/>
    </row>
    <row r="145" spans="2:25" ht="15.75" customHeight="1">
      <c r="B145" s="13"/>
      <c r="C145" s="13"/>
      <c r="E145" s="14"/>
      <c r="G145" s="1"/>
      <c r="O145" s="31"/>
      <c r="P145" s="31"/>
      <c r="R145" s="106"/>
      <c r="S145" s="3"/>
      <c r="T145" s="58"/>
      <c r="W145" s="1"/>
      <c r="X145" s="13"/>
      <c r="Y145" s="14"/>
    </row>
    <row r="146" spans="2:25" ht="15.75" customHeight="1">
      <c r="B146" s="13"/>
      <c r="C146" s="13"/>
      <c r="E146" s="14"/>
      <c r="G146" s="1"/>
      <c r="O146" s="31"/>
      <c r="P146" s="31"/>
      <c r="R146" s="106"/>
      <c r="S146" s="3"/>
      <c r="T146" s="58"/>
      <c r="W146" s="1"/>
      <c r="X146" s="13"/>
      <c r="Y146" s="14"/>
    </row>
    <row r="147" spans="2:25" ht="15.75" customHeight="1">
      <c r="B147" s="13"/>
      <c r="C147" s="13"/>
      <c r="E147" s="14"/>
      <c r="G147" s="1"/>
      <c r="O147" s="31"/>
      <c r="P147" s="31"/>
      <c r="R147" s="106"/>
      <c r="S147" s="3"/>
      <c r="T147" s="58"/>
      <c r="W147" s="1"/>
      <c r="X147" s="13"/>
      <c r="Y147" s="14"/>
    </row>
    <row r="148" spans="2:25" ht="15.75" customHeight="1">
      <c r="B148" s="13"/>
      <c r="C148" s="13"/>
      <c r="E148" s="14"/>
      <c r="G148" s="1"/>
      <c r="O148" s="31"/>
      <c r="P148" s="31"/>
      <c r="R148" s="106"/>
      <c r="S148" s="3"/>
      <c r="T148" s="58"/>
      <c r="W148" s="1"/>
      <c r="X148" s="13"/>
      <c r="Y148" s="14"/>
    </row>
    <row r="149" spans="2:25" ht="15.75" customHeight="1">
      <c r="B149" s="13"/>
      <c r="C149" s="13"/>
      <c r="E149" s="14"/>
      <c r="G149" s="1"/>
      <c r="O149" s="31"/>
      <c r="P149" s="31"/>
      <c r="R149" s="106"/>
      <c r="S149" s="3"/>
      <c r="T149" s="58"/>
      <c r="W149" s="1"/>
      <c r="X149" s="13"/>
      <c r="Y149" s="14"/>
    </row>
    <row r="150" spans="2:25" ht="15.75" customHeight="1">
      <c r="B150" s="13"/>
      <c r="C150" s="13"/>
      <c r="E150" s="14"/>
      <c r="G150" s="1"/>
      <c r="O150" s="31"/>
      <c r="P150" s="31"/>
      <c r="R150" s="106"/>
      <c r="S150" s="3"/>
      <c r="T150" s="58"/>
      <c r="W150" s="1"/>
      <c r="X150" s="13"/>
      <c r="Y150" s="14"/>
    </row>
    <row r="151" spans="2:25" ht="15.75" customHeight="1">
      <c r="B151" s="13"/>
      <c r="C151" s="13"/>
      <c r="E151" s="14"/>
      <c r="G151" s="1"/>
      <c r="O151" s="31"/>
      <c r="P151" s="31"/>
      <c r="R151" s="106"/>
      <c r="S151" s="3"/>
      <c r="T151" s="58"/>
      <c r="W151" s="1"/>
      <c r="X151" s="13"/>
      <c r="Y151" s="14"/>
    </row>
    <row r="152" spans="2:25" ht="15.75" customHeight="1">
      <c r="B152" s="13"/>
      <c r="C152" s="13"/>
      <c r="E152" s="14"/>
      <c r="G152" s="1"/>
      <c r="O152" s="31"/>
      <c r="P152" s="31"/>
      <c r="R152" s="106"/>
      <c r="S152" s="3"/>
      <c r="T152" s="58"/>
      <c r="W152" s="1"/>
      <c r="X152" s="13"/>
      <c r="Y152" s="14"/>
    </row>
    <row r="153" spans="2:25" ht="15.75" customHeight="1">
      <c r="B153" s="13"/>
      <c r="C153" s="13"/>
      <c r="E153" s="14"/>
      <c r="G153" s="1"/>
      <c r="O153" s="31"/>
      <c r="P153" s="31"/>
      <c r="R153" s="106"/>
      <c r="S153" s="3"/>
      <c r="T153" s="58"/>
      <c r="W153" s="1"/>
      <c r="X153" s="13"/>
      <c r="Y153" s="14"/>
    </row>
    <row r="154" spans="2:25" ht="15.75" customHeight="1">
      <c r="B154" s="13"/>
      <c r="C154" s="13"/>
      <c r="E154" s="14"/>
      <c r="G154" s="1"/>
      <c r="O154" s="31"/>
      <c r="P154" s="31"/>
      <c r="R154" s="106"/>
      <c r="S154" s="3"/>
      <c r="T154" s="58"/>
      <c r="W154" s="1"/>
      <c r="X154" s="13"/>
      <c r="Y154" s="14"/>
    </row>
    <row r="155" spans="2:25" ht="15.75" customHeight="1">
      <c r="B155" s="13"/>
      <c r="C155" s="13"/>
      <c r="E155" s="14"/>
      <c r="G155" s="1"/>
      <c r="O155" s="31"/>
      <c r="P155" s="31"/>
      <c r="R155" s="106"/>
      <c r="S155" s="3"/>
      <c r="T155" s="58"/>
      <c r="W155" s="1"/>
      <c r="X155" s="13"/>
      <c r="Y155" s="14"/>
    </row>
    <row r="156" spans="2:25" ht="15.75" customHeight="1">
      <c r="B156" s="13"/>
      <c r="C156" s="13"/>
      <c r="E156" s="14"/>
      <c r="G156" s="1"/>
      <c r="O156" s="31"/>
      <c r="P156" s="31"/>
      <c r="R156" s="106"/>
      <c r="S156" s="3"/>
      <c r="T156" s="58"/>
      <c r="W156" s="1"/>
      <c r="X156" s="13"/>
      <c r="Y156" s="14"/>
    </row>
    <row r="157" spans="2:25" ht="15.75" customHeight="1">
      <c r="B157" s="13"/>
      <c r="C157" s="13"/>
      <c r="E157" s="14"/>
      <c r="G157" s="1"/>
      <c r="O157" s="31"/>
      <c r="P157" s="31"/>
      <c r="R157" s="106"/>
      <c r="S157" s="3"/>
      <c r="T157" s="58"/>
      <c r="W157" s="1"/>
      <c r="X157" s="13"/>
      <c r="Y157" s="14"/>
    </row>
    <row r="158" spans="2:25" ht="15.75" customHeight="1">
      <c r="B158" s="13"/>
      <c r="C158" s="13"/>
      <c r="E158" s="14"/>
      <c r="G158" s="1"/>
      <c r="O158" s="31"/>
      <c r="P158" s="31"/>
      <c r="R158" s="106"/>
      <c r="S158" s="3"/>
      <c r="T158" s="58"/>
      <c r="W158" s="1"/>
      <c r="X158" s="13"/>
      <c r="Y158" s="14"/>
    </row>
    <row r="159" spans="2:25" ht="15.75" customHeight="1">
      <c r="B159" s="13"/>
      <c r="C159" s="13"/>
      <c r="E159" s="14"/>
      <c r="G159" s="1"/>
      <c r="O159" s="31"/>
      <c r="P159" s="31"/>
      <c r="R159" s="106"/>
      <c r="S159" s="3"/>
      <c r="T159" s="58"/>
      <c r="W159" s="1"/>
      <c r="X159" s="13"/>
      <c r="Y159" s="14"/>
    </row>
    <row r="160" spans="2:25" ht="15.75" customHeight="1">
      <c r="B160" s="13"/>
      <c r="C160" s="13"/>
      <c r="E160" s="14"/>
      <c r="G160" s="1"/>
      <c r="O160" s="31"/>
      <c r="P160" s="31"/>
      <c r="R160" s="106"/>
      <c r="S160" s="3"/>
      <c r="T160" s="58"/>
      <c r="W160" s="1"/>
      <c r="X160" s="13"/>
      <c r="Y160" s="14"/>
    </row>
    <row r="161" spans="2:25" ht="15.75" customHeight="1">
      <c r="B161" s="13"/>
      <c r="C161" s="13"/>
      <c r="E161" s="14"/>
      <c r="G161" s="1"/>
      <c r="O161" s="31"/>
      <c r="P161" s="31"/>
      <c r="R161" s="106"/>
      <c r="S161" s="3"/>
      <c r="T161" s="58"/>
      <c r="W161" s="1"/>
      <c r="X161" s="13"/>
      <c r="Y161" s="14"/>
    </row>
    <row r="162" spans="2:25" ht="15.75" customHeight="1">
      <c r="B162" s="13"/>
      <c r="C162" s="13"/>
      <c r="E162" s="14"/>
      <c r="G162" s="1"/>
      <c r="O162" s="31"/>
      <c r="P162" s="31"/>
      <c r="R162" s="106"/>
      <c r="S162" s="3"/>
      <c r="T162" s="58"/>
      <c r="W162" s="1"/>
      <c r="X162" s="13"/>
      <c r="Y162" s="14"/>
    </row>
    <row r="163" spans="2:25" ht="15.75" customHeight="1">
      <c r="B163" s="13"/>
      <c r="C163" s="13"/>
      <c r="E163" s="14"/>
      <c r="G163" s="1"/>
      <c r="O163" s="31"/>
      <c r="P163" s="31"/>
      <c r="R163" s="106"/>
      <c r="S163" s="3"/>
      <c r="T163" s="58"/>
      <c r="W163" s="1"/>
      <c r="X163" s="13"/>
      <c r="Y163" s="14"/>
    </row>
    <row r="164" spans="2:25" ht="15.75" customHeight="1">
      <c r="B164" s="13"/>
      <c r="C164" s="13"/>
      <c r="E164" s="14"/>
      <c r="G164" s="1"/>
      <c r="O164" s="31"/>
      <c r="P164" s="31"/>
      <c r="R164" s="106"/>
      <c r="S164" s="3"/>
      <c r="T164" s="58"/>
      <c r="W164" s="1"/>
      <c r="X164" s="13"/>
      <c r="Y164" s="14"/>
    </row>
    <row r="165" spans="2:25" ht="15.75" customHeight="1">
      <c r="B165" s="13"/>
      <c r="C165" s="13"/>
      <c r="E165" s="14"/>
      <c r="G165" s="1"/>
      <c r="O165" s="31"/>
      <c r="P165" s="31"/>
      <c r="R165" s="106"/>
      <c r="S165" s="3"/>
      <c r="T165" s="58"/>
      <c r="W165" s="1"/>
      <c r="X165" s="13"/>
      <c r="Y165" s="14"/>
    </row>
    <row r="166" spans="2:25" ht="15.75" customHeight="1">
      <c r="B166" s="13"/>
      <c r="C166" s="13"/>
      <c r="E166" s="14"/>
      <c r="G166" s="1"/>
      <c r="O166" s="31"/>
      <c r="P166" s="31"/>
      <c r="R166" s="106"/>
      <c r="S166" s="3"/>
      <c r="T166" s="58"/>
      <c r="W166" s="1"/>
      <c r="X166" s="13"/>
      <c r="Y166" s="14"/>
    </row>
    <row r="167" spans="2:25" ht="15.75" customHeight="1">
      <c r="B167" s="13"/>
      <c r="C167" s="13"/>
      <c r="E167" s="14"/>
      <c r="G167" s="1"/>
      <c r="O167" s="31"/>
      <c r="P167" s="31"/>
      <c r="R167" s="106"/>
      <c r="S167" s="3"/>
      <c r="T167" s="58"/>
      <c r="W167" s="1"/>
      <c r="X167" s="13"/>
      <c r="Y167" s="14"/>
    </row>
    <row r="168" spans="2:25" ht="15.75" customHeight="1">
      <c r="B168" s="13"/>
      <c r="C168" s="13"/>
      <c r="E168" s="14"/>
      <c r="G168" s="1"/>
      <c r="O168" s="31"/>
      <c r="P168" s="31"/>
      <c r="R168" s="106"/>
      <c r="S168" s="3"/>
      <c r="T168" s="58"/>
      <c r="W168" s="1"/>
      <c r="X168" s="13"/>
      <c r="Y168" s="14"/>
    </row>
    <row r="169" spans="2:25" ht="15.75" customHeight="1">
      <c r="B169" s="13"/>
      <c r="C169" s="13"/>
      <c r="E169" s="14"/>
      <c r="G169" s="1"/>
      <c r="O169" s="31"/>
      <c r="P169" s="31"/>
      <c r="R169" s="106"/>
      <c r="S169" s="3"/>
      <c r="T169" s="58"/>
      <c r="W169" s="1"/>
      <c r="X169" s="13"/>
      <c r="Y169" s="14"/>
    </row>
    <row r="170" spans="2:25" ht="15.75" customHeight="1">
      <c r="B170" s="13"/>
      <c r="C170" s="13"/>
      <c r="E170" s="14"/>
      <c r="G170" s="1"/>
      <c r="O170" s="31"/>
      <c r="P170" s="31"/>
      <c r="R170" s="106"/>
      <c r="S170" s="3"/>
      <c r="T170" s="58"/>
      <c r="W170" s="1"/>
      <c r="X170" s="13"/>
      <c r="Y170" s="14"/>
    </row>
    <row r="171" spans="2:25" ht="15.75" customHeight="1">
      <c r="B171" s="13"/>
      <c r="C171" s="13"/>
      <c r="E171" s="14"/>
      <c r="G171" s="1"/>
      <c r="O171" s="31"/>
      <c r="P171" s="31"/>
      <c r="R171" s="106"/>
      <c r="S171" s="3"/>
      <c r="T171" s="58"/>
      <c r="W171" s="1"/>
      <c r="X171" s="13"/>
      <c r="Y171" s="14"/>
    </row>
    <row r="172" spans="2:25" ht="15.75" customHeight="1">
      <c r="B172" s="13"/>
      <c r="C172" s="13"/>
      <c r="E172" s="14"/>
      <c r="G172" s="1"/>
      <c r="O172" s="31"/>
      <c r="P172" s="31"/>
      <c r="R172" s="106"/>
      <c r="S172" s="3"/>
      <c r="T172" s="58"/>
      <c r="W172" s="1"/>
      <c r="X172" s="13"/>
      <c r="Y172" s="14"/>
    </row>
    <row r="173" spans="2:25" ht="15.75" customHeight="1">
      <c r="B173" s="13"/>
      <c r="C173" s="13"/>
      <c r="E173" s="14"/>
      <c r="G173" s="1"/>
      <c r="O173" s="31"/>
      <c r="P173" s="31"/>
      <c r="R173" s="106"/>
      <c r="S173" s="3"/>
      <c r="T173" s="58"/>
      <c r="W173" s="1"/>
      <c r="X173" s="13"/>
      <c r="Y173" s="14"/>
    </row>
    <row r="174" spans="2:25" ht="15.75" customHeight="1">
      <c r="B174" s="13"/>
      <c r="C174" s="13"/>
      <c r="E174" s="14"/>
      <c r="G174" s="1"/>
      <c r="O174" s="31"/>
      <c r="P174" s="31"/>
      <c r="R174" s="106"/>
      <c r="S174" s="3"/>
      <c r="T174" s="58"/>
      <c r="W174" s="1"/>
      <c r="X174" s="13"/>
      <c r="Y174" s="14"/>
    </row>
    <row r="175" spans="2:25" ht="15.75" customHeight="1">
      <c r="B175" s="13"/>
      <c r="C175" s="13"/>
      <c r="E175" s="14"/>
      <c r="G175" s="1"/>
      <c r="O175" s="31"/>
      <c r="P175" s="31"/>
      <c r="R175" s="106"/>
      <c r="S175" s="3"/>
      <c r="T175" s="58"/>
      <c r="W175" s="1"/>
      <c r="X175" s="13"/>
      <c r="Y175" s="14"/>
    </row>
    <row r="176" spans="2:25" ht="15.75" customHeight="1">
      <c r="B176" s="13"/>
      <c r="C176" s="13"/>
      <c r="E176" s="14"/>
      <c r="G176" s="1"/>
      <c r="O176" s="31"/>
      <c r="P176" s="31"/>
      <c r="R176" s="106"/>
      <c r="S176" s="3"/>
      <c r="T176" s="58"/>
      <c r="W176" s="1"/>
      <c r="X176" s="13"/>
      <c r="Y176" s="14"/>
    </row>
    <row r="177" spans="2:25" ht="15.75" customHeight="1">
      <c r="B177" s="13"/>
      <c r="C177" s="13"/>
      <c r="E177" s="14"/>
      <c r="G177" s="1"/>
      <c r="O177" s="31"/>
      <c r="P177" s="31"/>
      <c r="R177" s="106"/>
      <c r="S177" s="3"/>
      <c r="T177" s="58"/>
      <c r="W177" s="1"/>
      <c r="X177" s="13"/>
      <c r="Y177" s="14"/>
    </row>
    <row r="178" spans="2:25" ht="15.75" customHeight="1">
      <c r="B178" s="13"/>
      <c r="C178" s="13"/>
      <c r="E178" s="14"/>
      <c r="G178" s="1"/>
      <c r="O178" s="31"/>
      <c r="P178" s="31"/>
      <c r="R178" s="106"/>
      <c r="S178" s="3"/>
      <c r="T178" s="58"/>
      <c r="W178" s="1"/>
      <c r="X178" s="13"/>
      <c r="Y178" s="14"/>
    </row>
    <row r="179" spans="2:25" ht="15.75" customHeight="1">
      <c r="B179" s="13"/>
      <c r="C179" s="13"/>
      <c r="E179" s="14"/>
      <c r="G179" s="1"/>
      <c r="O179" s="31"/>
      <c r="P179" s="31"/>
      <c r="R179" s="106"/>
      <c r="S179" s="3"/>
      <c r="T179" s="58"/>
      <c r="W179" s="1"/>
      <c r="X179" s="13"/>
      <c r="Y179" s="14"/>
    </row>
    <row r="180" spans="2:25" ht="15.75" customHeight="1">
      <c r="B180" s="13"/>
      <c r="C180" s="13"/>
      <c r="E180" s="14"/>
      <c r="G180" s="1"/>
      <c r="O180" s="31"/>
      <c r="P180" s="31"/>
      <c r="R180" s="106"/>
      <c r="S180" s="3"/>
      <c r="T180" s="58"/>
      <c r="W180" s="1"/>
      <c r="X180" s="13"/>
      <c r="Y180" s="14"/>
    </row>
    <row r="181" spans="2:25" ht="15.75" customHeight="1">
      <c r="B181" s="13"/>
      <c r="C181" s="13"/>
      <c r="E181" s="14"/>
      <c r="G181" s="1"/>
      <c r="O181" s="31"/>
      <c r="P181" s="31"/>
      <c r="R181" s="106"/>
      <c r="S181" s="3"/>
      <c r="T181" s="58"/>
      <c r="W181" s="1"/>
      <c r="X181" s="13"/>
      <c r="Y181" s="14"/>
    </row>
    <row r="182" spans="2:25" ht="15.75" customHeight="1">
      <c r="B182" s="13"/>
      <c r="C182" s="13"/>
      <c r="E182" s="14"/>
      <c r="G182" s="1"/>
      <c r="O182" s="31"/>
      <c r="P182" s="31"/>
      <c r="R182" s="106"/>
      <c r="S182" s="3"/>
      <c r="T182" s="58"/>
      <c r="W182" s="1"/>
      <c r="X182" s="13"/>
      <c r="Y182" s="14"/>
    </row>
    <row r="183" spans="2:25" ht="15.75" customHeight="1">
      <c r="B183" s="13"/>
      <c r="C183" s="13"/>
      <c r="E183" s="14"/>
      <c r="G183" s="1"/>
      <c r="O183" s="31"/>
      <c r="P183" s="31"/>
      <c r="R183" s="106"/>
      <c r="S183" s="3"/>
      <c r="T183" s="58"/>
      <c r="W183" s="1"/>
      <c r="X183" s="13"/>
      <c r="Y183" s="14"/>
    </row>
    <row r="184" spans="2:25" ht="15.75" customHeight="1">
      <c r="B184" s="13"/>
      <c r="C184" s="13"/>
      <c r="E184" s="14"/>
      <c r="G184" s="1"/>
      <c r="O184" s="31"/>
      <c r="P184" s="31"/>
      <c r="R184" s="106"/>
      <c r="S184" s="3"/>
      <c r="T184" s="58"/>
      <c r="W184" s="1"/>
      <c r="X184" s="13"/>
      <c r="Y184" s="14"/>
    </row>
    <row r="185" spans="2:25" ht="15.75" customHeight="1">
      <c r="B185" s="13"/>
      <c r="C185" s="13"/>
      <c r="E185" s="14"/>
      <c r="G185" s="1"/>
      <c r="O185" s="31"/>
      <c r="P185" s="31"/>
      <c r="R185" s="106"/>
      <c r="S185" s="3"/>
      <c r="T185" s="58"/>
      <c r="W185" s="1"/>
      <c r="X185" s="13"/>
      <c r="Y185" s="14"/>
    </row>
    <row r="186" spans="2:25" ht="15.75" customHeight="1">
      <c r="B186" s="13"/>
      <c r="C186" s="13"/>
      <c r="E186" s="14"/>
      <c r="G186" s="1"/>
      <c r="O186" s="31"/>
      <c r="P186" s="31"/>
      <c r="R186" s="106"/>
      <c r="S186" s="3"/>
      <c r="T186" s="58"/>
      <c r="W186" s="1"/>
      <c r="X186" s="13"/>
      <c r="Y186" s="14"/>
    </row>
    <row r="187" spans="2:25" ht="15.75" customHeight="1">
      <c r="B187" s="13"/>
      <c r="C187" s="13"/>
      <c r="E187" s="14"/>
      <c r="G187" s="1"/>
      <c r="O187" s="31"/>
      <c r="P187" s="31"/>
      <c r="R187" s="106"/>
      <c r="S187" s="3"/>
      <c r="T187" s="58"/>
      <c r="W187" s="1"/>
      <c r="X187" s="13"/>
      <c r="Y187" s="14"/>
    </row>
    <row r="188" spans="2:25" ht="15.75" customHeight="1">
      <c r="B188" s="13"/>
      <c r="C188" s="13"/>
      <c r="E188" s="14"/>
      <c r="G188" s="1"/>
      <c r="O188" s="31"/>
      <c r="P188" s="31"/>
      <c r="R188" s="106"/>
      <c r="S188" s="3"/>
      <c r="T188" s="58"/>
      <c r="W188" s="1"/>
      <c r="X188" s="13"/>
      <c r="Y188" s="14"/>
    </row>
    <row r="189" spans="2:25" ht="15.75" customHeight="1">
      <c r="B189" s="13"/>
      <c r="C189" s="13"/>
      <c r="E189" s="14"/>
      <c r="G189" s="1"/>
      <c r="O189" s="31"/>
      <c r="P189" s="31"/>
      <c r="R189" s="106"/>
      <c r="S189" s="3"/>
      <c r="T189" s="58"/>
      <c r="W189" s="1"/>
      <c r="X189" s="13"/>
      <c r="Y189" s="14"/>
    </row>
    <row r="190" spans="2:25" ht="15.75" customHeight="1">
      <c r="B190" s="13"/>
      <c r="C190" s="13"/>
      <c r="E190" s="14"/>
      <c r="G190" s="1"/>
      <c r="O190" s="31"/>
      <c r="P190" s="31"/>
      <c r="R190" s="106"/>
      <c r="S190" s="3"/>
      <c r="T190" s="58"/>
      <c r="W190" s="1"/>
      <c r="X190" s="13"/>
      <c r="Y190" s="14"/>
    </row>
    <row r="191" spans="2:25" ht="15.75" customHeight="1">
      <c r="B191" s="13"/>
      <c r="C191" s="13"/>
      <c r="E191" s="14"/>
      <c r="G191" s="1"/>
      <c r="O191" s="31"/>
      <c r="P191" s="31"/>
      <c r="R191" s="106"/>
      <c r="S191" s="3"/>
      <c r="T191" s="58"/>
      <c r="W191" s="1"/>
      <c r="X191" s="13"/>
      <c r="Y191" s="14"/>
    </row>
    <row r="192" spans="2:25" ht="15.75" customHeight="1">
      <c r="B192" s="13"/>
      <c r="C192" s="13"/>
      <c r="E192" s="14"/>
      <c r="G192" s="1"/>
      <c r="O192" s="31"/>
      <c r="P192" s="31"/>
      <c r="R192" s="106"/>
      <c r="S192" s="3"/>
      <c r="T192" s="58"/>
      <c r="W192" s="1"/>
      <c r="X192" s="13"/>
      <c r="Y192" s="14"/>
    </row>
    <row r="193" spans="2:25" ht="15.75" customHeight="1">
      <c r="B193" s="13"/>
      <c r="C193" s="13"/>
      <c r="E193" s="14"/>
      <c r="G193" s="1"/>
      <c r="O193" s="31"/>
      <c r="P193" s="31"/>
      <c r="R193" s="106"/>
      <c r="S193" s="3"/>
      <c r="T193" s="58"/>
      <c r="W193" s="1"/>
      <c r="X193" s="13"/>
      <c r="Y193" s="14"/>
    </row>
    <row r="194" spans="2:25" ht="15.75" customHeight="1">
      <c r="B194" s="13"/>
      <c r="C194" s="13"/>
      <c r="E194" s="14"/>
      <c r="G194" s="1"/>
      <c r="O194" s="31"/>
      <c r="P194" s="31"/>
      <c r="R194" s="106"/>
      <c r="S194" s="3"/>
      <c r="T194" s="58"/>
      <c r="W194" s="1"/>
      <c r="X194" s="13"/>
      <c r="Y194" s="14"/>
    </row>
    <row r="195" spans="2:25" ht="15.75" customHeight="1">
      <c r="B195" s="13"/>
      <c r="C195" s="13"/>
      <c r="E195" s="14"/>
      <c r="G195" s="1"/>
      <c r="O195" s="31"/>
      <c r="P195" s="31"/>
      <c r="R195" s="106"/>
      <c r="S195" s="3"/>
      <c r="T195" s="58"/>
      <c r="W195" s="1"/>
      <c r="X195" s="13"/>
      <c r="Y195" s="14"/>
    </row>
    <row r="196" spans="2:25" ht="15.75" customHeight="1">
      <c r="B196" s="13"/>
      <c r="C196" s="13"/>
      <c r="E196" s="14"/>
      <c r="G196" s="1"/>
      <c r="O196" s="31"/>
      <c r="P196" s="31"/>
      <c r="R196" s="106"/>
      <c r="S196" s="3"/>
      <c r="T196" s="58"/>
      <c r="W196" s="1"/>
      <c r="X196" s="13"/>
      <c r="Y196" s="14"/>
    </row>
    <row r="197" spans="2:25" ht="15.75" customHeight="1">
      <c r="B197" s="13"/>
      <c r="C197" s="13"/>
      <c r="E197" s="14"/>
      <c r="G197" s="1"/>
      <c r="O197" s="31"/>
      <c r="P197" s="31"/>
      <c r="R197" s="106"/>
      <c r="S197" s="3"/>
      <c r="T197" s="58"/>
      <c r="W197" s="1"/>
      <c r="X197" s="13"/>
      <c r="Y197" s="14"/>
    </row>
    <row r="198" spans="2:25" ht="15.75" customHeight="1">
      <c r="B198" s="13"/>
      <c r="C198" s="13"/>
      <c r="E198" s="14"/>
      <c r="G198" s="1"/>
      <c r="O198" s="31"/>
      <c r="P198" s="31"/>
      <c r="R198" s="106"/>
      <c r="S198" s="3"/>
      <c r="T198" s="58"/>
      <c r="W198" s="1"/>
      <c r="X198" s="13"/>
      <c r="Y198" s="14"/>
    </row>
    <row r="199" spans="2:25" ht="15.75" customHeight="1">
      <c r="B199" s="13"/>
      <c r="C199" s="13"/>
      <c r="E199" s="14"/>
      <c r="G199" s="1"/>
      <c r="O199" s="31"/>
      <c r="P199" s="31"/>
      <c r="R199" s="106"/>
      <c r="S199" s="3"/>
      <c r="T199" s="58"/>
      <c r="W199" s="1"/>
      <c r="X199" s="13"/>
      <c r="Y199" s="14"/>
    </row>
    <row r="200" spans="2:25" ht="15.75" customHeight="1">
      <c r="B200" s="13"/>
      <c r="C200" s="13"/>
      <c r="E200" s="14"/>
      <c r="G200" s="1"/>
      <c r="O200" s="31"/>
      <c r="P200" s="31"/>
      <c r="R200" s="106"/>
      <c r="S200" s="3"/>
      <c r="T200" s="58"/>
      <c r="W200" s="1"/>
      <c r="X200" s="13"/>
      <c r="Y200" s="14"/>
    </row>
    <row r="201" spans="2:25" ht="15.75" customHeight="1">
      <c r="B201" s="13"/>
      <c r="C201" s="13"/>
      <c r="E201" s="14"/>
      <c r="G201" s="1"/>
      <c r="O201" s="31"/>
      <c r="P201" s="31"/>
      <c r="R201" s="106"/>
      <c r="S201" s="3"/>
      <c r="T201" s="58"/>
      <c r="W201" s="1"/>
      <c r="X201" s="13"/>
      <c r="Y201" s="14"/>
    </row>
    <row r="202" spans="2:25" ht="15.75" customHeight="1">
      <c r="B202" s="13"/>
      <c r="C202" s="13"/>
      <c r="E202" s="14"/>
      <c r="G202" s="1"/>
      <c r="O202" s="31"/>
      <c r="P202" s="31"/>
      <c r="R202" s="106"/>
      <c r="S202" s="3"/>
      <c r="T202" s="58"/>
      <c r="W202" s="1"/>
      <c r="X202" s="13"/>
      <c r="Y202" s="14"/>
    </row>
    <row r="203" spans="2:25" ht="15.75" customHeight="1">
      <c r="B203" s="13"/>
      <c r="C203" s="13"/>
      <c r="E203" s="14"/>
      <c r="G203" s="1"/>
      <c r="O203" s="31"/>
      <c r="P203" s="31"/>
      <c r="R203" s="106"/>
      <c r="S203" s="3"/>
      <c r="T203" s="58"/>
      <c r="W203" s="1"/>
      <c r="X203" s="13"/>
      <c r="Y203" s="14"/>
    </row>
    <row r="204" spans="2:25" ht="15.75" customHeight="1">
      <c r="B204" s="13"/>
      <c r="C204" s="13"/>
      <c r="E204" s="14"/>
      <c r="G204" s="1"/>
      <c r="O204" s="31"/>
      <c r="P204" s="31"/>
      <c r="R204" s="106"/>
      <c r="S204" s="3"/>
      <c r="T204" s="58"/>
      <c r="W204" s="1"/>
      <c r="X204" s="13"/>
      <c r="Y204" s="14"/>
    </row>
    <row r="205" spans="2:25" ht="15.75" customHeight="1">
      <c r="B205" s="13"/>
      <c r="C205" s="13"/>
      <c r="E205" s="14"/>
      <c r="G205" s="1"/>
      <c r="O205" s="31"/>
      <c r="P205" s="31"/>
      <c r="R205" s="106"/>
      <c r="S205" s="3"/>
      <c r="T205" s="58"/>
      <c r="W205" s="1"/>
      <c r="X205" s="13"/>
      <c r="Y205" s="14"/>
    </row>
    <row r="206" spans="2:25" ht="15.75" customHeight="1">
      <c r="B206" s="13"/>
      <c r="C206" s="13"/>
      <c r="E206" s="14"/>
      <c r="G206" s="1"/>
      <c r="O206" s="31"/>
      <c r="P206" s="31"/>
      <c r="R206" s="106"/>
      <c r="S206" s="3"/>
      <c r="T206" s="58"/>
      <c r="W206" s="1"/>
      <c r="X206" s="13"/>
      <c r="Y206" s="14"/>
    </row>
    <row r="207" spans="2:25" ht="15.75" customHeight="1">
      <c r="B207" s="13"/>
      <c r="C207" s="13"/>
      <c r="E207" s="14"/>
      <c r="G207" s="1"/>
      <c r="O207" s="31"/>
      <c r="P207" s="31"/>
      <c r="R207" s="106"/>
      <c r="S207" s="3"/>
      <c r="T207" s="58"/>
      <c r="W207" s="1"/>
      <c r="X207" s="13"/>
      <c r="Y207" s="14"/>
    </row>
    <row r="208" spans="2:25" ht="15.75" customHeight="1">
      <c r="B208" s="13"/>
      <c r="C208" s="13"/>
      <c r="E208" s="14"/>
      <c r="G208" s="1"/>
      <c r="O208" s="31"/>
      <c r="P208" s="31"/>
      <c r="R208" s="106"/>
      <c r="S208" s="3"/>
      <c r="T208" s="58"/>
      <c r="W208" s="1"/>
      <c r="X208" s="13"/>
      <c r="Y208" s="14"/>
    </row>
    <row r="209" spans="2:25" ht="15.75" customHeight="1">
      <c r="B209" s="13"/>
      <c r="C209" s="13"/>
      <c r="E209" s="14"/>
      <c r="G209" s="1"/>
      <c r="O209" s="31"/>
      <c r="P209" s="31"/>
      <c r="R209" s="106"/>
      <c r="S209" s="3"/>
      <c r="T209" s="58"/>
      <c r="W209" s="1"/>
      <c r="X209" s="13"/>
      <c r="Y209" s="14"/>
    </row>
    <row r="210" spans="2:25" ht="15.75" customHeight="1">
      <c r="B210" s="13"/>
      <c r="C210" s="13"/>
      <c r="E210" s="14"/>
      <c r="G210" s="1"/>
      <c r="O210" s="31"/>
      <c r="P210" s="31"/>
      <c r="R210" s="106"/>
      <c r="S210" s="3"/>
      <c r="T210" s="58"/>
      <c r="W210" s="1"/>
      <c r="X210" s="13"/>
      <c r="Y210" s="14"/>
    </row>
    <row r="211" spans="2:25" ht="15.75" customHeight="1">
      <c r="B211" s="13"/>
      <c r="C211" s="13"/>
      <c r="E211" s="14"/>
      <c r="G211" s="1"/>
      <c r="O211" s="31"/>
      <c r="P211" s="31"/>
      <c r="R211" s="106"/>
      <c r="S211" s="3"/>
      <c r="T211" s="58"/>
      <c r="W211" s="1"/>
      <c r="X211" s="13"/>
      <c r="Y211" s="14"/>
    </row>
    <row r="212" spans="2:25" ht="15.75" customHeight="1">
      <c r="B212" s="13"/>
      <c r="C212" s="13"/>
      <c r="E212" s="14"/>
      <c r="G212" s="1"/>
      <c r="O212" s="31"/>
      <c r="P212" s="31"/>
      <c r="R212" s="106"/>
      <c r="S212" s="3"/>
      <c r="T212" s="58"/>
      <c r="W212" s="1"/>
      <c r="X212" s="13"/>
      <c r="Y212" s="14"/>
    </row>
    <row r="213" spans="2:25" ht="15.75" customHeight="1">
      <c r="B213" s="13"/>
      <c r="C213" s="13"/>
      <c r="E213" s="14"/>
      <c r="G213" s="1"/>
      <c r="O213" s="31"/>
      <c r="P213" s="31"/>
      <c r="R213" s="106"/>
      <c r="S213" s="3"/>
      <c r="T213" s="58"/>
      <c r="W213" s="1"/>
      <c r="X213" s="13"/>
      <c r="Y213" s="14"/>
    </row>
    <row r="214" spans="2:25" ht="15.75" customHeight="1">
      <c r="B214" s="13"/>
      <c r="C214" s="13"/>
      <c r="E214" s="14"/>
      <c r="G214" s="1"/>
      <c r="O214" s="31"/>
      <c r="P214" s="31"/>
      <c r="R214" s="106"/>
      <c r="S214" s="3"/>
      <c r="T214" s="58"/>
      <c r="W214" s="1"/>
      <c r="X214" s="13"/>
      <c r="Y214" s="14"/>
    </row>
    <row r="215" spans="2:25" ht="15.75" customHeight="1">
      <c r="B215" s="13"/>
      <c r="C215" s="13"/>
      <c r="E215" s="14"/>
      <c r="G215" s="1"/>
      <c r="O215" s="31"/>
      <c r="P215" s="31"/>
      <c r="R215" s="106"/>
      <c r="S215" s="3"/>
      <c r="T215" s="58"/>
      <c r="W215" s="1"/>
      <c r="X215" s="13"/>
      <c r="Y215" s="14"/>
    </row>
    <row r="216" spans="2:25" ht="15.75" customHeight="1">
      <c r="B216" s="13"/>
      <c r="C216" s="13"/>
      <c r="E216" s="14"/>
      <c r="G216" s="1"/>
      <c r="O216" s="31"/>
      <c r="P216" s="31"/>
      <c r="R216" s="106"/>
      <c r="S216" s="3"/>
      <c r="T216" s="58"/>
      <c r="W216" s="1"/>
      <c r="X216" s="13"/>
      <c r="Y216" s="14"/>
    </row>
    <row r="217" spans="2:25" ht="15.75" customHeight="1">
      <c r="B217" s="13"/>
      <c r="C217" s="13"/>
      <c r="E217" s="14"/>
      <c r="G217" s="1"/>
      <c r="O217" s="31"/>
      <c r="P217" s="31"/>
      <c r="R217" s="106"/>
      <c r="S217" s="3"/>
      <c r="T217" s="58"/>
      <c r="W217" s="1"/>
      <c r="X217" s="13"/>
      <c r="Y217" s="14"/>
    </row>
    <row r="218" spans="2:25" ht="15.75" customHeight="1">
      <c r="B218" s="13"/>
      <c r="C218" s="13"/>
      <c r="E218" s="14"/>
      <c r="G218" s="1"/>
      <c r="O218" s="31"/>
      <c r="P218" s="31"/>
      <c r="R218" s="106"/>
      <c r="S218" s="3"/>
      <c r="T218" s="58"/>
      <c r="W218" s="1"/>
      <c r="X218" s="13"/>
      <c r="Y218" s="14"/>
    </row>
    <row r="219" spans="2:25" ht="15.75" customHeight="1">
      <c r="B219" s="13"/>
      <c r="C219" s="13"/>
      <c r="E219" s="14"/>
      <c r="G219" s="1"/>
      <c r="O219" s="31"/>
      <c r="P219" s="31"/>
      <c r="R219" s="106"/>
      <c r="S219" s="3"/>
      <c r="T219" s="58"/>
      <c r="W219" s="1"/>
      <c r="X219" s="13"/>
      <c r="Y219" s="14"/>
    </row>
    <row r="220" spans="2:25" ht="15.75" customHeight="1">
      <c r="B220" s="13"/>
      <c r="C220" s="13"/>
      <c r="E220" s="14"/>
      <c r="G220" s="1"/>
      <c r="O220" s="31"/>
      <c r="P220" s="31"/>
      <c r="R220" s="106"/>
      <c r="S220" s="3"/>
      <c r="T220" s="58"/>
      <c r="W220" s="1"/>
      <c r="X220" s="13"/>
      <c r="Y220" s="14"/>
    </row>
    <row r="221" spans="2:25" ht="15.75" customHeight="1">
      <c r="B221" s="13"/>
      <c r="C221" s="13"/>
      <c r="E221" s="14"/>
      <c r="G221" s="1"/>
      <c r="O221" s="31"/>
      <c r="P221" s="31"/>
      <c r="R221" s="106"/>
      <c r="S221" s="3"/>
      <c r="T221" s="58"/>
      <c r="W221" s="1"/>
      <c r="X221" s="13"/>
      <c r="Y221" s="14"/>
    </row>
    <row r="222" spans="2:25" ht="15.75" customHeight="1">
      <c r="B222" s="13"/>
      <c r="C222" s="13"/>
      <c r="E222" s="14"/>
      <c r="G222" s="1"/>
      <c r="O222" s="31"/>
      <c r="P222" s="31"/>
      <c r="R222" s="106"/>
      <c r="S222" s="3"/>
      <c r="T222" s="58"/>
      <c r="W222" s="1"/>
      <c r="X222" s="13"/>
      <c r="Y222" s="14"/>
    </row>
    <row r="223" spans="2:25" ht="15.75" customHeight="1">
      <c r="B223" s="13"/>
      <c r="C223" s="13"/>
      <c r="E223" s="14"/>
      <c r="G223" s="1"/>
      <c r="O223" s="31"/>
      <c r="P223" s="31"/>
      <c r="R223" s="106"/>
      <c r="S223" s="3"/>
      <c r="T223" s="58"/>
      <c r="W223" s="1"/>
      <c r="X223" s="13"/>
      <c r="Y223" s="14"/>
    </row>
    <row r="224" spans="2:25" ht="15.75" customHeight="1">
      <c r="B224" s="13"/>
      <c r="C224" s="13"/>
      <c r="E224" s="14"/>
      <c r="G224" s="1"/>
      <c r="O224" s="31"/>
      <c r="P224" s="31"/>
      <c r="R224" s="106"/>
      <c r="S224" s="3"/>
      <c r="T224" s="58"/>
      <c r="W224" s="1"/>
      <c r="X224" s="13"/>
      <c r="Y224" s="14"/>
    </row>
    <row r="225" spans="2:25" ht="15.75" customHeight="1">
      <c r="B225" s="13"/>
      <c r="C225" s="13"/>
      <c r="E225" s="14"/>
      <c r="G225" s="1"/>
      <c r="O225" s="31"/>
      <c r="P225" s="31"/>
      <c r="R225" s="106"/>
      <c r="S225" s="3"/>
      <c r="T225" s="58"/>
      <c r="W225" s="1"/>
      <c r="X225" s="13"/>
      <c r="Y225" s="14"/>
    </row>
    <row r="226" spans="2:25" ht="15.75" customHeight="1">
      <c r="B226" s="13"/>
      <c r="C226" s="13"/>
      <c r="E226" s="14"/>
      <c r="G226" s="1"/>
      <c r="O226" s="31"/>
      <c r="P226" s="31"/>
      <c r="R226" s="106"/>
      <c r="S226" s="3"/>
      <c r="T226" s="58"/>
      <c r="W226" s="1"/>
      <c r="X226" s="13"/>
      <c r="Y226" s="14"/>
    </row>
    <row r="227" spans="2:25" ht="15.75" customHeight="1">
      <c r="B227" s="13"/>
      <c r="C227" s="13"/>
      <c r="E227" s="14"/>
      <c r="G227" s="1"/>
      <c r="O227" s="31"/>
      <c r="P227" s="31"/>
      <c r="R227" s="106"/>
      <c r="S227" s="3"/>
      <c r="T227" s="58"/>
      <c r="W227" s="1"/>
      <c r="X227" s="13"/>
      <c r="Y227" s="14"/>
    </row>
    <row r="228" spans="2:25" ht="15.75" customHeight="1">
      <c r="B228" s="13"/>
      <c r="C228" s="13"/>
      <c r="E228" s="14"/>
      <c r="G228" s="1"/>
      <c r="O228" s="31"/>
      <c r="P228" s="31"/>
      <c r="R228" s="106"/>
      <c r="S228" s="3"/>
      <c r="T228" s="58"/>
      <c r="W228" s="1"/>
      <c r="X228" s="13"/>
      <c r="Y228" s="14"/>
    </row>
    <row r="229" spans="2:25" ht="15.75" customHeight="1">
      <c r="B229" s="13"/>
      <c r="C229" s="13"/>
      <c r="E229" s="14"/>
      <c r="G229" s="1"/>
      <c r="O229" s="31"/>
      <c r="P229" s="31"/>
      <c r="R229" s="106"/>
      <c r="S229" s="3"/>
      <c r="T229" s="58"/>
      <c r="W229" s="1"/>
      <c r="X229" s="13"/>
      <c r="Y229" s="14"/>
    </row>
    <row r="230" spans="2:25" ht="15.75" customHeight="1">
      <c r="B230" s="13"/>
      <c r="C230" s="13"/>
      <c r="E230" s="14"/>
      <c r="G230" s="1"/>
      <c r="O230" s="31"/>
      <c r="P230" s="31"/>
      <c r="R230" s="106"/>
      <c r="S230" s="3"/>
      <c r="T230" s="58"/>
      <c r="W230" s="1"/>
      <c r="X230" s="13"/>
      <c r="Y230" s="14"/>
    </row>
    <row r="231" spans="2:25" ht="15.75" customHeight="1">
      <c r="B231" s="13"/>
      <c r="C231" s="13"/>
      <c r="E231" s="14"/>
      <c r="G231" s="1"/>
      <c r="O231" s="31"/>
      <c r="P231" s="31"/>
      <c r="R231" s="106"/>
      <c r="S231" s="3"/>
      <c r="T231" s="58"/>
      <c r="W231" s="1"/>
      <c r="X231" s="13"/>
      <c r="Y231" s="14"/>
    </row>
    <row r="232" spans="2:25" ht="15.75" customHeight="1">
      <c r="B232" s="13"/>
      <c r="C232" s="13"/>
      <c r="E232" s="14"/>
      <c r="G232" s="1"/>
      <c r="O232" s="31"/>
      <c r="P232" s="31"/>
      <c r="R232" s="106"/>
      <c r="S232" s="3"/>
      <c r="T232" s="58"/>
      <c r="W232" s="1"/>
      <c r="X232" s="13"/>
      <c r="Y232" s="14"/>
    </row>
    <row r="233" spans="2:25" ht="15.75" customHeight="1">
      <c r="B233" s="13"/>
      <c r="C233" s="13"/>
      <c r="E233" s="14"/>
      <c r="G233" s="1"/>
      <c r="O233" s="31"/>
      <c r="P233" s="31"/>
      <c r="R233" s="106"/>
      <c r="S233" s="3"/>
      <c r="T233" s="58"/>
      <c r="W233" s="1"/>
      <c r="X233" s="13"/>
      <c r="Y233" s="14"/>
    </row>
    <row r="234" spans="2:25" ht="15.75" customHeight="1">
      <c r="B234" s="13"/>
      <c r="C234" s="13"/>
      <c r="E234" s="14"/>
      <c r="G234" s="1"/>
      <c r="O234" s="31"/>
      <c r="P234" s="31"/>
      <c r="R234" s="106"/>
      <c r="S234" s="3"/>
      <c r="T234" s="58"/>
      <c r="W234" s="1"/>
      <c r="X234" s="13"/>
      <c r="Y234" s="14"/>
    </row>
    <row r="235" spans="2:25" ht="15.75" customHeight="1">
      <c r="B235" s="13"/>
      <c r="C235" s="13"/>
      <c r="E235" s="14"/>
      <c r="G235" s="1"/>
      <c r="O235" s="31"/>
      <c r="P235" s="31"/>
      <c r="R235" s="106"/>
      <c r="S235" s="3"/>
      <c r="T235" s="58"/>
      <c r="W235" s="1"/>
      <c r="X235" s="13"/>
      <c r="Y235" s="14"/>
    </row>
    <row r="236" spans="2:25" ht="15.75" customHeight="1">
      <c r="B236" s="13"/>
      <c r="C236" s="13"/>
      <c r="E236" s="14"/>
      <c r="G236" s="1"/>
      <c r="O236" s="31"/>
      <c r="P236" s="31"/>
      <c r="R236" s="106"/>
      <c r="S236" s="3"/>
      <c r="T236" s="58"/>
      <c r="W236" s="1"/>
      <c r="X236" s="13"/>
      <c r="Y236" s="14"/>
    </row>
    <row r="237" spans="2:25" ht="15.75" customHeight="1">
      <c r="B237" s="13"/>
      <c r="C237" s="13"/>
      <c r="E237" s="14"/>
      <c r="G237" s="1"/>
      <c r="O237" s="31"/>
      <c r="P237" s="31"/>
      <c r="R237" s="106"/>
      <c r="S237" s="3"/>
      <c r="T237" s="58"/>
      <c r="W237" s="1"/>
      <c r="X237" s="13"/>
      <c r="Y237" s="14"/>
    </row>
    <row r="238" spans="2:25" ht="15.75" customHeight="1">
      <c r="B238" s="13"/>
      <c r="C238" s="13"/>
      <c r="E238" s="14"/>
      <c r="G238" s="1"/>
      <c r="O238" s="31"/>
      <c r="P238" s="31"/>
      <c r="R238" s="106"/>
      <c r="S238" s="3"/>
      <c r="T238" s="58"/>
      <c r="W238" s="1"/>
      <c r="X238" s="13"/>
      <c r="Y238" s="14"/>
    </row>
    <row r="239" spans="2:25" ht="15.75" customHeight="1">
      <c r="B239" s="13"/>
      <c r="C239" s="13"/>
      <c r="E239" s="14"/>
      <c r="G239" s="1"/>
      <c r="O239" s="31"/>
      <c r="P239" s="31"/>
      <c r="R239" s="106"/>
      <c r="S239" s="3"/>
      <c r="T239" s="58"/>
      <c r="W239" s="1"/>
      <c r="X239" s="13"/>
      <c r="Y239" s="14"/>
    </row>
    <row r="240" spans="2:25" ht="15.75" customHeight="1">
      <c r="B240" s="13"/>
      <c r="C240" s="13"/>
      <c r="E240" s="14"/>
      <c r="G240" s="1"/>
      <c r="O240" s="31"/>
      <c r="P240" s="31"/>
      <c r="R240" s="106"/>
      <c r="S240" s="3"/>
      <c r="T240" s="58"/>
      <c r="W240" s="1"/>
      <c r="X240" s="13"/>
      <c r="Y240" s="14"/>
    </row>
    <row r="241" spans="2:25" ht="15.75" customHeight="1">
      <c r="B241" s="13"/>
      <c r="C241" s="13"/>
      <c r="E241" s="14"/>
      <c r="G241" s="1"/>
      <c r="O241" s="31"/>
      <c r="P241" s="31"/>
      <c r="R241" s="106"/>
      <c r="S241" s="3"/>
      <c r="T241" s="58"/>
      <c r="W241" s="1"/>
      <c r="X241" s="13"/>
      <c r="Y241" s="14"/>
    </row>
    <row r="242" spans="2:25" ht="15.75" customHeight="1">
      <c r="B242" s="13"/>
      <c r="C242" s="13"/>
      <c r="E242" s="14"/>
      <c r="G242" s="1"/>
      <c r="O242" s="31"/>
      <c r="P242" s="31"/>
      <c r="R242" s="106"/>
      <c r="S242" s="3"/>
      <c r="T242" s="58"/>
      <c r="W242" s="1"/>
      <c r="X242" s="13"/>
      <c r="Y242" s="14"/>
    </row>
    <row r="243" spans="2:25" ht="15.75" customHeight="1">
      <c r="B243" s="13"/>
      <c r="C243" s="13"/>
      <c r="E243" s="14"/>
      <c r="G243" s="1"/>
      <c r="O243" s="31"/>
      <c r="P243" s="31"/>
      <c r="R243" s="106"/>
      <c r="S243" s="3"/>
      <c r="T243" s="58"/>
      <c r="W243" s="1"/>
      <c r="X243" s="13"/>
      <c r="Y243" s="14"/>
    </row>
    <row r="244" spans="2:25" ht="15.75" customHeight="1">
      <c r="B244" s="13"/>
      <c r="C244" s="13"/>
      <c r="E244" s="14"/>
      <c r="G244" s="1"/>
      <c r="O244" s="31"/>
      <c r="P244" s="31"/>
      <c r="R244" s="106"/>
      <c r="S244" s="3"/>
      <c r="T244" s="58"/>
      <c r="W244" s="1"/>
      <c r="X244" s="13"/>
      <c r="Y244" s="14"/>
    </row>
    <row r="245" spans="2:25" ht="15.75" customHeight="1">
      <c r="B245" s="13"/>
      <c r="C245" s="13"/>
      <c r="E245" s="14"/>
      <c r="G245" s="1"/>
      <c r="O245" s="31"/>
      <c r="P245" s="31"/>
      <c r="R245" s="106"/>
      <c r="S245" s="3"/>
      <c r="T245" s="58"/>
      <c r="W245" s="1"/>
      <c r="X245" s="13"/>
      <c r="Y245" s="14"/>
    </row>
    <row r="246" spans="2:25" ht="15.75" customHeight="1">
      <c r="B246" s="13"/>
      <c r="C246" s="13"/>
      <c r="E246" s="14"/>
      <c r="G246" s="1"/>
      <c r="O246" s="31"/>
      <c r="P246" s="31"/>
      <c r="R246" s="106"/>
      <c r="S246" s="3"/>
      <c r="T246" s="58"/>
      <c r="W246" s="1"/>
      <c r="X246" s="13"/>
      <c r="Y246" s="14"/>
    </row>
    <row r="247" spans="2:25" ht="15.75" customHeight="1">
      <c r="B247" s="13"/>
      <c r="C247" s="13"/>
      <c r="E247" s="14"/>
      <c r="G247" s="1"/>
      <c r="O247" s="31"/>
      <c r="P247" s="31"/>
      <c r="R247" s="106"/>
      <c r="S247" s="3"/>
      <c r="T247" s="58"/>
      <c r="W247" s="1"/>
      <c r="X247" s="13"/>
      <c r="Y247" s="14"/>
    </row>
    <row r="248" spans="2:25" ht="15.75" customHeight="1">
      <c r="B248" s="13"/>
      <c r="C248" s="13"/>
      <c r="E248" s="14"/>
      <c r="G248" s="1"/>
      <c r="O248" s="31"/>
      <c r="P248" s="31"/>
      <c r="R248" s="106"/>
      <c r="S248" s="3"/>
      <c r="T248" s="58"/>
      <c r="W248" s="1"/>
      <c r="X248" s="13"/>
      <c r="Y248" s="14"/>
    </row>
    <row r="249" spans="2:25" ht="15.75" customHeight="1">
      <c r="B249" s="13"/>
      <c r="C249" s="13"/>
      <c r="E249" s="14"/>
      <c r="G249" s="1"/>
      <c r="O249" s="31"/>
      <c r="P249" s="31"/>
      <c r="R249" s="106"/>
      <c r="S249" s="3"/>
      <c r="T249" s="58"/>
      <c r="W249" s="1"/>
      <c r="X249" s="13"/>
      <c r="Y249" s="14"/>
    </row>
    <row r="250" spans="2:25" ht="15.75" customHeight="1">
      <c r="B250" s="13"/>
      <c r="C250" s="13"/>
      <c r="E250" s="14"/>
      <c r="G250" s="1"/>
      <c r="O250" s="31"/>
      <c r="P250" s="31"/>
      <c r="R250" s="106"/>
      <c r="S250" s="3"/>
      <c r="T250" s="58"/>
      <c r="W250" s="1"/>
      <c r="X250" s="13"/>
      <c r="Y250" s="14"/>
    </row>
    <row r="251" spans="2:25" ht="15.75" customHeight="1">
      <c r="B251" s="13"/>
      <c r="C251" s="13"/>
      <c r="E251" s="14"/>
      <c r="G251" s="1"/>
      <c r="O251" s="31"/>
      <c r="P251" s="31"/>
      <c r="R251" s="106"/>
      <c r="S251" s="3"/>
      <c r="T251" s="58"/>
      <c r="W251" s="1"/>
      <c r="X251" s="13"/>
      <c r="Y251" s="14"/>
    </row>
    <row r="252" spans="2:25" ht="15.75" customHeight="1">
      <c r="B252" s="13"/>
      <c r="C252" s="13"/>
      <c r="E252" s="14"/>
      <c r="G252" s="1"/>
      <c r="O252" s="31"/>
      <c r="P252" s="31"/>
      <c r="R252" s="106"/>
      <c r="S252" s="3"/>
      <c r="T252" s="58"/>
      <c r="W252" s="1"/>
      <c r="X252" s="13"/>
      <c r="Y252" s="14"/>
    </row>
    <row r="253" spans="2:25" ht="15.75" customHeight="1">
      <c r="B253" s="13"/>
      <c r="C253" s="13"/>
      <c r="E253" s="14"/>
      <c r="G253" s="1"/>
      <c r="O253" s="31"/>
      <c r="P253" s="31"/>
      <c r="R253" s="106"/>
      <c r="S253" s="3"/>
      <c r="T253" s="58"/>
      <c r="W253" s="1"/>
      <c r="X253" s="13"/>
      <c r="Y253" s="14"/>
    </row>
    <row r="254" spans="2:25" ht="15.75" customHeight="1">
      <c r="B254" s="13"/>
      <c r="C254" s="13"/>
      <c r="E254" s="14"/>
      <c r="G254" s="1"/>
      <c r="O254" s="31"/>
      <c r="P254" s="31"/>
      <c r="R254" s="106"/>
      <c r="S254" s="3"/>
      <c r="T254" s="58"/>
      <c r="W254" s="1"/>
      <c r="X254" s="13"/>
      <c r="Y254" s="14"/>
    </row>
    <row r="255" spans="2:25" ht="15.75" customHeight="1">
      <c r="B255" s="13"/>
      <c r="C255" s="13"/>
      <c r="E255" s="14"/>
      <c r="G255" s="1"/>
      <c r="O255" s="31"/>
      <c r="P255" s="31"/>
      <c r="R255" s="106"/>
      <c r="S255" s="3"/>
      <c r="T255" s="58"/>
      <c r="W255" s="1"/>
      <c r="X255" s="13"/>
      <c r="Y255" s="14"/>
    </row>
    <row r="256" spans="2:25" ht="15.75" customHeight="1">
      <c r="B256" s="13"/>
      <c r="C256" s="13"/>
      <c r="E256" s="14"/>
      <c r="G256" s="1"/>
      <c r="O256" s="31"/>
      <c r="P256" s="31"/>
      <c r="R256" s="106"/>
      <c r="S256" s="3"/>
      <c r="T256" s="58"/>
      <c r="W256" s="1"/>
      <c r="X256" s="13"/>
      <c r="Y256" s="14"/>
    </row>
    <row r="257" spans="2:25" ht="15.75" customHeight="1">
      <c r="B257" s="13"/>
      <c r="C257" s="13"/>
      <c r="E257" s="14"/>
      <c r="G257" s="1"/>
      <c r="O257" s="31"/>
      <c r="P257" s="31"/>
      <c r="R257" s="106"/>
      <c r="S257" s="3"/>
      <c r="T257" s="58"/>
      <c r="W257" s="1"/>
      <c r="X257" s="13"/>
      <c r="Y257" s="14"/>
    </row>
    <row r="258" spans="2:25" ht="15.75" customHeight="1">
      <c r="B258" s="13"/>
      <c r="C258" s="13"/>
      <c r="E258" s="14"/>
      <c r="G258" s="1"/>
      <c r="O258" s="31"/>
      <c r="P258" s="31"/>
      <c r="R258" s="106"/>
      <c r="S258" s="3"/>
      <c r="T258" s="58"/>
      <c r="W258" s="1"/>
      <c r="X258" s="13"/>
      <c r="Y258" s="14"/>
    </row>
    <row r="259" spans="2:25" ht="15.75" customHeight="1">
      <c r="B259" s="13"/>
      <c r="C259" s="13"/>
      <c r="E259" s="14"/>
      <c r="G259" s="1"/>
      <c r="O259" s="31"/>
      <c r="P259" s="31"/>
      <c r="R259" s="106"/>
      <c r="S259" s="3"/>
      <c r="T259" s="58"/>
      <c r="W259" s="1"/>
      <c r="X259" s="13"/>
      <c r="Y259" s="14"/>
    </row>
    <row r="260" spans="2:25" ht="15.75" customHeight="1">
      <c r="B260" s="13"/>
      <c r="C260" s="13"/>
      <c r="E260" s="14"/>
      <c r="G260" s="1"/>
      <c r="O260" s="31"/>
      <c r="P260" s="31"/>
      <c r="R260" s="106"/>
      <c r="S260" s="3"/>
      <c r="T260" s="58"/>
      <c r="W260" s="1"/>
      <c r="X260" s="13"/>
      <c r="Y260" s="14"/>
    </row>
    <row r="261" spans="2:25" ht="15.75" customHeight="1">
      <c r="B261" s="13"/>
      <c r="C261" s="13"/>
      <c r="E261" s="14"/>
      <c r="G261" s="1"/>
      <c r="O261" s="31"/>
      <c r="P261" s="31"/>
      <c r="R261" s="106"/>
      <c r="S261" s="3"/>
      <c r="T261" s="58"/>
      <c r="W261" s="1"/>
      <c r="X261" s="13"/>
      <c r="Y261" s="14"/>
    </row>
    <row r="262" spans="2:25" ht="15.75" customHeight="1">
      <c r="B262" s="13"/>
      <c r="C262" s="13"/>
      <c r="E262" s="14"/>
      <c r="G262" s="1"/>
      <c r="O262" s="31"/>
      <c r="P262" s="31"/>
      <c r="R262" s="106"/>
      <c r="S262" s="3"/>
      <c r="T262" s="58"/>
      <c r="W262" s="1"/>
      <c r="X262" s="13"/>
      <c r="Y262" s="14"/>
    </row>
    <row r="263" spans="2:25" ht="15.75" customHeight="1">
      <c r="B263" s="13"/>
      <c r="C263" s="13"/>
      <c r="E263" s="14"/>
      <c r="G263" s="1"/>
      <c r="O263" s="31"/>
      <c r="P263" s="31"/>
      <c r="R263" s="106"/>
      <c r="S263" s="3"/>
      <c r="T263" s="58"/>
      <c r="W263" s="1"/>
      <c r="X263" s="13"/>
      <c r="Y263" s="14"/>
    </row>
    <row r="264" spans="2:25" ht="15.75" customHeight="1">
      <c r="B264" s="13"/>
      <c r="C264" s="13"/>
      <c r="E264" s="14"/>
      <c r="G264" s="1"/>
      <c r="O264" s="31"/>
      <c r="P264" s="31"/>
      <c r="R264" s="106"/>
      <c r="S264" s="3"/>
      <c r="T264" s="58"/>
      <c r="W264" s="1"/>
      <c r="X264" s="13"/>
      <c r="Y264" s="14"/>
    </row>
    <row r="265" spans="2:25" ht="15.75" customHeight="1">
      <c r="B265" s="13"/>
      <c r="C265" s="13"/>
      <c r="E265" s="14"/>
      <c r="G265" s="1"/>
      <c r="O265" s="31"/>
      <c r="P265" s="31"/>
      <c r="R265" s="106"/>
      <c r="S265" s="3"/>
      <c r="T265" s="58"/>
      <c r="W265" s="1"/>
      <c r="X265" s="13"/>
      <c r="Y265" s="14"/>
    </row>
    <row r="266" spans="2:25" ht="15.75" customHeight="1">
      <c r="B266" s="13"/>
      <c r="C266" s="13"/>
      <c r="E266" s="14"/>
      <c r="G266" s="1"/>
      <c r="O266" s="31"/>
      <c r="P266" s="31"/>
      <c r="R266" s="106"/>
      <c r="S266" s="3"/>
      <c r="T266" s="58"/>
      <c r="W266" s="1"/>
      <c r="X266" s="13"/>
      <c r="Y266" s="14"/>
    </row>
    <row r="267" spans="2:25" ht="15.75" customHeight="1">
      <c r="B267" s="13"/>
      <c r="C267" s="13"/>
      <c r="E267" s="14"/>
      <c r="G267" s="1"/>
      <c r="O267" s="31"/>
      <c r="P267" s="31"/>
      <c r="R267" s="106"/>
      <c r="S267" s="3"/>
      <c r="T267" s="58"/>
      <c r="W267" s="1"/>
      <c r="X267" s="13"/>
      <c r="Y267" s="14"/>
    </row>
    <row r="268" spans="2:25" ht="15.75" customHeight="1">
      <c r="B268" s="13"/>
      <c r="C268" s="13"/>
      <c r="E268" s="14"/>
      <c r="G268" s="1"/>
      <c r="O268" s="31"/>
      <c r="P268" s="31"/>
      <c r="R268" s="106"/>
      <c r="S268" s="3"/>
      <c r="T268" s="58"/>
      <c r="W268" s="1"/>
      <c r="X268" s="13"/>
      <c r="Y268" s="14"/>
    </row>
    <row r="269" spans="2:25" ht="15.75" customHeight="1">
      <c r="B269" s="13"/>
      <c r="C269" s="13"/>
      <c r="E269" s="14"/>
      <c r="G269" s="1"/>
      <c r="O269" s="31"/>
      <c r="P269" s="31"/>
      <c r="R269" s="106"/>
      <c r="S269" s="3"/>
      <c r="T269" s="58"/>
      <c r="W269" s="1"/>
      <c r="X269" s="13"/>
      <c r="Y269" s="14"/>
    </row>
    <row r="270" spans="2:25" ht="15.75" customHeight="1">
      <c r="B270" s="13"/>
      <c r="C270" s="13"/>
      <c r="E270" s="14"/>
      <c r="G270" s="1"/>
      <c r="O270" s="31"/>
      <c r="P270" s="31"/>
      <c r="R270" s="106"/>
      <c r="S270" s="3"/>
      <c r="T270" s="58"/>
      <c r="W270" s="1"/>
      <c r="X270" s="13"/>
      <c r="Y270" s="14"/>
    </row>
    <row r="271" spans="2:25" ht="15.75" customHeight="1">
      <c r="B271" s="13"/>
      <c r="C271" s="13"/>
      <c r="E271" s="14"/>
      <c r="G271" s="1"/>
      <c r="O271" s="31"/>
      <c r="P271" s="31"/>
      <c r="R271" s="106"/>
      <c r="S271" s="3"/>
      <c r="T271" s="58"/>
      <c r="W271" s="1"/>
      <c r="X271" s="13"/>
      <c r="Y271" s="14"/>
    </row>
    <row r="272" spans="2:25" ht="15.75" customHeight="1">
      <c r="B272" s="13"/>
      <c r="C272" s="13"/>
      <c r="E272" s="14"/>
      <c r="G272" s="1"/>
      <c r="O272" s="31"/>
      <c r="P272" s="31"/>
      <c r="R272" s="106"/>
      <c r="S272" s="3"/>
      <c r="T272" s="58"/>
      <c r="W272" s="1"/>
      <c r="X272" s="13"/>
      <c r="Y272" s="14"/>
    </row>
    <row r="273" spans="2:25" ht="15.75" customHeight="1">
      <c r="B273" s="13"/>
      <c r="C273" s="13"/>
      <c r="E273" s="14"/>
      <c r="G273" s="1"/>
      <c r="O273" s="31"/>
      <c r="P273" s="31"/>
      <c r="R273" s="106"/>
      <c r="S273" s="3"/>
      <c r="T273" s="58"/>
      <c r="W273" s="1"/>
      <c r="X273" s="13"/>
      <c r="Y273" s="14"/>
    </row>
    <row r="274" spans="2:25" ht="15.75" customHeight="1">
      <c r="B274" s="13"/>
      <c r="C274" s="13"/>
      <c r="E274" s="14"/>
      <c r="G274" s="1"/>
      <c r="O274" s="31"/>
      <c r="P274" s="31"/>
      <c r="R274" s="106"/>
      <c r="S274" s="3"/>
      <c r="T274" s="58"/>
      <c r="W274" s="1"/>
      <c r="X274" s="13"/>
      <c r="Y274" s="14"/>
    </row>
    <row r="275" spans="2:25" ht="15.75" customHeight="1">
      <c r="B275" s="13"/>
      <c r="C275" s="13"/>
      <c r="E275" s="14"/>
      <c r="G275" s="1"/>
      <c r="O275" s="31"/>
      <c r="P275" s="31"/>
      <c r="R275" s="106"/>
      <c r="S275" s="3"/>
      <c r="T275" s="58"/>
      <c r="W275" s="1"/>
      <c r="X275" s="13"/>
      <c r="Y275" s="14"/>
    </row>
    <row r="276" spans="2:25" ht="15.75" customHeight="1">
      <c r="B276" s="13"/>
      <c r="C276" s="13"/>
      <c r="E276" s="14"/>
      <c r="G276" s="1"/>
      <c r="O276" s="31"/>
      <c r="P276" s="31"/>
      <c r="R276" s="106"/>
      <c r="S276" s="3"/>
      <c r="T276" s="58"/>
      <c r="W276" s="1"/>
      <c r="X276" s="13"/>
      <c r="Y276" s="14"/>
    </row>
    <row r="277" spans="2:25" ht="15.75" customHeight="1">
      <c r="B277" s="13"/>
      <c r="C277" s="13"/>
      <c r="E277" s="14"/>
      <c r="G277" s="1"/>
      <c r="O277" s="31"/>
      <c r="P277" s="31"/>
      <c r="R277" s="106"/>
      <c r="S277" s="3"/>
      <c r="T277" s="58"/>
      <c r="W277" s="1"/>
      <c r="X277" s="13"/>
      <c r="Y277" s="14"/>
    </row>
    <row r="278" spans="2:25" ht="15.75" customHeight="1">
      <c r="B278" s="13"/>
      <c r="C278" s="13"/>
      <c r="E278" s="14"/>
      <c r="G278" s="1"/>
      <c r="O278" s="31"/>
      <c r="P278" s="31"/>
      <c r="R278" s="106"/>
      <c r="S278" s="3"/>
      <c r="T278" s="58"/>
      <c r="W278" s="1"/>
      <c r="X278" s="13"/>
      <c r="Y278" s="14"/>
    </row>
    <row r="279" spans="2:25" ht="15.75" customHeight="1">
      <c r="B279" s="13"/>
      <c r="C279" s="13"/>
      <c r="E279" s="14"/>
      <c r="G279" s="1"/>
      <c r="O279" s="31"/>
      <c r="P279" s="31"/>
      <c r="R279" s="106"/>
      <c r="S279" s="3"/>
      <c r="T279" s="58"/>
      <c r="W279" s="1"/>
      <c r="X279" s="13"/>
      <c r="Y279" s="14"/>
    </row>
    <row r="280" spans="2:25" ht="15.75" customHeight="1">
      <c r="B280" s="13"/>
      <c r="C280" s="13"/>
      <c r="E280" s="14"/>
      <c r="G280" s="1"/>
      <c r="O280" s="31"/>
      <c r="P280" s="31"/>
      <c r="R280" s="106"/>
      <c r="S280" s="3"/>
      <c r="T280" s="58"/>
      <c r="W280" s="1"/>
      <c r="X280" s="13"/>
      <c r="Y280" s="14"/>
    </row>
    <row r="281" spans="2:25" ht="15.75" customHeight="1">
      <c r="B281" s="13"/>
      <c r="C281" s="13"/>
      <c r="E281" s="14"/>
      <c r="G281" s="1"/>
      <c r="O281" s="31"/>
      <c r="P281" s="31"/>
      <c r="R281" s="106"/>
      <c r="S281" s="3"/>
      <c r="T281" s="58"/>
      <c r="W281" s="1"/>
      <c r="X281" s="13"/>
      <c r="Y281" s="14"/>
    </row>
    <row r="282" spans="2:25" ht="15.75" customHeight="1">
      <c r="B282" s="13"/>
      <c r="C282" s="13"/>
      <c r="E282" s="14"/>
      <c r="G282" s="1"/>
      <c r="O282" s="31"/>
      <c r="P282" s="31"/>
      <c r="R282" s="106"/>
      <c r="S282" s="3"/>
      <c r="T282" s="58"/>
      <c r="W282" s="1"/>
      <c r="X282" s="13"/>
      <c r="Y282" s="14"/>
    </row>
    <row r="283" spans="2:25" ht="15.75" customHeight="1">
      <c r="B283" s="13"/>
      <c r="C283" s="13"/>
      <c r="E283" s="14"/>
      <c r="G283" s="1"/>
      <c r="O283" s="31"/>
      <c r="P283" s="31"/>
      <c r="R283" s="106"/>
      <c r="S283" s="3"/>
      <c r="T283" s="58"/>
      <c r="W283" s="1"/>
      <c r="X283" s="13"/>
      <c r="Y283" s="14"/>
    </row>
    <row r="284" spans="2:25" ht="15.75" customHeight="1">
      <c r="B284" s="13"/>
      <c r="C284" s="13"/>
      <c r="E284" s="14"/>
      <c r="G284" s="1"/>
      <c r="O284" s="31"/>
      <c r="P284" s="31"/>
      <c r="R284" s="106"/>
      <c r="S284" s="3"/>
      <c r="T284" s="58"/>
      <c r="W284" s="1"/>
      <c r="X284" s="13"/>
      <c r="Y284" s="14"/>
    </row>
    <row r="285" spans="2:25" ht="15.75" customHeight="1">
      <c r="B285" s="13"/>
      <c r="C285" s="13"/>
      <c r="E285" s="14"/>
      <c r="G285" s="1"/>
      <c r="O285" s="31"/>
      <c r="P285" s="31"/>
      <c r="R285" s="106"/>
      <c r="S285" s="3"/>
      <c r="T285" s="58"/>
      <c r="W285" s="1"/>
      <c r="X285" s="13"/>
      <c r="Y285" s="14"/>
    </row>
    <row r="286" spans="2:25" ht="15.75" customHeight="1">
      <c r="B286" s="13"/>
      <c r="C286" s="13"/>
      <c r="E286" s="14"/>
      <c r="G286" s="1"/>
      <c r="O286" s="31"/>
      <c r="P286" s="31"/>
      <c r="R286" s="106"/>
      <c r="S286" s="3"/>
      <c r="T286" s="58"/>
      <c r="W286" s="1"/>
      <c r="X286" s="13"/>
      <c r="Y286" s="14"/>
    </row>
    <row r="287" spans="2:25" ht="15.75" customHeight="1">
      <c r="B287" s="13"/>
      <c r="C287" s="13"/>
      <c r="E287" s="14"/>
      <c r="G287" s="1"/>
      <c r="O287" s="31"/>
      <c r="P287" s="31"/>
      <c r="R287" s="106"/>
      <c r="S287" s="3"/>
      <c r="T287" s="58"/>
      <c r="W287" s="1"/>
      <c r="X287" s="13"/>
      <c r="Y287" s="14"/>
    </row>
    <row r="288" spans="2:25" ht="15.75" customHeight="1">
      <c r="B288" s="13"/>
      <c r="C288" s="13"/>
      <c r="E288" s="14"/>
      <c r="G288" s="1"/>
      <c r="O288" s="31"/>
      <c r="P288" s="31"/>
      <c r="R288" s="106"/>
      <c r="S288" s="3"/>
      <c r="T288" s="58"/>
      <c r="W288" s="1"/>
      <c r="X288" s="13"/>
      <c r="Y288" s="14"/>
    </row>
    <row r="289" spans="2:25" ht="15.75" customHeight="1">
      <c r="B289" s="13"/>
      <c r="C289" s="13"/>
      <c r="E289" s="14"/>
      <c r="G289" s="1"/>
      <c r="O289" s="31"/>
      <c r="P289" s="31"/>
      <c r="R289" s="106"/>
      <c r="S289" s="3"/>
      <c r="T289" s="58"/>
      <c r="W289" s="1"/>
      <c r="X289" s="13"/>
      <c r="Y289" s="14"/>
    </row>
    <row r="290" spans="2:25" ht="15.75" customHeight="1">
      <c r="B290" s="13"/>
      <c r="C290" s="13"/>
      <c r="E290" s="14"/>
      <c r="G290" s="1"/>
      <c r="O290" s="31"/>
      <c r="P290" s="31"/>
      <c r="R290" s="106"/>
      <c r="S290" s="3"/>
      <c r="T290" s="58"/>
      <c r="W290" s="1"/>
      <c r="X290" s="13"/>
      <c r="Y290" s="14"/>
    </row>
    <row r="291" spans="2:25" ht="15.75" customHeight="1">
      <c r="B291" s="13"/>
      <c r="C291" s="13"/>
      <c r="E291" s="14"/>
      <c r="G291" s="1"/>
      <c r="O291" s="31"/>
      <c r="P291" s="31"/>
      <c r="R291" s="106"/>
      <c r="S291" s="3"/>
      <c r="T291" s="58"/>
      <c r="W291" s="1"/>
      <c r="X291" s="13"/>
      <c r="Y291" s="14"/>
    </row>
    <row r="292" spans="2:25" ht="15.75" customHeight="1">
      <c r="B292" s="13"/>
      <c r="C292" s="13"/>
      <c r="E292" s="14"/>
      <c r="G292" s="1"/>
      <c r="O292" s="31"/>
      <c r="P292" s="31"/>
      <c r="R292" s="106"/>
      <c r="S292" s="3"/>
      <c r="T292" s="58"/>
      <c r="W292" s="1"/>
      <c r="X292" s="13"/>
      <c r="Y292" s="14"/>
    </row>
    <row r="293" spans="2:25" ht="15.75" customHeight="1">
      <c r="B293" s="13"/>
      <c r="C293" s="13"/>
      <c r="E293" s="14"/>
      <c r="G293" s="1"/>
      <c r="O293" s="31"/>
      <c r="P293" s="31"/>
      <c r="R293" s="106"/>
      <c r="S293" s="3"/>
      <c r="T293" s="58"/>
      <c r="W293" s="1"/>
      <c r="X293" s="13"/>
      <c r="Y293" s="14"/>
    </row>
    <row r="294" spans="2:25" ht="15.75" customHeight="1">
      <c r="B294" s="13"/>
      <c r="C294" s="13"/>
      <c r="E294" s="14"/>
      <c r="G294" s="1"/>
      <c r="O294" s="31"/>
      <c r="P294" s="31"/>
      <c r="R294" s="106"/>
      <c r="S294" s="3"/>
      <c r="T294" s="58"/>
      <c r="W294" s="1"/>
      <c r="X294" s="13"/>
      <c r="Y294" s="14"/>
    </row>
    <row r="295" spans="2:25" ht="15.75" customHeight="1">
      <c r="B295" s="13"/>
      <c r="C295" s="13"/>
      <c r="E295" s="14"/>
      <c r="G295" s="1"/>
      <c r="O295" s="31"/>
      <c r="P295" s="31"/>
      <c r="R295" s="106"/>
      <c r="S295" s="3"/>
      <c r="T295" s="58"/>
      <c r="W295" s="1"/>
      <c r="X295" s="13"/>
      <c r="Y295" s="14"/>
    </row>
    <row r="296" spans="2:25" ht="15.75" customHeight="1">
      <c r="B296" s="13"/>
      <c r="C296" s="13"/>
      <c r="E296" s="14"/>
      <c r="G296" s="1"/>
      <c r="O296" s="31"/>
      <c r="P296" s="31"/>
      <c r="R296" s="106"/>
      <c r="S296" s="3"/>
      <c r="T296" s="58"/>
      <c r="W296" s="1"/>
      <c r="X296" s="13"/>
      <c r="Y296" s="14"/>
    </row>
    <row r="297" spans="2:25" ht="15.75" customHeight="1">
      <c r="B297" s="13"/>
      <c r="C297" s="13"/>
      <c r="E297" s="14"/>
      <c r="G297" s="1"/>
      <c r="O297" s="31"/>
      <c r="P297" s="31"/>
      <c r="R297" s="106"/>
      <c r="S297" s="3"/>
      <c r="T297" s="58"/>
      <c r="W297" s="1"/>
      <c r="X297" s="13"/>
      <c r="Y297" s="14"/>
    </row>
    <row r="298" spans="2:25" ht="15.75" customHeight="1">
      <c r="B298" s="13"/>
      <c r="C298" s="13"/>
      <c r="E298" s="14"/>
      <c r="G298" s="1"/>
      <c r="O298" s="31"/>
      <c r="P298" s="31"/>
      <c r="R298" s="106"/>
      <c r="S298" s="3"/>
      <c r="T298" s="58"/>
      <c r="W298" s="1"/>
      <c r="X298" s="13"/>
      <c r="Y298" s="14"/>
    </row>
    <row r="299" spans="2:25" ht="15.75" customHeight="1">
      <c r="B299" s="13"/>
      <c r="C299" s="13"/>
      <c r="E299" s="14"/>
      <c r="G299" s="1"/>
      <c r="O299" s="31"/>
      <c r="P299" s="31"/>
      <c r="R299" s="106"/>
      <c r="S299" s="3"/>
      <c r="T299" s="58"/>
      <c r="W299" s="1"/>
      <c r="X299" s="13"/>
      <c r="Y299" s="14"/>
    </row>
    <row r="300" spans="2:25" ht="15.75" customHeight="1">
      <c r="B300" s="13"/>
      <c r="C300" s="13"/>
      <c r="E300" s="14"/>
      <c r="G300" s="1"/>
      <c r="O300" s="31"/>
      <c r="P300" s="31"/>
      <c r="R300" s="106"/>
      <c r="S300" s="3"/>
      <c r="T300" s="58"/>
      <c r="W300" s="1"/>
      <c r="X300" s="13"/>
      <c r="Y300" s="14"/>
    </row>
    <row r="301" spans="2:25" ht="15.75" customHeight="1">
      <c r="B301" s="13"/>
      <c r="C301" s="13"/>
      <c r="E301" s="14"/>
      <c r="G301" s="1"/>
      <c r="O301" s="31"/>
      <c r="P301" s="31"/>
      <c r="R301" s="106"/>
      <c r="S301" s="3"/>
      <c r="T301" s="58"/>
      <c r="W301" s="1"/>
      <c r="X301" s="13"/>
      <c r="Y301" s="14"/>
    </row>
    <row r="302" spans="2:25" ht="15.75" customHeight="1">
      <c r="B302" s="13"/>
      <c r="C302" s="13"/>
      <c r="E302" s="14"/>
      <c r="G302" s="1"/>
      <c r="O302" s="31"/>
      <c r="P302" s="31"/>
      <c r="R302" s="106"/>
      <c r="S302" s="3"/>
      <c r="T302" s="58"/>
      <c r="W302" s="1"/>
      <c r="X302" s="13"/>
      <c r="Y302" s="14"/>
    </row>
    <row r="303" spans="2:25" ht="15.75" customHeight="1">
      <c r="B303" s="13"/>
      <c r="C303" s="13"/>
      <c r="E303" s="14"/>
      <c r="G303" s="1"/>
      <c r="O303" s="31"/>
      <c r="P303" s="31"/>
      <c r="R303" s="106"/>
      <c r="S303" s="3"/>
      <c r="T303" s="58"/>
      <c r="W303" s="1"/>
      <c r="X303" s="13"/>
      <c r="Y303" s="14"/>
    </row>
    <row r="304" spans="2:25" ht="15.75" customHeight="1">
      <c r="B304" s="13"/>
      <c r="C304" s="13"/>
      <c r="E304" s="14"/>
      <c r="G304" s="1"/>
      <c r="O304" s="31"/>
      <c r="P304" s="31"/>
      <c r="R304" s="106"/>
      <c r="S304" s="3"/>
      <c r="T304" s="58"/>
      <c r="W304" s="1"/>
      <c r="X304" s="13"/>
      <c r="Y304" s="14"/>
    </row>
    <row r="305" spans="2:25" ht="15.75" customHeight="1">
      <c r="B305" s="13"/>
      <c r="C305" s="13"/>
      <c r="E305" s="14"/>
      <c r="G305" s="1"/>
      <c r="O305" s="31"/>
      <c r="P305" s="31"/>
      <c r="R305" s="106"/>
      <c r="S305" s="3"/>
      <c r="T305" s="58"/>
      <c r="W305" s="1"/>
      <c r="X305" s="13"/>
      <c r="Y305" s="14"/>
    </row>
    <row r="306" spans="2:25" ht="15.75" customHeight="1">
      <c r="B306" s="13"/>
      <c r="C306" s="13"/>
      <c r="E306" s="14"/>
      <c r="G306" s="1"/>
      <c r="O306" s="31"/>
      <c r="P306" s="31"/>
      <c r="R306" s="106"/>
      <c r="S306" s="3"/>
      <c r="T306" s="58"/>
      <c r="W306" s="1"/>
      <c r="X306" s="13"/>
      <c r="Y306" s="14"/>
    </row>
    <row r="307" spans="2:25" ht="15.75" customHeight="1">
      <c r="B307" s="13"/>
      <c r="C307" s="13"/>
      <c r="E307" s="14"/>
      <c r="G307" s="1"/>
      <c r="O307" s="31"/>
      <c r="P307" s="31"/>
      <c r="R307" s="106"/>
      <c r="S307" s="3"/>
      <c r="T307" s="58"/>
      <c r="W307" s="1"/>
      <c r="X307" s="13"/>
      <c r="Y307" s="14"/>
    </row>
    <row r="308" spans="2:25" ht="15.75" customHeight="1">
      <c r="B308" s="13"/>
      <c r="C308" s="13"/>
      <c r="E308" s="14"/>
      <c r="G308" s="1"/>
      <c r="O308" s="31"/>
      <c r="P308" s="31"/>
      <c r="R308" s="106"/>
      <c r="S308" s="3"/>
      <c r="T308" s="58"/>
      <c r="W308" s="1"/>
      <c r="X308" s="13"/>
      <c r="Y308" s="14"/>
    </row>
    <row r="309" spans="2:25" ht="15.75" customHeight="1">
      <c r="B309" s="13"/>
      <c r="C309" s="13"/>
      <c r="E309" s="14"/>
      <c r="G309" s="1"/>
      <c r="O309" s="31"/>
      <c r="P309" s="31"/>
      <c r="R309" s="106"/>
      <c r="S309" s="3"/>
      <c r="T309" s="58"/>
      <c r="W309" s="1"/>
      <c r="X309" s="13"/>
      <c r="Y309" s="14"/>
    </row>
    <row r="310" spans="2:25" ht="15.75" customHeight="1">
      <c r="B310" s="13"/>
      <c r="C310" s="13"/>
      <c r="E310" s="14"/>
      <c r="G310" s="1"/>
      <c r="O310" s="31"/>
      <c r="P310" s="31"/>
      <c r="R310" s="106"/>
      <c r="S310" s="3"/>
      <c r="T310" s="58"/>
      <c r="W310" s="1"/>
      <c r="X310" s="13"/>
      <c r="Y310" s="14"/>
    </row>
    <row r="311" spans="2:25" ht="15.75" customHeight="1">
      <c r="B311" s="13"/>
      <c r="C311" s="13"/>
      <c r="E311" s="14"/>
      <c r="G311" s="1"/>
      <c r="O311" s="31"/>
      <c r="P311" s="31"/>
      <c r="R311" s="106"/>
      <c r="S311" s="3"/>
      <c r="T311" s="58"/>
      <c r="W311" s="1"/>
      <c r="X311" s="13"/>
      <c r="Y311" s="14"/>
    </row>
    <row r="312" spans="2:25" ht="15.75" customHeight="1">
      <c r="B312" s="13"/>
      <c r="C312" s="13"/>
      <c r="E312" s="14"/>
      <c r="G312" s="1"/>
      <c r="O312" s="31"/>
      <c r="P312" s="31"/>
      <c r="R312" s="106"/>
      <c r="S312" s="3"/>
      <c r="T312" s="58"/>
      <c r="W312" s="1"/>
      <c r="X312" s="13"/>
      <c r="Y312" s="14"/>
    </row>
    <row r="313" spans="2:25" ht="15.75" customHeight="1">
      <c r="B313" s="13"/>
      <c r="C313" s="13"/>
      <c r="E313" s="14"/>
      <c r="G313" s="1"/>
      <c r="O313" s="31"/>
      <c r="P313" s="31"/>
      <c r="R313" s="106"/>
      <c r="S313" s="3"/>
      <c r="T313" s="58"/>
      <c r="W313" s="1"/>
      <c r="X313" s="13"/>
      <c r="Y313" s="14"/>
    </row>
    <row r="314" spans="2:25" ht="15.75" customHeight="1">
      <c r="B314" s="13"/>
      <c r="C314" s="13"/>
      <c r="E314" s="14"/>
      <c r="G314" s="1"/>
      <c r="O314" s="31"/>
      <c r="P314" s="31"/>
      <c r="R314" s="106"/>
      <c r="S314" s="3"/>
      <c r="T314" s="58"/>
      <c r="W314" s="1"/>
      <c r="X314" s="13"/>
      <c r="Y314" s="14"/>
    </row>
    <row r="315" spans="2:25" ht="15.75" customHeight="1">
      <c r="B315" s="13"/>
      <c r="C315" s="13"/>
      <c r="E315" s="14"/>
      <c r="G315" s="1"/>
      <c r="O315" s="31"/>
      <c r="P315" s="31"/>
      <c r="R315" s="106"/>
      <c r="S315" s="3"/>
      <c r="T315" s="58"/>
      <c r="W315" s="1"/>
      <c r="X315" s="13"/>
      <c r="Y315" s="14"/>
    </row>
    <row r="316" spans="2:25" ht="15.75" customHeight="1">
      <c r="B316" s="13"/>
      <c r="C316" s="13"/>
      <c r="E316" s="14"/>
      <c r="G316" s="1"/>
      <c r="O316" s="31"/>
      <c r="P316" s="31"/>
      <c r="R316" s="106"/>
      <c r="S316" s="3"/>
      <c r="T316" s="58"/>
      <c r="W316" s="1"/>
      <c r="X316" s="13"/>
      <c r="Y316" s="14"/>
    </row>
    <row r="317" spans="2:25" ht="15.75" customHeight="1">
      <c r="B317" s="13"/>
      <c r="C317" s="13"/>
      <c r="E317" s="14"/>
      <c r="G317" s="1"/>
      <c r="O317" s="31"/>
      <c r="P317" s="31"/>
      <c r="R317" s="106"/>
      <c r="S317" s="3"/>
      <c r="T317" s="58"/>
      <c r="W317" s="1"/>
      <c r="X317" s="13"/>
      <c r="Y317" s="14"/>
    </row>
    <row r="318" spans="2:25" ht="15.75" customHeight="1">
      <c r="B318" s="13"/>
      <c r="C318" s="13"/>
      <c r="E318" s="14"/>
      <c r="G318" s="1"/>
      <c r="O318" s="31"/>
      <c r="P318" s="31"/>
      <c r="R318" s="106"/>
      <c r="S318" s="3"/>
      <c r="T318" s="58"/>
      <c r="W318" s="1"/>
      <c r="X318" s="13"/>
      <c r="Y318" s="14"/>
    </row>
    <row r="319" spans="2:25" ht="15.75" customHeight="1">
      <c r="B319" s="13"/>
      <c r="C319" s="13"/>
      <c r="E319" s="14"/>
      <c r="G319" s="1"/>
      <c r="O319" s="31"/>
      <c r="P319" s="31"/>
      <c r="R319" s="106"/>
      <c r="S319" s="3"/>
      <c r="T319" s="58"/>
      <c r="W319" s="1"/>
      <c r="X319" s="13"/>
      <c r="Y319" s="14"/>
    </row>
    <row r="320" spans="2:25" ht="15.75" customHeight="1">
      <c r="B320" s="13"/>
      <c r="C320" s="13"/>
      <c r="E320" s="14"/>
      <c r="G320" s="1"/>
      <c r="O320" s="31"/>
      <c r="P320" s="31"/>
      <c r="R320" s="106"/>
      <c r="S320" s="3"/>
      <c r="T320" s="58"/>
      <c r="W320" s="1"/>
      <c r="X320" s="13"/>
      <c r="Y320" s="14"/>
    </row>
    <row r="321" spans="2:25" ht="15.75" customHeight="1">
      <c r="B321" s="13"/>
      <c r="C321" s="13"/>
      <c r="E321" s="14"/>
      <c r="G321" s="1"/>
      <c r="O321" s="31"/>
      <c r="P321" s="31"/>
      <c r="R321" s="106"/>
      <c r="S321" s="3"/>
      <c r="T321" s="58"/>
      <c r="W321" s="1"/>
      <c r="X321" s="13"/>
      <c r="Y321" s="14"/>
    </row>
    <row r="322" spans="2:25" ht="15.75" customHeight="1">
      <c r="B322" s="13"/>
      <c r="C322" s="13"/>
      <c r="E322" s="14"/>
      <c r="G322" s="1"/>
      <c r="O322" s="31"/>
      <c r="P322" s="31"/>
      <c r="R322" s="106"/>
      <c r="S322" s="3"/>
      <c r="T322" s="58"/>
      <c r="W322" s="1"/>
      <c r="X322" s="13"/>
      <c r="Y322" s="14"/>
    </row>
    <row r="323" spans="2:25" ht="15.75" customHeight="1">
      <c r="B323" s="13"/>
      <c r="C323" s="13"/>
      <c r="E323" s="14"/>
      <c r="G323" s="1"/>
      <c r="O323" s="31"/>
      <c r="P323" s="31"/>
      <c r="R323" s="106"/>
      <c r="S323" s="3"/>
      <c r="T323" s="58"/>
      <c r="W323" s="1"/>
      <c r="X323" s="13"/>
      <c r="Y323" s="14"/>
    </row>
    <row r="324" spans="2:25" ht="15.75" customHeight="1">
      <c r="B324" s="13"/>
      <c r="C324" s="13"/>
      <c r="E324" s="14"/>
      <c r="G324" s="1"/>
      <c r="O324" s="31"/>
      <c r="P324" s="31"/>
      <c r="R324" s="106"/>
      <c r="S324" s="3"/>
      <c r="T324" s="58"/>
      <c r="W324" s="1"/>
      <c r="X324" s="13"/>
      <c r="Y324" s="14"/>
    </row>
    <row r="325" spans="2:25" ht="15.75" customHeight="1">
      <c r="B325" s="13"/>
      <c r="C325" s="13"/>
      <c r="E325" s="14"/>
      <c r="G325" s="1"/>
      <c r="O325" s="31"/>
      <c r="P325" s="31"/>
      <c r="R325" s="106"/>
      <c r="S325" s="3"/>
      <c r="T325" s="58"/>
      <c r="W325" s="1"/>
      <c r="X325" s="13"/>
      <c r="Y325" s="14"/>
    </row>
    <row r="326" spans="2:25" ht="15.75" customHeight="1">
      <c r="B326" s="13"/>
      <c r="C326" s="13"/>
      <c r="E326" s="14"/>
      <c r="G326" s="1"/>
      <c r="O326" s="31"/>
      <c r="P326" s="31"/>
      <c r="R326" s="106"/>
      <c r="S326" s="3"/>
      <c r="T326" s="58"/>
      <c r="W326" s="1"/>
      <c r="X326" s="13"/>
      <c r="Y326" s="14"/>
    </row>
    <row r="327" spans="2:25" ht="15.75" customHeight="1">
      <c r="B327" s="13"/>
      <c r="C327" s="13"/>
      <c r="E327" s="14"/>
      <c r="G327" s="1"/>
      <c r="O327" s="31"/>
      <c r="P327" s="31"/>
      <c r="R327" s="106"/>
      <c r="S327" s="3"/>
      <c r="T327" s="58"/>
      <c r="W327" s="1"/>
      <c r="X327" s="13"/>
      <c r="Y327" s="14"/>
    </row>
    <row r="328" spans="2:25" ht="15.75" customHeight="1">
      <c r="B328" s="13"/>
      <c r="C328" s="13"/>
      <c r="E328" s="14"/>
      <c r="G328" s="1"/>
      <c r="O328" s="31"/>
      <c r="P328" s="31"/>
      <c r="R328" s="106"/>
      <c r="S328" s="3"/>
      <c r="T328" s="58"/>
      <c r="W328" s="1"/>
      <c r="X328" s="13"/>
      <c r="Y328" s="14"/>
    </row>
    <row r="329" spans="2:25" ht="15.75" customHeight="1">
      <c r="B329" s="13"/>
      <c r="C329" s="13"/>
      <c r="E329" s="14"/>
      <c r="G329" s="1"/>
      <c r="O329" s="31"/>
      <c r="P329" s="31"/>
      <c r="R329" s="106"/>
      <c r="S329" s="3"/>
      <c r="T329" s="58"/>
      <c r="W329" s="1"/>
      <c r="X329" s="13"/>
      <c r="Y329" s="14"/>
    </row>
    <row r="330" spans="2:25" ht="15.75" customHeight="1">
      <c r="B330" s="13"/>
      <c r="C330" s="13"/>
      <c r="E330" s="14"/>
      <c r="G330" s="1"/>
      <c r="O330" s="31"/>
      <c r="P330" s="31"/>
      <c r="R330" s="106"/>
      <c r="S330" s="3"/>
      <c r="T330" s="58"/>
      <c r="W330" s="1"/>
      <c r="X330" s="13"/>
      <c r="Y330" s="14"/>
    </row>
    <row r="331" spans="2:25" ht="15.75" customHeight="1">
      <c r="B331" s="13"/>
      <c r="C331" s="13"/>
      <c r="E331" s="14"/>
      <c r="G331" s="1"/>
      <c r="O331" s="31"/>
      <c r="P331" s="31"/>
      <c r="R331" s="106"/>
      <c r="S331" s="3"/>
      <c r="T331" s="58"/>
      <c r="W331" s="1"/>
      <c r="X331" s="13"/>
      <c r="Y331" s="14"/>
    </row>
    <row r="332" spans="2:25" ht="15.75" customHeight="1">
      <c r="B332" s="13"/>
      <c r="C332" s="13"/>
      <c r="E332" s="14"/>
      <c r="G332" s="1"/>
      <c r="O332" s="31"/>
      <c r="P332" s="31"/>
      <c r="R332" s="106"/>
      <c r="S332" s="3"/>
      <c r="T332" s="58"/>
      <c r="W332" s="1"/>
      <c r="X332" s="13"/>
      <c r="Y332" s="14"/>
    </row>
    <row r="333" spans="2:25" ht="15.75" customHeight="1">
      <c r="B333" s="13"/>
      <c r="C333" s="13"/>
      <c r="E333" s="14"/>
      <c r="G333" s="1"/>
      <c r="O333" s="31"/>
      <c r="P333" s="31"/>
      <c r="R333" s="106"/>
      <c r="S333" s="3"/>
      <c r="T333" s="58"/>
      <c r="W333" s="1"/>
      <c r="X333" s="13"/>
      <c r="Y333" s="14"/>
    </row>
    <row r="334" spans="2:25" ht="15.75" customHeight="1">
      <c r="B334" s="13"/>
      <c r="C334" s="13"/>
      <c r="E334" s="14"/>
      <c r="G334" s="1"/>
      <c r="O334" s="31"/>
      <c r="P334" s="31"/>
      <c r="R334" s="106"/>
      <c r="S334" s="3"/>
      <c r="T334" s="58"/>
      <c r="W334" s="1"/>
      <c r="X334" s="13"/>
      <c r="Y334" s="14"/>
    </row>
    <row r="335" spans="2:25" ht="15.75" customHeight="1">
      <c r="B335" s="13"/>
      <c r="C335" s="13"/>
      <c r="E335" s="14"/>
      <c r="G335" s="1"/>
      <c r="O335" s="31"/>
      <c r="P335" s="31"/>
      <c r="R335" s="106"/>
      <c r="S335" s="3"/>
      <c r="T335" s="58"/>
      <c r="W335" s="1"/>
      <c r="X335" s="13"/>
      <c r="Y335" s="14"/>
    </row>
    <row r="336" spans="2:25" ht="15.75" customHeight="1">
      <c r="B336" s="13"/>
      <c r="C336" s="13"/>
      <c r="E336" s="14"/>
      <c r="G336" s="1"/>
      <c r="O336" s="31"/>
      <c r="P336" s="31"/>
      <c r="R336" s="106"/>
      <c r="S336" s="3"/>
      <c r="T336" s="58"/>
      <c r="W336" s="1"/>
      <c r="X336" s="13"/>
      <c r="Y336" s="14"/>
    </row>
    <row r="337" spans="2:25" ht="15.75" customHeight="1">
      <c r="B337" s="13"/>
      <c r="C337" s="13"/>
      <c r="E337" s="14"/>
      <c r="G337" s="1"/>
      <c r="O337" s="31"/>
      <c r="P337" s="31"/>
      <c r="R337" s="106"/>
      <c r="S337" s="3"/>
      <c r="T337" s="58"/>
      <c r="W337" s="1"/>
      <c r="X337" s="13"/>
      <c r="Y337" s="14"/>
    </row>
    <row r="338" spans="2:25" ht="15.75" customHeight="1">
      <c r="B338" s="13"/>
      <c r="C338" s="13"/>
      <c r="E338" s="14"/>
      <c r="G338" s="1"/>
      <c r="O338" s="31"/>
      <c r="P338" s="31"/>
      <c r="R338" s="106"/>
      <c r="S338" s="3"/>
      <c r="T338" s="58"/>
      <c r="W338" s="1"/>
      <c r="X338" s="13"/>
      <c r="Y338" s="14"/>
    </row>
    <row r="339" spans="2:25" ht="15.75" customHeight="1">
      <c r="B339" s="13"/>
      <c r="C339" s="13"/>
      <c r="E339" s="14"/>
      <c r="G339" s="1"/>
      <c r="O339" s="31"/>
      <c r="P339" s="31"/>
      <c r="R339" s="106"/>
      <c r="S339" s="3"/>
      <c r="T339" s="58"/>
      <c r="W339" s="1"/>
      <c r="X339" s="13"/>
      <c r="Y339" s="14"/>
    </row>
    <row r="340" spans="2:25" ht="15.75" customHeight="1">
      <c r="B340" s="13"/>
      <c r="C340" s="13"/>
      <c r="E340" s="14"/>
      <c r="G340" s="1"/>
      <c r="O340" s="31"/>
      <c r="P340" s="31"/>
      <c r="R340" s="106"/>
      <c r="S340" s="3"/>
      <c r="T340" s="58"/>
      <c r="W340" s="1"/>
      <c r="X340" s="13"/>
      <c r="Y340" s="14"/>
    </row>
    <row r="341" spans="2:25" ht="15.75" customHeight="1">
      <c r="B341" s="13"/>
      <c r="C341" s="13"/>
      <c r="E341" s="14"/>
      <c r="G341" s="1"/>
      <c r="O341" s="31"/>
      <c r="P341" s="31"/>
      <c r="R341" s="106"/>
      <c r="S341" s="3"/>
      <c r="T341" s="58"/>
      <c r="W341" s="1"/>
      <c r="X341" s="13"/>
      <c r="Y341" s="14"/>
    </row>
    <row r="342" spans="2:25" ht="15.75" customHeight="1">
      <c r="B342" s="13"/>
      <c r="C342" s="13"/>
      <c r="E342" s="14"/>
      <c r="G342" s="1"/>
      <c r="O342" s="31"/>
      <c r="P342" s="31"/>
      <c r="R342" s="106"/>
      <c r="S342" s="3"/>
      <c r="T342" s="58"/>
      <c r="W342" s="1"/>
      <c r="X342" s="13"/>
      <c r="Y342" s="14"/>
    </row>
    <row r="343" spans="2:25" ht="15.75" customHeight="1">
      <c r="B343" s="13"/>
      <c r="C343" s="13"/>
      <c r="E343" s="14"/>
      <c r="G343" s="1"/>
      <c r="O343" s="31"/>
      <c r="P343" s="31"/>
      <c r="R343" s="106"/>
      <c r="S343" s="3"/>
      <c r="T343" s="58"/>
      <c r="W343" s="1"/>
      <c r="X343" s="13"/>
      <c r="Y343" s="14"/>
    </row>
    <row r="344" spans="2:25" ht="15.75" customHeight="1">
      <c r="B344" s="13"/>
      <c r="C344" s="13"/>
      <c r="E344" s="14"/>
      <c r="G344" s="1"/>
      <c r="O344" s="31"/>
      <c r="P344" s="31"/>
      <c r="R344" s="106"/>
      <c r="S344" s="3"/>
      <c r="T344" s="58"/>
      <c r="W344" s="1"/>
      <c r="X344" s="13"/>
      <c r="Y344" s="14"/>
    </row>
    <row r="345" spans="2:25" ht="15.75" customHeight="1">
      <c r="B345" s="13"/>
      <c r="C345" s="13"/>
      <c r="E345" s="14"/>
      <c r="G345" s="1"/>
      <c r="O345" s="31"/>
      <c r="P345" s="31"/>
      <c r="R345" s="106"/>
      <c r="S345" s="3"/>
      <c r="T345" s="58"/>
      <c r="W345" s="1"/>
      <c r="X345" s="13"/>
      <c r="Y345" s="14"/>
    </row>
    <row r="346" spans="2:25" ht="15.75" customHeight="1">
      <c r="B346" s="13"/>
      <c r="C346" s="13"/>
      <c r="E346" s="14"/>
      <c r="G346" s="1"/>
      <c r="O346" s="31"/>
      <c r="P346" s="31"/>
      <c r="R346" s="106"/>
      <c r="S346" s="3"/>
      <c r="T346" s="58"/>
      <c r="W346" s="1"/>
      <c r="X346" s="13"/>
      <c r="Y346" s="14"/>
    </row>
    <row r="347" spans="2:25" ht="15.75" customHeight="1">
      <c r="B347" s="13"/>
      <c r="C347" s="13"/>
      <c r="E347" s="14"/>
      <c r="G347" s="1"/>
      <c r="O347" s="31"/>
      <c r="P347" s="31"/>
      <c r="R347" s="106"/>
      <c r="S347" s="3"/>
      <c r="T347" s="58"/>
      <c r="W347" s="1"/>
      <c r="X347" s="13"/>
      <c r="Y347" s="14"/>
    </row>
    <row r="348" spans="2:25" ht="15.75" customHeight="1">
      <c r="B348" s="13"/>
      <c r="C348" s="13"/>
      <c r="E348" s="14"/>
      <c r="G348" s="1"/>
      <c r="O348" s="31"/>
      <c r="P348" s="31"/>
      <c r="R348" s="106"/>
      <c r="S348" s="3"/>
      <c r="T348" s="58"/>
      <c r="W348" s="1"/>
      <c r="X348" s="13"/>
      <c r="Y348" s="14"/>
    </row>
    <row r="349" spans="2:25" ht="15.75" customHeight="1">
      <c r="B349" s="13"/>
      <c r="C349" s="13"/>
      <c r="E349" s="14"/>
      <c r="G349" s="1"/>
      <c r="O349" s="31"/>
      <c r="P349" s="31"/>
      <c r="R349" s="106"/>
      <c r="S349" s="3"/>
      <c r="T349" s="58"/>
      <c r="W349" s="1"/>
      <c r="X349" s="13"/>
      <c r="Y349" s="14"/>
    </row>
    <row r="350" spans="2:25" ht="15.75" customHeight="1">
      <c r="B350" s="13"/>
      <c r="C350" s="13"/>
      <c r="E350" s="14"/>
      <c r="G350" s="1"/>
      <c r="O350" s="31"/>
      <c r="P350" s="31"/>
      <c r="R350" s="106"/>
      <c r="S350" s="3"/>
      <c r="T350" s="58"/>
      <c r="W350" s="1"/>
      <c r="X350" s="13"/>
      <c r="Y350" s="14"/>
    </row>
    <row r="351" spans="2:25" ht="15.75" customHeight="1">
      <c r="B351" s="13"/>
      <c r="C351" s="13"/>
      <c r="E351" s="14"/>
      <c r="G351" s="1"/>
      <c r="O351" s="31"/>
      <c r="P351" s="31"/>
      <c r="R351" s="106"/>
      <c r="S351" s="3"/>
      <c r="T351" s="58"/>
      <c r="W351" s="1"/>
      <c r="X351" s="13"/>
      <c r="Y351" s="14"/>
    </row>
    <row r="352" spans="2:25" ht="15.75" customHeight="1">
      <c r="B352" s="13"/>
      <c r="C352" s="13"/>
      <c r="E352" s="14"/>
      <c r="G352" s="1"/>
      <c r="O352" s="31"/>
      <c r="P352" s="31"/>
      <c r="R352" s="106"/>
      <c r="S352" s="3"/>
      <c r="T352" s="58"/>
      <c r="W352" s="1"/>
      <c r="X352" s="13"/>
      <c r="Y352" s="14"/>
    </row>
    <row r="353" spans="2:25" ht="15.75" customHeight="1">
      <c r="B353" s="13"/>
      <c r="C353" s="13"/>
      <c r="E353" s="14"/>
      <c r="G353" s="1"/>
      <c r="O353" s="31"/>
      <c r="P353" s="31"/>
      <c r="R353" s="106"/>
      <c r="S353" s="3"/>
      <c r="T353" s="58"/>
      <c r="W353" s="1"/>
      <c r="X353" s="13"/>
      <c r="Y353" s="14"/>
    </row>
    <row r="354" spans="2:25" ht="15.75" customHeight="1">
      <c r="B354" s="13"/>
      <c r="C354" s="13"/>
      <c r="E354" s="14"/>
      <c r="G354" s="1"/>
      <c r="O354" s="31"/>
      <c r="P354" s="31"/>
      <c r="R354" s="106"/>
      <c r="S354" s="3"/>
      <c r="T354" s="58"/>
      <c r="W354" s="1"/>
      <c r="X354" s="13"/>
      <c r="Y354" s="14"/>
    </row>
    <row r="355" spans="2:25" ht="15.75" customHeight="1">
      <c r="B355" s="13"/>
      <c r="C355" s="13"/>
      <c r="E355" s="14"/>
      <c r="G355" s="1"/>
      <c r="O355" s="31"/>
      <c r="P355" s="31"/>
      <c r="R355" s="106"/>
      <c r="S355" s="3"/>
      <c r="T355" s="58"/>
      <c r="W355" s="1"/>
      <c r="X355" s="13"/>
      <c r="Y355" s="14"/>
    </row>
    <row r="356" spans="2:25" ht="15.75" customHeight="1">
      <c r="B356" s="13"/>
      <c r="C356" s="13"/>
      <c r="E356" s="14"/>
      <c r="G356" s="1"/>
      <c r="O356" s="31"/>
      <c r="P356" s="31"/>
      <c r="R356" s="106"/>
      <c r="S356" s="3"/>
      <c r="T356" s="58"/>
      <c r="W356" s="1"/>
      <c r="X356" s="13"/>
      <c r="Y356" s="14"/>
    </row>
    <row r="357" spans="2:25" ht="15.75" customHeight="1">
      <c r="B357" s="13"/>
      <c r="C357" s="13"/>
      <c r="E357" s="14"/>
      <c r="G357" s="1"/>
      <c r="O357" s="31"/>
      <c r="P357" s="31"/>
      <c r="R357" s="106"/>
      <c r="S357" s="3"/>
      <c r="T357" s="58"/>
      <c r="W357" s="1"/>
      <c r="X357" s="13"/>
      <c r="Y357" s="14"/>
    </row>
    <row r="358" spans="2:25" ht="15.75" customHeight="1">
      <c r="B358" s="13"/>
      <c r="C358" s="13"/>
      <c r="E358" s="14"/>
      <c r="G358" s="1"/>
      <c r="O358" s="31"/>
      <c r="P358" s="31"/>
      <c r="R358" s="106"/>
      <c r="S358" s="3"/>
      <c r="T358" s="58"/>
      <c r="W358" s="1"/>
      <c r="X358" s="13"/>
      <c r="Y358" s="14"/>
    </row>
    <row r="359" spans="2:25" ht="15.75" customHeight="1">
      <c r="B359" s="13"/>
      <c r="C359" s="13"/>
      <c r="E359" s="14"/>
      <c r="G359" s="1"/>
      <c r="O359" s="31"/>
      <c r="P359" s="31"/>
      <c r="R359" s="106"/>
      <c r="S359" s="3"/>
      <c r="T359" s="58"/>
      <c r="W359" s="1"/>
      <c r="X359" s="13"/>
      <c r="Y359" s="14"/>
    </row>
    <row r="360" spans="2:25" ht="15.75" customHeight="1">
      <c r="B360" s="13"/>
      <c r="C360" s="13"/>
      <c r="E360" s="14"/>
      <c r="G360" s="1"/>
      <c r="O360" s="31"/>
      <c r="P360" s="31"/>
      <c r="R360" s="106"/>
      <c r="S360" s="3"/>
      <c r="T360" s="58"/>
      <c r="W360" s="1"/>
      <c r="X360" s="13"/>
      <c r="Y360" s="14"/>
    </row>
    <row r="361" spans="2:25" ht="15.75" customHeight="1">
      <c r="B361" s="13"/>
      <c r="C361" s="13"/>
      <c r="E361" s="14"/>
      <c r="G361" s="1"/>
      <c r="O361" s="31"/>
      <c r="P361" s="31"/>
      <c r="R361" s="106"/>
      <c r="S361" s="3"/>
      <c r="T361" s="58"/>
      <c r="W361" s="1"/>
      <c r="X361" s="13"/>
      <c r="Y361" s="14"/>
    </row>
    <row r="362" spans="2:25" ht="15.75" customHeight="1">
      <c r="B362" s="13"/>
      <c r="C362" s="13"/>
      <c r="E362" s="14"/>
      <c r="G362" s="1"/>
      <c r="O362" s="31"/>
      <c r="P362" s="31"/>
      <c r="R362" s="106"/>
      <c r="S362" s="3"/>
      <c r="T362" s="58"/>
      <c r="W362" s="1"/>
      <c r="X362" s="13"/>
      <c r="Y362" s="14"/>
    </row>
    <row r="363" spans="2:25" ht="15.75" customHeight="1">
      <c r="B363" s="13"/>
      <c r="C363" s="13"/>
      <c r="E363" s="14"/>
      <c r="G363" s="1"/>
      <c r="O363" s="31"/>
      <c r="P363" s="31"/>
      <c r="R363" s="106"/>
      <c r="S363" s="3"/>
      <c r="T363" s="58"/>
      <c r="W363" s="1"/>
      <c r="X363" s="13"/>
      <c r="Y363" s="14"/>
    </row>
    <row r="364" spans="2:25" ht="15.75" customHeight="1">
      <c r="B364" s="13"/>
      <c r="C364" s="13"/>
      <c r="E364" s="14"/>
      <c r="G364" s="1"/>
      <c r="O364" s="31"/>
      <c r="P364" s="31"/>
      <c r="R364" s="106"/>
      <c r="S364" s="3"/>
      <c r="T364" s="58"/>
      <c r="W364" s="1"/>
      <c r="X364" s="13"/>
      <c r="Y364" s="14"/>
    </row>
    <row r="365" spans="2:25" ht="15.75" customHeight="1">
      <c r="B365" s="13"/>
      <c r="C365" s="13"/>
      <c r="E365" s="14"/>
      <c r="G365" s="1"/>
      <c r="O365" s="31"/>
      <c r="P365" s="31"/>
      <c r="R365" s="106"/>
      <c r="S365" s="3"/>
      <c r="T365" s="58"/>
      <c r="W365" s="1"/>
      <c r="X365" s="13"/>
      <c r="Y365" s="14"/>
    </row>
    <row r="366" spans="2:25" ht="15.75" customHeight="1">
      <c r="B366" s="13"/>
      <c r="C366" s="13"/>
      <c r="E366" s="14"/>
      <c r="G366" s="1"/>
      <c r="O366" s="31"/>
      <c r="P366" s="31"/>
      <c r="R366" s="106"/>
      <c r="S366" s="3"/>
      <c r="T366" s="58"/>
      <c r="W366" s="1"/>
      <c r="X366" s="13"/>
      <c r="Y366" s="14"/>
    </row>
    <row r="367" spans="2:25" ht="15.75" customHeight="1">
      <c r="B367" s="13"/>
      <c r="C367" s="13"/>
      <c r="E367" s="14"/>
      <c r="G367" s="1"/>
      <c r="O367" s="31"/>
      <c r="P367" s="31"/>
      <c r="R367" s="106"/>
      <c r="S367" s="3"/>
      <c r="T367" s="58"/>
      <c r="W367" s="1"/>
      <c r="X367" s="13"/>
      <c r="Y367" s="14"/>
    </row>
    <row r="368" spans="2:25" ht="15.75" customHeight="1">
      <c r="B368" s="13"/>
      <c r="C368" s="13"/>
      <c r="E368" s="14"/>
      <c r="G368" s="1"/>
      <c r="O368" s="31"/>
      <c r="P368" s="31"/>
      <c r="R368" s="106"/>
      <c r="S368" s="3"/>
      <c r="T368" s="58"/>
      <c r="W368" s="1"/>
      <c r="X368" s="13"/>
      <c r="Y368" s="14"/>
    </row>
    <row r="369" spans="2:25" ht="15.75" customHeight="1">
      <c r="B369" s="13"/>
      <c r="C369" s="13"/>
      <c r="E369" s="14"/>
      <c r="G369" s="1"/>
      <c r="O369" s="31"/>
      <c r="P369" s="31"/>
      <c r="R369" s="106"/>
      <c r="S369" s="3"/>
      <c r="T369" s="58"/>
      <c r="W369" s="1"/>
      <c r="X369" s="13"/>
      <c r="Y369" s="14"/>
    </row>
    <row r="370" spans="2:25" ht="15.75" customHeight="1">
      <c r="B370" s="13"/>
      <c r="C370" s="13"/>
      <c r="E370" s="14"/>
      <c r="G370" s="1"/>
      <c r="O370" s="31"/>
      <c r="P370" s="31"/>
      <c r="R370" s="106"/>
      <c r="S370" s="3"/>
      <c r="T370" s="58"/>
      <c r="W370" s="1"/>
      <c r="X370" s="13"/>
      <c r="Y370" s="14"/>
    </row>
    <row r="371" spans="2:25" ht="15.75" customHeight="1">
      <c r="B371" s="13"/>
      <c r="C371" s="13"/>
      <c r="E371" s="14"/>
      <c r="G371" s="1"/>
      <c r="O371" s="31"/>
      <c r="P371" s="31"/>
      <c r="R371" s="106"/>
      <c r="S371" s="3"/>
      <c r="T371" s="58"/>
      <c r="W371" s="1"/>
      <c r="X371" s="13"/>
      <c r="Y371" s="14"/>
    </row>
    <row r="372" spans="2:25" ht="15.75" customHeight="1">
      <c r="B372" s="13"/>
      <c r="C372" s="13"/>
      <c r="E372" s="14"/>
      <c r="G372" s="1"/>
      <c r="O372" s="31"/>
      <c r="P372" s="31"/>
      <c r="R372" s="106"/>
      <c r="S372" s="3"/>
      <c r="T372" s="58"/>
      <c r="W372" s="1"/>
      <c r="X372" s="13"/>
      <c r="Y372" s="14"/>
    </row>
    <row r="373" spans="2:25" ht="15.75" customHeight="1">
      <c r="B373" s="13"/>
      <c r="C373" s="13"/>
      <c r="E373" s="14"/>
      <c r="G373" s="1"/>
      <c r="O373" s="31"/>
      <c r="P373" s="31"/>
      <c r="R373" s="106"/>
      <c r="S373" s="3"/>
      <c r="T373" s="58"/>
      <c r="W373" s="1"/>
      <c r="X373" s="13"/>
      <c r="Y373" s="14"/>
    </row>
    <row r="374" spans="2:25" ht="15.75" customHeight="1">
      <c r="B374" s="13"/>
      <c r="C374" s="13"/>
      <c r="E374" s="14"/>
      <c r="G374" s="1"/>
      <c r="O374" s="31"/>
      <c r="P374" s="31"/>
      <c r="R374" s="106"/>
      <c r="S374" s="3"/>
      <c r="T374" s="58"/>
      <c r="W374" s="1"/>
      <c r="X374" s="13"/>
      <c r="Y374" s="14"/>
    </row>
    <row r="375" spans="2:25" ht="15.75" customHeight="1">
      <c r="B375" s="13"/>
      <c r="C375" s="13"/>
      <c r="E375" s="14"/>
      <c r="G375" s="1"/>
      <c r="O375" s="31"/>
      <c r="P375" s="31"/>
      <c r="R375" s="106"/>
      <c r="S375" s="3"/>
      <c r="T375" s="58"/>
      <c r="W375" s="1"/>
      <c r="X375" s="13"/>
      <c r="Y375" s="14"/>
    </row>
    <row r="376" spans="2:25" ht="15.75" customHeight="1">
      <c r="B376" s="13"/>
      <c r="C376" s="13"/>
      <c r="E376" s="14"/>
      <c r="G376" s="1"/>
      <c r="O376" s="31"/>
      <c r="P376" s="31"/>
      <c r="R376" s="106"/>
      <c r="S376" s="3"/>
      <c r="T376" s="58"/>
      <c r="W376" s="1"/>
      <c r="X376" s="13"/>
      <c r="Y376" s="14"/>
    </row>
    <row r="377" spans="2:25" ht="15.75" customHeight="1">
      <c r="B377" s="13"/>
      <c r="C377" s="13"/>
      <c r="E377" s="14"/>
      <c r="G377" s="1"/>
      <c r="O377" s="31"/>
      <c r="P377" s="31"/>
      <c r="R377" s="106"/>
      <c r="S377" s="3"/>
      <c r="T377" s="58"/>
      <c r="W377" s="1"/>
      <c r="X377" s="13"/>
      <c r="Y377" s="14"/>
    </row>
    <row r="378" spans="2:25" ht="15.75" customHeight="1">
      <c r="B378" s="13"/>
      <c r="C378" s="13"/>
      <c r="E378" s="14"/>
      <c r="G378" s="1"/>
      <c r="O378" s="31"/>
      <c r="P378" s="31"/>
      <c r="R378" s="106"/>
      <c r="S378" s="3"/>
      <c r="T378" s="58"/>
      <c r="W378" s="1"/>
      <c r="X378" s="13"/>
      <c r="Y378" s="14"/>
    </row>
    <row r="379" spans="2:25" ht="15.75" customHeight="1">
      <c r="B379" s="13"/>
      <c r="C379" s="13"/>
      <c r="E379" s="14"/>
      <c r="G379" s="1"/>
      <c r="O379" s="31"/>
      <c r="P379" s="31"/>
      <c r="R379" s="106"/>
      <c r="S379" s="3"/>
      <c r="T379" s="58"/>
      <c r="W379" s="1"/>
      <c r="X379" s="13"/>
      <c r="Y379" s="14"/>
    </row>
    <row r="380" spans="2:25" ht="15.75" customHeight="1">
      <c r="B380" s="13"/>
      <c r="C380" s="13"/>
      <c r="E380" s="14"/>
      <c r="G380" s="1"/>
      <c r="O380" s="31"/>
      <c r="P380" s="31"/>
      <c r="R380" s="106"/>
      <c r="S380" s="3"/>
      <c r="T380" s="58"/>
      <c r="W380" s="1"/>
      <c r="X380" s="13"/>
      <c r="Y380" s="14"/>
    </row>
    <row r="381" spans="2:25" ht="15.75" customHeight="1">
      <c r="B381" s="13"/>
      <c r="C381" s="13"/>
      <c r="E381" s="14"/>
      <c r="G381" s="1"/>
      <c r="O381" s="31"/>
      <c r="P381" s="31"/>
      <c r="R381" s="106"/>
      <c r="S381" s="3"/>
      <c r="T381" s="58"/>
      <c r="W381" s="1"/>
      <c r="X381" s="13"/>
      <c r="Y381" s="14"/>
    </row>
    <row r="382" spans="2:25" ht="15.75" customHeight="1">
      <c r="B382" s="13"/>
      <c r="C382" s="13"/>
      <c r="E382" s="14"/>
      <c r="G382" s="1"/>
      <c r="O382" s="31"/>
      <c r="P382" s="31"/>
      <c r="R382" s="106"/>
      <c r="S382" s="3"/>
      <c r="T382" s="58"/>
      <c r="W382" s="1"/>
      <c r="X382" s="13"/>
      <c r="Y382" s="14"/>
    </row>
    <row r="383" spans="2:25" ht="15.75" customHeight="1">
      <c r="B383" s="13"/>
      <c r="C383" s="13"/>
      <c r="E383" s="14"/>
      <c r="G383" s="1"/>
      <c r="O383" s="31"/>
      <c r="P383" s="31"/>
      <c r="R383" s="106"/>
      <c r="S383" s="3"/>
      <c r="T383" s="58"/>
      <c r="W383" s="1"/>
      <c r="X383" s="13"/>
      <c r="Y383" s="14"/>
    </row>
    <row r="384" spans="2:25" ht="15.75" customHeight="1">
      <c r="B384" s="13"/>
      <c r="C384" s="13"/>
      <c r="E384" s="14"/>
      <c r="G384" s="1"/>
      <c r="O384" s="31"/>
      <c r="P384" s="31"/>
      <c r="R384" s="106"/>
      <c r="S384" s="3"/>
      <c r="T384" s="58"/>
      <c r="W384" s="1"/>
      <c r="X384" s="13"/>
      <c r="Y384" s="14"/>
    </row>
    <row r="385" spans="2:25" ht="15.75" customHeight="1">
      <c r="B385" s="13"/>
      <c r="C385" s="13"/>
      <c r="E385" s="14"/>
      <c r="G385" s="1"/>
      <c r="O385" s="31"/>
      <c r="P385" s="31"/>
      <c r="R385" s="106"/>
      <c r="S385" s="3"/>
      <c r="T385" s="58"/>
      <c r="W385" s="1"/>
      <c r="X385" s="13"/>
      <c r="Y385" s="14"/>
    </row>
    <row r="386" spans="2:25" ht="15.75" customHeight="1">
      <c r="B386" s="13"/>
      <c r="C386" s="13"/>
      <c r="E386" s="14"/>
      <c r="G386" s="1"/>
      <c r="O386" s="31"/>
      <c r="P386" s="31"/>
      <c r="R386" s="106"/>
      <c r="S386" s="3"/>
      <c r="T386" s="58"/>
      <c r="W386" s="1"/>
      <c r="X386" s="13"/>
      <c r="Y386" s="14"/>
    </row>
    <row r="387" spans="2:25" ht="15.75" customHeight="1">
      <c r="B387" s="13"/>
      <c r="C387" s="13"/>
      <c r="E387" s="14"/>
      <c r="G387" s="1"/>
      <c r="O387" s="31"/>
      <c r="P387" s="31"/>
      <c r="R387" s="106"/>
      <c r="S387" s="3"/>
      <c r="T387" s="58"/>
      <c r="W387" s="1"/>
      <c r="X387" s="13"/>
      <c r="Y387" s="14"/>
    </row>
    <row r="388" spans="2:25" ht="15.75" customHeight="1">
      <c r="B388" s="13"/>
      <c r="C388" s="13"/>
      <c r="E388" s="14"/>
      <c r="G388" s="1"/>
      <c r="O388" s="31"/>
      <c r="P388" s="31"/>
      <c r="R388" s="106"/>
      <c r="S388" s="3"/>
      <c r="T388" s="58"/>
      <c r="W388" s="1"/>
      <c r="X388" s="13"/>
      <c r="Y388" s="14"/>
    </row>
    <row r="389" spans="2:25" ht="15.75" customHeight="1">
      <c r="B389" s="13"/>
      <c r="C389" s="13"/>
      <c r="E389" s="14"/>
      <c r="G389" s="1"/>
      <c r="O389" s="31"/>
      <c r="P389" s="31"/>
      <c r="R389" s="106"/>
      <c r="S389" s="3"/>
      <c r="T389" s="58"/>
      <c r="W389" s="1"/>
      <c r="X389" s="13"/>
      <c r="Y389" s="14"/>
    </row>
    <row r="390" spans="2:25" ht="15.75" customHeight="1">
      <c r="B390" s="13"/>
      <c r="C390" s="13"/>
      <c r="E390" s="14"/>
      <c r="G390" s="1"/>
      <c r="O390" s="31"/>
      <c r="P390" s="31"/>
      <c r="R390" s="106"/>
      <c r="S390" s="3"/>
      <c r="T390" s="58"/>
      <c r="W390" s="1"/>
      <c r="X390" s="13"/>
      <c r="Y390" s="14"/>
    </row>
    <row r="391" spans="2:25" ht="15.75" customHeight="1">
      <c r="B391" s="13"/>
      <c r="C391" s="13"/>
      <c r="E391" s="14"/>
      <c r="G391" s="1"/>
      <c r="O391" s="31"/>
      <c r="P391" s="31"/>
      <c r="R391" s="106"/>
      <c r="S391" s="3"/>
      <c r="T391" s="58"/>
      <c r="W391" s="1"/>
      <c r="X391" s="13"/>
      <c r="Y391" s="14"/>
    </row>
    <row r="392" spans="2:25" ht="15.75" customHeight="1">
      <c r="B392" s="13"/>
      <c r="C392" s="13"/>
      <c r="E392" s="14"/>
      <c r="G392" s="1"/>
      <c r="O392" s="31"/>
      <c r="P392" s="31"/>
      <c r="R392" s="106"/>
      <c r="S392" s="3"/>
      <c r="T392" s="58"/>
      <c r="W392" s="1"/>
      <c r="X392" s="13"/>
      <c r="Y392" s="14"/>
    </row>
    <row r="393" spans="2:25" ht="15.75" customHeight="1">
      <c r="B393" s="13"/>
      <c r="C393" s="13"/>
      <c r="E393" s="14"/>
      <c r="G393" s="1"/>
      <c r="O393" s="31"/>
      <c r="P393" s="31"/>
      <c r="R393" s="106"/>
      <c r="S393" s="3"/>
      <c r="T393" s="58"/>
      <c r="W393" s="1"/>
      <c r="X393" s="13"/>
      <c r="Y393" s="14"/>
    </row>
    <row r="394" spans="2:25" ht="15.75" customHeight="1">
      <c r="B394" s="13"/>
      <c r="C394" s="13"/>
      <c r="E394" s="14"/>
      <c r="G394" s="1"/>
      <c r="O394" s="31"/>
      <c r="P394" s="31"/>
      <c r="R394" s="106"/>
      <c r="S394" s="3"/>
      <c r="T394" s="58"/>
      <c r="W394" s="1"/>
      <c r="X394" s="13"/>
      <c r="Y394" s="14"/>
    </row>
    <row r="395" spans="2:25" ht="15.75" customHeight="1">
      <c r="B395" s="13"/>
      <c r="C395" s="13"/>
      <c r="E395" s="14"/>
      <c r="G395" s="1"/>
      <c r="O395" s="31"/>
      <c r="P395" s="31"/>
      <c r="R395" s="106"/>
      <c r="S395" s="3"/>
      <c r="T395" s="58"/>
      <c r="W395" s="1"/>
      <c r="X395" s="13"/>
      <c r="Y395" s="14"/>
    </row>
    <row r="396" spans="2:25" ht="15.75" customHeight="1">
      <c r="B396" s="13"/>
      <c r="C396" s="13"/>
      <c r="E396" s="14"/>
      <c r="G396" s="1"/>
      <c r="O396" s="31"/>
      <c r="P396" s="31"/>
      <c r="R396" s="106"/>
      <c r="S396" s="3"/>
      <c r="T396" s="58"/>
      <c r="W396" s="1"/>
      <c r="X396" s="13"/>
      <c r="Y396" s="14"/>
    </row>
    <row r="397" spans="2:25" ht="15.75" customHeight="1">
      <c r="B397" s="13"/>
      <c r="C397" s="13"/>
      <c r="E397" s="14"/>
      <c r="G397" s="1"/>
      <c r="O397" s="31"/>
      <c r="P397" s="31"/>
      <c r="R397" s="106"/>
      <c r="S397" s="3"/>
      <c r="T397" s="58"/>
      <c r="W397" s="1"/>
      <c r="X397" s="13"/>
      <c r="Y397" s="14"/>
    </row>
    <row r="398" spans="2:25" ht="15.75" customHeight="1">
      <c r="B398" s="13"/>
      <c r="C398" s="13"/>
      <c r="E398" s="14"/>
      <c r="G398" s="1"/>
      <c r="O398" s="31"/>
      <c r="P398" s="31"/>
      <c r="R398" s="106"/>
      <c r="S398" s="3"/>
      <c r="T398" s="58"/>
      <c r="W398" s="1"/>
      <c r="X398" s="13"/>
      <c r="Y398" s="14"/>
    </row>
    <row r="399" spans="2:25" ht="15.75" customHeight="1">
      <c r="B399" s="13"/>
      <c r="C399" s="13"/>
      <c r="E399" s="14"/>
      <c r="G399" s="1"/>
      <c r="O399" s="31"/>
      <c r="P399" s="31"/>
      <c r="R399" s="106"/>
      <c r="S399" s="3"/>
      <c r="T399" s="58"/>
      <c r="W399" s="1"/>
      <c r="X399" s="13"/>
      <c r="Y399" s="14"/>
    </row>
    <row r="400" spans="2:25" ht="15.75" customHeight="1">
      <c r="B400" s="13"/>
      <c r="C400" s="13"/>
      <c r="E400" s="14"/>
      <c r="G400" s="1"/>
      <c r="O400" s="31"/>
      <c r="P400" s="31"/>
      <c r="R400" s="106"/>
      <c r="S400" s="3"/>
      <c r="T400" s="58"/>
      <c r="W400" s="1"/>
      <c r="X400" s="13"/>
      <c r="Y400" s="14"/>
    </row>
    <row r="401" spans="2:25" ht="15.75" customHeight="1">
      <c r="B401" s="13"/>
      <c r="C401" s="13"/>
      <c r="E401" s="14"/>
      <c r="G401" s="1"/>
      <c r="O401" s="31"/>
      <c r="P401" s="31"/>
      <c r="R401" s="106"/>
      <c r="S401" s="3"/>
      <c r="T401" s="58"/>
      <c r="W401" s="1"/>
      <c r="X401" s="13"/>
      <c r="Y401" s="14"/>
    </row>
    <row r="402" spans="2:25" ht="15.75" customHeight="1">
      <c r="B402" s="13"/>
      <c r="C402" s="13"/>
      <c r="E402" s="14"/>
      <c r="G402" s="1"/>
      <c r="O402" s="31"/>
      <c r="P402" s="31"/>
      <c r="R402" s="106"/>
      <c r="S402" s="3"/>
      <c r="T402" s="58"/>
      <c r="W402" s="1"/>
      <c r="X402" s="13"/>
      <c r="Y402" s="14"/>
    </row>
    <row r="403" spans="2:25" ht="15.75" customHeight="1">
      <c r="B403" s="13"/>
      <c r="C403" s="13"/>
      <c r="E403" s="14"/>
      <c r="G403" s="1"/>
      <c r="O403" s="31"/>
      <c r="P403" s="31"/>
      <c r="R403" s="106"/>
      <c r="S403" s="3"/>
      <c r="T403" s="58"/>
      <c r="W403" s="1"/>
      <c r="X403" s="13"/>
      <c r="Y403" s="14"/>
    </row>
    <row r="404" spans="2:25" ht="15.75" customHeight="1">
      <c r="B404" s="13"/>
      <c r="C404" s="13"/>
      <c r="E404" s="14"/>
      <c r="G404" s="1"/>
      <c r="O404" s="31"/>
      <c r="P404" s="31"/>
      <c r="R404" s="106"/>
      <c r="S404" s="3"/>
      <c r="T404" s="58"/>
      <c r="W404" s="1"/>
      <c r="X404" s="13"/>
      <c r="Y404" s="14"/>
    </row>
    <row r="405" spans="2:25" ht="15.75" customHeight="1">
      <c r="B405" s="13"/>
      <c r="C405" s="13"/>
      <c r="E405" s="14"/>
      <c r="G405" s="1"/>
      <c r="O405" s="31"/>
      <c r="P405" s="31"/>
      <c r="R405" s="106"/>
      <c r="S405" s="3"/>
      <c r="T405" s="58"/>
      <c r="W405" s="1"/>
      <c r="X405" s="13"/>
      <c r="Y405" s="14"/>
    </row>
    <row r="406" spans="2:25" ht="15.75" customHeight="1">
      <c r="B406" s="13"/>
      <c r="C406" s="13"/>
      <c r="E406" s="14"/>
      <c r="G406" s="1"/>
      <c r="O406" s="31"/>
      <c r="P406" s="31"/>
      <c r="R406" s="106"/>
      <c r="S406" s="3"/>
      <c r="T406" s="58"/>
      <c r="W406" s="1"/>
      <c r="X406" s="13"/>
      <c r="Y406" s="14"/>
    </row>
    <row r="407" spans="2:25" ht="15.75" customHeight="1">
      <c r="B407" s="13"/>
      <c r="C407" s="13"/>
      <c r="E407" s="14"/>
      <c r="G407" s="1"/>
      <c r="O407" s="31"/>
      <c r="P407" s="31"/>
      <c r="R407" s="106"/>
      <c r="S407" s="3"/>
      <c r="T407" s="58"/>
      <c r="W407" s="1"/>
      <c r="X407" s="13"/>
      <c r="Y407" s="14"/>
    </row>
    <row r="408" spans="2:25" ht="15.75" customHeight="1">
      <c r="B408" s="13"/>
      <c r="C408" s="13"/>
      <c r="E408" s="14"/>
      <c r="G408" s="1"/>
      <c r="O408" s="31"/>
      <c r="P408" s="31"/>
      <c r="R408" s="106"/>
      <c r="S408" s="3"/>
      <c r="T408" s="58"/>
      <c r="W408" s="1"/>
      <c r="X408" s="13"/>
      <c r="Y408" s="14"/>
    </row>
    <row r="409" spans="2:25" ht="15.75" customHeight="1">
      <c r="B409" s="13"/>
      <c r="C409" s="13"/>
      <c r="E409" s="14"/>
      <c r="G409" s="1"/>
      <c r="O409" s="31"/>
      <c r="P409" s="31"/>
      <c r="R409" s="106"/>
      <c r="S409" s="3"/>
      <c r="T409" s="58"/>
      <c r="W409" s="1"/>
      <c r="X409" s="13"/>
      <c r="Y409" s="14"/>
    </row>
    <row r="410" spans="2:25" ht="15.75" customHeight="1">
      <c r="B410" s="13"/>
      <c r="C410" s="13"/>
      <c r="E410" s="14"/>
      <c r="G410" s="1"/>
      <c r="O410" s="31"/>
      <c r="P410" s="31"/>
      <c r="R410" s="106"/>
      <c r="S410" s="3"/>
      <c r="T410" s="58"/>
      <c r="W410" s="1"/>
      <c r="X410" s="13"/>
      <c r="Y410" s="14"/>
    </row>
    <row r="411" spans="2:25" ht="15.75" customHeight="1">
      <c r="B411" s="13"/>
      <c r="C411" s="13"/>
      <c r="E411" s="14"/>
      <c r="G411" s="1"/>
      <c r="O411" s="31"/>
      <c r="P411" s="31"/>
      <c r="R411" s="106"/>
      <c r="S411" s="3"/>
      <c r="T411" s="58"/>
      <c r="W411" s="1"/>
      <c r="X411" s="13"/>
      <c r="Y411" s="14"/>
    </row>
    <row r="412" spans="2:25" ht="15.75" customHeight="1">
      <c r="B412" s="13"/>
      <c r="C412" s="13"/>
      <c r="E412" s="14"/>
      <c r="G412" s="1"/>
      <c r="O412" s="31"/>
      <c r="P412" s="31"/>
      <c r="R412" s="106"/>
      <c r="S412" s="3"/>
      <c r="T412" s="58"/>
      <c r="W412" s="1"/>
      <c r="X412" s="13"/>
      <c r="Y412" s="14"/>
    </row>
    <row r="413" spans="2:25" ht="15.75" customHeight="1">
      <c r="B413" s="13"/>
      <c r="C413" s="13"/>
      <c r="E413" s="14"/>
      <c r="G413" s="1"/>
      <c r="O413" s="31"/>
      <c r="P413" s="31"/>
      <c r="R413" s="106"/>
      <c r="S413" s="3"/>
      <c r="T413" s="58"/>
      <c r="W413" s="1"/>
      <c r="X413" s="13"/>
      <c r="Y413" s="14"/>
    </row>
    <row r="414" spans="2:25" ht="15.75" customHeight="1">
      <c r="B414" s="13"/>
      <c r="C414" s="13"/>
      <c r="E414" s="14"/>
      <c r="G414" s="1"/>
      <c r="O414" s="31"/>
      <c r="P414" s="31"/>
      <c r="R414" s="106"/>
      <c r="S414" s="3"/>
      <c r="T414" s="58"/>
      <c r="W414" s="1"/>
      <c r="X414" s="13"/>
      <c r="Y414" s="14"/>
    </row>
    <row r="415" spans="2:25" ht="15.75" customHeight="1">
      <c r="B415" s="13"/>
      <c r="C415" s="13"/>
      <c r="E415" s="14"/>
      <c r="G415" s="1"/>
      <c r="O415" s="31"/>
      <c r="P415" s="31"/>
      <c r="R415" s="106"/>
      <c r="S415" s="3"/>
      <c r="T415" s="58"/>
      <c r="W415" s="1"/>
      <c r="X415" s="13"/>
      <c r="Y415" s="14"/>
    </row>
    <row r="416" spans="2:25" ht="15.75" customHeight="1">
      <c r="B416" s="13"/>
      <c r="C416" s="13"/>
      <c r="E416" s="14"/>
      <c r="G416" s="1"/>
      <c r="O416" s="31"/>
      <c r="P416" s="31"/>
      <c r="R416" s="106"/>
      <c r="S416" s="3"/>
      <c r="T416" s="58"/>
      <c r="W416" s="1"/>
      <c r="X416" s="13"/>
      <c r="Y416" s="14"/>
    </row>
    <row r="417" spans="2:25" ht="15.75" customHeight="1">
      <c r="B417" s="13"/>
      <c r="C417" s="13"/>
      <c r="E417" s="14"/>
      <c r="G417" s="1"/>
      <c r="O417" s="31"/>
      <c r="P417" s="31"/>
      <c r="R417" s="106"/>
      <c r="S417" s="3"/>
      <c r="T417" s="58"/>
      <c r="W417" s="1"/>
      <c r="X417" s="13"/>
      <c r="Y417" s="14"/>
    </row>
    <row r="418" spans="2:25" ht="15.75" customHeight="1">
      <c r="B418" s="13"/>
      <c r="C418" s="13"/>
      <c r="E418" s="14"/>
      <c r="G418" s="1"/>
      <c r="O418" s="31"/>
      <c r="P418" s="31"/>
      <c r="R418" s="106"/>
      <c r="S418" s="3"/>
      <c r="T418" s="58"/>
      <c r="W418" s="1"/>
      <c r="X418" s="13"/>
      <c r="Y418" s="14"/>
    </row>
    <row r="419" spans="2:25" ht="15.75" customHeight="1">
      <c r="B419" s="13"/>
      <c r="C419" s="13"/>
      <c r="E419" s="14"/>
      <c r="G419" s="1"/>
      <c r="O419" s="31"/>
      <c r="P419" s="31"/>
      <c r="R419" s="106"/>
      <c r="S419" s="3"/>
      <c r="T419" s="58"/>
      <c r="W419" s="1"/>
      <c r="X419" s="13"/>
      <c r="Y419" s="14"/>
    </row>
    <row r="420" spans="2:25" ht="15.75" customHeight="1">
      <c r="B420" s="13"/>
      <c r="C420" s="13"/>
      <c r="E420" s="14"/>
      <c r="G420" s="1"/>
      <c r="O420" s="31"/>
      <c r="P420" s="31"/>
      <c r="R420" s="106"/>
      <c r="S420" s="3"/>
      <c r="T420" s="58"/>
      <c r="W420" s="1"/>
      <c r="X420" s="13"/>
      <c r="Y420" s="14"/>
    </row>
    <row r="421" spans="2:25" ht="15.75" customHeight="1">
      <c r="B421" s="13"/>
      <c r="C421" s="13"/>
      <c r="E421" s="14"/>
      <c r="G421" s="1"/>
      <c r="O421" s="31"/>
      <c r="P421" s="31"/>
      <c r="R421" s="106"/>
      <c r="S421" s="3"/>
      <c r="T421" s="58"/>
      <c r="W421" s="1"/>
      <c r="X421" s="13"/>
      <c r="Y421" s="14"/>
    </row>
    <row r="422" spans="2:25" ht="15.75" customHeight="1">
      <c r="B422" s="13"/>
      <c r="C422" s="13"/>
      <c r="E422" s="14"/>
      <c r="G422" s="1"/>
      <c r="O422" s="31"/>
      <c r="P422" s="31"/>
      <c r="R422" s="106"/>
      <c r="S422" s="3"/>
      <c r="T422" s="58"/>
      <c r="W422" s="1"/>
      <c r="X422" s="13"/>
      <c r="Y422" s="14"/>
    </row>
    <row r="423" spans="2:25" ht="15.75" customHeight="1">
      <c r="B423" s="13"/>
      <c r="C423" s="13"/>
      <c r="E423" s="14"/>
      <c r="G423" s="1"/>
      <c r="O423" s="31"/>
      <c r="P423" s="31"/>
      <c r="R423" s="106"/>
      <c r="S423" s="3"/>
      <c r="T423" s="58"/>
      <c r="W423" s="1"/>
      <c r="X423" s="13"/>
      <c r="Y423" s="14"/>
    </row>
    <row r="424" spans="2:25" ht="15.75" customHeight="1">
      <c r="B424" s="13"/>
      <c r="C424" s="13"/>
      <c r="E424" s="14"/>
      <c r="G424" s="1"/>
      <c r="O424" s="31"/>
      <c r="P424" s="31"/>
      <c r="R424" s="106"/>
      <c r="S424" s="3"/>
      <c r="T424" s="58"/>
      <c r="W424" s="1"/>
      <c r="X424" s="13"/>
      <c r="Y424" s="14"/>
    </row>
    <row r="425" spans="2:25" ht="15.75" customHeight="1">
      <c r="B425" s="13"/>
      <c r="C425" s="13"/>
      <c r="E425" s="14"/>
      <c r="G425" s="1"/>
      <c r="O425" s="31"/>
      <c r="P425" s="31"/>
      <c r="R425" s="106"/>
      <c r="S425" s="3"/>
      <c r="T425" s="58"/>
      <c r="W425" s="1"/>
      <c r="X425" s="13"/>
      <c r="Y425" s="14"/>
    </row>
    <row r="426" spans="2:25" ht="15.75" customHeight="1">
      <c r="B426" s="13"/>
      <c r="C426" s="13"/>
      <c r="E426" s="14"/>
      <c r="G426" s="1"/>
      <c r="O426" s="31"/>
      <c r="P426" s="31"/>
      <c r="R426" s="106"/>
      <c r="S426" s="3"/>
      <c r="T426" s="58"/>
      <c r="W426" s="1"/>
      <c r="X426" s="13"/>
      <c r="Y426" s="14"/>
    </row>
    <row r="427" spans="2:25" ht="15.75" customHeight="1">
      <c r="B427" s="13"/>
      <c r="C427" s="13"/>
      <c r="E427" s="14"/>
      <c r="G427" s="1"/>
      <c r="O427" s="31"/>
      <c r="P427" s="31"/>
      <c r="R427" s="106"/>
      <c r="S427" s="3"/>
      <c r="T427" s="58"/>
      <c r="W427" s="1"/>
      <c r="X427" s="13"/>
      <c r="Y427" s="14"/>
    </row>
    <row r="428" spans="2:25" ht="15.75" customHeight="1">
      <c r="B428" s="13"/>
      <c r="C428" s="13"/>
      <c r="E428" s="14"/>
      <c r="G428" s="1"/>
      <c r="O428" s="31"/>
      <c r="P428" s="31"/>
      <c r="R428" s="106"/>
      <c r="S428" s="3"/>
      <c r="T428" s="58"/>
      <c r="W428" s="1"/>
      <c r="X428" s="13"/>
      <c r="Y428" s="14"/>
    </row>
    <row r="429" spans="2:25" ht="15.75" customHeight="1">
      <c r="B429" s="13"/>
      <c r="C429" s="13"/>
      <c r="E429" s="14"/>
      <c r="G429" s="1"/>
      <c r="O429" s="31"/>
      <c r="P429" s="31"/>
      <c r="R429" s="106"/>
      <c r="S429" s="3"/>
      <c r="T429" s="58"/>
      <c r="W429" s="1"/>
      <c r="X429" s="13"/>
      <c r="Y429" s="14"/>
    </row>
    <row r="430" spans="2:25" ht="15.75" customHeight="1">
      <c r="B430" s="13"/>
      <c r="C430" s="13"/>
      <c r="E430" s="14"/>
      <c r="G430" s="1"/>
      <c r="O430" s="31"/>
      <c r="P430" s="31"/>
      <c r="R430" s="106"/>
      <c r="S430" s="3"/>
      <c r="T430" s="58"/>
      <c r="W430" s="1"/>
      <c r="X430" s="13"/>
      <c r="Y430" s="14"/>
    </row>
    <row r="431" spans="2:25" ht="15.75" customHeight="1">
      <c r="B431" s="13"/>
      <c r="C431" s="13"/>
      <c r="E431" s="14"/>
      <c r="G431" s="1"/>
      <c r="O431" s="31"/>
      <c r="P431" s="31"/>
      <c r="R431" s="106"/>
      <c r="S431" s="3"/>
      <c r="T431" s="58"/>
      <c r="W431" s="1"/>
      <c r="X431" s="13"/>
      <c r="Y431" s="14"/>
    </row>
    <row r="432" spans="2:25" ht="15.75" customHeight="1">
      <c r="B432" s="13"/>
      <c r="C432" s="13"/>
      <c r="E432" s="14"/>
      <c r="G432" s="1"/>
      <c r="O432" s="31"/>
      <c r="P432" s="31"/>
      <c r="R432" s="106"/>
      <c r="S432" s="3"/>
      <c r="T432" s="58"/>
      <c r="W432" s="1"/>
      <c r="X432" s="13"/>
      <c r="Y432" s="14"/>
    </row>
    <row r="433" spans="2:25" ht="15.75" customHeight="1">
      <c r="B433" s="13"/>
      <c r="C433" s="13"/>
      <c r="E433" s="14"/>
      <c r="G433" s="1"/>
      <c r="O433" s="31"/>
      <c r="P433" s="31"/>
      <c r="R433" s="106"/>
      <c r="S433" s="3"/>
      <c r="T433" s="58"/>
      <c r="W433" s="1"/>
      <c r="X433" s="13"/>
      <c r="Y433" s="14"/>
    </row>
    <row r="434" spans="2:25" ht="15.75" customHeight="1">
      <c r="B434" s="13"/>
      <c r="C434" s="13"/>
      <c r="E434" s="14"/>
      <c r="G434" s="1"/>
      <c r="O434" s="31"/>
      <c r="P434" s="31"/>
      <c r="R434" s="106"/>
      <c r="S434" s="3"/>
      <c r="T434" s="58"/>
      <c r="W434" s="1"/>
      <c r="X434" s="13"/>
      <c r="Y434" s="14"/>
    </row>
    <row r="435" spans="2:25" ht="15.75" customHeight="1">
      <c r="B435" s="13"/>
      <c r="C435" s="13"/>
      <c r="E435" s="14"/>
      <c r="G435" s="1"/>
      <c r="O435" s="31"/>
      <c r="P435" s="31"/>
      <c r="R435" s="106"/>
      <c r="S435" s="3"/>
      <c r="T435" s="58"/>
      <c r="W435" s="1"/>
      <c r="X435" s="13"/>
      <c r="Y435" s="14"/>
    </row>
    <row r="436" spans="2:25" ht="15.75" customHeight="1">
      <c r="B436" s="13"/>
      <c r="C436" s="13"/>
      <c r="E436" s="14"/>
      <c r="G436" s="1"/>
      <c r="O436" s="31"/>
      <c r="P436" s="31"/>
      <c r="R436" s="106"/>
      <c r="S436" s="3"/>
      <c r="T436" s="58"/>
      <c r="W436" s="1"/>
      <c r="X436" s="13"/>
      <c r="Y436" s="14"/>
    </row>
    <row r="437" spans="2:25" ht="15.75" customHeight="1">
      <c r="B437" s="13"/>
      <c r="C437" s="13"/>
      <c r="E437" s="14"/>
      <c r="G437" s="1"/>
      <c r="O437" s="31"/>
      <c r="P437" s="31"/>
      <c r="R437" s="106"/>
      <c r="S437" s="3"/>
      <c r="T437" s="58"/>
      <c r="W437" s="1"/>
      <c r="X437" s="13"/>
      <c r="Y437" s="14"/>
    </row>
    <row r="438" spans="2:25" ht="15.75" customHeight="1">
      <c r="B438" s="13"/>
      <c r="C438" s="13"/>
      <c r="E438" s="14"/>
      <c r="G438" s="1"/>
      <c r="O438" s="31"/>
      <c r="P438" s="31"/>
      <c r="R438" s="106"/>
      <c r="S438" s="3"/>
      <c r="T438" s="58"/>
      <c r="W438" s="1"/>
      <c r="X438" s="13"/>
      <c r="Y438" s="14"/>
    </row>
    <row r="439" spans="2:25" ht="15.75" customHeight="1">
      <c r="B439" s="13"/>
      <c r="C439" s="13"/>
      <c r="E439" s="14"/>
      <c r="G439" s="1"/>
      <c r="O439" s="31"/>
      <c r="P439" s="31"/>
      <c r="R439" s="106"/>
      <c r="S439" s="3"/>
      <c r="T439" s="58"/>
      <c r="W439" s="1"/>
      <c r="X439" s="13"/>
      <c r="Y439" s="14"/>
    </row>
    <row r="440" spans="2:25" ht="15.75" customHeight="1">
      <c r="B440" s="13"/>
      <c r="C440" s="13"/>
      <c r="E440" s="14"/>
      <c r="G440" s="1"/>
      <c r="O440" s="31"/>
      <c r="P440" s="31"/>
      <c r="R440" s="106"/>
      <c r="S440" s="3"/>
      <c r="T440" s="58"/>
      <c r="W440" s="1"/>
      <c r="X440" s="13"/>
      <c r="Y440" s="14"/>
    </row>
    <row r="441" spans="2:25" ht="15.75" customHeight="1">
      <c r="B441" s="13"/>
      <c r="C441" s="13"/>
      <c r="E441" s="14"/>
      <c r="G441" s="1"/>
      <c r="O441" s="31"/>
      <c r="P441" s="31"/>
      <c r="R441" s="106"/>
      <c r="S441" s="3"/>
      <c r="T441" s="58"/>
      <c r="W441" s="1"/>
      <c r="X441" s="13"/>
      <c r="Y441" s="14"/>
    </row>
    <row r="442" spans="2:25" ht="15.75" customHeight="1">
      <c r="B442" s="13"/>
      <c r="C442" s="13"/>
      <c r="E442" s="14"/>
      <c r="G442" s="1"/>
      <c r="O442" s="31"/>
      <c r="P442" s="31"/>
      <c r="R442" s="106"/>
      <c r="S442" s="3"/>
      <c r="T442" s="58"/>
      <c r="W442" s="1"/>
      <c r="X442" s="13"/>
      <c r="Y442" s="14"/>
    </row>
    <row r="443" spans="2:25" ht="15.75" customHeight="1">
      <c r="B443" s="13"/>
      <c r="C443" s="13"/>
      <c r="E443" s="14"/>
      <c r="G443" s="1"/>
      <c r="O443" s="31"/>
      <c r="P443" s="31"/>
      <c r="R443" s="106"/>
      <c r="S443" s="3"/>
      <c r="T443" s="58"/>
      <c r="W443" s="1"/>
      <c r="X443" s="13"/>
      <c r="Y443" s="14"/>
    </row>
    <row r="444" spans="2:25" ht="15.75" customHeight="1">
      <c r="B444" s="13"/>
      <c r="C444" s="13"/>
      <c r="E444" s="14"/>
      <c r="G444" s="1"/>
      <c r="O444" s="31"/>
      <c r="P444" s="31"/>
      <c r="R444" s="106"/>
      <c r="S444" s="3"/>
      <c r="T444" s="58"/>
      <c r="W444" s="1"/>
      <c r="X444" s="13"/>
      <c r="Y444" s="14"/>
    </row>
    <row r="445" spans="2:25" ht="15.75" customHeight="1">
      <c r="B445" s="13"/>
      <c r="C445" s="13"/>
      <c r="E445" s="14"/>
      <c r="G445" s="1"/>
      <c r="O445" s="31"/>
      <c r="P445" s="31"/>
      <c r="R445" s="106"/>
      <c r="S445" s="3"/>
      <c r="T445" s="58"/>
      <c r="W445" s="1"/>
      <c r="X445" s="13"/>
      <c r="Y445" s="14"/>
    </row>
    <row r="446" spans="2:25" ht="15.75" customHeight="1">
      <c r="B446" s="13"/>
      <c r="C446" s="13"/>
      <c r="E446" s="14"/>
      <c r="G446" s="1"/>
      <c r="O446" s="31"/>
      <c r="P446" s="31"/>
      <c r="R446" s="106"/>
      <c r="S446" s="3"/>
      <c r="T446" s="58"/>
      <c r="W446" s="1"/>
      <c r="X446" s="13"/>
      <c r="Y446" s="14"/>
    </row>
    <row r="447" spans="2:25" ht="15.75" customHeight="1">
      <c r="B447" s="13"/>
      <c r="C447" s="13"/>
      <c r="E447" s="14"/>
      <c r="G447" s="1"/>
      <c r="O447" s="31"/>
      <c r="P447" s="31"/>
      <c r="R447" s="106"/>
      <c r="S447" s="3"/>
      <c r="T447" s="58"/>
      <c r="W447" s="1"/>
      <c r="X447" s="13"/>
      <c r="Y447" s="14"/>
    </row>
    <row r="448" spans="2:25" ht="15.75" customHeight="1">
      <c r="B448" s="13"/>
      <c r="C448" s="13"/>
      <c r="E448" s="14"/>
      <c r="G448" s="1"/>
      <c r="O448" s="31"/>
      <c r="P448" s="31"/>
      <c r="R448" s="106"/>
      <c r="S448" s="3"/>
      <c r="T448" s="58"/>
      <c r="W448" s="1"/>
      <c r="X448" s="13"/>
      <c r="Y448" s="14"/>
    </row>
    <row r="449" spans="2:25" ht="15.75" customHeight="1">
      <c r="B449" s="13"/>
      <c r="C449" s="13"/>
      <c r="E449" s="14"/>
      <c r="G449" s="1"/>
      <c r="O449" s="31"/>
      <c r="P449" s="31"/>
      <c r="R449" s="106"/>
      <c r="S449" s="3"/>
      <c r="T449" s="58"/>
      <c r="W449" s="1"/>
      <c r="X449" s="13"/>
      <c r="Y449" s="14"/>
    </row>
    <row r="450" spans="2:25" ht="15.75" customHeight="1">
      <c r="B450" s="13"/>
      <c r="C450" s="13"/>
      <c r="E450" s="14"/>
      <c r="G450" s="1"/>
      <c r="O450" s="31"/>
      <c r="P450" s="31"/>
      <c r="R450" s="106"/>
      <c r="S450" s="3"/>
      <c r="T450" s="58"/>
      <c r="W450" s="1"/>
      <c r="X450" s="13"/>
      <c r="Y450" s="14"/>
    </row>
    <row r="451" spans="2:25" ht="15.75" customHeight="1">
      <c r="B451" s="13"/>
      <c r="C451" s="13"/>
      <c r="E451" s="14"/>
      <c r="G451" s="1"/>
      <c r="O451" s="31"/>
      <c r="P451" s="31"/>
      <c r="R451" s="106"/>
      <c r="S451" s="3"/>
      <c r="T451" s="58"/>
      <c r="W451" s="1"/>
      <c r="X451" s="13"/>
      <c r="Y451" s="14"/>
    </row>
    <row r="452" spans="2:25" ht="15.75" customHeight="1">
      <c r="B452" s="13"/>
      <c r="C452" s="13"/>
      <c r="E452" s="14"/>
      <c r="G452" s="1"/>
      <c r="O452" s="31"/>
      <c r="P452" s="31"/>
      <c r="R452" s="106"/>
      <c r="S452" s="3"/>
      <c r="T452" s="58"/>
      <c r="W452" s="1"/>
      <c r="X452" s="13"/>
      <c r="Y452" s="14"/>
    </row>
    <row r="453" spans="2:25" ht="15.75" customHeight="1">
      <c r="B453" s="13"/>
      <c r="C453" s="13"/>
      <c r="E453" s="14"/>
      <c r="G453" s="1"/>
      <c r="O453" s="31"/>
      <c r="P453" s="31"/>
      <c r="R453" s="106"/>
      <c r="S453" s="3"/>
      <c r="T453" s="58"/>
      <c r="W453" s="1"/>
      <c r="X453" s="13"/>
      <c r="Y453" s="14"/>
    </row>
    <row r="454" spans="2:25" ht="15.75" customHeight="1">
      <c r="B454" s="13"/>
      <c r="C454" s="13"/>
      <c r="E454" s="14"/>
      <c r="G454" s="1"/>
      <c r="O454" s="31"/>
      <c r="P454" s="31"/>
      <c r="R454" s="106"/>
      <c r="S454" s="3"/>
      <c r="T454" s="58"/>
      <c r="W454" s="1"/>
      <c r="X454" s="13"/>
      <c r="Y454" s="14"/>
    </row>
    <row r="455" spans="2:25" ht="15.75" customHeight="1">
      <c r="B455" s="13"/>
      <c r="C455" s="13"/>
      <c r="E455" s="14"/>
      <c r="G455" s="1"/>
      <c r="O455" s="31"/>
      <c r="P455" s="31"/>
      <c r="R455" s="106"/>
      <c r="S455" s="3"/>
      <c r="T455" s="58"/>
      <c r="W455" s="1"/>
      <c r="X455" s="13"/>
      <c r="Y455" s="14"/>
    </row>
    <row r="456" spans="2:25" ht="15.75" customHeight="1">
      <c r="B456" s="13"/>
      <c r="C456" s="13"/>
      <c r="E456" s="14"/>
      <c r="G456" s="1"/>
      <c r="O456" s="31"/>
      <c r="P456" s="31"/>
      <c r="R456" s="106"/>
      <c r="S456" s="3"/>
      <c r="T456" s="58"/>
      <c r="W456" s="1"/>
      <c r="X456" s="13"/>
      <c r="Y456" s="14"/>
    </row>
    <row r="457" spans="2:25" ht="15.75" customHeight="1">
      <c r="B457" s="13"/>
      <c r="C457" s="13"/>
      <c r="E457" s="14"/>
      <c r="G457" s="1"/>
      <c r="O457" s="31"/>
      <c r="P457" s="31"/>
      <c r="R457" s="106"/>
      <c r="S457" s="3"/>
      <c r="T457" s="58"/>
      <c r="W457" s="1"/>
      <c r="X457" s="13"/>
      <c r="Y457" s="14"/>
    </row>
    <row r="458" spans="2:25" ht="15.75" customHeight="1">
      <c r="B458" s="13"/>
      <c r="C458" s="13"/>
      <c r="E458" s="14"/>
      <c r="G458" s="1"/>
      <c r="O458" s="31"/>
      <c r="P458" s="31"/>
      <c r="R458" s="106"/>
      <c r="S458" s="3"/>
      <c r="T458" s="58"/>
      <c r="W458" s="1"/>
      <c r="X458" s="13"/>
      <c r="Y458" s="14"/>
    </row>
    <row r="459" spans="2:25" ht="15.75" customHeight="1">
      <c r="B459" s="13"/>
      <c r="C459" s="13"/>
      <c r="E459" s="14"/>
      <c r="G459" s="1"/>
      <c r="O459" s="31"/>
      <c r="P459" s="31"/>
      <c r="R459" s="106"/>
      <c r="S459" s="3"/>
      <c r="T459" s="58"/>
      <c r="W459" s="1"/>
      <c r="X459" s="13"/>
      <c r="Y459" s="14"/>
    </row>
    <row r="460" spans="2:25" ht="15.75" customHeight="1">
      <c r="B460" s="13"/>
      <c r="C460" s="13"/>
      <c r="E460" s="14"/>
      <c r="G460" s="1"/>
      <c r="O460" s="31"/>
      <c r="P460" s="31"/>
      <c r="R460" s="106"/>
      <c r="S460" s="3"/>
      <c r="T460" s="58"/>
      <c r="W460" s="1"/>
      <c r="X460" s="13"/>
      <c r="Y460" s="14"/>
    </row>
    <row r="461" spans="2:25" ht="15.75" customHeight="1">
      <c r="B461" s="13"/>
      <c r="C461" s="13"/>
      <c r="E461" s="14"/>
      <c r="G461" s="1"/>
      <c r="O461" s="31"/>
      <c r="P461" s="31"/>
      <c r="R461" s="106"/>
      <c r="S461" s="3"/>
      <c r="T461" s="58"/>
      <c r="W461" s="1"/>
      <c r="X461" s="13"/>
      <c r="Y461" s="14"/>
    </row>
    <row r="462" spans="2:25" ht="15.75" customHeight="1">
      <c r="B462" s="13"/>
      <c r="C462" s="13"/>
      <c r="E462" s="14"/>
      <c r="G462" s="1"/>
      <c r="O462" s="31"/>
      <c r="P462" s="31"/>
      <c r="R462" s="106"/>
      <c r="S462" s="3"/>
      <c r="T462" s="58"/>
      <c r="W462" s="1"/>
      <c r="X462" s="13"/>
      <c r="Y462" s="14"/>
    </row>
    <row r="463" spans="2:25" ht="15.75" customHeight="1">
      <c r="B463" s="13"/>
      <c r="C463" s="13"/>
      <c r="E463" s="14"/>
      <c r="G463" s="1"/>
      <c r="O463" s="31"/>
      <c r="P463" s="31"/>
      <c r="R463" s="106"/>
      <c r="S463" s="3"/>
      <c r="T463" s="58"/>
      <c r="W463" s="1"/>
      <c r="X463" s="13"/>
      <c r="Y463" s="14"/>
    </row>
    <row r="464" spans="2:25" ht="15.75" customHeight="1">
      <c r="B464" s="13"/>
      <c r="C464" s="13"/>
      <c r="E464" s="14"/>
      <c r="G464" s="1"/>
      <c r="O464" s="31"/>
      <c r="P464" s="31"/>
      <c r="R464" s="106"/>
      <c r="S464" s="3"/>
      <c r="T464" s="58"/>
      <c r="W464" s="1"/>
      <c r="X464" s="13"/>
      <c r="Y464" s="14"/>
    </row>
    <row r="465" spans="2:25" ht="15.75" customHeight="1">
      <c r="B465" s="13"/>
      <c r="C465" s="13"/>
      <c r="E465" s="14"/>
      <c r="G465" s="1"/>
      <c r="O465" s="31"/>
      <c r="P465" s="31"/>
      <c r="R465" s="106"/>
      <c r="S465" s="3"/>
      <c r="T465" s="58"/>
      <c r="W465" s="1"/>
      <c r="X465" s="13"/>
      <c r="Y465" s="14"/>
    </row>
    <row r="466" spans="2:25" ht="15.75" customHeight="1">
      <c r="B466" s="13"/>
      <c r="C466" s="13"/>
      <c r="E466" s="14"/>
      <c r="G466" s="1"/>
      <c r="O466" s="31"/>
      <c r="P466" s="31"/>
      <c r="R466" s="106"/>
      <c r="S466" s="3"/>
      <c r="T466" s="58"/>
      <c r="W466" s="1"/>
      <c r="X466" s="13"/>
      <c r="Y466" s="14"/>
    </row>
    <row r="467" spans="2:25" ht="15.75" customHeight="1">
      <c r="B467" s="13"/>
      <c r="C467" s="13"/>
      <c r="E467" s="14"/>
      <c r="G467" s="1"/>
      <c r="O467" s="31"/>
      <c r="P467" s="31"/>
      <c r="R467" s="106"/>
      <c r="S467" s="3"/>
      <c r="T467" s="58"/>
      <c r="W467" s="1"/>
      <c r="X467" s="13"/>
      <c r="Y467" s="14"/>
    </row>
    <row r="468" spans="2:25" ht="15.75" customHeight="1">
      <c r="B468" s="13"/>
      <c r="C468" s="13"/>
      <c r="E468" s="14"/>
      <c r="G468" s="1"/>
      <c r="O468" s="31"/>
      <c r="P468" s="31"/>
      <c r="R468" s="106"/>
      <c r="S468" s="3"/>
      <c r="T468" s="58"/>
      <c r="W468" s="1"/>
      <c r="X468" s="13"/>
      <c r="Y468" s="14"/>
    </row>
    <row r="469" spans="2:25" ht="15.75" customHeight="1">
      <c r="B469" s="13"/>
      <c r="C469" s="13"/>
      <c r="E469" s="14"/>
      <c r="G469" s="1"/>
      <c r="O469" s="31"/>
      <c r="P469" s="31"/>
      <c r="R469" s="106"/>
      <c r="S469" s="3"/>
      <c r="T469" s="58"/>
      <c r="W469" s="1"/>
      <c r="X469" s="13"/>
      <c r="Y469" s="14"/>
    </row>
    <row r="470" spans="2:25" ht="15.75" customHeight="1">
      <c r="B470" s="13"/>
      <c r="C470" s="13"/>
      <c r="E470" s="14"/>
      <c r="G470" s="1"/>
      <c r="O470" s="31"/>
      <c r="P470" s="31"/>
      <c r="R470" s="106"/>
      <c r="S470" s="3"/>
      <c r="T470" s="58"/>
      <c r="W470" s="1"/>
      <c r="X470" s="13"/>
      <c r="Y470" s="14"/>
    </row>
    <row r="471" spans="2:25" ht="15.75" customHeight="1">
      <c r="B471" s="13"/>
      <c r="C471" s="13"/>
      <c r="E471" s="14"/>
      <c r="G471" s="1"/>
      <c r="O471" s="31"/>
      <c r="P471" s="31"/>
      <c r="R471" s="106"/>
      <c r="S471" s="3"/>
      <c r="T471" s="58"/>
      <c r="W471" s="1"/>
      <c r="X471" s="13"/>
      <c r="Y471" s="14"/>
    </row>
    <row r="472" spans="2:25" ht="15.75" customHeight="1">
      <c r="B472" s="13"/>
      <c r="C472" s="13"/>
      <c r="E472" s="14"/>
      <c r="G472" s="1"/>
      <c r="O472" s="31"/>
      <c r="P472" s="31"/>
      <c r="R472" s="106"/>
      <c r="S472" s="3"/>
      <c r="T472" s="58"/>
      <c r="W472" s="1"/>
      <c r="X472" s="13"/>
      <c r="Y472" s="14"/>
    </row>
    <row r="473" spans="2:25" ht="15.75" customHeight="1">
      <c r="B473" s="13"/>
      <c r="C473" s="13"/>
      <c r="E473" s="14"/>
      <c r="G473" s="1"/>
      <c r="O473" s="31"/>
      <c r="P473" s="31"/>
      <c r="R473" s="106"/>
      <c r="S473" s="3"/>
      <c r="T473" s="58"/>
      <c r="W473" s="1"/>
      <c r="X473" s="13"/>
      <c r="Y473" s="14"/>
    </row>
    <row r="474" spans="2:25" ht="15.75" customHeight="1">
      <c r="B474" s="13"/>
      <c r="C474" s="13"/>
      <c r="E474" s="14"/>
      <c r="G474" s="1"/>
      <c r="O474" s="31"/>
      <c r="P474" s="31"/>
      <c r="R474" s="106"/>
      <c r="S474" s="3"/>
      <c r="T474" s="58"/>
      <c r="W474" s="1"/>
      <c r="X474" s="13"/>
      <c r="Y474" s="14"/>
    </row>
    <row r="475" spans="2:25" ht="15.75" customHeight="1">
      <c r="B475" s="13"/>
      <c r="C475" s="13"/>
      <c r="E475" s="14"/>
      <c r="G475" s="1"/>
      <c r="O475" s="31"/>
      <c r="P475" s="31"/>
      <c r="R475" s="106"/>
      <c r="S475" s="3"/>
      <c r="T475" s="58"/>
      <c r="W475" s="1"/>
      <c r="X475" s="13"/>
      <c r="Y475" s="14"/>
    </row>
    <row r="476" spans="2:25" ht="15.75" customHeight="1">
      <c r="B476" s="13"/>
      <c r="C476" s="13"/>
      <c r="E476" s="14"/>
      <c r="G476" s="1"/>
      <c r="O476" s="31"/>
      <c r="P476" s="31"/>
      <c r="R476" s="106"/>
      <c r="S476" s="3"/>
      <c r="T476" s="58"/>
      <c r="W476" s="1"/>
      <c r="X476" s="13"/>
      <c r="Y476" s="14"/>
    </row>
    <row r="477" spans="2:25" ht="15.75" customHeight="1">
      <c r="B477" s="13"/>
      <c r="C477" s="13"/>
      <c r="E477" s="14"/>
      <c r="G477" s="1"/>
      <c r="O477" s="31"/>
      <c r="P477" s="31"/>
      <c r="R477" s="106"/>
      <c r="S477" s="3"/>
      <c r="T477" s="58"/>
      <c r="W477" s="1"/>
      <c r="X477" s="13"/>
      <c r="Y477" s="14"/>
    </row>
    <row r="478" spans="2:25" ht="15.75" customHeight="1">
      <c r="B478" s="13"/>
      <c r="C478" s="13"/>
      <c r="E478" s="14"/>
      <c r="G478" s="1"/>
      <c r="O478" s="31"/>
      <c r="P478" s="31"/>
      <c r="R478" s="106"/>
      <c r="S478" s="3"/>
      <c r="T478" s="58"/>
      <c r="W478" s="1"/>
      <c r="X478" s="13"/>
      <c r="Y478" s="14"/>
    </row>
    <row r="479" spans="2:25" ht="15.75" customHeight="1">
      <c r="B479" s="13"/>
      <c r="C479" s="13"/>
      <c r="E479" s="14"/>
      <c r="G479" s="1"/>
      <c r="O479" s="31"/>
      <c r="P479" s="31"/>
      <c r="R479" s="106"/>
      <c r="S479" s="3"/>
      <c r="T479" s="58"/>
      <c r="W479" s="1"/>
      <c r="X479" s="13"/>
      <c r="Y479" s="14"/>
    </row>
    <row r="480" spans="2:25" ht="15.75" customHeight="1">
      <c r="B480" s="13"/>
      <c r="C480" s="13"/>
      <c r="E480" s="14"/>
      <c r="G480" s="1"/>
      <c r="O480" s="31"/>
      <c r="P480" s="31"/>
      <c r="R480" s="106"/>
      <c r="S480" s="3"/>
      <c r="T480" s="58"/>
      <c r="W480" s="1"/>
      <c r="X480" s="13"/>
      <c r="Y480" s="14"/>
    </row>
    <row r="481" spans="2:25" ht="15.75" customHeight="1">
      <c r="B481" s="13"/>
      <c r="C481" s="13"/>
      <c r="E481" s="14"/>
      <c r="G481" s="1"/>
      <c r="O481" s="31"/>
      <c r="P481" s="31"/>
      <c r="R481" s="106"/>
      <c r="S481" s="3"/>
      <c r="T481" s="58"/>
      <c r="W481" s="1"/>
      <c r="X481" s="13"/>
      <c r="Y481" s="14"/>
    </row>
    <row r="482" spans="2:25" ht="15.75" customHeight="1">
      <c r="B482" s="13"/>
      <c r="C482" s="13"/>
      <c r="E482" s="14"/>
      <c r="G482" s="1"/>
      <c r="O482" s="31"/>
      <c r="P482" s="31"/>
      <c r="R482" s="106"/>
      <c r="S482" s="3"/>
      <c r="T482" s="58"/>
      <c r="W482" s="1"/>
      <c r="X482" s="13"/>
      <c r="Y482" s="14"/>
    </row>
    <row r="483" spans="2:25" ht="15.75" customHeight="1">
      <c r="B483" s="13"/>
      <c r="C483" s="13"/>
      <c r="E483" s="14"/>
      <c r="G483" s="1"/>
      <c r="O483" s="31"/>
      <c r="P483" s="31"/>
      <c r="R483" s="106"/>
      <c r="S483" s="3"/>
      <c r="T483" s="58"/>
      <c r="W483" s="1"/>
      <c r="X483" s="13"/>
      <c r="Y483" s="14"/>
    </row>
    <row r="484" spans="2:25" ht="15.75" customHeight="1">
      <c r="B484" s="13"/>
      <c r="C484" s="13"/>
      <c r="E484" s="14"/>
      <c r="G484" s="1"/>
      <c r="O484" s="31"/>
      <c r="P484" s="31"/>
      <c r="R484" s="106"/>
      <c r="S484" s="3"/>
      <c r="T484" s="58"/>
      <c r="W484" s="1"/>
      <c r="X484" s="13"/>
      <c r="Y484" s="14"/>
    </row>
    <row r="485" spans="2:25" ht="15.75" customHeight="1">
      <c r="B485" s="13"/>
      <c r="C485" s="13"/>
      <c r="E485" s="14"/>
      <c r="G485" s="1"/>
      <c r="O485" s="31"/>
      <c r="P485" s="31"/>
      <c r="R485" s="106"/>
      <c r="S485" s="3"/>
      <c r="T485" s="58"/>
      <c r="W485" s="1"/>
      <c r="X485" s="13"/>
      <c r="Y485" s="14"/>
    </row>
    <row r="486" spans="2:25" ht="15.75" customHeight="1">
      <c r="B486" s="13"/>
      <c r="C486" s="13"/>
      <c r="E486" s="14"/>
      <c r="G486" s="1"/>
      <c r="O486" s="31"/>
      <c r="P486" s="31"/>
      <c r="R486" s="106"/>
      <c r="S486" s="3"/>
      <c r="T486" s="58"/>
      <c r="W486" s="1"/>
      <c r="X486" s="13"/>
      <c r="Y486" s="14"/>
    </row>
    <row r="487" spans="2:25" ht="15.75" customHeight="1">
      <c r="B487" s="13"/>
      <c r="C487" s="13"/>
      <c r="E487" s="14"/>
      <c r="G487" s="1"/>
      <c r="O487" s="31"/>
      <c r="P487" s="31"/>
      <c r="R487" s="106"/>
      <c r="S487" s="3"/>
      <c r="T487" s="58"/>
      <c r="W487" s="1"/>
      <c r="X487" s="13"/>
      <c r="Y487" s="14"/>
    </row>
    <row r="488" spans="2:25" ht="15.75" customHeight="1">
      <c r="B488" s="13"/>
      <c r="C488" s="13"/>
      <c r="E488" s="14"/>
      <c r="G488" s="1"/>
      <c r="O488" s="31"/>
      <c r="P488" s="31"/>
      <c r="R488" s="106"/>
      <c r="S488" s="3"/>
      <c r="T488" s="58"/>
      <c r="W488" s="1"/>
      <c r="X488" s="13"/>
      <c r="Y488" s="14"/>
    </row>
    <row r="489" spans="2:25" ht="15.75" customHeight="1">
      <c r="B489" s="13"/>
      <c r="C489" s="13"/>
      <c r="E489" s="14"/>
      <c r="G489" s="1"/>
      <c r="O489" s="31"/>
      <c r="P489" s="31"/>
      <c r="R489" s="106"/>
      <c r="S489" s="3"/>
      <c r="T489" s="58"/>
      <c r="W489" s="1"/>
      <c r="X489" s="13"/>
      <c r="Y489" s="14"/>
    </row>
    <row r="490" spans="2:25" ht="15.75" customHeight="1">
      <c r="B490" s="13"/>
      <c r="C490" s="13"/>
      <c r="E490" s="14"/>
      <c r="G490" s="1"/>
      <c r="O490" s="31"/>
      <c r="P490" s="31"/>
      <c r="R490" s="106"/>
      <c r="S490" s="3"/>
      <c r="T490" s="58"/>
      <c r="W490" s="1"/>
      <c r="X490" s="13"/>
      <c r="Y490" s="14"/>
    </row>
    <row r="491" spans="2:25" ht="15.75" customHeight="1">
      <c r="B491" s="13"/>
      <c r="C491" s="13"/>
      <c r="E491" s="14"/>
      <c r="G491" s="1"/>
      <c r="O491" s="31"/>
      <c r="P491" s="31"/>
      <c r="R491" s="106"/>
      <c r="S491" s="3"/>
      <c r="T491" s="58"/>
      <c r="W491" s="1"/>
      <c r="X491" s="13"/>
      <c r="Y491" s="14"/>
    </row>
    <row r="492" spans="2:25" ht="15.75" customHeight="1">
      <c r="B492" s="13"/>
      <c r="C492" s="13"/>
      <c r="E492" s="14"/>
      <c r="G492" s="1"/>
      <c r="O492" s="31"/>
      <c r="P492" s="31"/>
      <c r="R492" s="106"/>
      <c r="S492" s="3"/>
      <c r="T492" s="58"/>
      <c r="W492" s="1"/>
      <c r="X492" s="13"/>
      <c r="Y492" s="14"/>
    </row>
    <row r="493" spans="2:25" ht="15.75" customHeight="1">
      <c r="B493" s="13"/>
      <c r="C493" s="13"/>
      <c r="E493" s="14"/>
      <c r="G493" s="1"/>
      <c r="O493" s="31"/>
      <c r="P493" s="31"/>
      <c r="R493" s="106"/>
      <c r="S493" s="3"/>
      <c r="T493" s="58"/>
      <c r="W493" s="1"/>
      <c r="X493" s="13"/>
      <c r="Y493" s="14"/>
    </row>
    <row r="494" spans="2:25" ht="15.75" customHeight="1">
      <c r="B494" s="13"/>
      <c r="C494" s="13"/>
      <c r="E494" s="14"/>
      <c r="G494" s="1"/>
      <c r="O494" s="31"/>
      <c r="P494" s="31"/>
      <c r="R494" s="106"/>
      <c r="S494" s="3"/>
      <c r="T494" s="58"/>
      <c r="W494" s="1"/>
      <c r="X494" s="13"/>
      <c r="Y494" s="14"/>
    </row>
    <row r="495" spans="2:25" ht="15.75" customHeight="1">
      <c r="B495" s="13"/>
      <c r="C495" s="13"/>
      <c r="E495" s="14"/>
      <c r="G495" s="1"/>
      <c r="O495" s="31"/>
      <c r="P495" s="31"/>
      <c r="R495" s="106"/>
      <c r="S495" s="3"/>
      <c r="T495" s="58"/>
      <c r="W495" s="1"/>
      <c r="X495" s="13"/>
      <c r="Y495" s="14"/>
    </row>
    <row r="496" spans="2:25" ht="15.75" customHeight="1">
      <c r="B496" s="13"/>
      <c r="C496" s="13"/>
      <c r="E496" s="14"/>
      <c r="G496" s="1"/>
      <c r="O496" s="31"/>
      <c r="P496" s="31"/>
      <c r="R496" s="106"/>
      <c r="S496" s="3"/>
      <c r="T496" s="58"/>
      <c r="W496" s="1"/>
      <c r="X496" s="13"/>
      <c r="Y496" s="14"/>
    </row>
    <row r="497" spans="2:25" ht="15.75" customHeight="1">
      <c r="B497" s="13"/>
      <c r="C497" s="13"/>
      <c r="E497" s="14"/>
      <c r="G497" s="1"/>
      <c r="O497" s="31"/>
      <c r="P497" s="31"/>
      <c r="R497" s="106"/>
      <c r="S497" s="3"/>
      <c r="T497" s="58"/>
      <c r="W497" s="1"/>
      <c r="X497" s="13"/>
      <c r="Y497" s="14"/>
    </row>
    <row r="498" spans="2:25" ht="15.75" customHeight="1">
      <c r="B498" s="13"/>
      <c r="C498" s="13"/>
      <c r="E498" s="14"/>
      <c r="G498" s="1"/>
      <c r="O498" s="31"/>
      <c r="P498" s="31"/>
      <c r="R498" s="106"/>
      <c r="S498" s="3"/>
      <c r="T498" s="58"/>
      <c r="W498" s="1"/>
      <c r="X498" s="13"/>
      <c r="Y498" s="14"/>
    </row>
    <row r="499" spans="2:25" ht="15.75" customHeight="1">
      <c r="B499" s="13"/>
      <c r="C499" s="13"/>
      <c r="E499" s="14"/>
      <c r="G499" s="1"/>
      <c r="O499" s="31"/>
      <c r="P499" s="31"/>
      <c r="R499" s="106"/>
      <c r="S499" s="3"/>
      <c r="T499" s="58"/>
      <c r="W499" s="1"/>
      <c r="X499" s="13"/>
      <c r="Y499" s="14"/>
    </row>
    <row r="500" spans="2:25" ht="15.75" customHeight="1">
      <c r="B500" s="13"/>
      <c r="C500" s="13"/>
      <c r="E500" s="14"/>
      <c r="G500" s="1"/>
      <c r="O500" s="31"/>
      <c r="P500" s="31"/>
      <c r="R500" s="106"/>
      <c r="S500" s="3"/>
      <c r="T500" s="58"/>
      <c r="W500" s="1"/>
      <c r="X500" s="13"/>
      <c r="Y500" s="14"/>
    </row>
    <row r="501" spans="2:25" ht="15.75" customHeight="1">
      <c r="B501" s="13"/>
      <c r="C501" s="13"/>
      <c r="E501" s="14"/>
      <c r="G501" s="1"/>
      <c r="O501" s="31"/>
      <c r="P501" s="31"/>
      <c r="R501" s="106"/>
      <c r="S501" s="3"/>
      <c r="T501" s="58"/>
      <c r="W501" s="1"/>
      <c r="X501" s="13"/>
      <c r="Y501" s="14"/>
    </row>
    <row r="502" spans="2:25" ht="15.75" customHeight="1">
      <c r="B502" s="13"/>
      <c r="C502" s="13"/>
      <c r="E502" s="14"/>
      <c r="G502" s="1"/>
      <c r="O502" s="31"/>
      <c r="P502" s="31"/>
      <c r="R502" s="106"/>
      <c r="S502" s="3"/>
      <c r="T502" s="58"/>
      <c r="W502" s="1"/>
      <c r="X502" s="13"/>
      <c r="Y502" s="14"/>
    </row>
    <row r="503" spans="2:25" ht="15.75" customHeight="1">
      <c r="B503" s="13"/>
      <c r="C503" s="13"/>
      <c r="E503" s="14"/>
      <c r="G503" s="1"/>
      <c r="O503" s="31"/>
      <c r="P503" s="31"/>
      <c r="R503" s="106"/>
      <c r="S503" s="3"/>
      <c r="T503" s="58"/>
      <c r="W503" s="1"/>
      <c r="X503" s="13"/>
      <c r="Y503" s="14"/>
    </row>
    <row r="504" spans="2:25" ht="15.75" customHeight="1">
      <c r="B504" s="13"/>
      <c r="C504" s="13"/>
      <c r="E504" s="14"/>
      <c r="G504" s="1"/>
      <c r="O504" s="31"/>
      <c r="P504" s="31"/>
      <c r="R504" s="106"/>
      <c r="S504" s="3"/>
      <c r="T504" s="58"/>
      <c r="W504" s="1"/>
      <c r="X504" s="13"/>
      <c r="Y504" s="14"/>
    </row>
    <row r="505" spans="2:25" ht="15.75" customHeight="1">
      <c r="B505" s="13"/>
      <c r="C505" s="13"/>
      <c r="E505" s="14"/>
      <c r="G505" s="1"/>
      <c r="O505" s="31"/>
      <c r="P505" s="31"/>
      <c r="R505" s="106"/>
      <c r="S505" s="3"/>
      <c r="T505" s="58"/>
      <c r="W505" s="1"/>
      <c r="X505" s="13"/>
      <c r="Y505" s="14"/>
    </row>
    <row r="506" spans="2:25" ht="15.75" customHeight="1">
      <c r="B506" s="13"/>
      <c r="C506" s="13"/>
      <c r="E506" s="14"/>
      <c r="G506" s="1"/>
      <c r="O506" s="31"/>
      <c r="P506" s="31"/>
      <c r="R506" s="106"/>
      <c r="S506" s="3"/>
      <c r="T506" s="58"/>
      <c r="W506" s="1"/>
      <c r="X506" s="13"/>
      <c r="Y506" s="14"/>
    </row>
    <row r="507" spans="2:25" ht="15.75" customHeight="1">
      <c r="B507" s="13"/>
      <c r="C507" s="13"/>
      <c r="E507" s="14"/>
      <c r="G507" s="1"/>
      <c r="O507" s="31"/>
      <c r="P507" s="31"/>
      <c r="R507" s="106"/>
      <c r="S507" s="3"/>
      <c r="T507" s="58"/>
      <c r="W507" s="1"/>
      <c r="X507" s="13"/>
      <c r="Y507" s="14"/>
    </row>
    <row r="508" spans="2:25" ht="15.75" customHeight="1">
      <c r="B508" s="13"/>
      <c r="C508" s="13"/>
      <c r="E508" s="14"/>
      <c r="G508" s="1"/>
      <c r="O508" s="31"/>
      <c r="P508" s="31"/>
      <c r="R508" s="106"/>
      <c r="S508" s="3"/>
      <c r="T508" s="58"/>
      <c r="W508" s="1"/>
      <c r="X508" s="13"/>
      <c r="Y508" s="14"/>
    </row>
    <row r="509" spans="2:25" ht="15.75" customHeight="1">
      <c r="B509" s="13"/>
      <c r="C509" s="13"/>
      <c r="E509" s="14"/>
      <c r="G509" s="1"/>
      <c r="O509" s="31"/>
      <c r="P509" s="31"/>
      <c r="R509" s="106"/>
      <c r="S509" s="3"/>
      <c r="T509" s="58"/>
      <c r="W509" s="1"/>
      <c r="X509" s="13"/>
      <c r="Y509" s="14"/>
    </row>
    <row r="510" spans="2:25" ht="15.75" customHeight="1">
      <c r="B510" s="13"/>
      <c r="C510" s="13"/>
      <c r="E510" s="14"/>
      <c r="G510" s="1"/>
      <c r="O510" s="31"/>
      <c r="P510" s="31"/>
      <c r="R510" s="106"/>
      <c r="S510" s="3"/>
      <c r="T510" s="58"/>
      <c r="W510" s="1"/>
      <c r="X510" s="13"/>
      <c r="Y510" s="14"/>
    </row>
    <row r="511" spans="2:25" ht="15.75" customHeight="1">
      <c r="B511" s="13"/>
      <c r="C511" s="13"/>
      <c r="E511" s="14"/>
      <c r="G511" s="1"/>
      <c r="O511" s="31"/>
      <c r="P511" s="31"/>
      <c r="R511" s="106"/>
      <c r="S511" s="3"/>
      <c r="T511" s="58"/>
      <c r="W511" s="1"/>
      <c r="X511" s="13"/>
      <c r="Y511" s="14"/>
    </row>
    <row r="512" spans="2:25" ht="15.75" customHeight="1">
      <c r="B512" s="13"/>
      <c r="C512" s="13"/>
      <c r="E512" s="14"/>
      <c r="G512" s="1"/>
      <c r="O512" s="31"/>
      <c r="P512" s="31"/>
      <c r="R512" s="106"/>
      <c r="S512" s="3"/>
      <c r="T512" s="58"/>
      <c r="W512" s="1"/>
      <c r="X512" s="13"/>
      <c r="Y512" s="14"/>
    </row>
    <row r="513" spans="2:25" ht="15.75" customHeight="1">
      <c r="B513" s="13"/>
      <c r="C513" s="13"/>
      <c r="E513" s="14"/>
      <c r="G513" s="1"/>
      <c r="O513" s="31"/>
      <c r="P513" s="31"/>
      <c r="R513" s="106"/>
      <c r="S513" s="3"/>
      <c r="T513" s="58"/>
      <c r="W513" s="1"/>
      <c r="X513" s="13"/>
      <c r="Y513" s="14"/>
    </row>
    <row r="514" spans="2:25" ht="15.75" customHeight="1">
      <c r="B514" s="13"/>
      <c r="C514" s="13"/>
      <c r="E514" s="14"/>
      <c r="G514" s="1"/>
      <c r="O514" s="31"/>
      <c r="P514" s="31"/>
      <c r="R514" s="106"/>
      <c r="S514" s="3"/>
      <c r="T514" s="58"/>
      <c r="W514" s="1"/>
      <c r="X514" s="13"/>
      <c r="Y514" s="14"/>
    </row>
    <row r="515" spans="2:25" ht="15.75" customHeight="1">
      <c r="B515" s="13"/>
      <c r="C515" s="13"/>
      <c r="E515" s="14"/>
      <c r="G515" s="1"/>
      <c r="O515" s="31"/>
      <c r="P515" s="31"/>
      <c r="R515" s="106"/>
      <c r="S515" s="3"/>
      <c r="T515" s="58"/>
      <c r="W515" s="1"/>
      <c r="X515" s="13"/>
      <c r="Y515" s="14"/>
    </row>
    <row r="516" spans="2:25" ht="15.75" customHeight="1">
      <c r="B516" s="13"/>
      <c r="C516" s="13"/>
      <c r="E516" s="14"/>
      <c r="G516" s="1"/>
      <c r="O516" s="31"/>
      <c r="P516" s="31"/>
      <c r="R516" s="106"/>
      <c r="S516" s="3"/>
      <c r="T516" s="58"/>
      <c r="W516" s="1"/>
      <c r="X516" s="13"/>
      <c r="Y516" s="14"/>
    </row>
    <row r="517" spans="2:25" ht="15.75" customHeight="1">
      <c r="B517" s="13"/>
      <c r="C517" s="13"/>
      <c r="E517" s="14"/>
      <c r="G517" s="1"/>
      <c r="O517" s="31"/>
      <c r="P517" s="31"/>
      <c r="R517" s="106"/>
      <c r="S517" s="3"/>
      <c r="T517" s="58"/>
      <c r="W517" s="1"/>
      <c r="X517" s="13"/>
      <c r="Y517" s="14"/>
    </row>
    <row r="518" spans="2:25" ht="15.75" customHeight="1">
      <c r="B518" s="13"/>
      <c r="C518" s="13"/>
      <c r="E518" s="14"/>
      <c r="G518" s="1"/>
      <c r="O518" s="31"/>
      <c r="P518" s="31"/>
      <c r="R518" s="106"/>
      <c r="S518" s="3"/>
      <c r="T518" s="58"/>
      <c r="W518" s="1"/>
      <c r="X518" s="13"/>
      <c r="Y518" s="14"/>
    </row>
    <row r="519" spans="2:25" ht="15.75" customHeight="1">
      <c r="B519" s="13"/>
      <c r="C519" s="13"/>
      <c r="E519" s="14"/>
      <c r="G519" s="1"/>
      <c r="O519" s="31"/>
      <c r="P519" s="31"/>
      <c r="R519" s="106"/>
      <c r="S519" s="3"/>
      <c r="T519" s="58"/>
      <c r="W519" s="1"/>
      <c r="X519" s="13"/>
      <c r="Y519" s="14"/>
    </row>
    <row r="520" spans="2:25" ht="15.75" customHeight="1">
      <c r="B520" s="13"/>
      <c r="C520" s="13"/>
      <c r="E520" s="14"/>
      <c r="G520" s="1"/>
      <c r="O520" s="31"/>
      <c r="P520" s="31"/>
      <c r="R520" s="106"/>
      <c r="S520" s="3"/>
      <c r="T520" s="58"/>
      <c r="W520" s="1"/>
      <c r="X520" s="13"/>
      <c r="Y520" s="14"/>
    </row>
    <row r="521" spans="2:25" ht="15.75" customHeight="1">
      <c r="B521" s="13"/>
      <c r="C521" s="13"/>
      <c r="E521" s="14"/>
      <c r="G521" s="1"/>
      <c r="O521" s="31"/>
      <c r="P521" s="31"/>
      <c r="R521" s="106"/>
      <c r="S521" s="3"/>
      <c r="T521" s="58"/>
      <c r="W521" s="1"/>
      <c r="X521" s="13"/>
      <c r="Y521" s="14"/>
    </row>
    <row r="522" spans="2:25" ht="15.75" customHeight="1">
      <c r="B522" s="13"/>
      <c r="C522" s="13"/>
      <c r="E522" s="14"/>
      <c r="G522" s="1"/>
      <c r="O522" s="31"/>
      <c r="P522" s="31"/>
      <c r="R522" s="106"/>
      <c r="S522" s="3"/>
      <c r="T522" s="58"/>
      <c r="W522" s="1"/>
      <c r="X522" s="13"/>
      <c r="Y522" s="14"/>
    </row>
    <row r="523" spans="2:25" ht="15.75" customHeight="1">
      <c r="B523" s="13"/>
      <c r="C523" s="13"/>
      <c r="E523" s="14"/>
      <c r="G523" s="1"/>
      <c r="O523" s="31"/>
      <c r="P523" s="31"/>
      <c r="R523" s="106"/>
      <c r="S523" s="3"/>
      <c r="T523" s="58"/>
      <c r="W523" s="1"/>
      <c r="X523" s="13"/>
      <c r="Y523" s="14"/>
    </row>
    <row r="524" spans="2:25" ht="15.75" customHeight="1">
      <c r="B524" s="13"/>
      <c r="C524" s="13"/>
      <c r="E524" s="14"/>
      <c r="G524" s="1"/>
      <c r="O524" s="31"/>
      <c r="P524" s="31"/>
      <c r="R524" s="106"/>
      <c r="S524" s="3"/>
      <c r="T524" s="58"/>
      <c r="W524" s="1"/>
      <c r="X524" s="13"/>
      <c r="Y524" s="14"/>
    </row>
    <row r="525" spans="2:25" ht="15.75" customHeight="1">
      <c r="B525" s="13"/>
      <c r="C525" s="13"/>
      <c r="E525" s="14"/>
      <c r="G525" s="1"/>
      <c r="O525" s="31"/>
      <c r="P525" s="31"/>
      <c r="R525" s="106"/>
      <c r="S525" s="3"/>
      <c r="T525" s="58"/>
      <c r="W525" s="1"/>
      <c r="X525" s="13"/>
      <c r="Y525" s="14"/>
    </row>
    <row r="526" spans="2:25" ht="15.75" customHeight="1">
      <c r="B526" s="13"/>
      <c r="C526" s="13"/>
      <c r="E526" s="14"/>
      <c r="G526" s="1"/>
      <c r="O526" s="31"/>
      <c r="P526" s="31"/>
      <c r="R526" s="106"/>
      <c r="S526" s="3"/>
      <c r="T526" s="58"/>
      <c r="W526" s="1"/>
      <c r="X526" s="13"/>
      <c r="Y526" s="14"/>
    </row>
    <row r="527" spans="2:25" ht="15.75" customHeight="1">
      <c r="B527" s="13"/>
      <c r="C527" s="13"/>
      <c r="E527" s="14"/>
      <c r="G527" s="1"/>
      <c r="O527" s="31"/>
      <c r="P527" s="31"/>
      <c r="R527" s="106"/>
      <c r="S527" s="3"/>
      <c r="T527" s="58"/>
      <c r="W527" s="1"/>
      <c r="X527" s="13"/>
      <c r="Y527" s="14"/>
    </row>
    <row r="528" spans="2:25" ht="15.75" customHeight="1">
      <c r="B528" s="13"/>
      <c r="C528" s="13"/>
      <c r="E528" s="14"/>
      <c r="G528" s="1"/>
      <c r="O528" s="31"/>
      <c r="P528" s="31"/>
      <c r="R528" s="106"/>
      <c r="S528" s="3"/>
      <c r="T528" s="58"/>
      <c r="W528" s="1"/>
      <c r="X528" s="13"/>
      <c r="Y528" s="14"/>
    </row>
    <row r="529" spans="2:25" ht="15.75" customHeight="1">
      <c r="B529" s="13"/>
      <c r="C529" s="13"/>
      <c r="E529" s="14"/>
      <c r="G529" s="1"/>
      <c r="O529" s="31"/>
      <c r="P529" s="31"/>
      <c r="R529" s="106"/>
      <c r="S529" s="3"/>
      <c r="T529" s="58"/>
      <c r="W529" s="1"/>
      <c r="X529" s="13"/>
      <c r="Y529" s="14"/>
    </row>
    <row r="530" spans="2:25" ht="15.75" customHeight="1">
      <c r="B530" s="13"/>
      <c r="C530" s="13"/>
      <c r="E530" s="14"/>
      <c r="G530" s="1"/>
      <c r="O530" s="31"/>
      <c r="P530" s="31"/>
      <c r="R530" s="106"/>
      <c r="S530" s="3"/>
      <c r="T530" s="58"/>
      <c r="W530" s="1"/>
      <c r="X530" s="13"/>
      <c r="Y530" s="14"/>
    </row>
    <row r="531" spans="2:25" ht="15.75" customHeight="1">
      <c r="B531" s="13"/>
      <c r="C531" s="13"/>
      <c r="E531" s="14"/>
      <c r="G531" s="1"/>
      <c r="O531" s="31"/>
      <c r="P531" s="31"/>
      <c r="R531" s="106"/>
      <c r="S531" s="3"/>
      <c r="T531" s="58"/>
      <c r="W531" s="1"/>
      <c r="X531" s="13"/>
      <c r="Y531" s="14"/>
    </row>
    <row r="532" spans="2:25" ht="15.75" customHeight="1">
      <c r="B532" s="13"/>
      <c r="C532" s="13"/>
      <c r="E532" s="14"/>
      <c r="G532" s="1"/>
      <c r="O532" s="31"/>
      <c r="P532" s="31"/>
      <c r="R532" s="106"/>
      <c r="S532" s="3"/>
      <c r="T532" s="58"/>
      <c r="W532" s="1"/>
      <c r="X532" s="13"/>
      <c r="Y532" s="14"/>
    </row>
    <row r="533" spans="2:25" ht="15.75" customHeight="1">
      <c r="B533" s="13"/>
      <c r="C533" s="13"/>
      <c r="E533" s="14"/>
      <c r="G533" s="1"/>
      <c r="O533" s="31"/>
      <c r="P533" s="31"/>
      <c r="R533" s="106"/>
      <c r="S533" s="3"/>
      <c r="T533" s="58"/>
      <c r="W533" s="1"/>
      <c r="X533" s="13"/>
      <c r="Y533" s="14"/>
    </row>
    <row r="534" spans="2:25" ht="15.75" customHeight="1">
      <c r="B534" s="13"/>
      <c r="C534" s="13"/>
      <c r="E534" s="14"/>
      <c r="G534" s="1"/>
      <c r="O534" s="31"/>
      <c r="P534" s="31"/>
      <c r="R534" s="106"/>
      <c r="S534" s="3"/>
      <c r="T534" s="58"/>
      <c r="W534" s="1"/>
      <c r="X534" s="13"/>
      <c r="Y534" s="14"/>
    </row>
    <row r="535" spans="2:25" ht="15.75" customHeight="1">
      <c r="B535" s="13"/>
      <c r="C535" s="13"/>
      <c r="E535" s="14"/>
      <c r="G535" s="1"/>
      <c r="O535" s="31"/>
      <c r="P535" s="31"/>
      <c r="R535" s="106"/>
      <c r="S535" s="3"/>
      <c r="T535" s="58"/>
      <c r="W535" s="1"/>
      <c r="X535" s="13"/>
      <c r="Y535" s="14"/>
    </row>
    <row r="536" spans="2:25" ht="15.75" customHeight="1">
      <c r="B536" s="13"/>
      <c r="C536" s="13"/>
      <c r="E536" s="14"/>
      <c r="G536" s="1"/>
      <c r="O536" s="31"/>
      <c r="P536" s="31"/>
      <c r="R536" s="106"/>
      <c r="S536" s="3"/>
      <c r="T536" s="58"/>
      <c r="W536" s="1"/>
      <c r="X536" s="13"/>
      <c r="Y536" s="14"/>
    </row>
    <row r="537" spans="2:25" ht="15.75" customHeight="1">
      <c r="B537" s="13"/>
      <c r="C537" s="13"/>
      <c r="E537" s="14"/>
      <c r="G537" s="1"/>
      <c r="O537" s="31"/>
      <c r="P537" s="31"/>
      <c r="R537" s="106"/>
      <c r="S537" s="3"/>
      <c r="T537" s="58"/>
      <c r="W537" s="1"/>
      <c r="X537" s="13"/>
      <c r="Y537" s="14"/>
    </row>
    <row r="538" spans="2:25" ht="15.75" customHeight="1">
      <c r="B538" s="13"/>
      <c r="C538" s="13"/>
      <c r="E538" s="14"/>
      <c r="G538" s="1"/>
      <c r="O538" s="31"/>
      <c r="P538" s="31"/>
      <c r="R538" s="106"/>
      <c r="S538" s="3"/>
      <c r="T538" s="58"/>
      <c r="W538" s="1"/>
      <c r="X538" s="13"/>
      <c r="Y538" s="14"/>
    </row>
    <row r="539" spans="2:25" ht="15.75" customHeight="1">
      <c r="B539" s="13"/>
      <c r="C539" s="13"/>
      <c r="E539" s="14"/>
      <c r="G539" s="1"/>
      <c r="O539" s="31"/>
      <c r="P539" s="31"/>
      <c r="R539" s="106"/>
      <c r="S539" s="3"/>
      <c r="T539" s="58"/>
      <c r="W539" s="1"/>
      <c r="X539" s="13"/>
      <c r="Y539" s="14"/>
    </row>
    <row r="540" spans="2:25" ht="15.75" customHeight="1">
      <c r="B540" s="13"/>
      <c r="C540" s="13"/>
      <c r="E540" s="14"/>
      <c r="G540" s="1"/>
      <c r="O540" s="31"/>
      <c r="P540" s="31"/>
      <c r="R540" s="106"/>
      <c r="S540" s="3"/>
      <c r="T540" s="58"/>
      <c r="W540" s="1"/>
      <c r="X540" s="13"/>
      <c r="Y540" s="14"/>
    </row>
    <row r="541" spans="2:25" ht="15.75" customHeight="1">
      <c r="B541" s="13"/>
      <c r="C541" s="13"/>
      <c r="E541" s="14"/>
      <c r="G541" s="1"/>
      <c r="O541" s="31"/>
      <c r="P541" s="31"/>
      <c r="R541" s="106"/>
      <c r="S541" s="3"/>
      <c r="T541" s="58"/>
      <c r="W541" s="1"/>
      <c r="X541" s="13"/>
      <c r="Y541" s="14"/>
    </row>
    <row r="542" spans="2:25" ht="15.75" customHeight="1">
      <c r="B542" s="13"/>
      <c r="C542" s="13"/>
      <c r="E542" s="14"/>
      <c r="G542" s="1"/>
      <c r="O542" s="31"/>
      <c r="P542" s="31"/>
      <c r="R542" s="106"/>
      <c r="S542" s="3"/>
      <c r="T542" s="58"/>
      <c r="W542" s="1"/>
      <c r="X542" s="13"/>
      <c r="Y542" s="14"/>
    </row>
    <row r="543" spans="2:25" ht="15.75" customHeight="1">
      <c r="B543" s="13"/>
      <c r="C543" s="13"/>
      <c r="E543" s="14"/>
      <c r="G543" s="1"/>
      <c r="O543" s="31"/>
      <c r="P543" s="31"/>
      <c r="R543" s="106"/>
      <c r="S543" s="3"/>
      <c r="T543" s="58"/>
      <c r="W543" s="1"/>
      <c r="X543" s="13"/>
      <c r="Y543" s="14"/>
    </row>
    <row r="544" spans="2:25" ht="15.75" customHeight="1">
      <c r="B544" s="13"/>
      <c r="C544" s="13"/>
      <c r="E544" s="14"/>
      <c r="G544" s="1"/>
      <c r="O544" s="31"/>
      <c r="P544" s="31"/>
      <c r="R544" s="106"/>
      <c r="S544" s="3"/>
      <c r="T544" s="58"/>
      <c r="W544" s="1"/>
      <c r="X544" s="13"/>
      <c r="Y544" s="14"/>
    </row>
    <row r="545" spans="2:25" ht="15.75" customHeight="1">
      <c r="B545" s="13"/>
      <c r="C545" s="13"/>
      <c r="E545" s="14"/>
      <c r="G545" s="1"/>
      <c r="O545" s="31"/>
      <c r="P545" s="31"/>
      <c r="R545" s="106"/>
      <c r="S545" s="3"/>
      <c r="T545" s="58"/>
      <c r="W545" s="1"/>
      <c r="X545" s="13"/>
      <c r="Y545" s="14"/>
    </row>
    <row r="546" spans="2:25" ht="15.75" customHeight="1">
      <c r="B546" s="13"/>
      <c r="C546" s="13"/>
      <c r="E546" s="14"/>
      <c r="G546" s="1"/>
      <c r="O546" s="31"/>
      <c r="P546" s="31"/>
      <c r="R546" s="106"/>
      <c r="S546" s="3"/>
      <c r="T546" s="58"/>
      <c r="W546" s="1"/>
      <c r="X546" s="13"/>
      <c r="Y546" s="14"/>
    </row>
    <row r="547" spans="2:25" ht="15.75" customHeight="1">
      <c r="B547" s="13"/>
      <c r="C547" s="13"/>
      <c r="E547" s="14"/>
      <c r="G547" s="1"/>
      <c r="O547" s="31"/>
      <c r="P547" s="31"/>
      <c r="R547" s="106"/>
      <c r="S547" s="3"/>
      <c r="T547" s="58"/>
      <c r="W547" s="1"/>
      <c r="X547" s="13"/>
      <c r="Y547" s="14"/>
    </row>
    <row r="548" spans="2:25" ht="15.75" customHeight="1">
      <c r="B548" s="13"/>
      <c r="C548" s="13"/>
      <c r="E548" s="14"/>
      <c r="G548" s="1"/>
      <c r="O548" s="31"/>
      <c r="P548" s="31"/>
      <c r="R548" s="106"/>
      <c r="S548" s="3"/>
      <c r="T548" s="58"/>
      <c r="W548" s="1"/>
      <c r="X548" s="13"/>
      <c r="Y548" s="14"/>
    </row>
    <row r="549" spans="2:25" ht="15.75" customHeight="1">
      <c r="B549" s="13"/>
      <c r="C549" s="13"/>
      <c r="E549" s="14"/>
      <c r="G549" s="1"/>
      <c r="O549" s="31"/>
      <c r="P549" s="31"/>
      <c r="R549" s="106"/>
      <c r="S549" s="3"/>
      <c r="T549" s="58"/>
      <c r="W549" s="1"/>
      <c r="X549" s="13"/>
      <c r="Y549" s="14"/>
    </row>
    <row r="550" spans="2:25" ht="15.75" customHeight="1">
      <c r="B550" s="13"/>
      <c r="C550" s="13"/>
      <c r="E550" s="14"/>
      <c r="G550" s="1"/>
      <c r="O550" s="31"/>
      <c r="P550" s="31"/>
      <c r="R550" s="106"/>
      <c r="S550" s="3"/>
      <c r="T550" s="58"/>
      <c r="W550" s="1"/>
      <c r="X550" s="13"/>
      <c r="Y550" s="14"/>
    </row>
    <row r="551" spans="2:25" ht="15.75" customHeight="1">
      <c r="B551" s="13"/>
      <c r="C551" s="13"/>
      <c r="E551" s="14"/>
      <c r="G551" s="1"/>
      <c r="O551" s="31"/>
      <c r="P551" s="31"/>
      <c r="R551" s="106"/>
      <c r="S551" s="3"/>
      <c r="T551" s="58"/>
      <c r="W551" s="1"/>
      <c r="X551" s="13"/>
      <c r="Y551" s="14"/>
    </row>
    <row r="552" spans="2:25" ht="15.75" customHeight="1">
      <c r="B552" s="13"/>
      <c r="C552" s="13"/>
      <c r="E552" s="14"/>
      <c r="G552" s="1"/>
      <c r="O552" s="31"/>
      <c r="P552" s="31"/>
      <c r="R552" s="106"/>
      <c r="S552" s="3"/>
      <c r="T552" s="58"/>
      <c r="W552" s="1"/>
      <c r="X552" s="13"/>
      <c r="Y552" s="14"/>
    </row>
    <row r="553" spans="2:25" ht="15.75" customHeight="1">
      <c r="B553" s="13"/>
      <c r="C553" s="13"/>
      <c r="E553" s="14"/>
      <c r="G553" s="1"/>
      <c r="O553" s="31"/>
      <c r="P553" s="31"/>
      <c r="R553" s="106"/>
      <c r="S553" s="3"/>
      <c r="T553" s="58"/>
      <c r="W553" s="1"/>
      <c r="X553" s="13"/>
      <c r="Y553" s="14"/>
    </row>
    <row r="554" spans="2:25" ht="15.75" customHeight="1">
      <c r="B554" s="13"/>
      <c r="C554" s="13"/>
      <c r="E554" s="14"/>
      <c r="G554" s="1"/>
      <c r="O554" s="31"/>
      <c r="P554" s="31"/>
      <c r="R554" s="106"/>
      <c r="S554" s="3"/>
      <c r="T554" s="58"/>
      <c r="W554" s="1"/>
      <c r="X554" s="13"/>
      <c r="Y554" s="14"/>
    </row>
    <row r="555" spans="2:25" ht="15.75" customHeight="1">
      <c r="B555" s="13"/>
      <c r="C555" s="13"/>
      <c r="E555" s="14"/>
      <c r="G555" s="1"/>
      <c r="O555" s="31"/>
      <c r="P555" s="31"/>
      <c r="R555" s="106"/>
      <c r="S555" s="3"/>
      <c r="T555" s="58"/>
      <c r="W555" s="1"/>
      <c r="X555" s="13"/>
      <c r="Y555" s="14"/>
    </row>
    <row r="556" spans="2:25" ht="15.75" customHeight="1">
      <c r="B556" s="13"/>
      <c r="C556" s="13"/>
      <c r="E556" s="14"/>
      <c r="G556" s="1"/>
      <c r="O556" s="31"/>
      <c r="P556" s="31"/>
      <c r="R556" s="106"/>
      <c r="S556" s="3"/>
      <c r="T556" s="58"/>
      <c r="W556" s="1"/>
      <c r="X556" s="13"/>
      <c r="Y556" s="14"/>
    </row>
    <row r="557" spans="2:25" ht="15.75" customHeight="1">
      <c r="B557" s="13"/>
      <c r="C557" s="13"/>
      <c r="E557" s="14"/>
      <c r="G557" s="1"/>
      <c r="O557" s="31"/>
      <c r="P557" s="31"/>
      <c r="R557" s="106"/>
      <c r="S557" s="3"/>
      <c r="T557" s="58"/>
      <c r="W557" s="1"/>
      <c r="X557" s="13"/>
      <c r="Y557" s="14"/>
    </row>
    <row r="558" spans="2:25" ht="15.75" customHeight="1">
      <c r="B558" s="13"/>
      <c r="C558" s="13"/>
      <c r="E558" s="14"/>
      <c r="G558" s="1"/>
      <c r="O558" s="31"/>
      <c r="P558" s="31"/>
      <c r="R558" s="106"/>
      <c r="S558" s="3"/>
      <c r="T558" s="58"/>
      <c r="W558" s="1"/>
      <c r="X558" s="13"/>
      <c r="Y558" s="14"/>
    </row>
    <row r="559" spans="2:25" ht="15.75" customHeight="1">
      <c r="B559" s="13"/>
      <c r="C559" s="13"/>
      <c r="E559" s="14"/>
      <c r="G559" s="1"/>
      <c r="O559" s="31"/>
      <c r="P559" s="31"/>
      <c r="R559" s="106"/>
      <c r="S559" s="3"/>
      <c r="T559" s="58"/>
      <c r="W559" s="1"/>
      <c r="X559" s="13"/>
      <c r="Y559" s="14"/>
    </row>
    <row r="560" spans="2:25" ht="15.75" customHeight="1">
      <c r="B560" s="13"/>
      <c r="C560" s="13"/>
      <c r="E560" s="14"/>
      <c r="G560" s="1"/>
      <c r="O560" s="31"/>
      <c r="P560" s="31"/>
      <c r="R560" s="106"/>
      <c r="S560" s="3"/>
      <c r="T560" s="58"/>
      <c r="W560" s="1"/>
      <c r="X560" s="13"/>
      <c r="Y560" s="14"/>
    </row>
    <row r="561" spans="2:25" ht="15.75" customHeight="1">
      <c r="B561" s="13"/>
      <c r="C561" s="13"/>
      <c r="E561" s="14"/>
      <c r="G561" s="1"/>
      <c r="O561" s="31"/>
      <c r="P561" s="31"/>
      <c r="R561" s="106"/>
      <c r="S561" s="3"/>
      <c r="T561" s="58"/>
      <c r="W561" s="1"/>
      <c r="X561" s="13"/>
      <c r="Y561" s="14"/>
    </row>
    <row r="562" spans="2:25" ht="15.75" customHeight="1">
      <c r="B562" s="13"/>
      <c r="C562" s="13"/>
      <c r="E562" s="14"/>
      <c r="G562" s="1"/>
      <c r="O562" s="31"/>
      <c r="P562" s="31"/>
      <c r="R562" s="106"/>
      <c r="S562" s="3"/>
      <c r="T562" s="58"/>
      <c r="W562" s="1"/>
      <c r="X562" s="13"/>
      <c r="Y562" s="14"/>
    </row>
    <row r="563" spans="2:25" ht="15.75" customHeight="1">
      <c r="B563" s="13"/>
      <c r="C563" s="13"/>
      <c r="E563" s="14"/>
      <c r="G563" s="1"/>
      <c r="O563" s="31"/>
      <c r="P563" s="31"/>
      <c r="R563" s="106"/>
      <c r="S563" s="3"/>
      <c r="T563" s="58"/>
      <c r="W563" s="1"/>
      <c r="X563" s="13"/>
      <c r="Y563" s="14"/>
    </row>
    <row r="564" spans="2:25" ht="15.75" customHeight="1">
      <c r="B564" s="13"/>
      <c r="C564" s="13"/>
      <c r="E564" s="14"/>
      <c r="G564" s="1"/>
      <c r="O564" s="31"/>
      <c r="P564" s="31"/>
      <c r="R564" s="106"/>
      <c r="S564" s="3"/>
      <c r="T564" s="58"/>
      <c r="W564" s="1"/>
      <c r="X564" s="13"/>
      <c r="Y564" s="14"/>
    </row>
    <row r="565" spans="2:25" ht="15.75" customHeight="1">
      <c r="B565" s="13"/>
      <c r="C565" s="13"/>
      <c r="E565" s="14"/>
      <c r="G565" s="1"/>
      <c r="O565" s="31"/>
      <c r="P565" s="31"/>
      <c r="R565" s="106"/>
      <c r="S565" s="3"/>
      <c r="T565" s="58"/>
      <c r="W565" s="1"/>
      <c r="X565" s="13"/>
      <c r="Y565" s="14"/>
    </row>
    <row r="566" spans="2:25" ht="15.75" customHeight="1">
      <c r="B566" s="13"/>
      <c r="C566" s="13"/>
      <c r="E566" s="14"/>
      <c r="G566" s="1"/>
      <c r="O566" s="31"/>
      <c r="P566" s="31"/>
      <c r="R566" s="106"/>
      <c r="S566" s="3"/>
      <c r="T566" s="58"/>
      <c r="W566" s="1"/>
      <c r="X566" s="13"/>
      <c r="Y566" s="14"/>
    </row>
    <row r="567" spans="2:25" ht="15.75" customHeight="1">
      <c r="B567" s="13"/>
      <c r="C567" s="13"/>
      <c r="E567" s="14"/>
      <c r="G567" s="1"/>
      <c r="O567" s="31"/>
      <c r="P567" s="31"/>
      <c r="R567" s="106"/>
      <c r="S567" s="3"/>
      <c r="T567" s="58"/>
      <c r="W567" s="1"/>
      <c r="X567" s="13"/>
      <c r="Y567" s="14"/>
    </row>
    <row r="568" spans="2:25" ht="15.75" customHeight="1">
      <c r="B568" s="13"/>
      <c r="C568" s="13"/>
      <c r="E568" s="14"/>
      <c r="G568" s="1"/>
      <c r="O568" s="31"/>
      <c r="P568" s="31"/>
      <c r="R568" s="106"/>
      <c r="S568" s="3"/>
      <c r="T568" s="58"/>
      <c r="W568" s="1"/>
      <c r="X568" s="13"/>
      <c r="Y568" s="14"/>
    </row>
    <row r="569" spans="2:25" ht="15.75" customHeight="1">
      <c r="B569" s="13"/>
      <c r="C569" s="13"/>
      <c r="E569" s="14"/>
      <c r="G569" s="1"/>
      <c r="O569" s="31"/>
      <c r="P569" s="31"/>
      <c r="R569" s="106"/>
      <c r="S569" s="3"/>
      <c r="T569" s="58"/>
      <c r="W569" s="1"/>
      <c r="X569" s="13"/>
      <c r="Y569" s="14"/>
    </row>
    <row r="570" spans="2:25" ht="15.75" customHeight="1">
      <c r="B570" s="13"/>
      <c r="C570" s="13"/>
      <c r="E570" s="14"/>
      <c r="G570" s="1"/>
      <c r="O570" s="31"/>
      <c r="P570" s="31"/>
      <c r="R570" s="106"/>
      <c r="S570" s="3"/>
      <c r="T570" s="58"/>
      <c r="W570" s="1"/>
      <c r="X570" s="13"/>
      <c r="Y570" s="14"/>
    </row>
    <row r="571" spans="2:25" ht="15.75" customHeight="1">
      <c r="B571" s="13"/>
      <c r="C571" s="13"/>
      <c r="E571" s="14"/>
      <c r="G571" s="1"/>
      <c r="O571" s="31"/>
      <c r="P571" s="31"/>
      <c r="R571" s="106"/>
      <c r="S571" s="3"/>
      <c r="T571" s="58"/>
      <c r="W571" s="1"/>
      <c r="X571" s="13"/>
      <c r="Y571" s="14"/>
    </row>
    <row r="572" spans="2:25" ht="15.75" customHeight="1">
      <c r="B572" s="13"/>
      <c r="C572" s="13"/>
      <c r="E572" s="14"/>
      <c r="G572" s="1"/>
      <c r="O572" s="31"/>
      <c r="P572" s="31"/>
      <c r="R572" s="106"/>
      <c r="S572" s="3"/>
      <c r="T572" s="58"/>
      <c r="W572" s="1"/>
      <c r="X572" s="13"/>
      <c r="Y572" s="14"/>
    </row>
    <row r="573" spans="2:25" ht="15.75" customHeight="1">
      <c r="B573" s="13"/>
      <c r="C573" s="13"/>
      <c r="E573" s="14"/>
      <c r="G573" s="1"/>
      <c r="O573" s="31"/>
      <c r="P573" s="31"/>
      <c r="R573" s="106"/>
      <c r="S573" s="3"/>
      <c r="T573" s="58"/>
      <c r="W573" s="1"/>
      <c r="X573" s="13"/>
      <c r="Y573" s="14"/>
    </row>
    <row r="574" spans="2:25" ht="15.75" customHeight="1">
      <c r="B574" s="13"/>
      <c r="C574" s="13"/>
      <c r="E574" s="14"/>
      <c r="G574" s="1"/>
      <c r="O574" s="31"/>
      <c r="P574" s="31"/>
      <c r="R574" s="106"/>
      <c r="S574" s="3"/>
      <c r="T574" s="58"/>
      <c r="W574" s="1"/>
      <c r="X574" s="13"/>
      <c r="Y574" s="14"/>
    </row>
    <row r="575" spans="2:25" ht="15.75" customHeight="1">
      <c r="B575" s="13"/>
      <c r="C575" s="13"/>
      <c r="E575" s="14"/>
      <c r="G575" s="1"/>
      <c r="O575" s="31"/>
      <c r="P575" s="31"/>
      <c r="R575" s="106"/>
      <c r="S575" s="3"/>
      <c r="T575" s="58"/>
      <c r="W575" s="1"/>
      <c r="X575" s="13"/>
      <c r="Y575" s="14"/>
    </row>
    <row r="576" spans="2:25" ht="15.75" customHeight="1">
      <c r="B576" s="13"/>
      <c r="C576" s="13"/>
      <c r="E576" s="14"/>
      <c r="G576" s="1"/>
      <c r="O576" s="31"/>
      <c r="P576" s="31"/>
      <c r="R576" s="106"/>
      <c r="S576" s="3"/>
      <c r="T576" s="58"/>
      <c r="W576" s="1"/>
      <c r="X576" s="13"/>
      <c r="Y576" s="14"/>
    </row>
    <row r="577" spans="2:25" ht="15.75" customHeight="1">
      <c r="B577" s="13"/>
      <c r="C577" s="13"/>
      <c r="E577" s="14"/>
      <c r="G577" s="1"/>
      <c r="O577" s="31"/>
      <c r="P577" s="31"/>
      <c r="R577" s="106"/>
      <c r="S577" s="3"/>
      <c r="T577" s="58"/>
      <c r="W577" s="1"/>
      <c r="X577" s="13"/>
      <c r="Y577" s="14"/>
    </row>
    <row r="578" spans="2:25" ht="15.75" customHeight="1">
      <c r="B578" s="13"/>
      <c r="C578" s="13"/>
      <c r="E578" s="14"/>
      <c r="G578" s="1"/>
      <c r="O578" s="31"/>
      <c r="P578" s="31"/>
      <c r="R578" s="106"/>
      <c r="S578" s="3"/>
      <c r="T578" s="58"/>
      <c r="W578" s="1"/>
      <c r="X578" s="13"/>
      <c r="Y578" s="14"/>
    </row>
    <row r="579" spans="2:25" ht="15.75" customHeight="1">
      <c r="B579" s="13"/>
      <c r="C579" s="13"/>
      <c r="E579" s="14"/>
      <c r="G579" s="1"/>
      <c r="O579" s="31"/>
      <c r="P579" s="31"/>
      <c r="R579" s="106"/>
      <c r="S579" s="3"/>
      <c r="T579" s="58"/>
      <c r="W579" s="1"/>
      <c r="X579" s="13"/>
      <c r="Y579" s="14"/>
    </row>
    <row r="580" spans="2:25" ht="15.75" customHeight="1">
      <c r="B580" s="13"/>
      <c r="C580" s="13"/>
      <c r="E580" s="14"/>
      <c r="G580" s="1"/>
      <c r="O580" s="31"/>
      <c r="P580" s="31"/>
      <c r="R580" s="106"/>
      <c r="S580" s="3"/>
      <c r="T580" s="58"/>
      <c r="W580" s="1"/>
      <c r="X580" s="13"/>
      <c r="Y580" s="14"/>
    </row>
    <row r="581" spans="2:25" ht="15.75" customHeight="1">
      <c r="B581" s="13"/>
      <c r="C581" s="13"/>
      <c r="E581" s="14"/>
      <c r="G581" s="1"/>
      <c r="O581" s="31"/>
      <c r="P581" s="31"/>
      <c r="R581" s="106"/>
      <c r="S581" s="3"/>
      <c r="T581" s="58"/>
      <c r="W581" s="1"/>
      <c r="X581" s="13"/>
      <c r="Y581" s="14"/>
    </row>
    <row r="582" spans="2:25" ht="15.75" customHeight="1">
      <c r="B582" s="13"/>
      <c r="C582" s="13"/>
      <c r="E582" s="14"/>
      <c r="G582" s="1"/>
      <c r="O582" s="31"/>
      <c r="P582" s="31"/>
      <c r="R582" s="106"/>
      <c r="S582" s="3"/>
      <c r="T582" s="58"/>
      <c r="W582" s="1"/>
      <c r="X582" s="13"/>
      <c r="Y582" s="14"/>
    </row>
    <row r="583" spans="2:25" ht="15.75" customHeight="1">
      <c r="B583" s="13"/>
      <c r="C583" s="13"/>
      <c r="E583" s="14"/>
      <c r="G583" s="1"/>
      <c r="O583" s="31"/>
      <c r="P583" s="31"/>
      <c r="R583" s="106"/>
      <c r="S583" s="3"/>
      <c r="T583" s="58"/>
      <c r="W583" s="1"/>
      <c r="X583" s="13"/>
      <c r="Y583" s="14"/>
    </row>
    <row r="584" spans="2:25" ht="15.75" customHeight="1">
      <c r="B584" s="13"/>
      <c r="C584" s="13"/>
      <c r="E584" s="14"/>
      <c r="G584" s="1"/>
      <c r="O584" s="31"/>
      <c r="P584" s="31"/>
      <c r="R584" s="106"/>
      <c r="S584" s="3"/>
      <c r="T584" s="58"/>
      <c r="W584" s="1"/>
      <c r="X584" s="13"/>
      <c r="Y584" s="14"/>
    </row>
    <row r="585" spans="2:25" ht="15.75" customHeight="1">
      <c r="B585" s="13"/>
      <c r="C585" s="13"/>
      <c r="E585" s="14"/>
      <c r="G585" s="1"/>
      <c r="O585" s="31"/>
      <c r="P585" s="31"/>
      <c r="R585" s="106"/>
      <c r="S585" s="3"/>
      <c r="T585" s="58"/>
      <c r="W585" s="1"/>
      <c r="X585" s="13"/>
      <c r="Y585" s="14"/>
    </row>
    <row r="586" spans="2:25" ht="15.75" customHeight="1">
      <c r="B586" s="13"/>
      <c r="C586" s="13"/>
      <c r="E586" s="14"/>
      <c r="G586" s="1"/>
      <c r="O586" s="31"/>
      <c r="P586" s="31"/>
      <c r="R586" s="106"/>
      <c r="S586" s="3"/>
      <c r="T586" s="58"/>
      <c r="W586" s="1"/>
      <c r="X586" s="13"/>
      <c r="Y586" s="14"/>
    </row>
    <row r="587" spans="2:25" ht="15.75" customHeight="1">
      <c r="B587" s="13"/>
      <c r="C587" s="13"/>
      <c r="E587" s="14"/>
      <c r="G587" s="1"/>
      <c r="O587" s="31"/>
      <c r="P587" s="31"/>
      <c r="R587" s="106"/>
      <c r="S587" s="3"/>
      <c r="T587" s="58"/>
      <c r="W587" s="1"/>
      <c r="X587" s="13"/>
      <c r="Y587" s="14"/>
    </row>
    <row r="588" spans="2:25" ht="15.75" customHeight="1">
      <c r="B588" s="13"/>
      <c r="C588" s="13"/>
      <c r="E588" s="14"/>
      <c r="G588" s="1"/>
      <c r="O588" s="31"/>
      <c r="P588" s="31"/>
      <c r="R588" s="106"/>
      <c r="S588" s="3"/>
      <c r="T588" s="58"/>
      <c r="W588" s="1"/>
      <c r="X588" s="13"/>
      <c r="Y588" s="14"/>
    </row>
    <row r="589" spans="2:25" ht="15.75" customHeight="1">
      <c r="B589" s="13"/>
      <c r="C589" s="13"/>
      <c r="E589" s="14"/>
      <c r="G589" s="1"/>
      <c r="O589" s="31"/>
      <c r="P589" s="31"/>
      <c r="R589" s="106"/>
      <c r="S589" s="3"/>
      <c r="T589" s="58"/>
      <c r="W589" s="1"/>
      <c r="X589" s="13"/>
      <c r="Y589" s="14"/>
    </row>
    <row r="590" spans="2:25" ht="15.75" customHeight="1">
      <c r="B590" s="13"/>
      <c r="C590" s="13"/>
      <c r="E590" s="14"/>
      <c r="G590" s="1"/>
      <c r="O590" s="31"/>
      <c r="P590" s="31"/>
      <c r="R590" s="106"/>
      <c r="S590" s="3"/>
      <c r="T590" s="58"/>
      <c r="W590" s="1"/>
      <c r="X590" s="13"/>
      <c r="Y590" s="14"/>
    </row>
    <row r="591" spans="2:25" ht="15.75" customHeight="1">
      <c r="B591" s="13"/>
      <c r="C591" s="13"/>
      <c r="E591" s="14"/>
      <c r="G591" s="1"/>
      <c r="O591" s="31"/>
      <c r="P591" s="31"/>
      <c r="R591" s="106"/>
      <c r="S591" s="3"/>
      <c r="T591" s="58"/>
      <c r="W591" s="1"/>
      <c r="X591" s="13"/>
      <c r="Y591" s="14"/>
    </row>
    <row r="592" spans="2:25" ht="15.75" customHeight="1">
      <c r="B592" s="13"/>
      <c r="C592" s="13"/>
      <c r="E592" s="14"/>
      <c r="G592" s="1"/>
      <c r="O592" s="31"/>
      <c r="P592" s="31"/>
      <c r="R592" s="106"/>
      <c r="S592" s="3"/>
      <c r="T592" s="58"/>
      <c r="W592" s="1"/>
      <c r="X592" s="13"/>
      <c r="Y592" s="14"/>
    </row>
    <row r="593" spans="2:25" ht="15.75" customHeight="1">
      <c r="B593" s="13"/>
      <c r="C593" s="13"/>
      <c r="E593" s="14"/>
      <c r="G593" s="1"/>
      <c r="O593" s="31"/>
      <c r="P593" s="31"/>
      <c r="R593" s="106"/>
      <c r="S593" s="3"/>
      <c r="T593" s="58"/>
      <c r="W593" s="1"/>
      <c r="X593" s="13"/>
      <c r="Y593" s="14"/>
    </row>
    <row r="594" spans="2:25" ht="15.75" customHeight="1">
      <c r="B594" s="13"/>
      <c r="C594" s="13"/>
      <c r="E594" s="14"/>
      <c r="G594" s="1"/>
      <c r="O594" s="31"/>
      <c r="P594" s="31"/>
      <c r="R594" s="106"/>
      <c r="S594" s="3"/>
      <c r="T594" s="58"/>
      <c r="W594" s="1"/>
      <c r="X594" s="13"/>
      <c r="Y594" s="14"/>
    </row>
    <row r="595" spans="2:25" ht="15.75" customHeight="1">
      <c r="B595" s="13"/>
      <c r="C595" s="13"/>
      <c r="E595" s="14"/>
      <c r="G595" s="1"/>
      <c r="O595" s="31"/>
      <c r="P595" s="31"/>
      <c r="R595" s="106"/>
      <c r="S595" s="3"/>
      <c r="T595" s="58"/>
      <c r="W595" s="1"/>
      <c r="X595" s="13"/>
      <c r="Y595" s="14"/>
    </row>
    <row r="596" spans="2:25" ht="15.75" customHeight="1">
      <c r="B596" s="13"/>
      <c r="C596" s="13"/>
      <c r="E596" s="14"/>
      <c r="G596" s="1"/>
      <c r="O596" s="31"/>
      <c r="P596" s="31"/>
      <c r="R596" s="106"/>
      <c r="S596" s="3"/>
      <c r="T596" s="58"/>
      <c r="W596" s="1"/>
      <c r="X596" s="13"/>
      <c r="Y596" s="14"/>
    </row>
    <row r="597" spans="2:25" ht="15.75" customHeight="1">
      <c r="B597" s="13"/>
      <c r="C597" s="13"/>
      <c r="E597" s="14"/>
      <c r="G597" s="1"/>
      <c r="O597" s="31"/>
      <c r="P597" s="31"/>
      <c r="R597" s="106"/>
      <c r="S597" s="3"/>
      <c r="T597" s="58"/>
      <c r="W597" s="1"/>
      <c r="X597" s="13"/>
      <c r="Y597" s="14"/>
    </row>
    <row r="598" spans="2:25" ht="15.75" customHeight="1">
      <c r="B598" s="13"/>
      <c r="C598" s="13"/>
      <c r="E598" s="14"/>
      <c r="G598" s="1"/>
      <c r="O598" s="31"/>
      <c r="P598" s="31"/>
      <c r="R598" s="106"/>
      <c r="S598" s="3"/>
      <c r="T598" s="58"/>
      <c r="W598" s="1"/>
      <c r="X598" s="13"/>
      <c r="Y598" s="14"/>
    </row>
    <row r="599" spans="2:25" ht="15.75" customHeight="1">
      <c r="B599" s="13"/>
      <c r="C599" s="13"/>
      <c r="E599" s="14"/>
      <c r="G599" s="1"/>
      <c r="O599" s="31"/>
      <c r="P599" s="31"/>
      <c r="R599" s="106"/>
      <c r="S599" s="3"/>
      <c r="T599" s="58"/>
      <c r="W599" s="1"/>
      <c r="X599" s="13"/>
      <c r="Y599" s="14"/>
    </row>
    <row r="600" spans="2:25" ht="15.75" customHeight="1">
      <c r="B600" s="13"/>
      <c r="C600" s="13"/>
      <c r="E600" s="14"/>
      <c r="G600" s="1"/>
      <c r="O600" s="31"/>
      <c r="P600" s="31"/>
      <c r="R600" s="106"/>
      <c r="S600" s="3"/>
      <c r="T600" s="58"/>
      <c r="W600" s="1"/>
      <c r="X600" s="13"/>
      <c r="Y600" s="14"/>
    </row>
    <row r="601" spans="2:25" ht="15.75" customHeight="1">
      <c r="B601" s="13"/>
      <c r="C601" s="13"/>
      <c r="E601" s="14"/>
      <c r="G601" s="1"/>
      <c r="O601" s="31"/>
      <c r="P601" s="31"/>
      <c r="R601" s="106"/>
      <c r="S601" s="3"/>
      <c r="T601" s="58"/>
      <c r="W601" s="1"/>
      <c r="X601" s="13"/>
      <c r="Y601" s="14"/>
    </row>
    <row r="602" spans="2:25" ht="15.75" customHeight="1">
      <c r="B602" s="13"/>
      <c r="C602" s="13"/>
      <c r="E602" s="14"/>
      <c r="G602" s="1"/>
      <c r="O602" s="31"/>
      <c r="P602" s="31"/>
      <c r="R602" s="106"/>
      <c r="S602" s="3"/>
      <c r="T602" s="58"/>
      <c r="W602" s="1"/>
      <c r="X602" s="13"/>
      <c r="Y602" s="14"/>
    </row>
    <row r="603" spans="2:25" ht="15.75" customHeight="1">
      <c r="B603" s="13"/>
      <c r="C603" s="13"/>
      <c r="E603" s="14"/>
      <c r="G603" s="1"/>
      <c r="O603" s="31"/>
      <c r="P603" s="31"/>
      <c r="R603" s="106"/>
      <c r="S603" s="3"/>
      <c r="T603" s="58"/>
      <c r="W603" s="1"/>
      <c r="X603" s="13"/>
      <c r="Y603" s="14"/>
    </row>
    <row r="604" spans="2:25" ht="15.75" customHeight="1">
      <c r="B604" s="13"/>
      <c r="C604" s="13"/>
      <c r="E604" s="14"/>
      <c r="G604" s="1"/>
      <c r="O604" s="31"/>
      <c r="P604" s="31"/>
      <c r="R604" s="106"/>
      <c r="S604" s="3"/>
      <c r="T604" s="58"/>
      <c r="W604" s="1"/>
      <c r="X604" s="13"/>
      <c r="Y604" s="14"/>
    </row>
    <row r="605" spans="2:25" ht="15.75" customHeight="1">
      <c r="B605" s="13"/>
      <c r="C605" s="13"/>
      <c r="E605" s="14"/>
      <c r="G605" s="1"/>
      <c r="O605" s="31"/>
      <c r="P605" s="31"/>
      <c r="R605" s="106"/>
      <c r="S605" s="3"/>
      <c r="T605" s="58"/>
      <c r="W605" s="1"/>
      <c r="X605" s="13"/>
      <c r="Y605" s="14"/>
    </row>
    <row r="606" spans="2:25" ht="15.75" customHeight="1">
      <c r="B606" s="13"/>
      <c r="C606" s="13"/>
      <c r="E606" s="14"/>
      <c r="G606" s="1"/>
      <c r="O606" s="31"/>
      <c r="P606" s="31"/>
      <c r="R606" s="106"/>
      <c r="S606" s="3"/>
      <c r="T606" s="58"/>
      <c r="W606" s="1"/>
      <c r="X606" s="13"/>
      <c r="Y606" s="14"/>
    </row>
    <row r="607" spans="2:25" ht="15.75" customHeight="1">
      <c r="B607" s="13"/>
      <c r="C607" s="13"/>
      <c r="E607" s="14"/>
      <c r="G607" s="1"/>
      <c r="O607" s="31"/>
      <c r="P607" s="31"/>
      <c r="R607" s="106"/>
      <c r="S607" s="3"/>
      <c r="T607" s="58"/>
      <c r="W607" s="1"/>
      <c r="X607" s="13"/>
      <c r="Y607" s="14"/>
    </row>
    <row r="608" spans="2:25" ht="15.75" customHeight="1">
      <c r="B608" s="13"/>
      <c r="C608" s="13"/>
      <c r="E608" s="14"/>
      <c r="G608" s="1"/>
      <c r="O608" s="31"/>
      <c r="P608" s="31"/>
      <c r="R608" s="106"/>
      <c r="S608" s="3"/>
      <c r="T608" s="58"/>
      <c r="W608" s="1"/>
      <c r="X608" s="13"/>
      <c r="Y608" s="14"/>
    </row>
    <row r="609" spans="2:25" ht="15.75" customHeight="1">
      <c r="B609" s="13"/>
      <c r="C609" s="13"/>
      <c r="E609" s="14"/>
      <c r="G609" s="1"/>
      <c r="O609" s="31"/>
      <c r="P609" s="31"/>
      <c r="R609" s="106"/>
      <c r="S609" s="3"/>
      <c r="T609" s="58"/>
      <c r="W609" s="1"/>
      <c r="X609" s="13"/>
      <c r="Y609" s="14"/>
    </row>
    <row r="610" spans="2:25" ht="15.75" customHeight="1">
      <c r="B610" s="13"/>
      <c r="C610" s="13"/>
      <c r="E610" s="14"/>
      <c r="G610" s="1"/>
      <c r="O610" s="31"/>
      <c r="P610" s="31"/>
      <c r="R610" s="106"/>
      <c r="S610" s="3"/>
      <c r="T610" s="58"/>
      <c r="W610" s="1"/>
      <c r="X610" s="13"/>
      <c r="Y610" s="14"/>
    </row>
    <row r="611" spans="2:25" ht="15.75" customHeight="1">
      <c r="B611" s="13"/>
      <c r="C611" s="13"/>
      <c r="E611" s="14"/>
      <c r="G611" s="1"/>
      <c r="O611" s="31"/>
      <c r="P611" s="31"/>
      <c r="R611" s="106"/>
      <c r="S611" s="3"/>
      <c r="T611" s="58"/>
      <c r="W611" s="1"/>
      <c r="X611" s="13"/>
      <c r="Y611" s="14"/>
    </row>
    <row r="612" spans="2:25" ht="15.75" customHeight="1">
      <c r="B612" s="13"/>
      <c r="C612" s="13"/>
      <c r="E612" s="14"/>
      <c r="G612" s="1"/>
      <c r="O612" s="31"/>
      <c r="P612" s="31"/>
      <c r="R612" s="106"/>
      <c r="S612" s="3"/>
      <c r="T612" s="58"/>
      <c r="W612" s="1"/>
      <c r="X612" s="13"/>
      <c r="Y612" s="14"/>
    </row>
    <row r="613" spans="2:25" ht="15.75" customHeight="1">
      <c r="B613" s="13"/>
      <c r="C613" s="13"/>
      <c r="E613" s="14"/>
      <c r="G613" s="1"/>
      <c r="O613" s="31"/>
      <c r="P613" s="31"/>
      <c r="R613" s="106"/>
      <c r="S613" s="3"/>
      <c r="T613" s="58"/>
      <c r="W613" s="1"/>
      <c r="X613" s="13"/>
      <c r="Y613" s="14"/>
    </row>
    <row r="614" spans="2:25" ht="15.75" customHeight="1">
      <c r="B614" s="13"/>
      <c r="C614" s="13"/>
      <c r="E614" s="14"/>
      <c r="G614" s="1"/>
      <c r="O614" s="31"/>
      <c r="P614" s="31"/>
      <c r="R614" s="106"/>
      <c r="S614" s="3"/>
      <c r="T614" s="58"/>
      <c r="W614" s="1"/>
      <c r="X614" s="13"/>
      <c r="Y614" s="14"/>
    </row>
    <row r="615" spans="2:25" ht="15.75" customHeight="1">
      <c r="B615" s="13"/>
      <c r="C615" s="13"/>
      <c r="E615" s="14"/>
      <c r="G615" s="1"/>
      <c r="O615" s="31"/>
      <c r="P615" s="31"/>
      <c r="R615" s="106"/>
      <c r="S615" s="3"/>
      <c r="T615" s="58"/>
      <c r="W615" s="1"/>
      <c r="X615" s="13"/>
      <c r="Y615" s="14"/>
    </row>
    <row r="616" spans="2:25" ht="15.75" customHeight="1">
      <c r="B616" s="13"/>
      <c r="C616" s="13"/>
      <c r="E616" s="14"/>
      <c r="G616" s="1"/>
      <c r="O616" s="31"/>
      <c r="P616" s="31"/>
      <c r="R616" s="106"/>
      <c r="S616" s="3"/>
      <c r="T616" s="58"/>
      <c r="W616" s="1"/>
      <c r="X616" s="13"/>
      <c r="Y616" s="14"/>
    </row>
    <row r="617" spans="2:25" ht="15.75" customHeight="1">
      <c r="B617" s="13"/>
      <c r="C617" s="13"/>
      <c r="E617" s="14"/>
      <c r="G617" s="1"/>
      <c r="O617" s="31"/>
      <c r="P617" s="31"/>
      <c r="R617" s="106"/>
      <c r="S617" s="3"/>
      <c r="T617" s="58"/>
      <c r="W617" s="1"/>
      <c r="X617" s="13"/>
      <c r="Y617" s="14"/>
    </row>
    <row r="618" spans="2:25" ht="15.75" customHeight="1">
      <c r="B618" s="13"/>
      <c r="C618" s="13"/>
      <c r="E618" s="14"/>
      <c r="G618" s="1"/>
      <c r="O618" s="31"/>
      <c r="P618" s="31"/>
      <c r="R618" s="106"/>
      <c r="S618" s="3"/>
      <c r="T618" s="58"/>
      <c r="W618" s="1"/>
      <c r="X618" s="13"/>
      <c r="Y618" s="14"/>
    </row>
    <row r="619" spans="2:25" ht="15.75" customHeight="1">
      <c r="B619" s="13"/>
      <c r="C619" s="13"/>
      <c r="E619" s="14"/>
      <c r="G619" s="1"/>
      <c r="O619" s="31"/>
      <c r="P619" s="31"/>
      <c r="R619" s="106"/>
      <c r="S619" s="3"/>
      <c r="T619" s="58"/>
      <c r="W619" s="1"/>
      <c r="X619" s="13"/>
      <c r="Y619" s="14"/>
    </row>
    <row r="620" spans="2:25" ht="15.75" customHeight="1">
      <c r="B620" s="13"/>
      <c r="C620" s="13"/>
      <c r="E620" s="14"/>
      <c r="G620" s="1"/>
      <c r="O620" s="31"/>
      <c r="P620" s="31"/>
      <c r="R620" s="106"/>
      <c r="S620" s="3"/>
      <c r="T620" s="58"/>
      <c r="W620" s="1"/>
      <c r="X620" s="13"/>
      <c r="Y620" s="14"/>
    </row>
    <row r="621" spans="2:25" ht="15.75" customHeight="1">
      <c r="B621" s="13"/>
      <c r="C621" s="13"/>
      <c r="E621" s="14"/>
      <c r="G621" s="1"/>
      <c r="O621" s="31"/>
      <c r="P621" s="31"/>
      <c r="R621" s="106"/>
      <c r="S621" s="3"/>
      <c r="T621" s="58"/>
      <c r="W621" s="1"/>
      <c r="X621" s="13"/>
      <c r="Y621" s="14"/>
    </row>
    <row r="622" spans="2:25" ht="15.75" customHeight="1">
      <c r="B622" s="13"/>
      <c r="C622" s="13"/>
      <c r="E622" s="14"/>
      <c r="G622" s="1"/>
      <c r="O622" s="31"/>
      <c r="P622" s="31"/>
      <c r="R622" s="106"/>
      <c r="S622" s="3"/>
      <c r="T622" s="58"/>
      <c r="W622" s="1"/>
      <c r="X622" s="13"/>
      <c r="Y622" s="14"/>
    </row>
    <row r="623" spans="2:25" ht="15.75" customHeight="1">
      <c r="B623" s="13"/>
      <c r="C623" s="13"/>
      <c r="E623" s="14"/>
      <c r="G623" s="1"/>
      <c r="O623" s="31"/>
      <c r="P623" s="31"/>
      <c r="R623" s="106"/>
      <c r="S623" s="3"/>
      <c r="T623" s="58"/>
      <c r="W623" s="1"/>
      <c r="X623" s="13"/>
      <c r="Y623" s="14"/>
    </row>
    <row r="624" spans="2:25" ht="15.75" customHeight="1">
      <c r="B624" s="13"/>
      <c r="C624" s="13"/>
      <c r="E624" s="14"/>
      <c r="G624" s="1"/>
      <c r="O624" s="31"/>
      <c r="P624" s="31"/>
      <c r="R624" s="106"/>
      <c r="S624" s="3"/>
      <c r="T624" s="58"/>
      <c r="W624" s="1"/>
      <c r="X624" s="13"/>
      <c r="Y624" s="14"/>
    </row>
    <row r="625" spans="2:25" ht="15.75" customHeight="1">
      <c r="B625" s="13"/>
      <c r="C625" s="13"/>
      <c r="E625" s="14"/>
      <c r="G625" s="1"/>
      <c r="O625" s="31"/>
      <c r="P625" s="31"/>
      <c r="R625" s="106"/>
      <c r="S625" s="3"/>
      <c r="T625" s="58"/>
      <c r="W625" s="1"/>
      <c r="X625" s="13"/>
      <c r="Y625" s="14"/>
    </row>
    <row r="626" spans="2:25" ht="15.75" customHeight="1">
      <c r="B626" s="13"/>
      <c r="C626" s="13"/>
      <c r="E626" s="14"/>
      <c r="G626" s="1"/>
      <c r="O626" s="31"/>
      <c r="P626" s="31"/>
      <c r="R626" s="106"/>
      <c r="S626" s="3"/>
      <c r="T626" s="58"/>
      <c r="W626" s="1"/>
      <c r="X626" s="13"/>
      <c r="Y626" s="14"/>
    </row>
    <row r="627" spans="2:25" ht="15.75" customHeight="1">
      <c r="B627" s="13"/>
      <c r="C627" s="13"/>
      <c r="E627" s="14"/>
      <c r="G627" s="1"/>
      <c r="O627" s="31"/>
      <c r="P627" s="31"/>
      <c r="R627" s="106"/>
      <c r="S627" s="3"/>
      <c r="T627" s="58"/>
      <c r="W627" s="1"/>
      <c r="X627" s="13"/>
      <c r="Y627" s="14"/>
    </row>
    <row r="628" spans="2:25" ht="15.75" customHeight="1">
      <c r="B628" s="13"/>
      <c r="C628" s="13"/>
      <c r="E628" s="14"/>
      <c r="G628" s="1"/>
      <c r="O628" s="31"/>
      <c r="P628" s="31"/>
      <c r="R628" s="106"/>
      <c r="S628" s="3"/>
      <c r="T628" s="58"/>
      <c r="W628" s="1"/>
      <c r="X628" s="13"/>
      <c r="Y628" s="14"/>
    </row>
    <row r="629" spans="2:25" ht="15.75" customHeight="1">
      <c r="B629" s="13"/>
      <c r="C629" s="13"/>
      <c r="E629" s="14"/>
      <c r="G629" s="1"/>
      <c r="O629" s="31"/>
      <c r="P629" s="31"/>
      <c r="R629" s="106"/>
      <c r="S629" s="3"/>
      <c r="T629" s="58"/>
      <c r="W629" s="1"/>
      <c r="X629" s="13"/>
      <c r="Y629" s="14"/>
    </row>
    <row r="630" spans="2:25" ht="15.75" customHeight="1">
      <c r="B630" s="13"/>
      <c r="C630" s="13"/>
      <c r="E630" s="14"/>
      <c r="G630" s="1"/>
      <c r="O630" s="31"/>
      <c r="P630" s="31"/>
      <c r="R630" s="106"/>
      <c r="S630" s="3"/>
      <c r="T630" s="58"/>
      <c r="W630" s="1"/>
      <c r="X630" s="13"/>
      <c r="Y630" s="14"/>
    </row>
    <row r="631" spans="2:25" ht="15.75" customHeight="1">
      <c r="B631" s="13"/>
      <c r="C631" s="13"/>
      <c r="E631" s="14"/>
      <c r="G631" s="1"/>
      <c r="O631" s="31"/>
      <c r="P631" s="31"/>
      <c r="R631" s="106"/>
      <c r="S631" s="3"/>
      <c r="T631" s="58"/>
      <c r="W631" s="1"/>
      <c r="X631" s="13"/>
      <c r="Y631" s="14"/>
    </row>
    <row r="632" spans="2:25" ht="15.75" customHeight="1">
      <c r="B632" s="13"/>
      <c r="C632" s="13"/>
      <c r="E632" s="14"/>
      <c r="G632" s="1"/>
      <c r="O632" s="31"/>
      <c r="P632" s="31"/>
      <c r="R632" s="106"/>
      <c r="S632" s="3"/>
      <c r="T632" s="58"/>
      <c r="W632" s="1"/>
      <c r="X632" s="13"/>
      <c r="Y632" s="14"/>
    </row>
    <row r="633" spans="2:25" ht="15.75" customHeight="1">
      <c r="B633" s="13"/>
      <c r="C633" s="13"/>
      <c r="E633" s="14"/>
      <c r="G633" s="1"/>
      <c r="O633" s="31"/>
      <c r="P633" s="31"/>
      <c r="R633" s="106"/>
      <c r="S633" s="3"/>
      <c r="T633" s="58"/>
      <c r="W633" s="1"/>
      <c r="X633" s="13"/>
      <c r="Y633" s="14"/>
    </row>
    <row r="634" spans="2:25" ht="15.75" customHeight="1">
      <c r="B634" s="13"/>
      <c r="C634" s="13"/>
      <c r="E634" s="14"/>
      <c r="G634" s="1"/>
      <c r="O634" s="31"/>
      <c r="P634" s="31"/>
      <c r="R634" s="106"/>
      <c r="S634" s="3"/>
      <c r="T634" s="58"/>
      <c r="W634" s="1"/>
      <c r="X634" s="13"/>
      <c r="Y634" s="14"/>
    </row>
    <row r="635" spans="2:25" ht="15.75" customHeight="1">
      <c r="B635" s="13"/>
      <c r="C635" s="13"/>
      <c r="E635" s="14"/>
      <c r="G635" s="1"/>
      <c r="O635" s="31"/>
      <c r="P635" s="31"/>
      <c r="R635" s="106"/>
      <c r="S635" s="3"/>
      <c r="T635" s="58"/>
      <c r="W635" s="1"/>
      <c r="X635" s="13"/>
      <c r="Y635" s="14"/>
    </row>
    <row r="636" spans="2:25" ht="15.75" customHeight="1">
      <c r="B636" s="13"/>
      <c r="C636" s="13"/>
      <c r="E636" s="14"/>
      <c r="G636" s="1"/>
      <c r="O636" s="31"/>
      <c r="P636" s="31"/>
      <c r="R636" s="106"/>
      <c r="S636" s="3"/>
      <c r="T636" s="58"/>
      <c r="W636" s="1"/>
      <c r="X636" s="13"/>
      <c r="Y636" s="14"/>
    </row>
    <row r="637" spans="2:25" ht="15.75" customHeight="1">
      <c r="B637" s="13"/>
      <c r="C637" s="13"/>
      <c r="E637" s="14"/>
      <c r="G637" s="1"/>
      <c r="O637" s="31"/>
      <c r="P637" s="31"/>
      <c r="R637" s="106"/>
      <c r="S637" s="3"/>
      <c r="T637" s="58"/>
      <c r="W637" s="1"/>
      <c r="X637" s="13"/>
      <c r="Y637" s="14"/>
    </row>
    <row r="638" spans="2:25" ht="15.75" customHeight="1">
      <c r="B638" s="13"/>
      <c r="C638" s="13"/>
      <c r="E638" s="14"/>
      <c r="G638" s="1"/>
      <c r="O638" s="31"/>
      <c r="P638" s="31"/>
      <c r="R638" s="106"/>
      <c r="S638" s="3"/>
      <c r="T638" s="58"/>
      <c r="W638" s="1"/>
      <c r="X638" s="13"/>
      <c r="Y638" s="14"/>
    </row>
    <row r="639" spans="2:25" ht="15.75" customHeight="1">
      <c r="B639" s="13"/>
      <c r="C639" s="13"/>
      <c r="E639" s="14"/>
      <c r="G639" s="1"/>
      <c r="O639" s="31"/>
      <c r="P639" s="31"/>
      <c r="R639" s="106"/>
      <c r="S639" s="3"/>
      <c r="T639" s="58"/>
      <c r="W639" s="1"/>
      <c r="X639" s="13"/>
      <c r="Y639" s="14"/>
    </row>
    <row r="640" spans="2:25" ht="15.75" customHeight="1">
      <c r="B640" s="13"/>
      <c r="C640" s="13"/>
      <c r="E640" s="14"/>
      <c r="G640" s="1"/>
      <c r="O640" s="31"/>
      <c r="P640" s="31"/>
      <c r="R640" s="106"/>
      <c r="S640" s="3"/>
      <c r="T640" s="58"/>
      <c r="W640" s="1"/>
      <c r="X640" s="13"/>
      <c r="Y640" s="14"/>
    </row>
    <row r="641" spans="2:25" ht="15.75" customHeight="1">
      <c r="B641" s="13"/>
      <c r="C641" s="13"/>
      <c r="E641" s="14"/>
      <c r="G641" s="1"/>
      <c r="O641" s="31"/>
      <c r="P641" s="31"/>
      <c r="R641" s="106"/>
      <c r="S641" s="3"/>
      <c r="T641" s="58"/>
      <c r="W641" s="1"/>
      <c r="X641" s="13"/>
      <c r="Y641" s="14"/>
    </row>
    <row r="642" spans="2:25" ht="15.75" customHeight="1">
      <c r="B642" s="13"/>
      <c r="C642" s="13"/>
      <c r="E642" s="14"/>
      <c r="G642" s="1"/>
      <c r="O642" s="31"/>
      <c r="P642" s="31"/>
      <c r="R642" s="106"/>
      <c r="S642" s="3"/>
      <c r="T642" s="58"/>
      <c r="W642" s="1"/>
      <c r="X642" s="13"/>
      <c r="Y642" s="14"/>
    </row>
    <row r="643" spans="2:25" ht="15.75" customHeight="1">
      <c r="B643" s="13"/>
      <c r="C643" s="13"/>
      <c r="E643" s="14"/>
      <c r="G643" s="1"/>
      <c r="O643" s="31"/>
      <c r="P643" s="31"/>
      <c r="R643" s="106"/>
      <c r="S643" s="3"/>
      <c r="T643" s="58"/>
      <c r="W643" s="1"/>
      <c r="X643" s="13"/>
      <c r="Y643" s="14"/>
    </row>
    <row r="644" spans="2:25" ht="15.75" customHeight="1">
      <c r="B644" s="13"/>
      <c r="C644" s="13"/>
      <c r="E644" s="14"/>
      <c r="G644" s="1"/>
      <c r="O644" s="31"/>
      <c r="P644" s="31"/>
      <c r="R644" s="106"/>
      <c r="S644" s="3"/>
      <c r="T644" s="58"/>
      <c r="W644" s="1"/>
      <c r="X644" s="13"/>
      <c r="Y644" s="14"/>
    </row>
    <row r="645" spans="2:25" ht="15.75" customHeight="1">
      <c r="B645" s="13"/>
      <c r="C645" s="13"/>
      <c r="E645" s="14"/>
      <c r="G645" s="1"/>
      <c r="O645" s="31"/>
      <c r="P645" s="31"/>
      <c r="R645" s="106"/>
      <c r="S645" s="3"/>
      <c r="T645" s="58"/>
      <c r="W645" s="1"/>
      <c r="X645" s="13"/>
      <c r="Y645" s="14"/>
    </row>
    <row r="646" spans="2:25" ht="15.75" customHeight="1">
      <c r="B646" s="13"/>
      <c r="C646" s="13"/>
      <c r="E646" s="14"/>
      <c r="G646" s="1"/>
      <c r="O646" s="31"/>
      <c r="P646" s="31"/>
      <c r="R646" s="106"/>
      <c r="S646" s="3"/>
      <c r="T646" s="58"/>
      <c r="W646" s="1"/>
      <c r="X646" s="13"/>
      <c r="Y646" s="14"/>
    </row>
    <row r="647" spans="2:25" ht="15.75" customHeight="1">
      <c r="B647" s="13"/>
      <c r="C647" s="13"/>
      <c r="E647" s="14"/>
      <c r="G647" s="1"/>
      <c r="O647" s="31"/>
      <c r="P647" s="31"/>
      <c r="R647" s="106"/>
      <c r="S647" s="3"/>
      <c r="T647" s="58"/>
      <c r="W647" s="1"/>
      <c r="X647" s="13"/>
      <c r="Y647" s="14"/>
    </row>
    <row r="648" spans="2:25" ht="15.75" customHeight="1">
      <c r="B648" s="13"/>
      <c r="C648" s="13"/>
      <c r="E648" s="14"/>
      <c r="G648" s="1"/>
      <c r="O648" s="31"/>
      <c r="P648" s="31"/>
      <c r="R648" s="106"/>
      <c r="S648" s="3"/>
      <c r="T648" s="58"/>
      <c r="W648" s="1"/>
      <c r="X648" s="13"/>
      <c r="Y648" s="14"/>
    </row>
    <row r="649" spans="2:25" ht="15.75" customHeight="1">
      <c r="B649" s="13"/>
      <c r="C649" s="13"/>
      <c r="E649" s="14"/>
      <c r="G649" s="1"/>
      <c r="O649" s="31"/>
      <c r="P649" s="31"/>
      <c r="R649" s="106"/>
      <c r="S649" s="3"/>
      <c r="T649" s="58"/>
      <c r="W649" s="1"/>
      <c r="X649" s="13"/>
      <c r="Y649" s="14"/>
    </row>
    <row r="650" spans="2:25" ht="15.75" customHeight="1">
      <c r="B650" s="13"/>
      <c r="C650" s="13"/>
      <c r="E650" s="14"/>
      <c r="G650" s="1"/>
      <c r="O650" s="31"/>
      <c r="P650" s="31"/>
      <c r="R650" s="106"/>
      <c r="S650" s="3"/>
      <c r="T650" s="58"/>
      <c r="W650" s="1"/>
      <c r="X650" s="13"/>
      <c r="Y650" s="14"/>
    </row>
    <row r="651" spans="2:25" ht="15.75" customHeight="1">
      <c r="B651" s="13"/>
      <c r="C651" s="13"/>
      <c r="E651" s="14"/>
      <c r="G651" s="1"/>
      <c r="O651" s="31"/>
      <c r="P651" s="31"/>
      <c r="R651" s="106"/>
      <c r="S651" s="3"/>
      <c r="T651" s="58"/>
      <c r="W651" s="1"/>
      <c r="X651" s="13"/>
      <c r="Y651" s="14"/>
    </row>
    <row r="652" spans="2:25" ht="15.75" customHeight="1">
      <c r="B652" s="13"/>
      <c r="C652" s="13"/>
      <c r="E652" s="14"/>
      <c r="G652" s="1"/>
      <c r="O652" s="31"/>
      <c r="P652" s="31"/>
      <c r="R652" s="106"/>
      <c r="S652" s="3"/>
      <c r="T652" s="58"/>
      <c r="W652" s="1"/>
      <c r="X652" s="13"/>
      <c r="Y652" s="14"/>
    </row>
    <row r="653" spans="2:25" ht="15.75" customHeight="1">
      <c r="B653" s="13"/>
      <c r="C653" s="13"/>
      <c r="E653" s="14"/>
      <c r="G653" s="1"/>
      <c r="O653" s="31"/>
      <c r="P653" s="31"/>
      <c r="R653" s="106"/>
      <c r="S653" s="3"/>
      <c r="T653" s="58"/>
      <c r="W653" s="1"/>
      <c r="X653" s="13"/>
      <c r="Y653" s="14"/>
    </row>
    <row r="654" spans="2:25" ht="15.75" customHeight="1">
      <c r="B654" s="13"/>
      <c r="C654" s="13"/>
      <c r="E654" s="14"/>
      <c r="G654" s="1"/>
      <c r="O654" s="31"/>
      <c r="P654" s="31"/>
      <c r="R654" s="106"/>
      <c r="S654" s="3"/>
      <c r="T654" s="58"/>
      <c r="W654" s="1"/>
      <c r="X654" s="13"/>
      <c r="Y654" s="14"/>
    </row>
    <row r="655" spans="2:25" ht="15.75" customHeight="1">
      <c r="B655" s="13"/>
      <c r="C655" s="13"/>
      <c r="E655" s="14"/>
      <c r="G655" s="1"/>
      <c r="O655" s="31"/>
      <c r="P655" s="31"/>
      <c r="R655" s="106"/>
      <c r="S655" s="3"/>
      <c r="T655" s="58"/>
      <c r="W655" s="1"/>
      <c r="X655" s="13"/>
      <c r="Y655" s="14"/>
    </row>
    <row r="656" spans="2:25" ht="15.75" customHeight="1">
      <c r="B656" s="13"/>
      <c r="C656" s="13"/>
      <c r="E656" s="14"/>
      <c r="G656" s="1"/>
      <c r="O656" s="31"/>
      <c r="P656" s="31"/>
      <c r="R656" s="106"/>
      <c r="S656" s="3"/>
      <c r="T656" s="58"/>
      <c r="W656" s="1"/>
      <c r="X656" s="13"/>
      <c r="Y656" s="14"/>
    </row>
    <row r="657" spans="2:25" ht="15.75" customHeight="1">
      <c r="B657" s="13"/>
      <c r="C657" s="13"/>
      <c r="E657" s="14"/>
      <c r="G657" s="1"/>
      <c r="O657" s="31"/>
      <c r="P657" s="31"/>
      <c r="R657" s="106"/>
      <c r="S657" s="3"/>
      <c r="T657" s="58"/>
      <c r="W657" s="1"/>
      <c r="X657" s="13"/>
      <c r="Y657" s="14"/>
    </row>
    <row r="658" spans="2:25" ht="15.75" customHeight="1">
      <c r="B658" s="13"/>
      <c r="C658" s="13"/>
      <c r="E658" s="14"/>
      <c r="G658" s="1"/>
      <c r="O658" s="31"/>
      <c r="P658" s="31"/>
      <c r="R658" s="106"/>
      <c r="S658" s="3"/>
      <c r="T658" s="58"/>
      <c r="W658" s="1"/>
      <c r="X658" s="13"/>
      <c r="Y658" s="14"/>
    </row>
    <row r="659" spans="2:25" ht="15.75" customHeight="1">
      <c r="B659" s="13"/>
      <c r="C659" s="13"/>
      <c r="E659" s="14"/>
      <c r="G659" s="1"/>
      <c r="O659" s="31"/>
      <c r="P659" s="31"/>
      <c r="R659" s="106"/>
      <c r="S659" s="3"/>
      <c r="T659" s="58"/>
      <c r="W659" s="1"/>
      <c r="X659" s="13"/>
      <c r="Y659" s="14"/>
    </row>
    <row r="660" spans="2:25" ht="15.75" customHeight="1">
      <c r="B660" s="13"/>
      <c r="C660" s="13"/>
      <c r="E660" s="14"/>
      <c r="G660" s="1"/>
      <c r="O660" s="31"/>
      <c r="P660" s="31"/>
      <c r="R660" s="106"/>
      <c r="S660" s="3"/>
      <c r="T660" s="58"/>
      <c r="W660" s="1"/>
      <c r="X660" s="13"/>
      <c r="Y660" s="14"/>
    </row>
    <row r="661" spans="2:25" ht="15.75" customHeight="1">
      <c r="B661" s="13"/>
      <c r="C661" s="13"/>
      <c r="E661" s="14"/>
      <c r="G661" s="1"/>
      <c r="O661" s="31"/>
      <c r="P661" s="31"/>
      <c r="R661" s="106"/>
      <c r="S661" s="3"/>
      <c r="T661" s="58"/>
      <c r="W661" s="1"/>
      <c r="X661" s="13"/>
      <c r="Y661" s="14"/>
    </row>
    <row r="662" spans="2:25" ht="15.75" customHeight="1">
      <c r="B662" s="13"/>
      <c r="C662" s="13"/>
      <c r="E662" s="14"/>
      <c r="G662" s="1"/>
      <c r="O662" s="31"/>
      <c r="P662" s="31"/>
      <c r="R662" s="106"/>
      <c r="S662" s="3"/>
      <c r="T662" s="58"/>
      <c r="W662" s="1"/>
      <c r="X662" s="13"/>
      <c r="Y662" s="14"/>
    </row>
    <row r="663" spans="2:25" ht="15.75" customHeight="1">
      <c r="B663" s="13"/>
      <c r="C663" s="13"/>
      <c r="E663" s="14"/>
      <c r="G663" s="1"/>
      <c r="O663" s="31"/>
      <c r="P663" s="31"/>
      <c r="R663" s="106"/>
      <c r="S663" s="3"/>
      <c r="T663" s="58"/>
      <c r="W663" s="1"/>
      <c r="X663" s="13"/>
      <c r="Y663" s="14"/>
    </row>
    <row r="664" spans="2:25" ht="15.75" customHeight="1">
      <c r="B664" s="13"/>
      <c r="C664" s="13"/>
      <c r="E664" s="14"/>
      <c r="G664" s="1"/>
      <c r="O664" s="31"/>
      <c r="P664" s="31"/>
      <c r="R664" s="106"/>
      <c r="S664" s="3"/>
      <c r="T664" s="58"/>
      <c r="W664" s="1"/>
      <c r="X664" s="13"/>
      <c r="Y664" s="14"/>
    </row>
    <row r="665" spans="2:25" ht="15.75" customHeight="1">
      <c r="B665" s="13"/>
      <c r="C665" s="13"/>
      <c r="E665" s="14"/>
      <c r="G665" s="1"/>
      <c r="O665" s="31"/>
      <c r="P665" s="31"/>
      <c r="R665" s="106"/>
      <c r="S665" s="3"/>
      <c r="T665" s="58"/>
      <c r="W665" s="1"/>
      <c r="X665" s="13"/>
      <c r="Y665" s="14"/>
    </row>
    <row r="666" spans="2:25" ht="15.75" customHeight="1">
      <c r="B666" s="13"/>
      <c r="C666" s="13"/>
      <c r="E666" s="14"/>
      <c r="G666" s="1"/>
      <c r="O666" s="31"/>
      <c r="P666" s="31"/>
      <c r="R666" s="106"/>
      <c r="S666" s="3"/>
      <c r="T666" s="58"/>
      <c r="W666" s="1"/>
      <c r="X666" s="13"/>
      <c r="Y666" s="14"/>
    </row>
    <row r="667" spans="2:25" ht="15.75" customHeight="1">
      <c r="B667" s="13"/>
      <c r="C667" s="13"/>
      <c r="E667" s="14"/>
      <c r="G667" s="1"/>
      <c r="O667" s="31"/>
      <c r="P667" s="31"/>
      <c r="R667" s="106"/>
      <c r="S667" s="3"/>
      <c r="T667" s="58"/>
      <c r="W667" s="1"/>
      <c r="X667" s="13"/>
      <c r="Y667" s="14"/>
    </row>
    <row r="668" spans="2:25" ht="15.75" customHeight="1">
      <c r="B668" s="13"/>
      <c r="C668" s="13"/>
      <c r="E668" s="14"/>
      <c r="G668" s="1"/>
      <c r="O668" s="31"/>
      <c r="P668" s="31"/>
      <c r="R668" s="106"/>
      <c r="S668" s="3"/>
      <c r="T668" s="58"/>
      <c r="W668" s="1"/>
      <c r="X668" s="13"/>
      <c r="Y668" s="14"/>
    </row>
    <row r="669" spans="2:25" ht="15.75" customHeight="1">
      <c r="B669" s="13"/>
      <c r="C669" s="13"/>
      <c r="E669" s="14"/>
      <c r="G669" s="1"/>
      <c r="O669" s="31"/>
      <c r="P669" s="31"/>
      <c r="R669" s="106"/>
      <c r="S669" s="3"/>
      <c r="T669" s="58"/>
      <c r="W669" s="1"/>
      <c r="X669" s="13"/>
      <c r="Y669" s="14"/>
    </row>
    <row r="670" spans="2:25" ht="15.75" customHeight="1">
      <c r="B670" s="13"/>
      <c r="C670" s="13"/>
      <c r="E670" s="14"/>
      <c r="G670" s="1"/>
      <c r="O670" s="31"/>
      <c r="P670" s="31"/>
      <c r="R670" s="106"/>
      <c r="S670" s="3"/>
      <c r="T670" s="58"/>
      <c r="W670" s="1"/>
      <c r="X670" s="13"/>
      <c r="Y670" s="14"/>
    </row>
    <row r="671" spans="2:25" ht="15.75" customHeight="1">
      <c r="B671" s="13"/>
      <c r="C671" s="13"/>
      <c r="E671" s="14"/>
      <c r="G671" s="1"/>
      <c r="O671" s="31"/>
      <c r="P671" s="31"/>
      <c r="R671" s="106"/>
      <c r="S671" s="3"/>
      <c r="T671" s="58"/>
      <c r="W671" s="1"/>
      <c r="X671" s="13"/>
      <c r="Y671" s="14"/>
    </row>
    <row r="672" spans="2:25" ht="15.75" customHeight="1">
      <c r="B672" s="13"/>
      <c r="C672" s="13"/>
      <c r="E672" s="14"/>
      <c r="G672" s="1"/>
      <c r="O672" s="31"/>
      <c r="P672" s="31"/>
      <c r="R672" s="106"/>
      <c r="S672" s="3"/>
      <c r="T672" s="58"/>
      <c r="W672" s="1"/>
      <c r="X672" s="13"/>
      <c r="Y672" s="14"/>
    </row>
    <row r="673" spans="2:25" ht="15.75" customHeight="1">
      <c r="B673" s="13"/>
      <c r="C673" s="13"/>
      <c r="E673" s="14"/>
      <c r="G673" s="1"/>
      <c r="O673" s="31"/>
      <c r="P673" s="31"/>
      <c r="R673" s="106"/>
      <c r="S673" s="3"/>
      <c r="T673" s="58"/>
      <c r="W673" s="1"/>
      <c r="X673" s="13"/>
      <c r="Y673" s="14"/>
    </row>
    <row r="674" spans="2:25" ht="15.75" customHeight="1">
      <c r="B674" s="13"/>
      <c r="C674" s="13"/>
      <c r="E674" s="14"/>
      <c r="G674" s="1"/>
      <c r="O674" s="31"/>
      <c r="P674" s="31"/>
      <c r="R674" s="106"/>
      <c r="S674" s="3"/>
      <c r="T674" s="58"/>
      <c r="W674" s="1"/>
      <c r="X674" s="13"/>
      <c r="Y674" s="14"/>
    </row>
    <row r="675" spans="2:25" ht="15.75" customHeight="1">
      <c r="B675" s="13"/>
      <c r="C675" s="13"/>
      <c r="E675" s="14"/>
      <c r="G675" s="1"/>
      <c r="O675" s="31"/>
      <c r="P675" s="31"/>
      <c r="R675" s="106"/>
      <c r="S675" s="3"/>
      <c r="T675" s="58"/>
      <c r="W675" s="1"/>
      <c r="X675" s="13"/>
      <c r="Y675" s="14"/>
    </row>
    <row r="676" spans="2:25" ht="15.75" customHeight="1">
      <c r="B676" s="13"/>
      <c r="C676" s="13"/>
      <c r="E676" s="14"/>
      <c r="G676" s="1"/>
      <c r="O676" s="31"/>
      <c r="P676" s="31"/>
      <c r="R676" s="106"/>
      <c r="S676" s="3"/>
      <c r="T676" s="58"/>
      <c r="W676" s="1"/>
      <c r="X676" s="13"/>
      <c r="Y676" s="14"/>
    </row>
    <row r="677" spans="2:25" ht="15.75" customHeight="1">
      <c r="B677" s="13"/>
      <c r="C677" s="13"/>
      <c r="E677" s="14"/>
      <c r="G677" s="1"/>
      <c r="O677" s="31"/>
      <c r="P677" s="31"/>
      <c r="R677" s="106"/>
      <c r="S677" s="3"/>
      <c r="T677" s="58"/>
      <c r="W677" s="1"/>
      <c r="X677" s="13"/>
      <c r="Y677" s="14"/>
    </row>
    <row r="678" spans="2:25" ht="15.75" customHeight="1">
      <c r="B678" s="13"/>
      <c r="C678" s="13"/>
      <c r="E678" s="14"/>
      <c r="G678" s="1"/>
      <c r="O678" s="31"/>
      <c r="P678" s="31"/>
      <c r="R678" s="106"/>
      <c r="S678" s="3"/>
      <c r="T678" s="58"/>
      <c r="W678" s="1"/>
      <c r="X678" s="13"/>
      <c r="Y678" s="14"/>
    </row>
    <row r="679" spans="2:25" ht="15.75" customHeight="1">
      <c r="B679" s="13"/>
      <c r="C679" s="13"/>
      <c r="E679" s="14"/>
      <c r="G679" s="1"/>
      <c r="O679" s="31"/>
      <c r="P679" s="31"/>
      <c r="R679" s="106"/>
      <c r="S679" s="3"/>
      <c r="T679" s="58"/>
      <c r="W679" s="1"/>
      <c r="X679" s="13"/>
      <c r="Y679" s="14"/>
    </row>
    <row r="680" spans="2:25" ht="15.75" customHeight="1">
      <c r="B680" s="13"/>
      <c r="C680" s="13"/>
      <c r="E680" s="14"/>
      <c r="G680" s="1"/>
      <c r="O680" s="31"/>
      <c r="P680" s="31"/>
      <c r="R680" s="106"/>
      <c r="S680" s="3"/>
      <c r="T680" s="58"/>
      <c r="W680" s="1"/>
      <c r="X680" s="13"/>
      <c r="Y680" s="14"/>
    </row>
    <row r="681" spans="2:25" ht="15.75" customHeight="1">
      <c r="B681" s="13"/>
      <c r="C681" s="13"/>
      <c r="E681" s="14"/>
      <c r="G681" s="1"/>
      <c r="O681" s="31"/>
      <c r="P681" s="31"/>
      <c r="R681" s="106"/>
      <c r="S681" s="3"/>
      <c r="T681" s="58"/>
      <c r="W681" s="1"/>
      <c r="X681" s="13"/>
      <c r="Y681" s="14"/>
    </row>
    <row r="682" spans="2:25" ht="15.75" customHeight="1">
      <c r="B682" s="13"/>
      <c r="C682" s="13"/>
      <c r="E682" s="14"/>
      <c r="G682" s="1"/>
      <c r="O682" s="31"/>
      <c r="P682" s="31"/>
      <c r="R682" s="106"/>
      <c r="S682" s="3"/>
      <c r="T682" s="58"/>
      <c r="W682" s="1"/>
      <c r="X682" s="13"/>
      <c r="Y682" s="14"/>
    </row>
    <row r="683" spans="2:25" ht="15.75" customHeight="1">
      <c r="B683" s="13"/>
      <c r="C683" s="13"/>
      <c r="E683" s="14"/>
      <c r="G683" s="1"/>
      <c r="O683" s="31"/>
      <c r="P683" s="31"/>
      <c r="R683" s="106"/>
      <c r="S683" s="3"/>
      <c r="T683" s="58"/>
      <c r="W683" s="1"/>
      <c r="X683" s="13"/>
      <c r="Y683" s="14"/>
    </row>
    <row r="684" spans="2:25" ht="15.75" customHeight="1">
      <c r="B684" s="13"/>
      <c r="C684" s="13"/>
      <c r="E684" s="14"/>
      <c r="G684" s="1"/>
      <c r="O684" s="31"/>
      <c r="P684" s="31"/>
      <c r="R684" s="106"/>
      <c r="S684" s="3"/>
      <c r="T684" s="58"/>
      <c r="W684" s="1"/>
      <c r="X684" s="13"/>
      <c r="Y684" s="14"/>
    </row>
    <row r="685" spans="2:25" ht="15.75" customHeight="1">
      <c r="B685" s="13"/>
      <c r="C685" s="13"/>
      <c r="E685" s="14"/>
      <c r="G685" s="1"/>
      <c r="O685" s="31"/>
      <c r="P685" s="31"/>
      <c r="R685" s="106"/>
      <c r="S685" s="3"/>
      <c r="T685" s="58"/>
      <c r="W685" s="1"/>
      <c r="X685" s="13"/>
      <c r="Y685" s="14"/>
    </row>
    <row r="686" spans="2:25" ht="15.75" customHeight="1">
      <c r="B686" s="13"/>
      <c r="C686" s="13"/>
      <c r="E686" s="14"/>
      <c r="G686" s="1"/>
      <c r="O686" s="31"/>
      <c r="P686" s="31"/>
      <c r="R686" s="106"/>
      <c r="S686" s="3"/>
      <c r="T686" s="58"/>
      <c r="W686" s="1"/>
      <c r="X686" s="13"/>
      <c r="Y686" s="14"/>
    </row>
    <row r="687" spans="2:25" ht="15.75" customHeight="1">
      <c r="B687" s="13"/>
      <c r="C687" s="13"/>
      <c r="E687" s="14"/>
      <c r="G687" s="1"/>
      <c r="O687" s="31"/>
      <c r="P687" s="31"/>
      <c r="R687" s="106"/>
      <c r="S687" s="3"/>
      <c r="T687" s="58"/>
      <c r="W687" s="1"/>
      <c r="X687" s="13"/>
      <c r="Y687" s="14"/>
    </row>
    <row r="688" spans="2:25" ht="15.75" customHeight="1">
      <c r="B688" s="13"/>
      <c r="C688" s="13"/>
      <c r="E688" s="14"/>
      <c r="G688" s="1"/>
      <c r="O688" s="31"/>
      <c r="P688" s="31"/>
      <c r="R688" s="106"/>
      <c r="S688" s="3"/>
      <c r="T688" s="58"/>
      <c r="W688" s="1"/>
      <c r="X688" s="13"/>
      <c r="Y688" s="14"/>
    </row>
    <row r="689" spans="2:25" ht="15.75" customHeight="1">
      <c r="B689" s="13"/>
      <c r="C689" s="13"/>
      <c r="E689" s="14"/>
      <c r="G689" s="1"/>
      <c r="O689" s="31"/>
      <c r="P689" s="31"/>
      <c r="R689" s="106"/>
      <c r="S689" s="3"/>
      <c r="T689" s="58"/>
      <c r="W689" s="1"/>
      <c r="X689" s="13"/>
      <c r="Y689" s="14"/>
    </row>
    <row r="690" spans="2:25" ht="15.75" customHeight="1">
      <c r="B690" s="13"/>
      <c r="C690" s="13"/>
      <c r="E690" s="14"/>
      <c r="G690" s="1"/>
      <c r="O690" s="31"/>
      <c r="P690" s="31"/>
      <c r="R690" s="106"/>
      <c r="S690" s="3"/>
      <c r="T690" s="58"/>
      <c r="W690" s="1"/>
      <c r="X690" s="13"/>
      <c r="Y690" s="14"/>
    </row>
    <row r="691" spans="2:25" ht="15.75" customHeight="1">
      <c r="B691" s="13"/>
      <c r="C691" s="13"/>
      <c r="E691" s="14"/>
      <c r="G691" s="1"/>
      <c r="O691" s="31"/>
      <c r="P691" s="31"/>
      <c r="R691" s="106"/>
      <c r="S691" s="3"/>
      <c r="T691" s="58"/>
      <c r="W691" s="1"/>
      <c r="X691" s="13"/>
      <c r="Y691" s="14"/>
    </row>
    <row r="692" spans="2:25" ht="15.75" customHeight="1">
      <c r="B692" s="13"/>
      <c r="C692" s="13"/>
      <c r="E692" s="14"/>
      <c r="G692" s="1"/>
      <c r="O692" s="31"/>
      <c r="P692" s="31"/>
      <c r="R692" s="106"/>
      <c r="S692" s="3"/>
      <c r="T692" s="58"/>
      <c r="W692" s="1"/>
      <c r="X692" s="13"/>
      <c r="Y692" s="14"/>
    </row>
    <row r="693" spans="2:25" ht="15.75" customHeight="1">
      <c r="B693" s="13"/>
      <c r="C693" s="13"/>
      <c r="E693" s="14"/>
      <c r="G693" s="1"/>
      <c r="O693" s="31"/>
      <c r="P693" s="31"/>
      <c r="R693" s="106"/>
      <c r="S693" s="3"/>
      <c r="T693" s="58"/>
      <c r="W693" s="1"/>
      <c r="X693" s="13"/>
      <c r="Y693" s="14"/>
    </row>
    <row r="694" spans="2:25" ht="15.75" customHeight="1">
      <c r="B694" s="13"/>
      <c r="C694" s="13"/>
      <c r="E694" s="14"/>
      <c r="G694" s="1"/>
      <c r="O694" s="31"/>
      <c r="P694" s="31"/>
      <c r="R694" s="106"/>
      <c r="S694" s="3"/>
      <c r="T694" s="58"/>
      <c r="W694" s="1"/>
      <c r="X694" s="13"/>
      <c r="Y694" s="14"/>
    </row>
    <row r="695" spans="2:25" ht="15.75" customHeight="1">
      <c r="B695" s="13"/>
      <c r="C695" s="13"/>
      <c r="E695" s="14"/>
      <c r="G695" s="1"/>
      <c r="O695" s="31"/>
      <c r="P695" s="31"/>
      <c r="R695" s="106"/>
      <c r="S695" s="3"/>
      <c r="T695" s="58"/>
      <c r="W695" s="1"/>
      <c r="X695" s="13"/>
      <c r="Y695" s="14"/>
    </row>
    <row r="696" spans="2:25" ht="15.75" customHeight="1">
      <c r="B696" s="13"/>
      <c r="C696" s="13"/>
      <c r="E696" s="14"/>
      <c r="G696" s="1"/>
      <c r="O696" s="31"/>
      <c r="P696" s="31"/>
      <c r="R696" s="106"/>
      <c r="S696" s="3"/>
      <c r="T696" s="58"/>
      <c r="W696" s="1"/>
      <c r="X696" s="13"/>
      <c r="Y696" s="14"/>
    </row>
    <row r="697" spans="2:25" ht="15.75" customHeight="1">
      <c r="B697" s="13"/>
      <c r="C697" s="13"/>
      <c r="E697" s="14"/>
      <c r="G697" s="1"/>
      <c r="O697" s="31"/>
      <c r="P697" s="31"/>
      <c r="R697" s="106"/>
      <c r="S697" s="3"/>
      <c r="T697" s="58"/>
      <c r="W697" s="1"/>
      <c r="X697" s="13"/>
      <c r="Y697" s="14"/>
    </row>
    <row r="698" spans="2:25" ht="15.75" customHeight="1">
      <c r="B698" s="13"/>
      <c r="C698" s="13"/>
      <c r="E698" s="14"/>
      <c r="G698" s="1"/>
      <c r="O698" s="31"/>
      <c r="P698" s="31"/>
      <c r="R698" s="106"/>
      <c r="S698" s="3"/>
      <c r="T698" s="58"/>
      <c r="W698" s="1"/>
      <c r="X698" s="13"/>
      <c r="Y698" s="14"/>
    </row>
    <row r="699" spans="2:25" ht="15.75" customHeight="1">
      <c r="B699" s="13"/>
      <c r="C699" s="13"/>
      <c r="E699" s="14"/>
      <c r="G699" s="1"/>
      <c r="O699" s="31"/>
      <c r="P699" s="31"/>
      <c r="R699" s="106"/>
      <c r="S699" s="3"/>
      <c r="T699" s="58"/>
      <c r="W699" s="1"/>
      <c r="X699" s="13"/>
      <c r="Y699" s="14"/>
    </row>
    <row r="700" spans="2:25" ht="15.75" customHeight="1">
      <c r="B700" s="13"/>
      <c r="C700" s="13"/>
      <c r="E700" s="14"/>
      <c r="G700" s="1"/>
      <c r="O700" s="31"/>
      <c r="P700" s="31"/>
      <c r="R700" s="106"/>
      <c r="S700" s="3"/>
      <c r="T700" s="58"/>
      <c r="W700" s="1"/>
      <c r="X700" s="13"/>
      <c r="Y700" s="14"/>
    </row>
    <row r="701" spans="2:25" ht="15.75" customHeight="1">
      <c r="B701" s="13"/>
      <c r="C701" s="13"/>
      <c r="E701" s="14"/>
      <c r="G701" s="1"/>
      <c r="O701" s="31"/>
      <c r="P701" s="31"/>
      <c r="R701" s="106"/>
      <c r="S701" s="3"/>
      <c r="T701" s="58"/>
      <c r="W701" s="1"/>
      <c r="X701" s="13"/>
      <c r="Y701" s="14"/>
    </row>
    <row r="702" spans="2:25" ht="15.75" customHeight="1">
      <c r="B702" s="13"/>
      <c r="C702" s="13"/>
      <c r="E702" s="14"/>
      <c r="G702" s="1"/>
      <c r="O702" s="31"/>
      <c r="P702" s="31"/>
      <c r="R702" s="106"/>
      <c r="S702" s="3"/>
      <c r="T702" s="58"/>
      <c r="W702" s="1"/>
      <c r="X702" s="13"/>
      <c r="Y702" s="14"/>
    </row>
    <row r="703" spans="2:25" ht="15.75" customHeight="1">
      <c r="B703" s="13"/>
      <c r="C703" s="13"/>
      <c r="E703" s="14"/>
      <c r="G703" s="1"/>
      <c r="O703" s="31"/>
      <c r="P703" s="31"/>
      <c r="R703" s="106"/>
      <c r="S703" s="3"/>
      <c r="T703" s="58"/>
      <c r="W703" s="1"/>
      <c r="X703" s="13"/>
      <c r="Y703" s="14"/>
    </row>
    <row r="704" spans="2:25" ht="15.75" customHeight="1">
      <c r="B704" s="13"/>
      <c r="C704" s="13"/>
      <c r="E704" s="14"/>
      <c r="G704" s="1"/>
      <c r="O704" s="31"/>
      <c r="P704" s="31"/>
      <c r="R704" s="106"/>
      <c r="S704" s="3"/>
      <c r="T704" s="58"/>
      <c r="W704" s="1"/>
      <c r="X704" s="13"/>
      <c r="Y704" s="14"/>
    </row>
    <row r="705" spans="2:25" ht="15.75" customHeight="1">
      <c r="B705" s="13"/>
      <c r="C705" s="13"/>
      <c r="E705" s="14"/>
      <c r="G705" s="1"/>
      <c r="O705" s="31"/>
      <c r="P705" s="31"/>
      <c r="R705" s="106"/>
      <c r="S705" s="3"/>
      <c r="T705" s="58"/>
      <c r="W705" s="1"/>
      <c r="X705" s="13"/>
      <c r="Y705" s="14"/>
    </row>
    <row r="706" spans="2:25" ht="15.75" customHeight="1">
      <c r="B706" s="13"/>
      <c r="C706" s="13"/>
      <c r="E706" s="14"/>
      <c r="G706" s="1"/>
      <c r="O706" s="31"/>
      <c r="P706" s="31"/>
      <c r="R706" s="106"/>
      <c r="S706" s="3"/>
      <c r="T706" s="58"/>
      <c r="W706" s="1"/>
      <c r="X706" s="13"/>
      <c r="Y706" s="14"/>
    </row>
    <row r="707" spans="2:25" ht="15.75" customHeight="1">
      <c r="B707" s="13"/>
      <c r="C707" s="13"/>
      <c r="E707" s="14"/>
      <c r="G707" s="1"/>
      <c r="O707" s="31"/>
      <c r="P707" s="31"/>
      <c r="R707" s="106"/>
      <c r="S707" s="3"/>
      <c r="T707" s="58"/>
      <c r="W707" s="1"/>
      <c r="X707" s="13"/>
      <c r="Y707" s="14"/>
    </row>
    <row r="708" spans="2:25" ht="15.75" customHeight="1">
      <c r="B708" s="13"/>
      <c r="C708" s="13"/>
      <c r="E708" s="14"/>
      <c r="G708" s="1"/>
      <c r="O708" s="31"/>
      <c r="P708" s="31"/>
      <c r="R708" s="106"/>
      <c r="S708" s="3"/>
      <c r="T708" s="58"/>
      <c r="W708" s="1"/>
      <c r="X708" s="13"/>
      <c r="Y708" s="14"/>
    </row>
    <row r="709" spans="2:25" ht="15.75" customHeight="1">
      <c r="B709" s="13"/>
      <c r="C709" s="13"/>
      <c r="E709" s="14"/>
      <c r="G709" s="1"/>
      <c r="O709" s="31"/>
      <c r="P709" s="31"/>
      <c r="R709" s="106"/>
      <c r="S709" s="3"/>
      <c r="T709" s="58"/>
      <c r="W709" s="1"/>
      <c r="X709" s="13"/>
      <c r="Y709" s="14"/>
    </row>
    <row r="710" spans="2:25" ht="15.75" customHeight="1">
      <c r="B710" s="13"/>
      <c r="C710" s="13"/>
      <c r="E710" s="14"/>
      <c r="G710" s="1"/>
      <c r="O710" s="31"/>
      <c r="P710" s="31"/>
      <c r="R710" s="106"/>
      <c r="S710" s="3"/>
      <c r="T710" s="58"/>
      <c r="W710" s="1"/>
      <c r="X710" s="13"/>
      <c r="Y710" s="14"/>
    </row>
    <row r="711" spans="2:25" ht="15.75" customHeight="1">
      <c r="B711" s="13"/>
      <c r="C711" s="13"/>
      <c r="E711" s="14"/>
      <c r="G711" s="1"/>
      <c r="O711" s="31"/>
      <c r="P711" s="31"/>
      <c r="R711" s="106"/>
      <c r="S711" s="3"/>
      <c r="T711" s="58"/>
      <c r="W711" s="1"/>
      <c r="X711" s="13"/>
      <c r="Y711" s="14"/>
    </row>
    <row r="712" spans="2:25" ht="15.75" customHeight="1">
      <c r="B712" s="13"/>
      <c r="C712" s="13"/>
      <c r="E712" s="14"/>
      <c r="G712" s="1"/>
      <c r="O712" s="31"/>
      <c r="P712" s="31"/>
      <c r="R712" s="106"/>
      <c r="S712" s="3"/>
      <c r="T712" s="58"/>
      <c r="W712" s="1"/>
      <c r="X712" s="13"/>
      <c r="Y712" s="14"/>
    </row>
    <row r="713" spans="2:25" ht="15.75" customHeight="1">
      <c r="B713" s="13"/>
      <c r="C713" s="13"/>
      <c r="E713" s="14"/>
      <c r="G713" s="1"/>
      <c r="O713" s="31"/>
      <c r="P713" s="31"/>
      <c r="R713" s="106"/>
      <c r="S713" s="3"/>
      <c r="T713" s="58"/>
      <c r="W713" s="1"/>
      <c r="X713" s="13"/>
      <c r="Y713" s="14"/>
    </row>
    <row r="714" spans="2:25" ht="15.75" customHeight="1">
      <c r="B714" s="13"/>
      <c r="C714" s="13"/>
      <c r="E714" s="14"/>
      <c r="G714" s="1"/>
      <c r="O714" s="31"/>
      <c r="P714" s="31"/>
      <c r="R714" s="106"/>
      <c r="S714" s="3"/>
      <c r="T714" s="58"/>
      <c r="W714" s="1"/>
      <c r="X714" s="13"/>
      <c r="Y714" s="14"/>
    </row>
    <row r="715" spans="2:25" ht="15.75" customHeight="1">
      <c r="B715" s="13"/>
      <c r="C715" s="13"/>
      <c r="E715" s="14"/>
      <c r="G715" s="1"/>
      <c r="O715" s="31"/>
      <c r="P715" s="31"/>
      <c r="R715" s="106"/>
      <c r="S715" s="3"/>
      <c r="T715" s="58"/>
      <c r="W715" s="1"/>
      <c r="X715" s="13"/>
      <c r="Y715" s="14"/>
    </row>
    <row r="716" spans="2:25" ht="15.75" customHeight="1">
      <c r="B716" s="13"/>
      <c r="C716" s="13"/>
      <c r="E716" s="14"/>
      <c r="G716" s="1"/>
      <c r="O716" s="31"/>
      <c r="P716" s="31"/>
      <c r="R716" s="106"/>
      <c r="S716" s="3"/>
      <c r="T716" s="58"/>
      <c r="W716" s="1"/>
      <c r="X716" s="13"/>
      <c r="Y716" s="14"/>
    </row>
    <row r="717" spans="2:25" ht="15.75" customHeight="1">
      <c r="B717" s="13"/>
      <c r="C717" s="13"/>
      <c r="E717" s="14"/>
      <c r="G717" s="1"/>
      <c r="O717" s="31"/>
      <c r="P717" s="31"/>
      <c r="R717" s="106"/>
      <c r="S717" s="3"/>
      <c r="T717" s="58"/>
      <c r="W717" s="1"/>
      <c r="X717" s="13"/>
      <c r="Y717" s="14"/>
    </row>
    <row r="718" spans="2:25" ht="15.75" customHeight="1">
      <c r="B718" s="13"/>
      <c r="C718" s="13"/>
      <c r="E718" s="14"/>
      <c r="G718" s="1"/>
      <c r="O718" s="31"/>
      <c r="P718" s="31"/>
      <c r="R718" s="106"/>
      <c r="S718" s="3"/>
      <c r="T718" s="58"/>
      <c r="W718" s="1"/>
      <c r="X718" s="13"/>
      <c r="Y718" s="14"/>
    </row>
    <row r="719" spans="2:25" ht="15.75" customHeight="1">
      <c r="B719" s="13"/>
      <c r="C719" s="13"/>
      <c r="E719" s="14"/>
      <c r="G719" s="1"/>
      <c r="O719" s="31"/>
      <c r="P719" s="31"/>
      <c r="R719" s="106"/>
      <c r="S719" s="3"/>
      <c r="T719" s="58"/>
      <c r="W719" s="1"/>
      <c r="X719" s="13"/>
      <c r="Y719" s="14"/>
    </row>
    <row r="720" spans="2:25" ht="15.75" customHeight="1">
      <c r="B720" s="13"/>
      <c r="C720" s="13"/>
      <c r="E720" s="14"/>
      <c r="G720" s="1"/>
      <c r="O720" s="31"/>
      <c r="P720" s="31"/>
      <c r="R720" s="106"/>
      <c r="S720" s="3"/>
      <c r="T720" s="58"/>
      <c r="W720" s="1"/>
      <c r="X720" s="13"/>
      <c r="Y720" s="14"/>
    </row>
    <row r="721" spans="2:25" ht="15.75" customHeight="1">
      <c r="B721" s="13"/>
      <c r="C721" s="13"/>
      <c r="E721" s="14"/>
      <c r="G721" s="1"/>
      <c r="O721" s="31"/>
      <c r="P721" s="31"/>
      <c r="R721" s="106"/>
      <c r="S721" s="3"/>
      <c r="T721" s="58"/>
      <c r="W721" s="1"/>
      <c r="X721" s="13"/>
      <c r="Y721" s="14"/>
    </row>
    <row r="722" spans="2:25" ht="15.75" customHeight="1">
      <c r="B722" s="13"/>
      <c r="C722" s="13"/>
      <c r="E722" s="14"/>
      <c r="G722" s="1"/>
      <c r="O722" s="31"/>
      <c r="P722" s="31"/>
      <c r="R722" s="106"/>
      <c r="S722" s="3"/>
      <c r="T722" s="58"/>
      <c r="W722" s="1"/>
      <c r="X722" s="13"/>
      <c r="Y722" s="14"/>
    </row>
    <row r="723" spans="2:25" ht="15.75" customHeight="1">
      <c r="B723" s="13"/>
      <c r="C723" s="13"/>
      <c r="E723" s="14"/>
      <c r="G723" s="1"/>
      <c r="O723" s="31"/>
      <c r="P723" s="31"/>
      <c r="R723" s="106"/>
      <c r="S723" s="3"/>
      <c r="T723" s="58"/>
      <c r="W723" s="1"/>
      <c r="X723" s="13"/>
      <c r="Y723" s="14"/>
    </row>
    <row r="724" spans="2:25" ht="15.75" customHeight="1">
      <c r="B724" s="13"/>
      <c r="C724" s="13"/>
      <c r="E724" s="14"/>
      <c r="G724" s="1"/>
      <c r="O724" s="31"/>
      <c r="P724" s="31"/>
      <c r="R724" s="106"/>
      <c r="S724" s="3"/>
      <c r="T724" s="58"/>
      <c r="W724" s="1"/>
      <c r="X724" s="13"/>
      <c r="Y724" s="14"/>
    </row>
    <row r="725" spans="2:25" ht="15.75" customHeight="1">
      <c r="B725" s="13"/>
      <c r="C725" s="13"/>
      <c r="E725" s="14"/>
      <c r="G725" s="1"/>
      <c r="O725" s="31"/>
      <c r="P725" s="31"/>
      <c r="R725" s="106"/>
      <c r="S725" s="3"/>
      <c r="T725" s="58"/>
      <c r="W725" s="1"/>
      <c r="X725" s="13"/>
      <c r="Y725" s="14"/>
    </row>
    <row r="726" spans="2:25" ht="15.75" customHeight="1">
      <c r="B726" s="13"/>
      <c r="C726" s="13"/>
      <c r="E726" s="14"/>
      <c r="G726" s="1"/>
      <c r="O726" s="31"/>
      <c r="P726" s="31"/>
      <c r="R726" s="106"/>
      <c r="S726" s="3"/>
      <c r="T726" s="58"/>
      <c r="W726" s="1"/>
      <c r="X726" s="13"/>
      <c r="Y726" s="14"/>
    </row>
    <row r="727" spans="2:25" ht="15.75" customHeight="1">
      <c r="B727" s="13"/>
      <c r="C727" s="13"/>
      <c r="E727" s="14"/>
      <c r="G727" s="1"/>
      <c r="O727" s="31"/>
      <c r="P727" s="31"/>
      <c r="R727" s="106"/>
      <c r="S727" s="3"/>
      <c r="T727" s="58"/>
      <c r="W727" s="1"/>
      <c r="X727" s="13"/>
      <c r="Y727" s="14"/>
    </row>
    <row r="728" spans="2:25" ht="15.75" customHeight="1">
      <c r="B728" s="13"/>
      <c r="C728" s="13"/>
      <c r="E728" s="14"/>
      <c r="G728" s="1"/>
      <c r="O728" s="31"/>
      <c r="P728" s="31"/>
      <c r="R728" s="106"/>
      <c r="S728" s="3"/>
      <c r="T728" s="58"/>
      <c r="W728" s="1"/>
      <c r="X728" s="13"/>
      <c r="Y728" s="14"/>
    </row>
    <row r="729" spans="2:25" ht="15.75" customHeight="1">
      <c r="B729" s="13"/>
      <c r="C729" s="13"/>
      <c r="E729" s="14"/>
      <c r="G729" s="1"/>
      <c r="O729" s="31"/>
      <c r="P729" s="31"/>
      <c r="R729" s="106"/>
      <c r="S729" s="3"/>
      <c r="T729" s="58"/>
      <c r="W729" s="1"/>
      <c r="X729" s="13"/>
      <c r="Y729" s="14"/>
    </row>
    <row r="730" spans="2:25" ht="15.75" customHeight="1">
      <c r="B730" s="13"/>
      <c r="C730" s="13"/>
      <c r="E730" s="14"/>
      <c r="G730" s="1"/>
      <c r="O730" s="31"/>
      <c r="P730" s="31"/>
      <c r="R730" s="106"/>
      <c r="S730" s="3"/>
      <c r="T730" s="58"/>
      <c r="W730" s="1"/>
      <c r="X730" s="13"/>
      <c r="Y730" s="14"/>
    </row>
    <row r="731" spans="2:25" ht="15.75" customHeight="1">
      <c r="B731" s="13"/>
      <c r="C731" s="13"/>
      <c r="E731" s="14"/>
      <c r="G731" s="1"/>
      <c r="O731" s="31"/>
      <c r="P731" s="31"/>
      <c r="R731" s="106"/>
      <c r="S731" s="3"/>
      <c r="T731" s="58"/>
      <c r="W731" s="1"/>
      <c r="X731" s="13"/>
      <c r="Y731" s="14"/>
    </row>
    <row r="732" spans="2:25" ht="15.75" customHeight="1">
      <c r="B732" s="13"/>
      <c r="C732" s="13"/>
      <c r="E732" s="14"/>
      <c r="G732" s="1"/>
      <c r="O732" s="31"/>
      <c r="P732" s="31"/>
      <c r="R732" s="106"/>
      <c r="S732" s="3"/>
      <c r="T732" s="58"/>
      <c r="W732" s="1"/>
      <c r="X732" s="13"/>
      <c r="Y732" s="14"/>
    </row>
    <row r="733" spans="2:25" ht="15.75" customHeight="1">
      <c r="B733" s="13"/>
      <c r="C733" s="13"/>
      <c r="E733" s="14"/>
      <c r="G733" s="1"/>
      <c r="O733" s="31"/>
      <c r="P733" s="31"/>
      <c r="R733" s="106"/>
      <c r="S733" s="3"/>
      <c r="T733" s="58"/>
      <c r="W733" s="1"/>
      <c r="X733" s="13"/>
      <c r="Y733" s="14"/>
    </row>
    <row r="734" spans="2:25" ht="15.75" customHeight="1">
      <c r="B734" s="13"/>
      <c r="C734" s="13"/>
      <c r="E734" s="14"/>
      <c r="G734" s="1"/>
      <c r="O734" s="31"/>
      <c r="P734" s="31"/>
      <c r="R734" s="106"/>
      <c r="S734" s="3"/>
      <c r="T734" s="58"/>
      <c r="W734" s="1"/>
      <c r="X734" s="13"/>
      <c r="Y734" s="14"/>
    </row>
    <row r="735" spans="2:25" ht="15.75" customHeight="1">
      <c r="B735" s="13"/>
      <c r="C735" s="13"/>
      <c r="E735" s="14"/>
      <c r="G735" s="1"/>
      <c r="O735" s="31"/>
      <c r="P735" s="31"/>
      <c r="R735" s="106"/>
      <c r="S735" s="3"/>
      <c r="T735" s="58"/>
      <c r="W735" s="1"/>
      <c r="X735" s="13"/>
      <c r="Y735" s="14"/>
    </row>
    <row r="736" spans="2:25" ht="15.75" customHeight="1">
      <c r="B736" s="13"/>
      <c r="C736" s="13"/>
      <c r="E736" s="14"/>
      <c r="G736" s="1"/>
      <c r="O736" s="31"/>
      <c r="P736" s="31"/>
      <c r="R736" s="106"/>
      <c r="S736" s="3"/>
      <c r="T736" s="58"/>
      <c r="W736" s="1"/>
      <c r="X736" s="13"/>
      <c r="Y736" s="14"/>
    </row>
    <row r="737" spans="2:25" ht="15.75" customHeight="1">
      <c r="B737" s="13"/>
      <c r="C737" s="13"/>
      <c r="E737" s="14"/>
      <c r="G737" s="1"/>
      <c r="O737" s="31"/>
      <c r="P737" s="31"/>
      <c r="R737" s="106"/>
      <c r="S737" s="3"/>
      <c r="T737" s="58"/>
      <c r="W737" s="1"/>
      <c r="X737" s="13"/>
      <c r="Y737" s="14"/>
    </row>
    <row r="738" spans="2:25" ht="15.75" customHeight="1">
      <c r="B738" s="13"/>
      <c r="C738" s="13"/>
      <c r="E738" s="14"/>
      <c r="G738" s="1"/>
      <c r="O738" s="31"/>
      <c r="P738" s="31"/>
      <c r="R738" s="106"/>
      <c r="S738" s="3"/>
      <c r="T738" s="58"/>
      <c r="W738" s="1"/>
      <c r="X738" s="13"/>
      <c r="Y738" s="14"/>
    </row>
    <row r="739" spans="2:25" ht="15.75" customHeight="1">
      <c r="B739" s="13"/>
      <c r="C739" s="13"/>
      <c r="E739" s="14"/>
      <c r="G739" s="1"/>
      <c r="O739" s="31"/>
      <c r="P739" s="31"/>
      <c r="R739" s="106"/>
      <c r="S739" s="3"/>
      <c r="T739" s="58"/>
      <c r="W739" s="1"/>
      <c r="X739" s="13"/>
      <c r="Y739" s="14"/>
    </row>
    <row r="740" spans="2:25" ht="15.75" customHeight="1">
      <c r="B740" s="13"/>
      <c r="C740" s="13"/>
      <c r="E740" s="14"/>
      <c r="G740" s="1"/>
      <c r="O740" s="31"/>
      <c r="P740" s="31"/>
      <c r="R740" s="106"/>
      <c r="S740" s="3"/>
      <c r="T740" s="58"/>
      <c r="W740" s="1"/>
      <c r="X740" s="13"/>
      <c r="Y740" s="14"/>
    </row>
    <row r="741" spans="2:25" ht="15.75" customHeight="1">
      <c r="B741" s="13"/>
      <c r="C741" s="13"/>
      <c r="E741" s="14"/>
      <c r="G741" s="1"/>
      <c r="O741" s="31"/>
      <c r="P741" s="31"/>
      <c r="R741" s="106"/>
      <c r="S741" s="3"/>
      <c r="T741" s="58"/>
      <c r="W741" s="1"/>
      <c r="X741" s="13"/>
      <c r="Y741" s="14"/>
    </row>
    <row r="742" spans="2:25" ht="15.75" customHeight="1">
      <c r="B742" s="13"/>
      <c r="C742" s="13"/>
      <c r="E742" s="14"/>
      <c r="G742" s="1"/>
      <c r="O742" s="31"/>
      <c r="P742" s="31"/>
      <c r="R742" s="106"/>
      <c r="S742" s="3"/>
      <c r="T742" s="58"/>
      <c r="W742" s="1"/>
      <c r="X742" s="13"/>
      <c r="Y742" s="14"/>
    </row>
    <row r="743" spans="2:25" ht="15.75" customHeight="1">
      <c r="B743" s="13"/>
      <c r="C743" s="13"/>
      <c r="E743" s="14"/>
      <c r="G743" s="1"/>
      <c r="O743" s="31"/>
      <c r="P743" s="31"/>
      <c r="R743" s="106"/>
      <c r="S743" s="3"/>
      <c r="T743" s="58"/>
      <c r="W743" s="1"/>
      <c r="X743" s="13"/>
      <c r="Y743" s="14"/>
    </row>
    <row r="744" spans="2:25" ht="15.75" customHeight="1">
      <c r="B744" s="13"/>
      <c r="C744" s="13"/>
      <c r="E744" s="14"/>
      <c r="G744" s="1"/>
      <c r="O744" s="31"/>
      <c r="P744" s="31"/>
      <c r="R744" s="106"/>
      <c r="S744" s="3"/>
      <c r="T744" s="58"/>
      <c r="W744" s="1"/>
      <c r="X744" s="13"/>
      <c r="Y744" s="14"/>
    </row>
    <row r="745" spans="2:25" ht="15.75" customHeight="1">
      <c r="B745" s="13"/>
      <c r="C745" s="13"/>
      <c r="E745" s="14"/>
      <c r="G745" s="1"/>
      <c r="O745" s="31"/>
      <c r="P745" s="31"/>
      <c r="R745" s="106"/>
      <c r="S745" s="3"/>
      <c r="T745" s="58"/>
      <c r="W745" s="1"/>
      <c r="X745" s="13"/>
      <c r="Y745" s="14"/>
    </row>
    <row r="746" spans="2:25" ht="15.75" customHeight="1">
      <c r="B746" s="13"/>
      <c r="C746" s="13"/>
      <c r="E746" s="14"/>
      <c r="G746" s="1"/>
      <c r="O746" s="31"/>
      <c r="P746" s="31"/>
      <c r="R746" s="106"/>
      <c r="S746" s="3"/>
      <c r="T746" s="58"/>
      <c r="W746" s="1"/>
      <c r="X746" s="13"/>
      <c r="Y746" s="14"/>
    </row>
    <row r="747" spans="2:25" ht="15.75" customHeight="1">
      <c r="B747" s="13"/>
      <c r="C747" s="13"/>
      <c r="E747" s="14"/>
      <c r="G747" s="1"/>
      <c r="O747" s="31"/>
      <c r="P747" s="31"/>
      <c r="R747" s="106"/>
      <c r="S747" s="3"/>
      <c r="T747" s="58"/>
      <c r="W747" s="1"/>
      <c r="X747" s="13"/>
      <c r="Y747" s="14"/>
    </row>
    <row r="748" spans="2:25" ht="15.75" customHeight="1">
      <c r="B748" s="13"/>
      <c r="C748" s="13"/>
      <c r="E748" s="14"/>
      <c r="G748" s="1"/>
      <c r="O748" s="31"/>
      <c r="P748" s="31"/>
      <c r="R748" s="106"/>
      <c r="S748" s="3"/>
      <c r="T748" s="58"/>
      <c r="W748" s="1"/>
      <c r="X748" s="13"/>
      <c r="Y748" s="14"/>
    </row>
    <row r="749" spans="2:25" ht="15.75" customHeight="1">
      <c r="B749" s="13"/>
      <c r="C749" s="13"/>
      <c r="E749" s="14"/>
      <c r="G749" s="1"/>
      <c r="O749" s="31"/>
      <c r="P749" s="31"/>
      <c r="R749" s="106"/>
      <c r="S749" s="3"/>
      <c r="T749" s="58"/>
      <c r="W749" s="1"/>
      <c r="X749" s="13"/>
      <c r="Y749" s="14"/>
    </row>
    <row r="750" spans="2:25" ht="15.75" customHeight="1">
      <c r="B750" s="13"/>
      <c r="C750" s="13"/>
      <c r="E750" s="14"/>
      <c r="G750" s="1"/>
      <c r="O750" s="31"/>
      <c r="P750" s="31"/>
      <c r="R750" s="106"/>
      <c r="S750" s="3"/>
      <c r="T750" s="58"/>
      <c r="W750" s="1"/>
      <c r="X750" s="13"/>
      <c r="Y750" s="14"/>
    </row>
    <row r="751" spans="2:25" ht="15.75" customHeight="1">
      <c r="B751" s="13"/>
      <c r="C751" s="13"/>
      <c r="E751" s="14"/>
      <c r="G751" s="1"/>
      <c r="O751" s="31"/>
      <c r="P751" s="31"/>
      <c r="R751" s="106"/>
      <c r="S751" s="3"/>
      <c r="T751" s="58"/>
      <c r="W751" s="1"/>
      <c r="X751" s="13"/>
      <c r="Y751" s="14"/>
    </row>
    <row r="752" spans="2:25" ht="15.75" customHeight="1">
      <c r="B752" s="13"/>
      <c r="C752" s="13"/>
      <c r="E752" s="14"/>
      <c r="G752" s="1"/>
      <c r="O752" s="31"/>
      <c r="P752" s="31"/>
      <c r="R752" s="106"/>
      <c r="S752" s="3"/>
      <c r="T752" s="58"/>
      <c r="W752" s="1"/>
      <c r="X752" s="13"/>
      <c r="Y752" s="14"/>
    </row>
    <row r="753" spans="2:25" ht="15.75" customHeight="1">
      <c r="B753" s="13"/>
      <c r="C753" s="13"/>
      <c r="E753" s="14"/>
      <c r="G753" s="1"/>
      <c r="O753" s="31"/>
      <c r="P753" s="31"/>
      <c r="R753" s="106"/>
      <c r="S753" s="3"/>
      <c r="T753" s="58"/>
      <c r="W753" s="1"/>
      <c r="X753" s="13"/>
      <c r="Y753" s="14"/>
    </row>
    <row r="754" spans="2:25" ht="15.75" customHeight="1">
      <c r="B754" s="13"/>
      <c r="C754" s="13"/>
      <c r="E754" s="14"/>
      <c r="G754" s="1"/>
      <c r="O754" s="31"/>
      <c r="P754" s="31"/>
      <c r="R754" s="106"/>
      <c r="S754" s="3"/>
      <c r="T754" s="58"/>
      <c r="W754" s="1"/>
      <c r="X754" s="13"/>
      <c r="Y754" s="14"/>
    </row>
    <row r="755" spans="2:25" ht="15.75" customHeight="1">
      <c r="B755" s="13"/>
      <c r="C755" s="13"/>
      <c r="E755" s="14"/>
      <c r="G755" s="1"/>
      <c r="O755" s="31"/>
      <c r="P755" s="31"/>
      <c r="R755" s="106"/>
      <c r="S755" s="3"/>
      <c r="T755" s="58"/>
      <c r="W755" s="1"/>
      <c r="X755" s="13"/>
      <c r="Y755" s="14"/>
    </row>
    <row r="756" spans="2:25" ht="15.75" customHeight="1">
      <c r="B756" s="13"/>
      <c r="C756" s="13"/>
      <c r="E756" s="14"/>
      <c r="G756" s="1"/>
      <c r="O756" s="31"/>
      <c r="P756" s="31"/>
      <c r="R756" s="106"/>
      <c r="S756" s="3"/>
      <c r="T756" s="58"/>
      <c r="W756" s="1"/>
      <c r="X756" s="13"/>
      <c r="Y756" s="14"/>
    </row>
    <row r="757" spans="2:25" ht="15.75" customHeight="1">
      <c r="B757" s="13"/>
      <c r="C757" s="13"/>
      <c r="E757" s="14"/>
      <c r="G757" s="1"/>
      <c r="O757" s="31"/>
      <c r="P757" s="31"/>
      <c r="R757" s="106"/>
      <c r="S757" s="3"/>
      <c r="T757" s="58"/>
      <c r="W757" s="1"/>
      <c r="X757" s="13"/>
      <c r="Y757" s="14"/>
    </row>
    <row r="758" spans="2:25" ht="15.75" customHeight="1">
      <c r="B758" s="13"/>
      <c r="C758" s="13"/>
      <c r="E758" s="14"/>
      <c r="G758" s="1"/>
      <c r="O758" s="31"/>
      <c r="P758" s="31"/>
      <c r="R758" s="106"/>
      <c r="S758" s="3"/>
      <c r="T758" s="58"/>
      <c r="W758" s="1"/>
      <c r="X758" s="13"/>
      <c r="Y758" s="14"/>
    </row>
    <row r="759" spans="2:25" ht="15.75" customHeight="1">
      <c r="B759" s="13"/>
      <c r="C759" s="13"/>
      <c r="E759" s="14"/>
      <c r="G759" s="1"/>
      <c r="O759" s="31"/>
      <c r="P759" s="31"/>
      <c r="R759" s="106"/>
      <c r="S759" s="3"/>
      <c r="T759" s="58"/>
      <c r="W759" s="1"/>
      <c r="X759" s="13"/>
      <c r="Y759" s="14"/>
    </row>
    <row r="760" spans="2:25" ht="15.75" customHeight="1">
      <c r="B760" s="13"/>
      <c r="C760" s="13"/>
      <c r="E760" s="14"/>
      <c r="G760" s="1"/>
      <c r="O760" s="31"/>
      <c r="P760" s="31"/>
      <c r="R760" s="106"/>
      <c r="S760" s="3"/>
      <c r="T760" s="58"/>
      <c r="W760" s="1"/>
      <c r="X760" s="13"/>
      <c r="Y760" s="14"/>
    </row>
    <row r="761" spans="2:25" ht="15.75" customHeight="1">
      <c r="B761" s="13"/>
      <c r="C761" s="13"/>
      <c r="E761" s="14"/>
      <c r="G761" s="1"/>
      <c r="O761" s="31"/>
      <c r="P761" s="31"/>
      <c r="R761" s="106"/>
      <c r="S761" s="3"/>
      <c r="T761" s="58"/>
      <c r="W761" s="1"/>
      <c r="X761" s="13"/>
      <c r="Y761" s="14"/>
    </row>
    <row r="762" spans="2:25" ht="15.75" customHeight="1">
      <c r="B762" s="13"/>
      <c r="C762" s="13"/>
      <c r="E762" s="14"/>
      <c r="G762" s="1"/>
      <c r="O762" s="31"/>
      <c r="P762" s="31"/>
      <c r="R762" s="106"/>
      <c r="S762" s="3"/>
      <c r="T762" s="58"/>
      <c r="W762" s="1"/>
      <c r="X762" s="13"/>
      <c r="Y762" s="14"/>
    </row>
    <row r="763" spans="2:25" ht="15.75" customHeight="1">
      <c r="B763" s="13"/>
      <c r="C763" s="13"/>
      <c r="E763" s="14"/>
      <c r="G763" s="1"/>
      <c r="O763" s="31"/>
      <c r="P763" s="31"/>
      <c r="R763" s="106"/>
      <c r="S763" s="3"/>
      <c r="T763" s="58"/>
      <c r="W763" s="1"/>
      <c r="X763" s="13"/>
      <c r="Y763" s="14"/>
    </row>
    <row r="764" spans="2:25" ht="15.75" customHeight="1">
      <c r="B764" s="13"/>
      <c r="C764" s="13"/>
      <c r="E764" s="14"/>
      <c r="G764" s="1"/>
      <c r="O764" s="31"/>
      <c r="P764" s="31"/>
      <c r="R764" s="106"/>
      <c r="S764" s="3"/>
      <c r="T764" s="58"/>
      <c r="W764" s="1"/>
      <c r="X764" s="13"/>
      <c r="Y764" s="14"/>
    </row>
    <row r="765" spans="2:25" ht="15.75" customHeight="1">
      <c r="B765" s="13"/>
      <c r="C765" s="13"/>
      <c r="E765" s="14"/>
      <c r="G765" s="1"/>
      <c r="O765" s="31"/>
      <c r="P765" s="31"/>
      <c r="R765" s="106"/>
      <c r="S765" s="3"/>
      <c r="T765" s="58"/>
      <c r="W765" s="1"/>
      <c r="X765" s="13"/>
      <c r="Y765" s="14"/>
    </row>
    <row r="766" spans="2:25" ht="15.75" customHeight="1">
      <c r="B766" s="13"/>
      <c r="C766" s="13"/>
      <c r="E766" s="14"/>
      <c r="G766" s="1"/>
      <c r="O766" s="31"/>
      <c r="P766" s="31"/>
      <c r="R766" s="106"/>
      <c r="S766" s="3"/>
      <c r="T766" s="58"/>
      <c r="W766" s="1"/>
      <c r="X766" s="13"/>
      <c r="Y766" s="14"/>
    </row>
    <row r="767" spans="2:25" ht="15.75" customHeight="1">
      <c r="B767" s="13"/>
      <c r="C767" s="13"/>
      <c r="E767" s="14"/>
      <c r="G767" s="1"/>
      <c r="O767" s="31"/>
      <c r="P767" s="31"/>
      <c r="R767" s="106"/>
      <c r="S767" s="3"/>
      <c r="T767" s="58"/>
      <c r="W767" s="1"/>
      <c r="X767" s="13"/>
      <c r="Y767" s="14"/>
    </row>
    <row r="768" spans="2:25" ht="15.75" customHeight="1">
      <c r="B768" s="13"/>
      <c r="C768" s="13"/>
      <c r="E768" s="14"/>
      <c r="G768" s="1"/>
      <c r="O768" s="31"/>
      <c r="P768" s="31"/>
      <c r="R768" s="106"/>
      <c r="S768" s="3"/>
      <c r="T768" s="58"/>
      <c r="W768" s="1"/>
      <c r="X768" s="13"/>
      <c r="Y768" s="14"/>
    </row>
    <row r="769" spans="2:25" ht="15.75" customHeight="1">
      <c r="B769" s="13"/>
      <c r="C769" s="13"/>
      <c r="E769" s="14"/>
      <c r="G769" s="1"/>
      <c r="O769" s="31"/>
      <c r="P769" s="31"/>
      <c r="R769" s="106"/>
      <c r="S769" s="3"/>
      <c r="T769" s="58"/>
      <c r="W769" s="1"/>
      <c r="X769" s="13"/>
      <c r="Y769" s="14"/>
    </row>
    <row r="770" spans="2:25" ht="15.75" customHeight="1">
      <c r="B770" s="13"/>
      <c r="C770" s="13"/>
      <c r="E770" s="14"/>
      <c r="G770" s="1"/>
      <c r="O770" s="31"/>
      <c r="P770" s="31"/>
      <c r="R770" s="106"/>
      <c r="S770" s="3"/>
      <c r="T770" s="58"/>
      <c r="W770" s="1"/>
      <c r="X770" s="13"/>
      <c r="Y770" s="14"/>
    </row>
    <row r="771" spans="2:25" ht="15.75" customHeight="1">
      <c r="B771" s="13"/>
      <c r="C771" s="13"/>
      <c r="E771" s="14"/>
      <c r="G771" s="1"/>
      <c r="O771" s="31"/>
      <c r="P771" s="31"/>
      <c r="R771" s="106"/>
      <c r="S771" s="3"/>
      <c r="T771" s="58"/>
      <c r="W771" s="1"/>
      <c r="X771" s="13"/>
      <c r="Y771" s="14"/>
    </row>
    <row r="772" spans="2:25" ht="15.75" customHeight="1">
      <c r="B772" s="13"/>
      <c r="C772" s="13"/>
      <c r="E772" s="14"/>
      <c r="G772" s="1"/>
      <c r="O772" s="31"/>
      <c r="P772" s="31"/>
      <c r="R772" s="106"/>
      <c r="S772" s="3"/>
      <c r="T772" s="58"/>
      <c r="W772" s="1"/>
      <c r="X772" s="13"/>
      <c r="Y772" s="14"/>
    </row>
    <row r="773" spans="2:25" ht="15.75" customHeight="1">
      <c r="B773" s="13"/>
      <c r="C773" s="13"/>
      <c r="E773" s="14"/>
      <c r="G773" s="1"/>
      <c r="O773" s="31"/>
      <c r="P773" s="31"/>
      <c r="R773" s="106"/>
      <c r="S773" s="3"/>
      <c r="T773" s="58"/>
      <c r="W773" s="1"/>
      <c r="X773" s="13"/>
      <c r="Y773" s="14"/>
    </row>
    <row r="774" spans="2:25" ht="15.75" customHeight="1">
      <c r="B774" s="13"/>
      <c r="C774" s="13"/>
      <c r="E774" s="14"/>
      <c r="G774" s="1"/>
      <c r="O774" s="31"/>
      <c r="P774" s="31"/>
      <c r="R774" s="106"/>
      <c r="S774" s="3"/>
      <c r="T774" s="58"/>
      <c r="W774" s="1"/>
      <c r="X774" s="13"/>
      <c r="Y774" s="14"/>
    </row>
    <row r="775" spans="2:25" ht="15.75" customHeight="1">
      <c r="B775" s="13"/>
      <c r="C775" s="13"/>
      <c r="E775" s="14"/>
      <c r="G775" s="1"/>
      <c r="O775" s="31"/>
      <c r="P775" s="31"/>
      <c r="R775" s="106"/>
      <c r="S775" s="3"/>
      <c r="T775" s="58"/>
      <c r="W775" s="1"/>
      <c r="X775" s="13"/>
      <c r="Y775" s="14"/>
    </row>
    <row r="776" spans="2:25" ht="15.75" customHeight="1">
      <c r="B776" s="13"/>
      <c r="C776" s="13"/>
      <c r="E776" s="14"/>
      <c r="G776" s="1"/>
      <c r="O776" s="31"/>
      <c r="P776" s="31"/>
      <c r="R776" s="106"/>
      <c r="S776" s="3"/>
      <c r="T776" s="58"/>
      <c r="W776" s="1"/>
      <c r="X776" s="13"/>
      <c r="Y776" s="14"/>
    </row>
    <row r="777" spans="2:25" ht="15.75" customHeight="1">
      <c r="B777" s="13"/>
      <c r="C777" s="13"/>
      <c r="E777" s="14"/>
      <c r="G777" s="1"/>
      <c r="O777" s="31"/>
      <c r="P777" s="31"/>
      <c r="R777" s="106"/>
      <c r="S777" s="3"/>
      <c r="T777" s="58"/>
      <c r="W777" s="1"/>
      <c r="X777" s="13"/>
      <c r="Y777" s="14"/>
    </row>
    <row r="778" spans="2:25" ht="15.75" customHeight="1">
      <c r="B778" s="13"/>
      <c r="C778" s="13"/>
      <c r="E778" s="14"/>
      <c r="G778" s="1"/>
      <c r="O778" s="31"/>
      <c r="P778" s="31"/>
      <c r="R778" s="106"/>
      <c r="S778" s="3"/>
      <c r="T778" s="58"/>
      <c r="W778" s="1"/>
      <c r="X778" s="13"/>
      <c r="Y778" s="14"/>
    </row>
    <row r="779" spans="2:25" ht="15.75" customHeight="1">
      <c r="B779" s="13"/>
      <c r="C779" s="13"/>
      <c r="E779" s="14"/>
      <c r="G779" s="1"/>
      <c r="O779" s="31"/>
      <c r="P779" s="31"/>
      <c r="R779" s="106"/>
      <c r="S779" s="3"/>
      <c r="T779" s="58"/>
      <c r="W779" s="1"/>
      <c r="X779" s="13"/>
      <c r="Y779" s="14"/>
    </row>
    <row r="780" spans="2:25" ht="15.75" customHeight="1">
      <c r="B780" s="13"/>
      <c r="C780" s="13"/>
      <c r="E780" s="14"/>
      <c r="G780" s="1"/>
      <c r="O780" s="31"/>
      <c r="P780" s="31"/>
      <c r="R780" s="106"/>
      <c r="S780" s="3"/>
      <c r="T780" s="58"/>
      <c r="W780" s="1"/>
      <c r="X780" s="13"/>
      <c r="Y780" s="14"/>
    </row>
    <row r="781" spans="2:25" ht="15.75" customHeight="1">
      <c r="B781" s="13"/>
      <c r="C781" s="13"/>
      <c r="E781" s="14"/>
      <c r="G781" s="1"/>
      <c r="O781" s="31"/>
      <c r="P781" s="31"/>
      <c r="R781" s="106"/>
      <c r="S781" s="3"/>
      <c r="T781" s="58"/>
      <c r="W781" s="1"/>
      <c r="X781" s="13"/>
      <c r="Y781" s="14"/>
    </row>
    <row r="782" spans="2:25" ht="15.75" customHeight="1">
      <c r="B782" s="13"/>
      <c r="C782" s="13"/>
      <c r="E782" s="14"/>
      <c r="G782" s="1"/>
      <c r="O782" s="31"/>
      <c r="P782" s="31"/>
      <c r="R782" s="106"/>
      <c r="S782" s="3"/>
      <c r="T782" s="58"/>
      <c r="W782" s="1"/>
      <c r="X782" s="13"/>
      <c r="Y782" s="14"/>
    </row>
    <row r="783" spans="2:25" ht="15.75" customHeight="1">
      <c r="B783" s="13"/>
      <c r="C783" s="13"/>
      <c r="E783" s="14"/>
      <c r="G783" s="1"/>
      <c r="O783" s="31"/>
      <c r="P783" s="31"/>
      <c r="R783" s="106"/>
      <c r="S783" s="3"/>
      <c r="T783" s="58"/>
      <c r="W783" s="1"/>
      <c r="X783" s="13"/>
      <c r="Y783" s="14"/>
    </row>
    <row r="784" spans="2:25" ht="15.75" customHeight="1">
      <c r="B784" s="13"/>
      <c r="C784" s="13"/>
      <c r="E784" s="14"/>
      <c r="G784" s="1"/>
      <c r="O784" s="31"/>
      <c r="P784" s="31"/>
      <c r="R784" s="106"/>
      <c r="S784" s="3"/>
      <c r="T784" s="58"/>
      <c r="W784" s="1"/>
      <c r="X784" s="13"/>
      <c r="Y784" s="14"/>
    </row>
    <row r="785" spans="2:25" ht="15.75" customHeight="1">
      <c r="B785" s="13"/>
      <c r="C785" s="13"/>
      <c r="E785" s="14"/>
      <c r="G785" s="1"/>
      <c r="O785" s="31"/>
      <c r="P785" s="31"/>
      <c r="R785" s="106"/>
      <c r="S785" s="3"/>
      <c r="T785" s="58"/>
      <c r="W785" s="1"/>
      <c r="X785" s="13"/>
      <c r="Y785" s="14"/>
    </row>
    <row r="786" spans="2:25" ht="15.75" customHeight="1">
      <c r="B786" s="13"/>
      <c r="C786" s="13"/>
      <c r="E786" s="14"/>
      <c r="G786" s="1"/>
      <c r="O786" s="31"/>
      <c r="P786" s="31"/>
      <c r="R786" s="106"/>
      <c r="S786" s="3"/>
      <c r="T786" s="58"/>
      <c r="W786" s="1"/>
      <c r="X786" s="13"/>
      <c r="Y786" s="14"/>
    </row>
    <row r="787" spans="2:25" ht="15.75" customHeight="1">
      <c r="B787" s="13"/>
      <c r="C787" s="13"/>
      <c r="E787" s="14"/>
      <c r="G787" s="1"/>
      <c r="O787" s="31"/>
      <c r="P787" s="31"/>
      <c r="R787" s="106"/>
      <c r="S787" s="3"/>
      <c r="T787" s="58"/>
      <c r="W787" s="1"/>
      <c r="X787" s="13"/>
      <c r="Y787" s="14"/>
    </row>
    <row r="788" spans="2:25" ht="15.75" customHeight="1">
      <c r="B788" s="13"/>
      <c r="C788" s="13"/>
      <c r="E788" s="14"/>
      <c r="G788" s="1"/>
      <c r="O788" s="31"/>
      <c r="P788" s="31"/>
      <c r="R788" s="106"/>
      <c r="S788" s="3"/>
      <c r="T788" s="58"/>
      <c r="W788" s="1"/>
      <c r="X788" s="13"/>
      <c r="Y788" s="14"/>
    </row>
    <row r="789" spans="2:25" ht="15.75" customHeight="1">
      <c r="B789" s="13"/>
      <c r="C789" s="13"/>
      <c r="E789" s="14"/>
      <c r="G789" s="1"/>
      <c r="O789" s="31"/>
      <c r="P789" s="31"/>
      <c r="R789" s="106"/>
      <c r="S789" s="3"/>
      <c r="T789" s="58"/>
      <c r="W789" s="1"/>
      <c r="X789" s="13"/>
      <c r="Y789" s="14"/>
    </row>
    <row r="790" spans="2:25" ht="15.75" customHeight="1">
      <c r="B790" s="13"/>
      <c r="C790" s="13"/>
      <c r="E790" s="14"/>
      <c r="G790" s="1"/>
      <c r="O790" s="31"/>
      <c r="P790" s="31"/>
      <c r="R790" s="106"/>
      <c r="S790" s="3"/>
      <c r="T790" s="58"/>
      <c r="W790" s="1"/>
      <c r="X790" s="13"/>
      <c r="Y790" s="14"/>
    </row>
    <row r="791" spans="2:25" ht="15.75" customHeight="1">
      <c r="B791" s="13"/>
      <c r="C791" s="13"/>
      <c r="E791" s="14"/>
      <c r="G791" s="1"/>
      <c r="O791" s="31"/>
      <c r="P791" s="31"/>
      <c r="R791" s="106"/>
      <c r="S791" s="3"/>
      <c r="T791" s="58"/>
      <c r="W791" s="1"/>
      <c r="X791" s="13"/>
      <c r="Y791" s="14"/>
    </row>
    <row r="792" spans="2:25" ht="15.75" customHeight="1">
      <c r="B792" s="13"/>
      <c r="C792" s="13"/>
      <c r="E792" s="14"/>
      <c r="G792" s="1"/>
      <c r="O792" s="31"/>
      <c r="P792" s="31"/>
      <c r="R792" s="106"/>
      <c r="S792" s="3"/>
      <c r="T792" s="58"/>
      <c r="W792" s="1"/>
      <c r="X792" s="13"/>
      <c r="Y792" s="14"/>
    </row>
    <row r="793" spans="2:25" ht="15.75" customHeight="1">
      <c r="B793" s="13"/>
      <c r="C793" s="13"/>
      <c r="E793" s="14"/>
      <c r="G793" s="1"/>
      <c r="O793" s="31"/>
      <c r="P793" s="31"/>
      <c r="R793" s="106"/>
      <c r="S793" s="3"/>
      <c r="T793" s="58"/>
      <c r="W793" s="1"/>
      <c r="X793" s="13"/>
      <c r="Y793" s="14"/>
    </row>
    <row r="794" spans="2:25" ht="15.75" customHeight="1">
      <c r="B794" s="13"/>
      <c r="C794" s="13"/>
      <c r="E794" s="14"/>
      <c r="G794" s="1"/>
      <c r="O794" s="31"/>
      <c r="P794" s="31"/>
      <c r="R794" s="106"/>
      <c r="S794" s="3"/>
      <c r="T794" s="58"/>
      <c r="W794" s="1"/>
      <c r="X794" s="13"/>
      <c r="Y794" s="14"/>
    </row>
    <row r="795" spans="2:25" ht="15.75" customHeight="1">
      <c r="B795" s="13"/>
      <c r="C795" s="13"/>
      <c r="E795" s="14"/>
      <c r="G795" s="1"/>
      <c r="O795" s="31"/>
      <c r="P795" s="31"/>
      <c r="R795" s="106"/>
      <c r="S795" s="3"/>
      <c r="T795" s="58"/>
      <c r="W795" s="1"/>
      <c r="X795" s="13"/>
      <c r="Y795" s="14"/>
    </row>
    <row r="796" spans="2:25" ht="15.75" customHeight="1">
      <c r="B796" s="13"/>
      <c r="C796" s="13"/>
      <c r="E796" s="14"/>
      <c r="G796" s="1"/>
      <c r="O796" s="31"/>
      <c r="P796" s="31"/>
      <c r="R796" s="106"/>
      <c r="S796" s="3"/>
      <c r="T796" s="58"/>
      <c r="W796" s="1"/>
      <c r="X796" s="13"/>
      <c r="Y796" s="14"/>
    </row>
    <row r="797" spans="2:25" ht="15.75" customHeight="1">
      <c r="B797" s="13"/>
      <c r="C797" s="13"/>
      <c r="E797" s="14"/>
      <c r="G797" s="1"/>
      <c r="O797" s="31"/>
      <c r="P797" s="31"/>
      <c r="R797" s="106"/>
      <c r="S797" s="3"/>
      <c r="T797" s="58"/>
      <c r="W797" s="1"/>
      <c r="X797" s="13"/>
      <c r="Y797" s="14"/>
    </row>
    <row r="798" spans="2:25" ht="15.75" customHeight="1">
      <c r="B798" s="13"/>
      <c r="C798" s="13"/>
      <c r="E798" s="14"/>
      <c r="G798" s="1"/>
      <c r="O798" s="31"/>
      <c r="P798" s="31"/>
      <c r="R798" s="106"/>
      <c r="S798" s="3"/>
      <c r="T798" s="58"/>
      <c r="W798" s="1"/>
      <c r="X798" s="13"/>
      <c r="Y798" s="14"/>
    </row>
    <row r="799" spans="2:25" ht="15.75" customHeight="1">
      <c r="B799" s="13"/>
      <c r="C799" s="13"/>
      <c r="E799" s="14"/>
      <c r="G799" s="1"/>
      <c r="O799" s="31"/>
      <c r="P799" s="31"/>
      <c r="R799" s="106"/>
      <c r="S799" s="3"/>
      <c r="T799" s="58"/>
      <c r="W799" s="1"/>
      <c r="X799" s="13"/>
      <c r="Y799" s="14"/>
    </row>
    <row r="800" spans="2:25" ht="15.75" customHeight="1">
      <c r="B800" s="13"/>
      <c r="C800" s="13"/>
      <c r="E800" s="14"/>
      <c r="G800" s="1"/>
      <c r="O800" s="31"/>
      <c r="P800" s="31"/>
      <c r="R800" s="106"/>
      <c r="S800" s="3"/>
      <c r="T800" s="58"/>
      <c r="W800" s="1"/>
      <c r="X800" s="13"/>
      <c r="Y800" s="14"/>
    </row>
    <row r="801" spans="2:25" ht="15.75" customHeight="1">
      <c r="B801" s="13"/>
      <c r="C801" s="13"/>
      <c r="E801" s="14"/>
      <c r="G801" s="1"/>
      <c r="O801" s="31"/>
      <c r="P801" s="31"/>
      <c r="R801" s="106"/>
      <c r="S801" s="3"/>
      <c r="T801" s="58"/>
      <c r="W801" s="1"/>
      <c r="X801" s="13"/>
      <c r="Y801" s="14"/>
    </row>
    <row r="802" spans="2:25" ht="15.75" customHeight="1">
      <c r="B802" s="13"/>
      <c r="C802" s="13"/>
      <c r="E802" s="14"/>
      <c r="G802" s="1"/>
      <c r="O802" s="31"/>
      <c r="P802" s="31"/>
      <c r="R802" s="106"/>
      <c r="S802" s="3"/>
      <c r="T802" s="58"/>
      <c r="W802" s="1"/>
      <c r="X802" s="13"/>
      <c r="Y802" s="14"/>
    </row>
    <row r="803" spans="2:25" ht="15.75" customHeight="1">
      <c r="B803" s="13"/>
      <c r="C803" s="13"/>
      <c r="E803" s="14"/>
      <c r="G803" s="1"/>
      <c r="O803" s="31"/>
      <c r="P803" s="31"/>
      <c r="R803" s="106"/>
      <c r="S803" s="3"/>
      <c r="T803" s="58"/>
      <c r="W803" s="1"/>
      <c r="X803" s="13"/>
      <c r="Y803" s="14"/>
    </row>
    <row r="804" spans="2:25" ht="15.75" customHeight="1">
      <c r="B804" s="13"/>
      <c r="C804" s="13"/>
      <c r="E804" s="14"/>
      <c r="G804" s="1"/>
      <c r="O804" s="31"/>
      <c r="P804" s="31"/>
      <c r="R804" s="106"/>
      <c r="S804" s="3"/>
      <c r="T804" s="58"/>
      <c r="W804" s="1"/>
      <c r="X804" s="13"/>
      <c r="Y804" s="14"/>
    </row>
    <row r="805" spans="2:25" ht="15.75" customHeight="1">
      <c r="B805" s="13"/>
      <c r="C805" s="13"/>
      <c r="E805" s="14"/>
      <c r="G805" s="1"/>
      <c r="O805" s="31"/>
      <c r="P805" s="31"/>
      <c r="R805" s="106"/>
      <c r="S805" s="3"/>
      <c r="T805" s="58"/>
      <c r="W805" s="1"/>
      <c r="X805" s="13"/>
      <c r="Y805" s="14"/>
    </row>
    <row r="806" spans="2:25" ht="15.75" customHeight="1">
      <c r="B806" s="13"/>
      <c r="C806" s="13"/>
      <c r="E806" s="14"/>
      <c r="G806" s="1"/>
      <c r="O806" s="31"/>
      <c r="P806" s="31"/>
      <c r="R806" s="106"/>
      <c r="S806" s="3"/>
      <c r="T806" s="58"/>
      <c r="W806" s="1"/>
      <c r="X806" s="13"/>
      <c r="Y806" s="14"/>
    </row>
    <row r="807" spans="2:25" ht="15.75" customHeight="1">
      <c r="B807" s="13"/>
      <c r="C807" s="13"/>
      <c r="E807" s="14"/>
      <c r="G807" s="1"/>
      <c r="O807" s="31"/>
      <c r="P807" s="31"/>
      <c r="R807" s="106"/>
      <c r="S807" s="3"/>
      <c r="T807" s="58"/>
      <c r="W807" s="1"/>
      <c r="X807" s="13"/>
      <c r="Y807" s="14"/>
    </row>
    <row r="808" spans="2:25" ht="15.75" customHeight="1">
      <c r="B808" s="13"/>
      <c r="C808" s="13"/>
      <c r="E808" s="14"/>
      <c r="G808" s="1"/>
      <c r="O808" s="31"/>
      <c r="P808" s="31"/>
      <c r="R808" s="106"/>
      <c r="S808" s="3"/>
      <c r="T808" s="58"/>
      <c r="W808" s="1"/>
      <c r="X808" s="13"/>
      <c r="Y808" s="14"/>
    </row>
    <row r="809" spans="2:25" ht="15.75" customHeight="1">
      <c r="B809" s="13"/>
      <c r="C809" s="13"/>
      <c r="E809" s="14"/>
      <c r="G809" s="1"/>
      <c r="O809" s="31"/>
      <c r="P809" s="31"/>
      <c r="R809" s="106"/>
      <c r="S809" s="3"/>
      <c r="T809" s="58"/>
      <c r="W809" s="1"/>
      <c r="X809" s="13"/>
      <c r="Y809" s="14"/>
    </row>
    <row r="810" spans="2:25" ht="15.75" customHeight="1">
      <c r="B810" s="13"/>
      <c r="C810" s="13"/>
      <c r="E810" s="14"/>
      <c r="G810" s="1"/>
      <c r="O810" s="31"/>
      <c r="P810" s="31"/>
      <c r="R810" s="106"/>
      <c r="S810" s="3"/>
      <c r="T810" s="58"/>
      <c r="W810" s="1"/>
      <c r="X810" s="13"/>
      <c r="Y810" s="14"/>
    </row>
    <row r="811" spans="2:25" ht="15.75" customHeight="1">
      <c r="B811" s="13"/>
      <c r="C811" s="13"/>
      <c r="E811" s="14"/>
      <c r="G811" s="1"/>
      <c r="O811" s="31"/>
      <c r="P811" s="31"/>
      <c r="R811" s="106"/>
      <c r="S811" s="3"/>
      <c r="T811" s="58"/>
      <c r="W811" s="1"/>
      <c r="X811" s="13"/>
      <c r="Y811" s="14"/>
    </row>
    <row r="812" spans="2:25" ht="15.75" customHeight="1">
      <c r="B812" s="13"/>
      <c r="C812" s="13"/>
      <c r="E812" s="14"/>
      <c r="G812" s="1"/>
      <c r="O812" s="31"/>
      <c r="P812" s="31"/>
      <c r="R812" s="106"/>
      <c r="S812" s="3"/>
      <c r="T812" s="58"/>
      <c r="W812" s="1"/>
      <c r="X812" s="13"/>
      <c r="Y812" s="14"/>
    </row>
    <row r="813" spans="2:25" ht="15.75" customHeight="1">
      <c r="B813" s="13"/>
      <c r="C813" s="13"/>
      <c r="E813" s="14"/>
      <c r="G813" s="1"/>
      <c r="O813" s="31"/>
      <c r="P813" s="31"/>
      <c r="R813" s="106"/>
      <c r="S813" s="3"/>
      <c r="T813" s="58"/>
      <c r="W813" s="1"/>
      <c r="X813" s="13"/>
      <c r="Y813" s="14"/>
    </row>
    <row r="814" spans="2:25" ht="15.75" customHeight="1">
      <c r="B814" s="13"/>
      <c r="C814" s="13"/>
      <c r="E814" s="14"/>
      <c r="G814" s="1"/>
      <c r="O814" s="31"/>
      <c r="P814" s="31"/>
      <c r="R814" s="106"/>
      <c r="S814" s="3"/>
      <c r="T814" s="58"/>
      <c r="W814" s="1"/>
      <c r="X814" s="13"/>
      <c r="Y814" s="14"/>
    </row>
    <row r="815" spans="2:25" ht="15.75" customHeight="1">
      <c r="B815" s="13"/>
      <c r="C815" s="13"/>
      <c r="E815" s="14"/>
      <c r="G815" s="1"/>
      <c r="O815" s="31"/>
      <c r="P815" s="31"/>
      <c r="R815" s="106"/>
      <c r="S815" s="3"/>
      <c r="T815" s="58"/>
      <c r="W815" s="1"/>
      <c r="X815" s="13"/>
      <c r="Y815" s="14"/>
    </row>
    <row r="816" spans="2:25" ht="15.75" customHeight="1">
      <c r="B816" s="13"/>
      <c r="C816" s="13"/>
      <c r="E816" s="14"/>
      <c r="G816" s="1"/>
      <c r="O816" s="31"/>
      <c r="P816" s="31"/>
      <c r="R816" s="106"/>
      <c r="S816" s="3"/>
      <c r="T816" s="58"/>
      <c r="W816" s="1"/>
      <c r="X816" s="13"/>
      <c r="Y816" s="14"/>
    </row>
    <row r="817" spans="2:25" ht="15.75" customHeight="1">
      <c r="B817" s="13"/>
      <c r="C817" s="13"/>
      <c r="E817" s="14"/>
      <c r="G817" s="1"/>
      <c r="O817" s="31"/>
      <c r="P817" s="31"/>
      <c r="R817" s="106"/>
      <c r="S817" s="3"/>
      <c r="T817" s="58"/>
      <c r="W817" s="1"/>
      <c r="X817" s="13"/>
      <c r="Y817" s="14"/>
    </row>
    <row r="818" spans="2:25" ht="15.75" customHeight="1">
      <c r="B818" s="13"/>
      <c r="C818" s="13"/>
      <c r="E818" s="14"/>
      <c r="G818" s="1"/>
      <c r="O818" s="31"/>
      <c r="P818" s="31"/>
      <c r="R818" s="106"/>
      <c r="S818" s="3"/>
      <c r="T818" s="58"/>
      <c r="W818" s="1"/>
      <c r="X818" s="13"/>
      <c r="Y818" s="14"/>
    </row>
    <row r="819" spans="2:25" ht="15.75" customHeight="1">
      <c r="B819" s="13"/>
      <c r="C819" s="13"/>
      <c r="E819" s="14"/>
      <c r="G819" s="1"/>
      <c r="O819" s="31"/>
      <c r="P819" s="31"/>
      <c r="R819" s="106"/>
      <c r="S819" s="3"/>
      <c r="T819" s="58"/>
      <c r="W819" s="1"/>
      <c r="X819" s="13"/>
      <c r="Y819" s="14"/>
    </row>
    <row r="820" spans="2:25" ht="15.75" customHeight="1">
      <c r="B820" s="13"/>
      <c r="C820" s="13"/>
      <c r="E820" s="14"/>
      <c r="G820" s="1"/>
      <c r="O820" s="31"/>
      <c r="P820" s="31"/>
      <c r="R820" s="106"/>
      <c r="S820" s="3"/>
      <c r="T820" s="58"/>
      <c r="W820" s="1"/>
      <c r="X820" s="13"/>
      <c r="Y820" s="14"/>
    </row>
    <row r="821" spans="2:25" ht="15.75" customHeight="1">
      <c r="B821" s="13"/>
      <c r="C821" s="13"/>
      <c r="E821" s="14"/>
      <c r="G821" s="1"/>
      <c r="O821" s="31"/>
      <c r="P821" s="31"/>
      <c r="R821" s="106"/>
      <c r="S821" s="3"/>
      <c r="T821" s="58"/>
      <c r="W821" s="1"/>
      <c r="X821" s="13"/>
      <c r="Y821" s="14"/>
    </row>
    <row r="822" spans="2:25" ht="15.75" customHeight="1">
      <c r="B822" s="13"/>
      <c r="C822" s="13"/>
      <c r="E822" s="14"/>
      <c r="G822" s="1"/>
      <c r="O822" s="31"/>
      <c r="P822" s="31"/>
      <c r="R822" s="106"/>
      <c r="S822" s="3"/>
      <c r="T822" s="58"/>
      <c r="W822" s="1"/>
      <c r="X822" s="13"/>
      <c r="Y822" s="14"/>
    </row>
    <row r="823" spans="2:25" ht="15.75" customHeight="1">
      <c r="B823" s="13"/>
      <c r="C823" s="13"/>
      <c r="E823" s="14"/>
      <c r="G823" s="1"/>
      <c r="O823" s="31"/>
      <c r="P823" s="31"/>
      <c r="R823" s="106"/>
      <c r="S823" s="3"/>
      <c r="T823" s="58"/>
      <c r="W823" s="1"/>
      <c r="X823" s="13"/>
      <c r="Y823" s="14"/>
    </row>
    <row r="824" spans="2:25" ht="15.75" customHeight="1">
      <c r="B824" s="13"/>
      <c r="C824" s="13"/>
      <c r="E824" s="14"/>
      <c r="G824" s="1"/>
      <c r="O824" s="31"/>
      <c r="P824" s="31"/>
      <c r="R824" s="106"/>
      <c r="S824" s="3"/>
      <c r="T824" s="58"/>
      <c r="W824" s="1"/>
      <c r="X824" s="13"/>
      <c r="Y824" s="14"/>
    </row>
    <row r="825" spans="2:25" ht="15.75" customHeight="1">
      <c r="B825" s="13"/>
      <c r="C825" s="13"/>
      <c r="E825" s="14"/>
      <c r="G825" s="1"/>
      <c r="O825" s="31"/>
      <c r="P825" s="31"/>
      <c r="R825" s="106"/>
      <c r="S825" s="3"/>
      <c r="T825" s="58"/>
      <c r="W825" s="1"/>
      <c r="X825" s="13"/>
      <c r="Y825" s="14"/>
    </row>
    <row r="826" spans="2:25" ht="15.75" customHeight="1">
      <c r="B826" s="13"/>
      <c r="C826" s="13"/>
      <c r="E826" s="14"/>
      <c r="G826" s="1"/>
      <c r="O826" s="31"/>
      <c r="P826" s="31"/>
      <c r="R826" s="106"/>
      <c r="S826" s="3"/>
      <c r="T826" s="58"/>
      <c r="W826" s="1"/>
      <c r="X826" s="13"/>
      <c r="Y826" s="14"/>
    </row>
    <row r="827" spans="2:25" ht="15.75" customHeight="1">
      <c r="B827" s="13"/>
      <c r="C827" s="13"/>
      <c r="E827" s="14"/>
      <c r="G827" s="1"/>
      <c r="O827" s="31"/>
      <c r="P827" s="31"/>
      <c r="R827" s="106"/>
      <c r="S827" s="3"/>
      <c r="T827" s="58"/>
      <c r="W827" s="1"/>
      <c r="X827" s="13"/>
      <c r="Y827" s="14"/>
    </row>
    <row r="828" spans="2:25" ht="15.75" customHeight="1">
      <c r="B828" s="13"/>
      <c r="C828" s="13"/>
      <c r="E828" s="14"/>
      <c r="G828" s="1"/>
      <c r="O828" s="31"/>
      <c r="P828" s="31"/>
      <c r="R828" s="106"/>
      <c r="S828" s="3"/>
      <c r="T828" s="58"/>
      <c r="W828" s="1"/>
      <c r="X828" s="13"/>
      <c r="Y828" s="14"/>
    </row>
    <row r="829" spans="2:25" ht="15.75" customHeight="1">
      <c r="B829" s="13"/>
      <c r="C829" s="13"/>
      <c r="E829" s="14"/>
      <c r="G829" s="1"/>
      <c r="O829" s="31"/>
      <c r="P829" s="31"/>
      <c r="R829" s="106"/>
      <c r="S829" s="3"/>
      <c r="T829" s="58"/>
      <c r="W829" s="1"/>
      <c r="X829" s="13"/>
      <c r="Y829" s="14"/>
    </row>
    <row r="830" spans="2:25" ht="15.75" customHeight="1">
      <c r="B830" s="13"/>
      <c r="C830" s="13"/>
      <c r="E830" s="14"/>
      <c r="G830" s="1"/>
      <c r="O830" s="31"/>
      <c r="P830" s="31"/>
      <c r="R830" s="106"/>
      <c r="S830" s="3"/>
      <c r="T830" s="58"/>
      <c r="W830" s="1"/>
      <c r="X830" s="13"/>
      <c r="Y830" s="14"/>
    </row>
    <row r="831" spans="2:25" ht="15.75" customHeight="1">
      <c r="B831" s="13"/>
      <c r="C831" s="13"/>
      <c r="E831" s="14"/>
      <c r="G831" s="1"/>
      <c r="O831" s="31"/>
      <c r="P831" s="31"/>
      <c r="R831" s="106"/>
      <c r="S831" s="3"/>
      <c r="T831" s="58"/>
      <c r="W831" s="1"/>
      <c r="X831" s="13"/>
      <c r="Y831" s="14"/>
    </row>
    <row r="832" spans="2:25" ht="15.75" customHeight="1">
      <c r="B832" s="13"/>
      <c r="C832" s="13"/>
      <c r="E832" s="14"/>
      <c r="G832" s="1"/>
      <c r="O832" s="31"/>
      <c r="P832" s="31"/>
      <c r="R832" s="106"/>
      <c r="S832" s="3"/>
      <c r="T832" s="58"/>
      <c r="W832" s="1"/>
      <c r="X832" s="13"/>
      <c r="Y832" s="14"/>
    </row>
    <row r="833" spans="2:25" ht="15.75" customHeight="1">
      <c r="B833" s="13"/>
      <c r="C833" s="13"/>
      <c r="E833" s="14"/>
      <c r="G833" s="1"/>
      <c r="O833" s="31"/>
      <c r="P833" s="31"/>
      <c r="R833" s="106"/>
      <c r="S833" s="3"/>
      <c r="T833" s="58"/>
      <c r="W833" s="1"/>
      <c r="X833" s="13"/>
      <c r="Y833" s="14"/>
    </row>
    <row r="834" spans="2:25" ht="15.75" customHeight="1">
      <c r="B834" s="13"/>
      <c r="C834" s="13"/>
      <c r="E834" s="14"/>
      <c r="G834" s="1"/>
      <c r="O834" s="31"/>
      <c r="P834" s="31"/>
      <c r="R834" s="106"/>
      <c r="S834" s="3"/>
      <c r="T834" s="58"/>
      <c r="W834" s="1"/>
      <c r="X834" s="13"/>
      <c r="Y834" s="14"/>
    </row>
    <row r="835" spans="2:25" ht="15.75" customHeight="1">
      <c r="B835" s="13"/>
      <c r="C835" s="13"/>
      <c r="E835" s="14"/>
      <c r="G835" s="1"/>
      <c r="O835" s="31"/>
      <c r="P835" s="31"/>
      <c r="R835" s="106"/>
      <c r="S835" s="3"/>
      <c r="T835" s="58"/>
      <c r="W835" s="1"/>
      <c r="X835" s="13"/>
      <c r="Y835" s="14"/>
    </row>
    <row r="836" spans="2:25" ht="15.75" customHeight="1">
      <c r="B836" s="13"/>
      <c r="C836" s="13"/>
      <c r="E836" s="14"/>
      <c r="G836" s="1"/>
      <c r="O836" s="31"/>
      <c r="P836" s="31"/>
      <c r="R836" s="106"/>
      <c r="S836" s="3"/>
      <c r="T836" s="58"/>
      <c r="W836" s="1"/>
      <c r="X836" s="13"/>
      <c r="Y836" s="14"/>
    </row>
    <row r="837" spans="2:25" ht="15.75" customHeight="1">
      <c r="B837" s="13"/>
      <c r="C837" s="13"/>
      <c r="E837" s="14"/>
      <c r="G837" s="1"/>
      <c r="O837" s="31"/>
      <c r="P837" s="31"/>
      <c r="R837" s="106"/>
      <c r="S837" s="3"/>
      <c r="T837" s="58"/>
      <c r="W837" s="1"/>
      <c r="X837" s="13"/>
      <c r="Y837" s="14"/>
    </row>
    <row r="838" spans="2:25" ht="15.75" customHeight="1">
      <c r="B838" s="13"/>
      <c r="C838" s="13"/>
      <c r="E838" s="14"/>
      <c r="G838" s="1"/>
      <c r="O838" s="31"/>
      <c r="P838" s="31"/>
      <c r="R838" s="106"/>
      <c r="S838" s="3"/>
      <c r="T838" s="58"/>
      <c r="W838" s="1"/>
      <c r="X838" s="13"/>
      <c r="Y838" s="14"/>
    </row>
    <row r="839" spans="2:25" ht="15.75" customHeight="1">
      <c r="B839" s="13"/>
      <c r="C839" s="13"/>
      <c r="E839" s="14"/>
      <c r="G839" s="1"/>
      <c r="O839" s="31"/>
      <c r="P839" s="31"/>
      <c r="R839" s="106"/>
      <c r="S839" s="3"/>
      <c r="T839" s="58"/>
      <c r="W839" s="1"/>
      <c r="X839" s="13"/>
      <c r="Y839" s="14"/>
    </row>
    <row r="840" spans="2:25" ht="15.75" customHeight="1">
      <c r="B840" s="13"/>
      <c r="C840" s="13"/>
      <c r="E840" s="14"/>
      <c r="G840" s="1"/>
      <c r="O840" s="31"/>
      <c r="P840" s="31"/>
      <c r="R840" s="106"/>
      <c r="S840" s="3"/>
      <c r="T840" s="58"/>
      <c r="W840" s="1"/>
      <c r="X840" s="13"/>
      <c r="Y840" s="14"/>
    </row>
    <row r="841" spans="2:25" ht="15.75" customHeight="1">
      <c r="B841" s="13"/>
      <c r="C841" s="13"/>
      <c r="E841" s="14"/>
      <c r="G841" s="1"/>
      <c r="O841" s="31"/>
      <c r="P841" s="31"/>
      <c r="R841" s="106"/>
      <c r="S841" s="3"/>
      <c r="T841" s="58"/>
      <c r="W841" s="1"/>
      <c r="X841" s="13"/>
      <c r="Y841" s="14"/>
    </row>
    <row r="842" spans="2:25" ht="15.75" customHeight="1">
      <c r="B842" s="13"/>
      <c r="C842" s="13"/>
      <c r="E842" s="14"/>
      <c r="G842" s="1"/>
      <c r="O842" s="31"/>
      <c r="P842" s="31"/>
      <c r="R842" s="106"/>
      <c r="S842" s="3"/>
      <c r="T842" s="58"/>
      <c r="W842" s="1"/>
      <c r="X842" s="13"/>
      <c r="Y842" s="14"/>
    </row>
    <row r="843" spans="2:25" ht="15.75" customHeight="1">
      <c r="B843" s="13"/>
      <c r="C843" s="13"/>
      <c r="E843" s="14"/>
      <c r="G843" s="1"/>
      <c r="O843" s="31"/>
      <c r="P843" s="31"/>
      <c r="R843" s="106"/>
      <c r="S843" s="3"/>
      <c r="T843" s="58"/>
      <c r="W843" s="1"/>
      <c r="X843" s="13"/>
      <c r="Y843" s="14"/>
    </row>
    <row r="844" spans="2:25" ht="15.75" customHeight="1">
      <c r="B844" s="13"/>
      <c r="C844" s="13"/>
      <c r="E844" s="14"/>
      <c r="G844" s="1"/>
      <c r="O844" s="31"/>
      <c r="P844" s="31"/>
      <c r="R844" s="106"/>
      <c r="S844" s="3"/>
      <c r="T844" s="58"/>
      <c r="W844" s="1"/>
      <c r="X844" s="13"/>
      <c r="Y844" s="14"/>
    </row>
    <row r="845" spans="2:25" ht="15.75" customHeight="1">
      <c r="B845" s="13"/>
      <c r="C845" s="13"/>
      <c r="E845" s="14"/>
      <c r="G845" s="1"/>
      <c r="O845" s="31"/>
      <c r="P845" s="31"/>
      <c r="R845" s="106"/>
      <c r="S845" s="3"/>
      <c r="T845" s="58"/>
      <c r="W845" s="1"/>
      <c r="X845" s="13"/>
      <c r="Y845" s="14"/>
    </row>
    <row r="846" spans="2:25" ht="15.75" customHeight="1">
      <c r="B846" s="13"/>
      <c r="C846" s="13"/>
      <c r="E846" s="14"/>
      <c r="G846" s="1"/>
      <c r="O846" s="31"/>
      <c r="P846" s="31"/>
      <c r="R846" s="106"/>
      <c r="S846" s="3"/>
      <c r="T846" s="58"/>
      <c r="W846" s="1"/>
      <c r="X846" s="13"/>
      <c r="Y846" s="14"/>
    </row>
    <row r="847" spans="2:25" ht="15.75" customHeight="1">
      <c r="B847" s="13"/>
      <c r="C847" s="13"/>
      <c r="E847" s="14"/>
      <c r="G847" s="1"/>
      <c r="O847" s="31"/>
      <c r="P847" s="31"/>
      <c r="R847" s="106"/>
      <c r="S847" s="3"/>
      <c r="T847" s="58"/>
      <c r="W847" s="1"/>
      <c r="X847" s="13"/>
      <c r="Y847" s="14"/>
    </row>
    <row r="848" spans="2:25" ht="15.75" customHeight="1">
      <c r="B848" s="13"/>
      <c r="C848" s="13"/>
      <c r="E848" s="14"/>
      <c r="G848" s="1"/>
      <c r="O848" s="31"/>
      <c r="P848" s="31"/>
      <c r="R848" s="106"/>
      <c r="S848" s="3"/>
      <c r="T848" s="58"/>
      <c r="W848" s="1"/>
      <c r="X848" s="13"/>
      <c r="Y848" s="14"/>
    </row>
    <row r="849" spans="2:25" ht="15.75" customHeight="1">
      <c r="B849" s="13"/>
      <c r="C849" s="13"/>
      <c r="E849" s="14"/>
      <c r="G849" s="1"/>
      <c r="O849" s="31"/>
      <c r="P849" s="31"/>
      <c r="R849" s="106"/>
      <c r="S849" s="3"/>
      <c r="T849" s="58"/>
      <c r="W849" s="1"/>
      <c r="X849" s="13"/>
      <c r="Y849" s="14"/>
    </row>
    <row r="850" spans="2:25" ht="15.75" customHeight="1">
      <c r="B850" s="13"/>
      <c r="C850" s="13"/>
      <c r="E850" s="14"/>
      <c r="G850" s="1"/>
      <c r="O850" s="31"/>
      <c r="P850" s="31"/>
      <c r="R850" s="106"/>
      <c r="S850" s="3"/>
      <c r="T850" s="58"/>
      <c r="W850" s="1"/>
      <c r="X850" s="13"/>
      <c r="Y850" s="14"/>
    </row>
    <row r="851" spans="2:25" ht="15.75" customHeight="1">
      <c r="B851" s="13"/>
      <c r="C851" s="13"/>
      <c r="E851" s="14"/>
      <c r="G851" s="1"/>
      <c r="O851" s="31"/>
      <c r="P851" s="31"/>
      <c r="R851" s="106"/>
      <c r="S851" s="3"/>
      <c r="T851" s="58"/>
      <c r="W851" s="1"/>
      <c r="X851" s="13"/>
      <c r="Y851" s="14"/>
    </row>
    <row r="852" spans="2:25" ht="15.75" customHeight="1">
      <c r="B852" s="13"/>
      <c r="C852" s="13"/>
      <c r="E852" s="14"/>
      <c r="G852" s="1"/>
      <c r="O852" s="31"/>
      <c r="P852" s="31"/>
      <c r="R852" s="106"/>
      <c r="S852" s="3"/>
      <c r="T852" s="58"/>
      <c r="W852" s="1"/>
      <c r="X852" s="13"/>
      <c r="Y852" s="14"/>
    </row>
    <row r="853" spans="2:25" ht="15.75" customHeight="1">
      <c r="B853" s="13"/>
      <c r="C853" s="13"/>
      <c r="E853" s="14"/>
      <c r="G853" s="1"/>
      <c r="O853" s="31"/>
      <c r="P853" s="31"/>
      <c r="R853" s="106"/>
      <c r="S853" s="3"/>
      <c r="T853" s="58"/>
      <c r="W853" s="1"/>
      <c r="X853" s="13"/>
      <c r="Y853" s="14"/>
    </row>
    <row r="854" spans="2:25" ht="15.75" customHeight="1">
      <c r="B854" s="13"/>
      <c r="C854" s="13"/>
      <c r="E854" s="14"/>
      <c r="G854" s="1"/>
      <c r="O854" s="31"/>
      <c r="P854" s="31"/>
      <c r="R854" s="106"/>
      <c r="S854" s="3"/>
      <c r="T854" s="58"/>
      <c r="W854" s="1"/>
      <c r="X854" s="13"/>
      <c r="Y854" s="14"/>
    </row>
    <row r="855" spans="2:25" ht="15.75" customHeight="1">
      <c r="B855" s="13"/>
      <c r="C855" s="13"/>
      <c r="E855" s="14"/>
      <c r="G855" s="1"/>
      <c r="O855" s="31"/>
      <c r="P855" s="31"/>
      <c r="R855" s="106"/>
      <c r="S855" s="3"/>
      <c r="T855" s="58"/>
      <c r="W855" s="1"/>
      <c r="X855" s="13"/>
      <c r="Y855" s="14"/>
    </row>
    <row r="856" spans="2:25" ht="15.75" customHeight="1">
      <c r="B856" s="13"/>
      <c r="C856" s="13"/>
      <c r="E856" s="14"/>
      <c r="G856" s="1"/>
      <c r="O856" s="31"/>
      <c r="P856" s="31"/>
      <c r="R856" s="106"/>
      <c r="S856" s="3"/>
      <c r="T856" s="58"/>
      <c r="W856" s="1"/>
      <c r="X856" s="13"/>
      <c r="Y856" s="14"/>
    </row>
    <row r="857" spans="2:25" ht="15.75" customHeight="1">
      <c r="B857" s="13"/>
      <c r="C857" s="13"/>
      <c r="E857" s="14"/>
      <c r="G857" s="1"/>
      <c r="O857" s="31"/>
      <c r="P857" s="31"/>
      <c r="R857" s="106"/>
      <c r="S857" s="3"/>
      <c r="T857" s="58"/>
      <c r="W857" s="1"/>
      <c r="X857" s="13"/>
      <c r="Y857" s="14"/>
    </row>
    <row r="858" spans="2:25" ht="15.75" customHeight="1">
      <c r="B858" s="13"/>
      <c r="C858" s="13"/>
      <c r="E858" s="14"/>
      <c r="G858" s="1"/>
      <c r="O858" s="31"/>
      <c r="P858" s="31"/>
      <c r="R858" s="106"/>
      <c r="S858" s="3"/>
      <c r="T858" s="58"/>
      <c r="W858" s="1"/>
      <c r="X858" s="13"/>
      <c r="Y858" s="14"/>
    </row>
    <row r="859" spans="2:25" ht="15.75" customHeight="1">
      <c r="B859" s="13"/>
      <c r="C859" s="13"/>
      <c r="E859" s="14"/>
      <c r="G859" s="1"/>
      <c r="O859" s="31"/>
      <c r="P859" s="31"/>
      <c r="R859" s="106"/>
      <c r="S859" s="3"/>
      <c r="T859" s="58"/>
      <c r="W859" s="1"/>
      <c r="X859" s="13"/>
      <c r="Y859" s="14"/>
    </row>
    <row r="860" spans="2:25" ht="15.75" customHeight="1">
      <c r="B860" s="13"/>
      <c r="C860" s="13"/>
      <c r="E860" s="14"/>
      <c r="G860" s="1"/>
      <c r="O860" s="31"/>
      <c r="P860" s="31"/>
      <c r="R860" s="106"/>
      <c r="S860" s="3"/>
      <c r="T860" s="58"/>
      <c r="W860" s="1"/>
      <c r="X860" s="13"/>
      <c r="Y860" s="14"/>
    </row>
    <row r="861" spans="2:25" ht="15.75" customHeight="1">
      <c r="B861" s="13"/>
      <c r="C861" s="13"/>
      <c r="E861" s="14"/>
      <c r="G861" s="1"/>
      <c r="O861" s="31"/>
      <c r="P861" s="31"/>
      <c r="R861" s="106"/>
      <c r="S861" s="3"/>
      <c r="T861" s="58"/>
      <c r="W861" s="1"/>
      <c r="X861" s="13"/>
      <c r="Y861" s="14"/>
    </row>
    <row r="862" spans="2:25" ht="15.75" customHeight="1">
      <c r="B862" s="13"/>
      <c r="C862" s="13"/>
      <c r="E862" s="14"/>
      <c r="G862" s="1"/>
      <c r="O862" s="31"/>
      <c r="P862" s="31"/>
      <c r="R862" s="106"/>
      <c r="S862" s="3"/>
      <c r="T862" s="58"/>
      <c r="W862" s="1"/>
      <c r="X862" s="13"/>
      <c r="Y862" s="14"/>
    </row>
    <row r="863" spans="2:25" ht="15.75" customHeight="1">
      <c r="B863" s="13"/>
      <c r="C863" s="13"/>
      <c r="E863" s="14"/>
      <c r="G863" s="1"/>
      <c r="O863" s="31"/>
      <c r="P863" s="31"/>
      <c r="R863" s="106"/>
      <c r="S863" s="3"/>
      <c r="T863" s="58"/>
      <c r="W863" s="1"/>
      <c r="X863" s="13"/>
      <c r="Y863" s="14"/>
    </row>
    <row r="864" spans="2:25" ht="15.75" customHeight="1">
      <c r="B864" s="13"/>
      <c r="C864" s="13"/>
      <c r="E864" s="14"/>
      <c r="G864" s="1"/>
      <c r="O864" s="31"/>
      <c r="P864" s="31"/>
      <c r="R864" s="106"/>
      <c r="S864" s="3"/>
      <c r="T864" s="58"/>
      <c r="W864" s="1"/>
      <c r="X864" s="13"/>
      <c r="Y864" s="14"/>
    </row>
    <row r="865" spans="2:25" ht="15.75" customHeight="1">
      <c r="B865" s="13"/>
      <c r="C865" s="13"/>
      <c r="E865" s="14"/>
      <c r="G865" s="1"/>
      <c r="O865" s="31"/>
      <c r="P865" s="31"/>
      <c r="R865" s="106"/>
      <c r="S865" s="3"/>
      <c r="T865" s="58"/>
      <c r="W865" s="1"/>
      <c r="X865" s="13"/>
      <c r="Y865" s="14"/>
    </row>
    <row r="866" spans="2:25" ht="15.75" customHeight="1">
      <c r="B866" s="13"/>
      <c r="C866" s="13"/>
      <c r="E866" s="14"/>
      <c r="G866" s="1"/>
      <c r="O866" s="31"/>
      <c r="P866" s="31"/>
      <c r="R866" s="106"/>
      <c r="S866" s="3"/>
      <c r="T866" s="58"/>
      <c r="W866" s="1"/>
      <c r="X866" s="13"/>
      <c r="Y866" s="14"/>
    </row>
    <row r="867" spans="2:25" ht="15.75" customHeight="1">
      <c r="B867" s="13"/>
      <c r="C867" s="13"/>
      <c r="E867" s="14"/>
      <c r="G867" s="1"/>
      <c r="O867" s="31"/>
      <c r="P867" s="31"/>
      <c r="R867" s="106"/>
      <c r="S867" s="3"/>
      <c r="T867" s="58"/>
      <c r="W867" s="1"/>
      <c r="X867" s="13"/>
      <c r="Y867" s="14"/>
    </row>
    <row r="868" spans="2:25" ht="15.75" customHeight="1">
      <c r="B868" s="13"/>
      <c r="C868" s="13"/>
      <c r="E868" s="14"/>
      <c r="G868" s="1"/>
      <c r="O868" s="31"/>
      <c r="P868" s="31"/>
      <c r="R868" s="106"/>
      <c r="S868" s="3"/>
      <c r="T868" s="58"/>
      <c r="W868" s="1"/>
      <c r="X868" s="13"/>
      <c r="Y868" s="14"/>
    </row>
    <row r="869" spans="2:25" ht="15.75" customHeight="1">
      <c r="B869" s="13"/>
      <c r="C869" s="13"/>
      <c r="E869" s="14"/>
      <c r="G869" s="1"/>
      <c r="O869" s="31"/>
      <c r="P869" s="31"/>
      <c r="R869" s="106"/>
      <c r="S869" s="3"/>
      <c r="T869" s="58"/>
      <c r="W869" s="1"/>
      <c r="X869" s="13"/>
      <c r="Y869" s="14"/>
    </row>
    <row r="870" spans="2:25" ht="15.75" customHeight="1">
      <c r="B870" s="13"/>
      <c r="C870" s="13"/>
      <c r="E870" s="14"/>
      <c r="G870" s="1"/>
      <c r="O870" s="31"/>
      <c r="P870" s="31"/>
      <c r="R870" s="106"/>
      <c r="S870" s="3"/>
      <c r="T870" s="58"/>
      <c r="W870" s="1"/>
      <c r="X870" s="13"/>
      <c r="Y870" s="14"/>
    </row>
    <row r="871" spans="2:25" ht="15.75" customHeight="1">
      <c r="B871" s="13"/>
      <c r="C871" s="13"/>
      <c r="E871" s="14"/>
      <c r="G871" s="1"/>
      <c r="O871" s="31"/>
      <c r="P871" s="31"/>
      <c r="R871" s="106"/>
      <c r="S871" s="3"/>
      <c r="T871" s="58"/>
      <c r="W871" s="1"/>
      <c r="X871" s="13"/>
      <c r="Y871" s="14"/>
    </row>
    <row r="872" spans="2:25" ht="15.75" customHeight="1">
      <c r="B872" s="13"/>
      <c r="C872" s="13"/>
      <c r="E872" s="14"/>
      <c r="G872" s="1"/>
      <c r="O872" s="31"/>
      <c r="P872" s="31"/>
      <c r="R872" s="106"/>
      <c r="S872" s="3"/>
      <c r="T872" s="58"/>
      <c r="W872" s="1"/>
      <c r="X872" s="13"/>
      <c r="Y872" s="14"/>
    </row>
    <row r="873" spans="2:25" ht="15.75" customHeight="1">
      <c r="B873" s="13"/>
      <c r="C873" s="13"/>
      <c r="E873" s="14"/>
      <c r="G873" s="1"/>
      <c r="O873" s="31"/>
      <c r="P873" s="31"/>
      <c r="R873" s="106"/>
      <c r="S873" s="3"/>
      <c r="T873" s="58"/>
      <c r="W873" s="1"/>
      <c r="X873" s="13"/>
      <c r="Y873" s="14"/>
    </row>
    <row r="874" spans="2:25" ht="15.75" customHeight="1">
      <c r="B874" s="13"/>
      <c r="C874" s="13"/>
      <c r="E874" s="14"/>
      <c r="G874" s="1"/>
      <c r="O874" s="31"/>
      <c r="P874" s="31"/>
      <c r="R874" s="106"/>
      <c r="S874" s="3"/>
      <c r="T874" s="58"/>
      <c r="W874" s="1"/>
      <c r="X874" s="13"/>
      <c r="Y874" s="14"/>
    </row>
    <row r="875" spans="2:25" ht="15.75" customHeight="1">
      <c r="B875" s="13"/>
      <c r="C875" s="13"/>
      <c r="E875" s="14"/>
      <c r="G875" s="1"/>
      <c r="O875" s="31"/>
      <c r="P875" s="31"/>
      <c r="R875" s="106"/>
      <c r="S875" s="3"/>
      <c r="T875" s="58"/>
      <c r="W875" s="1"/>
      <c r="X875" s="13"/>
      <c r="Y875" s="14"/>
    </row>
    <row r="876" spans="2:25" ht="15.75" customHeight="1">
      <c r="B876" s="13"/>
      <c r="C876" s="13"/>
      <c r="E876" s="14"/>
      <c r="G876" s="1"/>
      <c r="O876" s="31"/>
      <c r="P876" s="31"/>
      <c r="R876" s="106"/>
      <c r="S876" s="3"/>
      <c r="T876" s="58"/>
      <c r="W876" s="1"/>
      <c r="X876" s="13"/>
      <c r="Y876" s="14"/>
    </row>
    <row r="877" spans="2:25" ht="15.75" customHeight="1">
      <c r="B877" s="13"/>
      <c r="C877" s="13"/>
      <c r="E877" s="14"/>
      <c r="G877" s="1"/>
      <c r="O877" s="31"/>
      <c r="P877" s="31"/>
      <c r="R877" s="106"/>
      <c r="S877" s="3"/>
      <c r="T877" s="58"/>
      <c r="W877" s="1"/>
      <c r="X877" s="13"/>
      <c r="Y877" s="14"/>
    </row>
    <row r="878" spans="2:25" ht="15.75" customHeight="1">
      <c r="B878" s="13"/>
      <c r="C878" s="13"/>
      <c r="E878" s="14"/>
      <c r="G878" s="1"/>
      <c r="O878" s="31"/>
      <c r="P878" s="31"/>
      <c r="R878" s="106"/>
      <c r="S878" s="3"/>
      <c r="T878" s="58"/>
      <c r="W878" s="1"/>
      <c r="X878" s="13"/>
      <c r="Y878" s="14"/>
    </row>
    <row r="879" spans="2:25" ht="15.75" customHeight="1">
      <c r="B879" s="13"/>
      <c r="C879" s="13"/>
      <c r="E879" s="14"/>
      <c r="G879" s="1"/>
      <c r="O879" s="31"/>
      <c r="P879" s="31"/>
      <c r="R879" s="106"/>
      <c r="S879" s="3"/>
      <c r="T879" s="58"/>
      <c r="W879" s="1"/>
      <c r="X879" s="13"/>
      <c r="Y879" s="14"/>
    </row>
    <row r="880" spans="2:25" ht="15.75" customHeight="1">
      <c r="B880" s="13"/>
      <c r="C880" s="13"/>
      <c r="E880" s="14"/>
      <c r="G880" s="1"/>
      <c r="O880" s="31"/>
      <c r="P880" s="31"/>
      <c r="R880" s="106"/>
      <c r="S880" s="3"/>
      <c r="T880" s="58"/>
      <c r="W880" s="1"/>
      <c r="X880" s="13"/>
      <c r="Y880" s="14"/>
    </row>
    <row r="881" spans="2:25" ht="15.75" customHeight="1">
      <c r="B881" s="13"/>
      <c r="C881" s="13"/>
      <c r="E881" s="14"/>
      <c r="G881" s="1"/>
      <c r="O881" s="31"/>
      <c r="P881" s="31"/>
      <c r="R881" s="106"/>
      <c r="S881" s="3"/>
      <c r="T881" s="58"/>
      <c r="W881" s="1"/>
      <c r="X881" s="13"/>
      <c r="Y881" s="14"/>
    </row>
    <row r="882" spans="2:25" ht="15.75" customHeight="1">
      <c r="B882" s="13"/>
      <c r="C882" s="13"/>
      <c r="E882" s="14"/>
      <c r="G882" s="1"/>
      <c r="O882" s="31"/>
      <c r="P882" s="31"/>
      <c r="R882" s="106"/>
      <c r="S882" s="3"/>
      <c r="T882" s="58"/>
      <c r="W882" s="1"/>
      <c r="X882" s="13"/>
      <c r="Y882" s="14"/>
    </row>
    <row r="883" spans="2:25" ht="15.75" customHeight="1">
      <c r="B883" s="13"/>
      <c r="C883" s="13"/>
      <c r="E883" s="14"/>
      <c r="G883" s="1"/>
      <c r="O883" s="31"/>
      <c r="P883" s="31"/>
      <c r="R883" s="106"/>
      <c r="S883" s="3"/>
      <c r="T883" s="58"/>
      <c r="W883" s="1"/>
      <c r="X883" s="13"/>
      <c r="Y883" s="14"/>
    </row>
    <row r="884" spans="2:25" ht="15.75" customHeight="1">
      <c r="B884" s="13"/>
      <c r="C884" s="13"/>
      <c r="E884" s="14"/>
      <c r="G884" s="1"/>
      <c r="O884" s="31"/>
      <c r="P884" s="31"/>
      <c r="R884" s="106"/>
      <c r="S884" s="3"/>
      <c r="T884" s="58"/>
      <c r="W884" s="1"/>
      <c r="X884" s="13"/>
      <c r="Y884" s="14"/>
    </row>
    <row r="885" spans="2:25" ht="15.75" customHeight="1">
      <c r="B885" s="13"/>
      <c r="C885" s="13"/>
      <c r="E885" s="14"/>
      <c r="G885" s="1"/>
      <c r="O885" s="31"/>
      <c r="P885" s="31"/>
      <c r="R885" s="106"/>
      <c r="S885" s="3"/>
      <c r="T885" s="58"/>
      <c r="W885" s="1"/>
      <c r="X885" s="13"/>
      <c r="Y885" s="14"/>
    </row>
    <row r="886" spans="2:25" ht="15.75" customHeight="1">
      <c r="B886" s="13"/>
      <c r="C886" s="13"/>
      <c r="E886" s="14"/>
      <c r="G886" s="1"/>
      <c r="O886" s="31"/>
      <c r="P886" s="31"/>
      <c r="R886" s="106"/>
      <c r="S886" s="3"/>
      <c r="T886" s="58"/>
      <c r="W886" s="1"/>
      <c r="X886" s="13"/>
      <c r="Y886" s="14"/>
    </row>
    <row r="887" spans="2:25" ht="15.75" customHeight="1">
      <c r="B887" s="13"/>
      <c r="C887" s="13"/>
      <c r="E887" s="14"/>
      <c r="G887" s="1"/>
      <c r="O887" s="31"/>
      <c r="P887" s="31"/>
      <c r="R887" s="106"/>
      <c r="S887" s="3"/>
      <c r="T887" s="58"/>
      <c r="W887" s="1"/>
      <c r="X887" s="13"/>
      <c r="Y887" s="14"/>
    </row>
    <row r="888" spans="2:25" ht="15.75" customHeight="1">
      <c r="B888" s="13"/>
      <c r="C888" s="13"/>
      <c r="E888" s="14"/>
      <c r="G888" s="1"/>
      <c r="O888" s="31"/>
      <c r="P888" s="31"/>
      <c r="R888" s="106"/>
      <c r="S888" s="3"/>
      <c r="T888" s="58"/>
      <c r="W888" s="1"/>
      <c r="X888" s="13"/>
      <c r="Y888" s="14"/>
    </row>
    <row r="889" spans="2:25" ht="15.75" customHeight="1">
      <c r="B889" s="13"/>
      <c r="C889" s="13"/>
      <c r="E889" s="14"/>
      <c r="G889" s="1"/>
      <c r="O889" s="31"/>
      <c r="P889" s="31"/>
      <c r="R889" s="106"/>
      <c r="S889" s="3"/>
      <c r="T889" s="58"/>
      <c r="W889" s="1"/>
      <c r="X889" s="13"/>
      <c r="Y889" s="14"/>
    </row>
    <row r="890" spans="2:25" ht="15.75" customHeight="1">
      <c r="B890" s="13"/>
      <c r="C890" s="13"/>
      <c r="E890" s="14"/>
      <c r="G890" s="1"/>
      <c r="O890" s="31"/>
      <c r="P890" s="31"/>
      <c r="R890" s="106"/>
      <c r="S890" s="3"/>
      <c r="T890" s="58"/>
      <c r="W890" s="1"/>
      <c r="X890" s="13"/>
      <c r="Y890" s="14"/>
    </row>
    <row r="891" spans="2:25" ht="15.75" customHeight="1">
      <c r="B891" s="13"/>
      <c r="C891" s="13"/>
      <c r="E891" s="14"/>
      <c r="G891" s="1"/>
      <c r="O891" s="31"/>
      <c r="P891" s="31"/>
      <c r="R891" s="106"/>
      <c r="S891" s="3"/>
      <c r="T891" s="58"/>
      <c r="W891" s="1"/>
      <c r="X891" s="13"/>
      <c r="Y891" s="14"/>
    </row>
    <row r="892" spans="2:25" ht="15.75" customHeight="1">
      <c r="B892" s="13"/>
      <c r="C892" s="13"/>
      <c r="E892" s="14"/>
      <c r="G892" s="1"/>
      <c r="O892" s="31"/>
      <c r="P892" s="31"/>
      <c r="R892" s="106"/>
      <c r="S892" s="3"/>
      <c r="T892" s="58"/>
      <c r="W892" s="1"/>
      <c r="X892" s="13"/>
      <c r="Y892" s="14"/>
    </row>
    <row r="893" spans="2:25" ht="15.75" customHeight="1">
      <c r="B893" s="13"/>
      <c r="C893" s="13"/>
      <c r="E893" s="14"/>
      <c r="G893" s="1"/>
      <c r="O893" s="31"/>
      <c r="P893" s="31"/>
      <c r="R893" s="106"/>
      <c r="S893" s="3"/>
      <c r="T893" s="58"/>
      <c r="W893" s="1"/>
      <c r="X893" s="13"/>
      <c r="Y893" s="14"/>
    </row>
    <row r="894" spans="2:25" ht="15.75" customHeight="1">
      <c r="B894" s="13"/>
      <c r="C894" s="13"/>
      <c r="E894" s="14"/>
      <c r="G894" s="1"/>
      <c r="O894" s="31"/>
      <c r="P894" s="31"/>
      <c r="R894" s="106"/>
      <c r="S894" s="3"/>
      <c r="T894" s="58"/>
      <c r="W894" s="1"/>
      <c r="X894" s="13"/>
      <c r="Y894" s="14"/>
    </row>
    <row r="895" spans="2:25" ht="15.75" customHeight="1">
      <c r="B895" s="13"/>
      <c r="C895" s="13"/>
      <c r="E895" s="14"/>
      <c r="G895" s="1"/>
      <c r="O895" s="31"/>
      <c r="P895" s="31"/>
      <c r="R895" s="106"/>
      <c r="S895" s="3"/>
      <c r="T895" s="58"/>
      <c r="W895" s="1"/>
      <c r="X895" s="13"/>
      <c r="Y895" s="14"/>
    </row>
    <row r="896" spans="2:25" ht="15.75" customHeight="1">
      <c r="B896" s="13"/>
      <c r="C896" s="13"/>
      <c r="E896" s="14"/>
      <c r="G896" s="1"/>
      <c r="O896" s="31"/>
      <c r="P896" s="31"/>
      <c r="R896" s="106"/>
      <c r="S896" s="3"/>
      <c r="T896" s="58"/>
      <c r="W896" s="1"/>
      <c r="X896" s="13"/>
      <c r="Y896" s="14"/>
    </row>
    <row r="897" spans="2:25" ht="15.75" customHeight="1">
      <c r="B897" s="13"/>
      <c r="C897" s="13"/>
      <c r="E897" s="14"/>
      <c r="G897" s="1"/>
      <c r="O897" s="31"/>
      <c r="P897" s="31"/>
      <c r="R897" s="106"/>
      <c r="S897" s="3"/>
      <c r="T897" s="58"/>
      <c r="W897" s="1"/>
      <c r="X897" s="13"/>
      <c r="Y897" s="14"/>
    </row>
    <row r="898" spans="2:25" ht="15.75" customHeight="1">
      <c r="B898" s="13"/>
      <c r="C898" s="13"/>
      <c r="E898" s="14"/>
      <c r="G898" s="1"/>
      <c r="O898" s="31"/>
      <c r="P898" s="31"/>
      <c r="R898" s="106"/>
      <c r="S898" s="3"/>
      <c r="T898" s="58"/>
      <c r="W898" s="1"/>
      <c r="X898" s="13"/>
      <c r="Y898" s="14"/>
    </row>
    <row r="899" spans="2:25" ht="15.75" customHeight="1">
      <c r="B899" s="13"/>
      <c r="C899" s="13"/>
      <c r="E899" s="14"/>
      <c r="G899" s="1"/>
      <c r="O899" s="31"/>
      <c r="P899" s="31"/>
      <c r="R899" s="106"/>
      <c r="S899" s="3"/>
      <c r="T899" s="58"/>
      <c r="W899" s="1"/>
      <c r="X899" s="13"/>
      <c r="Y899" s="14"/>
    </row>
    <row r="900" spans="2:25" ht="15.75" customHeight="1">
      <c r="B900" s="13"/>
      <c r="C900" s="13"/>
      <c r="E900" s="14"/>
      <c r="G900" s="1"/>
      <c r="O900" s="31"/>
      <c r="P900" s="31"/>
      <c r="R900" s="106"/>
      <c r="S900" s="3"/>
      <c r="T900" s="58"/>
      <c r="W900" s="1"/>
      <c r="X900" s="13"/>
      <c r="Y900" s="14"/>
    </row>
    <row r="901" spans="2:25" ht="15.75" customHeight="1">
      <c r="B901" s="13"/>
      <c r="C901" s="13"/>
      <c r="E901" s="14"/>
      <c r="G901" s="1"/>
      <c r="O901" s="31"/>
      <c r="P901" s="31"/>
      <c r="R901" s="106"/>
      <c r="S901" s="3"/>
      <c r="T901" s="58"/>
      <c r="W901" s="1"/>
      <c r="X901" s="13"/>
      <c r="Y901" s="14"/>
    </row>
    <row r="902" spans="2:25" ht="15.75" customHeight="1">
      <c r="B902" s="13"/>
      <c r="C902" s="13"/>
      <c r="E902" s="14"/>
      <c r="G902" s="1"/>
      <c r="O902" s="31"/>
      <c r="P902" s="31"/>
      <c r="R902" s="106"/>
      <c r="S902" s="3"/>
      <c r="T902" s="58"/>
      <c r="W902" s="1"/>
      <c r="X902" s="13"/>
      <c r="Y902" s="14"/>
    </row>
    <row r="903" spans="2:25" ht="15.75" customHeight="1">
      <c r="B903" s="13"/>
      <c r="C903" s="13"/>
      <c r="E903" s="14"/>
      <c r="G903" s="1"/>
      <c r="O903" s="31"/>
      <c r="P903" s="31"/>
      <c r="R903" s="106"/>
      <c r="S903" s="3"/>
      <c r="T903" s="58"/>
      <c r="W903" s="1"/>
      <c r="X903" s="13"/>
      <c r="Y903" s="14"/>
    </row>
    <row r="904" spans="2:25" ht="15.75" customHeight="1">
      <c r="B904" s="13"/>
      <c r="C904" s="13"/>
      <c r="E904" s="14"/>
      <c r="G904" s="1"/>
      <c r="O904" s="31"/>
      <c r="P904" s="31"/>
      <c r="R904" s="106"/>
      <c r="S904" s="3"/>
      <c r="T904" s="58"/>
      <c r="W904" s="1"/>
      <c r="X904" s="13"/>
      <c r="Y904" s="14"/>
    </row>
    <row r="905" spans="2:25" ht="15.75" customHeight="1">
      <c r="B905" s="13"/>
      <c r="C905" s="13"/>
      <c r="E905" s="14"/>
      <c r="G905" s="1"/>
      <c r="O905" s="31"/>
      <c r="P905" s="31"/>
      <c r="R905" s="106"/>
      <c r="S905" s="3"/>
      <c r="T905" s="58"/>
      <c r="W905" s="1"/>
      <c r="X905" s="13"/>
      <c r="Y905" s="14"/>
    </row>
    <row r="906" spans="2:25" ht="15.75" customHeight="1">
      <c r="B906" s="13"/>
      <c r="C906" s="13"/>
      <c r="E906" s="14"/>
      <c r="G906" s="1"/>
      <c r="O906" s="31"/>
      <c r="P906" s="31"/>
      <c r="R906" s="106"/>
      <c r="S906" s="3"/>
      <c r="T906" s="58"/>
      <c r="W906" s="1"/>
      <c r="X906" s="13"/>
      <c r="Y906" s="14"/>
    </row>
    <row r="907" spans="2:25" ht="15.75" customHeight="1">
      <c r="B907" s="13"/>
      <c r="C907" s="13"/>
      <c r="E907" s="14"/>
      <c r="G907" s="1"/>
      <c r="O907" s="31"/>
      <c r="P907" s="31"/>
      <c r="R907" s="106"/>
      <c r="S907" s="3"/>
      <c r="T907" s="58"/>
      <c r="W907" s="1"/>
      <c r="X907" s="13"/>
      <c r="Y907" s="14"/>
    </row>
    <row r="908" spans="2:25" ht="15.75" customHeight="1">
      <c r="B908" s="13"/>
      <c r="C908" s="13"/>
      <c r="E908" s="14"/>
      <c r="G908" s="1"/>
      <c r="O908" s="31"/>
      <c r="P908" s="31"/>
      <c r="R908" s="106"/>
      <c r="S908" s="3"/>
      <c r="T908" s="58"/>
      <c r="W908" s="1"/>
      <c r="X908" s="13"/>
      <c r="Y908" s="14"/>
    </row>
    <row r="909" spans="2:25" ht="15.75" customHeight="1">
      <c r="B909" s="13"/>
      <c r="C909" s="13"/>
      <c r="E909" s="14"/>
      <c r="G909" s="1"/>
      <c r="O909" s="31"/>
      <c r="P909" s="31"/>
      <c r="R909" s="106"/>
      <c r="S909" s="3"/>
      <c r="T909" s="58"/>
      <c r="W909" s="1"/>
      <c r="X909" s="13"/>
      <c r="Y909" s="14"/>
    </row>
    <row r="910" spans="2:25" ht="15.75" customHeight="1">
      <c r="B910" s="13"/>
      <c r="C910" s="13"/>
      <c r="E910" s="14"/>
      <c r="G910" s="1"/>
      <c r="O910" s="31"/>
      <c r="P910" s="31"/>
      <c r="R910" s="106"/>
      <c r="S910" s="3"/>
      <c r="T910" s="58"/>
      <c r="W910" s="1"/>
      <c r="X910" s="13"/>
      <c r="Y910" s="14"/>
    </row>
    <row r="911" spans="2:25" ht="15.75" customHeight="1">
      <c r="B911" s="13"/>
      <c r="C911" s="13"/>
      <c r="E911" s="14"/>
      <c r="G911" s="1"/>
      <c r="O911" s="31"/>
      <c r="P911" s="31"/>
      <c r="R911" s="106"/>
      <c r="S911" s="3"/>
      <c r="T911" s="58"/>
      <c r="W911" s="1"/>
      <c r="X911" s="13"/>
      <c r="Y911" s="14"/>
    </row>
    <row r="912" spans="2:25" ht="15.75" customHeight="1">
      <c r="B912" s="13"/>
      <c r="C912" s="13"/>
      <c r="E912" s="14"/>
      <c r="G912" s="1"/>
      <c r="O912" s="31"/>
      <c r="P912" s="31"/>
      <c r="R912" s="106"/>
      <c r="S912" s="3"/>
      <c r="T912" s="58"/>
      <c r="W912" s="1"/>
      <c r="X912" s="13"/>
      <c r="Y912" s="14"/>
    </row>
    <row r="913" spans="2:25" ht="15.75" customHeight="1">
      <c r="B913" s="13"/>
      <c r="C913" s="13"/>
      <c r="E913" s="14"/>
      <c r="G913" s="1"/>
      <c r="O913" s="31"/>
      <c r="P913" s="31"/>
      <c r="R913" s="106"/>
      <c r="S913" s="3"/>
      <c r="T913" s="58"/>
      <c r="W913" s="1"/>
      <c r="X913" s="13"/>
      <c r="Y913" s="14"/>
    </row>
    <row r="914" spans="2:25" ht="15.75" customHeight="1">
      <c r="B914" s="13"/>
      <c r="C914" s="13"/>
      <c r="E914" s="14"/>
      <c r="G914" s="1"/>
      <c r="O914" s="31"/>
      <c r="P914" s="31"/>
      <c r="R914" s="106"/>
      <c r="S914" s="3"/>
      <c r="T914" s="58"/>
      <c r="W914" s="1"/>
      <c r="X914" s="13"/>
      <c r="Y914" s="14"/>
    </row>
    <row r="915" spans="2:25" ht="15.75" customHeight="1">
      <c r="B915" s="13"/>
      <c r="C915" s="13"/>
      <c r="E915" s="14"/>
      <c r="G915" s="1"/>
      <c r="O915" s="31"/>
      <c r="P915" s="31"/>
      <c r="R915" s="106"/>
      <c r="S915" s="3"/>
      <c r="T915" s="58"/>
      <c r="W915" s="1"/>
      <c r="X915" s="13"/>
      <c r="Y915" s="14"/>
    </row>
    <row r="916" spans="2:25" ht="15.75" customHeight="1">
      <c r="B916" s="13"/>
      <c r="C916" s="13"/>
      <c r="E916" s="14"/>
      <c r="G916" s="1"/>
      <c r="O916" s="31"/>
      <c r="P916" s="31"/>
      <c r="R916" s="106"/>
      <c r="S916" s="3"/>
      <c r="T916" s="58"/>
      <c r="W916" s="1"/>
      <c r="X916" s="13"/>
      <c r="Y916" s="14"/>
    </row>
    <row r="917" spans="2:25" ht="15.75" customHeight="1">
      <c r="B917" s="13"/>
      <c r="C917" s="13"/>
      <c r="E917" s="14"/>
      <c r="G917" s="1"/>
      <c r="O917" s="31"/>
      <c r="P917" s="31"/>
      <c r="R917" s="106"/>
      <c r="S917" s="3"/>
      <c r="T917" s="58"/>
      <c r="W917" s="1"/>
      <c r="X917" s="13"/>
      <c r="Y917" s="14"/>
    </row>
    <row r="918" spans="2:25" ht="15.75" customHeight="1">
      <c r="B918" s="13"/>
      <c r="C918" s="13"/>
      <c r="E918" s="14"/>
      <c r="G918" s="1"/>
      <c r="O918" s="31"/>
      <c r="P918" s="31"/>
      <c r="R918" s="106"/>
      <c r="S918" s="3"/>
      <c r="T918" s="58"/>
      <c r="W918" s="1"/>
      <c r="X918" s="13"/>
      <c r="Y918" s="14"/>
    </row>
    <row r="919" spans="2:25" ht="15.75" customHeight="1">
      <c r="B919" s="13"/>
      <c r="C919" s="13"/>
      <c r="E919" s="14"/>
      <c r="G919" s="1"/>
      <c r="O919" s="31"/>
      <c r="P919" s="31"/>
      <c r="R919" s="106"/>
      <c r="S919" s="3"/>
      <c r="T919" s="58"/>
      <c r="W919" s="1"/>
      <c r="X919" s="13"/>
      <c r="Y919" s="14"/>
    </row>
    <row r="920" spans="2:25" ht="15.75" customHeight="1">
      <c r="B920" s="13"/>
      <c r="C920" s="13"/>
      <c r="E920" s="14"/>
      <c r="G920" s="1"/>
      <c r="O920" s="31"/>
      <c r="P920" s="31"/>
      <c r="R920" s="106"/>
      <c r="S920" s="3"/>
      <c r="T920" s="58"/>
      <c r="W920" s="1"/>
      <c r="X920" s="13"/>
      <c r="Y920" s="14"/>
    </row>
    <row r="921" spans="2:25" ht="15.75" customHeight="1">
      <c r="B921" s="13"/>
      <c r="C921" s="13"/>
      <c r="E921" s="14"/>
      <c r="G921" s="1"/>
      <c r="O921" s="31"/>
      <c r="P921" s="31"/>
      <c r="R921" s="106"/>
      <c r="S921" s="3"/>
      <c r="T921" s="58"/>
      <c r="W921" s="1"/>
      <c r="X921" s="13"/>
      <c r="Y921" s="14"/>
    </row>
    <row r="922" spans="2:25" ht="15.75" customHeight="1">
      <c r="B922" s="13"/>
      <c r="C922" s="13"/>
      <c r="E922" s="14"/>
      <c r="G922" s="1"/>
      <c r="O922" s="31"/>
      <c r="P922" s="31"/>
      <c r="R922" s="106"/>
      <c r="S922" s="3"/>
      <c r="T922" s="58"/>
      <c r="W922" s="1"/>
      <c r="X922" s="13"/>
      <c r="Y922" s="14"/>
    </row>
    <row r="923" spans="2:25" ht="15.75" customHeight="1">
      <c r="B923" s="13"/>
      <c r="C923" s="13"/>
      <c r="E923" s="14"/>
      <c r="G923" s="1"/>
      <c r="O923" s="31"/>
      <c r="P923" s="31"/>
      <c r="R923" s="106"/>
      <c r="S923" s="3"/>
      <c r="T923" s="58"/>
      <c r="W923" s="1"/>
      <c r="X923" s="13"/>
      <c r="Y923" s="14"/>
    </row>
    <row r="924" spans="2:25" ht="15.75" customHeight="1">
      <c r="B924" s="13"/>
      <c r="C924" s="13"/>
      <c r="E924" s="14"/>
      <c r="G924" s="1"/>
      <c r="O924" s="31"/>
      <c r="P924" s="31"/>
      <c r="R924" s="106"/>
      <c r="S924" s="3"/>
      <c r="T924" s="58"/>
      <c r="W924" s="1"/>
      <c r="X924" s="13"/>
      <c r="Y924" s="14"/>
    </row>
    <row r="925" spans="2:25" ht="15.75" customHeight="1">
      <c r="B925" s="13"/>
      <c r="C925" s="13"/>
      <c r="E925" s="14"/>
      <c r="G925" s="1"/>
      <c r="O925" s="31"/>
      <c r="P925" s="31"/>
      <c r="R925" s="106"/>
      <c r="S925" s="3"/>
      <c r="T925" s="58"/>
      <c r="W925" s="1"/>
      <c r="X925" s="13"/>
      <c r="Y925" s="14"/>
    </row>
    <row r="926" spans="2:25" ht="15.75" customHeight="1">
      <c r="B926" s="13"/>
      <c r="C926" s="13"/>
      <c r="E926" s="14"/>
      <c r="G926" s="1"/>
      <c r="O926" s="31"/>
      <c r="P926" s="31"/>
      <c r="R926" s="106"/>
      <c r="S926" s="3"/>
      <c r="T926" s="58"/>
      <c r="W926" s="1"/>
      <c r="X926" s="13"/>
      <c r="Y926" s="14"/>
    </row>
    <row r="927" spans="2:25" ht="15.75" customHeight="1">
      <c r="B927" s="13"/>
      <c r="C927" s="13"/>
      <c r="E927" s="14"/>
      <c r="G927" s="1"/>
      <c r="O927" s="31"/>
      <c r="P927" s="31"/>
      <c r="R927" s="106"/>
      <c r="S927" s="3"/>
      <c r="T927" s="58"/>
      <c r="W927" s="1"/>
      <c r="X927" s="13"/>
      <c r="Y927" s="14"/>
    </row>
    <row r="928" spans="2:25" ht="15.75" customHeight="1">
      <c r="B928" s="13"/>
      <c r="C928" s="13"/>
      <c r="E928" s="14"/>
      <c r="G928" s="1"/>
      <c r="O928" s="31"/>
      <c r="P928" s="31"/>
      <c r="R928" s="106"/>
      <c r="S928" s="3"/>
      <c r="T928" s="58"/>
      <c r="W928" s="1"/>
      <c r="X928" s="13"/>
      <c r="Y928" s="14"/>
    </row>
    <row r="929" spans="2:25" ht="15.75" customHeight="1">
      <c r="B929" s="13"/>
      <c r="C929" s="13"/>
      <c r="E929" s="14"/>
      <c r="G929" s="1"/>
      <c r="O929" s="31"/>
      <c r="P929" s="31"/>
      <c r="R929" s="106"/>
      <c r="S929" s="3"/>
      <c r="T929" s="58"/>
      <c r="W929" s="1"/>
      <c r="X929" s="13"/>
      <c r="Y929" s="14"/>
    </row>
    <row r="930" spans="2:25" ht="15.75" customHeight="1">
      <c r="B930" s="13"/>
      <c r="C930" s="13"/>
      <c r="E930" s="14"/>
      <c r="G930" s="1"/>
      <c r="O930" s="31"/>
      <c r="P930" s="31"/>
      <c r="R930" s="106"/>
      <c r="S930" s="3"/>
      <c r="T930" s="58"/>
      <c r="W930" s="1"/>
      <c r="X930" s="13"/>
      <c r="Y930" s="14"/>
    </row>
    <row r="931" spans="2:25" ht="15.75" customHeight="1">
      <c r="B931" s="13"/>
      <c r="C931" s="13"/>
      <c r="E931" s="14"/>
      <c r="G931" s="1"/>
      <c r="O931" s="31"/>
      <c r="P931" s="31"/>
      <c r="R931" s="106"/>
      <c r="S931" s="3"/>
      <c r="T931" s="58"/>
      <c r="W931" s="1"/>
      <c r="X931" s="13"/>
      <c r="Y931" s="14"/>
    </row>
    <row r="932" spans="2:25" ht="15.75" customHeight="1">
      <c r="B932" s="13"/>
      <c r="C932" s="13"/>
      <c r="E932" s="14"/>
      <c r="G932" s="1"/>
      <c r="O932" s="31"/>
      <c r="P932" s="31"/>
      <c r="R932" s="106"/>
      <c r="S932" s="3"/>
      <c r="T932" s="58"/>
      <c r="W932" s="1"/>
      <c r="X932" s="13"/>
      <c r="Y932" s="14"/>
    </row>
    <row r="933" spans="2:25" ht="15.75" customHeight="1">
      <c r="B933" s="13"/>
      <c r="C933" s="13"/>
      <c r="E933" s="14"/>
      <c r="G933" s="1"/>
      <c r="O933" s="31"/>
      <c r="P933" s="31"/>
      <c r="R933" s="106"/>
      <c r="S933" s="3"/>
      <c r="T933" s="58"/>
      <c r="W933" s="1"/>
      <c r="X933" s="13"/>
      <c r="Y933" s="14"/>
    </row>
    <row r="934" spans="2:25" ht="15.75" customHeight="1">
      <c r="B934" s="13"/>
      <c r="C934" s="13"/>
      <c r="E934" s="14"/>
      <c r="G934" s="1"/>
      <c r="O934" s="31"/>
      <c r="P934" s="31"/>
      <c r="R934" s="106"/>
      <c r="S934" s="3"/>
      <c r="T934" s="58"/>
      <c r="W934" s="1"/>
      <c r="X934" s="13"/>
      <c r="Y934" s="14"/>
    </row>
    <row r="935" spans="2:25" ht="15.75" customHeight="1">
      <c r="B935" s="13"/>
      <c r="C935" s="13"/>
      <c r="E935" s="14"/>
      <c r="G935" s="1"/>
      <c r="O935" s="31"/>
      <c r="P935" s="31"/>
      <c r="R935" s="106"/>
      <c r="S935" s="3"/>
      <c r="T935" s="58"/>
      <c r="W935" s="1"/>
      <c r="X935" s="13"/>
      <c r="Y935" s="14"/>
    </row>
    <row r="936" spans="2:25" ht="15.75" customHeight="1">
      <c r="B936" s="13"/>
      <c r="C936" s="13"/>
      <c r="E936" s="14"/>
      <c r="G936" s="1"/>
      <c r="O936" s="31"/>
      <c r="P936" s="31"/>
      <c r="R936" s="106"/>
      <c r="S936" s="3"/>
      <c r="T936" s="58"/>
      <c r="W936" s="1"/>
      <c r="X936" s="13"/>
      <c r="Y936" s="14"/>
    </row>
    <row r="937" spans="2:25" ht="15.75" customHeight="1">
      <c r="B937" s="13"/>
      <c r="C937" s="13"/>
      <c r="E937" s="14"/>
      <c r="G937" s="1"/>
      <c r="O937" s="31"/>
      <c r="P937" s="31"/>
      <c r="R937" s="106"/>
      <c r="S937" s="3"/>
      <c r="T937" s="58"/>
      <c r="W937" s="1"/>
      <c r="X937" s="13"/>
      <c r="Y937" s="14"/>
    </row>
    <row r="938" spans="2:25" ht="15.75" customHeight="1">
      <c r="B938" s="13"/>
      <c r="C938" s="13"/>
      <c r="E938" s="14"/>
      <c r="G938" s="1"/>
      <c r="O938" s="31"/>
      <c r="P938" s="31"/>
      <c r="R938" s="106"/>
      <c r="S938" s="3"/>
      <c r="T938" s="58"/>
      <c r="W938" s="1"/>
      <c r="X938" s="13"/>
      <c r="Y938" s="14"/>
    </row>
    <row r="939" spans="2:25" ht="15.75" customHeight="1">
      <c r="B939" s="13"/>
      <c r="C939" s="13"/>
      <c r="E939" s="14"/>
      <c r="G939" s="1"/>
      <c r="O939" s="31"/>
      <c r="P939" s="31"/>
      <c r="R939" s="106"/>
      <c r="S939" s="3"/>
      <c r="T939" s="58"/>
      <c r="W939" s="1"/>
      <c r="X939" s="13"/>
      <c r="Y939" s="14"/>
    </row>
    <row r="940" spans="2:25" ht="15.75" customHeight="1">
      <c r="B940" s="13"/>
      <c r="C940" s="13"/>
      <c r="E940" s="14"/>
      <c r="G940" s="1"/>
      <c r="O940" s="31"/>
      <c r="P940" s="31"/>
      <c r="R940" s="106"/>
      <c r="S940" s="3"/>
      <c r="T940" s="58"/>
      <c r="W940" s="1"/>
      <c r="X940" s="13"/>
      <c r="Y940" s="14"/>
    </row>
    <row r="941" spans="2:25" ht="15.75" customHeight="1">
      <c r="B941" s="13"/>
      <c r="C941" s="13"/>
      <c r="E941" s="14"/>
      <c r="G941" s="1"/>
      <c r="O941" s="31"/>
      <c r="P941" s="31"/>
      <c r="R941" s="106"/>
      <c r="S941" s="3"/>
      <c r="T941" s="58"/>
      <c r="W941" s="1"/>
      <c r="X941" s="13"/>
      <c r="Y941" s="14"/>
    </row>
    <row r="942" spans="2:25" ht="15.75" customHeight="1">
      <c r="B942" s="13"/>
      <c r="C942" s="13"/>
      <c r="E942" s="14"/>
      <c r="G942" s="1"/>
      <c r="O942" s="31"/>
      <c r="P942" s="31"/>
      <c r="R942" s="106"/>
      <c r="S942" s="3"/>
      <c r="T942" s="58"/>
      <c r="W942" s="1"/>
      <c r="X942" s="13"/>
      <c r="Y942" s="14"/>
    </row>
    <row r="943" spans="2:25" ht="15.75" customHeight="1">
      <c r="B943" s="13"/>
      <c r="C943" s="13"/>
      <c r="E943" s="14"/>
      <c r="G943" s="1"/>
      <c r="O943" s="31"/>
      <c r="P943" s="31"/>
      <c r="R943" s="106"/>
      <c r="S943" s="3"/>
      <c r="T943" s="58"/>
      <c r="W943" s="1"/>
      <c r="X943" s="13"/>
      <c r="Y943" s="14"/>
    </row>
    <row r="944" spans="2:25" ht="15.75" customHeight="1">
      <c r="B944" s="13"/>
      <c r="C944" s="13"/>
      <c r="E944" s="14"/>
      <c r="G944" s="1"/>
      <c r="O944" s="31"/>
      <c r="P944" s="31"/>
      <c r="R944" s="106"/>
      <c r="S944" s="3"/>
      <c r="T944" s="58"/>
      <c r="W944" s="1"/>
      <c r="X944" s="13"/>
      <c r="Y944" s="14"/>
    </row>
    <row r="945" spans="2:25" ht="15.75" customHeight="1">
      <c r="B945" s="13"/>
      <c r="C945" s="13"/>
      <c r="E945" s="14"/>
      <c r="G945" s="1"/>
      <c r="O945" s="31"/>
      <c r="P945" s="31"/>
      <c r="R945" s="106"/>
      <c r="S945" s="3"/>
      <c r="T945" s="58"/>
      <c r="W945" s="1"/>
      <c r="X945" s="13"/>
      <c r="Y945" s="14"/>
    </row>
    <row r="946" spans="2:25" ht="15.75" customHeight="1">
      <c r="B946" s="13"/>
      <c r="C946" s="13"/>
      <c r="E946" s="14"/>
      <c r="G946" s="1"/>
      <c r="O946" s="31"/>
      <c r="P946" s="31"/>
      <c r="R946" s="106"/>
      <c r="S946" s="3"/>
      <c r="T946" s="58"/>
      <c r="W946" s="1"/>
      <c r="X946" s="13"/>
      <c r="Y946" s="14"/>
    </row>
    <row r="947" spans="2:25" ht="15.75" customHeight="1">
      <c r="B947" s="13"/>
      <c r="C947" s="13"/>
      <c r="E947" s="14"/>
      <c r="G947" s="1"/>
      <c r="O947" s="31"/>
      <c r="P947" s="31"/>
      <c r="R947" s="106"/>
      <c r="S947" s="3"/>
      <c r="T947" s="58"/>
      <c r="W947" s="1"/>
      <c r="X947" s="13"/>
      <c r="Y947" s="14"/>
    </row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4296875" defaultRowHeight="15" customHeight="1"/>
  <cols>
    <col min="1" max="1" width="12.54296875" customWidth="1"/>
    <col min="2" max="2" width="26" customWidth="1"/>
    <col min="3" max="3" width="12.7265625" customWidth="1"/>
    <col min="4" max="4" width="13.26953125" customWidth="1"/>
    <col min="5" max="6" width="12.54296875" customWidth="1"/>
  </cols>
  <sheetData>
    <row r="1" spans="1:26" ht="15.75" customHeight="1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>
      <c r="A2" s="8">
        <v>2022</v>
      </c>
      <c r="B2" s="8">
        <v>0.08</v>
      </c>
      <c r="C2" s="9">
        <f>(1+B3)*(1+B2)</f>
        <v>1.13076</v>
      </c>
      <c r="D2" s="9">
        <f>C2*(1+B4)</f>
        <v>1.1443291200000001</v>
      </c>
      <c r="E2" s="9">
        <f>D2*(1+B5)</f>
        <v>1.1649270441600001</v>
      </c>
      <c r="F2" s="9">
        <f>E2*(1+B6)</f>
        <v>1.1928852932198402</v>
      </c>
      <c r="G2" s="9">
        <f>F2*(1+B7)</f>
        <v>1.2179358843774566</v>
      </c>
      <c r="H2" s="9">
        <f>G2*(1+B8)</f>
        <v>1.2337690508743635</v>
      </c>
      <c r="I2" s="9">
        <f>H2*(1+B9)</f>
        <v>1.2461067413831071</v>
      </c>
      <c r="J2" s="9">
        <f>I2*(1+B10)</f>
        <v>1.2660444492452367</v>
      </c>
      <c r="K2" s="9">
        <f>J2*(1+B11)</f>
        <v>1.2850351159839151</v>
      </c>
      <c r="L2" s="9">
        <f>K2*(1+B12)</f>
        <v>1.3120208534195772</v>
      </c>
      <c r="M2" s="10"/>
      <c r="N2" s="10"/>
    </row>
    <row r="3" spans="1:26" ht="15.75" customHeight="1">
      <c r="A3" s="8">
        <v>2021</v>
      </c>
      <c r="B3" s="8">
        <v>4.7E-2</v>
      </c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10"/>
    </row>
    <row r="4" spans="1:26" ht="15.75" customHeight="1">
      <c r="A4" s="8">
        <v>2020</v>
      </c>
      <c r="B4" s="8">
        <v>1.2E-2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26" ht="15.75" customHeight="1">
      <c r="A5" s="8">
        <v>2019</v>
      </c>
      <c r="B5" s="8">
        <v>1.7999999999999999E-2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26" ht="15.75" customHeight="1">
      <c r="A6" s="8">
        <v>2018</v>
      </c>
      <c r="B6" s="8">
        <v>2.4E-2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26" ht="15.75" customHeight="1">
      <c r="A7" s="8">
        <v>2017</v>
      </c>
      <c r="B7" s="8">
        <v>2.1000000000000001E-2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26" ht="15.75" customHeight="1">
      <c r="A8" s="8">
        <v>2016</v>
      </c>
      <c r="B8" s="8">
        <v>1.2999999999999999E-2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26" ht="15.75" customHeight="1">
      <c r="A9" s="8">
        <v>2015</v>
      </c>
      <c r="B9" s="8">
        <v>0.01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26" ht="15.75" customHeight="1">
      <c r="A10" s="8">
        <v>2014</v>
      </c>
      <c r="B10" s="8">
        <v>1.6E-2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26" ht="15.75" customHeight="1">
      <c r="A11" s="8">
        <v>2013</v>
      </c>
      <c r="B11" s="8">
        <v>1.4999999999999999E-2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26" ht="15.75" customHeight="1">
      <c r="A12" s="8">
        <v>2012</v>
      </c>
      <c r="B12" s="8">
        <v>2.1000000000000001E-2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26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26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26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2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1"/>
  <sheetViews>
    <sheetView workbookViewId="0"/>
  </sheetViews>
  <sheetFormatPr defaultColWidth="12.54296875" defaultRowHeight="15" customHeight="1"/>
  <cols>
    <col min="1" max="1" width="34" customWidth="1"/>
    <col min="2" max="2" width="34.7265625" customWidth="1"/>
  </cols>
  <sheetData>
    <row r="1" spans="1:2" ht="15" customHeight="1">
      <c r="A1" s="11" t="s">
        <v>17</v>
      </c>
      <c r="B1" s="12" t="s">
        <v>18</v>
      </c>
    </row>
    <row r="2" spans="1:2" ht="15" customHeight="1">
      <c r="A2" s="13"/>
      <c r="B2" s="14"/>
    </row>
    <row r="3" spans="1:2" ht="15" customHeight="1">
      <c r="A3" s="15" t="s">
        <v>19</v>
      </c>
      <c r="B3" s="16">
        <v>635</v>
      </c>
    </row>
    <row r="4" spans="1:2" ht="15" customHeight="1">
      <c r="A4" s="13"/>
      <c r="B4" s="14"/>
    </row>
    <row r="5" spans="1:2" ht="15" customHeight="1">
      <c r="A5" s="15" t="s">
        <v>20</v>
      </c>
      <c r="B5" s="14">
        <v>257</v>
      </c>
    </row>
    <row r="6" spans="1:2" ht="15" customHeight="1">
      <c r="A6" s="13"/>
      <c r="B6" s="14"/>
    </row>
    <row r="7" spans="1:2" ht="15" customHeight="1">
      <c r="A7" s="15" t="s">
        <v>21</v>
      </c>
      <c r="B7" s="17">
        <v>95</v>
      </c>
    </row>
    <row r="8" spans="1:2" ht="15" customHeight="1">
      <c r="A8" s="13"/>
      <c r="B8" s="14"/>
    </row>
    <row r="9" spans="1:2" ht="15" customHeight="1">
      <c r="A9" s="15" t="s">
        <v>22</v>
      </c>
      <c r="B9" s="14">
        <v>994</v>
      </c>
    </row>
    <row r="10" spans="1:2" ht="15" customHeight="1">
      <c r="A10" s="13"/>
      <c r="B10" s="14"/>
    </row>
    <row r="11" spans="1:2" ht="15" customHeight="1">
      <c r="A11" s="15" t="s">
        <v>23</v>
      </c>
      <c r="B11" s="17">
        <v>14</v>
      </c>
    </row>
    <row r="12" spans="1:2" ht="15" customHeight="1">
      <c r="A12" s="13"/>
      <c r="B12" s="14"/>
    </row>
    <row r="13" spans="1:2" ht="15" customHeight="1">
      <c r="A13" s="15" t="s">
        <v>24</v>
      </c>
      <c r="B13" s="14">
        <v>825</v>
      </c>
    </row>
    <row r="14" spans="1:2" ht="15" customHeight="1">
      <c r="A14" s="13"/>
      <c r="B14" s="14"/>
    </row>
    <row r="15" spans="1:2" ht="15" customHeight="1">
      <c r="A15" s="15" t="s">
        <v>25</v>
      </c>
      <c r="B15" s="14">
        <v>800</v>
      </c>
    </row>
    <row r="16" spans="1:2" ht="15" customHeight="1">
      <c r="A16" s="13"/>
      <c r="B16" s="14"/>
    </row>
    <row r="17" spans="1:2" ht="15" customHeight="1">
      <c r="A17" s="15" t="s">
        <v>26</v>
      </c>
      <c r="B17" s="17">
        <v>153</v>
      </c>
    </row>
    <row r="18" spans="1:2" ht="15" customHeight="1">
      <c r="A18" s="13"/>
      <c r="B18" s="14"/>
    </row>
    <row r="19" spans="1:2" ht="15" customHeight="1">
      <c r="A19" s="15" t="s">
        <v>27</v>
      </c>
      <c r="B19" s="18">
        <v>17</v>
      </c>
    </row>
    <row r="20" spans="1:2" ht="15" customHeight="1">
      <c r="A20" s="13"/>
      <c r="B20" s="14"/>
    </row>
    <row r="21" spans="1:2" ht="16.5">
      <c r="A21" s="15" t="s">
        <v>28</v>
      </c>
      <c r="B21" s="14">
        <v>353</v>
      </c>
    </row>
    <row r="22" spans="1:2" ht="16.5">
      <c r="A22" s="13"/>
      <c r="B22" s="14"/>
    </row>
    <row r="23" spans="1:2" ht="16.5">
      <c r="A23" s="15" t="s">
        <v>29</v>
      </c>
      <c r="B23" s="14">
        <v>188</v>
      </c>
    </row>
    <row r="24" spans="1:2" ht="16.5">
      <c r="A24" s="13"/>
      <c r="B24" s="14"/>
    </row>
    <row r="25" spans="1:2" ht="16.5">
      <c r="A25" s="19" t="s">
        <v>30</v>
      </c>
      <c r="B25" s="14"/>
    </row>
    <row r="26" spans="1:2" ht="16.5">
      <c r="A26" s="13"/>
      <c r="B26" s="14"/>
    </row>
    <row r="27" spans="1:2" ht="16.5">
      <c r="A27" s="15" t="s">
        <v>31</v>
      </c>
      <c r="B27" s="17">
        <v>37</v>
      </c>
    </row>
    <row r="28" spans="1:2" ht="16.5">
      <c r="A28" s="13"/>
      <c r="B28" s="14"/>
    </row>
    <row r="29" spans="1:2" ht="16.5">
      <c r="A29" s="20" t="s">
        <v>32</v>
      </c>
      <c r="B29" s="14"/>
    </row>
    <row r="30" spans="1:2" ht="16.5">
      <c r="A30" s="13"/>
      <c r="B30" s="14"/>
    </row>
    <row r="31" spans="1:2" ht="16.5">
      <c r="A31" s="20" t="s">
        <v>33</v>
      </c>
      <c r="B31" s="14"/>
    </row>
    <row r="32" spans="1:2" ht="16.5">
      <c r="A32" s="13"/>
      <c r="B32" s="14"/>
    </row>
    <row r="33" spans="1:2" ht="16.5">
      <c r="A33" s="15" t="s">
        <v>34</v>
      </c>
      <c r="B33" s="14">
        <v>140</v>
      </c>
    </row>
    <row r="34" spans="1:2" ht="16.5">
      <c r="A34" s="13"/>
      <c r="B34" s="14"/>
    </row>
    <row r="35" spans="1:2" ht="16.5">
      <c r="A35" s="15" t="s">
        <v>35</v>
      </c>
      <c r="B35" s="17">
        <v>488</v>
      </c>
    </row>
    <row r="36" spans="1:2" ht="16.5">
      <c r="A36" s="13"/>
      <c r="B36" s="14"/>
    </row>
    <row r="37" spans="1:2" ht="16.5">
      <c r="A37" s="21" t="s">
        <v>36</v>
      </c>
      <c r="B37" s="14">
        <v>466</v>
      </c>
    </row>
    <row r="38" spans="1:2" ht="16.5">
      <c r="A38" s="13"/>
      <c r="B38" s="14"/>
    </row>
    <row r="39" spans="1:2" ht="16.5">
      <c r="A39" s="15" t="s">
        <v>37</v>
      </c>
      <c r="B39" s="17">
        <v>159</v>
      </c>
    </row>
    <row r="40" spans="1:2" ht="16.5">
      <c r="A40" s="13"/>
      <c r="B40" s="14"/>
    </row>
    <row r="41" spans="1:2" ht="16.5">
      <c r="A41" s="15" t="s">
        <v>38</v>
      </c>
      <c r="B41" s="17">
        <v>169</v>
      </c>
    </row>
    <row r="42" spans="1:2" ht="16.5">
      <c r="A42" s="13"/>
      <c r="B42" s="14"/>
    </row>
    <row r="43" spans="1:2" ht="16.5">
      <c r="A43" s="15" t="s">
        <v>39</v>
      </c>
      <c r="B43" s="14">
        <v>70</v>
      </c>
    </row>
    <row r="44" spans="1:2" ht="16.5">
      <c r="A44" s="13"/>
      <c r="B44" s="14"/>
    </row>
    <row r="45" spans="1:2" ht="16.5">
      <c r="A45" s="15" t="s">
        <v>40</v>
      </c>
      <c r="B45" s="22">
        <v>2358</v>
      </c>
    </row>
    <row r="46" spans="1:2" ht="16.5">
      <c r="A46" s="13"/>
      <c r="B46" s="14"/>
    </row>
    <row r="47" spans="1:2" ht="16.5">
      <c r="A47" s="15" t="s">
        <v>41</v>
      </c>
      <c r="B47" s="18">
        <v>39</v>
      </c>
    </row>
    <row r="48" spans="1:2" ht="16.5">
      <c r="A48" s="13"/>
      <c r="B48" s="14"/>
    </row>
    <row r="49" spans="1:2" ht="16.5">
      <c r="A49" s="20" t="s">
        <v>42</v>
      </c>
      <c r="B49" s="14"/>
    </row>
    <row r="50" spans="1:2" ht="16.5">
      <c r="A50" s="13"/>
      <c r="B50" s="14"/>
    </row>
    <row r="51" spans="1:2" ht="16.5">
      <c r="A51" s="21" t="s">
        <v>43</v>
      </c>
      <c r="B51" s="14" t="s">
        <v>44</v>
      </c>
    </row>
    <row r="52" spans="1:2" ht="16.5">
      <c r="A52" s="13"/>
      <c r="B52" s="14"/>
    </row>
    <row r="53" spans="1:2" ht="16.5">
      <c r="A53" s="20"/>
      <c r="B53" s="14"/>
    </row>
    <row r="54" spans="1:2" ht="16.5">
      <c r="A54" s="13"/>
      <c r="B54" s="14"/>
    </row>
    <row r="55" spans="1:2" ht="16.5">
      <c r="A55" s="21" t="s">
        <v>45</v>
      </c>
      <c r="B55" s="14"/>
    </row>
    <row r="56" spans="1:2" ht="16.5">
      <c r="A56" s="13"/>
      <c r="B56" s="14"/>
    </row>
    <row r="57" spans="1:2" ht="16.5">
      <c r="A57" s="15" t="s">
        <v>46</v>
      </c>
      <c r="B57" s="14">
        <v>710</v>
      </c>
    </row>
    <row r="58" spans="1:2" ht="16.5">
      <c r="A58" s="13"/>
      <c r="B58" s="14"/>
    </row>
    <row r="59" spans="1:2" ht="16.5">
      <c r="A59" s="21" t="s">
        <v>47</v>
      </c>
      <c r="B59" s="14"/>
    </row>
    <row r="60" spans="1:2" ht="16.5">
      <c r="A60" s="13"/>
      <c r="B60" s="14"/>
    </row>
    <row r="61" spans="1:2" ht="16.5">
      <c r="A61" s="15" t="s">
        <v>48</v>
      </c>
      <c r="B61" s="14">
        <v>2451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7"/>
  <sheetViews>
    <sheetView workbookViewId="0"/>
  </sheetViews>
  <sheetFormatPr defaultColWidth="12.54296875" defaultRowHeight="15" customHeight="1"/>
  <sheetData>
    <row r="1" spans="1:26" ht="15" customHeight="1">
      <c r="A1" s="2" t="s">
        <v>147</v>
      </c>
      <c r="B1" s="60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26" ht="15" customHeight="1">
      <c r="A2" s="68" t="s">
        <v>159</v>
      </c>
      <c r="B2" s="69">
        <v>1</v>
      </c>
      <c r="C2" s="68" t="s">
        <v>160</v>
      </c>
      <c r="D2" s="68" t="s">
        <v>161</v>
      </c>
      <c r="E2" s="70">
        <v>300000</v>
      </c>
      <c r="F2" s="71">
        <f>I2-0</f>
        <v>64000</v>
      </c>
      <c r="G2" s="71">
        <f t="shared" ref="G2:G7" si="0">$B$2/$I$2*(F2)</f>
        <v>1</v>
      </c>
      <c r="H2" s="71">
        <f>$B$2/SQRT($I$2)*(SQRT(I2)-SQRT(0))</f>
        <v>0.99999999999999989</v>
      </c>
      <c r="I2" s="72" t="str">
        <f t="shared" ref="I2:J7" si="1">D2</f>
        <v xml:space="preserve">64000 </v>
      </c>
      <c r="J2" s="72">
        <f t="shared" si="1"/>
        <v>300000</v>
      </c>
      <c r="K2" s="73">
        <f>J2*'Inflation Rates by Year'!$C$2</f>
        <v>339228</v>
      </c>
      <c r="L2" s="73">
        <f t="shared" ref="L2:L7" si="2">K2/I2</f>
        <v>5.3004375000000001</v>
      </c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15" customHeight="1">
      <c r="A3" s="74" t="s">
        <v>162</v>
      </c>
      <c r="B3" s="2">
        <v>2</v>
      </c>
      <c r="C3" s="74" t="s">
        <v>160</v>
      </c>
      <c r="D3" s="74" t="s">
        <v>161</v>
      </c>
      <c r="E3" s="75">
        <v>800000</v>
      </c>
      <c r="F3" s="63">
        <f>I3-I2</f>
        <v>0</v>
      </c>
      <c r="G3" s="71">
        <f t="shared" si="0"/>
        <v>0</v>
      </c>
      <c r="H3" s="71">
        <f>$B$2/SQRT($I$2)*(SQRT(I3)-SQRT(I2))</f>
        <v>0</v>
      </c>
      <c r="I3" s="76" t="str">
        <f t="shared" si="1"/>
        <v xml:space="preserve">64000 </v>
      </c>
      <c r="J3" s="76">
        <f t="shared" si="1"/>
        <v>800000</v>
      </c>
      <c r="K3" s="77">
        <f>J3*'Inflation Rates by Year'!$C$2</f>
        <v>904608</v>
      </c>
      <c r="L3" s="78">
        <f t="shared" si="2"/>
        <v>14.134499999999999</v>
      </c>
    </row>
    <row r="4" spans="1:26" ht="15" customHeight="1">
      <c r="A4" s="74" t="s">
        <v>163</v>
      </c>
      <c r="B4" s="2">
        <v>3</v>
      </c>
      <c r="C4" s="74" t="s">
        <v>160</v>
      </c>
      <c r="D4" s="74" t="s">
        <v>161</v>
      </c>
      <c r="E4" s="75">
        <v>1500000</v>
      </c>
      <c r="F4" s="63">
        <f>I4-I3</f>
        <v>0</v>
      </c>
      <c r="G4" s="71">
        <f t="shared" si="0"/>
        <v>0</v>
      </c>
      <c r="H4" s="71">
        <f>$B$2/SQRT($I$2)*(SQRT(I4)-SQRT(I3))</f>
        <v>0</v>
      </c>
      <c r="I4" s="76" t="str">
        <f t="shared" si="1"/>
        <v xml:space="preserve">64000 </v>
      </c>
      <c r="J4" s="76">
        <f t="shared" si="1"/>
        <v>1500000</v>
      </c>
      <c r="K4" s="77">
        <f>J4*'Inflation Rates by Year'!$C$2</f>
        <v>1696140</v>
      </c>
      <c r="L4" s="78">
        <f t="shared" si="2"/>
        <v>26.502187500000002</v>
      </c>
    </row>
    <row r="5" spans="1:26" ht="15" customHeight="1">
      <c r="A5" s="74" t="s">
        <v>164</v>
      </c>
      <c r="B5" s="2">
        <v>4</v>
      </c>
      <c r="C5" s="74" t="s">
        <v>160</v>
      </c>
      <c r="D5" s="74" t="s">
        <v>161</v>
      </c>
      <c r="E5" s="75">
        <v>1700000</v>
      </c>
      <c r="F5" s="63">
        <f>I5-I4</f>
        <v>0</v>
      </c>
      <c r="G5" s="71">
        <f t="shared" si="0"/>
        <v>0</v>
      </c>
      <c r="H5" s="71">
        <f>$B$2/SQRT($I$2)*(SQRT(I5)-SQRT(I4))</f>
        <v>0</v>
      </c>
      <c r="I5" s="76" t="str">
        <f t="shared" si="1"/>
        <v xml:space="preserve">64000 </v>
      </c>
      <c r="J5" s="76">
        <f t="shared" si="1"/>
        <v>1700000</v>
      </c>
      <c r="K5" s="77">
        <f>J5*'Inflation Rates by Year'!$C$2</f>
        <v>1922292</v>
      </c>
      <c r="L5" s="78">
        <f t="shared" si="2"/>
        <v>30.035812499999999</v>
      </c>
    </row>
    <row r="6" spans="1:26" ht="15" customHeight="1">
      <c r="A6" s="74" t="s">
        <v>165</v>
      </c>
      <c r="B6" s="2">
        <v>5</v>
      </c>
      <c r="C6" s="74" t="s">
        <v>160</v>
      </c>
      <c r="D6" s="74" t="s">
        <v>161</v>
      </c>
      <c r="E6" s="75">
        <v>1750000</v>
      </c>
      <c r="F6" s="63">
        <f>I6-I5</f>
        <v>0</v>
      </c>
      <c r="G6" s="71">
        <f t="shared" si="0"/>
        <v>0</v>
      </c>
      <c r="H6" s="71">
        <f>$B$2/SQRT($I$2)*(SQRT(I6)-SQRT(I5))</f>
        <v>0</v>
      </c>
      <c r="I6" s="76" t="str">
        <f t="shared" si="1"/>
        <v xml:space="preserve">64000 </v>
      </c>
      <c r="J6" s="76">
        <f t="shared" si="1"/>
        <v>1750000</v>
      </c>
      <c r="K6" s="77">
        <f>J6*'Inflation Rates by Year'!$C$2</f>
        <v>1978830</v>
      </c>
      <c r="L6" s="78">
        <f t="shared" si="2"/>
        <v>30.919218749999999</v>
      </c>
    </row>
    <row r="7" spans="1:26" ht="15" customHeight="1">
      <c r="A7" s="74" t="s">
        <v>166</v>
      </c>
      <c r="B7" s="2">
        <v>6</v>
      </c>
      <c r="C7" s="74" t="s">
        <v>160</v>
      </c>
      <c r="D7" s="74" t="s">
        <v>161</v>
      </c>
      <c r="E7" s="75">
        <v>2700000</v>
      </c>
      <c r="F7" s="63">
        <f>I7-I6</f>
        <v>0</v>
      </c>
      <c r="G7" s="71">
        <f t="shared" si="0"/>
        <v>0</v>
      </c>
      <c r="H7" s="71">
        <f>$B$2/SQRT($I$2)*(SQRT(I7)-SQRT(I6))</f>
        <v>0</v>
      </c>
      <c r="I7" s="76" t="str">
        <f t="shared" si="1"/>
        <v xml:space="preserve">64000 </v>
      </c>
      <c r="J7" s="76">
        <f t="shared" si="1"/>
        <v>2700000</v>
      </c>
      <c r="K7" s="77">
        <f>J7*'Inflation Rates by Year'!$C$2</f>
        <v>3053052</v>
      </c>
      <c r="L7" s="78">
        <f t="shared" si="2"/>
        <v>47.703937500000002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73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0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74" t="s">
        <v>167</v>
      </c>
      <c r="B2" s="2">
        <v>1</v>
      </c>
      <c r="C2" s="74" t="s">
        <v>168</v>
      </c>
      <c r="D2" s="74" t="s">
        <v>169</v>
      </c>
      <c r="E2" s="75">
        <v>300000</v>
      </c>
      <c r="F2" s="63">
        <f>I2-0</f>
        <v>2000</v>
      </c>
      <c r="G2" s="63">
        <f t="shared" ref="G2:G73" si="0">$B$53/$I$53*(F2)</f>
        <v>1.4817769925626194</v>
      </c>
      <c r="H2" s="63">
        <f>$B$53/SQRT($I$53)*(SQRT(I2)-SQRT(0))</f>
        <v>8.7779498525143236</v>
      </c>
      <c r="I2" s="76" t="str">
        <f t="shared" ref="I2:I33" si="1">D2</f>
        <v xml:space="preserve">2000 </v>
      </c>
      <c r="J2" s="76">
        <f t="shared" ref="J2:J33" si="2">E2</f>
        <v>300000</v>
      </c>
      <c r="K2" s="77">
        <f>J2*'Inflation Rates by Year'!$C$2</f>
        <v>339228</v>
      </c>
      <c r="L2" s="78">
        <f t="shared" ref="L2:L73" si="3">K2/I2</f>
        <v>169.614</v>
      </c>
    </row>
    <row r="3" spans="1:12" ht="15" customHeight="1">
      <c r="A3" s="74" t="s">
        <v>170</v>
      </c>
      <c r="B3" s="2">
        <v>2</v>
      </c>
      <c r="C3" s="74" t="s">
        <v>168</v>
      </c>
      <c r="D3" s="74" t="s">
        <v>171</v>
      </c>
      <c r="E3" s="75">
        <v>500000</v>
      </c>
      <c r="F3" s="63">
        <f t="shared" ref="F3:F73" si="4">I3-I2</f>
        <v>-472</v>
      </c>
      <c r="G3" s="63">
        <f t="shared" si="0"/>
        <v>-0.34969937024477815</v>
      </c>
      <c r="H3" s="63">
        <f t="shared" ref="H3:H73" si="5">$B$53/SQRT($I$53)*(SQRT(I3)-SQRT(I2))</f>
        <v>-1.1053990145903567</v>
      </c>
      <c r="I3" s="76" t="str">
        <f t="shared" si="1"/>
        <v xml:space="preserve">1528 </v>
      </c>
      <c r="J3" s="76">
        <f t="shared" si="2"/>
        <v>500000</v>
      </c>
      <c r="K3" s="77">
        <f>J3*'Inflation Rates by Year'!$C$2</f>
        <v>565380</v>
      </c>
      <c r="L3" s="78">
        <f t="shared" si="3"/>
        <v>370.0130890052356</v>
      </c>
    </row>
    <row r="4" spans="1:12" ht="15" customHeight="1">
      <c r="A4" s="74" t="s">
        <v>172</v>
      </c>
      <c r="B4" s="2">
        <v>3</v>
      </c>
      <c r="C4" s="74" t="s">
        <v>168</v>
      </c>
      <c r="D4" s="74" t="s">
        <v>173</v>
      </c>
      <c r="E4" s="75">
        <v>1450000</v>
      </c>
      <c r="F4" s="63">
        <f t="shared" si="4"/>
        <v>6727</v>
      </c>
      <c r="G4" s="63">
        <f t="shared" si="0"/>
        <v>4.9839569144843701</v>
      </c>
      <c r="H4" s="63">
        <f t="shared" si="5"/>
        <v>10.160951227394419</v>
      </c>
      <c r="I4" s="76" t="str">
        <f t="shared" si="1"/>
        <v xml:space="preserve">8255 </v>
      </c>
      <c r="J4" s="76">
        <f t="shared" si="2"/>
        <v>1450000</v>
      </c>
      <c r="K4" s="77">
        <f>J4*'Inflation Rates by Year'!$C$2</f>
        <v>1639602</v>
      </c>
      <c r="L4" s="78">
        <f t="shared" si="3"/>
        <v>198.61926105390671</v>
      </c>
    </row>
    <row r="5" spans="1:12" ht="15" customHeight="1">
      <c r="A5" s="74" t="s">
        <v>174</v>
      </c>
      <c r="B5" s="2">
        <v>4</v>
      </c>
      <c r="C5" s="74" t="s">
        <v>168</v>
      </c>
      <c r="D5" s="74" t="s">
        <v>175</v>
      </c>
      <c r="E5" s="75">
        <v>1500000</v>
      </c>
      <c r="F5" s="63">
        <f t="shared" si="4"/>
        <v>24218</v>
      </c>
      <c r="G5" s="63">
        <f t="shared" si="0"/>
        <v>17.942837602940756</v>
      </c>
      <c r="H5" s="63">
        <f t="shared" si="5"/>
        <v>17.536843582789643</v>
      </c>
      <c r="I5" s="76" t="str">
        <f t="shared" si="1"/>
        <v xml:space="preserve">32473 </v>
      </c>
      <c r="J5" s="76">
        <f t="shared" si="2"/>
        <v>1500000</v>
      </c>
      <c r="K5" s="77">
        <f>J5*'Inflation Rates by Year'!$C$2</f>
        <v>1696140</v>
      </c>
      <c r="L5" s="78">
        <f t="shared" si="3"/>
        <v>52.23231607797247</v>
      </c>
    </row>
    <row r="6" spans="1:12" ht="15" customHeight="1">
      <c r="A6" s="74" t="s">
        <v>176</v>
      </c>
      <c r="B6" s="2">
        <v>5</v>
      </c>
      <c r="C6" s="74" t="s">
        <v>168</v>
      </c>
      <c r="D6" s="74" t="s">
        <v>177</v>
      </c>
      <c r="E6" s="75">
        <v>3100000</v>
      </c>
      <c r="F6" s="63">
        <f t="shared" si="4"/>
        <v>2661</v>
      </c>
      <c r="G6" s="63">
        <f t="shared" si="0"/>
        <v>1.9715042886045651</v>
      </c>
      <c r="H6" s="63">
        <f t="shared" si="5"/>
        <v>1.4206800820081706</v>
      </c>
      <c r="I6" s="76" t="str">
        <f t="shared" si="1"/>
        <v xml:space="preserve">35134 </v>
      </c>
      <c r="J6" s="76">
        <f t="shared" si="2"/>
        <v>3100000</v>
      </c>
      <c r="K6" s="77">
        <f>J6*'Inflation Rates by Year'!$C$2</f>
        <v>3505356</v>
      </c>
      <c r="L6" s="78">
        <f t="shared" si="3"/>
        <v>99.771047987704222</v>
      </c>
    </row>
    <row r="7" spans="1:12" ht="15" customHeight="1">
      <c r="A7" s="74" t="s">
        <v>178</v>
      </c>
      <c r="B7" s="2">
        <v>6</v>
      </c>
      <c r="C7" s="74" t="s">
        <v>168</v>
      </c>
      <c r="D7" s="74" t="s">
        <v>179</v>
      </c>
      <c r="E7" s="75">
        <v>3500000</v>
      </c>
      <c r="F7" s="63">
        <f t="shared" si="4"/>
        <v>3537</v>
      </c>
      <c r="G7" s="63">
        <f t="shared" si="0"/>
        <v>2.6205226113469924</v>
      </c>
      <c r="H7" s="63">
        <f t="shared" si="5"/>
        <v>1.8075072739257527</v>
      </c>
      <c r="I7" s="76" t="str">
        <f t="shared" si="1"/>
        <v xml:space="preserve">38671 </v>
      </c>
      <c r="J7" s="76">
        <f t="shared" si="2"/>
        <v>3500000</v>
      </c>
      <c r="K7" s="77">
        <f>J7*'Inflation Rates by Year'!$C$2</f>
        <v>3957660</v>
      </c>
      <c r="L7" s="78">
        <f t="shared" si="3"/>
        <v>102.34180652168291</v>
      </c>
    </row>
    <row r="8" spans="1:12" ht="15" customHeight="1">
      <c r="A8" s="74" t="s">
        <v>180</v>
      </c>
      <c r="B8" s="2">
        <v>7</v>
      </c>
      <c r="C8" s="74" t="s">
        <v>168</v>
      </c>
      <c r="D8" s="74" t="s">
        <v>181</v>
      </c>
      <c r="E8" s="75">
        <v>3800000</v>
      </c>
      <c r="F8" s="63">
        <f t="shared" si="4"/>
        <v>2206</v>
      </c>
      <c r="G8" s="63">
        <f t="shared" si="0"/>
        <v>1.6344000227965692</v>
      </c>
      <c r="H8" s="63">
        <f t="shared" si="5"/>
        <v>1.0856647483321982</v>
      </c>
      <c r="I8" s="76" t="str">
        <f t="shared" si="1"/>
        <v xml:space="preserve">40877 </v>
      </c>
      <c r="J8" s="76">
        <f t="shared" si="2"/>
        <v>3800000</v>
      </c>
      <c r="K8" s="77">
        <f>J8*'Inflation Rates by Year'!$C$2</f>
        <v>4296888</v>
      </c>
      <c r="L8" s="78">
        <f t="shared" si="3"/>
        <v>105.11749883797735</v>
      </c>
    </row>
    <row r="9" spans="1:12" ht="15" customHeight="1">
      <c r="A9" s="74" t="s">
        <v>182</v>
      </c>
      <c r="B9" s="2">
        <v>8</v>
      </c>
      <c r="C9" s="74" t="s">
        <v>168</v>
      </c>
      <c r="D9" s="74" t="s">
        <v>183</v>
      </c>
      <c r="E9" s="75">
        <v>5000000</v>
      </c>
      <c r="F9" s="63">
        <f t="shared" si="4"/>
        <v>1908</v>
      </c>
      <c r="G9" s="63">
        <f t="shared" si="0"/>
        <v>1.4136152509047388</v>
      </c>
      <c r="H9" s="63">
        <f t="shared" si="5"/>
        <v>0.91559959067405206</v>
      </c>
      <c r="I9" s="76" t="str">
        <f t="shared" si="1"/>
        <v xml:space="preserve">42785 </v>
      </c>
      <c r="J9" s="76">
        <f t="shared" si="2"/>
        <v>5000000</v>
      </c>
      <c r="K9" s="77">
        <f>J9*'Inflation Rates by Year'!$C$2</f>
        <v>5653800</v>
      </c>
      <c r="L9" s="78">
        <f t="shared" si="3"/>
        <v>132.14444314596236</v>
      </c>
    </row>
    <row r="10" spans="1:12" ht="15" customHeight="1">
      <c r="A10" s="74" t="s">
        <v>184</v>
      </c>
      <c r="B10" s="2">
        <v>9</v>
      </c>
      <c r="C10" s="74" t="s">
        <v>168</v>
      </c>
      <c r="D10" s="74" t="s">
        <v>185</v>
      </c>
      <c r="E10" s="75">
        <v>6200000</v>
      </c>
      <c r="F10" s="63">
        <f t="shared" si="4"/>
        <v>954</v>
      </c>
      <c r="G10" s="63">
        <f t="shared" si="0"/>
        <v>0.70680762545236941</v>
      </c>
      <c r="H10" s="63">
        <f t="shared" si="5"/>
        <v>0.45014225276737047</v>
      </c>
      <c r="I10" s="76" t="str">
        <f t="shared" si="1"/>
        <v xml:space="preserve">43739 </v>
      </c>
      <c r="J10" s="76">
        <f t="shared" si="2"/>
        <v>6200000</v>
      </c>
      <c r="K10" s="77">
        <f>J10*'Inflation Rates by Year'!$C$2</f>
        <v>7010712</v>
      </c>
      <c r="L10" s="78">
        <f t="shared" si="3"/>
        <v>160.28514597956058</v>
      </c>
    </row>
    <row r="11" spans="1:12" ht="15" customHeight="1">
      <c r="A11" s="74" t="s">
        <v>186</v>
      </c>
      <c r="B11" s="2">
        <v>10</v>
      </c>
      <c r="C11" s="74" t="s">
        <v>168</v>
      </c>
      <c r="D11" s="74" t="s">
        <v>187</v>
      </c>
      <c r="E11" s="75">
        <v>7600000</v>
      </c>
      <c r="F11" s="63">
        <f t="shared" si="4"/>
        <v>361</v>
      </c>
      <c r="G11" s="63">
        <f t="shared" si="0"/>
        <v>0.2674607471575528</v>
      </c>
      <c r="H11" s="63">
        <f t="shared" si="5"/>
        <v>0.16905480812761528</v>
      </c>
      <c r="I11" s="76" t="str">
        <f t="shared" si="1"/>
        <v xml:space="preserve">44100 </v>
      </c>
      <c r="J11" s="76">
        <f t="shared" si="2"/>
        <v>7600000</v>
      </c>
      <c r="K11" s="77">
        <f>J11*'Inflation Rates by Year'!$C$2</f>
        <v>8593776</v>
      </c>
      <c r="L11" s="78">
        <f t="shared" si="3"/>
        <v>194.87020408163266</v>
      </c>
    </row>
    <row r="12" spans="1:12" ht="15" customHeight="1">
      <c r="A12" s="74" t="s">
        <v>188</v>
      </c>
      <c r="B12" s="2">
        <v>11</v>
      </c>
      <c r="C12" s="74" t="s">
        <v>168</v>
      </c>
      <c r="D12" s="74" t="s">
        <v>189</v>
      </c>
      <c r="E12" s="75">
        <v>8400000</v>
      </c>
      <c r="F12" s="63">
        <f t="shared" si="4"/>
        <v>7053</v>
      </c>
      <c r="G12" s="63">
        <f t="shared" si="0"/>
        <v>5.2254865642720771</v>
      </c>
      <c r="H12" s="63">
        <f t="shared" si="5"/>
        <v>3.1739194564292572</v>
      </c>
      <c r="I12" s="76" t="str">
        <f t="shared" si="1"/>
        <v xml:space="preserve">51153 </v>
      </c>
      <c r="J12" s="76">
        <f t="shared" si="2"/>
        <v>8400000</v>
      </c>
      <c r="K12" s="77">
        <f>J12*'Inflation Rates by Year'!$C$2</f>
        <v>9498384</v>
      </c>
      <c r="L12" s="78">
        <f t="shared" si="3"/>
        <v>185.68576623071959</v>
      </c>
    </row>
    <row r="13" spans="1:12" ht="15" customHeight="1">
      <c r="A13" s="74" t="s">
        <v>190</v>
      </c>
      <c r="B13" s="2">
        <v>12</v>
      </c>
      <c r="C13" s="74" t="s">
        <v>168</v>
      </c>
      <c r="D13" s="74" t="s">
        <v>191</v>
      </c>
      <c r="E13" s="75">
        <v>9100000</v>
      </c>
      <c r="F13" s="63">
        <f t="shared" si="4"/>
        <v>1679</v>
      </c>
      <c r="G13" s="63">
        <f t="shared" si="0"/>
        <v>1.2439517852563189</v>
      </c>
      <c r="H13" s="63">
        <f t="shared" si="5"/>
        <v>0.72267428660593824</v>
      </c>
      <c r="I13" s="76" t="str">
        <f t="shared" si="1"/>
        <v xml:space="preserve">52832 </v>
      </c>
      <c r="J13" s="76">
        <f t="shared" si="2"/>
        <v>9100000</v>
      </c>
      <c r="K13" s="77">
        <f>J13*'Inflation Rates by Year'!$C$2</f>
        <v>10289916</v>
      </c>
      <c r="L13" s="78">
        <f t="shared" si="3"/>
        <v>194.76673228346456</v>
      </c>
    </row>
    <row r="14" spans="1:12" ht="15" customHeight="1">
      <c r="A14" s="74" t="s">
        <v>192</v>
      </c>
      <c r="B14" s="2">
        <v>13</v>
      </c>
      <c r="C14" s="74" t="s">
        <v>168</v>
      </c>
      <c r="D14" s="74" t="s">
        <v>193</v>
      </c>
      <c r="E14" s="75">
        <v>10200000</v>
      </c>
      <c r="F14" s="63">
        <f t="shared" si="4"/>
        <v>445</v>
      </c>
      <c r="G14" s="63">
        <f t="shared" si="0"/>
        <v>0.32969538084518279</v>
      </c>
      <c r="H14" s="63">
        <f t="shared" si="5"/>
        <v>0.18960420060718389</v>
      </c>
      <c r="I14" s="76" t="str">
        <f t="shared" si="1"/>
        <v xml:space="preserve">53277 </v>
      </c>
      <c r="J14" s="76">
        <f t="shared" si="2"/>
        <v>10200000</v>
      </c>
      <c r="K14" s="77">
        <f>J14*'Inflation Rates by Year'!$C$2</f>
        <v>11533752</v>
      </c>
      <c r="L14" s="78">
        <f t="shared" si="3"/>
        <v>216.48651388028605</v>
      </c>
    </row>
    <row r="15" spans="1:12" ht="15" customHeight="1">
      <c r="A15" s="74" t="s">
        <v>194</v>
      </c>
      <c r="B15" s="2">
        <v>14</v>
      </c>
      <c r="C15" s="74" t="s">
        <v>168</v>
      </c>
      <c r="D15" s="74" t="s">
        <v>195</v>
      </c>
      <c r="E15" s="75">
        <v>11346000</v>
      </c>
      <c r="F15" s="63">
        <f t="shared" si="4"/>
        <v>1581</v>
      </c>
      <c r="G15" s="63">
        <f t="shared" si="0"/>
        <v>1.1713447126207506</v>
      </c>
      <c r="H15" s="63">
        <f t="shared" si="5"/>
        <v>0.66730354624213817</v>
      </c>
      <c r="I15" s="76" t="str">
        <f t="shared" si="1"/>
        <v xml:space="preserve">54858 </v>
      </c>
      <c r="J15" s="76">
        <f t="shared" si="2"/>
        <v>11346000</v>
      </c>
      <c r="K15" s="77">
        <f>J15*'Inflation Rates by Year'!$C$2</f>
        <v>12829602.959999999</v>
      </c>
      <c r="L15" s="78">
        <f t="shared" si="3"/>
        <v>233.86931641693096</v>
      </c>
    </row>
    <row r="16" spans="1:12" ht="15" customHeight="1">
      <c r="A16" s="74" t="s">
        <v>196</v>
      </c>
      <c r="B16" s="2">
        <v>15</v>
      </c>
      <c r="C16" s="74" t="s">
        <v>168</v>
      </c>
      <c r="D16" s="74" t="s">
        <v>195</v>
      </c>
      <c r="E16" s="75">
        <v>12600000</v>
      </c>
      <c r="F16" s="63">
        <f t="shared" si="4"/>
        <v>0</v>
      </c>
      <c r="G16" s="63">
        <f t="shared" si="0"/>
        <v>0</v>
      </c>
      <c r="H16" s="63">
        <f t="shared" si="5"/>
        <v>0</v>
      </c>
      <c r="I16" s="76" t="str">
        <f t="shared" si="1"/>
        <v xml:space="preserve">54858 </v>
      </c>
      <c r="J16" s="76">
        <f t="shared" si="2"/>
        <v>12600000</v>
      </c>
      <c r="K16" s="77">
        <f>J16*'Inflation Rates by Year'!$C$2</f>
        <v>14247576</v>
      </c>
      <c r="L16" s="78">
        <f t="shared" si="3"/>
        <v>259.71737941594665</v>
      </c>
    </row>
    <row r="17" spans="1:12" ht="15" customHeight="1">
      <c r="A17" s="74" t="s">
        <v>197</v>
      </c>
      <c r="B17" s="2">
        <v>16</v>
      </c>
      <c r="C17" s="74" t="s">
        <v>198</v>
      </c>
      <c r="D17" s="74" t="s">
        <v>199</v>
      </c>
      <c r="E17" s="75">
        <v>13300000</v>
      </c>
      <c r="F17" s="63">
        <f t="shared" si="4"/>
        <v>3935</v>
      </c>
      <c r="G17" s="63">
        <f t="shared" si="0"/>
        <v>2.9153962328669536</v>
      </c>
      <c r="H17" s="63">
        <f t="shared" si="5"/>
        <v>1.6202659804015194</v>
      </c>
      <c r="I17" s="76" t="str">
        <f t="shared" si="1"/>
        <v xml:space="preserve">58793 </v>
      </c>
      <c r="J17" s="76">
        <f t="shared" si="2"/>
        <v>13300000</v>
      </c>
      <c r="K17" s="77">
        <f>J17*'Inflation Rates by Year'!$C$2</f>
        <v>15039108</v>
      </c>
      <c r="L17" s="78">
        <f t="shared" si="3"/>
        <v>255.79759495177998</v>
      </c>
    </row>
    <row r="18" spans="1:12" ht="15" customHeight="1">
      <c r="A18" s="74" t="s">
        <v>200</v>
      </c>
      <c r="B18" s="2">
        <v>17</v>
      </c>
      <c r="C18" s="74" t="s">
        <v>168</v>
      </c>
      <c r="D18" s="74" t="s">
        <v>199</v>
      </c>
      <c r="E18" s="75">
        <v>14100000</v>
      </c>
      <c r="F18" s="63">
        <f t="shared" si="4"/>
        <v>0</v>
      </c>
      <c r="G18" s="63">
        <f t="shared" si="0"/>
        <v>0</v>
      </c>
      <c r="H18" s="63">
        <f t="shared" si="5"/>
        <v>0</v>
      </c>
      <c r="I18" s="76" t="str">
        <f t="shared" si="1"/>
        <v xml:space="preserve">58793 </v>
      </c>
      <c r="J18" s="76">
        <f t="shared" si="2"/>
        <v>14100000</v>
      </c>
      <c r="K18" s="77">
        <f>J18*'Inflation Rates by Year'!$C$2</f>
        <v>15943716</v>
      </c>
      <c r="L18" s="78">
        <f t="shared" si="3"/>
        <v>271.18391645263893</v>
      </c>
    </row>
    <row r="19" spans="1:12" ht="15" customHeight="1">
      <c r="A19" s="74" t="s">
        <v>201</v>
      </c>
      <c r="B19" s="2">
        <v>18</v>
      </c>
      <c r="C19" s="74" t="s">
        <v>168</v>
      </c>
      <c r="D19" s="74" t="s">
        <v>202</v>
      </c>
      <c r="E19" s="75">
        <v>14973371</v>
      </c>
      <c r="F19" s="63">
        <f t="shared" si="4"/>
        <v>-96</v>
      </c>
      <c r="G19" s="63">
        <f t="shared" si="0"/>
        <v>-7.1125295643005723E-2</v>
      </c>
      <c r="H19" s="63">
        <f t="shared" si="5"/>
        <v>-3.8871734266435504E-2</v>
      </c>
      <c r="I19" s="76" t="str">
        <f t="shared" si="1"/>
        <v xml:space="preserve">58697 </v>
      </c>
      <c r="J19" s="76">
        <f t="shared" si="2"/>
        <v>14973371</v>
      </c>
      <c r="K19" s="77">
        <f>J19*'Inflation Rates by Year'!$C$2</f>
        <v>16931288.99196</v>
      </c>
      <c r="L19" s="78">
        <f t="shared" si="3"/>
        <v>288.4523739196211</v>
      </c>
    </row>
    <row r="20" spans="1:12" ht="15" customHeight="1">
      <c r="A20" s="74" t="s">
        <v>203</v>
      </c>
      <c r="B20" s="2">
        <v>19</v>
      </c>
      <c r="C20" s="74" t="s">
        <v>168</v>
      </c>
      <c r="D20" s="74" t="s">
        <v>204</v>
      </c>
      <c r="E20" s="75">
        <v>15952094</v>
      </c>
      <c r="F20" s="63">
        <f t="shared" si="4"/>
        <v>680</v>
      </c>
      <c r="G20" s="63">
        <f t="shared" si="0"/>
        <v>0.50380417747129058</v>
      </c>
      <c r="H20" s="63">
        <f t="shared" si="5"/>
        <v>0.27466079639903562</v>
      </c>
      <c r="I20" s="76" t="str">
        <f t="shared" si="1"/>
        <v xml:space="preserve">59377 </v>
      </c>
      <c r="J20" s="76">
        <f t="shared" si="2"/>
        <v>15952094</v>
      </c>
      <c r="K20" s="77">
        <f>J20*'Inflation Rates by Year'!$C$2</f>
        <v>18037989.811439998</v>
      </c>
      <c r="L20" s="78">
        <f t="shared" si="3"/>
        <v>303.78749029826361</v>
      </c>
    </row>
    <row r="21" spans="1:12" ht="14.5">
      <c r="A21" s="74" t="s">
        <v>205</v>
      </c>
      <c r="B21" s="2">
        <v>20</v>
      </c>
      <c r="C21" s="74" t="s">
        <v>168</v>
      </c>
      <c r="D21" s="74" t="s">
        <v>206</v>
      </c>
      <c r="E21" s="75">
        <v>15952094</v>
      </c>
      <c r="F21" s="63">
        <f t="shared" si="4"/>
        <v>1649</v>
      </c>
      <c r="G21" s="63">
        <f t="shared" si="0"/>
        <v>1.2217251303678796</v>
      </c>
      <c r="H21" s="63">
        <f t="shared" si="5"/>
        <v>0.65959185598780701</v>
      </c>
      <c r="I21" s="76" t="str">
        <f t="shared" si="1"/>
        <v xml:space="preserve">61026 </v>
      </c>
      <c r="J21" s="76">
        <f t="shared" si="2"/>
        <v>15952094</v>
      </c>
      <c r="K21" s="77">
        <f>J21*'Inflation Rates by Year'!$C$2</f>
        <v>18037989.811439998</v>
      </c>
      <c r="L21" s="78">
        <f t="shared" si="3"/>
        <v>295.57876661488541</v>
      </c>
    </row>
    <row r="22" spans="1:12" ht="14.5">
      <c r="A22" s="74" t="s">
        <v>207</v>
      </c>
      <c r="B22" s="2">
        <v>21</v>
      </c>
      <c r="C22" s="74" t="s">
        <v>168</v>
      </c>
      <c r="D22" s="74" t="s">
        <v>208</v>
      </c>
      <c r="E22" s="75">
        <v>17456299</v>
      </c>
      <c r="F22" s="63">
        <f t="shared" si="4"/>
        <v>365</v>
      </c>
      <c r="G22" s="63">
        <f t="shared" si="0"/>
        <v>0.27042430114267801</v>
      </c>
      <c r="H22" s="63">
        <f t="shared" si="5"/>
        <v>0.14478900402376432</v>
      </c>
      <c r="I22" s="76" t="str">
        <f t="shared" si="1"/>
        <v xml:space="preserve">61391 </v>
      </c>
      <c r="J22" s="76">
        <f t="shared" si="2"/>
        <v>17456299</v>
      </c>
      <c r="K22" s="77">
        <f>J22*'Inflation Rates by Year'!$C$2</f>
        <v>19738884.65724</v>
      </c>
      <c r="L22" s="78">
        <f t="shared" si="3"/>
        <v>321.52733555798079</v>
      </c>
    </row>
    <row r="23" spans="1:12" ht="14.5">
      <c r="A23" s="74" t="s">
        <v>209</v>
      </c>
      <c r="B23" s="2">
        <v>22</v>
      </c>
      <c r="C23" s="74" t="s">
        <v>198</v>
      </c>
      <c r="D23" s="74" t="s">
        <v>210</v>
      </c>
      <c r="E23" s="75">
        <v>17456299</v>
      </c>
      <c r="F23" s="63">
        <f t="shared" si="4"/>
        <v>977</v>
      </c>
      <c r="G23" s="63">
        <f t="shared" si="0"/>
        <v>0.7238480608668395</v>
      </c>
      <c r="H23" s="63">
        <f t="shared" si="5"/>
        <v>0.38545408357763017</v>
      </c>
      <c r="I23" s="76" t="str">
        <f t="shared" si="1"/>
        <v xml:space="preserve">62368 </v>
      </c>
      <c r="J23" s="76">
        <f t="shared" si="2"/>
        <v>17456299</v>
      </c>
      <c r="K23" s="77">
        <f>J23*'Inflation Rates by Year'!$C$2</f>
        <v>19738884.65724</v>
      </c>
      <c r="L23" s="78">
        <f t="shared" si="3"/>
        <v>316.49058262634685</v>
      </c>
    </row>
    <row r="24" spans="1:12" ht="14.5">
      <c r="A24" s="74" t="s">
        <v>211</v>
      </c>
      <c r="B24" s="2">
        <v>23</v>
      </c>
      <c r="C24" s="74" t="s">
        <v>168</v>
      </c>
      <c r="D24" s="74" t="s">
        <v>210</v>
      </c>
      <c r="E24" s="75">
        <v>19457716</v>
      </c>
      <c r="F24" s="63">
        <f t="shared" si="4"/>
        <v>0</v>
      </c>
      <c r="G24" s="63">
        <f t="shared" si="0"/>
        <v>0</v>
      </c>
      <c r="H24" s="63">
        <f t="shared" si="5"/>
        <v>0</v>
      </c>
      <c r="I24" s="76" t="str">
        <f t="shared" si="1"/>
        <v xml:space="preserve">62368 </v>
      </c>
      <c r="J24" s="76">
        <f t="shared" si="2"/>
        <v>19457716</v>
      </c>
      <c r="K24" s="77">
        <f>J24*'Inflation Rates by Year'!$C$2</f>
        <v>22002006.944159999</v>
      </c>
      <c r="L24" s="78">
        <f t="shared" si="3"/>
        <v>352.77717650333506</v>
      </c>
    </row>
    <row r="25" spans="1:12" ht="14.5">
      <c r="A25" s="74" t="s">
        <v>212</v>
      </c>
      <c r="B25" s="2">
        <v>24</v>
      </c>
      <c r="C25" s="74" t="s">
        <v>168</v>
      </c>
      <c r="D25" s="74" t="s">
        <v>213</v>
      </c>
      <c r="E25" s="75">
        <v>19972060</v>
      </c>
      <c r="F25" s="63">
        <f t="shared" si="4"/>
        <v>121</v>
      </c>
      <c r="G25" s="63">
        <f t="shared" si="0"/>
        <v>8.9647508050038474E-2</v>
      </c>
      <c r="H25" s="63">
        <f t="shared" si="5"/>
        <v>4.7527182931887998E-2</v>
      </c>
      <c r="I25" s="76" t="str">
        <f t="shared" si="1"/>
        <v xml:space="preserve">62489 </v>
      </c>
      <c r="J25" s="76">
        <f t="shared" si="2"/>
        <v>19972060</v>
      </c>
      <c r="K25" s="77">
        <f>J25*'Inflation Rates by Year'!$C$2</f>
        <v>22583606.5656</v>
      </c>
      <c r="L25" s="78">
        <f t="shared" si="3"/>
        <v>361.40131168045576</v>
      </c>
    </row>
    <row r="26" spans="1:12" ht="14.5">
      <c r="A26" s="74" t="s">
        <v>214</v>
      </c>
      <c r="B26" s="2">
        <v>25</v>
      </c>
      <c r="C26" s="74" t="s">
        <v>168</v>
      </c>
      <c r="D26" s="74" t="s">
        <v>213</v>
      </c>
      <c r="E26" s="75">
        <v>20556676</v>
      </c>
      <c r="F26" s="63">
        <f t="shared" si="4"/>
        <v>0</v>
      </c>
      <c r="G26" s="63">
        <f t="shared" si="0"/>
        <v>0</v>
      </c>
      <c r="H26" s="63">
        <f t="shared" si="5"/>
        <v>0</v>
      </c>
      <c r="I26" s="76" t="str">
        <f t="shared" si="1"/>
        <v xml:space="preserve">62489 </v>
      </c>
      <c r="J26" s="76">
        <f t="shared" si="2"/>
        <v>20556676</v>
      </c>
      <c r="K26" s="77">
        <f>J26*'Inflation Rates by Year'!$C$2</f>
        <v>23244666.953759998</v>
      </c>
      <c r="L26" s="78">
        <f t="shared" si="3"/>
        <v>371.98013976475858</v>
      </c>
    </row>
    <row r="27" spans="1:12" ht="14.5">
      <c r="A27" s="74" t="s">
        <v>215</v>
      </c>
      <c r="B27" s="2">
        <v>26</v>
      </c>
      <c r="C27" s="74" t="s">
        <v>198</v>
      </c>
      <c r="D27" s="74" t="s">
        <v>213</v>
      </c>
      <c r="E27" s="75">
        <v>21242674</v>
      </c>
      <c r="F27" s="63">
        <f t="shared" si="4"/>
        <v>0</v>
      </c>
      <c r="G27" s="63">
        <f t="shared" si="0"/>
        <v>0</v>
      </c>
      <c r="H27" s="63">
        <f t="shared" si="5"/>
        <v>0</v>
      </c>
      <c r="I27" s="76" t="str">
        <f t="shared" si="1"/>
        <v xml:space="preserve">62489 </v>
      </c>
      <c r="J27" s="76">
        <f t="shared" si="2"/>
        <v>21242674</v>
      </c>
      <c r="K27" s="77">
        <f>J27*'Inflation Rates by Year'!$C$2</f>
        <v>24020366.052239999</v>
      </c>
      <c r="L27" s="78">
        <f t="shared" si="3"/>
        <v>384.39351009361644</v>
      </c>
    </row>
    <row r="28" spans="1:12" ht="14.5">
      <c r="A28" s="74" t="s">
        <v>216</v>
      </c>
      <c r="B28" s="2">
        <v>27</v>
      </c>
      <c r="C28" s="74" t="s">
        <v>198</v>
      </c>
      <c r="D28" s="74" t="s">
        <v>217</v>
      </c>
      <c r="E28" s="75">
        <v>21840111</v>
      </c>
      <c r="F28" s="63">
        <f t="shared" si="4"/>
        <v>1366</v>
      </c>
      <c r="G28" s="63">
        <f t="shared" si="0"/>
        <v>1.0120536859202689</v>
      </c>
      <c r="H28" s="63">
        <f t="shared" si="5"/>
        <v>0.53338750035323734</v>
      </c>
      <c r="I28" s="76" t="str">
        <f t="shared" si="1"/>
        <v xml:space="preserve">63855 </v>
      </c>
      <c r="J28" s="76">
        <f t="shared" si="2"/>
        <v>21840111</v>
      </c>
      <c r="K28" s="77">
        <f>J28*'Inflation Rates by Year'!$C$2</f>
        <v>24695923.914359998</v>
      </c>
      <c r="L28" s="78">
        <f t="shared" si="3"/>
        <v>386.75004172515855</v>
      </c>
    </row>
    <row r="29" spans="1:12" ht="14.5">
      <c r="A29" s="74" t="s">
        <v>218</v>
      </c>
      <c r="B29" s="2">
        <v>28</v>
      </c>
      <c r="C29" s="74" t="s">
        <v>168</v>
      </c>
      <c r="D29" s="74" t="s">
        <v>219</v>
      </c>
      <c r="E29" s="75">
        <v>21840111</v>
      </c>
      <c r="F29" s="63">
        <f t="shared" si="4"/>
        <v>3028</v>
      </c>
      <c r="G29" s="63">
        <f t="shared" si="0"/>
        <v>2.2434103667398055</v>
      </c>
      <c r="H29" s="63">
        <f t="shared" si="5"/>
        <v>1.1623774570254319</v>
      </c>
      <c r="I29" s="76" t="str">
        <f t="shared" si="1"/>
        <v xml:space="preserve">66883 </v>
      </c>
      <c r="J29" s="76">
        <f t="shared" si="2"/>
        <v>21840111</v>
      </c>
      <c r="K29" s="77">
        <f>J29*'Inflation Rates by Year'!$C$2</f>
        <v>24695923.914359998</v>
      </c>
      <c r="L29" s="78">
        <f t="shared" si="3"/>
        <v>369.24067273238336</v>
      </c>
    </row>
    <row r="30" spans="1:12" ht="14.5">
      <c r="A30" s="74" t="s">
        <v>220</v>
      </c>
      <c r="B30" s="2">
        <v>29</v>
      </c>
      <c r="C30" s="74" t="s">
        <v>198</v>
      </c>
      <c r="D30" s="74" t="s">
        <v>221</v>
      </c>
      <c r="E30" s="75">
        <v>22000000</v>
      </c>
      <c r="F30" s="63">
        <f t="shared" si="4"/>
        <v>575</v>
      </c>
      <c r="G30" s="63">
        <f t="shared" si="0"/>
        <v>0.42601088536175308</v>
      </c>
      <c r="H30" s="63">
        <f t="shared" si="5"/>
        <v>0.21773470165508427</v>
      </c>
      <c r="I30" s="76" t="str">
        <f t="shared" si="1"/>
        <v xml:space="preserve">67458 </v>
      </c>
      <c r="J30" s="76">
        <f t="shared" si="2"/>
        <v>22000000</v>
      </c>
      <c r="K30" s="77">
        <f>J30*'Inflation Rates by Year'!$C$2</f>
        <v>24876720</v>
      </c>
      <c r="L30" s="78">
        <f t="shared" si="3"/>
        <v>368.77345904118118</v>
      </c>
    </row>
    <row r="31" spans="1:12" ht="14.5">
      <c r="A31" s="74" t="s">
        <v>222</v>
      </c>
      <c r="B31" s="2">
        <v>30</v>
      </c>
      <c r="C31" s="74" t="s">
        <v>168</v>
      </c>
      <c r="D31" s="74" t="s">
        <v>221</v>
      </c>
      <c r="E31" s="75">
        <v>22000000</v>
      </c>
      <c r="F31" s="63">
        <f t="shared" si="4"/>
        <v>0</v>
      </c>
      <c r="G31" s="63">
        <f t="shared" si="0"/>
        <v>0</v>
      </c>
      <c r="H31" s="63">
        <f t="shared" si="5"/>
        <v>0</v>
      </c>
      <c r="I31" s="76" t="str">
        <f t="shared" si="1"/>
        <v xml:space="preserve">67458 </v>
      </c>
      <c r="J31" s="76">
        <f t="shared" si="2"/>
        <v>22000000</v>
      </c>
      <c r="K31" s="77">
        <f>J31*'Inflation Rates by Year'!$C$2</f>
        <v>24876720</v>
      </c>
      <c r="L31" s="78">
        <f t="shared" si="3"/>
        <v>368.77345904118118</v>
      </c>
    </row>
    <row r="32" spans="1:12" ht="14.5">
      <c r="A32" s="74" t="s">
        <v>223</v>
      </c>
      <c r="B32" s="2">
        <v>31</v>
      </c>
      <c r="C32" s="74" t="s">
        <v>198</v>
      </c>
      <c r="D32" s="74" t="s">
        <v>224</v>
      </c>
      <c r="E32" s="75">
        <v>21700000</v>
      </c>
      <c r="F32" s="63">
        <f t="shared" si="4"/>
        <v>2220</v>
      </c>
      <c r="G32" s="63">
        <f t="shared" si="0"/>
        <v>1.6447724617445074</v>
      </c>
      <c r="H32" s="63">
        <f t="shared" si="5"/>
        <v>0.83205984432326663</v>
      </c>
      <c r="I32" s="76" t="str">
        <f t="shared" si="1"/>
        <v xml:space="preserve">69678 </v>
      </c>
      <c r="J32" s="76">
        <f t="shared" si="2"/>
        <v>21700000</v>
      </c>
      <c r="K32" s="77">
        <f>J32*'Inflation Rates by Year'!$C$2</f>
        <v>24537492</v>
      </c>
      <c r="L32" s="78">
        <f t="shared" si="3"/>
        <v>352.15551537070525</v>
      </c>
    </row>
    <row r="33" spans="1:12" ht="14.5">
      <c r="A33" s="74" t="s">
        <v>225</v>
      </c>
      <c r="B33" s="2">
        <v>32</v>
      </c>
      <c r="C33" s="74" t="s">
        <v>168</v>
      </c>
      <c r="D33" s="74" t="s">
        <v>224</v>
      </c>
      <c r="E33" s="75">
        <v>22100000</v>
      </c>
      <c r="F33" s="63">
        <f t="shared" si="4"/>
        <v>0</v>
      </c>
      <c r="G33" s="63">
        <f t="shared" si="0"/>
        <v>0</v>
      </c>
      <c r="H33" s="63">
        <f t="shared" si="5"/>
        <v>0</v>
      </c>
      <c r="I33" s="76" t="str">
        <f t="shared" si="1"/>
        <v xml:space="preserve">69678 </v>
      </c>
      <c r="J33" s="76">
        <f t="shared" si="2"/>
        <v>22100000</v>
      </c>
      <c r="K33" s="77">
        <f>J33*'Inflation Rates by Year'!$C$2</f>
        <v>24989796</v>
      </c>
      <c r="L33" s="78">
        <f t="shared" si="3"/>
        <v>358.64686127615602</v>
      </c>
    </row>
    <row r="34" spans="1:12" ht="14.5">
      <c r="A34" s="74" t="s">
        <v>226</v>
      </c>
      <c r="B34" s="2">
        <v>33</v>
      </c>
      <c r="C34" s="74" t="s">
        <v>168</v>
      </c>
      <c r="D34" s="74" t="s">
        <v>227</v>
      </c>
      <c r="E34" s="75">
        <v>22200000</v>
      </c>
      <c r="F34" s="63">
        <f t="shared" si="4"/>
        <v>225</v>
      </c>
      <c r="G34" s="63">
        <f t="shared" si="0"/>
        <v>0.16669991166329468</v>
      </c>
      <c r="H34" s="63">
        <f t="shared" si="5"/>
        <v>8.3585819782956775E-2</v>
      </c>
      <c r="I34" s="76" t="str">
        <f t="shared" ref="I34:I65" si="6">D34</f>
        <v xml:space="preserve">69903 </v>
      </c>
      <c r="J34" s="76">
        <f t="shared" ref="J34:J65" si="7">E34</f>
        <v>22200000</v>
      </c>
      <c r="K34" s="77">
        <f>J34*'Inflation Rates by Year'!$C$2</f>
        <v>25102872</v>
      </c>
      <c r="L34" s="78">
        <f t="shared" si="3"/>
        <v>359.11008111239863</v>
      </c>
    </row>
    <row r="35" spans="1:12" ht="14.5">
      <c r="A35" s="74" t="s">
        <v>228</v>
      </c>
      <c r="B35" s="2">
        <v>34</v>
      </c>
      <c r="C35" s="74" t="s">
        <v>168</v>
      </c>
      <c r="D35" s="74" t="s">
        <v>227</v>
      </c>
      <c r="E35" s="75">
        <v>22300000</v>
      </c>
      <c r="F35" s="63">
        <f t="shared" si="4"/>
        <v>0</v>
      </c>
      <c r="G35" s="63">
        <f t="shared" si="0"/>
        <v>0</v>
      </c>
      <c r="H35" s="63">
        <f t="shared" si="5"/>
        <v>0</v>
      </c>
      <c r="I35" s="76" t="str">
        <f t="shared" si="6"/>
        <v xml:space="preserve">69903 </v>
      </c>
      <c r="J35" s="76">
        <f t="shared" si="7"/>
        <v>22300000</v>
      </c>
      <c r="K35" s="77">
        <f>J35*'Inflation Rates by Year'!$C$2</f>
        <v>25215948</v>
      </c>
      <c r="L35" s="78">
        <f t="shared" si="3"/>
        <v>360.72769409038239</v>
      </c>
    </row>
    <row r="36" spans="1:12" ht="14.5">
      <c r="A36" s="74" t="s">
        <v>229</v>
      </c>
      <c r="B36" s="2">
        <v>35</v>
      </c>
      <c r="C36" s="74" t="s">
        <v>168</v>
      </c>
      <c r="D36" s="74" t="s">
        <v>230</v>
      </c>
      <c r="E36" s="75">
        <v>22400000</v>
      </c>
      <c r="F36" s="63">
        <f t="shared" si="4"/>
        <v>251</v>
      </c>
      <c r="G36" s="63">
        <f t="shared" si="0"/>
        <v>0.18596301256660872</v>
      </c>
      <c r="H36" s="63">
        <f t="shared" si="5"/>
        <v>9.3086046551237617E-2</v>
      </c>
      <c r="I36" s="76" t="str">
        <f t="shared" si="6"/>
        <v xml:space="preserve">70154 </v>
      </c>
      <c r="J36" s="76">
        <f t="shared" si="7"/>
        <v>22400000</v>
      </c>
      <c r="K36" s="77">
        <f>J36*'Inflation Rates by Year'!$C$2</f>
        <v>25329024</v>
      </c>
      <c r="L36" s="78">
        <f t="shared" si="3"/>
        <v>361.04889243663939</v>
      </c>
    </row>
    <row r="37" spans="1:12" ht="14.5">
      <c r="A37" s="74" t="s">
        <v>231</v>
      </c>
      <c r="B37" s="2">
        <v>36</v>
      </c>
      <c r="C37" s="74" t="s">
        <v>168</v>
      </c>
      <c r="D37" s="74" t="s">
        <v>230</v>
      </c>
      <c r="E37" s="75">
        <v>22500000</v>
      </c>
      <c r="F37" s="63">
        <f t="shared" si="4"/>
        <v>0</v>
      </c>
      <c r="G37" s="63">
        <f t="shared" si="0"/>
        <v>0</v>
      </c>
      <c r="H37" s="63">
        <f t="shared" si="5"/>
        <v>0</v>
      </c>
      <c r="I37" s="76" t="str">
        <f t="shared" si="6"/>
        <v xml:space="preserve">70154 </v>
      </c>
      <c r="J37" s="76">
        <f t="shared" si="7"/>
        <v>22500000</v>
      </c>
      <c r="K37" s="77">
        <f>J37*'Inflation Rates by Year'!$C$2</f>
        <v>25442100</v>
      </c>
      <c r="L37" s="78">
        <f t="shared" si="3"/>
        <v>362.66071784930296</v>
      </c>
    </row>
    <row r="38" spans="1:12" ht="14.5">
      <c r="A38" s="74" t="s">
        <v>232</v>
      </c>
      <c r="B38" s="2">
        <v>37</v>
      </c>
      <c r="C38" s="74" t="s">
        <v>168</v>
      </c>
      <c r="D38" s="74" t="s">
        <v>230</v>
      </c>
      <c r="E38" s="75">
        <v>23500000</v>
      </c>
      <c r="F38" s="63">
        <f t="shared" si="4"/>
        <v>0</v>
      </c>
      <c r="G38" s="63">
        <f t="shared" si="0"/>
        <v>0</v>
      </c>
      <c r="H38" s="63">
        <f t="shared" si="5"/>
        <v>0</v>
      </c>
      <c r="I38" s="76" t="str">
        <f t="shared" si="6"/>
        <v xml:space="preserve">70154 </v>
      </c>
      <c r="J38" s="76">
        <f t="shared" si="7"/>
        <v>23500000</v>
      </c>
      <c r="K38" s="77">
        <f>J38*'Inflation Rates by Year'!$C$2</f>
        <v>26572860</v>
      </c>
      <c r="L38" s="78">
        <f t="shared" si="3"/>
        <v>378.77897197593865</v>
      </c>
    </row>
    <row r="39" spans="1:12" ht="14.5">
      <c r="A39" s="74" t="s">
        <v>233</v>
      </c>
      <c r="B39" s="2">
        <v>38</v>
      </c>
      <c r="C39" s="74" t="s">
        <v>168</v>
      </c>
      <c r="D39" s="74" t="s">
        <v>234</v>
      </c>
      <c r="E39" s="75">
        <v>23900000</v>
      </c>
      <c r="F39" s="63">
        <f t="shared" si="4"/>
        <v>32</v>
      </c>
      <c r="G39" s="63">
        <f t="shared" si="0"/>
        <v>2.3708431881001909E-2</v>
      </c>
      <c r="H39" s="63">
        <f t="shared" si="5"/>
        <v>1.1855567425873483E-2</v>
      </c>
      <c r="I39" s="76" t="str">
        <f t="shared" si="6"/>
        <v xml:space="preserve">70186 </v>
      </c>
      <c r="J39" s="76">
        <f t="shared" si="7"/>
        <v>23900000</v>
      </c>
      <c r="K39" s="77">
        <f>J39*'Inflation Rates by Year'!$C$2</f>
        <v>27025164</v>
      </c>
      <c r="L39" s="78">
        <f t="shared" si="3"/>
        <v>385.05063687914969</v>
      </c>
    </row>
    <row r="40" spans="1:12" ht="14.5">
      <c r="A40" s="74" t="s">
        <v>235</v>
      </c>
      <c r="B40" s="2">
        <v>39</v>
      </c>
      <c r="C40" s="74" t="s">
        <v>168</v>
      </c>
      <c r="D40" s="74" t="s">
        <v>234</v>
      </c>
      <c r="E40" s="75">
        <v>24000000</v>
      </c>
      <c r="F40" s="63">
        <f t="shared" si="4"/>
        <v>0</v>
      </c>
      <c r="G40" s="63">
        <f t="shared" si="0"/>
        <v>0</v>
      </c>
      <c r="H40" s="63">
        <f t="shared" si="5"/>
        <v>0</v>
      </c>
      <c r="I40" s="76" t="str">
        <f t="shared" si="6"/>
        <v xml:space="preserve">70186 </v>
      </c>
      <c r="J40" s="76">
        <f t="shared" si="7"/>
        <v>24000000</v>
      </c>
      <c r="K40" s="77">
        <f>J40*'Inflation Rates by Year'!$C$2</f>
        <v>27138240</v>
      </c>
      <c r="L40" s="78">
        <f t="shared" si="3"/>
        <v>386.66172741002481</v>
      </c>
    </row>
    <row r="41" spans="1:12" ht="14.5">
      <c r="A41" s="74" t="s">
        <v>236</v>
      </c>
      <c r="B41" s="2">
        <v>40</v>
      </c>
      <c r="C41" s="74" t="s">
        <v>168</v>
      </c>
      <c r="D41" s="74" t="s">
        <v>234</v>
      </c>
      <c r="E41" s="75">
        <v>24585677</v>
      </c>
      <c r="F41" s="63">
        <f t="shared" si="4"/>
        <v>0</v>
      </c>
      <c r="G41" s="63">
        <f t="shared" si="0"/>
        <v>0</v>
      </c>
      <c r="H41" s="63">
        <f t="shared" si="5"/>
        <v>0</v>
      </c>
      <c r="I41" s="76" t="str">
        <f t="shared" si="6"/>
        <v xml:space="preserve">70186 </v>
      </c>
      <c r="J41" s="76">
        <f t="shared" si="7"/>
        <v>24585677</v>
      </c>
      <c r="K41" s="77">
        <f>J41*'Inflation Rates by Year'!$C$2</f>
        <v>27800500.12452</v>
      </c>
      <c r="L41" s="78">
        <f t="shared" si="3"/>
        <v>396.09751409853817</v>
      </c>
    </row>
    <row r="42" spans="1:12" ht="14.5">
      <c r="A42" s="74" t="s">
        <v>237</v>
      </c>
      <c r="B42" s="2">
        <v>41</v>
      </c>
      <c r="C42" s="74" t="s">
        <v>168</v>
      </c>
      <c r="D42" s="74" t="s">
        <v>234</v>
      </c>
      <c r="E42" s="75">
        <v>24585677</v>
      </c>
      <c r="F42" s="63">
        <f t="shared" si="4"/>
        <v>0</v>
      </c>
      <c r="G42" s="63">
        <f t="shared" si="0"/>
        <v>0</v>
      </c>
      <c r="H42" s="63">
        <f t="shared" si="5"/>
        <v>0</v>
      </c>
      <c r="I42" s="76" t="str">
        <f t="shared" si="6"/>
        <v xml:space="preserve">70186 </v>
      </c>
      <c r="J42" s="76">
        <f t="shared" si="7"/>
        <v>24585677</v>
      </c>
      <c r="K42" s="77">
        <f>J42*'Inflation Rates by Year'!$C$2</f>
        <v>27800500.12452</v>
      </c>
      <c r="L42" s="78">
        <f t="shared" si="3"/>
        <v>396.09751409853817</v>
      </c>
    </row>
    <row r="43" spans="1:12" ht="14.5">
      <c r="A43" s="74" t="s">
        <v>238</v>
      </c>
      <c r="B43" s="2">
        <v>42</v>
      </c>
      <c r="C43" s="74" t="s">
        <v>168</v>
      </c>
      <c r="D43" s="74" t="s">
        <v>234</v>
      </c>
      <c r="E43" s="75">
        <v>24585677</v>
      </c>
      <c r="F43" s="63">
        <f t="shared" si="4"/>
        <v>0</v>
      </c>
      <c r="G43" s="63">
        <f t="shared" si="0"/>
        <v>0</v>
      </c>
      <c r="H43" s="63">
        <f t="shared" si="5"/>
        <v>0</v>
      </c>
      <c r="I43" s="76" t="str">
        <f t="shared" si="6"/>
        <v xml:space="preserve">70186 </v>
      </c>
      <c r="J43" s="76">
        <f t="shared" si="7"/>
        <v>24585677</v>
      </c>
      <c r="K43" s="77">
        <f>J43*'Inflation Rates by Year'!$C$2</f>
        <v>27800500.12452</v>
      </c>
      <c r="L43" s="78">
        <f t="shared" si="3"/>
        <v>396.09751409853817</v>
      </c>
    </row>
    <row r="44" spans="1:12" ht="14.5">
      <c r="A44" s="74" t="s">
        <v>239</v>
      </c>
      <c r="B44" s="2">
        <v>43</v>
      </c>
      <c r="C44" s="74" t="s">
        <v>168</v>
      </c>
      <c r="D44" s="74" t="s">
        <v>234</v>
      </c>
      <c r="E44" s="75">
        <v>25014434</v>
      </c>
      <c r="F44" s="63">
        <f t="shared" si="4"/>
        <v>0</v>
      </c>
      <c r="G44" s="63">
        <f t="shared" si="0"/>
        <v>0</v>
      </c>
      <c r="H44" s="63">
        <f t="shared" si="5"/>
        <v>0</v>
      </c>
      <c r="I44" s="76" t="str">
        <f t="shared" si="6"/>
        <v xml:space="preserve">70186 </v>
      </c>
      <c r="J44" s="76">
        <f t="shared" si="7"/>
        <v>25014434</v>
      </c>
      <c r="K44" s="77">
        <f>J44*'Inflation Rates by Year'!$C$2</f>
        <v>28285321.389839999</v>
      </c>
      <c r="L44" s="78">
        <f t="shared" si="3"/>
        <v>403.00517752600234</v>
      </c>
    </row>
    <row r="45" spans="1:12" ht="14.5">
      <c r="A45" s="74" t="s">
        <v>240</v>
      </c>
      <c r="B45" s="2">
        <v>44</v>
      </c>
      <c r="C45" s="74" t="s">
        <v>168</v>
      </c>
      <c r="D45" s="74" t="s">
        <v>234</v>
      </c>
      <c r="E45" s="75">
        <v>25307403</v>
      </c>
      <c r="F45" s="63">
        <f t="shared" si="4"/>
        <v>0</v>
      </c>
      <c r="G45" s="63">
        <f t="shared" si="0"/>
        <v>0</v>
      </c>
      <c r="H45" s="63">
        <f t="shared" si="5"/>
        <v>0</v>
      </c>
      <c r="I45" s="76" t="str">
        <f t="shared" si="6"/>
        <v xml:space="preserve">70186 </v>
      </c>
      <c r="J45" s="76">
        <f t="shared" si="7"/>
        <v>25307403</v>
      </c>
      <c r="K45" s="77">
        <f>J45*'Inflation Rates by Year'!$C$2</f>
        <v>28616599.016279999</v>
      </c>
      <c r="L45" s="78">
        <f t="shared" si="3"/>
        <v>407.72517334340182</v>
      </c>
    </row>
    <row r="46" spans="1:12" ht="14.5">
      <c r="A46" s="74" t="s">
        <v>241</v>
      </c>
      <c r="B46" s="2">
        <v>45</v>
      </c>
      <c r="C46" s="74" t="s">
        <v>168</v>
      </c>
      <c r="D46" s="74" t="s">
        <v>234</v>
      </c>
      <c r="E46" s="75">
        <v>25689961</v>
      </c>
      <c r="F46" s="63">
        <f t="shared" si="4"/>
        <v>0</v>
      </c>
      <c r="G46" s="63">
        <f t="shared" si="0"/>
        <v>0</v>
      </c>
      <c r="H46" s="63">
        <f t="shared" si="5"/>
        <v>0</v>
      </c>
      <c r="I46" s="76" t="str">
        <f t="shared" si="6"/>
        <v xml:space="preserve">70186 </v>
      </c>
      <c r="J46" s="76">
        <f t="shared" si="7"/>
        <v>25689961</v>
      </c>
      <c r="K46" s="77">
        <f>J46*'Inflation Rates by Year'!$C$2</f>
        <v>29049180.300359998</v>
      </c>
      <c r="L46" s="78">
        <f t="shared" si="3"/>
        <v>413.88852905650697</v>
      </c>
    </row>
    <row r="47" spans="1:12" ht="14.5">
      <c r="A47" s="74" t="s">
        <v>242</v>
      </c>
      <c r="B47" s="2">
        <v>46</v>
      </c>
      <c r="C47" s="74" t="s">
        <v>168</v>
      </c>
      <c r="D47" s="74" t="s">
        <v>234</v>
      </c>
      <c r="E47" s="75">
        <v>25689961</v>
      </c>
      <c r="F47" s="63">
        <f t="shared" si="4"/>
        <v>0</v>
      </c>
      <c r="G47" s="63">
        <f t="shared" si="0"/>
        <v>0</v>
      </c>
      <c r="H47" s="63">
        <f t="shared" si="5"/>
        <v>0</v>
      </c>
      <c r="I47" s="76" t="str">
        <f t="shared" si="6"/>
        <v xml:space="preserve">70186 </v>
      </c>
      <c r="J47" s="76">
        <f t="shared" si="7"/>
        <v>25689961</v>
      </c>
      <c r="K47" s="77">
        <f>J47*'Inflation Rates by Year'!$C$2</f>
        <v>29049180.300359998</v>
      </c>
      <c r="L47" s="78">
        <f t="shared" si="3"/>
        <v>413.88852905650697</v>
      </c>
    </row>
    <row r="48" spans="1:12" ht="14.5">
      <c r="A48" s="74" t="s">
        <v>243</v>
      </c>
      <c r="B48" s="2">
        <v>47</v>
      </c>
      <c r="C48" s="74" t="s">
        <v>168</v>
      </c>
      <c r="D48" s="74" t="s">
        <v>234</v>
      </c>
      <c r="E48" s="75">
        <v>25741226</v>
      </c>
      <c r="F48" s="63">
        <f t="shared" si="4"/>
        <v>0</v>
      </c>
      <c r="G48" s="63">
        <f t="shared" si="0"/>
        <v>0</v>
      </c>
      <c r="H48" s="63">
        <f t="shared" si="5"/>
        <v>0</v>
      </c>
      <c r="I48" s="76" t="str">
        <f t="shared" si="6"/>
        <v xml:space="preserve">70186 </v>
      </c>
      <c r="J48" s="76">
        <f t="shared" si="7"/>
        <v>25741226</v>
      </c>
      <c r="K48" s="77">
        <f>J48*'Inflation Rates by Year'!$C$2</f>
        <v>29107148.711759999</v>
      </c>
      <c r="L48" s="78">
        <f t="shared" si="3"/>
        <v>414.71445461716013</v>
      </c>
    </row>
    <row r="49" spans="1:26" ht="14.5">
      <c r="A49" s="74" t="s">
        <v>244</v>
      </c>
      <c r="B49" s="2">
        <v>48</v>
      </c>
      <c r="C49" s="74" t="s">
        <v>168</v>
      </c>
      <c r="D49" s="74" t="s">
        <v>234</v>
      </c>
      <c r="E49" s="75">
        <v>25959486</v>
      </c>
      <c r="F49" s="63">
        <f t="shared" si="4"/>
        <v>0</v>
      </c>
      <c r="G49" s="63">
        <f t="shared" si="0"/>
        <v>0</v>
      </c>
      <c r="H49" s="63">
        <f t="shared" si="5"/>
        <v>0</v>
      </c>
      <c r="I49" s="76" t="str">
        <f t="shared" si="6"/>
        <v xml:space="preserve">70186 </v>
      </c>
      <c r="J49" s="76">
        <f t="shared" si="7"/>
        <v>25959486</v>
      </c>
      <c r="K49" s="77">
        <f>J49*'Inflation Rates by Year'!$C$2</f>
        <v>29353948.389359999</v>
      </c>
      <c r="L49" s="78">
        <f t="shared" si="3"/>
        <v>418.23082080984813</v>
      </c>
    </row>
    <row r="50" spans="1:26" ht="14.5">
      <c r="A50" s="74" t="s">
        <v>245</v>
      </c>
      <c r="B50" s="2">
        <v>49</v>
      </c>
      <c r="C50" s="74" t="s">
        <v>168</v>
      </c>
      <c r="D50" s="74" t="s">
        <v>234</v>
      </c>
      <c r="E50" s="75">
        <v>26192912</v>
      </c>
      <c r="F50" s="63">
        <f t="shared" si="4"/>
        <v>0</v>
      </c>
      <c r="G50" s="63">
        <f t="shared" si="0"/>
        <v>0</v>
      </c>
      <c r="H50" s="63">
        <f t="shared" si="5"/>
        <v>0</v>
      </c>
      <c r="I50" s="76" t="str">
        <f t="shared" si="6"/>
        <v xml:space="preserve">70186 </v>
      </c>
      <c r="J50" s="76">
        <f t="shared" si="7"/>
        <v>26192912</v>
      </c>
      <c r="K50" s="77">
        <f>J50*'Inflation Rates by Year'!$C$2</f>
        <v>29617897.173119999</v>
      </c>
      <c r="L50" s="78">
        <f t="shared" si="3"/>
        <v>421.9915249924486</v>
      </c>
    </row>
    <row r="51" spans="1:26" ht="14.5">
      <c r="A51" s="74" t="s">
        <v>246</v>
      </c>
      <c r="B51" s="2">
        <v>50</v>
      </c>
      <c r="C51" s="74" t="s">
        <v>168</v>
      </c>
      <c r="D51" s="74" t="s">
        <v>234</v>
      </c>
      <c r="E51" s="75">
        <v>26308008</v>
      </c>
      <c r="F51" s="63">
        <f t="shared" si="4"/>
        <v>0</v>
      </c>
      <c r="G51" s="63">
        <f t="shared" si="0"/>
        <v>0</v>
      </c>
      <c r="H51" s="63">
        <f t="shared" si="5"/>
        <v>0</v>
      </c>
      <c r="I51" s="76" t="str">
        <f t="shared" si="6"/>
        <v xml:space="preserve">70186 </v>
      </c>
      <c r="J51" s="76">
        <f t="shared" si="7"/>
        <v>26308008</v>
      </c>
      <c r="K51" s="77">
        <f>J51*'Inflation Rates by Year'!$C$2</f>
        <v>29748043.126079999</v>
      </c>
      <c r="L51" s="78">
        <f t="shared" si="3"/>
        <v>423.84582574986462</v>
      </c>
    </row>
    <row r="52" spans="1:26" ht="14.5">
      <c r="A52" s="74" t="s">
        <v>247</v>
      </c>
      <c r="B52" s="2">
        <v>51</v>
      </c>
      <c r="C52" s="74" t="s">
        <v>168</v>
      </c>
      <c r="D52" s="74" t="s">
        <v>234</v>
      </c>
      <c r="E52" s="75">
        <v>26506526</v>
      </c>
      <c r="F52" s="63">
        <f t="shared" si="4"/>
        <v>0</v>
      </c>
      <c r="G52" s="63">
        <f t="shared" si="0"/>
        <v>0</v>
      </c>
      <c r="H52" s="63">
        <f t="shared" si="5"/>
        <v>0</v>
      </c>
      <c r="I52" s="76" t="str">
        <f t="shared" si="6"/>
        <v xml:space="preserve">70186 </v>
      </c>
      <c r="J52" s="76">
        <f t="shared" si="7"/>
        <v>26506526</v>
      </c>
      <c r="K52" s="77">
        <f>J52*'Inflation Rates by Year'!$C$2</f>
        <v>29972519.339759998</v>
      </c>
      <c r="L52" s="78">
        <f t="shared" si="3"/>
        <v>427.04413044994726</v>
      </c>
    </row>
    <row r="53" spans="1:26" ht="14.5">
      <c r="A53" s="68" t="s">
        <v>248</v>
      </c>
      <c r="B53" s="69">
        <v>52</v>
      </c>
      <c r="C53" s="68" t="s">
        <v>168</v>
      </c>
      <c r="D53" s="68" t="s">
        <v>234</v>
      </c>
      <c r="E53" s="70">
        <v>26738529</v>
      </c>
      <c r="F53" s="71">
        <f t="shared" si="4"/>
        <v>0</v>
      </c>
      <c r="G53" s="63">
        <f t="shared" si="0"/>
        <v>0</v>
      </c>
      <c r="H53" s="63">
        <f t="shared" si="5"/>
        <v>0</v>
      </c>
      <c r="I53" s="72" t="str">
        <f t="shared" si="6"/>
        <v xml:space="preserve">70186 </v>
      </c>
      <c r="J53" s="72">
        <f t="shared" si="7"/>
        <v>26738529</v>
      </c>
      <c r="K53" s="73">
        <f>J53*'Inflation Rates by Year'!$C$2</f>
        <v>30234859.05204</v>
      </c>
      <c r="L53" s="73">
        <f t="shared" si="3"/>
        <v>430.78190881429344</v>
      </c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4.5">
      <c r="A54" s="74" t="s">
        <v>249</v>
      </c>
      <c r="B54" s="2">
        <v>53</v>
      </c>
      <c r="C54" s="74" t="s">
        <v>168</v>
      </c>
      <c r="D54" s="74" t="s">
        <v>234</v>
      </c>
      <c r="E54" s="75">
        <v>26738529</v>
      </c>
      <c r="F54" s="63">
        <f t="shared" si="4"/>
        <v>0</v>
      </c>
      <c r="G54" s="63">
        <f t="shared" si="0"/>
        <v>0</v>
      </c>
      <c r="H54" s="63">
        <f t="shared" si="5"/>
        <v>0</v>
      </c>
      <c r="I54" s="76" t="str">
        <f t="shared" si="6"/>
        <v xml:space="preserve">70186 </v>
      </c>
      <c r="J54" s="76">
        <f t="shared" si="7"/>
        <v>26738529</v>
      </c>
      <c r="K54" s="77">
        <f>J54*'Inflation Rates by Year'!$C$2</f>
        <v>30234859.05204</v>
      </c>
      <c r="L54" s="78">
        <f t="shared" si="3"/>
        <v>430.78190881429344</v>
      </c>
    </row>
    <row r="55" spans="1:26" ht="14.5">
      <c r="A55" s="74" t="s">
        <v>250</v>
      </c>
      <c r="B55" s="2">
        <v>54</v>
      </c>
      <c r="C55" s="74" t="s">
        <v>168</v>
      </c>
      <c r="D55" s="74" t="s">
        <v>234</v>
      </c>
      <c r="E55" s="75">
        <v>26783529</v>
      </c>
      <c r="F55" s="63">
        <f t="shared" si="4"/>
        <v>0</v>
      </c>
      <c r="G55" s="63">
        <f t="shared" si="0"/>
        <v>0</v>
      </c>
      <c r="H55" s="63">
        <f t="shared" si="5"/>
        <v>0</v>
      </c>
      <c r="I55" s="76" t="str">
        <f t="shared" si="6"/>
        <v xml:space="preserve">70186 </v>
      </c>
      <c r="J55" s="76">
        <f t="shared" si="7"/>
        <v>26783529</v>
      </c>
      <c r="K55" s="77">
        <f>J55*'Inflation Rates by Year'!$C$2</f>
        <v>30285743.252039999</v>
      </c>
      <c r="L55" s="78">
        <f t="shared" si="3"/>
        <v>431.50689955318722</v>
      </c>
    </row>
    <row r="56" spans="1:26" ht="14.5">
      <c r="A56" s="74" t="s">
        <v>251</v>
      </c>
      <c r="B56" s="2">
        <v>55</v>
      </c>
      <c r="C56" s="74" t="s">
        <v>168</v>
      </c>
      <c r="D56" s="74" t="s">
        <v>252</v>
      </c>
      <c r="E56" s="75">
        <v>26738529</v>
      </c>
      <c r="F56" s="63">
        <f t="shared" si="4"/>
        <v>-18</v>
      </c>
      <c r="G56" s="63">
        <f t="shared" si="0"/>
        <v>-1.3335992933063574E-2</v>
      </c>
      <c r="H56" s="63">
        <f t="shared" si="5"/>
        <v>-6.6684240422912582E-3</v>
      </c>
      <c r="I56" s="76" t="str">
        <f t="shared" si="6"/>
        <v xml:space="preserve">70168 </v>
      </c>
      <c r="J56" s="76">
        <f t="shared" si="7"/>
        <v>26738529</v>
      </c>
      <c r="K56" s="77">
        <f>J56*'Inflation Rates by Year'!$C$2</f>
        <v>30234859.05204</v>
      </c>
      <c r="L56" s="78">
        <f t="shared" si="3"/>
        <v>430.89241608767531</v>
      </c>
    </row>
    <row r="57" spans="1:26" ht="14.5">
      <c r="A57" s="74" t="s">
        <v>253</v>
      </c>
      <c r="B57" s="2">
        <v>56</v>
      </c>
      <c r="C57" s="74" t="s">
        <v>168</v>
      </c>
      <c r="D57" s="74" t="s">
        <v>252</v>
      </c>
      <c r="E57" s="75">
        <v>26738529</v>
      </c>
      <c r="F57" s="63">
        <f t="shared" si="4"/>
        <v>0</v>
      </c>
      <c r="G57" s="63">
        <f t="shared" si="0"/>
        <v>0</v>
      </c>
      <c r="H57" s="63">
        <f t="shared" si="5"/>
        <v>0</v>
      </c>
      <c r="I57" s="76" t="str">
        <f t="shared" si="6"/>
        <v xml:space="preserve">70168 </v>
      </c>
      <c r="J57" s="76">
        <f t="shared" si="7"/>
        <v>26738529</v>
      </c>
      <c r="K57" s="77">
        <f>J57*'Inflation Rates by Year'!$C$2</f>
        <v>30234859.05204</v>
      </c>
      <c r="L57" s="78">
        <f t="shared" si="3"/>
        <v>430.89241608767531</v>
      </c>
    </row>
    <row r="58" spans="1:26" ht="14.5">
      <c r="A58" s="74" t="s">
        <v>254</v>
      </c>
      <c r="B58" s="2">
        <v>57</v>
      </c>
      <c r="C58" s="74" t="s">
        <v>168</v>
      </c>
      <c r="D58" s="74" t="s">
        <v>252</v>
      </c>
      <c r="E58" s="75">
        <v>26738529</v>
      </c>
      <c r="F58" s="63">
        <f t="shared" si="4"/>
        <v>0</v>
      </c>
      <c r="G58" s="63">
        <f t="shared" si="0"/>
        <v>0</v>
      </c>
      <c r="H58" s="63">
        <f t="shared" si="5"/>
        <v>0</v>
      </c>
      <c r="I58" s="76" t="str">
        <f t="shared" si="6"/>
        <v xml:space="preserve">70168 </v>
      </c>
      <c r="J58" s="76">
        <f t="shared" si="7"/>
        <v>26738529</v>
      </c>
      <c r="K58" s="77">
        <f>J58*'Inflation Rates by Year'!$C$2</f>
        <v>30234859.05204</v>
      </c>
      <c r="L58" s="78">
        <f t="shared" si="3"/>
        <v>430.89241608767531</v>
      </c>
    </row>
    <row r="59" spans="1:26" ht="14.5">
      <c r="A59" s="74" t="s">
        <v>255</v>
      </c>
      <c r="B59" s="2">
        <v>58</v>
      </c>
      <c r="C59" s="74" t="s">
        <v>168</v>
      </c>
      <c r="D59" s="74" t="s">
        <v>252</v>
      </c>
      <c r="E59" s="75">
        <v>26738529</v>
      </c>
      <c r="F59" s="63">
        <f t="shared" si="4"/>
        <v>0</v>
      </c>
      <c r="G59" s="63">
        <f t="shared" si="0"/>
        <v>0</v>
      </c>
      <c r="H59" s="63">
        <f t="shared" si="5"/>
        <v>0</v>
      </c>
      <c r="I59" s="76" t="str">
        <f t="shared" si="6"/>
        <v xml:space="preserve">70168 </v>
      </c>
      <c r="J59" s="76">
        <f t="shared" si="7"/>
        <v>26738529</v>
      </c>
      <c r="K59" s="77">
        <f>J59*'Inflation Rates by Year'!$C$2</f>
        <v>30234859.05204</v>
      </c>
      <c r="L59" s="78">
        <f t="shared" si="3"/>
        <v>430.89241608767531</v>
      </c>
    </row>
    <row r="60" spans="1:26" ht="14.5">
      <c r="A60" s="74" t="s">
        <v>256</v>
      </c>
      <c r="B60" s="2">
        <v>59</v>
      </c>
      <c r="C60" s="74" t="s">
        <v>168</v>
      </c>
      <c r="D60" s="74" t="s">
        <v>252</v>
      </c>
      <c r="E60" s="75">
        <v>27088529</v>
      </c>
      <c r="F60" s="63">
        <f t="shared" si="4"/>
        <v>0</v>
      </c>
      <c r="G60" s="63">
        <f t="shared" si="0"/>
        <v>0</v>
      </c>
      <c r="H60" s="63">
        <f t="shared" si="5"/>
        <v>0</v>
      </c>
      <c r="I60" s="76" t="str">
        <f t="shared" si="6"/>
        <v xml:space="preserve">70168 </v>
      </c>
      <c r="J60" s="76">
        <f t="shared" si="7"/>
        <v>27088529</v>
      </c>
      <c r="K60" s="77">
        <f>J60*'Inflation Rates by Year'!$C$2</f>
        <v>30630625.05204</v>
      </c>
      <c r="L60" s="78">
        <f t="shared" si="3"/>
        <v>436.5326794555923</v>
      </c>
    </row>
    <row r="61" spans="1:26" ht="14.5">
      <c r="A61" s="74" t="s">
        <v>257</v>
      </c>
      <c r="B61" s="2">
        <v>60</v>
      </c>
      <c r="C61" s="74" t="s">
        <v>168</v>
      </c>
      <c r="D61" s="74" t="s">
        <v>252</v>
      </c>
      <c r="E61" s="75">
        <v>27138529</v>
      </c>
      <c r="F61" s="63">
        <f t="shared" si="4"/>
        <v>0</v>
      </c>
      <c r="G61" s="63">
        <f t="shared" si="0"/>
        <v>0</v>
      </c>
      <c r="H61" s="63">
        <f t="shared" si="5"/>
        <v>0</v>
      </c>
      <c r="I61" s="76" t="str">
        <f t="shared" si="6"/>
        <v xml:space="preserve">70168 </v>
      </c>
      <c r="J61" s="76">
        <f t="shared" si="7"/>
        <v>27138529</v>
      </c>
      <c r="K61" s="77">
        <f>J61*'Inflation Rates by Year'!$C$2</f>
        <v>30687163.05204</v>
      </c>
      <c r="L61" s="78">
        <f t="shared" si="3"/>
        <v>437.3384313652947</v>
      </c>
    </row>
    <row r="62" spans="1:26" ht="14.5">
      <c r="A62" s="74" t="s">
        <v>258</v>
      </c>
      <c r="B62" s="2">
        <v>61</v>
      </c>
      <c r="C62" s="74" t="s">
        <v>168</v>
      </c>
      <c r="D62" s="74" t="s">
        <v>252</v>
      </c>
      <c r="E62" s="75">
        <v>27188529</v>
      </c>
      <c r="F62" s="63">
        <f t="shared" si="4"/>
        <v>0</v>
      </c>
      <c r="G62" s="63">
        <f t="shared" si="0"/>
        <v>0</v>
      </c>
      <c r="H62" s="63">
        <f t="shared" si="5"/>
        <v>0</v>
      </c>
      <c r="I62" s="76" t="str">
        <f t="shared" si="6"/>
        <v xml:space="preserve">70168 </v>
      </c>
      <c r="J62" s="76">
        <f t="shared" si="7"/>
        <v>27188529</v>
      </c>
      <c r="K62" s="77">
        <f>J62*'Inflation Rates by Year'!$C$2</f>
        <v>30743701.05204</v>
      </c>
      <c r="L62" s="78">
        <f t="shared" si="3"/>
        <v>438.14418327499715</v>
      </c>
    </row>
    <row r="63" spans="1:26" ht="14.5">
      <c r="A63" s="74" t="s">
        <v>259</v>
      </c>
      <c r="B63" s="2">
        <v>62</v>
      </c>
      <c r="C63" s="74" t="s">
        <v>168</v>
      </c>
      <c r="D63" s="74" t="s">
        <v>252</v>
      </c>
      <c r="E63" s="75">
        <v>27238529</v>
      </c>
      <c r="F63" s="63">
        <f t="shared" si="4"/>
        <v>0</v>
      </c>
      <c r="G63" s="63">
        <f t="shared" si="0"/>
        <v>0</v>
      </c>
      <c r="H63" s="63">
        <f t="shared" si="5"/>
        <v>0</v>
      </c>
      <c r="I63" s="76" t="str">
        <f t="shared" si="6"/>
        <v xml:space="preserve">70168 </v>
      </c>
      <c r="J63" s="76">
        <f t="shared" si="7"/>
        <v>27238529</v>
      </c>
      <c r="K63" s="77">
        <f>J63*'Inflation Rates by Year'!$C$2</f>
        <v>30800239.05204</v>
      </c>
      <c r="L63" s="78">
        <f t="shared" si="3"/>
        <v>438.9499351846996</v>
      </c>
    </row>
    <row r="64" spans="1:26" ht="14.5">
      <c r="A64" s="74" t="s">
        <v>260</v>
      </c>
      <c r="B64" s="2">
        <v>63</v>
      </c>
      <c r="C64" s="74" t="s">
        <v>168</v>
      </c>
      <c r="D64" s="74" t="s">
        <v>252</v>
      </c>
      <c r="E64" s="75">
        <v>27288529</v>
      </c>
      <c r="F64" s="63">
        <f t="shared" si="4"/>
        <v>0</v>
      </c>
      <c r="G64" s="63">
        <f t="shared" si="0"/>
        <v>0</v>
      </c>
      <c r="H64" s="63">
        <f t="shared" si="5"/>
        <v>0</v>
      </c>
      <c r="I64" s="76" t="str">
        <f t="shared" si="6"/>
        <v xml:space="preserve">70168 </v>
      </c>
      <c r="J64" s="76">
        <f t="shared" si="7"/>
        <v>27288529</v>
      </c>
      <c r="K64" s="77">
        <f>J64*'Inflation Rates by Year'!$C$2</f>
        <v>30856777.05204</v>
      </c>
      <c r="L64" s="78">
        <f t="shared" si="3"/>
        <v>439.75568709440199</v>
      </c>
    </row>
    <row r="65" spans="1:12" ht="14.5">
      <c r="A65" s="74" t="s">
        <v>261</v>
      </c>
      <c r="B65" s="2">
        <v>64</v>
      </c>
      <c r="C65" s="74" t="s">
        <v>168</v>
      </c>
      <c r="D65" s="74" t="s">
        <v>252</v>
      </c>
      <c r="E65" s="75">
        <v>27338529</v>
      </c>
      <c r="F65" s="63">
        <f t="shared" si="4"/>
        <v>0</v>
      </c>
      <c r="G65" s="63">
        <f t="shared" si="0"/>
        <v>0</v>
      </c>
      <c r="H65" s="63">
        <f t="shared" si="5"/>
        <v>0</v>
      </c>
      <c r="I65" s="76" t="str">
        <f t="shared" si="6"/>
        <v xml:space="preserve">70168 </v>
      </c>
      <c r="J65" s="76">
        <f t="shared" si="7"/>
        <v>27338529</v>
      </c>
      <c r="K65" s="77">
        <f>J65*'Inflation Rates by Year'!$C$2</f>
        <v>30913315.05204</v>
      </c>
      <c r="L65" s="78">
        <f t="shared" si="3"/>
        <v>440.56143900410444</v>
      </c>
    </row>
    <row r="66" spans="1:12" ht="14.5">
      <c r="A66" s="74" t="s">
        <v>262</v>
      </c>
      <c r="B66" s="2">
        <v>65</v>
      </c>
      <c r="C66" s="74" t="s">
        <v>168</v>
      </c>
      <c r="D66" s="74" t="s">
        <v>252</v>
      </c>
      <c r="E66" s="75">
        <v>27388529</v>
      </c>
      <c r="F66" s="63">
        <f t="shared" si="4"/>
        <v>0</v>
      </c>
      <c r="G66" s="63">
        <f t="shared" si="0"/>
        <v>0</v>
      </c>
      <c r="H66" s="63">
        <f t="shared" si="5"/>
        <v>0</v>
      </c>
      <c r="I66" s="76" t="str">
        <f t="shared" ref="I66:I73" si="8">D66</f>
        <v xml:space="preserve">70168 </v>
      </c>
      <c r="J66" s="76">
        <f t="shared" ref="J66:J73" si="9">E66</f>
        <v>27388529</v>
      </c>
      <c r="K66" s="77">
        <f>J66*'Inflation Rates by Year'!$C$2</f>
        <v>30969853.05204</v>
      </c>
      <c r="L66" s="78">
        <f t="shared" si="3"/>
        <v>441.36719091380684</v>
      </c>
    </row>
    <row r="67" spans="1:12" ht="14.5">
      <c r="A67" s="74" t="s">
        <v>263</v>
      </c>
      <c r="B67" s="2">
        <v>66</v>
      </c>
      <c r="C67" s="74" t="s">
        <v>168</v>
      </c>
      <c r="D67" s="74" t="s">
        <v>252</v>
      </c>
      <c r="E67" s="75">
        <v>27488529</v>
      </c>
      <c r="F67" s="63">
        <f t="shared" si="4"/>
        <v>0</v>
      </c>
      <c r="G67" s="63">
        <f t="shared" si="0"/>
        <v>0</v>
      </c>
      <c r="H67" s="63">
        <f t="shared" si="5"/>
        <v>0</v>
      </c>
      <c r="I67" s="76" t="str">
        <f t="shared" si="8"/>
        <v xml:space="preserve">70168 </v>
      </c>
      <c r="J67" s="76">
        <f t="shared" si="9"/>
        <v>27488529</v>
      </c>
      <c r="K67" s="77">
        <f>J67*'Inflation Rates by Year'!$C$2</f>
        <v>31082929.05204</v>
      </c>
      <c r="L67" s="78">
        <f t="shared" si="3"/>
        <v>442.97869473321174</v>
      </c>
    </row>
    <row r="68" spans="1:12" ht="14.5">
      <c r="A68" s="74" t="s">
        <v>264</v>
      </c>
      <c r="B68" s="2">
        <v>67</v>
      </c>
      <c r="C68" s="74" t="s">
        <v>168</v>
      </c>
      <c r="D68" s="74" t="s">
        <v>252</v>
      </c>
      <c r="E68" s="75">
        <v>27538529</v>
      </c>
      <c r="F68" s="63">
        <f t="shared" si="4"/>
        <v>0</v>
      </c>
      <c r="G68" s="63">
        <f t="shared" si="0"/>
        <v>0</v>
      </c>
      <c r="H68" s="63">
        <f t="shared" si="5"/>
        <v>0</v>
      </c>
      <c r="I68" s="76" t="str">
        <f t="shared" si="8"/>
        <v xml:space="preserve">70168 </v>
      </c>
      <c r="J68" s="76">
        <f t="shared" si="9"/>
        <v>27538529</v>
      </c>
      <c r="K68" s="77">
        <f>J68*'Inflation Rates by Year'!$C$2</f>
        <v>31139467.05204</v>
      </c>
      <c r="L68" s="78">
        <f t="shared" si="3"/>
        <v>443.78444664291413</v>
      </c>
    </row>
    <row r="69" spans="1:12" ht="14.5">
      <c r="A69" s="74" t="s">
        <v>265</v>
      </c>
      <c r="B69" s="2">
        <v>68</v>
      </c>
      <c r="C69" s="74" t="s">
        <v>168</v>
      </c>
      <c r="D69" s="74" t="s">
        <v>252</v>
      </c>
      <c r="E69" s="75">
        <v>27588529</v>
      </c>
      <c r="F69" s="63">
        <f t="shared" si="4"/>
        <v>0</v>
      </c>
      <c r="G69" s="63">
        <f t="shared" si="0"/>
        <v>0</v>
      </c>
      <c r="H69" s="63">
        <f t="shared" si="5"/>
        <v>0</v>
      </c>
      <c r="I69" s="76" t="str">
        <f t="shared" si="8"/>
        <v xml:space="preserve">70168 </v>
      </c>
      <c r="J69" s="76">
        <f t="shared" si="9"/>
        <v>27588529</v>
      </c>
      <c r="K69" s="77">
        <f>J69*'Inflation Rates by Year'!$C$2</f>
        <v>31196005.05204</v>
      </c>
      <c r="L69" s="78">
        <f t="shared" si="3"/>
        <v>444.59019855261658</v>
      </c>
    </row>
    <row r="70" spans="1:12" ht="14.5">
      <c r="A70" s="74" t="s">
        <v>266</v>
      </c>
      <c r="B70" s="2">
        <v>69</v>
      </c>
      <c r="C70" s="74" t="s">
        <v>168</v>
      </c>
      <c r="D70" s="74" t="s">
        <v>252</v>
      </c>
      <c r="E70" s="75">
        <v>27638529</v>
      </c>
      <c r="F70" s="63">
        <f t="shared" si="4"/>
        <v>0</v>
      </c>
      <c r="G70" s="63">
        <f t="shared" si="0"/>
        <v>0</v>
      </c>
      <c r="H70" s="63">
        <f t="shared" si="5"/>
        <v>0</v>
      </c>
      <c r="I70" s="76" t="str">
        <f t="shared" si="8"/>
        <v xml:space="preserve">70168 </v>
      </c>
      <c r="J70" s="76">
        <f t="shared" si="9"/>
        <v>27638529</v>
      </c>
      <c r="K70" s="77">
        <f>J70*'Inflation Rates by Year'!$C$2</f>
        <v>31252543.05204</v>
      </c>
      <c r="L70" s="78">
        <f t="shared" si="3"/>
        <v>445.39595046231898</v>
      </c>
    </row>
    <row r="71" spans="1:12" ht="14.5">
      <c r="A71" s="74" t="s">
        <v>267</v>
      </c>
      <c r="B71" s="2">
        <v>70</v>
      </c>
      <c r="C71" s="74" t="s">
        <v>168</v>
      </c>
      <c r="D71" s="74" t="s">
        <v>252</v>
      </c>
      <c r="E71" s="75">
        <v>27688529</v>
      </c>
      <c r="F71" s="63">
        <f t="shared" si="4"/>
        <v>0</v>
      </c>
      <c r="G71" s="63">
        <f t="shared" si="0"/>
        <v>0</v>
      </c>
      <c r="H71" s="63">
        <f t="shared" si="5"/>
        <v>0</v>
      </c>
      <c r="I71" s="76" t="str">
        <f t="shared" si="8"/>
        <v xml:space="preserve">70168 </v>
      </c>
      <c r="J71" s="76">
        <f t="shared" si="9"/>
        <v>27688529</v>
      </c>
      <c r="K71" s="77">
        <f>J71*'Inflation Rates by Year'!$C$2</f>
        <v>31309081.05204</v>
      </c>
      <c r="L71" s="78">
        <f t="shared" si="3"/>
        <v>446.20170237202143</v>
      </c>
    </row>
    <row r="72" spans="1:12" ht="14.5">
      <c r="A72" s="74" t="s">
        <v>268</v>
      </c>
      <c r="B72" s="2">
        <v>71</v>
      </c>
      <c r="C72" s="74" t="s">
        <v>168</v>
      </c>
      <c r="D72" s="74" t="s">
        <v>252</v>
      </c>
      <c r="E72" s="75">
        <v>27738529</v>
      </c>
      <c r="F72" s="63">
        <f t="shared" si="4"/>
        <v>0</v>
      </c>
      <c r="G72" s="63">
        <f t="shared" si="0"/>
        <v>0</v>
      </c>
      <c r="H72" s="63">
        <f t="shared" si="5"/>
        <v>0</v>
      </c>
      <c r="I72" s="76" t="str">
        <f t="shared" si="8"/>
        <v xml:space="preserve">70168 </v>
      </c>
      <c r="J72" s="76">
        <f t="shared" si="9"/>
        <v>27738529</v>
      </c>
      <c r="K72" s="77">
        <f>J72*'Inflation Rates by Year'!$C$2</f>
        <v>31365619.05204</v>
      </c>
      <c r="L72" s="78">
        <f t="shared" si="3"/>
        <v>447.00745428172388</v>
      </c>
    </row>
    <row r="73" spans="1:12" ht="14.5">
      <c r="A73" s="74" t="s">
        <v>269</v>
      </c>
      <c r="B73" s="2">
        <v>72</v>
      </c>
      <c r="C73" s="74" t="s">
        <v>168</v>
      </c>
      <c r="D73" s="74" t="s">
        <v>252</v>
      </c>
      <c r="E73" s="75">
        <v>27788529</v>
      </c>
      <c r="F73" s="63">
        <f t="shared" si="4"/>
        <v>0</v>
      </c>
      <c r="G73" s="63">
        <f t="shared" si="0"/>
        <v>0</v>
      </c>
      <c r="H73" s="63">
        <f t="shared" si="5"/>
        <v>0</v>
      </c>
      <c r="I73" s="76" t="str">
        <f t="shared" si="8"/>
        <v xml:space="preserve">70168 </v>
      </c>
      <c r="J73" s="76">
        <f t="shared" si="9"/>
        <v>27788529</v>
      </c>
      <c r="K73" s="77">
        <f>J73*'Inflation Rates by Year'!$C$2</f>
        <v>31422157.05204</v>
      </c>
      <c r="L73" s="78">
        <f t="shared" si="3"/>
        <v>447.81320619142627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001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0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74" t="s">
        <v>270</v>
      </c>
      <c r="B2" s="1">
        <v>1</v>
      </c>
      <c r="C2" s="74" t="s">
        <v>271</v>
      </c>
      <c r="D2" s="75" t="s">
        <v>272</v>
      </c>
      <c r="E2" s="75">
        <v>500000</v>
      </c>
      <c r="F2" s="63">
        <f>I2-0</f>
        <v>7000</v>
      </c>
      <c r="G2" s="63">
        <f t="shared" ref="G2:G16" si="0">$B$9/$I$9*(F2)</f>
        <v>1.3711711270536959</v>
      </c>
      <c r="H2" s="63">
        <f>$B$9/SQRT($I$9)*(SQRT(I3)-SQRT(I2))</f>
        <v>1.8684735010949791</v>
      </c>
      <c r="I2" s="76" t="str">
        <f t="shared" ref="I2:I16" si="1">D2</f>
        <v xml:space="preserve">7000 </v>
      </c>
      <c r="J2" s="76">
        <f t="shared" ref="J2:J16" si="2">E2</f>
        <v>500000</v>
      </c>
      <c r="K2" s="77">
        <f>J2*'Inflation Rates by Year'!$C$2</f>
        <v>565380</v>
      </c>
      <c r="L2" s="78">
        <f t="shared" ref="L2:L16" si="3">K2/I2</f>
        <v>80.768571428571434</v>
      </c>
    </row>
    <row r="3" spans="1:12" ht="15" customHeight="1">
      <c r="A3" s="74" t="s">
        <v>273</v>
      </c>
      <c r="B3" s="79">
        <v>2</v>
      </c>
      <c r="C3" s="74" t="s">
        <v>271</v>
      </c>
      <c r="D3" s="75" t="s">
        <v>274</v>
      </c>
      <c r="E3" s="75">
        <v>750000</v>
      </c>
      <c r="F3" s="63">
        <f t="shared" ref="F3:F16" si="4">I3-I2</f>
        <v>10126</v>
      </c>
      <c r="G3" s="63">
        <f t="shared" si="0"/>
        <v>1.9834969760779608</v>
      </c>
      <c r="H3" s="63">
        <f t="shared" ref="H3:H16" si="5">$B$9/SQRT($I$9)*(SQRT(I3)-SQRT(I2))</f>
        <v>1.8684735010949791</v>
      </c>
      <c r="I3" s="76" t="str">
        <f t="shared" si="1"/>
        <v xml:space="preserve">17126 </v>
      </c>
      <c r="J3" s="76">
        <f t="shared" si="2"/>
        <v>750000</v>
      </c>
      <c r="K3" s="77">
        <f>J3*'Inflation Rates by Year'!$C$2</f>
        <v>848070</v>
      </c>
      <c r="L3" s="78">
        <f t="shared" si="3"/>
        <v>49.519444120051382</v>
      </c>
    </row>
    <row r="4" spans="1:12" ht="15" customHeight="1">
      <c r="A4" s="74" t="s">
        <v>275</v>
      </c>
      <c r="B4" s="79">
        <v>3</v>
      </c>
      <c r="C4" s="74" t="s">
        <v>271</v>
      </c>
      <c r="D4" s="75" t="s">
        <v>276</v>
      </c>
      <c r="E4" s="75">
        <v>1781330</v>
      </c>
      <c r="F4" s="63">
        <f t="shared" si="4"/>
        <v>7066</v>
      </c>
      <c r="G4" s="63">
        <f t="shared" si="0"/>
        <v>1.3840993119659166</v>
      </c>
      <c r="H4" s="63">
        <f t="shared" si="5"/>
        <v>0.97664374762012773</v>
      </c>
      <c r="I4" s="76" t="str">
        <f t="shared" si="1"/>
        <v xml:space="preserve">24192 </v>
      </c>
      <c r="J4" s="76">
        <f t="shared" si="2"/>
        <v>1781330</v>
      </c>
      <c r="K4" s="77">
        <f>J4*'Inflation Rates by Year'!$C$2</f>
        <v>2014256.7108</v>
      </c>
      <c r="L4" s="78">
        <f t="shared" si="3"/>
        <v>83.261272767857136</v>
      </c>
    </row>
    <row r="5" spans="1:12" ht="15" customHeight="1">
      <c r="A5" s="74" t="s">
        <v>277</v>
      </c>
      <c r="B5" s="1">
        <v>4</v>
      </c>
      <c r="C5" s="74" t="s">
        <v>271</v>
      </c>
      <c r="D5" s="75" t="s">
        <v>278</v>
      </c>
      <c r="E5" s="75">
        <v>2559522</v>
      </c>
      <c r="F5" s="63">
        <f t="shared" si="4"/>
        <v>9988</v>
      </c>
      <c r="G5" s="63">
        <f t="shared" si="0"/>
        <v>1.9564653167160451</v>
      </c>
      <c r="H5" s="63">
        <f t="shared" si="5"/>
        <v>1.1614759614050689</v>
      </c>
      <c r="I5" s="76" t="str">
        <f t="shared" si="1"/>
        <v xml:space="preserve">34180 </v>
      </c>
      <c r="J5" s="76">
        <f t="shared" si="2"/>
        <v>2559522</v>
      </c>
      <c r="K5" s="77">
        <f>J5*'Inflation Rates by Year'!$C$2</f>
        <v>2894205.0967199998</v>
      </c>
      <c r="L5" s="78">
        <f t="shared" si="3"/>
        <v>84.675397797542416</v>
      </c>
    </row>
    <row r="6" spans="1:12" ht="15" customHeight="1">
      <c r="A6" s="74" t="s">
        <v>279</v>
      </c>
      <c r="B6" s="79">
        <v>5</v>
      </c>
      <c r="C6" s="74" t="s">
        <v>271</v>
      </c>
      <c r="D6" s="75" t="s">
        <v>280</v>
      </c>
      <c r="E6" s="75">
        <v>4594239</v>
      </c>
      <c r="F6" s="63">
        <f t="shared" si="4"/>
        <v>4141</v>
      </c>
      <c r="G6" s="63">
        <f t="shared" si="0"/>
        <v>0.81114566244705077</v>
      </c>
      <c r="H6" s="63">
        <f t="shared" si="5"/>
        <v>0.43066279428973991</v>
      </c>
      <c r="I6" s="76" t="str">
        <f t="shared" si="1"/>
        <v xml:space="preserve">38321 </v>
      </c>
      <c r="J6" s="76">
        <f t="shared" si="2"/>
        <v>4594239</v>
      </c>
      <c r="K6" s="77">
        <f>J6*'Inflation Rates by Year'!$C$2</f>
        <v>5194981.6916399999</v>
      </c>
      <c r="L6" s="78">
        <f t="shared" si="3"/>
        <v>135.56487804702383</v>
      </c>
    </row>
    <row r="7" spans="1:12" ht="15" customHeight="1">
      <c r="A7" s="74" t="s">
        <v>281</v>
      </c>
      <c r="B7" s="79">
        <v>6</v>
      </c>
      <c r="C7" s="74" t="s">
        <v>271</v>
      </c>
      <c r="D7" s="75" t="s">
        <v>280</v>
      </c>
      <c r="E7" s="75">
        <v>6428143</v>
      </c>
      <c r="F7" s="63">
        <f t="shared" si="4"/>
        <v>0</v>
      </c>
      <c r="G7" s="63">
        <f t="shared" si="0"/>
        <v>0</v>
      </c>
      <c r="H7" s="63">
        <f t="shared" si="5"/>
        <v>0</v>
      </c>
      <c r="I7" s="76" t="str">
        <f t="shared" si="1"/>
        <v xml:space="preserve">38321 </v>
      </c>
      <c r="J7" s="76">
        <f t="shared" si="2"/>
        <v>6428143</v>
      </c>
      <c r="K7" s="77">
        <f>J7*'Inflation Rates by Year'!$C$2</f>
        <v>7268686.9786799997</v>
      </c>
      <c r="L7" s="78">
        <f t="shared" si="3"/>
        <v>189.67894832285168</v>
      </c>
    </row>
    <row r="8" spans="1:12" ht="15" customHeight="1">
      <c r="A8" s="74" t="s">
        <v>282</v>
      </c>
      <c r="B8" s="1">
        <v>7</v>
      </c>
      <c r="C8" s="74" t="s">
        <v>271</v>
      </c>
      <c r="D8" s="75" t="s">
        <v>283</v>
      </c>
      <c r="E8" s="75">
        <v>7665718</v>
      </c>
      <c r="F8" s="63">
        <f t="shared" si="4"/>
        <v>2298</v>
      </c>
      <c r="G8" s="63">
        <f t="shared" si="0"/>
        <v>0.4501358928527705</v>
      </c>
      <c r="H8" s="63">
        <f t="shared" si="5"/>
        <v>0.22896773494781203</v>
      </c>
      <c r="I8" s="76" t="str">
        <f t="shared" si="1"/>
        <v xml:space="preserve">40619 </v>
      </c>
      <c r="J8" s="76">
        <f t="shared" si="2"/>
        <v>7665718</v>
      </c>
      <c r="K8" s="77">
        <f>J8*'Inflation Rates by Year'!$C$2</f>
        <v>8668087.2856799997</v>
      </c>
      <c r="L8" s="78">
        <f t="shared" si="3"/>
        <v>213.39981992860484</v>
      </c>
    </row>
    <row r="9" spans="1:12" ht="15" customHeight="1">
      <c r="A9" s="74" t="s">
        <v>284</v>
      </c>
      <c r="B9" s="79">
        <v>8</v>
      </c>
      <c r="C9" s="74" t="s">
        <v>271</v>
      </c>
      <c r="D9" s="75" t="s">
        <v>285</v>
      </c>
      <c r="E9" s="75">
        <v>8971401</v>
      </c>
      <c r="F9" s="63">
        <f t="shared" si="4"/>
        <v>222</v>
      </c>
      <c r="G9" s="63">
        <f t="shared" si="0"/>
        <v>4.3485712886560071E-2</v>
      </c>
      <c r="H9" s="63">
        <f t="shared" si="5"/>
        <v>2.1772484009526537E-2</v>
      </c>
      <c r="I9" s="76" t="str">
        <f t="shared" si="1"/>
        <v xml:space="preserve">40841 </v>
      </c>
      <c r="J9" s="76">
        <f t="shared" si="2"/>
        <v>8971401</v>
      </c>
      <c r="K9" s="77">
        <f>J9*'Inflation Rates by Year'!$C$2</f>
        <v>10144501.39476</v>
      </c>
      <c r="L9" s="78">
        <f t="shared" si="3"/>
        <v>248.39013233662251</v>
      </c>
    </row>
    <row r="10" spans="1:12" ht="15" customHeight="1">
      <c r="A10" s="74" t="s">
        <v>286</v>
      </c>
      <c r="B10" s="79">
        <v>9</v>
      </c>
      <c r="C10" s="74" t="s">
        <v>271</v>
      </c>
      <c r="D10" s="75" t="s">
        <v>287</v>
      </c>
      <c r="E10" s="75">
        <v>9969724</v>
      </c>
      <c r="F10" s="63">
        <f t="shared" si="4"/>
        <v>14</v>
      </c>
      <c r="G10" s="63">
        <f t="shared" si="0"/>
        <v>2.7423422541073919E-3</v>
      </c>
      <c r="H10" s="63">
        <f t="shared" si="5"/>
        <v>1.3710536402988685E-3</v>
      </c>
      <c r="I10" s="76" t="str">
        <f t="shared" si="1"/>
        <v xml:space="preserve">40855 </v>
      </c>
      <c r="J10" s="76">
        <f t="shared" si="2"/>
        <v>9969724</v>
      </c>
      <c r="K10" s="77">
        <f>J10*'Inflation Rates by Year'!$C$2</f>
        <v>11273365.110239999</v>
      </c>
      <c r="L10" s="78">
        <f t="shared" si="3"/>
        <v>275.935995844817</v>
      </c>
    </row>
    <row r="11" spans="1:12" ht="15" customHeight="1">
      <c r="A11" s="74" t="s">
        <v>288</v>
      </c>
      <c r="B11" s="1">
        <v>10</v>
      </c>
      <c r="C11" s="74" t="s">
        <v>271</v>
      </c>
      <c r="D11" s="75" t="s">
        <v>287</v>
      </c>
      <c r="E11" s="75">
        <v>10997635</v>
      </c>
      <c r="F11" s="63">
        <f t="shared" si="4"/>
        <v>0</v>
      </c>
      <c r="G11" s="63">
        <f t="shared" si="0"/>
        <v>0</v>
      </c>
      <c r="H11" s="63">
        <f t="shared" si="5"/>
        <v>0</v>
      </c>
      <c r="I11" s="76" t="str">
        <f t="shared" si="1"/>
        <v xml:space="preserve">40855 </v>
      </c>
      <c r="J11" s="76">
        <f t="shared" si="2"/>
        <v>10997635</v>
      </c>
      <c r="K11" s="77">
        <f>J11*'Inflation Rates by Year'!$C$2</f>
        <v>12435685.752599999</v>
      </c>
      <c r="L11" s="78">
        <f t="shared" si="3"/>
        <v>304.38589530290051</v>
      </c>
    </row>
    <row r="12" spans="1:12" ht="15" customHeight="1">
      <c r="A12" s="74" t="s">
        <v>289</v>
      </c>
      <c r="B12" s="79">
        <v>11</v>
      </c>
      <c r="C12" s="74" t="s">
        <v>271</v>
      </c>
      <c r="D12" s="75" t="s">
        <v>287</v>
      </c>
      <c r="E12" s="75">
        <v>11936360</v>
      </c>
      <c r="F12" s="63">
        <f t="shared" si="4"/>
        <v>0</v>
      </c>
      <c r="G12" s="63">
        <f t="shared" si="0"/>
        <v>0</v>
      </c>
      <c r="H12" s="63">
        <f t="shared" si="5"/>
        <v>0</v>
      </c>
      <c r="I12" s="76" t="str">
        <f t="shared" si="1"/>
        <v xml:space="preserve">40855 </v>
      </c>
      <c r="J12" s="76">
        <f t="shared" si="2"/>
        <v>11936360</v>
      </c>
      <c r="K12" s="77">
        <f>J12*'Inflation Rates by Year'!$C$2</f>
        <v>13497158.433599999</v>
      </c>
      <c r="L12" s="78">
        <f t="shared" si="3"/>
        <v>330.36735855097294</v>
      </c>
    </row>
    <row r="13" spans="1:12" ht="15" customHeight="1">
      <c r="A13" s="74" t="s">
        <v>290</v>
      </c>
      <c r="B13" s="79">
        <v>12</v>
      </c>
      <c r="C13" s="74" t="s">
        <v>271</v>
      </c>
      <c r="D13" s="75" t="s">
        <v>287</v>
      </c>
      <c r="E13" s="75">
        <v>12797821</v>
      </c>
      <c r="F13" s="63">
        <f t="shared" si="4"/>
        <v>0</v>
      </c>
      <c r="G13" s="63">
        <f t="shared" si="0"/>
        <v>0</v>
      </c>
      <c r="H13" s="63">
        <f t="shared" si="5"/>
        <v>0</v>
      </c>
      <c r="I13" s="76" t="str">
        <f t="shared" si="1"/>
        <v xml:space="preserve">40855 </v>
      </c>
      <c r="J13" s="76">
        <f t="shared" si="2"/>
        <v>12797821</v>
      </c>
      <c r="K13" s="77">
        <f>J13*'Inflation Rates by Year'!$C$2</f>
        <v>14471264.073960001</v>
      </c>
      <c r="L13" s="78">
        <f t="shared" si="3"/>
        <v>354.2103555001836</v>
      </c>
    </row>
    <row r="14" spans="1:12" ht="15" customHeight="1">
      <c r="A14" s="74" t="s">
        <v>291</v>
      </c>
      <c r="B14" s="1">
        <v>13</v>
      </c>
      <c r="C14" s="74" t="s">
        <v>271</v>
      </c>
      <c r="D14" s="75" t="s">
        <v>287</v>
      </c>
      <c r="E14" s="75">
        <v>13071028</v>
      </c>
      <c r="F14" s="63">
        <f t="shared" si="4"/>
        <v>0</v>
      </c>
      <c r="G14" s="63">
        <f t="shared" si="0"/>
        <v>0</v>
      </c>
      <c r="H14" s="63">
        <f t="shared" si="5"/>
        <v>0</v>
      </c>
      <c r="I14" s="76" t="str">
        <f t="shared" si="1"/>
        <v xml:space="preserve">40855 </v>
      </c>
      <c r="J14" s="76">
        <f t="shared" si="2"/>
        <v>13071028</v>
      </c>
      <c r="K14" s="77">
        <f>J14*'Inflation Rates by Year'!$C$2</f>
        <v>14780195.62128</v>
      </c>
      <c r="L14" s="78">
        <f t="shared" si="3"/>
        <v>361.77201373834293</v>
      </c>
    </row>
    <row r="15" spans="1:12" ht="15" customHeight="1">
      <c r="A15" s="74" t="s">
        <v>292</v>
      </c>
      <c r="B15" s="79">
        <v>14</v>
      </c>
      <c r="C15" s="74" t="s">
        <v>271</v>
      </c>
      <c r="D15" s="75" t="s">
        <v>287</v>
      </c>
      <c r="E15" s="75">
        <v>13100000</v>
      </c>
      <c r="F15" s="63">
        <f t="shared" si="4"/>
        <v>0</v>
      </c>
      <c r="G15" s="63">
        <f t="shared" si="0"/>
        <v>0</v>
      </c>
      <c r="H15" s="63">
        <f t="shared" si="5"/>
        <v>0</v>
      </c>
      <c r="I15" s="76" t="str">
        <f t="shared" si="1"/>
        <v xml:space="preserve">40855 </v>
      </c>
      <c r="J15" s="76">
        <f t="shared" si="2"/>
        <v>13100000</v>
      </c>
      <c r="K15" s="77">
        <f>J15*'Inflation Rates by Year'!$C$2</f>
        <v>14812956</v>
      </c>
      <c r="L15" s="78">
        <f t="shared" si="3"/>
        <v>362.57388324562476</v>
      </c>
    </row>
    <row r="16" spans="1:12" ht="15" customHeight="1">
      <c r="A16" s="74" t="s">
        <v>293</v>
      </c>
      <c r="B16" s="79">
        <v>15</v>
      </c>
      <c r="C16" s="74" t="s">
        <v>271</v>
      </c>
      <c r="D16" s="75" t="s">
        <v>287</v>
      </c>
      <c r="E16" s="75">
        <v>13200000</v>
      </c>
      <c r="F16" s="63">
        <f t="shared" si="4"/>
        <v>0</v>
      </c>
      <c r="G16" s="63">
        <f t="shared" si="0"/>
        <v>0</v>
      </c>
      <c r="H16" s="63">
        <f t="shared" si="5"/>
        <v>0</v>
      </c>
      <c r="I16" s="76" t="str">
        <f t="shared" si="1"/>
        <v xml:space="preserve">40855 </v>
      </c>
      <c r="J16" s="76">
        <f t="shared" si="2"/>
        <v>13200000</v>
      </c>
      <c r="K16" s="77">
        <f>J16*'Inflation Rates by Year'!$C$2</f>
        <v>14926032</v>
      </c>
      <c r="L16" s="78">
        <f t="shared" si="3"/>
        <v>365.34162281238525</v>
      </c>
    </row>
    <row r="17" spans="1:12" ht="15" customHeight="1">
      <c r="A17" s="74"/>
      <c r="B17" s="79"/>
      <c r="D17" s="75"/>
      <c r="E17" s="75"/>
      <c r="F17" s="80"/>
      <c r="G17" s="80"/>
      <c r="H17" s="80"/>
      <c r="I17" s="62"/>
      <c r="J17" s="62"/>
      <c r="K17" s="4"/>
      <c r="L17" s="4"/>
    </row>
    <row r="18" spans="1:12" ht="15" customHeight="1">
      <c r="A18" s="74"/>
      <c r="B18" s="79"/>
      <c r="D18" s="75"/>
      <c r="E18" s="75"/>
      <c r="F18" s="80"/>
      <c r="G18" s="80"/>
      <c r="H18" s="80"/>
      <c r="I18" s="62"/>
      <c r="J18" s="62"/>
      <c r="K18" s="4"/>
      <c r="L18" s="4"/>
    </row>
    <row r="19" spans="1:12" ht="15" customHeight="1">
      <c r="A19" s="74"/>
      <c r="B19" s="79"/>
      <c r="D19" s="75"/>
      <c r="E19" s="75"/>
      <c r="F19" s="80"/>
      <c r="G19" s="80"/>
      <c r="H19" s="80"/>
      <c r="I19" s="62"/>
      <c r="J19" s="62"/>
      <c r="K19" s="4"/>
      <c r="L19" s="4"/>
    </row>
    <row r="20" spans="1:12" ht="15" customHeight="1">
      <c r="A20" s="74"/>
      <c r="B20" s="79"/>
      <c r="D20" s="75"/>
      <c r="E20" s="75"/>
      <c r="F20" s="80"/>
      <c r="G20" s="80"/>
      <c r="H20" s="80"/>
      <c r="I20" s="62"/>
      <c r="J20" s="62"/>
      <c r="K20" s="4"/>
      <c r="L20" s="4"/>
    </row>
    <row r="21" spans="1:12" ht="14.5">
      <c r="A21" s="74"/>
      <c r="B21" s="79"/>
      <c r="D21" s="75"/>
      <c r="E21" s="75"/>
      <c r="F21" s="80"/>
      <c r="G21" s="80"/>
      <c r="H21" s="80"/>
      <c r="I21" s="62"/>
      <c r="J21" s="62"/>
      <c r="K21" s="4"/>
      <c r="L21" s="4"/>
    </row>
    <row r="22" spans="1:12" ht="14.5">
      <c r="A22" s="74"/>
      <c r="B22" s="79"/>
      <c r="D22" s="75"/>
      <c r="E22" s="75"/>
      <c r="F22" s="80"/>
      <c r="G22" s="80"/>
      <c r="H22" s="80"/>
      <c r="I22" s="62"/>
      <c r="J22" s="62"/>
      <c r="K22" s="4"/>
      <c r="L22" s="4"/>
    </row>
    <row r="23" spans="1:12" ht="14.5">
      <c r="A23" s="74"/>
      <c r="B23" s="79"/>
      <c r="D23" s="75"/>
      <c r="E23" s="75"/>
      <c r="F23" s="80"/>
      <c r="G23" s="80"/>
      <c r="H23" s="80"/>
      <c r="I23" s="62"/>
      <c r="J23" s="62"/>
      <c r="K23" s="4"/>
      <c r="L23" s="4"/>
    </row>
    <row r="24" spans="1:12" ht="14.5">
      <c r="A24" s="74"/>
      <c r="B24" s="79"/>
      <c r="D24" s="75"/>
      <c r="E24" s="75"/>
      <c r="F24" s="80"/>
      <c r="G24" s="80"/>
      <c r="H24" s="80"/>
      <c r="I24" s="62"/>
      <c r="J24" s="62"/>
      <c r="K24" s="4"/>
      <c r="L24" s="4"/>
    </row>
    <row r="25" spans="1:12" ht="14.5">
      <c r="A25" s="74"/>
      <c r="B25" s="79"/>
      <c r="D25" s="75"/>
      <c r="E25" s="75"/>
      <c r="F25" s="80"/>
      <c r="G25" s="80"/>
      <c r="H25" s="80"/>
      <c r="I25" s="62"/>
      <c r="J25" s="62"/>
      <c r="K25" s="4"/>
      <c r="L25" s="4"/>
    </row>
    <row r="26" spans="1:12" ht="14.5">
      <c r="A26" s="74"/>
      <c r="B26" s="79"/>
      <c r="D26" s="75"/>
      <c r="E26" s="75"/>
      <c r="F26" s="80"/>
      <c r="G26" s="80"/>
      <c r="H26" s="80"/>
      <c r="I26" s="62"/>
      <c r="J26" s="62"/>
      <c r="K26" s="4"/>
      <c r="L26" s="4"/>
    </row>
    <row r="27" spans="1:12" ht="14.5">
      <c r="A27" s="74"/>
      <c r="B27" s="79"/>
      <c r="D27" s="75"/>
      <c r="E27" s="75"/>
      <c r="F27" s="80"/>
      <c r="G27" s="80"/>
      <c r="H27" s="80"/>
      <c r="I27" s="62"/>
      <c r="J27" s="62"/>
      <c r="K27" s="4"/>
      <c r="L27" s="4"/>
    </row>
    <row r="28" spans="1:12" ht="14.5">
      <c r="A28" s="74"/>
      <c r="B28" s="79"/>
      <c r="D28" s="75"/>
      <c r="E28" s="75"/>
      <c r="F28" s="80"/>
      <c r="G28" s="80"/>
      <c r="H28" s="80"/>
      <c r="I28" s="62"/>
      <c r="J28" s="62"/>
      <c r="K28" s="4"/>
      <c r="L28" s="4"/>
    </row>
    <row r="29" spans="1:12" ht="14.5">
      <c r="A29" s="74"/>
      <c r="B29" s="79"/>
      <c r="D29" s="75"/>
      <c r="E29" s="75"/>
      <c r="F29" s="80"/>
      <c r="G29" s="80"/>
      <c r="H29" s="80"/>
      <c r="I29" s="62"/>
      <c r="J29" s="62"/>
      <c r="K29" s="4"/>
      <c r="L29" s="4"/>
    </row>
    <row r="30" spans="1:12" ht="14.5">
      <c r="A30" s="74"/>
      <c r="B30" s="79"/>
      <c r="D30" s="75"/>
      <c r="E30" s="75"/>
      <c r="F30" s="80"/>
      <c r="G30" s="80"/>
      <c r="H30" s="80"/>
      <c r="I30" s="62"/>
      <c r="J30" s="62"/>
      <c r="K30" s="4"/>
      <c r="L30" s="4"/>
    </row>
    <row r="31" spans="1:12" ht="14.5">
      <c r="A31" s="74"/>
      <c r="B31" s="79"/>
      <c r="D31" s="75"/>
      <c r="E31" s="75"/>
      <c r="F31" s="80"/>
      <c r="G31" s="80"/>
      <c r="H31" s="80"/>
      <c r="I31" s="62"/>
      <c r="J31" s="62"/>
      <c r="K31" s="4"/>
      <c r="L31" s="4"/>
    </row>
    <row r="32" spans="1:12" ht="14.5">
      <c r="A32" s="74"/>
      <c r="B32" s="79"/>
      <c r="D32" s="75"/>
      <c r="E32" s="75"/>
      <c r="F32" s="80"/>
      <c r="G32" s="80"/>
      <c r="H32" s="80"/>
      <c r="I32" s="62"/>
      <c r="J32" s="62"/>
      <c r="K32" s="4"/>
      <c r="L32" s="4"/>
    </row>
    <row r="33" spans="1:12" ht="14.5">
      <c r="A33" s="74"/>
      <c r="B33" s="79"/>
      <c r="D33" s="75"/>
      <c r="E33" s="75"/>
      <c r="F33" s="80"/>
      <c r="G33" s="80"/>
      <c r="H33" s="80"/>
      <c r="I33" s="62"/>
      <c r="J33" s="62"/>
      <c r="K33" s="4"/>
      <c r="L33" s="4"/>
    </row>
    <row r="34" spans="1:12" ht="14.5">
      <c r="A34" s="74"/>
      <c r="B34" s="79"/>
      <c r="D34" s="75"/>
      <c r="E34" s="75"/>
      <c r="F34" s="80"/>
      <c r="G34" s="80"/>
      <c r="H34" s="80"/>
      <c r="I34" s="62"/>
      <c r="J34" s="62"/>
      <c r="K34" s="4"/>
      <c r="L34" s="4"/>
    </row>
    <row r="35" spans="1:12" ht="14.5">
      <c r="A35" s="74"/>
      <c r="B35" s="79"/>
      <c r="D35" s="75"/>
      <c r="E35" s="75"/>
      <c r="F35" s="80"/>
      <c r="G35" s="80"/>
      <c r="H35" s="80"/>
      <c r="I35" s="62"/>
      <c r="J35" s="62"/>
      <c r="K35" s="4"/>
      <c r="L35" s="4"/>
    </row>
    <row r="36" spans="1:12" ht="14.5">
      <c r="A36" s="74"/>
      <c r="B36" s="79"/>
      <c r="D36" s="75"/>
      <c r="E36" s="75"/>
      <c r="F36" s="80"/>
      <c r="G36" s="80"/>
      <c r="H36" s="80"/>
      <c r="I36" s="62"/>
      <c r="J36" s="62"/>
      <c r="K36" s="4"/>
      <c r="L36" s="4"/>
    </row>
    <row r="37" spans="1:12" ht="14.5">
      <c r="A37" s="74"/>
      <c r="B37" s="79"/>
      <c r="D37" s="75"/>
      <c r="E37" s="75"/>
      <c r="F37" s="80"/>
      <c r="G37" s="80"/>
      <c r="H37" s="80"/>
      <c r="I37" s="62"/>
      <c r="J37" s="62"/>
      <c r="K37" s="4"/>
      <c r="L37" s="4"/>
    </row>
    <row r="38" spans="1:12" ht="14.5">
      <c r="A38" s="74"/>
      <c r="B38" s="79"/>
      <c r="D38" s="75"/>
      <c r="E38" s="75"/>
      <c r="F38" s="80"/>
      <c r="G38" s="80"/>
      <c r="H38" s="80"/>
      <c r="I38" s="62"/>
      <c r="J38" s="62"/>
      <c r="K38" s="4"/>
      <c r="L38" s="4"/>
    </row>
    <row r="39" spans="1:12" ht="14.5">
      <c r="A39" s="74"/>
      <c r="B39" s="79"/>
      <c r="D39" s="75"/>
      <c r="E39" s="75"/>
      <c r="F39" s="80"/>
      <c r="G39" s="80"/>
      <c r="H39" s="80"/>
      <c r="I39" s="62"/>
      <c r="J39" s="62"/>
      <c r="K39" s="4"/>
      <c r="L39" s="4"/>
    </row>
    <row r="40" spans="1:12" ht="14.5">
      <c r="A40" s="74"/>
      <c r="B40" s="79"/>
      <c r="D40" s="75"/>
      <c r="E40" s="75"/>
      <c r="F40" s="80"/>
      <c r="G40" s="80"/>
      <c r="H40" s="80"/>
      <c r="I40" s="62"/>
      <c r="J40" s="62"/>
      <c r="K40" s="4"/>
      <c r="L40" s="4"/>
    </row>
    <row r="41" spans="1:12" ht="14.5">
      <c r="A41" s="74"/>
      <c r="B41" s="79"/>
      <c r="D41" s="75"/>
      <c r="E41" s="75"/>
      <c r="F41" s="80"/>
      <c r="G41" s="80"/>
      <c r="H41" s="80"/>
      <c r="I41" s="62"/>
      <c r="J41" s="62"/>
      <c r="K41" s="4"/>
      <c r="L41" s="4"/>
    </row>
    <row r="42" spans="1:12" ht="14.5">
      <c r="A42" s="74"/>
      <c r="B42" s="79"/>
      <c r="D42" s="75"/>
      <c r="E42" s="75"/>
      <c r="F42" s="80"/>
      <c r="G42" s="80"/>
      <c r="H42" s="80"/>
      <c r="I42" s="62"/>
      <c r="J42" s="62"/>
      <c r="K42" s="4"/>
      <c r="L42" s="4"/>
    </row>
    <row r="43" spans="1:12" ht="14.5">
      <c r="A43" s="74"/>
      <c r="B43" s="79"/>
      <c r="D43" s="75"/>
      <c r="E43" s="75"/>
      <c r="F43" s="80"/>
      <c r="G43" s="80"/>
      <c r="H43" s="80"/>
      <c r="I43" s="62"/>
      <c r="J43" s="62"/>
      <c r="K43" s="4"/>
      <c r="L43" s="4"/>
    </row>
    <row r="44" spans="1:12" ht="14.5">
      <c r="A44" s="74"/>
      <c r="B44" s="79"/>
      <c r="D44" s="75"/>
      <c r="E44" s="75"/>
      <c r="F44" s="80"/>
      <c r="G44" s="80"/>
      <c r="H44" s="80"/>
      <c r="I44" s="62"/>
      <c r="J44" s="62"/>
      <c r="K44" s="4"/>
      <c r="L44" s="4"/>
    </row>
    <row r="45" spans="1:12" ht="14.5">
      <c r="A45" s="74"/>
      <c r="B45" s="79"/>
      <c r="D45" s="75"/>
      <c r="E45" s="75"/>
      <c r="F45" s="80"/>
      <c r="G45" s="80"/>
      <c r="H45" s="80"/>
      <c r="I45" s="62"/>
      <c r="J45" s="62"/>
      <c r="K45" s="4"/>
      <c r="L45" s="4"/>
    </row>
    <row r="46" spans="1:12" ht="14.5">
      <c r="A46" s="74"/>
      <c r="B46" s="79"/>
      <c r="D46" s="75"/>
      <c r="E46" s="75"/>
      <c r="F46" s="80"/>
      <c r="G46" s="80"/>
      <c r="H46" s="80"/>
      <c r="I46" s="62"/>
      <c r="J46" s="62"/>
      <c r="K46" s="4"/>
      <c r="L46" s="4"/>
    </row>
    <row r="47" spans="1:12" ht="14.5">
      <c r="A47" s="74"/>
      <c r="B47" s="79"/>
      <c r="D47" s="75"/>
      <c r="E47" s="75"/>
      <c r="F47" s="80"/>
      <c r="G47" s="80"/>
      <c r="H47" s="80"/>
      <c r="I47" s="62"/>
      <c r="J47" s="62"/>
      <c r="K47" s="4"/>
      <c r="L47" s="4"/>
    </row>
    <row r="48" spans="1:12" ht="14.5">
      <c r="A48" s="74"/>
      <c r="B48" s="79"/>
      <c r="D48" s="75"/>
      <c r="E48" s="75"/>
      <c r="F48" s="80"/>
      <c r="G48" s="80"/>
      <c r="H48" s="80"/>
      <c r="I48" s="62"/>
      <c r="J48" s="62"/>
      <c r="K48" s="4"/>
      <c r="L48" s="4"/>
    </row>
    <row r="49" spans="1:12" ht="14.5">
      <c r="A49" s="74"/>
      <c r="B49" s="79"/>
      <c r="D49" s="75"/>
      <c r="E49" s="75"/>
      <c r="F49" s="80"/>
      <c r="G49" s="80"/>
      <c r="H49" s="80"/>
      <c r="I49" s="62"/>
      <c r="J49" s="62"/>
      <c r="K49" s="4"/>
      <c r="L49" s="4"/>
    </row>
    <row r="50" spans="1:12" ht="14.5">
      <c r="A50" s="74"/>
      <c r="B50" s="79"/>
      <c r="D50" s="75"/>
      <c r="E50" s="75"/>
      <c r="F50" s="80"/>
      <c r="G50" s="80"/>
      <c r="H50" s="80"/>
      <c r="I50" s="62"/>
      <c r="J50" s="62"/>
      <c r="K50" s="4"/>
      <c r="L50" s="4"/>
    </row>
    <row r="51" spans="1:12" ht="14.5">
      <c r="A51" s="74"/>
      <c r="B51" s="79"/>
      <c r="D51" s="75"/>
      <c r="E51" s="75"/>
      <c r="F51" s="80"/>
      <c r="G51" s="80"/>
      <c r="H51" s="80"/>
      <c r="I51" s="62"/>
      <c r="J51" s="62"/>
      <c r="K51" s="4"/>
      <c r="L51" s="4"/>
    </row>
    <row r="52" spans="1:12" ht="14.5">
      <c r="A52" s="74"/>
      <c r="B52" s="79"/>
      <c r="D52" s="75"/>
      <c r="E52" s="75"/>
      <c r="F52" s="80"/>
      <c r="G52" s="80"/>
      <c r="H52" s="80"/>
      <c r="I52" s="62"/>
      <c r="J52" s="62"/>
      <c r="K52" s="4"/>
      <c r="L52" s="4"/>
    </row>
    <row r="53" spans="1:12" ht="14.5">
      <c r="A53" s="74"/>
      <c r="B53" s="79"/>
      <c r="D53" s="75"/>
      <c r="E53" s="75"/>
      <c r="F53" s="80"/>
      <c r="G53" s="80"/>
      <c r="H53" s="80"/>
      <c r="I53" s="62"/>
      <c r="J53" s="62"/>
      <c r="K53" s="4"/>
      <c r="L53" s="4"/>
    </row>
    <row r="54" spans="1:12" ht="14.5">
      <c r="A54" s="74"/>
      <c r="B54" s="79"/>
      <c r="D54" s="75"/>
      <c r="E54" s="75"/>
      <c r="F54" s="80"/>
      <c r="G54" s="80"/>
      <c r="H54" s="80"/>
      <c r="I54" s="62"/>
      <c r="J54" s="62"/>
      <c r="K54" s="4"/>
      <c r="L54" s="4"/>
    </row>
    <row r="55" spans="1:12" ht="14.5">
      <c r="A55" s="74"/>
      <c r="B55" s="79"/>
      <c r="D55" s="75"/>
      <c r="E55" s="75"/>
      <c r="F55" s="80"/>
      <c r="G55" s="80"/>
      <c r="H55" s="80"/>
      <c r="I55" s="62"/>
      <c r="J55" s="62"/>
      <c r="K55" s="4"/>
      <c r="L55" s="4"/>
    </row>
    <row r="56" spans="1:12" ht="14.5">
      <c r="A56" s="74"/>
      <c r="B56" s="79"/>
      <c r="D56" s="75"/>
      <c r="E56" s="75"/>
      <c r="F56" s="80"/>
      <c r="G56" s="80"/>
      <c r="H56" s="80"/>
      <c r="I56" s="62"/>
      <c r="J56" s="62"/>
      <c r="K56" s="4"/>
      <c r="L56" s="4"/>
    </row>
    <row r="57" spans="1:12" ht="14.5">
      <c r="A57" s="74"/>
      <c r="B57" s="79"/>
      <c r="D57" s="75"/>
      <c r="E57" s="75"/>
      <c r="F57" s="80"/>
      <c r="G57" s="80"/>
      <c r="H57" s="80"/>
      <c r="I57" s="62"/>
      <c r="J57" s="62"/>
      <c r="K57" s="4"/>
      <c r="L57" s="4"/>
    </row>
    <row r="58" spans="1:12" ht="14.5">
      <c r="A58" s="74"/>
      <c r="B58" s="79"/>
      <c r="D58" s="75"/>
      <c r="E58" s="75"/>
      <c r="F58" s="80"/>
      <c r="G58" s="80"/>
      <c r="H58" s="80"/>
      <c r="I58" s="62"/>
      <c r="J58" s="62"/>
      <c r="K58" s="4"/>
      <c r="L58" s="4"/>
    </row>
    <row r="59" spans="1:12" ht="14.5">
      <c r="A59" s="74"/>
      <c r="B59" s="79"/>
      <c r="D59" s="75"/>
      <c r="E59" s="75"/>
      <c r="F59" s="80"/>
      <c r="G59" s="80"/>
      <c r="H59" s="80"/>
      <c r="I59" s="62"/>
      <c r="J59" s="62"/>
      <c r="K59" s="4"/>
      <c r="L59" s="4"/>
    </row>
    <row r="60" spans="1:12" ht="14.5">
      <c r="A60" s="74"/>
      <c r="B60" s="79"/>
      <c r="D60" s="75"/>
      <c r="E60" s="75"/>
      <c r="F60" s="80"/>
      <c r="G60" s="80"/>
      <c r="H60" s="80"/>
      <c r="I60" s="62"/>
      <c r="J60" s="62"/>
      <c r="K60" s="4"/>
      <c r="L60" s="4"/>
    </row>
    <row r="61" spans="1:12" ht="14.5">
      <c r="A61" s="74"/>
      <c r="B61" s="79"/>
      <c r="D61" s="75"/>
      <c r="E61" s="75"/>
      <c r="F61" s="80"/>
      <c r="G61" s="80"/>
      <c r="H61" s="80"/>
      <c r="I61" s="62"/>
      <c r="J61" s="62"/>
      <c r="K61" s="4"/>
      <c r="L61" s="4"/>
    </row>
    <row r="62" spans="1:12" ht="14.5">
      <c r="A62" s="74"/>
      <c r="B62" s="79"/>
      <c r="D62" s="75"/>
      <c r="E62" s="75"/>
      <c r="F62" s="80"/>
      <c r="G62" s="80"/>
      <c r="H62" s="80"/>
      <c r="I62" s="62"/>
      <c r="J62" s="62"/>
      <c r="K62" s="4"/>
      <c r="L62" s="4"/>
    </row>
    <row r="63" spans="1:12" ht="14.5">
      <c r="A63" s="74"/>
      <c r="B63" s="79"/>
      <c r="D63" s="75"/>
      <c r="E63" s="75"/>
      <c r="F63" s="80"/>
      <c r="G63" s="80"/>
      <c r="H63" s="80"/>
      <c r="I63" s="62"/>
      <c r="J63" s="62"/>
      <c r="K63" s="4"/>
      <c r="L63" s="4"/>
    </row>
    <row r="64" spans="1:12" ht="14.5">
      <c r="A64" s="74"/>
      <c r="B64" s="79"/>
      <c r="D64" s="75"/>
      <c r="E64" s="75"/>
      <c r="F64" s="80"/>
      <c r="G64" s="80"/>
      <c r="H64" s="80"/>
      <c r="I64" s="62"/>
      <c r="J64" s="62"/>
      <c r="K64" s="4"/>
      <c r="L64" s="4"/>
    </row>
    <row r="65" spans="1:12" ht="14.5">
      <c r="A65" s="74"/>
      <c r="B65" s="79"/>
      <c r="D65" s="75"/>
      <c r="E65" s="75"/>
      <c r="F65" s="80"/>
      <c r="G65" s="80"/>
      <c r="H65" s="80"/>
      <c r="I65" s="62"/>
      <c r="J65" s="62"/>
      <c r="K65" s="4"/>
      <c r="L65" s="4"/>
    </row>
    <row r="66" spans="1:12" ht="14.5">
      <c r="A66" s="74"/>
      <c r="B66" s="79"/>
      <c r="D66" s="75"/>
      <c r="E66" s="75"/>
      <c r="F66" s="80"/>
      <c r="G66" s="80"/>
      <c r="H66" s="80"/>
      <c r="I66" s="62"/>
      <c r="J66" s="62"/>
      <c r="K66" s="4"/>
      <c r="L66" s="4"/>
    </row>
    <row r="67" spans="1:12" ht="14.5">
      <c r="A67" s="74"/>
      <c r="B67" s="79"/>
      <c r="D67" s="75"/>
      <c r="E67" s="75"/>
      <c r="F67" s="80"/>
      <c r="G67" s="80"/>
      <c r="H67" s="80"/>
      <c r="I67" s="62"/>
      <c r="J67" s="62"/>
      <c r="K67" s="4"/>
      <c r="L67" s="4"/>
    </row>
    <row r="68" spans="1:12" ht="14.5">
      <c r="A68" s="74"/>
      <c r="B68" s="79"/>
      <c r="D68" s="75"/>
      <c r="E68" s="75"/>
      <c r="F68" s="80"/>
      <c r="G68" s="80"/>
      <c r="H68" s="80"/>
      <c r="I68" s="62"/>
      <c r="J68" s="62"/>
      <c r="K68" s="4"/>
      <c r="L68" s="4"/>
    </row>
    <row r="69" spans="1:12" ht="14.5">
      <c r="A69" s="74"/>
      <c r="B69" s="79"/>
      <c r="D69" s="75"/>
      <c r="E69" s="75"/>
      <c r="F69" s="80"/>
      <c r="G69" s="80"/>
      <c r="H69" s="80"/>
      <c r="I69" s="62"/>
      <c r="J69" s="62"/>
      <c r="K69" s="4"/>
      <c r="L69" s="4"/>
    </row>
    <row r="70" spans="1:12" ht="14.5">
      <c r="A70" s="74"/>
      <c r="B70" s="79"/>
      <c r="D70" s="75"/>
      <c r="E70" s="75"/>
      <c r="F70" s="80"/>
      <c r="G70" s="80"/>
      <c r="H70" s="80"/>
      <c r="I70" s="62"/>
      <c r="J70" s="62"/>
      <c r="K70" s="4"/>
      <c r="L70" s="4"/>
    </row>
    <row r="71" spans="1:12" ht="14.5">
      <c r="A71" s="74"/>
      <c r="B71" s="79"/>
      <c r="D71" s="75"/>
      <c r="E71" s="75"/>
      <c r="F71" s="80"/>
      <c r="G71" s="80"/>
      <c r="H71" s="80"/>
      <c r="I71" s="62"/>
      <c r="J71" s="62"/>
      <c r="K71" s="4"/>
      <c r="L71" s="4"/>
    </row>
    <row r="72" spans="1:12" ht="14.5">
      <c r="A72" s="74"/>
      <c r="B72" s="79"/>
      <c r="D72" s="75"/>
      <c r="E72" s="75"/>
      <c r="F72" s="80"/>
      <c r="G72" s="80"/>
      <c r="H72" s="80"/>
      <c r="I72" s="62"/>
      <c r="J72" s="62"/>
      <c r="K72" s="4"/>
      <c r="L72" s="4"/>
    </row>
    <row r="73" spans="1:12" ht="14.5">
      <c r="A73" s="74"/>
      <c r="B73" s="79"/>
      <c r="D73" s="75"/>
      <c r="E73" s="75"/>
      <c r="F73" s="80"/>
      <c r="G73" s="80"/>
      <c r="H73" s="80"/>
      <c r="I73" s="62"/>
      <c r="J73" s="62"/>
      <c r="K73" s="4"/>
      <c r="L73" s="4"/>
    </row>
    <row r="74" spans="1:12" ht="14.5">
      <c r="A74" s="74"/>
      <c r="B74" s="79"/>
      <c r="D74" s="75"/>
      <c r="E74" s="75"/>
      <c r="F74" s="80"/>
      <c r="G74" s="80"/>
      <c r="H74" s="80"/>
      <c r="I74" s="62"/>
      <c r="J74" s="62"/>
      <c r="K74" s="4"/>
      <c r="L74" s="4"/>
    </row>
    <row r="75" spans="1:12" ht="14.5">
      <c r="A75" s="74"/>
      <c r="B75" s="79"/>
      <c r="D75" s="75"/>
      <c r="E75" s="75"/>
      <c r="F75" s="80"/>
      <c r="G75" s="80"/>
      <c r="H75" s="80"/>
      <c r="I75" s="62"/>
      <c r="J75" s="62"/>
      <c r="K75" s="4"/>
      <c r="L75" s="4"/>
    </row>
    <row r="76" spans="1:12" ht="14.5">
      <c r="A76" s="74"/>
      <c r="B76" s="79"/>
      <c r="D76" s="75"/>
      <c r="E76" s="75"/>
      <c r="F76" s="80"/>
      <c r="G76" s="80"/>
      <c r="H76" s="80"/>
      <c r="I76" s="62"/>
      <c r="J76" s="62"/>
      <c r="K76" s="4"/>
      <c r="L76" s="4"/>
    </row>
    <row r="77" spans="1:12" ht="14.5">
      <c r="A77" s="74"/>
      <c r="B77" s="79"/>
      <c r="D77" s="75"/>
      <c r="E77" s="75"/>
      <c r="F77" s="80"/>
      <c r="G77" s="80"/>
      <c r="H77" s="80"/>
      <c r="I77" s="62"/>
      <c r="J77" s="62"/>
      <c r="K77" s="4"/>
      <c r="L77" s="4"/>
    </row>
    <row r="78" spans="1:12" ht="14.5">
      <c r="A78" s="74"/>
      <c r="B78" s="79"/>
      <c r="D78" s="75"/>
      <c r="E78" s="75"/>
      <c r="F78" s="80"/>
      <c r="G78" s="80"/>
      <c r="H78" s="80"/>
      <c r="I78" s="62"/>
      <c r="J78" s="62"/>
      <c r="K78" s="4"/>
      <c r="L78" s="4"/>
    </row>
    <row r="79" spans="1:12" ht="14.5">
      <c r="A79" s="74"/>
      <c r="B79" s="79"/>
      <c r="D79" s="75"/>
      <c r="E79" s="75"/>
      <c r="F79" s="80"/>
      <c r="G79" s="80"/>
      <c r="H79" s="80"/>
      <c r="I79" s="62"/>
      <c r="J79" s="62"/>
      <c r="K79" s="4"/>
      <c r="L79" s="4"/>
    </row>
    <row r="80" spans="1:12" ht="14.5">
      <c r="A80" s="74"/>
      <c r="B80" s="79"/>
      <c r="D80" s="75"/>
      <c r="E80" s="75"/>
      <c r="F80" s="80"/>
      <c r="G80" s="80"/>
      <c r="H80" s="80"/>
      <c r="I80" s="62"/>
      <c r="J80" s="62"/>
      <c r="K80" s="4"/>
      <c r="L80" s="4"/>
    </row>
    <row r="81" spans="1:12" ht="14.5">
      <c r="A81" s="74"/>
      <c r="B81" s="79"/>
      <c r="D81" s="75"/>
      <c r="E81" s="75"/>
      <c r="F81" s="80"/>
      <c r="G81" s="80"/>
      <c r="H81" s="80"/>
      <c r="I81" s="62"/>
      <c r="J81" s="62"/>
      <c r="K81" s="4"/>
      <c r="L81" s="4"/>
    </row>
    <row r="82" spans="1:12" ht="14.5">
      <c r="A82" s="74"/>
      <c r="B82" s="79"/>
      <c r="D82" s="75"/>
      <c r="E82" s="75"/>
      <c r="F82" s="80"/>
      <c r="G82" s="80"/>
      <c r="H82" s="80"/>
      <c r="I82" s="62"/>
      <c r="J82" s="62"/>
      <c r="K82" s="4"/>
      <c r="L82" s="4"/>
    </row>
    <row r="83" spans="1:12" ht="14.5">
      <c r="A83" s="74"/>
      <c r="B83" s="79"/>
      <c r="D83" s="75"/>
      <c r="E83" s="75"/>
      <c r="F83" s="80"/>
      <c r="G83" s="80"/>
      <c r="H83" s="80"/>
      <c r="I83" s="62"/>
      <c r="J83" s="62"/>
      <c r="K83" s="4"/>
      <c r="L83" s="4"/>
    </row>
    <row r="84" spans="1:12" ht="14.5">
      <c r="A84" s="74"/>
      <c r="B84" s="79"/>
      <c r="D84" s="75"/>
      <c r="E84" s="75"/>
      <c r="F84" s="80"/>
      <c r="G84" s="80"/>
      <c r="H84" s="80"/>
      <c r="I84" s="62"/>
      <c r="J84" s="62"/>
      <c r="K84" s="4"/>
      <c r="L84" s="4"/>
    </row>
    <row r="85" spans="1:12" ht="14.5">
      <c r="A85" s="74"/>
      <c r="B85" s="79"/>
      <c r="D85" s="75"/>
      <c r="E85" s="75"/>
      <c r="F85" s="80"/>
      <c r="G85" s="80"/>
      <c r="H85" s="80"/>
      <c r="I85" s="62"/>
      <c r="J85" s="62"/>
      <c r="K85" s="4"/>
      <c r="L85" s="4"/>
    </row>
    <row r="86" spans="1:12" ht="14.5">
      <c r="A86" s="74"/>
      <c r="B86" s="79"/>
      <c r="D86" s="75"/>
      <c r="E86" s="75"/>
      <c r="F86" s="80"/>
      <c r="G86" s="80"/>
      <c r="H86" s="80"/>
      <c r="I86" s="62"/>
      <c r="J86" s="62"/>
      <c r="K86" s="4"/>
      <c r="L86" s="4"/>
    </row>
    <row r="87" spans="1:12" ht="14.5">
      <c r="A87" s="74"/>
      <c r="B87" s="79"/>
      <c r="D87" s="75"/>
      <c r="E87" s="75"/>
      <c r="F87" s="80"/>
      <c r="G87" s="80"/>
      <c r="H87" s="80"/>
      <c r="I87" s="62"/>
      <c r="J87" s="62"/>
      <c r="K87" s="4"/>
      <c r="L87" s="4"/>
    </row>
    <row r="88" spans="1:12" ht="14.5">
      <c r="A88" s="74"/>
      <c r="B88" s="79"/>
      <c r="D88" s="75"/>
      <c r="E88" s="75"/>
      <c r="F88" s="80"/>
      <c r="G88" s="80"/>
      <c r="H88" s="80"/>
      <c r="I88" s="62"/>
      <c r="J88" s="62"/>
      <c r="K88" s="4"/>
      <c r="L88" s="4"/>
    </row>
    <row r="89" spans="1:12" ht="14.5">
      <c r="A89" s="74"/>
      <c r="B89" s="79"/>
      <c r="D89" s="75"/>
      <c r="E89" s="75"/>
      <c r="F89" s="80"/>
      <c r="G89" s="80"/>
      <c r="H89" s="80"/>
      <c r="I89" s="62"/>
      <c r="J89" s="62"/>
      <c r="K89" s="4"/>
      <c r="L89" s="4"/>
    </row>
    <row r="90" spans="1:12" ht="14.5">
      <c r="A90" s="74"/>
      <c r="B90" s="79"/>
      <c r="D90" s="75"/>
      <c r="E90" s="75"/>
    </row>
    <row r="91" spans="1:12" ht="14.5">
      <c r="A91" s="74"/>
      <c r="B91" s="79"/>
      <c r="D91" s="75"/>
      <c r="E91" s="75"/>
    </row>
    <row r="92" spans="1:12" ht="14.5">
      <c r="A92" s="74"/>
      <c r="B92" s="79"/>
      <c r="D92" s="75"/>
      <c r="E92" s="75"/>
    </row>
    <row r="93" spans="1:12" ht="14.5">
      <c r="A93" s="74"/>
      <c r="B93" s="79"/>
      <c r="D93" s="75"/>
      <c r="E93" s="75"/>
    </row>
    <row r="94" spans="1:12" ht="14.5">
      <c r="A94" s="74"/>
      <c r="B94" s="79"/>
      <c r="D94" s="75"/>
      <c r="E94" s="75"/>
    </row>
    <row r="95" spans="1:12" ht="14.5">
      <c r="A95" s="74"/>
      <c r="B95" s="79"/>
      <c r="D95" s="75"/>
      <c r="E95" s="75"/>
    </row>
    <row r="96" spans="1:12" ht="14.5">
      <c r="A96" s="74"/>
      <c r="B96" s="79"/>
      <c r="D96" s="75"/>
      <c r="E96" s="75"/>
    </row>
    <row r="97" spans="1:5" ht="14.5">
      <c r="A97" s="74"/>
      <c r="B97" s="79"/>
      <c r="D97" s="75"/>
      <c r="E97" s="75"/>
    </row>
    <row r="98" spans="1:5" ht="14.5">
      <c r="A98" s="74"/>
      <c r="B98" s="79"/>
      <c r="D98" s="75"/>
      <c r="E98" s="75"/>
    </row>
    <row r="99" spans="1:5" ht="14.5">
      <c r="A99" s="74"/>
      <c r="B99" s="79"/>
      <c r="D99" s="75"/>
      <c r="E99" s="75"/>
    </row>
    <row r="100" spans="1:5" ht="14.5">
      <c r="A100" s="74"/>
      <c r="B100" s="79"/>
      <c r="D100" s="75"/>
      <c r="E100" s="75"/>
    </row>
    <row r="101" spans="1:5" ht="14.5">
      <c r="A101" s="74"/>
      <c r="B101" s="79"/>
      <c r="D101" s="75"/>
      <c r="E101" s="75"/>
    </row>
    <row r="102" spans="1:5" ht="14.5">
      <c r="A102" s="74"/>
      <c r="B102" s="79"/>
      <c r="D102" s="75"/>
      <c r="E102" s="75"/>
    </row>
    <row r="103" spans="1:5" ht="14.5">
      <c r="A103" s="74"/>
      <c r="B103" s="79"/>
      <c r="D103" s="75"/>
      <c r="E103" s="75"/>
    </row>
    <row r="104" spans="1:5" ht="14.5">
      <c r="A104" s="74"/>
      <c r="B104" s="79"/>
      <c r="D104" s="75"/>
      <c r="E104" s="75"/>
    </row>
    <row r="105" spans="1:5" ht="14.5">
      <c r="A105" s="74"/>
      <c r="B105" s="79"/>
      <c r="D105" s="75"/>
      <c r="E105" s="75"/>
    </row>
    <row r="106" spans="1:5" ht="14.5">
      <c r="A106" s="74"/>
      <c r="B106" s="79"/>
      <c r="D106" s="75"/>
      <c r="E106" s="75"/>
    </row>
    <row r="107" spans="1:5" ht="14.5">
      <c r="A107" s="74"/>
      <c r="B107" s="79"/>
      <c r="D107" s="75"/>
      <c r="E107" s="75"/>
    </row>
    <row r="108" spans="1:5" ht="14.5">
      <c r="A108" s="74"/>
      <c r="B108" s="79"/>
      <c r="D108" s="75"/>
      <c r="E108" s="75"/>
    </row>
    <row r="109" spans="1:5" ht="14.5">
      <c r="A109" s="74"/>
      <c r="B109" s="79"/>
      <c r="D109" s="75"/>
      <c r="E109" s="75"/>
    </row>
    <row r="110" spans="1:5" ht="14.5">
      <c r="A110" s="74"/>
      <c r="B110" s="79"/>
      <c r="D110" s="75"/>
      <c r="E110" s="75"/>
    </row>
    <row r="111" spans="1:5" ht="14.5">
      <c r="A111" s="74"/>
      <c r="B111" s="79"/>
      <c r="D111" s="75"/>
      <c r="E111" s="75"/>
    </row>
    <row r="112" spans="1:5" ht="14.5">
      <c r="A112" s="74"/>
      <c r="B112" s="79"/>
      <c r="D112" s="75"/>
      <c r="E112" s="75"/>
    </row>
    <row r="113" spans="1:5" ht="14.5">
      <c r="A113" s="74"/>
      <c r="B113" s="79"/>
      <c r="D113" s="75"/>
      <c r="E113" s="75"/>
    </row>
    <row r="114" spans="1:5" ht="14.5">
      <c r="A114" s="74"/>
      <c r="B114" s="79"/>
      <c r="D114" s="75"/>
      <c r="E114" s="75"/>
    </row>
    <row r="115" spans="1:5" ht="14.5">
      <c r="A115" s="74"/>
      <c r="B115" s="79"/>
      <c r="D115" s="75"/>
      <c r="E115" s="75"/>
    </row>
    <row r="116" spans="1:5" ht="14.5">
      <c r="A116" s="74"/>
      <c r="B116" s="79"/>
      <c r="D116" s="75"/>
      <c r="E116" s="75"/>
    </row>
    <row r="117" spans="1:5" ht="14.5">
      <c r="A117" s="74"/>
      <c r="B117" s="79"/>
      <c r="D117" s="75"/>
      <c r="E117" s="75"/>
    </row>
    <row r="118" spans="1:5" ht="14.5">
      <c r="A118" s="74"/>
      <c r="B118" s="79"/>
      <c r="D118" s="75"/>
      <c r="E118" s="75"/>
    </row>
    <row r="119" spans="1:5" ht="14.5">
      <c r="A119" s="74"/>
      <c r="B119" s="79"/>
      <c r="D119" s="75"/>
      <c r="E119" s="75"/>
    </row>
    <row r="120" spans="1:5" ht="14.5">
      <c r="A120" s="74"/>
      <c r="B120" s="79"/>
      <c r="D120" s="75"/>
      <c r="E120" s="75"/>
    </row>
    <row r="121" spans="1:5" ht="14.5">
      <c r="A121" s="74"/>
      <c r="B121" s="79"/>
      <c r="D121" s="75"/>
      <c r="E121" s="75"/>
    </row>
    <row r="122" spans="1:5" ht="14.5">
      <c r="A122" s="74"/>
      <c r="B122" s="79"/>
      <c r="D122" s="75"/>
      <c r="E122" s="75"/>
    </row>
    <row r="123" spans="1:5" ht="14.5">
      <c r="A123" s="74"/>
      <c r="B123" s="79"/>
      <c r="D123" s="75"/>
      <c r="E123" s="75"/>
    </row>
    <row r="124" spans="1:5" ht="14.5">
      <c r="A124" s="74"/>
      <c r="B124" s="79"/>
      <c r="D124" s="75"/>
      <c r="E124" s="75"/>
    </row>
    <row r="125" spans="1:5" ht="14.5">
      <c r="A125" s="74"/>
      <c r="B125" s="79"/>
      <c r="D125" s="75"/>
      <c r="E125" s="75"/>
    </row>
    <row r="126" spans="1:5" ht="14.5">
      <c r="A126" s="74"/>
      <c r="B126" s="79"/>
      <c r="D126" s="75"/>
      <c r="E126" s="75"/>
    </row>
    <row r="127" spans="1:5" ht="14.5">
      <c r="A127" s="74"/>
      <c r="B127" s="79"/>
      <c r="D127" s="75"/>
      <c r="E127" s="75"/>
    </row>
    <row r="128" spans="1:5" ht="14.5">
      <c r="A128" s="74"/>
      <c r="B128" s="79"/>
      <c r="D128" s="75"/>
      <c r="E128" s="75"/>
    </row>
    <row r="129" spans="1:5" ht="14.5">
      <c r="A129" s="74"/>
      <c r="B129" s="79"/>
      <c r="D129" s="75"/>
      <c r="E129" s="75"/>
    </row>
    <row r="130" spans="1:5" ht="14.5">
      <c r="A130" s="74"/>
      <c r="B130" s="79"/>
      <c r="D130" s="75"/>
      <c r="E130" s="75"/>
    </row>
    <row r="131" spans="1:5" ht="14.5">
      <c r="A131" s="74"/>
      <c r="B131" s="79"/>
      <c r="D131" s="75"/>
      <c r="E131" s="75"/>
    </row>
    <row r="132" spans="1:5" ht="14.5">
      <c r="A132" s="74"/>
      <c r="B132" s="79"/>
      <c r="D132" s="75"/>
      <c r="E132" s="75"/>
    </row>
    <row r="133" spans="1:5" ht="14.5">
      <c r="A133" s="74"/>
      <c r="B133" s="79"/>
      <c r="D133" s="75"/>
      <c r="E133" s="75"/>
    </row>
    <row r="134" spans="1:5" ht="14.5">
      <c r="A134" s="74"/>
      <c r="B134" s="79"/>
      <c r="D134" s="75"/>
      <c r="E134" s="75"/>
    </row>
    <row r="135" spans="1:5" ht="14.5">
      <c r="A135" s="74"/>
      <c r="B135" s="79"/>
      <c r="D135" s="75"/>
      <c r="E135" s="75"/>
    </row>
    <row r="136" spans="1:5" ht="14.5">
      <c r="A136" s="74"/>
      <c r="B136" s="79"/>
      <c r="D136" s="75"/>
      <c r="E136" s="75"/>
    </row>
    <row r="137" spans="1:5" ht="14.5">
      <c r="A137" s="74"/>
      <c r="B137" s="79"/>
      <c r="D137" s="75"/>
      <c r="E137" s="75"/>
    </row>
    <row r="138" spans="1:5" ht="14.5">
      <c r="A138" s="74"/>
      <c r="B138" s="79"/>
      <c r="D138" s="75"/>
      <c r="E138" s="75"/>
    </row>
    <row r="139" spans="1:5" ht="14.5">
      <c r="A139" s="74"/>
      <c r="B139" s="79"/>
      <c r="D139" s="75"/>
      <c r="E139" s="75"/>
    </row>
    <row r="140" spans="1:5" ht="14.5">
      <c r="A140" s="74"/>
      <c r="B140" s="79"/>
      <c r="D140" s="75"/>
      <c r="E140" s="75"/>
    </row>
    <row r="141" spans="1:5" ht="14.5">
      <c r="A141" s="74"/>
      <c r="B141" s="79"/>
      <c r="D141" s="75"/>
      <c r="E141" s="75"/>
    </row>
    <row r="142" spans="1:5" ht="14.5">
      <c r="A142" s="74"/>
      <c r="B142" s="79"/>
      <c r="D142" s="75"/>
      <c r="E142" s="75"/>
    </row>
    <row r="143" spans="1:5" ht="14.5">
      <c r="A143" s="74"/>
      <c r="B143" s="79"/>
      <c r="D143" s="75"/>
      <c r="E143" s="75"/>
    </row>
    <row r="144" spans="1:5" ht="14.5">
      <c r="A144" s="74"/>
      <c r="B144" s="79"/>
      <c r="D144" s="75"/>
      <c r="E144" s="75"/>
    </row>
    <row r="145" spans="1:5" ht="14.5">
      <c r="A145" s="74"/>
      <c r="B145" s="79"/>
      <c r="D145" s="75"/>
      <c r="E145" s="75"/>
    </row>
    <row r="146" spans="1:5" ht="14.5">
      <c r="A146" s="74"/>
      <c r="B146" s="79"/>
      <c r="D146" s="75"/>
      <c r="E146" s="75"/>
    </row>
    <row r="147" spans="1:5" ht="14.5">
      <c r="A147" s="74"/>
      <c r="B147" s="79"/>
      <c r="D147" s="75"/>
      <c r="E147" s="75"/>
    </row>
    <row r="148" spans="1:5" ht="14.5">
      <c r="A148" s="74"/>
      <c r="B148" s="79"/>
      <c r="D148" s="75"/>
      <c r="E148" s="75"/>
    </row>
    <row r="149" spans="1:5" ht="14.5">
      <c r="A149" s="74"/>
      <c r="B149" s="79"/>
      <c r="D149" s="75"/>
      <c r="E149" s="75"/>
    </row>
    <row r="150" spans="1:5" ht="14.5">
      <c r="A150" s="74"/>
      <c r="B150" s="79"/>
      <c r="D150" s="75"/>
      <c r="E150" s="75"/>
    </row>
    <row r="151" spans="1:5" ht="14.5">
      <c r="A151" s="74"/>
      <c r="B151" s="79"/>
      <c r="D151" s="75"/>
      <c r="E151" s="75"/>
    </row>
    <row r="152" spans="1:5" ht="14.5">
      <c r="A152" s="74"/>
      <c r="B152" s="79"/>
      <c r="D152" s="75"/>
      <c r="E152" s="75"/>
    </row>
    <row r="153" spans="1:5" ht="14.5">
      <c r="A153" s="74"/>
      <c r="B153" s="79"/>
      <c r="D153" s="75"/>
      <c r="E153" s="75"/>
    </row>
    <row r="154" spans="1:5" ht="14.5">
      <c r="A154" s="74"/>
      <c r="B154" s="79"/>
      <c r="D154" s="75"/>
      <c r="E154" s="75"/>
    </row>
    <row r="155" spans="1:5" ht="14.5">
      <c r="A155" s="74"/>
      <c r="B155" s="79"/>
      <c r="D155" s="75"/>
      <c r="E155" s="75"/>
    </row>
    <row r="156" spans="1:5" ht="14.5">
      <c r="A156" s="74"/>
      <c r="B156" s="79"/>
      <c r="D156" s="75"/>
      <c r="E156" s="75"/>
    </row>
    <row r="157" spans="1:5" ht="14.5">
      <c r="A157" s="74"/>
      <c r="B157" s="79"/>
      <c r="D157" s="75"/>
      <c r="E157" s="75"/>
    </row>
    <row r="158" spans="1:5" ht="14.5">
      <c r="A158" s="74"/>
      <c r="B158" s="79"/>
      <c r="D158" s="75"/>
      <c r="E158" s="75"/>
    </row>
    <row r="159" spans="1:5" ht="14.5">
      <c r="A159" s="74"/>
      <c r="B159" s="79"/>
      <c r="D159" s="75"/>
      <c r="E159" s="75"/>
    </row>
    <row r="160" spans="1:5" ht="14.5">
      <c r="A160" s="74"/>
      <c r="B160" s="79"/>
      <c r="D160" s="75"/>
      <c r="E160" s="75"/>
    </row>
    <row r="161" spans="1:5" ht="14.5">
      <c r="A161" s="74"/>
      <c r="B161" s="79"/>
      <c r="D161" s="75"/>
      <c r="E161" s="75"/>
    </row>
    <row r="162" spans="1:5" ht="14.5">
      <c r="A162" s="74"/>
      <c r="B162" s="79"/>
      <c r="D162" s="75"/>
      <c r="E162" s="75"/>
    </row>
    <row r="163" spans="1:5" ht="14.5">
      <c r="A163" s="74"/>
      <c r="B163" s="79"/>
      <c r="D163" s="75"/>
      <c r="E163" s="75"/>
    </row>
    <row r="164" spans="1:5" ht="14.5">
      <c r="A164" s="74"/>
      <c r="B164" s="79"/>
      <c r="D164" s="75"/>
      <c r="E164" s="75"/>
    </row>
    <row r="165" spans="1:5" ht="14.5">
      <c r="A165" s="74"/>
      <c r="B165" s="79"/>
      <c r="D165" s="75"/>
      <c r="E165" s="75"/>
    </row>
    <row r="166" spans="1:5" ht="14.5">
      <c r="A166" s="74"/>
      <c r="B166" s="79"/>
      <c r="D166" s="75"/>
      <c r="E166" s="75"/>
    </row>
    <row r="167" spans="1:5" ht="14.5">
      <c r="A167" s="74"/>
      <c r="B167" s="79"/>
      <c r="D167" s="75"/>
      <c r="E167" s="75"/>
    </row>
    <row r="168" spans="1:5" ht="14.5">
      <c r="A168" s="74"/>
      <c r="B168" s="79"/>
      <c r="D168" s="75"/>
      <c r="E168" s="75"/>
    </row>
    <row r="169" spans="1:5" ht="14.5">
      <c r="A169" s="74"/>
      <c r="B169" s="79"/>
      <c r="D169" s="75"/>
      <c r="E169" s="75"/>
    </row>
    <row r="170" spans="1:5" ht="14.5">
      <c r="A170" s="74"/>
      <c r="B170" s="79"/>
      <c r="D170" s="75"/>
      <c r="E170" s="75"/>
    </row>
    <row r="171" spans="1:5" ht="14.5">
      <c r="A171" s="74"/>
      <c r="B171" s="79"/>
      <c r="D171" s="75"/>
      <c r="E171" s="75"/>
    </row>
    <row r="172" spans="1:5" ht="14.5">
      <c r="A172" s="74"/>
      <c r="B172" s="79"/>
      <c r="D172" s="75"/>
      <c r="E172" s="75"/>
    </row>
    <row r="173" spans="1:5" ht="14.5">
      <c r="A173" s="74"/>
      <c r="B173" s="79"/>
      <c r="D173" s="75"/>
      <c r="E173" s="75"/>
    </row>
    <row r="174" spans="1:5" ht="14.5">
      <c r="A174" s="74"/>
      <c r="B174" s="79"/>
      <c r="D174" s="75"/>
      <c r="E174" s="75"/>
    </row>
    <row r="175" spans="1:5" ht="14.5">
      <c r="A175" s="74"/>
      <c r="B175" s="79"/>
      <c r="D175" s="75"/>
      <c r="E175" s="75"/>
    </row>
    <row r="176" spans="1:5" ht="14.5">
      <c r="A176" s="74"/>
      <c r="B176" s="79"/>
      <c r="D176" s="75"/>
      <c r="E176" s="75"/>
    </row>
    <row r="177" spans="1:5" ht="14.5">
      <c r="A177" s="74"/>
      <c r="B177" s="79"/>
      <c r="D177" s="75"/>
      <c r="E177" s="75"/>
    </row>
    <row r="178" spans="1:5" ht="14.5">
      <c r="A178" s="74"/>
      <c r="B178" s="79"/>
      <c r="D178" s="75"/>
      <c r="E178" s="75"/>
    </row>
    <row r="179" spans="1:5" ht="14.5">
      <c r="A179" s="74"/>
      <c r="B179" s="79"/>
      <c r="D179" s="75"/>
      <c r="E179" s="75"/>
    </row>
    <row r="180" spans="1:5" ht="14.5">
      <c r="A180" s="74"/>
      <c r="B180" s="79"/>
      <c r="D180" s="75"/>
      <c r="E180" s="75"/>
    </row>
    <row r="181" spans="1:5" ht="14.5">
      <c r="A181" s="74"/>
      <c r="B181" s="79"/>
      <c r="D181" s="75"/>
      <c r="E181" s="75"/>
    </row>
    <row r="182" spans="1:5" ht="14.5">
      <c r="A182" s="74"/>
      <c r="B182" s="79"/>
      <c r="D182" s="75"/>
      <c r="E182" s="75"/>
    </row>
    <row r="183" spans="1:5" ht="14.5">
      <c r="A183" s="74"/>
      <c r="B183" s="79"/>
      <c r="D183" s="75"/>
      <c r="E183" s="75"/>
    </row>
    <row r="184" spans="1:5" ht="14.5">
      <c r="A184" s="74"/>
      <c r="B184" s="79"/>
      <c r="D184" s="75"/>
      <c r="E184" s="75"/>
    </row>
    <row r="185" spans="1:5" ht="14.5">
      <c r="A185" s="74"/>
      <c r="B185" s="79"/>
      <c r="D185" s="75"/>
      <c r="E185" s="75"/>
    </row>
    <row r="186" spans="1:5" ht="14.5">
      <c r="A186" s="74"/>
      <c r="B186" s="79"/>
      <c r="D186" s="75"/>
      <c r="E186" s="75"/>
    </row>
    <row r="187" spans="1:5" ht="14.5">
      <c r="A187" s="74"/>
      <c r="B187" s="79"/>
      <c r="D187" s="75"/>
      <c r="E187" s="75"/>
    </row>
    <row r="188" spans="1:5" ht="14.5">
      <c r="A188" s="74"/>
      <c r="B188" s="79"/>
      <c r="D188" s="75"/>
      <c r="E188" s="75"/>
    </row>
    <row r="189" spans="1:5" ht="14.5">
      <c r="A189" s="74"/>
      <c r="B189" s="79"/>
      <c r="D189" s="75"/>
      <c r="E189" s="75"/>
    </row>
    <row r="190" spans="1:5" ht="14.5">
      <c r="A190" s="74"/>
      <c r="B190" s="79"/>
      <c r="D190" s="75"/>
      <c r="E190" s="75"/>
    </row>
    <row r="191" spans="1:5" ht="14.5">
      <c r="A191" s="74"/>
      <c r="B191" s="79"/>
      <c r="D191" s="75"/>
      <c r="E191" s="75"/>
    </row>
    <row r="192" spans="1:5" ht="14.5">
      <c r="A192" s="74"/>
      <c r="B192" s="79"/>
      <c r="D192" s="75"/>
      <c r="E192" s="75"/>
    </row>
    <row r="193" spans="1:5" ht="14.5">
      <c r="A193" s="74"/>
      <c r="B193" s="79"/>
      <c r="D193" s="75"/>
      <c r="E193" s="75"/>
    </row>
    <row r="194" spans="1:5" ht="14.5">
      <c r="A194" s="74"/>
      <c r="B194" s="79"/>
      <c r="D194" s="75"/>
      <c r="E194" s="75"/>
    </row>
    <row r="195" spans="1:5" ht="14.5">
      <c r="A195" s="74"/>
      <c r="B195" s="79"/>
      <c r="D195" s="75"/>
      <c r="E195" s="75"/>
    </row>
    <row r="196" spans="1:5" ht="14.5">
      <c r="A196" s="74"/>
      <c r="B196" s="79"/>
      <c r="D196" s="75"/>
      <c r="E196" s="75"/>
    </row>
    <row r="197" spans="1:5" ht="14.5">
      <c r="A197" s="74"/>
      <c r="B197" s="79"/>
      <c r="D197" s="75"/>
      <c r="E197" s="75"/>
    </row>
    <row r="198" spans="1:5" ht="14.5">
      <c r="A198" s="74"/>
      <c r="B198" s="79"/>
      <c r="D198" s="75"/>
      <c r="E198" s="75"/>
    </row>
    <row r="199" spans="1:5" ht="14.5">
      <c r="A199" s="74"/>
      <c r="B199" s="79"/>
      <c r="D199" s="75"/>
      <c r="E199" s="75"/>
    </row>
    <row r="200" spans="1:5" ht="14.5">
      <c r="A200" s="74"/>
      <c r="B200" s="79"/>
      <c r="D200" s="75"/>
      <c r="E200" s="75"/>
    </row>
    <row r="201" spans="1:5" ht="14.5">
      <c r="A201" s="74"/>
      <c r="B201" s="79"/>
      <c r="D201" s="75"/>
      <c r="E201" s="75"/>
    </row>
    <row r="202" spans="1:5" ht="14.5">
      <c r="A202" s="74"/>
      <c r="B202" s="79"/>
      <c r="D202" s="75"/>
      <c r="E202" s="75"/>
    </row>
    <row r="203" spans="1:5" ht="14.5">
      <c r="A203" s="74"/>
      <c r="B203" s="79"/>
      <c r="D203" s="75"/>
      <c r="E203" s="75"/>
    </row>
    <row r="204" spans="1:5" ht="14.5">
      <c r="A204" s="74"/>
      <c r="B204" s="79"/>
      <c r="D204" s="75"/>
      <c r="E204" s="75"/>
    </row>
    <row r="205" spans="1:5" ht="14.5">
      <c r="A205" s="74"/>
      <c r="B205" s="79"/>
      <c r="D205" s="75"/>
      <c r="E205" s="75"/>
    </row>
    <row r="206" spans="1:5" ht="14.5">
      <c r="A206" s="74"/>
      <c r="B206" s="79"/>
      <c r="D206" s="75"/>
      <c r="E206" s="75"/>
    </row>
    <row r="207" spans="1:5" ht="14.5">
      <c r="A207" s="74"/>
      <c r="B207" s="79"/>
      <c r="D207" s="75"/>
      <c r="E207" s="75"/>
    </row>
    <row r="208" spans="1:5" ht="14.5">
      <c r="A208" s="74"/>
      <c r="B208" s="79"/>
      <c r="D208" s="75"/>
      <c r="E208" s="75"/>
    </row>
    <row r="209" spans="1:5" ht="14.5">
      <c r="A209" s="74"/>
      <c r="B209" s="79"/>
      <c r="D209" s="75"/>
      <c r="E209" s="75"/>
    </row>
    <row r="210" spans="1:5" ht="14.5">
      <c r="A210" s="74"/>
      <c r="B210" s="79"/>
      <c r="D210" s="75"/>
      <c r="E210" s="75"/>
    </row>
    <row r="211" spans="1:5" ht="14.5">
      <c r="A211" s="74"/>
      <c r="B211" s="79"/>
      <c r="D211" s="75"/>
      <c r="E211" s="75"/>
    </row>
    <row r="212" spans="1:5" ht="14.5">
      <c r="A212" s="74"/>
      <c r="B212" s="79"/>
      <c r="D212" s="75"/>
      <c r="E212" s="75"/>
    </row>
    <row r="213" spans="1:5" ht="14.5">
      <c r="A213" s="74"/>
      <c r="B213" s="79"/>
      <c r="D213" s="75"/>
      <c r="E213" s="75"/>
    </row>
    <row r="214" spans="1:5" ht="14.5">
      <c r="A214" s="74"/>
      <c r="B214" s="79"/>
      <c r="D214" s="75"/>
      <c r="E214" s="75"/>
    </row>
    <row r="215" spans="1:5" ht="14.5">
      <c r="A215" s="74"/>
      <c r="B215" s="79"/>
      <c r="D215" s="75"/>
      <c r="E215" s="75"/>
    </row>
    <row r="216" spans="1:5" ht="14.5">
      <c r="A216" s="74"/>
      <c r="B216" s="79"/>
      <c r="D216" s="75"/>
      <c r="E216" s="75"/>
    </row>
    <row r="217" spans="1:5" ht="14.5">
      <c r="A217" s="74"/>
      <c r="B217" s="79"/>
      <c r="D217" s="75"/>
      <c r="E217" s="75"/>
    </row>
    <row r="218" spans="1:5" ht="14.5">
      <c r="A218" s="74"/>
      <c r="B218" s="79"/>
      <c r="D218" s="75"/>
      <c r="E218" s="75"/>
    </row>
    <row r="219" spans="1:5" ht="14.5">
      <c r="A219" s="74"/>
      <c r="B219" s="79"/>
      <c r="D219" s="75"/>
      <c r="E219" s="75"/>
    </row>
    <row r="220" spans="1:5" ht="14.5">
      <c r="A220" s="74"/>
      <c r="B220" s="79"/>
      <c r="D220" s="75"/>
      <c r="E220" s="75"/>
    </row>
    <row r="221" spans="1:5" ht="14.5">
      <c r="A221" s="74"/>
      <c r="B221" s="79"/>
      <c r="D221" s="75"/>
      <c r="E221" s="75"/>
    </row>
    <row r="222" spans="1:5" ht="14.5">
      <c r="A222" s="74"/>
      <c r="B222" s="79"/>
      <c r="D222" s="75"/>
      <c r="E222" s="75"/>
    </row>
    <row r="223" spans="1:5" ht="14.5">
      <c r="A223" s="74"/>
      <c r="B223" s="79"/>
      <c r="D223" s="75"/>
      <c r="E223" s="75"/>
    </row>
    <row r="224" spans="1:5" ht="14.5">
      <c r="A224" s="74"/>
      <c r="B224" s="79"/>
      <c r="D224" s="75"/>
      <c r="E224" s="75"/>
    </row>
    <row r="225" spans="1:5" ht="14.5">
      <c r="A225" s="74"/>
      <c r="B225" s="79"/>
      <c r="D225" s="75"/>
      <c r="E225" s="75"/>
    </row>
    <row r="226" spans="1:5" ht="14.5">
      <c r="A226" s="74"/>
      <c r="B226" s="79"/>
      <c r="D226" s="75"/>
      <c r="E226" s="75"/>
    </row>
    <row r="227" spans="1:5" ht="14.5">
      <c r="A227" s="74"/>
      <c r="B227" s="79"/>
      <c r="D227" s="75"/>
      <c r="E227" s="75"/>
    </row>
    <row r="228" spans="1:5" ht="14.5">
      <c r="A228" s="74"/>
      <c r="B228" s="79"/>
      <c r="D228" s="75"/>
      <c r="E228" s="75"/>
    </row>
    <row r="229" spans="1:5" ht="14.5">
      <c r="A229" s="74"/>
      <c r="B229" s="79"/>
      <c r="D229" s="75"/>
      <c r="E229" s="75"/>
    </row>
    <row r="230" spans="1:5" ht="14.5">
      <c r="A230" s="74"/>
      <c r="B230" s="79"/>
      <c r="D230" s="75"/>
      <c r="E230" s="75"/>
    </row>
    <row r="231" spans="1:5" ht="14.5">
      <c r="A231" s="74"/>
      <c r="B231" s="79"/>
      <c r="D231" s="75"/>
      <c r="E231" s="75"/>
    </row>
    <row r="232" spans="1:5" ht="14.5">
      <c r="A232" s="74"/>
      <c r="B232" s="79"/>
      <c r="D232" s="75"/>
      <c r="E232" s="75"/>
    </row>
    <row r="233" spans="1:5" ht="14.5">
      <c r="A233" s="74"/>
      <c r="B233" s="79"/>
      <c r="D233" s="75"/>
      <c r="E233" s="75"/>
    </row>
    <row r="234" spans="1:5" ht="14.5">
      <c r="A234" s="74"/>
      <c r="B234" s="79"/>
      <c r="D234" s="75"/>
      <c r="E234" s="75"/>
    </row>
    <row r="235" spans="1:5" ht="14.5">
      <c r="A235" s="74"/>
      <c r="B235" s="79"/>
      <c r="D235" s="75"/>
      <c r="E235" s="75"/>
    </row>
    <row r="236" spans="1:5" ht="14.5">
      <c r="A236" s="74"/>
      <c r="B236" s="79"/>
      <c r="D236" s="75"/>
      <c r="E236" s="75"/>
    </row>
    <row r="237" spans="1:5" ht="14.5">
      <c r="A237" s="74"/>
      <c r="B237" s="79"/>
      <c r="D237" s="75"/>
      <c r="E237" s="75"/>
    </row>
    <row r="238" spans="1:5" ht="14.5">
      <c r="A238" s="74"/>
      <c r="B238" s="79"/>
      <c r="D238" s="75"/>
      <c r="E238" s="75"/>
    </row>
    <row r="239" spans="1:5" ht="14.5">
      <c r="A239" s="74"/>
      <c r="B239" s="79"/>
      <c r="D239" s="75"/>
      <c r="E239" s="75"/>
    </row>
    <row r="240" spans="1:5" ht="14.5">
      <c r="A240" s="74"/>
      <c r="B240" s="79"/>
      <c r="D240" s="75"/>
      <c r="E240" s="75"/>
    </row>
    <row r="241" spans="1:5" ht="14.5">
      <c r="A241" s="74"/>
      <c r="B241" s="79"/>
      <c r="D241" s="75"/>
      <c r="E241" s="75"/>
    </row>
    <row r="242" spans="1:5" ht="14.5">
      <c r="A242" s="74"/>
      <c r="B242" s="79"/>
      <c r="D242" s="75"/>
      <c r="E242" s="75"/>
    </row>
    <row r="243" spans="1:5" ht="14.5">
      <c r="A243" s="74"/>
      <c r="B243" s="79"/>
      <c r="D243" s="75"/>
      <c r="E243" s="75"/>
    </row>
    <row r="244" spans="1:5" ht="14.5">
      <c r="A244" s="74"/>
      <c r="B244" s="79"/>
      <c r="D244" s="75"/>
      <c r="E244" s="75"/>
    </row>
    <row r="245" spans="1:5" ht="14.5">
      <c r="A245" s="74"/>
      <c r="B245" s="79"/>
      <c r="D245" s="75"/>
      <c r="E245" s="75"/>
    </row>
    <row r="246" spans="1:5" ht="14.5">
      <c r="A246" s="74"/>
      <c r="B246" s="79"/>
      <c r="D246" s="75"/>
      <c r="E246" s="75"/>
    </row>
    <row r="247" spans="1:5" ht="14.5">
      <c r="A247" s="74"/>
      <c r="B247" s="79"/>
      <c r="D247" s="75"/>
      <c r="E247" s="75"/>
    </row>
    <row r="248" spans="1:5" ht="14.5">
      <c r="A248" s="74"/>
      <c r="B248" s="79"/>
      <c r="D248" s="75"/>
      <c r="E248" s="75"/>
    </row>
    <row r="249" spans="1:5" ht="14.5">
      <c r="A249" s="74"/>
      <c r="B249" s="79"/>
      <c r="D249" s="75"/>
      <c r="E249" s="75"/>
    </row>
    <row r="250" spans="1:5" ht="14.5">
      <c r="A250" s="74"/>
      <c r="B250" s="79"/>
      <c r="D250" s="75"/>
      <c r="E250" s="75"/>
    </row>
    <row r="251" spans="1:5" ht="14.5">
      <c r="A251" s="74"/>
      <c r="B251" s="79"/>
      <c r="D251" s="75"/>
      <c r="E251" s="75"/>
    </row>
    <row r="252" spans="1:5" ht="14.5">
      <c r="A252" s="74"/>
      <c r="B252" s="79"/>
      <c r="D252" s="75"/>
      <c r="E252" s="75"/>
    </row>
    <row r="253" spans="1:5" ht="14.5">
      <c r="A253" s="74"/>
      <c r="B253" s="79"/>
      <c r="D253" s="75"/>
      <c r="E253" s="75"/>
    </row>
    <row r="254" spans="1:5" ht="14.5">
      <c r="A254" s="74"/>
      <c r="B254" s="79"/>
      <c r="D254" s="75"/>
      <c r="E254" s="75"/>
    </row>
    <row r="255" spans="1:5" ht="14.5">
      <c r="A255" s="74"/>
      <c r="B255" s="79"/>
      <c r="D255" s="75"/>
      <c r="E255" s="75"/>
    </row>
    <row r="256" spans="1:5" ht="14.5">
      <c r="A256" s="74"/>
      <c r="B256" s="79"/>
      <c r="D256" s="75"/>
      <c r="E256" s="75"/>
    </row>
    <row r="257" spans="1:5" ht="14.5">
      <c r="A257" s="74"/>
      <c r="B257" s="79"/>
      <c r="D257" s="75"/>
      <c r="E257" s="75"/>
    </row>
    <row r="258" spans="1:5" ht="14.5">
      <c r="A258" s="74"/>
      <c r="B258" s="79"/>
      <c r="D258" s="75"/>
      <c r="E258" s="75"/>
    </row>
    <row r="259" spans="1:5" ht="14.5">
      <c r="A259" s="74"/>
      <c r="B259" s="79"/>
      <c r="D259" s="75"/>
      <c r="E259" s="75"/>
    </row>
    <row r="260" spans="1:5" ht="14.5">
      <c r="A260" s="74"/>
      <c r="B260" s="79"/>
      <c r="D260" s="75"/>
      <c r="E260" s="75"/>
    </row>
    <row r="261" spans="1:5" ht="14.5">
      <c r="A261" s="74"/>
      <c r="B261" s="79"/>
      <c r="D261" s="75"/>
      <c r="E261" s="75"/>
    </row>
    <row r="262" spans="1:5" ht="14.5">
      <c r="A262" s="74"/>
      <c r="B262" s="79"/>
      <c r="D262" s="75"/>
      <c r="E262" s="75"/>
    </row>
    <row r="263" spans="1:5" ht="14.5">
      <c r="A263" s="74"/>
      <c r="B263" s="79"/>
      <c r="D263" s="75"/>
      <c r="E263" s="75"/>
    </row>
    <row r="264" spans="1:5" ht="14.5">
      <c r="A264" s="74"/>
      <c r="B264" s="79"/>
      <c r="D264" s="75"/>
      <c r="E264" s="75"/>
    </row>
    <row r="265" spans="1:5" ht="14.5">
      <c r="A265" s="74"/>
      <c r="B265" s="79"/>
      <c r="D265" s="75"/>
      <c r="E265" s="75"/>
    </row>
    <row r="266" spans="1:5" ht="14.5">
      <c r="A266" s="74"/>
      <c r="B266" s="79"/>
      <c r="D266" s="75"/>
      <c r="E266" s="75"/>
    </row>
    <row r="267" spans="1:5" ht="14.5">
      <c r="A267" s="74"/>
      <c r="B267" s="79"/>
      <c r="D267" s="75"/>
      <c r="E267" s="75"/>
    </row>
    <row r="268" spans="1:5" ht="14.5">
      <c r="A268" s="74"/>
      <c r="B268" s="79"/>
      <c r="D268" s="75"/>
      <c r="E268" s="75"/>
    </row>
    <row r="269" spans="1:5" ht="14.5">
      <c r="A269" s="74"/>
      <c r="B269" s="79"/>
      <c r="D269" s="75"/>
      <c r="E269" s="75"/>
    </row>
    <row r="270" spans="1:5" ht="14.5">
      <c r="A270" s="74"/>
      <c r="B270" s="79"/>
      <c r="D270" s="75"/>
      <c r="E270" s="75"/>
    </row>
    <row r="271" spans="1:5" ht="14.5">
      <c r="A271" s="74"/>
      <c r="B271" s="79"/>
      <c r="D271" s="75"/>
      <c r="E271" s="75"/>
    </row>
    <row r="272" spans="1:5" ht="14.5">
      <c r="A272" s="74"/>
      <c r="B272" s="79"/>
      <c r="D272" s="75"/>
      <c r="E272" s="74"/>
    </row>
    <row r="273" spans="1:5" ht="14.5">
      <c r="A273" s="74"/>
      <c r="B273" s="79"/>
      <c r="D273" s="75"/>
      <c r="E273" s="74"/>
    </row>
    <row r="274" spans="1:5" ht="14.5">
      <c r="A274" s="74"/>
      <c r="B274" s="79"/>
      <c r="D274" s="75"/>
      <c r="E274" s="74"/>
    </row>
    <row r="275" spans="1:5" ht="14.5">
      <c r="A275" s="74"/>
      <c r="B275" s="79"/>
      <c r="D275" s="75"/>
      <c r="E275" s="74"/>
    </row>
    <row r="276" spans="1:5" ht="14.5">
      <c r="A276" s="74"/>
      <c r="B276" s="79"/>
      <c r="D276" s="75"/>
      <c r="E276" s="74"/>
    </row>
    <row r="277" spans="1:5" ht="14.5">
      <c r="A277" s="74"/>
      <c r="B277" s="79"/>
      <c r="D277" s="75"/>
      <c r="E277" s="74"/>
    </row>
    <row r="278" spans="1:5" ht="14.5">
      <c r="A278" s="74"/>
      <c r="B278" s="79"/>
      <c r="D278" s="75"/>
      <c r="E278" s="74"/>
    </row>
    <row r="279" spans="1:5" ht="14.5">
      <c r="A279" s="74"/>
      <c r="B279" s="79"/>
      <c r="D279" s="75"/>
      <c r="E279" s="74"/>
    </row>
    <row r="280" spans="1:5" ht="14.5">
      <c r="A280" s="74"/>
      <c r="B280" s="79"/>
      <c r="D280" s="75"/>
      <c r="E280" s="74"/>
    </row>
    <row r="281" spans="1:5" ht="14.5">
      <c r="A281" s="74"/>
      <c r="B281" s="79"/>
      <c r="D281" s="75"/>
      <c r="E281" s="74"/>
    </row>
    <row r="282" spans="1:5" ht="14.5">
      <c r="A282" s="74"/>
      <c r="B282" s="79"/>
      <c r="D282" s="75"/>
      <c r="E282" s="74"/>
    </row>
    <row r="283" spans="1:5" ht="14.5">
      <c r="A283" s="74"/>
      <c r="B283" s="79"/>
      <c r="D283" s="75"/>
      <c r="E283" s="74"/>
    </row>
    <row r="284" spans="1:5" ht="14.5">
      <c r="A284" s="74"/>
      <c r="B284" s="79"/>
      <c r="D284" s="75"/>
      <c r="E284" s="74"/>
    </row>
    <row r="285" spans="1:5" ht="14.5">
      <c r="A285" s="74"/>
      <c r="B285" s="79"/>
      <c r="D285" s="75"/>
      <c r="E285" s="74"/>
    </row>
    <row r="286" spans="1:5" ht="14.5">
      <c r="A286" s="74"/>
      <c r="B286" s="79"/>
      <c r="D286" s="75"/>
      <c r="E286" s="74"/>
    </row>
    <row r="287" spans="1:5" ht="14.5">
      <c r="A287" s="74"/>
      <c r="B287" s="79"/>
      <c r="D287" s="75"/>
      <c r="E287" s="74"/>
    </row>
    <row r="288" spans="1:5" ht="14.5">
      <c r="A288" s="74"/>
      <c r="B288" s="79"/>
      <c r="D288" s="75"/>
      <c r="E288" s="74"/>
    </row>
    <row r="289" spans="1:5" ht="14.5">
      <c r="A289" s="74"/>
      <c r="B289" s="79"/>
      <c r="D289" s="75"/>
      <c r="E289" s="74"/>
    </row>
    <row r="290" spans="1:5" ht="14.5">
      <c r="A290" s="74"/>
      <c r="B290" s="79"/>
      <c r="D290" s="75"/>
      <c r="E290" s="74"/>
    </row>
    <row r="291" spans="1:5" ht="14.5">
      <c r="A291" s="74"/>
      <c r="B291" s="79"/>
      <c r="D291" s="75"/>
      <c r="E291" s="74"/>
    </row>
    <row r="292" spans="1:5" ht="14.5">
      <c r="A292" s="74"/>
      <c r="B292" s="79"/>
      <c r="D292" s="75"/>
      <c r="E292" s="74"/>
    </row>
    <row r="293" spans="1:5" ht="14.5">
      <c r="A293" s="74"/>
      <c r="B293" s="79"/>
      <c r="D293" s="75"/>
      <c r="E293" s="74"/>
    </row>
    <row r="294" spans="1:5" ht="14.5">
      <c r="A294" s="74"/>
      <c r="B294" s="79"/>
      <c r="D294" s="75"/>
      <c r="E294" s="74"/>
    </row>
    <row r="295" spans="1:5" ht="14.5">
      <c r="A295" s="74"/>
      <c r="B295" s="79"/>
      <c r="D295" s="75"/>
      <c r="E295" s="74"/>
    </row>
    <row r="296" spans="1:5" ht="14.5">
      <c r="A296" s="74"/>
      <c r="B296" s="79"/>
      <c r="D296" s="75"/>
      <c r="E296" s="74"/>
    </row>
    <row r="297" spans="1:5" ht="14.5">
      <c r="A297" s="74"/>
      <c r="B297" s="79"/>
      <c r="D297" s="75"/>
      <c r="E297" s="74"/>
    </row>
    <row r="298" spans="1:5" ht="14.5">
      <c r="A298" s="74"/>
      <c r="B298" s="79"/>
      <c r="D298" s="75"/>
      <c r="E298" s="74"/>
    </row>
    <row r="299" spans="1:5" ht="14.5">
      <c r="A299" s="74"/>
      <c r="B299" s="79"/>
      <c r="D299" s="75"/>
      <c r="E299" s="74"/>
    </row>
    <row r="300" spans="1:5" ht="14.5">
      <c r="A300" s="74"/>
      <c r="B300" s="79"/>
      <c r="D300" s="75"/>
      <c r="E300" s="74"/>
    </row>
    <row r="301" spans="1:5" ht="14.5">
      <c r="A301" s="74"/>
      <c r="B301" s="79"/>
      <c r="D301" s="75"/>
      <c r="E301" s="74"/>
    </row>
    <row r="302" spans="1:5" ht="14.5">
      <c r="A302" s="74"/>
      <c r="B302" s="79"/>
      <c r="D302" s="75"/>
      <c r="E302" s="74"/>
    </row>
    <row r="303" spans="1:5" ht="14.5">
      <c r="A303" s="74"/>
      <c r="B303" s="79"/>
      <c r="D303" s="75"/>
      <c r="E303" s="74"/>
    </row>
    <row r="304" spans="1:5" ht="14.5">
      <c r="A304" s="74"/>
      <c r="B304" s="79"/>
      <c r="D304" s="75"/>
      <c r="E304" s="74"/>
    </row>
    <row r="305" spans="1:5" ht="14.5">
      <c r="A305" s="74"/>
      <c r="B305" s="79"/>
      <c r="D305" s="75"/>
      <c r="E305" s="74"/>
    </row>
    <row r="306" spans="1:5" ht="14.5">
      <c r="A306" s="74"/>
      <c r="B306" s="79"/>
      <c r="D306" s="75"/>
      <c r="E306" s="74"/>
    </row>
    <row r="307" spans="1:5" ht="14.5">
      <c r="A307" s="74"/>
      <c r="B307" s="79"/>
      <c r="D307" s="75"/>
      <c r="E307" s="74"/>
    </row>
    <row r="308" spans="1:5" ht="14.5">
      <c r="A308" s="74"/>
      <c r="B308" s="79"/>
      <c r="D308" s="75"/>
      <c r="E308" s="74"/>
    </row>
    <row r="309" spans="1:5" ht="14.5">
      <c r="A309" s="74"/>
      <c r="B309" s="79"/>
      <c r="D309" s="75"/>
      <c r="E309" s="74"/>
    </row>
    <row r="310" spans="1:5" ht="14.5">
      <c r="A310" s="74"/>
      <c r="B310" s="79"/>
      <c r="D310" s="75"/>
      <c r="E310" s="74"/>
    </row>
    <row r="311" spans="1:5" ht="14.5">
      <c r="A311" s="74"/>
      <c r="B311" s="79"/>
      <c r="D311" s="75"/>
      <c r="E311" s="74"/>
    </row>
    <row r="312" spans="1:5" ht="14.5">
      <c r="A312" s="74"/>
      <c r="B312" s="79"/>
      <c r="D312" s="75"/>
      <c r="E312" s="74"/>
    </row>
    <row r="313" spans="1:5" ht="14.5">
      <c r="A313" s="74"/>
      <c r="B313" s="79"/>
      <c r="D313" s="75"/>
      <c r="E313" s="74"/>
    </row>
    <row r="314" spans="1:5" ht="14.5">
      <c r="A314" s="74"/>
      <c r="B314" s="79"/>
      <c r="D314" s="75"/>
      <c r="E314" s="74"/>
    </row>
    <row r="315" spans="1:5" ht="14.5">
      <c r="A315" s="74"/>
      <c r="B315" s="79"/>
      <c r="D315" s="75"/>
      <c r="E315" s="74"/>
    </row>
    <row r="316" spans="1:5" ht="14.5">
      <c r="A316" s="74"/>
      <c r="B316" s="79"/>
      <c r="D316" s="75"/>
      <c r="E316" s="74"/>
    </row>
    <row r="317" spans="1:5" ht="14.5">
      <c r="A317" s="74"/>
      <c r="B317" s="79"/>
      <c r="D317" s="75"/>
      <c r="E317" s="74"/>
    </row>
    <row r="318" spans="1:5" ht="14.5">
      <c r="A318" s="74"/>
      <c r="B318" s="79"/>
      <c r="D318" s="75"/>
      <c r="E318" s="74"/>
    </row>
    <row r="319" spans="1:5" ht="14.5">
      <c r="A319" s="74"/>
      <c r="B319" s="79"/>
      <c r="D319" s="75"/>
      <c r="E319" s="74"/>
    </row>
    <row r="320" spans="1:5" ht="14.5">
      <c r="A320" s="74"/>
      <c r="B320" s="79"/>
      <c r="D320" s="75"/>
      <c r="E320" s="74"/>
    </row>
    <row r="321" spans="1:5" ht="14.5">
      <c r="A321" s="74"/>
      <c r="B321" s="79"/>
      <c r="D321" s="75"/>
      <c r="E321" s="74"/>
    </row>
    <row r="322" spans="1:5" ht="14.5">
      <c r="A322" s="74"/>
      <c r="B322" s="79"/>
      <c r="D322" s="75"/>
      <c r="E322" s="74"/>
    </row>
    <row r="323" spans="1:5" ht="14.5">
      <c r="A323" s="74"/>
      <c r="B323" s="79"/>
      <c r="D323" s="75"/>
      <c r="E323" s="74"/>
    </row>
    <row r="324" spans="1:5" ht="14.5">
      <c r="A324" s="74"/>
      <c r="B324" s="79"/>
      <c r="D324" s="75"/>
      <c r="E324" s="74"/>
    </row>
    <row r="325" spans="1:5" ht="14.5">
      <c r="A325" s="74"/>
      <c r="B325" s="79"/>
      <c r="D325" s="75"/>
      <c r="E325" s="74"/>
    </row>
    <row r="326" spans="1:5" ht="14.5">
      <c r="A326" s="74"/>
      <c r="B326" s="79"/>
      <c r="D326" s="75"/>
      <c r="E326" s="74"/>
    </row>
    <row r="327" spans="1:5" ht="14.5">
      <c r="A327" s="74"/>
      <c r="B327" s="79"/>
      <c r="D327" s="75"/>
      <c r="E327" s="74"/>
    </row>
    <row r="328" spans="1:5" ht="14.5">
      <c r="A328" s="74"/>
      <c r="B328" s="79"/>
      <c r="D328" s="75"/>
      <c r="E328" s="74"/>
    </row>
    <row r="329" spans="1:5" ht="14.5">
      <c r="A329" s="74"/>
      <c r="B329" s="79"/>
      <c r="D329" s="75"/>
      <c r="E329" s="74"/>
    </row>
    <row r="330" spans="1:5" ht="14.5">
      <c r="A330" s="74"/>
      <c r="B330" s="79"/>
      <c r="D330" s="75"/>
      <c r="E330" s="74"/>
    </row>
    <row r="331" spans="1:5" ht="14.5">
      <c r="A331" s="74"/>
      <c r="B331" s="79"/>
      <c r="D331" s="75"/>
      <c r="E331" s="74"/>
    </row>
    <row r="332" spans="1:5" ht="14.5">
      <c r="A332" s="74"/>
      <c r="B332" s="79"/>
      <c r="D332" s="75"/>
      <c r="E332" s="74"/>
    </row>
    <row r="333" spans="1:5" ht="14.5">
      <c r="A333" s="74"/>
      <c r="B333" s="79"/>
      <c r="D333" s="75"/>
      <c r="E333" s="74"/>
    </row>
    <row r="334" spans="1:5" ht="14.5">
      <c r="A334" s="74"/>
      <c r="B334" s="79"/>
      <c r="D334" s="75"/>
      <c r="E334" s="74"/>
    </row>
    <row r="335" spans="1:5" ht="14.5">
      <c r="A335" s="74"/>
      <c r="B335" s="79"/>
      <c r="D335" s="75"/>
      <c r="E335" s="74"/>
    </row>
    <row r="336" spans="1:5" ht="14.5">
      <c r="A336" s="74"/>
      <c r="B336" s="79"/>
      <c r="D336" s="75"/>
      <c r="E336" s="74"/>
    </row>
    <row r="337" spans="1:5" ht="14.5">
      <c r="A337" s="74"/>
      <c r="B337" s="79"/>
      <c r="D337" s="75"/>
      <c r="E337" s="74"/>
    </row>
    <row r="338" spans="1:5" ht="14.5">
      <c r="A338" s="74"/>
      <c r="B338" s="79"/>
      <c r="D338" s="75"/>
      <c r="E338" s="74"/>
    </row>
    <row r="339" spans="1:5" ht="14.5">
      <c r="A339" s="74"/>
      <c r="B339" s="79"/>
      <c r="D339" s="75"/>
      <c r="E339" s="74"/>
    </row>
    <row r="340" spans="1:5" ht="14.5">
      <c r="A340" s="74"/>
      <c r="B340" s="79"/>
      <c r="D340" s="75"/>
      <c r="E340" s="74"/>
    </row>
    <row r="341" spans="1:5" ht="14.5">
      <c r="A341" s="74"/>
      <c r="B341" s="79"/>
      <c r="D341" s="75"/>
      <c r="E341" s="74"/>
    </row>
    <row r="342" spans="1:5" ht="14.5">
      <c r="A342" s="74"/>
      <c r="B342" s="79"/>
      <c r="D342" s="75"/>
      <c r="E342" s="74"/>
    </row>
    <row r="343" spans="1:5" ht="14.5">
      <c r="A343" s="74"/>
      <c r="B343" s="79"/>
      <c r="D343" s="75"/>
      <c r="E343" s="74"/>
    </row>
    <row r="344" spans="1:5" ht="14.5">
      <c r="A344" s="74"/>
      <c r="B344" s="79"/>
      <c r="D344" s="75"/>
      <c r="E344" s="74"/>
    </row>
    <row r="345" spans="1:5" ht="14.5">
      <c r="A345" s="74"/>
      <c r="B345" s="79"/>
      <c r="D345" s="75"/>
      <c r="E345" s="74"/>
    </row>
    <row r="346" spans="1:5" ht="14.5">
      <c r="A346" s="74"/>
      <c r="B346" s="79"/>
      <c r="D346" s="75"/>
      <c r="E346" s="74"/>
    </row>
    <row r="347" spans="1:5" ht="14.5">
      <c r="A347" s="74"/>
      <c r="B347" s="79"/>
      <c r="D347" s="75"/>
      <c r="E347" s="74"/>
    </row>
    <row r="348" spans="1:5" ht="14.5">
      <c r="A348" s="74"/>
      <c r="B348" s="79"/>
      <c r="D348" s="75"/>
      <c r="E348" s="74"/>
    </row>
    <row r="349" spans="1:5" ht="14.5">
      <c r="A349" s="74"/>
      <c r="B349" s="79"/>
      <c r="D349" s="75"/>
      <c r="E349" s="74"/>
    </row>
    <row r="350" spans="1:5" ht="14.5">
      <c r="A350" s="74"/>
      <c r="B350" s="79"/>
      <c r="D350" s="75"/>
      <c r="E350" s="74"/>
    </row>
    <row r="351" spans="1:5" ht="14.5">
      <c r="A351" s="74"/>
      <c r="B351" s="79"/>
      <c r="D351" s="75"/>
      <c r="E351" s="74"/>
    </row>
    <row r="352" spans="1:5" ht="14.5">
      <c r="A352" s="74"/>
      <c r="B352" s="79"/>
      <c r="D352" s="75"/>
      <c r="E352" s="74"/>
    </row>
    <row r="353" spans="1:5" ht="14.5">
      <c r="A353" s="74"/>
      <c r="B353" s="79"/>
      <c r="D353" s="75"/>
      <c r="E353" s="74"/>
    </row>
    <row r="354" spans="1:5" ht="14.5">
      <c r="A354" s="74"/>
      <c r="B354" s="79"/>
      <c r="D354" s="75"/>
      <c r="E354" s="74"/>
    </row>
    <row r="355" spans="1:5" ht="14.5">
      <c r="A355" s="74"/>
      <c r="B355" s="79"/>
      <c r="D355" s="75"/>
      <c r="E355" s="74"/>
    </row>
    <row r="356" spans="1:5" ht="14.5">
      <c r="A356" s="74"/>
      <c r="B356" s="79"/>
      <c r="D356" s="75"/>
      <c r="E356" s="74"/>
    </row>
    <row r="357" spans="1:5" ht="14.5">
      <c r="A357" s="74"/>
      <c r="B357" s="79"/>
      <c r="D357" s="75"/>
      <c r="E357" s="74"/>
    </row>
    <row r="358" spans="1:5" ht="14.5">
      <c r="A358" s="74"/>
      <c r="B358" s="79"/>
      <c r="D358" s="75"/>
      <c r="E358" s="74"/>
    </row>
    <row r="359" spans="1:5" ht="14.5">
      <c r="A359" s="74"/>
      <c r="B359" s="79"/>
      <c r="D359" s="75"/>
      <c r="E359" s="74"/>
    </row>
    <row r="360" spans="1:5" ht="14.5">
      <c r="A360" s="74"/>
      <c r="B360" s="79"/>
      <c r="D360" s="75"/>
      <c r="E360" s="74"/>
    </row>
    <row r="361" spans="1:5" ht="14.5">
      <c r="A361" s="74"/>
      <c r="B361" s="79"/>
      <c r="D361" s="75"/>
      <c r="E361" s="74"/>
    </row>
    <row r="362" spans="1:5" ht="14.5">
      <c r="A362" s="74"/>
      <c r="B362" s="79"/>
      <c r="D362" s="75"/>
      <c r="E362" s="74"/>
    </row>
    <row r="363" spans="1:5" ht="14.5">
      <c r="A363" s="74"/>
      <c r="B363" s="79"/>
      <c r="D363" s="75"/>
      <c r="E363" s="74"/>
    </row>
    <row r="364" spans="1:5" ht="14.5">
      <c r="A364" s="74"/>
      <c r="B364" s="79"/>
      <c r="D364" s="75"/>
      <c r="E364" s="74"/>
    </row>
    <row r="365" spans="1:5" ht="14.5">
      <c r="A365" s="74"/>
      <c r="B365" s="79"/>
      <c r="D365" s="75"/>
      <c r="E365" s="74"/>
    </row>
    <row r="366" spans="1:5" ht="14.5">
      <c r="A366" s="74"/>
      <c r="B366" s="79"/>
      <c r="D366" s="75"/>
      <c r="E366" s="74"/>
    </row>
    <row r="367" spans="1:5" ht="14.5">
      <c r="A367" s="74"/>
      <c r="B367" s="79"/>
      <c r="D367" s="75"/>
      <c r="E367" s="74"/>
    </row>
    <row r="368" spans="1:5" ht="14.5">
      <c r="A368" s="74"/>
      <c r="B368" s="79"/>
      <c r="D368" s="75"/>
      <c r="E368" s="74"/>
    </row>
    <row r="369" spans="1:5" ht="14.5">
      <c r="A369" s="74"/>
      <c r="B369" s="79"/>
      <c r="D369" s="75"/>
      <c r="E369" s="74"/>
    </row>
    <row r="370" spans="1:5" ht="14.5">
      <c r="A370" s="74"/>
      <c r="B370" s="79"/>
      <c r="D370" s="75"/>
      <c r="E370" s="74"/>
    </row>
    <row r="371" spans="1:5" ht="14.5">
      <c r="A371" s="74"/>
      <c r="B371" s="79"/>
      <c r="D371" s="75"/>
      <c r="E371" s="74"/>
    </row>
    <row r="372" spans="1:5" ht="14.5">
      <c r="A372" s="74"/>
      <c r="B372" s="79"/>
      <c r="D372" s="75"/>
      <c r="E372" s="74"/>
    </row>
    <row r="373" spans="1:5" ht="14.5">
      <c r="A373" s="74"/>
      <c r="B373" s="79"/>
      <c r="D373" s="75"/>
      <c r="E373" s="74"/>
    </row>
    <row r="374" spans="1:5" ht="14.5">
      <c r="A374" s="74"/>
      <c r="B374" s="79"/>
      <c r="D374" s="75"/>
      <c r="E374" s="74"/>
    </row>
    <row r="375" spans="1:5" ht="14.5">
      <c r="A375" s="74"/>
      <c r="B375" s="79"/>
      <c r="D375" s="75"/>
      <c r="E375" s="74"/>
    </row>
    <row r="376" spans="1:5" ht="14.5">
      <c r="A376" s="74"/>
      <c r="B376" s="79"/>
      <c r="D376" s="75"/>
      <c r="E376" s="74"/>
    </row>
    <row r="377" spans="1:5" ht="14.5">
      <c r="A377" s="74"/>
      <c r="B377" s="79"/>
      <c r="D377" s="75"/>
      <c r="E377" s="74"/>
    </row>
    <row r="378" spans="1:5" ht="14.5">
      <c r="A378" s="74"/>
      <c r="B378" s="79"/>
      <c r="D378" s="75"/>
      <c r="E378" s="74"/>
    </row>
    <row r="379" spans="1:5" ht="14.5">
      <c r="A379" s="74"/>
      <c r="B379" s="79"/>
      <c r="D379" s="75"/>
      <c r="E379" s="74"/>
    </row>
    <row r="380" spans="1:5" ht="14.5">
      <c r="A380" s="74"/>
      <c r="B380" s="79"/>
      <c r="D380" s="75"/>
      <c r="E380" s="74"/>
    </row>
    <row r="381" spans="1:5" ht="14.5">
      <c r="A381" s="74"/>
      <c r="B381" s="79"/>
      <c r="D381" s="75"/>
      <c r="E381" s="74"/>
    </row>
    <row r="382" spans="1:5" ht="14.5">
      <c r="A382" s="74"/>
      <c r="B382" s="79"/>
      <c r="D382" s="75"/>
      <c r="E382" s="74"/>
    </row>
    <row r="383" spans="1:5" ht="14.5">
      <c r="A383" s="74"/>
      <c r="B383" s="79"/>
      <c r="D383" s="75"/>
      <c r="E383" s="74"/>
    </row>
    <row r="384" spans="1:5" ht="14.5">
      <c r="A384" s="74"/>
      <c r="B384" s="79"/>
      <c r="D384" s="75"/>
      <c r="E384" s="74"/>
    </row>
    <row r="385" spans="1:5" ht="14.5">
      <c r="A385" s="74"/>
      <c r="B385" s="79"/>
      <c r="D385" s="75"/>
      <c r="E385" s="74"/>
    </row>
    <row r="386" spans="1:5" ht="14.5">
      <c r="A386" s="74"/>
      <c r="B386" s="79"/>
      <c r="D386" s="75"/>
      <c r="E386" s="74"/>
    </row>
    <row r="387" spans="1:5" ht="14.5">
      <c r="A387" s="74"/>
      <c r="B387" s="79"/>
      <c r="D387" s="75"/>
      <c r="E387" s="74"/>
    </row>
    <row r="388" spans="1:5" ht="14.5">
      <c r="A388" s="74"/>
      <c r="B388" s="79"/>
      <c r="D388" s="75"/>
      <c r="E388" s="74"/>
    </row>
    <row r="389" spans="1:5" ht="14.5">
      <c r="A389" s="74"/>
      <c r="B389" s="79"/>
      <c r="D389" s="75"/>
      <c r="E389" s="74"/>
    </row>
    <row r="390" spans="1:5" ht="14.5">
      <c r="A390" s="74"/>
      <c r="B390" s="79"/>
      <c r="D390" s="75"/>
      <c r="E390" s="74"/>
    </row>
    <row r="391" spans="1:5" ht="14.5">
      <c r="A391" s="74"/>
      <c r="B391" s="79"/>
      <c r="D391" s="75"/>
      <c r="E391" s="74"/>
    </row>
    <row r="392" spans="1:5" ht="14.5">
      <c r="A392" s="74"/>
      <c r="B392" s="79"/>
      <c r="D392" s="75"/>
      <c r="E392" s="74"/>
    </row>
    <row r="393" spans="1:5" ht="14.5">
      <c r="A393" s="74"/>
      <c r="B393" s="79"/>
      <c r="D393" s="75"/>
      <c r="E393" s="74"/>
    </row>
    <row r="394" spans="1:5" ht="14.5">
      <c r="A394" s="74"/>
      <c r="B394" s="79"/>
      <c r="D394" s="75"/>
      <c r="E394" s="74"/>
    </row>
    <row r="395" spans="1:5" ht="14.5">
      <c r="A395" s="74"/>
      <c r="B395" s="79"/>
      <c r="D395" s="75"/>
      <c r="E395" s="74"/>
    </row>
    <row r="396" spans="1:5" ht="14.5">
      <c r="A396" s="74"/>
      <c r="B396" s="79"/>
      <c r="D396" s="75"/>
      <c r="E396" s="74"/>
    </row>
    <row r="397" spans="1:5" ht="14.5">
      <c r="A397" s="74"/>
      <c r="B397" s="79"/>
      <c r="D397" s="75"/>
      <c r="E397" s="74"/>
    </row>
    <row r="398" spans="1:5" ht="14.5">
      <c r="A398" s="74"/>
      <c r="B398" s="79"/>
      <c r="D398" s="75"/>
      <c r="E398" s="74"/>
    </row>
    <row r="399" spans="1:5" ht="14.5">
      <c r="A399" s="74"/>
      <c r="B399" s="79"/>
      <c r="D399" s="75"/>
      <c r="E399" s="74"/>
    </row>
    <row r="400" spans="1:5" ht="14.5">
      <c r="A400" s="74"/>
      <c r="B400" s="79"/>
      <c r="D400" s="75"/>
      <c r="E400" s="74"/>
    </row>
    <row r="401" spans="1:5" ht="14.5">
      <c r="A401" s="74"/>
      <c r="B401" s="79"/>
      <c r="D401" s="75"/>
      <c r="E401" s="74"/>
    </row>
    <row r="402" spans="1:5" ht="14.5">
      <c r="A402" s="74"/>
      <c r="B402" s="79"/>
      <c r="D402" s="75"/>
      <c r="E402" s="74"/>
    </row>
    <row r="403" spans="1:5" ht="14.5">
      <c r="A403" s="74"/>
      <c r="B403" s="79"/>
      <c r="D403" s="75"/>
      <c r="E403" s="74"/>
    </row>
    <row r="404" spans="1:5" ht="14.5">
      <c r="A404" s="74"/>
      <c r="B404" s="79"/>
      <c r="D404" s="75"/>
      <c r="E404" s="74"/>
    </row>
    <row r="405" spans="1:5" ht="14.5">
      <c r="A405" s="74"/>
      <c r="B405" s="79"/>
      <c r="D405" s="75"/>
      <c r="E405" s="74"/>
    </row>
    <row r="406" spans="1:5" ht="14.5">
      <c r="A406" s="74"/>
      <c r="B406" s="79"/>
      <c r="D406" s="75"/>
      <c r="E406" s="74"/>
    </row>
    <row r="407" spans="1:5" ht="14.5">
      <c r="A407" s="74"/>
      <c r="B407" s="79"/>
      <c r="D407" s="75"/>
      <c r="E407" s="74"/>
    </row>
    <row r="408" spans="1:5" ht="14.5">
      <c r="A408" s="74"/>
      <c r="B408" s="79"/>
      <c r="D408" s="75"/>
      <c r="E408" s="74"/>
    </row>
    <row r="409" spans="1:5" ht="14.5">
      <c r="A409" s="74"/>
      <c r="B409" s="79"/>
      <c r="D409" s="75"/>
      <c r="E409" s="74"/>
    </row>
    <row r="410" spans="1:5" ht="14.5">
      <c r="A410" s="74"/>
      <c r="B410" s="79"/>
      <c r="D410" s="75"/>
      <c r="E410" s="74"/>
    </row>
    <row r="411" spans="1:5" ht="14.5">
      <c r="A411" s="74"/>
      <c r="B411" s="79"/>
      <c r="D411" s="75"/>
      <c r="E411" s="74"/>
    </row>
    <row r="412" spans="1:5" ht="14.5">
      <c r="A412" s="74"/>
      <c r="B412" s="79"/>
      <c r="D412" s="75"/>
      <c r="E412" s="74"/>
    </row>
    <row r="413" spans="1:5" ht="14.5">
      <c r="A413" s="74"/>
      <c r="B413" s="79"/>
      <c r="D413" s="75"/>
      <c r="E413" s="74"/>
    </row>
    <row r="414" spans="1:5" ht="14.5">
      <c r="A414" s="74"/>
      <c r="B414" s="79"/>
      <c r="D414" s="75"/>
      <c r="E414" s="74"/>
    </row>
    <row r="415" spans="1:5" ht="14.5">
      <c r="A415" s="74"/>
      <c r="B415" s="79"/>
      <c r="D415" s="75"/>
      <c r="E415" s="74"/>
    </row>
    <row r="416" spans="1:5" ht="14.5">
      <c r="A416" s="74"/>
      <c r="B416" s="79"/>
      <c r="D416" s="75"/>
      <c r="E416" s="74"/>
    </row>
    <row r="417" spans="1:5" ht="14.5">
      <c r="A417" s="74"/>
      <c r="B417" s="79"/>
      <c r="D417" s="75"/>
      <c r="E417" s="74"/>
    </row>
    <row r="418" spans="1:5" ht="14.5">
      <c r="A418" s="74"/>
      <c r="B418" s="79"/>
      <c r="D418" s="75"/>
      <c r="E418" s="74"/>
    </row>
    <row r="419" spans="1:5" ht="14.5">
      <c r="A419" s="74"/>
      <c r="B419" s="79"/>
      <c r="D419" s="75"/>
      <c r="E419" s="74"/>
    </row>
    <row r="420" spans="1:5" ht="14.5">
      <c r="A420" s="74"/>
      <c r="B420" s="79"/>
      <c r="D420" s="75"/>
      <c r="E420" s="74"/>
    </row>
    <row r="421" spans="1:5" ht="14.5">
      <c r="A421" s="74"/>
      <c r="B421" s="79"/>
      <c r="D421" s="75"/>
      <c r="E421" s="74"/>
    </row>
    <row r="422" spans="1:5" ht="14.5">
      <c r="A422" s="74"/>
      <c r="B422" s="79"/>
      <c r="D422" s="75"/>
      <c r="E422" s="74"/>
    </row>
    <row r="423" spans="1:5" ht="14.5">
      <c r="A423" s="74"/>
      <c r="B423" s="79"/>
      <c r="D423" s="75"/>
      <c r="E423" s="74"/>
    </row>
    <row r="424" spans="1:5" ht="14.5">
      <c r="A424" s="74"/>
      <c r="B424" s="79"/>
      <c r="D424" s="75"/>
      <c r="E424" s="74"/>
    </row>
    <row r="425" spans="1:5" ht="14.5">
      <c r="A425" s="74"/>
      <c r="B425" s="79"/>
      <c r="D425" s="75"/>
      <c r="E425" s="74"/>
    </row>
    <row r="426" spans="1:5" ht="14.5">
      <c r="A426" s="74"/>
      <c r="B426" s="79"/>
      <c r="D426" s="75"/>
      <c r="E426" s="74"/>
    </row>
    <row r="427" spans="1:5" ht="14.5">
      <c r="A427" s="74"/>
      <c r="B427" s="79"/>
      <c r="D427" s="75"/>
      <c r="E427" s="74"/>
    </row>
    <row r="428" spans="1:5" ht="14.5">
      <c r="A428" s="74"/>
      <c r="B428" s="79"/>
      <c r="D428" s="75"/>
      <c r="E428" s="74"/>
    </row>
    <row r="429" spans="1:5" ht="14.5">
      <c r="A429" s="74"/>
      <c r="B429" s="79"/>
      <c r="D429" s="75"/>
      <c r="E429" s="74"/>
    </row>
    <row r="430" spans="1:5" ht="14.5">
      <c r="A430" s="74"/>
      <c r="B430" s="79"/>
      <c r="D430" s="75"/>
      <c r="E430" s="74"/>
    </row>
    <row r="431" spans="1:5" ht="14.5">
      <c r="A431" s="74"/>
      <c r="B431" s="79"/>
      <c r="D431" s="75"/>
      <c r="E431" s="74"/>
    </row>
    <row r="432" spans="1:5" ht="14.5">
      <c r="A432" s="74"/>
      <c r="B432" s="79"/>
      <c r="D432" s="75"/>
      <c r="E432" s="74"/>
    </row>
    <row r="433" spans="1:5" ht="14.5">
      <c r="A433" s="74"/>
      <c r="B433" s="79"/>
      <c r="D433" s="75"/>
      <c r="E433" s="74"/>
    </row>
    <row r="434" spans="1:5" ht="14.5">
      <c r="A434" s="74"/>
      <c r="B434" s="79"/>
      <c r="D434" s="75"/>
      <c r="E434" s="74"/>
    </row>
    <row r="435" spans="1:5" ht="14.5">
      <c r="A435" s="74"/>
      <c r="B435" s="79"/>
      <c r="D435" s="75"/>
      <c r="E435" s="74"/>
    </row>
    <row r="436" spans="1:5" ht="14.5">
      <c r="A436" s="74"/>
      <c r="B436" s="79"/>
      <c r="D436" s="75"/>
      <c r="E436" s="74"/>
    </row>
    <row r="437" spans="1:5" ht="14.5">
      <c r="A437" s="74"/>
      <c r="B437" s="79"/>
      <c r="D437" s="75"/>
      <c r="E437" s="74"/>
    </row>
    <row r="438" spans="1:5" ht="14.5">
      <c r="A438" s="74"/>
      <c r="B438" s="79"/>
      <c r="D438" s="75"/>
      <c r="E438" s="74"/>
    </row>
    <row r="439" spans="1:5" ht="14.5">
      <c r="A439" s="74"/>
      <c r="B439" s="79"/>
      <c r="D439" s="75"/>
      <c r="E439" s="74"/>
    </row>
    <row r="440" spans="1:5" ht="14.5">
      <c r="A440" s="74"/>
      <c r="B440" s="79"/>
      <c r="D440" s="75"/>
      <c r="E440" s="74"/>
    </row>
    <row r="441" spans="1:5" ht="14.5">
      <c r="A441" s="74"/>
      <c r="B441" s="79"/>
      <c r="D441" s="75"/>
      <c r="E441" s="74"/>
    </row>
    <row r="442" spans="1:5" ht="14.5">
      <c r="A442" s="74"/>
      <c r="B442" s="79"/>
      <c r="D442" s="75"/>
      <c r="E442" s="74"/>
    </row>
    <row r="443" spans="1:5" ht="14.5">
      <c r="A443" s="74"/>
      <c r="B443" s="79"/>
      <c r="D443" s="75"/>
      <c r="E443" s="74"/>
    </row>
    <row r="444" spans="1:5" ht="14.5">
      <c r="A444" s="74"/>
      <c r="B444" s="79"/>
      <c r="D444" s="75"/>
      <c r="E444" s="74"/>
    </row>
    <row r="445" spans="1:5" ht="14.5">
      <c r="A445" s="74"/>
      <c r="B445" s="79"/>
      <c r="D445" s="75"/>
      <c r="E445" s="74"/>
    </row>
    <row r="446" spans="1:5" ht="14.5">
      <c r="A446" s="74"/>
      <c r="B446" s="79"/>
      <c r="D446" s="75"/>
      <c r="E446" s="74"/>
    </row>
    <row r="447" spans="1:5" ht="14.5">
      <c r="A447" s="74"/>
      <c r="B447" s="79"/>
      <c r="D447" s="75"/>
      <c r="E447" s="74"/>
    </row>
    <row r="448" spans="1:5" ht="14.5">
      <c r="A448" s="74"/>
      <c r="B448" s="79"/>
      <c r="D448" s="75"/>
      <c r="E448" s="74"/>
    </row>
    <row r="449" spans="1:5" ht="14.5">
      <c r="A449" s="74"/>
      <c r="B449" s="79"/>
      <c r="D449" s="75"/>
      <c r="E449" s="74"/>
    </row>
    <row r="450" spans="1:5" ht="14.5">
      <c r="A450" s="74"/>
      <c r="B450" s="79"/>
      <c r="D450" s="75"/>
      <c r="E450" s="74"/>
    </row>
    <row r="451" spans="1:5" ht="14.5">
      <c r="A451" s="74"/>
      <c r="B451" s="79"/>
      <c r="D451" s="75"/>
      <c r="E451" s="74"/>
    </row>
    <row r="452" spans="1:5" ht="14.5">
      <c r="A452" s="74"/>
      <c r="B452" s="79"/>
      <c r="D452" s="75"/>
      <c r="E452" s="74"/>
    </row>
    <row r="453" spans="1:5" ht="14.5">
      <c r="A453" s="74"/>
      <c r="B453" s="79"/>
      <c r="D453" s="75"/>
      <c r="E453" s="74"/>
    </row>
    <row r="454" spans="1:5" ht="14.5">
      <c r="A454" s="74"/>
      <c r="B454" s="79"/>
      <c r="D454" s="75"/>
      <c r="E454" s="74"/>
    </row>
    <row r="455" spans="1:5" ht="14.5">
      <c r="A455" s="74"/>
      <c r="B455" s="79"/>
      <c r="D455" s="75"/>
      <c r="E455" s="74"/>
    </row>
    <row r="456" spans="1:5" ht="14.5">
      <c r="A456" s="74"/>
      <c r="B456" s="79"/>
      <c r="D456" s="75"/>
      <c r="E456" s="74"/>
    </row>
    <row r="457" spans="1:5" ht="14.5">
      <c r="A457" s="74"/>
      <c r="B457" s="79"/>
      <c r="D457" s="75"/>
      <c r="E457" s="74"/>
    </row>
    <row r="458" spans="1:5" ht="14.5">
      <c r="A458" s="74"/>
      <c r="B458" s="79"/>
      <c r="D458" s="75"/>
      <c r="E458" s="74"/>
    </row>
    <row r="459" spans="1:5" ht="14.5">
      <c r="A459" s="74"/>
      <c r="B459" s="79"/>
      <c r="D459" s="75"/>
      <c r="E459" s="74"/>
    </row>
    <row r="460" spans="1:5" ht="14.5">
      <c r="A460" s="74"/>
      <c r="B460" s="79"/>
      <c r="D460" s="75"/>
      <c r="E460" s="74"/>
    </row>
    <row r="461" spans="1:5" ht="14.5">
      <c r="A461" s="74"/>
      <c r="B461" s="79"/>
      <c r="D461" s="75"/>
      <c r="E461" s="74"/>
    </row>
    <row r="462" spans="1:5" ht="14.5">
      <c r="A462" s="74"/>
      <c r="B462" s="79"/>
      <c r="D462" s="75"/>
      <c r="E462" s="74"/>
    </row>
    <row r="463" spans="1:5" ht="14.5">
      <c r="A463" s="74"/>
      <c r="B463" s="79"/>
      <c r="D463" s="75"/>
      <c r="E463" s="74"/>
    </row>
    <row r="464" spans="1:5" ht="14.5">
      <c r="A464" s="74"/>
      <c r="B464" s="79"/>
      <c r="D464" s="75"/>
      <c r="E464" s="74"/>
    </row>
    <row r="465" spans="1:5" ht="14.5">
      <c r="A465" s="74"/>
      <c r="B465" s="79"/>
      <c r="D465" s="75"/>
      <c r="E465" s="74"/>
    </row>
    <row r="466" spans="1:5" ht="14.5">
      <c r="A466" s="74"/>
      <c r="B466" s="79"/>
      <c r="D466" s="75"/>
      <c r="E466" s="74"/>
    </row>
    <row r="467" spans="1:5" ht="14.5">
      <c r="A467" s="74"/>
      <c r="B467" s="79"/>
      <c r="D467" s="75"/>
      <c r="E467" s="74"/>
    </row>
    <row r="468" spans="1:5" ht="14.5">
      <c r="A468" s="74"/>
      <c r="B468" s="79"/>
      <c r="D468" s="75"/>
      <c r="E468" s="74"/>
    </row>
    <row r="469" spans="1:5" ht="14.5">
      <c r="A469" s="74"/>
      <c r="B469" s="79"/>
      <c r="D469" s="75"/>
      <c r="E469" s="74"/>
    </row>
    <row r="470" spans="1:5" ht="14.5">
      <c r="A470" s="74"/>
      <c r="B470" s="79"/>
      <c r="D470" s="75"/>
      <c r="E470" s="74"/>
    </row>
    <row r="471" spans="1:5" ht="14.5">
      <c r="A471" s="74"/>
      <c r="B471" s="79"/>
      <c r="D471" s="75"/>
      <c r="E471" s="74"/>
    </row>
    <row r="472" spans="1:5" ht="14.5">
      <c r="A472" s="74"/>
      <c r="B472" s="79"/>
      <c r="D472" s="75"/>
      <c r="E472" s="74"/>
    </row>
    <row r="473" spans="1:5" ht="14.5">
      <c r="A473" s="74"/>
      <c r="B473" s="79"/>
      <c r="D473" s="75"/>
      <c r="E473" s="74"/>
    </row>
    <row r="474" spans="1:5" ht="14.5">
      <c r="A474" s="74"/>
      <c r="B474" s="79"/>
      <c r="D474" s="75"/>
      <c r="E474" s="74"/>
    </row>
    <row r="475" spans="1:5" ht="14.5">
      <c r="A475" s="74"/>
      <c r="B475" s="79"/>
      <c r="D475" s="75"/>
      <c r="E475" s="74"/>
    </row>
    <row r="476" spans="1:5" ht="14.5">
      <c r="A476" s="74"/>
      <c r="B476" s="79"/>
      <c r="D476" s="75"/>
      <c r="E476" s="74"/>
    </row>
    <row r="477" spans="1:5" ht="14.5">
      <c r="A477" s="74"/>
      <c r="B477" s="79"/>
      <c r="D477" s="75"/>
      <c r="E477" s="74"/>
    </row>
    <row r="478" spans="1:5" ht="14.5">
      <c r="A478" s="74"/>
      <c r="B478" s="79"/>
      <c r="D478" s="75"/>
      <c r="E478" s="74"/>
    </row>
    <row r="479" spans="1:5" ht="14.5">
      <c r="A479" s="74"/>
      <c r="B479" s="79"/>
      <c r="D479" s="75"/>
      <c r="E479" s="74"/>
    </row>
    <row r="480" spans="1:5" ht="14.5">
      <c r="A480" s="74"/>
      <c r="B480" s="79"/>
      <c r="D480" s="75"/>
      <c r="E480" s="74"/>
    </row>
    <row r="481" spans="1:5" ht="14.5">
      <c r="A481" s="74"/>
      <c r="B481" s="79"/>
      <c r="D481" s="75"/>
      <c r="E481" s="74"/>
    </row>
    <row r="482" spans="1:5" ht="14.5">
      <c r="A482" s="74"/>
      <c r="B482" s="79"/>
      <c r="D482" s="75"/>
      <c r="E482" s="74"/>
    </row>
    <row r="483" spans="1:5" ht="14.5">
      <c r="A483" s="74"/>
      <c r="B483" s="79"/>
      <c r="D483" s="75"/>
      <c r="E483" s="74"/>
    </row>
    <row r="484" spans="1:5" ht="14.5">
      <c r="A484" s="74"/>
      <c r="B484" s="79"/>
      <c r="D484" s="75"/>
      <c r="E484" s="74"/>
    </row>
    <row r="485" spans="1:5" ht="14.5">
      <c r="A485" s="74"/>
      <c r="B485" s="79"/>
      <c r="D485" s="75"/>
      <c r="E485" s="74"/>
    </row>
    <row r="486" spans="1:5" ht="14.5">
      <c r="A486" s="74"/>
      <c r="B486" s="79"/>
      <c r="D486" s="75"/>
      <c r="E486" s="74"/>
    </row>
    <row r="487" spans="1:5" ht="14.5">
      <c r="A487" s="74"/>
      <c r="B487" s="79"/>
      <c r="D487" s="75"/>
      <c r="E487" s="74"/>
    </row>
    <row r="488" spans="1:5" ht="14.5">
      <c r="A488" s="74"/>
      <c r="B488" s="79"/>
      <c r="D488" s="75"/>
      <c r="E488" s="74"/>
    </row>
    <row r="489" spans="1:5" ht="14.5">
      <c r="A489" s="74"/>
      <c r="B489" s="79"/>
      <c r="D489" s="75"/>
      <c r="E489" s="74"/>
    </row>
    <row r="490" spans="1:5" ht="14.5">
      <c r="A490" s="74"/>
      <c r="B490" s="79"/>
      <c r="D490" s="75"/>
      <c r="E490" s="74"/>
    </row>
    <row r="491" spans="1:5" ht="14.5">
      <c r="A491" s="74"/>
      <c r="B491" s="79"/>
      <c r="D491" s="75"/>
      <c r="E491" s="74"/>
    </row>
    <row r="492" spans="1:5" ht="14.5">
      <c r="A492" s="74"/>
      <c r="B492" s="79"/>
      <c r="D492" s="75"/>
      <c r="E492" s="74"/>
    </row>
    <row r="493" spans="1:5" ht="14.5">
      <c r="A493" s="74"/>
      <c r="B493" s="79"/>
      <c r="D493" s="75"/>
      <c r="E493" s="74"/>
    </row>
    <row r="494" spans="1:5" ht="14.5">
      <c r="A494" s="74"/>
      <c r="B494" s="79"/>
      <c r="D494" s="75"/>
      <c r="E494" s="74"/>
    </row>
    <row r="495" spans="1:5" ht="14.5">
      <c r="A495" s="74"/>
      <c r="B495" s="79"/>
      <c r="D495" s="75"/>
      <c r="E495" s="74"/>
    </row>
    <row r="496" spans="1:5" ht="14.5">
      <c r="A496" s="74"/>
      <c r="B496" s="79"/>
      <c r="D496" s="75"/>
      <c r="E496" s="74"/>
    </row>
    <row r="497" spans="1:5" ht="14.5">
      <c r="A497" s="74"/>
      <c r="B497" s="79"/>
      <c r="D497" s="75"/>
      <c r="E497" s="74"/>
    </row>
    <row r="498" spans="1:5" ht="14.5">
      <c r="A498" s="74"/>
      <c r="B498" s="79"/>
      <c r="D498" s="75"/>
      <c r="E498" s="74"/>
    </row>
    <row r="499" spans="1:5" ht="14.5">
      <c r="A499" s="74"/>
      <c r="B499" s="79"/>
      <c r="D499" s="75"/>
      <c r="E499" s="74"/>
    </row>
    <row r="500" spans="1:5" ht="14.5">
      <c r="A500" s="74"/>
      <c r="B500" s="79"/>
      <c r="D500" s="75"/>
      <c r="E500" s="74"/>
    </row>
    <row r="501" spans="1:5" ht="14.5">
      <c r="A501" s="74"/>
      <c r="B501" s="79"/>
      <c r="D501" s="75"/>
      <c r="E501" s="74"/>
    </row>
    <row r="502" spans="1:5" ht="14.5">
      <c r="A502" s="74"/>
      <c r="B502" s="79"/>
      <c r="D502" s="75"/>
      <c r="E502" s="74"/>
    </row>
    <row r="503" spans="1:5" ht="14.5">
      <c r="A503" s="74"/>
      <c r="B503" s="79"/>
      <c r="D503" s="75"/>
      <c r="E503" s="74"/>
    </row>
    <row r="504" spans="1:5" ht="14.5">
      <c r="A504" s="74"/>
      <c r="B504" s="79"/>
      <c r="D504" s="75"/>
      <c r="E504" s="74"/>
    </row>
    <row r="505" spans="1:5" ht="14.5">
      <c r="A505" s="74"/>
      <c r="B505" s="79"/>
      <c r="D505" s="75"/>
      <c r="E505" s="74"/>
    </row>
    <row r="506" spans="1:5" ht="14.5">
      <c r="A506" s="74"/>
      <c r="B506" s="79"/>
      <c r="D506" s="75"/>
      <c r="E506" s="74"/>
    </row>
    <row r="507" spans="1:5" ht="14.5">
      <c r="A507" s="74"/>
      <c r="B507" s="79"/>
      <c r="D507" s="75"/>
      <c r="E507" s="74"/>
    </row>
    <row r="508" spans="1:5" ht="14.5">
      <c r="A508" s="74"/>
      <c r="B508" s="79"/>
      <c r="D508" s="75"/>
      <c r="E508" s="74"/>
    </row>
    <row r="509" spans="1:5" ht="14.5">
      <c r="A509" s="74"/>
      <c r="B509" s="79"/>
      <c r="D509" s="75"/>
      <c r="E509" s="74"/>
    </row>
    <row r="510" spans="1:5" ht="14.5">
      <c r="A510" s="74"/>
      <c r="B510" s="79"/>
      <c r="D510" s="75"/>
      <c r="E510" s="74"/>
    </row>
    <row r="511" spans="1:5" ht="14.5">
      <c r="A511" s="74"/>
      <c r="B511" s="79"/>
      <c r="D511" s="75"/>
      <c r="E511" s="74"/>
    </row>
    <row r="512" spans="1:5" ht="14.5">
      <c r="A512" s="74"/>
      <c r="B512" s="79"/>
      <c r="D512" s="75"/>
      <c r="E512" s="74"/>
    </row>
    <row r="513" spans="1:5" ht="14.5">
      <c r="A513" s="74"/>
      <c r="B513" s="79"/>
      <c r="D513" s="75"/>
      <c r="E513" s="74"/>
    </row>
    <row r="514" spans="1:5" ht="14.5">
      <c r="A514" s="74"/>
      <c r="B514" s="79"/>
      <c r="D514" s="75"/>
      <c r="E514" s="74"/>
    </row>
    <row r="515" spans="1:5" ht="14.5">
      <c r="A515" s="74"/>
      <c r="B515" s="79"/>
      <c r="D515" s="75"/>
      <c r="E515" s="74"/>
    </row>
    <row r="516" spans="1:5" ht="14.5">
      <c r="A516" s="74"/>
      <c r="B516" s="79"/>
      <c r="D516" s="75"/>
      <c r="E516" s="74"/>
    </row>
    <row r="517" spans="1:5" ht="14.5">
      <c r="A517" s="74"/>
      <c r="B517" s="79"/>
      <c r="D517" s="75"/>
      <c r="E517" s="74"/>
    </row>
    <row r="518" spans="1:5" ht="14.5">
      <c r="A518" s="74"/>
      <c r="B518" s="79"/>
      <c r="D518" s="75"/>
      <c r="E518" s="74"/>
    </row>
    <row r="519" spans="1:5" ht="14.5">
      <c r="A519" s="74"/>
      <c r="B519" s="79"/>
      <c r="D519" s="75"/>
      <c r="E519" s="74"/>
    </row>
    <row r="520" spans="1:5" ht="14.5">
      <c r="A520" s="74"/>
      <c r="B520" s="79"/>
      <c r="D520" s="75"/>
      <c r="E520" s="74"/>
    </row>
    <row r="521" spans="1:5" ht="14.5">
      <c r="A521" s="74"/>
      <c r="B521" s="79"/>
      <c r="D521" s="75"/>
      <c r="E521" s="74"/>
    </row>
    <row r="522" spans="1:5" ht="14.5">
      <c r="A522" s="74"/>
      <c r="B522" s="79"/>
      <c r="D522" s="75"/>
      <c r="E522" s="74"/>
    </row>
    <row r="523" spans="1:5" ht="14.5">
      <c r="A523" s="74"/>
      <c r="B523" s="79"/>
      <c r="D523" s="75"/>
      <c r="E523" s="74"/>
    </row>
    <row r="524" spans="1:5" ht="14.5">
      <c r="A524" s="74"/>
      <c r="B524" s="79"/>
      <c r="D524" s="75"/>
      <c r="E524" s="74"/>
    </row>
    <row r="525" spans="1:5" ht="14.5">
      <c r="A525" s="74"/>
      <c r="B525" s="79"/>
      <c r="D525" s="75"/>
      <c r="E525" s="74"/>
    </row>
    <row r="526" spans="1:5" ht="14.5">
      <c r="A526" s="74"/>
      <c r="B526" s="79"/>
      <c r="D526" s="75"/>
      <c r="E526" s="74"/>
    </row>
    <row r="527" spans="1:5" ht="14.5">
      <c r="A527" s="74"/>
      <c r="B527" s="79"/>
      <c r="D527" s="75"/>
      <c r="E527" s="74"/>
    </row>
    <row r="528" spans="1:5" ht="14.5">
      <c r="A528" s="74"/>
      <c r="B528" s="79"/>
      <c r="D528" s="75"/>
      <c r="E528" s="74"/>
    </row>
    <row r="529" spans="1:5" ht="14.5">
      <c r="A529" s="74"/>
      <c r="B529" s="79"/>
      <c r="D529" s="75"/>
      <c r="E529" s="74"/>
    </row>
    <row r="530" spans="1:5" ht="14.5">
      <c r="A530" s="74"/>
      <c r="B530" s="79"/>
      <c r="D530" s="75"/>
      <c r="E530" s="74"/>
    </row>
    <row r="531" spans="1:5" ht="14.5">
      <c r="A531" s="74"/>
      <c r="B531" s="79"/>
      <c r="D531" s="75"/>
      <c r="E531" s="74"/>
    </row>
    <row r="532" spans="1:5" ht="14.5">
      <c r="A532" s="74"/>
      <c r="B532" s="79"/>
      <c r="D532" s="75"/>
      <c r="E532" s="74"/>
    </row>
    <row r="533" spans="1:5" ht="14.5">
      <c r="A533" s="74"/>
      <c r="B533" s="79"/>
      <c r="D533" s="75"/>
      <c r="E533" s="74"/>
    </row>
    <row r="534" spans="1:5" ht="14.5">
      <c r="A534" s="74"/>
      <c r="B534" s="79"/>
      <c r="D534" s="75"/>
      <c r="E534" s="74"/>
    </row>
    <row r="535" spans="1:5" ht="14.5">
      <c r="A535" s="74"/>
      <c r="B535" s="79"/>
      <c r="D535" s="75"/>
      <c r="E535" s="74"/>
    </row>
    <row r="536" spans="1:5" ht="14.5">
      <c r="A536" s="74"/>
      <c r="B536" s="79"/>
      <c r="D536" s="75"/>
      <c r="E536" s="74"/>
    </row>
    <row r="537" spans="1:5" ht="14.5">
      <c r="A537" s="74"/>
      <c r="B537" s="79"/>
      <c r="D537" s="75"/>
      <c r="E537" s="74"/>
    </row>
    <row r="538" spans="1:5" ht="14.5">
      <c r="A538" s="74"/>
      <c r="B538" s="79"/>
      <c r="D538" s="75"/>
      <c r="E538" s="74"/>
    </row>
    <row r="539" spans="1:5" ht="14.5">
      <c r="A539" s="74"/>
      <c r="B539" s="79"/>
      <c r="D539" s="75"/>
      <c r="E539" s="74"/>
    </row>
    <row r="540" spans="1:5" ht="14.5">
      <c r="A540" s="74"/>
      <c r="B540" s="79"/>
      <c r="D540" s="75"/>
      <c r="E540" s="74"/>
    </row>
    <row r="541" spans="1:5" ht="14.5">
      <c r="A541" s="74"/>
      <c r="B541" s="79"/>
      <c r="D541" s="75"/>
      <c r="E541" s="74"/>
    </row>
    <row r="542" spans="1:5" ht="14.5">
      <c r="A542" s="74"/>
      <c r="B542" s="79"/>
      <c r="D542" s="75"/>
      <c r="E542" s="74"/>
    </row>
    <row r="543" spans="1:5" ht="14.5">
      <c r="A543" s="74"/>
      <c r="B543" s="79"/>
      <c r="D543" s="75"/>
      <c r="E543" s="74"/>
    </row>
    <row r="544" spans="1:5" ht="14.5">
      <c r="A544" s="74"/>
      <c r="B544" s="79"/>
      <c r="D544" s="75"/>
      <c r="E544" s="74"/>
    </row>
    <row r="545" spans="1:5" ht="14.5">
      <c r="A545" s="74"/>
      <c r="B545" s="79"/>
      <c r="D545" s="75"/>
      <c r="E545" s="74"/>
    </row>
    <row r="546" spans="1:5" ht="14.5">
      <c r="A546" s="74"/>
      <c r="B546" s="79"/>
      <c r="D546" s="75"/>
      <c r="E546" s="74"/>
    </row>
    <row r="547" spans="1:5" ht="14.5">
      <c r="A547" s="74"/>
      <c r="B547" s="79"/>
      <c r="D547" s="75"/>
      <c r="E547" s="74"/>
    </row>
    <row r="548" spans="1:5" ht="14.5">
      <c r="A548" s="74"/>
      <c r="B548" s="79"/>
      <c r="D548" s="75"/>
      <c r="E548" s="74"/>
    </row>
    <row r="549" spans="1:5" ht="14.5">
      <c r="A549" s="74"/>
      <c r="B549" s="79"/>
      <c r="D549" s="75"/>
      <c r="E549" s="74"/>
    </row>
    <row r="550" spans="1:5" ht="14.5">
      <c r="A550" s="74"/>
      <c r="B550" s="79"/>
      <c r="D550" s="75"/>
      <c r="E550" s="74"/>
    </row>
    <row r="551" spans="1:5" ht="14.5">
      <c r="A551" s="74"/>
      <c r="B551" s="79"/>
      <c r="D551" s="75"/>
      <c r="E551" s="74"/>
    </row>
    <row r="552" spans="1:5" ht="14.5">
      <c r="A552" s="74"/>
      <c r="B552" s="79"/>
      <c r="D552" s="75"/>
      <c r="E552" s="74"/>
    </row>
    <row r="553" spans="1:5" ht="14.5">
      <c r="A553" s="74"/>
      <c r="B553" s="79"/>
      <c r="D553" s="75"/>
      <c r="E553" s="74"/>
    </row>
    <row r="554" spans="1:5" ht="14.5">
      <c r="A554" s="74"/>
      <c r="B554" s="79"/>
      <c r="D554" s="75"/>
      <c r="E554" s="74"/>
    </row>
    <row r="555" spans="1:5" ht="14.5">
      <c r="A555" s="74"/>
      <c r="B555" s="79"/>
      <c r="D555" s="75"/>
      <c r="E555" s="74"/>
    </row>
    <row r="556" spans="1:5" ht="14.5">
      <c r="A556" s="74"/>
      <c r="B556" s="79"/>
      <c r="D556" s="75"/>
      <c r="E556" s="74"/>
    </row>
    <row r="557" spans="1:5" ht="14.5">
      <c r="A557" s="74"/>
      <c r="B557" s="79"/>
      <c r="D557" s="75"/>
      <c r="E557" s="74"/>
    </row>
    <row r="558" spans="1:5" ht="14.5">
      <c r="A558" s="74"/>
      <c r="B558" s="79"/>
      <c r="D558" s="75"/>
      <c r="E558" s="74"/>
    </row>
    <row r="559" spans="1:5" ht="14.5">
      <c r="A559" s="74"/>
      <c r="B559" s="79"/>
      <c r="D559" s="75"/>
      <c r="E559" s="74"/>
    </row>
    <row r="560" spans="1:5" ht="14.5">
      <c r="A560" s="74"/>
      <c r="B560" s="79"/>
      <c r="D560" s="75"/>
      <c r="E560" s="74"/>
    </row>
    <row r="561" spans="1:5" ht="14.5">
      <c r="A561" s="74"/>
      <c r="B561" s="79"/>
      <c r="D561" s="75"/>
      <c r="E561" s="74"/>
    </row>
    <row r="562" spans="1:5" ht="14.5">
      <c r="A562" s="74"/>
      <c r="B562" s="79"/>
      <c r="D562" s="75"/>
      <c r="E562" s="74"/>
    </row>
    <row r="563" spans="1:5" ht="14.5">
      <c r="A563" s="74"/>
      <c r="B563" s="79"/>
      <c r="D563" s="75"/>
      <c r="E563" s="74"/>
    </row>
    <row r="564" spans="1:5" ht="14.5">
      <c r="A564" s="74"/>
      <c r="B564" s="79"/>
      <c r="D564" s="75"/>
      <c r="E564" s="74"/>
    </row>
    <row r="565" spans="1:5" ht="14.5">
      <c r="A565" s="74"/>
      <c r="B565" s="79"/>
      <c r="D565" s="75"/>
      <c r="E565" s="74"/>
    </row>
    <row r="566" spans="1:5" ht="14.5">
      <c r="A566" s="74"/>
      <c r="B566" s="79"/>
      <c r="D566" s="75"/>
      <c r="E566" s="74"/>
    </row>
    <row r="567" spans="1:5" ht="14.5">
      <c r="A567" s="74"/>
      <c r="B567" s="79"/>
      <c r="D567" s="75"/>
      <c r="E567" s="74"/>
    </row>
    <row r="568" spans="1:5" ht="14.5">
      <c r="A568" s="74"/>
      <c r="B568" s="79"/>
      <c r="D568" s="75"/>
      <c r="E568" s="74"/>
    </row>
    <row r="569" spans="1:5" ht="14.5">
      <c r="A569" s="74"/>
      <c r="B569" s="79"/>
      <c r="D569" s="75"/>
      <c r="E569" s="74"/>
    </row>
    <row r="570" spans="1:5" ht="14.5">
      <c r="A570" s="74"/>
      <c r="B570" s="79"/>
      <c r="D570" s="75"/>
      <c r="E570" s="74"/>
    </row>
    <row r="571" spans="1:5" ht="14.5">
      <c r="A571" s="74"/>
      <c r="B571" s="79"/>
      <c r="D571" s="75"/>
      <c r="E571" s="74"/>
    </row>
    <row r="572" spans="1:5" ht="14.5">
      <c r="A572" s="74"/>
      <c r="B572" s="79"/>
      <c r="D572" s="75"/>
      <c r="E572" s="74"/>
    </row>
    <row r="573" spans="1:5" ht="14.5">
      <c r="A573" s="74"/>
      <c r="B573" s="79"/>
      <c r="D573" s="75"/>
      <c r="E573" s="74"/>
    </row>
    <row r="574" spans="1:5" ht="14.5">
      <c r="A574" s="74"/>
      <c r="B574" s="79"/>
      <c r="D574" s="75"/>
      <c r="E574" s="74"/>
    </row>
    <row r="575" spans="1:5" ht="14.5">
      <c r="A575" s="74"/>
      <c r="B575" s="79"/>
      <c r="D575" s="75"/>
      <c r="E575" s="74"/>
    </row>
    <row r="576" spans="1:5" ht="14.5">
      <c r="A576" s="74"/>
      <c r="B576" s="79"/>
      <c r="D576" s="75"/>
      <c r="E576" s="74"/>
    </row>
    <row r="577" spans="1:5" ht="14.5">
      <c r="A577" s="74"/>
      <c r="B577" s="79"/>
      <c r="D577" s="75"/>
      <c r="E577" s="74"/>
    </row>
    <row r="578" spans="1:5" ht="14.5">
      <c r="A578" s="74"/>
      <c r="B578" s="79"/>
      <c r="D578" s="75"/>
      <c r="E578" s="74"/>
    </row>
    <row r="579" spans="1:5" ht="14.5">
      <c r="A579" s="74"/>
      <c r="B579" s="79"/>
      <c r="D579" s="75"/>
      <c r="E579" s="74"/>
    </row>
    <row r="580" spans="1:5" ht="14.5">
      <c r="A580" s="74"/>
      <c r="B580" s="79"/>
      <c r="D580" s="75"/>
      <c r="E580" s="74"/>
    </row>
    <row r="581" spans="1:5" ht="14.5">
      <c r="A581" s="74"/>
      <c r="B581" s="79"/>
      <c r="D581" s="75"/>
      <c r="E581" s="74"/>
    </row>
    <row r="582" spans="1:5" ht="14.5">
      <c r="A582" s="74"/>
      <c r="B582" s="79"/>
      <c r="D582" s="75"/>
      <c r="E582" s="74"/>
    </row>
    <row r="583" spans="1:5" ht="14.5">
      <c r="A583" s="74"/>
      <c r="B583" s="79"/>
      <c r="D583" s="75"/>
      <c r="E583" s="74"/>
    </row>
    <row r="584" spans="1:5" ht="14.5">
      <c r="A584" s="74"/>
      <c r="B584" s="79"/>
      <c r="D584" s="75"/>
      <c r="E584" s="74"/>
    </row>
    <row r="585" spans="1:5" ht="14.5">
      <c r="A585" s="74"/>
      <c r="B585" s="79"/>
      <c r="D585" s="75"/>
      <c r="E585" s="74"/>
    </row>
    <row r="586" spans="1:5" ht="14.5">
      <c r="A586" s="74"/>
      <c r="B586" s="79"/>
      <c r="D586" s="75"/>
      <c r="E586" s="74"/>
    </row>
    <row r="587" spans="1:5" ht="14.5">
      <c r="A587" s="74"/>
      <c r="B587" s="79"/>
      <c r="D587" s="75"/>
      <c r="E587" s="74"/>
    </row>
    <row r="588" spans="1:5" ht="14.5">
      <c r="A588" s="74"/>
      <c r="B588" s="79"/>
      <c r="D588" s="75"/>
      <c r="E588" s="74"/>
    </row>
    <row r="589" spans="1:5" ht="14.5">
      <c r="A589" s="74"/>
      <c r="B589" s="79"/>
      <c r="D589" s="75"/>
      <c r="E589" s="74"/>
    </row>
    <row r="590" spans="1:5" ht="14.5">
      <c r="A590" s="74"/>
      <c r="B590" s="79"/>
      <c r="D590" s="75"/>
      <c r="E590" s="74"/>
    </row>
    <row r="591" spans="1:5" ht="14.5">
      <c r="A591" s="74"/>
      <c r="B591" s="79"/>
      <c r="D591" s="75"/>
      <c r="E591" s="74"/>
    </row>
    <row r="592" spans="1:5" ht="14.5">
      <c r="A592" s="74"/>
      <c r="B592" s="79"/>
      <c r="D592" s="75"/>
      <c r="E592" s="74"/>
    </row>
    <row r="593" spans="1:5" ht="14.5">
      <c r="A593" s="74"/>
      <c r="B593" s="79"/>
      <c r="D593" s="75"/>
      <c r="E593" s="74"/>
    </row>
    <row r="594" spans="1:5" ht="14.5">
      <c r="A594" s="74"/>
      <c r="B594" s="79"/>
      <c r="D594" s="75"/>
      <c r="E594" s="74"/>
    </row>
    <row r="595" spans="1:5" ht="14.5">
      <c r="A595" s="74"/>
      <c r="B595" s="79"/>
      <c r="D595" s="75"/>
      <c r="E595" s="74"/>
    </row>
    <row r="596" spans="1:5" ht="14.5">
      <c r="A596" s="74"/>
      <c r="B596" s="79"/>
      <c r="D596" s="75"/>
      <c r="E596" s="74"/>
    </row>
    <row r="597" spans="1:5" ht="14.5">
      <c r="A597" s="74"/>
      <c r="B597" s="79"/>
      <c r="D597" s="75"/>
      <c r="E597" s="74"/>
    </row>
    <row r="598" spans="1:5" ht="14.5">
      <c r="A598" s="74"/>
      <c r="B598" s="79"/>
      <c r="D598" s="75"/>
      <c r="E598" s="74"/>
    </row>
    <row r="599" spans="1:5" ht="14.5">
      <c r="A599" s="74"/>
      <c r="B599" s="79"/>
      <c r="D599" s="75"/>
      <c r="E599" s="74"/>
    </row>
    <row r="600" spans="1:5" ht="14.5">
      <c r="A600" s="74"/>
      <c r="B600" s="79"/>
      <c r="D600" s="75"/>
      <c r="E600" s="74"/>
    </row>
    <row r="601" spans="1:5" ht="14.5">
      <c r="A601" s="74"/>
      <c r="B601" s="79"/>
      <c r="D601" s="75"/>
      <c r="E601" s="74"/>
    </row>
    <row r="602" spans="1:5" ht="14.5">
      <c r="A602" s="74"/>
      <c r="B602" s="79"/>
      <c r="D602" s="75"/>
      <c r="E602" s="74"/>
    </row>
    <row r="603" spans="1:5" ht="14.5">
      <c r="A603" s="74"/>
      <c r="B603" s="79"/>
      <c r="D603" s="75"/>
      <c r="E603" s="74"/>
    </row>
    <row r="604" spans="1:5" ht="14.5">
      <c r="A604" s="74"/>
      <c r="B604" s="79"/>
      <c r="D604" s="75"/>
      <c r="E604" s="74"/>
    </row>
    <row r="605" spans="1:5" ht="14.5">
      <c r="A605" s="74"/>
      <c r="B605" s="79"/>
      <c r="D605" s="75"/>
      <c r="E605" s="74"/>
    </row>
    <row r="606" spans="1:5" ht="14.5">
      <c r="A606" s="74"/>
      <c r="B606" s="79"/>
      <c r="D606" s="75"/>
      <c r="E606" s="74"/>
    </row>
    <row r="607" spans="1:5" ht="14.5">
      <c r="A607" s="74"/>
      <c r="B607" s="79"/>
      <c r="D607" s="75"/>
      <c r="E607" s="74"/>
    </row>
    <row r="608" spans="1:5" ht="14.5">
      <c r="A608" s="74"/>
      <c r="B608" s="79"/>
      <c r="D608" s="75"/>
      <c r="E608" s="74"/>
    </row>
    <row r="609" spans="1:5" ht="14.5">
      <c r="A609" s="74"/>
      <c r="B609" s="79"/>
      <c r="D609" s="75"/>
      <c r="E609" s="74"/>
    </row>
    <row r="610" spans="1:5" ht="14.5">
      <c r="A610" s="74"/>
      <c r="B610" s="79"/>
      <c r="D610" s="75"/>
      <c r="E610" s="74"/>
    </row>
    <row r="611" spans="1:5" ht="14.5">
      <c r="A611" s="74"/>
      <c r="B611" s="79"/>
      <c r="D611" s="75"/>
      <c r="E611" s="74"/>
    </row>
    <row r="612" spans="1:5" ht="14.5">
      <c r="A612" s="74"/>
      <c r="B612" s="79"/>
      <c r="D612" s="75"/>
      <c r="E612" s="74"/>
    </row>
    <row r="613" spans="1:5" ht="14.5">
      <c r="A613" s="74"/>
      <c r="B613" s="79"/>
      <c r="D613" s="75"/>
      <c r="E613" s="74"/>
    </row>
    <row r="614" spans="1:5" ht="14.5">
      <c r="A614" s="74"/>
      <c r="B614" s="79"/>
      <c r="D614" s="75"/>
      <c r="E614" s="74"/>
    </row>
    <row r="615" spans="1:5" ht="14.5">
      <c r="A615" s="74"/>
      <c r="B615" s="79"/>
      <c r="D615" s="75"/>
      <c r="E615" s="74"/>
    </row>
    <row r="616" spans="1:5" ht="14.5">
      <c r="A616" s="74"/>
      <c r="B616" s="79"/>
      <c r="D616" s="75"/>
      <c r="E616" s="74"/>
    </row>
    <row r="617" spans="1:5" ht="14.5">
      <c r="A617" s="74"/>
      <c r="B617" s="79"/>
      <c r="D617" s="75"/>
      <c r="E617" s="74"/>
    </row>
    <row r="618" spans="1:5" ht="14.5">
      <c r="A618" s="74"/>
      <c r="B618" s="79"/>
      <c r="D618" s="75"/>
      <c r="E618" s="74"/>
    </row>
    <row r="619" spans="1:5" ht="14.5">
      <c r="A619" s="74"/>
      <c r="B619" s="79"/>
      <c r="D619" s="75"/>
      <c r="E619" s="74"/>
    </row>
    <row r="620" spans="1:5" ht="14.5">
      <c r="A620" s="74"/>
      <c r="B620" s="79"/>
      <c r="D620" s="75"/>
      <c r="E620" s="74"/>
    </row>
    <row r="621" spans="1:5" ht="14.5">
      <c r="A621" s="74"/>
      <c r="B621" s="79"/>
      <c r="D621" s="75"/>
      <c r="E621" s="74"/>
    </row>
    <row r="622" spans="1:5" ht="14.5">
      <c r="A622" s="74"/>
      <c r="B622" s="79"/>
      <c r="D622" s="75"/>
      <c r="E622" s="74"/>
    </row>
    <row r="623" spans="1:5" ht="14.5">
      <c r="A623" s="74"/>
      <c r="B623" s="79"/>
      <c r="D623" s="75"/>
      <c r="E623" s="74"/>
    </row>
    <row r="624" spans="1:5" ht="14.5">
      <c r="A624" s="74"/>
      <c r="B624" s="79"/>
      <c r="D624" s="75"/>
      <c r="E624" s="74"/>
    </row>
    <row r="625" spans="1:5" ht="14.5">
      <c r="A625" s="74"/>
      <c r="B625" s="79"/>
      <c r="D625" s="75"/>
      <c r="E625" s="74"/>
    </row>
    <row r="626" spans="1:5" ht="14.5">
      <c r="A626" s="74"/>
      <c r="B626" s="79"/>
      <c r="D626" s="75"/>
      <c r="E626" s="74"/>
    </row>
    <row r="627" spans="1:5" ht="14.5">
      <c r="A627" s="74"/>
      <c r="B627" s="79"/>
      <c r="D627" s="75"/>
      <c r="E627" s="74"/>
    </row>
    <row r="628" spans="1:5" ht="14.5">
      <c r="A628" s="74"/>
      <c r="B628" s="79"/>
      <c r="D628" s="75"/>
      <c r="E628" s="74"/>
    </row>
    <row r="629" spans="1:5" ht="14.5">
      <c r="A629" s="74"/>
      <c r="B629" s="79"/>
      <c r="D629" s="75"/>
      <c r="E629" s="74"/>
    </row>
    <row r="630" spans="1:5" ht="14.5">
      <c r="A630" s="74"/>
      <c r="B630" s="79"/>
      <c r="D630" s="75"/>
      <c r="E630" s="74"/>
    </row>
    <row r="631" spans="1:5" ht="14.5">
      <c r="A631" s="74"/>
      <c r="B631" s="79"/>
      <c r="D631" s="75"/>
      <c r="E631" s="74"/>
    </row>
    <row r="632" spans="1:5" ht="14.5">
      <c r="A632" s="74"/>
      <c r="B632" s="79"/>
      <c r="D632" s="75"/>
      <c r="E632" s="74"/>
    </row>
    <row r="633" spans="1:5" ht="14.5">
      <c r="A633" s="74"/>
      <c r="B633" s="79"/>
      <c r="D633" s="75"/>
      <c r="E633" s="74"/>
    </row>
    <row r="634" spans="1:5" ht="14.5">
      <c r="A634" s="74"/>
      <c r="B634" s="79"/>
      <c r="D634" s="75"/>
      <c r="E634" s="74"/>
    </row>
    <row r="635" spans="1:5" ht="14.5">
      <c r="A635" s="74"/>
      <c r="B635" s="79"/>
      <c r="D635" s="75"/>
      <c r="E635" s="74"/>
    </row>
    <row r="636" spans="1:5" ht="14.5">
      <c r="A636" s="74"/>
      <c r="B636" s="79"/>
      <c r="D636" s="75"/>
      <c r="E636" s="74"/>
    </row>
    <row r="637" spans="1:5" ht="14.5">
      <c r="A637" s="74"/>
      <c r="B637" s="79"/>
      <c r="D637" s="75"/>
      <c r="E637" s="74"/>
    </row>
    <row r="638" spans="1:5" ht="14.5">
      <c r="A638" s="74"/>
      <c r="B638" s="79"/>
      <c r="D638" s="75"/>
      <c r="E638" s="74"/>
    </row>
    <row r="639" spans="1:5" ht="14.5">
      <c r="A639" s="74"/>
      <c r="B639" s="79"/>
      <c r="D639" s="75"/>
      <c r="E639" s="74"/>
    </row>
    <row r="640" spans="1:5" ht="14.5">
      <c r="A640" s="74"/>
      <c r="B640" s="79"/>
      <c r="D640" s="75"/>
      <c r="E640" s="74"/>
    </row>
    <row r="641" spans="1:5" ht="14.5">
      <c r="A641" s="74"/>
      <c r="B641" s="79"/>
      <c r="D641" s="75"/>
      <c r="E641" s="74"/>
    </row>
    <row r="642" spans="1:5" ht="14.5">
      <c r="A642" s="74"/>
      <c r="B642" s="79"/>
      <c r="D642" s="75"/>
      <c r="E642" s="74"/>
    </row>
    <row r="643" spans="1:5" ht="14.5">
      <c r="A643" s="74"/>
      <c r="B643" s="79"/>
      <c r="D643" s="75"/>
      <c r="E643" s="74"/>
    </row>
    <row r="644" spans="1:5" ht="14.5">
      <c r="A644" s="74"/>
      <c r="B644" s="79"/>
      <c r="D644" s="75"/>
      <c r="E644" s="74"/>
    </row>
    <row r="645" spans="1:5" ht="14.5">
      <c r="A645" s="74"/>
      <c r="B645" s="79"/>
      <c r="D645" s="75"/>
      <c r="E645" s="74"/>
    </row>
    <row r="646" spans="1:5" ht="14.5">
      <c r="A646" s="74"/>
      <c r="B646" s="79"/>
      <c r="D646" s="75"/>
      <c r="E646" s="74"/>
    </row>
    <row r="647" spans="1:5" ht="14.5">
      <c r="A647" s="74"/>
      <c r="B647" s="79"/>
      <c r="D647" s="75"/>
      <c r="E647" s="74"/>
    </row>
    <row r="648" spans="1:5" ht="14.5">
      <c r="A648" s="74"/>
      <c r="B648" s="79"/>
      <c r="D648" s="75"/>
      <c r="E648" s="74"/>
    </row>
    <row r="649" spans="1:5" ht="14.5">
      <c r="A649" s="74"/>
      <c r="B649" s="79"/>
      <c r="D649" s="75"/>
      <c r="E649" s="74"/>
    </row>
    <row r="650" spans="1:5" ht="14.5">
      <c r="A650" s="74"/>
      <c r="B650" s="79"/>
      <c r="D650" s="75"/>
      <c r="E650" s="74"/>
    </row>
    <row r="651" spans="1:5" ht="14.5">
      <c r="A651" s="74"/>
      <c r="B651" s="79"/>
      <c r="D651" s="75"/>
      <c r="E651" s="74"/>
    </row>
    <row r="652" spans="1:5" ht="14.5">
      <c r="A652" s="74"/>
      <c r="B652" s="79"/>
      <c r="D652" s="75"/>
      <c r="E652" s="74"/>
    </row>
    <row r="653" spans="1:5" ht="14.5">
      <c r="A653" s="74"/>
      <c r="B653" s="79"/>
      <c r="D653" s="75"/>
      <c r="E653" s="74"/>
    </row>
    <row r="654" spans="1:5" ht="14.5">
      <c r="A654" s="74"/>
      <c r="B654" s="79"/>
      <c r="D654" s="75"/>
      <c r="E654" s="74"/>
    </row>
    <row r="655" spans="1:5" ht="14.5">
      <c r="A655" s="74"/>
      <c r="B655" s="79"/>
      <c r="D655" s="75"/>
      <c r="E655" s="74"/>
    </row>
    <row r="656" spans="1:5" ht="14.5">
      <c r="A656" s="74"/>
      <c r="B656" s="79"/>
      <c r="D656" s="75"/>
      <c r="E656" s="74"/>
    </row>
    <row r="657" spans="1:5" ht="14.5">
      <c r="A657" s="74"/>
      <c r="B657" s="79"/>
      <c r="D657" s="75"/>
      <c r="E657" s="74"/>
    </row>
    <row r="658" spans="1:5" ht="14.5">
      <c r="A658" s="74"/>
      <c r="B658" s="79"/>
      <c r="D658" s="75"/>
      <c r="E658" s="74"/>
    </row>
    <row r="659" spans="1:5" ht="14.5">
      <c r="A659" s="74"/>
      <c r="B659" s="79"/>
      <c r="D659" s="75"/>
      <c r="E659" s="74"/>
    </row>
    <row r="660" spans="1:5" ht="14.5">
      <c r="A660" s="74"/>
      <c r="B660" s="79"/>
      <c r="D660" s="75"/>
      <c r="E660" s="74"/>
    </row>
    <row r="661" spans="1:5" ht="14.5">
      <c r="A661" s="74"/>
      <c r="B661" s="79"/>
      <c r="D661" s="75"/>
      <c r="E661" s="74"/>
    </row>
    <row r="662" spans="1:5" ht="14.5">
      <c r="A662" s="74"/>
      <c r="B662" s="79"/>
      <c r="D662" s="75"/>
      <c r="E662" s="74"/>
    </row>
    <row r="663" spans="1:5" ht="14.5">
      <c r="A663" s="74"/>
      <c r="B663" s="79"/>
      <c r="D663" s="75"/>
      <c r="E663" s="74"/>
    </row>
    <row r="664" spans="1:5" ht="14.5">
      <c r="A664" s="74"/>
      <c r="B664" s="79"/>
      <c r="D664" s="75"/>
      <c r="E664" s="74"/>
    </row>
    <row r="665" spans="1:5" ht="14.5">
      <c r="A665" s="74"/>
      <c r="B665" s="79"/>
      <c r="D665" s="75"/>
      <c r="E665" s="74"/>
    </row>
    <row r="666" spans="1:5" ht="14.5">
      <c r="A666" s="74"/>
      <c r="B666" s="79"/>
      <c r="D666" s="75"/>
      <c r="E666" s="74"/>
    </row>
    <row r="667" spans="1:5" ht="14.5">
      <c r="A667" s="74"/>
      <c r="B667" s="79"/>
      <c r="D667" s="75"/>
      <c r="E667" s="74"/>
    </row>
    <row r="668" spans="1:5" ht="14.5">
      <c r="A668" s="74"/>
      <c r="B668" s="79"/>
      <c r="D668" s="75"/>
      <c r="E668" s="74"/>
    </row>
    <row r="669" spans="1:5" ht="14.5">
      <c r="A669" s="74"/>
      <c r="B669" s="79"/>
      <c r="D669" s="75"/>
      <c r="E669" s="74"/>
    </row>
    <row r="670" spans="1:5" ht="14.5">
      <c r="A670" s="74"/>
      <c r="B670" s="79"/>
      <c r="D670" s="75"/>
      <c r="E670" s="74"/>
    </row>
    <row r="671" spans="1:5" ht="14.5">
      <c r="A671" s="74"/>
      <c r="B671" s="79"/>
      <c r="D671" s="75"/>
      <c r="E671" s="74"/>
    </row>
    <row r="672" spans="1:5" ht="14.5">
      <c r="A672" s="74"/>
      <c r="B672" s="79"/>
      <c r="D672" s="75"/>
      <c r="E672" s="74"/>
    </row>
    <row r="673" spans="1:5" ht="14.5">
      <c r="A673" s="74"/>
      <c r="B673" s="79"/>
      <c r="D673" s="75"/>
      <c r="E673" s="74"/>
    </row>
    <row r="674" spans="1:5" ht="14.5">
      <c r="A674" s="74"/>
      <c r="B674" s="79"/>
      <c r="D674" s="75"/>
      <c r="E674" s="74"/>
    </row>
    <row r="675" spans="1:5" ht="14.5">
      <c r="A675" s="74"/>
      <c r="B675" s="79"/>
      <c r="D675" s="75"/>
      <c r="E675" s="74"/>
    </row>
    <row r="676" spans="1:5" ht="14.5">
      <c r="A676" s="74"/>
      <c r="B676" s="79"/>
      <c r="D676" s="75"/>
      <c r="E676" s="74"/>
    </row>
    <row r="677" spans="1:5" ht="14.5">
      <c r="A677" s="74"/>
      <c r="B677" s="79"/>
      <c r="D677" s="75"/>
      <c r="E677" s="74"/>
    </row>
    <row r="678" spans="1:5" ht="14.5">
      <c r="A678" s="74"/>
      <c r="B678" s="79"/>
      <c r="D678" s="75"/>
      <c r="E678" s="74"/>
    </row>
    <row r="679" spans="1:5" ht="14.5">
      <c r="A679" s="74"/>
      <c r="B679" s="79"/>
      <c r="D679" s="75"/>
      <c r="E679" s="74"/>
    </row>
    <row r="680" spans="1:5" ht="14.5">
      <c r="A680" s="74"/>
      <c r="B680" s="79"/>
      <c r="D680" s="75"/>
      <c r="E680" s="74"/>
    </row>
    <row r="681" spans="1:5" ht="14.5">
      <c r="A681" s="74"/>
      <c r="B681" s="79"/>
      <c r="D681" s="75"/>
      <c r="E681" s="74"/>
    </row>
    <row r="682" spans="1:5" ht="14.5">
      <c r="A682" s="74"/>
      <c r="B682" s="79"/>
      <c r="D682" s="75"/>
      <c r="E682" s="74"/>
    </row>
    <row r="683" spans="1:5" ht="14.5">
      <c r="A683" s="74"/>
      <c r="B683" s="79"/>
      <c r="D683" s="75"/>
      <c r="E683" s="74"/>
    </row>
    <row r="684" spans="1:5" ht="14.5">
      <c r="A684" s="74"/>
      <c r="B684" s="79"/>
      <c r="D684" s="75"/>
      <c r="E684" s="74"/>
    </row>
    <row r="685" spans="1:5" ht="14.5">
      <c r="A685" s="74"/>
      <c r="B685" s="79"/>
      <c r="D685" s="75"/>
      <c r="E685" s="74"/>
    </row>
    <row r="686" spans="1:5" ht="14.5">
      <c r="A686" s="74"/>
      <c r="B686" s="79"/>
      <c r="D686" s="75"/>
      <c r="E686" s="74"/>
    </row>
    <row r="687" spans="1:5" ht="14.5">
      <c r="A687" s="74"/>
      <c r="B687" s="79"/>
      <c r="D687" s="75"/>
      <c r="E687" s="74"/>
    </row>
    <row r="688" spans="1:5" ht="14.5">
      <c r="A688" s="74"/>
      <c r="B688" s="79"/>
      <c r="D688" s="75"/>
      <c r="E688" s="74"/>
    </row>
    <row r="689" spans="1:5" ht="14.5">
      <c r="A689" s="74"/>
      <c r="B689" s="79"/>
      <c r="D689" s="75"/>
      <c r="E689" s="74"/>
    </row>
    <row r="690" spans="1:5" ht="14.5">
      <c r="A690" s="74"/>
      <c r="B690" s="79"/>
      <c r="D690" s="75"/>
      <c r="E690" s="74"/>
    </row>
    <row r="691" spans="1:5" ht="14.5">
      <c r="A691" s="74"/>
      <c r="B691" s="79"/>
      <c r="D691" s="75"/>
      <c r="E691" s="74"/>
    </row>
    <row r="692" spans="1:5" ht="14.5">
      <c r="A692" s="74"/>
      <c r="B692" s="79"/>
      <c r="D692" s="75"/>
      <c r="E692" s="74"/>
    </row>
    <row r="693" spans="1:5" ht="14.5">
      <c r="A693" s="74"/>
      <c r="B693" s="79"/>
      <c r="D693" s="75"/>
      <c r="E693" s="74"/>
    </row>
    <row r="694" spans="1:5" ht="14.5">
      <c r="A694" s="74"/>
      <c r="B694" s="79"/>
      <c r="D694" s="75"/>
      <c r="E694" s="74"/>
    </row>
    <row r="695" spans="1:5" ht="14.5">
      <c r="A695" s="74"/>
      <c r="B695" s="79"/>
      <c r="D695" s="75"/>
      <c r="E695" s="74"/>
    </row>
    <row r="696" spans="1:5" ht="14.5">
      <c r="A696" s="74"/>
      <c r="B696" s="79"/>
      <c r="D696" s="75"/>
      <c r="E696" s="74"/>
    </row>
    <row r="697" spans="1:5" ht="14.5">
      <c r="A697" s="74"/>
      <c r="B697" s="79"/>
      <c r="D697" s="75"/>
      <c r="E697" s="74"/>
    </row>
    <row r="698" spans="1:5" ht="14.5">
      <c r="A698" s="74"/>
      <c r="B698" s="79"/>
      <c r="D698" s="75"/>
      <c r="E698" s="74"/>
    </row>
    <row r="699" spans="1:5" ht="14.5">
      <c r="A699" s="74"/>
      <c r="B699" s="79"/>
      <c r="D699" s="75"/>
      <c r="E699" s="74"/>
    </row>
    <row r="700" spans="1:5" ht="14.5">
      <c r="A700" s="74"/>
      <c r="B700" s="79"/>
      <c r="D700" s="75"/>
      <c r="E700" s="74"/>
    </row>
    <row r="701" spans="1:5" ht="14.5">
      <c r="A701" s="74"/>
      <c r="B701" s="79"/>
      <c r="D701" s="75"/>
      <c r="E701" s="74"/>
    </row>
    <row r="702" spans="1:5" ht="14.5">
      <c r="A702" s="74"/>
      <c r="B702" s="79"/>
      <c r="D702" s="75"/>
      <c r="E702" s="74"/>
    </row>
    <row r="703" spans="1:5" ht="14.5">
      <c r="A703" s="74"/>
      <c r="B703" s="79"/>
      <c r="D703" s="75"/>
      <c r="E703" s="74"/>
    </row>
    <row r="704" spans="1:5" ht="14.5">
      <c r="A704" s="74"/>
      <c r="B704" s="79"/>
      <c r="D704" s="75"/>
      <c r="E704" s="74"/>
    </row>
    <row r="705" spans="1:5" ht="14.5">
      <c r="A705" s="74"/>
      <c r="B705" s="79"/>
      <c r="D705" s="75"/>
      <c r="E705" s="74"/>
    </row>
    <row r="706" spans="1:5" ht="14.5">
      <c r="A706" s="74"/>
      <c r="B706" s="79"/>
      <c r="D706" s="75"/>
      <c r="E706" s="74"/>
    </row>
    <row r="707" spans="1:5" ht="14.5">
      <c r="A707" s="74"/>
      <c r="B707" s="79"/>
      <c r="D707" s="75"/>
      <c r="E707" s="74"/>
    </row>
    <row r="708" spans="1:5" ht="14.5">
      <c r="A708" s="74"/>
      <c r="B708" s="79"/>
      <c r="D708" s="75"/>
      <c r="E708" s="74"/>
    </row>
    <row r="709" spans="1:5" ht="14.5">
      <c r="A709" s="74"/>
      <c r="B709" s="79"/>
      <c r="D709" s="75"/>
      <c r="E709" s="74"/>
    </row>
    <row r="710" spans="1:5" ht="14.5">
      <c r="A710" s="74"/>
      <c r="B710" s="79"/>
      <c r="D710" s="75"/>
      <c r="E710" s="74"/>
    </row>
    <row r="711" spans="1:5" ht="14.5">
      <c r="A711" s="74"/>
      <c r="B711" s="79"/>
      <c r="D711" s="75"/>
      <c r="E711" s="74"/>
    </row>
    <row r="712" spans="1:5" ht="14.5">
      <c r="A712" s="74"/>
      <c r="B712" s="79"/>
      <c r="D712" s="75"/>
      <c r="E712" s="74"/>
    </row>
    <row r="713" spans="1:5" ht="14.5">
      <c r="A713" s="74"/>
      <c r="B713" s="79"/>
      <c r="D713" s="75"/>
      <c r="E713" s="74"/>
    </row>
    <row r="714" spans="1:5" ht="14.5">
      <c r="A714" s="74"/>
      <c r="B714" s="79"/>
      <c r="D714" s="75"/>
      <c r="E714" s="74"/>
    </row>
    <row r="715" spans="1:5" ht="14.5">
      <c r="A715" s="74"/>
      <c r="B715" s="79"/>
      <c r="D715" s="75"/>
      <c r="E715" s="74"/>
    </row>
    <row r="716" spans="1:5" ht="14.5">
      <c r="A716" s="74"/>
      <c r="B716" s="79"/>
      <c r="D716" s="75"/>
      <c r="E716" s="74"/>
    </row>
    <row r="717" spans="1:5" ht="14.5">
      <c r="A717" s="74"/>
      <c r="B717" s="79"/>
      <c r="D717" s="75"/>
      <c r="E717" s="74"/>
    </row>
    <row r="718" spans="1:5" ht="14.5">
      <c r="A718" s="74"/>
      <c r="B718" s="79"/>
      <c r="D718" s="75"/>
      <c r="E718" s="74"/>
    </row>
    <row r="719" spans="1:5" ht="14.5">
      <c r="A719" s="74"/>
      <c r="B719" s="79"/>
      <c r="D719" s="75"/>
      <c r="E719" s="74"/>
    </row>
    <row r="720" spans="1:5" ht="14.5">
      <c r="A720" s="74"/>
      <c r="B720" s="79"/>
      <c r="D720" s="75"/>
      <c r="E720" s="74"/>
    </row>
    <row r="721" spans="1:5" ht="14.5">
      <c r="A721" s="74"/>
      <c r="B721" s="79"/>
      <c r="D721" s="75"/>
      <c r="E721" s="74"/>
    </row>
    <row r="722" spans="1:5" ht="14.5">
      <c r="A722" s="74"/>
      <c r="B722" s="79"/>
      <c r="D722" s="75"/>
      <c r="E722" s="74"/>
    </row>
    <row r="723" spans="1:5" ht="14.5">
      <c r="A723" s="74"/>
      <c r="B723" s="79"/>
      <c r="D723" s="75"/>
      <c r="E723" s="74"/>
    </row>
    <row r="724" spans="1:5" ht="14.5">
      <c r="A724" s="74"/>
      <c r="B724" s="79"/>
      <c r="D724" s="75"/>
      <c r="E724" s="74"/>
    </row>
    <row r="725" spans="1:5" ht="14.5">
      <c r="A725" s="74"/>
      <c r="B725" s="79"/>
      <c r="D725" s="75"/>
      <c r="E725" s="74"/>
    </row>
    <row r="726" spans="1:5" ht="14.5">
      <c r="A726" s="74"/>
      <c r="B726" s="79"/>
      <c r="D726" s="75"/>
      <c r="E726" s="74"/>
    </row>
    <row r="727" spans="1:5" ht="14.5">
      <c r="A727" s="74"/>
      <c r="B727" s="79"/>
      <c r="D727" s="75"/>
      <c r="E727" s="74"/>
    </row>
    <row r="728" spans="1:5" ht="14.5">
      <c r="A728" s="74"/>
      <c r="B728" s="79"/>
      <c r="D728" s="75"/>
      <c r="E728" s="74"/>
    </row>
    <row r="729" spans="1:5" ht="14.5">
      <c r="A729" s="74"/>
      <c r="B729" s="79"/>
      <c r="D729" s="75"/>
      <c r="E729" s="74"/>
    </row>
    <row r="730" spans="1:5" ht="14.5">
      <c r="A730" s="74"/>
      <c r="B730" s="79"/>
      <c r="D730" s="75"/>
      <c r="E730" s="74"/>
    </row>
    <row r="731" spans="1:5" ht="14.5">
      <c r="A731" s="74"/>
      <c r="B731" s="79"/>
      <c r="D731" s="75"/>
      <c r="E731" s="74"/>
    </row>
    <row r="732" spans="1:5" ht="14.5">
      <c r="A732" s="74"/>
      <c r="B732" s="79"/>
      <c r="D732" s="75"/>
      <c r="E732" s="74"/>
    </row>
    <row r="733" spans="1:5" ht="14.5">
      <c r="A733" s="74"/>
      <c r="B733" s="79"/>
      <c r="D733" s="75"/>
      <c r="E733" s="74"/>
    </row>
    <row r="734" spans="1:5" ht="14.5">
      <c r="A734" s="74"/>
      <c r="B734" s="79"/>
      <c r="D734" s="75"/>
      <c r="E734" s="74"/>
    </row>
    <row r="735" spans="1:5" ht="14.5">
      <c r="A735" s="74"/>
      <c r="B735" s="79"/>
      <c r="D735" s="75"/>
      <c r="E735" s="74"/>
    </row>
    <row r="736" spans="1:5" ht="14.5">
      <c r="A736" s="74"/>
      <c r="B736" s="79"/>
      <c r="D736" s="75"/>
      <c r="E736" s="74"/>
    </row>
    <row r="737" spans="1:5" ht="14.5">
      <c r="A737" s="74"/>
      <c r="B737" s="79"/>
      <c r="D737" s="75"/>
      <c r="E737" s="74"/>
    </row>
    <row r="738" spans="1:5" ht="14.5">
      <c r="A738" s="74"/>
      <c r="B738" s="79"/>
      <c r="D738" s="75"/>
      <c r="E738" s="74"/>
    </row>
    <row r="739" spans="1:5" ht="14.5">
      <c r="A739" s="74"/>
      <c r="B739" s="79"/>
      <c r="D739" s="75"/>
      <c r="E739" s="74"/>
    </row>
    <row r="740" spans="1:5" ht="14.5">
      <c r="A740" s="74"/>
      <c r="B740" s="79"/>
      <c r="D740" s="75"/>
      <c r="E740" s="74"/>
    </row>
    <row r="741" spans="1:5" ht="14.5">
      <c r="A741" s="74"/>
      <c r="B741" s="79"/>
      <c r="D741" s="75"/>
      <c r="E741" s="74"/>
    </row>
    <row r="742" spans="1:5" ht="14.5">
      <c r="A742" s="74"/>
      <c r="B742" s="79"/>
      <c r="D742" s="75"/>
      <c r="E742" s="74"/>
    </row>
    <row r="743" spans="1:5" ht="14.5">
      <c r="A743" s="74"/>
      <c r="B743" s="79"/>
      <c r="D743" s="75"/>
      <c r="E743" s="74"/>
    </row>
    <row r="744" spans="1:5" ht="14.5">
      <c r="A744" s="74"/>
      <c r="B744" s="79"/>
      <c r="D744" s="75"/>
      <c r="E744" s="74"/>
    </row>
    <row r="745" spans="1:5" ht="14.5">
      <c r="A745" s="74"/>
      <c r="B745" s="79"/>
      <c r="D745" s="75"/>
      <c r="E745" s="74"/>
    </row>
    <row r="746" spans="1:5" ht="14.5">
      <c r="A746" s="74"/>
      <c r="B746" s="79"/>
      <c r="D746" s="75"/>
      <c r="E746" s="74"/>
    </row>
    <row r="747" spans="1:5" ht="14.5">
      <c r="A747" s="74"/>
      <c r="B747" s="79"/>
      <c r="D747" s="75"/>
      <c r="E747" s="74"/>
    </row>
    <row r="748" spans="1:5" ht="14.5">
      <c r="A748" s="74"/>
      <c r="B748" s="79"/>
      <c r="D748" s="75"/>
      <c r="E748" s="74"/>
    </row>
    <row r="749" spans="1:5" ht="14.5">
      <c r="A749" s="74"/>
      <c r="B749" s="79"/>
      <c r="D749" s="75"/>
      <c r="E749" s="74"/>
    </row>
    <row r="750" spans="1:5" ht="14.5">
      <c r="A750" s="74"/>
      <c r="B750" s="79"/>
      <c r="D750" s="75"/>
      <c r="E750" s="74"/>
    </row>
    <row r="751" spans="1:5" ht="14.5">
      <c r="A751" s="74"/>
      <c r="B751" s="79"/>
      <c r="D751" s="75"/>
      <c r="E751" s="74"/>
    </row>
    <row r="752" spans="1:5" ht="14.5">
      <c r="A752" s="74"/>
      <c r="B752" s="79"/>
      <c r="D752" s="75"/>
      <c r="E752" s="74"/>
    </row>
    <row r="753" spans="1:5" ht="14.5">
      <c r="A753" s="74"/>
      <c r="B753" s="79"/>
      <c r="D753" s="75"/>
      <c r="E753" s="74"/>
    </row>
    <row r="754" spans="1:5" ht="14.5">
      <c r="A754" s="74"/>
      <c r="B754" s="79"/>
      <c r="D754" s="75"/>
      <c r="E754" s="74"/>
    </row>
    <row r="755" spans="1:5" ht="14.5">
      <c r="A755" s="74"/>
      <c r="B755" s="79"/>
      <c r="D755" s="75"/>
      <c r="E755" s="74"/>
    </row>
    <row r="756" spans="1:5" ht="14.5">
      <c r="A756" s="74"/>
      <c r="B756" s="79"/>
      <c r="D756" s="75"/>
      <c r="E756" s="74"/>
    </row>
    <row r="757" spans="1:5" ht="14.5">
      <c r="A757" s="74"/>
      <c r="B757" s="79"/>
      <c r="D757" s="75"/>
      <c r="E757" s="74"/>
    </row>
    <row r="758" spans="1:5" ht="14.5">
      <c r="A758" s="74"/>
      <c r="B758" s="79"/>
      <c r="D758" s="75"/>
      <c r="E758" s="74"/>
    </row>
    <row r="759" spans="1:5" ht="14.5">
      <c r="A759" s="74"/>
      <c r="B759" s="79"/>
      <c r="D759" s="75"/>
      <c r="E759" s="74"/>
    </row>
    <row r="760" spans="1:5" ht="14.5">
      <c r="A760" s="74"/>
      <c r="B760" s="79"/>
      <c r="D760" s="75"/>
      <c r="E760" s="74"/>
    </row>
    <row r="761" spans="1:5" ht="14.5">
      <c r="A761" s="74"/>
      <c r="B761" s="79"/>
      <c r="D761" s="75"/>
      <c r="E761" s="74"/>
    </row>
    <row r="762" spans="1:5" ht="14.5">
      <c r="A762" s="74"/>
      <c r="B762" s="79"/>
      <c r="D762" s="75"/>
      <c r="E762" s="74"/>
    </row>
    <row r="763" spans="1:5" ht="14.5">
      <c r="A763" s="74"/>
      <c r="B763" s="79"/>
      <c r="D763" s="75"/>
      <c r="E763" s="74"/>
    </row>
    <row r="764" spans="1:5" ht="14.5">
      <c r="A764" s="74"/>
      <c r="B764" s="79"/>
      <c r="D764" s="75"/>
      <c r="E764" s="74"/>
    </row>
    <row r="765" spans="1:5" ht="14.5">
      <c r="A765" s="74"/>
      <c r="B765" s="79"/>
      <c r="D765" s="75"/>
      <c r="E765" s="74"/>
    </row>
    <row r="766" spans="1:5" ht="14.5">
      <c r="A766" s="74"/>
      <c r="B766" s="79"/>
      <c r="D766" s="75"/>
      <c r="E766" s="74"/>
    </row>
    <row r="767" spans="1:5" ht="14.5">
      <c r="A767" s="74"/>
      <c r="B767" s="79"/>
      <c r="D767" s="75"/>
      <c r="E767" s="74"/>
    </row>
    <row r="768" spans="1:5" ht="14.5">
      <c r="A768" s="74"/>
      <c r="B768" s="79"/>
      <c r="D768" s="75"/>
      <c r="E768" s="74"/>
    </row>
    <row r="769" spans="1:5" ht="14.5">
      <c r="A769" s="74"/>
      <c r="B769" s="79"/>
      <c r="D769" s="75"/>
      <c r="E769" s="74"/>
    </row>
    <row r="770" spans="1:5" ht="14.5">
      <c r="A770" s="74"/>
      <c r="B770" s="79"/>
      <c r="D770" s="75"/>
      <c r="E770" s="74"/>
    </row>
    <row r="771" spans="1:5" ht="14.5">
      <c r="A771" s="74"/>
      <c r="B771" s="79"/>
      <c r="D771" s="75"/>
      <c r="E771" s="74"/>
    </row>
    <row r="772" spans="1:5" ht="14.5">
      <c r="A772" s="74"/>
      <c r="B772" s="79"/>
      <c r="D772" s="75"/>
      <c r="E772" s="74"/>
    </row>
    <row r="773" spans="1:5" ht="14.5">
      <c r="A773" s="74"/>
      <c r="B773" s="79"/>
      <c r="D773" s="75"/>
      <c r="E773" s="74"/>
    </row>
    <row r="774" spans="1:5" ht="14.5">
      <c r="A774" s="74"/>
      <c r="B774" s="79"/>
      <c r="D774" s="75"/>
      <c r="E774" s="74"/>
    </row>
    <row r="775" spans="1:5" ht="14.5">
      <c r="A775" s="74"/>
      <c r="B775" s="79"/>
      <c r="D775" s="75"/>
      <c r="E775" s="74"/>
    </row>
    <row r="776" spans="1:5" ht="14.5">
      <c r="A776" s="74"/>
      <c r="B776" s="79"/>
      <c r="D776" s="75"/>
      <c r="E776" s="74"/>
    </row>
    <row r="777" spans="1:5" ht="14.5">
      <c r="A777" s="74"/>
      <c r="B777" s="79"/>
      <c r="D777" s="75"/>
      <c r="E777" s="74"/>
    </row>
    <row r="778" spans="1:5" ht="14.5">
      <c r="A778" s="74"/>
      <c r="B778" s="79"/>
      <c r="D778" s="75"/>
      <c r="E778" s="74"/>
    </row>
    <row r="779" spans="1:5" ht="14.5">
      <c r="A779" s="74"/>
      <c r="B779" s="79"/>
      <c r="D779" s="75"/>
      <c r="E779" s="74"/>
    </row>
    <row r="780" spans="1:5" ht="14.5">
      <c r="A780" s="74"/>
      <c r="B780" s="79"/>
      <c r="D780" s="75"/>
      <c r="E780" s="74"/>
    </row>
    <row r="781" spans="1:5" ht="14.5">
      <c r="A781" s="74"/>
      <c r="B781" s="79"/>
      <c r="D781" s="75"/>
      <c r="E781" s="74"/>
    </row>
    <row r="782" spans="1:5" ht="14.5">
      <c r="A782" s="74"/>
      <c r="B782" s="79"/>
      <c r="D782" s="75"/>
      <c r="E782" s="74"/>
    </row>
    <row r="783" spans="1:5" ht="14.5">
      <c r="A783" s="74"/>
      <c r="B783" s="79"/>
      <c r="D783" s="75"/>
      <c r="E783" s="74"/>
    </row>
    <row r="784" spans="1:5" ht="14.5">
      <c r="A784" s="74"/>
      <c r="B784" s="79"/>
      <c r="D784" s="75"/>
      <c r="E784" s="74"/>
    </row>
    <row r="785" spans="1:5" ht="14.5">
      <c r="A785" s="74"/>
      <c r="B785" s="79"/>
      <c r="D785" s="75"/>
      <c r="E785" s="74"/>
    </row>
    <row r="786" spans="1:5" ht="14.5">
      <c r="A786" s="74"/>
      <c r="B786" s="79"/>
      <c r="D786" s="75"/>
      <c r="E786" s="74"/>
    </row>
    <row r="787" spans="1:5" ht="14.5">
      <c r="A787" s="74"/>
      <c r="B787" s="79"/>
      <c r="D787" s="75"/>
      <c r="E787" s="74"/>
    </row>
    <row r="788" spans="1:5" ht="14.5">
      <c r="A788" s="74"/>
      <c r="B788" s="79"/>
      <c r="D788" s="75"/>
      <c r="E788" s="74"/>
    </row>
    <row r="789" spans="1:5" ht="14.5">
      <c r="A789" s="74"/>
      <c r="B789" s="79"/>
      <c r="D789" s="75"/>
      <c r="E789" s="74"/>
    </row>
    <row r="790" spans="1:5" ht="14.5">
      <c r="A790" s="74"/>
      <c r="B790" s="79"/>
      <c r="D790" s="75"/>
      <c r="E790" s="74"/>
    </row>
    <row r="791" spans="1:5" ht="14.5">
      <c r="A791" s="74"/>
      <c r="B791" s="79"/>
      <c r="D791" s="75"/>
      <c r="E791" s="74"/>
    </row>
    <row r="792" spans="1:5" ht="14.5">
      <c r="A792" s="74"/>
      <c r="B792" s="79"/>
      <c r="D792" s="75"/>
      <c r="E792" s="74"/>
    </row>
    <row r="793" spans="1:5" ht="14.5">
      <c r="A793" s="74"/>
      <c r="B793" s="79"/>
      <c r="D793" s="75"/>
      <c r="E793" s="74"/>
    </row>
    <row r="794" spans="1:5" ht="14.5">
      <c r="A794" s="74"/>
      <c r="B794" s="79"/>
      <c r="D794" s="75"/>
      <c r="E794" s="74"/>
    </row>
    <row r="795" spans="1:5" ht="14.5">
      <c r="A795" s="74"/>
      <c r="B795" s="79"/>
      <c r="D795" s="75"/>
      <c r="E795" s="74"/>
    </row>
    <row r="796" spans="1:5" ht="14.5">
      <c r="A796" s="74"/>
      <c r="B796" s="79"/>
      <c r="D796" s="75"/>
      <c r="E796" s="74"/>
    </row>
    <row r="797" spans="1:5" ht="14.5">
      <c r="A797" s="74"/>
      <c r="B797" s="79"/>
      <c r="D797" s="75"/>
      <c r="E797" s="74"/>
    </row>
    <row r="798" spans="1:5" ht="14.5">
      <c r="A798" s="74"/>
      <c r="B798" s="79"/>
      <c r="D798" s="75"/>
      <c r="E798" s="74"/>
    </row>
    <row r="799" spans="1:5" ht="14.5">
      <c r="A799" s="74"/>
      <c r="B799" s="79"/>
      <c r="D799" s="75"/>
      <c r="E799" s="74"/>
    </row>
    <row r="800" spans="1:5" ht="14.5">
      <c r="A800" s="74"/>
      <c r="B800" s="79"/>
      <c r="D800" s="75"/>
      <c r="E800" s="74"/>
    </row>
    <row r="801" spans="1:5" ht="14.5">
      <c r="A801" s="74"/>
      <c r="B801" s="79"/>
      <c r="D801" s="75"/>
      <c r="E801" s="74"/>
    </row>
    <row r="802" spans="1:5" ht="14.5">
      <c r="A802" s="74"/>
      <c r="B802" s="79"/>
      <c r="D802" s="75"/>
      <c r="E802" s="74"/>
    </row>
    <row r="803" spans="1:5" ht="14.5">
      <c r="A803" s="74"/>
      <c r="B803" s="79"/>
      <c r="D803" s="75"/>
      <c r="E803" s="74"/>
    </row>
    <row r="804" spans="1:5" ht="14.5">
      <c r="A804" s="74"/>
      <c r="B804" s="79"/>
      <c r="D804" s="75"/>
      <c r="E804" s="74"/>
    </row>
    <row r="805" spans="1:5" ht="14.5">
      <c r="A805" s="74"/>
      <c r="B805" s="79"/>
      <c r="D805" s="75"/>
      <c r="E805" s="74"/>
    </row>
    <row r="806" spans="1:5" ht="14.5">
      <c r="A806" s="74"/>
      <c r="B806" s="79"/>
      <c r="D806" s="75"/>
      <c r="E806" s="74"/>
    </row>
    <row r="807" spans="1:5" ht="14.5">
      <c r="A807" s="74"/>
      <c r="B807" s="79"/>
      <c r="D807" s="75"/>
      <c r="E807" s="74"/>
    </row>
    <row r="808" spans="1:5" ht="14.5">
      <c r="A808" s="74"/>
      <c r="B808" s="79"/>
      <c r="D808" s="75"/>
      <c r="E808" s="74"/>
    </row>
    <row r="809" spans="1:5" ht="14.5">
      <c r="A809" s="74"/>
      <c r="B809" s="79"/>
      <c r="D809" s="75"/>
      <c r="E809" s="74"/>
    </row>
    <row r="810" spans="1:5" ht="14.5">
      <c r="A810" s="74"/>
      <c r="B810" s="79"/>
      <c r="D810" s="75"/>
      <c r="E810" s="74"/>
    </row>
    <row r="811" spans="1:5" ht="14.5">
      <c r="A811" s="74"/>
      <c r="B811" s="79"/>
      <c r="D811" s="75"/>
      <c r="E811" s="74"/>
    </row>
    <row r="812" spans="1:5" ht="14.5">
      <c r="A812" s="74"/>
      <c r="B812" s="79"/>
      <c r="D812" s="75"/>
      <c r="E812" s="74"/>
    </row>
    <row r="813" spans="1:5" ht="14.5">
      <c r="A813" s="74"/>
      <c r="B813" s="79"/>
      <c r="D813" s="75"/>
      <c r="E813" s="74"/>
    </row>
    <row r="814" spans="1:5" ht="14.5">
      <c r="A814" s="74"/>
      <c r="B814" s="79"/>
      <c r="D814" s="75"/>
      <c r="E814" s="74"/>
    </row>
    <row r="815" spans="1:5" ht="14.5">
      <c r="A815" s="74"/>
      <c r="B815" s="79"/>
      <c r="D815" s="75"/>
      <c r="E815" s="74"/>
    </row>
    <row r="816" spans="1:5" ht="14.5">
      <c r="A816" s="74"/>
      <c r="B816" s="79"/>
      <c r="D816" s="75"/>
      <c r="E816" s="74"/>
    </row>
    <row r="817" spans="1:5" ht="14.5">
      <c r="A817" s="74"/>
      <c r="B817" s="79"/>
      <c r="D817" s="75"/>
      <c r="E817" s="74"/>
    </row>
    <row r="818" spans="1:5" ht="14.5">
      <c r="A818" s="74"/>
      <c r="B818" s="79"/>
      <c r="D818" s="75"/>
      <c r="E818" s="74"/>
    </row>
    <row r="819" spans="1:5" ht="14.5">
      <c r="A819" s="74"/>
      <c r="B819" s="79"/>
      <c r="D819" s="75"/>
      <c r="E819" s="74"/>
    </row>
    <row r="820" spans="1:5" ht="14.5">
      <c r="A820" s="74"/>
      <c r="B820" s="79"/>
      <c r="D820" s="75"/>
      <c r="E820" s="74"/>
    </row>
    <row r="821" spans="1:5" ht="14.5">
      <c r="A821" s="74"/>
      <c r="B821" s="79"/>
      <c r="D821" s="75"/>
      <c r="E821" s="74"/>
    </row>
    <row r="822" spans="1:5" ht="14.5">
      <c r="A822" s="74"/>
      <c r="B822" s="79"/>
      <c r="D822" s="75"/>
      <c r="E822" s="74"/>
    </row>
    <row r="823" spans="1:5" ht="14.5">
      <c r="A823" s="74"/>
      <c r="B823" s="79"/>
      <c r="D823" s="75"/>
      <c r="E823" s="74"/>
    </row>
    <row r="824" spans="1:5" ht="14.5">
      <c r="A824" s="74"/>
      <c r="B824" s="79"/>
      <c r="D824" s="75"/>
      <c r="E824" s="74"/>
    </row>
    <row r="825" spans="1:5" ht="14.5">
      <c r="A825" s="74"/>
      <c r="B825" s="79"/>
      <c r="D825" s="75"/>
      <c r="E825" s="74"/>
    </row>
    <row r="826" spans="1:5" ht="14.5">
      <c r="A826" s="74"/>
      <c r="B826" s="79"/>
      <c r="D826" s="75"/>
      <c r="E826" s="74"/>
    </row>
    <row r="827" spans="1:5" ht="14.5">
      <c r="A827" s="74"/>
      <c r="B827" s="79"/>
      <c r="D827" s="75"/>
      <c r="E827" s="74"/>
    </row>
    <row r="828" spans="1:5" ht="14.5">
      <c r="A828" s="74"/>
      <c r="B828" s="79"/>
      <c r="D828" s="75"/>
      <c r="E828" s="74"/>
    </row>
    <row r="829" spans="1:5" ht="14.5">
      <c r="A829" s="74"/>
      <c r="B829" s="79"/>
      <c r="D829" s="75"/>
      <c r="E829" s="74"/>
    </row>
    <row r="830" spans="1:5" ht="14.5">
      <c r="A830" s="74"/>
      <c r="B830" s="79"/>
      <c r="D830" s="75"/>
      <c r="E830" s="74"/>
    </row>
    <row r="831" spans="1:5" ht="14.5">
      <c r="A831" s="74"/>
      <c r="B831" s="79"/>
      <c r="D831" s="75"/>
      <c r="E831" s="74"/>
    </row>
    <row r="832" spans="1:5" ht="14.5">
      <c r="A832" s="74"/>
      <c r="B832" s="79"/>
      <c r="D832" s="75"/>
      <c r="E832" s="74"/>
    </row>
    <row r="833" spans="1:5" ht="14.5">
      <c r="A833" s="74"/>
      <c r="B833" s="79"/>
      <c r="D833" s="75"/>
      <c r="E833" s="74"/>
    </row>
    <row r="834" spans="1:5" ht="14.5">
      <c r="A834" s="74"/>
      <c r="B834" s="79"/>
      <c r="D834" s="75"/>
      <c r="E834" s="74"/>
    </row>
    <row r="835" spans="1:5" ht="14.5">
      <c r="A835" s="74"/>
      <c r="B835" s="79"/>
      <c r="D835" s="75"/>
      <c r="E835" s="74"/>
    </row>
    <row r="836" spans="1:5" ht="14.5">
      <c r="A836" s="74"/>
      <c r="B836" s="79"/>
      <c r="D836" s="75"/>
      <c r="E836" s="74"/>
    </row>
    <row r="837" spans="1:5" ht="14.5">
      <c r="A837" s="74"/>
      <c r="B837" s="79"/>
      <c r="D837" s="75"/>
      <c r="E837" s="74"/>
    </row>
    <row r="838" spans="1:5" ht="14.5">
      <c r="A838" s="74"/>
      <c r="B838" s="79"/>
      <c r="D838" s="75"/>
      <c r="E838" s="74"/>
    </row>
    <row r="839" spans="1:5" ht="14.5">
      <c r="A839" s="74"/>
      <c r="B839" s="79"/>
      <c r="D839" s="75"/>
      <c r="E839" s="74"/>
    </row>
    <row r="840" spans="1:5" ht="14.5">
      <c r="A840" s="74"/>
      <c r="B840" s="79"/>
      <c r="D840" s="75"/>
      <c r="E840" s="74"/>
    </row>
    <row r="841" spans="1:5" ht="14.5">
      <c r="A841" s="74"/>
      <c r="B841" s="79"/>
      <c r="D841" s="75"/>
      <c r="E841" s="74"/>
    </row>
    <row r="842" spans="1:5" ht="14.5">
      <c r="A842" s="74"/>
      <c r="B842" s="79"/>
      <c r="D842" s="75"/>
      <c r="E842" s="74"/>
    </row>
    <row r="843" spans="1:5" ht="14.5">
      <c r="A843" s="74"/>
      <c r="B843" s="79"/>
      <c r="D843" s="75"/>
      <c r="E843" s="74"/>
    </row>
    <row r="844" spans="1:5" ht="14.5">
      <c r="A844" s="74"/>
      <c r="B844" s="79"/>
      <c r="D844" s="75"/>
      <c r="E844" s="74"/>
    </row>
    <row r="845" spans="1:5" ht="14.5">
      <c r="A845" s="74"/>
      <c r="B845" s="79"/>
      <c r="D845" s="75"/>
      <c r="E845" s="74"/>
    </row>
    <row r="846" spans="1:5" ht="14.5">
      <c r="A846" s="74"/>
      <c r="B846" s="79"/>
      <c r="D846" s="75"/>
      <c r="E846" s="74"/>
    </row>
    <row r="847" spans="1:5" ht="14.5">
      <c r="A847" s="74"/>
      <c r="B847" s="79"/>
      <c r="D847" s="75"/>
      <c r="E847" s="74"/>
    </row>
    <row r="848" spans="1:5" ht="14.5">
      <c r="A848" s="74"/>
      <c r="B848" s="79"/>
      <c r="D848" s="75"/>
      <c r="E848" s="74"/>
    </row>
    <row r="849" spans="1:5" ht="14.5">
      <c r="A849" s="74"/>
      <c r="B849" s="79"/>
      <c r="D849" s="75"/>
      <c r="E849" s="74"/>
    </row>
    <row r="850" spans="1:5" ht="14.5">
      <c r="A850" s="74"/>
      <c r="B850" s="79"/>
      <c r="D850" s="75"/>
      <c r="E850" s="74"/>
    </row>
    <row r="851" spans="1:5" ht="14.5">
      <c r="A851" s="74"/>
      <c r="B851" s="79"/>
      <c r="D851" s="75"/>
      <c r="E851" s="74"/>
    </row>
    <row r="852" spans="1:5" ht="14.5">
      <c r="A852" s="74"/>
      <c r="B852" s="79"/>
      <c r="D852" s="75"/>
      <c r="E852" s="74"/>
    </row>
    <row r="853" spans="1:5" ht="14.5">
      <c r="A853" s="74"/>
      <c r="B853" s="79"/>
      <c r="D853" s="75"/>
      <c r="E853" s="74"/>
    </row>
    <row r="854" spans="1:5" ht="14.5">
      <c r="A854" s="74"/>
      <c r="B854" s="79"/>
      <c r="D854" s="75"/>
      <c r="E854" s="74"/>
    </row>
    <row r="855" spans="1:5" ht="14.5">
      <c r="A855" s="74"/>
      <c r="B855" s="79"/>
      <c r="D855" s="75"/>
      <c r="E855" s="74"/>
    </row>
    <row r="856" spans="1:5" ht="14.5">
      <c r="A856" s="74"/>
      <c r="B856" s="79"/>
      <c r="D856" s="75"/>
      <c r="E856" s="74"/>
    </row>
    <row r="857" spans="1:5" ht="14.5">
      <c r="A857" s="74"/>
      <c r="B857" s="79"/>
      <c r="D857" s="75"/>
      <c r="E857" s="74"/>
    </row>
    <row r="858" spans="1:5" ht="14.5">
      <c r="A858" s="74"/>
      <c r="B858" s="79"/>
      <c r="D858" s="75"/>
      <c r="E858" s="74"/>
    </row>
    <row r="859" spans="1:5" ht="14.5">
      <c r="A859" s="74"/>
      <c r="B859" s="79"/>
      <c r="D859" s="75"/>
      <c r="E859" s="74"/>
    </row>
    <row r="860" spans="1:5" ht="14.5">
      <c r="A860" s="74"/>
      <c r="B860" s="79"/>
      <c r="D860" s="75"/>
      <c r="E860" s="74"/>
    </row>
    <row r="861" spans="1:5" ht="14.5">
      <c r="A861" s="74"/>
      <c r="B861" s="79"/>
      <c r="D861" s="75"/>
      <c r="E861" s="74"/>
    </row>
    <row r="862" spans="1:5" ht="14.5">
      <c r="A862" s="74"/>
      <c r="B862" s="79"/>
      <c r="D862" s="75"/>
      <c r="E862" s="74"/>
    </row>
    <row r="863" spans="1:5" ht="14.5">
      <c r="A863" s="74"/>
      <c r="B863" s="79"/>
      <c r="D863" s="75"/>
      <c r="E863" s="74"/>
    </row>
    <row r="864" spans="1:5" ht="14.5">
      <c r="A864" s="74"/>
      <c r="B864" s="79"/>
      <c r="D864" s="75"/>
      <c r="E864" s="74"/>
    </row>
    <row r="865" spans="1:5" ht="14.5">
      <c r="A865" s="74"/>
      <c r="B865" s="79"/>
      <c r="D865" s="75"/>
      <c r="E865" s="74"/>
    </row>
    <row r="866" spans="1:5" ht="14.5">
      <c r="A866" s="74"/>
      <c r="B866" s="79"/>
      <c r="D866" s="75"/>
      <c r="E866" s="74"/>
    </row>
    <row r="867" spans="1:5" ht="14.5">
      <c r="A867" s="74"/>
      <c r="B867" s="79"/>
      <c r="D867" s="75"/>
      <c r="E867" s="74"/>
    </row>
    <row r="868" spans="1:5" ht="14.5">
      <c r="A868" s="74"/>
      <c r="B868" s="79"/>
      <c r="D868" s="75"/>
      <c r="E868" s="74"/>
    </row>
    <row r="869" spans="1:5" ht="14.5">
      <c r="A869" s="74"/>
      <c r="B869" s="79"/>
      <c r="D869" s="75"/>
      <c r="E869" s="74"/>
    </row>
    <row r="870" spans="1:5" ht="14.5">
      <c r="A870" s="74"/>
      <c r="B870" s="79"/>
      <c r="D870" s="75"/>
      <c r="E870" s="74"/>
    </row>
    <row r="871" spans="1:5" ht="14.5">
      <c r="A871" s="74"/>
      <c r="B871" s="79"/>
      <c r="D871" s="75"/>
      <c r="E871" s="74"/>
    </row>
    <row r="872" spans="1:5" ht="14.5">
      <c r="A872" s="74"/>
      <c r="B872" s="79"/>
      <c r="D872" s="75"/>
      <c r="E872" s="74"/>
    </row>
    <row r="873" spans="1:5" ht="14.5">
      <c r="A873" s="74"/>
      <c r="B873" s="79"/>
      <c r="D873" s="75"/>
      <c r="E873" s="74"/>
    </row>
    <row r="874" spans="1:5" ht="14.5">
      <c r="A874" s="74"/>
      <c r="B874" s="79"/>
      <c r="D874" s="75"/>
      <c r="E874" s="74"/>
    </row>
    <row r="875" spans="1:5" ht="14.5">
      <c r="A875" s="74"/>
      <c r="B875" s="79"/>
      <c r="D875" s="75"/>
      <c r="E875" s="74"/>
    </row>
    <row r="876" spans="1:5" ht="14.5">
      <c r="A876" s="74"/>
      <c r="B876" s="79"/>
      <c r="D876" s="75"/>
      <c r="E876" s="74"/>
    </row>
    <row r="877" spans="1:5" ht="14.5">
      <c r="A877" s="74"/>
      <c r="B877" s="79"/>
      <c r="D877" s="75"/>
      <c r="E877" s="74"/>
    </row>
    <row r="878" spans="1:5" ht="14.5">
      <c r="A878" s="74"/>
      <c r="B878" s="79"/>
      <c r="D878" s="75"/>
      <c r="E878" s="74"/>
    </row>
    <row r="879" spans="1:5" ht="14.5">
      <c r="A879" s="74"/>
      <c r="B879" s="79"/>
      <c r="D879" s="75"/>
      <c r="E879" s="74"/>
    </row>
    <row r="880" spans="1:5" ht="14.5">
      <c r="A880" s="74"/>
      <c r="B880" s="79"/>
      <c r="D880" s="75"/>
      <c r="E880" s="74"/>
    </row>
    <row r="881" spans="1:5" ht="14.5">
      <c r="A881" s="74"/>
      <c r="B881" s="79"/>
      <c r="D881" s="75"/>
      <c r="E881" s="74"/>
    </row>
    <row r="882" spans="1:5" ht="14.5">
      <c r="A882" s="74"/>
      <c r="B882" s="79"/>
      <c r="D882" s="75"/>
      <c r="E882" s="74"/>
    </row>
    <row r="883" spans="1:5" ht="14.5">
      <c r="A883" s="74"/>
      <c r="B883" s="79"/>
      <c r="D883" s="75"/>
      <c r="E883" s="74"/>
    </row>
    <row r="884" spans="1:5" ht="14.5">
      <c r="A884" s="74"/>
      <c r="B884" s="79"/>
      <c r="D884" s="75"/>
      <c r="E884" s="74"/>
    </row>
    <row r="885" spans="1:5" ht="14.5">
      <c r="A885" s="74"/>
      <c r="B885" s="79"/>
      <c r="D885" s="75"/>
      <c r="E885" s="74"/>
    </row>
    <row r="886" spans="1:5" ht="14.5">
      <c r="A886" s="74"/>
      <c r="B886" s="79"/>
      <c r="D886" s="75"/>
      <c r="E886" s="74"/>
    </row>
    <row r="887" spans="1:5" ht="14.5">
      <c r="A887" s="74"/>
      <c r="B887" s="79"/>
      <c r="D887" s="75"/>
      <c r="E887" s="74"/>
    </row>
    <row r="888" spans="1:5" ht="14.5">
      <c r="A888" s="74"/>
      <c r="B888" s="79"/>
      <c r="D888" s="75"/>
      <c r="E888" s="74"/>
    </row>
    <row r="889" spans="1:5" ht="14.5">
      <c r="A889" s="74"/>
      <c r="B889" s="79"/>
      <c r="D889" s="75"/>
      <c r="E889" s="74"/>
    </row>
    <row r="890" spans="1:5" ht="14.5">
      <c r="A890" s="74"/>
      <c r="B890" s="79"/>
      <c r="D890" s="75"/>
      <c r="E890" s="74"/>
    </row>
    <row r="891" spans="1:5" ht="14.5">
      <c r="A891" s="74"/>
      <c r="B891" s="79"/>
      <c r="D891" s="75"/>
      <c r="E891" s="74"/>
    </row>
    <row r="892" spans="1:5" ht="14.5">
      <c r="A892" s="74"/>
      <c r="B892" s="79"/>
      <c r="D892" s="75"/>
      <c r="E892" s="74"/>
    </row>
    <row r="893" spans="1:5" ht="14.5">
      <c r="A893" s="74"/>
      <c r="B893" s="79"/>
      <c r="D893" s="75"/>
      <c r="E893" s="74"/>
    </row>
    <row r="894" spans="1:5" ht="14.5">
      <c r="A894" s="74"/>
      <c r="B894" s="79"/>
      <c r="D894" s="75"/>
      <c r="E894" s="74"/>
    </row>
    <row r="895" spans="1:5" ht="14.5">
      <c r="A895" s="74"/>
      <c r="B895" s="79"/>
      <c r="D895" s="75"/>
      <c r="E895" s="74"/>
    </row>
    <row r="896" spans="1:5" ht="14.5">
      <c r="A896" s="74"/>
      <c r="B896" s="79"/>
      <c r="D896" s="75"/>
      <c r="E896" s="74"/>
    </row>
    <row r="897" spans="1:5" ht="14.5">
      <c r="A897" s="74"/>
      <c r="B897" s="79"/>
      <c r="D897" s="75"/>
      <c r="E897" s="74"/>
    </row>
    <row r="898" spans="1:5" ht="14.5">
      <c r="A898" s="74"/>
      <c r="B898" s="79"/>
      <c r="D898" s="75"/>
      <c r="E898" s="74"/>
    </row>
    <row r="899" spans="1:5" ht="14.5">
      <c r="A899" s="74"/>
      <c r="B899" s="79"/>
      <c r="D899" s="75"/>
      <c r="E899" s="74"/>
    </row>
    <row r="900" spans="1:5" ht="14.5">
      <c r="A900" s="74"/>
      <c r="B900" s="79"/>
      <c r="D900" s="75"/>
      <c r="E900" s="74"/>
    </row>
    <row r="901" spans="1:5" ht="14.5">
      <c r="A901" s="74"/>
      <c r="B901" s="79"/>
      <c r="D901" s="75"/>
      <c r="E901" s="74"/>
    </row>
    <row r="902" spans="1:5" ht="14.5">
      <c r="A902" s="74"/>
      <c r="B902" s="79"/>
      <c r="D902" s="75"/>
      <c r="E902" s="74"/>
    </row>
    <row r="903" spans="1:5" ht="14.5">
      <c r="A903" s="74"/>
      <c r="B903" s="79"/>
      <c r="D903" s="75"/>
      <c r="E903" s="74"/>
    </row>
    <row r="904" spans="1:5" ht="14.5">
      <c r="A904" s="74"/>
      <c r="B904" s="79"/>
      <c r="D904" s="75"/>
      <c r="E904" s="74"/>
    </row>
    <row r="905" spans="1:5" ht="14.5">
      <c r="A905" s="74"/>
      <c r="B905" s="79"/>
      <c r="D905" s="75"/>
      <c r="E905" s="74"/>
    </row>
    <row r="906" spans="1:5" ht="14.5">
      <c r="A906" s="74"/>
      <c r="B906" s="79"/>
      <c r="D906" s="75"/>
      <c r="E906" s="74"/>
    </row>
    <row r="907" spans="1:5" ht="14.5">
      <c r="A907" s="74"/>
      <c r="B907" s="79"/>
      <c r="D907" s="75"/>
      <c r="E907" s="74"/>
    </row>
    <row r="908" spans="1:5" ht="14.5">
      <c r="A908" s="74"/>
      <c r="B908" s="79"/>
      <c r="D908" s="75"/>
      <c r="E908" s="74"/>
    </row>
    <row r="909" spans="1:5" ht="14.5">
      <c r="A909" s="74"/>
      <c r="B909" s="79"/>
      <c r="D909" s="75"/>
      <c r="E909" s="74"/>
    </row>
    <row r="910" spans="1:5" ht="14.5">
      <c r="A910" s="74"/>
      <c r="B910" s="79"/>
      <c r="D910" s="75"/>
      <c r="E910" s="74"/>
    </row>
    <row r="911" spans="1:5" ht="14.5">
      <c r="A911" s="74"/>
      <c r="B911" s="79"/>
      <c r="D911" s="75"/>
      <c r="E911" s="74"/>
    </row>
    <row r="912" spans="1:5" ht="14.5">
      <c r="A912" s="74"/>
      <c r="B912" s="79"/>
      <c r="D912" s="75"/>
      <c r="E912" s="74"/>
    </row>
    <row r="913" spans="1:5" ht="14.5">
      <c r="A913" s="74"/>
      <c r="B913" s="79"/>
      <c r="D913" s="75"/>
      <c r="E913" s="74"/>
    </row>
    <row r="914" spans="1:5" ht="14.5">
      <c r="A914" s="74"/>
      <c r="B914" s="79"/>
      <c r="D914" s="75"/>
      <c r="E914" s="74"/>
    </row>
    <row r="915" spans="1:5" ht="14.5">
      <c r="A915" s="74"/>
      <c r="B915" s="79"/>
      <c r="D915" s="75"/>
      <c r="E915" s="74"/>
    </row>
    <row r="916" spans="1:5" ht="14.5">
      <c r="A916" s="74"/>
      <c r="B916" s="79"/>
      <c r="D916" s="75"/>
      <c r="E916" s="74"/>
    </row>
    <row r="917" spans="1:5" ht="14.5">
      <c r="A917" s="74"/>
      <c r="B917" s="79"/>
      <c r="D917" s="75"/>
      <c r="E917" s="74"/>
    </row>
    <row r="918" spans="1:5" ht="14.5">
      <c r="A918" s="74"/>
      <c r="B918" s="79"/>
      <c r="D918" s="75"/>
      <c r="E918" s="74"/>
    </row>
    <row r="919" spans="1:5" ht="14.5">
      <c r="A919" s="74"/>
      <c r="B919" s="79"/>
      <c r="D919" s="75"/>
      <c r="E919" s="74"/>
    </row>
    <row r="920" spans="1:5" ht="14.5">
      <c r="A920" s="74"/>
      <c r="B920" s="79"/>
      <c r="D920" s="75"/>
      <c r="E920" s="74"/>
    </row>
    <row r="921" spans="1:5" ht="14.5">
      <c r="A921" s="74"/>
      <c r="B921" s="79"/>
      <c r="D921" s="75"/>
      <c r="E921" s="74"/>
    </row>
    <row r="922" spans="1:5" ht="14.5">
      <c r="A922" s="74"/>
      <c r="B922" s="79"/>
      <c r="D922" s="75"/>
      <c r="E922" s="74"/>
    </row>
    <row r="923" spans="1:5" ht="14.5">
      <c r="A923" s="74"/>
      <c r="B923" s="79"/>
      <c r="D923" s="75"/>
      <c r="E923" s="74"/>
    </row>
    <row r="924" spans="1:5" ht="14.5">
      <c r="A924" s="74"/>
      <c r="B924" s="79"/>
      <c r="D924" s="75"/>
      <c r="E924" s="74"/>
    </row>
    <row r="925" spans="1:5" ht="14.5">
      <c r="A925" s="74"/>
      <c r="B925" s="79"/>
      <c r="D925" s="75"/>
      <c r="E925" s="74"/>
    </row>
    <row r="926" spans="1:5" ht="14.5">
      <c r="A926" s="74"/>
      <c r="B926" s="79"/>
      <c r="D926" s="75"/>
      <c r="E926" s="74"/>
    </row>
    <row r="927" spans="1:5" ht="14.5">
      <c r="A927" s="74"/>
      <c r="B927" s="79"/>
      <c r="D927" s="75"/>
      <c r="E927" s="74"/>
    </row>
    <row r="928" spans="1:5" ht="14.5">
      <c r="A928" s="74"/>
      <c r="B928" s="79"/>
      <c r="D928" s="75"/>
      <c r="E928" s="74"/>
    </row>
    <row r="929" spans="1:5" ht="14.5">
      <c r="A929" s="74"/>
      <c r="B929" s="79"/>
      <c r="D929" s="75"/>
      <c r="E929" s="74"/>
    </row>
    <row r="930" spans="1:5" ht="14.5">
      <c r="A930" s="74"/>
      <c r="B930" s="79"/>
      <c r="D930" s="75"/>
      <c r="E930" s="74"/>
    </row>
    <row r="931" spans="1:5" ht="14.5">
      <c r="A931" s="74"/>
      <c r="B931" s="79"/>
      <c r="D931" s="75"/>
      <c r="E931" s="74"/>
    </row>
    <row r="932" spans="1:5" ht="14.5">
      <c r="A932" s="74"/>
      <c r="B932" s="79"/>
      <c r="D932" s="75"/>
      <c r="E932" s="74"/>
    </row>
    <row r="933" spans="1:5" ht="14.5">
      <c r="A933" s="74"/>
      <c r="B933" s="79"/>
      <c r="D933" s="75"/>
      <c r="E933" s="74"/>
    </row>
    <row r="934" spans="1:5" ht="14.5">
      <c r="A934" s="74"/>
      <c r="B934" s="79"/>
      <c r="D934" s="75"/>
      <c r="E934" s="74"/>
    </row>
    <row r="935" spans="1:5" ht="14.5">
      <c r="A935" s="74"/>
      <c r="B935" s="79"/>
      <c r="D935" s="75"/>
      <c r="E935" s="74"/>
    </row>
    <row r="936" spans="1:5" ht="14.5">
      <c r="A936" s="74"/>
      <c r="B936" s="79"/>
      <c r="D936" s="75"/>
      <c r="E936" s="74"/>
    </row>
    <row r="937" spans="1:5" ht="14.5">
      <c r="A937" s="74"/>
      <c r="B937" s="79"/>
      <c r="D937" s="75"/>
      <c r="E937" s="74"/>
    </row>
    <row r="938" spans="1:5" ht="14.5">
      <c r="A938" s="74"/>
      <c r="B938" s="79"/>
      <c r="D938" s="75"/>
      <c r="E938" s="74"/>
    </row>
    <row r="939" spans="1:5" ht="14.5">
      <c r="A939" s="74"/>
      <c r="B939" s="79"/>
      <c r="D939" s="75"/>
      <c r="E939" s="74"/>
    </row>
    <row r="940" spans="1:5" ht="14.5">
      <c r="A940" s="74"/>
      <c r="B940" s="79"/>
      <c r="D940" s="75"/>
      <c r="E940" s="74"/>
    </row>
    <row r="941" spans="1:5" ht="14.5">
      <c r="A941" s="74"/>
      <c r="B941" s="79"/>
      <c r="D941" s="75"/>
      <c r="E941" s="74"/>
    </row>
    <row r="942" spans="1:5" ht="14.5">
      <c r="A942" s="74"/>
      <c r="B942" s="79"/>
      <c r="D942" s="75"/>
      <c r="E942" s="74"/>
    </row>
    <row r="943" spans="1:5" ht="14.5">
      <c r="A943" s="74"/>
      <c r="B943" s="79"/>
      <c r="D943" s="75"/>
      <c r="E943" s="74"/>
    </row>
    <row r="944" spans="1:5" ht="14.5">
      <c r="A944" s="74"/>
      <c r="B944" s="79"/>
      <c r="D944" s="75"/>
      <c r="E944" s="74"/>
    </row>
    <row r="945" spans="1:5" ht="14.5">
      <c r="A945" s="74"/>
      <c r="B945" s="79"/>
      <c r="D945" s="75"/>
      <c r="E945" s="74"/>
    </row>
    <row r="946" spans="1:5" ht="14.5">
      <c r="A946" s="74"/>
      <c r="B946" s="79"/>
      <c r="D946" s="75"/>
      <c r="E946" s="74"/>
    </row>
    <row r="947" spans="1:5" ht="14.5">
      <c r="A947" s="74"/>
      <c r="B947" s="79"/>
      <c r="D947" s="75"/>
      <c r="E947" s="74"/>
    </row>
    <row r="948" spans="1:5" ht="14.5">
      <c r="A948" s="74"/>
      <c r="B948" s="79"/>
      <c r="D948" s="75"/>
      <c r="E948" s="74"/>
    </row>
    <row r="949" spans="1:5" ht="14.5">
      <c r="A949" s="74"/>
      <c r="B949" s="79"/>
      <c r="D949" s="75"/>
      <c r="E949" s="74"/>
    </row>
    <row r="950" spans="1:5" ht="14.5">
      <c r="A950" s="74"/>
      <c r="B950" s="79"/>
      <c r="D950" s="75"/>
      <c r="E950" s="74"/>
    </row>
    <row r="951" spans="1:5" ht="14.5">
      <c r="A951" s="74"/>
      <c r="B951" s="79"/>
      <c r="D951" s="75"/>
      <c r="E951" s="74"/>
    </row>
    <row r="952" spans="1:5" ht="14.5">
      <c r="A952" s="74"/>
      <c r="B952" s="79"/>
      <c r="D952" s="75"/>
      <c r="E952" s="74"/>
    </row>
    <row r="953" spans="1:5" ht="14.5">
      <c r="A953" s="74"/>
      <c r="B953" s="79"/>
      <c r="D953" s="75"/>
      <c r="E953" s="74"/>
    </row>
    <row r="954" spans="1:5" ht="14.5">
      <c r="A954" s="74"/>
      <c r="B954" s="79"/>
      <c r="D954" s="75"/>
      <c r="E954" s="74"/>
    </row>
    <row r="955" spans="1:5" ht="14.5">
      <c r="A955" s="74"/>
      <c r="B955" s="79"/>
      <c r="D955" s="75"/>
      <c r="E955" s="74"/>
    </row>
    <row r="956" spans="1:5" ht="14.5">
      <c r="A956" s="74"/>
      <c r="B956" s="79"/>
      <c r="D956" s="75"/>
      <c r="E956" s="74"/>
    </row>
    <row r="957" spans="1:5" ht="14.5">
      <c r="A957" s="74"/>
      <c r="B957" s="79"/>
      <c r="D957" s="75"/>
      <c r="E957" s="74"/>
    </row>
    <row r="958" spans="1:5" ht="14.5">
      <c r="A958" s="74"/>
      <c r="B958" s="79"/>
      <c r="D958" s="75"/>
      <c r="E958" s="74"/>
    </row>
    <row r="959" spans="1:5" ht="14.5">
      <c r="A959" s="74"/>
      <c r="B959" s="79"/>
      <c r="D959" s="75"/>
      <c r="E959" s="74"/>
    </row>
    <row r="960" spans="1:5" ht="14.5">
      <c r="A960" s="74"/>
      <c r="B960" s="79"/>
      <c r="D960" s="75"/>
      <c r="E960" s="74"/>
    </row>
    <row r="961" spans="1:5" ht="14.5">
      <c r="A961" s="74"/>
      <c r="B961" s="79"/>
      <c r="D961" s="75"/>
      <c r="E961" s="74"/>
    </row>
    <row r="962" spans="1:5" ht="14.5">
      <c r="A962" s="74"/>
      <c r="B962" s="79"/>
      <c r="D962" s="75"/>
      <c r="E962" s="74"/>
    </row>
    <row r="963" spans="1:5" ht="14.5">
      <c r="A963" s="74"/>
      <c r="B963" s="79"/>
      <c r="D963" s="75"/>
      <c r="E963" s="74"/>
    </row>
    <row r="964" spans="1:5" ht="14.5">
      <c r="A964" s="74"/>
      <c r="B964" s="79"/>
      <c r="D964" s="75"/>
      <c r="E964" s="74"/>
    </row>
    <row r="965" spans="1:5" ht="14.5">
      <c r="A965" s="74"/>
      <c r="B965" s="79"/>
      <c r="D965" s="75"/>
      <c r="E965" s="74"/>
    </row>
    <row r="966" spans="1:5" ht="14.5">
      <c r="A966" s="74"/>
      <c r="B966" s="79"/>
      <c r="D966" s="75"/>
      <c r="E966" s="74"/>
    </row>
    <row r="967" spans="1:5" ht="14.5">
      <c r="A967" s="74"/>
      <c r="B967" s="79"/>
      <c r="D967" s="75"/>
      <c r="E967" s="74"/>
    </row>
    <row r="968" spans="1:5" ht="14.5">
      <c r="A968" s="74"/>
      <c r="B968" s="79"/>
      <c r="D968" s="75"/>
      <c r="E968" s="74"/>
    </row>
    <row r="969" spans="1:5" ht="14.5">
      <c r="A969" s="74"/>
      <c r="B969" s="79"/>
      <c r="D969" s="75"/>
      <c r="E969" s="74"/>
    </row>
    <row r="970" spans="1:5" ht="14.5">
      <c r="A970" s="74"/>
      <c r="B970" s="79"/>
      <c r="D970" s="75"/>
      <c r="E970" s="74"/>
    </row>
    <row r="971" spans="1:5" ht="14.5">
      <c r="A971" s="74"/>
      <c r="B971" s="79"/>
      <c r="D971" s="75"/>
      <c r="E971" s="74"/>
    </row>
    <row r="972" spans="1:5" ht="14.5">
      <c r="A972" s="74"/>
      <c r="B972" s="79"/>
      <c r="D972" s="75"/>
      <c r="E972" s="74"/>
    </row>
    <row r="973" spans="1:5" ht="14.5">
      <c r="A973" s="74"/>
      <c r="B973" s="79"/>
      <c r="D973" s="75"/>
      <c r="E973" s="74"/>
    </row>
    <row r="974" spans="1:5" ht="14.5">
      <c r="A974" s="74"/>
      <c r="B974" s="79"/>
      <c r="D974" s="75"/>
      <c r="E974" s="74"/>
    </row>
    <row r="975" spans="1:5" ht="14.5">
      <c r="A975" s="74"/>
      <c r="B975" s="79"/>
      <c r="D975" s="75"/>
      <c r="E975" s="74"/>
    </row>
    <row r="976" spans="1:5" ht="14.5">
      <c r="A976" s="74"/>
      <c r="B976" s="79"/>
      <c r="D976" s="75"/>
      <c r="E976" s="74"/>
    </row>
    <row r="977" spans="1:5" ht="14.5">
      <c r="A977" s="74"/>
      <c r="B977" s="79"/>
      <c r="D977" s="75"/>
      <c r="E977" s="74"/>
    </row>
    <row r="978" spans="1:5" ht="14.5">
      <c r="A978" s="74"/>
      <c r="B978" s="79"/>
      <c r="D978" s="75"/>
      <c r="E978" s="74"/>
    </row>
    <row r="979" spans="1:5" ht="14.5">
      <c r="A979" s="74"/>
      <c r="B979" s="79"/>
      <c r="D979" s="75"/>
      <c r="E979" s="74"/>
    </row>
    <row r="980" spans="1:5" ht="14.5">
      <c r="A980" s="74"/>
      <c r="B980" s="79"/>
      <c r="D980" s="75"/>
      <c r="E980" s="74"/>
    </row>
    <row r="981" spans="1:5" ht="14.5">
      <c r="A981" s="74"/>
      <c r="B981" s="79"/>
      <c r="D981" s="75"/>
      <c r="E981" s="74"/>
    </row>
    <row r="982" spans="1:5" ht="14.5">
      <c r="A982" s="74"/>
      <c r="B982" s="79"/>
      <c r="D982" s="75"/>
      <c r="E982" s="74"/>
    </row>
    <row r="983" spans="1:5" ht="14.5">
      <c r="A983" s="74"/>
      <c r="B983" s="79"/>
      <c r="D983" s="75"/>
      <c r="E983" s="74"/>
    </row>
    <row r="984" spans="1:5" ht="14.5">
      <c r="A984" s="74"/>
      <c r="B984" s="79"/>
      <c r="D984" s="75"/>
      <c r="E984" s="74"/>
    </row>
    <row r="985" spans="1:5" ht="14.5">
      <c r="A985" s="74"/>
      <c r="B985" s="79"/>
      <c r="D985" s="75"/>
      <c r="E985" s="74"/>
    </row>
    <row r="986" spans="1:5" ht="14.5">
      <c r="A986" s="74"/>
      <c r="B986" s="79"/>
      <c r="D986" s="75"/>
      <c r="E986" s="74"/>
    </row>
    <row r="987" spans="1:5" ht="14.5">
      <c r="A987" s="74"/>
      <c r="B987" s="79"/>
      <c r="D987" s="75"/>
      <c r="E987" s="74"/>
    </row>
    <row r="988" spans="1:5" ht="14.5">
      <c r="A988" s="74"/>
      <c r="B988" s="79"/>
      <c r="D988" s="75"/>
      <c r="E988" s="74"/>
    </row>
    <row r="989" spans="1:5" ht="14.5">
      <c r="A989" s="74"/>
      <c r="B989" s="79"/>
      <c r="D989" s="75"/>
      <c r="E989" s="74"/>
    </row>
    <row r="990" spans="1:5" ht="14.5">
      <c r="A990" s="74"/>
      <c r="B990" s="79"/>
      <c r="D990" s="75"/>
      <c r="E990" s="74"/>
    </row>
    <row r="991" spans="1:5" ht="14.5">
      <c r="A991" s="74"/>
      <c r="B991" s="79"/>
      <c r="D991" s="75"/>
      <c r="E991" s="74"/>
    </row>
    <row r="992" spans="1:5" ht="14.5">
      <c r="A992" s="74"/>
      <c r="B992" s="79"/>
      <c r="D992" s="75"/>
      <c r="E992" s="74"/>
    </row>
    <row r="993" spans="1:5" ht="14.5">
      <c r="A993" s="74"/>
      <c r="B993" s="79"/>
      <c r="D993" s="75"/>
      <c r="E993" s="74"/>
    </row>
    <row r="994" spans="1:5" ht="14.5">
      <c r="A994" s="74"/>
      <c r="B994" s="79"/>
      <c r="D994" s="75"/>
      <c r="E994" s="74"/>
    </row>
    <row r="995" spans="1:5" ht="14.5">
      <c r="A995" s="74"/>
      <c r="B995" s="79"/>
      <c r="D995" s="75"/>
      <c r="E995" s="74"/>
    </row>
    <row r="996" spans="1:5" ht="14.5">
      <c r="A996" s="74"/>
      <c r="B996" s="79"/>
      <c r="D996" s="75"/>
      <c r="E996" s="74"/>
    </row>
    <row r="997" spans="1:5" ht="14.5">
      <c r="A997" s="74"/>
      <c r="B997" s="79"/>
      <c r="D997" s="75"/>
      <c r="E997" s="74"/>
    </row>
    <row r="998" spans="1:5" ht="14.5">
      <c r="A998" s="74"/>
      <c r="B998" s="79"/>
      <c r="D998" s="75"/>
      <c r="E998" s="74"/>
    </row>
    <row r="999" spans="1:5" ht="14.5">
      <c r="A999" s="74"/>
      <c r="B999" s="79"/>
      <c r="D999" s="75"/>
      <c r="E999" s="74"/>
    </row>
    <row r="1000" spans="1:5" ht="14.5">
      <c r="A1000" s="74"/>
      <c r="B1000" s="79"/>
      <c r="D1000" s="75"/>
      <c r="E1000" s="74"/>
    </row>
    <row r="1001" spans="1:5" ht="14.5">
      <c r="A1001" s="74"/>
      <c r="B1001" s="79"/>
      <c r="D1001" s="75"/>
      <c r="E1001" s="7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1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0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74" t="s">
        <v>294</v>
      </c>
      <c r="B2" s="2">
        <v>1</v>
      </c>
      <c r="C2" s="74" t="s">
        <v>168</v>
      </c>
      <c r="D2" s="74" t="s">
        <v>295</v>
      </c>
      <c r="E2" s="75">
        <v>125000</v>
      </c>
      <c r="F2" s="63">
        <f>I2-0</f>
        <v>2209</v>
      </c>
      <c r="G2" s="63">
        <f t="shared" ref="G2:G21" si="0">$B$17/$I$17*(F2)</f>
        <v>0.59542782054953758</v>
      </c>
      <c r="H2" s="63">
        <f>$B$17/SQRT($I$17)*(SQRT(I2)-SQRT(0))</f>
        <v>3.0865587842762046</v>
      </c>
      <c r="I2" s="76" t="str">
        <f t="shared" ref="I2:I21" si="1">D2</f>
        <v xml:space="preserve">2209 </v>
      </c>
      <c r="J2" s="76">
        <f t="shared" ref="J2:J21" si="2">E2</f>
        <v>125000</v>
      </c>
      <c r="K2" s="77">
        <f>J2*'Inflation Rates by Year'!$C$2</f>
        <v>141345</v>
      </c>
      <c r="L2" s="78">
        <f t="shared" ref="L2:L21" si="3">K2/I2</f>
        <v>63.985966500679041</v>
      </c>
    </row>
    <row r="3" spans="1:12" ht="15" customHeight="1">
      <c r="A3" s="74" t="s">
        <v>296</v>
      </c>
      <c r="B3" s="2">
        <v>2</v>
      </c>
      <c r="C3" s="74" t="s">
        <v>168</v>
      </c>
      <c r="D3" s="74" t="s">
        <v>297</v>
      </c>
      <c r="E3" s="75">
        <v>147187</v>
      </c>
      <c r="F3" s="63">
        <f t="shared" ref="F3:F21" si="4">I3-I2</f>
        <v>1291</v>
      </c>
      <c r="G3" s="63">
        <f t="shared" si="0"/>
        <v>0.34798429892686877</v>
      </c>
      <c r="H3" s="63">
        <f t="shared" ref="H3:H17" si="5">$B$17/SQRT($I$17)*(SQRT(I3)-SQRT(I2))</f>
        <v>0.79861739083123851</v>
      </c>
      <c r="I3" s="76" t="str">
        <f t="shared" si="1"/>
        <v xml:space="preserve">3500 </v>
      </c>
      <c r="J3" s="76">
        <f t="shared" si="2"/>
        <v>147187</v>
      </c>
      <c r="K3" s="77">
        <f>J3*'Inflation Rates by Year'!$C$2</f>
        <v>166433.17212</v>
      </c>
      <c r="L3" s="78">
        <f t="shared" si="3"/>
        <v>47.552334891428572</v>
      </c>
    </row>
    <row r="4" spans="1:12" ht="15" customHeight="1">
      <c r="A4" s="74" t="s">
        <v>298</v>
      </c>
      <c r="B4" s="2">
        <v>3</v>
      </c>
      <c r="C4" s="74" t="s">
        <v>168</v>
      </c>
      <c r="D4" s="74" t="s">
        <v>299</v>
      </c>
      <c r="E4" s="75">
        <v>461000</v>
      </c>
      <c r="F4" s="63">
        <f t="shared" si="4"/>
        <v>17500</v>
      </c>
      <c r="G4" s="63">
        <f t="shared" si="0"/>
        <v>4.7170605973820319</v>
      </c>
      <c r="H4" s="63">
        <f t="shared" si="5"/>
        <v>5.63152301472382</v>
      </c>
      <c r="I4" s="76" t="str">
        <f t="shared" si="1"/>
        <v xml:space="preserve">21000 </v>
      </c>
      <c r="J4" s="76">
        <f t="shared" si="2"/>
        <v>461000</v>
      </c>
      <c r="K4" s="77">
        <f>J4*'Inflation Rates by Year'!$C$2</f>
        <v>521280.36</v>
      </c>
      <c r="L4" s="78">
        <f t="shared" si="3"/>
        <v>24.822874285714285</v>
      </c>
    </row>
    <row r="5" spans="1:12" ht="15" customHeight="1">
      <c r="A5" s="74" t="s">
        <v>300</v>
      </c>
      <c r="B5" s="2">
        <v>4</v>
      </c>
      <c r="C5" s="74" t="s">
        <v>168</v>
      </c>
      <c r="D5" s="74" t="s">
        <v>301</v>
      </c>
      <c r="E5" s="75">
        <v>1200000</v>
      </c>
      <c r="F5" s="63">
        <f t="shared" si="4"/>
        <v>2000</v>
      </c>
      <c r="G5" s="63">
        <f t="shared" si="0"/>
        <v>0.53909263970080368</v>
      </c>
      <c r="H5" s="63">
        <f t="shared" si="5"/>
        <v>0.44287136842815805</v>
      </c>
      <c r="I5" s="76" t="str">
        <f t="shared" si="1"/>
        <v xml:space="preserve">23000 </v>
      </c>
      <c r="J5" s="76">
        <f t="shared" si="2"/>
        <v>1200000</v>
      </c>
      <c r="K5" s="77">
        <f>J5*'Inflation Rates by Year'!$C$2</f>
        <v>1356912</v>
      </c>
      <c r="L5" s="78">
        <f t="shared" si="3"/>
        <v>58.996173913043478</v>
      </c>
    </row>
    <row r="6" spans="1:12" ht="15" customHeight="1">
      <c r="A6" s="74" t="s">
        <v>302</v>
      </c>
      <c r="B6" s="2">
        <v>5</v>
      </c>
      <c r="C6" s="74" t="s">
        <v>168</v>
      </c>
      <c r="D6" s="74" t="s">
        <v>303</v>
      </c>
      <c r="E6" s="75">
        <v>2000000</v>
      </c>
      <c r="F6" s="63">
        <f t="shared" si="4"/>
        <v>5217</v>
      </c>
      <c r="G6" s="63">
        <f t="shared" si="0"/>
        <v>1.4062231506595462</v>
      </c>
      <c r="H6" s="63">
        <f t="shared" si="5"/>
        <v>1.0718670686095539</v>
      </c>
      <c r="I6" s="76" t="str">
        <f t="shared" si="1"/>
        <v xml:space="preserve">28217 </v>
      </c>
      <c r="J6" s="76">
        <f t="shared" si="2"/>
        <v>2000000</v>
      </c>
      <c r="K6" s="77">
        <f>J6*'Inflation Rates by Year'!$C$2</f>
        <v>2261520</v>
      </c>
      <c r="L6" s="78">
        <f t="shared" si="3"/>
        <v>80.147428854945602</v>
      </c>
    </row>
    <row r="7" spans="1:12" ht="15" customHeight="1">
      <c r="A7" s="74" t="s">
        <v>304</v>
      </c>
      <c r="B7" s="2">
        <v>6</v>
      </c>
      <c r="C7" s="74" t="s">
        <v>168</v>
      </c>
      <c r="D7" s="74" t="s">
        <v>305</v>
      </c>
      <c r="E7" s="75">
        <v>1800000</v>
      </c>
      <c r="F7" s="63">
        <f t="shared" si="4"/>
        <v>20455</v>
      </c>
      <c r="G7" s="63">
        <f t="shared" si="0"/>
        <v>5.5135699725399689</v>
      </c>
      <c r="H7" s="63">
        <f t="shared" si="5"/>
        <v>3.4568243695245222</v>
      </c>
      <c r="I7" s="76" t="str">
        <f t="shared" si="1"/>
        <v xml:space="preserve">48672 </v>
      </c>
      <c r="J7" s="76">
        <f t="shared" si="2"/>
        <v>1800000</v>
      </c>
      <c r="K7" s="77">
        <f>J7*'Inflation Rates by Year'!$C$2</f>
        <v>2035368</v>
      </c>
      <c r="L7" s="78">
        <f t="shared" si="3"/>
        <v>41.818047337278109</v>
      </c>
    </row>
    <row r="8" spans="1:12" ht="15" customHeight="1">
      <c r="A8" s="74" t="s">
        <v>306</v>
      </c>
      <c r="B8" s="2">
        <v>7</v>
      </c>
      <c r="C8" s="74" t="s">
        <v>168</v>
      </c>
      <c r="D8" s="74" t="s">
        <v>307</v>
      </c>
      <c r="E8" s="75">
        <v>3200000</v>
      </c>
      <c r="F8" s="63">
        <f t="shared" si="4"/>
        <v>3310</v>
      </c>
      <c r="G8" s="63">
        <f t="shared" si="0"/>
        <v>0.89219831870483002</v>
      </c>
      <c r="H8" s="63">
        <f t="shared" si="5"/>
        <v>0.48454364501577651</v>
      </c>
      <c r="I8" s="76" t="str">
        <f t="shared" si="1"/>
        <v xml:space="preserve">51982 </v>
      </c>
      <c r="J8" s="76">
        <f t="shared" si="2"/>
        <v>3200000</v>
      </c>
      <c r="K8" s="77">
        <f>J8*'Inflation Rates by Year'!$C$2</f>
        <v>3618432</v>
      </c>
      <c r="L8" s="78">
        <f t="shared" si="3"/>
        <v>69.609326305259515</v>
      </c>
    </row>
    <row r="9" spans="1:12" ht="15" customHeight="1">
      <c r="A9" s="74" t="s">
        <v>308</v>
      </c>
      <c r="B9" s="2">
        <v>8</v>
      </c>
      <c r="C9" s="74" t="s">
        <v>168</v>
      </c>
      <c r="D9" s="74" t="s">
        <v>309</v>
      </c>
      <c r="E9" s="75">
        <v>4100000</v>
      </c>
      <c r="F9" s="63">
        <f t="shared" si="4"/>
        <v>2039</v>
      </c>
      <c r="G9" s="63">
        <f t="shared" si="0"/>
        <v>0.54960494617496936</v>
      </c>
      <c r="H9" s="63">
        <f t="shared" si="5"/>
        <v>0.29083048876026291</v>
      </c>
      <c r="I9" s="76" t="str">
        <f t="shared" si="1"/>
        <v xml:space="preserve">54021 </v>
      </c>
      <c r="J9" s="76">
        <f t="shared" si="2"/>
        <v>4100000</v>
      </c>
      <c r="K9" s="77">
        <f>J9*'Inflation Rates by Year'!$C$2</f>
        <v>4636116</v>
      </c>
      <c r="L9" s="78">
        <f t="shared" si="3"/>
        <v>85.820625312378525</v>
      </c>
    </row>
    <row r="10" spans="1:12" ht="15" customHeight="1">
      <c r="A10" s="74" t="s">
        <v>310</v>
      </c>
      <c r="B10" s="2">
        <v>9</v>
      </c>
      <c r="C10" s="74" t="s">
        <v>168</v>
      </c>
      <c r="D10" s="74" t="s">
        <v>311</v>
      </c>
      <c r="E10" s="75">
        <v>4900000</v>
      </c>
      <c r="F10" s="63">
        <f t="shared" si="4"/>
        <v>1151</v>
      </c>
      <c r="G10" s="63">
        <f t="shared" si="0"/>
        <v>0.3102478141478125</v>
      </c>
      <c r="H10" s="63">
        <f t="shared" si="5"/>
        <v>0.16175050811547881</v>
      </c>
      <c r="I10" s="76" t="str">
        <f t="shared" si="1"/>
        <v xml:space="preserve">55172 </v>
      </c>
      <c r="J10" s="76">
        <f t="shared" si="2"/>
        <v>4900000</v>
      </c>
      <c r="K10" s="77">
        <f>J10*'Inflation Rates by Year'!$C$2</f>
        <v>5540724</v>
      </c>
      <c r="L10" s="78">
        <f t="shared" si="3"/>
        <v>100.42637569781773</v>
      </c>
    </row>
    <row r="11" spans="1:12" ht="15" customHeight="1">
      <c r="A11" s="74" t="s">
        <v>312</v>
      </c>
      <c r="B11" s="2">
        <v>10</v>
      </c>
      <c r="C11" s="74" t="s">
        <v>168</v>
      </c>
      <c r="D11" s="74" t="s">
        <v>313</v>
      </c>
      <c r="E11" s="75">
        <v>5600000</v>
      </c>
      <c r="F11" s="63">
        <f t="shared" si="4"/>
        <v>27</v>
      </c>
      <c r="G11" s="63">
        <f t="shared" si="0"/>
        <v>7.2777506359608495E-3</v>
      </c>
      <c r="H11" s="63">
        <f t="shared" si="5"/>
        <v>3.7739659331312162E-3</v>
      </c>
      <c r="I11" s="76" t="str">
        <f t="shared" si="1"/>
        <v xml:space="preserve">55199 </v>
      </c>
      <c r="J11" s="76">
        <f t="shared" si="2"/>
        <v>5600000</v>
      </c>
      <c r="K11" s="77">
        <f>J11*'Inflation Rates by Year'!$C$2</f>
        <v>6332256</v>
      </c>
      <c r="L11" s="78">
        <f t="shared" si="3"/>
        <v>114.71686081269588</v>
      </c>
    </row>
    <row r="12" spans="1:12" ht="15" customHeight="1">
      <c r="A12" s="74" t="s">
        <v>314</v>
      </c>
      <c r="B12" s="2">
        <v>11</v>
      </c>
      <c r="C12" s="74" t="s">
        <v>168</v>
      </c>
      <c r="D12" s="74" t="s">
        <v>315</v>
      </c>
      <c r="E12" s="75">
        <v>6400000</v>
      </c>
      <c r="F12" s="63">
        <f t="shared" si="4"/>
        <v>732</v>
      </c>
      <c r="G12" s="63">
        <f t="shared" si="0"/>
        <v>0.19730790613049412</v>
      </c>
      <c r="H12" s="63">
        <f t="shared" si="5"/>
        <v>0.10196696105686061</v>
      </c>
      <c r="I12" s="76" t="str">
        <f t="shared" si="1"/>
        <v xml:space="preserve">55931 </v>
      </c>
      <c r="J12" s="76">
        <f t="shared" si="2"/>
        <v>6400000</v>
      </c>
      <c r="K12" s="77">
        <f>J12*'Inflation Rates by Year'!$C$2</f>
        <v>7236864</v>
      </c>
      <c r="L12" s="78">
        <f t="shared" si="3"/>
        <v>129.38914019059197</v>
      </c>
    </row>
    <row r="13" spans="1:12" ht="15" customHeight="1">
      <c r="A13" s="74" t="s">
        <v>316</v>
      </c>
      <c r="B13" s="2">
        <v>12</v>
      </c>
      <c r="C13" s="74" t="s">
        <v>168</v>
      </c>
      <c r="D13" s="74" t="s">
        <v>317</v>
      </c>
      <c r="E13" s="75">
        <v>7200000</v>
      </c>
      <c r="F13" s="63">
        <f t="shared" si="4"/>
        <v>47</v>
      </c>
      <c r="G13" s="63">
        <f t="shared" si="0"/>
        <v>1.2668677032968886E-2</v>
      </c>
      <c r="H13" s="63">
        <f t="shared" si="5"/>
        <v>6.5241968598578693E-3</v>
      </c>
      <c r="I13" s="76" t="str">
        <f t="shared" si="1"/>
        <v xml:space="preserve">55978 </v>
      </c>
      <c r="J13" s="76">
        <f t="shared" si="2"/>
        <v>7200000</v>
      </c>
      <c r="K13" s="77">
        <f>J13*'Inflation Rates by Year'!$C$2</f>
        <v>8141472</v>
      </c>
      <c r="L13" s="78">
        <f t="shared" si="3"/>
        <v>145.44056593661796</v>
      </c>
    </row>
    <row r="14" spans="1:12" ht="15" customHeight="1">
      <c r="A14" s="74" t="s">
        <v>318</v>
      </c>
      <c r="B14" s="2">
        <v>13</v>
      </c>
      <c r="C14" s="74" t="s">
        <v>168</v>
      </c>
      <c r="D14" s="74" t="s">
        <v>319</v>
      </c>
      <c r="E14" s="75">
        <v>7900000</v>
      </c>
      <c r="F14" s="63">
        <f t="shared" si="4"/>
        <v>3085</v>
      </c>
      <c r="G14" s="63">
        <f t="shared" si="0"/>
        <v>0.83155039673848963</v>
      </c>
      <c r="H14" s="63">
        <f t="shared" si="5"/>
        <v>0.42240552564416495</v>
      </c>
      <c r="I14" s="76" t="str">
        <f t="shared" si="1"/>
        <v xml:space="preserve">59063 </v>
      </c>
      <c r="J14" s="76">
        <f t="shared" si="2"/>
        <v>7900000</v>
      </c>
      <c r="K14" s="77">
        <f>J14*'Inflation Rates by Year'!$C$2</f>
        <v>8933004</v>
      </c>
      <c r="L14" s="78">
        <f t="shared" si="3"/>
        <v>151.24534818752858</v>
      </c>
    </row>
    <row r="15" spans="1:12" ht="15" customHeight="1">
      <c r="A15" s="74" t="s">
        <v>320</v>
      </c>
      <c r="B15" s="2">
        <v>14</v>
      </c>
      <c r="C15" s="74" t="s">
        <v>168</v>
      </c>
      <c r="D15" s="74" t="s">
        <v>321</v>
      </c>
      <c r="E15" s="75">
        <v>8600000</v>
      </c>
      <c r="F15" s="63">
        <f t="shared" si="4"/>
        <v>2</v>
      </c>
      <c r="G15" s="63">
        <f t="shared" si="0"/>
        <v>5.3909263970080363E-4</v>
      </c>
      <c r="H15" s="63">
        <f t="shared" si="5"/>
        <v>2.7021861706273361E-4</v>
      </c>
      <c r="I15" s="76" t="str">
        <f t="shared" si="1"/>
        <v xml:space="preserve">59065 </v>
      </c>
      <c r="J15" s="76">
        <f t="shared" si="2"/>
        <v>8600000</v>
      </c>
      <c r="K15" s="77">
        <f>J15*'Inflation Rates by Year'!$C$2</f>
        <v>9724536</v>
      </c>
      <c r="L15" s="78">
        <f t="shared" si="3"/>
        <v>164.64125962922205</v>
      </c>
    </row>
    <row r="16" spans="1:12" ht="15" customHeight="1">
      <c r="A16" s="74" t="s">
        <v>322</v>
      </c>
      <c r="B16" s="2">
        <v>15</v>
      </c>
      <c r="C16" s="74" t="s">
        <v>168</v>
      </c>
      <c r="D16" s="74" t="s">
        <v>323</v>
      </c>
      <c r="E16" s="75">
        <v>9200000</v>
      </c>
      <c r="F16" s="63">
        <f t="shared" si="4"/>
        <v>11</v>
      </c>
      <c r="G16" s="63">
        <f t="shared" si="0"/>
        <v>2.9650095183544199E-3</v>
      </c>
      <c r="H16" s="63">
        <f t="shared" si="5"/>
        <v>1.4861206237826859E-3</v>
      </c>
      <c r="I16" s="76" t="str">
        <f t="shared" si="1"/>
        <v xml:space="preserve">59076 </v>
      </c>
      <c r="J16" s="76">
        <f t="shared" si="2"/>
        <v>9200000</v>
      </c>
      <c r="K16" s="77">
        <f>J16*'Inflation Rates by Year'!$C$2</f>
        <v>10402992</v>
      </c>
      <c r="L16" s="78">
        <f t="shared" si="3"/>
        <v>176.09506398537476</v>
      </c>
    </row>
    <row r="17" spans="1:26" ht="15" customHeight="1">
      <c r="A17" s="68" t="s">
        <v>324</v>
      </c>
      <c r="B17" s="69">
        <v>16</v>
      </c>
      <c r="C17" s="68" t="s">
        <v>168</v>
      </c>
      <c r="D17" s="68" t="s">
        <v>325</v>
      </c>
      <c r="E17" s="70">
        <v>9700000</v>
      </c>
      <c r="F17" s="71">
        <f t="shared" si="4"/>
        <v>283</v>
      </c>
      <c r="G17" s="63">
        <f t="shared" si="0"/>
        <v>7.6281608517663718E-2</v>
      </c>
      <c r="H17" s="63">
        <f t="shared" si="5"/>
        <v>3.8186372980123888E-2</v>
      </c>
      <c r="I17" s="72" t="str">
        <f t="shared" si="1"/>
        <v xml:space="preserve">59359 </v>
      </c>
      <c r="J17" s="72">
        <f t="shared" si="2"/>
        <v>9700000</v>
      </c>
      <c r="K17" s="73">
        <f>J17*'Inflation Rates by Year'!$C$2</f>
        <v>10968372</v>
      </c>
      <c r="L17" s="73">
        <f t="shared" si="3"/>
        <v>184.78026920938694</v>
      </c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5" customHeight="1">
      <c r="A18" s="74" t="s">
        <v>326</v>
      </c>
      <c r="B18" s="2">
        <v>17</v>
      </c>
      <c r="C18" s="74" t="s">
        <v>168</v>
      </c>
      <c r="D18" s="74" t="s">
        <v>325</v>
      </c>
      <c r="E18" s="75">
        <v>10100000</v>
      </c>
      <c r="F18" s="63">
        <f t="shared" si="4"/>
        <v>0</v>
      </c>
      <c r="G18" s="63">
        <f t="shared" si="0"/>
        <v>0</v>
      </c>
      <c r="H18" s="63">
        <f>$B$9/SQRT($I$9)*(SQRT(I18)-SQRT(I17))</f>
        <v>0</v>
      </c>
      <c r="I18" s="76" t="str">
        <f t="shared" si="1"/>
        <v xml:space="preserve">59359 </v>
      </c>
      <c r="J18" s="76">
        <f t="shared" si="2"/>
        <v>10100000</v>
      </c>
      <c r="K18" s="77">
        <f>J18*'Inflation Rates by Year'!$C$2</f>
        <v>11420676</v>
      </c>
      <c r="L18" s="78">
        <f t="shared" si="3"/>
        <v>192.40007412523795</v>
      </c>
    </row>
    <row r="19" spans="1:26" ht="15" customHeight="1">
      <c r="A19" s="74" t="s">
        <v>327</v>
      </c>
      <c r="B19" s="2">
        <v>18</v>
      </c>
      <c r="C19" s="74" t="s">
        <v>168</v>
      </c>
      <c r="D19" s="74" t="s">
        <v>325</v>
      </c>
      <c r="E19" s="75">
        <v>10600000</v>
      </c>
      <c r="F19" s="63">
        <f t="shared" si="4"/>
        <v>0</v>
      </c>
      <c r="G19" s="63">
        <f t="shared" si="0"/>
        <v>0</v>
      </c>
      <c r="H19" s="63">
        <f>$B$9/SQRT($I$9)*(SQRT(I19)-SQRT(I18))</f>
        <v>0</v>
      </c>
      <c r="I19" s="76" t="str">
        <f t="shared" si="1"/>
        <v xml:space="preserve">59359 </v>
      </c>
      <c r="J19" s="76">
        <f t="shared" si="2"/>
        <v>10600000</v>
      </c>
      <c r="K19" s="77">
        <f>J19*'Inflation Rates by Year'!$C$2</f>
        <v>11986056</v>
      </c>
      <c r="L19" s="78">
        <f t="shared" si="3"/>
        <v>201.92483027005173</v>
      </c>
    </row>
    <row r="20" spans="1:26" ht="15" customHeight="1">
      <c r="A20" s="74" t="s">
        <v>328</v>
      </c>
      <c r="B20" s="2">
        <v>19</v>
      </c>
      <c r="C20" s="74" t="s">
        <v>168</v>
      </c>
      <c r="D20" s="74" t="s">
        <v>325</v>
      </c>
      <c r="E20" s="75">
        <v>12500000</v>
      </c>
      <c r="F20" s="63">
        <f t="shared" si="4"/>
        <v>0</v>
      </c>
      <c r="G20" s="63">
        <f t="shared" si="0"/>
        <v>0</v>
      </c>
      <c r="H20" s="63">
        <f>$B$9/SQRT($I$9)*(SQRT(I20)-SQRT(I19))</f>
        <v>0</v>
      </c>
      <c r="I20" s="76" t="str">
        <f t="shared" si="1"/>
        <v xml:space="preserve">59359 </v>
      </c>
      <c r="J20" s="76">
        <f t="shared" si="2"/>
        <v>12500000</v>
      </c>
      <c r="K20" s="77">
        <f>J20*'Inflation Rates by Year'!$C$2</f>
        <v>14134500</v>
      </c>
      <c r="L20" s="78">
        <f t="shared" si="3"/>
        <v>238.11890362034401</v>
      </c>
    </row>
    <row r="21" spans="1:26" ht="14.5">
      <c r="A21" s="74" t="s">
        <v>329</v>
      </c>
      <c r="B21" s="2">
        <v>20</v>
      </c>
      <c r="C21" s="74" t="s">
        <v>168</v>
      </c>
      <c r="D21" s="74" t="s">
        <v>325</v>
      </c>
      <c r="E21" s="75">
        <v>12500000</v>
      </c>
      <c r="F21" s="63">
        <f t="shared" si="4"/>
        <v>0</v>
      </c>
      <c r="G21" s="63">
        <f t="shared" si="0"/>
        <v>0</v>
      </c>
      <c r="H21" s="63">
        <f>$B$9/SQRT($I$9)*(SQRT(I21)-SQRT(I20))</f>
        <v>0</v>
      </c>
      <c r="I21" s="76" t="str">
        <f t="shared" si="1"/>
        <v xml:space="preserve">59359 </v>
      </c>
      <c r="J21" s="76">
        <f t="shared" si="2"/>
        <v>12500000</v>
      </c>
      <c r="K21" s="77">
        <f>J21*'Inflation Rates by Year'!$C$2</f>
        <v>14134500</v>
      </c>
      <c r="L21" s="78">
        <f t="shared" si="3"/>
        <v>238.11890362034401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37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0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74" t="s">
        <v>330</v>
      </c>
      <c r="B2" s="2">
        <v>1</v>
      </c>
      <c r="C2" s="74" t="s">
        <v>331</v>
      </c>
      <c r="D2" s="74" t="s">
        <v>332</v>
      </c>
      <c r="E2" s="75">
        <v>75000</v>
      </c>
      <c r="F2" s="63">
        <f>I2-0</f>
        <v>350</v>
      </c>
      <c r="G2" s="63">
        <f t="shared" ref="G2:G37" si="0">$B$29/$I$29*(F2)</f>
        <v>0.21235102925243771</v>
      </c>
      <c r="H2" s="63">
        <f>$B$29/SQRT($I$29)*(SQRT(I2)-SQRT(0))</f>
        <v>2.4384070248972498</v>
      </c>
      <c r="I2" s="76" t="str">
        <f t="shared" ref="I2:I37" si="1">D2</f>
        <v xml:space="preserve">350 </v>
      </c>
      <c r="J2" s="76">
        <f t="shared" ref="J2:J37" si="2">E2</f>
        <v>75000</v>
      </c>
      <c r="K2" s="77">
        <f>J2*'Inflation Rates by Year'!$F$2</f>
        <v>89466.396991488014</v>
      </c>
      <c r="L2" s="78">
        <f t="shared" ref="L2:L37" si="3">K2/I2</f>
        <v>255.61827711853718</v>
      </c>
    </row>
    <row r="3" spans="1:12" ht="15" customHeight="1">
      <c r="A3" s="74" t="s">
        <v>333</v>
      </c>
      <c r="B3" s="2">
        <v>2</v>
      </c>
      <c r="C3" s="74" t="s">
        <v>331</v>
      </c>
      <c r="D3" s="74" t="s">
        <v>334</v>
      </c>
      <c r="E3" s="75">
        <v>120000</v>
      </c>
      <c r="F3" s="63">
        <f t="shared" ref="F3:F37" si="4">I3-I2</f>
        <v>-70</v>
      </c>
      <c r="G3" s="63">
        <f t="shared" si="0"/>
        <v>-4.2470205850487545E-2</v>
      </c>
      <c r="H3" s="63">
        <f t="shared" ref="H3:H37" si="5">$B$29/SQRT($I$29)*(SQRT(I3)-SQRT(I2))</f>
        <v>-0.25742947910394076</v>
      </c>
      <c r="I3" s="76" t="str">
        <f t="shared" si="1"/>
        <v xml:space="preserve">280 </v>
      </c>
      <c r="J3" s="76">
        <f t="shared" si="2"/>
        <v>120000</v>
      </c>
      <c r="K3" s="77">
        <f>J3*'Inflation Rates by Year'!$F$2</f>
        <v>143146.23518638083</v>
      </c>
      <c r="L3" s="78">
        <f t="shared" si="3"/>
        <v>511.23655423707442</v>
      </c>
    </row>
    <row r="4" spans="1:12" ht="15" customHeight="1">
      <c r="A4" s="74" t="s">
        <v>335</v>
      </c>
      <c r="B4" s="2">
        <v>3</v>
      </c>
      <c r="C4" s="74" t="s">
        <v>331</v>
      </c>
      <c r="D4" s="74" t="s">
        <v>336</v>
      </c>
      <c r="E4" s="75">
        <v>300000</v>
      </c>
      <c r="F4" s="63">
        <f t="shared" si="4"/>
        <v>1750</v>
      </c>
      <c r="G4" s="63">
        <f t="shared" si="0"/>
        <v>1.0617551462621886</v>
      </c>
      <c r="H4" s="63">
        <f t="shared" si="5"/>
        <v>3.691484216585045</v>
      </c>
      <c r="I4" s="76" t="str">
        <f t="shared" si="1"/>
        <v xml:space="preserve">2030 </v>
      </c>
      <c r="J4" s="76">
        <f t="shared" si="2"/>
        <v>300000</v>
      </c>
      <c r="K4" s="77">
        <f>J4*'Inflation Rates by Year'!$F$2</f>
        <v>357865.58796595206</v>
      </c>
      <c r="L4" s="78">
        <f t="shared" si="3"/>
        <v>176.2884669783015</v>
      </c>
    </row>
    <row r="5" spans="1:12" ht="15" customHeight="1">
      <c r="A5" s="74" t="s">
        <v>337</v>
      </c>
      <c r="B5" s="2">
        <v>4</v>
      </c>
      <c r="C5" s="74" t="s">
        <v>331</v>
      </c>
      <c r="D5" s="74" t="s">
        <v>338</v>
      </c>
      <c r="E5" s="75">
        <v>1000000</v>
      </c>
      <c r="F5" s="63">
        <f t="shared" si="4"/>
        <v>1795</v>
      </c>
      <c r="G5" s="63">
        <f t="shared" si="0"/>
        <v>1.0890574214517876</v>
      </c>
      <c r="H5" s="63">
        <f t="shared" si="5"/>
        <v>2.1885192542998233</v>
      </c>
      <c r="I5" s="76" t="str">
        <f t="shared" si="1"/>
        <v xml:space="preserve">3825 </v>
      </c>
      <c r="J5" s="76">
        <f t="shared" si="2"/>
        <v>1000000</v>
      </c>
      <c r="K5" s="77">
        <f>J5*'Inflation Rates by Year'!$F$2</f>
        <v>1192885.2932198402</v>
      </c>
      <c r="L5" s="78">
        <f t="shared" si="3"/>
        <v>311.8654361359059</v>
      </c>
    </row>
    <row r="6" spans="1:12" ht="15" customHeight="1">
      <c r="A6" s="74" t="s">
        <v>339</v>
      </c>
      <c r="B6" s="2">
        <v>5</v>
      </c>
      <c r="C6" s="74" t="s">
        <v>331</v>
      </c>
      <c r="D6" s="74" t="s">
        <v>340</v>
      </c>
      <c r="E6" s="75">
        <v>2200000</v>
      </c>
      <c r="F6" s="63">
        <f t="shared" si="4"/>
        <v>1864</v>
      </c>
      <c r="G6" s="63">
        <f t="shared" si="0"/>
        <v>1.1309209100758397</v>
      </c>
      <c r="H6" s="63">
        <f t="shared" si="5"/>
        <v>1.769848065010174</v>
      </c>
      <c r="I6" s="76" t="str">
        <f t="shared" si="1"/>
        <v xml:space="preserve">5689 </v>
      </c>
      <c r="J6" s="76">
        <f t="shared" si="2"/>
        <v>2200000</v>
      </c>
      <c r="K6" s="77">
        <f>J6*'Inflation Rates by Year'!$F$2</f>
        <v>2624347.6450836482</v>
      </c>
      <c r="L6" s="78">
        <f t="shared" si="3"/>
        <v>461.30209968072563</v>
      </c>
    </row>
    <row r="7" spans="1:12" ht="15" customHeight="1">
      <c r="A7" s="74" t="s">
        <v>339</v>
      </c>
      <c r="B7" s="2">
        <v>6</v>
      </c>
      <c r="C7" s="74" t="s">
        <v>331</v>
      </c>
      <c r="D7" s="74" t="s">
        <v>341</v>
      </c>
      <c r="E7" s="75">
        <v>3000000</v>
      </c>
      <c r="F7" s="63">
        <f t="shared" si="4"/>
        <v>4</v>
      </c>
      <c r="G7" s="63">
        <f t="shared" si="0"/>
        <v>2.4268689057421453E-3</v>
      </c>
      <c r="H7" s="63">
        <f t="shared" si="5"/>
        <v>3.4554760580965049E-3</v>
      </c>
      <c r="I7" s="76" t="str">
        <f t="shared" si="1"/>
        <v xml:space="preserve">5693 </v>
      </c>
      <c r="J7" s="76">
        <f t="shared" si="2"/>
        <v>3000000</v>
      </c>
      <c r="K7" s="77">
        <f>J7*'Inflation Rates by Year'!$F$2</f>
        <v>3578655.8796595205</v>
      </c>
      <c r="L7" s="78">
        <f t="shared" si="3"/>
        <v>628.60633754778155</v>
      </c>
    </row>
    <row r="8" spans="1:12" ht="15" customHeight="1">
      <c r="A8" s="74" t="s">
        <v>342</v>
      </c>
      <c r="B8" s="2">
        <v>7</v>
      </c>
      <c r="C8" s="74" t="s">
        <v>331</v>
      </c>
      <c r="D8" s="74" t="s">
        <v>343</v>
      </c>
      <c r="E8" s="75">
        <v>3500000</v>
      </c>
      <c r="F8" s="63">
        <f t="shared" si="4"/>
        <v>1957</v>
      </c>
      <c r="G8" s="63">
        <f t="shared" si="0"/>
        <v>1.1873456121343446</v>
      </c>
      <c r="H8" s="63">
        <f t="shared" si="5"/>
        <v>1.5656641220718914</v>
      </c>
      <c r="I8" s="76" t="str">
        <f t="shared" si="1"/>
        <v xml:space="preserve">7650 </v>
      </c>
      <c r="J8" s="76">
        <f t="shared" si="2"/>
        <v>3500000</v>
      </c>
      <c r="K8" s="77">
        <f>J8*'Inflation Rates by Year'!$F$2</f>
        <v>4175098.5262694405</v>
      </c>
      <c r="L8" s="78">
        <f t="shared" si="3"/>
        <v>545.76451323783533</v>
      </c>
    </row>
    <row r="9" spans="1:12" ht="15" customHeight="1">
      <c r="A9" s="74" t="s">
        <v>344</v>
      </c>
      <c r="B9" s="2">
        <v>8</v>
      </c>
      <c r="C9" s="74" t="s">
        <v>331</v>
      </c>
      <c r="D9" s="74" t="s">
        <v>345</v>
      </c>
      <c r="E9" s="75">
        <v>4250000</v>
      </c>
      <c r="F9" s="63">
        <f t="shared" si="4"/>
        <v>3385</v>
      </c>
      <c r="G9" s="63">
        <f t="shared" si="0"/>
        <v>2.0537378114842904</v>
      </c>
      <c r="H9" s="63">
        <f t="shared" si="5"/>
        <v>2.2917819859540498</v>
      </c>
      <c r="I9" s="76" t="str">
        <f t="shared" si="1"/>
        <v xml:space="preserve">11035 </v>
      </c>
      <c r="J9" s="76">
        <f t="shared" si="2"/>
        <v>4250000</v>
      </c>
      <c r="K9" s="77">
        <f>J9*'Inflation Rates by Year'!$F$2</f>
        <v>5069762.4961843211</v>
      </c>
      <c r="L9" s="78">
        <f t="shared" si="3"/>
        <v>459.42569063745549</v>
      </c>
    </row>
    <row r="10" spans="1:12" ht="15" customHeight="1">
      <c r="A10" s="74" t="s">
        <v>346</v>
      </c>
      <c r="B10" s="2">
        <v>9</v>
      </c>
      <c r="C10" s="74" t="s">
        <v>331</v>
      </c>
      <c r="D10" s="74" t="s">
        <v>347</v>
      </c>
      <c r="E10" s="75">
        <v>5400000</v>
      </c>
      <c r="F10" s="63">
        <f t="shared" si="4"/>
        <v>1515</v>
      </c>
      <c r="G10" s="63">
        <f t="shared" si="0"/>
        <v>0.91917659804983753</v>
      </c>
      <c r="H10" s="63">
        <f t="shared" si="5"/>
        <v>0.90965397300236894</v>
      </c>
      <c r="I10" s="76" t="str">
        <f t="shared" si="1"/>
        <v xml:space="preserve">12550 </v>
      </c>
      <c r="J10" s="76">
        <f t="shared" si="2"/>
        <v>5400000</v>
      </c>
      <c r="K10" s="77">
        <f>J10*'Inflation Rates by Year'!$F$2</f>
        <v>6441580.5833871365</v>
      </c>
      <c r="L10" s="78">
        <f t="shared" si="3"/>
        <v>513.27335325793911</v>
      </c>
    </row>
    <row r="11" spans="1:12" ht="15" customHeight="1">
      <c r="A11" s="74" t="s">
        <v>346</v>
      </c>
      <c r="B11" s="2">
        <v>10</v>
      </c>
      <c r="C11" s="74" t="s">
        <v>331</v>
      </c>
      <c r="D11" s="74" t="s">
        <v>348</v>
      </c>
      <c r="E11" s="75">
        <v>7500000</v>
      </c>
      <c r="F11" s="63">
        <f t="shared" si="4"/>
        <v>509</v>
      </c>
      <c r="G11" s="63">
        <f t="shared" si="0"/>
        <v>0.308819068255688</v>
      </c>
      <c r="H11" s="63">
        <f t="shared" si="5"/>
        <v>0.29315688759008446</v>
      </c>
      <c r="I11" s="76" t="str">
        <f t="shared" si="1"/>
        <v xml:space="preserve">13059 </v>
      </c>
      <c r="J11" s="76">
        <f t="shared" si="2"/>
        <v>7500000</v>
      </c>
      <c r="K11" s="77">
        <f>J11*'Inflation Rates by Year'!$F$2</f>
        <v>8946639.6991488021</v>
      </c>
      <c r="L11" s="78">
        <f t="shared" si="3"/>
        <v>685.09378200082722</v>
      </c>
    </row>
    <row r="12" spans="1:12" ht="15" customHeight="1">
      <c r="A12" s="74" t="s">
        <v>349</v>
      </c>
      <c r="B12" s="2">
        <v>11</v>
      </c>
      <c r="C12" s="74" t="s">
        <v>331</v>
      </c>
      <c r="D12" s="74" t="s">
        <v>350</v>
      </c>
      <c r="E12" s="75">
        <v>8200000</v>
      </c>
      <c r="F12" s="63">
        <f t="shared" si="4"/>
        <v>1155</v>
      </c>
      <c r="G12" s="63">
        <f t="shared" si="0"/>
        <v>0.7007583965330445</v>
      </c>
      <c r="H12" s="63">
        <f t="shared" si="5"/>
        <v>0.64471850696788946</v>
      </c>
      <c r="I12" s="76" t="str">
        <f t="shared" si="1"/>
        <v xml:space="preserve">14214 </v>
      </c>
      <c r="J12" s="76">
        <f t="shared" si="2"/>
        <v>8200000</v>
      </c>
      <c r="K12" s="77">
        <f>J12*'Inflation Rates by Year'!$F$2</f>
        <v>9781659.40440269</v>
      </c>
      <c r="L12" s="78">
        <f t="shared" si="3"/>
        <v>688.1707756017089</v>
      </c>
    </row>
    <row r="13" spans="1:12" ht="15" customHeight="1">
      <c r="A13" s="74" t="s">
        <v>351</v>
      </c>
      <c r="B13" s="2">
        <v>12</v>
      </c>
      <c r="C13" s="74" t="s">
        <v>331</v>
      </c>
      <c r="D13" s="74" t="s">
        <v>352</v>
      </c>
      <c r="E13" s="75">
        <v>9600000</v>
      </c>
      <c r="F13" s="63">
        <f t="shared" si="4"/>
        <v>996</v>
      </c>
      <c r="G13" s="63">
        <f t="shared" si="0"/>
        <v>0.60429035752979421</v>
      </c>
      <c r="H13" s="63">
        <f t="shared" si="5"/>
        <v>0.53521452711142059</v>
      </c>
      <c r="I13" s="76" t="str">
        <f t="shared" si="1"/>
        <v xml:space="preserve">15210 </v>
      </c>
      <c r="J13" s="76">
        <f t="shared" si="2"/>
        <v>9600000</v>
      </c>
      <c r="K13" s="77">
        <f>J13*'Inflation Rates by Year'!$F$2</f>
        <v>11451698.814910466</v>
      </c>
      <c r="L13" s="78">
        <f t="shared" si="3"/>
        <v>752.90590499082612</v>
      </c>
    </row>
    <row r="14" spans="1:12" ht="15" customHeight="1">
      <c r="A14" s="74" t="s">
        <v>353</v>
      </c>
      <c r="B14" s="2">
        <v>13</v>
      </c>
      <c r="C14" s="74" t="s">
        <v>331</v>
      </c>
      <c r="D14" s="74" t="s">
        <v>354</v>
      </c>
      <c r="E14" s="75">
        <v>11300000</v>
      </c>
      <c r="F14" s="63">
        <f t="shared" si="4"/>
        <v>3604</v>
      </c>
      <c r="G14" s="63">
        <f t="shared" si="0"/>
        <v>2.186608884073673</v>
      </c>
      <c r="H14" s="63">
        <f t="shared" si="5"/>
        <v>1.8032708552515588</v>
      </c>
      <c r="I14" s="76" t="str">
        <f t="shared" si="1"/>
        <v xml:space="preserve">18814 </v>
      </c>
      <c r="J14" s="76">
        <f t="shared" si="2"/>
        <v>11300000</v>
      </c>
      <c r="K14" s="77">
        <f>J14*'Inflation Rates by Year'!$F$2</f>
        <v>13479603.813384194</v>
      </c>
      <c r="L14" s="78">
        <f t="shared" si="3"/>
        <v>716.4666638346016</v>
      </c>
    </row>
    <row r="15" spans="1:12" ht="15" customHeight="1">
      <c r="A15" s="74" t="s">
        <v>353</v>
      </c>
      <c r="B15" s="2">
        <v>14</v>
      </c>
      <c r="C15" s="74" t="s">
        <v>331</v>
      </c>
      <c r="D15" s="74" t="s">
        <v>355</v>
      </c>
      <c r="E15" s="75">
        <v>13200000</v>
      </c>
      <c r="F15" s="63">
        <f t="shared" si="4"/>
        <v>286</v>
      </c>
      <c r="G15" s="63">
        <f t="shared" si="0"/>
        <v>0.17352112676056339</v>
      </c>
      <c r="H15" s="63">
        <f t="shared" si="5"/>
        <v>0.13537126903502308</v>
      </c>
      <c r="I15" s="76" t="str">
        <f t="shared" si="1"/>
        <v xml:space="preserve">19100 </v>
      </c>
      <c r="J15" s="76">
        <f t="shared" si="2"/>
        <v>13200000</v>
      </c>
      <c r="K15" s="77">
        <f>J15*'Inflation Rates by Year'!$F$2</f>
        <v>15746085.870501891</v>
      </c>
      <c r="L15" s="78">
        <f t="shared" si="3"/>
        <v>824.40240159695759</v>
      </c>
    </row>
    <row r="16" spans="1:12" ht="15" customHeight="1">
      <c r="A16" s="74" t="s">
        <v>356</v>
      </c>
      <c r="B16" s="2">
        <v>15</v>
      </c>
      <c r="C16" s="74" t="s">
        <v>331</v>
      </c>
      <c r="D16" s="74" t="s">
        <v>357</v>
      </c>
      <c r="E16" s="75">
        <v>15000000</v>
      </c>
      <c r="F16" s="63">
        <f t="shared" si="4"/>
        <v>2947</v>
      </c>
      <c r="G16" s="63">
        <f t="shared" si="0"/>
        <v>1.7879956663055256</v>
      </c>
      <c r="H16" s="63">
        <f t="shared" si="5"/>
        <v>1.3398224035390227</v>
      </c>
      <c r="I16" s="76" t="str">
        <f t="shared" si="1"/>
        <v xml:space="preserve">22047 </v>
      </c>
      <c r="J16" s="76">
        <f t="shared" si="2"/>
        <v>15000000</v>
      </c>
      <c r="K16" s="77">
        <f>J16*'Inflation Rates by Year'!$F$2</f>
        <v>17893279.398297604</v>
      </c>
      <c r="L16" s="78">
        <f t="shared" si="3"/>
        <v>811.59701538974025</v>
      </c>
    </row>
    <row r="17" spans="1:26" ht="15" customHeight="1">
      <c r="A17" s="74" t="s">
        <v>358</v>
      </c>
      <c r="B17" s="2">
        <v>16</v>
      </c>
      <c r="C17" s="74" t="s">
        <v>331</v>
      </c>
      <c r="D17" s="74" t="s">
        <v>359</v>
      </c>
      <c r="E17" s="75">
        <v>16800000</v>
      </c>
      <c r="F17" s="63">
        <f t="shared" si="4"/>
        <v>1075</v>
      </c>
      <c r="G17" s="63">
        <f t="shared" si="0"/>
        <v>0.65222101841820157</v>
      </c>
      <c r="H17" s="63">
        <f t="shared" si="5"/>
        <v>0.4662041795405128</v>
      </c>
      <c r="I17" s="76" t="str">
        <f t="shared" si="1"/>
        <v xml:space="preserve">23122 </v>
      </c>
      <c r="J17" s="76">
        <f t="shared" si="2"/>
        <v>16800000</v>
      </c>
      <c r="K17" s="77">
        <f>J17*'Inflation Rates by Year'!$F$2</f>
        <v>20040472.926093314</v>
      </c>
      <c r="L17" s="78">
        <f t="shared" si="3"/>
        <v>866.72748577516279</v>
      </c>
    </row>
    <row r="18" spans="1:26" ht="15" customHeight="1">
      <c r="A18" s="74" t="s">
        <v>360</v>
      </c>
      <c r="B18" s="2">
        <v>17</v>
      </c>
      <c r="C18" s="74" t="s">
        <v>331</v>
      </c>
      <c r="D18" s="74" t="s">
        <v>361</v>
      </c>
      <c r="E18" s="75">
        <v>18600000</v>
      </c>
      <c r="F18" s="63">
        <f t="shared" si="4"/>
        <v>2022</v>
      </c>
      <c r="G18" s="63">
        <f t="shared" si="0"/>
        <v>1.2267822318526544</v>
      </c>
      <c r="H18" s="63">
        <f t="shared" si="5"/>
        <v>0.84842413529412841</v>
      </c>
      <c r="I18" s="76" t="str">
        <f t="shared" si="1"/>
        <v xml:space="preserve">25144 </v>
      </c>
      <c r="J18" s="76">
        <f t="shared" si="2"/>
        <v>18600000</v>
      </c>
      <c r="K18" s="77">
        <f>J18*'Inflation Rates by Year'!$F$2</f>
        <v>22187666.453889027</v>
      </c>
      <c r="L18" s="78">
        <f t="shared" si="3"/>
        <v>882.42389651165399</v>
      </c>
    </row>
    <row r="19" spans="1:26" ht="15" customHeight="1">
      <c r="A19" s="74" t="s">
        <v>362</v>
      </c>
      <c r="B19" s="2">
        <v>18</v>
      </c>
      <c r="C19" s="74" t="s">
        <v>331</v>
      </c>
      <c r="D19" s="74" t="s">
        <v>363</v>
      </c>
      <c r="E19" s="75">
        <v>18600000</v>
      </c>
      <c r="F19" s="63">
        <f t="shared" si="4"/>
        <v>3679</v>
      </c>
      <c r="G19" s="63">
        <f t="shared" si="0"/>
        <v>2.2321126760563383</v>
      </c>
      <c r="H19" s="63">
        <f t="shared" si="5"/>
        <v>1.4604125609917575</v>
      </c>
      <c r="I19" s="76" t="str">
        <f t="shared" si="1"/>
        <v xml:space="preserve">28823 </v>
      </c>
      <c r="J19" s="76">
        <f t="shared" si="2"/>
        <v>18600000</v>
      </c>
      <c r="K19" s="77">
        <f>J19*'Inflation Rates by Year'!$F$2</f>
        <v>22187666.453889027</v>
      </c>
      <c r="L19" s="78">
        <f t="shared" si="3"/>
        <v>769.79032210002526</v>
      </c>
    </row>
    <row r="20" spans="1:26" ht="15" customHeight="1">
      <c r="A20" s="74" t="s">
        <v>364</v>
      </c>
      <c r="B20" s="2">
        <v>19</v>
      </c>
      <c r="C20" s="74" t="s">
        <v>331</v>
      </c>
      <c r="D20" s="74" t="s">
        <v>365</v>
      </c>
      <c r="E20" s="75">
        <v>22600000</v>
      </c>
      <c r="F20" s="63">
        <f t="shared" si="4"/>
        <v>2002</v>
      </c>
      <c r="G20" s="63">
        <f t="shared" si="0"/>
        <v>1.2146478873239437</v>
      </c>
      <c r="H20" s="63">
        <f t="shared" si="5"/>
        <v>0.75558702482651574</v>
      </c>
      <c r="I20" s="76" t="str">
        <f t="shared" si="1"/>
        <v xml:space="preserve">30825 </v>
      </c>
      <c r="J20" s="76">
        <f t="shared" si="2"/>
        <v>22600000</v>
      </c>
      <c r="K20" s="77">
        <f>J20*'Inflation Rates by Year'!$F$2</f>
        <v>26959207.626768388</v>
      </c>
      <c r="L20" s="78">
        <f t="shared" si="3"/>
        <v>874.58905520740916</v>
      </c>
    </row>
    <row r="21" spans="1:26" ht="14.5">
      <c r="A21" s="74" t="s">
        <v>364</v>
      </c>
      <c r="B21" s="2">
        <v>20</v>
      </c>
      <c r="C21" s="74" t="s">
        <v>331</v>
      </c>
      <c r="D21" s="74" t="s">
        <v>365</v>
      </c>
      <c r="E21" s="75">
        <v>25000000</v>
      </c>
      <c r="F21" s="63">
        <f t="shared" si="4"/>
        <v>0</v>
      </c>
      <c r="G21" s="63">
        <f t="shared" si="0"/>
        <v>0</v>
      </c>
      <c r="H21" s="63">
        <f t="shared" si="5"/>
        <v>0</v>
      </c>
      <c r="I21" s="76" t="str">
        <f t="shared" si="1"/>
        <v xml:space="preserve">30825 </v>
      </c>
      <c r="J21" s="76">
        <f t="shared" si="2"/>
        <v>25000000</v>
      </c>
      <c r="K21" s="77">
        <f>J21*'Inflation Rates by Year'!$F$2</f>
        <v>29822132.330496006</v>
      </c>
      <c r="L21" s="78">
        <f t="shared" si="3"/>
        <v>967.46576903474477</v>
      </c>
    </row>
    <row r="22" spans="1:26" ht="14.5">
      <c r="A22" s="74" t="s">
        <v>366</v>
      </c>
      <c r="B22" s="2">
        <v>21</v>
      </c>
      <c r="C22" s="74" t="s">
        <v>331</v>
      </c>
      <c r="D22" s="74" t="s">
        <v>367</v>
      </c>
      <c r="E22" s="75">
        <v>27600000</v>
      </c>
      <c r="F22" s="63">
        <f t="shared" si="4"/>
        <v>2219</v>
      </c>
      <c r="G22" s="63">
        <f t="shared" si="0"/>
        <v>1.3463055254604552</v>
      </c>
      <c r="H22" s="63">
        <f t="shared" si="5"/>
        <v>0.80934741284318945</v>
      </c>
      <c r="I22" s="76" t="str">
        <f t="shared" si="1"/>
        <v xml:space="preserve">33044 </v>
      </c>
      <c r="J22" s="76">
        <f t="shared" si="2"/>
        <v>27600000</v>
      </c>
      <c r="K22" s="77">
        <f>J22*'Inflation Rates by Year'!$F$2</f>
        <v>32923634.092867587</v>
      </c>
      <c r="L22" s="78">
        <f t="shared" si="3"/>
        <v>996.35740506196544</v>
      </c>
    </row>
    <row r="23" spans="1:26" ht="14.5">
      <c r="A23" s="74" t="s">
        <v>368</v>
      </c>
      <c r="B23" s="2">
        <v>22</v>
      </c>
      <c r="C23" s="74" t="s">
        <v>331</v>
      </c>
      <c r="D23" s="74" t="s">
        <v>369</v>
      </c>
      <c r="E23" s="75">
        <v>31100000</v>
      </c>
      <c r="F23" s="63">
        <f t="shared" si="4"/>
        <v>1732</v>
      </c>
      <c r="G23" s="63">
        <f t="shared" si="0"/>
        <v>1.050834236186349</v>
      </c>
      <c r="H23" s="63">
        <f t="shared" si="5"/>
        <v>0.61300157485641149</v>
      </c>
      <c r="I23" s="76" t="str">
        <f t="shared" si="1"/>
        <v xml:space="preserve">34776 </v>
      </c>
      <c r="J23" s="76">
        <f t="shared" si="2"/>
        <v>31100000</v>
      </c>
      <c r="K23" s="77">
        <f>J23*'Inflation Rates by Year'!$F$2</f>
        <v>37098732.619137026</v>
      </c>
      <c r="L23" s="78">
        <f t="shared" si="3"/>
        <v>1066.7912531382858</v>
      </c>
    </row>
    <row r="24" spans="1:26" ht="14.5">
      <c r="A24" s="74" t="s">
        <v>370</v>
      </c>
      <c r="B24" s="2">
        <v>23</v>
      </c>
      <c r="C24" s="74" t="s">
        <v>331</v>
      </c>
      <c r="D24" s="74" t="s">
        <v>371</v>
      </c>
      <c r="E24" s="75">
        <v>34600000</v>
      </c>
      <c r="F24" s="63">
        <f t="shared" si="4"/>
        <v>1307</v>
      </c>
      <c r="G24" s="63">
        <f t="shared" si="0"/>
        <v>0.79297941495124602</v>
      </c>
      <c r="H24" s="63">
        <f t="shared" si="5"/>
        <v>0.45253662206120931</v>
      </c>
      <c r="I24" s="76" t="str">
        <f t="shared" si="1"/>
        <v xml:space="preserve">36083 </v>
      </c>
      <c r="J24" s="76">
        <f t="shared" si="2"/>
        <v>34600000</v>
      </c>
      <c r="K24" s="77">
        <f>J24*'Inflation Rates by Year'!$F$2</f>
        <v>41273831.14540647</v>
      </c>
      <c r="L24" s="78">
        <f t="shared" si="3"/>
        <v>1143.8580812406526</v>
      </c>
    </row>
    <row r="25" spans="1:26" ht="14.5">
      <c r="A25" s="74" t="s">
        <v>372</v>
      </c>
      <c r="B25" s="2">
        <v>24</v>
      </c>
      <c r="C25" s="74" t="s">
        <v>331</v>
      </c>
      <c r="D25" s="74" t="s">
        <v>373</v>
      </c>
      <c r="E25" s="75">
        <v>37600000</v>
      </c>
      <c r="F25" s="63">
        <f t="shared" si="4"/>
        <v>5981</v>
      </c>
      <c r="G25" s="63">
        <f t="shared" si="0"/>
        <v>3.628775731310943</v>
      </c>
      <c r="H25" s="63">
        <f t="shared" si="5"/>
        <v>1.9733018435143428</v>
      </c>
      <c r="I25" s="76" t="str">
        <f t="shared" si="1"/>
        <v xml:space="preserve">42064 </v>
      </c>
      <c r="J25" s="76">
        <f t="shared" si="2"/>
        <v>37600000</v>
      </c>
      <c r="K25" s="77">
        <f>J25*'Inflation Rates by Year'!$F$2</f>
        <v>44852487.025065988</v>
      </c>
      <c r="L25" s="78">
        <f t="shared" si="3"/>
        <v>1066.2915325472136</v>
      </c>
    </row>
    <row r="26" spans="1:26" ht="14.5">
      <c r="A26" s="74" t="s">
        <v>372</v>
      </c>
      <c r="B26" s="2">
        <v>25</v>
      </c>
      <c r="C26" s="74" t="s">
        <v>331</v>
      </c>
      <c r="D26" s="74" t="s">
        <v>373</v>
      </c>
      <c r="E26" s="75">
        <v>41000000</v>
      </c>
      <c r="F26" s="63">
        <f t="shared" si="4"/>
        <v>0</v>
      </c>
      <c r="G26" s="63">
        <f t="shared" si="0"/>
        <v>0</v>
      </c>
      <c r="H26" s="63">
        <f t="shared" si="5"/>
        <v>0</v>
      </c>
      <c r="I26" s="76" t="str">
        <f t="shared" si="1"/>
        <v xml:space="preserve">42064 </v>
      </c>
      <c r="J26" s="76">
        <f t="shared" si="2"/>
        <v>41000000</v>
      </c>
      <c r="K26" s="77">
        <f>J26*'Inflation Rates by Year'!$F$2</f>
        <v>48908297.022013448</v>
      </c>
      <c r="L26" s="78">
        <f t="shared" si="3"/>
        <v>1162.7115115541424</v>
      </c>
    </row>
    <row r="27" spans="1:26" ht="14.5">
      <c r="A27" s="74" t="s">
        <v>374</v>
      </c>
      <c r="B27" s="2">
        <v>26</v>
      </c>
      <c r="C27" s="74" t="s">
        <v>331</v>
      </c>
      <c r="D27" s="74" t="s">
        <v>375</v>
      </c>
      <c r="E27" s="75">
        <v>43500000</v>
      </c>
      <c r="F27" s="63">
        <f t="shared" si="4"/>
        <v>3987</v>
      </c>
      <c r="G27" s="63">
        <f t="shared" si="0"/>
        <v>2.4189815817984832</v>
      </c>
      <c r="H27" s="63">
        <f t="shared" si="5"/>
        <v>1.2381969315232364</v>
      </c>
      <c r="I27" s="76" t="str">
        <f t="shared" si="1"/>
        <v xml:space="preserve">46051 </v>
      </c>
      <c r="J27" s="76">
        <f t="shared" si="2"/>
        <v>43500000</v>
      </c>
      <c r="K27" s="77">
        <f>J27*'Inflation Rates by Year'!$F$2</f>
        <v>51890510.255063049</v>
      </c>
      <c r="L27" s="78">
        <f t="shared" si="3"/>
        <v>1126.8052866400958</v>
      </c>
    </row>
    <row r="28" spans="1:26" ht="14.5">
      <c r="A28" s="74" t="s">
        <v>376</v>
      </c>
      <c r="B28" s="2">
        <v>27</v>
      </c>
      <c r="C28" s="74" t="s">
        <v>331</v>
      </c>
      <c r="D28" s="74" t="s">
        <v>377</v>
      </c>
      <c r="E28" s="75">
        <v>46200000</v>
      </c>
      <c r="F28" s="63">
        <f t="shared" si="4"/>
        <v>91</v>
      </c>
      <c r="G28" s="63">
        <f t="shared" si="0"/>
        <v>5.5211267605633808E-2</v>
      </c>
      <c r="H28" s="63">
        <f t="shared" si="5"/>
        <v>2.7621652190996781E-2</v>
      </c>
      <c r="I28" s="76" t="str">
        <f t="shared" si="1"/>
        <v xml:space="preserve">46142 </v>
      </c>
      <c r="J28" s="76">
        <f t="shared" si="2"/>
        <v>46200000</v>
      </c>
      <c r="K28" s="77">
        <f>J28*'Inflation Rates by Year'!$F$2</f>
        <v>55111300.546756618</v>
      </c>
      <c r="L28" s="78">
        <f t="shared" si="3"/>
        <v>1194.3847372622906</v>
      </c>
    </row>
    <row r="29" spans="1:26" ht="14.5">
      <c r="A29" s="68" t="s">
        <v>378</v>
      </c>
      <c r="B29" s="69">
        <v>28</v>
      </c>
      <c r="C29" s="68" t="s">
        <v>331</v>
      </c>
      <c r="D29" s="68" t="s">
        <v>379</v>
      </c>
      <c r="E29" s="70">
        <v>47800000</v>
      </c>
      <c r="F29" s="71">
        <f t="shared" si="4"/>
        <v>8</v>
      </c>
      <c r="G29" s="63">
        <f t="shared" si="0"/>
        <v>4.8537378114842907E-3</v>
      </c>
      <c r="H29" s="63">
        <f t="shared" si="5"/>
        <v>2.4269740879403687E-3</v>
      </c>
      <c r="I29" s="72" t="str">
        <f t="shared" si="1"/>
        <v xml:space="preserve">46150 </v>
      </c>
      <c r="J29" s="72">
        <f t="shared" si="2"/>
        <v>47800000</v>
      </c>
      <c r="K29" s="77">
        <f>J29*'Inflation Rates by Year'!$F$2</f>
        <v>57019917.01590836</v>
      </c>
      <c r="L29" s="73">
        <f t="shared" si="3"/>
        <v>1235.5344965527272</v>
      </c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4.5">
      <c r="A30" s="74" t="s">
        <v>378</v>
      </c>
      <c r="B30" s="2">
        <v>29</v>
      </c>
      <c r="C30" s="74" t="s">
        <v>331</v>
      </c>
      <c r="D30" s="74" t="s">
        <v>379</v>
      </c>
      <c r="E30" s="75">
        <v>49100000</v>
      </c>
      <c r="F30" s="63">
        <f t="shared" si="4"/>
        <v>0</v>
      </c>
      <c r="G30" s="63">
        <f t="shared" si="0"/>
        <v>0</v>
      </c>
      <c r="H30" s="63">
        <f t="shared" si="5"/>
        <v>0</v>
      </c>
      <c r="I30" s="76" t="str">
        <f t="shared" si="1"/>
        <v xml:space="preserve">46150 </v>
      </c>
      <c r="J30" s="76">
        <f t="shared" si="2"/>
        <v>49100000</v>
      </c>
      <c r="K30" s="77">
        <f>J30*'Inflation Rates by Year'!$F$2</f>
        <v>58570667.897094153</v>
      </c>
      <c r="L30" s="78">
        <f t="shared" si="3"/>
        <v>1269.1368991786383</v>
      </c>
    </row>
    <row r="31" spans="1:26" ht="14.5">
      <c r="A31" s="74" t="s">
        <v>380</v>
      </c>
      <c r="B31" s="2">
        <v>30</v>
      </c>
      <c r="C31" s="74" t="s">
        <v>331</v>
      </c>
      <c r="D31" s="74" t="s">
        <v>379</v>
      </c>
      <c r="E31" s="75">
        <v>49100000</v>
      </c>
      <c r="F31" s="63">
        <f t="shared" si="4"/>
        <v>0</v>
      </c>
      <c r="G31" s="63">
        <f t="shared" si="0"/>
        <v>0</v>
      </c>
      <c r="H31" s="63">
        <f t="shared" si="5"/>
        <v>0</v>
      </c>
      <c r="I31" s="76" t="str">
        <f t="shared" si="1"/>
        <v xml:space="preserve">46150 </v>
      </c>
      <c r="J31" s="76">
        <f t="shared" si="2"/>
        <v>49100000</v>
      </c>
      <c r="K31" s="77">
        <f>J31*'Inflation Rates by Year'!$F$2</f>
        <v>58570667.897094153</v>
      </c>
      <c r="L31" s="78">
        <f t="shared" si="3"/>
        <v>1269.1368991786383</v>
      </c>
    </row>
    <row r="32" spans="1:26" ht="14.5">
      <c r="A32" s="74" t="s">
        <v>380</v>
      </c>
      <c r="B32" s="2">
        <v>31</v>
      </c>
      <c r="C32" s="74" t="s">
        <v>331</v>
      </c>
      <c r="D32" s="74" t="s">
        <v>379</v>
      </c>
      <c r="E32" s="75">
        <v>50700000</v>
      </c>
      <c r="F32" s="63">
        <f t="shared" si="4"/>
        <v>0</v>
      </c>
      <c r="G32" s="63">
        <f t="shared" si="0"/>
        <v>0</v>
      </c>
      <c r="H32" s="63">
        <f t="shared" si="5"/>
        <v>0</v>
      </c>
      <c r="I32" s="76" t="str">
        <f t="shared" si="1"/>
        <v xml:space="preserve">46150 </v>
      </c>
      <c r="J32" s="76">
        <f t="shared" si="2"/>
        <v>50700000</v>
      </c>
      <c r="K32" s="77">
        <f>J32*'Inflation Rates by Year'!$F$2</f>
        <v>60479284.366245896</v>
      </c>
      <c r="L32" s="78">
        <f t="shared" si="3"/>
        <v>1310.4937024105286</v>
      </c>
    </row>
    <row r="33" spans="1:12" ht="14.5">
      <c r="A33" s="74" t="s">
        <v>381</v>
      </c>
      <c r="B33" s="2">
        <v>32</v>
      </c>
      <c r="C33" s="74" t="s">
        <v>331</v>
      </c>
      <c r="D33" s="74" t="s">
        <v>379</v>
      </c>
      <c r="E33" s="75">
        <v>51700000</v>
      </c>
      <c r="F33" s="63">
        <f t="shared" si="4"/>
        <v>0</v>
      </c>
      <c r="G33" s="63">
        <f t="shared" si="0"/>
        <v>0</v>
      </c>
      <c r="H33" s="63">
        <f t="shared" si="5"/>
        <v>0</v>
      </c>
      <c r="I33" s="76" t="str">
        <f t="shared" si="1"/>
        <v xml:space="preserve">46150 </v>
      </c>
      <c r="J33" s="76">
        <f t="shared" si="2"/>
        <v>51700000</v>
      </c>
      <c r="K33" s="77">
        <f>J33*'Inflation Rates by Year'!$F$2</f>
        <v>61672169.659465738</v>
      </c>
      <c r="L33" s="78">
        <f t="shared" si="3"/>
        <v>1336.3417044304601</v>
      </c>
    </row>
    <row r="34" spans="1:12" ht="14.5">
      <c r="A34" s="74" t="s">
        <v>382</v>
      </c>
      <c r="B34" s="2">
        <v>33</v>
      </c>
      <c r="C34" s="74" t="s">
        <v>331</v>
      </c>
      <c r="D34" s="74" t="s">
        <v>379</v>
      </c>
      <c r="E34" s="75">
        <v>53515509</v>
      </c>
      <c r="F34" s="63">
        <f t="shared" si="4"/>
        <v>0</v>
      </c>
      <c r="G34" s="63">
        <f t="shared" si="0"/>
        <v>0</v>
      </c>
      <c r="H34" s="63">
        <f t="shared" si="5"/>
        <v>0</v>
      </c>
      <c r="I34" s="76" t="str">
        <f t="shared" si="1"/>
        <v xml:space="preserve">46150 </v>
      </c>
      <c r="J34" s="76">
        <f t="shared" si="2"/>
        <v>53515509</v>
      </c>
      <c r="K34" s="77">
        <f>J34*'Inflation Rates by Year'!$F$2</f>
        <v>63837863.645273998</v>
      </c>
      <c r="L34" s="78">
        <f t="shared" si="3"/>
        <v>1383.268984729664</v>
      </c>
    </row>
    <row r="35" spans="1:12" ht="14.5">
      <c r="A35" s="74" t="s">
        <v>383</v>
      </c>
      <c r="B35" s="2">
        <v>34</v>
      </c>
      <c r="C35" s="74" t="s">
        <v>331</v>
      </c>
      <c r="D35" s="74" t="s">
        <v>379</v>
      </c>
      <c r="E35" s="75">
        <v>54906496</v>
      </c>
      <c r="F35" s="63">
        <f t="shared" si="4"/>
        <v>0</v>
      </c>
      <c r="G35" s="63">
        <f t="shared" si="0"/>
        <v>0</v>
      </c>
      <c r="H35" s="63">
        <f t="shared" si="5"/>
        <v>0</v>
      </c>
      <c r="I35" s="76" t="str">
        <f t="shared" si="1"/>
        <v xml:space="preserve">46150 </v>
      </c>
      <c r="J35" s="76">
        <f t="shared" si="2"/>
        <v>54906496</v>
      </c>
      <c r="K35" s="77">
        <f>J35*'Inflation Rates by Year'!$F$2</f>
        <v>65497151.580633983</v>
      </c>
      <c r="L35" s="78">
        <f t="shared" si="3"/>
        <v>1419.2232195153626</v>
      </c>
    </row>
    <row r="36" spans="1:12" ht="14.5">
      <c r="A36" s="74" t="s">
        <v>384</v>
      </c>
      <c r="B36" s="2">
        <v>35</v>
      </c>
      <c r="C36" s="74" t="s">
        <v>331</v>
      </c>
      <c r="D36" s="74" t="s">
        <v>379</v>
      </c>
      <c r="E36" s="75">
        <v>55511216</v>
      </c>
      <c r="F36" s="63">
        <f t="shared" si="4"/>
        <v>0</v>
      </c>
      <c r="G36" s="63">
        <f t="shared" si="0"/>
        <v>0</v>
      </c>
      <c r="H36" s="63">
        <f t="shared" si="5"/>
        <v>0</v>
      </c>
      <c r="I36" s="76" t="str">
        <f t="shared" si="1"/>
        <v xml:space="preserve">46150 </v>
      </c>
      <c r="J36" s="76">
        <f t="shared" si="2"/>
        <v>55511216</v>
      </c>
      <c r="K36" s="77">
        <f>J36*'Inflation Rates by Year'!$F$2</f>
        <v>66218513.17514988</v>
      </c>
      <c r="L36" s="78">
        <f t="shared" si="3"/>
        <v>1434.8540232968555</v>
      </c>
    </row>
    <row r="37" spans="1:12" ht="14.5">
      <c r="A37" s="74" t="s">
        <v>385</v>
      </c>
      <c r="B37" s="2">
        <v>36</v>
      </c>
      <c r="C37" s="74" t="s">
        <v>331</v>
      </c>
      <c r="D37" s="74" t="s">
        <v>379</v>
      </c>
      <c r="E37" s="75">
        <v>55511216</v>
      </c>
      <c r="F37" s="63">
        <f t="shared" si="4"/>
        <v>0</v>
      </c>
      <c r="G37" s="63">
        <f t="shared" si="0"/>
        <v>0</v>
      </c>
      <c r="H37" s="63">
        <f t="shared" si="5"/>
        <v>0</v>
      </c>
      <c r="I37" s="76" t="str">
        <f t="shared" si="1"/>
        <v xml:space="preserve">46150 </v>
      </c>
      <c r="J37" s="76">
        <f t="shared" si="2"/>
        <v>55511216</v>
      </c>
      <c r="K37" s="77">
        <f>J37*'Inflation Rates by Year'!$F$2</f>
        <v>66218513.17514988</v>
      </c>
      <c r="L37" s="78">
        <f t="shared" si="3"/>
        <v>1434.8540232968555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27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74" t="s">
        <v>386</v>
      </c>
      <c r="B2" s="2">
        <v>1</v>
      </c>
      <c r="C2" s="74" t="s">
        <v>160</v>
      </c>
      <c r="D2" s="74" t="s">
        <v>332</v>
      </c>
      <c r="E2" s="75">
        <v>1000000</v>
      </c>
      <c r="F2" s="63">
        <f>I2-0</f>
        <v>350</v>
      </c>
      <c r="G2" s="63">
        <f t="shared" ref="G2:G27" si="0">$B$21/$I$21*(F2)</f>
        <v>0.19148703359229674</v>
      </c>
      <c r="H2" s="63">
        <f>$B$21/SQRT($I$21)*(SQRT(I2)-SQRT(0))</f>
        <v>1.9569723227082021</v>
      </c>
      <c r="I2" s="76" t="str">
        <f t="shared" ref="I2:I27" si="1">D2</f>
        <v xml:space="preserve">350 </v>
      </c>
      <c r="J2" s="76">
        <f t="shared" ref="J2:J27" si="2">E2</f>
        <v>1000000</v>
      </c>
      <c r="K2" s="77">
        <f>J2*'Inflation Rates by Year'!$G$2</f>
        <v>1217935.8843774565</v>
      </c>
      <c r="L2" s="78">
        <f t="shared" ref="L2:L27" si="3">K2/I2</f>
        <v>3479.8168125070188</v>
      </c>
    </row>
    <row r="3" spans="1:12" ht="15" customHeight="1">
      <c r="A3" s="74" t="s">
        <v>387</v>
      </c>
      <c r="B3" s="2">
        <v>2</v>
      </c>
      <c r="C3" s="74" t="s">
        <v>160</v>
      </c>
      <c r="D3" s="74" t="s">
        <v>388</v>
      </c>
      <c r="E3" s="75">
        <v>1300000</v>
      </c>
      <c r="F3" s="63">
        <f t="shared" ref="F3:F27" si="4">I3-I2</f>
        <v>4939</v>
      </c>
      <c r="G3" s="63">
        <f t="shared" si="0"/>
        <v>2.7021555968924389</v>
      </c>
      <c r="H3" s="63">
        <f t="shared" ref="H3:H27" si="5">$B$21/SQRT($I$21)*(SQRT(I3)-SQRT(I2))</f>
        <v>5.6504485680861745</v>
      </c>
      <c r="I3" s="76" t="str">
        <f t="shared" si="1"/>
        <v xml:space="preserve">5289 </v>
      </c>
      <c r="J3" s="76">
        <f t="shared" si="2"/>
        <v>1300000</v>
      </c>
      <c r="K3" s="77">
        <f>J3*'Inflation Rates by Year'!$G$2</f>
        <v>1583316.6496906935</v>
      </c>
      <c r="L3" s="78">
        <f t="shared" si="3"/>
        <v>299.36030434688854</v>
      </c>
    </row>
    <row r="4" spans="1:12" ht="15" customHeight="1">
      <c r="A4" s="74" t="s">
        <v>389</v>
      </c>
      <c r="B4" s="2">
        <v>3</v>
      </c>
      <c r="C4" s="74" t="s">
        <v>160</v>
      </c>
      <c r="D4" s="74" t="s">
        <v>390</v>
      </c>
      <c r="E4" s="75">
        <v>3500000</v>
      </c>
      <c r="F4" s="63">
        <f t="shared" si="4"/>
        <v>1505</v>
      </c>
      <c r="G4" s="63">
        <f t="shared" si="0"/>
        <v>0.82339424444687592</v>
      </c>
      <c r="H4" s="63">
        <f t="shared" si="5"/>
        <v>1.0146865951183475</v>
      </c>
      <c r="I4" s="76" t="str">
        <f t="shared" si="1"/>
        <v xml:space="preserve">6794 </v>
      </c>
      <c r="J4" s="76">
        <f t="shared" si="2"/>
        <v>3500000</v>
      </c>
      <c r="K4" s="77">
        <f>J4*'Inflation Rates by Year'!$G$2</f>
        <v>4262775.5953210983</v>
      </c>
      <c r="L4" s="78">
        <f t="shared" si="3"/>
        <v>627.43238082441837</v>
      </c>
    </row>
    <row r="5" spans="1:12" ht="15" customHeight="1">
      <c r="A5" s="74" t="s">
        <v>391</v>
      </c>
      <c r="B5" s="2">
        <v>4</v>
      </c>
      <c r="C5" s="74" t="s">
        <v>160</v>
      </c>
      <c r="D5" s="74" t="s">
        <v>392</v>
      </c>
      <c r="E5" s="75">
        <v>5300000</v>
      </c>
      <c r="F5" s="63">
        <f t="shared" si="4"/>
        <v>3517</v>
      </c>
      <c r="G5" s="63">
        <f t="shared" si="0"/>
        <v>1.9241711346974504</v>
      </c>
      <c r="H5" s="63">
        <f t="shared" si="5"/>
        <v>1.9997642979388042</v>
      </c>
      <c r="I5" s="76" t="str">
        <f t="shared" si="1"/>
        <v xml:space="preserve">10311 </v>
      </c>
      <c r="J5" s="76">
        <f t="shared" si="2"/>
        <v>5300000</v>
      </c>
      <c r="K5" s="77">
        <f>J5*'Inflation Rates by Year'!$G$2</f>
        <v>6455060.1872005202</v>
      </c>
      <c r="L5" s="78">
        <f t="shared" si="3"/>
        <v>626.03629009800409</v>
      </c>
    </row>
    <row r="6" spans="1:12" ht="15" customHeight="1">
      <c r="A6" s="74" t="s">
        <v>393</v>
      </c>
      <c r="B6" s="2">
        <v>5</v>
      </c>
      <c r="C6" s="74" t="s">
        <v>331</v>
      </c>
      <c r="D6" s="74" t="s">
        <v>394</v>
      </c>
      <c r="E6" s="75">
        <v>7900000</v>
      </c>
      <c r="F6" s="63">
        <f t="shared" si="4"/>
        <v>2929</v>
      </c>
      <c r="G6" s="63">
        <f t="shared" si="0"/>
        <v>1.6024729182623918</v>
      </c>
      <c r="H6" s="63">
        <f t="shared" si="5"/>
        <v>1.4144739472177268</v>
      </c>
      <c r="I6" s="76" t="str">
        <f t="shared" si="1"/>
        <v xml:space="preserve">13240 </v>
      </c>
      <c r="J6" s="76">
        <f t="shared" si="2"/>
        <v>7900000</v>
      </c>
      <c r="K6" s="77">
        <f>J6*'Inflation Rates by Year'!$G$2</f>
        <v>9621693.4865819067</v>
      </c>
      <c r="L6" s="78">
        <f t="shared" si="3"/>
        <v>726.71400956056698</v>
      </c>
    </row>
    <row r="7" spans="1:12" ht="15" customHeight="1">
      <c r="A7" s="74" t="s">
        <v>395</v>
      </c>
      <c r="B7" s="2">
        <v>6</v>
      </c>
      <c r="C7" s="74" t="s">
        <v>331</v>
      </c>
      <c r="D7" s="74" t="s">
        <v>396</v>
      </c>
      <c r="E7" s="75">
        <v>10000000</v>
      </c>
      <c r="F7" s="63">
        <f t="shared" si="4"/>
        <v>4178</v>
      </c>
      <c r="G7" s="63">
        <f t="shared" si="0"/>
        <v>2.2858080752817593</v>
      </c>
      <c r="H7" s="63">
        <f t="shared" si="5"/>
        <v>1.7690800162035982</v>
      </c>
      <c r="I7" s="76" t="str">
        <f t="shared" si="1"/>
        <v xml:space="preserve">17418 </v>
      </c>
      <c r="J7" s="76">
        <f t="shared" si="2"/>
        <v>10000000</v>
      </c>
      <c r="K7" s="77">
        <f>J7*'Inflation Rates by Year'!$G$2</f>
        <v>12179358.843774566</v>
      </c>
      <c r="L7" s="78">
        <f t="shared" si="3"/>
        <v>699.23980042338769</v>
      </c>
    </row>
    <row r="8" spans="1:12" ht="15" customHeight="1">
      <c r="A8" s="74" t="s">
        <v>397</v>
      </c>
      <c r="B8" s="2">
        <v>7</v>
      </c>
      <c r="C8" s="74" t="s">
        <v>331</v>
      </c>
      <c r="D8" s="74" t="s">
        <v>398</v>
      </c>
      <c r="E8" s="75">
        <v>12600000</v>
      </c>
      <c r="F8" s="63">
        <f t="shared" si="4"/>
        <v>3111</v>
      </c>
      <c r="G8" s="63">
        <f t="shared" si="0"/>
        <v>1.7020461757303862</v>
      </c>
      <c r="H8" s="63">
        <f t="shared" si="5"/>
        <v>1.1822593167412687</v>
      </c>
      <c r="I8" s="76" t="str">
        <f t="shared" si="1"/>
        <v xml:space="preserve">20529 </v>
      </c>
      <c r="J8" s="76">
        <f t="shared" si="2"/>
        <v>12600000</v>
      </c>
      <c r="K8" s="77">
        <f>J8*'Inflation Rates by Year'!$G$2</f>
        <v>15345992.143155953</v>
      </c>
      <c r="L8" s="78">
        <f t="shared" si="3"/>
        <v>747.52750465955251</v>
      </c>
    </row>
    <row r="9" spans="1:12" ht="15" customHeight="1">
      <c r="A9" s="74" t="s">
        <v>399</v>
      </c>
      <c r="B9" s="2">
        <v>8</v>
      </c>
      <c r="C9" s="74" t="s">
        <v>331</v>
      </c>
      <c r="D9" s="74" t="s">
        <v>398</v>
      </c>
      <c r="E9" s="75">
        <v>14400000</v>
      </c>
      <c r="F9" s="63">
        <f t="shared" si="4"/>
        <v>0</v>
      </c>
      <c r="G9" s="63">
        <f t="shared" si="0"/>
        <v>0</v>
      </c>
      <c r="H9" s="63">
        <f t="shared" si="5"/>
        <v>0</v>
      </c>
      <c r="I9" s="76" t="str">
        <f t="shared" si="1"/>
        <v xml:space="preserve">20529 </v>
      </c>
      <c r="J9" s="76">
        <f t="shared" si="2"/>
        <v>14400000</v>
      </c>
      <c r="K9" s="77">
        <f>J9*'Inflation Rates by Year'!$G$2</f>
        <v>17538276.735035375</v>
      </c>
      <c r="L9" s="78">
        <f t="shared" si="3"/>
        <v>854.3171481823457</v>
      </c>
    </row>
    <row r="10" spans="1:12" ht="15" customHeight="1">
      <c r="A10" s="74" t="s">
        <v>400</v>
      </c>
      <c r="B10" s="2">
        <v>9</v>
      </c>
      <c r="C10" s="74" t="s">
        <v>331</v>
      </c>
      <c r="D10" s="74" t="s">
        <v>401</v>
      </c>
      <c r="E10" s="75">
        <v>16300000</v>
      </c>
      <c r="F10" s="63">
        <f t="shared" si="4"/>
        <v>335</v>
      </c>
      <c r="G10" s="63">
        <f t="shared" si="0"/>
        <v>0.18328044643834115</v>
      </c>
      <c r="H10" s="63">
        <f t="shared" si="5"/>
        <v>0.12179250825285605</v>
      </c>
      <c r="I10" s="76" t="str">
        <f t="shared" si="1"/>
        <v xml:space="preserve">20864 </v>
      </c>
      <c r="J10" s="76">
        <f t="shared" si="2"/>
        <v>16300000</v>
      </c>
      <c r="K10" s="77">
        <f>J10*'Inflation Rates by Year'!$G$2</f>
        <v>19852354.915352542</v>
      </c>
      <c r="L10" s="78">
        <f t="shared" si="3"/>
        <v>951.51240966988792</v>
      </c>
    </row>
    <row r="11" spans="1:12" ht="15" customHeight="1">
      <c r="A11" s="74" t="s">
        <v>402</v>
      </c>
      <c r="B11" s="2">
        <v>10</v>
      </c>
      <c r="C11" s="74" t="s">
        <v>331</v>
      </c>
      <c r="D11" s="74" t="s">
        <v>403</v>
      </c>
      <c r="E11" s="75">
        <v>18500000</v>
      </c>
      <c r="F11" s="63">
        <f t="shared" si="4"/>
        <v>4085</v>
      </c>
      <c r="G11" s="63">
        <f t="shared" si="0"/>
        <v>2.2349272349272349</v>
      </c>
      <c r="H11" s="63">
        <f t="shared" si="5"/>
        <v>1.4130784408135491</v>
      </c>
      <c r="I11" s="76" t="str">
        <f t="shared" si="1"/>
        <v xml:space="preserve">24949 </v>
      </c>
      <c r="J11" s="76">
        <f t="shared" si="2"/>
        <v>18500000</v>
      </c>
      <c r="K11" s="77">
        <f>J11*'Inflation Rates by Year'!$G$2</f>
        <v>22531813.860982947</v>
      </c>
      <c r="L11" s="78">
        <f t="shared" si="3"/>
        <v>903.11490885337878</v>
      </c>
    </row>
    <row r="12" spans="1:12" ht="15" customHeight="1">
      <c r="A12" s="74" t="s">
        <v>404</v>
      </c>
      <c r="B12" s="2">
        <v>11</v>
      </c>
      <c r="C12" s="74" t="s">
        <v>331</v>
      </c>
      <c r="D12" s="74" t="s">
        <v>403</v>
      </c>
      <c r="E12" s="75">
        <v>20600000</v>
      </c>
      <c r="F12" s="63">
        <f t="shared" si="4"/>
        <v>0</v>
      </c>
      <c r="G12" s="63">
        <f t="shared" si="0"/>
        <v>0</v>
      </c>
      <c r="H12" s="63">
        <f t="shared" si="5"/>
        <v>0</v>
      </c>
      <c r="I12" s="76" t="str">
        <f t="shared" si="1"/>
        <v xml:space="preserve">24949 </v>
      </c>
      <c r="J12" s="76">
        <f t="shared" si="2"/>
        <v>20600000</v>
      </c>
      <c r="K12" s="77">
        <f>J12*'Inflation Rates by Year'!$G$2</f>
        <v>25089479.218175605</v>
      </c>
      <c r="L12" s="78">
        <f t="shared" si="3"/>
        <v>1005.6306552637623</v>
      </c>
    </row>
    <row r="13" spans="1:12" ht="15" customHeight="1">
      <c r="A13" s="74" t="s">
        <v>405</v>
      </c>
      <c r="B13" s="2">
        <v>12</v>
      </c>
      <c r="C13" s="74" t="s">
        <v>331</v>
      </c>
      <c r="D13" s="74" t="s">
        <v>406</v>
      </c>
      <c r="E13" s="75">
        <v>22800000</v>
      </c>
      <c r="F13" s="63">
        <f t="shared" si="4"/>
        <v>1799</v>
      </c>
      <c r="G13" s="63">
        <f t="shared" si="0"/>
        <v>0.98424335266440521</v>
      </c>
      <c r="H13" s="63">
        <f t="shared" si="5"/>
        <v>0.58532884328531054</v>
      </c>
      <c r="I13" s="76" t="str">
        <f t="shared" si="1"/>
        <v xml:space="preserve">26748 </v>
      </c>
      <c r="J13" s="76">
        <f t="shared" si="2"/>
        <v>22800000</v>
      </c>
      <c r="K13" s="77">
        <f>J13*'Inflation Rates by Year'!$G$2</f>
        <v>27768938.16380601</v>
      </c>
      <c r="L13" s="78">
        <f t="shared" si="3"/>
        <v>1038.1687664051894</v>
      </c>
    </row>
    <row r="14" spans="1:12" ht="15" customHeight="1">
      <c r="A14" s="74" t="s">
        <v>407</v>
      </c>
      <c r="B14" s="2">
        <v>13</v>
      </c>
      <c r="C14" s="74" t="s">
        <v>331</v>
      </c>
      <c r="D14" s="74" t="s">
        <v>408</v>
      </c>
      <c r="E14" s="75">
        <v>24800000</v>
      </c>
      <c r="F14" s="63">
        <f t="shared" si="4"/>
        <v>838</v>
      </c>
      <c r="G14" s="63">
        <f t="shared" si="0"/>
        <v>0.45847466900098477</v>
      </c>
      <c r="H14" s="63">
        <f t="shared" si="5"/>
        <v>0.26592352402938574</v>
      </c>
      <c r="I14" s="76" t="str">
        <f t="shared" si="1"/>
        <v xml:space="preserve">27586 </v>
      </c>
      <c r="J14" s="76">
        <f t="shared" si="2"/>
        <v>24800000</v>
      </c>
      <c r="K14" s="77">
        <f>J14*'Inflation Rates by Year'!$G$2</f>
        <v>30204809.932560924</v>
      </c>
      <c r="L14" s="78">
        <f t="shared" si="3"/>
        <v>1094.9325720496238</v>
      </c>
    </row>
    <row r="15" spans="1:12" ht="15" customHeight="1">
      <c r="A15" s="74" t="s">
        <v>409</v>
      </c>
      <c r="B15" s="2">
        <v>14</v>
      </c>
      <c r="C15" s="74" t="s">
        <v>331</v>
      </c>
      <c r="D15" s="74" t="s">
        <v>410</v>
      </c>
      <c r="E15" s="75">
        <v>26800000</v>
      </c>
      <c r="F15" s="63">
        <f t="shared" si="4"/>
        <v>2804</v>
      </c>
      <c r="G15" s="63">
        <f t="shared" si="0"/>
        <v>1.5340846919794286</v>
      </c>
      <c r="H15" s="63">
        <f t="shared" si="5"/>
        <v>0.86162173458369007</v>
      </c>
      <c r="I15" s="76" t="str">
        <f t="shared" si="1"/>
        <v xml:space="preserve">30390 </v>
      </c>
      <c r="J15" s="76">
        <f t="shared" si="2"/>
        <v>26800000</v>
      </c>
      <c r="K15" s="77">
        <f>J15*'Inflation Rates by Year'!$G$2</f>
        <v>32640681.701315835</v>
      </c>
      <c r="L15" s="78">
        <f t="shared" si="3"/>
        <v>1074.0599441038446</v>
      </c>
    </row>
    <row r="16" spans="1:12" ht="15" customHeight="1">
      <c r="A16" s="74" t="s">
        <v>411</v>
      </c>
      <c r="B16" s="2">
        <v>15</v>
      </c>
      <c r="C16" s="74" t="s">
        <v>331</v>
      </c>
      <c r="D16" s="74" t="s">
        <v>410</v>
      </c>
      <c r="E16" s="75">
        <v>29000000</v>
      </c>
      <c r="F16" s="63">
        <f t="shared" si="4"/>
        <v>0</v>
      </c>
      <c r="G16" s="63">
        <f t="shared" si="0"/>
        <v>0</v>
      </c>
      <c r="H16" s="63">
        <f t="shared" si="5"/>
        <v>0</v>
      </c>
      <c r="I16" s="76" t="str">
        <f t="shared" si="1"/>
        <v xml:space="preserve">30390 </v>
      </c>
      <c r="J16" s="76">
        <f t="shared" si="2"/>
        <v>29000000</v>
      </c>
      <c r="K16" s="77">
        <f>J16*'Inflation Rates by Year'!$G$2</f>
        <v>35320140.646946244</v>
      </c>
      <c r="L16" s="78">
        <f t="shared" si="3"/>
        <v>1162.2290439929661</v>
      </c>
    </row>
    <row r="17" spans="1:26" ht="15" customHeight="1">
      <c r="A17" s="74" t="s">
        <v>412</v>
      </c>
      <c r="B17" s="2">
        <v>16</v>
      </c>
      <c r="C17" s="74" t="s">
        <v>331</v>
      </c>
      <c r="D17" s="74" t="s">
        <v>413</v>
      </c>
      <c r="E17" s="75">
        <v>31100000</v>
      </c>
      <c r="F17" s="63">
        <f t="shared" si="4"/>
        <v>1064</v>
      </c>
      <c r="G17" s="63">
        <f t="shared" si="0"/>
        <v>0.58212058212058204</v>
      </c>
      <c r="H17" s="63">
        <f t="shared" si="5"/>
        <v>0.31647876579913825</v>
      </c>
      <c r="I17" s="76" t="str">
        <f t="shared" si="1"/>
        <v xml:space="preserve">31454 </v>
      </c>
      <c r="J17" s="76">
        <f t="shared" si="2"/>
        <v>31100000</v>
      </c>
      <c r="K17" s="77">
        <f>J17*'Inflation Rates by Year'!$G$2</f>
        <v>37877806.004138902</v>
      </c>
      <c r="L17" s="78">
        <f t="shared" si="3"/>
        <v>1204.2285879105648</v>
      </c>
    </row>
    <row r="18" spans="1:26" ht="15" customHeight="1">
      <c r="A18" s="74" t="s">
        <v>414</v>
      </c>
      <c r="B18" s="2">
        <v>17</v>
      </c>
      <c r="C18" s="74" t="s">
        <v>331</v>
      </c>
      <c r="D18" s="74" t="s">
        <v>415</v>
      </c>
      <c r="E18" s="75">
        <v>32400000</v>
      </c>
      <c r="F18" s="63">
        <f t="shared" si="4"/>
        <v>569</v>
      </c>
      <c r="G18" s="63">
        <f t="shared" si="0"/>
        <v>0.31130320604004813</v>
      </c>
      <c r="H18" s="63">
        <f t="shared" si="5"/>
        <v>0.16704908278104397</v>
      </c>
      <c r="I18" s="76" t="str">
        <f t="shared" si="1"/>
        <v xml:space="preserve">32023 </v>
      </c>
      <c r="J18" s="76">
        <f t="shared" si="2"/>
        <v>32400000</v>
      </c>
      <c r="K18" s="77">
        <f>J18*'Inflation Rates by Year'!$G$2</f>
        <v>39461122.653829597</v>
      </c>
      <c r="L18" s="78">
        <f t="shared" si="3"/>
        <v>1232.2743857174405</v>
      </c>
    </row>
    <row r="19" spans="1:26" ht="15" customHeight="1">
      <c r="A19" s="74" t="s">
        <v>416</v>
      </c>
      <c r="B19" s="2">
        <v>18</v>
      </c>
      <c r="C19" s="74" t="s">
        <v>331</v>
      </c>
      <c r="D19" s="74" t="s">
        <v>417</v>
      </c>
      <c r="E19" s="75">
        <v>33700000</v>
      </c>
      <c r="F19" s="63">
        <f t="shared" si="4"/>
        <v>202</v>
      </c>
      <c r="G19" s="63">
        <f t="shared" si="0"/>
        <v>0.1105153736732684</v>
      </c>
      <c r="H19" s="63">
        <f t="shared" si="5"/>
        <v>5.8946464650081791E-2</v>
      </c>
      <c r="I19" s="76" t="str">
        <f t="shared" si="1"/>
        <v xml:space="preserve">32225 </v>
      </c>
      <c r="J19" s="76">
        <f t="shared" si="2"/>
        <v>33700000</v>
      </c>
      <c r="K19" s="77">
        <f>J19*'Inflation Rates by Year'!$G$2</f>
        <v>41044439.303520285</v>
      </c>
      <c r="L19" s="78">
        <f t="shared" si="3"/>
        <v>1273.683143631351</v>
      </c>
    </row>
    <row r="20" spans="1:26" ht="15" customHeight="1">
      <c r="A20" s="74" t="s">
        <v>418</v>
      </c>
      <c r="B20" s="2">
        <v>19</v>
      </c>
      <c r="C20" s="74" t="s">
        <v>331</v>
      </c>
      <c r="D20" s="74" t="s">
        <v>419</v>
      </c>
      <c r="E20" s="75">
        <v>34500000</v>
      </c>
      <c r="F20" s="63">
        <f t="shared" si="4"/>
        <v>794</v>
      </c>
      <c r="G20" s="63">
        <f t="shared" si="0"/>
        <v>0.43440201334938172</v>
      </c>
      <c r="H20" s="63">
        <f t="shared" si="5"/>
        <v>0.22992908805314857</v>
      </c>
      <c r="I20" s="76" t="str">
        <f t="shared" si="1"/>
        <v xml:space="preserve">33019 </v>
      </c>
      <c r="J20" s="76">
        <f t="shared" si="2"/>
        <v>34500000</v>
      </c>
      <c r="K20" s="77">
        <f>J20*'Inflation Rates by Year'!$G$2</f>
        <v>42018788.011022255</v>
      </c>
      <c r="L20" s="78">
        <f t="shared" si="3"/>
        <v>1272.5639180781445</v>
      </c>
    </row>
    <row r="21" spans="1:26" ht="14.5">
      <c r="A21" s="68" t="s">
        <v>420</v>
      </c>
      <c r="B21" s="69">
        <v>20</v>
      </c>
      <c r="C21" s="68" t="s">
        <v>331</v>
      </c>
      <c r="D21" s="68" t="s">
        <v>421</v>
      </c>
      <c r="E21" s="70">
        <v>36500000</v>
      </c>
      <c r="F21" s="63">
        <f t="shared" si="4"/>
        <v>3537</v>
      </c>
      <c r="G21" s="63">
        <f t="shared" si="0"/>
        <v>1.9351132509027245</v>
      </c>
      <c r="H21" s="63">
        <f t="shared" si="5"/>
        <v>0.99216648373767402</v>
      </c>
      <c r="I21" s="76" t="str">
        <f t="shared" si="1"/>
        <v xml:space="preserve">36556 </v>
      </c>
      <c r="J21" s="76">
        <f t="shared" si="2"/>
        <v>36500000</v>
      </c>
      <c r="K21" s="77">
        <f>J21*'Inflation Rates by Year'!$G$2</f>
        <v>44454659.779777169</v>
      </c>
      <c r="L21" s="78">
        <f t="shared" si="3"/>
        <v>1216.0701329406163</v>
      </c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4.5">
      <c r="A22" s="74" t="s">
        <v>422</v>
      </c>
      <c r="B22" s="2">
        <v>21</v>
      </c>
      <c r="C22" s="74" t="s">
        <v>331</v>
      </c>
      <c r="D22" s="74" t="s">
        <v>421</v>
      </c>
      <c r="E22" s="75">
        <v>36500000</v>
      </c>
      <c r="F22" s="63">
        <f t="shared" si="4"/>
        <v>0</v>
      </c>
      <c r="G22" s="63">
        <f t="shared" si="0"/>
        <v>0</v>
      </c>
      <c r="H22" s="63">
        <f t="shared" si="5"/>
        <v>0</v>
      </c>
      <c r="I22" s="76" t="str">
        <f t="shared" si="1"/>
        <v xml:space="preserve">36556 </v>
      </c>
      <c r="J22" s="76">
        <f t="shared" si="2"/>
        <v>36500000</v>
      </c>
      <c r="K22" s="77">
        <f>J22*'Inflation Rates by Year'!$G$2</f>
        <v>44454659.779777169</v>
      </c>
      <c r="L22" s="78">
        <f t="shared" si="3"/>
        <v>1216.0701329406163</v>
      </c>
    </row>
    <row r="23" spans="1:26" ht="14.5">
      <c r="A23" s="74" t="s">
        <v>423</v>
      </c>
      <c r="B23" s="2">
        <v>22</v>
      </c>
      <c r="C23" s="74" t="s">
        <v>331</v>
      </c>
      <c r="D23" s="74" t="s">
        <v>421</v>
      </c>
      <c r="E23" s="75">
        <v>36500000</v>
      </c>
      <c r="F23" s="63">
        <f t="shared" si="4"/>
        <v>0</v>
      </c>
      <c r="G23" s="63">
        <f t="shared" si="0"/>
        <v>0</v>
      </c>
      <c r="H23" s="63">
        <f t="shared" si="5"/>
        <v>0</v>
      </c>
      <c r="I23" s="76" t="str">
        <f t="shared" si="1"/>
        <v xml:space="preserve">36556 </v>
      </c>
      <c r="J23" s="76">
        <f t="shared" si="2"/>
        <v>36500000</v>
      </c>
      <c r="K23" s="77">
        <f>J23*'Inflation Rates by Year'!$G$2</f>
        <v>44454659.779777169</v>
      </c>
      <c r="L23" s="78">
        <f t="shared" si="3"/>
        <v>1216.0701329406163</v>
      </c>
    </row>
    <row r="24" spans="1:26" ht="14.5">
      <c r="A24" s="74" t="s">
        <v>424</v>
      </c>
      <c r="B24" s="2">
        <v>23</v>
      </c>
      <c r="C24" s="74" t="s">
        <v>331</v>
      </c>
      <c r="D24" s="74" t="s">
        <v>421</v>
      </c>
      <c r="E24" s="75">
        <v>36000000</v>
      </c>
      <c r="F24" s="63">
        <f t="shared" si="4"/>
        <v>0</v>
      </c>
      <c r="G24" s="63">
        <f t="shared" si="0"/>
        <v>0</v>
      </c>
      <c r="H24" s="63">
        <f t="shared" si="5"/>
        <v>0</v>
      </c>
      <c r="I24" s="76" t="str">
        <f t="shared" si="1"/>
        <v xml:space="preserve">36556 </v>
      </c>
      <c r="J24" s="76">
        <f t="shared" si="2"/>
        <v>36000000</v>
      </c>
      <c r="K24" s="77">
        <f>J24*'Inflation Rates by Year'!$G$2</f>
        <v>43845691.837588437</v>
      </c>
      <c r="L24" s="78">
        <f t="shared" si="3"/>
        <v>1199.4116379688269</v>
      </c>
    </row>
    <row r="25" spans="1:26" ht="14.5">
      <c r="A25" s="74" t="s">
        <v>425</v>
      </c>
      <c r="B25" s="2">
        <v>24</v>
      </c>
      <c r="C25" s="74" t="s">
        <v>331</v>
      </c>
      <c r="D25" s="74" t="s">
        <v>421</v>
      </c>
      <c r="E25" s="75">
        <v>38500000</v>
      </c>
      <c r="F25" s="63">
        <f t="shared" si="4"/>
        <v>0</v>
      </c>
      <c r="G25" s="63">
        <f t="shared" si="0"/>
        <v>0</v>
      </c>
      <c r="H25" s="63">
        <f t="shared" si="5"/>
        <v>0</v>
      </c>
      <c r="I25" s="76" t="str">
        <f t="shared" si="1"/>
        <v xml:space="preserve">36556 </v>
      </c>
      <c r="J25" s="76">
        <f t="shared" si="2"/>
        <v>38500000</v>
      </c>
      <c r="K25" s="77">
        <f>J25*'Inflation Rates by Year'!$G$2</f>
        <v>46890531.548532076</v>
      </c>
      <c r="L25" s="78">
        <f t="shared" si="3"/>
        <v>1282.7041128277731</v>
      </c>
    </row>
    <row r="26" spans="1:26" ht="14.5">
      <c r="A26" s="74" t="s">
        <v>426</v>
      </c>
      <c r="B26" s="2">
        <v>25</v>
      </c>
      <c r="C26" s="74" t="s">
        <v>331</v>
      </c>
      <c r="D26" s="74" t="s">
        <v>421</v>
      </c>
      <c r="E26" s="75">
        <v>38700000</v>
      </c>
      <c r="F26" s="63">
        <f t="shared" si="4"/>
        <v>0</v>
      </c>
      <c r="G26" s="63">
        <f t="shared" si="0"/>
        <v>0</v>
      </c>
      <c r="H26" s="63">
        <f t="shared" si="5"/>
        <v>0</v>
      </c>
      <c r="I26" s="76" t="str">
        <f t="shared" si="1"/>
        <v xml:space="preserve">36556 </v>
      </c>
      <c r="J26" s="76">
        <f t="shared" si="2"/>
        <v>38700000</v>
      </c>
      <c r="K26" s="77">
        <f>J26*'Inflation Rates by Year'!$G$2</f>
        <v>47134118.725407571</v>
      </c>
      <c r="L26" s="78">
        <f t="shared" si="3"/>
        <v>1289.3675108164889</v>
      </c>
    </row>
    <row r="27" spans="1:26" ht="14.5">
      <c r="A27" s="74" t="s">
        <v>427</v>
      </c>
      <c r="B27" s="2">
        <v>26</v>
      </c>
      <c r="C27" s="74" t="s">
        <v>331</v>
      </c>
      <c r="D27" s="74" t="s">
        <v>421</v>
      </c>
      <c r="E27" s="75">
        <v>38700000</v>
      </c>
      <c r="F27" s="63">
        <f t="shared" si="4"/>
        <v>0</v>
      </c>
      <c r="G27" s="63">
        <f t="shared" si="0"/>
        <v>0</v>
      </c>
      <c r="H27" s="63">
        <f t="shared" si="5"/>
        <v>0</v>
      </c>
      <c r="I27" s="76" t="str">
        <f t="shared" si="1"/>
        <v xml:space="preserve">36556 </v>
      </c>
      <c r="J27" s="76">
        <f t="shared" si="2"/>
        <v>38700000</v>
      </c>
      <c r="K27" s="77">
        <f>J27*'Inflation Rates by Year'!$G$2</f>
        <v>47134118.725407571</v>
      </c>
      <c r="L27" s="78">
        <f t="shared" si="3"/>
        <v>1289.3675108164889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46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0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74" t="s">
        <v>428</v>
      </c>
      <c r="B2" s="2">
        <v>1</v>
      </c>
      <c r="C2" s="74" t="s">
        <v>271</v>
      </c>
      <c r="D2" s="74" t="s">
        <v>429</v>
      </c>
      <c r="E2" s="75">
        <v>3800</v>
      </c>
      <c r="F2" s="63">
        <f>I2-0</f>
        <v>65</v>
      </c>
      <c r="G2" s="63" t="e">
        <f>$B$6/$I$6*(F2)</f>
        <v>#DIV/0!</v>
      </c>
      <c r="H2" s="63" t="e">
        <f>$B$6/SQRT($I$6)*(SQRT(I2)-SQRT(0))</f>
        <v>#DIV/0!</v>
      </c>
      <c r="I2" s="76" t="str">
        <f t="shared" ref="I2:J5" si="0">D2</f>
        <v xml:space="preserve">65 </v>
      </c>
      <c r="J2" s="76">
        <f t="shared" si="0"/>
        <v>3800</v>
      </c>
      <c r="K2" s="77">
        <f>J2*'Inflation Rates by Year'!F$2</f>
        <v>4532.964114235393</v>
      </c>
      <c r="L2" s="78">
        <f>K2/I2</f>
        <v>69.737909449775273</v>
      </c>
    </row>
    <row r="3" spans="1:12" ht="15" customHeight="1">
      <c r="A3" s="74" t="s">
        <v>430</v>
      </c>
      <c r="B3" s="2">
        <v>2</v>
      </c>
      <c r="C3" s="74" t="s">
        <v>160</v>
      </c>
      <c r="D3" s="74" t="s">
        <v>431</v>
      </c>
      <c r="E3" s="75">
        <v>58500</v>
      </c>
      <c r="F3" s="63">
        <f>I3-I2</f>
        <v>13</v>
      </c>
      <c r="G3" s="63" t="e">
        <f>$B$6/$I$6*(F3)</f>
        <v>#DIV/0!</v>
      </c>
      <c r="H3" s="63" t="e">
        <f>$B$6/SQRT($I$6)*(SQRT(I3)-SQRT(I2))</f>
        <v>#DIV/0!</v>
      </c>
      <c r="I3" s="76" t="str">
        <f t="shared" si="0"/>
        <v xml:space="preserve">78 </v>
      </c>
      <c r="J3" s="76">
        <f t="shared" si="0"/>
        <v>58500</v>
      </c>
      <c r="K3" s="77">
        <f>J3*'Inflation Rates by Year'!F$2</f>
        <v>69783.789653360654</v>
      </c>
      <c r="L3" s="78">
        <f>K3/I3</f>
        <v>894.66396991488023</v>
      </c>
    </row>
    <row r="4" spans="1:12" ht="15" customHeight="1">
      <c r="A4" s="74" t="s">
        <v>432</v>
      </c>
      <c r="B4" s="2">
        <v>3</v>
      </c>
      <c r="C4" s="74" t="s">
        <v>271</v>
      </c>
      <c r="D4" s="74" t="s">
        <v>433</v>
      </c>
      <c r="E4" s="75">
        <v>90000</v>
      </c>
      <c r="F4" s="63">
        <f>I4-I3</f>
        <v>20</v>
      </c>
      <c r="G4" s="63" t="e">
        <f>$B$6/$I$6*(F4)</f>
        <v>#DIV/0!</v>
      </c>
      <c r="H4" s="63" t="e">
        <f>$B$6/SQRT($I$6)*(SQRT(I4)-SQRT(I3))</f>
        <v>#DIV/0!</v>
      </c>
      <c r="I4" s="76" t="str">
        <f t="shared" si="0"/>
        <v xml:space="preserve">98 </v>
      </c>
      <c r="J4" s="76">
        <f t="shared" si="0"/>
        <v>90000</v>
      </c>
      <c r="K4" s="77">
        <f>J4*'Inflation Rates by Year'!F$2</f>
        <v>107359.67638978561</v>
      </c>
      <c r="L4" s="78">
        <f>K4/I4</f>
        <v>1095.5069019365878</v>
      </c>
    </row>
    <row r="5" spans="1:12" ht="15" customHeight="1">
      <c r="A5" s="74" t="s">
        <v>434</v>
      </c>
      <c r="B5" s="2">
        <v>4</v>
      </c>
      <c r="C5" s="74" t="s">
        <v>271</v>
      </c>
      <c r="D5" s="74" t="s">
        <v>435</v>
      </c>
      <c r="E5" s="75">
        <v>145000</v>
      </c>
      <c r="F5" s="63">
        <f>I5-I4</f>
        <v>32</v>
      </c>
      <c r="G5" s="63" t="e">
        <f>$B$6/$I$6*(F5)</f>
        <v>#DIV/0!</v>
      </c>
      <c r="H5" s="63" t="e">
        <f>$B$6/SQRT($I$6)*(SQRT(I5)-SQRT(I4))</f>
        <v>#DIV/0!</v>
      </c>
      <c r="I5" s="76" t="str">
        <f t="shared" si="0"/>
        <v xml:space="preserve">130 </v>
      </c>
      <c r="J5" s="76">
        <f t="shared" si="0"/>
        <v>145000</v>
      </c>
      <c r="K5" s="77">
        <f>J5*'Inflation Rates by Year'!F$2</f>
        <v>172968.36751687681</v>
      </c>
      <c r="L5" s="78">
        <f>K5/I5</f>
        <v>1330.5259039759756</v>
      </c>
    </row>
    <row r="6" spans="1:12" ht="15" customHeight="1">
      <c r="A6" s="74" t="s">
        <v>436</v>
      </c>
      <c r="B6" s="2">
        <v>5</v>
      </c>
      <c r="C6" s="74" t="s">
        <v>160</v>
      </c>
      <c r="D6" s="74" t="s">
        <v>437</v>
      </c>
      <c r="E6" s="75">
        <v>166000</v>
      </c>
    </row>
    <row r="7" spans="1:12" ht="15" customHeight="1">
      <c r="A7" s="74" t="s">
        <v>159</v>
      </c>
      <c r="B7" s="2">
        <v>6</v>
      </c>
      <c r="C7" s="74" t="s">
        <v>160</v>
      </c>
      <c r="D7" s="74" t="s">
        <v>438</v>
      </c>
      <c r="E7" s="75">
        <v>197000</v>
      </c>
    </row>
    <row r="8" spans="1:12" ht="15" customHeight="1">
      <c r="A8" s="74" t="s">
        <v>439</v>
      </c>
      <c r="B8" s="2">
        <v>7</v>
      </c>
      <c r="C8" s="74" t="s">
        <v>160</v>
      </c>
      <c r="D8" s="74" t="s">
        <v>440</v>
      </c>
      <c r="E8" s="75">
        <v>232000</v>
      </c>
    </row>
    <row r="9" spans="1:12" ht="15" customHeight="1">
      <c r="A9" s="74" t="s">
        <v>162</v>
      </c>
      <c r="B9" s="2">
        <v>8</v>
      </c>
      <c r="C9" s="74" t="s">
        <v>160</v>
      </c>
      <c r="D9" s="74" t="s">
        <v>441</v>
      </c>
      <c r="E9" s="75">
        <v>273000</v>
      </c>
    </row>
    <row r="10" spans="1:12" ht="15" customHeight="1">
      <c r="A10" s="74" t="s">
        <v>163</v>
      </c>
      <c r="B10" s="2">
        <v>9</v>
      </c>
      <c r="C10" s="74" t="s">
        <v>160</v>
      </c>
      <c r="D10" s="74" t="s">
        <v>442</v>
      </c>
      <c r="E10" s="75">
        <v>313000</v>
      </c>
    </row>
    <row r="11" spans="1:12" ht="15" customHeight="1">
      <c r="A11" s="74" t="s">
        <v>164</v>
      </c>
      <c r="B11" s="2">
        <v>10</v>
      </c>
      <c r="C11" s="74" t="s">
        <v>160</v>
      </c>
      <c r="D11" s="74" t="s">
        <v>443</v>
      </c>
      <c r="E11" s="75">
        <v>354000</v>
      </c>
    </row>
    <row r="12" spans="1:12" ht="15" customHeight="1">
      <c r="A12" s="74" t="s">
        <v>165</v>
      </c>
      <c r="B12" s="2">
        <v>11</v>
      </c>
      <c r="C12" s="74" t="s">
        <v>160</v>
      </c>
      <c r="D12" s="74" t="s">
        <v>444</v>
      </c>
      <c r="E12" s="75">
        <v>400000</v>
      </c>
    </row>
    <row r="13" spans="1:12" ht="15" customHeight="1">
      <c r="A13" s="74" t="s">
        <v>166</v>
      </c>
      <c r="B13" s="2">
        <v>12</v>
      </c>
      <c r="C13" s="74" t="s">
        <v>160</v>
      </c>
      <c r="D13" s="74" t="s">
        <v>445</v>
      </c>
      <c r="E13" s="75">
        <v>450000</v>
      </c>
    </row>
    <row r="14" spans="1:12" ht="15" customHeight="1">
      <c r="A14" s="74" t="s">
        <v>446</v>
      </c>
      <c r="B14" s="2">
        <v>13</v>
      </c>
      <c r="C14" s="74" t="s">
        <v>271</v>
      </c>
      <c r="D14" s="74" t="s">
        <v>447</v>
      </c>
      <c r="E14" s="75">
        <v>495000</v>
      </c>
    </row>
    <row r="15" spans="1:12" ht="15" customHeight="1">
      <c r="A15" s="74" t="s">
        <v>448</v>
      </c>
      <c r="B15" s="2">
        <v>14</v>
      </c>
      <c r="C15" s="74" t="s">
        <v>271</v>
      </c>
      <c r="D15" s="74" t="s">
        <v>449</v>
      </c>
      <c r="E15" s="75">
        <v>540000</v>
      </c>
    </row>
    <row r="16" spans="1:12" ht="15" customHeight="1">
      <c r="A16" s="74" t="s">
        <v>450</v>
      </c>
      <c r="B16" s="2">
        <v>15</v>
      </c>
      <c r="C16" s="74" t="s">
        <v>271</v>
      </c>
      <c r="D16" s="74" t="s">
        <v>451</v>
      </c>
      <c r="E16" s="75">
        <v>585000</v>
      </c>
    </row>
    <row r="17" spans="1:5" ht="15" customHeight="1">
      <c r="A17" s="74" t="s">
        <v>452</v>
      </c>
      <c r="B17" s="2">
        <v>16</v>
      </c>
      <c r="C17" s="74" t="s">
        <v>271</v>
      </c>
      <c r="D17" s="74" t="s">
        <v>453</v>
      </c>
      <c r="E17" s="75">
        <v>635000</v>
      </c>
    </row>
    <row r="18" spans="1:5" ht="15" customHeight="1">
      <c r="A18" s="74" t="s">
        <v>454</v>
      </c>
      <c r="B18" s="2">
        <v>17</v>
      </c>
      <c r="C18" s="74" t="s">
        <v>271</v>
      </c>
      <c r="D18" s="74" t="s">
        <v>455</v>
      </c>
      <c r="E18" s="75">
        <v>680000</v>
      </c>
    </row>
    <row r="19" spans="1:5" ht="15" customHeight="1">
      <c r="A19" s="74" t="s">
        <v>456</v>
      </c>
      <c r="B19" s="2">
        <v>18</v>
      </c>
      <c r="C19" s="74" t="s">
        <v>271</v>
      </c>
      <c r="D19" s="74" t="s">
        <v>457</v>
      </c>
      <c r="E19" s="75">
        <v>720000</v>
      </c>
    </row>
    <row r="20" spans="1:5" ht="15" customHeight="1">
      <c r="A20" s="74" t="s">
        <v>458</v>
      </c>
      <c r="B20" s="2">
        <v>19</v>
      </c>
      <c r="C20" s="74" t="s">
        <v>271</v>
      </c>
      <c r="D20" s="74" t="s">
        <v>459</v>
      </c>
      <c r="E20" s="75">
        <v>765000</v>
      </c>
    </row>
    <row r="21" spans="1:5" ht="14.5">
      <c r="A21" s="74" t="s">
        <v>460</v>
      </c>
      <c r="B21" s="2">
        <v>20</v>
      </c>
      <c r="C21" s="74" t="s">
        <v>271</v>
      </c>
      <c r="D21" s="74" t="s">
        <v>461</v>
      </c>
      <c r="E21" s="75">
        <v>825000</v>
      </c>
    </row>
    <row r="22" spans="1:5" ht="14.5">
      <c r="A22" s="74" t="s">
        <v>462</v>
      </c>
      <c r="B22" s="2">
        <v>21</v>
      </c>
      <c r="C22" s="74" t="s">
        <v>271</v>
      </c>
      <c r="D22" s="74" t="s">
        <v>463</v>
      </c>
      <c r="E22" s="75">
        <v>865000</v>
      </c>
    </row>
    <row r="23" spans="1:5" ht="14.5">
      <c r="A23" s="74" t="s">
        <v>464</v>
      </c>
      <c r="B23" s="2">
        <v>22</v>
      </c>
      <c r="C23" s="74" t="s">
        <v>271</v>
      </c>
      <c r="D23" s="74" t="s">
        <v>465</v>
      </c>
      <c r="E23" s="75">
        <v>905000</v>
      </c>
    </row>
    <row r="24" spans="1:5" ht="14.5">
      <c r="A24" s="74" t="s">
        <v>466</v>
      </c>
      <c r="B24" s="2">
        <v>23</v>
      </c>
      <c r="C24" s="74" t="s">
        <v>271</v>
      </c>
      <c r="D24" s="74" t="s">
        <v>467</v>
      </c>
      <c r="E24" s="75">
        <v>945000</v>
      </c>
    </row>
    <row r="25" spans="1:5" ht="14.5">
      <c r="A25" s="74" t="s">
        <v>468</v>
      </c>
      <c r="B25" s="2">
        <v>24</v>
      </c>
      <c r="C25" s="74" t="s">
        <v>271</v>
      </c>
      <c r="D25" s="74" t="s">
        <v>469</v>
      </c>
      <c r="E25" s="75">
        <v>975000</v>
      </c>
    </row>
    <row r="26" spans="1:5" ht="14.5">
      <c r="A26" s="74" t="s">
        <v>470</v>
      </c>
      <c r="B26" s="2">
        <v>25</v>
      </c>
      <c r="C26" s="74" t="s">
        <v>271</v>
      </c>
      <c r="D26" s="74" t="s">
        <v>471</v>
      </c>
      <c r="E26" s="75">
        <v>1005000</v>
      </c>
    </row>
    <row r="27" spans="1:5" ht="14.5">
      <c r="A27" s="74" t="s">
        <v>472</v>
      </c>
      <c r="B27" s="2">
        <v>26</v>
      </c>
      <c r="C27" s="74" t="s">
        <v>271</v>
      </c>
      <c r="D27" s="74" t="s">
        <v>473</v>
      </c>
      <c r="E27" s="75">
        <v>1040000</v>
      </c>
    </row>
    <row r="28" spans="1:5" ht="14.5">
      <c r="A28" s="74" t="s">
        <v>474</v>
      </c>
      <c r="B28" s="2">
        <v>27</v>
      </c>
      <c r="C28" s="74" t="s">
        <v>271</v>
      </c>
      <c r="D28" s="74" t="s">
        <v>475</v>
      </c>
      <c r="E28" s="75">
        <v>1085000</v>
      </c>
    </row>
    <row r="29" spans="1:5" ht="14.5">
      <c r="A29" s="74" t="s">
        <v>476</v>
      </c>
      <c r="B29" s="2">
        <v>28</v>
      </c>
      <c r="C29" s="74" t="s">
        <v>271</v>
      </c>
      <c r="D29" s="74" t="s">
        <v>477</v>
      </c>
      <c r="E29" s="75">
        <v>1135000</v>
      </c>
    </row>
    <row r="30" spans="1:5" ht="14.5">
      <c r="A30" s="74" t="s">
        <v>478</v>
      </c>
      <c r="B30" s="2">
        <v>29</v>
      </c>
      <c r="C30" s="74" t="s">
        <v>271</v>
      </c>
      <c r="D30" s="74" t="s">
        <v>479</v>
      </c>
      <c r="E30" s="75">
        <v>1165000</v>
      </c>
    </row>
    <row r="31" spans="1:5" ht="14.5">
      <c r="A31" s="74" t="s">
        <v>480</v>
      </c>
      <c r="B31" s="2">
        <v>30</v>
      </c>
      <c r="C31" s="74" t="s">
        <v>271</v>
      </c>
      <c r="D31" s="74" t="s">
        <v>479</v>
      </c>
      <c r="E31" s="75">
        <v>1200000</v>
      </c>
    </row>
    <row r="32" spans="1:5" ht="14.5">
      <c r="A32" s="74" t="s">
        <v>481</v>
      </c>
      <c r="B32" s="2">
        <v>31</v>
      </c>
      <c r="C32" s="74" t="s">
        <v>271</v>
      </c>
      <c r="D32" s="74" t="s">
        <v>482</v>
      </c>
      <c r="E32" s="75">
        <v>1250000</v>
      </c>
    </row>
    <row r="33" spans="1:5" ht="14.5">
      <c r="A33" s="74" t="s">
        <v>483</v>
      </c>
      <c r="B33" s="2">
        <v>32</v>
      </c>
      <c r="C33" s="74" t="s">
        <v>271</v>
      </c>
      <c r="D33" s="74" t="s">
        <v>482</v>
      </c>
      <c r="E33" s="75">
        <v>1275000</v>
      </c>
    </row>
    <row r="34" spans="1:5" ht="14.5">
      <c r="A34" s="74" t="s">
        <v>484</v>
      </c>
      <c r="B34" s="2">
        <v>33</v>
      </c>
      <c r="C34" s="74" t="s">
        <v>271</v>
      </c>
      <c r="D34" s="74" t="s">
        <v>485</v>
      </c>
      <c r="E34" s="75">
        <v>1300000</v>
      </c>
    </row>
    <row r="35" spans="1:5" ht="14.5">
      <c r="A35" s="74" t="s">
        <v>486</v>
      </c>
      <c r="B35" s="2">
        <v>34</v>
      </c>
      <c r="C35" s="74" t="s">
        <v>271</v>
      </c>
      <c r="D35" s="74" t="s">
        <v>487</v>
      </c>
      <c r="E35" s="75">
        <v>1330000</v>
      </c>
    </row>
    <row r="36" spans="1:5" ht="14.5">
      <c r="A36" s="74" t="s">
        <v>488</v>
      </c>
      <c r="B36" s="2">
        <v>35</v>
      </c>
      <c r="C36" s="74" t="s">
        <v>271</v>
      </c>
      <c r="D36" s="74" t="s">
        <v>489</v>
      </c>
      <c r="E36" s="75">
        <v>1335000</v>
      </c>
    </row>
    <row r="37" spans="1:5" ht="14.5">
      <c r="A37" s="74" t="s">
        <v>490</v>
      </c>
      <c r="B37" s="2">
        <v>36</v>
      </c>
      <c r="C37" s="74" t="s">
        <v>271</v>
      </c>
      <c r="D37" s="74" t="s">
        <v>491</v>
      </c>
      <c r="E37" s="75">
        <v>1360000</v>
      </c>
    </row>
    <row r="38" spans="1:5" ht="14.5">
      <c r="A38" s="74" t="s">
        <v>492</v>
      </c>
      <c r="B38" s="2">
        <v>37</v>
      </c>
      <c r="C38" s="74" t="s">
        <v>271</v>
      </c>
      <c r="D38" s="74" t="s">
        <v>491</v>
      </c>
      <c r="E38" s="75">
        <v>1370000</v>
      </c>
    </row>
    <row r="39" spans="1:5" ht="14.5">
      <c r="A39" s="74" t="s">
        <v>493</v>
      </c>
      <c r="B39" s="2">
        <v>38</v>
      </c>
      <c r="C39" s="74" t="s">
        <v>271</v>
      </c>
      <c r="D39" s="74" t="s">
        <v>491</v>
      </c>
      <c r="E39" s="75">
        <v>1390000</v>
      </c>
    </row>
    <row r="40" spans="1:5" ht="14.5">
      <c r="A40" s="74" t="s">
        <v>494</v>
      </c>
      <c r="B40" s="2">
        <v>39</v>
      </c>
      <c r="C40" s="74" t="s">
        <v>271</v>
      </c>
      <c r="D40" s="74" t="s">
        <v>495</v>
      </c>
      <c r="E40" s="75">
        <v>1390000</v>
      </c>
    </row>
    <row r="41" spans="1:5" ht="14.5">
      <c r="A41" s="74" t="s">
        <v>496</v>
      </c>
      <c r="B41" s="2">
        <v>40</v>
      </c>
      <c r="C41" s="74" t="s">
        <v>271</v>
      </c>
      <c r="D41" s="74" t="s">
        <v>495</v>
      </c>
      <c r="E41" s="75">
        <v>1440000</v>
      </c>
    </row>
    <row r="42" spans="1:5" ht="14.5">
      <c r="A42" s="74" t="s">
        <v>497</v>
      </c>
      <c r="B42" s="2">
        <v>41</v>
      </c>
      <c r="C42" s="74" t="s">
        <v>271</v>
      </c>
      <c r="D42" s="74" t="s">
        <v>495</v>
      </c>
      <c r="E42" s="75">
        <v>1460000</v>
      </c>
    </row>
    <row r="43" spans="1:5" ht="14.5">
      <c r="A43" s="74" t="s">
        <v>498</v>
      </c>
      <c r="B43" s="2">
        <v>42</v>
      </c>
      <c r="C43" s="74" t="s">
        <v>271</v>
      </c>
      <c r="D43" s="74" t="s">
        <v>495</v>
      </c>
      <c r="E43" s="75">
        <v>1475000</v>
      </c>
    </row>
    <row r="44" spans="1:5" ht="14.5">
      <c r="A44" s="74" t="s">
        <v>499</v>
      </c>
      <c r="B44" s="2">
        <v>43</v>
      </c>
      <c r="C44" s="74" t="s">
        <v>271</v>
      </c>
      <c r="D44" s="74" t="s">
        <v>500</v>
      </c>
      <c r="E44" s="75">
        <v>1485000</v>
      </c>
    </row>
    <row r="45" spans="1:5" ht="14.5">
      <c r="A45" s="74" t="s">
        <v>501</v>
      </c>
      <c r="B45" s="2">
        <v>44</v>
      </c>
      <c r="C45" s="74" t="s">
        <v>271</v>
      </c>
      <c r="D45" s="74" t="s">
        <v>500</v>
      </c>
      <c r="E45" s="75">
        <v>1490000</v>
      </c>
    </row>
    <row r="46" spans="1:5" ht="14.5">
      <c r="A46" s="74" t="s">
        <v>502</v>
      </c>
      <c r="B46" s="2">
        <v>45</v>
      </c>
      <c r="C46" s="74" t="s">
        <v>271</v>
      </c>
      <c r="D46" s="74" t="s">
        <v>503</v>
      </c>
      <c r="E46" s="75">
        <v>50145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22"/>
  <sheetViews>
    <sheetView workbookViewId="0"/>
  </sheetViews>
  <sheetFormatPr defaultColWidth="12.54296875" defaultRowHeight="15" customHeight="1"/>
  <cols>
    <col min="2" max="2" width="16.54296875" customWidth="1"/>
  </cols>
  <sheetData>
    <row r="1" spans="1:26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26" ht="15" customHeight="1">
      <c r="A2" s="74" t="s">
        <v>203</v>
      </c>
      <c r="B2" s="2">
        <v>1</v>
      </c>
      <c r="C2" s="74" t="s">
        <v>271</v>
      </c>
      <c r="D2" s="74" t="s">
        <v>169</v>
      </c>
      <c r="E2" s="75">
        <v>250000</v>
      </c>
      <c r="F2" s="63">
        <f>I2-0</f>
        <v>2000</v>
      </c>
      <c r="G2" s="63">
        <f t="shared" ref="G2:G22" si="0">$B$15/$I$15*(F2)</f>
        <v>0.48043925875085791</v>
      </c>
      <c r="H2" s="63">
        <f>$B$15/SQRT($I$15)*(SQRT(I2)-SQRT(0))</f>
        <v>2.5934821423160046</v>
      </c>
      <c r="I2" s="76" t="str">
        <f t="shared" ref="I2:I22" si="1">D2</f>
        <v xml:space="preserve">2000 </v>
      </c>
      <c r="J2" s="76">
        <f t="shared" ref="J2:J22" si="2">E2</f>
        <v>250000</v>
      </c>
      <c r="K2" s="77">
        <f>J2*'Inflation Rates by Year'!C$2</f>
        <v>282690</v>
      </c>
      <c r="L2" s="78">
        <f t="shared" ref="L2:L22" si="3">K2/I2</f>
        <v>141.345</v>
      </c>
    </row>
    <row r="3" spans="1:26" ht="15" customHeight="1">
      <c r="A3" s="74" t="s">
        <v>205</v>
      </c>
      <c r="B3" s="2">
        <v>2</v>
      </c>
      <c r="C3" s="74" t="s">
        <v>271</v>
      </c>
      <c r="D3" s="74" t="s">
        <v>504</v>
      </c>
      <c r="E3" s="75">
        <v>495000</v>
      </c>
      <c r="F3" s="63">
        <f t="shared" ref="F3:F10" si="4">I3-I2</f>
        <v>2300</v>
      </c>
      <c r="G3" s="63">
        <f t="shared" si="0"/>
        <v>0.55250514756348656</v>
      </c>
      <c r="H3" s="63">
        <f t="shared" ref="H3:H10" si="5">$B$15/SQRT($I$15)*(SQRT(I3)-SQRT(I2))</f>
        <v>1.20930915992513</v>
      </c>
      <c r="I3" s="76" t="str">
        <f t="shared" si="1"/>
        <v xml:space="preserve">4300 </v>
      </c>
      <c r="J3" s="76">
        <f t="shared" si="2"/>
        <v>495000</v>
      </c>
      <c r="K3" s="77">
        <f>J3*'Inflation Rates by Year'!C$2</f>
        <v>559726.19999999995</v>
      </c>
      <c r="L3" s="78">
        <f t="shared" si="3"/>
        <v>130.16888372093021</v>
      </c>
    </row>
    <row r="4" spans="1:26" ht="15" customHeight="1">
      <c r="A4" s="74" t="s">
        <v>207</v>
      </c>
      <c r="B4" s="2">
        <v>3</v>
      </c>
      <c r="C4" s="74" t="s">
        <v>271</v>
      </c>
      <c r="D4" s="74" t="s">
        <v>505</v>
      </c>
      <c r="E4" s="75">
        <v>495000</v>
      </c>
      <c r="F4" s="63">
        <f t="shared" si="4"/>
        <v>10700</v>
      </c>
      <c r="G4" s="63">
        <f t="shared" si="0"/>
        <v>2.57035003431709</v>
      </c>
      <c r="H4" s="63">
        <f t="shared" si="5"/>
        <v>3.2997520569253616</v>
      </c>
      <c r="I4" s="76" t="str">
        <f t="shared" si="1"/>
        <v xml:space="preserve">15000 </v>
      </c>
      <c r="J4" s="76">
        <f t="shared" si="2"/>
        <v>495000</v>
      </c>
      <c r="K4" s="77">
        <f>J4*'Inflation Rates by Year'!C$2</f>
        <v>559726.19999999995</v>
      </c>
      <c r="L4" s="78">
        <f t="shared" si="3"/>
        <v>37.315079999999995</v>
      </c>
    </row>
    <row r="5" spans="1:26" ht="15" customHeight="1">
      <c r="A5" s="74" t="s">
        <v>209</v>
      </c>
      <c r="B5" s="2">
        <v>4</v>
      </c>
      <c r="C5" s="74" t="s">
        <v>271</v>
      </c>
      <c r="D5" s="74" t="s">
        <v>506</v>
      </c>
      <c r="E5" s="75">
        <v>600000</v>
      </c>
      <c r="F5" s="63">
        <f t="shared" si="4"/>
        <v>38314</v>
      </c>
      <c r="G5" s="63">
        <f t="shared" si="0"/>
        <v>9.2037748798901848</v>
      </c>
      <c r="H5" s="63">
        <f t="shared" si="5"/>
        <v>6.2877131912996935</v>
      </c>
      <c r="I5" s="76" t="str">
        <f t="shared" si="1"/>
        <v xml:space="preserve">53314 </v>
      </c>
      <c r="J5" s="76">
        <f t="shared" si="2"/>
        <v>600000</v>
      </c>
      <c r="K5" s="77">
        <f>J5*'Inflation Rates by Year'!C$2</f>
        <v>678456</v>
      </c>
      <c r="L5" s="78">
        <f t="shared" si="3"/>
        <v>12.72566305285666</v>
      </c>
    </row>
    <row r="6" spans="1:26" ht="15" customHeight="1">
      <c r="A6" s="74" t="s">
        <v>211</v>
      </c>
      <c r="B6" s="2">
        <v>5</v>
      </c>
      <c r="C6" s="74" t="s">
        <v>271</v>
      </c>
      <c r="D6" s="74" t="s">
        <v>506</v>
      </c>
      <c r="E6" s="75">
        <v>2000000</v>
      </c>
      <c r="F6" s="63">
        <f t="shared" si="4"/>
        <v>0</v>
      </c>
      <c r="G6" s="63">
        <f t="shared" si="0"/>
        <v>0</v>
      </c>
      <c r="H6" s="63">
        <f t="shared" si="5"/>
        <v>0</v>
      </c>
      <c r="I6" s="76" t="str">
        <f t="shared" si="1"/>
        <v xml:space="preserve">53314 </v>
      </c>
      <c r="J6" s="76">
        <f t="shared" si="2"/>
        <v>2000000</v>
      </c>
      <c r="K6" s="77">
        <f>J6*'Inflation Rates by Year'!C$2</f>
        <v>2261520</v>
      </c>
      <c r="L6" s="78">
        <f t="shared" si="3"/>
        <v>42.418876842855532</v>
      </c>
    </row>
    <row r="7" spans="1:26" ht="15" customHeight="1">
      <c r="A7" s="74" t="s">
        <v>212</v>
      </c>
      <c r="B7" s="2">
        <v>6</v>
      </c>
      <c r="C7" s="74" t="s">
        <v>198</v>
      </c>
      <c r="D7" s="74" t="s">
        <v>507</v>
      </c>
      <c r="E7" s="75">
        <v>2650000</v>
      </c>
      <c r="F7" s="63">
        <f t="shared" si="4"/>
        <v>2656</v>
      </c>
      <c r="G7" s="63">
        <f t="shared" si="0"/>
        <v>0.63802333562113933</v>
      </c>
      <c r="H7" s="63">
        <f t="shared" si="5"/>
        <v>0.32948459818521741</v>
      </c>
      <c r="I7" s="76" t="str">
        <f t="shared" si="1"/>
        <v xml:space="preserve">55970 </v>
      </c>
      <c r="J7" s="76">
        <f t="shared" si="2"/>
        <v>2650000</v>
      </c>
      <c r="K7" s="77">
        <f>J7*'Inflation Rates by Year'!C$2</f>
        <v>2996514</v>
      </c>
      <c r="L7" s="78">
        <f t="shared" si="3"/>
        <v>53.53785956762551</v>
      </c>
    </row>
    <row r="8" spans="1:26" ht="15" customHeight="1">
      <c r="A8" s="74" t="s">
        <v>214</v>
      </c>
      <c r="B8" s="2">
        <v>7</v>
      </c>
      <c r="C8" s="74" t="s">
        <v>271</v>
      </c>
      <c r="D8" s="74" t="s">
        <v>508</v>
      </c>
      <c r="E8" s="75">
        <v>2950000</v>
      </c>
      <c r="F8" s="63">
        <f t="shared" si="4"/>
        <v>484</v>
      </c>
      <c r="G8" s="63">
        <f t="shared" si="0"/>
        <v>0.11626630061770761</v>
      </c>
      <c r="H8" s="63">
        <f t="shared" si="5"/>
        <v>5.9192968131593866E-2</v>
      </c>
      <c r="I8" s="76" t="str">
        <f t="shared" si="1"/>
        <v xml:space="preserve">56454 </v>
      </c>
      <c r="J8" s="76">
        <f t="shared" si="2"/>
        <v>2950000</v>
      </c>
      <c r="K8" s="77">
        <f>J8*'Inflation Rates by Year'!C$2</f>
        <v>3335742</v>
      </c>
      <c r="L8" s="78">
        <f t="shared" si="3"/>
        <v>59.087788287809545</v>
      </c>
    </row>
    <row r="9" spans="1:26" ht="15" customHeight="1">
      <c r="A9" s="74" t="s">
        <v>215</v>
      </c>
      <c r="B9" s="2">
        <v>8</v>
      </c>
      <c r="C9" s="74" t="s">
        <v>271</v>
      </c>
      <c r="D9" s="74" t="s">
        <v>509</v>
      </c>
      <c r="E9" s="75">
        <v>5000000</v>
      </c>
      <c r="F9" s="63">
        <f t="shared" si="4"/>
        <v>1006</v>
      </c>
      <c r="G9" s="63">
        <f t="shared" si="0"/>
        <v>0.24166094715168152</v>
      </c>
      <c r="H9" s="63">
        <f t="shared" si="5"/>
        <v>0.12222693741567631</v>
      </c>
      <c r="I9" s="76" t="str">
        <f t="shared" si="1"/>
        <v xml:space="preserve">57460 </v>
      </c>
      <c r="J9" s="76">
        <f t="shared" si="2"/>
        <v>5000000</v>
      </c>
      <c r="K9" s="77">
        <f>J9*'Inflation Rates by Year'!C$2</f>
        <v>5653800</v>
      </c>
      <c r="L9" s="78">
        <f t="shared" si="3"/>
        <v>98.395405499477903</v>
      </c>
    </row>
    <row r="10" spans="1:26" ht="15" customHeight="1">
      <c r="A10" s="74" t="s">
        <v>216</v>
      </c>
      <c r="B10" s="2">
        <v>9</v>
      </c>
      <c r="C10" s="74" t="s">
        <v>271</v>
      </c>
      <c r="D10" s="74" t="s">
        <v>510</v>
      </c>
      <c r="E10" s="75">
        <v>6100000</v>
      </c>
      <c r="F10" s="63">
        <f t="shared" si="4"/>
        <v>18</v>
      </c>
      <c r="G10" s="63">
        <f t="shared" si="0"/>
        <v>4.3239533287577209E-3</v>
      </c>
      <c r="H10" s="63">
        <f t="shared" si="5"/>
        <v>2.177178088297615E-3</v>
      </c>
      <c r="I10" s="76" t="str">
        <f t="shared" si="1"/>
        <v xml:space="preserve">57478 </v>
      </c>
      <c r="J10" s="76">
        <f t="shared" si="2"/>
        <v>6100000</v>
      </c>
      <c r="K10" s="77">
        <f>J10*'Inflation Rates by Year'!C$2</f>
        <v>6897636</v>
      </c>
      <c r="L10" s="78">
        <f t="shared" si="3"/>
        <v>120.00480183722468</v>
      </c>
    </row>
    <row r="11" spans="1:26" ht="15" customHeight="1">
      <c r="A11" s="74" t="s">
        <v>218</v>
      </c>
      <c r="B11" s="2">
        <v>10</v>
      </c>
      <c r="C11" s="74" t="s">
        <v>271</v>
      </c>
      <c r="D11" s="74" t="s">
        <v>511</v>
      </c>
      <c r="E11" s="75">
        <v>6850000</v>
      </c>
      <c r="F11" s="63">
        <f>I11-0</f>
        <v>58087</v>
      </c>
      <c r="G11" s="63">
        <f t="shared" si="0"/>
        <v>13.953637611530542</v>
      </c>
      <c r="H11" s="63">
        <f>$B$15/SQRT($I$15)*(SQRT(I11)-SQRT(0))</f>
        <v>13.976799582215794</v>
      </c>
      <c r="I11" s="76" t="str">
        <f t="shared" si="1"/>
        <v xml:space="preserve">58087 </v>
      </c>
      <c r="J11" s="76">
        <f t="shared" si="2"/>
        <v>6850000</v>
      </c>
      <c r="K11" s="77">
        <f>J11*'Inflation Rates by Year'!C$2</f>
        <v>7745706</v>
      </c>
      <c r="L11" s="78">
        <f t="shared" si="3"/>
        <v>133.34663521958441</v>
      </c>
    </row>
    <row r="12" spans="1:26" ht="15" customHeight="1">
      <c r="A12" s="74" t="s">
        <v>220</v>
      </c>
      <c r="B12" s="2">
        <v>11</v>
      </c>
      <c r="C12" s="74" t="s">
        <v>271</v>
      </c>
      <c r="D12" s="74" t="s">
        <v>512</v>
      </c>
      <c r="E12" s="75">
        <v>7400000</v>
      </c>
      <c r="F12" s="63">
        <f t="shared" ref="F12:F19" si="6">I12-I11</f>
        <v>178</v>
      </c>
      <c r="G12" s="63">
        <f t="shared" si="0"/>
        <v>4.2759094028826355E-2</v>
      </c>
      <c r="H12" s="63">
        <f t="shared" ref="H12:H19" si="7">$B$15/SQRT($I$15)*(SQRT(I12)-SQRT(I11))</f>
        <v>2.1398654622801948E-2</v>
      </c>
      <c r="I12" s="76" t="str">
        <f t="shared" si="1"/>
        <v xml:space="preserve">58265 </v>
      </c>
      <c r="J12" s="76">
        <f t="shared" si="2"/>
        <v>7400000</v>
      </c>
      <c r="K12" s="77">
        <f>J12*'Inflation Rates by Year'!C$2</f>
        <v>8367624</v>
      </c>
      <c r="L12" s="78">
        <f t="shared" si="3"/>
        <v>143.61321548099201</v>
      </c>
    </row>
    <row r="13" spans="1:26" ht="15" customHeight="1">
      <c r="A13" s="74" t="s">
        <v>222</v>
      </c>
      <c r="B13" s="2">
        <v>12</v>
      </c>
      <c r="C13" s="74" t="s">
        <v>198</v>
      </c>
      <c r="D13" s="74" t="s">
        <v>513</v>
      </c>
      <c r="E13" s="75">
        <v>7800000</v>
      </c>
      <c r="F13" s="63">
        <f t="shared" si="6"/>
        <v>11</v>
      </c>
      <c r="G13" s="63">
        <f t="shared" si="0"/>
        <v>2.6424159231297185E-3</v>
      </c>
      <c r="H13" s="63">
        <f t="shared" si="7"/>
        <v>1.3213156587321331E-3</v>
      </c>
      <c r="I13" s="76" t="str">
        <f t="shared" si="1"/>
        <v xml:space="preserve">58276 </v>
      </c>
      <c r="J13" s="76">
        <f t="shared" si="2"/>
        <v>7800000</v>
      </c>
      <c r="K13" s="77">
        <f>J13*'Inflation Rates by Year'!C$2</f>
        <v>8819928</v>
      </c>
      <c r="L13" s="78">
        <f t="shared" si="3"/>
        <v>151.34751870409775</v>
      </c>
    </row>
    <row r="14" spans="1:26" ht="15" customHeight="1">
      <c r="A14" s="74" t="s">
        <v>223</v>
      </c>
      <c r="B14" s="2">
        <v>13</v>
      </c>
      <c r="C14" s="74" t="s">
        <v>198</v>
      </c>
      <c r="D14" s="74" t="s">
        <v>513</v>
      </c>
      <c r="E14" s="75">
        <v>8300000</v>
      </c>
      <c r="F14" s="63">
        <f t="shared" si="6"/>
        <v>0</v>
      </c>
      <c r="G14" s="63">
        <f t="shared" si="0"/>
        <v>0</v>
      </c>
      <c r="H14" s="63">
        <f t="shared" si="7"/>
        <v>0</v>
      </c>
      <c r="I14" s="76" t="str">
        <f t="shared" si="1"/>
        <v xml:space="preserve">58276 </v>
      </c>
      <c r="J14" s="76">
        <f t="shared" si="2"/>
        <v>8300000</v>
      </c>
      <c r="K14" s="77">
        <f>J14*'Inflation Rates by Year'!C$2</f>
        <v>9385308</v>
      </c>
      <c r="L14" s="78">
        <f t="shared" si="3"/>
        <v>161.04928272359118</v>
      </c>
    </row>
    <row r="15" spans="1:26" ht="15" customHeight="1">
      <c r="A15" s="68" t="s">
        <v>225</v>
      </c>
      <c r="B15" s="69">
        <v>14</v>
      </c>
      <c r="C15" s="68" t="s">
        <v>271</v>
      </c>
      <c r="D15" s="68" t="s">
        <v>514</v>
      </c>
      <c r="E15" s="70">
        <v>8550000</v>
      </c>
      <c r="F15" s="71">
        <f t="shared" si="6"/>
        <v>4</v>
      </c>
      <c r="G15" s="71">
        <f t="shared" si="0"/>
        <v>9.6087851750171582E-4</v>
      </c>
      <c r="H15" s="71">
        <f t="shared" si="7"/>
        <v>4.8044750267263074E-4</v>
      </c>
      <c r="I15" s="72" t="str">
        <f t="shared" si="1"/>
        <v xml:space="preserve">58280 </v>
      </c>
      <c r="J15" s="72">
        <f t="shared" si="2"/>
        <v>8550000</v>
      </c>
      <c r="K15" s="77">
        <f>J15*'Inflation Rates by Year'!C$2</f>
        <v>9667998</v>
      </c>
      <c r="L15" s="73">
        <f t="shared" si="3"/>
        <v>165.88877831159917</v>
      </c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5" customHeight="1">
      <c r="A16" s="74" t="s">
        <v>226</v>
      </c>
      <c r="B16" s="2">
        <v>15</v>
      </c>
      <c r="C16" s="74" t="s">
        <v>271</v>
      </c>
      <c r="D16" s="74" t="s">
        <v>514</v>
      </c>
      <c r="E16" s="75">
        <v>8900000</v>
      </c>
      <c r="F16" s="63">
        <f t="shared" si="6"/>
        <v>0</v>
      </c>
      <c r="G16" s="63">
        <f t="shared" si="0"/>
        <v>0</v>
      </c>
      <c r="H16" s="63">
        <f t="shared" si="7"/>
        <v>0</v>
      </c>
      <c r="I16" s="76" t="str">
        <f t="shared" si="1"/>
        <v xml:space="preserve">58280 </v>
      </c>
      <c r="J16" s="76">
        <f t="shared" si="2"/>
        <v>8900000</v>
      </c>
      <c r="K16" s="77">
        <f>J16*'Inflation Rates by Year'!C$2</f>
        <v>10063764</v>
      </c>
      <c r="L16" s="78">
        <f t="shared" si="3"/>
        <v>172.67954701441317</v>
      </c>
    </row>
    <row r="17" spans="1:12" ht="15" customHeight="1">
      <c r="A17" s="74" t="s">
        <v>228</v>
      </c>
      <c r="B17" s="2">
        <v>16</v>
      </c>
      <c r="C17" s="74" t="s">
        <v>271</v>
      </c>
      <c r="D17" s="74" t="s">
        <v>514</v>
      </c>
      <c r="E17" s="75">
        <v>9200000</v>
      </c>
      <c r="F17" s="63">
        <f t="shared" si="6"/>
        <v>0</v>
      </c>
      <c r="G17" s="63">
        <f t="shared" si="0"/>
        <v>0</v>
      </c>
      <c r="H17" s="63">
        <f t="shared" si="7"/>
        <v>0</v>
      </c>
      <c r="I17" s="76" t="str">
        <f t="shared" si="1"/>
        <v xml:space="preserve">58280 </v>
      </c>
      <c r="J17" s="76">
        <f t="shared" si="2"/>
        <v>9200000</v>
      </c>
      <c r="K17" s="77">
        <f>J17*'Inflation Rates by Year'!C$2</f>
        <v>10402992</v>
      </c>
      <c r="L17" s="78">
        <f t="shared" si="3"/>
        <v>178.50020590253948</v>
      </c>
    </row>
    <row r="18" spans="1:12" ht="15" customHeight="1">
      <c r="A18" s="74" t="s">
        <v>231</v>
      </c>
      <c r="B18" s="2">
        <v>17</v>
      </c>
      <c r="C18" s="74" t="s">
        <v>271</v>
      </c>
      <c r="D18" s="74" t="s">
        <v>514</v>
      </c>
      <c r="E18" s="75">
        <v>7500000</v>
      </c>
      <c r="F18" s="63">
        <f t="shared" si="6"/>
        <v>0</v>
      </c>
      <c r="G18" s="63">
        <f t="shared" si="0"/>
        <v>0</v>
      </c>
      <c r="H18" s="63">
        <f t="shared" si="7"/>
        <v>0</v>
      </c>
      <c r="I18" s="76" t="str">
        <f t="shared" si="1"/>
        <v xml:space="preserve">58280 </v>
      </c>
      <c r="J18" s="76">
        <f t="shared" si="2"/>
        <v>7500000</v>
      </c>
      <c r="K18" s="77">
        <f>J18*'Inflation Rates by Year'!C$2</f>
        <v>8480700</v>
      </c>
      <c r="L18" s="78">
        <f t="shared" si="3"/>
        <v>145.51647220315718</v>
      </c>
    </row>
    <row r="19" spans="1:12" ht="15" customHeight="1">
      <c r="A19" s="74" t="s">
        <v>232</v>
      </c>
      <c r="B19" s="2">
        <v>18</v>
      </c>
      <c r="C19" s="74" t="s">
        <v>168</v>
      </c>
      <c r="D19" s="74" t="s">
        <v>514</v>
      </c>
      <c r="E19" s="75">
        <v>8000000</v>
      </c>
      <c r="F19" s="63">
        <f t="shared" si="6"/>
        <v>0</v>
      </c>
      <c r="G19" s="63">
        <f t="shared" si="0"/>
        <v>0</v>
      </c>
      <c r="H19" s="63">
        <f t="shared" si="7"/>
        <v>0</v>
      </c>
      <c r="I19" s="76" t="str">
        <f t="shared" si="1"/>
        <v xml:space="preserve">58280 </v>
      </c>
      <c r="J19" s="76">
        <f t="shared" si="2"/>
        <v>8000000</v>
      </c>
      <c r="K19" s="77">
        <f>J19*'Inflation Rates by Year'!C$2</f>
        <v>9046080</v>
      </c>
      <c r="L19" s="78">
        <f t="shared" si="3"/>
        <v>155.21757035003432</v>
      </c>
    </row>
    <row r="20" spans="1:12" ht="15" customHeight="1">
      <c r="A20" s="74" t="s">
        <v>233</v>
      </c>
      <c r="B20" s="2">
        <v>19</v>
      </c>
      <c r="C20" s="74" t="s">
        <v>168</v>
      </c>
      <c r="D20" s="74" t="s">
        <v>509</v>
      </c>
      <c r="E20" s="75">
        <v>7900000</v>
      </c>
      <c r="F20" s="63">
        <f>I20-0</f>
        <v>57460</v>
      </c>
      <c r="G20" s="63">
        <f t="shared" si="0"/>
        <v>13.803019903912148</v>
      </c>
      <c r="H20" s="63">
        <f>$B$15/SQRT($I$15)*(SQRT(I20)-SQRT(0))</f>
        <v>13.901161054198678</v>
      </c>
      <c r="I20" s="76" t="str">
        <f t="shared" si="1"/>
        <v xml:space="preserve">57460 </v>
      </c>
      <c r="J20" s="76">
        <f t="shared" si="2"/>
        <v>7900000</v>
      </c>
      <c r="K20" s="77">
        <f>J20*'Inflation Rates by Year'!C$2</f>
        <v>8933004</v>
      </c>
      <c r="L20" s="78">
        <f t="shared" si="3"/>
        <v>155.46474068917507</v>
      </c>
    </row>
    <row r="21" spans="1:12" ht="14.5">
      <c r="A21" s="74" t="s">
        <v>259</v>
      </c>
      <c r="B21" s="2">
        <v>20</v>
      </c>
      <c r="C21" s="74" t="s">
        <v>271</v>
      </c>
      <c r="D21" s="74" t="s">
        <v>514</v>
      </c>
      <c r="E21" s="75">
        <v>8000000</v>
      </c>
      <c r="F21" s="63">
        <f>I21-I20</f>
        <v>820</v>
      </c>
      <c r="G21" s="63">
        <f t="shared" si="0"/>
        <v>0.19698009608785175</v>
      </c>
      <c r="H21" s="63">
        <f>$B$15/SQRT($I$15)*(SQRT(I21)-SQRT(I20))</f>
        <v>9.8838945801323505E-2</v>
      </c>
      <c r="I21" s="76" t="str">
        <f t="shared" si="1"/>
        <v xml:space="preserve">58280 </v>
      </c>
      <c r="J21" s="76">
        <f t="shared" si="2"/>
        <v>8000000</v>
      </c>
      <c r="K21" s="77">
        <f>J21*'Inflation Rates by Year'!C$2</f>
        <v>9046080</v>
      </c>
      <c r="L21" s="78">
        <f t="shared" si="3"/>
        <v>155.21757035003432</v>
      </c>
    </row>
    <row r="22" spans="1:12" ht="14.5">
      <c r="A22" s="74" t="s">
        <v>515</v>
      </c>
      <c r="B22" s="2">
        <v>21</v>
      </c>
      <c r="C22" s="74" t="s">
        <v>168</v>
      </c>
      <c r="D22" s="74" t="s">
        <v>516</v>
      </c>
      <c r="E22" s="75">
        <v>20000000</v>
      </c>
      <c r="F22" s="63">
        <f>I22-I21</f>
        <v>-46</v>
      </c>
      <c r="G22" s="63">
        <f t="shared" si="0"/>
        <v>-1.1050102951269732E-2</v>
      </c>
      <c r="H22" s="63">
        <f>$B$15/SQRT($I$15)*(SQRT(I22)-SQRT(I21))</f>
        <v>-5.5261421273058216E-3</v>
      </c>
      <c r="I22" s="76" t="str">
        <f t="shared" si="1"/>
        <v xml:space="preserve">58234 </v>
      </c>
      <c r="J22" s="76">
        <f t="shared" si="2"/>
        <v>20000000</v>
      </c>
      <c r="K22" s="77">
        <f>J22*'Inflation Rates by Year'!C$2</f>
        <v>22615200</v>
      </c>
      <c r="L22" s="78">
        <f t="shared" si="3"/>
        <v>388.35044819177801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9"/>
  <sheetViews>
    <sheetView workbookViewId="0"/>
  </sheetViews>
  <sheetFormatPr defaultColWidth="12.54296875" defaultRowHeight="15" customHeight="1"/>
  <sheetData>
    <row r="1" spans="1:26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26" ht="15" customHeight="1">
      <c r="A2" s="74" t="s">
        <v>304</v>
      </c>
      <c r="B2" s="2">
        <v>1</v>
      </c>
      <c r="C2" s="74" t="s">
        <v>168</v>
      </c>
      <c r="D2" s="74" t="s">
        <v>517</v>
      </c>
      <c r="E2" s="75">
        <v>200000</v>
      </c>
      <c r="F2" s="63">
        <f>I2-0</f>
        <v>47000</v>
      </c>
      <c r="G2" s="63">
        <f t="shared" ref="G2:G9" si="0">$B$7/$I$7*(F2)</f>
        <v>6.4055969471197525</v>
      </c>
      <c r="H2" s="63">
        <f>$B$7/SQRT($I$7)*(SQRT(I2)-SQRT(0))</f>
        <v>6.1994823721596717</v>
      </c>
      <c r="I2" s="76" t="str">
        <f t="shared" ref="I2:J9" si="1">D2</f>
        <v xml:space="preserve">47000 </v>
      </c>
      <c r="J2" s="76">
        <f t="shared" si="1"/>
        <v>200000</v>
      </c>
      <c r="K2" s="77">
        <f>J2*'Inflation Rates by Year'!F$2</f>
        <v>238577.05864396802</v>
      </c>
      <c r="L2" s="78">
        <f t="shared" ref="L2:L9" si="2">K2/I2</f>
        <v>5.0761076307227242</v>
      </c>
    </row>
    <row r="3" spans="1:26" ht="15" customHeight="1">
      <c r="A3" s="74" t="s">
        <v>306</v>
      </c>
      <c r="B3" s="2">
        <v>2</v>
      </c>
      <c r="C3" s="74" t="s">
        <v>168</v>
      </c>
      <c r="D3" s="74" t="s">
        <v>518</v>
      </c>
      <c r="E3" s="75">
        <v>218204</v>
      </c>
      <c r="F3" s="63">
        <f>I3-I2</f>
        <v>-5845</v>
      </c>
      <c r="G3" s="63">
        <f t="shared" si="0"/>
        <v>-0.79661093948755224</v>
      </c>
      <c r="H3" s="63">
        <f t="shared" ref="H3:H9" si="3">$B$7/SQRT($I$7)*(SQRT(I3)-SQRT(I2))</f>
        <v>-0.39828283708132695</v>
      </c>
      <c r="I3" s="76" t="str">
        <f t="shared" si="1"/>
        <v xml:space="preserve">41155 </v>
      </c>
      <c r="J3" s="76">
        <f t="shared" si="1"/>
        <v>218204</v>
      </c>
      <c r="K3" s="77">
        <f>J3*'Inflation Rates by Year'!F$2</f>
        <v>260292.34252174202</v>
      </c>
      <c r="L3" s="78">
        <f t="shared" si="2"/>
        <v>6.3246833318367637</v>
      </c>
    </row>
    <row r="4" spans="1:26" ht="15" customHeight="1">
      <c r="A4" s="74" t="s">
        <v>308</v>
      </c>
      <c r="B4" s="2">
        <v>3</v>
      </c>
      <c r="C4" s="74" t="s">
        <v>168</v>
      </c>
      <c r="D4" s="74" t="s">
        <v>519</v>
      </c>
      <c r="E4" s="75">
        <v>527027</v>
      </c>
      <c r="F4" s="63">
        <f>I4-I3</f>
        <v>1270</v>
      </c>
      <c r="G4" s="63">
        <f t="shared" si="0"/>
        <v>0.17308740686898055</v>
      </c>
      <c r="H4" s="63">
        <f t="shared" si="3"/>
        <v>8.8829368671371201E-2</v>
      </c>
      <c r="I4" s="76" t="str">
        <f t="shared" si="1"/>
        <v xml:space="preserve">42425 </v>
      </c>
      <c r="J4" s="76">
        <f t="shared" si="1"/>
        <v>527027</v>
      </c>
      <c r="K4" s="77">
        <f>J4*'Inflation Rates by Year'!F$2</f>
        <v>628682.75742977276</v>
      </c>
      <c r="L4" s="78">
        <f t="shared" si="2"/>
        <v>14.818686091450154</v>
      </c>
    </row>
    <row r="5" spans="1:26" ht="15" customHeight="1">
      <c r="A5" s="74" t="s">
        <v>310</v>
      </c>
      <c r="B5" s="2">
        <v>4</v>
      </c>
      <c r="C5" s="74" t="s">
        <v>168</v>
      </c>
      <c r="D5" s="74" t="s">
        <v>520</v>
      </c>
      <c r="E5" s="75">
        <v>932464</v>
      </c>
      <c r="F5" s="63">
        <f>I5-I4</f>
        <v>-977</v>
      </c>
      <c r="G5" s="63">
        <f t="shared" si="0"/>
        <v>-0.13315464292204252</v>
      </c>
      <c r="H5" s="63">
        <f t="shared" si="3"/>
        <v>-6.821538651345635E-2</v>
      </c>
      <c r="I5" s="76" t="str">
        <f t="shared" si="1"/>
        <v xml:space="preserve">41448 </v>
      </c>
      <c r="J5" s="76">
        <f t="shared" si="1"/>
        <v>932464</v>
      </c>
      <c r="K5" s="77">
        <f>J5*'Inflation Rates by Year'!F$2</f>
        <v>1112322.592056945</v>
      </c>
      <c r="L5" s="78">
        <f t="shared" si="2"/>
        <v>26.836580584272944</v>
      </c>
    </row>
    <row r="6" spans="1:26" ht="15" customHeight="1">
      <c r="A6" s="74" t="s">
        <v>312</v>
      </c>
      <c r="B6" s="2">
        <v>5</v>
      </c>
      <c r="C6" s="74" t="s">
        <v>168</v>
      </c>
      <c r="D6" s="74" t="s">
        <v>521</v>
      </c>
      <c r="E6" s="75">
        <v>1326414</v>
      </c>
      <c r="F6" s="63">
        <f>I6-0</f>
        <v>43582</v>
      </c>
      <c r="G6" s="63">
        <f t="shared" si="0"/>
        <v>5.9397601308377244</v>
      </c>
      <c r="H6" s="63">
        <f t="shared" si="3"/>
        <v>0.1479905653971352</v>
      </c>
      <c r="I6" s="76" t="str">
        <f t="shared" si="1"/>
        <v xml:space="preserve">43582 </v>
      </c>
      <c r="J6" s="76">
        <f t="shared" si="1"/>
        <v>1326414</v>
      </c>
      <c r="K6" s="77">
        <f>J6*'Inflation Rates by Year'!F$2</f>
        <v>1582259.753320901</v>
      </c>
      <c r="L6" s="78">
        <f t="shared" si="2"/>
        <v>36.305349761848952</v>
      </c>
    </row>
    <row r="7" spans="1:26" ht="15" customHeight="1">
      <c r="A7" s="68" t="s">
        <v>314</v>
      </c>
      <c r="B7" s="69">
        <v>6</v>
      </c>
      <c r="C7" s="68" t="s">
        <v>168</v>
      </c>
      <c r="D7" s="68" t="s">
        <v>522</v>
      </c>
      <c r="E7" s="70">
        <v>1588135</v>
      </c>
      <c r="F7" s="71">
        <f>I7-I6</f>
        <v>442</v>
      </c>
      <c r="G7" s="63">
        <f t="shared" si="0"/>
        <v>6.0239869162275118E-2</v>
      </c>
      <c r="H7" s="63">
        <f t="shared" si="3"/>
        <v>3.019591736660528E-2</v>
      </c>
      <c r="I7" s="72" t="str">
        <f t="shared" si="1"/>
        <v xml:space="preserve">44024 </v>
      </c>
      <c r="J7" s="72">
        <f t="shared" si="1"/>
        <v>1588135</v>
      </c>
      <c r="K7" s="73">
        <f>J7*'Inflation Rates by Year'!F$2</f>
        <v>1894462.8851476908</v>
      </c>
      <c r="L7" s="73">
        <f t="shared" si="2"/>
        <v>43.03250238841747</v>
      </c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5" customHeight="1">
      <c r="A8" s="74" t="s">
        <v>318</v>
      </c>
      <c r="B8" s="2">
        <v>7</v>
      </c>
      <c r="C8" s="74" t="s">
        <v>168</v>
      </c>
      <c r="D8" s="74" t="s">
        <v>522</v>
      </c>
      <c r="E8" s="75">
        <v>1800000</v>
      </c>
      <c r="F8" s="63">
        <f>I8-I7</f>
        <v>0</v>
      </c>
      <c r="G8" s="63">
        <f t="shared" si="0"/>
        <v>0</v>
      </c>
      <c r="H8" s="63">
        <f t="shared" si="3"/>
        <v>0</v>
      </c>
      <c r="I8" s="76" t="str">
        <f t="shared" si="1"/>
        <v xml:space="preserve">44024 </v>
      </c>
      <c r="J8" s="76">
        <f t="shared" si="1"/>
        <v>1800000</v>
      </c>
      <c r="K8" s="77">
        <f>J8*'Inflation Rates by Year'!F$2</f>
        <v>2147193.5277957125</v>
      </c>
      <c r="L8" s="78">
        <f t="shared" si="2"/>
        <v>48.773249313913148</v>
      </c>
    </row>
    <row r="9" spans="1:26" ht="15" customHeight="1">
      <c r="A9" s="74" t="s">
        <v>320</v>
      </c>
      <c r="B9" s="2">
        <v>8</v>
      </c>
      <c r="C9" s="74" t="s">
        <v>168</v>
      </c>
      <c r="D9" s="74" t="s">
        <v>522</v>
      </c>
      <c r="E9" s="75">
        <v>1800000</v>
      </c>
      <c r="F9" s="63">
        <f>I9-I8</f>
        <v>0</v>
      </c>
      <c r="G9" s="63">
        <f t="shared" si="0"/>
        <v>0</v>
      </c>
      <c r="H9" s="63">
        <f t="shared" si="3"/>
        <v>0</v>
      </c>
      <c r="I9" s="76" t="str">
        <f t="shared" si="1"/>
        <v xml:space="preserve">44024 </v>
      </c>
      <c r="J9" s="76">
        <f t="shared" si="1"/>
        <v>1800000</v>
      </c>
      <c r="K9" s="77">
        <f>J9*'Inflation Rates by Year'!F$2</f>
        <v>2147193.5277957125</v>
      </c>
      <c r="L9" s="78">
        <f t="shared" si="2"/>
        <v>48.773249313913148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21"/>
  <sheetViews>
    <sheetView workbookViewId="0"/>
  </sheetViews>
  <sheetFormatPr defaultColWidth="12.54296875" defaultRowHeight="15" customHeight="1"/>
  <sheetData>
    <row r="1" spans="1:26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26" ht="15" customHeight="1">
      <c r="A2" s="74" t="s">
        <v>523</v>
      </c>
      <c r="B2" s="2">
        <v>1</v>
      </c>
      <c r="C2" s="74" t="s">
        <v>160</v>
      </c>
      <c r="D2" s="74" t="s">
        <v>169</v>
      </c>
      <c r="E2" s="75">
        <v>200000</v>
      </c>
      <c r="F2" s="63">
        <f>I2-0</f>
        <v>2000</v>
      </c>
      <c r="G2" s="63">
        <f t="shared" ref="G2:G21" si="0">$B$15/$I$15*(F2)</f>
        <v>0.58226584594909336</v>
      </c>
      <c r="H2" s="63">
        <f>$B$15/SQRT($I$15)*(SQRT(I2)-SQRT(0))</f>
        <v>2.8551220364963923</v>
      </c>
      <c r="I2" s="76" t="str">
        <f t="shared" ref="I2:I21" si="1">D2</f>
        <v xml:space="preserve">2000 </v>
      </c>
      <c r="J2" s="76">
        <f t="shared" ref="J2:J21" si="2">E2</f>
        <v>200000</v>
      </c>
      <c r="K2" s="77">
        <f>J2*'Inflation Rates by Year'!D$2</f>
        <v>228865.82400000002</v>
      </c>
      <c r="L2" s="78">
        <f t="shared" ref="L2:L21" si="3">K2/I2</f>
        <v>114.43291200000002</v>
      </c>
    </row>
    <row r="3" spans="1:26" ht="15" customHeight="1">
      <c r="A3" s="74" t="s">
        <v>524</v>
      </c>
      <c r="B3" s="2">
        <v>2</v>
      </c>
      <c r="C3" s="74" t="s">
        <v>160</v>
      </c>
      <c r="D3" s="74" t="s">
        <v>525</v>
      </c>
      <c r="E3" s="75">
        <v>1600000</v>
      </c>
      <c r="F3" s="63">
        <f t="shared" ref="F3:F21" si="4">I3-I2</f>
        <v>1793</v>
      </c>
      <c r="G3" s="63">
        <f t="shared" si="0"/>
        <v>0.5220013308933622</v>
      </c>
      <c r="H3" s="63">
        <f t="shared" ref="H3:H21" si="5">$B$15/SQRT($I$15)*(SQRT(I3)-SQRT(I2))</f>
        <v>1.0767656114145161</v>
      </c>
      <c r="I3" s="76" t="str">
        <f t="shared" si="1"/>
        <v xml:space="preserve">3793 </v>
      </c>
      <c r="J3" s="76">
        <f t="shared" si="2"/>
        <v>1600000</v>
      </c>
      <c r="K3" s="77">
        <f>J3*'Inflation Rates by Year'!D$2</f>
        <v>1830926.5920000002</v>
      </c>
      <c r="L3" s="78">
        <f t="shared" si="3"/>
        <v>482.71199367255474</v>
      </c>
    </row>
    <row r="4" spans="1:26" ht="15" customHeight="1">
      <c r="A4" s="74" t="s">
        <v>526</v>
      </c>
      <c r="B4" s="2">
        <v>3</v>
      </c>
      <c r="C4" s="74" t="s">
        <v>160</v>
      </c>
      <c r="D4" s="74" t="s">
        <v>527</v>
      </c>
      <c r="E4" s="75">
        <v>2239408</v>
      </c>
      <c r="F4" s="63">
        <f t="shared" si="4"/>
        <v>716</v>
      </c>
      <c r="G4" s="63">
        <f t="shared" si="0"/>
        <v>0.20845117284977541</v>
      </c>
      <c r="H4" s="63">
        <f t="shared" si="5"/>
        <v>0.3550759506855658</v>
      </c>
      <c r="I4" s="76" t="str">
        <f t="shared" si="1"/>
        <v xml:space="preserve">4509 </v>
      </c>
      <c r="J4" s="76">
        <f t="shared" si="2"/>
        <v>2239408</v>
      </c>
      <c r="K4" s="77">
        <f>J4*'Inflation Rates by Year'!D$2</f>
        <v>2562619.7859609602</v>
      </c>
      <c r="L4" s="78">
        <f t="shared" si="3"/>
        <v>568.33439475736532</v>
      </c>
    </row>
    <row r="5" spans="1:26" ht="15" customHeight="1">
      <c r="A5" s="74" t="s">
        <v>528</v>
      </c>
      <c r="B5" s="2">
        <v>4</v>
      </c>
      <c r="C5" s="74" t="s">
        <v>160</v>
      </c>
      <c r="D5" s="74" t="s">
        <v>529</v>
      </c>
      <c r="E5" s="75">
        <v>4396398</v>
      </c>
      <c r="F5" s="63">
        <f t="shared" si="4"/>
        <v>10541</v>
      </c>
      <c r="G5" s="63">
        <f t="shared" si="0"/>
        <v>3.0688321410746964</v>
      </c>
      <c r="H5" s="63">
        <f t="shared" si="5"/>
        <v>3.545131068268641</v>
      </c>
      <c r="I5" s="76" t="str">
        <f t="shared" si="1"/>
        <v xml:space="preserve">15050 </v>
      </c>
      <c r="J5" s="76">
        <f t="shared" si="2"/>
        <v>4396398</v>
      </c>
      <c r="K5" s="77">
        <f>J5*'Inflation Rates by Year'!D$2</f>
        <v>5030926.2545097601</v>
      </c>
      <c r="L5" s="78">
        <f t="shared" si="3"/>
        <v>334.28081425314019</v>
      </c>
    </row>
    <row r="6" spans="1:26" ht="15" customHeight="1">
      <c r="A6" s="74" t="s">
        <v>530</v>
      </c>
      <c r="B6" s="2">
        <v>5</v>
      </c>
      <c r="C6" s="74" t="s">
        <v>160</v>
      </c>
      <c r="D6" s="74" t="s">
        <v>531</v>
      </c>
      <c r="E6" s="75">
        <v>7723688</v>
      </c>
      <c r="F6" s="63">
        <f t="shared" si="4"/>
        <v>24414</v>
      </c>
      <c r="G6" s="63">
        <f t="shared" si="0"/>
        <v>7.107719181500582</v>
      </c>
      <c r="H6" s="63">
        <f t="shared" si="5"/>
        <v>4.850561814004541</v>
      </c>
      <c r="I6" s="76" t="str">
        <f t="shared" si="1"/>
        <v xml:space="preserve">39464 </v>
      </c>
      <c r="J6" s="76">
        <f t="shared" si="2"/>
        <v>7723688</v>
      </c>
      <c r="K6" s="77">
        <f>J6*'Inflation Rates by Year'!D$2</f>
        <v>8838441.0921945609</v>
      </c>
      <c r="L6" s="78">
        <f t="shared" si="3"/>
        <v>223.96211970896414</v>
      </c>
    </row>
    <row r="7" spans="1:26" ht="15" customHeight="1">
      <c r="A7" s="74" t="s">
        <v>532</v>
      </c>
      <c r="B7" s="2">
        <v>6</v>
      </c>
      <c r="C7" s="74" t="s">
        <v>160</v>
      </c>
      <c r="D7" s="74" t="s">
        <v>533</v>
      </c>
      <c r="E7" s="75">
        <v>9098108</v>
      </c>
      <c r="F7" s="63">
        <f t="shared" si="4"/>
        <v>3119</v>
      </c>
      <c r="G7" s="63">
        <f t="shared" si="0"/>
        <v>0.90804358675761099</v>
      </c>
      <c r="H7" s="63">
        <f t="shared" si="5"/>
        <v>0.49165130460247713</v>
      </c>
      <c r="I7" s="76" t="str">
        <f t="shared" si="1"/>
        <v xml:space="preserve">42583 </v>
      </c>
      <c r="J7" s="76">
        <f t="shared" si="2"/>
        <v>9098108</v>
      </c>
      <c r="K7" s="77">
        <f>J7*'Inflation Rates by Year'!D$2</f>
        <v>10411229.921304962</v>
      </c>
      <c r="L7" s="78">
        <f t="shared" si="3"/>
        <v>244.49263605910718</v>
      </c>
    </row>
    <row r="8" spans="1:26" ht="15" customHeight="1">
      <c r="A8" s="74" t="s">
        <v>534</v>
      </c>
      <c r="B8" s="2">
        <v>7</v>
      </c>
      <c r="C8" s="74" t="s">
        <v>160</v>
      </c>
      <c r="D8" s="74" t="s">
        <v>535</v>
      </c>
      <c r="E8" s="75">
        <v>11998150</v>
      </c>
      <c r="F8" s="63">
        <f t="shared" si="4"/>
        <v>5190</v>
      </c>
      <c r="G8" s="63">
        <f t="shared" si="0"/>
        <v>1.5109798702378971</v>
      </c>
      <c r="H8" s="63">
        <f t="shared" si="5"/>
        <v>0.77976344158136035</v>
      </c>
      <c r="I8" s="76" t="str">
        <f t="shared" si="1"/>
        <v xml:space="preserve">47773 </v>
      </c>
      <c r="J8" s="76">
        <f t="shared" si="2"/>
        <v>11998150</v>
      </c>
      <c r="K8" s="77">
        <f>J8*'Inflation Rates by Year'!D$2</f>
        <v>13729832.431128001</v>
      </c>
      <c r="L8" s="78">
        <f t="shared" si="3"/>
        <v>287.3973255003454</v>
      </c>
    </row>
    <row r="9" spans="1:26" ht="15" customHeight="1">
      <c r="A9" s="74" t="s">
        <v>536</v>
      </c>
      <c r="B9" s="2">
        <v>8</v>
      </c>
      <c r="C9" s="74" t="s">
        <v>160</v>
      </c>
      <c r="D9" s="74" t="s">
        <v>537</v>
      </c>
      <c r="E9" s="75">
        <v>14467010</v>
      </c>
      <c r="F9" s="63">
        <f t="shared" si="4"/>
        <v>651</v>
      </c>
      <c r="G9" s="63">
        <f t="shared" si="0"/>
        <v>0.18952753285642987</v>
      </c>
      <c r="H9" s="63">
        <f t="shared" si="5"/>
        <v>9.4753964743585051E-2</v>
      </c>
      <c r="I9" s="76" t="str">
        <f t="shared" si="1"/>
        <v xml:space="preserve">48424 </v>
      </c>
      <c r="J9" s="76">
        <f t="shared" si="2"/>
        <v>14467010</v>
      </c>
      <c r="K9" s="77">
        <f>J9*'Inflation Rates by Year'!D$2</f>
        <v>16555020.822331201</v>
      </c>
      <c r="L9" s="78">
        <f t="shared" si="3"/>
        <v>341.87635929149184</v>
      </c>
    </row>
    <row r="10" spans="1:26" ht="15" customHeight="1">
      <c r="A10" s="74" t="s">
        <v>538</v>
      </c>
      <c r="B10" s="2">
        <v>9</v>
      </c>
      <c r="C10" s="74" t="s">
        <v>160</v>
      </c>
      <c r="D10" s="74" t="s">
        <v>537</v>
      </c>
      <c r="E10" s="75">
        <v>17195644</v>
      </c>
      <c r="F10" s="63">
        <f t="shared" si="4"/>
        <v>0</v>
      </c>
      <c r="G10" s="63">
        <f t="shared" si="0"/>
        <v>0</v>
      </c>
      <c r="H10" s="63">
        <f t="shared" si="5"/>
        <v>0</v>
      </c>
      <c r="I10" s="76" t="str">
        <f t="shared" si="1"/>
        <v xml:space="preserve">48424 </v>
      </c>
      <c r="J10" s="76">
        <f t="shared" si="2"/>
        <v>17195644</v>
      </c>
      <c r="K10" s="77">
        <f>J10*'Inflation Rates by Year'!D$2</f>
        <v>19677476.166353282</v>
      </c>
      <c r="L10" s="78">
        <f t="shared" si="3"/>
        <v>406.35792512707093</v>
      </c>
    </row>
    <row r="11" spans="1:26" ht="15" customHeight="1">
      <c r="A11" s="74" t="s">
        <v>539</v>
      </c>
      <c r="B11" s="2">
        <v>10</v>
      </c>
      <c r="C11" s="74" t="s">
        <v>160</v>
      </c>
      <c r="D11" s="74" t="s">
        <v>537</v>
      </c>
      <c r="E11" s="75">
        <v>17847019</v>
      </c>
      <c r="F11" s="63">
        <f t="shared" si="4"/>
        <v>0</v>
      </c>
      <c r="G11" s="63">
        <f t="shared" si="0"/>
        <v>0</v>
      </c>
      <c r="H11" s="63">
        <f t="shared" si="5"/>
        <v>0</v>
      </c>
      <c r="I11" s="76" t="str">
        <f t="shared" si="1"/>
        <v xml:space="preserve">48424 </v>
      </c>
      <c r="J11" s="76">
        <f t="shared" si="2"/>
        <v>17847019</v>
      </c>
      <c r="K11" s="77">
        <f>J11*'Inflation Rates by Year'!D$2</f>
        <v>20422863.54689328</v>
      </c>
      <c r="L11" s="78">
        <f t="shared" si="3"/>
        <v>421.75085798144062</v>
      </c>
    </row>
    <row r="12" spans="1:26" ht="15" customHeight="1">
      <c r="A12" s="74" t="s">
        <v>540</v>
      </c>
      <c r="B12" s="2">
        <v>11</v>
      </c>
      <c r="C12" s="74" t="s">
        <v>160</v>
      </c>
      <c r="D12" s="74" t="s">
        <v>537</v>
      </c>
      <c r="E12" s="75">
        <v>19673526</v>
      </c>
      <c r="F12" s="63">
        <f t="shared" si="4"/>
        <v>0</v>
      </c>
      <c r="G12" s="63">
        <f t="shared" si="0"/>
        <v>0</v>
      </c>
      <c r="H12" s="63">
        <f t="shared" si="5"/>
        <v>0</v>
      </c>
      <c r="I12" s="76" t="str">
        <f t="shared" si="1"/>
        <v xml:space="preserve">48424 </v>
      </c>
      <c r="J12" s="76">
        <f t="shared" si="2"/>
        <v>19673526</v>
      </c>
      <c r="K12" s="77">
        <f>J12*'Inflation Rates by Year'!D$2</f>
        <v>22512988.694877122</v>
      </c>
      <c r="L12" s="78">
        <f t="shared" si="3"/>
        <v>464.91385872453992</v>
      </c>
    </row>
    <row r="13" spans="1:26" ht="15" customHeight="1">
      <c r="A13" s="74" t="s">
        <v>541</v>
      </c>
      <c r="B13" s="2">
        <v>12</v>
      </c>
      <c r="C13" s="74" t="s">
        <v>160</v>
      </c>
      <c r="D13" s="74" t="s">
        <v>542</v>
      </c>
      <c r="E13" s="75">
        <v>21478398</v>
      </c>
      <c r="F13" s="63">
        <f t="shared" si="4"/>
        <v>308</v>
      </c>
      <c r="G13" s="63">
        <f t="shared" si="0"/>
        <v>8.9668940276160375E-2</v>
      </c>
      <c r="H13" s="63">
        <f t="shared" si="5"/>
        <v>4.4607833322758826E-2</v>
      </c>
      <c r="I13" s="76" t="str">
        <f t="shared" si="1"/>
        <v xml:space="preserve">48732 </v>
      </c>
      <c r="J13" s="76">
        <f t="shared" si="2"/>
        <v>21478398</v>
      </c>
      <c r="K13" s="77">
        <f>J13*'Inflation Rates by Year'!D$2</f>
        <v>24578356.282349762</v>
      </c>
      <c r="L13" s="78">
        <f t="shared" si="3"/>
        <v>504.35763527763606</v>
      </c>
    </row>
    <row r="14" spans="1:26" ht="15" customHeight="1">
      <c r="A14" s="74" t="s">
        <v>543</v>
      </c>
      <c r="B14" s="2">
        <v>13</v>
      </c>
      <c r="C14" s="74" t="s">
        <v>160</v>
      </c>
      <c r="D14" s="74" t="s">
        <v>542</v>
      </c>
      <c r="E14" s="75">
        <v>21478398</v>
      </c>
      <c r="F14" s="63">
        <f t="shared" si="4"/>
        <v>0</v>
      </c>
      <c r="G14" s="63">
        <f t="shared" si="0"/>
        <v>0</v>
      </c>
      <c r="H14" s="63">
        <f t="shared" si="5"/>
        <v>0</v>
      </c>
      <c r="I14" s="76" t="str">
        <f t="shared" si="1"/>
        <v xml:space="preserve">48732 </v>
      </c>
      <c r="J14" s="76">
        <f t="shared" si="2"/>
        <v>21478398</v>
      </c>
      <c r="K14" s="77">
        <f>J14*'Inflation Rates by Year'!D$2</f>
        <v>24578356.282349762</v>
      </c>
      <c r="L14" s="78">
        <f t="shared" si="3"/>
        <v>504.35763527763606</v>
      </c>
    </row>
    <row r="15" spans="1:26" ht="15" customHeight="1">
      <c r="A15" s="68" t="s">
        <v>544</v>
      </c>
      <c r="B15" s="69">
        <v>14</v>
      </c>
      <c r="C15" s="68" t="s">
        <v>160</v>
      </c>
      <c r="D15" s="68" t="s">
        <v>545</v>
      </c>
      <c r="E15" s="70">
        <v>22504328</v>
      </c>
      <c r="F15" s="71">
        <f t="shared" si="4"/>
        <v>-644</v>
      </c>
      <c r="G15" s="63">
        <f t="shared" si="0"/>
        <v>-0.18748960239560805</v>
      </c>
      <c r="H15" s="63">
        <f t="shared" si="5"/>
        <v>-9.3433025119838822E-2</v>
      </c>
      <c r="I15" s="72" t="str">
        <f t="shared" si="1"/>
        <v xml:space="preserve">48088 </v>
      </c>
      <c r="J15" s="72">
        <f t="shared" si="2"/>
        <v>22504328</v>
      </c>
      <c r="K15" s="77">
        <f>J15*'Inflation Rates by Year'!D$2</f>
        <v>25752357.856431361</v>
      </c>
      <c r="L15" s="73">
        <f t="shared" si="3"/>
        <v>535.52565830209949</v>
      </c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5" customHeight="1">
      <c r="A16" s="74" t="s">
        <v>546</v>
      </c>
      <c r="B16" s="2">
        <v>15</v>
      </c>
      <c r="C16" s="74" t="s">
        <v>160</v>
      </c>
      <c r="D16" s="74" t="s">
        <v>545</v>
      </c>
      <c r="E16" s="75">
        <v>23332208</v>
      </c>
      <c r="F16" s="63">
        <f t="shared" si="4"/>
        <v>0</v>
      </c>
      <c r="G16" s="63">
        <f t="shared" si="0"/>
        <v>0</v>
      </c>
      <c r="H16" s="63">
        <f t="shared" si="5"/>
        <v>0</v>
      </c>
      <c r="I16" s="76" t="str">
        <f t="shared" si="1"/>
        <v xml:space="preserve">48088 </v>
      </c>
      <c r="J16" s="76">
        <f t="shared" si="2"/>
        <v>23332208</v>
      </c>
      <c r="K16" s="77">
        <f>J16*'Inflation Rates by Year'!D$2</f>
        <v>26699725.048296962</v>
      </c>
      <c r="L16" s="78">
        <f t="shared" si="3"/>
        <v>555.22635685195814</v>
      </c>
    </row>
    <row r="17" spans="1:12" ht="15" customHeight="1">
      <c r="A17" s="74" t="s">
        <v>547</v>
      </c>
      <c r="B17" s="2">
        <v>16</v>
      </c>
      <c r="C17" s="74" t="s">
        <v>160</v>
      </c>
      <c r="D17" s="74" t="s">
        <v>545</v>
      </c>
      <c r="E17" s="75">
        <v>23550500</v>
      </c>
      <c r="F17" s="63">
        <f t="shared" si="4"/>
        <v>0</v>
      </c>
      <c r="G17" s="63">
        <f t="shared" si="0"/>
        <v>0</v>
      </c>
      <c r="H17" s="63">
        <f t="shared" si="5"/>
        <v>0</v>
      </c>
      <c r="I17" s="76" t="str">
        <f t="shared" si="1"/>
        <v xml:space="preserve">48088 </v>
      </c>
      <c r="J17" s="76">
        <f t="shared" si="2"/>
        <v>23550500</v>
      </c>
      <c r="K17" s="77">
        <f>J17*'Inflation Rates by Year'!D$2</f>
        <v>26949522.940560002</v>
      </c>
      <c r="L17" s="78">
        <f t="shared" si="3"/>
        <v>560.42095617534528</v>
      </c>
    </row>
    <row r="18" spans="1:12" ht="15" customHeight="1">
      <c r="A18" s="74" t="s">
        <v>548</v>
      </c>
      <c r="B18" s="2">
        <v>17</v>
      </c>
      <c r="C18" s="74" t="s">
        <v>160</v>
      </c>
      <c r="D18" s="74" t="s">
        <v>545</v>
      </c>
      <c r="E18" s="75">
        <v>24493709</v>
      </c>
      <c r="F18" s="63">
        <f t="shared" si="4"/>
        <v>0</v>
      </c>
      <c r="G18" s="63">
        <f t="shared" si="0"/>
        <v>0</v>
      </c>
      <c r="H18" s="63">
        <f t="shared" si="5"/>
        <v>0</v>
      </c>
      <c r="I18" s="76" t="str">
        <f t="shared" si="1"/>
        <v xml:space="preserve">48088 </v>
      </c>
      <c r="J18" s="76">
        <f t="shared" si="2"/>
        <v>24493709</v>
      </c>
      <c r="K18" s="77">
        <f>J18*'Inflation Rates by Year'!D$2</f>
        <v>28028864.465506081</v>
      </c>
      <c r="L18" s="78">
        <f t="shared" si="3"/>
        <v>582.86608853572784</v>
      </c>
    </row>
    <row r="19" spans="1:12" ht="15" customHeight="1">
      <c r="A19" s="74" t="s">
        <v>549</v>
      </c>
      <c r="B19" s="2">
        <v>18</v>
      </c>
      <c r="C19" s="74" t="s">
        <v>160</v>
      </c>
      <c r="D19" s="74" t="s">
        <v>545</v>
      </c>
      <c r="E19" s="75">
        <v>24493709</v>
      </c>
      <c r="F19" s="63">
        <f t="shared" si="4"/>
        <v>0</v>
      </c>
      <c r="G19" s="63">
        <f t="shared" si="0"/>
        <v>0</v>
      </c>
      <c r="H19" s="63">
        <f t="shared" si="5"/>
        <v>0</v>
      </c>
      <c r="I19" s="76" t="str">
        <f t="shared" si="1"/>
        <v xml:space="preserve">48088 </v>
      </c>
      <c r="J19" s="76">
        <f t="shared" si="2"/>
        <v>24493709</v>
      </c>
      <c r="K19" s="77">
        <f>J19*'Inflation Rates by Year'!D$2</f>
        <v>28028864.465506081</v>
      </c>
      <c r="L19" s="78">
        <f t="shared" si="3"/>
        <v>582.86608853572784</v>
      </c>
    </row>
    <row r="20" spans="1:12" ht="15" customHeight="1">
      <c r="A20" s="74" t="s">
        <v>550</v>
      </c>
      <c r="B20" s="2">
        <v>19</v>
      </c>
      <c r="C20" s="74" t="s">
        <v>160</v>
      </c>
      <c r="D20" s="74" t="s">
        <v>545</v>
      </c>
      <c r="E20" s="75">
        <v>24493709</v>
      </c>
      <c r="F20" s="63">
        <f t="shared" si="4"/>
        <v>0</v>
      </c>
      <c r="G20" s="63">
        <f t="shared" si="0"/>
        <v>0</v>
      </c>
      <c r="H20" s="63">
        <f t="shared" si="5"/>
        <v>0</v>
      </c>
      <c r="I20" s="76" t="str">
        <f t="shared" si="1"/>
        <v xml:space="preserve">48088 </v>
      </c>
      <c r="J20" s="76">
        <f t="shared" si="2"/>
        <v>24493709</v>
      </c>
      <c r="K20" s="77">
        <f>J20*'Inflation Rates by Year'!D$2</f>
        <v>28028864.465506081</v>
      </c>
      <c r="L20" s="78">
        <f t="shared" si="3"/>
        <v>582.86608853572784</v>
      </c>
    </row>
    <row r="21" spans="1:12" ht="14.5">
      <c r="A21" s="74" t="s">
        <v>551</v>
      </c>
      <c r="B21" s="2">
        <v>20</v>
      </c>
      <c r="C21" s="74" t="s">
        <v>160</v>
      </c>
      <c r="D21" s="74" t="s">
        <v>545</v>
      </c>
      <c r="E21" s="75">
        <v>24493709</v>
      </c>
      <c r="F21" s="63">
        <f t="shared" si="4"/>
        <v>0</v>
      </c>
      <c r="G21" s="63">
        <f t="shared" si="0"/>
        <v>0</v>
      </c>
      <c r="H21" s="63">
        <f t="shared" si="5"/>
        <v>0</v>
      </c>
      <c r="I21" s="76" t="str">
        <f t="shared" si="1"/>
        <v xml:space="preserve">48088 </v>
      </c>
      <c r="J21" s="76">
        <f t="shared" si="2"/>
        <v>24493709</v>
      </c>
      <c r="K21" s="77">
        <f>J21*'Inflation Rates by Year'!D$2</f>
        <v>28028864.465506081</v>
      </c>
      <c r="L21" s="78">
        <f t="shared" si="3"/>
        <v>582.86608853572784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89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44409</v>
      </c>
      <c r="B2" s="61">
        <v>1</v>
      </c>
      <c r="C2" s="61" t="s">
        <v>168</v>
      </c>
      <c r="D2" s="62">
        <v>200</v>
      </c>
      <c r="E2" s="62">
        <v>200000</v>
      </c>
      <c r="F2" s="63">
        <f>I2-0</f>
        <v>200</v>
      </c>
      <c r="G2" s="63">
        <f t="shared" ref="G2:G89" si="0">$B$64/$I$64*(F2)</f>
        <v>0.13473918343777402</v>
      </c>
      <c r="H2" s="63">
        <f>$B$64/SQRT($I$64)*(SQRT(I2)-SQRT(0))</f>
        <v>2.9135148114570768</v>
      </c>
      <c r="I2" s="76">
        <f t="shared" ref="I2:I33" si="1">D2</f>
        <v>200</v>
      </c>
      <c r="J2" s="76">
        <f t="shared" ref="J2:J33" si="2">E2</f>
        <v>200000</v>
      </c>
      <c r="K2" s="77">
        <f>J2*'Inflation Rates by Year'!$C$2</f>
        <v>226152</v>
      </c>
      <c r="L2" s="78">
        <f t="shared" ref="L2:L89" si="3">K2/I2</f>
        <v>1130.76</v>
      </c>
    </row>
    <row r="3" spans="1:12" ht="15" customHeight="1">
      <c r="A3" s="81">
        <v>44410</v>
      </c>
      <c r="B3" s="61">
        <v>2</v>
      </c>
      <c r="C3" s="61" t="s">
        <v>168</v>
      </c>
      <c r="D3" s="62">
        <v>250</v>
      </c>
      <c r="E3" s="62">
        <v>200000</v>
      </c>
      <c r="F3" s="63">
        <f t="shared" ref="F3:F89" si="4">I3-I2</f>
        <v>50</v>
      </c>
      <c r="G3" s="63">
        <f t="shared" si="0"/>
        <v>3.3684795859443506E-2</v>
      </c>
      <c r="H3" s="63">
        <f t="shared" ref="H3:H89" si="5">$B$64/SQRT($I$64)*(SQRT(I3)-SQRT(I2))</f>
        <v>0.34389377447817643</v>
      </c>
      <c r="I3" s="76">
        <f t="shared" si="1"/>
        <v>250</v>
      </c>
      <c r="J3" s="76">
        <f t="shared" si="2"/>
        <v>200000</v>
      </c>
      <c r="K3" s="77">
        <f>J3*'Inflation Rates by Year'!$C$2</f>
        <v>226152</v>
      </c>
      <c r="L3" s="78">
        <f t="shared" si="3"/>
        <v>904.60799999999995</v>
      </c>
    </row>
    <row r="4" spans="1:12" ht="15" customHeight="1">
      <c r="A4" s="81">
        <v>44411</v>
      </c>
      <c r="B4" s="61">
        <v>3</v>
      </c>
      <c r="C4" s="61" t="s">
        <v>168</v>
      </c>
      <c r="D4" s="62">
        <v>675</v>
      </c>
      <c r="E4" s="62">
        <v>200000</v>
      </c>
      <c r="F4" s="63">
        <f t="shared" si="4"/>
        <v>425</v>
      </c>
      <c r="G4" s="63">
        <f t="shared" si="0"/>
        <v>0.2863207648052698</v>
      </c>
      <c r="H4" s="63">
        <f t="shared" si="5"/>
        <v>2.0950598986479778</v>
      </c>
      <c r="I4" s="76">
        <f t="shared" si="1"/>
        <v>675</v>
      </c>
      <c r="J4" s="76">
        <f t="shared" si="2"/>
        <v>200000</v>
      </c>
      <c r="K4" s="77">
        <f>J4*'Inflation Rates by Year'!$C$2</f>
        <v>226152</v>
      </c>
      <c r="L4" s="78">
        <f t="shared" si="3"/>
        <v>335.04</v>
      </c>
    </row>
    <row r="5" spans="1:12" ht="15" customHeight="1">
      <c r="A5" s="81">
        <v>44411</v>
      </c>
      <c r="B5" s="61">
        <v>4</v>
      </c>
      <c r="C5" s="61" t="s">
        <v>271</v>
      </c>
      <c r="D5" s="62">
        <v>675</v>
      </c>
      <c r="E5" s="62">
        <v>200000</v>
      </c>
      <c r="F5" s="63">
        <f t="shared" si="4"/>
        <v>0</v>
      </c>
      <c r="G5" s="63">
        <f t="shared" si="0"/>
        <v>0</v>
      </c>
      <c r="H5" s="63">
        <f t="shared" si="5"/>
        <v>0</v>
      </c>
      <c r="I5" s="76">
        <f t="shared" si="1"/>
        <v>675</v>
      </c>
      <c r="J5" s="76">
        <f t="shared" si="2"/>
        <v>200000</v>
      </c>
      <c r="K5" s="77">
        <f>J5*'Inflation Rates by Year'!$C$2</f>
        <v>226152</v>
      </c>
      <c r="L5" s="78">
        <f t="shared" si="3"/>
        <v>335.04</v>
      </c>
    </row>
    <row r="6" spans="1:12" ht="15" customHeight="1">
      <c r="A6" s="81">
        <v>44413</v>
      </c>
      <c r="B6" s="61">
        <v>5</v>
      </c>
      <c r="C6" s="61" t="s">
        <v>271</v>
      </c>
      <c r="D6" s="62">
        <v>951</v>
      </c>
      <c r="E6" s="62">
        <v>700000</v>
      </c>
      <c r="F6" s="63">
        <f t="shared" si="4"/>
        <v>276</v>
      </c>
      <c r="G6" s="63">
        <f t="shared" si="0"/>
        <v>0.18594007314412814</v>
      </c>
      <c r="H6" s="63">
        <f t="shared" si="5"/>
        <v>1.0007309839158325</v>
      </c>
      <c r="I6" s="76">
        <f t="shared" si="1"/>
        <v>951</v>
      </c>
      <c r="J6" s="76">
        <f t="shared" si="2"/>
        <v>700000</v>
      </c>
      <c r="K6" s="77">
        <f>J6*'Inflation Rates by Year'!$C$2</f>
        <v>791532</v>
      </c>
      <c r="L6" s="78">
        <f t="shared" si="3"/>
        <v>832.31545741324919</v>
      </c>
    </row>
    <row r="7" spans="1:12" ht="15" customHeight="1">
      <c r="A7" s="81">
        <v>44413</v>
      </c>
      <c r="B7" s="61">
        <v>6</v>
      </c>
      <c r="C7" s="61" t="s">
        <v>271</v>
      </c>
      <c r="D7" s="62">
        <v>951</v>
      </c>
      <c r="E7" s="62">
        <v>700000</v>
      </c>
      <c r="F7" s="63">
        <f t="shared" si="4"/>
        <v>0</v>
      </c>
      <c r="G7" s="63">
        <f t="shared" si="0"/>
        <v>0</v>
      </c>
      <c r="H7" s="63">
        <f t="shared" si="5"/>
        <v>0</v>
      </c>
      <c r="I7" s="76">
        <f t="shared" si="1"/>
        <v>951</v>
      </c>
      <c r="J7" s="76">
        <f t="shared" si="2"/>
        <v>700000</v>
      </c>
      <c r="K7" s="77">
        <f>J7*'Inflation Rates by Year'!$C$2</f>
        <v>791532</v>
      </c>
      <c r="L7" s="78">
        <f t="shared" si="3"/>
        <v>832.31545741324919</v>
      </c>
    </row>
    <row r="8" spans="1:12" ht="15" customHeight="1">
      <c r="A8" s="81">
        <v>44414</v>
      </c>
      <c r="B8" s="61">
        <v>7</v>
      </c>
      <c r="C8" s="61" t="s">
        <v>271</v>
      </c>
      <c r="D8" s="62">
        <v>1194</v>
      </c>
      <c r="E8" s="62">
        <v>750000</v>
      </c>
      <c r="F8" s="63">
        <f t="shared" si="4"/>
        <v>243</v>
      </c>
      <c r="G8" s="63">
        <f t="shared" si="0"/>
        <v>0.16370810787689544</v>
      </c>
      <c r="H8" s="63">
        <f t="shared" si="5"/>
        <v>0.76556125811488807</v>
      </c>
      <c r="I8" s="76">
        <f t="shared" si="1"/>
        <v>1194</v>
      </c>
      <c r="J8" s="76">
        <f t="shared" si="2"/>
        <v>750000</v>
      </c>
      <c r="K8" s="77">
        <f>J8*'Inflation Rates by Year'!$C$2</f>
        <v>848070</v>
      </c>
      <c r="L8" s="78">
        <f t="shared" si="3"/>
        <v>710.27638190954769</v>
      </c>
    </row>
    <row r="9" spans="1:12" ht="15" customHeight="1">
      <c r="A9" s="81">
        <v>44415</v>
      </c>
      <c r="B9" s="61">
        <v>8</v>
      </c>
      <c r="C9" s="61" t="s">
        <v>271</v>
      </c>
      <c r="D9" s="62">
        <v>1270</v>
      </c>
      <c r="E9" s="62">
        <v>750000</v>
      </c>
      <c r="F9" s="63">
        <f t="shared" si="4"/>
        <v>76</v>
      </c>
      <c r="G9" s="63">
        <f t="shared" si="0"/>
        <v>5.1200889706354127E-2</v>
      </c>
      <c r="H9" s="63">
        <f t="shared" si="5"/>
        <v>0.22306536328231549</v>
      </c>
      <c r="I9" s="76">
        <f t="shared" si="1"/>
        <v>1270</v>
      </c>
      <c r="J9" s="76">
        <f t="shared" si="2"/>
        <v>750000</v>
      </c>
      <c r="K9" s="77">
        <f>J9*'Inflation Rates by Year'!$C$2</f>
        <v>848070</v>
      </c>
      <c r="L9" s="78">
        <f t="shared" si="3"/>
        <v>667.77165354330714</v>
      </c>
    </row>
    <row r="10" spans="1:12" ht="15" customHeight="1">
      <c r="A10" s="81">
        <v>44416</v>
      </c>
      <c r="B10" s="61">
        <v>9</v>
      </c>
      <c r="C10" s="61" t="s">
        <v>271</v>
      </c>
      <c r="D10" s="62">
        <v>1334</v>
      </c>
      <c r="E10" s="62">
        <v>800000</v>
      </c>
      <c r="F10" s="63">
        <f t="shared" si="4"/>
        <v>64</v>
      </c>
      <c r="G10" s="63">
        <f t="shared" si="0"/>
        <v>4.3116538700087685E-2</v>
      </c>
      <c r="H10" s="63">
        <f t="shared" si="5"/>
        <v>0.18271723660448683</v>
      </c>
      <c r="I10" s="76">
        <f t="shared" si="1"/>
        <v>1334</v>
      </c>
      <c r="J10" s="76">
        <f t="shared" si="2"/>
        <v>800000</v>
      </c>
      <c r="K10" s="77">
        <f>J10*'Inflation Rates by Year'!$C$2</f>
        <v>904608</v>
      </c>
      <c r="L10" s="78">
        <f t="shared" si="3"/>
        <v>678.11694152923542</v>
      </c>
    </row>
    <row r="11" spans="1:12" ht="15" customHeight="1">
      <c r="A11" s="81">
        <v>44418</v>
      </c>
      <c r="B11" s="61">
        <v>10</v>
      </c>
      <c r="C11" s="61" t="s">
        <v>271</v>
      </c>
      <c r="D11" s="62">
        <v>1555</v>
      </c>
      <c r="E11" s="62">
        <v>1600000</v>
      </c>
      <c r="F11" s="63">
        <f t="shared" si="4"/>
        <v>221</v>
      </c>
      <c r="G11" s="63">
        <f t="shared" si="0"/>
        <v>0.14888679769874028</v>
      </c>
      <c r="H11" s="63">
        <f t="shared" si="5"/>
        <v>0.59941017702249477</v>
      </c>
      <c r="I11" s="76">
        <f t="shared" si="1"/>
        <v>1555</v>
      </c>
      <c r="J11" s="76">
        <f t="shared" si="2"/>
        <v>1600000</v>
      </c>
      <c r="K11" s="77">
        <f>J11*'Inflation Rates by Year'!$C$2</f>
        <v>1809216</v>
      </c>
      <c r="L11" s="78">
        <f t="shared" si="3"/>
        <v>1163.482958199357</v>
      </c>
    </row>
    <row r="12" spans="1:12" ht="15" customHeight="1">
      <c r="A12" s="81">
        <v>44419</v>
      </c>
      <c r="B12" s="61">
        <v>11</v>
      </c>
      <c r="C12" s="61" t="s">
        <v>271</v>
      </c>
      <c r="D12" s="62">
        <v>1769</v>
      </c>
      <c r="E12" s="62">
        <v>1800000</v>
      </c>
      <c r="F12" s="63">
        <f t="shared" si="4"/>
        <v>214</v>
      </c>
      <c r="G12" s="63">
        <f t="shared" si="0"/>
        <v>0.14417092627841821</v>
      </c>
      <c r="H12" s="63">
        <f t="shared" si="5"/>
        <v>0.54099824954197095</v>
      </c>
      <c r="I12" s="76">
        <f t="shared" si="1"/>
        <v>1769</v>
      </c>
      <c r="J12" s="76">
        <f t="shared" si="2"/>
        <v>1800000</v>
      </c>
      <c r="K12" s="77">
        <f>J12*'Inflation Rates by Year'!$C$2</f>
        <v>2035368</v>
      </c>
      <c r="L12" s="78">
        <f t="shared" si="3"/>
        <v>1150.575466365178</v>
      </c>
    </row>
    <row r="13" spans="1:12" ht="15" customHeight="1">
      <c r="A13" s="81">
        <v>44420</v>
      </c>
      <c r="B13" s="61">
        <v>12</v>
      </c>
      <c r="C13" s="61" t="s">
        <v>271</v>
      </c>
      <c r="D13" s="62">
        <v>1769</v>
      </c>
      <c r="E13" s="62">
        <v>2100000</v>
      </c>
      <c r="F13" s="63">
        <f t="shared" si="4"/>
        <v>0</v>
      </c>
      <c r="G13" s="63">
        <f t="shared" si="0"/>
        <v>0</v>
      </c>
      <c r="H13" s="63">
        <f t="shared" si="5"/>
        <v>0</v>
      </c>
      <c r="I13" s="76">
        <f t="shared" si="1"/>
        <v>1769</v>
      </c>
      <c r="J13" s="76">
        <f t="shared" si="2"/>
        <v>2100000</v>
      </c>
      <c r="K13" s="77">
        <f>J13*'Inflation Rates by Year'!$C$2</f>
        <v>2374596</v>
      </c>
      <c r="L13" s="78">
        <f t="shared" si="3"/>
        <v>1342.3380440927078</v>
      </c>
    </row>
    <row r="14" spans="1:12" ht="15" customHeight="1">
      <c r="A14" s="81">
        <v>44421</v>
      </c>
      <c r="B14" s="61">
        <v>13</v>
      </c>
      <c r="C14" s="61" t="s">
        <v>271</v>
      </c>
      <c r="D14" s="62">
        <v>2116</v>
      </c>
      <c r="E14" s="62">
        <v>2600000</v>
      </c>
      <c r="F14" s="63">
        <f t="shared" si="4"/>
        <v>347</v>
      </c>
      <c r="G14" s="63">
        <f t="shared" si="0"/>
        <v>0.23377248326453792</v>
      </c>
      <c r="H14" s="63">
        <f t="shared" si="5"/>
        <v>0.81181221617100441</v>
      </c>
      <c r="I14" s="76">
        <f t="shared" si="1"/>
        <v>2116</v>
      </c>
      <c r="J14" s="76">
        <f t="shared" si="2"/>
        <v>2600000</v>
      </c>
      <c r="K14" s="77">
        <f>J14*'Inflation Rates by Year'!$C$2</f>
        <v>2939976</v>
      </c>
      <c r="L14" s="78">
        <f t="shared" si="3"/>
        <v>1389.4026465028355</v>
      </c>
    </row>
    <row r="15" spans="1:12" ht="15" customHeight="1">
      <c r="A15" s="81">
        <v>44422</v>
      </c>
      <c r="B15" s="61">
        <v>14</v>
      </c>
      <c r="C15" s="61" t="s">
        <v>271</v>
      </c>
      <c r="D15" s="62">
        <v>2287</v>
      </c>
      <c r="E15" s="62">
        <v>3000000</v>
      </c>
      <c r="F15" s="63">
        <f t="shared" si="4"/>
        <v>171</v>
      </c>
      <c r="G15" s="63">
        <f t="shared" si="0"/>
        <v>0.11520200183929678</v>
      </c>
      <c r="H15" s="63">
        <f t="shared" si="5"/>
        <v>0.37548356340776645</v>
      </c>
      <c r="I15" s="76">
        <f t="shared" si="1"/>
        <v>2287</v>
      </c>
      <c r="J15" s="76">
        <f t="shared" si="2"/>
        <v>3000000</v>
      </c>
      <c r="K15" s="77">
        <f>J15*'Inflation Rates by Year'!$C$2</f>
        <v>3392280</v>
      </c>
      <c r="L15" s="78">
        <f t="shared" si="3"/>
        <v>1483.2881504153913</v>
      </c>
    </row>
    <row r="16" spans="1:12" ht="15" customHeight="1">
      <c r="A16" s="81">
        <v>44423</v>
      </c>
      <c r="B16" s="61">
        <v>15</v>
      </c>
      <c r="C16" s="61" t="s">
        <v>271</v>
      </c>
      <c r="D16" s="62">
        <v>2387</v>
      </c>
      <c r="E16" s="62">
        <v>3600000</v>
      </c>
      <c r="F16" s="63">
        <f t="shared" si="4"/>
        <v>100</v>
      </c>
      <c r="G16" s="63">
        <f t="shared" si="0"/>
        <v>6.7369591718887012E-2</v>
      </c>
      <c r="H16" s="63">
        <f t="shared" si="5"/>
        <v>0.21309228888113715</v>
      </c>
      <c r="I16" s="76">
        <f t="shared" si="1"/>
        <v>2387</v>
      </c>
      <c r="J16" s="76">
        <f t="shared" si="2"/>
        <v>3600000</v>
      </c>
      <c r="K16" s="77">
        <f>J16*'Inflation Rates by Year'!$C$2</f>
        <v>4070736</v>
      </c>
      <c r="L16" s="78">
        <f t="shared" si="3"/>
        <v>1705.377461248429</v>
      </c>
    </row>
    <row r="17" spans="1:12" ht="15" customHeight="1">
      <c r="A17" s="81">
        <v>44424</v>
      </c>
      <c r="B17" s="61">
        <v>16</v>
      </c>
      <c r="C17" s="61" t="s">
        <v>271</v>
      </c>
      <c r="D17" s="62">
        <v>2599</v>
      </c>
      <c r="E17" s="62">
        <v>4000000</v>
      </c>
      <c r="F17" s="63">
        <f t="shared" si="4"/>
        <v>212</v>
      </c>
      <c r="G17" s="63">
        <f t="shared" si="0"/>
        <v>0.14282353444404045</v>
      </c>
      <c r="H17" s="63">
        <f t="shared" si="5"/>
        <v>0.43746686967670817</v>
      </c>
      <c r="I17" s="76">
        <f t="shared" si="1"/>
        <v>2599</v>
      </c>
      <c r="J17" s="76">
        <f t="shared" si="2"/>
        <v>4000000</v>
      </c>
      <c r="K17" s="77">
        <f>J17*'Inflation Rates by Year'!$C$2</f>
        <v>4523040</v>
      </c>
      <c r="L17" s="78">
        <f t="shared" si="3"/>
        <v>1740.3001154290112</v>
      </c>
    </row>
    <row r="18" spans="1:12" ht="15" customHeight="1">
      <c r="A18" s="81">
        <v>44425</v>
      </c>
      <c r="B18" s="61">
        <v>17</v>
      </c>
      <c r="C18" s="61" t="s">
        <v>271</v>
      </c>
      <c r="D18" s="62">
        <v>3233</v>
      </c>
      <c r="E18" s="62">
        <v>4600000</v>
      </c>
      <c r="F18" s="63">
        <f t="shared" si="4"/>
        <v>634</v>
      </c>
      <c r="G18" s="63">
        <f t="shared" si="0"/>
        <v>0.42712321149774363</v>
      </c>
      <c r="H18" s="63">
        <f t="shared" si="5"/>
        <v>1.2111896685855408</v>
      </c>
      <c r="I18" s="76">
        <f t="shared" si="1"/>
        <v>3233</v>
      </c>
      <c r="J18" s="76">
        <f t="shared" si="2"/>
        <v>4600000</v>
      </c>
      <c r="K18" s="77">
        <f>J18*'Inflation Rates by Year'!$C$2</f>
        <v>5201496</v>
      </c>
      <c r="L18" s="78">
        <f t="shared" si="3"/>
        <v>1608.8759665944942</v>
      </c>
    </row>
    <row r="19" spans="1:12" ht="15" customHeight="1">
      <c r="A19" s="81">
        <v>44426</v>
      </c>
      <c r="B19" s="61">
        <v>18</v>
      </c>
      <c r="C19" s="61" t="s">
        <v>271</v>
      </c>
      <c r="D19" s="62">
        <v>6788</v>
      </c>
      <c r="E19" s="62">
        <v>5300000</v>
      </c>
      <c r="F19" s="63">
        <f t="shared" si="4"/>
        <v>3555</v>
      </c>
      <c r="G19" s="63">
        <f t="shared" si="0"/>
        <v>2.394988985606433</v>
      </c>
      <c r="H19" s="63">
        <f t="shared" si="5"/>
        <v>5.2595718216621909</v>
      </c>
      <c r="I19" s="76">
        <f t="shared" si="1"/>
        <v>6788</v>
      </c>
      <c r="J19" s="76">
        <f t="shared" si="2"/>
        <v>5300000</v>
      </c>
      <c r="K19" s="77">
        <f>J19*'Inflation Rates by Year'!$C$2</f>
        <v>5993028</v>
      </c>
      <c r="L19" s="78">
        <f t="shared" si="3"/>
        <v>882.88568061284616</v>
      </c>
    </row>
    <row r="20" spans="1:12" ht="15" customHeight="1">
      <c r="A20" s="81">
        <v>44427</v>
      </c>
      <c r="B20" s="61">
        <v>19</v>
      </c>
      <c r="C20" s="61" t="s">
        <v>271</v>
      </c>
      <c r="D20" s="62">
        <v>7659</v>
      </c>
      <c r="E20" s="62">
        <v>5800000</v>
      </c>
      <c r="F20" s="63">
        <f t="shared" si="4"/>
        <v>871</v>
      </c>
      <c r="G20" s="63">
        <f t="shared" si="0"/>
        <v>0.58678914387150582</v>
      </c>
      <c r="H20" s="63">
        <f t="shared" si="5"/>
        <v>1.056122134088914</v>
      </c>
      <c r="I20" s="76">
        <f t="shared" si="1"/>
        <v>7659</v>
      </c>
      <c r="J20" s="76">
        <f t="shared" si="2"/>
        <v>5800000</v>
      </c>
      <c r="K20" s="77">
        <f>J20*'Inflation Rates by Year'!$C$2</f>
        <v>6558408</v>
      </c>
      <c r="L20" s="78">
        <f t="shared" si="3"/>
        <v>856.30082256169214</v>
      </c>
    </row>
    <row r="21" spans="1:12" ht="14.5">
      <c r="A21" s="81">
        <v>44428</v>
      </c>
      <c r="B21" s="61">
        <v>20</v>
      </c>
      <c r="C21" s="61" t="s">
        <v>271</v>
      </c>
      <c r="D21" s="62">
        <v>11171</v>
      </c>
      <c r="E21" s="62">
        <v>6400000</v>
      </c>
      <c r="F21" s="63">
        <f t="shared" si="4"/>
        <v>3512</v>
      </c>
      <c r="G21" s="63">
        <f t="shared" si="0"/>
        <v>2.3660200611673119</v>
      </c>
      <c r="H21" s="63">
        <f t="shared" si="5"/>
        <v>3.7448130479773623</v>
      </c>
      <c r="I21" s="76">
        <f t="shared" si="1"/>
        <v>11171</v>
      </c>
      <c r="J21" s="76">
        <f t="shared" si="2"/>
        <v>6400000</v>
      </c>
      <c r="K21" s="77">
        <f>J21*'Inflation Rates by Year'!$C$2</f>
        <v>7236864</v>
      </c>
      <c r="L21" s="78">
        <f t="shared" si="3"/>
        <v>647.82597797869482</v>
      </c>
    </row>
    <row r="22" spans="1:12" ht="14.5">
      <c r="A22" s="81">
        <v>44429</v>
      </c>
      <c r="B22" s="61">
        <v>21</v>
      </c>
      <c r="C22" s="61" t="s">
        <v>168</v>
      </c>
      <c r="D22" s="62">
        <v>11171</v>
      </c>
      <c r="E22" s="62">
        <v>6400000</v>
      </c>
      <c r="F22" s="63">
        <f t="shared" si="4"/>
        <v>0</v>
      </c>
      <c r="G22" s="63">
        <f t="shared" si="0"/>
        <v>0</v>
      </c>
      <c r="H22" s="63">
        <f t="shared" si="5"/>
        <v>0</v>
      </c>
      <c r="I22" s="76">
        <f t="shared" si="1"/>
        <v>11171</v>
      </c>
      <c r="J22" s="76">
        <f t="shared" si="2"/>
        <v>6400000</v>
      </c>
      <c r="K22" s="77">
        <f>J22*'Inflation Rates by Year'!$C$2</f>
        <v>7236864</v>
      </c>
      <c r="L22" s="78">
        <f t="shared" si="3"/>
        <v>647.82597797869482</v>
      </c>
    </row>
    <row r="23" spans="1:12" ht="14.5">
      <c r="A23" s="81">
        <v>44429</v>
      </c>
      <c r="B23" s="61">
        <v>22</v>
      </c>
      <c r="C23" s="61" t="s">
        <v>168</v>
      </c>
      <c r="D23" s="62">
        <v>13623</v>
      </c>
      <c r="E23" s="62">
        <v>7100000</v>
      </c>
      <c r="F23" s="63">
        <f t="shared" si="4"/>
        <v>2452</v>
      </c>
      <c r="G23" s="63">
        <f t="shared" si="0"/>
        <v>1.6519023889471094</v>
      </c>
      <c r="H23" s="63">
        <f t="shared" si="5"/>
        <v>2.2712623184380312</v>
      </c>
      <c r="I23" s="76">
        <f t="shared" si="1"/>
        <v>13623</v>
      </c>
      <c r="J23" s="76">
        <f t="shared" si="2"/>
        <v>7100000</v>
      </c>
      <c r="K23" s="77">
        <f>J23*'Inflation Rates by Year'!$C$2</f>
        <v>8028396</v>
      </c>
      <c r="L23" s="78">
        <f t="shared" si="3"/>
        <v>589.32658004844745</v>
      </c>
    </row>
    <row r="24" spans="1:12" ht="14.5">
      <c r="A24" s="81">
        <v>44431</v>
      </c>
      <c r="B24" s="61">
        <v>23</v>
      </c>
      <c r="C24" s="61" t="s">
        <v>271</v>
      </c>
      <c r="D24" s="62">
        <v>19707</v>
      </c>
      <c r="E24" s="62">
        <v>8700000</v>
      </c>
      <c r="F24" s="63">
        <f t="shared" si="4"/>
        <v>6084</v>
      </c>
      <c r="G24" s="63">
        <f t="shared" si="0"/>
        <v>4.0987659601770856</v>
      </c>
      <c r="H24" s="63">
        <f t="shared" si="5"/>
        <v>4.8751800619630625</v>
      </c>
      <c r="I24" s="76">
        <f t="shared" si="1"/>
        <v>19707</v>
      </c>
      <c r="J24" s="76">
        <f t="shared" si="2"/>
        <v>8700000</v>
      </c>
      <c r="K24" s="77">
        <f>J24*'Inflation Rates by Year'!$C$2</f>
        <v>9837612</v>
      </c>
      <c r="L24" s="78">
        <f t="shared" si="3"/>
        <v>499.19378900898158</v>
      </c>
    </row>
    <row r="25" spans="1:12" ht="14.5">
      <c r="A25" s="81">
        <v>44432</v>
      </c>
      <c r="B25" s="61">
        <v>24</v>
      </c>
      <c r="C25" s="61" t="s">
        <v>168</v>
      </c>
      <c r="D25" s="62">
        <v>21592</v>
      </c>
      <c r="E25" s="62">
        <v>9200000</v>
      </c>
      <c r="F25" s="63">
        <f t="shared" si="4"/>
        <v>1885</v>
      </c>
      <c r="G25" s="63">
        <f t="shared" si="0"/>
        <v>1.26991680390102</v>
      </c>
      <c r="H25" s="63">
        <f t="shared" si="5"/>
        <v>1.3515807672342457</v>
      </c>
      <c r="I25" s="76">
        <f t="shared" si="1"/>
        <v>21592</v>
      </c>
      <c r="J25" s="76">
        <f t="shared" si="2"/>
        <v>9200000</v>
      </c>
      <c r="K25" s="77">
        <f>J25*'Inflation Rates by Year'!$C$2</f>
        <v>10402992</v>
      </c>
      <c r="L25" s="78">
        <f t="shared" si="3"/>
        <v>481.7984438680993</v>
      </c>
    </row>
    <row r="26" spans="1:12" ht="14.5">
      <c r="A26" s="81">
        <v>44433</v>
      </c>
      <c r="B26" s="61">
        <v>25</v>
      </c>
      <c r="C26" s="61" t="s">
        <v>168</v>
      </c>
      <c r="D26" s="62">
        <v>23360</v>
      </c>
      <c r="E26" s="62">
        <v>10150000</v>
      </c>
      <c r="F26" s="63">
        <f t="shared" si="4"/>
        <v>1768</v>
      </c>
      <c r="G26" s="63">
        <f t="shared" si="0"/>
        <v>1.1910943815899222</v>
      </c>
      <c r="H26" s="63">
        <f t="shared" si="5"/>
        <v>1.2150076477586949</v>
      </c>
      <c r="I26" s="76">
        <f t="shared" si="1"/>
        <v>23360</v>
      </c>
      <c r="J26" s="76">
        <f t="shared" si="2"/>
        <v>10150000</v>
      </c>
      <c r="K26" s="77">
        <f>J26*'Inflation Rates by Year'!$C$2</f>
        <v>11477214</v>
      </c>
      <c r="L26" s="78">
        <f t="shared" si="3"/>
        <v>491.31909246575344</v>
      </c>
    </row>
    <row r="27" spans="1:12" ht="14.5">
      <c r="A27" s="81">
        <v>44434</v>
      </c>
      <c r="B27" s="61">
        <v>26</v>
      </c>
      <c r="C27" s="61" t="s">
        <v>168</v>
      </c>
      <c r="D27" s="62">
        <v>25748</v>
      </c>
      <c r="E27" s="62">
        <v>10800000</v>
      </c>
      <c r="F27" s="63">
        <f t="shared" si="4"/>
        <v>2388</v>
      </c>
      <c r="G27" s="63">
        <f t="shared" si="0"/>
        <v>1.6087858502470218</v>
      </c>
      <c r="H27" s="63">
        <f t="shared" si="5"/>
        <v>1.5702684899970625</v>
      </c>
      <c r="I27" s="76">
        <f t="shared" si="1"/>
        <v>25748</v>
      </c>
      <c r="J27" s="76">
        <f t="shared" si="2"/>
        <v>10800000</v>
      </c>
      <c r="K27" s="77">
        <f>J27*'Inflation Rates by Year'!$C$2</f>
        <v>12212208</v>
      </c>
      <c r="L27" s="78">
        <f t="shared" si="3"/>
        <v>474.29734348298899</v>
      </c>
    </row>
    <row r="28" spans="1:12" ht="14.5">
      <c r="A28" s="81">
        <v>44435</v>
      </c>
      <c r="B28" s="61">
        <v>27</v>
      </c>
      <c r="C28" s="61" t="s">
        <v>271</v>
      </c>
      <c r="D28" s="62">
        <v>27373</v>
      </c>
      <c r="E28" s="62">
        <v>11524170</v>
      </c>
      <c r="F28" s="63">
        <f t="shared" si="4"/>
        <v>1625</v>
      </c>
      <c r="G28" s="63">
        <f t="shared" si="0"/>
        <v>1.0947558654319138</v>
      </c>
      <c r="H28" s="63">
        <f t="shared" si="5"/>
        <v>1.0272077735102636</v>
      </c>
      <c r="I28" s="76">
        <f t="shared" si="1"/>
        <v>27373</v>
      </c>
      <c r="J28" s="76">
        <f t="shared" si="2"/>
        <v>11524170</v>
      </c>
      <c r="K28" s="77">
        <f>J28*'Inflation Rates by Year'!$C$2</f>
        <v>13031070.4692</v>
      </c>
      <c r="L28" s="78">
        <f t="shared" si="3"/>
        <v>476.0556193767581</v>
      </c>
    </row>
    <row r="29" spans="1:12" ht="14.5">
      <c r="A29" s="81">
        <v>44436</v>
      </c>
      <c r="B29" s="61">
        <v>28</v>
      </c>
      <c r="C29" s="61" t="s">
        <v>168</v>
      </c>
      <c r="D29" s="62">
        <v>30012</v>
      </c>
      <c r="E29" s="62">
        <v>12117782</v>
      </c>
      <c r="F29" s="63">
        <f t="shared" si="4"/>
        <v>2639</v>
      </c>
      <c r="G29" s="63">
        <f t="shared" si="0"/>
        <v>1.7778835254614282</v>
      </c>
      <c r="H29" s="63">
        <f t="shared" si="5"/>
        <v>1.6052487192640124</v>
      </c>
      <c r="I29" s="76">
        <f t="shared" si="1"/>
        <v>30012</v>
      </c>
      <c r="J29" s="76">
        <f t="shared" si="2"/>
        <v>12117782</v>
      </c>
      <c r="K29" s="77">
        <f>J29*'Inflation Rates by Year'!$C$2</f>
        <v>13702303.174319999</v>
      </c>
      <c r="L29" s="78">
        <f t="shared" si="3"/>
        <v>456.56081481807274</v>
      </c>
    </row>
    <row r="30" spans="1:12" ht="14.5">
      <c r="A30" s="81">
        <v>44437</v>
      </c>
      <c r="B30" s="61">
        <v>29</v>
      </c>
      <c r="C30" s="61" t="s">
        <v>271</v>
      </c>
      <c r="D30" s="62">
        <v>33242</v>
      </c>
      <c r="E30" s="62">
        <v>12768547</v>
      </c>
      <c r="F30" s="63">
        <f t="shared" si="4"/>
        <v>3230</v>
      </c>
      <c r="G30" s="63">
        <f t="shared" si="0"/>
        <v>2.1760378125200504</v>
      </c>
      <c r="H30" s="63">
        <f t="shared" si="5"/>
        <v>1.8714897498323766</v>
      </c>
      <c r="I30" s="76">
        <f t="shared" si="1"/>
        <v>33242</v>
      </c>
      <c r="J30" s="76">
        <f t="shared" si="2"/>
        <v>12768547</v>
      </c>
      <c r="K30" s="77">
        <f>J30*'Inflation Rates by Year'!$C$2</f>
        <v>14438162.20572</v>
      </c>
      <c r="L30" s="78">
        <f t="shared" si="3"/>
        <v>434.33494391793516</v>
      </c>
    </row>
    <row r="31" spans="1:12" ht="14.5">
      <c r="A31" s="81">
        <v>44438</v>
      </c>
      <c r="B31" s="61">
        <v>30</v>
      </c>
      <c r="C31" s="61" t="s">
        <v>168</v>
      </c>
      <c r="D31" s="62">
        <v>36461</v>
      </c>
      <c r="E31" s="62">
        <v>13567040</v>
      </c>
      <c r="F31" s="63">
        <f t="shared" si="4"/>
        <v>3219</v>
      </c>
      <c r="G31" s="63">
        <f t="shared" si="0"/>
        <v>2.168627157430973</v>
      </c>
      <c r="H31" s="63">
        <f t="shared" si="5"/>
        <v>1.776635553037176</v>
      </c>
      <c r="I31" s="76">
        <f t="shared" si="1"/>
        <v>36461</v>
      </c>
      <c r="J31" s="76">
        <f t="shared" si="2"/>
        <v>13567040</v>
      </c>
      <c r="K31" s="77">
        <f>J31*'Inflation Rates by Year'!$C$2</f>
        <v>15341066.1504</v>
      </c>
      <c r="L31" s="78">
        <f t="shared" si="3"/>
        <v>420.75275363813387</v>
      </c>
    </row>
    <row r="32" spans="1:12" ht="14.5">
      <c r="A32" s="81">
        <v>44439</v>
      </c>
      <c r="B32" s="61">
        <v>31</v>
      </c>
      <c r="C32" s="61" t="s">
        <v>168</v>
      </c>
      <c r="D32" s="62">
        <v>38903</v>
      </c>
      <c r="E32" s="62">
        <v>14267592</v>
      </c>
      <c r="F32" s="63">
        <f t="shared" si="4"/>
        <v>2442</v>
      </c>
      <c r="G32" s="63">
        <f t="shared" si="0"/>
        <v>1.6451654297752207</v>
      </c>
      <c r="H32" s="63">
        <f t="shared" si="5"/>
        <v>1.2960087806853253</v>
      </c>
      <c r="I32" s="76">
        <f t="shared" si="1"/>
        <v>38903</v>
      </c>
      <c r="J32" s="76">
        <f t="shared" si="2"/>
        <v>14267592</v>
      </c>
      <c r="K32" s="77">
        <f>J32*'Inflation Rates by Year'!$C$2</f>
        <v>16133222.329919999</v>
      </c>
      <c r="L32" s="78">
        <f t="shared" si="3"/>
        <v>414.70381024394004</v>
      </c>
    </row>
    <row r="33" spans="1:12" ht="14.5">
      <c r="A33" s="81">
        <v>44440</v>
      </c>
      <c r="B33" s="61">
        <v>32</v>
      </c>
      <c r="C33" s="61" t="s">
        <v>271</v>
      </c>
      <c r="D33" s="62">
        <v>44977</v>
      </c>
      <c r="E33" s="62">
        <v>15257266</v>
      </c>
      <c r="F33" s="63">
        <f t="shared" si="4"/>
        <v>6074</v>
      </c>
      <c r="G33" s="63">
        <f t="shared" si="0"/>
        <v>4.092029001005197</v>
      </c>
      <c r="H33" s="63">
        <f t="shared" si="5"/>
        <v>3.0571590457286053</v>
      </c>
      <c r="I33" s="76">
        <f t="shared" si="1"/>
        <v>44977</v>
      </c>
      <c r="J33" s="76">
        <f t="shared" si="2"/>
        <v>15257266</v>
      </c>
      <c r="K33" s="77">
        <f>J33*'Inflation Rates by Year'!$C$2</f>
        <v>17252306.102159999</v>
      </c>
      <c r="L33" s="78">
        <f t="shared" si="3"/>
        <v>383.58063237121195</v>
      </c>
    </row>
    <row r="34" spans="1:12" ht="14.5">
      <c r="A34" s="81">
        <v>44441</v>
      </c>
      <c r="B34" s="61">
        <v>33</v>
      </c>
      <c r="C34" s="61" t="s">
        <v>271</v>
      </c>
      <c r="D34" s="62">
        <v>48733</v>
      </c>
      <c r="E34" s="62">
        <v>15698240</v>
      </c>
      <c r="F34" s="63">
        <f t="shared" si="4"/>
        <v>3756</v>
      </c>
      <c r="G34" s="63">
        <f t="shared" si="0"/>
        <v>2.5304018649613962</v>
      </c>
      <c r="H34" s="63">
        <f t="shared" si="5"/>
        <v>1.7877513444053159</v>
      </c>
      <c r="I34" s="76">
        <f t="shared" ref="I34:I65" si="6">D34</f>
        <v>48733</v>
      </c>
      <c r="J34" s="76">
        <f t="shared" ref="J34:J65" si="7">E34</f>
        <v>15698240</v>
      </c>
      <c r="K34" s="77">
        <f>J34*'Inflation Rates by Year'!$C$2</f>
        <v>17750941.862399999</v>
      </c>
      <c r="L34" s="78">
        <f t="shared" si="3"/>
        <v>364.24890448771879</v>
      </c>
    </row>
    <row r="35" spans="1:12" ht="14.5">
      <c r="A35" s="81">
        <v>44442</v>
      </c>
      <c r="B35" s="61">
        <v>34</v>
      </c>
      <c r="C35" s="61" t="s">
        <v>168</v>
      </c>
      <c r="D35" s="62">
        <v>51297</v>
      </c>
      <c r="E35" s="62">
        <v>16304758</v>
      </c>
      <c r="F35" s="63">
        <f t="shared" si="4"/>
        <v>2564</v>
      </c>
      <c r="G35" s="63">
        <f t="shared" si="0"/>
        <v>1.7273563316722629</v>
      </c>
      <c r="H35" s="63">
        <f t="shared" si="5"/>
        <v>1.181070431934417</v>
      </c>
      <c r="I35" s="76">
        <f t="shared" si="6"/>
        <v>51297</v>
      </c>
      <c r="J35" s="76">
        <f t="shared" si="7"/>
        <v>16304758</v>
      </c>
      <c r="K35" s="77">
        <f>J35*'Inflation Rates by Year'!$C$2</f>
        <v>18436768.15608</v>
      </c>
      <c r="L35" s="78">
        <f t="shared" si="3"/>
        <v>359.41221038423299</v>
      </c>
    </row>
    <row r="36" spans="1:12" ht="14.5">
      <c r="A36" s="81">
        <v>44443</v>
      </c>
      <c r="B36" s="61">
        <v>35</v>
      </c>
      <c r="C36" s="61" t="s">
        <v>271</v>
      </c>
      <c r="D36" s="62">
        <v>52918</v>
      </c>
      <c r="E36" s="62">
        <v>16858953</v>
      </c>
      <c r="F36" s="63">
        <f t="shared" si="4"/>
        <v>1621</v>
      </c>
      <c r="G36" s="63">
        <f t="shared" si="0"/>
        <v>1.0920610817631584</v>
      </c>
      <c r="H36" s="63">
        <f t="shared" si="5"/>
        <v>0.73150663267533944</v>
      </c>
      <c r="I36" s="76">
        <f t="shared" si="6"/>
        <v>52918</v>
      </c>
      <c r="J36" s="76">
        <f t="shared" si="7"/>
        <v>16858953</v>
      </c>
      <c r="K36" s="77">
        <f>J36*'Inflation Rates by Year'!$C$2</f>
        <v>19063429.694279999</v>
      </c>
      <c r="L36" s="78">
        <f t="shared" si="3"/>
        <v>360.24471246607959</v>
      </c>
    </row>
    <row r="37" spans="1:12" ht="14.5">
      <c r="A37" s="81">
        <v>44444</v>
      </c>
      <c r="B37" s="61">
        <v>36</v>
      </c>
      <c r="C37" s="61" t="s">
        <v>271</v>
      </c>
      <c r="D37" s="62">
        <v>54385</v>
      </c>
      <c r="E37" s="62">
        <v>17623438</v>
      </c>
      <c r="F37" s="63">
        <f t="shared" si="4"/>
        <v>1467</v>
      </c>
      <c r="G37" s="63">
        <f t="shared" si="0"/>
        <v>0.98831191051607237</v>
      </c>
      <c r="H37" s="63">
        <f t="shared" si="5"/>
        <v>0.65241143415125125</v>
      </c>
      <c r="I37" s="76">
        <f t="shared" si="6"/>
        <v>54385</v>
      </c>
      <c r="J37" s="76">
        <f t="shared" si="7"/>
        <v>17623438</v>
      </c>
      <c r="K37" s="77">
        <f>J37*'Inflation Rates by Year'!$C$2</f>
        <v>19927878.75288</v>
      </c>
      <c r="L37" s="78">
        <f t="shared" si="3"/>
        <v>366.42233617504826</v>
      </c>
    </row>
    <row r="38" spans="1:12" ht="14.5">
      <c r="A38" s="81">
        <v>44446</v>
      </c>
      <c r="B38" s="61">
        <v>37</v>
      </c>
      <c r="C38" s="61" t="s">
        <v>168</v>
      </c>
      <c r="D38" s="62">
        <v>59049</v>
      </c>
      <c r="E38" s="62">
        <v>19350505</v>
      </c>
      <c r="F38" s="63">
        <f t="shared" si="4"/>
        <v>4664</v>
      </c>
      <c r="G38" s="63">
        <f t="shared" si="0"/>
        <v>3.1421177577688901</v>
      </c>
      <c r="H38" s="63">
        <f t="shared" si="5"/>
        <v>2.0177436363994641</v>
      </c>
      <c r="I38" s="76">
        <f t="shared" si="6"/>
        <v>59049</v>
      </c>
      <c r="J38" s="76">
        <f t="shared" si="7"/>
        <v>19350505</v>
      </c>
      <c r="K38" s="77">
        <f>J38*'Inflation Rates by Year'!$C$2</f>
        <v>21880777.033799998</v>
      </c>
      <c r="L38" s="78">
        <f t="shared" si="3"/>
        <v>370.55288038408776</v>
      </c>
    </row>
    <row r="39" spans="1:12" ht="14.5">
      <c r="A39" s="81">
        <v>44447</v>
      </c>
      <c r="B39" s="61">
        <v>38</v>
      </c>
      <c r="C39" s="61" t="s">
        <v>168</v>
      </c>
      <c r="D39" s="62">
        <v>68824</v>
      </c>
      <c r="E39" s="62">
        <v>19992834</v>
      </c>
      <c r="F39" s="63">
        <f t="shared" si="4"/>
        <v>9775</v>
      </c>
      <c r="G39" s="63">
        <f t="shared" si="0"/>
        <v>6.5853775905212046</v>
      </c>
      <c r="H39" s="63">
        <f t="shared" si="5"/>
        <v>3.9850382839649345</v>
      </c>
      <c r="I39" s="76">
        <f t="shared" si="6"/>
        <v>68824</v>
      </c>
      <c r="J39" s="76">
        <f t="shared" si="7"/>
        <v>19992834</v>
      </c>
      <c r="K39" s="77">
        <f>J39*'Inflation Rates by Year'!$C$2</f>
        <v>22607096.973839998</v>
      </c>
      <c r="L39" s="78">
        <f t="shared" si="3"/>
        <v>328.47694080320815</v>
      </c>
    </row>
    <row r="40" spans="1:12" ht="14.5">
      <c r="A40" s="81">
        <v>44448</v>
      </c>
      <c r="B40" s="61">
        <v>39</v>
      </c>
      <c r="C40" s="61" t="s">
        <v>168</v>
      </c>
      <c r="D40" s="62">
        <v>69737</v>
      </c>
      <c r="E40" s="62">
        <v>20545108</v>
      </c>
      <c r="F40" s="63">
        <f t="shared" si="4"/>
        <v>913</v>
      </c>
      <c r="G40" s="63">
        <f t="shared" si="0"/>
        <v>0.61508437239343838</v>
      </c>
      <c r="H40" s="63">
        <f t="shared" si="5"/>
        <v>0.35730563434203744</v>
      </c>
      <c r="I40" s="76">
        <f t="shared" si="6"/>
        <v>69737</v>
      </c>
      <c r="J40" s="76">
        <f t="shared" si="7"/>
        <v>20545108</v>
      </c>
      <c r="K40" s="77">
        <f>J40*'Inflation Rates by Year'!$C$2</f>
        <v>23231586.322080001</v>
      </c>
      <c r="L40" s="78">
        <f t="shared" si="3"/>
        <v>333.13142696244461</v>
      </c>
    </row>
    <row r="41" spans="1:12" ht="14.5">
      <c r="A41" s="81">
        <v>44449</v>
      </c>
      <c r="B41" s="61">
        <v>40</v>
      </c>
      <c r="C41" s="61" t="s">
        <v>168</v>
      </c>
      <c r="D41" s="62">
        <v>71236</v>
      </c>
      <c r="E41" s="62">
        <v>21367647</v>
      </c>
      <c r="F41" s="63">
        <f t="shared" si="4"/>
        <v>1499</v>
      </c>
      <c r="G41" s="63">
        <f t="shared" si="0"/>
        <v>1.0098701798661163</v>
      </c>
      <c r="H41" s="63">
        <f t="shared" si="5"/>
        <v>0.58160353127073716</v>
      </c>
      <c r="I41" s="76">
        <f t="shared" si="6"/>
        <v>71236</v>
      </c>
      <c r="J41" s="76">
        <f t="shared" si="7"/>
        <v>21367647</v>
      </c>
      <c r="K41" s="77">
        <f>J41*'Inflation Rates by Year'!$C$2</f>
        <v>24161680.52172</v>
      </c>
      <c r="L41" s="78">
        <f t="shared" si="3"/>
        <v>339.17795106013813</v>
      </c>
    </row>
    <row r="42" spans="1:12" ht="14.5">
      <c r="A42" s="81">
        <v>44450</v>
      </c>
      <c r="B42" s="61">
        <v>41</v>
      </c>
      <c r="C42" s="61" t="s">
        <v>168</v>
      </c>
      <c r="D42" s="62">
        <v>73107</v>
      </c>
      <c r="E42" s="62">
        <v>22229941</v>
      </c>
      <c r="F42" s="63">
        <f t="shared" si="4"/>
        <v>1871</v>
      </c>
      <c r="G42" s="63">
        <f t="shared" si="0"/>
        <v>1.2604850610603759</v>
      </c>
      <c r="H42" s="63">
        <f t="shared" si="5"/>
        <v>0.71741801857309073</v>
      </c>
      <c r="I42" s="76">
        <f t="shared" si="6"/>
        <v>73107</v>
      </c>
      <c r="J42" s="76">
        <f t="shared" si="7"/>
        <v>22229941</v>
      </c>
      <c r="K42" s="77">
        <f>J42*'Inflation Rates by Year'!$C$2</f>
        <v>25136728.085159998</v>
      </c>
      <c r="L42" s="78">
        <f t="shared" si="3"/>
        <v>343.83476390988551</v>
      </c>
    </row>
    <row r="43" spans="1:12" ht="14.5">
      <c r="A43" s="81">
        <v>44451</v>
      </c>
      <c r="B43" s="61">
        <v>42</v>
      </c>
      <c r="C43" s="61" t="s">
        <v>168</v>
      </c>
      <c r="D43" s="62">
        <v>74076</v>
      </c>
      <c r="E43" s="62">
        <v>23268420</v>
      </c>
      <c r="F43" s="63">
        <f t="shared" si="4"/>
        <v>969</v>
      </c>
      <c r="G43" s="63">
        <f t="shared" si="0"/>
        <v>0.65281134375601513</v>
      </c>
      <c r="H43" s="63">
        <f t="shared" si="5"/>
        <v>0.36794638404726648</v>
      </c>
      <c r="I43" s="76">
        <f t="shared" si="6"/>
        <v>74076</v>
      </c>
      <c r="J43" s="76">
        <f t="shared" si="7"/>
        <v>23268420</v>
      </c>
      <c r="K43" s="77">
        <f>J43*'Inflation Rates by Year'!$C$2</f>
        <v>26310998.599199999</v>
      </c>
      <c r="L43" s="78">
        <f t="shared" si="3"/>
        <v>355.18924616879963</v>
      </c>
    </row>
    <row r="44" spans="1:12" ht="14.5">
      <c r="A44" s="81">
        <v>44452</v>
      </c>
      <c r="B44" s="61">
        <v>43</v>
      </c>
      <c r="C44" s="61" t="s">
        <v>168</v>
      </c>
      <c r="D44" s="62">
        <v>75895</v>
      </c>
      <c r="E44" s="62">
        <v>24161215</v>
      </c>
      <c r="F44" s="63">
        <f t="shared" si="4"/>
        <v>1819</v>
      </c>
      <c r="G44" s="63">
        <f t="shared" si="0"/>
        <v>1.2254528733665546</v>
      </c>
      <c r="H44" s="63">
        <f t="shared" si="5"/>
        <v>0.68426492156815888</v>
      </c>
      <c r="I44" s="76">
        <f t="shared" si="6"/>
        <v>75895</v>
      </c>
      <c r="J44" s="76">
        <f t="shared" si="7"/>
        <v>24161215</v>
      </c>
      <c r="K44" s="77">
        <f>J44*'Inflation Rates by Year'!$C$2</f>
        <v>27320535.4734</v>
      </c>
      <c r="L44" s="78">
        <f t="shared" si="3"/>
        <v>359.97806803346731</v>
      </c>
    </row>
    <row r="45" spans="1:12" ht="14.5">
      <c r="A45" s="81">
        <v>44453</v>
      </c>
      <c r="B45" s="61">
        <v>44</v>
      </c>
      <c r="C45" s="61" t="s">
        <v>168</v>
      </c>
      <c r="D45" s="62">
        <v>77228</v>
      </c>
      <c r="E45" s="62">
        <v>25095296</v>
      </c>
      <c r="F45" s="63">
        <f t="shared" si="4"/>
        <v>1333</v>
      </c>
      <c r="G45" s="63">
        <f t="shared" si="0"/>
        <v>0.89803665761276386</v>
      </c>
      <c r="H45" s="63">
        <f t="shared" si="5"/>
        <v>0.49625087278155638</v>
      </c>
      <c r="I45" s="76">
        <f t="shared" si="6"/>
        <v>77228</v>
      </c>
      <c r="J45" s="76">
        <f t="shared" si="7"/>
        <v>25095296</v>
      </c>
      <c r="K45" s="77">
        <f>J45*'Inflation Rates by Year'!$C$2</f>
        <v>28376756.904959999</v>
      </c>
      <c r="L45" s="78">
        <f t="shared" si="3"/>
        <v>367.44130244160147</v>
      </c>
    </row>
    <row r="46" spans="1:12" ht="14.5">
      <c r="A46" s="81">
        <v>44454</v>
      </c>
      <c r="B46" s="61">
        <v>45</v>
      </c>
      <c r="C46" s="61" t="s">
        <v>168</v>
      </c>
      <c r="D46" s="62">
        <v>78812</v>
      </c>
      <c r="E46" s="62">
        <v>25982971</v>
      </c>
      <c r="F46" s="63">
        <f t="shared" si="4"/>
        <v>1584</v>
      </c>
      <c r="G46" s="63">
        <f t="shared" si="0"/>
        <v>1.0671343328271703</v>
      </c>
      <c r="H46" s="63">
        <f t="shared" si="5"/>
        <v>0.58415760545804729</v>
      </c>
      <c r="I46" s="76">
        <f t="shared" si="6"/>
        <v>78812</v>
      </c>
      <c r="J46" s="76">
        <f t="shared" si="7"/>
        <v>25982971</v>
      </c>
      <c r="K46" s="77">
        <f>J46*'Inflation Rates by Year'!$C$2</f>
        <v>29380504.28796</v>
      </c>
      <c r="L46" s="78">
        <f t="shared" si="3"/>
        <v>372.79226879104704</v>
      </c>
    </row>
    <row r="47" spans="1:12" ht="14.5">
      <c r="A47" s="81">
        <v>44455</v>
      </c>
      <c r="B47" s="61">
        <v>46</v>
      </c>
      <c r="C47" s="61" t="s">
        <v>168</v>
      </c>
      <c r="D47" s="62">
        <v>80611</v>
      </c>
      <c r="E47" s="62">
        <v>26844268</v>
      </c>
      <c r="F47" s="63">
        <f t="shared" si="4"/>
        <v>1799</v>
      </c>
      <c r="G47" s="63">
        <f t="shared" si="0"/>
        <v>1.2119789550227773</v>
      </c>
      <c r="H47" s="63">
        <f t="shared" si="5"/>
        <v>0.65637166157220905</v>
      </c>
      <c r="I47" s="76">
        <f t="shared" si="6"/>
        <v>80611</v>
      </c>
      <c r="J47" s="76">
        <f t="shared" si="7"/>
        <v>26844268</v>
      </c>
      <c r="K47" s="77">
        <f>J47*'Inflation Rates by Year'!$C$2</f>
        <v>30354424.483679999</v>
      </c>
      <c r="L47" s="78">
        <f t="shared" si="3"/>
        <v>376.55437202962372</v>
      </c>
    </row>
    <row r="48" spans="1:12" ht="14.5">
      <c r="A48" s="81">
        <v>44456</v>
      </c>
      <c r="B48" s="61">
        <v>47</v>
      </c>
      <c r="C48" s="61" t="s">
        <v>168</v>
      </c>
      <c r="D48" s="62">
        <v>82471</v>
      </c>
      <c r="E48" s="62">
        <v>28066803</v>
      </c>
      <c r="F48" s="63">
        <f t="shared" si="4"/>
        <v>1860</v>
      </c>
      <c r="G48" s="63">
        <f t="shared" si="0"/>
        <v>1.2530744059712984</v>
      </c>
      <c r="H48" s="63">
        <f t="shared" si="5"/>
        <v>0.67097173607116456</v>
      </c>
      <c r="I48" s="76">
        <f t="shared" si="6"/>
        <v>82471</v>
      </c>
      <c r="J48" s="76">
        <f t="shared" si="7"/>
        <v>28066803</v>
      </c>
      <c r="K48" s="77">
        <f>J48*'Inflation Rates by Year'!$C$2</f>
        <v>31736818.16028</v>
      </c>
      <c r="L48" s="78">
        <f t="shared" si="3"/>
        <v>384.82397643147289</v>
      </c>
    </row>
    <row r="49" spans="1:12" ht="14.5">
      <c r="A49" s="81">
        <v>44457</v>
      </c>
      <c r="B49" s="61">
        <v>48</v>
      </c>
      <c r="C49" s="61" t="s">
        <v>168</v>
      </c>
      <c r="D49" s="62">
        <v>84471</v>
      </c>
      <c r="E49" s="62">
        <v>28794428</v>
      </c>
      <c r="F49" s="63">
        <f t="shared" si="4"/>
        <v>2000</v>
      </c>
      <c r="G49" s="63">
        <f t="shared" si="0"/>
        <v>1.3473918343777402</v>
      </c>
      <c r="H49" s="63">
        <f t="shared" si="5"/>
        <v>0.71308650261051909</v>
      </c>
      <c r="I49" s="76">
        <f t="shared" si="6"/>
        <v>84471</v>
      </c>
      <c r="J49" s="76">
        <f t="shared" si="7"/>
        <v>28794428</v>
      </c>
      <c r="K49" s="77">
        <f>J49*'Inflation Rates by Year'!$C$2</f>
        <v>32559587.405280001</v>
      </c>
      <c r="L49" s="78">
        <f t="shared" si="3"/>
        <v>385.45284660155556</v>
      </c>
    </row>
    <row r="50" spans="1:12" ht="14.5">
      <c r="A50" s="81">
        <v>44458</v>
      </c>
      <c r="B50" s="61">
        <v>49</v>
      </c>
      <c r="C50" s="61" t="s">
        <v>168</v>
      </c>
      <c r="D50" s="62">
        <v>84471</v>
      </c>
      <c r="E50" s="62">
        <v>29620472</v>
      </c>
      <c r="F50" s="63">
        <f t="shared" si="4"/>
        <v>0</v>
      </c>
      <c r="G50" s="63">
        <f t="shared" si="0"/>
        <v>0</v>
      </c>
      <c r="H50" s="63">
        <f t="shared" si="5"/>
        <v>0</v>
      </c>
      <c r="I50" s="76">
        <f t="shared" si="6"/>
        <v>84471</v>
      </c>
      <c r="J50" s="76">
        <f t="shared" si="7"/>
        <v>29620472</v>
      </c>
      <c r="K50" s="77">
        <f>J50*'Inflation Rates by Year'!$C$2</f>
        <v>33493644.918719999</v>
      </c>
      <c r="L50" s="78">
        <f t="shared" si="3"/>
        <v>396.51057663245376</v>
      </c>
    </row>
    <row r="51" spans="1:12" ht="14.5">
      <c r="A51" s="81">
        <v>44459</v>
      </c>
      <c r="B51" s="61">
        <v>50</v>
      </c>
      <c r="C51" s="61" t="s">
        <v>168</v>
      </c>
      <c r="D51" s="62">
        <v>84471</v>
      </c>
      <c r="E51" s="62">
        <v>31000000</v>
      </c>
      <c r="F51" s="63">
        <f t="shared" si="4"/>
        <v>0</v>
      </c>
      <c r="G51" s="63">
        <f t="shared" si="0"/>
        <v>0</v>
      </c>
      <c r="H51" s="63">
        <f t="shared" si="5"/>
        <v>0</v>
      </c>
      <c r="I51" s="76">
        <f t="shared" si="6"/>
        <v>84471</v>
      </c>
      <c r="J51" s="76">
        <f t="shared" si="7"/>
        <v>31000000</v>
      </c>
      <c r="K51" s="77">
        <f>J51*'Inflation Rates by Year'!$C$2</f>
        <v>35053560</v>
      </c>
      <c r="L51" s="78">
        <f t="shared" si="3"/>
        <v>414.97744788152147</v>
      </c>
    </row>
    <row r="52" spans="1:12" ht="14.5">
      <c r="A52" s="81">
        <v>44460</v>
      </c>
      <c r="B52" s="61">
        <v>51</v>
      </c>
      <c r="C52" s="61" t="s">
        <v>168</v>
      </c>
      <c r="D52" s="62">
        <v>88947</v>
      </c>
      <c r="E52" s="62">
        <v>31480000</v>
      </c>
      <c r="F52" s="63">
        <f t="shared" si="4"/>
        <v>4476</v>
      </c>
      <c r="G52" s="63">
        <f t="shared" si="0"/>
        <v>3.0154629253373826</v>
      </c>
      <c r="H52" s="63">
        <f t="shared" si="5"/>
        <v>1.5659085653365141</v>
      </c>
      <c r="I52" s="76">
        <f t="shared" si="6"/>
        <v>88947</v>
      </c>
      <c r="J52" s="76">
        <f t="shared" si="7"/>
        <v>31480000</v>
      </c>
      <c r="K52" s="77">
        <f>J52*'Inflation Rates by Year'!$C$2</f>
        <v>35596324.799999997</v>
      </c>
      <c r="L52" s="78">
        <f t="shared" si="3"/>
        <v>400.19702519477886</v>
      </c>
    </row>
    <row r="53" spans="1:12" ht="14.5">
      <c r="A53" s="81">
        <v>44461</v>
      </c>
      <c r="B53" s="61">
        <v>52</v>
      </c>
      <c r="C53" s="61" t="s">
        <v>168</v>
      </c>
      <c r="D53" s="62">
        <v>92462</v>
      </c>
      <c r="E53" s="62">
        <v>32202160</v>
      </c>
      <c r="F53" s="63">
        <f t="shared" si="4"/>
        <v>3515</v>
      </c>
      <c r="G53" s="63">
        <f t="shared" si="0"/>
        <v>2.3680411489188784</v>
      </c>
      <c r="H53" s="63">
        <f t="shared" si="5"/>
        <v>1.2022742157922093</v>
      </c>
      <c r="I53" s="76">
        <f t="shared" si="6"/>
        <v>92462</v>
      </c>
      <c r="J53" s="76">
        <f t="shared" si="7"/>
        <v>32202160</v>
      </c>
      <c r="K53" s="77">
        <f>J53*'Inflation Rates by Year'!$C$2</f>
        <v>36412914.441600002</v>
      </c>
      <c r="L53" s="78">
        <f t="shared" si="3"/>
        <v>393.81491252190091</v>
      </c>
    </row>
    <row r="54" spans="1:12" ht="14.5">
      <c r="A54" s="81">
        <v>44462</v>
      </c>
      <c r="B54" s="61">
        <v>53</v>
      </c>
      <c r="C54" s="61" t="s">
        <v>168</v>
      </c>
      <c r="D54" s="62">
        <v>92549</v>
      </c>
      <c r="E54" s="62">
        <v>32359455</v>
      </c>
      <c r="F54" s="63">
        <f t="shared" si="4"/>
        <v>87</v>
      </c>
      <c r="G54" s="63">
        <f t="shared" si="0"/>
        <v>5.8611544795431694E-2</v>
      </c>
      <c r="H54" s="63">
        <f t="shared" si="5"/>
        <v>2.9465086741535272E-2</v>
      </c>
      <c r="I54" s="76">
        <f t="shared" si="6"/>
        <v>92549</v>
      </c>
      <c r="J54" s="76">
        <f t="shared" si="7"/>
        <v>32359455</v>
      </c>
      <c r="K54" s="77">
        <f>J54*'Inflation Rates by Year'!$C$2</f>
        <v>36590777.3358</v>
      </c>
      <c r="L54" s="78">
        <f t="shared" si="3"/>
        <v>395.36653379074869</v>
      </c>
    </row>
    <row r="55" spans="1:12" ht="14.5">
      <c r="A55" s="81">
        <v>44463</v>
      </c>
      <c r="B55" s="61">
        <v>54</v>
      </c>
      <c r="C55" s="61" t="s">
        <v>168</v>
      </c>
      <c r="D55" s="62">
        <v>92753</v>
      </c>
      <c r="E55" s="62">
        <v>33255701</v>
      </c>
      <c r="F55" s="63">
        <f t="shared" si="4"/>
        <v>204</v>
      </c>
      <c r="G55" s="63">
        <f t="shared" si="0"/>
        <v>0.1374339671065295</v>
      </c>
      <c r="H55" s="63">
        <f t="shared" si="5"/>
        <v>6.9036285234009925E-2</v>
      </c>
      <c r="I55" s="76">
        <f t="shared" si="6"/>
        <v>92753</v>
      </c>
      <c r="J55" s="76">
        <f t="shared" si="7"/>
        <v>33255701</v>
      </c>
      <c r="K55" s="77">
        <f>J55*'Inflation Rates by Year'!$C$2</f>
        <v>37604216.462760001</v>
      </c>
      <c r="L55" s="78">
        <f t="shared" si="3"/>
        <v>405.42318267613985</v>
      </c>
    </row>
    <row r="56" spans="1:12" ht="14.5">
      <c r="A56" s="81">
        <v>44464</v>
      </c>
      <c r="B56" s="61">
        <v>55</v>
      </c>
      <c r="C56" s="61" t="s">
        <v>168</v>
      </c>
      <c r="D56" s="62">
        <v>92883</v>
      </c>
      <c r="E56" s="62">
        <v>34147308</v>
      </c>
      <c r="F56" s="63">
        <f t="shared" si="4"/>
        <v>130</v>
      </c>
      <c r="G56" s="63">
        <f t="shared" si="0"/>
        <v>8.7580469234553107E-2</v>
      </c>
      <c r="H56" s="63">
        <f t="shared" si="5"/>
        <v>4.3954112213890791E-2</v>
      </c>
      <c r="I56" s="76">
        <f t="shared" si="6"/>
        <v>92883</v>
      </c>
      <c r="J56" s="76">
        <f t="shared" si="7"/>
        <v>34147308</v>
      </c>
      <c r="K56" s="77">
        <f>J56*'Inflation Rates by Year'!$C$2</f>
        <v>38612409.99408</v>
      </c>
      <c r="L56" s="78">
        <f t="shared" si="3"/>
        <v>415.71019448209034</v>
      </c>
    </row>
    <row r="57" spans="1:12" ht="14.5">
      <c r="A57" s="81">
        <v>44465</v>
      </c>
      <c r="B57" s="61">
        <v>56</v>
      </c>
      <c r="C57" s="61" t="s">
        <v>168</v>
      </c>
      <c r="D57" s="62">
        <v>93176</v>
      </c>
      <c r="E57" s="62">
        <v>36114732</v>
      </c>
      <c r="F57" s="63">
        <f t="shared" si="4"/>
        <v>293</v>
      </c>
      <c r="G57" s="63">
        <f t="shared" si="0"/>
        <v>0.19739290373633894</v>
      </c>
      <c r="H57" s="63">
        <f t="shared" si="5"/>
        <v>9.8953155601117448E-2</v>
      </c>
      <c r="I57" s="76">
        <f t="shared" si="6"/>
        <v>93176</v>
      </c>
      <c r="J57" s="76">
        <f t="shared" si="7"/>
        <v>36114732</v>
      </c>
      <c r="K57" s="77">
        <f>J57*'Inflation Rates by Year'!$C$2</f>
        <v>40837094.356320001</v>
      </c>
      <c r="L57" s="78">
        <f t="shared" si="3"/>
        <v>438.27911003176786</v>
      </c>
    </row>
    <row r="58" spans="1:12" ht="14.5">
      <c r="A58" s="81">
        <v>44466</v>
      </c>
      <c r="B58" s="61">
        <v>57</v>
      </c>
      <c r="C58" s="61" t="s">
        <v>271</v>
      </c>
      <c r="D58" s="62">
        <v>93244</v>
      </c>
      <c r="E58" s="62">
        <v>37262262</v>
      </c>
      <c r="F58" s="63">
        <f t="shared" si="4"/>
        <v>68</v>
      </c>
      <c r="G58" s="63">
        <f t="shared" si="0"/>
        <v>4.5811322368843166E-2</v>
      </c>
      <c r="H58" s="63">
        <f t="shared" si="5"/>
        <v>2.2942984023927544E-2</v>
      </c>
      <c r="I58" s="76">
        <f t="shared" si="6"/>
        <v>93244</v>
      </c>
      <c r="J58" s="76">
        <f t="shared" si="7"/>
        <v>37262262</v>
      </c>
      <c r="K58" s="77">
        <f>J58*'Inflation Rates by Year'!$C$2</f>
        <v>42134675.37912</v>
      </c>
      <c r="L58" s="78">
        <f t="shared" si="3"/>
        <v>451.87545985929387</v>
      </c>
    </row>
    <row r="59" spans="1:12" ht="14.5">
      <c r="A59" s="81">
        <v>44467</v>
      </c>
      <c r="B59" s="61">
        <v>58</v>
      </c>
      <c r="C59" s="61" t="s">
        <v>271</v>
      </c>
      <c r="D59" s="62">
        <v>93244</v>
      </c>
      <c r="E59" s="62">
        <v>38281277</v>
      </c>
      <c r="F59" s="63">
        <f t="shared" si="4"/>
        <v>0</v>
      </c>
      <c r="G59" s="63">
        <f t="shared" si="0"/>
        <v>0</v>
      </c>
      <c r="H59" s="63">
        <f t="shared" si="5"/>
        <v>0</v>
      </c>
      <c r="I59" s="76">
        <f t="shared" si="6"/>
        <v>93244</v>
      </c>
      <c r="J59" s="76">
        <f t="shared" si="7"/>
        <v>38281277</v>
      </c>
      <c r="K59" s="77">
        <f>J59*'Inflation Rates by Year'!$C$2</f>
        <v>43286936.78052</v>
      </c>
      <c r="L59" s="78">
        <f t="shared" si="3"/>
        <v>464.23294561065592</v>
      </c>
    </row>
    <row r="60" spans="1:12" ht="14.5">
      <c r="A60" s="81">
        <v>44468</v>
      </c>
      <c r="B60" s="61">
        <v>59</v>
      </c>
      <c r="C60" s="61" t="s">
        <v>271</v>
      </c>
      <c r="D60" s="62">
        <v>93244</v>
      </c>
      <c r="E60" s="62">
        <v>39019107</v>
      </c>
      <c r="F60" s="63">
        <f t="shared" si="4"/>
        <v>0</v>
      </c>
      <c r="G60" s="63">
        <f t="shared" si="0"/>
        <v>0</v>
      </c>
      <c r="H60" s="63">
        <f t="shared" si="5"/>
        <v>0</v>
      </c>
      <c r="I60" s="76">
        <f t="shared" si="6"/>
        <v>93244</v>
      </c>
      <c r="J60" s="76">
        <f t="shared" si="7"/>
        <v>39019107</v>
      </c>
      <c r="K60" s="77">
        <f>J60*'Inflation Rates by Year'!$C$2</f>
        <v>44121245.431319997</v>
      </c>
      <c r="L60" s="78">
        <f t="shared" si="3"/>
        <v>473.1805309866586</v>
      </c>
    </row>
    <row r="61" spans="1:12" ht="14.5">
      <c r="A61" s="81">
        <v>44469</v>
      </c>
      <c r="B61" s="61">
        <v>60</v>
      </c>
      <c r="C61" s="61" t="s">
        <v>271</v>
      </c>
      <c r="D61" s="62">
        <v>93245</v>
      </c>
      <c r="E61" s="62">
        <v>39862772</v>
      </c>
      <c r="F61" s="63">
        <f t="shared" si="4"/>
        <v>1</v>
      </c>
      <c r="G61" s="63">
        <f t="shared" si="0"/>
        <v>6.7369591718887008E-4</v>
      </c>
      <c r="H61" s="63">
        <f t="shared" si="5"/>
        <v>3.3733439492073615E-4</v>
      </c>
      <c r="I61" s="76">
        <f t="shared" si="6"/>
        <v>93245</v>
      </c>
      <c r="J61" s="76">
        <f t="shared" si="7"/>
        <v>39862772</v>
      </c>
      <c r="K61" s="77">
        <f>J61*'Inflation Rates by Year'!$C$2</f>
        <v>45075228.066720001</v>
      </c>
      <c r="L61" s="78">
        <f t="shared" si="3"/>
        <v>483.40638175473219</v>
      </c>
    </row>
    <row r="62" spans="1:12" ht="14.5">
      <c r="A62" s="81">
        <v>44470</v>
      </c>
      <c r="B62" s="61">
        <v>61</v>
      </c>
      <c r="C62" s="61" t="s">
        <v>271</v>
      </c>
      <c r="D62" s="62">
        <v>93514</v>
      </c>
      <c r="E62" s="62">
        <v>41067892</v>
      </c>
      <c r="F62" s="63">
        <f t="shared" si="4"/>
        <v>269</v>
      </c>
      <c r="G62" s="63">
        <f t="shared" si="0"/>
        <v>0.18122420172380604</v>
      </c>
      <c r="H62" s="63">
        <f t="shared" si="5"/>
        <v>9.0677357871666434E-2</v>
      </c>
      <c r="I62" s="76">
        <f t="shared" si="6"/>
        <v>93514</v>
      </c>
      <c r="J62" s="76">
        <f t="shared" si="7"/>
        <v>41067892</v>
      </c>
      <c r="K62" s="77">
        <f>J62*'Inflation Rates by Year'!$C$2</f>
        <v>46437929.557920001</v>
      </c>
      <c r="L62" s="78">
        <f t="shared" si="3"/>
        <v>496.58799279166755</v>
      </c>
    </row>
    <row r="63" spans="1:12" ht="14.5">
      <c r="A63" s="81">
        <v>44471</v>
      </c>
      <c r="B63" s="61">
        <v>62</v>
      </c>
      <c r="C63" s="61" t="s">
        <v>271</v>
      </c>
      <c r="D63" s="62">
        <v>93514</v>
      </c>
      <c r="E63" s="62">
        <v>57816382</v>
      </c>
      <c r="F63" s="63">
        <f t="shared" si="4"/>
        <v>0</v>
      </c>
      <c r="G63" s="63">
        <f t="shared" si="0"/>
        <v>0</v>
      </c>
      <c r="H63" s="63">
        <f t="shared" si="5"/>
        <v>0</v>
      </c>
      <c r="I63" s="76">
        <f t="shared" si="6"/>
        <v>93514</v>
      </c>
      <c r="J63" s="76">
        <f t="shared" si="7"/>
        <v>57816382</v>
      </c>
      <c r="K63" s="77">
        <f>J63*'Inflation Rates by Year'!$C$2</f>
        <v>65376452.110320002</v>
      </c>
      <c r="L63" s="78">
        <f t="shared" si="3"/>
        <v>699.10871217486158</v>
      </c>
    </row>
    <row r="64" spans="1:12" ht="14.5">
      <c r="A64" s="81">
        <v>44472</v>
      </c>
      <c r="B64" s="61">
        <v>63</v>
      </c>
      <c r="C64" s="61" t="s">
        <v>271</v>
      </c>
      <c r="D64" s="62">
        <v>93514</v>
      </c>
      <c r="E64" s="62">
        <v>42585000</v>
      </c>
      <c r="F64" s="63">
        <f t="shared" si="4"/>
        <v>0</v>
      </c>
      <c r="G64" s="63">
        <f t="shared" si="0"/>
        <v>0</v>
      </c>
      <c r="H64" s="63">
        <f t="shared" si="5"/>
        <v>0</v>
      </c>
      <c r="I64" s="76">
        <f t="shared" si="6"/>
        <v>93514</v>
      </c>
      <c r="J64" s="76">
        <f t="shared" si="7"/>
        <v>42585000</v>
      </c>
      <c r="K64" s="77">
        <f>J64*'Inflation Rates by Year'!$C$2</f>
        <v>48153414.600000001</v>
      </c>
      <c r="L64" s="78">
        <f t="shared" si="3"/>
        <v>514.93267959877664</v>
      </c>
    </row>
    <row r="65" spans="1:26" ht="14.5">
      <c r="A65" s="82">
        <v>44473</v>
      </c>
      <c r="B65" s="83">
        <v>64</v>
      </c>
      <c r="C65" s="83" t="s">
        <v>271</v>
      </c>
      <c r="D65" s="72">
        <v>94962</v>
      </c>
      <c r="E65" s="72">
        <v>43100000</v>
      </c>
      <c r="F65" s="71">
        <f t="shared" si="4"/>
        <v>1448</v>
      </c>
      <c r="G65" s="63">
        <f t="shared" si="0"/>
        <v>0.97551168808948385</v>
      </c>
      <c r="H65" s="63">
        <f t="shared" si="5"/>
        <v>0.48588218139240713</v>
      </c>
      <c r="I65" s="72">
        <f t="shared" si="6"/>
        <v>94962</v>
      </c>
      <c r="J65" s="72">
        <f t="shared" si="7"/>
        <v>43100000</v>
      </c>
      <c r="K65" s="77">
        <f>J65*'Inflation Rates by Year'!$C$2</f>
        <v>48735756</v>
      </c>
      <c r="L65" s="73">
        <f t="shared" si="3"/>
        <v>513.21324319201369</v>
      </c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4.5">
      <c r="A66" s="81">
        <v>44474</v>
      </c>
      <c r="B66" s="61">
        <v>65</v>
      </c>
      <c r="C66" s="61" t="s">
        <v>271</v>
      </c>
      <c r="D66" s="62">
        <v>94962</v>
      </c>
      <c r="E66" s="62">
        <v>43650000</v>
      </c>
      <c r="F66" s="63">
        <f t="shared" si="4"/>
        <v>0</v>
      </c>
      <c r="G66" s="63">
        <f t="shared" si="0"/>
        <v>0</v>
      </c>
      <c r="H66" s="63">
        <f t="shared" si="5"/>
        <v>0</v>
      </c>
      <c r="I66" s="76">
        <f t="shared" ref="I66:I89" si="8">D66</f>
        <v>94962</v>
      </c>
      <c r="J66" s="76">
        <f t="shared" ref="J66:J89" si="9">E66</f>
        <v>43650000</v>
      </c>
      <c r="K66" s="77">
        <f>J66*'Inflation Rates by Year'!$C$2</f>
        <v>49357674</v>
      </c>
      <c r="L66" s="78">
        <f t="shared" si="3"/>
        <v>519.76236810513683</v>
      </c>
    </row>
    <row r="67" spans="1:26" ht="14.5">
      <c r="A67" s="81">
        <v>44475</v>
      </c>
      <c r="B67" s="61">
        <v>66</v>
      </c>
      <c r="C67" s="61" t="s">
        <v>271</v>
      </c>
      <c r="D67" s="62">
        <v>94962</v>
      </c>
      <c r="E67" s="62">
        <v>44300000</v>
      </c>
      <c r="F67" s="63">
        <f t="shared" si="4"/>
        <v>0</v>
      </c>
      <c r="G67" s="63">
        <f t="shared" si="0"/>
        <v>0</v>
      </c>
      <c r="H67" s="63">
        <f t="shared" si="5"/>
        <v>0</v>
      </c>
      <c r="I67" s="76">
        <f t="shared" si="8"/>
        <v>94962</v>
      </c>
      <c r="J67" s="76">
        <f t="shared" si="9"/>
        <v>44300000</v>
      </c>
      <c r="K67" s="77">
        <f>J67*'Inflation Rates by Year'!$C$2</f>
        <v>50092668</v>
      </c>
      <c r="L67" s="78">
        <f t="shared" si="3"/>
        <v>527.50224300246418</v>
      </c>
    </row>
    <row r="68" spans="1:26" ht="14.5">
      <c r="A68" s="81">
        <v>44476</v>
      </c>
      <c r="B68" s="61">
        <v>67</v>
      </c>
      <c r="C68" s="61" t="s">
        <v>271</v>
      </c>
      <c r="D68" s="62">
        <v>94962</v>
      </c>
      <c r="E68" s="62">
        <v>45000000</v>
      </c>
      <c r="F68" s="63">
        <f t="shared" si="4"/>
        <v>0</v>
      </c>
      <c r="G68" s="63">
        <f t="shared" si="0"/>
        <v>0</v>
      </c>
      <c r="H68" s="63">
        <f t="shared" si="5"/>
        <v>0</v>
      </c>
      <c r="I68" s="76">
        <f t="shared" si="8"/>
        <v>94962</v>
      </c>
      <c r="J68" s="76">
        <f t="shared" si="9"/>
        <v>45000000</v>
      </c>
      <c r="K68" s="77">
        <f>J68*'Inflation Rates by Year'!$C$2</f>
        <v>50884200</v>
      </c>
      <c r="L68" s="78">
        <f t="shared" si="3"/>
        <v>535.83749289189359</v>
      </c>
    </row>
    <row r="69" spans="1:26" ht="14.5">
      <c r="A69" s="81">
        <v>44477</v>
      </c>
      <c r="B69" s="61">
        <v>68</v>
      </c>
      <c r="C69" s="61" t="s">
        <v>271</v>
      </c>
      <c r="D69" s="62">
        <v>94962</v>
      </c>
      <c r="E69" s="62">
        <v>45636000</v>
      </c>
      <c r="F69" s="63">
        <f t="shared" si="4"/>
        <v>0</v>
      </c>
      <c r="G69" s="63">
        <f t="shared" si="0"/>
        <v>0</v>
      </c>
      <c r="H69" s="63">
        <f t="shared" si="5"/>
        <v>0</v>
      </c>
      <c r="I69" s="76">
        <f t="shared" si="8"/>
        <v>94962</v>
      </c>
      <c r="J69" s="76">
        <f t="shared" si="9"/>
        <v>45636000</v>
      </c>
      <c r="K69" s="77">
        <f>J69*'Inflation Rates by Year'!$C$2</f>
        <v>51603363.359999999</v>
      </c>
      <c r="L69" s="78">
        <f t="shared" si="3"/>
        <v>543.4106627914324</v>
      </c>
    </row>
    <row r="70" spans="1:26" ht="14.5">
      <c r="A70" s="81">
        <v>44478</v>
      </c>
      <c r="B70" s="61">
        <v>69</v>
      </c>
      <c r="C70" s="61" t="s">
        <v>271</v>
      </c>
      <c r="D70" s="62">
        <v>94962</v>
      </c>
      <c r="E70" s="62">
        <v>46180000</v>
      </c>
      <c r="F70" s="63">
        <f t="shared" si="4"/>
        <v>0</v>
      </c>
      <c r="G70" s="63">
        <f t="shared" si="0"/>
        <v>0</v>
      </c>
      <c r="H70" s="63">
        <f t="shared" si="5"/>
        <v>0</v>
      </c>
      <c r="I70" s="76">
        <f t="shared" si="8"/>
        <v>94962</v>
      </c>
      <c r="J70" s="76">
        <f t="shared" si="9"/>
        <v>46180000</v>
      </c>
      <c r="K70" s="77">
        <f>J70*'Inflation Rates by Year'!$C$2</f>
        <v>52218496.799999997</v>
      </c>
      <c r="L70" s="78">
        <f t="shared" si="3"/>
        <v>549.88834270550319</v>
      </c>
    </row>
    <row r="71" spans="1:26" ht="14.5">
      <c r="A71" s="81">
        <v>44479</v>
      </c>
      <c r="B71" s="61">
        <v>70</v>
      </c>
      <c r="C71" s="61" t="s">
        <v>271</v>
      </c>
      <c r="D71" s="62">
        <v>94962</v>
      </c>
      <c r="E71" s="62">
        <v>46620000</v>
      </c>
      <c r="F71" s="63">
        <f t="shared" si="4"/>
        <v>0</v>
      </c>
      <c r="G71" s="63">
        <f t="shared" si="0"/>
        <v>0</v>
      </c>
      <c r="H71" s="63">
        <f t="shared" si="5"/>
        <v>0</v>
      </c>
      <c r="I71" s="76">
        <f t="shared" si="8"/>
        <v>94962</v>
      </c>
      <c r="J71" s="76">
        <f t="shared" si="9"/>
        <v>46620000</v>
      </c>
      <c r="K71" s="77">
        <f>J71*'Inflation Rates by Year'!$C$2</f>
        <v>52716031.200000003</v>
      </c>
      <c r="L71" s="78">
        <f t="shared" si="3"/>
        <v>555.12764263600184</v>
      </c>
    </row>
    <row r="72" spans="1:26" ht="14.5">
      <c r="A72" s="81">
        <v>44480</v>
      </c>
      <c r="B72" s="61">
        <v>71</v>
      </c>
      <c r="C72" s="61" t="s">
        <v>271</v>
      </c>
      <c r="D72" s="62">
        <v>94962</v>
      </c>
      <c r="E72" s="62">
        <v>47100000</v>
      </c>
      <c r="F72" s="63">
        <f t="shared" si="4"/>
        <v>0</v>
      </c>
      <c r="G72" s="63">
        <f t="shared" si="0"/>
        <v>0</v>
      </c>
      <c r="H72" s="63">
        <f t="shared" si="5"/>
        <v>0</v>
      </c>
      <c r="I72" s="76">
        <f t="shared" si="8"/>
        <v>94962</v>
      </c>
      <c r="J72" s="76">
        <f t="shared" si="9"/>
        <v>47100000</v>
      </c>
      <c r="K72" s="77">
        <f>J72*'Inflation Rates by Year'!$C$2</f>
        <v>53258796</v>
      </c>
      <c r="L72" s="78">
        <f t="shared" si="3"/>
        <v>560.84324256018192</v>
      </c>
    </row>
    <row r="73" spans="1:26" ht="14.5">
      <c r="A73" s="81">
        <v>44481</v>
      </c>
      <c r="B73" s="61">
        <v>72</v>
      </c>
      <c r="C73" s="61" t="s">
        <v>271</v>
      </c>
      <c r="D73" s="62">
        <v>94962</v>
      </c>
      <c r="E73" s="62">
        <v>47800000</v>
      </c>
      <c r="F73" s="63">
        <f t="shared" si="4"/>
        <v>0</v>
      </c>
      <c r="G73" s="63">
        <f t="shared" si="0"/>
        <v>0</v>
      </c>
      <c r="H73" s="63">
        <f t="shared" si="5"/>
        <v>0</v>
      </c>
      <c r="I73" s="76">
        <f t="shared" si="8"/>
        <v>94962</v>
      </c>
      <c r="J73" s="76">
        <f t="shared" si="9"/>
        <v>47800000</v>
      </c>
      <c r="K73" s="77">
        <f>J73*'Inflation Rates by Year'!$C$2</f>
        <v>54050328</v>
      </c>
      <c r="L73" s="78">
        <f t="shared" si="3"/>
        <v>569.17849244961144</v>
      </c>
    </row>
    <row r="74" spans="1:26" ht="14.5">
      <c r="A74" s="81">
        <v>44482</v>
      </c>
      <c r="B74" s="61">
        <v>73</v>
      </c>
      <c r="C74" s="61" t="s">
        <v>271</v>
      </c>
      <c r="D74" s="62">
        <v>94962</v>
      </c>
      <c r="E74" s="62">
        <v>48400000</v>
      </c>
      <c r="F74" s="63">
        <f t="shared" si="4"/>
        <v>0</v>
      </c>
      <c r="G74" s="63">
        <f t="shared" si="0"/>
        <v>0</v>
      </c>
      <c r="H74" s="63">
        <f t="shared" si="5"/>
        <v>0</v>
      </c>
      <c r="I74" s="76">
        <f t="shared" si="8"/>
        <v>94962</v>
      </c>
      <c r="J74" s="76">
        <f t="shared" si="9"/>
        <v>48400000</v>
      </c>
      <c r="K74" s="77">
        <f>J74*'Inflation Rates by Year'!$C$2</f>
        <v>54728784</v>
      </c>
      <c r="L74" s="78">
        <f t="shared" si="3"/>
        <v>576.32299235483663</v>
      </c>
    </row>
    <row r="75" spans="1:26" ht="14.5">
      <c r="A75" s="81">
        <v>44483</v>
      </c>
      <c r="B75" s="61">
        <v>74</v>
      </c>
      <c r="C75" s="61" t="s">
        <v>271</v>
      </c>
      <c r="D75" s="62">
        <v>94962</v>
      </c>
      <c r="E75" s="62">
        <v>48900000</v>
      </c>
      <c r="F75" s="63">
        <f t="shared" si="4"/>
        <v>0</v>
      </c>
      <c r="G75" s="63">
        <f t="shared" si="0"/>
        <v>0</v>
      </c>
      <c r="H75" s="63">
        <f t="shared" si="5"/>
        <v>0</v>
      </c>
      <c r="I75" s="76">
        <f t="shared" si="8"/>
        <v>94962</v>
      </c>
      <c r="J75" s="76">
        <f t="shared" si="9"/>
        <v>48900000</v>
      </c>
      <c r="K75" s="77">
        <f>J75*'Inflation Rates by Year'!$C$2</f>
        <v>55294164</v>
      </c>
      <c r="L75" s="78">
        <f t="shared" si="3"/>
        <v>582.27674227585771</v>
      </c>
    </row>
    <row r="76" spans="1:26" ht="14.5">
      <c r="A76" s="81">
        <v>44484</v>
      </c>
      <c r="B76" s="61">
        <v>75</v>
      </c>
      <c r="C76" s="61" t="s">
        <v>271</v>
      </c>
      <c r="D76" s="62">
        <v>94962</v>
      </c>
      <c r="E76" s="62">
        <v>49500000</v>
      </c>
      <c r="F76" s="63">
        <f t="shared" si="4"/>
        <v>0</v>
      </c>
      <c r="G76" s="63">
        <f t="shared" si="0"/>
        <v>0</v>
      </c>
      <c r="H76" s="63">
        <f t="shared" si="5"/>
        <v>0</v>
      </c>
      <c r="I76" s="76">
        <f t="shared" si="8"/>
        <v>94962</v>
      </c>
      <c r="J76" s="76">
        <f t="shared" si="9"/>
        <v>49500000</v>
      </c>
      <c r="K76" s="77">
        <f>J76*'Inflation Rates by Year'!$C$2</f>
        <v>55972620</v>
      </c>
      <c r="L76" s="78">
        <f t="shared" si="3"/>
        <v>589.4212421810829</v>
      </c>
    </row>
    <row r="77" spans="1:26" ht="14.5">
      <c r="A77" s="81">
        <v>44485</v>
      </c>
      <c r="B77" s="61">
        <v>76</v>
      </c>
      <c r="C77" s="61" t="s">
        <v>271</v>
      </c>
      <c r="D77" s="62">
        <v>94962</v>
      </c>
      <c r="E77" s="62">
        <v>50174429</v>
      </c>
      <c r="F77" s="63">
        <f t="shared" si="4"/>
        <v>0</v>
      </c>
      <c r="G77" s="63">
        <f t="shared" si="0"/>
        <v>0</v>
      </c>
      <c r="H77" s="63">
        <f t="shared" si="5"/>
        <v>0</v>
      </c>
      <c r="I77" s="76">
        <f t="shared" si="8"/>
        <v>94962</v>
      </c>
      <c r="J77" s="76">
        <f t="shared" si="9"/>
        <v>50174429</v>
      </c>
      <c r="K77" s="77">
        <f>J77*'Inflation Rates by Year'!$C$2</f>
        <v>56735237.336039998</v>
      </c>
      <c r="L77" s="78">
        <f t="shared" si="3"/>
        <v>597.45200539205155</v>
      </c>
    </row>
    <row r="78" spans="1:26" ht="14.5">
      <c r="A78" s="81">
        <v>44486</v>
      </c>
      <c r="B78" s="61">
        <v>77</v>
      </c>
      <c r="C78" s="61" t="s">
        <v>271</v>
      </c>
      <c r="D78" s="62">
        <v>94962</v>
      </c>
      <c r="E78" s="62">
        <v>50421606</v>
      </c>
      <c r="F78" s="63">
        <f t="shared" si="4"/>
        <v>0</v>
      </c>
      <c r="G78" s="63">
        <f t="shared" si="0"/>
        <v>0</v>
      </c>
      <c r="H78" s="63">
        <f t="shared" si="5"/>
        <v>0</v>
      </c>
      <c r="I78" s="76">
        <f t="shared" si="8"/>
        <v>94962</v>
      </c>
      <c r="J78" s="76">
        <f t="shared" si="9"/>
        <v>50421606</v>
      </c>
      <c r="K78" s="77">
        <f>J78*'Inflation Rates by Year'!$C$2</f>
        <v>57014735.200559996</v>
      </c>
      <c r="L78" s="78">
        <f t="shared" si="3"/>
        <v>600.39526548050799</v>
      </c>
    </row>
    <row r="79" spans="1:26" ht="14.5">
      <c r="A79" s="81">
        <v>44487</v>
      </c>
      <c r="B79" s="61">
        <v>78</v>
      </c>
      <c r="C79" s="61" t="s">
        <v>271</v>
      </c>
      <c r="D79" s="62">
        <v>94962</v>
      </c>
      <c r="E79" s="62">
        <v>50784000</v>
      </c>
      <c r="F79" s="63">
        <f t="shared" si="4"/>
        <v>0</v>
      </c>
      <c r="G79" s="63">
        <f t="shared" si="0"/>
        <v>0</v>
      </c>
      <c r="H79" s="63">
        <f t="shared" si="5"/>
        <v>0</v>
      </c>
      <c r="I79" s="76">
        <f t="shared" si="8"/>
        <v>94962</v>
      </c>
      <c r="J79" s="76">
        <f t="shared" si="9"/>
        <v>50784000</v>
      </c>
      <c r="K79" s="77">
        <f>J79*'Inflation Rates by Year'!$C$2</f>
        <v>57424515.839999996</v>
      </c>
      <c r="L79" s="78">
        <f t="shared" si="3"/>
        <v>604.71047197826499</v>
      </c>
    </row>
    <row r="80" spans="1:26" ht="14.5">
      <c r="A80" s="81">
        <v>44488</v>
      </c>
      <c r="B80" s="61">
        <v>79</v>
      </c>
      <c r="C80" s="61" t="s">
        <v>271</v>
      </c>
      <c r="D80" s="62">
        <v>94962</v>
      </c>
      <c r="E80" s="62">
        <v>50800000</v>
      </c>
      <c r="F80" s="63">
        <f t="shared" si="4"/>
        <v>0</v>
      </c>
      <c r="G80" s="63">
        <f t="shared" si="0"/>
        <v>0</v>
      </c>
      <c r="H80" s="63">
        <f t="shared" si="5"/>
        <v>0</v>
      </c>
      <c r="I80" s="76">
        <f t="shared" si="8"/>
        <v>94962</v>
      </c>
      <c r="J80" s="76">
        <f t="shared" si="9"/>
        <v>50800000</v>
      </c>
      <c r="K80" s="77">
        <f>J80*'Inflation Rates by Year'!$C$2</f>
        <v>57442608</v>
      </c>
      <c r="L80" s="78">
        <f t="shared" si="3"/>
        <v>604.90099197573761</v>
      </c>
    </row>
    <row r="81" spans="1:12" ht="14.5">
      <c r="A81" s="84">
        <v>44489</v>
      </c>
      <c r="B81" s="61">
        <v>80</v>
      </c>
      <c r="C81" s="61" t="s">
        <v>271</v>
      </c>
      <c r="D81" s="62">
        <v>94962</v>
      </c>
      <c r="E81" s="62">
        <v>50850000</v>
      </c>
      <c r="F81" s="63">
        <f t="shared" si="4"/>
        <v>0</v>
      </c>
      <c r="G81" s="63">
        <f t="shared" si="0"/>
        <v>0</v>
      </c>
      <c r="H81" s="63">
        <f t="shared" si="5"/>
        <v>0</v>
      </c>
      <c r="I81" s="76">
        <f t="shared" si="8"/>
        <v>94962</v>
      </c>
      <c r="J81" s="76">
        <f t="shared" si="9"/>
        <v>50850000</v>
      </c>
      <c r="K81" s="77">
        <f>J81*'Inflation Rates by Year'!$C$2</f>
        <v>57499146</v>
      </c>
      <c r="L81" s="78">
        <f t="shared" si="3"/>
        <v>605.49636696783978</v>
      </c>
    </row>
    <row r="82" spans="1:12" ht="14.5">
      <c r="A82" s="84">
        <v>44490</v>
      </c>
      <c r="B82" s="61">
        <v>81</v>
      </c>
      <c r="C82" s="61" t="s">
        <v>271</v>
      </c>
      <c r="D82" s="62">
        <v>94962</v>
      </c>
      <c r="E82" s="62">
        <v>51064000</v>
      </c>
      <c r="F82" s="63">
        <f t="shared" si="4"/>
        <v>0</v>
      </c>
      <c r="G82" s="63">
        <f t="shared" si="0"/>
        <v>0</v>
      </c>
      <c r="H82" s="63">
        <f t="shared" si="5"/>
        <v>0</v>
      </c>
      <c r="I82" s="76">
        <f t="shared" si="8"/>
        <v>94962</v>
      </c>
      <c r="J82" s="76">
        <f t="shared" si="9"/>
        <v>51064000</v>
      </c>
      <c r="K82" s="77">
        <f>J82*'Inflation Rates by Year'!$C$2</f>
        <v>57741128.640000001</v>
      </c>
      <c r="L82" s="78">
        <f t="shared" si="3"/>
        <v>608.04457193403675</v>
      </c>
    </row>
    <row r="83" spans="1:12" ht="14.5">
      <c r="A83" s="84">
        <v>44491</v>
      </c>
      <c r="B83" s="61">
        <v>82</v>
      </c>
      <c r="C83" s="61" t="s">
        <v>271</v>
      </c>
      <c r="D83" s="62">
        <v>94962</v>
      </c>
      <c r="E83" s="62">
        <v>51546280</v>
      </c>
      <c r="F83" s="63">
        <f t="shared" si="4"/>
        <v>0</v>
      </c>
      <c r="G83" s="63">
        <f t="shared" si="0"/>
        <v>0</v>
      </c>
      <c r="H83" s="63">
        <f t="shared" si="5"/>
        <v>0</v>
      </c>
      <c r="I83" s="76">
        <f t="shared" si="8"/>
        <v>94962</v>
      </c>
      <c r="J83" s="76">
        <f t="shared" si="9"/>
        <v>51546280</v>
      </c>
      <c r="K83" s="77">
        <f>J83*'Inflation Rates by Year'!$C$2</f>
        <v>58286471.572800003</v>
      </c>
      <c r="L83" s="78">
        <f t="shared" si="3"/>
        <v>613.78732095785688</v>
      </c>
    </row>
    <row r="84" spans="1:12" ht="14.5">
      <c r="A84" s="84">
        <v>44492</v>
      </c>
      <c r="B84" s="61">
        <v>83</v>
      </c>
      <c r="C84" s="61" t="s">
        <v>271</v>
      </c>
      <c r="D84" s="62">
        <v>94962</v>
      </c>
      <c r="E84" s="62">
        <v>51835942</v>
      </c>
      <c r="F84" s="63">
        <f t="shared" si="4"/>
        <v>0</v>
      </c>
      <c r="G84" s="63">
        <f t="shared" si="0"/>
        <v>0</v>
      </c>
      <c r="H84" s="63">
        <f t="shared" si="5"/>
        <v>0</v>
      </c>
      <c r="I84" s="76">
        <f t="shared" si="8"/>
        <v>94962</v>
      </c>
      <c r="J84" s="76">
        <f t="shared" si="9"/>
        <v>51835942</v>
      </c>
      <c r="K84" s="77">
        <f>J84*'Inflation Rates by Year'!$C$2</f>
        <v>58614009.775919996</v>
      </c>
      <c r="L84" s="78">
        <f t="shared" si="3"/>
        <v>617.23647117710243</v>
      </c>
    </row>
    <row r="85" spans="1:12" ht="14.5">
      <c r="A85" s="84">
        <v>44493</v>
      </c>
      <c r="B85" s="61">
        <v>84</v>
      </c>
      <c r="C85" s="61" t="s">
        <v>271</v>
      </c>
      <c r="D85" s="62">
        <v>94962</v>
      </c>
      <c r="E85" s="62">
        <v>52175896</v>
      </c>
      <c r="F85" s="63">
        <f t="shared" si="4"/>
        <v>0</v>
      </c>
      <c r="G85" s="63">
        <f t="shared" si="0"/>
        <v>0</v>
      </c>
      <c r="H85" s="63">
        <f t="shared" si="5"/>
        <v>0</v>
      </c>
      <c r="I85" s="76">
        <f t="shared" si="8"/>
        <v>94962</v>
      </c>
      <c r="J85" s="76">
        <f t="shared" si="9"/>
        <v>52175896</v>
      </c>
      <c r="K85" s="77">
        <f>J85*'Inflation Rates by Year'!$C$2</f>
        <v>58998416.160959996</v>
      </c>
      <c r="L85" s="78">
        <f t="shared" si="3"/>
        <v>621.28447337840396</v>
      </c>
    </row>
    <row r="86" spans="1:12" ht="14.5">
      <c r="A86" s="84">
        <v>44494</v>
      </c>
      <c r="B86" s="61">
        <v>85</v>
      </c>
      <c r="C86" s="61" t="s">
        <v>271</v>
      </c>
      <c r="D86" s="62">
        <v>94962</v>
      </c>
      <c r="E86" s="62">
        <v>52700000</v>
      </c>
      <c r="F86" s="63">
        <f t="shared" si="4"/>
        <v>0</v>
      </c>
      <c r="G86" s="63">
        <f t="shared" si="0"/>
        <v>0</v>
      </c>
      <c r="H86" s="63">
        <f t="shared" si="5"/>
        <v>0</v>
      </c>
      <c r="I86" s="76">
        <f t="shared" si="8"/>
        <v>94962</v>
      </c>
      <c r="J86" s="76">
        <f t="shared" si="9"/>
        <v>52700000</v>
      </c>
      <c r="K86" s="77">
        <f>J86*'Inflation Rates by Year'!$C$2</f>
        <v>59591052</v>
      </c>
      <c r="L86" s="78">
        <f t="shared" si="3"/>
        <v>627.52524167561762</v>
      </c>
    </row>
    <row r="87" spans="1:12" ht="14.5">
      <c r="A87" s="84">
        <v>44495</v>
      </c>
      <c r="B87" s="61">
        <v>86</v>
      </c>
      <c r="C87" s="61" t="s">
        <v>271</v>
      </c>
      <c r="D87" s="62">
        <v>94962</v>
      </c>
      <c r="E87" s="62">
        <v>53150000</v>
      </c>
      <c r="F87" s="63">
        <f t="shared" si="4"/>
        <v>0</v>
      </c>
      <c r="G87" s="63">
        <f t="shared" si="0"/>
        <v>0</v>
      </c>
      <c r="H87" s="63">
        <f t="shared" si="5"/>
        <v>0</v>
      </c>
      <c r="I87" s="76">
        <f t="shared" si="8"/>
        <v>94962</v>
      </c>
      <c r="J87" s="76">
        <f t="shared" si="9"/>
        <v>53150000</v>
      </c>
      <c r="K87" s="77">
        <f>J87*'Inflation Rates by Year'!$C$2</f>
        <v>60099894</v>
      </c>
      <c r="L87" s="78">
        <f t="shared" si="3"/>
        <v>632.88361660453654</v>
      </c>
    </row>
    <row r="88" spans="1:12" ht="14.5">
      <c r="A88" s="84">
        <v>44496</v>
      </c>
      <c r="B88" s="61">
        <v>87</v>
      </c>
      <c r="C88" s="61" t="s">
        <v>271</v>
      </c>
      <c r="D88" s="62">
        <v>94962</v>
      </c>
      <c r="E88" s="62">
        <v>53350000</v>
      </c>
      <c r="F88" s="63">
        <f t="shared" si="4"/>
        <v>0</v>
      </c>
      <c r="G88" s="63">
        <f t="shared" si="0"/>
        <v>0</v>
      </c>
      <c r="H88" s="63">
        <f t="shared" si="5"/>
        <v>0</v>
      </c>
      <c r="I88" s="76">
        <f t="shared" si="8"/>
        <v>94962</v>
      </c>
      <c r="J88" s="76">
        <f t="shared" si="9"/>
        <v>53350000</v>
      </c>
      <c r="K88" s="77">
        <f>J88*'Inflation Rates by Year'!$C$2</f>
        <v>60326046</v>
      </c>
      <c r="L88" s="78">
        <f t="shared" si="3"/>
        <v>635.26511657294498</v>
      </c>
    </row>
    <row r="89" spans="1:12" ht="14.5">
      <c r="A89" s="84">
        <v>44496</v>
      </c>
      <c r="B89" s="61">
        <v>88</v>
      </c>
      <c r="C89" s="61" t="s">
        <v>271</v>
      </c>
      <c r="D89" s="62">
        <v>94962</v>
      </c>
      <c r="E89" s="62">
        <v>53350000</v>
      </c>
      <c r="F89" s="63">
        <f t="shared" si="4"/>
        <v>0</v>
      </c>
      <c r="G89" s="63">
        <f t="shared" si="0"/>
        <v>0</v>
      </c>
      <c r="H89" s="63">
        <f t="shared" si="5"/>
        <v>0</v>
      </c>
      <c r="I89" s="76">
        <f t="shared" si="8"/>
        <v>94962</v>
      </c>
      <c r="J89" s="76">
        <f t="shared" si="9"/>
        <v>53350000</v>
      </c>
      <c r="K89" s="77">
        <f>J89*'Inflation Rates by Year'!$C$2</f>
        <v>60326046</v>
      </c>
      <c r="L89" s="78">
        <f t="shared" si="3"/>
        <v>635.26511657294498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86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61" t="s">
        <v>552</v>
      </c>
      <c r="B2" s="61">
        <v>1</v>
      </c>
      <c r="C2" s="61" t="s">
        <v>160</v>
      </c>
      <c r="D2" s="62">
        <v>40618</v>
      </c>
      <c r="E2" s="62">
        <v>44600000</v>
      </c>
      <c r="F2" s="63">
        <f>I2-0</f>
        <v>40618</v>
      </c>
      <c r="G2" s="63">
        <f t="shared" ref="G2:G86" si="0">$B$71/$I$71*(F2)</f>
        <v>21.519144459497305</v>
      </c>
      <c r="H2" s="63">
        <f>$B$71/SQRT($I$71)*(SQRT(I2)-SQRT(0))</f>
        <v>38.81159765024897</v>
      </c>
      <c r="I2" s="76">
        <f t="shared" ref="I2:I33" si="1">D2</f>
        <v>40618</v>
      </c>
      <c r="J2" s="76">
        <f t="shared" ref="J2:J33" si="2">E2</f>
        <v>44600000</v>
      </c>
      <c r="K2" s="77">
        <f>J2*'Inflation Rates by Year'!$H$2</f>
        <v>55026099.66899661</v>
      </c>
      <c r="L2" s="78">
        <f t="shared" ref="L2:L86" si="3">K2/I2</f>
        <v>1354.7220362646267</v>
      </c>
    </row>
    <row r="3" spans="1:12" ht="15" customHeight="1">
      <c r="A3" s="61" t="s">
        <v>553</v>
      </c>
      <c r="B3" s="61">
        <v>2</v>
      </c>
      <c r="C3" s="61" t="s">
        <v>160</v>
      </c>
      <c r="D3" s="62">
        <v>43400</v>
      </c>
      <c r="E3" s="62">
        <v>51000000</v>
      </c>
      <c r="F3" s="63">
        <f t="shared" ref="F3:F86" si="4">I3-I2</f>
        <v>2782</v>
      </c>
      <c r="G3" s="63">
        <f t="shared" si="0"/>
        <v>1.4738849743050249</v>
      </c>
      <c r="H3" s="63">
        <f t="shared" ref="H3:H86" si="5">$B$71/SQRT($I$71)*(SQRT(I3)-SQRT(I2))</f>
        <v>1.307126910312066</v>
      </c>
      <c r="I3" s="76">
        <f t="shared" si="1"/>
        <v>43400</v>
      </c>
      <c r="J3" s="76">
        <f t="shared" si="2"/>
        <v>51000000</v>
      </c>
      <c r="K3" s="77">
        <f>J3*'Inflation Rates by Year'!$H$2</f>
        <v>62922221.594592541</v>
      </c>
      <c r="L3" s="78">
        <f t="shared" si="3"/>
        <v>1449.8207740689525</v>
      </c>
    </row>
    <row r="4" spans="1:12" ht="15" customHeight="1">
      <c r="A4" s="61" t="s">
        <v>554</v>
      </c>
      <c r="B4" s="61">
        <v>3</v>
      </c>
      <c r="C4" s="61" t="s">
        <v>331</v>
      </c>
      <c r="D4" s="62">
        <v>45800</v>
      </c>
      <c r="E4" s="62">
        <v>58500000</v>
      </c>
      <c r="F4" s="63">
        <f t="shared" si="4"/>
        <v>2400</v>
      </c>
      <c r="G4" s="63">
        <f t="shared" si="0"/>
        <v>1.2715039318231702</v>
      </c>
      <c r="H4" s="63">
        <f t="shared" si="5"/>
        <v>1.0943478266534992</v>
      </c>
      <c r="I4" s="76">
        <f t="shared" si="1"/>
        <v>45800</v>
      </c>
      <c r="J4" s="76">
        <f t="shared" si="2"/>
        <v>58500000</v>
      </c>
      <c r="K4" s="77">
        <f>J4*'Inflation Rates by Year'!$H$2</f>
        <v>72175489.476150259</v>
      </c>
      <c r="L4" s="78">
        <f t="shared" si="3"/>
        <v>1575.8840496976038</v>
      </c>
    </row>
    <row r="5" spans="1:12" ht="15" customHeight="1">
      <c r="A5" s="61" t="s">
        <v>555</v>
      </c>
      <c r="B5" s="61">
        <v>4</v>
      </c>
      <c r="C5" s="61" t="s">
        <v>331</v>
      </c>
      <c r="D5" s="62">
        <v>46700</v>
      </c>
      <c r="E5" s="62">
        <v>65500000</v>
      </c>
      <c r="F5" s="63">
        <f t="shared" si="4"/>
        <v>900</v>
      </c>
      <c r="G5" s="63">
        <f t="shared" si="0"/>
        <v>0.47681397443368884</v>
      </c>
      <c r="H5" s="63">
        <f t="shared" si="5"/>
        <v>0.40296194817287012</v>
      </c>
      <c r="I5" s="76">
        <f t="shared" si="1"/>
        <v>46700</v>
      </c>
      <c r="J5" s="76">
        <f t="shared" si="2"/>
        <v>65500000</v>
      </c>
      <c r="K5" s="77">
        <f>J5*'Inflation Rates by Year'!$H$2</f>
        <v>80811872.832270816</v>
      </c>
      <c r="L5" s="78">
        <f t="shared" si="3"/>
        <v>1730.4469557231439</v>
      </c>
    </row>
    <row r="6" spans="1:12" ht="15" customHeight="1">
      <c r="A6" s="61" t="s">
        <v>556</v>
      </c>
      <c r="B6" s="61">
        <v>5</v>
      </c>
      <c r="C6" s="61" t="s">
        <v>331</v>
      </c>
      <c r="D6" s="62">
        <v>51200</v>
      </c>
      <c r="E6" s="62">
        <v>72800000</v>
      </c>
      <c r="F6" s="63">
        <f t="shared" si="4"/>
        <v>4500</v>
      </c>
      <c r="G6" s="63">
        <f t="shared" si="0"/>
        <v>2.3840698721684443</v>
      </c>
      <c r="H6" s="63">
        <f t="shared" si="5"/>
        <v>1.958949369210059</v>
      </c>
      <c r="I6" s="76">
        <f t="shared" si="1"/>
        <v>51200</v>
      </c>
      <c r="J6" s="76">
        <f t="shared" si="2"/>
        <v>72800000</v>
      </c>
      <c r="K6" s="77">
        <f>J6*'Inflation Rates by Year'!$H$2</f>
        <v>89818386.903653666</v>
      </c>
      <c r="L6" s="78">
        <f t="shared" si="3"/>
        <v>1754.2653692119857</v>
      </c>
    </row>
    <row r="7" spans="1:12" ht="15" customHeight="1">
      <c r="A7" s="61" t="s">
        <v>557</v>
      </c>
      <c r="B7" s="61">
        <v>6</v>
      </c>
      <c r="C7" s="61" t="s">
        <v>331</v>
      </c>
      <c r="D7" s="62">
        <v>55600</v>
      </c>
      <c r="E7" s="62">
        <v>79600000</v>
      </c>
      <c r="F7" s="63">
        <f t="shared" si="4"/>
        <v>4400</v>
      </c>
      <c r="G7" s="63">
        <f t="shared" si="0"/>
        <v>2.3310905416758123</v>
      </c>
      <c r="H7" s="63">
        <f t="shared" si="5"/>
        <v>1.8337769344382759</v>
      </c>
      <c r="I7" s="76">
        <f t="shared" si="1"/>
        <v>55600</v>
      </c>
      <c r="J7" s="76">
        <f t="shared" si="2"/>
        <v>79600000</v>
      </c>
      <c r="K7" s="77">
        <f>J7*'Inflation Rates by Year'!$H$2</f>
        <v>98208016.449599341</v>
      </c>
      <c r="L7" s="78">
        <f t="shared" si="3"/>
        <v>1766.3312311079019</v>
      </c>
    </row>
    <row r="8" spans="1:12" ht="15" customHeight="1">
      <c r="A8" s="61" t="s">
        <v>558</v>
      </c>
      <c r="B8" s="61">
        <v>7</v>
      </c>
      <c r="C8" s="61" t="s">
        <v>331</v>
      </c>
      <c r="D8" s="62">
        <v>56500</v>
      </c>
      <c r="E8" s="62">
        <v>86000000</v>
      </c>
      <c r="F8" s="63">
        <f t="shared" si="4"/>
        <v>900</v>
      </c>
      <c r="G8" s="63">
        <f t="shared" si="0"/>
        <v>0.47681397443368884</v>
      </c>
      <c r="H8" s="63">
        <f t="shared" si="5"/>
        <v>0.36604161049450684</v>
      </c>
      <c r="I8" s="76">
        <f t="shared" si="1"/>
        <v>56500</v>
      </c>
      <c r="J8" s="76">
        <f t="shared" si="2"/>
        <v>86000000</v>
      </c>
      <c r="K8" s="77">
        <f>J8*'Inflation Rates by Year'!$H$2</f>
        <v>106104138.37519526</v>
      </c>
      <c r="L8" s="78">
        <f t="shared" si="3"/>
        <v>1877.9493517733674</v>
      </c>
    </row>
    <row r="9" spans="1:12" ht="15" customHeight="1">
      <c r="A9" s="61" t="s">
        <v>559</v>
      </c>
      <c r="B9" s="61">
        <v>8</v>
      </c>
      <c r="C9" s="61" t="s">
        <v>331</v>
      </c>
      <c r="D9" s="62">
        <v>60400</v>
      </c>
      <c r="E9" s="62">
        <v>92500000</v>
      </c>
      <c r="F9" s="63">
        <f t="shared" si="4"/>
        <v>3900</v>
      </c>
      <c r="G9" s="63">
        <f t="shared" si="0"/>
        <v>2.0661938892126517</v>
      </c>
      <c r="H9" s="63">
        <f t="shared" si="5"/>
        <v>1.5534778082585115</v>
      </c>
      <c r="I9" s="76">
        <f t="shared" si="1"/>
        <v>60400</v>
      </c>
      <c r="J9" s="76">
        <f t="shared" si="2"/>
        <v>92500000</v>
      </c>
      <c r="K9" s="77">
        <f>J9*'Inflation Rates by Year'!$H$2</f>
        <v>114123637.20587863</v>
      </c>
      <c r="L9" s="78">
        <f t="shared" si="3"/>
        <v>1889.4641921503085</v>
      </c>
    </row>
    <row r="10" spans="1:12" ht="15" customHeight="1">
      <c r="A10" s="61" t="s">
        <v>560</v>
      </c>
      <c r="B10" s="61">
        <v>9</v>
      </c>
      <c r="C10" s="61" t="s">
        <v>331</v>
      </c>
      <c r="D10" s="62">
        <v>67092</v>
      </c>
      <c r="E10" s="62">
        <v>97500000</v>
      </c>
      <c r="F10" s="63">
        <f t="shared" si="4"/>
        <v>6692</v>
      </c>
      <c r="G10" s="63">
        <f t="shared" si="0"/>
        <v>3.5453767965669396</v>
      </c>
      <c r="H10" s="63">
        <f t="shared" si="5"/>
        <v>2.5530036966232883</v>
      </c>
      <c r="I10" s="76">
        <f t="shared" si="1"/>
        <v>67092</v>
      </c>
      <c r="J10" s="76">
        <f t="shared" si="2"/>
        <v>97500000</v>
      </c>
      <c r="K10" s="77">
        <f>J10*'Inflation Rates by Year'!$H$2</f>
        <v>120292482.46025044</v>
      </c>
      <c r="L10" s="78">
        <f t="shared" si="3"/>
        <v>1792.9482272141304</v>
      </c>
    </row>
    <row r="11" spans="1:12" ht="15" customHeight="1">
      <c r="A11" s="61" t="s">
        <v>561</v>
      </c>
      <c r="B11" s="61">
        <v>10</v>
      </c>
      <c r="C11" s="61" t="s">
        <v>331</v>
      </c>
      <c r="D11" s="62">
        <v>67092</v>
      </c>
      <c r="E11" s="62">
        <v>102400000</v>
      </c>
      <c r="F11" s="63">
        <f t="shared" si="4"/>
        <v>0</v>
      </c>
      <c r="G11" s="63">
        <f t="shared" si="0"/>
        <v>0</v>
      </c>
      <c r="H11" s="63">
        <f t="shared" si="5"/>
        <v>0</v>
      </c>
      <c r="I11" s="76">
        <f t="shared" si="1"/>
        <v>67092</v>
      </c>
      <c r="J11" s="76">
        <f t="shared" si="2"/>
        <v>102400000</v>
      </c>
      <c r="K11" s="77">
        <f>J11*'Inflation Rates by Year'!$H$2</f>
        <v>126337950.80953482</v>
      </c>
      <c r="L11" s="78">
        <f t="shared" si="3"/>
        <v>1883.0553688895072</v>
      </c>
    </row>
    <row r="12" spans="1:12" ht="15" customHeight="1">
      <c r="A12" s="61" t="s">
        <v>562</v>
      </c>
      <c r="B12" s="61">
        <v>11</v>
      </c>
      <c r="C12" s="61" t="s">
        <v>331</v>
      </c>
      <c r="D12" s="62">
        <v>68698</v>
      </c>
      <c r="E12" s="62">
        <v>107500000</v>
      </c>
      <c r="F12" s="63">
        <f t="shared" si="4"/>
        <v>1606</v>
      </c>
      <c r="G12" s="63">
        <f t="shared" si="0"/>
        <v>0.85084804771167144</v>
      </c>
      <c r="H12" s="63">
        <f t="shared" si="5"/>
        <v>0.59348055735059768</v>
      </c>
      <c r="I12" s="76">
        <f t="shared" si="1"/>
        <v>68698</v>
      </c>
      <c r="J12" s="76">
        <f t="shared" si="2"/>
        <v>107500000</v>
      </c>
      <c r="K12" s="77">
        <f>J12*'Inflation Rates by Year'!$H$2</f>
        <v>132630172.96899408</v>
      </c>
      <c r="L12" s="78">
        <f t="shared" si="3"/>
        <v>1930.6264078866063</v>
      </c>
    </row>
    <row r="13" spans="1:12" ht="15" customHeight="1">
      <c r="A13" s="61" t="s">
        <v>563</v>
      </c>
      <c r="B13" s="61">
        <v>12</v>
      </c>
      <c r="C13" s="61" t="s">
        <v>331</v>
      </c>
      <c r="D13" s="62">
        <v>70615</v>
      </c>
      <c r="E13" s="62">
        <v>113600000</v>
      </c>
      <c r="F13" s="63">
        <f t="shared" si="4"/>
        <v>1917</v>
      </c>
      <c r="G13" s="63">
        <f t="shared" si="0"/>
        <v>1.0156137655437572</v>
      </c>
      <c r="H13" s="63">
        <f t="shared" si="5"/>
        <v>0.6993970972536393</v>
      </c>
      <c r="I13" s="76">
        <f t="shared" si="1"/>
        <v>70615</v>
      </c>
      <c r="J13" s="76">
        <f t="shared" si="2"/>
        <v>113600000</v>
      </c>
      <c r="K13" s="77">
        <f>J13*'Inflation Rates by Year'!$H$2</f>
        <v>140156164.1793277</v>
      </c>
      <c r="L13" s="78">
        <f t="shared" si="3"/>
        <v>1984.7930918264915</v>
      </c>
    </row>
    <row r="14" spans="1:12" ht="15" customHeight="1">
      <c r="A14" s="61" t="s">
        <v>564</v>
      </c>
      <c r="B14" s="61">
        <v>13</v>
      </c>
      <c r="C14" s="61" t="s">
        <v>331</v>
      </c>
      <c r="D14" s="62">
        <v>70615</v>
      </c>
      <c r="E14" s="62">
        <v>118700000</v>
      </c>
      <c r="F14" s="63">
        <f t="shared" si="4"/>
        <v>0</v>
      </c>
      <c r="G14" s="63">
        <f t="shared" si="0"/>
        <v>0</v>
      </c>
      <c r="H14" s="63">
        <f t="shared" si="5"/>
        <v>0</v>
      </c>
      <c r="I14" s="76">
        <f t="shared" si="1"/>
        <v>70615</v>
      </c>
      <c r="J14" s="76">
        <f t="shared" si="2"/>
        <v>118700000</v>
      </c>
      <c r="K14" s="77">
        <f>J14*'Inflation Rates by Year'!$H$2</f>
        <v>146448386.33878696</v>
      </c>
      <c r="L14" s="78">
        <f t="shared" si="3"/>
        <v>2073.8991197165892</v>
      </c>
    </row>
    <row r="15" spans="1:12" ht="15" customHeight="1">
      <c r="A15" s="61" t="s">
        <v>565</v>
      </c>
      <c r="B15" s="61">
        <v>14</v>
      </c>
      <c r="C15" s="61" t="s">
        <v>331</v>
      </c>
      <c r="D15" s="62">
        <v>72566</v>
      </c>
      <c r="E15" s="62">
        <v>122950000</v>
      </c>
      <c r="F15" s="63">
        <f t="shared" si="4"/>
        <v>1951</v>
      </c>
      <c r="G15" s="63">
        <f t="shared" si="0"/>
        <v>1.033626737911252</v>
      </c>
      <c r="H15" s="63">
        <f t="shared" si="5"/>
        <v>0.70212091315709579</v>
      </c>
      <c r="I15" s="76">
        <f t="shared" si="1"/>
        <v>72566</v>
      </c>
      <c r="J15" s="76">
        <f t="shared" si="2"/>
        <v>122950000</v>
      </c>
      <c r="K15" s="77">
        <f>J15*'Inflation Rates by Year'!$H$2</f>
        <v>151691904.80500299</v>
      </c>
      <c r="L15" s="78">
        <f t="shared" si="3"/>
        <v>2090.3991511865474</v>
      </c>
    </row>
    <row r="16" spans="1:12" ht="15" customHeight="1">
      <c r="A16" s="61" t="s">
        <v>566</v>
      </c>
      <c r="B16" s="61">
        <v>15</v>
      </c>
      <c r="C16" s="61" t="s">
        <v>331</v>
      </c>
      <c r="D16" s="62">
        <v>74604</v>
      </c>
      <c r="E16" s="62">
        <v>127666000</v>
      </c>
      <c r="F16" s="63">
        <f t="shared" si="4"/>
        <v>2038</v>
      </c>
      <c r="G16" s="63">
        <f t="shared" si="0"/>
        <v>1.079718755439842</v>
      </c>
      <c r="H16" s="63">
        <f t="shared" si="5"/>
        <v>0.72342281436353395</v>
      </c>
      <c r="I16" s="76">
        <f t="shared" si="1"/>
        <v>74604</v>
      </c>
      <c r="J16" s="76">
        <f t="shared" si="2"/>
        <v>127666000</v>
      </c>
      <c r="K16" s="77">
        <f>J16*'Inflation Rates by Year'!$H$2</f>
        <v>157510359.6489265</v>
      </c>
      <c r="L16" s="78">
        <f t="shared" si="3"/>
        <v>2111.2857172393774</v>
      </c>
    </row>
    <row r="17" spans="1:12" ht="15" customHeight="1">
      <c r="A17" s="61" t="s">
        <v>567</v>
      </c>
      <c r="B17" s="61">
        <v>16</v>
      </c>
      <c r="C17" s="61" t="s">
        <v>331</v>
      </c>
      <c r="D17" s="62">
        <v>76017</v>
      </c>
      <c r="E17" s="62">
        <v>135692000</v>
      </c>
      <c r="F17" s="63">
        <f t="shared" si="4"/>
        <v>1413</v>
      </c>
      <c r="G17" s="63">
        <f t="shared" si="0"/>
        <v>0.74859793986089151</v>
      </c>
      <c r="H17" s="63">
        <f t="shared" si="5"/>
        <v>0.49578277195574455</v>
      </c>
      <c r="I17" s="76">
        <f t="shared" si="1"/>
        <v>76017</v>
      </c>
      <c r="J17" s="76">
        <f t="shared" si="2"/>
        <v>135692000</v>
      </c>
      <c r="K17" s="77">
        <f>J17*'Inflation Rates by Year'!$H$2</f>
        <v>167412590.05124414</v>
      </c>
      <c r="L17" s="78">
        <f t="shared" si="3"/>
        <v>2202.3046167468347</v>
      </c>
    </row>
    <row r="18" spans="1:12" ht="15" customHeight="1">
      <c r="A18" s="61" t="s">
        <v>568</v>
      </c>
      <c r="B18" s="61">
        <v>17</v>
      </c>
      <c r="C18" s="61" t="s">
        <v>331</v>
      </c>
      <c r="D18" s="62">
        <v>76683</v>
      </c>
      <c r="E18" s="62">
        <v>135938000</v>
      </c>
      <c r="F18" s="63">
        <f t="shared" si="4"/>
        <v>666</v>
      </c>
      <c r="G18" s="63">
        <f t="shared" si="0"/>
        <v>0.35284234108092971</v>
      </c>
      <c r="H18" s="63">
        <f t="shared" si="5"/>
        <v>0.23208282294564977</v>
      </c>
      <c r="I18" s="76">
        <f t="shared" si="1"/>
        <v>76683</v>
      </c>
      <c r="J18" s="76">
        <f t="shared" si="2"/>
        <v>135938000</v>
      </c>
      <c r="K18" s="77">
        <f>J18*'Inflation Rates by Year'!$H$2</f>
        <v>167716097.23775923</v>
      </c>
      <c r="L18" s="78">
        <f t="shared" si="3"/>
        <v>2187.1353134040041</v>
      </c>
    </row>
    <row r="19" spans="1:12" ht="15" customHeight="1">
      <c r="A19" s="61" t="s">
        <v>569</v>
      </c>
      <c r="B19" s="61">
        <v>18</v>
      </c>
      <c r="C19" s="61" t="s">
        <v>331</v>
      </c>
      <c r="D19" s="62">
        <v>76683</v>
      </c>
      <c r="E19" s="62">
        <v>139270300</v>
      </c>
      <c r="F19" s="63">
        <f t="shared" si="4"/>
        <v>0</v>
      </c>
      <c r="G19" s="63">
        <f t="shared" si="0"/>
        <v>0</v>
      </c>
      <c r="H19" s="63">
        <f t="shared" si="5"/>
        <v>0</v>
      </c>
      <c r="I19" s="76">
        <f t="shared" si="1"/>
        <v>76683</v>
      </c>
      <c r="J19" s="76">
        <f t="shared" si="2"/>
        <v>139270300</v>
      </c>
      <c r="K19" s="77">
        <f>J19*'Inflation Rates by Year'!$H$2</f>
        <v>171827385.84598786</v>
      </c>
      <c r="L19" s="78">
        <f t="shared" si="3"/>
        <v>2240.7493948591978</v>
      </c>
    </row>
    <row r="20" spans="1:12" ht="15" customHeight="1">
      <c r="A20" s="61" t="s">
        <v>570</v>
      </c>
      <c r="B20" s="61">
        <v>19</v>
      </c>
      <c r="C20" s="61" t="s">
        <v>331</v>
      </c>
      <c r="D20" s="62">
        <v>81396</v>
      </c>
      <c r="E20" s="62">
        <v>142700000</v>
      </c>
      <c r="F20" s="63">
        <f t="shared" si="4"/>
        <v>4713</v>
      </c>
      <c r="G20" s="63">
        <f t="shared" si="0"/>
        <v>2.4969158461177505</v>
      </c>
      <c r="H20" s="63">
        <f t="shared" si="5"/>
        <v>1.6143432263480311</v>
      </c>
      <c r="I20" s="76">
        <f t="shared" si="1"/>
        <v>81396</v>
      </c>
      <c r="J20" s="76">
        <f t="shared" si="2"/>
        <v>142700000</v>
      </c>
      <c r="K20" s="77">
        <f>J20*'Inflation Rates by Year'!$H$2</f>
        <v>176058843.55977169</v>
      </c>
      <c r="L20" s="78">
        <f t="shared" si="3"/>
        <v>2162.9913455178594</v>
      </c>
    </row>
    <row r="21" spans="1:12" ht="14.5">
      <c r="A21" s="61" t="s">
        <v>571</v>
      </c>
      <c r="B21" s="61">
        <v>20</v>
      </c>
      <c r="C21" s="61" t="s">
        <v>331</v>
      </c>
      <c r="D21" s="62">
        <v>81396</v>
      </c>
      <c r="E21" s="62">
        <v>145300000</v>
      </c>
      <c r="F21" s="63">
        <f t="shared" si="4"/>
        <v>0</v>
      </c>
      <c r="G21" s="63">
        <f t="shared" si="0"/>
        <v>0</v>
      </c>
      <c r="H21" s="63">
        <f t="shared" si="5"/>
        <v>0</v>
      </c>
      <c r="I21" s="76">
        <f t="shared" si="1"/>
        <v>81396</v>
      </c>
      <c r="J21" s="76">
        <f t="shared" si="2"/>
        <v>145300000</v>
      </c>
      <c r="K21" s="77">
        <f>J21*'Inflation Rates by Year'!$H$2</f>
        <v>179266643.09204501</v>
      </c>
      <c r="L21" s="78">
        <f t="shared" si="3"/>
        <v>2202.4011387788714</v>
      </c>
    </row>
    <row r="22" spans="1:12" ht="14.5">
      <c r="A22" s="61" t="s">
        <v>572</v>
      </c>
      <c r="B22" s="61">
        <v>21</v>
      </c>
      <c r="C22" s="61" t="s">
        <v>331</v>
      </c>
      <c r="D22" s="62">
        <v>83830</v>
      </c>
      <c r="E22" s="62">
        <v>146400000</v>
      </c>
      <c r="F22" s="63">
        <f t="shared" si="4"/>
        <v>2434</v>
      </c>
      <c r="G22" s="63">
        <f t="shared" si="0"/>
        <v>1.2895169041906651</v>
      </c>
      <c r="H22" s="63">
        <f t="shared" si="5"/>
        <v>0.81541822945289322</v>
      </c>
      <c r="I22" s="76">
        <f t="shared" si="1"/>
        <v>83830</v>
      </c>
      <c r="J22" s="76">
        <f t="shared" si="2"/>
        <v>146400000</v>
      </c>
      <c r="K22" s="77">
        <f>J22*'Inflation Rates by Year'!$H$2</f>
        <v>180623789.0480068</v>
      </c>
      <c r="L22" s="78">
        <f t="shared" si="3"/>
        <v>2154.6437915782753</v>
      </c>
    </row>
    <row r="23" spans="1:12" ht="14.5">
      <c r="A23" s="61" t="s">
        <v>573</v>
      </c>
      <c r="B23" s="61">
        <v>22</v>
      </c>
      <c r="C23" s="61" t="s">
        <v>331</v>
      </c>
      <c r="D23" s="62">
        <v>86294</v>
      </c>
      <c r="E23" s="62">
        <v>150800000</v>
      </c>
      <c r="F23" s="63">
        <f t="shared" si="4"/>
        <v>2464</v>
      </c>
      <c r="G23" s="63">
        <f t="shared" si="0"/>
        <v>1.3054107033384548</v>
      </c>
      <c r="H23" s="63">
        <f t="shared" si="5"/>
        <v>0.81349812195666049</v>
      </c>
      <c r="I23" s="76">
        <f t="shared" si="1"/>
        <v>86294</v>
      </c>
      <c r="J23" s="76">
        <f t="shared" si="2"/>
        <v>150800000</v>
      </c>
      <c r="K23" s="77">
        <f>J23*'Inflation Rates by Year'!$H$2</f>
        <v>186052372.87185401</v>
      </c>
      <c r="L23" s="78">
        <f t="shared" si="3"/>
        <v>2156.0290735376043</v>
      </c>
    </row>
    <row r="24" spans="1:12" ht="14.5">
      <c r="A24" s="61" t="s">
        <v>574</v>
      </c>
      <c r="B24" s="61">
        <v>23</v>
      </c>
      <c r="C24" s="61" t="s">
        <v>331</v>
      </c>
      <c r="D24" s="62">
        <v>87316</v>
      </c>
      <c r="E24" s="62">
        <v>155700000</v>
      </c>
      <c r="F24" s="63">
        <f t="shared" si="4"/>
        <v>1022</v>
      </c>
      <c r="G24" s="63">
        <f t="shared" si="0"/>
        <v>0.54144875763470002</v>
      </c>
      <c r="H24" s="63">
        <f t="shared" si="5"/>
        <v>0.33400476574536642</v>
      </c>
      <c r="I24" s="76">
        <f t="shared" si="1"/>
        <v>87316</v>
      </c>
      <c r="J24" s="76">
        <f t="shared" si="2"/>
        <v>155700000</v>
      </c>
      <c r="K24" s="77">
        <f>J24*'Inflation Rates by Year'!$H$2</f>
        <v>192097841.22113839</v>
      </c>
      <c r="L24" s="78">
        <f t="shared" si="3"/>
        <v>2200.0302489937512</v>
      </c>
    </row>
    <row r="25" spans="1:12" ht="14.5">
      <c r="A25" s="61" t="s">
        <v>575</v>
      </c>
      <c r="B25" s="61">
        <v>24</v>
      </c>
      <c r="C25" s="61" t="s">
        <v>331</v>
      </c>
      <c r="D25" s="62">
        <v>87316</v>
      </c>
      <c r="E25" s="62">
        <v>156200000</v>
      </c>
      <c r="F25" s="63">
        <f t="shared" si="4"/>
        <v>0</v>
      </c>
      <c r="G25" s="63">
        <f t="shared" si="0"/>
        <v>0</v>
      </c>
      <c r="H25" s="63">
        <f t="shared" si="5"/>
        <v>0</v>
      </c>
      <c r="I25" s="76">
        <f t="shared" si="1"/>
        <v>87316</v>
      </c>
      <c r="J25" s="76">
        <f t="shared" si="2"/>
        <v>156200000</v>
      </c>
      <c r="K25" s="77">
        <f>J25*'Inflation Rates by Year'!$H$2</f>
        <v>192714725.74657559</v>
      </c>
      <c r="L25" s="78">
        <f t="shared" si="3"/>
        <v>2207.0952144690045</v>
      </c>
    </row>
    <row r="26" spans="1:12" ht="14.5">
      <c r="A26" s="61" t="s">
        <v>576</v>
      </c>
      <c r="B26" s="61">
        <v>25</v>
      </c>
      <c r="C26" s="61" t="s">
        <v>331</v>
      </c>
      <c r="D26" s="62">
        <v>90062</v>
      </c>
      <c r="E26" s="62">
        <v>160400000</v>
      </c>
      <c r="F26" s="63">
        <f t="shared" si="4"/>
        <v>2746</v>
      </c>
      <c r="G26" s="63">
        <f t="shared" si="0"/>
        <v>1.4548124153276774</v>
      </c>
      <c r="H26" s="63">
        <f t="shared" si="5"/>
        <v>0.88787315005199041</v>
      </c>
      <c r="I26" s="76">
        <f t="shared" si="1"/>
        <v>90062</v>
      </c>
      <c r="J26" s="76">
        <f t="shared" si="2"/>
        <v>160400000</v>
      </c>
      <c r="K26" s="77">
        <f>J26*'Inflation Rates by Year'!$H$2</f>
        <v>197896555.76024792</v>
      </c>
      <c r="L26" s="78">
        <f t="shared" si="3"/>
        <v>2197.3368985837301</v>
      </c>
    </row>
    <row r="27" spans="1:12" ht="14.5">
      <c r="A27" s="61" t="s">
        <v>577</v>
      </c>
      <c r="B27" s="61">
        <v>26</v>
      </c>
      <c r="C27" s="61" t="s">
        <v>331</v>
      </c>
      <c r="D27" s="62">
        <v>90062</v>
      </c>
      <c r="E27" s="62">
        <v>160800000</v>
      </c>
      <c r="F27" s="63">
        <f t="shared" si="4"/>
        <v>0</v>
      </c>
      <c r="G27" s="63">
        <f t="shared" si="0"/>
        <v>0</v>
      </c>
      <c r="H27" s="63">
        <f t="shared" si="5"/>
        <v>0</v>
      </c>
      <c r="I27" s="76">
        <f t="shared" si="1"/>
        <v>90062</v>
      </c>
      <c r="J27" s="76">
        <f t="shared" si="2"/>
        <v>160800000</v>
      </c>
      <c r="K27" s="77">
        <f>J27*'Inflation Rates by Year'!$H$2</f>
        <v>198390063.38059765</v>
      </c>
      <c r="L27" s="78">
        <f t="shared" si="3"/>
        <v>2202.8165417223431</v>
      </c>
    </row>
    <row r="28" spans="1:12" ht="14.5">
      <c r="A28" s="61" t="s">
        <v>578</v>
      </c>
      <c r="B28" s="61">
        <v>27</v>
      </c>
      <c r="C28" s="61" t="s">
        <v>331</v>
      </c>
      <c r="D28" s="62">
        <v>91453</v>
      </c>
      <c r="E28" s="62">
        <v>162991547</v>
      </c>
      <c r="F28" s="63">
        <f t="shared" si="4"/>
        <v>1391</v>
      </c>
      <c r="G28" s="63">
        <f t="shared" si="0"/>
        <v>0.73694248715251243</v>
      </c>
      <c r="H28" s="63">
        <f t="shared" si="5"/>
        <v>0.44459166159041813</v>
      </c>
      <c r="I28" s="76">
        <f t="shared" si="1"/>
        <v>91453</v>
      </c>
      <c r="J28" s="76">
        <f t="shared" si="2"/>
        <v>162991547</v>
      </c>
      <c r="K28" s="77">
        <f>J28*'Inflation Rates by Year'!$H$2</f>
        <v>201093926.24273422</v>
      </c>
      <c r="L28" s="78">
        <f t="shared" si="3"/>
        <v>2198.8773057497756</v>
      </c>
    </row>
    <row r="29" spans="1:12" ht="14.5">
      <c r="A29" s="61" t="s">
        <v>579</v>
      </c>
      <c r="B29" s="61">
        <v>28</v>
      </c>
      <c r="C29" s="61" t="s">
        <v>331</v>
      </c>
      <c r="D29" s="62">
        <v>91453</v>
      </c>
      <c r="E29" s="62">
        <v>164272218</v>
      </c>
      <c r="F29" s="63">
        <f t="shared" si="4"/>
        <v>0</v>
      </c>
      <c r="G29" s="63">
        <f t="shared" si="0"/>
        <v>0</v>
      </c>
      <c r="H29" s="63">
        <f t="shared" si="5"/>
        <v>0</v>
      </c>
      <c r="I29" s="76">
        <f t="shared" si="1"/>
        <v>91453</v>
      </c>
      <c r="J29" s="76">
        <f t="shared" si="2"/>
        <v>164272218</v>
      </c>
      <c r="K29" s="77">
        <f>J29*'Inflation Rates by Year'!$H$2</f>
        <v>202673978.48688653</v>
      </c>
      <c r="L29" s="78">
        <f t="shared" si="3"/>
        <v>2216.154510916936</v>
      </c>
    </row>
    <row r="30" spans="1:12" ht="14.5">
      <c r="A30" s="61" t="s">
        <v>580</v>
      </c>
      <c r="B30" s="61">
        <v>29</v>
      </c>
      <c r="C30" s="61" t="s">
        <v>331</v>
      </c>
      <c r="D30" s="62">
        <v>91802</v>
      </c>
      <c r="E30" s="62">
        <v>166146277</v>
      </c>
      <c r="F30" s="63">
        <f t="shared" si="4"/>
        <v>349</v>
      </c>
      <c r="G30" s="63">
        <f t="shared" si="0"/>
        <v>0.18489786341928599</v>
      </c>
      <c r="H30" s="63">
        <f t="shared" si="5"/>
        <v>0.11101584334317917</v>
      </c>
      <c r="I30" s="76">
        <f t="shared" si="1"/>
        <v>91802</v>
      </c>
      <c r="J30" s="76">
        <f t="shared" si="2"/>
        <v>166146277</v>
      </c>
      <c r="K30" s="77">
        <f>J30*'Inflation Rates by Year'!$H$2</f>
        <v>204986134.48059911</v>
      </c>
      <c r="L30" s="78">
        <f t="shared" si="3"/>
        <v>2232.9157804906113</v>
      </c>
    </row>
    <row r="31" spans="1:12" ht="14.5">
      <c r="A31" s="61" t="s">
        <v>581</v>
      </c>
      <c r="B31" s="61">
        <v>30</v>
      </c>
      <c r="C31" s="61" t="s">
        <v>331</v>
      </c>
      <c r="D31" s="62">
        <v>93245</v>
      </c>
      <c r="E31" s="62">
        <v>168415121</v>
      </c>
      <c r="F31" s="63">
        <f t="shared" si="4"/>
        <v>1443</v>
      </c>
      <c r="G31" s="63">
        <f t="shared" si="0"/>
        <v>0.76449173900868106</v>
      </c>
      <c r="H31" s="63">
        <f t="shared" si="5"/>
        <v>0.45678923766789681</v>
      </c>
      <c r="I31" s="76">
        <f t="shared" si="1"/>
        <v>93245</v>
      </c>
      <c r="J31" s="76">
        <f t="shared" si="2"/>
        <v>168415121</v>
      </c>
      <c r="K31" s="77">
        <f>J31*'Inflation Rates by Year'!$H$2</f>
        <v>207785363.98906109</v>
      </c>
      <c r="L31" s="78">
        <f t="shared" si="3"/>
        <v>2228.380760245172</v>
      </c>
    </row>
    <row r="32" spans="1:12" ht="14.5">
      <c r="A32" s="61" t="s">
        <v>582</v>
      </c>
      <c r="B32" s="61">
        <v>31</v>
      </c>
      <c r="C32" s="61" t="s">
        <v>331</v>
      </c>
      <c r="D32" s="62">
        <v>93245</v>
      </c>
      <c r="E32" s="62">
        <v>169625428</v>
      </c>
      <c r="F32" s="63">
        <f t="shared" si="4"/>
        <v>0</v>
      </c>
      <c r="G32" s="63">
        <f t="shared" si="0"/>
        <v>0</v>
      </c>
      <c r="H32" s="63">
        <f t="shared" si="5"/>
        <v>0</v>
      </c>
      <c r="I32" s="76">
        <f t="shared" si="1"/>
        <v>93245</v>
      </c>
      <c r="J32" s="76">
        <f t="shared" si="2"/>
        <v>169625428</v>
      </c>
      <c r="K32" s="77">
        <f>J32*'Inflation Rates by Year'!$H$2</f>
        <v>209278603.30771768</v>
      </c>
      <c r="L32" s="78">
        <f t="shared" si="3"/>
        <v>2244.3949091931759</v>
      </c>
    </row>
    <row r="33" spans="1:12" ht="14.5">
      <c r="A33" s="61" t="s">
        <v>583</v>
      </c>
      <c r="B33" s="61">
        <v>32</v>
      </c>
      <c r="C33" s="61" t="s">
        <v>331</v>
      </c>
      <c r="D33" s="62">
        <v>94180</v>
      </c>
      <c r="E33" s="62">
        <v>171803416</v>
      </c>
      <c r="F33" s="63">
        <f t="shared" si="4"/>
        <v>935</v>
      </c>
      <c r="G33" s="63">
        <f t="shared" si="0"/>
        <v>0.49535674010611008</v>
      </c>
      <c r="H33" s="63">
        <f t="shared" si="5"/>
        <v>0.29409419836065603</v>
      </c>
      <c r="I33" s="76">
        <f t="shared" si="1"/>
        <v>94180</v>
      </c>
      <c r="J33" s="76">
        <f t="shared" si="2"/>
        <v>171803416</v>
      </c>
      <c r="K33" s="77">
        <f>J33*'Inflation Rates by Year'!$H$2</f>
        <v>211965737.49529344</v>
      </c>
      <c r="L33" s="78">
        <f t="shared" si="3"/>
        <v>2250.6449086355219</v>
      </c>
    </row>
    <row r="34" spans="1:12" ht="14.5">
      <c r="A34" s="61" t="s">
        <v>584</v>
      </c>
      <c r="B34" s="61">
        <v>33</v>
      </c>
      <c r="C34" s="61" t="s">
        <v>331</v>
      </c>
      <c r="D34" s="62">
        <v>94736</v>
      </c>
      <c r="E34" s="62">
        <v>173377051</v>
      </c>
      <c r="F34" s="63">
        <f t="shared" si="4"/>
        <v>556</v>
      </c>
      <c r="G34" s="63">
        <f t="shared" si="0"/>
        <v>0.29456507753903444</v>
      </c>
      <c r="H34" s="63">
        <f t="shared" si="5"/>
        <v>0.17419197614981249</v>
      </c>
      <c r="I34" s="76">
        <f t="shared" ref="I34:I65" si="6">D34</f>
        <v>94736</v>
      </c>
      <c r="J34" s="76">
        <f t="shared" ref="J34:J65" si="7">E34</f>
        <v>173377051</v>
      </c>
      <c r="K34" s="77">
        <f>J34*'Inflation Rates by Year'!$H$2</f>
        <v>213907239.65566611</v>
      </c>
      <c r="L34" s="78">
        <f t="shared" si="3"/>
        <v>2257.9298224082304</v>
      </c>
    </row>
    <row r="35" spans="1:12" ht="14.5">
      <c r="A35" s="61" t="s">
        <v>585</v>
      </c>
      <c r="B35" s="61">
        <v>34</v>
      </c>
      <c r="C35" s="61" t="s">
        <v>331</v>
      </c>
      <c r="D35" s="62">
        <v>95716</v>
      </c>
      <c r="E35" s="62">
        <v>175980488</v>
      </c>
      <c r="F35" s="63">
        <f t="shared" si="4"/>
        <v>980</v>
      </c>
      <c r="G35" s="63">
        <f t="shared" si="0"/>
        <v>0.51919743882779446</v>
      </c>
      <c r="H35" s="63">
        <f t="shared" si="5"/>
        <v>0.3057890990070527</v>
      </c>
      <c r="I35" s="76">
        <f t="shared" si="6"/>
        <v>95716</v>
      </c>
      <c r="J35" s="76">
        <f t="shared" si="7"/>
        <v>175980488</v>
      </c>
      <c r="K35" s="77">
        <f>J35*'Inflation Rates by Year'!$H$2</f>
        <v>217119279.65216732</v>
      </c>
      <c r="L35" s="78">
        <f t="shared" si="3"/>
        <v>2268.3697569075944</v>
      </c>
    </row>
    <row r="36" spans="1:12" ht="14.5">
      <c r="A36" s="61" t="s">
        <v>586</v>
      </c>
      <c r="B36" s="61">
        <v>35</v>
      </c>
      <c r="C36" s="61" t="s">
        <v>331</v>
      </c>
      <c r="D36" s="62">
        <v>98420</v>
      </c>
      <c r="E36" s="62">
        <v>177433244</v>
      </c>
      <c r="F36" s="63">
        <f t="shared" si="4"/>
        <v>2704</v>
      </c>
      <c r="G36" s="63">
        <f t="shared" si="0"/>
        <v>1.4325610965207718</v>
      </c>
      <c r="H36" s="63">
        <f t="shared" si="5"/>
        <v>0.83570198967086573</v>
      </c>
      <c r="I36" s="76">
        <f t="shared" si="6"/>
        <v>98420</v>
      </c>
      <c r="J36" s="76">
        <f t="shared" si="7"/>
        <v>177433244</v>
      </c>
      <c r="K36" s="77">
        <f>J36*'Inflation Rates by Year'!$H$2</f>
        <v>218911645.04343936</v>
      </c>
      <c r="L36" s="78">
        <f t="shared" si="3"/>
        <v>2224.2597545563845</v>
      </c>
    </row>
    <row r="37" spans="1:12" ht="14.5">
      <c r="A37" s="61" t="s">
        <v>587</v>
      </c>
      <c r="B37" s="61">
        <v>36</v>
      </c>
      <c r="C37" s="61" t="s">
        <v>331</v>
      </c>
      <c r="D37" s="62">
        <v>100428</v>
      </c>
      <c r="E37" s="62">
        <v>178922223</v>
      </c>
      <c r="F37" s="63">
        <f t="shared" si="4"/>
        <v>2008</v>
      </c>
      <c r="G37" s="63">
        <f t="shared" si="0"/>
        <v>1.0638249562920525</v>
      </c>
      <c r="H37" s="63">
        <f t="shared" si="5"/>
        <v>0.61319116089325343</v>
      </c>
      <c r="I37" s="76">
        <f t="shared" si="6"/>
        <v>100428</v>
      </c>
      <c r="J37" s="76">
        <f t="shared" si="7"/>
        <v>178922223</v>
      </c>
      <c r="K37" s="77">
        <f>J37*'Inflation Rates by Year'!$H$2</f>
        <v>220748701.2510412</v>
      </c>
      <c r="L37" s="78">
        <f t="shared" si="3"/>
        <v>2198.0792333914965</v>
      </c>
    </row>
    <row r="38" spans="1:12" ht="14.5">
      <c r="A38" s="61" t="s">
        <v>588</v>
      </c>
      <c r="B38" s="61">
        <v>37</v>
      </c>
      <c r="C38" s="61" t="s">
        <v>331</v>
      </c>
      <c r="D38" s="62">
        <v>100979</v>
      </c>
      <c r="E38" s="62">
        <v>181046665</v>
      </c>
      <c r="F38" s="63">
        <f t="shared" si="4"/>
        <v>551</v>
      </c>
      <c r="G38" s="63">
        <f t="shared" si="0"/>
        <v>0.29191611101440285</v>
      </c>
      <c r="H38" s="63">
        <f t="shared" si="5"/>
        <v>0.16718679790731567</v>
      </c>
      <c r="I38" s="76">
        <f t="shared" si="6"/>
        <v>100979</v>
      </c>
      <c r="J38" s="76">
        <f t="shared" si="7"/>
        <v>181046665</v>
      </c>
      <c r="K38" s="77">
        <f>J38*'Inflation Rates by Year'!$H$2</f>
        <v>223369772.04101884</v>
      </c>
      <c r="L38" s="78">
        <f t="shared" si="3"/>
        <v>2212.0418308858161</v>
      </c>
    </row>
    <row r="39" spans="1:12" ht="14.5">
      <c r="A39" s="61" t="s">
        <v>589</v>
      </c>
      <c r="B39" s="61">
        <v>38</v>
      </c>
      <c r="C39" s="61" t="s">
        <v>331</v>
      </c>
      <c r="D39" s="62">
        <v>100979</v>
      </c>
      <c r="E39" s="62">
        <v>181956893</v>
      </c>
      <c r="F39" s="63">
        <f t="shared" si="4"/>
        <v>0</v>
      </c>
      <c r="G39" s="63">
        <f t="shared" si="0"/>
        <v>0</v>
      </c>
      <c r="H39" s="63">
        <f t="shared" si="5"/>
        <v>0</v>
      </c>
      <c r="I39" s="76">
        <f t="shared" si="6"/>
        <v>100979</v>
      </c>
      <c r="J39" s="76">
        <f t="shared" si="7"/>
        <v>181956893</v>
      </c>
      <c r="K39" s="77">
        <f>J39*'Inflation Rates by Year'!$H$2</f>
        <v>224492783.17665812</v>
      </c>
      <c r="L39" s="78">
        <f t="shared" si="3"/>
        <v>2223.1630653567386</v>
      </c>
    </row>
    <row r="40" spans="1:12" ht="14.5">
      <c r="A40" s="61" t="s">
        <v>590</v>
      </c>
      <c r="B40" s="61">
        <v>39</v>
      </c>
      <c r="C40" s="61" t="s">
        <v>331</v>
      </c>
      <c r="D40" s="62">
        <v>102499</v>
      </c>
      <c r="E40" s="62">
        <v>184022188</v>
      </c>
      <c r="F40" s="63">
        <f t="shared" si="4"/>
        <v>1520</v>
      </c>
      <c r="G40" s="63">
        <f t="shared" si="0"/>
        <v>0.80528582348800781</v>
      </c>
      <c r="H40" s="63">
        <f t="shared" si="5"/>
        <v>0.45885465537217346</v>
      </c>
      <c r="I40" s="76">
        <f t="shared" si="6"/>
        <v>102499</v>
      </c>
      <c r="J40" s="76">
        <f t="shared" si="7"/>
        <v>184022188</v>
      </c>
      <c r="K40" s="77">
        <f>J40*'Inflation Rates by Year'!$H$2</f>
        <v>227040880.22858369</v>
      </c>
      <c r="L40" s="78">
        <f t="shared" si="3"/>
        <v>2215.0545881285057</v>
      </c>
    </row>
    <row r="41" spans="1:12" ht="14.5">
      <c r="A41" s="61" t="s">
        <v>591</v>
      </c>
      <c r="B41" s="61">
        <v>40</v>
      </c>
      <c r="C41" s="61" t="s">
        <v>331</v>
      </c>
      <c r="D41" s="62">
        <v>103242</v>
      </c>
      <c r="E41" s="62">
        <v>186350815</v>
      </c>
      <c r="F41" s="63">
        <f t="shared" si="4"/>
        <v>743</v>
      </c>
      <c r="G41" s="63">
        <f t="shared" si="0"/>
        <v>0.39363642556025646</v>
      </c>
      <c r="H41" s="63">
        <f t="shared" si="5"/>
        <v>0.22305725513469152</v>
      </c>
      <c r="I41" s="76">
        <f t="shared" si="6"/>
        <v>103242</v>
      </c>
      <c r="J41" s="76">
        <f t="shared" si="7"/>
        <v>186350815</v>
      </c>
      <c r="K41" s="77">
        <f>J41*'Inflation Rates by Year'!$H$2</f>
        <v>229913868.15221411</v>
      </c>
      <c r="L41" s="78">
        <f t="shared" si="3"/>
        <v>2226.9412463165581</v>
      </c>
    </row>
    <row r="42" spans="1:12" ht="14.5">
      <c r="A42" s="61" t="s">
        <v>592</v>
      </c>
      <c r="B42" s="61">
        <v>41</v>
      </c>
      <c r="C42" s="61" t="s">
        <v>331</v>
      </c>
      <c r="D42" s="62">
        <v>103242</v>
      </c>
      <c r="E42" s="62">
        <v>188008920</v>
      </c>
      <c r="F42" s="63">
        <f t="shared" si="4"/>
        <v>0</v>
      </c>
      <c r="G42" s="63">
        <f t="shared" si="0"/>
        <v>0</v>
      </c>
      <c r="H42" s="63">
        <f t="shared" si="5"/>
        <v>0</v>
      </c>
      <c r="I42" s="76">
        <f t="shared" si="6"/>
        <v>103242</v>
      </c>
      <c r="J42" s="76">
        <f t="shared" si="7"/>
        <v>188008920</v>
      </c>
      <c r="K42" s="77">
        <f>J42*'Inflation Rates by Year'!$H$2</f>
        <v>231959586.78431413</v>
      </c>
      <c r="L42" s="78">
        <f t="shared" si="3"/>
        <v>2246.7560371197201</v>
      </c>
    </row>
    <row r="43" spans="1:12" ht="14.5">
      <c r="A43" s="61" t="s">
        <v>593</v>
      </c>
      <c r="B43" s="61">
        <v>42</v>
      </c>
      <c r="C43" s="61" t="s">
        <v>331</v>
      </c>
      <c r="D43" s="62">
        <v>105642</v>
      </c>
      <c r="E43" s="62">
        <v>190614261</v>
      </c>
      <c r="F43" s="63">
        <f t="shared" si="4"/>
        <v>2400</v>
      </c>
      <c r="G43" s="63">
        <f t="shared" si="0"/>
        <v>1.2715039318231702</v>
      </c>
      <c r="H43" s="63">
        <f t="shared" si="5"/>
        <v>0.71507743874489971</v>
      </c>
      <c r="I43" s="76">
        <f t="shared" si="6"/>
        <v>105642</v>
      </c>
      <c r="J43" s="76">
        <f t="shared" si="7"/>
        <v>190614261</v>
      </c>
      <c r="K43" s="77">
        <f>J43*'Inflation Rates by Year'!$H$2</f>
        <v>235173975.87708819</v>
      </c>
      <c r="L43" s="78">
        <f t="shared" si="3"/>
        <v>2226.1408897700553</v>
      </c>
    </row>
    <row r="44" spans="1:12" ht="14.5">
      <c r="A44" s="61" t="s">
        <v>594</v>
      </c>
      <c r="B44" s="61">
        <v>43</v>
      </c>
      <c r="C44" s="61" t="s">
        <v>331</v>
      </c>
      <c r="D44" s="62">
        <v>105705</v>
      </c>
      <c r="E44" s="62">
        <v>192343180</v>
      </c>
      <c r="F44" s="63">
        <f t="shared" si="4"/>
        <v>63</v>
      </c>
      <c r="G44" s="63">
        <f t="shared" si="0"/>
        <v>3.3376978210358219E-2</v>
      </c>
      <c r="H44" s="63">
        <f t="shared" si="5"/>
        <v>1.8660778828608053E-2</v>
      </c>
      <c r="I44" s="76">
        <f t="shared" si="6"/>
        <v>105705</v>
      </c>
      <c r="J44" s="76">
        <f t="shared" si="7"/>
        <v>192343180</v>
      </c>
      <c r="K44" s="77">
        <f>J44*'Inflation Rates by Year'!$H$2</f>
        <v>237307062.63075686</v>
      </c>
      <c r="L44" s="78">
        <f t="shared" si="3"/>
        <v>2244.9937337945876</v>
      </c>
    </row>
    <row r="45" spans="1:12" ht="14.5">
      <c r="A45" s="61" t="s">
        <v>595</v>
      </c>
      <c r="B45" s="61">
        <v>44</v>
      </c>
      <c r="C45" s="61" t="s">
        <v>331</v>
      </c>
      <c r="D45" s="62">
        <v>107050</v>
      </c>
      <c r="E45" s="62">
        <v>194600000</v>
      </c>
      <c r="F45" s="63">
        <f t="shared" si="4"/>
        <v>1345</v>
      </c>
      <c r="G45" s="63">
        <f t="shared" si="0"/>
        <v>0.71257199512590164</v>
      </c>
      <c r="H45" s="63">
        <f t="shared" si="5"/>
        <v>0.39707433876963855</v>
      </c>
      <c r="I45" s="76">
        <f t="shared" si="6"/>
        <v>107050</v>
      </c>
      <c r="J45" s="76">
        <f t="shared" si="7"/>
        <v>194600000</v>
      </c>
      <c r="K45" s="77">
        <f>J45*'Inflation Rates by Year'!$H$2</f>
        <v>240091457.30015114</v>
      </c>
      <c r="L45" s="78">
        <f t="shared" si="3"/>
        <v>2242.7973591793661</v>
      </c>
    </row>
    <row r="46" spans="1:12" ht="14.5">
      <c r="A46" s="61" t="s">
        <v>596</v>
      </c>
      <c r="B46" s="61">
        <v>45</v>
      </c>
      <c r="C46" s="61" t="s">
        <v>331</v>
      </c>
      <c r="D46" s="62">
        <v>107375</v>
      </c>
      <c r="E46" s="62">
        <v>195900000</v>
      </c>
      <c r="F46" s="63">
        <f t="shared" si="4"/>
        <v>325</v>
      </c>
      <c r="G46" s="63">
        <f t="shared" si="0"/>
        <v>0.17218282410105429</v>
      </c>
      <c r="H46" s="63">
        <f t="shared" si="5"/>
        <v>9.5572518676947646E-2</v>
      </c>
      <c r="I46" s="76">
        <f t="shared" si="6"/>
        <v>107375</v>
      </c>
      <c r="J46" s="76">
        <f t="shared" si="7"/>
        <v>195900000</v>
      </c>
      <c r="K46" s="77">
        <f>J46*'Inflation Rates by Year'!$H$2</f>
        <v>241695357.06628782</v>
      </c>
      <c r="L46" s="78">
        <f t="shared" si="3"/>
        <v>2250.9462823402823</v>
      </c>
    </row>
    <row r="47" spans="1:12" ht="14.5">
      <c r="A47" s="61" t="s">
        <v>597</v>
      </c>
      <c r="B47" s="61">
        <v>46</v>
      </c>
      <c r="C47" s="61" t="s">
        <v>331</v>
      </c>
      <c r="D47" s="62">
        <v>107479</v>
      </c>
      <c r="E47" s="62">
        <v>197810000</v>
      </c>
      <c r="F47" s="63">
        <f t="shared" si="4"/>
        <v>104</v>
      </c>
      <c r="G47" s="63">
        <f t="shared" si="0"/>
        <v>5.5098503712337377E-2</v>
      </c>
      <c r="H47" s="63">
        <f t="shared" si="5"/>
        <v>3.0552650025258622E-2</v>
      </c>
      <c r="I47" s="76">
        <f t="shared" si="6"/>
        <v>107479</v>
      </c>
      <c r="J47" s="76">
        <f t="shared" si="7"/>
        <v>197810000</v>
      </c>
      <c r="K47" s="77">
        <f>J47*'Inflation Rates by Year'!$H$2</f>
        <v>244051855.95345783</v>
      </c>
      <c r="L47" s="78">
        <f t="shared" si="3"/>
        <v>2270.6934001382392</v>
      </c>
    </row>
    <row r="48" spans="1:12" ht="14.5">
      <c r="A48" s="61" t="s">
        <v>598</v>
      </c>
      <c r="B48" s="61">
        <v>47</v>
      </c>
      <c r="C48" s="61" t="s">
        <v>331</v>
      </c>
      <c r="D48" s="62">
        <v>107579</v>
      </c>
      <c r="E48" s="62">
        <v>200355299</v>
      </c>
      <c r="F48" s="63">
        <f t="shared" si="4"/>
        <v>100</v>
      </c>
      <c r="G48" s="63">
        <f t="shared" si="0"/>
        <v>5.2979330492632093E-2</v>
      </c>
      <c r="H48" s="63">
        <f t="shared" si="5"/>
        <v>2.9363611232411945E-2</v>
      </c>
      <c r="I48" s="76">
        <f t="shared" si="6"/>
        <v>107579</v>
      </c>
      <c r="J48" s="76">
        <f t="shared" si="7"/>
        <v>200355299</v>
      </c>
      <c r="K48" s="77">
        <f>J48*'Inflation Rates by Year'!$H$2</f>
        <v>247192167.08487931</v>
      </c>
      <c r="L48" s="78">
        <f t="shared" si="3"/>
        <v>2297.7734231111954</v>
      </c>
    </row>
    <row r="49" spans="1:12" ht="14.5">
      <c r="A49" s="61" t="s">
        <v>599</v>
      </c>
      <c r="B49" s="61">
        <v>48</v>
      </c>
      <c r="C49" s="61" t="s">
        <v>331</v>
      </c>
      <c r="D49" s="62">
        <v>108281</v>
      </c>
      <c r="E49" s="62">
        <v>202250000</v>
      </c>
      <c r="F49" s="63">
        <f t="shared" si="4"/>
        <v>702</v>
      </c>
      <c r="G49" s="63">
        <f t="shared" si="0"/>
        <v>0.37191490005827732</v>
      </c>
      <c r="H49" s="63">
        <f t="shared" si="5"/>
        <v>0.20574953149586553</v>
      </c>
      <c r="I49" s="76">
        <f t="shared" si="6"/>
        <v>108281</v>
      </c>
      <c r="J49" s="76">
        <f t="shared" si="7"/>
        <v>202250000</v>
      </c>
      <c r="K49" s="77">
        <f>J49*'Inflation Rates by Year'!$H$2</f>
        <v>249529790.53934002</v>
      </c>
      <c r="L49" s="78">
        <f t="shared" si="3"/>
        <v>2304.4651466031901</v>
      </c>
    </row>
    <row r="50" spans="1:12" ht="14.5">
      <c r="A50" s="61" t="s">
        <v>600</v>
      </c>
      <c r="B50" s="61">
        <v>49</v>
      </c>
      <c r="C50" s="61" t="s">
        <v>331</v>
      </c>
      <c r="D50" s="62">
        <v>109603</v>
      </c>
      <c r="E50" s="62">
        <v>205100000</v>
      </c>
      <c r="F50" s="63">
        <f t="shared" si="4"/>
        <v>1322</v>
      </c>
      <c r="G50" s="63">
        <f t="shared" si="0"/>
        <v>0.70038674911259624</v>
      </c>
      <c r="H50" s="63">
        <f t="shared" si="5"/>
        <v>0.38566305657137345</v>
      </c>
      <c r="I50" s="76">
        <f t="shared" si="6"/>
        <v>109603</v>
      </c>
      <c r="J50" s="76">
        <f t="shared" si="7"/>
        <v>205100000</v>
      </c>
      <c r="K50" s="77">
        <f>J50*'Inflation Rates by Year'!$H$2</f>
        <v>253046032.33433196</v>
      </c>
      <c r="L50" s="78">
        <f t="shared" si="3"/>
        <v>2308.7509678962433</v>
      </c>
    </row>
    <row r="51" spans="1:12" ht="14.5">
      <c r="A51" s="61" t="s">
        <v>601</v>
      </c>
      <c r="B51" s="61">
        <v>50</v>
      </c>
      <c r="C51" s="61" t="s">
        <v>331</v>
      </c>
      <c r="D51" s="62">
        <v>113579</v>
      </c>
      <c r="E51" s="62">
        <v>206705000</v>
      </c>
      <c r="F51" s="63">
        <f t="shared" si="4"/>
        <v>3976</v>
      </c>
      <c r="G51" s="63">
        <f t="shared" si="0"/>
        <v>2.1064581803870519</v>
      </c>
      <c r="H51" s="63">
        <f t="shared" si="5"/>
        <v>1.1460967463658485</v>
      </c>
      <c r="I51" s="76">
        <f t="shared" si="6"/>
        <v>113579</v>
      </c>
      <c r="J51" s="76">
        <f t="shared" si="7"/>
        <v>206705000</v>
      </c>
      <c r="K51" s="77">
        <f>J51*'Inflation Rates by Year'!$H$2</f>
        <v>255026231.66098532</v>
      </c>
      <c r="L51" s="78">
        <f t="shared" si="3"/>
        <v>2245.3642985145611</v>
      </c>
    </row>
    <row r="52" spans="1:12" ht="14.5">
      <c r="A52" s="61" t="s">
        <v>602</v>
      </c>
      <c r="B52" s="61">
        <v>51</v>
      </c>
      <c r="C52" s="61" t="s">
        <v>331</v>
      </c>
      <c r="D52" s="62">
        <v>119456</v>
      </c>
      <c r="E52" s="62">
        <v>208406000</v>
      </c>
      <c r="F52" s="63">
        <f t="shared" si="4"/>
        <v>5877</v>
      </c>
      <c r="G52" s="63">
        <f t="shared" si="0"/>
        <v>3.1135952530519879</v>
      </c>
      <c r="H52" s="63">
        <f t="shared" si="5"/>
        <v>1.6579327276462914</v>
      </c>
      <c r="I52" s="76">
        <f t="shared" si="6"/>
        <v>119456</v>
      </c>
      <c r="J52" s="76">
        <f t="shared" si="7"/>
        <v>208406000</v>
      </c>
      <c r="K52" s="77">
        <f>J52*'Inflation Rates by Year'!$H$2</f>
        <v>257124872.8165226</v>
      </c>
      <c r="L52" s="78">
        <f t="shared" si="3"/>
        <v>2152.4651153271716</v>
      </c>
    </row>
    <row r="53" spans="1:12" ht="14.5">
      <c r="A53" s="61" t="s">
        <v>603</v>
      </c>
      <c r="B53" s="61">
        <v>52</v>
      </c>
      <c r="C53" s="61" t="s">
        <v>331</v>
      </c>
      <c r="D53" s="62">
        <v>123241</v>
      </c>
      <c r="E53" s="62">
        <v>210449500</v>
      </c>
      <c r="F53" s="63">
        <f t="shared" si="4"/>
        <v>3785</v>
      </c>
      <c r="G53" s="63">
        <f t="shared" si="0"/>
        <v>2.0052676591461247</v>
      </c>
      <c r="H53" s="63">
        <f t="shared" si="5"/>
        <v>1.0462467931238675</v>
      </c>
      <c r="I53" s="76">
        <f t="shared" si="6"/>
        <v>123241</v>
      </c>
      <c r="J53" s="76">
        <f t="shared" si="7"/>
        <v>210449500</v>
      </c>
      <c r="K53" s="77">
        <f>J53*'Inflation Rates by Year'!$H$2</f>
        <v>259646079.87198436</v>
      </c>
      <c r="L53" s="78">
        <f t="shared" si="3"/>
        <v>2106.8157502128706</v>
      </c>
    </row>
    <row r="54" spans="1:12" ht="14.5">
      <c r="A54" s="61" t="s">
        <v>604</v>
      </c>
      <c r="B54" s="61">
        <v>53</v>
      </c>
      <c r="C54" s="61" t="s">
        <v>331</v>
      </c>
      <c r="D54" s="62">
        <v>125344</v>
      </c>
      <c r="E54" s="62">
        <v>215455100</v>
      </c>
      <c r="F54" s="63">
        <f t="shared" si="4"/>
        <v>2103</v>
      </c>
      <c r="G54" s="63">
        <f t="shared" si="0"/>
        <v>1.1141553202600529</v>
      </c>
      <c r="H54" s="63">
        <f t="shared" si="5"/>
        <v>0.57437159425030682</v>
      </c>
      <c r="I54" s="76">
        <f t="shared" si="6"/>
        <v>125344</v>
      </c>
      <c r="J54" s="76">
        <f t="shared" si="7"/>
        <v>215455100</v>
      </c>
      <c r="K54" s="77">
        <f>J54*'Inflation Rates by Year'!$H$2</f>
        <v>265821834.23304108</v>
      </c>
      <c r="L54" s="78">
        <f t="shared" si="3"/>
        <v>2120.738401782623</v>
      </c>
    </row>
    <row r="55" spans="1:12" ht="14.5">
      <c r="A55" s="61" t="s">
        <v>605</v>
      </c>
      <c r="B55" s="61">
        <v>54</v>
      </c>
      <c r="C55" s="61" t="s">
        <v>331</v>
      </c>
      <c r="D55" s="62">
        <v>125494</v>
      </c>
      <c r="E55" s="62">
        <v>219225000</v>
      </c>
      <c r="F55" s="63">
        <f t="shared" si="4"/>
        <v>150</v>
      </c>
      <c r="G55" s="63">
        <f t="shared" si="0"/>
        <v>7.9468995738948139E-2</v>
      </c>
      <c r="H55" s="63">
        <f t="shared" si="5"/>
        <v>4.0783253500041819E-2</v>
      </c>
      <c r="I55" s="76">
        <f t="shared" si="6"/>
        <v>125494</v>
      </c>
      <c r="J55" s="76">
        <f t="shared" si="7"/>
        <v>219225000</v>
      </c>
      <c r="K55" s="77">
        <f>J55*'Inflation Rates by Year'!$H$2</f>
        <v>270473020.17793232</v>
      </c>
      <c r="L55" s="78">
        <f t="shared" si="3"/>
        <v>2155.266548025661</v>
      </c>
    </row>
    <row r="56" spans="1:12" ht="14.5">
      <c r="A56" s="61" t="s">
        <v>606</v>
      </c>
      <c r="B56" s="61">
        <v>55</v>
      </c>
      <c r="C56" s="61" t="s">
        <v>331</v>
      </c>
      <c r="D56" s="62">
        <v>126569</v>
      </c>
      <c r="E56" s="62">
        <v>221852003</v>
      </c>
      <c r="F56" s="63">
        <f t="shared" si="4"/>
        <v>1075</v>
      </c>
      <c r="G56" s="63">
        <f t="shared" si="0"/>
        <v>0.56952780279579496</v>
      </c>
      <c r="H56" s="63">
        <f t="shared" si="5"/>
        <v>0.29156954310251443</v>
      </c>
      <c r="I56" s="76">
        <f t="shared" si="6"/>
        <v>126569</v>
      </c>
      <c r="J56" s="76">
        <f t="shared" si="7"/>
        <v>221852003</v>
      </c>
      <c r="K56" s="77">
        <f>J56*'Inflation Rates by Year'!$H$2</f>
        <v>273714135.17588645</v>
      </c>
      <c r="L56" s="78">
        <f t="shared" si="3"/>
        <v>2162.56852132739</v>
      </c>
    </row>
    <row r="57" spans="1:12" ht="14.5">
      <c r="A57" s="61" t="s">
        <v>607</v>
      </c>
      <c r="B57" s="61">
        <v>56</v>
      </c>
      <c r="C57" s="61" t="s">
        <v>331</v>
      </c>
      <c r="D57" s="62">
        <v>126693</v>
      </c>
      <c r="E57" s="62">
        <v>224550300</v>
      </c>
      <c r="F57" s="63">
        <f t="shared" si="4"/>
        <v>124</v>
      </c>
      <c r="G57" s="63">
        <f t="shared" si="0"/>
        <v>6.5694369810863795E-2</v>
      </c>
      <c r="H57" s="63">
        <f t="shared" si="5"/>
        <v>3.3552426768866564E-2</v>
      </c>
      <c r="I57" s="76">
        <f t="shared" si="6"/>
        <v>126693</v>
      </c>
      <c r="J57" s="76">
        <f t="shared" si="7"/>
        <v>224550300</v>
      </c>
      <c r="K57" s="77">
        <f>J57*'Inflation Rates by Year'!$H$2</f>
        <v>277043210.50455362</v>
      </c>
      <c r="L57" s="78">
        <f t="shared" si="3"/>
        <v>2186.7286314520425</v>
      </c>
    </row>
    <row r="58" spans="1:12" ht="14.5">
      <c r="A58" s="61" t="s">
        <v>608</v>
      </c>
      <c r="B58" s="61">
        <v>57</v>
      </c>
      <c r="C58" s="61" t="s">
        <v>331</v>
      </c>
      <c r="D58" s="62">
        <v>126916</v>
      </c>
      <c r="E58" s="62">
        <v>227426000</v>
      </c>
      <c r="F58" s="63">
        <f t="shared" si="4"/>
        <v>223</v>
      </c>
      <c r="G58" s="63">
        <f t="shared" si="0"/>
        <v>0.11814390699856957</v>
      </c>
      <c r="H58" s="63">
        <f t="shared" si="5"/>
        <v>6.0298961044131252E-2</v>
      </c>
      <c r="I58" s="76">
        <f t="shared" si="6"/>
        <v>126916</v>
      </c>
      <c r="J58" s="76">
        <f t="shared" si="7"/>
        <v>227426000</v>
      </c>
      <c r="K58" s="77">
        <f>J58*'Inflation Rates by Year'!$H$2</f>
        <v>280591160.16415298</v>
      </c>
      <c r="L58" s="78">
        <f t="shared" si="3"/>
        <v>2210.8415027589349</v>
      </c>
    </row>
    <row r="59" spans="1:12" ht="14.5">
      <c r="A59" s="61" t="s">
        <v>609</v>
      </c>
      <c r="B59" s="61">
        <v>58</v>
      </c>
      <c r="C59" s="61" t="s">
        <v>331</v>
      </c>
      <c r="D59" s="62">
        <v>128380</v>
      </c>
      <c r="E59" s="62">
        <v>229913500</v>
      </c>
      <c r="F59" s="63">
        <f t="shared" si="4"/>
        <v>1464</v>
      </c>
      <c r="G59" s="63">
        <f t="shared" si="0"/>
        <v>0.77561739841213384</v>
      </c>
      <c r="H59" s="63">
        <f t="shared" si="5"/>
        <v>0.39455550921682508</v>
      </c>
      <c r="I59" s="76">
        <f t="shared" si="6"/>
        <v>128380</v>
      </c>
      <c r="J59" s="76">
        <f t="shared" si="7"/>
        <v>229913500</v>
      </c>
      <c r="K59" s="77">
        <f>J59*'Inflation Rates by Year'!$H$2</f>
        <v>283660160.67820299</v>
      </c>
      <c r="L59" s="78">
        <f t="shared" si="3"/>
        <v>2209.5354469403565</v>
      </c>
    </row>
    <row r="60" spans="1:12" ht="14.5">
      <c r="A60" s="61" t="s">
        <v>610</v>
      </c>
      <c r="B60" s="61">
        <v>59</v>
      </c>
      <c r="C60" s="61" t="s">
        <v>331</v>
      </c>
      <c r="D60" s="62">
        <v>128496</v>
      </c>
      <c r="E60" s="62">
        <v>232508900</v>
      </c>
      <c r="F60" s="63">
        <f t="shared" si="4"/>
        <v>116</v>
      </c>
      <c r="G60" s="63">
        <f t="shared" si="0"/>
        <v>6.1456023371453228E-2</v>
      </c>
      <c r="H60" s="63">
        <f t="shared" si="5"/>
        <v>3.1166173957288386E-2</v>
      </c>
      <c r="I60" s="76">
        <f t="shared" si="6"/>
        <v>128496</v>
      </c>
      <c r="J60" s="76">
        <f t="shared" si="7"/>
        <v>232508900</v>
      </c>
      <c r="K60" s="77">
        <f>J60*'Inflation Rates by Year'!$H$2</f>
        <v>286862284.87284231</v>
      </c>
      <c r="L60" s="78">
        <f t="shared" si="3"/>
        <v>2232.4608149112992</v>
      </c>
    </row>
    <row r="61" spans="1:12" ht="14.5">
      <c r="A61" s="61" t="s">
        <v>611</v>
      </c>
      <c r="B61" s="61">
        <v>60</v>
      </c>
      <c r="C61" s="61" t="s">
        <v>331</v>
      </c>
      <c r="D61" s="62">
        <v>129395</v>
      </c>
      <c r="E61" s="62">
        <v>234900000</v>
      </c>
      <c r="F61" s="63">
        <f t="shared" si="4"/>
        <v>899</v>
      </c>
      <c r="G61" s="63">
        <f t="shared" si="0"/>
        <v>0.47628418112876253</v>
      </c>
      <c r="H61" s="63">
        <f t="shared" si="5"/>
        <v>0.24106242072247885</v>
      </c>
      <c r="I61" s="76">
        <f t="shared" si="6"/>
        <v>129395</v>
      </c>
      <c r="J61" s="76">
        <f t="shared" si="7"/>
        <v>234900000</v>
      </c>
      <c r="K61" s="77">
        <f>J61*'Inflation Rates by Year'!$H$2</f>
        <v>289812350.05038798</v>
      </c>
      <c r="L61" s="78">
        <f t="shared" si="3"/>
        <v>2239.7492179016808</v>
      </c>
    </row>
    <row r="62" spans="1:12" ht="14.5">
      <c r="A62" s="61" t="s">
        <v>612</v>
      </c>
      <c r="B62" s="61">
        <v>61</v>
      </c>
      <c r="C62" s="61" t="s">
        <v>331</v>
      </c>
      <c r="D62" s="62">
        <v>129395</v>
      </c>
      <c r="E62" s="62">
        <v>236500000</v>
      </c>
      <c r="F62" s="63">
        <f t="shared" si="4"/>
        <v>0</v>
      </c>
      <c r="G62" s="63">
        <f t="shared" si="0"/>
        <v>0</v>
      </c>
      <c r="H62" s="63">
        <f t="shared" si="5"/>
        <v>0</v>
      </c>
      <c r="I62" s="76">
        <f t="shared" si="6"/>
        <v>129395</v>
      </c>
      <c r="J62" s="76">
        <f t="shared" si="7"/>
        <v>236500000</v>
      </c>
      <c r="K62" s="77">
        <f>J62*'Inflation Rates by Year'!$H$2</f>
        <v>291786380.53178698</v>
      </c>
      <c r="L62" s="78">
        <f t="shared" si="3"/>
        <v>2255.0050661291934</v>
      </c>
    </row>
    <row r="63" spans="1:12" ht="14.5">
      <c r="A63" s="61" t="s">
        <v>613</v>
      </c>
      <c r="B63" s="61">
        <v>62</v>
      </c>
      <c r="C63" s="61" t="s">
        <v>331</v>
      </c>
      <c r="D63" s="62">
        <v>132069</v>
      </c>
      <c r="E63" s="62">
        <v>238900000</v>
      </c>
      <c r="F63" s="63">
        <f t="shared" si="4"/>
        <v>2674</v>
      </c>
      <c r="G63" s="63">
        <f t="shared" si="0"/>
        <v>1.4166672973729821</v>
      </c>
      <c r="H63" s="63">
        <f t="shared" si="5"/>
        <v>0.71211213356240377</v>
      </c>
      <c r="I63" s="76">
        <f t="shared" si="6"/>
        <v>132069</v>
      </c>
      <c r="J63" s="76">
        <f t="shared" si="7"/>
        <v>238900000</v>
      </c>
      <c r="K63" s="77">
        <f>J63*'Inflation Rates by Year'!$H$2</f>
        <v>294747426.25388545</v>
      </c>
      <c r="L63" s="78">
        <f t="shared" si="3"/>
        <v>2231.7684411473201</v>
      </c>
    </row>
    <row r="64" spans="1:12" ht="14.5">
      <c r="A64" s="61" t="s">
        <v>614</v>
      </c>
      <c r="B64" s="61">
        <v>63</v>
      </c>
      <c r="C64" s="61" t="s">
        <v>331</v>
      </c>
      <c r="D64" s="62">
        <v>132082</v>
      </c>
      <c r="E64" s="62">
        <v>240400000</v>
      </c>
      <c r="F64" s="63">
        <f t="shared" si="4"/>
        <v>13</v>
      </c>
      <c r="G64" s="63">
        <f t="shared" si="0"/>
        <v>6.8873129640421721E-3</v>
      </c>
      <c r="H64" s="63">
        <f t="shared" si="5"/>
        <v>3.4443278075133128E-3</v>
      </c>
      <c r="I64" s="76">
        <f t="shared" si="6"/>
        <v>132082</v>
      </c>
      <c r="J64" s="76">
        <f t="shared" si="7"/>
        <v>240400000</v>
      </c>
      <c r="K64" s="77">
        <f>J64*'Inflation Rates by Year'!$H$2</f>
        <v>296598079.83019698</v>
      </c>
      <c r="L64" s="78">
        <f t="shared" si="3"/>
        <v>2245.5601810254007</v>
      </c>
    </row>
    <row r="65" spans="1:26" ht="14.5">
      <c r="A65" s="61" t="s">
        <v>615</v>
      </c>
      <c r="B65" s="61">
        <v>64</v>
      </c>
      <c r="C65" s="61" t="s">
        <v>331</v>
      </c>
      <c r="D65" s="62">
        <v>132092</v>
      </c>
      <c r="E65" s="62">
        <v>244500000</v>
      </c>
      <c r="F65" s="63">
        <f t="shared" si="4"/>
        <v>10</v>
      </c>
      <c r="G65" s="63">
        <f t="shared" si="0"/>
        <v>5.2979330492632093E-3</v>
      </c>
      <c r="H65" s="63">
        <f t="shared" si="5"/>
        <v>2.6493675889414426E-3</v>
      </c>
      <c r="I65" s="76">
        <f t="shared" si="6"/>
        <v>132092</v>
      </c>
      <c r="J65" s="76">
        <f t="shared" si="7"/>
        <v>244500000</v>
      </c>
      <c r="K65" s="77">
        <f>J65*'Inflation Rates by Year'!$H$2</f>
        <v>301656532.93878186</v>
      </c>
      <c r="L65" s="78">
        <f t="shared" si="3"/>
        <v>2283.685105371876</v>
      </c>
    </row>
    <row r="66" spans="1:26" ht="14.5">
      <c r="A66" s="61" t="s">
        <v>616</v>
      </c>
      <c r="B66" s="61">
        <v>65</v>
      </c>
      <c r="C66" s="61" t="s">
        <v>331</v>
      </c>
      <c r="D66" s="62">
        <v>132092</v>
      </c>
      <c r="E66" s="62">
        <v>245000000</v>
      </c>
      <c r="F66" s="63">
        <f t="shared" si="4"/>
        <v>0</v>
      </c>
      <c r="G66" s="63">
        <f t="shared" si="0"/>
        <v>0</v>
      </c>
      <c r="H66" s="63">
        <f t="shared" si="5"/>
        <v>0</v>
      </c>
      <c r="I66" s="76">
        <f t="shared" ref="I66:I86" si="8">D66</f>
        <v>132092</v>
      </c>
      <c r="J66" s="76">
        <f t="shared" ref="J66:J86" si="9">E66</f>
        <v>245000000</v>
      </c>
      <c r="K66" s="77">
        <f>J66*'Inflation Rates by Year'!$H$2</f>
        <v>302273417.46421903</v>
      </c>
      <c r="L66" s="78">
        <f t="shared" si="3"/>
        <v>2288.355218061798</v>
      </c>
    </row>
    <row r="67" spans="1:26" ht="14.5">
      <c r="A67" s="61" t="s">
        <v>617</v>
      </c>
      <c r="B67" s="61">
        <v>66</v>
      </c>
      <c r="C67" s="61" t="s">
        <v>331</v>
      </c>
      <c r="D67" s="62">
        <v>132092</v>
      </c>
      <c r="E67" s="62">
        <v>247900000</v>
      </c>
      <c r="F67" s="63">
        <f t="shared" si="4"/>
        <v>0</v>
      </c>
      <c r="G67" s="63">
        <f t="shared" si="0"/>
        <v>0</v>
      </c>
      <c r="H67" s="63">
        <f t="shared" si="5"/>
        <v>0</v>
      </c>
      <c r="I67" s="76">
        <f t="shared" si="8"/>
        <v>132092</v>
      </c>
      <c r="J67" s="76">
        <f t="shared" si="9"/>
        <v>247900000</v>
      </c>
      <c r="K67" s="77">
        <f>J67*'Inflation Rates by Year'!$H$2</f>
        <v>305851347.71175474</v>
      </c>
      <c r="L67" s="78">
        <f t="shared" si="3"/>
        <v>2315.4418716633463</v>
      </c>
    </row>
    <row r="68" spans="1:26" ht="14.5">
      <c r="A68" s="61" t="s">
        <v>618</v>
      </c>
      <c r="B68" s="61">
        <v>67</v>
      </c>
      <c r="C68" s="61" t="s">
        <v>331</v>
      </c>
      <c r="D68" s="62">
        <v>132095</v>
      </c>
      <c r="E68" s="62">
        <v>249900000</v>
      </c>
      <c r="F68" s="63">
        <f t="shared" si="4"/>
        <v>3</v>
      </c>
      <c r="G68" s="63">
        <f t="shared" si="0"/>
        <v>1.5893799147789628E-3</v>
      </c>
      <c r="H68" s="63">
        <f t="shared" si="5"/>
        <v>7.9479072098062435E-4</v>
      </c>
      <c r="I68" s="76">
        <f t="shared" si="8"/>
        <v>132095</v>
      </c>
      <c r="J68" s="76">
        <f t="shared" si="9"/>
        <v>249900000</v>
      </c>
      <c r="K68" s="77">
        <f>J68*'Inflation Rates by Year'!$H$2</f>
        <v>308318885.81350344</v>
      </c>
      <c r="L68" s="78">
        <f t="shared" si="3"/>
        <v>2334.06931233963</v>
      </c>
    </row>
    <row r="69" spans="1:26" ht="14.5">
      <c r="A69" s="61" t="s">
        <v>619</v>
      </c>
      <c r="B69" s="61">
        <v>68</v>
      </c>
      <c r="C69" s="61" t="s">
        <v>331</v>
      </c>
      <c r="D69" s="62">
        <v>132100</v>
      </c>
      <c r="E69" s="62">
        <v>250000000</v>
      </c>
      <c r="F69" s="63">
        <f t="shared" si="4"/>
        <v>5</v>
      </c>
      <c r="G69" s="63">
        <f t="shared" si="0"/>
        <v>2.6489665246316046E-3</v>
      </c>
      <c r="H69" s="63">
        <f t="shared" si="5"/>
        <v>1.3246311458524399E-3</v>
      </c>
      <c r="I69" s="76">
        <f t="shared" si="8"/>
        <v>132100</v>
      </c>
      <c r="J69" s="76">
        <f t="shared" si="9"/>
        <v>250000000</v>
      </c>
      <c r="K69" s="77">
        <f>J69*'Inflation Rates by Year'!$H$2</f>
        <v>308442262.71859086</v>
      </c>
      <c r="L69" s="78">
        <f t="shared" si="3"/>
        <v>2334.9149335245334</v>
      </c>
    </row>
    <row r="70" spans="1:26" ht="14.5">
      <c r="A70" s="61" t="s">
        <v>620</v>
      </c>
      <c r="B70" s="61">
        <v>69</v>
      </c>
      <c r="C70" s="61" t="s">
        <v>331</v>
      </c>
      <c r="D70" s="62">
        <v>132100</v>
      </c>
      <c r="E70" s="62">
        <v>252500000</v>
      </c>
      <c r="F70" s="63">
        <f t="shared" si="4"/>
        <v>0</v>
      </c>
      <c r="G70" s="63">
        <f t="shared" si="0"/>
        <v>0</v>
      </c>
      <c r="H70" s="63">
        <f t="shared" si="5"/>
        <v>0</v>
      </c>
      <c r="I70" s="76">
        <f t="shared" si="8"/>
        <v>132100</v>
      </c>
      <c r="J70" s="76">
        <f t="shared" si="9"/>
        <v>252500000</v>
      </c>
      <c r="K70" s="77">
        <f>J70*'Inflation Rates by Year'!$H$2</f>
        <v>311526685.3457768</v>
      </c>
      <c r="L70" s="78">
        <f t="shared" si="3"/>
        <v>2358.2640828597791</v>
      </c>
    </row>
    <row r="71" spans="1:26" ht="14.5">
      <c r="A71" s="83" t="s">
        <v>621</v>
      </c>
      <c r="B71" s="61">
        <v>70</v>
      </c>
      <c r="C71" s="83" t="s">
        <v>331</v>
      </c>
      <c r="D71" s="72">
        <v>132127</v>
      </c>
      <c r="E71" s="72">
        <v>256000000</v>
      </c>
      <c r="F71" s="71">
        <f t="shared" si="4"/>
        <v>27</v>
      </c>
      <c r="G71" s="63">
        <f t="shared" si="0"/>
        <v>1.4304419233010665E-2</v>
      </c>
      <c r="H71" s="63">
        <f t="shared" si="5"/>
        <v>7.1525750402819908E-3</v>
      </c>
      <c r="I71" s="72">
        <f t="shared" si="8"/>
        <v>132127</v>
      </c>
      <c r="J71" s="72">
        <f t="shared" si="9"/>
        <v>256000000</v>
      </c>
      <c r="K71" s="77">
        <f>J71*'Inflation Rates by Year'!$H$2</f>
        <v>315844877.02383703</v>
      </c>
      <c r="L71" s="73">
        <f t="shared" si="3"/>
        <v>2390.4643034643718</v>
      </c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4.5">
      <c r="A72" s="61" t="s">
        <v>622</v>
      </c>
      <c r="B72" s="61">
        <v>71</v>
      </c>
      <c r="C72" s="61" t="s">
        <v>331</v>
      </c>
      <c r="D72" s="62">
        <v>132127</v>
      </c>
      <c r="E72" s="62">
        <v>256400000</v>
      </c>
      <c r="F72" s="63">
        <f t="shared" si="4"/>
        <v>0</v>
      </c>
      <c r="G72" s="63">
        <f t="shared" si="0"/>
        <v>0</v>
      </c>
      <c r="H72" s="63">
        <f t="shared" si="5"/>
        <v>0</v>
      </c>
      <c r="I72" s="76">
        <f t="shared" si="8"/>
        <v>132127</v>
      </c>
      <c r="J72" s="76">
        <f t="shared" si="9"/>
        <v>256400000</v>
      </c>
      <c r="K72" s="77">
        <f>J72*'Inflation Rates by Year'!$H$2</f>
        <v>316338384.64418679</v>
      </c>
      <c r="L72" s="78">
        <f t="shared" si="3"/>
        <v>2394.1994039385349</v>
      </c>
    </row>
    <row r="73" spans="1:26" ht="14.5">
      <c r="A73" s="61" t="s">
        <v>623</v>
      </c>
      <c r="B73" s="61">
        <v>72</v>
      </c>
      <c r="C73" s="61" t="s">
        <v>331</v>
      </c>
      <c r="D73" s="62">
        <v>132127</v>
      </c>
      <c r="E73" s="62">
        <v>257400000</v>
      </c>
      <c r="F73" s="63">
        <f t="shared" si="4"/>
        <v>0</v>
      </c>
      <c r="G73" s="63">
        <f t="shared" si="0"/>
        <v>0</v>
      </c>
      <c r="H73" s="63">
        <f t="shared" si="5"/>
        <v>0</v>
      </c>
      <c r="I73" s="76">
        <f t="shared" si="8"/>
        <v>132127</v>
      </c>
      <c r="J73" s="76">
        <f t="shared" si="9"/>
        <v>257400000</v>
      </c>
      <c r="K73" s="77">
        <f>J73*'Inflation Rates by Year'!$H$2</f>
        <v>317572153.69506115</v>
      </c>
      <c r="L73" s="78">
        <f t="shared" si="3"/>
        <v>2403.5371551239423</v>
      </c>
    </row>
    <row r="74" spans="1:26" ht="14.5">
      <c r="A74" s="61" t="s">
        <v>624</v>
      </c>
      <c r="B74" s="61">
        <v>73</v>
      </c>
      <c r="C74" s="61" t="s">
        <v>331</v>
      </c>
      <c r="D74" s="62">
        <v>132127</v>
      </c>
      <c r="E74" s="62">
        <v>259200000</v>
      </c>
      <c r="F74" s="63">
        <f t="shared" si="4"/>
        <v>0</v>
      </c>
      <c r="G74" s="63">
        <f t="shared" si="0"/>
        <v>0</v>
      </c>
      <c r="H74" s="63">
        <f t="shared" si="5"/>
        <v>0</v>
      </c>
      <c r="I74" s="76">
        <f t="shared" si="8"/>
        <v>132127</v>
      </c>
      <c r="J74" s="76">
        <f t="shared" si="9"/>
        <v>259200000</v>
      </c>
      <c r="K74" s="77">
        <f>J74*'Inflation Rates by Year'!$H$2</f>
        <v>319792937.98663503</v>
      </c>
      <c r="L74" s="78">
        <f t="shared" si="3"/>
        <v>2420.3451072576768</v>
      </c>
    </row>
    <row r="75" spans="1:26" ht="14.5">
      <c r="A75" s="61" t="s">
        <v>625</v>
      </c>
      <c r="B75" s="61">
        <v>74</v>
      </c>
      <c r="C75" s="61" t="s">
        <v>331</v>
      </c>
      <c r="D75" s="62">
        <v>132127</v>
      </c>
      <c r="E75" s="62">
        <v>260000000</v>
      </c>
      <c r="F75" s="63">
        <f t="shared" si="4"/>
        <v>0</v>
      </c>
      <c r="G75" s="63">
        <f t="shared" si="0"/>
        <v>0</v>
      </c>
      <c r="H75" s="63">
        <f t="shared" si="5"/>
        <v>0</v>
      </c>
      <c r="I75" s="76">
        <f t="shared" si="8"/>
        <v>132127</v>
      </c>
      <c r="J75" s="76">
        <f t="shared" si="9"/>
        <v>260000000</v>
      </c>
      <c r="K75" s="77">
        <f>J75*'Inflation Rates by Year'!$H$2</f>
        <v>320779953.2273345</v>
      </c>
      <c r="L75" s="78">
        <f t="shared" si="3"/>
        <v>2427.8153082060026</v>
      </c>
    </row>
    <row r="76" spans="1:26" ht="14.5">
      <c r="A76" s="61" t="s">
        <v>626</v>
      </c>
      <c r="B76" s="61">
        <v>75</v>
      </c>
      <c r="C76" s="61" t="s">
        <v>331</v>
      </c>
      <c r="D76" s="62">
        <v>132127</v>
      </c>
      <c r="E76" s="62">
        <v>260800000</v>
      </c>
      <c r="F76" s="63">
        <f t="shared" si="4"/>
        <v>0</v>
      </c>
      <c r="G76" s="63">
        <f t="shared" si="0"/>
        <v>0</v>
      </c>
      <c r="H76" s="63">
        <f t="shared" si="5"/>
        <v>0</v>
      </c>
      <c r="I76" s="76">
        <f t="shared" si="8"/>
        <v>132127</v>
      </c>
      <c r="J76" s="76">
        <f t="shared" si="9"/>
        <v>260800000</v>
      </c>
      <c r="K76" s="77">
        <f>J76*'Inflation Rates by Year'!$H$2</f>
        <v>321766968.46803403</v>
      </c>
      <c r="L76" s="78">
        <f t="shared" si="3"/>
        <v>2435.2855091543288</v>
      </c>
    </row>
    <row r="77" spans="1:26" ht="14.5">
      <c r="A77" s="61" t="s">
        <v>627</v>
      </c>
      <c r="B77" s="61">
        <v>76</v>
      </c>
      <c r="C77" s="61" t="s">
        <v>331</v>
      </c>
      <c r="D77" s="62">
        <v>132127</v>
      </c>
      <c r="E77" s="62">
        <v>260600000</v>
      </c>
      <c r="F77" s="63">
        <f t="shared" si="4"/>
        <v>0</v>
      </c>
      <c r="G77" s="63">
        <f t="shared" si="0"/>
        <v>0</v>
      </c>
      <c r="H77" s="63">
        <f t="shared" si="5"/>
        <v>0</v>
      </c>
      <c r="I77" s="76">
        <f t="shared" si="8"/>
        <v>132127</v>
      </c>
      <c r="J77" s="76">
        <f t="shared" si="9"/>
        <v>260600000</v>
      </c>
      <c r="K77" s="77">
        <f>J77*'Inflation Rates by Year'!$H$2</f>
        <v>321520214.65785915</v>
      </c>
      <c r="L77" s="78">
        <f t="shared" si="3"/>
        <v>2433.4179589172472</v>
      </c>
    </row>
    <row r="78" spans="1:26" ht="14.5">
      <c r="A78" s="61" t="s">
        <v>628</v>
      </c>
      <c r="B78" s="61">
        <v>77</v>
      </c>
      <c r="C78" s="61" t="s">
        <v>331</v>
      </c>
      <c r="D78" s="62">
        <v>132127</v>
      </c>
      <c r="E78" s="62">
        <v>260700000</v>
      </c>
      <c r="F78" s="63">
        <f t="shared" si="4"/>
        <v>0</v>
      </c>
      <c r="G78" s="63">
        <f t="shared" si="0"/>
        <v>0</v>
      </c>
      <c r="H78" s="63">
        <f t="shared" si="5"/>
        <v>0</v>
      </c>
      <c r="I78" s="76">
        <f t="shared" si="8"/>
        <v>132127</v>
      </c>
      <c r="J78" s="76">
        <f t="shared" si="9"/>
        <v>260700000</v>
      </c>
      <c r="K78" s="77">
        <f>J78*'Inflation Rates by Year'!$H$2</f>
        <v>321643591.56294656</v>
      </c>
      <c r="L78" s="78">
        <f t="shared" si="3"/>
        <v>2434.351734035788</v>
      </c>
    </row>
    <row r="79" spans="1:26" ht="14.5">
      <c r="A79" s="61" t="s">
        <v>629</v>
      </c>
      <c r="B79" s="61">
        <v>78</v>
      </c>
      <c r="C79" s="61" t="s">
        <v>331</v>
      </c>
      <c r="D79" s="62">
        <v>132127</v>
      </c>
      <c r="E79" s="62">
        <v>260800000</v>
      </c>
      <c r="F79" s="63">
        <f t="shared" si="4"/>
        <v>0</v>
      </c>
      <c r="G79" s="63">
        <f t="shared" si="0"/>
        <v>0</v>
      </c>
      <c r="H79" s="63">
        <f t="shared" si="5"/>
        <v>0</v>
      </c>
      <c r="I79" s="76">
        <f t="shared" si="8"/>
        <v>132127</v>
      </c>
      <c r="J79" s="76">
        <f t="shared" si="9"/>
        <v>260800000</v>
      </c>
      <c r="K79" s="77">
        <f>J79*'Inflation Rates by Year'!$H$2</f>
        <v>321766968.46803403</v>
      </c>
      <c r="L79" s="78">
        <f t="shared" si="3"/>
        <v>2435.2855091543288</v>
      </c>
    </row>
    <row r="80" spans="1:26" ht="14.5">
      <c r="A80" s="61" t="s">
        <v>630</v>
      </c>
      <c r="B80" s="61">
        <v>79</v>
      </c>
      <c r="C80" s="61" t="s">
        <v>331</v>
      </c>
      <c r="D80" s="62">
        <v>132127</v>
      </c>
      <c r="E80" s="62">
        <v>261000000</v>
      </c>
      <c r="F80" s="63">
        <f t="shared" si="4"/>
        <v>0</v>
      </c>
      <c r="G80" s="63">
        <f t="shared" si="0"/>
        <v>0</v>
      </c>
      <c r="H80" s="63">
        <f t="shared" si="5"/>
        <v>0</v>
      </c>
      <c r="I80" s="76">
        <f t="shared" si="8"/>
        <v>132127</v>
      </c>
      <c r="J80" s="76">
        <f t="shared" si="9"/>
        <v>261000000</v>
      </c>
      <c r="K80" s="77">
        <f>J80*'Inflation Rates by Year'!$H$2</f>
        <v>322013722.27820885</v>
      </c>
      <c r="L80" s="78">
        <f t="shared" si="3"/>
        <v>2437.1530593914104</v>
      </c>
    </row>
    <row r="81" spans="1:12" ht="14.5">
      <c r="A81" s="61" t="s">
        <v>631</v>
      </c>
      <c r="B81" s="61">
        <v>80</v>
      </c>
      <c r="C81" s="61" t="s">
        <v>331</v>
      </c>
      <c r="D81" s="62">
        <v>132127</v>
      </c>
      <c r="E81" s="62">
        <v>261180000</v>
      </c>
      <c r="F81" s="63">
        <f t="shared" si="4"/>
        <v>0</v>
      </c>
      <c r="G81" s="63">
        <f t="shared" si="0"/>
        <v>0</v>
      </c>
      <c r="H81" s="63">
        <f t="shared" si="5"/>
        <v>0</v>
      </c>
      <c r="I81" s="76">
        <f t="shared" si="8"/>
        <v>132127</v>
      </c>
      <c r="J81" s="76">
        <f t="shared" si="9"/>
        <v>261180000</v>
      </c>
      <c r="K81" s="77">
        <f>J81*'Inflation Rates by Year'!$H$2</f>
        <v>322235800.70736629</v>
      </c>
      <c r="L81" s="78">
        <f t="shared" si="3"/>
        <v>2438.8338546047839</v>
      </c>
    </row>
    <row r="82" spans="1:12" ht="14.5">
      <c r="A82" s="61" t="s">
        <v>632</v>
      </c>
      <c r="B82" s="61">
        <v>81</v>
      </c>
      <c r="C82" s="61" t="s">
        <v>331</v>
      </c>
      <c r="D82" s="62">
        <v>132127</v>
      </c>
      <c r="E82" s="62">
        <v>261306000</v>
      </c>
      <c r="F82" s="63">
        <f t="shared" si="4"/>
        <v>0</v>
      </c>
      <c r="G82" s="63">
        <f t="shared" si="0"/>
        <v>0</v>
      </c>
      <c r="H82" s="63">
        <f t="shared" si="5"/>
        <v>0</v>
      </c>
      <c r="I82" s="76">
        <f t="shared" si="8"/>
        <v>132127</v>
      </c>
      <c r="J82" s="76">
        <f t="shared" si="9"/>
        <v>261306000</v>
      </c>
      <c r="K82" s="77">
        <f>J82*'Inflation Rates by Year'!$H$2</f>
        <v>322391255.6077764</v>
      </c>
      <c r="L82" s="78">
        <f t="shared" si="3"/>
        <v>2440.0104112541449</v>
      </c>
    </row>
    <row r="83" spans="1:12" ht="14.5">
      <c r="A83" s="61" t="s">
        <v>633</v>
      </c>
      <c r="B83" s="61">
        <v>82</v>
      </c>
      <c r="C83" s="61" t="s">
        <v>331</v>
      </c>
      <c r="D83" s="62">
        <v>132127</v>
      </c>
      <c r="E83" s="62">
        <v>262035000</v>
      </c>
      <c r="F83" s="63">
        <f t="shared" si="4"/>
        <v>0</v>
      </c>
      <c r="G83" s="63">
        <f t="shared" si="0"/>
        <v>0</v>
      </c>
      <c r="H83" s="63">
        <f t="shared" si="5"/>
        <v>0</v>
      </c>
      <c r="I83" s="76">
        <f t="shared" si="8"/>
        <v>132127</v>
      </c>
      <c r="J83" s="76">
        <f t="shared" si="9"/>
        <v>262035000</v>
      </c>
      <c r="K83" s="77">
        <f>J83*'Inflation Rates by Year'!$H$2</f>
        <v>323290673.24586385</v>
      </c>
      <c r="L83" s="78">
        <f t="shared" si="3"/>
        <v>2446.8176318683072</v>
      </c>
    </row>
    <row r="84" spans="1:12" ht="14.5">
      <c r="A84" s="61" t="s">
        <v>634</v>
      </c>
      <c r="B84" s="61">
        <v>83</v>
      </c>
      <c r="C84" s="61" t="s">
        <v>331</v>
      </c>
      <c r="D84" s="62">
        <v>132127</v>
      </c>
      <c r="E84" s="62">
        <v>261800000</v>
      </c>
      <c r="F84" s="63">
        <f t="shared" si="4"/>
        <v>0</v>
      </c>
      <c r="G84" s="63">
        <f t="shared" si="0"/>
        <v>0</v>
      </c>
      <c r="H84" s="63">
        <f t="shared" si="5"/>
        <v>0</v>
      </c>
      <c r="I84" s="76">
        <f t="shared" si="8"/>
        <v>132127</v>
      </c>
      <c r="J84" s="76">
        <f t="shared" si="9"/>
        <v>261800000</v>
      </c>
      <c r="K84" s="77">
        <f>J84*'Inflation Rates by Year'!$H$2</f>
        <v>323000737.51890838</v>
      </c>
      <c r="L84" s="78">
        <f t="shared" si="3"/>
        <v>2444.6232603397366</v>
      </c>
    </row>
    <row r="85" spans="1:12" ht="14.5">
      <c r="A85" s="61" t="s">
        <v>635</v>
      </c>
      <c r="B85" s="61">
        <v>84</v>
      </c>
      <c r="C85" s="61" t="s">
        <v>331</v>
      </c>
      <c r="D85" s="62">
        <v>132127</v>
      </c>
      <c r="E85" s="62">
        <v>262500000</v>
      </c>
      <c r="F85" s="63">
        <f t="shared" si="4"/>
        <v>0</v>
      </c>
      <c r="G85" s="63">
        <f t="shared" si="0"/>
        <v>0</v>
      </c>
      <c r="H85" s="63">
        <f t="shared" si="5"/>
        <v>0</v>
      </c>
      <c r="I85" s="76">
        <f t="shared" si="8"/>
        <v>132127</v>
      </c>
      <c r="J85" s="76">
        <f t="shared" si="9"/>
        <v>262500000</v>
      </c>
      <c r="K85" s="77">
        <f>J85*'Inflation Rates by Year'!$H$2</f>
        <v>323864375.85452044</v>
      </c>
      <c r="L85" s="78">
        <f t="shared" si="3"/>
        <v>2451.159686169522</v>
      </c>
    </row>
    <row r="86" spans="1:12" ht="14.5">
      <c r="A86" s="61" t="s">
        <v>636</v>
      </c>
      <c r="B86" s="61">
        <v>85</v>
      </c>
      <c r="C86" s="61" t="s">
        <v>331</v>
      </c>
      <c r="D86" s="62">
        <v>132127</v>
      </c>
      <c r="E86" s="62">
        <v>262500000</v>
      </c>
      <c r="F86" s="63">
        <f t="shared" si="4"/>
        <v>0</v>
      </c>
      <c r="G86" s="63">
        <f t="shared" si="0"/>
        <v>0</v>
      </c>
      <c r="H86" s="63">
        <f t="shared" si="5"/>
        <v>0</v>
      </c>
      <c r="I86" s="76">
        <f t="shared" si="8"/>
        <v>132127</v>
      </c>
      <c r="J86" s="76">
        <f t="shared" si="9"/>
        <v>262500000</v>
      </c>
      <c r="K86" s="77">
        <f>J86*'Inflation Rates by Year'!$H$2</f>
        <v>323864375.85452044</v>
      </c>
      <c r="L86" s="78">
        <f t="shared" si="3"/>
        <v>2451.159686169522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7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43300</v>
      </c>
      <c r="B2" s="61">
        <v>1</v>
      </c>
      <c r="C2" s="61" t="s">
        <v>271</v>
      </c>
      <c r="D2" s="62">
        <v>586</v>
      </c>
      <c r="E2" s="62">
        <v>100000</v>
      </c>
      <c r="F2" s="63">
        <f>I2-0</f>
        <v>586</v>
      </c>
      <c r="G2" s="63">
        <f t="shared" ref="G2:G107" si="0">$B$99/$I$99*(F2)</f>
        <v>0.32767691061178378</v>
      </c>
      <c r="H2" s="63">
        <f>$B$99/SQRT($I$99)*(SQRT(I2)-SQRT(0))</f>
        <v>5.6667748534730764</v>
      </c>
      <c r="I2" s="76">
        <f t="shared" ref="I2:I33" si="1">D2</f>
        <v>586</v>
      </c>
      <c r="J2" s="76">
        <f t="shared" ref="J2:J33" si="2">E2</f>
        <v>100000</v>
      </c>
      <c r="K2" s="77">
        <f>J2*'Inflation Rates by Year'!$F$2</f>
        <v>119288.52932198401</v>
      </c>
      <c r="L2" s="78">
        <f t="shared" ref="L2:L107" si="3">K2/I2</f>
        <v>203.5640432115768</v>
      </c>
    </row>
    <row r="3" spans="1:12" ht="15" customHeight="1">
      <c r="A3" s="81">
        <v>43301</v>
      </c>
      <c r="B3" s="61">
        <v>2</v>
      </c>
      <c r="C3" s="61" t="s">
        <v>271</v>
      </c>
      <c r="D3" s="62">
        <v>100</v>
      </c>
      <c r="E3" s="62">
        <v>150000</v>
      </c>
      <c r="F3" s="63">
        <f t="shared" ref="F3:F107" si="4">I3-I2</f>
        <v>-486</v>
      </c>
      <c r="G3" s="63">
        <f t="shared" si="0"/>
        <v>-0.27175934907393673</v>
      </c>
      <c r="H3" s="63">
        <f t="shared" ref="H3:H107" si="5">$B$99/SQRT($I$99)*(SQRT(I3)-SQRT(I2))</f>
        <v>-3.3258517383945376</v>
      </c>
      <c r="I3" s="76">
        <f t="shared" si="1"/>
        <v>100</v>
      </c>
      <c r="J3" s="76">
        <f t="shared" si="2"/>
        <v>150000</v>
      </c>
      <c r="K3" s="77">
        <f>J3*'Inflation Rates by Year'!$F$2</f>
        <v>178932.79398297603</v>
      </c>
      <c r="L3" s="78">
        <f t="shared" si="3"/>
        <v>1789.3279398297602</v>
      </c>
    </row>
    <row r="4" spans="1:12" ht="15" customHeight="1">
      <c r="A4" s="81">
        <v>43302</v>
      </c>
      <c r="B4" s="61">
        <v>3</v>
      </c>
      <c r="C4" s="61" t="s">
        <v>271</v>
      </c>
      <c r="D4" s="62">
        <v>2169</v>
      </c>
      <c r="E4" s="62">
        <v>15000</v>
      </c>
      <c r="F4" s="63">
        <f t="shared" si="4"/>
        <v>2069</v>
      </c>
      <c r="G4" s="63">
        <f t="shared" si="0"/>
        <v>1.1569343482180556</v>
      </c>
      <c r="H4" s="63">
        <f t="shared" si="5"/>
        <v>8.5613467016191951</v>
      </c>
      <c r="I4" s="76">
        <f t="shared" si="1"/>
        <v>2169</v>
      </c>
      <c r="J4" s="76">
        <f t="shared" si="2"/>
        <v>15000</v>
      </c>
      <c r="K4" s="77">
        <f>J4*'Inflation Rates by Year'!$F$2</f>
        <v>17893.279398297604</v>
      </c>
      <c r="L4" s="78">
        <f t="shared" si="3"/>
        <v>8.2495525118937785</v>
      </c>
    </row>
    <row r="5" spans="1:12" ht="15" customHeight="1">
      <c r="A5" s="81">
        <v>43303</v>
      </c>
      <c r="B5" s="61">
        <v>4</v>
      </c>
      <c r="C5" s="61" t="s">
        <v>271</v>
      </c>
      <c r="D5" s="62">
        <v>2169</v>
      </c>
      <c r="E5" s="62">
        <v>70000</v>
      </c>
      <c r="F5" s="63">
        <f t="shared" si="4"/>
        <v>0</v>
      </c>
      <c r="G5" s="63">
        <f t="shared" si="0"/>
        <v>0</v>
      </c>
      <c r="H5" s="63">
        <f t="shared" si="5"/>
        <v>0</v>
      </c>
      <c r="I5" s="76">
        <f t="shared" si="1"/>
        <v>2169</v>
      </c>
      <c r="J5" s="76">
        <f t="shared" si="2"/>
        <v>70000</v>
      </c>
      <c r="K5" s="77">
        <f>J5*'Inflation Rates by Year'!$F$2</f>
        <v>83501.97052538881</v>
      </c>
      <c r="L5" s="78">
        <f t="shared" si="3"/>
        <v>38.497911722170961</v>
      </c>
    </row>
    <row r="6" spans="1:12" ht="15" customHeight="1">
      <c r="A6" s="81">
        <v>43304</v>
      </c>
      <c r="B6" s="61">
        <v>5</v>
      </c>
      <c r="C6" s="61" t="s">
        <v>271</v>
      </c>
      <c r="D6" s="62">
        <v>5281</v>
      </c>
      <c r="E6" s="62">
        <v>126316</v>
      </c>
      <c r="F6" s="63">
        <f t="shared" si="4"/>
        <v>3112</v>
      </c>
      <c r="G6" s="63">
        <f t="shared" si="0"/>
        <v>1.7401545150578004</v>
      </c>
      <c r="H6" s="63">
        <f t="shared" si="5"/>
        <v>6.1093329776230556</v>
      </c>
      <c r="I6" s="76">
        <f t="shared" si="1"/>
        <v>5281</v>
      </c>
      <c r="J6" s="76">
        <f t="shared" si="2"/>
        <v>126316</v>
      </c>
      <c r="K6" s="77">
        <f>J6*'Inflation Rates by Year'!$F$2</f>
        <v>150680.49869835732</v>
      </c>
      <c r="L6" s="78">
        <f t="shared" si="3"/>
        <v>28.532569342616419</v>
      </c>
    </row>
    <row r="7" spans="1:12" ht="15" customHeight="1">
      <c r="A7" s="81">
        <v>43305</v>
      </c>
      <c r="B7" s="61">
        <v>6</v>
      </c>
      <c r="C7" s="61" t="s">
        <v>271</v>
      </c>
      <c r="D7" s="62">
        <v>6097</v>
      </c>
      <c r="E7" s="62">
        <v>199000</v>
      </c>
      <c r="F7" s="63">
        <f t="shared" si="4"/>
        <v>816</v>
      </c>
      <c r="G7" s="63">
        <f t="shared" si="0"/>
        <v>0.45628730214883201</v>
      </c>
      <c r="H7" s="63">
        <f t="shared" si="5"/>
        <v>1.2670947862599555</v>
      </c>
      <c r="I7" s="76">
        <f t="shared" si="1"/>
        <v>6097</v>
      </c>
      <c r="J7" s="76">
        <f t="shared" si="2"/>
        <v>199000</v>
      </c>
      <c r="K7" s="77">
        <f>J7*'Inflation Rates by Year'!$F$2</f>
        <v>237384.1733507482</v>
      </c>
      <c r="L7" s="78">
        <f t="shared" si="3"/>
        <v>38.934586411472559</v>
      </c>
    </row>
    <row r="8" spans="1:12" ht="15" customHeight="1">
      <c r="A8" s="81">
        <v>43306</v>
      </c>
      <c r="B8" s="61">
        <v>7</v>
      </c>
      <c r="C8" s="61" t="s">
        <v>271</v>
      </c>
      <c r="D8" s="62">
        <v>6693</v>
      </c>
      <c r="E8" s="62">
        <v>348634</v>
      </c>
      <c r="F8" s="63">
        <f t="shared" si="4"/>
        <v>596</v>
      </c>
      <c r="G8" s="63">
        <f t="shared" si="0"/>
        <v>0.33326866676556849</v>
      </c>
      <c r="H8" s="63">
        <f t="shared" si="5"/>
        <v>0.8725716876780597</v>
      </c>
      <c r="I8" s="76">
        <f t="shared" si="1"/>
        <v>6693</v>
      </c>
      <c r="J8" s="76">
        <f t="shared" si="2"/>
        <v>348634</v>
      </c>
      <c r="K8" s="77">
        <f>J8*'Inflation Rates by Year'!$F$2</f>
        <v>415880.37131640577</v>
      </c>
      <c r="L8" s="78">
        <f t="shared" si="3"/>
        <v>62.136616064008031</v>
      </c>
    </row>
    <row r="9" spans="1:12" ht="15" customHeight="1">
      <c r="A9" s="81">
        <v>43307</v>
      </c>
      <c r="B9" s="61">
        <v>8</v>
      </c>
      <c r="C9" s="61" t="s">
        <v>271</v>
      </c>
      <c r="D9" s="62">
        <v>7253</v>
      </c>
      <c r="E9" s="62">
        <v>642317</v>
      </c>
      <c r="F9" s="63">
        <f t="shared" si="4"/>
        <v>560</v>
      </c>
      <c r="G9" s="63">
        <f t="shared" si="0"/>
        <v>0.31313834461194351</v>
      </c>
      <c r="H9" s="63">
        <f t="shared" si="5"/>
        <v>0.78509630717456069</v>
      </c>
      <c r="I9" s="76">
        <f t="shared" si="1"/>
        <v>7253</v>
      </c>
      <c r="J9" s="76">
        <f t="shared" si="2"/>
        <v>642317</v>
      </c>
      <c r="K9" s="77">
        <f>J9*'Inflation Rates by Year'!$F$2</f>
        <v>766210.50288508809</v>
      </c>
      <c r="L9" s="78">
        <f t="shared" si="3"/>
        <v>105.64049398663838</v>
      </c>
    </row>
    <row r="10" spans="1:12" ht="15" customHeight="1">
      <c r="A10" s="81">
        <v>43308</v>
      </c>
      <c r="B10" s="61">
        <v>9</v>
      </c>
      <c r="C10" s="61" t="s">
        <v>271</v>
      </c>
      <c r="D10" s="62">
        <v>8276</v>
      </c>
      <c r="E10" s="62">
        <v>1210078</v>
      </c>
      <c r="F10" s="63">
        <f t="shared" si="4"/>
        <v>1023</v>
      </c>
      <c r="G10" s="63">
        <f t="shared" si="0"/>
        <v>0.57203665453217545</v>
      </c>
      <c r="H10" s="63">
        <f t="shared" si="5"/>
        <v>1.359602693266647</v>
      </c>
      <c r="I10" s="76">
        <f t="shared" si="1"/>
        <v>8276</v>
      </c>
      <c r="J10" s="76">
        <f t="shared" si="2"/>
        <v>1210078</v>
      </c>
      <c r="K10" s="77">
        <f>J10*'Inflation Rates by Year'!$F$2</f>
        <v>1443484.2498488778</v>
      </c>
      <c r="L10" s="78">
        <f t="shared" si="3"/>
        <v>174.41810655496349</v>
      </c>
    </row>
    <row r="11" spans="1:12" ht="15" customHeight="1">
      <c r="A11" s="81">
        <v>43309</v>
      </c>
      <c r="B11" s="61">
        <v>10</v>
      </c>
      <c r="C11" s="61" t="s">
        <v>271</v>
      </c>
      <c r="D11" s="62">
        <v>10989</v>
      </c>
      <c r="E11" s="62">
        <v>1953198</v>
      </c>
      <c r="F11" s="63">
        <f t="shared" si="4"/>
        <v>2713</v>
      </c>
      <c r="G11" s="63">
        <f t="shared" si="0"/>
        <v>1.5170434445217906</v>
      </c>
      <c r="H11" s="63">
        <f t="shared" si="5"/>
        <v>3.2435615162125986</v>
      </c>
      <c r="I11" s="76">
        <f t="shared" si="1"/>
        <v>10989</v>
      </c>
      <c r="J11" s="76">
        <f t="shared" si="2"/>
        <v>1953198</v>
      </c>
      <c r="K11" s="77">
        <f>J11*'Inflation Rates by Year'!$F$2</f>
        <v>2329941.1689464054</v>
      </c>
      <c r="L11" s="78">
        <f t="shared" si="3"/>
        <v>212.02485839898128</v>
      </c>
    </row>
    <row r="12" spans="1:12" ht="15" customHeight="1">
      <c r="A12" s="81">
        <v>43310</v>
      </c>
      <c r="B12" s="61">
        <v>11</v>
      </c>
      <c r="C12" s="61" t="s">
        <v>271</v>
      </c>
      <c r="D12" s="62">
        <v>13922</v>
      </c>
      <c r="E12" s="62">
        <v>2146093</v>
      </c>
      <c r="F12" s="63">
        <f t="shared" si="4"/>
        <v>2933</v>
      </c>
      <c r="G12" s="63">
        <f t="shared" si="0"/>
        <v>1.6400620799050543</v>
      </c>
      <c r="H12" s="63">
        <f t="shared" si="5"/>
        <v>3.0813790686227596</v>
      </c>
      <c r="I12" s="76">
        <f t="shared" si="1"/>
        <v>13922</v>
      </c>
      <c r="J12" s="76">
        <f t="shared" si="2"/>
        <v>2146093</v>
      </c>
      <c r="K12" s="77">
        <f>J12*'Inflation Rates by Year'!$F$2</f>
        <v>2560042.7775820466</v>
      </c>
      <c r="L12" s="78">
        <f t="shared" si="3"/>
        <v>183.88469886381603</v>
      </c>
    </row>
    <row r="13" spans="1:12" ht="15" customHeight="1">
      <c r="A13" s="81">
        <v>43311</v>
      </c>
      <c r="B13" s="61">
        <v>12</v>
      </c>
      <c r="C13" s="61" t="s">
        <v>271</v>
      </c>
      <c r="D13" s="62">
        <v>15915</v>
      </c>
      <c r="E13" s="62">
        <v>2796564</v>
      </c>
      <c r="F13" s="63">
        <f t="shared" si="4"/>
        <v>1993</v>
      </c>
      <c r="G13" s="63">
        <f t="shared" si="0"/>
        <v>1.1144370014492919</v>
      </c>
      <c r="H13" s="63">
        <f t="shared" si="5"/>
        <v>1.9109287465419238</v>
      </c>
      <c r="I13" s="76">
        <f t="shared" si="1"/>
        <v>15915</v>
      </c>
      <c r="J13" s="76">
        <f t="shared" si="2"/>
        <v>2796564</v>
      </c>
      <c r="K13" s="77">
        <f>J13*'Inflation Rates by Year'!$F$2</f>
        <v>3335980.0671480489</v>
      </c>
      <c r="L13" s="78">
        <f t="shared" si="3"/>
        <v>209.6123196448664</v>
      </c>
    </row>
    <row r="14" spans="1:12" ht="15" customHeight="1">
      <c r="A14" s="81">
        <v>43312</v>
      </c>
      <c r="B14" s="61">
        <v>13</v>
      </c>
      <c r="C14" s="61" t="s">
        <v>271</v>
      </c>
      <c r="D14" s="62">
        <v>17987</v>
      </c>
      <c r="E14" s="62">
        <v>3320546</v>
      </c>
      <c r="F14" s="63">
        <f t="shared" si="4"/>
        <v>2072</v>
      </c>
      <c r="G14" s="63">
        <f t="shared" si="0"/>
        <v>1.1586118750641912</v>
      </c>
      <c r="H14" s="63">
        <f t="shared" si="5"/>
        <v>1.8635983069718371</v>
      </c>
      <c r="I14" s="76">
        <f t="shared" si="1"/>
        <v>17987</v>
      </c>
      <c r="J14" s="76">
        <f t="shared" si="2"/>
        <v>3320546</v>
      </c>
      <c r="K14" s="77">
        <f>J14*'Inflation Rates by Year'!$F$2</f>
        <v>3961030.4888599673</v>
      </c>
      <c r="L14" s="78">
        <f t="shared" si="3"/>
        <v>220.21629448268013</v>
      </c>
    </row>
    <row r="15" spans="1:12" ht="15" customHeight="1">
      <c r="A15" s="81">
        <v>43313</v>
      </c>
      <c r="B15" s="61">
        <v>14</v>
      </c>
      <c r="C15" s="61" t="s">
        <v>271</v>
      </c>
      <c r="D15" s="62">
        <v>19530</v>
      </c>
      <c r="E15" s="62">
        <v>3814921</v>
      </c>
      <c r="F15" s="63">
        <f t="shared" si="4"/>
        <v>1543</v>
      </c>
      <c r="G15" s="63">
        <f t="shared" si="0"/>
        <v>0.86280797452898017</v>
      </c>
      <c r="H15" s="63">
        <f t="shared" si="5"/>
        <v>1.3189122799080699</v>
      </c>
      <c r="I15" s="76">
        <f t="shared" si="1"/>
        <v>19530</v>
      </c>
      <c r="J15" s="76">
        <f t="shared" si="2"/>
        <v>3814921</v>
      </c>
      <c r="K15" s="77">
        <f>J15*'Inflation Rates by Year'!$F$2</f>
        <v>4550763.1556955259</v>
      </c>
      <c r="L15" s="78">
        <f t="shared" si="3"/>
        <v>233.0139864667448</v>
      </c>
    </row>
    <row r="16" spans="1:12" ht="15" customHeight="1">
      <c r="A16" s="81">
        <v>43314</v>
      </c>
      <c r="B16" s="61">
        <v>15</v>
      </c>
      <c r="C16" s="61" t="s">
        <v>271</v>
      </c>
      <c r="D16" s="62">
        <v>21352</v>
      </c>
      <c r="E16" s="62">
        <v>4337433</v>
      </c>
      <c r="F16" s="63">
        <f t="shared" si="4"/>
        <v>1822</v>
      </c>
      <c r="G16" s="63">
        <f t="shared" si="0"/>
        <v>1.0188179712195735</v>
      </c>
      <c r="H16" s="63">
        <f t="shared" si="5"/>
        <v>1.4919778139010018</v>
      </c>
      <c r="I16" s="76">
        <f t="shared" si="1"/>
        <v>21352</v>
      </c>
      <c r="J16" s="76">
        <f t="shared" si="2"/>
        <v>4337433</v>
      </c>
      <c r="K16" s="77">
        <f>J16*'Inflation Rates by Year'!$F$2</f>
        <v>5174060.0360264108</v>
      </c>
      <c r="L16" s="78">
        <f t="shared" si="3"/>
        <v>242.32203241037891</v>
      </c>
    </row>
    <row r="17" spans="1:12" ht="15" customHeight="1">
      <c r="A17" s="81">
        <v>43315</v>
      </c>
      <c r="B17" s="61">
        <v>16</v>
      </c>
      <c r="C17" s="61" t="s">
        <v>271</v>
      </c>
      <c r="D17" s="62">
        <v>23460</v>
      </c>
      <c r="E17" s="62">
        <v>4896650</v>
      </c>
      <c r="F17" s="63">
        <f t="shared" si="4"/>
        <v>2108</v>
      </c>
      <c r="G17" s="63">
        <f t="shared" si="0"/>
        <v>1.178742197217816</v>
      </c>
      <c r="H17" s="63">
        <f t="shared" si="5"/>
        <v>1.6487918180018259</v>
      </c>
      <c r="I17" s="76">
        <f t="shared" si="1"/>
        <v>23460</v>
      </c>
      <c r="J17" s="76">
        <f t="shared" si="2"/>
        <v>4896650</v>
      </c>
      <c r="K17" s="77">
        <f>J17*'Inflation Rates by Year'!$F$2</f>
        <v>5841141.7710449304</v>
      </c>
      <c r="L17" s="78">
        <f t="shared" si="3"/>
        <v>248.98302519373104</v>
      </c>
    </row>
    <row r="18" spans="1:12" ht="15" customHeight="1">
      <c r="A18" s="81">
        <v>43316</v>
      </c>
      <c r="B18" s="61">
        <v>17</v>
      </c>
      <c r="C18" s="61" t="s">
        <v>271</v>
      </c>
      <c r="D18" s="62">
        <v>25873</v>
      </c>
      <c r="E18" s="62">
        <v>5186095</v>
      </c>
      <c r="F18" s="63">
        <f t="shared" si="4"/>
        <v>2413</v>
      </c>
      <c r="G18" s="63">
        <f t="shared" si="0"/>
        <v>1.3492907599082495</v>
      </c>
      <c r="H18" s="63">
        <f t="shared" si="5"/>
        <v>1.7988324158144513</v>
      </c>
      <c r="I18" s="76">
        <f t="shared" si="1"/>
        <v>25873</v>
      </c>
      <c r="J18" s="76">
        <f t="shared" si="2"/>
        <v>5186095</v>
      </c>
      <c r="K18" s="77">
        <f>J18*'Inflation Rates by Year'!$F$2</f>
        <v>6186416.4547409471</v>
      </c>
      <c r="L18" s="78">
        <f t="shared" si="3"/>
        <v>239.10704034093251</v>
      </c>
    </row>
    <row r="19" spans="1:12" ht="15" customHeight="1">
      <c r="A19" s="81">
        <v>43317</v>
      </c>
      <c r="B19" s="61">
        <v>18</v>
      </c>
      <c r="C19" s="61" t="s">
        <v>271</v>
      </c>
      <c r="D19" s="62">
        <v>28476</v>
      </c>
      <c r="E19" s="62">
        <v>5937456</v>
      </c>
      <c r="F19" s="63">
        <f t="shared" si="4"/>
        <v>2603</v>
      </c>
      <c r="G19" s="63">
        <f t="shared" si="0"/>
        <v>1.4555341268301589</v>
      </c>
      <c r="H19" s="63">
        <f t="shared" si="5"/>
        <v>1.8487371764966516</v>
      </c>
      <c r="I19" s="76">
        <f t="shared" si="1"/>
        <v>28476</v>
      </c>
      <c r="J19" s="76">
        <f t="shared" si="2"/>
        <v>5937456</v>
      </c>
      <c r="K19" s="77">
        <f>J19*'Inflation Rates by Year'!$F$2</f>
        <v>7082703.9415398994</v>
      </c>
      <c r="L19" s="78">
        <f t="shared" si="3"/>
        <v>248.72538072551973</v>
      </c>
    </row>
    <row r="20" spans="1:12" ht="15" customHeight="1">
      <c r="A20" s="81">
        <v>43318</v>
      </c>
      <c r="B20" s="61">
        <v>19</v>
      </c>
      <c r="C20" s="61" t="s">
        <v>271</v>
      </c>
      <c r="D20" s="62">
        <v>30873</v>
      </c>
      <c r="E20" s="62">
        <v>6558580</v>
      </c>
      <c r="F20" s="63">
        <f t="shared" si="4"/>
        <v>2397</v>
      </c>
      <c r="G20" s="63">
        <f t="shared" si="0"/>
        <v>1.3403439500621941</v>
      </c>
      <c r="H20" s="63">
        <f t="shared" si="5"/>
        <v>1.6290037747112311</v>
      </c>
      <c r="I20" s="76">
        <f t="shared" si="1"/>
        <v>30873</v>
      </c>
      <c r="J20" s="76">
        <f t="shared" si="2"/>
        <v>6558580</v>
      </c>
      <c r="K20" s="77">
        <f>J20*'Inflation Rates by Year'!$F$2</f>
        <v>7823633.6264057793</v>
      </c>
      <c r="L20" s="78">
        <f t="shared" si="3"/>
        <v>253.41345597790234</v>
      </c>
    </row>
    <row r="21" spans="1:12" ht="14.5">
      <c r="A21" s="81">
        <v>43319</v>
      </c>
      <c r="B21" s="61">
        <v>20</v>
      </c>
      <c r="C21" s="61" t="s">
        <v>271</v>
      </c>
      <c r="D21" s="62">
        <v>33043</v>
      </c>
      <c r="E21" s="62">
        <v>7000000</v>
      </c>
      <c r="F21" s="63">
        <f t="shared" si="4"/>
        <v>2170</v>
      </c>
      <c r="G21" s="63">
        <f t="shared" si="0"/>
        <v>1.2134110853712812</v>
      </c>
      <c r="H21" s="63">
        <f t="shared" si="5"/>
        <v>1.4209856532681775</v>
      </c>
      <c r="I21" s="76">
        <f t="shared" si="1"/>
        <v>33043</v>
      </c>
      <c r="J21" s="76">
        <f t="shared" si="2"/>
        <v>7000000</v>
      </c>
      <c r="K21" s="77">
        <f>J21*'Inflation Rates by Year'!$F$2</f>
        <v>8350197.0525388811</v>
      </c>
      <c r="L21" s="78">
        <f t="shared" si="3"/>
        <v>252.70698945431351</v>
      </c>
    </row>
    <row r="22" spans="1:12" ht="14.5">
      <c r="A22" s="81">
        <v>43320</v>
      </c>
      <c r="B22" s="61">
        <v>21</v>
      </c>
      <c r="C22" s="61" t="s">
        <v>271</v>
      </c>
      <c r="D22" s="62">
        <v>35072</v>
      </c>
      <c r="E22" s="62">
        <v>7500000</v>
      </c>
      <c r="F22" s="63">
        <f t="shared" si="4"/>
        <v>2029</v>
      </c>
      <c r="G22" s="63">
        <f t="shared" si="0"/>
        <v>1.1345673236029168</v>
      </c>
      <c r="H22" s="63">
        <f t="shared" si="5"/>
        <v>1.2870072825475161</v>
      </c>
      <c r="I22" s="76">
        <f t="shared" si="1"/>
        <v>35072</v>
      </c>
      <c r="J22" s="76">
        <f t="shared" si="2"/>
        <v>7500000</v>
      </c>
      <c r="K22" s="77">
        <f>J22*'Inflation Rates by Year'!$F$2</f>
        <v>8946639.6991488021</v>
      </c>
      <c r="L22" s="78">
        <f t="shared" si="3"/>
        <v>255.09351331970808</v>
      </c>
    </row>
    <row r="23" spans="1:12" ht="14.5">
      <c r="A23" s="81">
        <v>43321</v>
      </c>
      <c r="B23" s="61">
        <v>22</v>
      </c>
      <c r="C23" s="61" t="s">
        <v>271</v>
      </c>
      <c r="D23" s="62">
        <v>36907</v>
      </c>
      <c r="E23" s="62">
        <v>8021412</v>
      </c>
      <c r="F23" s="63">
        <f t="shared" si="4"/>
        <v>1835</v>
      </c>
      <c r="G23" s="63">
        <f t="shared" si="0"/>
        <v>1.0260872542194934</v>
      </c>
      <c r="H23" s="63">
        <f t="shared" si="5"/>
        <v>1.1322455100597386</v>
      </c>
      <c r="I23" s="76">
        <f t="shared" si="1"/>
        <v>36907</v>
      </c>
      <c r="J23" s="76">
        <f t="shared" si="2"/>
        <v>8021412</v>
      </c>
      <c r="K23" s="77">
        <f>J23*'Inflation Rates by Year'!$F$2</f>
        <v>9568624.4056571443</v>
      </c>
      <c r="L23" s="78">
        <f t="shared" si="3"/>
        <v>259.26313180852264</v>
      </c>
    </row>
    <row r="24" spans="1:12" ht="14.5">
      <c r="A24" s="81">
        <v>43322</v>
      </c>
      <c r="B24" s="61">
        <v>23</v>
      </c>
      <c r="C24" s="61" t="s">
        <v>271</v>
      </c>
      <c r="D24" s="62">
        <v>38382</v>
      </c>
      <c r="E24" s="62">
        <v>8534462</v>
      </c>
      <c r="F24" s="63">
        <f t="shared" si="4"/>
        <v>1475</v>
      </c>
      <c r="G24" s="63">
        <f t="shared" si="0"/>
        <v>0.82478403268324407</v>
      </c>
      <c r="H24" s="63">
        <f t="shared" si="5"/>
        <v>0.88985500432819387</v>
      </c>
      <c r="I24" s="76">
        <f t="shared" si="1"/>
        <v>38382</v>
      </c>
      <c r="J24" s="76">
        <f t="shared" si="2"/>
        <v>8534462</v>
      </c>
      <c r="K24" s="77">
        <f>J24*'Inflation Rates by Year'!$F$2</f>
        <v>10180634.205343584</v>
      </c>
      <c r="L24" s="78">
        <f t="shared" si="3"/>
        <v>265.24501603208751</v>
      </c>
    </row>
    <row r="25" spans="1:12" ht="14.5">
      <c r="A25" s="81">
        <v>43323</v>
      </c>
      <c r="B25" s="61">
        <v>24</v>
      </c>
      <c r="C25" s="61" t="s">
        <v>271</v>
      </c>
      <c r="D25" s="62">
        <v>47030</v>
      </c>
      <c r="E25" s="62">
        <v>8942386</v>
      </c>
      <c r="F25" s="63">
        <f t="shared" si="4"/>
        <v>8648</v>
      </c>
      <c r="G25" s="63">
        <f t="shared" si="0"/>
        <v>4.8357507217930138</v>
      </c>
      <c r="H25" s="63">
        <f t="shared" si="5"/>
        <v>4.9044133773801004</v>
      </c>
      <c r="I25" s="76">
        <f t="shared" si="1"/>
        <v>47030</v>
      </c>
      <c r="J25" s="76">
        <f t="shared" si="2"/>
        <v>8942386</v>
      </c>
      <c r="K25" s="77">
        <f>J25*'Inflation Rates by Year'!$F$2</f>
        <v>10667240.745694993</v>
      </c>
      <c r="L25" s="78">
        <f t="shared" si="3"/>
        <v>226.81779174346147</v>
      </c>
    </row>
    <row r="26" spans="1:12" ht="14.5">
      <c r="A26" s="81">
        <v>43326</v>
      </c>
      <c r="B26" s="61">
        <v>25</v>
      </c>
      <c r="C26" s="61" t="s">
        <v>271</v>
      </c>
      <c r="D26" s="62">
        <v>57325</v>
      </c>
      <c r="E26" s="62">
        <v>11828476</v>
      </c>
      <c r="F26" s="63">
        <f t="shared" si="4"/>
        <v>10295</v>
      </c>
      <c r="G26" s="63">
        <f t="shared" si="0"/>
        <v>5.7567129603213552</v>
      </c>
      <c r="H26" s="63">
        <f t="shared" si="5"/>
        <v>5.2816809013861707</v>
      </c>
      <c r="I26" s="76">
        <f t="shared" si="1"/>
        <v>57325</v>
      </c>
      <c r="J26" s="76">
        <f t="shared" si="2"/>
        <v>11828476</v>
      </c>
      <c r="K26" s="77">
        <f>J26*'Inflation Rates by Year'!$F$2</f>
        <v>14110015.061603842</v>
      </c>
      <c r="L26" s="78">
        <f t="shared" si="3"/>
        <v>246.14069012828332</v>
      </c>
    </row>
    <row r="27" spans="1:12" ht="14.5">
      <c r="A27" s="81">
        <v>43327</v>
      </c>
      <c r="B27" s="61">
        <v>26</v>
      </c>
      <c r="C27" s="61" t="s">
        <v>271</v>
      </c>
      <c r="D27" s="62">
        <v>59105</v>
      </c>
      <c r="E27" s="62">
        <v>12984840</v>
      </c>
      <c r="F27" s="63">
        <f t="shared" si="4"/>
        <v>1780</v>
      </c>
      <c r="G27" s="63">
        <f t="shared" si="0"/>
        <v>0.99533259537367769</v>
      </c>
      <c r="H27" s="63">
        <f t="shared" si="5"/>
        <v>0.8635199890629508</v>
      </c>
      <c r="I27" s="76">
        <f t="shared" si="1"/>
        <v>59105</v>
      </c>
      <c r="J27" s="76">
        <f t="shared" si="2"/>
        <v>12984840</v>
      </c>
      <c r="K27" s="77">
        <f>J27*'Inflation Rates by Year'!$F$2</f>
        <v>15489424.670812709</v>
      </c>
      <c r="L27" s="78">
        <f t="shared" si="3"/>
        <v>262.0662324813926</v>
      </c>
    </row>
    <row r="28" spans="1:12" ht="14.5">
      <c r="A28" s="81">
        <v>43328</v>
      </c>
      <c r="B28" s="61">
        <v>27</v>
      </c>
      <c r="C28" s="61" t="s">
        <v>271</v>
      </c>
      <c r="D28" s="62">
        <v>59470</v>
      </c>
      <c r="E28" s="62">
        <v>14647414</v>
      </c>
      <c r="F28" s="63">
        <f t="shared" si="4"/>
        <v>365</v>
      </c>
      <c r="G28" s="63">
        <f t="shared" si="0"/>
        <v>0.20409909961314177</v>
      </c>
      <c r="H28" s="63">
        <f t="shared" si="5"/>
        <v>0.17545629903539733</v>
      </c>
      <c r="I28" s="76">
        <f t="shared" si="1"/>
        <v>59470</v>
      </c>
      <c r="J28" s="76">
        <f t="shared" si="2"/>
        <v>14647414</v>
      </c>
      <c r="K28" s="77">
        <f>J28*'Inflation Rates by Year'!$F$2</f>
        <v>17472684.744302392</v>
      </c>
      <c r="L28" s="78">
        <f t="shared" si="3"/>
        <v>293.80670496556905</v>
      </c>
    </row>
    <row r="29" spans="1:12" ht="14.5">
      <c r="A29" s="81">
        <v>43329</v>
      </c>
      <c r="B29" s="61">
        <v>28</v>
      </c>
      <c r="C29" s="61" t="s">
        <v>271</v>
      </c>
      <c r="D29" s="62">
        <v>62731</v>
      </c>
      <c r="E29" s="62">
        <v>16142240</v>
      </c>
      <c r="F29" s="63">
        <f t="shared" si="4"/>
        <v>3261</v>
      </c>
      <c r="G29" s="63">
        <f t="shared" si="0"/>
        <v>1.8234716817491925</v>
      </c>
      <c r="H29" s="63">
        <f t="shared" si="5"/>
        <v>1.5442735749781873</v>
      </c>
      <c r="I29" s="76">
        <f t="shared" si="1"/>
        <v>62731</v>
      </c>
      <c r="J29" s="76">
        <f t="shared" si="2"/>
        <v>16142240</v>
      </c>
      <c r="K29" s="77">
        <f>J29*'Inflation Rates by Year'!$F$2</f>
        <v>19255840.695625033</v>
      </c>
      <c r="L29" s="78">
        <f t="shared" si="3"/>
        <v>306.95893092131536</v>
      </c>
    </row>
    <row r="30" spans="1:12" ht="14.5">
      <c r="A30" s="81">
        <v>43330</v>
      </c>
      <c r="B30" s="61">
        <v>29</v>
      </c>
      <c r="C30" s="61" t="s">
        <v>271</v>
      </c>
      <c r="D30" s="62">
        <v>66332</v>
      </c>
      <c r="E30" s="62">
        <v>17294246</v>
      </c>
      <c r="F30" s="63">
        <f t="shared" si="4"/>
        <v>3601</v>
      </c>
      <c r="G30" s="63">
        <f t="shared" si="0"/>
        <v>2.0135913909778727</v>
      </c>
      <c r="H30" s="63">
        <f t="shared" si="5"/>
        <v>1.6593449147691415</v>
      </c>
      <c r="I30" s="76">
        <f t="shared" si="1"/>
        <v>66332</v>
      </c>
      <c r="J30" s="76">
        <f t="shared" si="2"/>
        <v>17294246</v>
      </c>
      <c r="K30" s="77">
        <f>J30*'Inflation Rates by Year'!$F$2</f>
        <v>20630051.710726049</v>
      </c>
      <c r="L30" s="78">
        <f t="shared" si="3"/>
        <v>311.01205618292903</v>
      </c>
    </row>
    <row r="31" spans="1:12" ht="14.5">
      <c r="A31" s="81">
        <v>43331</v>
      </c>
      <c r="B31" s="61">
        <v>30</v>
      </c>
      <c r="C31" s="61" t="s">
        <v>271</v>
      </c>
      <c r="D31" s="62">
        <v>68241</v>
      </c>
      <c r="E31" s="62">
        <v>18359634</v>
      </c>
      <c r="F31" s="63">
        <f t="shared" si="4"/>
        <v>1909</v>
      </c>
      <c r="G31" s="63">
        <f t="shared" si="0"/>
        <v>1.0674662497575003</v>
      </c>
      <c r="H31" s="63">
        <f t="shared" si="5"/>
        <v>0.86141025674500227</v>
      </c>
      <c r="I31" s="76">
        <f t="shared" si="1"/>
        <v>68241</v>
      </c>
      <c r="J31" s="76">
        <f t="shared" si="2"/>
        <v>18359634</v>
      </c>
      <c r="K31" s="77">
        <f>J31*'Inflation Rates by Year'!$F$2</f>
        <v>21900937.387498949</v>
      </c>
      <c r="L31" s="78">
        <f t="shared" si="3"/>
        <v>320.9351766166813</v>
      </c>
    </row>
    <row r="32" spans="1:12" ht="14.5">
      <c r="A32" s="81">
        <v>43332</v>
      </c>
      <c r="B32" s="61">
        <v>31</v>
      </c>
      <c r="C32" s="61" t="s">
        <v>271</v>
      </c>
      <c r="D32" s="62">
        <v>72074</v>
      </c>
      <c r="E32" s="62">
        <v>19474710</v>
      </c>
      <c r="F32" s="63">
        <f t="shared" si="4"/>
        <v>3833</v>
      </c>
      <c r="G32" s="63">
        <f t="shared" si="0"/>
        <v>2.1433201337456778</v>
      </c>
      <c r="H32" s="63">
        <f t="shared" si="5"/>
        <v>1.6939455356805124</v>
      </c>
      <c r="I32" s="76">
        <f t="shared" si="1"/>
        <v>72074</v>
      </c>
      <c r="J32" s="76">
        <f t="shared" si="2"/>
        <v>19474710</v>
      </c>
      <c r="K32" s="77">
        <f>J32*'Inflation Rates by Year'!$F$2</f>
        <v>23231095.148721352</v>
      </c>
      <c r="L32" s="78">
        <f t="shared" si="3"/>
        <v>322.32282305299208</v>
      </c>
    </row>
    <row r="33" spans="1:12" ht="14.5">
      <c r="A33" s="81">
        <v>43333</v>
      </c>
      <c r="B33" s="61">
        <v>32</v>
      </c>
      <c r="C33" s="61" t="s">
        <v>271</v>
      </c>
      <c r="D33" s="62">
        <v>76098</v>
      </c>
      <c r="E33" s="62">
        <v>20680232</v>
      </c>
      <c r="F33" s="63">
        <f t="shared" si="4"/>
        <v>4024</v>
      </c>
      <c r="G33" s="63">
        <f t="shared" si="0"/>
        <v>2.2501226762829658</v>
      </c>
      <c r="H33" s="63">
        <f t="shared" si="5"/>
        <v>1.7305617577212036</v>
      </c>
      <c r="I33" s="76">
        <f t="shared" si="1"/>
        <v>76098</v>
      </c>
      <c r="J33" s="76">
        <f t="shared" si="2"/>
        <v>20680232</v>
      </c>
      <c r="K33" s="77">
        <f>J33*'Inflation Rates by Year'!$F$2</f>
        <v>24669144.613174323</v>
      </c>
      <c r="L33" s="78">
        <f t="shared" si="3"/>
        <v>324.17599165778762</v>
      </c>
    </row>
    <row r="34" spans="1:12" ht="14.5">
      <c r="A34" s="81">
        <v>43334</v>
      </c>
      <c r="B34" s="61">
        <v>33</v>
      </c>
      <c r="C34" s="61" t="s">
        <v>271</v>
      </c>
      <c r="D34" s="62">
        <v>79501</v>
      </c>
      <c r="E34" s="62">
        <v>21934569</v>
      </c>
      <c r="F34" s="63">
        <f t="shared" si="4"/>
        <v>3403</v>
      </c>
      <c r="G34" s="63">
        <f t="shared" si="0"/>
        <v>1.9028746191329353</v>
      </c>
      <c r="H34" s="63">
        <f t="shared" si="5"/>
        <v>1.4280935943538762</v>
      </c>
      <c r="I34" s="76">
        <f t="shared" ref="I34:I65" si="6">D34</f>
        <v>79501</v>
      </c>
      <c r="J34" s="76">
        <f t="shared" ref="J34:J65" si="7">E34</f>
        <v>21934569</v>
      </c>
      <c r="K34" s="77">
        <f>J34*'Inflation Rates by Year'!$F$2</f>
        <v>26165424.773215815</v>
      </c>
      <c r="L34" s="78">
        <f t="shared" si="3"/>
        <v>329.12070003164507</v>
      </c>
    </row>
    <row r="35" spans="1:12" ht="14.5">
      <c r="A35" s="81">
        <v>43335</v>
      </c>
      <c r="B35" s="61">
        <v>34</v>
      </c>
      <c r="C35" s="61" t="s">
        <v>271</v>
      </c>
      <c r="D35" s="62">
        <v>80725</v>
      </c>
      <c r="E35" s="62">
        <v>24476762</v>
      </c>
      <c r="F35" s="63">
        <f t="shared" si="4"/>
        <v>1224</v>
      </c>
      <c r="G35" s="63">
        <f t="shared" si="0"/>
        <v>0.68443095322324798</v>
      </c>
      <c r="H35" s="63">
        <f t="shared" si="5"/>
        <v>0.50616282195338635</v>
      </c>
      <c r="I35" s="76">
        <f t="shared" si="6"/>
        <v>80725</v>
      </c>
      <c r="J35" s="76">
        <f t="shared" si="7"/>
        <v>24476762</v>
      </c>
      <c r="K35" s="77">
        <f>J35*'Inflation Rates by Year'!$F$2</f>
        <v>29197969.415442239</v>
      </c>
      <c r="L35" s="78">
        <f t="shared" si="3"/>
        <v>361.69674097791562</v>
      </c>
    </row>
    <row r="36" spans="1:12" ht="14.5">
      <c r="A36" s="81">
        <v>43336</v>
      </c>
      <c r="B36" s="61">
        <v>35</v>
      </c>
      <c r="C36" s="61" t="s">
        <v>271</v>
      </c>
      <c r="D36" s="62">
        <v>82015</v>
      </c>
      <c r="E36" s="62">
        <v>25861262</v>
      </c>
      <c r="F36" s="63">
        <f t="shared" si="4"/>
        <v>1290</v>
      </c>
      <c r="G36" s="63">
        <f t="shared" si="0"/>
        <v>0.7213365438382271</v>
      </c>
      <c r="H36" s="63">
        <f t="shared" si="5"/>
        <v>0.52931977323871005</v>
      </c>
      <c r="I36" s="76">
        <f t="shared" si="6"/>
        <v>82015</v>
      </c>
      <c r="J36" s="76">
        <f t="shared" si="7"/>
        <v>25861262</v>
      </c>
      <c r="K36" s="77">
        <f>J36*'Inflation Rates by Year'!$F$2</f>
        <v>30849519.103905112</v>
      </c>
      <c r="L36" s="78">
        <f t="shared" si="3"/>
        <v>376.14484062555766</v>
      </c>
    </row>
    <row r="37" spans="1:12" ht="14.5">
      <c r="A37" s="81">
        <v>43337</v>
      </c>
      <c r="B37" s="61">
        <v>36</v>
      </c>
      <c r="C37" s="61" t="s">
        <v>271</v>
      </c>
      <c r="D37" s="62">
        <v>108530</v>
      </c>
      <c r="E37" s="62">
        <v>28089452</v>
      </c>
      <c r="F37" s="63">
        <f t="shared" si="4"/>
        <v>26515</v>
      </c>
      <c r="G37" s="63">
        <f t="shared" si="0"/>
        <v>14.826541441760147</v>
      </c>
      <c r="H37" s="63">
        <f t="shared" si="5"/>
        <v>10.079150136656349</v>
      </c>
      <c r="I37" s="76">
        <f t="shared" si="6"/>
        <v>108530</v>
      </c>
      <c r="J37" s="76">
        <f t="shared" si="7"/>
        <v>28089452</v>
      </c>
      <c r="K37" s="77">
        <f>J37*'Inflation Rates by Year'!$F$2</f>
        <v>33507494.185404625</v>
      </c>
      <c r="L37" s="78">
        <f t="shared" si="3"/>
        <v>308.73946545106998</v>
      </c>
    </row>
    <row r="38" spans="1:12" ht="14.5">
      <c r="A38" s="81">
        <v>43338</v>
      </c>
      <c r="B38" s="61">
        <v>37</v>
      </c>
      <c r="C38" s="61" t="s">
        <v>271</v>
      </c>
      <c r="D38" s="62">
        <v>88083</v>
      </c>
      <c r="E38" s="62">
        <v>28089452</v>
      </c>
      <c r="F38" s="63">
        <f t="shared" si="4"/>
        <v>-20447</v>
      </c>
      <c r="G38" s="63">
        <f t="shared" si="0"/>
        <v>-11.433463807643589</v>
      </c>
      <c r="H38" s="63">
        <f t="shared" si="5"/>
        <v>-7.6433747412123241</v>
      </c>
      <c r="I38" s="76">
        <f t="shared" si="6"/>
        <v>88083</v>
      </c>
      <c r="J38" s="76">
        <f t="shared" si="7"/>
        <v>28089452</v>
      </c>
      <c r="K38" s="77">
        <f>J38*'Inflation Rates by Year'!$F$2</f>
        <v>33507494.185404625</v>
      </c>
      <c r="L38" s="78">
        <f t="shared" si="3"/>
        <v>380.40818529573954</v>
      </c>
    </row>
    <row r="39" spans="1:12" ht="14.5">
      <c r="A39" s="81">
        <v>43339</v>
      </c>
      <c r="B39" s="61">
        <v>38</v>
      </c>
      <c r="C39" s="61" t="s">
        <v>271</v>
      </c>
      <c r="D39" s="62">
        <v>93358</v>
      </c>
      <c r="E39" s="62">
        <v>32589329</v>
      </c>
      <c r="F39" s="63">
        <f t="shared" si="4"/>
        <v>5275</v>
      </c>
      <c r="G39" s="63">
        <f t="shared" si="0"/>
        <v>2.9496513711214325</v>
      </c>
      <c r="H39" s="63">
        <f t="shared" si="5"/>
        <v>2.050089399755112</v>
      </c>
      <c r="I39" s="76">
        <f t="shared" si="6"/>
        <v>93358</v>
      </c>
      <c r="J39" s="76">
        <f t="shared" si="7"/>
        <v>32589329</v>
      </c>
      <c r="K39" s="77">
        <f>J39*'Inflation Rates by Year'!$F$2</f>
        <v>38875331.28000284</v>
      </c>
      <c r="L39" s="78">
        <f t="shared" si="3"/>
        <v>416.41135499906636</v>
      </c>
    </row>
    <row r="40" spans="1:12" ht="14.5">
      <c r="A40" s="81">
        <v>43340</v>
      </c>
      <c r="B40" s="61">
        <v>39</v>
      </c>
      <c r="C40" s="61" t="s">
        <v>271</v>
      </c>
      <c r="D40" s="62">
        <v>98539</v>
      </c>
      <c r="E40" s="62">
        <v>33445075</v>
      </c>
      <c r="F40" s="63">
        <f t="shared" si="4"/>
        <v>5181</v>
      </c>
      <c r="G40" s="63">
        <f t="shared" si="0"/>
        <v>2.8970888632758562</v>
      </c>
      <c r="H40" s="63">
        <f t="shared" si="5"/>
        <v>1.9579032820476905</v>
      </c>
      <c r="I40" s="76">
        <f t="shared" si="6"/>
        <v>98539</v>
      </c>
      <c r="J40" s="76">
        <f t="shared" si="7"/>
        <v>33445075</v>
      </c>
      <c r="K40" s="77">
        <f>J40*'Inflation Rates by Year'!$F$2</f>
        <v>39896138.098134547</v>
      </c>
      <c r="L40" s="78">
        <f t="shared" si="3"/>
        <v>404.87662852408232</v>
      </c>
    </row>
    <row r="41" spans="1:12" ht="14.5">
      <c r="A41" s="81">
        <v>43341</v>
      </c>
      <c r="B41" s="61">
        <v>40</v>
      </c>
      <c r="C41" s="61" t="s">
        <v>271</v>
      </c>
      <c r="D41" s="62">
        <v>100996</v>
      </c>
      <c r="E41" s="62">
        <v>35140776</v>
      </c>
      <c r="F41" s="63">
        <f t="shared" si="4"/>
        <v>2457</v>
      </c>
      <c r="G41" s="63">
        <f t="shared" si="0"/>
        <v>1.3738944869849024</v>
      </c>
      <c r="H41" s="63">
        <f t="shared" si="5"/>
        <v>0.91049171381634297</v>
      </c>
      <c r="I41" s="76">
        <f t="shared" si="6"/>
        <v>100996</v>
      </c>
      <c r="J41" s="76">
        <f t="shared" si="7"/>
        <v>35140776</v>
      </c>
      <c r="K41" s="77">
        <f>J41*'Inflation Rates by Year'!$F$2</f>
        <v>41918914.882732719</v>
      </c>
      <c r="L41" s="78">
        <f t="shared" si="3"/>
        <v>415.05519904484061</v>
      </c>
    </row>
    <row r="42" spans="1:12" ht="14.5">
      <c r="A42" s="81">
        <v>43342</v>
      </c>
      <c r="B42" s="61">
        <v>41</v>
      </c>
      <c r="C42" s="61" t="s">
        <v>271</v>
      </c>
      <c r="D42" s="62">
        <v>102168</v>
      </c>
      <c r="E42" s="62">
        <v>38685234</v>
      </c>
      <c r="F42" s="63">
        <f t="shared" si="4"/>
        <v>1172</v>
      </c>
      <c r="G42" s="63">
        <f t="shared" si="0"/>
        <v>0.65535382122356756</v>
      </c>
      <c r="H42" s="63">
        <f t="shared" si="5"/>
        <v>0.4304058772489644</v>
      </c>
      <c r="I42" s="76">
        <f t="shared" si="6"/>
        <v>102168</v>
      </c>
      <c r="J42" s="76">
        <f t="shared" si="7"/>
        <v>38685234</v>
      </c>
      <c r="K42" s="77">
        <f>J42*'Inflation Rates by Year'!$F$2</f>
        <v>46147046.703368127</v>
      </c>
      <c r="L42" s="78">
        <f t="shared" si="3"/>
        <v>451.67808612645962</v>
      </c>
    </row>
    <row r="43" spans="1:12" ht="14.5">
      <c r="A43" s="81">
        <v>43343</v>
      </c>
      <c r="B43" s="61">
        <v>42</v>
      </c>
      <c r="C43" s="61" t="s">
        <v>271</v>
      </c>
      <c r="D43" s="62">
        <v>102168</v>
      </c>
      <c r="E43" s="62">
        <v>41435737</v>
      </c>
      <c r="F43" s="63">
        <f t="shared" si="4"/>
        <v>0</v>
      </c>
      <c r="G43" s="63">
        <f t="shared" si="0"/>
        <v>0</v>
      </c>
      <c r="H43" s="63">
        <f t="shared" si="5"/>
        <v>0</v>
      </c>
      <c r="I43" s="76">
        <f t="shared" si="6"/>
        <v>102168</v>
      </c>
      <c r="J43" s="76">
        <f t="shared" si="7"/>
        <v>41435737</v>
      </c>
      <c r="K43" s="77">
        <f>J43*'Inflation Rates by Year'!$F$2</f>
        <v>49428081.281025179</v>
      </c>
      <c r="L43" s="78">
        <f t="shared" si="3"/>
        <v>483.79219795851128</v>
      </c>
    </row>
    <row r="44" spans="1:12" ht="14.5">
      <c r="A44" s="81">
        <v>43344</v>
      </c>
      <c r="B44" s="61">
        <v>43</v>
      </c>
      <c r="C44" s="61" t="s">
        <v>271</v>
      </c>
      <c r="D44" s="62">
        <v>104228</v>
      </c>
      <c r="E44" s="62">
        <v>43757385</v>
      </c>
      <c r="F44" s="63">
        <f t="shared" si="4"/>
        <v>2060</v>
      </c>
      <c r="G44" s="63">
        <f t="shared" si="0"/>
        <v>1.1519017676796495</v>
      </c>
      <c r="H44" s="63">
        <f t="shared" si="5"/>
        <v>0.75057508218872548</v>
      </c>
      <c r="I44" s="76">
        <f t="shared" si="6"/>
        <v>104228</v>
      </c>
      <c r="J44" s="76">
        <f t="shared" si="7"/>
        <v>43757385</v>
      </c>
      <c r="K44" s="77">
        <f>J44*'Inflation Rates by Year'!$F$2</f>
        <v>52197541.036258437</v>
      </c>
      <c r="L44" s="78">
        <f t="shared" si="3"/>
        <v>500.80152201192038</v>
      </c>
    </row>
    <row r="45" spans="1:12" ht="14.5">
      <c r="A45" s="81">
        <v>43345</v>
      </c>
      <c r="B45" s="61">
        <v>44</v>
      </c>
      <c r="C45" s="61" t="s">
        <v>271</v>
      </c>
      <c r="D45" s="62">
        <v>104228</v>
      </c>
      <c r="E45" s="62">
        <v>43757385</v>
      </c>
      <c r="F45" s="63">
        <f t="shared" si="4"/>
        <v>0</v>
      </c>
      <c r="G45" s="63">
        <f t="shared" si="0"/>
        <v>0</v>
      </c>
      <c r="H45" s="63">
        <f t="shared" si="5"/>
        <v>0</v>
      </c>
      <c r="I45" s="76">
        <f t="shared" si="6"/>
        <v>104228</v>
      </c>
      <c r="J45" s="76">
        <f t="shared" si="7"/>
        <v>43757385</v>
      </c>
      <c r="K45" s="77">
        <f>J45*'Inflation Rates by Year'!$F$2</f>
        <v>52197541.036258437</v>
      </c>
      <c r="L45" s="78">
        <f t="shared" si="3"/>
        <v>500.80152201192038</v>
      </c>
    </row>
    <row r="46" spans="1:12" ht="14.5">
      <c r="A46" s="81">
        <v>43347</v>
      </c>
      <c r="B46" s="61">
        <v>45</v>
      </c>
      <c r="C46" s="61" t="s">
        <v>271</v>
      </c>
      <c r="D46" s="62">
        <v>109159</v>
      </c>
      <c r="E46" s="62">
        <v>48907342</v>
      </c>
      <c r="F46" s="63">
        <f t="shared" si="4"/>
        <v>4931</v>
      </c>
      <c r="G46" s="63">
        <f t="shared" si="0"/>
        <v>2.7572949594312384</v>
      </c>
      <c r="H46" s="63">
        <f t="shared" si="5"/>
        <v>1.7670635571579463</v>
      </c>
      <c r="I46" s="76">
        <f t="shared" si="6"/>
        <v>109159</v>
      </c>
      <c r="J46" s="76">
        <f t="shared" si="7"/>
        <v>48907342</v>
      </c>
      <c r="K46" s="77">
        <f>J46*'Inflation Rates by Year'!$F$2</f>
        <v>58340849.002273001</v>
      </c>
      <c r="L46" s="78">
        <f t="shared" si="3"/>
        <v>534.45752528213893</v>
      </c>
    </row>
    <row r="47" spans="1:12" ht="14.5">
      <c r="A47" s="81">
        <v>43348</v>
      </c>
      <c r="B47" s="61">
        <v>46</v>
      </c>
      <c r="C47" s="61" t="s">
        <v>271</v>
      </c>
      <c r="D47" s="62">
        <v>115404</v>
      </c>
      <c r="E47" s="62">
        <v>52846641</v>
      </c>
      <c r="F47" s="63">
        <f t="shared" si="4"/>
        <v>6245</v>
      </c>
      <c r="G47" s="63">
        <f t="shared" si="0"/>
        <v>3.4920517180385486</v>
      </c>
      <c r="H47" s="63">
        <f t="shared" si="5"/>
        <v>2.181611881661516</v>
      </c>
      <c r="I47" s="76">
        <f t="shared" si="6"/>
        <v>115404</v>
      </c>
      <c r="J47" s="76">
        <f t="shared" si="7"/>
        <v>52846641</v>
      </c>
      <c r="K47" s="77">
        <f>J47*'Inflation Rates by Year'!$F$2</f>
        <v>63039980.844968624</v>
      </c>
      <c r="L47" s="78">
        <f t="shared" si="3"/>
        <v>546.25472986177795</v>
      </c>
    </row>
    <row r="48" spans="1:12" ht="14.5">
      <c r="A48" s="81">
        <v>43349</v>
      </c>
      <c r="B48" s="61">
        <v>47</v>
      </c>
      <c r="C48" s="61" t="s">
        <v>271</v>
      </c>
      <c r="D48" s="62">
        <v>117458</v>
      </c>
      <c r="E48" s="62">
        <v>54749006</v>
      </c>
      <c r="F48" s="63">
        <f t="shared" si="4"/>
        <v>2054</v>
      </c>
      <c r="G48" s="63">
        <f t="shared" si="0"/>
        <v>1.1485467139873786</v>
      </c>
      <c r="H48" s="63">
        <f t="shared" si="5"/>
        <v>0.70457544519492021</v>
      </c>
      <c r="I48" s="76">
        <f t="shared" si="6"/>
        <v>117458</v>
      </c>
      <c r="J48" s="76">
        <f t="shared" si="7"/>
        <v>54749006</v>
      </c>
      <c r="K48" s="77">
        <f>J48*'Inflation Rates by Year'!$F$2</f>
        <v>65309284.075804785</v>
      </c>
      <c r="L48" s="78">
        <f t="shared" si="3"/>
        <v>556.02244270977531</v>
      </c>
    </row>
    <row r="49" spans="1:12" ht="14.5">
      <c r="A49" s="81">
        <v>43350</v>
      </c>
      <c r="B49" s="61">
        <v>48</v>
      </c>
      <c r="C49" s="61" t="s">
        <v>271</v>
      </c>
      <c r="D49" s="62">
        <v>125627</v>
      </c>
      <c r="E49" s="62">
        <v>56965234</v>
      </c>
      <c r="F49" s="63">
        <f t="shared" si="4"/>
        <v>8169</v>
      </c>
      <c r="G49" s="63">
        <f t="shared" si="0"/>
        <v>4.5679056020267259</v>
      </c>
      <c r="H49" s="63">
        <f t="shared" si="5"/>
        <v>2.7429841726136521</v>
      </c>
      <c r="I49" s="76">
        <f t="shared" si="6"/>
        <v>125627</v>
      </c>
      <c r="J49" s="76">
        <f t="shared" si="7"/>
        <v>56965234</v>
      </c>
      <c r="K49" s="77">
        <f>J49*'Inflation Rates by Year'!$F$2</f>
        <v>67952989.863426805</v>
      </c>
      <c r="L49" s="78">
        <f t="shared" si="3"/>
        <v>540.91071078213122</v>
      </c>
    </row>
    <row r="50" spans="1:12" ht="14.5">
      <c r="A50" s="81">
        <v>43351</v>
      </c>
      <c r="B50" s="61">
        <v>49</v>
      </c>
      <c r="C50" s="61" t="s">
        <v>271</v>
      </c>
      <c r="D50" s="62">
        <v>129444</v>
      </c>
      <c r="E50" s="62">
        <v>59173905</v>
      </c>
      <c r="F50" s="63">
        <f t="shared" si="4"/>
        <v>3817</v>
      </c>
      <c r="G50" s="63">
        <f t="shared" si="0"/>
        <v>2.1343733238996223</v>
      </c>
      <c r="H50" s="63">
        <f t="shared" si="5"/>
        <v>1.2510536303250119</v>
      </c>
      <c r="I50" s="76">
        <f t="shared" si="6"/>
        <v>129444</v>
      </c>
      <c r="J50" s="76">
        <f t="shared" si="7"/>
        <v>59173905</v>
      </c>
      <c r="K50" s="77">
        <f>J50*'Inflation Rates by Year'!$F$2</f>
        <v>70587681.016887963</v>
      </c>
      <c r="L50" s="78">
        <f t="shared" si="3"/>
        <v>545.31442953623161</v>
      </c>
    </row>
    <row r="51" spans="1:12" ht="14.5">
      <c r="A51" s="81">
        <v>43352</v>
      </c>
      <c r="B51" s="61">
        <v>50</v>
      </c>
      <c r="C51" s="61" t="s">
        <v>271</v>
      </c>
      <c r="D51" s="62">
        <v>130258</v>
      </c>
      <c r="E51" s="62">
        <v>60812975</v>
      </c>
      <c r="F51" s="63">
        <f t="shared" si="4"/>
        <v>814</v>
      </c>
      <c r="G51" s="63">
        <f t="shared" si="0"/>
        <v>0.45516895091807508</v>
      </c>
      <c r="H51" s="63">
        <f t="shared" si="5"/>
        <v>0.2643987778293953</v>
      </c>
      <c r="I51" s="76">
        <f t="shared" si="6"/>
        <v>130258</v>
      </c>
      <c r="J51" s="76">
        <f t="shared" si="7"/>
        <v>60812975</v>
      </c>
      <c r="K51" s="77">
        <f>J51*'Inflation Rates by Year'!$F$2</f>
        <v>72542903.514445812</v>
      </c>
      <c r="L51" s="78">
        <f t="shared" si="3"/>
        <v>556.91706854431834</v>
      </c>
    </row>
    <row r="52" spans="1:12" ht="14.5">
      <c r="A52" s="81">
        <v>43353</v>
      </c>
      <c r="B52" s="61">
        <v>51</v>
      </c>
      <c r="C52" s="61" t="s">
        <v>271</v>
      </c>
      <c r="D52" s="62">
        <v>132420</v>
      </c>
      <c r="E52" s="62">
        <v>63170925</v>
      </c>
      <c r="F52" s="63">
        <f t="shared" si="4"/>
        <v>2162</v>
      </c>
      <c r="G52" s="63">
        <f t="shared" si="0"/>
        <v>1.2089376804482534</v>
      </c>
      <c r="H52" s="63">
        <f t="shared" si="5"/>
        <v>0.6982640273825802</v>
      </c>
      <c r="I52" s="76">
        <f t="shared" si="6"/>
        <v>132420</v>
      </c>
      <c r="J52" s="76">
        <f t="shared" si="7"/>
        <v>63170925</v>
      </c>
      <c r="K52" s="77">
        <f>J52*'Inflation Rates by Year'!$F$2</f>
        <v>75355667.391593531</v>
      </c>
      <c r="L52" s="78">
        <f t="shared" si="3"/>
        <v>569.06560483003727</v>
      </c>
    </row>
    <row r="53" spans="1:12" ht="14.5">
      <c r="A53" s="81">
        <v>43354</v>
      </c>
      <c r="B53" s="61">
        <v>52</v>
      </c>
      <c r="C53" s="61" t="s">
        <v>271</v>
      </c>
      <c r="D53" s="62">
        <v>134241</v>
      </c>
      <c r="E53" s="62">
        <v>65779174</v>
      </c>
      <c r="F53" s="63">
        <f t="shared" si="4"/>
        <v>1821</v>
      </c>
      <c r="G53" s="63">
        <f t="shared" si="0"/>
        <v>1.0182587956041949</v>
      </c>
      <c r="H53" s="63">
        <f t="shared" si="5"/>
        <v>0.58372040877158982</v>
      </c>
      <c r="I53" s="76">
        <f t="shared" si="6"/>
        <v>134241</v>
      </c>
      <c r="J53" s="76">
        <f t="shared" si="7"/>
        <v>65779174</v>
      </c>
      <c r="K53" s="77">
        <f>J53*'Inflation Rates by Year'!$F$2</f>
        <v>78467009.264748886</v>
      </c>
      <c r="L53" s="78">
        <f t="shared" si="3"/>
        <v>584.52342626134259</v>
      </c>
    </row>
    <row r="54" spans="1:12" ht="14.5">
      <c r="A54" s="81">
        <v>43355</v>
      </c>
      <c r="B54" s="61">
        <v>53</v>
      </c>
      <c r="C54" s="61" t="s">
        <v>271</v>
      </c>
      <c r="D54" s="62">
        <v>134695</v>
      </c>
      <c r="E54" s="62">
        <v>67156606</v>
      </c>
      <c r="F54" s="63">
        <f t="shared" si="4"/>
        <v>454</v>
      </c>
      <c r="G54" s="63">
        <f t="shared" si="0"/>
        <v>0.25386572938182567</v>
      </c>
      <c r="H54" s="63">
        <f t="shared" si="5"/>
        <v>0.14491177937337027</v>
      </c>
      <c r="I54" s="76">
        <f t="shared" si="6"/>
        <v>134695</v>
      </c>
      <c r="J54" s="76">
        <f t="shared" si="7"/>
        <v>67156606</v>
      </c>
      <c r="K54" s="77">
        <f>J54*'Inflation Rates by Year'!$F$2</f>
        <v>80110127.639959276</v>
      </c>
      <c r="L54" s="78">
        <f t="shared" si="3"/>
        <v>594.7520519689615</v>
      </c>
    </row>
    <row r="55" spans="1:12" ht="14.5">
      <c r="A55" s="81">
        <v>43356</v>
      </c>
      <c r="B55" s="61">
        <v>54</v>
      </c>
      <c r="C55" s="61" t="s">
        <v>271</v>
      </c>
      <c r="D55" s="62">
        <v>135556</v>
      </c>
      <c r="E55" s="62">
        <v>68745415</v>
      </c>
      <c r="F55" s="63">
        <f t="shared" si="4"/>
        <v>861</v>
      </c>
      <c r="G55" s="63">
        <f t="shared" si="0"/>
        <v>0.48145020484086321</v>
      </c>
      <c r="H55" s="63">
        <f t="shared" si="5"/>
        <v>0.27415249323336777</v>
      </c>
      <c r="I55" s="76">
        <f t="shared" si="6"/>
        <v>135556</v>
      </c>
      <c r="J55" s="76">
        <f t="shared" si="7"/>
        <v>68745415</v>
      </c>
      <c r="K55" s="77">
        <f>J55*'Inflation Rates by Year'!$F$2</f>
        <v>82005394.529794604</v>
      </c>
      <c r="L55" s="78">
        <f t="shared" si="3"/>
        <v>604.95584503669772</v>
      </c>
    </row>
    <row r="56" spans="1:12" ht="14.5">
      <c r="A56" s="81">
        <v>43357</v>
      </c>
      <c r="B56" s="61">
        <v>55</v>
      </c>
      <c r="C56" s="61" t="s">
        <v>271</v>
      </c>
      <c r="D56" s="62">
        <v>138212</v>
      </c>
      <c r="E56" s="62">
        <v>70400685</v>
      </c>
      <c r="F56" s="63">
        <f t="shared" si="4"/>
        <v>2656</v>
      </c>
      <c r="G56" s="63">
        <f t="shared" si="0"/>
        <v>1.4851704344452179</v>
      </c>
      <c r="H56" s="63">
        <f t="shared" si="5"/>
        <v>0.84026058290387129</v>
      </c>
      <c r="I56" s="76">
        <f t="shared" si="6"/>
        <v>138212</v>
      </c>
      <c r="J56" s="76">
        <f t="shared" si="7"/>
        <v>70400685</v>
      </c>
      <c r="K56" s="77">
        <f>J56*'Inflation Rates by Year'!$F$2</f>
        <v>83979941.769102603</v>
      </c>
      <c r="L56" s="78">
        <f t="shared" si="3"/>
        <v>607.61686227753455</v>
      </c>
    </row>
    <row r="57" spans="1:12" ht="14.5">
      <c r="A57" s="81">
        <v>43358</v>
      </c>
      <c r="B57" s="61">
        <v>56</v>
      </c>
      <c r="C57" s="61" t="s">
        <v>271</v>
      </c>
      <c r="D57" s="62">
        <v>140232</v>
      </c>
      <c r="E57" s="62">
        <v>71812898</v>
      </c>
      <c r="F57" s="63">
        <f t="shared" si="4"/>
        <v>2020</v>
      </c>
      <c r="G57" s="63">
        <f t="shared" si="0"/>
        <v>1.1295347430645106</v>
      </c>
      <c r="H57" s="63">
        <f t="shared" si="5"/>
        <v>0.63366168340588103</v>
      </c>
      <c r="I57" s="76">
        <f t="shared" si="6"/>
        <v>140232</v>
      </c>
      <c r="J57" s="76">
        <f t="shared" si="7"/>
        <v>71812898</v>
      </c>
      <c r="K57" s="77">
        <f>J57*'Inflation Rates by Year'!$F$2</f>
        <v>85664549.887696475</v>
      </c>
      <c r="L57" s="78">
        <f t="shared" si="3"/>
        <v>610.87733104923609</v>
      </c>
    </row>
    <row r="58" spans="1:12" ht="14.5">
      <c r="A58" s="81">
        <v>43359</v>
      </c>
      <c r="B58" s="61">
        <v>57</v>
      </c>
      <c r="C58" s="61" t="s">
        <v>271</v>
      </c>
      <c r="D58" s="62">
        <v>140232</v>
      </c>
      <c r="E58" s="62">
        <v>72915672</v>
      </c>
      <c r="F58" s="63">
        <f t="shared" si="4"/>
        <v>0</v>
      </c>
      <c r="G58" s="63">
        <f t="shared" si="0"/>
        <v>0</v>
      </c>
      <c r="H58" s="63">
        <f t="shared" si="5"/>
        <v>0</v>
      </c>
      <c r="I58" s="76">
        <f t="shared" si="6"/>
        <v>140232</v>
      </c>
      <c r="J58" s="76">
        <f t="shared" si="7"/>
        <v>72915672</v>
      </c>
      <c r="K58" s="77">
        <f>J58*'Inflation Rates by Year'!$F$2</f>
        <v>86980032.774041682</v>
      </c>
      <c r="L58" s="78">
        <f t="shared" si="3"/>
        <v>620.25809211907188</v>
      </c>
    </row>
    <row r="59" spans="1:12" ht="14.5">
      <c r="A59" s="81">
        <v>43360</v>
      </c>
      <c r="B59" s="61">
        <v>58</v>
      </c>
      <c r="C59" s="61" t="s">
        <v>271</v>
      </c>
      <c r="D59" s="62">
        <v>140423</v>
      </c>
      <c r="E59" s="62">
        <v>73881226</v>
      </c>
      <c r="F59" s="63">
        <f t="shared" si="4"/>
        <v>191</v>
      </c>
      <c r="G59" s="63">
        <f t="shared" si="0"/>
        <v>0.10680254253728788</v>
      </c>
      <c r="H59" s="63">
        <f t="shared" si="5"/>
        <v>5.9678672311154181E-2</v>
      </c>
      <c r="I59" s="76">
        <f t="shared" si="6"/>
        <v>140423</v>
      </c>
      <c r="J59" s="76">
        <f t="shared" si="7"/>
        <v>73881226</v>
      </c>
      <c r="K59" s="77">
        <f>J59*'Inflation Rates by Year'!$F$2</f>
        <v>88131827.940451279</v>
      </c>
      <c r="L59" s="78">
        <f t="shared" si="3"/>
        <v>627.61675751444761</v>
      </c>
    </row>
    <row r="60" spans="1:12" ht="14.5">
      <c r="A60" s="81">
        <v>43361</v>
      </c>
      <c r="B60" s="61">
        <v>59</v>
      </c>
      <c r="C60" s="61" t="s">
        <v>271</v>
      </c>
      <c r="D60" s="62">
        <v>142421</v>
      </c>
      <c r="E60" s="62">
        <v>75025147</v>
      </c>
      <c r="F60" s="63">
        <f t="shared" si="4"/>
        <v>1998</v>
      </c>
      <c r="G60" s="63">
        <f t="shared" si="0"/>
        <v>1.1172328795261843</v>
      </c>
      <c r="H60" s="63">
        <f t="shared" si="5"/>
        <v>0.62186606734344119</v>
      </c>
      <c r="I60" s="76">
        <f t="shared" si="6"/>
        <v>142421</v>
      </c>
      <c r="J60" s="76">
        <f t="shared" si="7"/>
        <v>75025147</v>
      </c>
      <c r="K60" s="77">
        <f>J60*'Inflation Rates by Year'!$F$2</f>
        <v>89496394.477956608</v>
      </c>
      <c r="L60" s="78">
        <f t="shared" si="3"/>
        <v>628.39324592550679</v>
      </c>
    </row>
    <row r="61" spans="1:12" ht="14.5">
      <c r="A61" s="81">
        <v>43362</v>
      </c>
      <c r="B61" s="61">
        <v>60</v>
      </c>
      <c r="C61" s="61" t="s">
        <v>271</v>
      </c>
      <c r="D61" s="62">
        <v>142896</v>
      </c>
      <c r="E61" s="62">
        <v>76259350</v>
      </c>
      <c r="F61" s="63">
        <f t="shared" si="4"/>
        <v>475</v>
      </c>
      <c r="G61" s="63">
        <f t="shared" si="0"/>
        <v>0.26560841730477353</v>
      </c>
      <c r="H61" s="63">
        <f t="shared" si="5"/>
        <v>0.14719806053307813</v>
      </c>
      <c r="I61" s="76">
        <f t="shared" si="6"/>
        <v>142896</v>
      </c>
      <c r="J61" s="76">
        <f t="shared" si="7"/>
        <v>76259350</v>
      </c>
      <c r="K61" s="77">
        <f>J61*'Inflation Rates by Year'!$F$2</f>
        <v>90968657.085504413</v>
      </c>
      <c r="L61" s="78">
        <f t="shared" si="3"/>
        <v>636.60744237420511</v>
      </c>
    </row>
    <row r="62" spans="1:12" ht="14.5">
      <c r="A62" s="81">
        <v>43363</v>
      </c>
      <c r="B62" s="61">
        <v>61</v>
      </c>
      <c r="C62" s="61" t="s">
        <v>271</v>
      </c>
      <c r="D62" s="62">
        <v>143619</v>
      </c>
      <c r="E62" s="62">
        <v>74037360</v>
      </c>
      <c r="F62" s="63">
        <f t="shared" si="4"/>
        <v>723</v>
      </c>
      <c r="G62" s="63">
        <f t="shared" si="0"/>
        <v>0.40428396991863425</v>
      </c>
      <c r="H62" s="63">
        <f t="shared" si="5"/>
        <v>0.22358214241975743</v>
      </c>
      <c r="I62" s="76">
        <f t="shared" si="6"/>
        <v>143619</v>
      </c>
      <c r="J62" s="76">
        <f t="shared" si="7"/>
        <v>74037360</v>
      </c>
      <c r="K62" s="77">
        <f>J62*'Inflation Rates by Year'!$F$2</f>
        <v>88318077.892822862</v>
      </c>
      <c r="L62" s="78">
        <f t="shared" si="3"/>
        <v>614.94703272424169</v>
      </c>
    </row>
    <row r="63" spans="1:12" ht="14.5">
      <c r="A63" s="81">
        <v>43364</v>
      </c>
      <c r="B63" s="61">
        <v>62</v>
      </c>
      <c r="C63" s="61" t="s">
        <v>271</v>
      </c>
      <c r="D63" s="62">
        <v>143213</v>
      </c>
      <c r="E63" s="62">
        <v>74763161</v>
      </c>
      <c r="F63" s="63">
        <f t="shared" si="4"/>
        <v>-406</v>
      </c>
      <c r="G63" s="63">
        <f t="shared" si="0"/>
        <v>-0.22702529984365907</v>
      </c>
      <c r="H63" s="63">
        <f t="shared" si="5"/>
        <v>-0.12548288467817545</v>
      </c>
      <c r="I63" s="76">
        <f t="shared" si="6"/>
        <v>143213</v>
      </c>
      <c r="J63" s="76">
        <f t="shared" si="7"/>
        <v>74763161</v>
      </c>
      <c r="K63" s="77">
        <f>J63*'Inflation Rates by Year'!$F$2</f>
        <v>89183875.23152712</v>
      </c>
      <c r="L63" s="78">
        <f t="shared" si="3"/>
        <v>622.73589151492615</v>
      </c>
    </row>
    <row r="64" spans="1:12" ht="14.5">
      <c r="A64" s="81">
        <v>43365</v>
      </c>
      <c r="B64" s="61">
        <v>63</v>
      </c>
      <c r="C64" s="61" t="s">
        <v>271</v>
      </c>
      <c r="D64" s="62">
        <v>146038</v>
      </c>
      <c r="E64" s="62">
        <v>75911316</v>
      </c>
      <c r="F64" s="63">
        <f t="shared" si="4"/>
        <v>2825</v>
      </c>
      <c r="G64" s="63">
        <f t="shared" si="0"/>
        <v>1.5796711134441794</v>
      </c>
      <c r="H64" s="63">
        <f t="shared" si="5"/>
        <v>0.86947750050706352</v>
      </c>
      <c r="I64" s="76">
        <f t="shared" si="6"/>
        <v>146038</v>
      </c>
      <c r="J64" s="76">
        <f t="shared" si="7"/>
        <v>75911316</v>
      </c>
      <c r="K64" s="77">
        <f>J64*'Inflation Rates by Year'!$F$2</f>
        <v>90553492.445363939</v>
      </c>
      <c r="L64" s="78">
        <f t="shared" si="3"/>
        <v>620.06801274575071</v>
      </c>
    </row>
    <row r="65" spans="1:12" ht="14.5">
      <c r="A65" s="81">
        <v>43366</v>
      </c>
      <c r="B65" s="61">
        <v>64</v>
      </c>
      <c r="C65" s="61" t="s">
        <v>271</v>
      </c>
      <c r="D65" s="62">
        <v>146498</v>
      </c>
      <c r="E65" s="62">
        <v>76420445</v>
      </c>
      <c r="F65" s="63">
        <f t="shared" si="4"/>
        <v>460</v>
      </c>
      <c r="G65" s="63">
        <f t="shared" si="0"/>
        <v>0.25722078307409646</v>
      </c>
      <c r="H65" s="63">
        <f t="shared" si="5"/>
        <v>0.14077983722852702</v>
      </c>
      <c r="I65" s="76">
        <f t="shared" si="6"/>
        <v>146498</v>
      </c>
      <c r="J65" s="76">
        <f t="shared" si="7"/>
        <v>76420445</v>
      </c>
      <c r="K65" s="77">
        <f>J65*'Inflation Rates by Year'!$F$2</f>
        <v>91160824.941815674</v>
      </c>
      <c r="L65" s="78">
        <f t="shared" si="3"/>
        <v>622.26668583745629</v>
      </c>
    </row>
    <row r="66" spans="1:12" ht="14.5">
      <c r="A66" s="81">
        <v>43367</v>
      </c>
      <c r="B66" s="61">
        <v>65</v>
      </c>
      <c r="C66" s="61" t="s">
        <v>271</v>
      </c>
      <c r="D66" s="62">
        <v>147040</v>
      </c>
      <c r="E66" s="62">
        <v>76841808</v>
      </c>
      <c r="F66" s="63">
        <f t="shared" si="4"/>
        <v>542</v>
      </c>
      <c r="G66" s="63">
        <f t="shared" si="0"/>
        <v>0.30307318353513107</v>
      </c>
      <c r="H66" s="63">
        <f t="shared" si="5"/>
        <v>0.16559204074067382</v>
      </c>
      <c r="I66" s="76">
        <f t="shared" ref="I66:I97" si="8">D66</f>
        <v>147040</v>
      </c>
      <c r="J66" s="76">
        <f t="shared" ref="J66:J97" si="9">E66</f>
        <v>76841808</v>
      </c>
      <c r="K66" s="77">
        <f>J66*'Inflation Rates by Year'!$F$2</f>
        <v>91663462.667622656</v>
      </c>
      <c r="L66" s="78">
        <f t="shared" si="3"/>
        <v>623.39134023138365</v>
      </c>
    </row>
    <row r="67" spans="1:12" ht="14.5">
      <c r="A67" s="81">
        <v>43368</v>
      </c>
      <c r="B67" s="61">
        <v>66</v>
      </c>
      <c r="C67" s="61" t="s">
        <v>271</v>
      </c>
      <c r="D67" s="62">
        <v>154663</v>
      </c>
      <c r="E67" s="62">
        <v>77812560</v>
      </c>
      <c r="F67" s="63">
        <f t="shared" si="4"/>
        <v>7623</v>
      </c>
      <c r="G67" s="63">
        <f t="shared" si="0"/>
        <v>4.2625957160300816</v>
      </c>
      <c r="H67" s="63">
        <f t="shared" si="5"/>
        <v>2.2974333581849744</v>
      </c>
      <c r="I67" s="76">
        <f t="shared" si="8"/>
        <v>154663</v>
      </c>
      <c r="J67" s="76">
        <f t="shared" si="9"/>
        <v>77812560</v>
      </c>
      <c r="K67" s="77">
        <f>J67*'Inflation Rates by Year'!$F$2</f>
        <v>92821458.451786399</v>
      </c>
      <c r="L67" s="78">
        <f t="shared" si="3"/>
        <v>600.15296775432</v>
      </c>
    </row>
    <row r="68" spans="1:12" ht="14.5">
      <c r="A68" s="81">
        <v>43369</v>
      </c>
      <c r="B68" s="61">
        <v>67</v>
      </c>
      <c r="C68" s="61" t="s">
        <v>271</v>
      </c>
      <c r="D68" s="62">
        <v>156895</v>
      </c>
      <c r="E68" s="62">
        <v>78758863</v>
      </c>
      <c r="F68" s="63">
        <f t="shared" si="4"/>
        <v>2232</v>
      </c>
      <c r="G68" s="63">
        <f t="shared" si="0"/>
        <v>1.2480799735247463</v>
      </c>
      <c r="H68" s="63">
        <f t="shared" si="5"/>
        <v>0.66191111664427249</v>
      </c>
      <c r="I68" s="76">
        <f t="shared" si="8"/>
        <v>156895</v>
      </c>
      <c r="J68" s="76">
        <f t="shared" si="9"/>
        <v>78758863</v>
      </c>
      <c r="K68" s="77">
        <f>J68*'Inflation Rates by Year'!$F$2</f>
        <v>93950289.383416221</v>
      </c>
      <c r="L68" s="78">
        <f t="shared" si="3"/>
        <v>598.80996452032389</v>
      </c>
    </row>
    <row r="69" spans="1:12" ht="14.5">
      <c r="A69" s="81">
        <v>43370</v>
      </c>
      <c r="B69" s="61">
        <v>68</v>
      </c>
      <c r="C69" s="61" t="s">
        <v>271</v>
      </c>
      <c r="D69" s="62">
        <v>159384</v>
      </c>
      <c r="E69" s="62">
        <v>79649040</v>
      </c>
      <c r="F69" s="63">
        <f t="shared" si="4"/>
        <v>2489</v>
      </c>
      <c r="G69" s="63">
        <f t="shared" si="0"/>
        <v>1.3917881066770132</v>
      </c>
      <c r="H69" s="63">
        <f t="shared" si="5"/>
        <v>0.73259716285955678</v>
      </c>
      <c r="I69" s="76">
        <f t="shared" si="8"/>
        <v>159384</v>
      </c>
      <c r="J69" s="76">
        <f t="shared" si="9"/>
        <v>79649040</v>
      </c>
      <c r="K69" s="77">
        <f>J69*'Inflation Rates by Year'!$F$2</f>
        <v>95012168.435078785</v>
      </c>
      <c r="L69" s="78">
        <f t="shared" si="3"/>
        <v>596.12111902749825</v>
      </c>
    </row>
    <row r="70" spans="1:12" ht="14.5">
      <c r="A70" s="81">
        <v>43371</v>
      </c>
      <c r="B70" s="61">
        <v>69</v>
      </c>
      <c r="C70" s="61" t="s">
        <v>271</v>
      </c>
      <c r="D70" s="62">
        <v>163724</v>
      </c>
      <c r="E70" s="62">
        <v>80264944</v>
      </c>
      <c r="F70" s="63">
        <f t="shared" si="4"/>
        <v>4340</v>
      </c>
      <c r="G70" s="63">
        <f t="shared" si="0"/>
        <v>2.4268221707425623</v>
      </c>
      <c r="H70" s="63">
        <f t="shared" si="5"/>
        <v>1.263856659743821</v>
      </c>
      <c r="I70" s="76">
        <f t="shared" si="8"/>
        <v>163724</v>
      </c>
      <c r="J70" s="76">
        <f t="shared" si="9"/>
        <v>80264944</v>
      </c>
      <c r="K70" s="77">
        <f>J70*'Inflation Rates by Year'!$F$2</f>
        <v>95746871.25871405</v>
      </c>
      <c r="L70" s="78">
        <f t="shared" si="3"/>
        <v>584.80657239448124</v>
      </c>
    </row>
    <row r="71" spans="1:12" ht="14.5">
      <c r="A71" s="81">
        <v>43372</v>
      </c>
      <c r="B71" s="61">
        <v>70</v>
      </c>
      <c r="C71" s="61" t="s">
        <v>271</v>
      </c>
      <c r="D71" s="62">
        <v>167033</v>
      </c>
      <c r="E71" s="62">
        <v>82492089</v>
      </c>
      <c r="F71" s="63">
        <f t="shared" si="4"/>
        <v>3309</v>
      </c>
      <c r="G71" s="63">
        <f t="shared" si="0"/>
        <v>1.8503121112873593</v>
      </c>
      <c r="H71" s="63">
        <f t="shared" si="5"/>
        <v>0.95240097393525869</v>
      </c>
      <c r="I71" s="76">
        <f t="shared" si="8"/>
        <v>167033</v>
      </c>
      <c r="J71" s="76">
        <f t="shared" si="9"/>
        <v>82492089</v>
      </c>
      <c r="K71" s="77">
        <f>J71*'Inflation Rates by Year'!$F$2</f>
        <v>98403599.775082156</v>
      </c>
      <c r="L71" s="78">
        <f t="shared" si="3"/>
        <v>589.12669816791981</v>
      </c>
    </row>
    <row r="72" spans="1:12" ht="14.5">
      <c r="A72" s="81">
        <v>43373</v>
      </c>
      <c r="B72" s="61">
        <v>71</v>
      </c>
      <c r="C72" s="61" t="s">
        <v>271</v>
      </c>
      <c r="D72" s="62">
        <v>167033</v>
      </c>
      <c r="E72" s="62">
        <v>82033267</v>
      </c>
      <c r="F72" s="63">
        <f t="shared" si="4"/>
        <v>0</v>
      </c>
      <c r="G72" s="63">
        <f t="shared" si="0"/>
        <v>0</v>
      </c>
      <c r="H72" s="63">
        <f t="shared" si="5"/>
        <v>0</v>
      </c>
      <c r="I72" s="76">
        <f t="shared" si="8"/>
        <v>167033</v>
      </c>
      <c r="J72" s="76">
        <f t="shared" si="9"/>
        <v>82033267</v>
      </c>
      <c r="K72" s="77">
        <f>J72*'Inflation Rates by Year'!$F$2</f>
        <v>97856277.759076431</v>
      </c>
      <c r="L72" s="78">
        <f t="shared" si="3"/>
        <v>585.84996832408228</v>
      </c>
    </row>
    <row r="73" spans="1:12" ht="14.5">
      <c r="A73" s="81">
        <v>43374</v>
      </c>
      <c r="B73" s="61">
        <v>72</v>
      </c>
      <c r="C73" s="61" t="s">
        <v>271</v>
      </c>
      <c r="D73" s="62">
        <v>167033</v>
      </c>
      <c r="E73" s="62">
        <v>83441060</v>
      </c>
      <c r="F73" s="63">
        <f t="shared" si="4"/>
        <v>0</v>
      </c>
      <c r="G73" s="63">
        <f t="shared" si="0"/>
        <v>0</v>
      </c>
      <c r="H73" s="63">
        <f t="shared" si="5"/>
        <v>0</v>
      </c>
      <c r="I73" s="76">
        <f t="shared" si="8"/>
        <v>167033</v>
      </c>
      <c r="J73" s="76">
        <f t="shared" si="9"/>
        <v>83441060</v>
      </c>
      <c r="K73" s="77">
        <f>J73*'Inflation Rates by Year'!$F$2</f>
        <v>99535613.324674278</v>
      </c>
      <c r="L73" s="78">
        <f t="shared" si="3"/>
        <v>595.90388321274406</v>
      </c>
    </row>
    <row r="74" spans="1:12" ht="14.5">
      <c r="A74" s="81">
        <v>43375</v>
      </c>
      <c r="B74" s="61">
        <v>73</v>
      </c>
      <c r="C74" s="61" t="s">
        <v>271</v>
      </c>
      <c r="D74" s="62">
        <v>167033</v>
      </c>
      <c r="E74" s="62">
        <v>84997945</v>
      </c>
      <c r="F74" s="63">
        <f t="shared" si="4"/>
        <v>0</v>
      </c>
      <c r="G74" s="63">
        <f t="shared" si="0"/>
        <v>0</v>
      </c>
      <c r="H74" s="63">
        <f t="shared" si="5"/>
        <v>0</v>
      </c>
      <c r="I74" s="76">
        <f t="shared" si="8"/>
        <v>167033</v>
      </c>
      <c r="J74" s="76">
        <f t="shared" si="9"/>
        <v>84997945</v>
      </c>
      <c r="K74" s="77">
        <f>J74*'Inflation Rates by Year'!$F$2</f>
        <v>101392798.54440884</v>
      </c>
      <c r="L74" s="78">
        <f t="shared" si="3"/>
        <v>607.02255568904854</v>
      </c>
    </row>
    <row r="75" spans="1:12" ht="14.5">
      <c r="A75" s="81">
        <v>43376</v>
      </c>
      <c r="B75" s="61">
        <v>74</v>
      </c>
      <c r="C75" s="61" t="s">
        <v>271</v>
      </c>
      <c r="D75" s="62">
        <v>167033</v>
      </c>
      <c r="E75" s="62">
        <v>85538486</v>
      </c>
      <c r="F75" s="63">
        <f t="shared" si="4"/>
        <v>0</v>
      </c>
      <c r="G75" s="63">
        <f t="shared" si="0"/>
        <v>0</v>
      </c>
      <c r="H75" s="63">
        <f t="shared" si="5"/>
        <v>0</v>
      </c>
      <c r="I75" s="76">
        <f t="shared" si="8"/>
        <v>167033</v>
      </c>
      <c r="J75" s="76">
        <f t="shared" si="9"/>
        <v>85538486</v>
      </c>
      <c r="K75" s="77">
        <f>J75*'Inflation Rates by Year'!$F$2</f>
        <v>102037601.9536912</v>
      </c>
      <c r="L75" s="78">
        <f t="shared" si="3"/>
        <v>610.88289112744906</v>
      </c>
    </row>
    <row r="76" spans="1:12" ht="14.5">
      <c r="A76" s="81">
        <v>43377</v>
      </c>
      <c r="B76" s="61">
        <v>75</v>
      </c>
      <c r="C76" s="61" t="s">
        <v>271</v>
      </c>
      <c r="D76" s="62">
        <v>167033</v>
      </c>
      <c r="E76" s="62">
        <v>85538486</v>
      </c>
      <c r="F76" s="63">
        <f t="shared" si="4"/>
        <v>0</v>
      </c>
      <c r="G76" s="63">
        <f t="shared" si="0"/>
        <v>0</v>
      </c>
      <c r="H76" s="63">
        <f t="shared" si="5"/>
        <v>0</v>
      </c>
      <c r="I76" s="76">
        <f t="shared" si="8"/>
        <v>167033</v>
      </c>
      <c r="J76" s="76">
        <f t="shared" si="9"/>
        <v>85538486</v>
      </c>
      <c r="K76" s="77">
        <f>J76*'Inflation Rates by Year'!$F$2</f>
        <v>102037601.9536912</v>
      </c>
      <c r="L76" s="78">
        <f t="shared" si="3"/>
        <v>610.88289112744906</v>
      </c>
    </row>
    <row r="77" spans="1:12" ht="14.5">
      <c r="A77" s="81">
        <v>43378</v>
      </c>
      <c r="B77" s="61">
        <v>76</v>
      </c>
      <c r="C77" s="61" t="s">
        <v>271</v>
      </c>
      <c r="D77" s="62">
        <v>167423</v>
      </c>
      <c r="E77" s="62">
        <v>85751646</v>
      </c>
      <c r="F77" s="63">
        <f t="shared" si="4"/>
        <v>390</v>
      </c>
      <c r="G77" s="63">
        <f t="shared" si="0"/>
        <v>0.21807848999760354</v>
      </c>
      <c r="H77" s="63">
        <f t="shared" si="5"/>
        <v>0.11162650757926859</v>
      </c>
      <c r="I77" s="76">
        <f t="shared" si="8"/>
        <v>167423</v>
      </c>
      <c r="J77" s="76">
        <f t="shared" si="9"/>
        <v>85751646</v>
      </c>
      <c r="K77" s="77">
        <f>J77*'Inflation Rates by Year'!$F$2</f>
        <v>102291877.38279393</v>
      </c>
      <c r="L77" s="78">
        <f t="shared" si="3"/>
        <v>610.97864321385907</v>
      </c>
    </row>
    <row r="78" spans="1:12" ht="14.5">
      <c r="A78" s="81">
        <v>43379</v>
      </c>
      <c r="B78" s="61">
        <v>77</v>
      </c>
      <c r="C78" s="61" t="s">
        <v>271</v>
      </c>
      <c r="D78" s="62">
        <v>167423</v>
      </c>
      <c r="E78" s="62">
        <v>86347805</v>
      </c>
      <c r="F78" s="63">
        <f t="shared" si="4"/>
        <v>0</v>
      </c>
      <c r="G78" s="63">
        <f t="shared" si="0"/>
        <v>0</v>
      </c>
      <c r="H78" s="63">
        <f t="shared" si="5"/>
        <v>0</v>
      </c>
      <c r="I78" s="76">
        <f t="shared" si="8"/>
        <v>167423</v>
      </c>
      <c r="J78" s="76">
        <f t="shared" si="9"/>
        <v>86347805</v>
      </c>
      <c r="K78" s="77">
        <f>J78*'Inflation Rates by Year'!$F$2</f>
        <v>103003026.68631458</v>
      </c>
      <c r="L78" s="78">
        <f t="shared" si="3"/>
        <v>615.22626333487381</v>
      </c>
    </row>
    <row r="79" spans="1:12" ht="14.5">
      <c r="A79" s="81">
        <v>43381</v>
      </c>
      <c r="B79" s="61">
        <v>78</v>
      </c>
      <c r="C79" s="61" t="s">
        <v>271</v>
      </c>
      <c r="D79" s="62">
        <v>167423</v>
      </c>
      <c r="E79" s="62">
        <v>87714799</v>
      </c>
      <c r="F79" s="63">
        <f t="shared" si="4"/>
        <v>0</v>
      </c>
      <c r="G79" s="63">
        <f t="shared" si="0"/>
        <v>0</v>
      </c>
      <c r="H79" s="63">
        <f t="shared" si="5"/>
        <v>0</v>
      </c>
      <c r="I79" s="76">
        <f t="shared" si="8"/>
        <v>167423</v>
      </c>
      <c r="J79" s="76">
        <f t="shared" si="9"/>
        <v>87714799</v>
      </c>
      <c r="K79" s="77">
        <f>J79*'Inflation Rates by Year'!$F$2</f>
        <v>104633693.72483434</v>
      </c>
      <c r="L79" s="78">
        <f t="shared" si="3"/>
        <v>624.96606633995532</v>
      </c>
    </row>
    <row r="80" spans="1:12" ht="14.5">
      <c r="A80" s="81">
        <v>43382</v>
      </c>
      <c r="B80" s="61">
        <v>79</v>
      </c>
      <c r="C80" s="61" t="s">
        <v>271</v>
      </c>
      <c r="D80" s="62">
        <v>167423</v>
      </c>
      <c r="E80" s="62">
        <v>88469820</v>
      </c>
      <c r="F80" s="63">
        <f t="shared" si="4"/>
        <v>0</v>
      </c>
      <c r="G80" s="63">
        <f t="shared" si="0"/>
        <v>0</v>
      </c>
      <c r="H80" s="63">
        <f t="shared" si="5"/>
        <v>0</v>
      </c>
      <c r="I80" s="76">
        <f t="shared" si="8"/>
        <v>167423</v>
      </c>
      <c r="J80" s="76">
        <f t="shared" si="9"/>
        <v>88469820</v>
      </c>
      <c r="K80" s="77">
        <f>J80*'Inflation Rates by Year'!$F$2</f>
        <v>105534347.17180648</v>
      </c>
      <c r="L80" s="78">
        <f t="shared" si="3"/>
        <v>630.34557481234049</v>
      </c>
    </row>
    <row r="81" spans="1:12" ht="14.5">
      <c r="A81" s="84">
        <v>43383</v>
      </c>
      <c r="B81" s="61">
        <v>80</v>
      </c>
      <c r="C81" s="61" t="s">
        <v>271</v>
      </c>
      <c r="D81" s="62">
        <v>167423</v>
      </c>
      <c r="E81" s="62">
        <v>88943205</v>
      </c>
      <c r="F81" s="63">
        <f t="shared" si="4"/>
        <v>0</v>
      </c>
      <c r="G81" s="63">
        <f t="shared" si="0"/>
        <v>0</v>
      </c>
      <c r="H81" s="63">
        <f t="shared" si="5"/>
        <v>0</v>
      </c>
      <c r="I81" s="76">
        <f t="shared" si="8"/>
        <v>167423</v>
      </c>
      <c r="J81" s="76">
        <f t="shared" si="9"/>
        <v>88943205</v>
      </c>
      <c r="K81" s="77">
        <f>J81*'Inflation Rates by Year'!$F$2</f>
        <v>106099041.17633735</v>
      </c>
      <c r="L81" s="78">
        <f t="shared" si="3"/>
        <v>633.71843280993255</v>
      </c>
    </row>
    <row r="82" spans="1:12" ht="14.5">
      <c r="A82" s="84">
        <v>43384</v>
      </c>
      <c r="B82" s="61">
        <v>81</v>
      </c>
      <c r="C82" s="61" t="s">
        <v>271</v>
      </c>
      <c r="D82" s="62">
        <v>167423</v>
      </c>
      <c r="E82" s="62">
        <v>89223292</v>
      </c>
      <c r="F82" s="63">
        <f t="shared" si="4"/>
        <v>0</v>
      </c>
      <c r="G82" s="63">
        <f t="shared" si="0"/>
        <v>0</v>
      </c>
      <c r="H82" s="63">
        <f t="shared" si="5"/>
        <v>0</v>
      </c>
      <c r="I82" s="76">
        <f t="shared" si="8"/>
        <v>167423</v>
      </c>
      <c r="J82" s="76">
        <f t="shared" si="9"/>
        <v>89223292</v>
      </c>
      <c r="K82" s="77">
        <f>J82*'Inflation Rates by Year'!$F$2</f>
        <v>106433152.83945942</v>
      </c>
      <c r="L82" s="78">
        <f t="shared" si="3"/>
        <v>635.71404669286426</v>
      </c>
    </row>
    <row r="83" spans="1:12" ht="14.5">
      <c r="A83" s="84">
        <v>43385</v>
      </c>
      <c r="B83" s="61">
        <v>82</v>
      </c>
      <c r="C83" s="61" t="s">
        <v>271</v>
      </c>
      <c r="D83" s="62">
        <v>167423</v>
      </c>
      <c r="E83" s="62">
        <v>89718143</v>
      </c>
      <c r="F83" s="63">
        <f t="shared" si="4"/>
        <v>0</v>
      </c>
      <c r="G83" s="63">
        <f t="shared" si="0"/>
        <v>0</v>
      </c>
      <c r="H83" s="63">
        <f t="shared" si="5"/>
        <v>0</v>
      </c>
      <c r="I83" s="76">
        <f t="shared" si="8"/>
        <v>167423</v>
      </c>
      <c r="J83" s="76">
        <f t="shared" si="9"/>
        <v>89718143</v>
      </c>
      <c r="K83" s="77">
        <f>J83*'Inflation Rates by Year'!$F$2</f>
        <v>107023453.31969455</v>
      </c>
      <c r="L83" s="78">
        <f t="shared" si="3"/>
        <v>639.23984948122154</v>
      </c>
    </row>
    <row r="84" spans="1:12" ht="14.5">
      <c r="A84" s="84">
        <v>43386</v>
      </c>
      <c r="B84" s="61">
        <v>83</v>
      </c>
      <c r="C84" s="61" t="s">
        <v>271</v>
      </c>
      <c r="D84" s="62">
        <v>167423</v>
      </c>
      <c r="E84" s="62">
        <v>90222524</v>
      </c>
      <c r="F84" s="63">
        <f t="shared" si="4"/>
        <v>0</v>
      </c>
      <c r="G84" s="63">
        <f t="shared" si="0"/>
        <v>0</v>
      </c>
      <c r="H84" s="63">
        <f t="shared" si="5"/>
        <v>0</v>
      </c>
      <c r="I84" s="76">
        <f t="shared" si="8"/>
        <v>167423</v>
      </c>
      <c r="J84" s="76">
        <f t="shared" si="9"/>
        <v>90222524</v>
      </c>
      <c r="K84" s="77">
        <f>J84*'Inflation Rates by Year'!$F$2</f>
        <v>107625121.99677406</v>
      </c>
      <c r="L84" s="78">
        <f t="shared" si="3"/>
        <v>642.83355331569771</v>
      </c>
    </row>
    <row r="85" spans="1:12" ht="14.5">
      <c r="A85" s="84">
        <v>43387</v>
      </c>
      <c r="B85" s="61">
        <v>84</v>
      </c>
      <c r="C85" s="61" t="s">
        <v>271</v>
      </c>
      <c r="D85" s="62">
        <v>167473</v>
      </c>
      <c r="E85" s="62">
        <v>90628433</v>
      </c>
      <c r="F85" s="63">
        <f t="shared" si="4"/>
        <v>50</v>
      </c>
      <c r="G85" s="63">
        <f t="shared" si="0"/>
        <v>2.7958780768923528E-2</v>
      </c>
      <c r="H85" s="63">
        <f t="shared" si="5"/>
        <v>1.430168398756069E-2</v>
      </c>
      <c r="I85" s="76">
        <f t="shared" si="8"/>
        <v>167473</v>
      </c>
      <c r="J85" s="76">
        <f t="shared" si="9"/>
        <v>90628433</v>
      </c>
      <c r="K85" s="77">
        <f>J85*'Inflation Rates by Year'!$F$2</f>
        <v>108109324.87325963</v>
      </c>
      <c r="L85" s="78">
        <f t="shared" si="3"/>
        <v>645.53286125679745</v>
      </c>
    </row>
    <row r="86" spans="1:12" ht="14.5">
      <c r="A86" s="84">
        <v>43388</v>
      </c>
      <c r="B86" s="61">
        <v>85</v>
      </c>
      <c r="C86" s="61" t="s">
        <v>271</v>
      </c>
      <c r="D86" s="62">
        <v>172967</v>
      </c>
      <c r="E86" s="62">
        <v>91210078</v>
      </c>
      <c r="F86" s="63">
        <f t="shared" si="4"/>
        <v>5494</v>
      </c>
      <c r="G86" s="63">
        <f t="shared" si="0"/>
        <v>3.0721108308893172</v>
      </c>
      <c r="H86" s="63">
        <f t="shared" si="5"/>
        <v>1.5586717201208449</v>
      </c>
      <c r="I86" s="76">
        <f t="shared" si="8"/>
        <v>172967</v>
      </c>
      <c r="J86" s="76">
        <f t="shared" si="9"/>
        <v>91210078</v>
      </c>
      <c r="K86" s="77">
        <f>J86*'Inflation Rates by Year'!$F$2</f>
        <v>108803160.63963449</v>
      </c>
      <c r="L86" s="78">
        <f t="shared" si="3"/>
        <v>629.03999398517919</v>
      </c>
    </row>
    <row r="87" spans="1:12" ht="14.5">
      <c r="A87" s="84">
        <v>43389</v>
      </c>
      <c r="B87" s="61">
        <v>86</v>
      </c>
      <c r="C87" s="61" t="s">
        <v>271</v>
      </c>
      <c r="D87" s="62">
        <v>172287</v>
      </c>
      <c r="E87" s="62">
        <v>92007182</v>
      </c>
      <c r="F87" s="63">
        <f t="shared" si="4"/>
        <v>-680</v>
      </c>
      <c r="G87" s="63">
        <f t="shared" si="0"/>
        <v>-0.38023941845735998</v>
      </c>
      <c r="H87" s="63">
        <f t="shared" si="5"/>
        <v>-0.19156312628421376</v>
      </c>
      <c r="I87" s="76">
        <f t="shared" si="8"/>
        <v>172287</v>
      </c>
      <c r="J87" s="76">
        <f t="shared" si="9"/>
        <v>92007182</v>
      </c>
      <c r="K87" s="77">
        <f>J87*'Inflation Rates by Year'!$F$2</f>
        <v>109754014.2784012</v>
      </c>
      <c r="L87" s="78">
        <f t="shared" si="3"/>
        <v>637.04176332747795</v>
      </c>
    </row>
    <row r="88" spans="1:12" ht="14.5">
      <c r="A88" s="84">
        <v>43390</v>
      </c>
      <c r="B88" s="61">
        <v>87</v>
      </c>
      <c r="C88" s="61" t="s">
        <v>271</v>
      </c>
      <c r="D88" s="62">
        <v>172797</v>
      </c>
      <c r="E88" s="62">
        <v>92643356</v>
      </c>
      <c r="F88" s="63">
        <f t="shared" si="4"/>
        <v>510</v>
      </c>
      <c r="G88" s="63">
        <f t="shared" si="0"/>
        <v>0.28517956384302001</v>
      </c>
      <c r="H88" s="63">
        <f t="shared" si="5"/>
        <v>0.1437076988255562</v>
      </c>
      <c r="I88" s="76">
        <f t="shared" si="8"/>
        <v>172797</v>
      </c>
      <c r="J88" s="76">
        <f t="shared" si="9"/>
        <v>92643356</v>
      </c>
      <c r="K88" s="77">
        <f>J88*'Inflation Rates by Year'!$F$2</f>
        <v>110512896.88693003</v>
      </c>
      <c r="L88" s="78">
        <f t="shared" si="3"/>
        <v>639.5533307113551</v>
      </c>
    </row>
    <row r="89" spans="1:12" ht="14.5">
      <c r="A89" s="84">
        <v>43391</v>
      </c>
      <c r="B89" s="61">
        <v>88</v>
      </c>
      <c r="C89" s="61" t="s">
        <v>271</v>
      </c>
      <c r="D89" s="62">
        <v>173069</v>
      </c>
      <c r="E89" s="62">
        <v>93591550</v>
      </c>
      <c r="F89" s="63">
        <f t="shared" si="4"/>
        <v>272</v>
      </c>
      <c r="G89" s="63">
        <f t="shared" si="0"/>
        <v>0.152095767382944</v>
      </c>
      <c r="H89" s="63">
        <f t="shared" si="5"/>
        <v>7.6557396198478581E-2</v>
      </c>
      <c r="I89" s="76">
        <f t="shared" si="8"/>
        <v>173069</v>
      </c>
      <c r="J89" s="76">
        <f t="shared" si="9"/>
        <v>93591550</v>
      </c>
      <c r="K89" s="77">
        <f>J89*'Inflation Rates by Year'!$F$2</f>
        <v>111643983.56464933</v>
      </c>
      <c r="L89" s="78">
        <f t="shared" si="3"/>
        <v>645.08365775875131</v>
      </c>
    </row>
    <row r="90" spans="1:12" ht="14.5">
      <c r="A90" s="84">
        <v>43392</v>
      </c>
      <c r="B90" s="61">
        <v>89</v>
      </c>
      <c r="C90" s="61" t="s">
        <v>271</v>
      </c>
      <c r="D90" s="62">
        <v>173359</v>
      </c>
      <c r="E90" s="62">
        <v>94626920</v>
      </c>
      <c r="F90" s="63">
        <f t="shared" si="4"/>
        <v>290</v>
      </c>
      <c r="G90" s="63">
        <f t="shared" si="0"/>
        <v>0.16216092845975646</v>
      </c>
      <c r="H90" s="63">
        <f t="shared" si="5"/>
        <v>8.155746057693021E-2</v>
      </c>
      <c r="I90" s="76">
        <f t="shared" si="8"/>
        <v>173359</v>
      </c>
      <c r="J90" s="76">
        <f t="shared" si="9"/>
        <v>94626920</v>
      </c>
      <c r="K90" s="77">
        <f>J90*'Inflation Rates by Year'!$F$2</f>
        <v>112879061.21069036</v>
      </c>
      <c r="L90" s="78">
        <f t="shared" si="3"/>
        <v>651.12893596923357</v>
      </c>
    </row>
    <row r="91" spans="1:12" ht="14.5">
      <c r="A91" s="84">
        <v>43393</v>
      </c>
      <c r="B91" s="61">
        <v>90</v>
      </c>
      <c r="C91" s="61" t="s">
        <v>271</v>
      </c>
      <c r="D91" s="62">
        <v>173619</v>
      </c>
      <c r="E91" s="62">
        <v>95284560</v>
      </c>
      <c r="F91" s="63">
        <f t="shared" si="4"/>
        <v>260</v>
      </c>
      <c r="G91" s="63">
        <f t="shared" si="0"/>
        <v>0.14538565999840236</v>
      </c>
      <c r="H91" s="63">
        <f t="shared" si="5"/>
        <v>7.3062505458295748E-2</v>
      </c>
      <c r="I91" s="76">
        <f t="shared" si="8"/>
        <v>173619</v>
      </c>
      <c r="J91" s="76">
        <f t="shared" si="9"/>
        <v>95284560</v>
      </c>
      <c r="K91" s="77">
        <f>J91*'Inflation Rates by Year'!$F$2</f>
        <v>113663550.29492345</v>
      </c>
      <c r="L91" s="78">
        <f t="shared" si="3"/>
        <v>654.67230138938396</v>
      </c>
    </row>
    <row r="92" spans="1:12" ht="14.5">
      <c r="A92" s="84">
        <v>43394</v>
      </c>
      <c r="B92" s="61">
        <v>91</v>
      </c>
      <c r="C92" s="61" t="s">
        <v>271</v>
      </c>
      <c r="D92" s="62">
        <v>173897</v>
      </c>
      <c r="E92" s="62">
        <v>96478747</v>
      </c>
      <c r="F92" s="63">
        <f t="shared" si="4"/>
        <v>278</v>
      </c>
      <c r="G92" s="63">
        <f t="shared" si="0"/>
        <v>0.15545082107521482</v>
      </c>
      <c r="H92" s="63">
        <f t="shared" si="5"/>
        <v>7.8060185766897466E-2</v>
      </c>
      <c r="I92" s="76">
        <f t="shared" si="8"/>
        <v>173897</v>
      </c>
      <c r="J92" s="76">
        <f t="shared" si="9"/>
        <v>96478747</v>
      </c>
      <c r="K92" s="77">
        <f>J92*'Inflation Rates by Year'!$F$2</f>
        <v>115088078.40457778</v>
      </c>
      <c r="L92" s="78">
        <f t="shared" si="3"/>
        <v>661.81750349101924</v>
      </c>
    </row>
    <row r="93" spans="1:12" ht="14.5">
      <c r="A93" s="84">
        <v>43395</v>
      </c>
      <c r="B93" s="61">
        <v>92</v>
      </c>
      <c r="C93" s="61" t="s">
        <v>271</v>
      </c>
      <c r="D93" s="62">
        <v>174175</v>
      </c>
      <c r="E93" s="62">
        <v>97234036</v>
      </c>
      <c r="F93" s="63">
        <f t="shared" si="4"/>
        <v>278</v>
      </c>
      <c r="G93" s="63">
        <f t="shared" si="0"/>
        <v>0.15545082107521482</v>
      </c>
      <c r="H93" s="63">
        <f t="shared" si="5"/>
        <v>7.7997815304659227E-2</v>
      </c>
      <c r="I93" s="76">
        <f t="shared" si="8"/>
        <v>174175</v>
      </c>
      <c r="J93" s="76">
        <f t="shared" si="9"/>
        <v>97234036</v>
      </c>
      <c r="K93" s="77">
        <f>J93*'Inflation Rates by Year'!$F$2</f>
        <v>115989051.54480849</v>
      </c>
      <c r="L93" s="78">
        <f t="shared" si="3"/>
        <v>665.93398332027266</v>
      </c>
    </row>
    <row r="94" spans="1:12" ht="14.5">
      <c r="A94" s="84">
        <v>43396</v>
      </c>
      <c r="B94" s="61">
        <v>93</v>
      </c>
      <c r="C94" s="61" t="s">
        <v>271</v>
      </c>
      <c r="D94" s="62">
        <v>174446</v>
      </c>
      <c r="E94" s="62">
        <v>97971094</v>
      </c>
      <c r="F94" s="63">
        <f t="shared" si="4"/>
        <v>271</v>
      </c>
      <c r="G94" s="63">
        <f t="shared" si="0"/>
        <v>0.15153659176756554</v>
      </c>
      <c r="H94" s="63">
        <f t="shared" si="5"/>
        <v>7.5973949494169829E-2</v>
      </c>
      <c r="I94" s="76">
        <f t="shared" si="8"/>
        <v>174446</v>
      </c>
      <c r="J94" s="76">
        <f t="shared" si="9"/>
        <v>97971094</v>
      </c>
      <c r="K94" s="77">
        <f>J94*'Inflation Rates by Year'!$F$2</f>
        <v>116868277.19325852</v>
      </c>
      <c r="L94" s="78">
        <f t="shared" si="3"/>
        <v>669.93956406715267</v>
      </c>
    </row>
    <row r="95" spans="1:12" ht="14.5">
      <c r="A95" s="84">
        <v>43397</v>
      </c>
      <c r="B95" s="61">
        <v>94</v>
      </c>
      <c r="C95" s="61" t="s">
        <v>271</v>
      </c>
      <c r="D95" s="62">
        <v>174446</v>
      </c>
      <c r="E95" s="62">
        <v>98908096</v>
      </c>
      <c r="F95" s="63">
        <f t="shared" si="4"/>
        <v>0</v>
      </c>
      <c r="G95" s="63">
        <f t="shared" si="0"/>
        <v>0</v>
      </c>
      <c r="H95" s="63">
        <f t="shared" si="5"/>
        <v>0</v>
      </c>
      <c r="I95" s="76">
        <f t="shared" si="8"/>
        <v>174446</v>
      </c>
      <c r="J95" s="76">
        <f t="shared" si="9"/>
        <v>98908096</v>
      </c>
      <c r="K95" s="77">
        <f>J95*'Inflation Rates by Year'!$F$2</f>
        <v>117986013.0987761</v>
      </c>
      <c r="L95" s="78">
        <f t="shared" si="3"/>
        <v>676.34691021161905</v>
      </c>
    </row>
    <row r="96" spans="1:12" ht="14.5">
      <c r="A96" s="84">
        <v>43398</v>
      </c>
      <c r="B96" s="61">
        <v>95</v>
      </c>
      <c r="C96" s="61" t="s">
        <v>271</v>
      </c>
      <c r="D96" s="62">
        <v>174446</v>
      </c>
      <c r="E96" s="62">
        <v>98823032</v>
      </c>
      <c r="F96" s="63">
        <f t="shared" si="4"/>
        <v>0</v>
      </c>
      <c r="G96" s="63">
        <f t="shared" si="0"/>
        <v>0</v>
      </c>
      <c r="H96" s="63">
        <f t="shared" si="5"/>
        <v>0</v>
      </c>
      <c r="I96" s="76">
        <f t="shared" si="8"/>
        <v>174446</v>
      </c>
      <c r="J96" s="76">
        <f t="shared" si="9"/>
        <v>98823032</v>
      </c>
      <c r="K96" s="77">
        <f>J96*'Inflation Rates by Year'!$F$2</f>
        <v>117884541.50419365</v>
      </c>
      <c r="L96" s="78">
        <f t="shared" si="3"/>
        <v>675.76523109841241</v>
      </c>
    </row>
    <row r="97" spans="1:26" ht="14.5">
      <c r="A97" s="84">
        <v>43399</v>
      </c>
      <c r="B97" s="61">
        <v>96</v>
      </c>
      <c r="C97" s="61" t="s">
        <v>271</v>
      </c>
      <c r="D97" s="62">
        <v>174446</v>
      </c>
      <c r="E97" s="62">
        <v>99686452</v>
      </c>
      <c r="F97" s="63">
        <f t="shared" si="4"/>
        <v>0</v>
      </c>
      <c r="G97" s="63">
        <f t="shared" si="0"/>
        <v>0</v>
      </c>
      <c r="H97" s="63">
        <f t="shared" si="5"/>
        <v>0</v>
      </c>
      <c r="I97" s="76">
        <f t="shared" si="8"/>
        <v>174446</v>
      </c>
      <c r="J97" s="76">
        <f t="shared" si="9"/>
        <v>99686452</v>
      </c>
      <c r="K97" s="77">
        <f>J97*'Inflation Rates by Year'!$F$2</f>
        <v>118914502.52406552</v>
      </c>
      <c r="L97" s="78">
        <f t="shared" si="3"/>
        <v>681.66941359541363</v>
      </c>
    </row>
    <row r="98" spans="1:26" ht="14.5">
      <c r="A98" s="84">
        <v>43400</v>
      </c>
      <c r="B98" s="61">
        <v>97</v>
      </c>
      <c r="C98" s="61" t="s">
        <v>271</v>
      </c>
      <c r="D98" s="62">
        <v>174446</v>
      </c>
      <c r="E98" s="62">
        <v>100296381</v>
      </c>
      <c r="F98" s="63">
        <f t="shared" si="4"/>
        <v>0</v>
      </c>
      <c r="G98" s="63">
        <f t="shared" si="0"/>
        <v>0</v>
      </c>
      <c r="H98" s="63">
        <f t="shared" si="5"/>
        <v>0</v>
      </c>
      <c r="I98" s="76">
        <f t="shared" ref="I98:I107" si="10">D98</f>
        <v>174446</v>
      </c>
      <c r="J98" s="76">
        <f t="shared" ref="J98:J107" si="11">E98</f>
        <v>100296381</v>
      </c>
      <c r="K98" s="77">
        <f>J98*'Inflation Rates by Year'!$F$2</f>
        <v>119642077.8580738</v>
      </c>
      <c r="L98" s="78">
        <f t="shared" si="3"/>
        <v>685.84019042038108</v>
      </c>
    </row>
    <row r="99" spans="1:26" ht="14.5">
      <c r="A99" s="85">
        <v>43401</v>
      </c>
      <c r="B99" s="83">
        <v>98</v>
      </c>
      <c r="C99" s="83" t="s">
        <v>271</v>
      </c>
      <c r="D99" s="72">
        <v>175258</v>
      </c>
      <c r="E99" s="72">
        <v>100880768</v>
      </c>
      <c r="F99" s="71">
        <f t="shared" si="4"/>
        <v>812</v>
      </c>
      <c r="G99" s="63">
        <f t="shared" si="0"/>
        <v>0.45405059968731815</v>
      </c>
      <c r="H99" s="63">
        <f t="shared" si="5"/>
        <v>0.22728887245356297</v>
      </c>
      <c r="I99" s="72">
        <f t="shared" si="10"/>
        <v>175258</v>
      </c>
      <c r="J99" s="72">
        <f t="shared" si="11"/>
        <v>100880768</v>
      </c>
      <c r="K99" s="77">
        <f>J99*'Inflation Rates by Year'!$F$2</f>
        <v>120339184.51592267</v>
      </c>
      <c r="L99" s="73">
        <f t="shared" si="3"/>
        <v>686.6401791411671</v>
      </c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4.5">
      <c r="A100" s="84">
        <v>43402</v>
      </c>
      <c r="B100" s="61">
        <v>99</v>
      </c>
      <c r="C100" s="61" t="s">
        <v>271</v>
      </c>
      <c r="D100" s="62">
        <v>175258</v>
      </c>
      <c r="E100" s="62">
        <v>101438231</v>
      </c>
      <c r="F100" s="63">
        <f t="shared" si="4"/>
        <v>0</v>
      </c>
      <c r="G100" s="63">
        <f t="shared" si="0"/>
        <v>0</v>
      </c>
      <c r="H100" s="63">
        <f t="shared" si="5"/>
        <v>0</v>
      </c>
      <c r="I100" s="76">
        <f t="shared" si="10"/>
        <v>175258</v>
      </c>
      <c r="J100" s="76">
        <f t="shared" si="11"/>
        <v>101438231</v>
      </c>
      <c r="K100" s="77">
        <f>J100*'Inflation Rates by Year'!$F$2</f>
        <v>121004173.93013687</v>
      </c>
      <c r="L100" s="78">
        <f t="shared" si="3"/>
        <v>690.43452470150794</v>
      </c>
    </row>
    <row r="101" spans="1:26" ht="14.5">
      <c r="A101" s="84">
        <v>43403</v>
      </c>
      <c r="B101" s="61">
        <v>100</v>
      </c>
      <c r="C101" s="61" t="s">
        <v>271</v>
      </c>
      <c r="D101" s="62">
        <v>175258</v>
      </c>
      <c r="E101" s="62">
        <v>95174817</v>
      </c>
      <c r="F101" s="63">
        <f t="shared" si="4"/>
        <v>0</v>
      </c>
      <c r="G101" s="63">
        <f t="shared" si="0"/>
        <v>0</v>
      </c>
      <c r="H101" s="63">
        <f t="shared" si="5"/>
        <v>0</v>
      </c>
      <c r="I101" s="76">
        <f t="shared" si="10"/>
        <v>175258</v>
      </c>
      <c r="J101" s="76">
        <f t="shared" si="11"/>
        <v>95174817</v>
      </c>
      <c r="K101" s="77">
        <f>J101*'Inflation Rates by Year'!$F$2</f>
        <v>113532639.48418963</v>
      </c>
      <c r="L101" s="78">
        <f t="shared" si="3"/>
        <v>647.80289335830389</v>
      </c>
    </row>
    <row r="102" spans="1:26" ht="14.5">
      <c r="A102" s="84">
        <v>43404</v>
      </c>
      <c r="B102" s="61">
        <v>101</v>
      </c>
      <c r="C102" s="61" t="s">
        <v>271</v>
      </c>
      <c r="D102" s="62">
        <v>175258</v>
      </c>
      <c r="E102" s="62">
        <v>95424553</v>
      </c>
      <c r="F102" s="63">
        <f t="shared" si="4"/>
        <v>0</v>
      </c>
      <c r="G102" s="63">
        <f t="shared" si="0"/>
        <v>0</v>
      </c>
      <c r="H102" s="63">
        <f t="shared" si="5"/>
        <v>0</v>
      </c>
      <c r="I102" s="76">
        <f t="shared" si="10"/>
        <v>175258</v>
      </c>
      <c r="J102" s="76">
        <f t="shared" si="11"/>
        <v>95424553</v>
      </c>
      <c r="K102" s="77">
        <f>J102*'Inflation Rates by Year'!$F$2</f>
        <v>113830545.88577718</v>
      </c>
      <c r="L102" s="78">
        <f t="shared" si="3"/>
        <v>649.50270963823152</v>
      </c>
    </row>
    <row r="103" spans="1:26" ht="14.5">
      <c r="A103" s="81">
        <v>43405</v>
      </c>
      <c r="B103" s="61">
        <v>102</v>
      </c>
      <c r="C103" s="61" t="s">
        <v>271</v>
      </c>
      <c r="D103" s="62">
        <v>175258</v>
      </c>
      <c r="E103" s="62">
        <v>95846468</v>
      </c>
      <c r="F103" s="63">
        <f t="shared" si="4"/>
        <v>0</v>
      </c>
      <c r="G103" s="63">
        <f t="shared" si="0"/>
        <v>0</v>
      </c>
      <c r="H103" s="63">
        <f t="shared" si="5"/>
        <v>0</v>
      </c>
      <c r="I103" s="76">
        <f t="shared" si="10"/>
        <v>175258</v>
      </c>
      <c r="J103" s="76">
        <f t="shared" si="11"/>
        <v>95846468</v>
      </c>
      <c r="K103" s="77">
        <f>J103*'Inflation Rates by Year'!$F$2</f>
        <v>114333842.08426602</v>
      </c>
      <c r="L103" s="78">
        <f t="shared" si="3"/>
        <v>652.37445414341153</v>
      </c>
    </row>
    <row r="104" spans="1:26" ht="14.5">
      <c r="A104" s="81">
        <v>43406</v>
      </c>
      <c r="B104" s="61">
        <v>103</v>
      </c>
      <c r="C104" s="61" t="s">
        <v>271</v>
      </c>
      <c r="D104" s="62">
        <v>175258</v>
      </c>
      <c r="E104" s="62">
        <v>102851922</v>
      </c>
      <c r="F104" s="63">
        <f t="shared" si="4"/>
        <v>0</v>
      </c>
      <c r="G104" s="63">
        <f t="shared" si="0"/>
        <v>0</v>
      </c>
      <c r="H104" s="63">
        <f t="shared" si="5"/>
        <v>0</v>
      </c>
      <c r="I104" s="76">
        <f t="shared" si="10"/>
        <v>175258</v>
      </c>
      <c r="J104" s="76">
        <f t="shared" si="11"/>
        <v>102851922</v>
      </c>
      <c r="K104" s="77">
        <f>J104*'Inflation Rates by Year'!$F$2</f>
        <v>122690545.13319413</v>
      </c>
      <c r="L104" s="78">
        <f t="shared" si="3"/>
        <v>700.05674567320261</v>
      </c>
    </row>
    <row r="105" spans="1:26" ht="14.5">
      <c r="A105" s="81">
        <v>43407</v>
      </c>
      <c r="B105" s="61">
        <v>104</v>
      </c>
      <c r="C105" s="61" t="s">
        <v>271</v>
      </c>
      <c r="D105" s="62">
        <v>175258</v>
      </c>
      <c r="E105" s="62">
        <v>103089957</v>
      </c>
      <c r="F105" s="63">
        <f t="shared" si="4"/>
        <v>0</v>
      </c>
      <c r="G105" s="63">
        <f t="shared" si="0"/>
        <v>0</v>
      </c>
      <c r="H105" s="63">
        <f t="shared" si="5"/>
        <v>0</v>
      </c>
      <c r="I105" s="76">
        <f t="shared" si="10"/>
        <v>175258</v>
      </c>
      <c r="J105" s="76">
        <f t="shared" si="11"/>
        <v>103089957</v>
      </c>
      <c r="K105" s="77">
        <f>J105*'Inflation Rates by Year'!$F$2</f>
        <v>122974493.58396572</v>
      </c>
      <c r="L105" s="78">
        <f t="shared" si="3"/>
        <v>701.67691964969197</v>
      </c>
    </row>
    <row r="106" spans="1:26" ht="14.5">
      <c r="A106" s="84">
        <v>43424</v>
      </c>
      <c r="B106" s="61">
        <v>105</v>
      </c>
      <c r="C106" s="61" t="s">
        <v>271</v>
      </c>
      <c r="D106" s="62">
        <v>175258</v>
      </c>
      <c r="E106" s="62">
        <v>102900000</v>
      </c>
      <c r="F106" s="63">
        <f t="shared" si="4"/>
        <v>0</v>
      </c>
      <c r="G106" s="63">
        <f t="shared" si="0"/>
        <v>0</v>
      </c>
      <c r="H106" s="63">
        <f t="shared" si="5"/>
        <v>0</v>
      </c>
      <c r="I106" s="76">
        <f t="shared" si="10"/>
        <v>175258</v>
      </c>
      <c r="J106" s="76">
        <f t="shared" si="11"/>
        <v>102900000</v>
      </c>
      <c r="K106" s="77">
        <f>J106*'Inflation Rates by Year'!$F$2</f>
        <v>122747896.67232156</v>
      </c>
      <c r="L106" s="78">
        <f t="shared" si="3"/>
        <v>700.38398630773804</v>
      </c>
    </row>
    <row r="107" spans="1:26" ht="14.5">
      <c r="A107" s="84">
        <v>43432</v>
      </c>
      <c r="B107" s="61">
        <v>106</v>
      </c>
      <c r="C107" s="61" t="s">
        <v>271</v>
      </c>
      <c r="D107" s="62">
        <v>175258</v>
      </c>
      <c r="E107" s="62">
        <v>104343393.40000001</v>
      </c>
      <c r="F107" s="63">
        <f t="shared" si="4"/>
        <v>0</v>
      </c>
      <c r="G107" s="63">
        <f t="shared" si="0"/>
        <v>0</v>
      </c>
      <c r="H107" s="63">
        <f t="shared" si="5"/>
        <v>0</v>
      </c>
      <c r="I107" s="76">
        <f t="shared" si="10"/>
        <v>175258</v>
      </c>
      <c r="J107" s="76">
        <f t="shared" si="11"/>
        <v>104343393.40000001</v>
      </c>
      <c r="K107" s="77">
        <f>J107*'Inflation Rates by Year'!$F$2</f>
        <v>124469699.43151215</v>
      </c>
      <c r="L107" s="78">
        <f t="shared" si="3"/>
        <v>710.20837526111302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3"/>
  <sheetViews>
    <sheetView workbookViewId="0"/>
  </sheetViews>
  <sheetFormatPr defaultColWidth="12.54296875" defaultRowHeight="15" customHeight="1"/>
  <sheetData>
    <row r="1" spans="1:26" ht="38.5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26" ht="14.5">
      <c r="A2" s="81">
        <v>43272</v>
      </c>
      <c r="B2" s="61">
        <v>1</v>
      </c>
      <c r="C2" s="61" t="s">
        <v>271</v>
      </c>
      <c r="D2" s="62">
        <v>23000</v>
      </c>
      <c r="E2" s="62">
        <v>400000</v>
      </c>
      <c r="F2" s="63">
        <f>I2-0</f>
        <v>23000</v>
      </c>
      <c r="G2" s="63">
        <f t="shared" ref="G2:G12" si="0">$B$6/$I$6*(F2)</f>
        <v>1.1476244174558663</v>
      </c>
      <c r="H2" s="63">
        <f>$B$6/SQRT($I$6)*(SQRT(I2)-SQRT(0))</f>
        <v>2.3954377652694991</v>
      </c>
      <c r="I2" s="76">
        <f t="shared" ref="I2:I12" si="1">D2</f>
        <v>23000</v>
      </c>
      <c r="J2" s="76">
        <f t="shared" ref="J2:J12" si="2">E2</f>
        <v>400000</v>
      </c>
      <c r="K2" s="77">
        <f>J2*'Inflation Rates by Year'!F$2</f>
        <v>477154.11728793604</v>
      </c>
      <c r="L2" s="78">
        <f t="shared" ref="L2:L12" si="3">K2/I2</f>
        <v>20.745831186432003</v>
      </c>
    </row>
    <row r="3" spans="1:26" ht="14.5">
      <c r="A3" s="81">
        <v>43273</v>
      </c>
      <c r="B3" s="61">
        <v>2</v>
      </c>
      <c r="C3" s="61" t="s">
        <v>271</v>
      </c>
      <c r="D3" s="62">
        <v>87000</v>
      </c>
      <c r="E3" s="62">
        <v>950000</v>
      </c>
      <c r="F3" s="63">
        <f t="shared" ref="F3:F12" si="4">I3-I2</f>
        <v>64000</v>
      </c>
      <c r="G3" s="63">
        <f t="shared" si="0"/>
        <v>3.1933896833554543</v>
      </c>
      <c r="H3" s="63">
        <f t="shared" ref="H3:H12" si="5">$B$6/SQRT($I$6)*(SQRT(I3)-SQRT(I2))</f>
        <v>2.2634323235027347</v>
      </c>
      <c r="I3" s="76">
        <f t="shared" si="1"/>
        <v>87000</v>
      </c>
      <c r="J3" s="76">
        <f t="shared" si="2"/>
        <v>950000</v>
      </c>
      <c r="K3" s="77">
        <f>J3*'Inflation Rates by Year'!F$2</f>
        <v>1133241.0285588482</v>
      </c>
      <c r="L3" s="78">
        <f t="shared" si="3"/>
        <v>13.025758948952278</v>
      </c>
    </row>
    <row r="4" spans="1:26" ht="14.5">
      <c r="A4" s="81">
        <v>43274</v>
      </c>
      <c r="B4" s="61">
        <v>3</v>
      </c>
      <c r="C4" s="61" t="s">
        <v>160</v>
      </c>
      <c r="D4" s="62">
        <v>95850</v>
      </c>
      <c r="E4" s="62">
        <v>2094906</v>
      </c>
      <c r="F4" s="63">
        <f t="shared" si="4"/>
        <v>8850</v>
      </c>
      <c r="G4" s="63">
        <f t="shared" si="0"/>
        <v>0.44158591715149642</v>
      </c>
      <c r="H4" s="63">
        <f t="shared" si="5"/>
        <v>0.23122194408502919</v>
      </c>
      <c r="I4" s="76">
        <f t="shared" si="1"/>
        <v>95850</v>
      </c>
      <c r="J4" s="76">
        <f t="shared" si="2"/>
        <v>2094906</v>
      </c>
      <c r="K4" s="77">
        <f>J4*'Inflation Rates by Year'!F$2</f>
        <v>2498982.5580780027</v>
      </c>
      <c r="L4" s="78">
        <f t="shared" si="3"/>
        <v>26.071805509420997</v>
      </c>
    </row>
    <row r="5" spans="1:26" ht="14.5">
      <c r="A5" s="81">
        <v>43275</v>
      </c>
      <c r="B5" s="61">
        <v>4</v>
      </c>
      <c r="C5" s="61" t="s">
        <v>160</v>
      </c>
      <c r="D5" s="62">
        <v>99500</v>
      </c>
      <c r="E5" s="62">
        <v>2144000</v>
      </c>
      <c r="F5" s="63">
        <f t="shared" si="4"/>
        <v>3650</v>
      </c>
      <c r="G5" s="63">
        <f t="shared" si="0"/>
        <v>0.18212300537886575</v>
      </c>
      <c r="H5" s="63">
        <f t="shared" si="5"/>
        <v>9.223825694774071E-2</v>
      </c>
      <c r="I5" s="76">
        <f t="shared" si="1"/>
        <v>99500</v>
      </c>
      <c r="J5" s="76">
        <f t="shared" si="2"/>
        <v>2144000</v>
      </c>
      <c r="K5" s="77">
        <f>J5*'Inflation Rates by Year'!F$2</f>
        <v>2557546.0686633373</v>
      </c>
      <c r="L5" s="78">
        <f t="shared" si="3"/>
        <v>25.703980589581278</v>
      </c>
    </row>
    <row r="6" spans="1:26" ht="14.5">
      <c r="A6" s="82">
        <v>43276</v>
      </c>
      <c r="B6" s="83">
        <v>5</v>
      </c>
      <c r="C6" s="83" t="s">
        <v>271</v>
      </c>
      <c r="D6" s="72">
        <v>100207</v>
      </c>
      <c r="E6" s="72">
        <v>2641894.5699999998</v>
      </c>
      <c r="F6" s="63">
        <f t="shared" si="4"/>
        <v>707</v>
      </c>
      <c r="G6" s="63">
        <f t="shared" si="0"/>
        <v>3.5276976658317284E-2</v>
      </c>
      <c r="H6" s="63">
        <f t="shared" si="5"/>
        <v>1.7669710194995959E-2</v>
      </c>
      <c r="I6" s="72">
        <f t="shared" si="1"/>
        <v>100207</v>
      </c>
      <c r="J6" s="72">
        <f t="shared" si="2"/>
        <v>2641894.5699999998</v>
      </c>
      <c r="K6" s="73">
        <f>J6*'Inflation Rates by Year'!F$2</f>
        <v>3151477.1787903532</v>
      </c>
      <c r="L6" s="73">
        <f t="shared" si="3"/>
        <v>31.449670968997708</v>
      </c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4.5">
      <c r="A7" s="81">
        <v>43277</v>
      </c>
      <c r="B7" s="61">
        <v>6</v>
      </c>
      <c r="C7" s="61" t="s">
        <v>160</v>
      </c>
      <c r="D7" s="62">
        <v>100207</v>
      </c>
      <c r="E7" s="62">
        <v>3117256.76</v>
      </c>
      <c r="F7" s="63">
        <f t="shared" si="4"/>
        <v>0</v>
      </c>
      <c r="G7" s="63">
        <f t="shared" si="0"/>
        <v>0</v>
      </c>
      <c r="H7" s="63">
        <f t="shared" si="5"/>
        <v>0</v>
      </c>
      <c r="I7" s="76">
        <f t="shared" si="1"/>
        <v>100207</v>
      </c>
      <c r="J7" s="76">
        <f t="shared" si="2"/>
        <v>3117256.76</v>
      </c>
      <c r="K7" s="77">
        <f>J7*'Inflation Rates by Year'!F$2</f>
        <v>3718529.7441941286</v>
      </c>
      <c r="L7" s="78">
        <f t="shared" si="3"/>
        <v>37.108482882374773</v>
      </c>
    </row>
    <row r="8" spans="1:26" ht="14.5">
      <c r="A8" s="81">
        <v>43278</v>
      </c>
      <c r="B8" s="61">
        <v>7</v>
      </c>
      <c r="C8" s="61" t="s">
        <v>160</v>
      </c>
      <c r="D8" s="62">
        <v>100207</v>
      </c>
      <c r="E8" s="62">
        <v>3200000</v>
      </c>
      <c r="F8" s="63">
        <f t="shared" si="4"/>
        <v>0</v>
      </c>
      <c r="G8" s="63">
        <f t="shared" si="0"/>
        <v>0</v>
      </c>
      <c r="H8" s="63">
        <f t="shared" si="5"/>
        <v>0</v>
      </c>
      <c r="I8" s="76">
        <f t="shared" si="1"/>
        <v>100207</v>
      </c>
      <c r="J8" s="76">
        <f t="shared" si="2"/>
        <v>3200000</v>
      </c>
      <c r="K8" s="77">
        <f>J8*'Inflation Rates by Year'!F$2</f>
        <v>3817232.9383034883</v>
      </c>
      <c r="L8" s="78">
        <f t="shared" si="3"/>
        <v>38.09347588794683</v>
      </c>
    </row>
    <row r="9" spans="1:26" ht="14.5">
      <c r="A9" s="81">
        <v>43280</v>
      </c>
      <c r="B9" s="61">
        <v>8</v>
      </c>
      <c r="C9" s="61" t="s">
        <v>160</v>
      </c>
      <c r="D9" s="62">
        <v>100207</v>
      </c>
      <c r="E9" s="62">
        <v>3225000</v>
      </c>
      <c r="F9" s="63">
        <f t="shared" si="4"/>
        <v>0</v>
      </c>
      <c r="G9" s="63">
        <f t="shared" si="0"/>
        <v>0</v>
      </c>
      <c r="H9" s="63">
        <f t="shared" si="5"/>
        <v>0</v>
      </c>
      <c r="I9" s="76">
        <f t="shared" si="1"/>
        <v>100207</v>
      </c>
      <c r="J9" s="76">
        <f t="shared" si="2"/>
        <v>3225000</v>
      </c>
      <c r="K9" s="77">
        <f>J9*'Inflation Rates by Year'!F$2</f>
        <v>3847055.0706339846</v>
      </c>
      <c r="L9" s="78">
        <f t="shared" si="3"/>
        <v>38.391081168321421</v>
      </c>
    </row>
    <row r="10" spans="1:26" ht="14.5">
      <c r="A10" s="81">
        <v>43281</v>
      </c>
      <c r="B10" s="61">
        <v>9</v>
      </c>
      <c r="C10" s="61" t="s">
        <v>160</v>
      </c>
      <c r="D10" s="62">
        <v>100207</v>
      </c>
      <c r="E10" s="62">
        <v>3250000</v>
      </c>
      <c r="F10" s="63">
        <f t="shared" si="4"/>
        <v>0</v>
      </c>
      <c r="G10" s="63">
        <f t="shared" si="0"/>
        <v>0</v>
      </c>
      <c r="H10" s="63">
        <f t="shared" si="5"/>
        <v>0</v>
      </c>
      <c r="I10" s="76">
        <f t="shared" si="1"/>
        <v>100207</v>
      </c>
      <c r="J10" s="76">
        <f t="shared" si="2"/>
        <v>3250000</v>
      </c>
      <c r="K10" s="77">
        <f>J10*'Inflation Rates by Year'!F$2</f>
        <v>3876877.2029644805</v>
      </c>
      <c r="L10" s="78">
        <f t="shared" si="3"/>
        <v>38.688686448696004</v>
      </c>
    </row>
    <row r="11" spans="1:26" ht="14.5">
      <c r="A11" s="81">
        <v>43282</v>
      </c>
      <c r="B11" s="61">
        <v>10</v>
      </c>
      <c r="C11" s="61" t="s">
        <v>160</v>
      </c>
      <c r="D11" s="62">
        <v>100207</v>
      </c>
      <c r="E11" s="62">
        <v>3275000</v>
      </c>
      <c r="F11" s="63">
        <f t="shared" si="4"/>
        <v>0</v>
      </c>
      <c r="G11" s="63">
        <f t="shared" si="0"/>
        <v>0</v>
      </c>
      <c r="H11" s="63">
        <f t="shared" si="5"/>
        <v>0</v>
      </c>
      <c r="I11" s="76">
        <f t="shared" si="1"/>
        <v>100207</v>
      </c>
      <c r="J11" s="76">
        <f t="shared" si="2"/>
        <v>3275000</v>
      </c>
      <c r="K11" s="77">
        <f>J11*'Inflation Rates by Year'!F$2</f>
        <v>3906699.3352949764</v>
      </c>
      <c r="L11" s="78">
        <f t="shared" si="3"/>
        <v>38.986291729070587</v>
      </c>
    </row>
    <row r="12" spans="1:26" ht="17.25" customHeight="1">
      <c r="A12" s="81">
        <v>43283</v>
      </c>
      <c r="B12" s="61">
        <v>11</v>
      </c>
      <c r="C12" s="61" t="s">
        <v>160</v>
      </c>
      <c r="D12" s="62">
        <v>100207</v>
      </c>
      <c r="E12" s="62">
        <v>3280000</v>
      </c>
      <c r="F12" s="63">
        <f t="shared" si="4"/>
        <v>0</v>
      </c>
      <c r="G12" s="63">
        <f t="shared" si="0"/>
        <v>0</v>
      </c>
      <c r="H12" s="63">
        <f t="shared" si="5"/>
        <v>0</v>
      </c>
      <c r="I12" s="76">
        <f t="shared" si="1"/>
        <v>100207</v>
      </c>
      <c r="J12" s="76">
        <f t="shared" si="2"/>
        <v>3280000</v>
      </c>
      <c r="K12" s="77">
        <f>J12*'Inflation Rates by Year'!F$2</f>
        <v>3912663.7617610758</v>
      </c>
      <c r="L12" s="78">
        <f t="shared" si="3"/>
        <v>39.045812785145507</v>
      </c>
    </row>
    <row r="13" spans="1:26" ht="12.5">
      <c r="F13" s="6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48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61" t="s">
        <v>637</v>
      </c>
      <c r="B2" s="61">
        <v>1</v>
      </c>
      <c r="C2" s="61" t="s">
        <v>168</v>
      </c>
      <c r="D2" s="62">
        <v>600</v>
      </c>
      <c r="E2" s="62">
        <v>100000</v>
      </c>
      <c r="F2" s="63">
        <f>I2-0</f>
        <v>600</v>
      </c>
      <c r="G2" s="63">
        <f t="shared" ref="G2:G48" si="0">$B$24/$I$24*(F2)</f>
        <v>0.17971558055946241</v>
      </c>
      <c r="H2" s="63">
        <f>$B$24/SQRT($I$24)*(SQRT(I2)-SQRT(0))</f>
        <v>2.0330908373379764</v>
      </c>
      <c r="I2" s="76">
        <f t="shared" ref="I2:I48" si="1">D2</f>
        <v>600</v>
      </c>
      <c r="J2" s="76">
        <f t="shared" ref="J2:J48" si="2">E2</f>
        <v>100000</v>
      </c>
      <c r="K2" s="77">
        <f t="shared" ref="K2:K48" si="3">J2</f>
        <v>100000</v>
      </c>
      <c r="L2" s="78">
        <f t="shared" ref="L2:L48" si="4">K2/I2</f>
        <v>166.66666666666666</v>
      </c>
    </row>
    <row r="3" spans="1:12" ht="15" customHeight="1">
      <c r="A3" s="61" t="s">
        <v>638</v>
      </c>
      <c r="B3" s="61">
        <v>2</v>
      </c>
      <c r="C3" s="61" t="s">
        <v>168</v>
      </c>
      <c r="D3" s="62">
        <v>4223</v>
      </c>
      <c r="E3" s="62">
        <v>800000</v>
      </c>
      <c r="F3" s="63">
        <f t="shared" ref="F3:F48" si="5">I3-I2</f>
        <v>3623</v>
      </c>
      <c r="G3" s="63">
        <f t="shared" si="0"/>
        <v>1.0851825806115538</v>
      </c>
      <c r="H3" s="63">
        <f t="shared" ref="H3:H48" si="6">$B$24/SQRT($I$24)*(SQRT(I3)-SQRT(I2))</f>
        <v>3.3606701609760354</v>
      </c>
      <c r="I3" s="76">
        <f t="shared" si="1"/>
        <v>4223</v>
      </c>
      <c r="J3" s="76">
        <f t="shared" si="2"/>
        <v>800000</v>
      </c>
      <c r="K3" s="77">
        <f t="shared" si="3"/>
        <v>800000</v>
      </c>
      <c r="L3" s="78">
        <f t="shared" si="4"/>
        <v>189.43878759175942</v>
      </c>
    </row>
    <row r="4" spans="1:12" ht="15" customHeight="1">
      <c r="A4" s="61" t="s">
        <v>639</v>
      </c>
      <c r="B4" s="61">
        <v>3</v>
      </c>
      <c r="C4" s="61" t="s">
        <v>168</v>
      </c>
      <c r="D4" s="62">
        <v>14250</v>
      </c>
      <c r="E4" s="62">
        <v>1250000</v>
      </c>
      <c r="F4" s="63">
        <f t="shared" si="5"/>
        <v>10027</v>
      </c>
      <c r="G4" s="63">
        <f t="shared" si="0"/>
        <v>3.0033468771162157</v>
      </c>
      <c r="H4" s="63">
        <f t="shared" si="6"/>
        <v>4.5142981396103439</v>
      </c>
      <c r="I4" s="76">
        <f t="shared" si="1"/>
        <v>14250</v>
      </c>
      <c r="J4" s="76">
        <f t="shared" si="2"/>
        <v>1250000</v>
      </c>
      <c r="K4" s="77">
        <f t="shared" si="3"/>
        <v>1250000</v>
      </c>
      <c r="L4" s="78">
        <f t="shared" si="4"/>
        <v>87.719298245614041</v>
      </c>
    </row>
    <row r="5" spans="1:12" ht="15" customHeight="1">
      <c r="A5" s="61" t="s">
        <v>640</v>
      </c>
      <c r="B5" s="61">
        <v>4</v>
      </c>
      <c r="C5" s="61" t="s">
        <v>168</v>
      </c>
      <c r="D5" s="62">
        <v>33754</v>
      </c>
      <c r="E5" s="62">
        <v>2250000</v>
      </c>
      <c r="F5" s="63">
        <f t="shared" si="5"/>
        <v>19504</v>
      </c>
      <c r="G5" s="63">
        <f t="shared" si="0"/>
        <v>5.8419544720529242</v>
      </c>
      <c r="H5" s="63">
        <f t="shared" si="6"/>
        <v>5.3410257112665471</v>
      </c>
      <c r="I5" s="76">
        <f t="shared" si="1"/>
        <v>33754</v>
      </c>
      <c r="J5" s="76">
        <f t="shared" si="2"/>
        <v>2250000</v>
      </c>
      <c r="K5" s="77">
        <f t="shared" si="3"/>
        <v>2250000</v>
      </c>
      <c r="L5" s="78">
        <f t="shared" si="4"/>
        <v>66.658766368430406</v>
      </c>
    </row>
    <row r="6" spans="1:12" ht="15" customHeight="1">
      <c r="A6" s="61" t="s">
        <v>641</v>
      </c>
      <c r="B6" s="61">
        <v>5</v>
      </c>
      <c r="C6" s="61" t="s">
        <v>168</v>
      </c>
      <c r="D6" s="62">
        <v>37326</v>
      </c>
      <c r="E6" s="62">
        <v>12250000</v>
      </c>
      <c r="F6" s="63">
        <f t="shared" si="5"/>
        <v>3572</v>
      </c>
      <c r="G6" s="63">
        <f t="shared" si="0"/>
        <v>1.0699067562639994</v>
      </c>
      <c r="H6" s="63">
        <f t="shared" si="6"/>
        <v>0.78657678767009664</v>
      </c>
      <c r="I6" s="76">
        <f t="shared" si="1"/>
        <v>37326</v>
      </c>
      <c r="J6" s="76">
        <f t="shared" si="2"/>
        <v>12250000</v>
      </c>
      <c r="K6" s="77">
        <f t="shared" si="3"/>
        <v>12250000</v>
      </c>
      <c r="L6" s="78">
        <f t="shared" si="4"/>
        <v>328.18946578792264</v>
      </c>
    </row>
    <row r="7" spans="1:12" ht="15" customHeight="1">
      <c r="A7" s="61" t="s">
        <v>642</v>
      </c>
      <c r="B7" s="61">
        <v>6</v>
      </c>
      <c r="C7" s="61" t="s">
        <v>168</v>
      </c>
      <c r="D7" s="62">
        <v>46587</v>
      </c>
      <c r="E7" s="62">
        <v>15400000</v>
      </c>
      <c r="F7" s="63">
        <f t="shared" si="5"/>
        <v>9261</v>
      </c>
      <c r="G7" s="63">
        <f t="shared" si="0"/>
        <v>2.773909985935302</v>
      </c>
      <c r="H7" s="63">
        <f t="shared" si="6"/>
        <v>1.8792029679415576</v>
      </c>
      <c r="I7" s="76">
        <f t="shared" si="1"/>
        <v>46587</v>
      </c>
      <c r="J7" s="76">
        <f t="shared" si="2"/>
        <v>15400000</v>
      </c>
      <c r="K7" s="77">
        <f t="shared" si="3"/>
        <v>15400000</v>
      </c>
      <c r="L7" s="78">
        <f t="shared" si="4"/>
        <v>330.56432051859963</v>
      </c>
    </row>
    <row r="8" spans="1:12" ht="15" customHeight="1">
      <c r="A8" s="61" t="s">
        <v>643</v>
      </c>
      <c r="B8" s="61">
        <v>7</v>
      </c>
      <c r="C8" s="61" t="s">
        <v>168</v>
      </c>
      <c r="D8" s="62">
        <v>48700</v>
      </c>
      <c r="E8" s="62">
        <v>20400000</v>
      </c>
      <c r="F8" s="63">
        <f t="shared" si="5"/>
        <v>2113</v>
      </c>
      <c r="G8" s="63">
        <f t="shared" si="0"/>
        <v>0.63289836953690681</v>
      </c>
      <c r="H8" s="63">
        <f t="shared" si="6"/>
        <v>0.40176817275119253</v>
      </c>
      <c r="I8" s="76">
        <f t="shared" si="1"/>
        <v>48700</v>
      </c>
      <c r="J8" s="76">
        <f t="shared" si="2"/>
        <v>20400000</v>
      </c>
      <c r="K8" s="77">
        <f t="shared" si="3"/>
        <v>20400000</v>
      </c>
      <c r="L8" s="78">
        <f t="shared" si="4"/>
        <v>418.89117043121149</v>
      </c>
    </row>
    <row r="9" spans="1:12" ht="15" customHeight="1">
      <c r="A9" s="61" t="s">
        <v>644</v>
      </c>
      <c r="B9" s="61">
        <v>8</v>
      </c>
      <c r="C9" s="61" t="s">
        <v>168</v>
      </c>
      <c r="D9" s="62">
        <v>50330</v>
      </c>
      <c r="E9" s="62">
        <v>25500000</v>
      </c>
      <c r="F9" s="63">
        <f t="shared" si="5"/>
        <v>1630</v>
      </c>
      <c r="G9" s="63">
        <f t="shared" si="0"/>
        <v>0.48822732718653955</v>
      </c>
      <c r="H9" s="63">
        <f t="shared" si="6"/>
        <v>0.3040080501150651</v>
      </c>
      <c r="I9" s="76">
        <f t="shared" si="1"/>
        <v>50330</v>
      </c>
      <c r="J9" s="76">
        <f t="shared" si="2"/>
        <v>25500000</v>
      </c>
      <c r="K9" s="77">
        <f t="shared" si="3"/>
        <v>25500000</v>
      </c>
      <c r="L9" s="78">
        <f t="shared" si="4"/>
        <v>506.65606993840652</v>
      </c>
    </row>
    <row r="10" spans="1:12" ht="15" customHeight="1">
      <c r="A10" s="61" t="s">
        <v>645</v>
      </c>
      <c r="B10" s="61">
        <v>9</v>
      </c>
      <c r="C10" s="61" t="s">
        <v>168</v>
      </c>
      <c r="D10" s="62">
        <v>63776</v>
      </c>
      <c r="E10" s="62">
        <v>31500000</v>
      </c>
      <c r="F10" s="63">
        <f t="shared" si="5"/>
        <v>13446</v>
      </c>
      <c r="G10" s="63">
        <f t="shared" si="0"/>
        <v>4.0274261603375523</v>
      </c>
      <c r="H10" s="63">
        <f t="shared" si="6"/>
        <v>2.3402529157002987</v>
      </c>
      <c r="I10" s="76">
        <f t="shared" si="1"/>
        <v>63776</v>
      </c>
      <c r="J10" s="76">
        <f t="shared" si="2"/>
        <v>31500000</v>
      </c>
      <c r="K10" s="77">
        <f t="shared" si="3"/>
        <v>31500000</v>
      </c>
      <c r="L10" s="78">
        <f t="shared" si="4"/>
        <v>493.91620672353235</v>
      </c>
    </row>
    <row r="11" spans="1:12" ht="15" customHeight="1">
      <c r="A11" s="61" t="s">
        <v>646</v>
      </c>
      <c r="B11" s="61">
        <v>10</v>
      </c>
      <c r="C11" s="61" t="s">
        <v>168</v>
      </c>
      <c r="D11" s="62">
        <v>69908</v>
      </c>
      <c r="E11" s="62">
        <v>44500000</v>
      </c>
      <c r="F11" s="63">
        <f t="shared" si="5"/>
        <v>6132</v>
      </c>
      <c r="G11" s="63">
        <f t="shared" si="0"/>
        <v>1.8366932333177057</v>
      </c>
      <c r="H11" s="63">
        <f t="shared" si="6"/>
        <v>0.98456161502155537</v>
      </c>
      <c r="I11" s="76">
        <f t="shared" si="1"/>
        <v>69908</v>
      </c>
      <c r="J11" s="76">
        <f t="shared" si="2"/>
        <v>44500000</v>
      </c>
      <c r="K11" s="77">
        <f t="shared" si="3"/>
        <v>44500000</v>
      </c>
      <c r="L11" s="78">
        <f t="shared" si="4"/>
        <v>636.55089546260797</v>
      </c>
    </row>
    <row r="12" spans="1:12" ht="15" customHeight="1">
      <c r="A12" s="61" t="s">
        <v>647</v>
      </c>
      <c r="B12" s="61">
        <v>11</v>
      </c>
      <c r="C12" s="61" t="s">
        <v>168</v>
      </c>
      <c r="D12" s="62">
        <v>71292</v>
      </c>
      <c r="E12" s="62">
        <v>56000000</v>
      </c>
      <c r="F12" s="63">
        <f t="shared" si="5"/>
        <v>1384</v>
      </c>
      <c r="G12" s="63">
        <f t="shared" si="0"/>
        <v>0.41454393915715992</v>
      </c>
      <c r="H12" s="63">
        <f t="shared" si="6"/>
        <v>0.21616735944595353</v>
      </c>
      <c r="I12" s="76">
        <f t="shared" si="1"/>
        <v>71292</v>
      </c>
      <c r="J12" s="76">
        <f t="shared" si="2"/>
        <v>56000000</v>
      </c>
      <c r="K12" s="77">
        <f t="shared" si="3"/>
        <v>56000000</v>
      </c>
      <c r="L12" s="78">
        <f t="shared" si="4"/>
        <v>785.50187959378331</v>
      </c>
    </row>
    <row r="13" spans="1:12" ht="15" customHeight="1">
      <c r="A13" s="61" t="s">
        <v>648</v>
      </c>
      <c r="B13" s="61">
        <v>12</v>
      </c>
      <c r="C13" s="61" t="s">
        <v>168</v>
      </c>
      <c r="D13" s="62">
        <v>74748</v>
      </c>
      <c r="E13" s="62">
        <v>62000000</v>
      </c>
      <c r="F13" s="63">
        <f t="shared" si="5"/>
        <v>3456</v>
      </c>
      <c r="G13" s="63">
        <f t="shared" si="0"/>
        <v>1.0351617440225034</v>
      </c>
      <c r="H13" s="63">
        <f t="shared" si="6"/>
        <v>0.53080424800927217</v>
      </c>
      <c r="I13" s="76">
        <f t="shared" si="1"/>
        <v>74748</v>
      </c>
      <c r="J13" s="76">
        <f t="shared" si="2"/>
        <v>62000000</v>
      </c>
      <c r="K13" s="77">
        <f t="shared" si="3"/>
        <v>62000000</v>
      </c>
      <c r="L13" s="78">
        <f t="shared" si="4"/>
        <v>829.45363086637769</v>
      </c>
    </row>
    <row r="14" spans="1:12" ht="15" customHeight="1">
      <c r="A14" s="61" t="s">
        <v>649</v>
      </c>
      <c r="B14" s="61">
        <v>13</v>
      </c>
      <c r="C14" s="61" t="s">
        <v>168</v>
      </c>
      <c r="D14" s="62">
        <v>76290</v>
      </c>
      <c r="E14" s="62">
        <v>70000000</v>
      </c>
      <c r="F14" s="63">
        <f t="shared" si="5"/>
        <v>1542</v>
      </c>
      <c r="G14" s="63">
        <f t="shared" si="0"/>
        <v>0.46186904203781837</v>
      </c>
      <c r="H14" s="63">
        <f t="shared" si="6"/>
        <v>0.23286975125505749</v>
      </c>
      <c r="I14" s="76">
        <f t="shared" si="1"/>
        <v>76290</v>
      </c>
      <c r="J14" s="76">
        <f t="shared" si="2"/>
        <v>70000000</v>
      </c>
      <c r="K14" s="77">
        <f t="shared" si="3"/>
        <v>70000000</v>
      </c>
      <c r="L14" s="78">
        <f t="shared" si="4"/>
        <v>917.55144842050072</v>
      </c>
    </row>
    <row r="15" spans="1:12" ht="15" customHeight="1">
      <c r="A15" s="61" t="s">
        <v>650</v>
      </c>
      <c r="B15" s="61">
        <v>14</v>
      </c>
      <c r="C15" s="61" t="s">
        <v>168</v>
      </c>
      <c r="D15" s="62">
        <v>76290</v>
      </c>
      <c r="E15" s="62">
        <v>78000000</v>
      </c>
      <c r="F15" s="63">
        <f t="shared" si="5"/>
        <v>0</v>
      </c>
      <c r="G15" s="63">
        <f t="shared" si="0"/>
        <v>0</v>
      </c>
      <c r="H15" s="63">
        <f t="shared" si="6"/>
        <v>0</v>
      </c>
      <c r="I15" s="76">
        <f t="shared" si="1"/>
        <v>76290</v>
      </c>
      <c r="J15" s="76">
        <f t="shared" si="2"/>
        <v>78000000</v>
      </c>
      <c r="K15" s="77">
        <f t="shared" si="3"/>
        <v>78000000</v>
      </c>
      <c r="L15" s="78">
        <f t="shared" si="4"/>
        <v>1022.4144710971294</v>
      </c>
    </row>
    <row r="16" spans="1:12" ht="15" customHeight="1">
      <c r="A16" s="61" t="s">
        <v>651</v>
      </c>
      <c r="B16" s="61">
        <v>15</v>
      </c>
      <c r="C16" s="61" t="s">
        <v>168</v>
      </c>
      <c r="D16" s="62">
        <v>76290</v>
      </c>
      <c r="E16" s="62">
        <v>78000000</v>
      </c>
      <c r="F16" s="63">
        <f t="shared" si="5"/>
        <v>0</v>
      </c>
      <c r="G16" s="63">
        <f t="shared" si="0"/>
        <v>0</v>
      </c>
      <c r="H16" s="63">
        <f t="shared" si="6"/>
        <v>0</v>
      </c>
      <c r="I16" s="76">
        <f t="shared" si="1"/>
        <v>76290</v>
      </c>
      <c r="J16" s="76">
        <f t="shared" si="2"/>
        <v>78000000</v>
      </c>
      <c r="K16" s="77">
        <f t="shared" si="3"/>
        <v>78000000</v>
      </c>
      <c r="L16" s="78">
        <f t="shared" si="4"/>
        <v>1022.4144710971294</v>
      </c>
    </row>
    <row r="17" spans="1:26" ht="15" customHeight="1">
      <c r="A17" s="61" t="s">
        <v>652</v>
      </c>
      <c r="B17" s="61">
        <v>16</v>
      </c>
      <c r="C17" s="61" t="s">
        <v>168</v>
      </c>
      <c r="D17" s="62">
        <v>76427</v>
      </c>
      <c r="E17" s="62">
        <v>95000000</v>
      </c>
      <c r="F17" s="63">
        <f t="shared" si="5"/>
        <v>137</v>
      </c>
      <c r="G17" s="63">
        <f t="shared" si="0"/>
        <v>4.1035057561077247E-2</v>
      </c>
      <c r="H17" s="63">
        <f t="shared" si="6"/>
        <v>2.0575153260054536E-2</v>
      </c>
      <c r="I17" s="76">
        <f t="shared" si="1"/>
        <v>76427</v>
      </c>
      <c r="J17" s="76">
        <f t="shared" si="2"/>
        <v>95000000</v>
      </c>
      <c r="K17" s="77">
        <f t="shared" si="3"/>
        <v>95000000</v>
      </c>
      <c r="L17" s="78">
        <f t="shared" si="4"/>
        <v>1243.0162115482749</v>
      </c>
    </row>
    <row r="18" spans="1:26" ht="15" customHeight="1">
      <c r="A18" s="61" t="s">
        <v>653</v>
      </c>
      <c r="B18" s="61">
        <v>17</v>
      </c>
      <c r="C18" s="61" t="s">
        <v>168</v>
      </c>
      <c r="D18" s="62">
        <v>76575</v>
      </c>
      <c r="E18" s="62">
        <v>94300000</v>
      </c>
      <c r="F18" s="63">
        <f t="shared" si="5"/>
        <v>148</v>
      </c>
      <c r="G18" s="63">
        <f t="shared" si="0"/>
        <v>4.4329843204667395E-2</v>
      </c>
      <c r="H18" s="63">
        <f t="shared" si="6"/>
        <v>2.220646207098512E-2</v>
      </c>
      <c r="I18" s="76">
        <f t="shared" si="1"/>
        <v>76575</v>
      </c>
      <c r="J18" s="76">
        <f t="shared" si="2"/>
        <v>94300000</v>
      </c>
      <c r="K18" s="77">
        <f t="shared" si="3"/>
        <v>94300000</v>
      </c>
      <c r="L18" s="78">
        <f t="shared" si="4"/>
        <v>1231.4724126673195</v>
      </c>
    </row>
    <row r="19" spans="1:26" ht="15" customHeight="1">
      <c r="A19" s="61" t="s">
        <v>654</v>
      </c>
      <c r="B19" s="61">
        <v>18</v>
      </c>
      <c r="C19" s="61" t="s">
        <v>168</v>
      </c>
      <c r="D19" s="62">
        <v>76781</v>
      </c>
      <c r="E19" s="62">
        <v>100000000</v>
      </c>
      <c r="F19" s="63">
        <f t="shared" si="5"/>
        <v>206</v>
      </c>
      <c r="G19" s="63">
        <f t="shared" si="0"/>
        <v>6.1702349325415427E-2</v>
      </c>
      <c r="H19" s="63">
        <f t="shared" si="6"/>
        <v>3.0873302788609149E-2</v>
      </c>
      <c r="I19" s="76">
        <f t="shared" si="1"/>
        <v>76781</v>
      </c>
      <c r="J19" s="76">
        <f t="shared" si="2"/>
        <v>100000000</v>
      </c>
      <c r="K19" s="77">
        <f t="shared" si="3"/>
        <v>100000000</v>
      </c>
      <c r="L19" s="78">
        <f t="shared" si="4"/>
        <v>1302.4055430379913</v>
      </c>
    </row>
    <row r="20" spans="1:26" ht="15" customHeight="1">
      <c r="A20" s="61" t="s">
        <v>655</v>
      </c>
      <c r="B20" s="61">
        <v>19</v>
      </c>
      <c r="C20" s="61" t="s">
        <v>168</v>
      </c>
      <c r="D20" s="62">
        <v>76781</v>
      </c>
      <c r="E20" s="62">
        <v>107800000</v>
      </c>
      <c r="F20" s="63">
        <f t="shared" si="5"/>
        <v>0</v>
      </c>
      <c r="G20" s="63">
        <f t="shared" si="0"/>
        <v>0</v>
      </c>
      <c r="H20" s="63">
        <f t="shared" si="6"/>
        <v>0</v>
      </c>
      <c r="I20" s="76">
        <f t="shared" si="1"/>
        <v>76781</v>
      </c>
      <c r="J20" s="76">
        <f t="shared" si="2"/>
        <v>107800000</v>
      </c>
      <c r="K20" s="77">
        <f t="shared" si="3"/>
        <v>107800000</v>
      </c>
      <c r="L20" s="78">
        <f t="shared" si="4"/>
        <v>1403.9931753949545</v>
      </c>
    </row>
    <row r="21" spans="1:26" ht="14.5">
      <c r="A21" s="61" t="s">
        <v>656</v>
      </c>
      <c r="B21" s="61">
        <v>20</v>
      </c>
      <c r="C21" s="61" t="s">
        <v>168</v>
      </c>
      <c r="D21" s="62">
        <v>76775</v>
      </c>
      <c r="E21" s="62">
        <v>109400000</v>
      </c>
      <c r="F21" s="63">
        <f t="shared" si="5"/>
        <v>-6</v>
      </c>
      <c r="G21" s="63">
        <f t="shared" si="0"/>
        <v>-1.7971558055946239E-3</v>
      </c>
      <c r="H21" s="63">
        <f t="shared" si="6"/>
        <v>-8.9863641898809993E-4</v>
      </c>
      <c r="I21" s="76">
        <f t="shared" si="1"/>
        <v>76775</v>
      </c>
      <c r="J21" s="76">
        <f t="shared" si="2"/>
        <v>109400000</v>
      </c>
      <c r="K21" s="77">
        <f t="shared" si="3"/>
        <v>109400000</v>
      </c>
      <c r="L21" s="78">
        <f t="shared" si="4"/>
        <v>1424.9430153044611</v>
      </c>
    </row>
    <row r="22" spans="1:26" ht="14.5">
      <c r="A22" s="61" t="s">
        <v>657</v>
      </c>
      <c r="B22" s="61">
        <v>21</v>
      </c>
      <c r="C22" s="61" t="s">
        <v>168</v>
      </c>
      <c r="D22" s="62">
        <v>76775</v>
      </c>
      <c r="E22" s="62">
        <v>112500000</v>
      </c>
      <c r="F22" s="63">
        <f t="shared" si="5"/>
        <v>0</v>
      </c>
      <c r="G22" s="63">
        <f t="shared" si="0"/>
        <v>0</v>
      </c>
      <c r="H22" s="63">
        <f t="shared" si="6"/>
        <v>0</v>
      </c>
      <c r="I22" s="76">
        <f t="shared" si="1"/>
        <v>76775</v>
      </c>
      <c r="J22" s="76">
        <f t="shared" si="2"/>
        <v>112500000</v>
      </c>
      <c r="K22" s="77">
        <f t="shared" si="3"/>
        <v>112500000</v>
      </c>
      <c r="L22" s="78">
        <f t="shared" si="4"/>
        <v>1465.3207424291761</v>
      </c>
    </row>
    <row r="23" spans="1:26" ht="14.5">
      <c r="A23" s="61" t="s">
        <v>658</v>
      </c>
      <c r="B23" s="61">
        <v>22</v>
      </c>
      <c r="C23" s="61" t="s">
        <v>168</v>
      </c>
      <c r="D23" s="62">
        <v>76775</v>
      </c>
      <c r="E23" s="62">
        <v>115200000</v>
      </c>
      <c r="F23" s="63">
        <f t="shared" si="5"/>
        <v>0</v>
      </c>
      <c r="G23" s="63">
        <f t="shared" si="0"/>
        <v>0</v>
      </c>
      <c r="H23" s="63">
        <f t="shared" si="6"/>
        <v>0</v>
      </c>
      <c r="I23" s="76">
        <f t="shared" si="1"/>
        <v>76775</v>
      </c>
      <c r="J23" s="76">
        <f t="shared" si="2"/>
        <v>115200000</v>
      </c>
      <c r="K23" s="77">
        <f t="shared" si="3"/>
        <v>115200000</v>
      </c>
      <c r="L23" s="78">
        <f t="shared" si="4"/>
        <v>1500.4884402474763</v>
      </c>
    </row>
    <row r="24" spans="1:26" ht="14.5">
      <c r="A24" s="83" t="s">
        <v>659</v>
      </c>
      <c r="B24" s="83">
        <v>23</v>
      </c>
      <c r="C24" s="83" t="s">
        <v>168</v>
      </c>
      <c r="D24" s="72">
        <v>76788</v>
      </c>
      <c r="E24" s="72">
        <v>119000000</v>
      </c>
      <c r="F24" s="71">
        <f t="shared" si="5"/>
        <v>13</v>
      </c>
      <c r="G24" s="63">
        <f t="shared" si="0"/>
        <v>3.8938375787883521E-3</v>
      </c>
      <c r="H24" s="63">
        <f t="shared" si="6"/>
        <v>1.9470011983860297E-3</v>
      </c>
      <c r="I24" s="72">
        <f t="shared" si="1"/>
        <v>76788</v>
      </c>
      <c r="J24" s="72">
        <f t="shared" si="2"/>
        <v>119000000</v>
      </c>
      <c r="K24" s="77">
        <f t="shared" si="3"/>
        <v>119000000</v>
      </c>
      <c r="L24" s="73">
        <f t="shared" si="4"/>
        <v>1549.7213106214513</v>
      </c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4.5">
      <c r="A25" s="61" t="s">
        <v>660</v>
      </c>
      <c r="B25" s="61">
        <v>24</v>
      </c>
      <c r="C25" s="61" t="s">
        <v>168</v>
      </c>
      <c r="D25" s="62">
        <v>76788</v>
      </c>
      <c r="E25" s="62">
        <v>123500000</v>
      </c>
      <c r="F25" s="63">
        <f t="shared" si="5"/>
        <v>0</v>
      </c>
      <c r="G25" s="63">
        <f t="shared" si="0"/>
        <v>0</v>
      </c>
      <c r="H25" s="63">
        <f t="shared" si="6"/>
        <v>0</v>
      </c>
      <c r="I25" s="76">
        <f t="shared" si="1"/>
        <v>76788</v>
      </c>
      <c r="J25" s="76">
        <f t="shared" si="2"/>
        <v>123500000</v>
      </c>
      <c r="K25" s="77">
        <f t="shared" si="3"/>
        <v>123500000</v>
      </c>
      <c r="L25" s="78">
        <f t="shared" si="4"/>
        <v>1608.3242173256237</v>
      </c>
    </row>
    <row r="26" spans="1:26" ht="14.5">
      <c r="A26" s="61" t="s">
        <v>661</v>
      </c>
      <c r="B26" s="61">
        <v>25</v>
      </c>
      <c r="C26" s="61" t="s">
        <v>168</v>
      </c>
      <c r="D26" s="62">
        <v>76788</v>
      </c>
      <c r="E26" s="62">
        <v>126200000</v>
      </c>
      <c r="F26" s="63">
        <f t="shared" si="5"/>
        <v>0</v>
      </c>
      <c r="G26" s="63">
        <f t="shared" si="0"/>
        <v>0</v>
      </c>
      <c r="H26" s="63">
        <f t="shared" si="6"/>
        <v>0</v>
      </c>
      <c r="I26" s="76">
        <f t="shared" si="1"/>
        <v>76788</v>
      </c>
      <c r="J26" s="76">
        <f t="shared" si="2"/>
        <v>126200000</v>
      </c>
      <c r="K26" s="77">
        <f t="shared" si="3"/>
        <v>126200000</v>
      </c>
      <c r="L26" s="78">
        <f t="shared" si="4"/>
        <v>1643.4859613481274</v>
      </c>
    </row>
    <row r="27" spans="1:26" ht="14.5">
      <c r="A27" s="61" t="s">
        <v>662</v>
      </c>
      <c r="B27" s="61">
        <v>26</v>
      </c>
      <c r="C27" s="61" t="s">
        <v>168</v>
      </c>
      <c r="D27" s="62">
        <v>76788</v>
      </c>
      <c r="E27" s="62">
        <v>129500000</v>
      </c>
      <c r="F27" s="63">
        <f t="shared" si="5"/>
        <v>0</v>
      </c>
      <c r="G27" s="63">
        <f t="shared" si="0"/>
        <v>0</v>
      </c>
      <c r="H27" s="63">
        <f t="shared" si="6"/>
        <v>0</v>
      </c>
      <c r="I27" s="76">
        <f t="shared" si="1"/>
        <v>76788</v>
      </c>
      <c r="J27" s="76">
        <f t="shared" si="2"/>
        <v>129500000</v>
      </c>
      <c r="K27" s="77">
        <f t="shared" si="3"/>
        <v>129500000</v>
      </c>
      <c r="L27" s="78">
        <f t="shared" si="4"/>
        <v>1686.4614262645205</v>
      </c>
    </row>
    <row r="28" spans="1:26" ht="14.5">
      <c r="A28" s="61" t="s">
        <v>663</v>
      </c>
      <c r="B28" s="61">
        <v>27</v>
      </c>
      <c r="C28" s="61" t="s">
        <v>168</v>
      </c>
      <c r="D28" s="62">
        <v>76788</v>
      </c>
      <c r="E28" s="62">
        <v>131500000</v>
      </c>
      <c r="F28" s="63">
        <f t="shared" si="5"/>
        <v>0</v>
      </c>
      <c r="G28" s="63">
        <f t="shared" si="0"/>
        <v>0</v>
      </c>
      <c r="H28" s="63">
        <f t="shared" si="6"/>
        <v>0</v>
      </c>
      <c r="I28" s="76">
        <f t="shared" si="1"/>
        <v>76788</v>
      </c>
      <c r="J28" s="76">
        <f t="shared" si="2"/>
        <v>131500000</v>
      </c>
      <c r="K28" s="77">
        <f t="shared" si="3"/>
        <v>131500000</v>
      </c>
      <c r="L28" s="78">
        <f t="shared" si="4"/>
        <v>1712.507162577486</v>
      </c>
    </row>
    <row r="29" spans="1:26" ht="14.5">
      <c r="A29" s="61" t="s">
        <v>664</v>
      </c>
      <c r="B29" s="61">
        <v>28</v>
      </c>
      <c r="C29" s="61" t="s">
        <v>168</v>
      </c>
      <c r="D29" s="62">
        <v>76788</v>
      </c>
      <c r="E29" s="62">
        <v>133000000</v>
      </c>
      <c r="F29" s="63">
        <f t="shared" si="5"/>
        <v>0</v>
      </c>
      <c r="G29" s="63">
        <f t="shared" si="0"/>
        <v>0</v>
      </c>
      <c r="H29" s="63">
        <f t="shared" si="6"/>
        <v>0</v>
      </c>
      <c r="I29" s="76">
        <f t="shared" si="1"/>
        <v>76788</v>
      </c>
      <c r="J29" s="76">
        <f t="shared" si="2"/>
        <v>133000000</v>
      </c>
      <c r="K29" s="77">
        <f t="shared" si="3"/>
        <v>133000000</v>
      </c>
      <c r="L29" s="78">
        <f t="shared" si="4"/>
        <v>1732.0414648122103</v>
      </c>
    </row>
    <row r="30" spans="1:26" ht="14.5">
      <c r="A30" s="61" t="s">
        <v>665</v>
      </c>
      <c r="B30" s="61">
        <v>29</v>
      </c>
      <c r="C30" s="61" t="s">
        <v>168</v>
      </c>
      <c r="D30" s="62">
        <v>76788</v>
      </c>
      <c r="E30" s="62">
        <v>139500000</v>
      </c>
      <c r="F30" s="63">
        <f t="shared" si="5"/>
        <v>0</v>
      </c>
      <c r="G30" s="63">
        <f t="shared" si="0"/>
        <v>0</v>
      </c>
      <c r="H30" s="63">
        <f t="shared" si="6"/>
        <v>0</v>
      </c>
      <c r="I30" s="76">
        <f t="shared" si="1"/>
        <v>76788</v>
      </c>
      <c r="J30" s="76">
        <f t="shared" si="2"/>
        <v>139500000</v>
      </c>
      <c r="K30" s="77">
        <f t="shared" si="3"/>
        <v>139500000</v>
      </c>
      <c r="L30" s="78">
        <f t="shared" si="4"/>
        <v>1816.6901078293483</v>
      </c>
    </row>
    <row r="31" spans="1:26" ht="14.5">
      <c r="A31" s="61" t="s">
        <v>666</v>
      </c>
      <c r="B31" s="61">
        <v>30</v>
      </c>
      <c r="C31" s="61" t="s">
        <v>168</v>
      </c>
      <c r="D31" s="62">
        <v>76788</v>
      </c>
      <c r="E31" s="62">
        <v>142445000</v>
      </c>
      <c r="F31" s="63">
        <f t="shared" si="5"/>
        <v>0</v>
      </c>
      <c r="G31" s="63">
        <f t="shared" si="0"/>
        <v>0</v>
      </c>
      <c r="H31" s="63">
        <f t="shared" si="6"/>
        <v>0</v>
      </c>
      <c r="I31" s="76">
        <f t="shared" si="1"/>
        <v>76788</v>
      </c>
      <c r="J31" s="76">
        <f t="shared" si="2"/>
        <v>142445000</v>
      </c>
      <c r="K31" s="77">
        <f t="shared" si="3"/>
        <v>142445000</v>
      </c>
      <c r="L31" s="78">
        <f t="shared" si="4"/>
        <v>1855.0424545501901</v>
      </c>
    </row>
    <row r="32" spans="1:26" ht="14.5">
      <c r="A32" s="61" t="s">
        <v>667</v>
      </c>
      <c r="B32" s="61">
        <v>31</v>
      </c>
      <c r="C32" s="61" t="s">
        <v>168</v>
      </c>
      <c r="D32" s="62">
        <v>76788</v>
      </c>
      <c r="E32" s="62">
        <v>144560000</v>
      </c>
      <c r="F32" s="63">
        <f t="shared" si="5"/>
        <v>0</v>
      </c>
      <c r="G32" s="63">
        <f t="shared" si="0"/>
        <v>0</v>
      </c>
      <c r="H32" s="63">
        <f t="shared" si="6"/>
        <v>0</v>
      </c>
      <c r="I32" s="76">
        <f t="shared" si="1"/>
        <v>76788</v>
      </c>
      <c r="J32" s="76">
        <f t="shared" si="2"/>
        <v>144560000</v>
      </c>
      <c r="K32" s="77">
        <f t="shared" si="3"/>
        <v>144560000</v>
      </c>
      <c r="L32" s="78">
        <f t="shared" si="4"/>
        <v>1882.5858207011513</v>
      </c>
    </row>
    <row r="33" spans="1:12" ht="14.5">
      <c r="A33" s="61" t="s">
        <v>668</v>
      </c>
      <c r="B33" s="61">
        <v>32</v>
      </c>
      <c r="C33" s="61" t="s">
        <v>168</v>
      </c>
      <c r="D33" s="62">
        <v>76788</v>
      </c>
      <c r="E33" s="62">
        <v>147000000</v>
      </c>
      <c r="F33" s="63">
        <f t="shared" si="5"/>
        <v>0</v>
      </c>
      <c r="G33" s="63">
        <f t="shared" si="0"/>
        <v>0</v>
      </c>
      <c r="H33" s="63">
        <f t="shared" si="6"/>
        <v>0</v>
      </c>
      <c r="I33" s="76">
        <f t="shared" si="1"/>
        <v>76788</v>
      </c>
      <c r="J33" s="76">
        <f t="shared" si="2"/>
        <v>147000000</v>
      </c>
      <c r="K33" s="77">
        <f t="shared" si="3"/>
        <v>147000000</v>
      </c>
      <c r="L33" s="78">
        <f t="shared" si="4"/>
        <v>1914.3616190029693</v>
      </c>
    </row>
    <row r="34" spans="1:12" ht="14.5">
      <c r="A34" s="61" t="s">
        <v>669</v>
      </c>
      <c r="B34" s="61">
        <v>33</v>
      </c>
      <c r="C34" s="61" t="s">
        <v>168</v>
      </c>
      <c r="D34" s="62">
        <v>76788</v>
      </c>
      <c r="E34" s="62">
        <v>150000000</v>
      </c>
      <c r="F34" s="63">
        <f t="shared" si="5"/>
        <v>0</v>
      </c>
      <c r="G34" s="63">
        <f t="shared" si="0"/>
        <v>0</v>
      </c>
      <c r="H34" s="63">
        <f t="shared" si="6"/>
        <v>0</v>
      </c>
      <c r="I34" s="76">
        <f t="shared" si="1"/>
        <v>76788</v>
      </c>
      <c r="J34" s="76">
        <f t="shared" si="2"/>
        <v>150000000</v>
      </c>
      <c r="K34" s="77">
        <f t="shared" si="3"/>
        <v>150000000</v>
      </c>
      <c r="L34" s="78">
        <f t="shared" si="4"/>
        <v>1953.4302234724175</v>
      </c>
    </row>
    <row r="35" spans="1:12" ht="14.5">
      <c r="A35" s="61" t="s">
        <v>670</v>
      </c>
      <c r="B35" s="61">
        <v>34</v>
      </c>
      <c r="C35" s="61" t="s">
        <v>168</v>
      </c>
      <c r="D35" s="62">
        <v>76788</v>
      </c>
      <c r="E35" s="62">
        <v>153000000</v>
      </c>
      <c r="F35" s="63">
        <f t="shared" si="5"/>
        <v>0</v>
      </c>
      <c r="G35" s="63">
        <f t="shared" si="0"/>
        <v>0</v>
      </c>
      <c r="H35" s="63">
        <f t="shared" si="6"/>
        <v>0</v>
      </c>
      <c r="I35" s="76">
        <f t="shared" si="1"/>
        <v>76788</v>
      </c>
      <c r="J35" s="76">
        <f t="shared" si="2"/>
        <v>153000000</v>
      </c>
      <c r="K35" s="77">
        <f t="shared" si="3"/>
        <v>153000000</v>
      </c>
      <c r="L35" s="78">
        <f t="shared" si="4"/>
        <v>1992.498827941866</v>
      </c>
    </row>
    <row r="36" spans="1:12" ht="14.5">
      <c r="A36" s="61" t="s">
        <v>671</v>
      </c>
      <c r="B36" s="61">
        <v>35</v>
      </c>
      <c r="C36" s="61" t="s">
        <v>168</v>
      </c>
      <c r="D36" s="62">
        <v>76788</v>
      </c>
      <c r="E36" s="62">
        <v>156000000</v>
      </c>
      <c r="F36" s="63">
        <f t="shared" si="5"/>
        <v>0</v>
      </c>
      <c r="G36" s="63">
        <f t="shared" si="0"/>
        <v>0</v>
      </c>
      <c r="H36" s="63">
        <f t="shared" si="6"/>
        <v>0</v>
      </c>
      <c r="I36" s="76">
        <f t="shared" si="1"/>
        <v>76788</v>
      </c>
      <c r="J36" s="76">
        <f t="shared" si="2"/>
        <v>156000000</v>
      </c>
      <c r="K36" s="77">
        <f t="shared" si="3"/>
        <v>156000000</v>
      </c>
      <c r="L36" s="78">
        <f t="shared" si="4"/>
        <v>2031.5674324113143</v>
      </c>
    </row>
    <row r="37" spans="1:12" ht="14.5">
      <c r="A37" s="61" t="s">
        <v>672</v>
      </c>
      <c r="B37" s="61">
        <v>36</v>
      </c>
      <c r="C37" s="61" t="s">
        <v>168</v>
      </c>
      <c r="D37" s="62">
        <v>76788</v>
      </c>
      <c r="E37" s="62">
        <v>159000000</v>
      </c>
      <c r="F37" s="63">
        <f t="shared" si="5"/>
        <v>0</v>
      </c>
      <c r="G37" s="63">
        <f t="shared" si="0"/>
        <v>0</v>
      </c>
      <c r="H37" s="63">
        <f t="shared" si="6"/>
        <v>0</v>
      </c>
      <c r="I37" s="76">
        <f t="shared" si="1"/>
        <v>76788</v>
      </c>
      <c r="J37" s="76">
        <f t="shared" si="2"/>
        <v>159000000</v>
      </c>
      <c r="K37" s="77">
        <f t="shared" si="3"/>
        <v>159000000</v>
      </c>
      <c r="L37" s="78">
        <f t="shared" si="4"/>
        <v>2070.6360368807627</v>
      </c>
    </row>
    <row r="38" spans="1:12" ht="14.5">
      <c r="A38" s="61" t="s">
        <v>673</v>
      </c>
      <c r="B38" s="61">
        <v>37</v>
      </c>
      <c r="C38" s="61" t="s">
        <v>168</v>
      </c>
      <c r="D38" s="62">
        <v>76788</v>
      </c>
      <c r="E38" s="62">
        <v>163000000</v>
      </c>
      <c r="F38" s="63">
        <f t="shared" si="5"/>
        <v>0</v>
      </c>
      <c r="G38" s="63">
        <f t="shared" si="0"/>
        <v>0</v>
      </c>
      <c r="H38" s="63">
        <f t="shared" si="6"/>
        <v>0</v>
      </c>
      <c r="I38" s="76">
        <f t="shared" si="1"/>
        <v>76788</v>
      </c>
      <c r="J38" s="76">
        <f t="shared" si="2"/>
        <v>163000000</v>
      </c>
      <c r="K38" s="77">
        <f t="shared" si="3"/>
        <v>163000000</v>
      </c>
      <c r="L38" s="78">
        <f t="shared" si="4"/>
        <v>2122.7275095066939</v>
      </c>
    </row>
    <row r="39" spans="1:12" ht="14.5">
      <c r="A39" s="61" t="s">
        <v>674</v>
      </c>
      <c r="B39" s="61">
        <v>38</v>
      </c>
      <c r="C39" s="61" t="s">
        <v>168</v>
      </c>
      <c r="D39" s="62">
        <v>76788</v>
      </c>
      <c r="E39" s="62">
        <v>165500000</v>
      </c>
      <c r="F39" s="63">
        <f t="shared" si="5"/>
        <v>0</v>
      </c>
      <c r="G39" s="63">
        <f t="shared" si="0"/>
        <v>0</v>
      </c>
      <c r="H39" s="63">
        <f t="shared" si="6"/>
        <v>0</v>
      </c>
      <c r="I39" s="76">
        <f t="shared" si="1"/>
        <v>76788</v>
      </c>
      <c r="J39" s="76">
        <f t="shared" si="2"/>
        <v>165500000</v>
      </c>
      <c r="K39" s="77">
        <f t="shared" si="3"/>
        <v>165500000</v>
      </c>
      <c r="L39" s="78">
        <f t="shared" si="4"/>
        <v>2155.2846798979008</v>
      </c>
    </row>
    <row r="40" spans="1:12" ht="14.5">
      <c r="A40" s="61" t="s">
        <v>675</v>
      </c>
      <c r="B40" s="61">
        <v>39</v>
      </c>
      <c r="C40" s="61" t="s">
        <v>168</v>
      </c>
      <c r="D40" s="62">
        <v>76788</v>
      </c>
      <c r="E40" s="62">
        <v>168200000</v>
      </c>
      <c r="F40" s="63">
        <f t="shared" si="5"/>
        <v>0</v>
      </c>
      <c r="G40" s="63">
        <f t="shared" si="0"/>
        <v>0</v>
      </c>
      <c r="H40" s="63">
        <f t="shared" si="6"/>
        <v>0</v>
      </c>
      <c r="I40" s="76">
        <f t="shared" si="1"/>
        <v>76788</v>
      </c>
      <c r="J40" s="76">
        <f t="shared" si="2"/>
        <v>168200000</v>
      </c>
      <c r="K40" s="77">
        <f t="shared" si="3"/>
        <v>168200000</v>
      </c>
      <c r="L40" s="78">
        <f t="shared" si="4"/>
        <v>2190.4464239204044</v>
      </c>
    </row>
    <row r="41" spans="1:12" ht="14.5">
      <c r="A41" s="61" t="s">
        <v>676</v>
      </c>
      <c r="B41" s="61">
        <v>40</v>
      </c>
      <c r="C41" s="61" t="s">
        <v>168</v>
      </c>
      <c r="D41" s="62">
        <v>76788</v>
      </c>
      <c r="E41" s="62">
        <v>168500000</v>
      </c>
      <c r="F41" s="63">
        <f t="shared" si="5"/>
        <v>0</v>
      </c>
      <c r="G41" s="63">
        <f t="shared" si="0"/>
        <v>0</v>
      </c>
      <c r="H41" s="63">
        <f t="shared" si="6"/>
        <v>0</v>
      </c>
      <c r="I41" s="76">
        <f t="shared" si="1"/>
        <v>76788</v>
      </c>
      <c r="J41" s="76">
        <f t="shared" si="2"/>
        <v>168500000</v>
      </c>
      <c r="K41" s="77">
        <f t="shared" si="3"/>
        <v>168500000</v>
      </c>
      <c r="L41" s="78">
        <f t="shared" si="4"/>
        <v>2194.3532843673493</v>
      </c>
    </row>
    <row r="42" spans="1:12" ht="14.5">
      <c r="A42" s="61" t="s">
        <v>677</v>
      </c>
      <c r="B42" s="61">
        <v>41</v>
      </c>
      <c r="C42" s="61" t="s">
        <v>168</v>
      </c>
      <c r="D42" s="62">
        <v>76788</v>
      </c>
      <c r="E42" s="62">
        <v>171000000</v>
      </c>
      <c r="F42" s="63">
        <f t="shared" si="5"/>
        <v>0</v>
      </c>
      <c r="G42" s="63">
        <f t="shared" si="0"/>
        <v>0</v>
      </c>
      <c r="H42" s="63">
        <f t="shared" si="6"/>
        <v>0</v>
      </c>
      <c r="I42" s="76">
        <f t="shared" si="1"/>
        <v>76788</v>
      </c>
      <c r="J42" s="76">
        <f t="shared" si="2"/>
        <v>171000000</v>
      </c>
      <c r="K42" s="77">
        <f t="shared" si="3"/>
        <v>171000000</v>
      </c>
      <c r="L42" s="78">
        <f t="shared" si="4"/>
        <v>2226.9104547585562</v>
      </c>
    </row>
    <row r="43" spans="1:12" ht="14.5">
      <c r="A43" s="61" t="s">
        <v>678</v>
      </c>
      <c r="B43" s="61">
        <v>42</v>
      </c>
      <c r="C43" s="61" t="s">
        <v>168</v>
      </c>
      <c r="D43" s="62">
        <v>76788</v>
      </c>
      <c r="E43" s="62">
        <v>173300000</v>
      </c>
      <c r="F43" s="63">
        <f t="shared" si="5"/>
        <v>0</v>
      </c>
      <c r="G43" s="63">
        <f t="shared" si="0"/>
        <v>0</v>
      </c>
      <c r="H43" s="63">
        <f t="shared" si="6"/>
        <v>0</v>
      </c>
      <c r="I43" s="76">
        <f t="shared" si="1"/>
        <v>76788</v>
      </c>
      <c r="J43" s="76">
        <f t="shared" si="2"/>
        <v>173300000</v>
      </c>
      <c r="K43" s="77">
        <f t="shared" si="3"/>
        <v>173300000</v>
      </c>
      <c r="L43" s="78">
        <f t="shared" si="4"/>
        <v>2256.8630515184664</v>
      </c>
    </row>
    <row r="44" spans="1:12" ht="14.5">
      <c r="A44" s="61" t="s">
        <v>679</v>
      </c>
      <c r="B44" s="61">
        <v>43</v>
      </c>
      <c r="C44" s="61" t="s">
        <v>168</v>
      </c>
      <c r="D44" s="62">
        <v>76788</v>
      </c>
      <c r="E44" s="62">
        <v>175800000</v>
      </c>
      <c r="F44" s="63">
        <f t="shared" si="5"/>
        <v>0</v>
      </c>
      <c r="G44" s="63">
        <f t="shared" si="0"/>
        <v>0</v>
      </c>
      <c r="H44" s="63">
        <f t="shared" si="6"/>
        <v>0</v>
      </c>
      <c r="I44" s="76">
        <f t="shared" si="1"/>
        <v>76788</v>
      </c>
      <c r="J44" s="76">
        <f t="shared" si="2"/>
        <v>175800000</v>
      </c>
      <c r="K44" s="77">
        <f t="shared" si="3"/>
        <v>175800000</v>
      </c>
      <c r="L44" s="78">
        <f t="shared" si="4"/>
        <v>2289.4202219096733</v>
      </c>
    </row>
    <row r="45" spans="1:12" ht="14.5">
      <c r="A45" s="61" t="s">
        <v>680</v>
      </c>
      <c r="B45" s="61">
        <v>44</v>
      </c>
      <c r="C45" s="61" t="s">
        <v>168</v>
      </c>
      <c r="D45" s="62">
        <v>76788</v>
      </c>
      <c r="E45" s="62">
        <v>177200000</v>
      </c>
      <c r="F45" s="63">
        <f t="shared" si="5"/>
        <v>0</v>
      </c>
      <c r="G45" s="63">
        <f t="shared" si="0"/>
        <v>0</v>
      </c>
      <c r="H45" s="63">
        <f t="shared" si="6"/>
        <v>0</v>
      </c>
      <c r="I45" s="76">
        <f t="shared" si="1"/>
        <v>76788</v>
      </c>
      <c r="J45" s="76">
        <f t="shared" si="2"/>
        <v>177200000</v>
      </c>
      <c r="K45" s="77">
        <f t="shared" si="3"/>
        <v>177200000</v>
      </c>
      <c r="L45" s="78">
        <f t="shared" si="4"/>
        <v>2307.6522373287494</v>
      </c>
    </row>
    <row r="46" spans="1:12" ht="14.5">
      <c r="A46" s="61" t="s">
        <v>681</v>
      </c>
      <c r="B46" s="61">
        <v>45</v>
      </c>
      <c r="C46" s="61" t="s">
        <v>168</v>
      </c>
      <c r="D46" s="62">
        <v>76788</v>
      </c>
      <c r="E46" s="62">
        <v>177200000</v>
      </c>
      <c r="F46" s="63">
        <f t="shared" si="5"/>
        <v>0</v>
      </c>
      <c r="G46" s="63">
        <f t="shared" si="0"/>
        <v>0</v>
      </c>
      <c r="H46" s="63">
        <f t="shared" si="6"/>
        <v>0</v>
      </c>
      <c r="I46" s="76">
        <f t="shared" si="1"/>
        <v>76788</v>
      </c>
      <c r="J46" s="76">
        <f t="shared" si="2"/>
        <v>177200000</v>
      </c>
      <c r="K46" s="77">
        <f t="shared" si="3"/>
        <v>177200000</v>
      </c>
      <c r="L46" s="78">
        <f t="shared" si="4"/>
        <v>2307.6522373287494</v>
      </c>
    </row>
    <row r="47" spans="1:12" ht="14.5">
      <c r="A47" s="61" t="s">
        <v>682</v>
      </c>
      <c r="B47" s="61">
        <v>46</v>
      </c>
      <c r="C47" s="61" t="s">
        <v>168</v>
      </c>
      <c r="D47" s="62">
        <v>76788</v>
      </c>
      <c r="E47" s="62">
        <v>177200000</v>
      </c>
      <c r="F47" s="63">
        <f t="shared" si="5"/>
        <v>0</v>
      </c>
      <c r="G47" s="63">
        <f t="shared" si="0"/>
        <v>0</v>
      </c>
      <c r="H47" s="63">
        <f t="shared" si="6"/>
        <v>0</v>
      </c>
      <c r="I47" s="76">
        <f t="shared" si="1"/>
        <v>76788</v>
      </c>
      <c r="J47" s="76">
        <f t="shared" si="2"/>
        <v>177200000</v>
      </c>
      <c r="K47" s="77">
        <f t="shared" si="3"/>
        <v>177200000</v>
      </c>
      <c r="L47" s="78">
        <f t="shared" si="4"/>
        <v>2307.6522373287494</v>
      </c>
    </row>
    <row r="48" spans="1:12" ht="14.5">
      <c r="A48" s="61" t="s">
        <v>683</v>
      </c>
      <c r="B48" s="61">
        <v>47</v>
      </c>
      <c r="C48" s="61" t="s">
        <v>168</v>
      </c>
      <c r="D48" s="62">
        <v>76788</v>
      </c>
      <c r="E48" s="62">
        <v>181100000</v>
      </c>
      <c r="F48" s="63">
        <f t="shared" si="5"/>
        <v>0</v>
      </c>
      <c r="G48" s="63">
        <f t="shared" si="0"/>
        <v>0</v>
      </c>
      <c r="H48" s="63">
        <f t="shared" si="6"/>
        <v>0</v>
      </c>
      <c r="I48" s="76">
        <f t="shared" si="1"/>
        <v>76788</v>
      </c>
      <c r="J48" s="76">
        <f t="shared" si="2"/>
        <v>181100000</v>
      </c>
      <c r="K48" s="77">
        <f t="shared" si="3"/>
        <v>181100000</v>
      </c>
      <c r="L48" s="78">
        <f t="shared" si="4"/>
        <v>2358.4414231390319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14"/>
  <sheetViews>
    <sheetView workbookViewId="0"/>
  </sheetViews>
  <sheetFormatPr defaultColWidth="12.54296875" defaultRowHeight="15" customHeight="1"/>
  <sheetData>
    <row r="1" spans="1:26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26" ht="15" customHeight="1">
      <c r="A2" s="81">
        <v>43307</v>
      </c>
      <c r="B2" s="61">
        <v>1</v>
      </c>
      <c r="C2" s="61" t="s">
        <v>271</v>
      </c>
      <c r="D2" s="62">
        <v>12000</v>
      </c>
      <c r="E2" s="62">
        <v>350000</v>
      </c>
      <c r="F2" s="63">
        <f>I2-0</f>
        <v>12000</v>
      </c>
      <c r="G2" s="63">
        <f t="shared" ref="G2:G14" si="0">$B$9/$I$9*(F2)</f>
        <v>0.72606262290122525</v>
      </c>
      <c r="H2" s="63">
        <f>$B$9/SQRT($I$9)*(SQRT(I2)-SQRT(0))</f>
        <v>2.4100831901014956</v>
      </c>
      <c r="I2" s="76">
        <f t="shared" ref="I2:I14" si="1">D2</f>
        <v>12000</v>
      </c>
      <c r="J2" s="76">
        <f t="shared" ref="J2:J14" si="2">E2</f>
        <v>350000</v>
      </c>
      <c r="K2" s="77">
        <f>J2*'Inflation Rates by Year'!F$2</f>
        <v>417509.85262694408</v>
      </c>
      <c r="L2" s="78">
        <f t="shared" ref="L2:L14" si="3">K2/I2</f>
        <v>34.792487718912007</v>
      </c>
    </row>
    <row r="3" spans="1:26" ht="15" customHeight="1">
      <c r="A3" s="81">
        <v>43308</v>
      </c>
      <c r="B3" s="61">
        <v>2</v>
      </c>
      <c r="C3" s="61" t="s">
        <v>271</v>
      </c>
      <c r="D3" s="62">
        <v>25000</v>
      </c>
      <c r="E3" s="62">
        <v>750000</v>
      </c>
      <c r="F3" s="63">
        <f t="shared" ref="F3:F14" si="4">I3-I2</f>
        <v>13000</v>
      </c>
      <c r="G3" s="63">
        <f t="shared" si="0"/>
        <v>0.7865678414763273</v>
      </c>
      <c r="H3" s="63">
        <f t="shared" ref="H3:H14" si="5">$B$9/SQRT($I$9)*(SQRT(I3)-SQRT(I2))</f>
        <v>1.0685722563347309</v>
      </c>
      <c r="I3" s="76">
        <f t="shared" si="1"/>
        <v>25000</v>
      </c>
      <c r="J3" s="76">
        <f t="shared" si="2"/>
        <v>750000</v>
      </c>
      <c r="K3" s="77">
        <f>J3*'Inflation Rates by Year'!F$2</f>
        <v>894663.96991488012</v>
      </c>
      <c r="L3" s="78">
        <f t="shared" si="3"/>
        <v>35.786558796595202</v>
      </c>
    </row>
    <row r="4" spans="1:26" ht="15" customHeight="1">
      <c r="A4" s="81">
        <v>43310</v>
      </c>
      <c r="B4" s="61">
        <v>3</v>
      </c>
      <c r="C4" s="61" t="s">
        <v>160</v>
      </c>
      <c r="D4" s="62">
        <v>100000</v>
      </c>
      <c r="E4" s="62">
        <v>750000</v>
      </c>
      <c r="F4" s="63">
        <f t="shared" si="4"/>
        <v>75000</v>
      </c>
      <c r="G4" s="63">
        <f t="shared" si="0"/>
        <v>4.5378913931326572</v>
      </c>
      <c r="H4" s="63">
        <f t="shared" si="5"/>
        <v>3.4786554464362265</v>
      </c>
      <c r="I4" s="76">
        <f t="shared" si="1"/>
        <v>100000</v>
      </c>
      <c r="J4" s="76">
        <f t="shared" si="2"/>
        <v>750000</v>
      </c>
      <c r="K4" s="77">
        <f>J4*'Inflation Rates by Year'!F$2</f>
        <v>894663.96991488012</v>
      </c>
      <c r="L4" s="78">
        <f t="shared" si="3"/>
        <v>8.9466396991488004</v>
      </c>
    </row>
    <row r="5" spans="1:26" ht="15" customHeight="1">
      <c r="A5" s="81">
        <v>43311</v>
      </c>
      <c r="B5" s="61">
        <v>4</v>
      </c>
      <c r="C5" s="61" t="s">
        <v>160</v>
      </c>
      <c r="D5" s="62">
        <v>118000</v>
      </c>
      <c r="E5" s="62">
        <v>2000000</v>
      </c>
      <c r="F5" s="63">
        <f t="shared" si="4"/>
        <v>18000</v>
      </c>
      <c r="G5" s="63">
        <f t="shared" si="0"/>
        <v>1.0890939343518378</v>
      </c>
      <c r="H5" s="63">
        <f t="shared" si="5"/>
        <v>0.60026321095850965</v>
      </c>
      <c r="I5" s="76">
        <f t="shared" si="1"/>
        <v>118000</v>
      </c>
      <c r="J5" s="76">
        <f t="shared" si="2"/>
        <v>2000000</v>
      </c>
      <c r="K5" s="77">
        <f>J5*'Inflation Rates by Year'!F$2</f>
        <v>2385770.5864396803</v>
      </c>
      <c r="L5" s="78">
        <f t="shared" si="3"/>
        <v>20.218394800336274</v>
      </c>
    </row>
    <row r="6" spans="1:26" ht="15" customHeight="1">
      <c r="A6" s="81">
        <v>43312</v>
      </c>
      <c r="B6" s="61">
        <v>5</v>
      </c>
      <c r="C6" s="61" t="s">
        <v>160</v>
      </c>
      <c r="D6" s="62">
        <v>122916</v>
      </c>
      <c r="E6" s="62">
        <v>3464163</v>
      </c>
      <c r="F6" s="63">
        <f t="shared" si="4"/>
        <v>4916</v>
      </c>
      <c r="G6" s="63">
        <f t="shared" si="0"/>
        <v>0.29744365451520194</v>
      </c>
      <c r="H6" s="63">
        <f t="shared" si="5"/>
        <v>0.15582174825766235</v>
      </c>
      <c r="I6" s="76">
        <f t="shared" si="1"/>
        <v>122916</v>
      </c>
      <c r="J6" s="76">
        <f t="shared" si="2"/>
        <v>3464163</v>
      </c>
      <c r="K6" s="77">
        <f>J6*'Inflation Rates by Year'!F$2</f>
        <v>4132349.0960163213</v>
      </c>
      <c r="L6" s="78">
        <f t="shared" si="3"/>
        <v>33.61929363155587</v>
      </c>
    </row>
    <row r="7" spans="1:26" ht="15" customHeight="1">
      <c r="A7" s="81">
        <v>43313</v>
      </c>
      <c r="B7" s="61">
        <v>6</v>
      </c>
      <c r="C7" s="61" t="s">
        <v>160</v>
      </c>
      <c r="D7" s="62">
        <v>123975</v>
      </c>
      <c r="E7" s="62">
        <v>4340117</v>
      </c>
      <c r="F7" s="63">
        <f t="shared" si="4"/>
        <v>1059</v>
      </c>
      <c r="G7" s="63">
        <f t="shared" si="0"/>
        <v>6.4075026471033122E-2</v>
      </c>
      <c r="H7" s="63">
        <f t="shared" si="5"/>
        <v>3.3156657433676344E-2</v>
      </c>
      <c r="I7" s="76">
        <f t="shared" si="1"/>
        <v>123975</v>
      </c>
      <c r="J7" s="76">
        <f t="shared" si="2"/>
        <v>4340117</v>
      </c>
      <c r="K7" s="77">
        <f>J7*'Inflation Rates by Year'!F$2</f>
        <v>5177261.7401534133</v>
      </c>
      <c r="L7" s="78">
        <f t="shared" si="3"/>
        <v>41.760530269436686</v>
      </c>
    </row>
    <row r="8" spans="1:26" ht="15" customHeight="1">
      <c r="A8" s="81">
        <v>43314</v>
      </c>
      <c r="B8" s="61">
        <v>7</v>
      </c>
      <c r="C8" s="61" t="s">
        <v>160</v>
      </c>
      <c r="D8" s="62">
        <v>127059</v>
      </c>
      <c r="E8" s="62">
        <v>4982135</v>
      </c>
      <c r="F8" s="63">
        <f t="shared" si="4"/>
        <v>3084</v>
      </c>
      <c r="G8" s="63">
        <f t="shared" si="0"/>
        <v>0.18659809408561487</v>
      </c>
      <c r="H8" s="63">
        <f t="shared" si="5"/>
        <v>9.5759683668632092E-2</v>
      </c>
      <c r="I8" s="76">
        <f t="shared" si="1"/>
        <v>127059</v>
      </c>
      <c r="J8" s="76">
        <f t="shared" si="2"/>
        <v>4982135</v>
      </c>
      <c r="K8" s="77">
        <f>J8*'Inflation Rates by Year'!F$2</f>
        <v>5943115.5703358287</v>
      </c>
      <c r="L8" s="78">
        <f t="shared" si="3"/>
        <v>46.774455727936065</v>
      </c>
    </row>
    <row r="9" spans="1:26" ht="15" customHeight="1">
      <c r="A9" s="82">
        <v>43315</v>
      </c>
      <c r="B9" s="83">
        <v>8</v>
      </c>
      <c r="C9" s="83" t="s">
        <v>160</v>
      </c>
      <c r="D9" s="72">
        <v>132220</v>
      </c>
      <c r="E9" s="72">
        <v>5700740</v>
      </c>
      <c r="F9" s="71">
        <f t="shared" si="4"/>
        <v>5161</v>
      </c>
      <c r="G9" s="63">
        <f t="shared" si="0"/>
        <v>0.31226743306610194</v>
      </c>
      <c r="H9" s="63">
        <f t="shared" si="5"/>
        <v>0.15768780680906697</v>
      </c>
      <c r="I9" s="72">
        <f t="shared" si="1"/>
        <v>132220</v>
      </c>
      <c r="J9" s="72">
        <f t="shared" si="2"/>
        <v>5700740</v>
      </c>
      <c r="K9" s="77">
        <f>J9*'Inflation Rates by Year'!F$2</f>
        <v>6800328.9064700715</v>
      </c>
      <c r="L9" s="73">
        <f t="shared" si="3"/>
        <v>51.431923358569591</v>
      </c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5" customHeight="1">
      <c r="A10" s="81">
        <v>43316</v>
      </c>
      <c r="B10" s="61">
        <v>9</v>
      </c>
      <c r="C10" s="61" t="s">
        <v>160</v>
      </c>
      <c r="D10" s="62">
        <v>132220</v>
      </c>
      <c r="E10" s="62">
        <v>6254981</v>
      </c>
      <c r="F10" s="63">
        <f t="shared" si="4"/>
        <v>0</v>
      </c>
      <c r="G10" s="63">
        <f t="shared" si="0"/>
        <v>0</v>
      </c>
      <c r="H10" s="63">
        <f t="shared" si="5"/>
        <v>0</v>
      </c>
      <c r="I10" s="76">
        <f t="shared" si="1"/>
        <v>132220</v>
      </c>
      <c r="J10" s="76">
        <f t="shared" si="2"/>
        <v>6254981</v>
      </c>
      <c r="K10" s="77">
        <f>J10*'Inflation Rates by Year'!F$2</f>
        <v>7461474.844269529</v>
      </c>
      <c r="L10" s="78">
        <f t="shared" si="3"/>
        <v>56.43227079314422</v>
      </c>
    </row>
    <row r="11" spans="1:26" ht="15" customHeight="1">
      <c r="A11" s="81">
        <v>43318</v>
      </c>
      <c r="B11" s="61">
        <v>10</v>
      </c>
      <c r="C11" s="61" t="s">
        <v>160</v>
      </c>
      <c r="D11" s="62">
        <v>132220</v>
      </c>
      <c r="E11" s="62">
        <v>6300000</v>
      </c>
      <c r="F11" s="63">
        <f t="shared" si="4"/>
        <v>0</v>
      </c>
      <c r="G11" s="63">
        <f t="shared" si="0"/>
        <v>0</v>
      </c>
      <c r="H11" s="63">
        <f t="shared" si="5"/>
        <v>0</v>
      </c>
      <c r="I11" s="76">
        <f t="shared" si="1"/>
        <v>132220</v>
      </c>
      <c r="J11" s="76">
        <f t="shared" si="2"/>
        <v>6300000</v>
      </c>
      <c r="K11" s="77">
        <f>J11*'Inflation Rates by Year'!F$2</f>
        <v>7515177.3472849932</v>
      </c>
      <c r="L11" s="78">
        <f t="shared" si="3"/>
        <v>56.838431003516817</v>
      </c>
    </row>
    <row r="12" spans="1:26" ht="15" customHeight="1">
      <c r="A12" s="81">
        <v>43319</v>
      </c>
      <c r="B12" s="61">
        <v>11</v>
      </c>
      <c r="C12" s="61" t="s">
        <v>160</v>
      </c>
      <c r="D12" s="62">
        <v>132220</v>
      </c>
      <c r="E12" s="62">
        <v>7350000</v>
      </c>
      <c r="F12" s="63">
        <f t="shared" si="4"/>
        <v>0</v>
      </c>
      <c r="G12" s="63">
        <f t="shared" si="0"/>
        <v>0</v>
      </c>
      <c r="H12" s="63">
        <f t="shared" si="5"/>
        <v>0</v>
      </c>
      <c r="I12" s="76">
        <f t="shared" si="1"/>
        <v>132220</v>
      </c>
      <c r="J12" s="76">
        <f t="shared" si="2"/>
        <v>7350000</v>
      </c>
      <c r="K12" s="77">
        <f>J12*'Inflation Rates by Year'!F$2</f>
        <v>8767706.905165825</v>
      </c>
      <c r="L12" s="78">
        <f t="shared" si="3"/>
        <v>66.311502837436279</v>
      </c>
    </row>
    <row r="13" spans="1:26" ht="15" customHeight="1">
      <c r="A13" s="81">
        <v>43320</v>
      </c>
      <c r="B13" s="61">
        <v>12</v>
      </c>
      <c r="C13" s="61" t="s">
        <v>160</v>
      </c>
      <c r="D13" s="62">
        <v>132220</v>
      </c>
      <c r="E13" s="62">
        <v>7540000</v>
      </c>
      <c r="F13" s="63">
        <f t="shared" si="4"/>
        <v>0</v>
      </c>
      <c r="G13" s="63">
        <f t="shared" si="0"/>
        <v>0</v>
      </c>
      <c r="H13" s="63">
        <f t="shared" si="5"/>
        <v>0</v>
      </c>
      <c r="I13" s="76">
        <f t="shared" si="1"/>
        <v>132220</v>
      </c>
      <c r="J13" s="76">
        <f t="shared" si="2"/>
        <v>7540000</v>
      </c>
      <c r="K13" s="77">
        <f>J13*'Inflation Rates by Year'!F$2</f>
        <v>8994355.110877594</v>
      </c>
      <c r="L13" s="78">
        <f t="shared" si="3"/>
        <v>68.025677740716944</v>
      </c>
    </row>
    <row r="14" spans="1:26" ht="15" customHeight="1">
      <c r="A14" s="81">
        <v>43321</v>
      </c>
      <c r="B14" s="61">
        <v>13</v>
      </c>
      <c r="C14" s="61" t="s">
        <v>160</v>
      </c>
      <c r="D14" s="62">
        <v>132220</v>
      </c>
      <c r="E14" s="62">
        <v>7754000</v>
      </c>
      <c r="F14" s="63">
        <f t="shared" si="4"/>
        <v>0</v>
      </c>
      <c r="G14" s="63">
        <f t="shared" si="0"/>
        <v>0</v>
      </c>
      <c r="H14" s="63">
        <f t="shared" si="5"/>
        <v>0</v>
      </c>
      <c r="I14" s="76">
        <f t="shared" si="1"/>
        <v>132220</v>
      </c>
      <c r="J14" s="76">
        <f t="shared" si="2"/>
        <v>7754000</v>
      </c>
      <c r="K14" s="77">
        <f>J14*'Inflation Rates by Year'!F$2</f>
        <v>9249632.5636266414</v>
      </c>
      <c r="L14" s="78">
        <f t="shared" si="3"/>
        <v>69.956380000201491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6"/>
  <sheetViews>
    <sheetView workbookViewId="0"/>
  </sheetViews>
  <sheetFormatPr defaultColWidth="12.54296875" defaultRowHeight="15" customHeight="1"/>
  <sheetData>
    <row r="1" spans="1:26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26" ht="15" customHeight="1">
      <c r="A2" s="81">
        <v>44074</v>
      </c>
      <c r="B2" s="61">
        <v>1</v>
      </c>
      <c r="C2" s="61" t="s">
        <v>160</v>
      </c>
      <c r="D2" s="62">
        <v>12900</v>
      </c>
      <c r="E2" s="62">
        <v>360000</v>
      </c>
      <c r="F2" s="63">
        <f>I2-0</f>
        <v>12900</v>
      </c>
      <c r="G2" s="63">
        <f t="shared" ref="G2:G16" si="0">$B$15/$I$15*(F2)</f>
        <v>2.3820515187886624</v>
      </c>
      <c r="H2" s="63">
        <f>$B$15/SQRT($I$15)*(SQRT(I2)-SQRT(0))</f>
        <v>5.7748351719370543</v>
      </c>
      <c r="I2" s="76">
        <f t="shared" ref="I2:I16" si="1">D2</f>
        <v>12900</v>
      </c>
      <c r="J2" s="76">
        <f t="shared" ref="J2:J16" si="2">E2</f>
        <v>360000</v>
      </c>
      <c r="K2" s="77">
        <f>J2*'Inflation Rates by Year'!$D$2</f>
        <v>411958.48320000002</v>
      </c>
      <c r="L2" s="78">
        <f t="shared" ref="L2:L16" si="3">K2/I2</f>
        <v>31.934766139534887</v>
      </c>
    </row>
    <row r="3" spans="1:26" ht="15" customHeight="1">
      <c r="A3" s="81">
        <v>44075</v>
      </c>
      <c r="B3" s="61">
        <v>2</v>
      </c>
      <c r="C3" s="61" t="s">
        <v>160</v>
      </c>
      <c r="D3" s="62">
        <v>34775</v>
      </c>
      <c r="E3" s="62">
        <v>1000000</v>
      </c>
      <c r="F3" s="63">
        <f t="shared" ref="F3:F16" si="4">I3-I2</f>
        <v>21875</v>
      </c>
      <c r="G3" s="63">
        <f t="shared" si="0"/>
        <v>4.0393315483334877</v>
      </c>
      <c r="H3" s="63">
        <f t="shared" ref="H3:H16" si="5">$B$15/SQRT($I$15)*(SQRT(I3)-SQRT(I2))</f>
        <v>3.7066922862159881</v>
      </c>
      <c r="I3" s="76">
        <f t="shared" si="1"/>
        <v>34775</v>
      </c>
      <c r="J3" s="76">
        <f t="shared" si="2"/>
        <v>1000000</v>
      </c>
      <c r="K3" s="77">
        <f>J3*'Inflation Rates by Year'!$D$2</f>
        <v>1144329.1200000001</v>
      </c>
      <c r="L3" s="78">
        <f t="shared" si="3"/>
        <v>32.906660531991378</v>
      </c>
    </row>
    <row r="4" spans="1:26" ht="15" customHeight="1">
      <c r="A4" s="81">
        <v>44076</v>
      </c>
      <c r="B4" s="61">
        <v>3</v>
      </c>
      <c r="C4" s="61" t="s">
        <v>160</v>
      </c>
      <c r="D4" s="62">
        <v>57550</v>
      </c>
      <c r="E4" s="62">
        <v>2600000</v>
      </c>
      <c r="F4" s="63">
        <f t="shared" si="4"/>
        <v>22775</v>
      </c>
      <c r="G4" s="63">
        <f t="shared" si="0"/>
        <v>4.2055211891792084</v>
      </c>
      <c r="H4" s="63">
        <f t="shared" si="5"/>
        <v>2.7158763470925229</v>
      </c>
      <c r="I4" s="76">
        <f t="shared" si="1"/>
        <v>57550</v>
      </c>
      <c r="J4" s="76">
        <f t="shared" si="2"/>
        <v>2600000</v>
      </c>
      <c r="K4" s="77">
        <f>J4*'Inflation Rates by Year'!$D$2</f>
        <v>2975255.7120000003</v>
      </c>
      <c r="L4" s="78">
        <f t="shared" si="3"/>
        <v>51.698622276281498</v>
      </c>
    </row>
    <row r="5" spans="1:26" ht="15" customHeight="1">
      <c r="A5" s="81">
        <v>44077</v>
      </c>
      <c r="B5" s="61">
        <v>4</v>
      </c>
      <c r="C5" s="61" t="s">
        <v>160</v>
      </c>
      <c r="D5" s="62">
        <v>73868</v>
      </c>
      <c r="E5" s="62">
        <v>4000000</v>
      </c>
      <c r="F5" s="63">
        <f t="shared" si="4"/>
        <v>16318</v>
      </c>
      <c r="G5" s="63">
        <f t="shared" si="0"/>
        <v>3.01320284368941</v>
      </c>
      <c r="H5" s="63">
        <f t="shared" si="5"/>
        <v>1.6214781828123226</v>
      </c>
      <c r="I5" s="76">
        <f t="shared" si="1"/>
        <v>73868</v>
      </c>
      <c r="J5" s="76">
        <f t="shared" si="2"/>
        <v>4000000</v>
      </c>
      <c r="K5" s="77">
        <f>J5*'Inflation Rates by Year'!$D$2</f>
        <v>4577316.4800000004</v>
      </c>
      <c r="L5" s="78">
        <f t="shared" si="3"/>
        <v>61.966162343640015</v>
      </c>
    </row>
    <row r="6" spans="1:26" ht="15" customHeight="1">
      <c r="A6" s="81">
        <v>44078</v>
      </c>
      <c r="B6" s="61">
        <v>5</v>
      </c>
      <c r="C6" s="61" t="s">
        <v>160</v>
      </c>
      <c r="D6" s="62">
        <v>75817</v>
      </c>
      <c r="E6" s="62">
        <v>6300000</v>
      </c>
      <c r="F6" s="63">
        <f t="shared" si="4"/>
        <v>1949</v>
      </c>
      <c r="G6" s="63">
        <f t="shared" si="0"/>
        <v>0.35989290000923274</v>
      </c>
      <c r="H6" s="63">
        <f t="shared" si="5"/>
        <v>0.18111801194211247</v>
      </c>
      <c r="I6" s="76">
        <f t="shared" si="1"/>
        <v>75817</v>
      </c>
      <c r="J6" s="76">
        <f t="shared" si="2"/>
        <v>6300000</v>
      </c>
      <c r="K6" s="77">
        <f>J6*'Inflation Rates by Year'!$D$2</f>
        <v>7209273.4560000002</v>
      </c>
      <c r="L6" s="78">
        <f t="shared" si="3"/>
        <v>95.087822731049769</v>
      </c>
    </row>
    <row r="7" spans="1:26" ht="15" customHeight="1">
      <c r="A7" s="81">
        <v>44079</v>
      </c>
      <c r="B7" s="61">
        <v>6</v>
      </c>
      <c r="C7" s="61" t="s">
        <v>160</v>
      </c>
      <c r="D7" s="62">
        <v>75817</v>
      </c>
      <c r="E7" s="62">
        <v>7400000</v>
      </c>
      <c r="F7" s="63">
        <f t="shared" si="4"/>
        <v>0</v>
      </c>
      <c r="G7" s="63">
        <f t="shared" si="0"/>
        <v>0</v>
      </c>
      <c r="H7" s="63">
        <f t="shared" si="5"/>
        <v>0</v>
      </c>
      <c r="I7" s="76">
        <f t="shared" si="1"/>
        <v>75817</v>
      </c>
      <c r="J7" s="76">
        <f t="shared" si="2"/>
        <v>7400000</v>
      </c>
      <c r="K7" s="77">
        <f>J7*'Inflation Rates by Year'!$D$2</f>
        <v>8468035.4879999999</v>
      </c>
      <c r="L7" s="78">
        <f t="shared" si="3"/>
        <v>111.69045844599496</v>
      </c>
    </row>
    <row r="8" spans="1:26" ht="15" customHeight="1">
      <c r="A8" s="81">
        <v>44080</v>
      </c>
      <c r="B8" s="61">
        <v>7</v>
      </c>
      <c r="C8" s="61" t="s">
        <v>160</v>
      </c>
      <c r="D8" s="62">
        <v>75817</v>
      </c>
      <c r="E8" s="62">
        <v>8400000</v>
      </c>
      <c r="F8" s="63">
        <f t="shared" si="4"/>
        <v>0</v>
      </c>
      <c r="G8" s="63">
        <f t="shared" si="0"/>
        <v>0</v>
      </c>
      <c r="H8" s="63">
        <f t="shared" si="5"/>
        <v>0</v>
      </c>
      <c r="I8" s="76">
        <f t="shared" si="1"/>
        <v>75817</v>
      </c>
      <c r="J8" s="76">
        <f t="shared" si="2"/>
        <v>8400000</v>
      </c>
      <c r="K8" s="77">
        <f>J8*'Inflation Rates by Year'!$D$2</f>
        <v>9612364.6080000009</v>
      </c>
      <c r="L8" s="78">
        <f t="shared" si="3"/>
        <v>126.7837636413997</v>
      </c>
    </row>
    <row r="9" spans="1:26" ht="15" customHeight="1">
      <c r="A9" s="81">
        <v>44081</v>
      </c>
      <c r="B9" s="61">
        <v>8</v>
      </c>
      <c r="C9" s="61" t="s">
        <v>160</v>
      </c>
      <c r="D9" s="62">
        <v>75817</v>
      </c>
      <c r="E9" s="62">
        <v>9200000</v>
      </c>
      <c r="F9" s="63">
        <f t="shared" si="4"/>
        <v>0</v>
      </c>
      <c r="G9" s="63">
        <f t="shared" si="0"/>
        <v>0</v>
      </c>
      <c r="H9" s="63">
        <f t="shared" si="5"/>
        <v>0</v>
      </c>
      <c r="I9" s="76">
        <f t="shared" si="1"/>
        <v>75817</v>
      </c>
      <c r="J9" s="76">
        <f t="shared" si="2"/>
        <v>9200000</v>
      </c>
      <c r="K9" s="77">
        <f>J9*'Inflation Rates by Year'!$D$2</f>
        <v>10527827.904000001</v>
      </c>
      <c r="L9" s="78">
        <f t="shared" si="3"/>
        <v>138.85840779772349</v>
      </c>
    </row>
    <row r="10" spans="1:26" ht="15" customHeight="1">
      <c r="A10" s="81">
        <v>44082</v>
      </c>
      <c r="B10" s="61">
        <v>9</v>
      </c>
      <c r="C10" s="61" t="s">
        <v>160</v>
      </c>
      <c r="D10" s="62">
        <v>75817</v>
      </c>
      <c r="E10" s="62">
        <v>9700000</v>
      </c>
      <c r="F10" s="63">
        <f t="shared" si="4"/>
        <v>0</v>
      </c>
      <c r="G10" s="63">
        <f t="shared" si="0"/>
        <v>0</v>
      </c>
      <c r="H10" s="63">
        <f t="shared" si="5"/>
        <v>0</v>
      </c>
      <c r="I10" s="76">
        <f t="shared" si="1"/>
        <v>75817</v>
      </c>
      <c r="J10" s="76">
        <f t="shared" si="2"/>
        <v>9700000</v>
      </c>
      <c r="K10" s="77">
        <f>J10*'Inflation Rates by Year'!$D$2</f>
        <v>11099992.464000002</v>
      </c>
      <c r="L10" s="78">
        <f t="shared" si="3"/>
        <v>146.40506039542583</v>
      </c>
    </row>
    <row r="11" spans="1:26" ht="15" customHeight="1">
      <c r="A11" s="81">
        <v>44084</v>
      </c>
      <c r="B11" s="61">
        <v>10</v>
      </c>
      <c r="C11" s="61" t="s">
        <v>160</v>
      </c>
      <c r="D11" s="62">
        <v>75817</v>
      </c>
      <c r="E11" s="62">
        <v>9750000</v>
      </c>
      <c r="F11" s="63">
        <f t="shared" si="4"/>
        <v>0</v>
      </c>
      <c r="G11" s="63">
        <f t="shared" si="0"/>
        <v>0</v>
      </c>
      <c r="H11" s="63">
        <f t="shared" si="5"/>
        <v>0</v>
      </c>
      <c r="I11" s="76">
        <f t="shared" si="1"/>
        <v>75817</v>
      </c>
      <c r="J11" s="76">
        <f t="shared" si="2"/>
        <v>9750000</v>
      </c>
      <c r="K11" s="77">
        <f>J11*'Inflation Rates by Year'!$D$2</f>
        <v>11157208.920000002</v>
      </c>
      <c r="L11" s="78">
        <f t="shared" si="3"/>
        <v>147.1597256551961</v>
      </c>
    </row>
    <row r="12" spans="1:26" ht="15" customHeight="1">
      <c r="A12" s="81">
        <v>44085</v>
      </c>
      <c r="B12" s="61">
        <v>11</v>
      </c>
      <c r="C12" s="61" t="s">
        <v>160</v>
      </c>
      <c r="D12" s="62">
        <v>75817</v>
      </c>
      <c r="E12" s="62">
        <v>10100000</v>
      </c>
      <c r="F12" s="63">
        <f t="shared" si="4"/>
        <v>0</v>
      </c>
      <c r="G12" s="63">
        <f t="shared" si="0"/>
        <v>0</v>
      </c>
      <c r="H12" s="63">
        <f t="shared" si="5"/>
        <v>0</v>
      </c>
      <c r="I12" s="76">
        <f t="shared" si="1"/>
        <v>75817</v>
      </c>
      <c r="J12" s="76">
        <f t="shared" si="2"/>
        <v>10100000</v>
      </c>
      <c r="K12" s="77">
        <f>J12*'Inflation Rates by Year'!$D$2</f>
        <v>11557724.112000002</v>
      </c>
      <c r="L12" s="78">
        <f t="shared" si="3"/>
        <v>152.44238247358774</v>
      </c>
    </row>
    <row r="13" spans="1:26" ht="15" customHeight="1">
      <c r="A13" s="81">
        <v>44086</v>
      </c>
      <c r="B13" s="61">
        <v>12</v>
      </c>
      <c r="C13" s="61" t="s">
        <v>160</v>
      </c>
      <c r="D13" s="62">
        <v>75817</v>
      </c>
      <c r="E13" s="62">
        <v>10100000</v>
      </c>
      <c r="F13" s="63">
        <f t="shared" si="4"/>
        <v>0</v>
      </c>
      <c r="G13" s="63">
        <f t="shared" si="0"/>
        <v>0</v>
      </c>
      <c r="H13" s="63">
        <f t="shared" si="5"/>
        <v>0</v>
      </c>
      <c r="I13" s="76">
        <f t="shared" si="1"/>
        <v>75817</v>
      </c>
      <c r="J13" s="76">
        <f t="shared" si="2"/>
        <v>10100000</v>
      </c>
      <c r="K13" s="77">
        <f>J13*'Inflation Rates by Year'!$D$2</f>
        <v>11557724.112000002</v>
      </c>
      <c r="L13" s="78">
        <f t="shared" si="3"/>
        <v>152.44238247358774</v>
      </c>
    </row>
    <row r="14" spans="1:26" ht="15" customHeight="1">
      <c r="A14" s="81">
        <v>44087</v>
      </c>
      <c r="B14" s="61">
        <v>13</v>
      </c>
      <c r="C14" s="61" t="s">
        <v>160</v>
      </c>
      <c r="D14" s="62">
        <v>75817</v>
      </c>
      <c r="E14" s="62">
        <v>11000000</v>
      </c>
      <c r="F14" s="63">
        <f t="shared" si="4"/>
        <v>0</v>
      </c>
      <c r="G14" s="63">
        <f t="shared" si="0"/>
        <v>0</v>
      </c>
      <c r="H14" s="63">
        <f t="shared" si="5"/>
        <v>0</v>
      </c>
      <c r="I14" s="76">
        <f t="shared" si="1"/>
        <v>75817</v>
      </c>
      <c r="J14" s="76">
        <f t="shared" si="2"/>
        <v>11000000</v>
      </c>
      <c r="K14" s="77">
        <f>J14*'Inflation Rates by Year'!$D$2</f>
        <v>12587620.32</v>
      </c>
      <c r="L14" s="78">
        <f t="shared" si="3"/>
        <v>166.02635714945197</v>
      </c>
    </row>
    <row r="15" spans="1:26" ht="15" customHeight="1">
      <c r="A15" s="82">
        <v>44089</v>
      </c>
      <c r="B15" s="83">
        <v>14</v>
      </c>
      <c r="C15" s="83" t="s">
        <v>160</v>
      </c>
      <c r="D15" s="72">
        <v>75817</v>
      </c>
      <c r="E15" s="72">
        <v>11200000</v>
      </c>
      <c r="F15" s="71">
        <f t="shared" si="4"/>
        <v>0</v>
      </c>
      <c r="G15" s="71">
        <f t="shared" si="0"/>
        <v>0</v>
      </c>
      <c r="H15" s="63">
        <f t="shared" si="5"/>
        <v>0</v>
      </c>
      <c r="I15" s="72">
        <f t="shared" si="1"/>
        <v>75817</v>
      </c>
      <c r="J15" s="72">
        <f t="shared" si="2"/>
        <v>11200000</v>
      </c>
      <c r="K15" s="73">
        <f>J15*'Inflation Rates by Year'!$D$2</f>
        <v>12816486.144000001</v>
      </c>
      <c r="L15" s="73">
        <f t="shared" si="3"/>
        <v>169.04501818853294</v>
      </c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5" customHeight="1">
      <c r="A16" s="81">
        <v>44099</v>
      </c>
      <c r="B16" s="61">
        <v>15</v>
      </c>
      <c r="C16" s="61" t="s">
        <v>160</v>
      </c>
      <c r="D16" s="62">
        <v>75817</v>
      </c>
      <c r="E16" s="62">
        <v>11200000</v>
      </c>
      <c r="F16" s="63">
        <f t="shared" si="4"/>
        <v>0</v>
      </c>
      <c r="G16" s="63">
        <f t="shared" si="0"/>
        <v>0</v>
      </c>
      <c r="H16" s="63">
        <f t="shared" si="5"/>
        <v>0</v>
      </c>
      <c r="I16" s="76">
        <f t="shared" si="1"/>
        <v>75817</v>
      </c>
      <c r="J16" s="76">
        <f t="shared" si="2"/>
        <v>11200000</v>
      </c>
      <c r="K16" s="77">
        <f>J16*'Inflation Rates by Year'!$D$2</f>
        <v>12816486.144000001</v>
      </c>
      <c r="L16" s="78">
        <f t="shared" si="3"/>
        <v>169.04501818853294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23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44367</v>
      </c>
      <c r="B2" s="61">
        <v>1</v>
      </c>
      <c r="C2" s="61" t="s">
        <v>271</v>
      </c>
      <c r="D2" s="62">
        <v>1000</v>
      </c>
      <c r="E2" s="62">
        <v>100000</v>
      </c>
      <c r="F2" s="63">
        <f>I2-0</f>
        <v>1000</v>
      </c>
      <c r="G2" s="63">
        <f t="shared" ref="G2:G23" si="0">$B$17/$I$17*(F2)</f>
        <v>0.2049574072887978</v>
      </c>
      <c r="H2" s="63">
        <f>$B$17/SQRT($I$17)*(SQRT(I2)-SQRT(0))</f>
        <v>1.8108888747299667</v>
      </c>
      <c r="I2" s="76">
        <f t="shared" ref="I2:I23" si="1">D2</f>
        <v>1000</v>
      </c>
      <c r="J2" s="76">
        <f t="shared" ref="J2:J23" si="2">E2</f>
        <v>100000</v>
      </c>
      <c r="K2" s="77">
        <f>J2*'Inflation Rates by Year'!$C$2</f>
        <v>113076</v>
      </c>
      <c r="L2" s="78">
        <f t="shared" ref="L2:L23" si="3">K2/I2</f>
        <v>113.07599999999999</v>
      </c>
    </row>
    <row r="3" spans="1:12" ht="15" customHeight="1">
      <c r="A3" s="81">
        <v>44368</v>
      </c>
      <c r="B3" s="61">
        <v>2</v>
      </c>
      <c r="C3" s="61" t="s">
        <v>168</v>
      </c>
      <c r="D3" s="62">
        <v>24191</v>
      </c>
      <c r="E3" s="62">
        <v>290000</v>
      </c>
      <c r="F3" s="63">
        <f t="shared" ref="F3:F23" si="4">I3-I2</f>
        <v>23191</v>
      </c>
      <c r="G3" s="63">
        <f t="shared" si="0"/>
        <v>4.7531672324345093</v>
      </c>
      <c r="H3" s="63">
        <f t="shared" ref="H3:H23" si="5">$B$17/SQRT($I$17)*(SQRT(I3)-SQRT(I2))</f>
        <v>7.0958498233330305</v>
      </c>
      <c r="I3" s="76">
        <f t="shared" si="1"/>
        <v>24191</v>
      </c>
      <c r="J3" s="76">
        <f t="shared" si="2"/>
        <v>290000</v>
      </c>
      <c r="K3" s="77">
        <f>J3*'Inflation Rates by Year'!$C$2</f>
        <v>327920.40000000002</v>
      </c>
      <c r="L3" s="78">
        <f t="shared" si="3"/>
        <v>13.555471042949858</v>
      </c>
    </row>
    <row r="4" spans="1:12" ht="15" customHeight="1">
      <c r="A4" s="81">
        <v>44369</v>
      </c>
      <c r="B4" s="61">
        <v>3</v>
      </c>
      <c r="C4" s="61" t="s">
        <v>168</v>
      </c>
      <c r="D4" s="62">
        <v>36000</v>
      </c>
      <c r="E4" s="62">
        <v>380000</v>
      </c>
      <c r="F4" s="63">
        <f t="shared" si="4"/>
        <v>11809</v>
      </c>
      <c r="G4" s="63">
        <f t="shared" si="0"/>
        <v>2.4203420226734131</v>
      </c>
      <c r="H4" s="63">
        <f t="shared" si="5"/>
        <v>1.9585945503168025</v>
      </c>
      <c r="I4" s="76">
        <f t="shared" si="1"/>
        <v>36000</v>
      </c>
      <c r="J4" s="76">
        <f t="shared" si="2"/>
        <v>380000</v>
      </c>
      <c r="K4" s="77">
        <f>J4*'Inflation Rates by Year'!$C$2</f>
        <v>429688.8</v>
      </c>
      <c r="L4" s="78">
        <f t="shared" si="3"/>
        <v>11.9358</v>
      </c>
    </row>
    <row r="5" spans="1:12" ht="15" customHeight="1">
      <c r="A5" s="81">
        <v>44370</v>
      </c>
      <c r="B5" s="61">
        <v>4</v>
      </c>
      <c r="C5" s="61" t="s">
        <v>168</v>
      </c>
      <c r="D5" s="62">
        <v>36148</v>
      </c>
      <c r="E5" s="62">
        <v>1153946</v>
      </c>
      <c r="F5" s="63">
        <f t="shared" si="4"/>
        <v>148</v>
      </c>
      <c r="G5" s="63">
        <f t="shared" si="0"/>
        <v>3.0333696278742071E-2</v>
      </c>
      <c r="H5" s="63">
        <f t="shared" si="5"/>
        <v>2.231138849219113E-2</v>
      </c>
      <c r="I5" s="76">
        <f t="shared" si="1"/>
        <v>36148</v>
      </c>
      <c r="J5" s="76">
        <f t="shared" si="2"/>
        <v>1153946</v>
      </c>
      <c r="K5" s="77">
        <f>J5*'Inflation Rates by Year'!$C$2</f>
        <v>1304835.97896</v>
      </c>
      <c r="L5" s="78">
        <f t="shared" si="3"/>
        <v>36.097044897643023</v>
      </c>
    </row>
    <row r="6" spans="1:12" ht="15" customHeight="1">
      <c r="A6" s="81">
        <v>44371</v>
      </c>
      <c r="B6" s="61">
        <v>5</v>
      </c>
      <c r="C6" s="61" t="s">
        <v>168</v>
      </c>
      <c r="D6" s="62">
        <v>43612</v>
      </c>
      <c r="E6" s="62">
        <v>2193153</v>
      </c>
      <c r="F6" s="63">
        <f t="shared" si="4"/>
        <v>7464</v>
      </c>
      <c r="G6" s="63">
        <f t="shared" si="0"/>
        <v>1.5298020880035867</v>
      </c>
      <c r="H6" s="63">
        <f t="shared" si="5"/>
        <v>1.0713536132685617</v>
      </c>
      <c r="I6" s="76">
        <f t="shared" si="1"/>
        <v>43612</v>
      </c>
      <c r="J6" s="76">
        <f t="shared" si="2"/>
        <v>2193153</v>
      </c>
      <c r="K6" s="77">
        <f>J6*'Inflation Rates by Year'!$C$2</f>
        <v>2479929.68628</v>
      </c>
      <c r="L6" s="78">
        <f t="shared" si="3"/>
        <v>56.863470748417868</v>
      </c>
    </row>
    <row r="7" spans="1:12" ht="15" customHeight="1">
      <c r="A7" s="81">
        <v>44372</v>
      </c>
      <c r="B7" s="61">
        <v>6</v>
      </c>
      <c r="C7" s="61" t="s">
        <v>168</v>
      </c>
      <c r="D7" s="62">
        <v>53664</v>
      </c>
      <c r="E7" s="62">
        <v>3778363</v>
      </c>
      <c r="F7" s="63">
        <f t="shared" si="4"/>
        <v>10052</v>
      </c>
      <c r="G7" s="63">
        <f t="shared" si="0"/>
        <v>2.0602318580669956</v>
      </c>
      <c r="H7" s="63">
        <f t="shared" si="5"/>
        <v>1.3067979519702249</v>
      </c>
      <c r="I7" s="76">
        <f t="shared" si="1"/>
        <v>53664</v>
      </c>
      <c r="J7" s="76">
        <f t="shared" si="2"/>
        <v>3778363</v>
      </c>
      <c r="K7" s="77">
        <f>J7*'Inflation Rates by Year'!$C$2</f>
        <v>4272421.7458800003</v>
      </c>
      <c r="L7" s="78">
        <f t="shared" si="3"/>
        <v>79.614299080948129</v>
      </c>
    </row>
    <row r="8" spans="1:12" ht="15" customHeight="1">
      <c r="A8" s="81">
        <v>44373</v>
      </c>
      <c r="B8" s="61">
        <v>7</v>
      </c>
      <c r="C8" s="61" t="s">
        <v>168</v>
      </c>
      <c r="D8" s="62">
        <v>76322</v>
      </c>
      <c r="E8" s="62">
        <v>4863819</v>
      </c>
      <c r="F8" s="63">
        <f t="shared" si="4"/>
        <v>22658</v>
      </c>
      <c r="G8" s="63">
        <f t="shared" si="0"/>
        <v>4.6439249343495801</v>
      </c>
      <c r="H8" s="63">
        <f t="shared" si="5"/>
        <v>2.5545750901671016</v>
      </c>
      <c r="I8" s="76">
        <f t="shared" si="1"/>
        <v>76322</v>
      </c>
      <c r="J8" s="76">
        <f t="shared" si="2"/>
        <v>4863819</v>
      </c>
      <c r="K8" s="77">
        <f>J8*'Inflation Rates by Year'!$C$2</f>
        <v>5499811.9724399997</v>
      </c>
      <c r="L8" s="78">
        <f t="shared" si="3"/>
        <v>72.060637462854743</v>
      </c>
    </row>
    <row r="9" spans="1:12" ht="15" customHeight="1">
      <c r="A9" s="81">
        <v>44374</v>
      </c>
      <c r="B9" s="61">
        <v>8</v>
      </c>
      <c r="C9" s="61" t="s">
        <v>168</v>
      </c>
      <c r="D9" s="62">
        <v>77102</v>
      </c>
      <c r="E9" s="62">
        <v>5761896</v>
      </c>
      <c r="F9" s="63">
        <f t="shared" si="4"/>
        <v>780</v>
      </c>
      <c r="G9" s="63">
        <f t="shared" si="0"/>
        <v>0.15986677768526228</v>
      </c>
      <c r="H9" s="63">
        <f t="shared" si="5"/>
        <v>8.06354767444597E-2</v>
      </c>
      <c r="I9" s="76">
        <f t="shared" si="1"/>
        <v>77102</v>
      </c>
      <c r="J9" s="76">
        <f t="shared" si="2"/>
        <v>5761896</v>
      </c>
      <c r="K9" s="77">
        <f>J9*'Inflation Rates by Year'!$C$2</f>
        <v>6515321.5209600003</v>
      </c>
      <c r="L9" s="78">
        <f t="shared" si="3"/>
        <v>84.502626662862184</v>
      </c>
    </row>
    <row r="10" spans="1:12" ht="15" customHeight="1">
      <c r="A10" s="81">
        <v>44375</v>
      </c>
      <c r="B10" s="61">
        <v>9</v>
      </c>
      <c r="C10" s="61" t="s">
        <v>168</v>
      </c>
      <c r="D10" s="62">
        <v>78709</v>
      </c>
      <c r="E10" s="62">
        <v>6611766</v>
      </c>
      <c r="F10" s="63">
        <f t="shared" si="4"/>
        <v>1607</v>
      </c>
      <c r="G10" s="63">
        <f t="shared" si="0"/>
        <v>0.32936655351309807</v>
      </c>
      <c r="H10" s="63">
        <f t="shared" si="5"/>
        <v>0.16485396499075763</v>
      </c>
      <c r="I10" s="76">
        <f t="shared" si="1"/>
        <v>78709</v>
      </c>
      <c r="J10" s="76">
        <f t="shared" si="2"/>
        <v>6611766</v>
      </c>
      <c r="K10" s="77">
        <f>J10*'Inflation Rates by Year'!$C$2</f>
        <v>7476320.5221600002</v>
      </c>
      <c r="L10" s="78">
        <f t="shared" si="3"/>
        <v>94.986856930719483</v>
      </c>
    </row>
    <row r="11" spans="1:12" ht="15" customHeight="1">
      <c r="A11" s="81">
        <v>44376</v>
      </c>
      <c r="B11" s="61">
        <v>10</v>
      </c>
      <c r="C11" s="61" t="s">
        <v>271</v>
      </c>
      <c r="D11" s="62">
        <v>78709</v>
      </c>
      <c r="E11" s="62">
        <v>7541963</v>
      </c>
      <c r="F11" s="63">
        <f t="shared" si="4"/>
        <v>0</v>
      </c>
      <c r="G11" s="63">
        <f t="shared" si="0"/>
        <v>0</v>
      </c>
      <c r="H11" s="63">
        <f t="shared" si="5"/>
        <v>0</v>
      </c>
      <c r="I11" s="76">
        <f t="shared" si="1"/>
        <v>78709</v>
      </c>
      <c r="J11" s="76">
        <f t="shared" si="2"/>
        <v>7541963</v>
      </c>
      <c r="K11" s="77">
        <f>J11*'Inflation Rates by Year'!$C$2</f>
        <v>8528150.0818799995</v>
      </c>
      <c r="L11" s="78">
        <f t="shared" si="3"/>
        <v>108.3503802853549</v>
      </c>
    </row>
    <row r="12" spans="1:12" ht="15" customHeight="1">
      <c r="A12" s="81">
        <v>44377</v>
      </c>
      <c r="B12" s="61">
        <v>11</v>
      </c>
      <c r="C12" s="61" t="s">
        <v>271</v>
      </c>
      <c r="D12" s="62">
        <v>78065</v>
      </c>
      <c r="E12" s="62">
        <v>8127356</v>
      </c>
      <c r="F12" s="63">
        <f t="shared" si="4"/>
        <v>-644</v>
      </c>
      <c r="G12" s="63">
        <f t="shared" si="0"/>
        <v>-0.13199257029398578</v>
      </c>
      <c r="H12" s="63">
        <f t="shared" si="5"/>
        <v>-6.5860734013095695E-2</v>
      </c>
      <c r="I12" s="76">
        <f t="shared" si="1"/>
        <v>78065</v>
      </c>
      <c r="J12" s="76">
        <f t="shared" si="2"/>
        <v>8127356</v>
      </c>
      <c r="K12" s="77">
        <f>J12*'Inflation Rates by Year'!$C$2</f>
        <v>9190089.070559999</v>
      </c>
      <c r="L12" s="78">
        <f t="shared" si="3"/>
        <v>117.72355179094343</v>
      </c>
    </row>
    <row r="13" spans="1:12" ht="15" customHeight="1">
      <c r="A13" s="81">
        <v>44378</v>
      </c>
      <c r="B13" s="61">
        <v>12</v>
      </c>
      <c r="C13" s="61" t="s">
        <v>271</v>
      </c>
      <c r="D13" s="62">
        <v>78065</v>
      </c>
      <c r="E13" s="62">
        <v>9108000</v>
      </c>
      <c r="F13" s="63">
        <f t="shared" si="4"/>
        <v>0</v>
      </c>
      <c r="G13" s="63">
        <f t="shared" si="0"/>
        <v>0</v>
      </c>
      <c r="H13" s="63">
        <f t="shared" si="5"/>
        <v>0</v>
      </c>
      <c r="I13" s="76">
        <f t="shared" si="1"/>
        <v>78065</v>
      </c>
      <c r="J13" s="76">
        <f t="shared" si="2"/>
        <v>9108000</v>
      </c>
      <c r="K13" s="77">
        <f>J13*'Inflation Rates by Year'!$C$2</f>
        <v>10298962.08</v>
      </c>
      <c r="L13" s="78">
        <f t="shared" si="3"/>
        <v>131.92803535515276</v>
      </c>
    </row>
    <row r="14" spans="1:12" ht="15" customHeight="1">
      <c r="A14" s="81">
        <v>44379</v>
      </c>
      <c r="B14" s="61">
        <v>13</v>
      </c>
      <c r="C14" s="61" t="s">
        <v>271</v>
      </c>
      <c r="D14" s="62">
        <v>78065</v>
      </c>
      <c r="E14" s="62">
        <v>9550000</v>
      </c>
      <c r="F14" s="63">
        <f t="shared" si="4"/>
        <v>0</v>
      </c>
      <c r="G14" s="63">
        <f t="shared" si="0"/>
        <v>0</v>
      </c>
      <c r="H14" s="63">
        <f t="shared" si="5"/>
        <v>0</v>
      </c>
      <c r="I14" s="76">
        <f t="shared" si="1"/>
        <v>78065</v>
      </c>
      <c r="J14" s="76">
        <f t="shared" si="2"/>
        <v>9550000</v>
      </c>
      <c r="K14" s="77">
        <f>J14*'Inflation Rates by Year'!$C$2</f>
        <v>10798758</v>
      </c>
      <c r="L14" s="78">
        <f t="shared" si="3"/>
        <v>138.33034010119772</v>
      </c>
    </row>
    <row r="15" spans="1:12" ht="15" customHeight="1">
      <c r="A15" s="81">
        <v>44380</v>
      </c>
      <c r="B15" s="61">
        <v>14</v>
      </c>
      <c r="C15" s="61" t="s">
        <v>271</v>
      </c>
      <c r="D15" s="62">
        <v>78065</v>
      </c>
      <c r="E15" s="62">
        <v>9550000</v>
      </c>
      <c r="F15" s="63">
        <f t="shared" si="4"/>
        <v>0</v>
      </c>
      <c r="G15" s="63">
        <f t="shared" si="0"/>
        <v>0</v>
      </c>
      <c r="H15" s="63">
        <f t="shared" si="5"/>
        <v>0</v>
      </c>
      <c r="I15" s="76">
        <f t="shared" si="1"/>
        <v>78065</v>
      </c>
      <c r="J15" s="76">
        <f t="shared" si="2"/>
        <v>9550000</v>
      </c>
      <c r="K15" s="77">
        <f>J15*'Inflation Rates by Year'!$C$2</f>
        <v>10798758</v>
      </c>
      <c r="L15" s="78">
        <f t="shared" si="3"/>
        <v>138.33034010119772</v>
      </c>
    </row>
    <row r="16" spans="1:12" ht="15" customHeight="1">
      <c r="A16" s="81">
        <v>44381</v>
      </c>
      <c r="B16" s="61">
        <v>15</v>
      </c>
      <c r="C16" s="61" t="s">
        <v>271</v>
      </c>
      <c r="D16" s="62">
        <v>78065</v>
      </c>
      <c r="E16" s="62">
        <v>9600000</v>
      </c>
      <c r="F16" s="63">
        <f t="shared" si="4"/>
        <v>0</v>
      </c>
      <c r="G16" s="63">
        <f t="shared" si="0"/>
        <v>0</v>
      </c>
      <c r="H16" s="63">
        <f t="shared" si="5"/>
        <v>0</v>
      </c>
      <c r="I16" s="76">
        <f t="shared" si="1"/>
        <v>78065</v>
      </c>
      <c r="J16" s="76">
        <f t="shared" si="2"/>
        <v>9600000</v>
      </c>
      <c r="K16" s="77">
        <f>J16*'Inflation Rates by Year'!$C$2</f>
        <v>10855296</v>
      </c>
      <c r="L16" s="78">
        <f t="shared" si="3"/>
        <v>139.05458271952861</v>
      </c>
    </row>
    <row r="17" spans="1:26" ht="15" customHeight="1">
      <c r="A17" s="82">
        <v>44383</v>
      </c>
      <c r="B17" s="83">
        <v>16</v>
      </c>
      <c r="C17" s="83" t="s">
        <v>271</v>
      </c>
      <c r="D17" s="72">
        <v>78065</v>
      </c>
      <c r="E17" s="72">
        <v>11000000</v>
      </c>
      <c r="F17" s="71">
        <f t="shared" si="4"/>
        <v>0</v>
      </c>
      <c r="G17" s="63">
        <f t="shared" si="0"/>
        <v>0</v>
      </c>
      <c r="H17" s="63">
        <f t="shared" si="5"/>
        <v>0</v>
      </c>
      <c r="I17" s="72">
        <f t="shared" si="1"/>
        <v>78065</v>
      </c>
      <c r="J17" s="72">
        <f t="shared" si="2"/>
        <v>11000000</v>
      </c>
      <c r="K17" s="77">
        <f>J17*'Inflation Rates by Year'!$C$2</f>
        <v>12438360</v>
      </c>
      <c r="L17" s="73">
        <f t="shared" si="3"/>
        <v>159.33337603279318</v>
      </c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5" customHeight="1">
      <c r="A18" s="81">
        <v>44384</v>
      </c>
      <c r="B18" s="61">
        <v>17</v>
      </c>
      <c r="C18" s="61" t="s">
        <v>271</v>
      </c>
      <c r="D18" s="62">
        <v>78065</v>
      </c>
      <c r="E18" s="62">
        <v>11000000</v>
      </c>
      <c r="F18" s="63">
        <f t="shared" si="4"/>
        <v>0</v>
      </c>
      <c r="G18" s="63">
        <f t="shared" si="0"/>
        <v>0</v>
      </c>
      <c r="H18" s="63">
        <f t="shared" si="5"/>
        <v>0</v>
      </c>
      <c r="I18" s="76">
        <f t="shared" si="1"/>
        <v>78065</v>
      </c>
      <c r="J18" s="76">
        <f t="shared" si="2"/>
        <v>11000000</v>
      </c>
      <c r="K18" s="77">
        <f>J18*'Inflation Rates by Year'!$C$2</f>
        <v>12438360</v>
      </c>
      <c r="L18" s="78">
        <f t="shared" si="3"/>
        <v>159.33337603279318</v>
      </c>
    </row>
    <row r="19" spans="1:26" ht="15" customHeight="1">
      <c r="A19" s="81">
        <v>44385</v>
      </c>
      <c r="B19" s="61">
        <v>18</v>
      </c>
      <c r="C19" s="61" t="s">
        <v>271</v>
      </c>
      <c r="D19" s="62">
        <v>78065</v>
      </c>
      <c r="E19" s="62">
        <v>11000000</v>
      </c>
      <c r="F19" s="63">
        <f t="shared" si="4"/>
        <v>0</v>
      </c>
      <c r="G19" s="63">
        <f t="shared" si="0"/>
        <v>0</v>
      </c>
      <c r="H19" s="63">
        <f t="shared" si="5"/>
        <v>0</v>
      </c>
      <c r="I19" s="76">
        <f t="shared" si="1"/>
        <v>78065</v>
      </c>
      <c r="J19" s="76">
        <f t="shared" si="2"/>
        <v>11000000</v>
      </c>
      <c r="K19" s="77">
        <f>J19*'Inflation Rates by Year'!$C$2</f>
        <v>12438360</v>
      </c>
      <c r="L19" s="78">
        <f t="shared" si="3"/>
        <v>159.33337603279318</v>
      </c>
    </row>
    <row r="20" spans="1:26" ht="15" customHeight="1">
      <c r="A20" s="81">
        <v>44386</v>
      </c>
      <c r="B20" s="61">
        <v>19</v>
      </c>
      <c r="C20" s="61" t="s">
        <v>271</v>
      </c>
      <c r="D20" s="62">
        <v>78065</v>
      </c>
      <c r="E20" s="62">
        <v>11000000</v>
      </c>
      <c r="F20" s="63">
        <f t="shared" si="4"/>
        <v>0</v>
      </c>
      <c r="G20" s="63">
        <f t="shared" si="0"/>
        <v>0</v>
      </c>
      <c r="H20" s="63">
        <f t="shared" si="5"/>
        <v>0</v>
      </c>
      <c r="I20" s="76">
        <f t="shared" si="1"/>
        <v>78065</v>
      </c>
      <c r="J20" s="76">
        <f t="shared" si="2"/>
        <v>11000000</v>
      </c>
      <c r="K20" s="77">
        <f>J20*'Inflation Rates by Year'!$C$2</f>
        <v>12438360</v>
      </c>
      <c r="L20" s="78">
        <f t="shared" si="3"/>
        <v>159.33337603279318</v>
      </c>
    </row>
    <row r="21" spans="1:26" ht="14.5">
      <c r="A21" s="81">
        <v>44387</v>
      </c>
      <c r="B21" s="61">
        <v>20</v>
      </c>
      <c r="C21" s="61" t="s">
        <v>271</v>
      </c>
      <c r="D21" s="62">
        <v>78065</v>
      </c>
      <c r="E21" s="62">
        <v>11000000</v>
      </c>
      <c r="F21" s="63">
        <f t="shared" si="4"/>
        <v>0</v>
      </c>
      <c r="G21" s="63">
        <f t="shared" si="0"/>
        <v>0</v>
      </c>
      <c r="H21" s="63">
        <f t="shared" si="5"/>
        <v>0</v>
      </c>
      <c r="I21" s="76">
        <f t="shared" si="1"/>
        <v>78065</v>
      </c>
      <c r="J21" s="76">
        <f t="shared" si="2"/>
        <v>11000000</v>
      </c>
      <c r="K21" s="77">
        <f>J21*'Inflation Rates by Year'!$C$2</f>
        <v>12438360</v>
      </c>
      <c r="L21" s="78">
        <f t="shared" si="3"/>
        <v>159.33337603279318</v>
      </c>
    </row>
    <row r="22" spans="1:26" ht="14.5">
      <c r="A22" s="81">
        <v>44389</v>
      </c>
      <c r="B22" s="61">
        <v>21</v>
      </c>
      <c r="C22" s="61" t="s">
        <v>271</v>
      </c>
      <c r="D22" s="62">
        <v>78065</v>
      </c>
      <c r="E22" s="62">
        <v>11000000</v>
      </c>
      <c r="F22" s="63">
        <f t="shared" si="4"/>
        <v>0</v>
      </c>
      <c r="G22" s="63">
        <f t="shared" si="0"/>
        <v>0</v>
      </c>
      <c r="H22" s="63">
        <f t="shared" si="5"/>
        <v>0</v>
      </c>
      <c r="I22" s="76">
        <f t="shared" si="1"/>
        <v>78065</v>
      </c>
      <c r="J22" s="76">
        <f t="shared" si="2"/>
        <v>11000000</v>
      </c>
      <c r="K22" s="77">
        <f>J22*'Inflation Rates by Year'!$C$2</f>
        <v>12438360</v>
      </c>
      <c r="L22" s="78">
        <f t="shared" si="3"/>
        <v>159.33337603279318</v>
      </c>
    </row>
    <row r="23" spans="1:26" ht="14.5">
      <c r="A23" s="81">
        <v>44390</v>
      </c>
      <c r="B23" s="61">
        <v>22</v>
      </c>
      <c r="C23" s="61" t="s">
        <v>271</v>
      </c>
      <c r="D23" s="62">
        <v>78065</v>
      </c>
      <c r="E23" s="62">
        <v>11000000</v>
      </c>
      <c r="F23" s="63">
        <f t="shared" si="4"/>
        <v>0</v>
      </c>
      <c r="G23" s="63">
        <f t="shared" si="0"/>
        <v>0</v>
      </c>
      <c r="H23" s="63">
        <f t="shared" si="5"/>
        <v>0</v>
      </c>
      <c r="I23" s="76">
        <f t="shared" si="1"/>
        <v>78065</v>
      </c>
      <c r="J23" s="76">
        <f t="shared" si="2"/>
        <v>11000000</v>
      </c>
      <c r="K23" s="77">
        <f>J23*'Inflation Rates by Year'!$C$2</f>
        <v>12438360</v>
      </c>
      <c r="L23" s="78">
        <f t="shared" si="3"/>
        <v>159.33337603279318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28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44065</v>
      </c>
      <c r="B2" s="61">
        <v>1</v>
      </c>
      <c r="C2" s="61" t="s">
        <v>271</v>
      </c>
      <c r="D2" s="62">
        <v>338</v>
      </c>
      <c r="E2" s="62">
        <v>200000</v>
      </c>
      <c r="F2" s="63">
        <f>I2-0</f>
        <v>338</v>
      </c>
      <c r="G2" s="63">
        <f t="shared" ref="G2:G28" si="0">$B$24/$I$24*(F2)</f>
        <v>4.621878715814506</v>
      </c>
      <c r="H2" s="63">
        <f>$B$4/SQRT($I$4)*(SQRT(I2)-SQRT(0))</f>
        <v>1.4240786495134319</v>
      </c>
      <c r="I2" s="76">
        <f t="shared" ref="I2:I28" si="1">D2</f>
        <v>338</v>
      </c>
      <c r="J2" s="76">
        <f t="shared" ref="J2:J28" si="2">E2</f>
        <v>200000</v>
      </c>
      <c r="K2" s="77">
        <f>J2*'Inflation Rates by Year'!$D$2</f>
        <v>228865.82400000002</v>
      </c>
      <c r="L2" s="78">
        <f t="shared" ref="L2:L28" si="3">K2/I2</f>
        <v>677.11782248520717</v>
      </c>
    </row>
    <row r="3" spans="1:12" ht="15" customHeight="1">
      <c r="A3" s="81">
        <v>44069</v>
      </c>
      <c r="B3" s="61">
        <v>2</v>
      </c>
      <c r="C3" s="61" t="s">
        <v>271</v>
      </c>
      <c r="D3" s="62">
        <v>338</v>
      </c>
      <c r="E3" s="62">
        <v>200000</v>
      </c>
      <c r="F3" s="63">
        <f t="shared" ref="F3:F28" si="4">I3-I2</f>
        <v>0</v>
      </c>
      <c r="G3" s="63">
        <f t="shared" si="0"/>
        <v>0</v>
      </c>
      <c r="H3" s="63">
        <f t="shared" ref="H3:H28" si="5">$B$4/SQRT($I$4)*(SQRT(I3)-SQRT(I2))</f>
        <v>0</v>
      </c>
      <c r="I3" s="76">
        <f t="shared" si="1"/>
        <v>338</v>
      </c>
      <c r="J3" s="76">
        <f t="shared" si="2"/>
        <v>200000</v>
      </c>
      <c r="K3" s="77">
        <f>J3*'Inflation Rates by Year'!$D$2</f>
        <v>228865.82400000002</v>
      </c>
      <c r="L3" s="78">
        <f t="shared" si="3"/>
        <v>677.11782248520717</v>
      </c>
    </row>
    <row r="4" spans="1:12" ht="15" customHeight="1">
      <c r="A4" s="81">
        <v>44070</v>
      </c>
      <c r="B4" s="61">
        <v>3</v>
      </c>
      <c r="C4" s="61" t="s">
        <v>271</v>
      </c>
      <c r="D4" s="62">
        <v>1500</v>
      </c>
      <c r="E4" s="62">
        <v>500000</v>
      </c>
      <c r="F4" s="63">
        <f t="shared" si="4"/>
        <v>1162</v>
      </c>
      <c r="G4" s="63">
        <f t="shared" si="0"/>
        <v>15.889417360285373</v>
      </c>
      <c r="H4" s="63">
        <f t="shared" si="5"/>
        <v>1.5759213504865681</v>
      </c>
      <c r="I4" s="76">
        <f t="shared" si="1"/>
        <v>1500</v>
      </c>
      <c r="J4" s="76">
        <f t="shared" si="2"/>
        <v>500000</v>
      </c>
      <c r="K4" s="77">
        <f>J4*'Inflation Rates by Year'!$D$2</f>
        <v>572164.56000000006</v>
      </c>
      <c r="L4" s="78">
        <f t="shared" si="3"/>
        <v>381.44304000000005</v>
      </c>
    </row>
    <row r="5" spans="1:12" ht="15" customHeight="1">
      <c r="A5" s="81">
        <v>44071</v>
      </c>
      <c r="B5" s="61">
        <v>4</v>
      </c>
      <c r="C5" s="61" t="s">
        <v>271</v>
      </c>
      <c r="D5" s="62">
        <v>1680</v>
      </c>
      <c r="E5" s="62">
        <v>400000</v>
      </c>
      <c r="F5" s="63">
        <f t="shared" si="4"/>
        <v>180</v>
      </c>
      <c r="G5" s="63">
        <f t="shared" si="0"/>
        <v>2.4613555291319855</v>
      </c>
      <c r="H5" s="63">
        <f t="shared" si="5"/>
        <v>0.1749015732775086</v>
      </c>
      <c r="I5" s="76">
        <f t="shared" si="1"/>
        <v>1680</v>
      </c>
      <c r="J5" s="76">
        <f t="shared" si="2"/>
        <v>400000</v>
      </c>
      <c r="K5" s="77">
        <f>J5*'Inflation Rates by Year'!$D$2</f>
        <v>457731.64800000004</v>
      </c>
      <c r="L5" s="78">
        <f t="shared" si="3"/>
        <v>272.4593142857143</v>
      </c>
    </row>
    <row r="6" spans="1:12" ht="15" customHeight="1">
      <c r="A6" s="81">
        <v>44072</v>
      </c>
      <c r="B6" s="61">
        <v>5</v>
      </c>
      <c r="C6" s="61" t="s">
        <v>271</v>
      </c>
      <c r="D6" s="62">
        <v>1680</v>
      </c>
      <c r="E6" s="62">
        <v>450000</v>
      </c>
      <c r="F6" s="63">
        <f t="shared" si="4"/>
        <v>0</v>
      </c>
      <c r="G6" s="63">
        <f t="shared" si="0"/>
        <v>0</v>
      </c>
      <c r="H6" s="63">
        <f t="shared" si="5"/>
        <v>0</v>
      </c>
      <c r="I6" s="76">
        <f t="shared" si="1"/>
        <v>1680</v>
      </c>
      <c r="J6" s="76">
        <f t="shared" si="2"/>
        <v>450000</v>
      </c>
      <c r="K6" s="77">
        <f>J6*'Inflation Rates by Year'!$D$2</f>
        <v>514948.10400000005</v>
      </c>
      <c r="L6" s="78">
        <f t="shared" si="3"/>
        <v>306.51672857142859</v>
      </c>
    </row>
    <row r="7" spans="1:12" ht="15" customHeight="1">
      <c r="A7" s="81">
        <v>44073</v>
      </c>
      <c r="B7" s="61">
        <v>6</v>
      </c>
      <c r="C7" s="61" t="s">
        <v>271</v>
      </c>
      <c r="D7" s="62">
        <v>1680</v>
      </c>
      <c r="E7" s="62">
        <v>500000</v>
      </c>
      <c r="F7" s="63">
        <f t="shared" si="4"/>
        <v>0</v>
      </c>
      <c r="G7" s="63">
        <f t="shared" si="0"/>
        <v>0</v>
      </c>
      <c r="H7" s="63">
        <f t="shared" si="5"/>
        <v>0</v>
      </c>
      <c r="I7" s="76">
        <f t="shared" si="1"/>
        <v>1680</v>
      </c>
      <c r="J7" s="76">
        <f t="shared" si="2"/>
        <v>500000</v>
      </c>
      <c r="K7" s="77">
        <f>J7*'Inflation Rates by Year'!$D$2</f>
        <v>572164.56000000006</v>
      </c>
      <c r="L7" s="78">
        <f t="shared" si="3"/>
        <v>340.57414285714287</v>
      </c>
    </row>
    <row r="8" spans="1:12" ht="15" customHeight="1">
      <c r="A8" s="81">
        <v>44074</v>
      </c>
      <c r="B8" s="61">
        <v>7</v>
      </c>
      <c r="C8" s="61" t="s">
        <v>271</v>
      </c>
      <c r="D8" s="62">
        <v>1680</v>
      </c>
      <c r="E8" s="62">
        <v>525000</v>
      </c>
      <c r="F8" s="63">
        <f t="shared" si="4"/>
        <v>0</v>
      </c>
      <c r="G8" s="63">
        <f t="shared" si="0"/>
        <v>0</v>
      </c>
      <c r="H8" s="63">
        <f t="shared" si="5"/>
        <v>0</v>
      </c>
      <c r="I8" s="76">
        <f t="shared" si="1"/>
        <v>1680</v>
      </c>
      <c r="J8" s="76">
        <f t="shared" si="2"/>
        <v>525000</v>
      </c>
      <c r="K8" s="77">
        <f>J8*'Inflation Rates by Year'!$D$2</f>
        <v>600772.78800000006</v>
      </c>
      <c r="L8" s="78">
        <f t="shared" si="3"/>
        <v>357.60285000000005</v>
      </c>
    </row>
    <row r="9" spans="1:12" ht="15" customHeight="1">
      <c r="A9" s="81">
        <v>44075</v>
      </c>
      <c r="B9" s="61">
        <v>8</v>
      </c>
      <c r="C9" s="61" t="s">
        <v>271</v>
      </c>
      <c r="D9" s="62">
        <v>1680</v>
      </c>
      <c r="E9" s="62">
        <v>550000</v>
      </c>
      <c r="F9" s="63">
        <f t="shared" si="4"/>
        <v>0</v>
      </c>
      <c r="G9" s="63">
        <f t="shared" si="0"/>
        <v>0</v>
      </c>
      <c r="H9" s="63">
        <f t="shared" si="5"/>
        <v>0</v>
      </c>
      <c r="I9" s="76">
        <f t="shared" si="1"/>
        <v>1680</v>
      </c>
      <c r="J9" s="76">
        <f t="shared" si="2"/>
        <v>550000</v>
      </c>
      <c r="K9" s="77">
        <f>J9*'Inflation Rates by Year'!$D$2</f>
        <v>629381.01600000006</v>
      </c>
      <c r="L9" s="78">
        <f t="shared" si="3"/>
        <v>374.63155714285716</v>
      </c>
    </row>
    <row r="10" spans="1:12" ht="15" customHeight="1">
      <c r="A10" s="81">
        <v>44076</v>
      </c>
      <c r="B10" s="61">
        <v>9</v>
      </c>
      <c r="C10" s="61" t="s">
        <v>271</v>
      </c>
      <c r="D10" s="62">
        <v>1681</v>
      </c>
      <c r="E10" s="62">
        <v>575000</v>
      </c>
      <c r="F10" s="63">
        <f t="shared" si="4"/>
        <v>1</v>
      </c>
      <c r="G10" s="63">
        <f t="shared" si="0"/>
        <v>1.3674197384066587E-2</v>
      </c>
      <c r="H10" s="63">
        <f t="shared" si="5"/>
        <v>9.447706125732643E-4</v>
      </c>
      <c r="I10" s="76">
        <f t="shared" si="1"/>
        <v>1681</v>
      </c>
      <c r="J10" s="76">
        <f t="shared" si="2"/>
        <v>575000</v>
      </c>
      <c r="K10" s="77">
        <f>J10*'Inflation Rates by Year'!$D$2</f>
        <v>657989.24400000006</v>
      </c>
      <c r="L10" s="78">
        <f t="shared" si="3"/>
        <v>391.42727186198692</v>
      </c>
    </row>
    <row r="11" spans="1:12" ht="15" customHeight="1">
      <c r="A11" s="81">
        <v>44077</v>
      </c>
      <c r="B11" s="61">
        <v>10</v>
      </c>
      <c r="C11" s="61" t="s">
        <v>271</v>
      </c>
      <c r="D11" s="62">
        <v>1681</v>
      </c>
      <c r="E11" s="62">
        <v>600000</v>
      </c>
      <c r="F11" s="63">
        <f t="shared" si="4"/>
        <v>0</v>
      </c>
      <c r="G11" s="63">
        <f t="shared" si="0"/>
        <v>0</v>
      </c>
      <c r="H11" s="63">
        <f t="shared" si="5"/>
        <v>0</v>
      </c>
      <c r="I11" s="76">
        <f t="shared" si="1"/>
        <v>1681</v>
      </c>
      <c r="J11" s="76">
        <f t="shared" si="2"/>
        <v>600000</v>
      </c>
      <c r="K11" s="77">
        <f>J11*'Inflation Rates by Year'!$D$2</f>
        <v>686597.47200000007</v>
      </c>
      <c r="L11" s="78">
        <f t="shared" si="3"/>
        <v>408.44584889946464</v>
      </c>
    </row>
    <row r="12" spans="1:12" ht="15" customHeight="1">
      <c r="A12" s="81">
        <v>44078</v>
      </c>
      <c r="B12" s="61">
        <v>11</v>
      </c>
      <c r="C12" s="61" t="s">
        <v>271</v>
      </c>
      <c r="D12" s="62">
        <v>1681</v>
      </c>
      <c r="E12" s="62">
        <v>625000</v>
      </c>
      <c r="F12" s="63">
        <f t="shared" si="4"/>
        <v>0</v>
      </c>
      <c r="G12" s="63">
        <f t="shared" si="0"/>
        <v>0</v>
      </c>
      <c r="H12" s="63">
        <f t="shared" si="5"/>
        <v>0</v>
      </c>
      <c r="I12" s="76">
        <f t="shared" si="1"/>
        <v>1681</v>
      </c>
      <c r="J12" s="76">
        <f t="shared" si="2"/>
        <v>625000</v>
      </c>
      <c r="K12" s="77">
        <f>J12*'Inflation Rates by Year'!$D$2</f>
        <v>715205.70000000007</v>
      </c>
      <c r="L12" s="78">
        <f t="shared" si="3"/>
        <v>425.46442593694235</v>
      </c>
    </row>
    <row r="13" spans="1:12" ht="15" customHeight="1">
      <c r="A13" s="81">
        <v>44079</v>
      </c>
      <c r="B13" s="61">
        <v>12</v>
      </c>
      <c r="C13" s="61" t="s">
        <v>271</v>
      </c>
      <c r="D13" s="62">
        <v>1682</v>
      </c>
      <c r="E13" s="62">
        <v>650000</v>
      </c>
      <c r="F13" s="63">
        <f t="shared" si="4"/>
        <v>1</v>
      </c>
      <c r="G13" s="63">
        <f t="shared" si="0"/>
        <v>1.3674197384066587E-2</v>
      </c>
      <c r="H13" s="63">
        <f t="shared" si="5"/>
        <v>9.4448963988139935E-4</v>
      </c>
      <c r="I13" s="76">
        <f t="shared" si="1"/>
        <v>1682</v>
      </c>
      <c r="J13" s="76">
        <f t="shared" si="2"/>
        <v>650000</v>
      </c>
      <c r="K13" s="77">
        <f>J13*'Inflation Rates by Year'!$D$2</f>
        <v>743813.92800000007</v>
      </c>
      <c r="L13" s="78">
        <f t="shared" si="3"/>
        <v>442.21993341260406</v>
      </c>
    </row>
    <row r="14" spans="1:12" ht="15" customHeight="1">
      <c r="A14" s="81">
        <v>44080</v>
      </c>
      <c r="B14" s="61">
        <v>13</v>
      </c>
      <c r="C14" s="61" t="s">
        <v>271</v>
      </c>
      <c r="D14" s="62">
        <v>1682</v>
      </c>
      <c r="E14" s="62">
        <v>675000</v>
      </c>
      <c r="F14" s="63">
        <f t="shared" si="4"/>
        <v>0</v>
      </c>
      <c r="G14" s="63">
        <f t="shared" si="0"/>
        <v>0</v>
      </c>
      <c r="H14" s="63">
        <f t="shared" si="5"/>
        <v>0</v>
      </c>
      <c r="I14" s="76">
        <f t="shared" si="1"/>
        <v>1682</v>
      </c>
      <c r="J14" s="76">
        <f t="shared" si="2"/>
        <v>675000</v>
      </c>
      <c r="K14" s="77">
        <f>J14*'Inflation Rates by Year'!$D$2</f>
        <v>772422.15600000008</v>
      </c>
      <c r="L14" s="78">
        <f t="shared" si="3"/>
        <v>459.22839239001195</v>
      </c>
    </row>
    <row r="15" spans="1:12" ht="15" customHeight="1">
      <c r="A15" s="81">
        <v>44081</v>
      </c>
      <c r="B15" s="61">
        <v>14</v>
      </c>
      <c r="C15" s="61" t="s">
        <v>271</v>
      </c>
      <c r="D15" s="62">
        <v>1682</v>
      </c>
      <c r="E15" s="62">
        <v>675000</v>
      </c>
      <c r="F15" s="63">
        <f t="shared" si="4"/>
        <v>0</v>
      </c>
      <c r="G15" s="63">
        <f t="shared" si="0"/>
        <v>0</v>
      </c>
      <c r="H15" s="63">
        <f t="shared" si="5"/>
        <v>0</v>
      </c>
      <c r="I15" s="76">
        <f t="shared" si="1"/>
        <v>1682</v>
      </c>
      <c r="J15" s="76">
        <f t="shared" si="2"/>
        <v>675000</v>
      </c>
      <c r="K15" s="77">
        <f>J15*'Inflation Rates by Year'!$D$2</f>
        <v>772422.15600000008</v>
      </c>
      <c r="L15" s="78">
        <f t="shared" si="3"/>
        <v>459.22839239001195</v>
      </c>
    </row>
    <row r="16" spans="1:12" ht="15" customHeight="1">
      <c r="A16" s="81">
        <v>44082</v>
      </c>
      <c r="B16" s="61">
        <v>15</v>
      </c>
      <c r="C16" s="61" t="s">
        <v>271</v>
      </c>
      <c r="D16" s="62">
        <v>1682</v>
      </c>
      <c r="E16" s="62">
        <v>675000</v>
      </c>
      <c r="F16" s="63">
        <f t="shared" si="4"/>
        <v>0</v>
      </c>
      <c r="G16" s="63">
        <f t="shared" si="0"/>
        <v>0</v>
      </c>
      <c r="H16" s="63">
        <f t="shared" si="5"/>
        <v>0</v>
      </c>
      <c r="I16" s="76">
        <f t="shared" si="1"/>
        <v>1682</v>
      </c>
      <c r="J16" s="76">
        <f t="shared" si="2"/>
        <v>675000</v>
      </c>
      <c r="K16" s="77">
        <f>J16*'Inflation Rates by Year'!$D$2</f>
        <v>772422.15600000008</v>
      </c>
      <c r="L16" s="78">
        <f t="shared" si="3"/>
        <v>459.22839239001195</v>
      </c>
    </row>
    <row r="17" spans="1:26" ht="15" customHeight="1">
      <c r="A17" s="81">
        <v>44083</v>
      </c>
      <c r="B17" s="61">
        <v>16</v>
      </c>
      <c r="C17" s="61" t="s">
        <v>271</v>
      </c>
      <c r="D17" s="62">
        <v>1682</v>
      </c>
      <c r="E17" s="62">
        <v>675000</v>
      </c>
      <c r="F17" s="63">
        <f t="shared" si="4"/>
        <v>0</v>
      </c>
      <c r="G17" s="63">
        <f t="shared" si="0"/>
        <v>0</v>
      </c>
      <c r="H17" s="63">
        <f t="shared" si="5"/>
        <v>0</v>
      </c>
      <c r="I17" s="76">
        <f t="shared" si="1"/>
        <v>1682</v>
      </c>
      <c r="J17" s="76">
        <f t="shared" si="2"/>
        <v>675000</v>
      </c>
      <c r="K17" s="77">
        <f>J17*'Inflation Rates by Year'!$D$2</f>
        <v>772422.15600000008</v>
      </c>
      <c r="L17" s="78">
        <f t="shared" si="3"/>
        <v>459.22839239001195</v>
      </c>
    </row>
    <row r="18" spans="1:26" ht="15" customHeight="1">
      <c r="A18" s="81">
        <v>44084</v>
      </c>
      <c r="B18" s="61">
        <v>17</v>
      </c>
      <c r="C18" s="61" t="s">
        <v>271</v>
      </c>
      <c r="D18" s="62">
        <v>1682</v>
      </c>
      <c r="E18" s="62">
        <v>675000</v>
      </c>
      <c r="F18" s="63">
        <f t="shared" si="4"/>
        <v>0</v>
      </c>
      <c r="G18" s="63">
        <f t="shared" si="0"/>
        <v>0</v>
      </c>
      <c r="H18" s="63">
        <f t="shared" si="5"/>
        <v>0</v>
      </c>
      <c r="I18" s="76">
        <f t="shared" si="1"/>
        <v>1682</v>
      </c>
      <c r="J18" s="76">
        <f t="shared" si="2"/>
        <v>675000</v>
      </c>
      <c r="K18" s="77">
        <f>J18*'Inflation Rates by Year'!$D$2</f>
        <v>772422.15600000008</v>
      </c>
      <c r="L18" s="78">
        <f t="shared" si="3"/>
        <v>459.22839239001195</v>
      </c>
    </row>
    <row r="19" spans="1:26" ht="15" customHeight="1">
      <c r="A19" s="81">
        <v>44085</v>
      </c>
      <c r="B19" s="61">
        <v>18</v>
      </c>
      <c r="C19" s="61" t="s">
        <v>271</v>
      </c>
      <c r="D19" s="62">
        <v>1682</v>
      </c>
      <c r="E19" s="62">
        <v>680000</v>
      </c>
      <c r="F19" s="63">
        <f t="shared" si="4"/>
        <v>0</v>
      </c>
      <c r="G19" s="63">
        <f t="shared" si="0"/>
        <v>0</v>
      </c>
      <c r="H19" s="63">
        <f t="shared" si="5"/>
        <v>0</v>
      </c>
      <c r="I19" s="76">
        <f t="shared" si="1"/>
        <v>1682</v>
      </c>
      <c r="J19" s="76">
        <f t="shared" si="2"/>
        <v>680000</v>
      </c>
      <c r="K19" s="77">
        <f>J19*'Inflation Rates by Year'!$D$2</f>
        <v>778143.80160000001</v>
      </c>
      <c r="L19" s="78">
        <f t="shared" si="3"/>
        <v>462.63008418549344</v>
      </c>
    </row>
    <row r="20" spans="1:26" ht="15" customHeight="1">
      <c r="A20" s="81">
        <v>44087</v>
      </c>
      <c r="B20" s="61">
        <v>19</v>
      </c>
      <c r="C20" s="61" t="s">
        <v>271</v>
      </c>
      <c r="D20" s="62">
        <v>1682</v>
      </c>
      <c r="E20" s="62">
        <v>680000</v>
      </c>
      <c r="F20" s="63">
        <f t="shared" si="4"/>
        <v>0</v>
      </c>
      <c r="G20" s="63">
        <f t="shared" si="0"/>
        <v>0</v>
      </c>
      <c r="H20" s="63">
        <f t="shared" si="5"/>
        <v>0</v>
      </c>
      <c r="I20" s="76">
        <f t="shared" si="1"/>
        <v>1682</v>
      </c>
      <c r="J20" s="76">
        <f t="shared" si="2"/>
        <v>680000</v>
      </c>
      <c r="K20" s="77">
        <f>J20*'Inflation Rates by Year'!$D$2</f>
        <v>778143.80160000001</v>
      </c>
      <c r="L20" s="78">
        <f t="shared" si="3"/>
        <v>462.63008418549344</v>
      </c>
    </row>
    <row r="21" spans="1:26" ht="14.5">
      <c r="A21" s="81">
        <v>44088</v>
      </c>
      <c r="B21" s="61">
        <v>20</v>
      </c>
      <c r="C21" s="61" t="s">
        <v>271</v>
      </c>
      <c r="D21" s="62">
        <v>1682</v>
      </c>
      <c r="E21" s="62">
        <v>680000</v>
      </c>
      <c r="F21" s="63">
        <f t="shared" si="4"/>
        <v>0</v>
      </c>
      <c r="G21" s="63">
        <f t="shared" si="0"/>
        <v>0</v>
      </c>
      <c r="H21" s="63">
        <f t="shared" si="5"/>
        <v>0</v>
      </c>
      <c r="I21" s="76">
        <f t="shared" si="1"/>
        <v>1682</v>
      </c>
      <c r="J21" s="76">
        <f t="shared" si="2"/>
        <v>680000</v>
      </c>
      <c r="K21" s="77">
        <f>J21*'Inflation Rates by Year'!$D$2</f>
        <v>778143.80160000001</v>
      </c>
      <c r="L21" s="78">
        <f t="shared" si="3"/>
        <v>462.63008418549344</v>
      </c>
    </row>
    <row r="22" spans="1:26" ht="14.5">
      <c r="A22" s="81">
        <v>44089</v>
      </c>
      <c r="B22" s="61">
        <v>21</v>
      </c>
      <c r="C22" s="61" t="s">
        <v>271</v>
      </c>
      <c r="D22" s="62">
        <v>1682</v>
      </c>
      <c r="E22" s="62">
        <v>685000</v>
      </c>
      <c r="F22" s="63">
        <f t="shared" si="4"/>
        <v>0</v>
      </c>
      <c r="G22" s="63">
        <f t="shared" si="0"/>
        <v>0</v>
      </c>
      <c r="H22" s="63">
        <f t="shared" si="5"/>
        <v>0</v>
      </c>
      <c r="I22" s="76">
        <f t="shared" si="1"/>
        <v>1682</v>
      </c>
      <c r="J22" s="76">
        <f t="shared" si="2"/>
        <v>685000</v>
      </c>
      <c r="K22" s="77">
        <f>J22*'Inflation Rates by Year'!$D$2</f>
        <v>783865.44720000005</v>
      </c>
      <c r="L22" s="78">
        <f t="shared" si="3"/>
        <v>466.03177598097506</v>
      </c>
    </row>
    <row r="23" spans="1:26" ht="14.5">
      <c r="A23" s="81">
        <v>44090</v>
      </c>
      <c r="B23" s="61">
        <v>22</v>
      </c>
      <c r="C23" s="61" t="s">
        <v>271</v>
      </c>
      <c r="D23" s="62">
        <v>1682</v>
      </c>
      <c r="E23" s="62">
        <v>680000</v>
      </c>
      <c r="F23" s="63">
        <f t="shared" si="4"/>
        <v>0</v>
      </c>
      <c r="G23" s="63">
        <f t="shared" si="0"/>
        <v>0</v>
      </c>
      <c r="H23" s="63">
        <f t="shared" si="5"/>
        <v>0</v>
      </c>
      <c r="I23" s="76">
        <f t="shared" si="1"/>
        <v>1682</v>
      </c>
      <c r="J23" s="76">
        <f t="shared" si="2"/>
        <v>680000</v>
      </c>
      <c r="K23" s="77">
        <f>J23*'Inflation Rates by Year'!$D$2</f>
        <v>778143.80160000001</v>
      </c>
      <c r="L23" s="78">
        <f t="shared" si="3"/>
        <v>462.63008418549344</v>
      </c>
    </row>
    <row r="24" spans="1:26" ht="14.5">
      <c r="A24" s="82">
        <v>44091</v>
      </c>
      <c r="B24" s="83">
        <v>23</v>
      </c>
      <c r="C24" s="83" t="s">
        <v>271</v>
      </c>
      <c r="D24" s="72">
        <v>1682</v>
      </c>
      <c r="E24" s="72">
        <v>700000</v>
      </c>
      <c r="F24" s="71">
        <f t="shared" si="4"/>
        <v>0</v>
      </c>
      <c r="G24" s="63">
        <f t="shared" si="0"/>
        <v>0</v>
      </c>
      <c r="H24" s="63">
        <f t="shared" si="5"/>
        <v>0</v>
      </c>
      <c r="I24" s="72">
        <f t="shared" si="1"/>
        <v>1682</v>
      </c>
      <c r="J24" s="72">
        <f t="shared" si="2"/>
        <v>700000</v>
      </c>
      <c r="K24" s="77">
        <f>J24*'Inflation Rates by Year'!$D$2</f>
        <v>801030.38400000008</v>
      </c>
      <c r="L24" s="73">
        <f t="shared" si="3"/>
        <v>476.23685136741977</v>
      </c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4.5">
      <c r="A25" s="81">
        <v>44092</v>
      </c>
      <c r="B25" s="61">
        <v>24</v>
      </c>
      <c r="C25" s="61" t="s">
        <v>271</v>
      </c>
      <c r="D25" s="62">
        <v>1682</v>
      </c>
      <c r="E25" s="62">
        <v>685000</v>
      </c>
      <c r="F25" s="63">
        <f t="shared" si="4"/>
        <v>0</v>
      </c>
      <c r="G25" s="63">
        <f t="shared" si="0"/>
        <v>0</v>
      </c>
      <c r="H25" s="63">
        <f t="shared" si="5"/>
        <v>0</v>
      </c>
      <c r="I25" s="76">
        <f t="shared" si="1"/>
        <v>1682</v>
      </c>
      <c r="J25" s="76">
        <f t="shared" si="2"/>
        <v>685000</v>
      </c>
      <c r="K25" s="77">
        <f>J25*'Inflation Rates by Year'!$D$2</f>
        <v>783865.44720000005</v>
      </c>
      <c r="L25" s="78">
        <f t="shared" si="3"/>
        <v>466.03177598097506</v>
      </c>
    </row>
    <row r="26" spans="1:26" ht="14.5">
      <c r="A26" s="81">
        <v>44093</v>
      </c>
      <c r="B26" s="61">
        <v>25</v>
      </c>
      <c r="C26" s="61" t="s">
        <v>271</v>
      </c>
      <c r="D26" s="62">
        <v>1682</v>
      </c>
      <c r="E26" s="62">
        <v>685000</v>
      </c>
      <c r="F26" s="63">
        <f t="shared" si="4"/>
        <v>0</v>
      </c>
      <c r="G26" s="63">
        <f t="shared" si="0"/>
        <v>0</v>
      </c>
      <c r="H26" s="63">
        <f t="shared" si="5"/>
        <v>0</v>
      </c>
      <c r="I26" s="76">
        <f t="shared" si="1"/>
        <v>1682</v>
      </c>
      <c r="J26" s="76">
        <f t="shared" si="2"/>
        <v>685000</v>
      </c>
      <c r="K26" s="77">
        <f>J26*'Inflation Rates by Year'!$D$2</f>
        <v>783865.44720000005</v>
      </c>
      <c r="L26" s="78">
        <f t="shared" si="3"/>
        <v>466.03177598097506</v>
      </c>
    </row>
    <row r="27" spans="1:26" ht="14.5">
      <c r="A27" s="81">
        <v>44094</v>
      </c>
      <c r="B27" s="61">
        <v>26</v>
      </c>
      <c r="C27" s="61" t="s">
        <v>271</v>
      </c>
      <c r="D27" s="62">
        <v>1682</v>
      </c>
      <c r="E27" s="62">
        <v>685000</v>
      </c>
      <c r="F27" s="63">
        <f t="shared" si="4"/>
        <v>0</v>
      </c>
      <c r="G27" s="63">
        <f t="shared" si="0"/>
        <v>0</v>
      </c>
      <c r="H27" s="63">
        <f t="shared" si="5"/>
        <v>0</v>
      </c>
      <c r="I27" s="76">
        <f t="shared" si="1"/>
        <v>1682</v>
      </c>
      <c r="J27" s="76">
        <f t="shared" si="2"/>
        <v>685000</v>
      </c>
      <c r="K27" s="77">
        <f>J27*'Inflation Rates by Year'!$D$2</f>
        <v>783865.44720000005</v>
      </c>
      <c r="L27" s="78">
        <f t="shared" si="3"/>
        <v>466.03177598097506</v>
      </c>
    </row>
    <row r="28" spans="1:26" ht="14.5">
      <c r="A28" s="81">
        <v>44098</v>
      </c>
      <c r="B28" s="61">
        <v>27</v>
      </c>
      <c r="C28" s="61" t="s">
        <v>271</v>
      </c>
      <c r="D28" s="62">
        <v>1682</v>
      </c>
      <c r="E28" s="62">
        <v>685000</v>
      </c>
      <c r="F28" s="63">
        <f t="shared" si="4"/>
        <v>0</v>
      </c>
      <c r="G28" s="63">
        <f t="shared" si="0"/>
        <v>0</v>
      </c>
      <c r="H28" s="63">
        <f t="shared" si="5"/>
        <v>0</v>
      </c>
      <c r="I28" s="76">
        <f t="shared" si="1"/>
        <v>1682</v>
      </c>
      <c r="J28" s="76">
        <f t="shared" si="2"/>
        <v>685000</v>
      </c>
      <c r="K28" s="77">
        <f>J28*'Inflation Rates by Year'!$D$2</f>
        <v>783865.44720000005</v>
      </c>
      <c r="L28" s="78">
        <f t="shared" si="3"/>
        <v>466.03177598097506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L4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44034</v>
      </c>
      <c r="B2" s="61">
        <v>1</v>
      </c>
      <c r="C2" s="61" t="s">
        <v>271</v>
      </c>
      <c r="D2" s="62">
        <v>12000</v>
      </c>
      <c r="E2" s="62">
        <v>100000</v>
      </c>
      <c r="F2" s="63">
        <f>I2-0</f>
        <v>12000</v>
      </c>
      <c r="G2" s="63">
        <f>$B$4/$I$4*(F2)</f>
        <v>0.44521945609023117</v>
      </c>
      <c r="H2" s="63">
        <f>$B$4/SQRT($I$4)*(SQRT(I2)-SQRT(0))</f>
        <v>1.1557068695264789</v>
      </c>
      <c r="I2" s="76">
        <f t="shared" ref="I2:J4" si="0">D2</f>
        <v>12000</v>
      </c>
      <c r="J2" s="76">
        <f t="shared" si="0"/>
        <v>100000</v>
      </c>
      <c r="K2" s="77">
        <f>J2*'Inflation Rates by Year'!$D$2</f>
        <v>114432.91200000001</v>
      </c>
      <c r="L2" s="78">
        <f>K2/I2</f>
        <v>9.5360760000000013</v>
      </c>
    </row>
    <row r="3" spans="1:12" ht="15" customHeight="1">
      <c r="A3" s="81">
        <v>44035</v>
      </c>
      <c r="B3" s="61">
        <v>2</v>
      </c>
      <c r="C3" s="61" t="s">
        <v>160</v>
      </c>
      <c r="D3" s="62">
        <v>2000</v>
      </c>
      <c r="E3" s="62">
        <v>100000</v>
      </c>
      <c r="F3" s="63">
        <f>I3-I2</f>
        <v>-10000</v>
      </c>
      <c r="G3" s="63">
        <f>$B$4/$I$4*(F3)</f>
        <v>-0.37101621340852597</v>
      </c>
      <c r="H3" s="63">
        <f>$B$4/SQRT($I$4)*(SQRT(I3)-SQRT(I2))</f>
        <v>-0.68389151576495111</v>
      </c>
      <c r="I3" s="76">
        <f t="shared" si="0"/>
        <v>2000</v>
      </c>
      <c r="J3" s="76">
        <f t="shared" si="0"/>
        <v>100000</v>
      </c>
      <c r="K3" s="77">
        <f>J3*'Inflation Rates by Year'!$D$2</f>
        <v>114432.91200000001</v>
      </c>
      <c r="L3" s="78">
        <f>K3/I3</f>
        <v>57.216456000000008</v>
      </c>
    </row>
    <row r="4" spans="1:12" ht="15" customHeight="1">
      <c r="A4" s="81">
        <v>44036</v>
      </c>
      <c r="B4" s="61">
        <v>3</v>
      </c>
      <c r="C4" s="61" t="s">
        <v>160</v>
      </c>
      <c r="D4" s="62">
        <v>80859</v>
      </c>
      <c r="E4" s="62">
        <v>34500000</v>
      </c>
      <c r="F4" s="63">
        <f>I4-I3</f>
        <v>78859</v>
      </c>
      <c r="G4" s="63">
        <f>$B$4/$I$4*(F4)</f>
        <v>2.9257967573182952</v>
      </c>
      <c r="H4" s="63">
        <f>$B$4/SQRT($I$4)*(SQRT(I4)-SQRT(I3))</f>
        <v>2.5281846462384725</v>
      </c>
      <c r="I4" s="76">
        <f t="shared" si="0"/>
        <v>80859</v>
      </c>
      <c r="J4" s="76">
        <f t="shared" si="0"/>
        <v>34500000</v>
      </c>
      <c r="K4" s="77">
        <f>J4*'Inflation Rates by Year'!$D$2</f>
        <v>39479354.640000001</v>
      </c>
      <c r="L4" s="78">
        <f>K4/I4</f>
        <v>488.24935554483733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56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42939</v>
      </c>
      <c r="B2" s="61">
        <v>1</v>
      </c>
      <c r="C2" s="61" t="s">
        <v>160</v>
      </c>
      <c r="D2" s="62">
        <v>223</v>
      </c>
      <c r="E2" s="62">
        <v>50000</v>
      </c>
      <c r="F2" s="63">
        <f>I2-0</f>
        <v>223</v>
      </c>
      <c r="G2" s="63">
        <f t="shared" ref="G2:G56" si="0">$B$54/$I$54*(F2)</f>
        <v>9.2140139703130855E-2</v>
      </c>
      <c r="H2" s="63">
        <f>$B$54/SQRT($I$54)*(SQRT(I2)-SQRT(0))</f>
        <v>2.2098478237801662</v>
      </c>
      <c r="I2" s="76">
        <f t="shared" ref="I2:I33" si="1">D2</f>
        <v>223</v>
      </c>
      <c r="J2" s="76">
        <f t="shared" ref="J2:J33" si="2">E2</f>
        <v>50000</v>
      </c>
      <c r="K2" s="77">
        <f>J2*'Inflation Rates by Year'!$G$2</f>
        <v>60896.794218872827</v>
      </c>
      <c r="L2" s="78">
        <f t="shared" ref="L2:L56" si="3">K2/I2</f>
        <v>273.07979470346561</v>
      </c>
    </row>
    <row r="3" spans="1:12" ht="15" customHeight="1">
      <c r="A3" s="81">
        <v>42944</v>
      </c>
      <c r="B3" s="61">
        <v>2</v>
      </c>
      <c r="C3" s="61" t="s">
        <v>160</v>
      </c>
      <c r="D3" s="62">
        <v>2710</v>
      </c>
      <c r="E3" s="62">
        <v>250000</v>
      </c>
      <c r="F3" s="63">
        <f t="shared" ref="F3:F56" si="4">I3-I2</f>
        <v>2487</v>
      </c>
      <c r="G3" s="63">
        <f t="shared" si="0"/>
        <v>1.0275898091555444</v>
      </c>
      <c r="H3" s="63">
        <f t="shared" ref="H3:H56" si="5">$B$54/SQRT($I$54)*(SQRT(I3)-SQRT(I2))</f>
        <v>5.4937673852960121</v>
      </c>
      <c r="I3" s="76">
        <f t="shared" si="1"/>
        <v>2710</v>
      </c>
      <c r="J3" s="76">
        <f t="shared" si="2"/>
        <v>250000</v>
      </c>
      <c r="K3" s="77">
        <f>J3*'Inflation Rates by Year'!$G$2</f>
        <v>304483.97109436413</v>
      </c>
      <c r="L3" s="78">
        <f t="shared" si="3"/>
        <v>112.35570889090927</v>
      </c>
    </row>
    <row r="4" spans="1:12" ht="15" customHeight="1">
      <c r="A4" s="81">
        <v>42945</v>
      </c>
      <c r="B4" s="61">
        <v>3</v>
      </c>
      <c r="C4" s="61" t="s">
        <v>160</v>
      </c>
      <c r="D4" s="62">
        <v>4285</v>
      </c>
      <c r="E4" s="62">
        <v>300000</v>
      </c>
      <c r="F4" s="63">
        <f t="shared" si="4"/>
        <v>1575</v>
      </c>
      <c r="G4" s="63">
        <f t="shared" si="0"/>
        <v>0.65076556068354752</v>
      </c>
      <c r="H4" s="63">
        <f t="shared" si="5"/>
        <v>1.9832966830459859</v>
      </c>
      <c r="I4" s="76">
        <f t="shared" si="1"/>
        <v>4285</v>
      </c>
      <c r="J4" s="76">
        <f t="shared" si="2"/>
        <v>300000</v>
      </c>
      <c r="K4" s="77">
        <f>J4*'Inflation Rates by Year'!$G$2</f>
        <v>365380.76531323697</v>
      </c>
      <c r="L4" s="78">
        <f t="shared" si="3"/>
        <v>85.269723527009802</v>
      </c>
    </row>
    <row r="5" spans="1:12" ht="15" customHeight="1">
      <c r="A5" s="81">
        <v>42946</v>
      </c>
      <c r="B5" s="61">
        <v>4</v>
      </c>
      <c r="C5" s="61" t="s">
        <v>160</v>
      </c>
      <c r="D5" s="62">
        <v>4690</v>
      </c>
      <c r="E5" s="62">
        <v>460000</v>
      </c>
      <c r="F5" s="63">
        <f t="shared" si="4"/>
        <v>405</v>
      </c>
      <c r="G5" s="63">
        <f t="shared" si="0"/>
        <v>0.16733971560434077</v>
      </c>
      <c r="H5" s="63">
        <f t="shared" si="5"/>
        <v>0.44744881454147251</v>
      </c>
      <c r="I5" s="76">
        <f t="shared" si="1"/>
        <v>4690</v>
      </c>
      <c r="J5" s="76">
        <f t="shared" si="2"/>
        <v>460000</v>
      </c>
      <c r="K5" s="77">
        <f>J5*'Inflation Rates by Year'!$G$2</f>
        <v>560250.50681363</v>
      </c>
      <c r="L5" s="78">
        <f t="shared" si="3"/>
        <v>119.45639804128571</v>
      </c>
    </row>
    <row r="6" spans="1:12" ht="15" customHeight="1">
      <c r="A6" s="81">
        <v>42947</v>
      </c>
      <c r="B6" s="61">
        <v>5</v>
      </c>
      <c r="C6" s="61" t="s">
        <v>160</v>
      </c>
      <c r="D6" s="62">
        <v>4690</v>
      </c>
      <c r="E6" s="62">
        <v>460000</v>
      </c>
      <c r="F6" s="63">
        <f t="shared" si="4"/>
        <v>0</v>
      </c>
      <c r="G6" s="63">
        <f t="shared" si="0"/>
        <v>0</v>
      </c>
      <c r="H6" s="63">
        <f t="shared" si="5"/>
        <v>0</v>
      </c>
      <c r="I6" s="76">
        <f t="shared" si="1"/>
        <v>4690</v>
      </c>
      <c r="J6" s="76">
        <f t="shared" si="2"/>
        <v>460000</v>
      </c>
      <c r="K6" s="77">
        <f>J6*'Inflation Rates by Year'!$G$2</f>
        <v>560250.50681363</v>
      </c>
      <c r="L6" s="78">
        <f t="shared" si="3"/>
        <v>119.45639804128571</v>
      </c>
    </row>
    <row r="7" spans="1:12" ht="15" customHeight="1">
      <c r="A7" s="81">
        <v>42948</v>
      </c>
      <c r="B7" s="61">
        <v>6</v>
      </c>
      <c r="C7" s="61" t="s">
        <v>331</v>
      </c>
      <c r="D7" s="62">
        <v>7100</v>
      </c>
      <c r="E7" s="62">
        <v>789000</v>
      </c>
      <c r="F7" s="63">
        <f t="shared" si="4"/>
        <v>2410</v>
      </c>
      <c r="G7" s="63">
        <f t="shared" si="0"/>
        <v>0.99577460396657103</v>
      </c>
      <c r="H7" s="63">
        <f t="shared" si="5"/>
        <v>2.3348542222320936</v>
      </c>
      <c r="I7" s="76">
        <f t="shared" si="1"/>
        <v>7100</v>
      </c>
      <c r="J7" s="76">
        <f t="shared" si="2"/>
        <v>789000</v>
      </c>
      <c r="K7" s="77">
        <f>J7*'Inflation Rates by Year'!$G$2</f>
        <v>960951.41277381324</v>
      </c>
      <c r="L7" s="78">
        <f t="shared" si="3"/>
        <v>135.34526940476243</v>
      </c>
    </row>
    <row r="8" spans="1:12" ht="15" customHeight="1">
      <c r="A8" s="81">
        <v>42949</v>
      </c>
      <c r="B8" s="61">
        <v>7</v>
      </c>
      <c r="C8" s="61" t="s">
        <v>331</v>
      </c>
      <c r="D8" s="62">
        <v>8214</v>
      </c>
      <c r="E8" s="62">
        <v>945000</v>
      </c>
      <c r="F8" s="63">
        <f t="shared" si="4"/>
        <v>1114</v>
      </c>
      <c r="G8" s="63">
        <f t="shared" si="0"/>
        <v>0.46028751403268059</v>
      </c>
      <c r="H8" s="63">
        <f t="shared" si="5"/>
        <v>0.94259177962524554</v>
      </c>
      <c r="I8" s="76">
        <f t="shared" si="1"/>
        <v>8214</v>
      </c>
      <c r="J8" s="76">
        <f t="shared" si="2"/>
        <v>945000</v>
      </c>
      <c r="K8" s="77">
        <f>J8*'Inflation Rates by Year'!$G$2</f>
        <v>1150949.4107366966</v>
      </c>
      <c r="L8" s="78">
        <f t="shared" si="3"/>
        <v>140.12045419243933</v>
      </c>
    </row>
    <row r="9" spans="1:12" ht="15" customHeight="1">
      <c r="A9" s="81">
        <v>42950</v>
      </c>
      <c r="B9" s="61">
        <v>8</v>
      </c>
      <c r="C9" s="61" t="s">
        <v>331</v>
      </c>
      <c r="D9" s="62">
        <v>8742</v>
      </c>
      <c r="E9" s="62">
        <v>1118000</v>
      </c>
      <c r="F9" s="63">
        <f t="shared" si="4"/>
        <v>528</v>
      </c>
      <c r="G9" s="63">
        <f t="shared" si="0"/>
        <v>0.21816140701010353</v>
      </c>
      <c r="H9" s="63">
        <f t="shared" si="5"/>
        <v>0.42434571035124902</v>
      </c>
      <c r="I9" s="76">
        <f t="shared" si="1"/>
        <v>8742</v>
      </c>
      <c r="J9" s="76">
        <f t="shared" si="2"/>
        <v>1118000</v>
      </c>
      <c r="K9" s="77">
        <f>J9*'Inflation Rates by Year'!$G$2</f>
        <v>1361652.3187339965</v>
      </c>
      <c r="L9" s="78">
        <f t="shared" si="3"/>
        <v>155.75981683070196</v>
      </c>
    </row>
    <row r="10" spans="1:12" ht="15" customHeight="1">
      <c r="A10" s="81">
        <v>42951</v>
      </c>
      <c r="B10" s="61">
        <v>9</v>
      </c>
      <c r="C10" s="61" t="s">
        <v>331</v>
      </c>
      <c r="D10" s="62">
        <v>8742</v>
      </c>
      <c r="E10" s="62">
        <v>1118000</v>
      </c>
      <c r="F10" s="63">
        <f t="shared" si="4"/>
        <v>0</v>
      </c>
      <c r="G10" s="63">
        <f t="shared" si="0"/>
        <v>0</v>
      </c>
      <c r="H10" s="63">
        <f t="shared" si="5"/>
        <v>0</v>
      </c>
      <c r="I10" s="76">
        <f t="shared" si="1"/>
        <v>8742</v>
      </c>
      <c r="J10" s="76">
        <f t="shared" si="2"/>
        <v>1118000</v>
      </c>
      <c r="K10" s="77">
        <f>J10*'Inflation Rates by Year'!$G$2</f>
        <v>1361652.3187339965</v>
      </c>
      <c r="L10" s="78">
        <f t="shared" si="3"/>
        <v>155.75981683070196</v>
      </c>
    </row>
    <row r="11" spans="1:12" ht="15" customHeight="1">
      <c r="A11" s="81">
        <v>42952</v>
      </c>
      <c r="B11" s="61">
        <v>10</v>
      </c>
      <c r="C11" s="61" t="s">
        <v>331</v>
      </c>
      <c r="D11" s="62">
        <v>9486</v>
      </c>
      <c r="E11" s="62">
        <v>1695000</v>
      </c>
      <c r="F11" s="63">
        <f t="shared" si="4"/>
        <v>744</v>
      </c>
      <c r="G11" s="63">
        <f t="shared" si="0"/>
        <v>0.30740925533241864</v>
      </c>
      <c r="H11" s="63">
        <f t="shared" si="5"/>
        <v>0.57675167054993248</v>
      </c>
      <c r="I11" s="76">
        <f t="shared" si="1"/>
        <v>9486</v>
      </c>
      <c r="J11" s="76">
        <f t="shared" si="2"/>
        <v>1695000</v>
      </c>
      <c r="K11" s="77">
        <f>J11*'Inflation Rates by Year'!$G$2</f>
        <v>2064401.324019789</v>
      </c>
      <c r="L11" s="78">
        <f t="shared" si="3"/>
        <v>217.62611469742663</v>
      </c>
    </row>
    <row r="12" spans="1:12" ht="15" customHeight="1">
      <c r="A12" s="81">
        <v>42953</v>
      </c>
      <c r="B12" s="61">
        <v>11</v>
      </c>
      <c r="C12" s="61" t="s">
        <v>331</v>
      </c>
      <c r="D12" s="62">
        <v>9905</v>
      </c>
      <c r="E12" s="62">
        <v>1985000</v>
      </c>
      <c r="F12" s="63">
        <f t="shared" si="4"/>
        <v>419</v>
      </c>
      <c r="G12" s="63">
        <f t="shared" si="0"/>
        <v>0.17312429836597232</v>
      </c>
      <c r="H12" s="63">
        <f t="shared" si="5"/>
        <v>0.31487212100005435</v>
      </c>
      <c r="I12" s="76">
        <f t="shared" si="1"/>
        <v>9905</v>
      </c>
      <c r="J12" s="76">
        <f t="shared" si="2"/>
        <v>1985000</v>
      </c>
      <c r="K12" s="77">
        <f>J12*'Inflation Rates by Year'!$G$2</f>
        <v>2417602.7304892512</v>
      </c>
      <c r="L12" s="78">
        <f t="shared" si="3"/>
        <v>244.07902377478558</v>
      </c>
    </row>
    <row r="13" spans="1:12" ht="15" customHeight="1">
      <c r="A13" s="81">
        <v>42954</v>
      </c>
      <c r="B13" s="61">
        <v>12</v>
      </c>
      <c r="C13" s="61" t="s">
        <v>331</v>
      </c>
      <c r="D13" s="62">
        <v>12525</v>
      </c>
      <c r="E13" s="62">
        <v>2209000</v>
      </c>
      <c r="F13" s="63">
        <f t="shared" si="4"/>
        <v>2620</v>
      </c>
      <c r="G13" s="63">
        <f t="shared" si="0"/>
        <v>1.082543345391044</v>
      </c>
      <c r="H13" s="63">
        <f t="shared" si="5"/>
        <v>1.8336907961567588</v>
      </c>
      <c r="I13" s="76">
        <f t="shared" si="1"/>
        <v>12525</v>
      </c>
      <c r="J13" s="76">
        <f t="shared" si="2"/>
        <v>2209000</v>
      </c>
      <c r="K13" s="77">
        <f>J13*'Inflation Rates by Year'!$G$2</f>
        <v>2690420.3685898017</v>
      </c>
      <c r="L13" s="78">
        <f t="shared" si="3"/>
        <v>214.80402144429556</v>
      </c>
    </row>
    <row r="14" spans="1:12" ht="15" customHeight="1">
      <c r="A14" s="81">
        <v>42955</v>
      </c>
      <c r="B14" s="61">
        <v>13</v>
      </c>
      <c r="C14" s="61" t="s">
        <v>331</v>
      </c>
      <c r="D14" s="62">
        <v>12525</v>
      </c>
      <c r="E14" s="62">
        <v>2455000</v>
      </c>
      <c r="F14" s="63">
        <f t="shared" si="4"/>
        <v>0</v>
      </c>
      <c r="G14" s="63">
        <f t="shared" si="0"/>
        <v>0</v>
      </c>
      <c r="H14" s="63">
        <f t="shared" si="5"/>
        <v>0</v>
      </c>
      <c r="I14" s="76">
        <f t="shared" si="1"/>
        <v>12525</v>
      </c>
      <c r="J14" s="76">
        <f t="shared" si="2"/>
        <v>2455000</v>
      </c>
      <c r="K14" s="77">
        <f>J14*'Inflation Rates by Year'!$G$2</f>
        <v>2990032.5961466557</v>
      </c>
      <c r="L14" s="78">
        <f t="shared" si="3"/>
        <v>238.7251573769785</v>
      </c>
    </row>
    <row r="15" spans="1:12" ht="15" customHeight="1">
      <c r="A15" s="81">
        <v>42956</v>
      </c>
      <c r="B15" s="61">
        <v>14</v>
      </c>
      <c r="C15" s="61" t="s">
        <v>331</v>
      </c>
      <c r="D15" s="62">
        <v>12525</v>
      </c>
      <c r="E15" s="62">
        <v>2455000</v>
      </c>
      <c r="F15" s="63">
        <f t="shared" si="4"/>
        <v>0</v>
      </c>
      <c r="G15" s="63">
        <f t="shared" si="0"/>
        <v>0</v>
      </c>
      <c r="H15" s="63">
        <f t="shared" si="5"/>
        <v>0</v>
      </c>
      <c r="I15" s="76">
        <f t="shared" si="1"/>
        <v>12525</v>
      </c>
      <c r="J15" s="76">
        <f t="shared" si="2"/>
        <v>2455000</v>
      </c>
      <c r="K15" s="77">
        <f>J15*'Inflation Rates by Year'!$G$2</f>
        <v>2990032.5961466557</v>
      </c>
      <c r="L15" s="78">
        <f t="shared" si="3"/>
        <v>238.7251573769785</v>
      </c>
    </row>
    <row r="16" spans="1:12" ht="15" customHeight="1">
      <c r="A16" s="81">
        <v>42957</v>
      </c>
      <c r="B16" s="61">
        <v>15</v>
      </c>
      <c r="C16" s="61" t="s">
        <v>331</v>
      </c>
      <c r="D16" s="62">
        <v>19687</v>
      </c>
      <c r="E16" s="62">
        <v>2600000</v>
      </c>
      <c r="F16" s="63">
        <f t="shared" si="4"/>
        <v>7162</v>
      </c>
      <c r="G16" s="63">
        <f t="shared" si="0"/>
        <v>2.9592272670575031</v>
      </c>
      <c r="H16" s="63">
        <f t="shared" si="5"/>
        <v>4.2019921118832375</v>
      </c>
      <c r="I16" s="76">
        <f t="shared" si="1"/>
        <v>19687</v>
      </c>
      <c r="J16" s="76">
        <f t="shared" si="2"/>
        <v>2600000</v>
      </c>
      <c r="K16" s="77">
        <f>J16*'Inflation Rates by Year'!$G$2</f>
        <v>3166633.299381387</v>
      </c>
      <c r="L16" s="78">
        <f t="shared" si="3"/>
        <v>160.84895105304957</v>
      </c>
    </row>
    <row r="17" spans="1:12" ht="15" customHeight="1">
      <c r="A17" s="81">
        <v>42958</v>
      </c>
      <c r="B17" s="61">
        <v>16</v>
      </c>
      <c r="C17" s="61" t="s">
        <v>331</v>
      </c>
      <c r="D17" s="62">
        <v>23650</v>
      </c>
      <c r="E17" s="62">
        <v>2895389</v>
      </c>
      <c r="F17" s="63">
        <f t="shared" si="4"/>
        <v>3963</v>
      </c>
      <c r="G17" s="63">
        <f t="shared" si="0"/>
        <v>1.6374501060246975</v>
      </c>
      <c r="H17" s="63">
        <f t="shared" si="5"/>
        <v>1.9940910612772742</v>
      </c>
      <c r="I17" s="76">
        <f t="shared" si="1"/>
        <v>23650</v>
      </c>
      <c r="J17" s="76">
        <f t="shared" si="2"/>
        <v>2895389</v>
      </c>
      <c r="K17" s="77">
        <f>J17*'Inflation Rates by Year'!$G$2</f>
        <v>3526398.1623317595</v>
      </c>
      <c r="L17" s="78">
        <f t="shared" si="3"/>
        <v>149.10774470747398</v>
      </c>
    </row>
    <row r="18" spans="1:12" ht="15" customHeight="1">
      <c r="A18" s="81">
        <v>42959</v>
      </c>
      <c r="B18" s="61">
        <v>17</v>
      </c>
      <c r="C18" s="61" t="s">
        <v>160</v>
      </c>
      <c r="D18" s="62">
        <v>25438</v>
      </c>
      <c r="E18" s="62">
        <v>3192051</v>
      </c>
      <c r="F18" s="63">
        <f t="shared" si="4"/>
        <v>1788</v>
      </c>
      <c r="G18" s="63">
        <f t="shared" si="0"/>
        <v>0.73877385555694153</v>
      </c>
      <c r="H18" s="63">
        <f t="shared" si="5"/>
        <v>0.84459176814055259</v>
      </c>
      <c r="I18" s="76">
        <f t="shared" si="1"/>
        <v>25438</v>
      </c>
      <c r="J18" s="76">
        <f t="shared" si="2"/>
        <v>3192051</v>
      </c>
      <c r="K18" s="77">
        <f>J18*'Inflation Rates by Year'!$G$2</f>
        <v>3887713.4576629447</v>
      </c>
      <c r="L18" s="78">
        <f t="shared" si="3"/>
        <v>152.83094023362469</v>
      </c>
    </row>
    <row r="19" spans="1:12" ht="15" customHeight="1">
      <c r="A19" s="81">
        <v>42960</v>
      </c>
      <c r="B19" s="61">
        <v>18</v>
      </c>
      <c r="C19" s="61" t="s">
        <v>160</v>
      </c>
      <c r="D19" s="62">
        <v>26938</v>
      </c>
      <c r="E19" s="62">
        <v>3543422</v>
      </c>
      <c r="F19" s="63">
        <f t="shared" si="4"/>
        <v>1500</v>
      </c>
      <c r="G19" s="63">
        <f t="shared" si="0"/>
        <v>0.61977672446052146</v>
      </c>
      <c r="H19" s="63">
        <f t="shared" si="5"/>
        <v>0.68590595482894479</v>
      </c>
      <c r="I19" s="76">
        <f t="shared" si="1"/>
        <v>26938</v>
      </c>
      <c r="J19" s="76">
        <f t="shared" si="2"/>
        <v>3543422</v>
      </c>
      <c r="K19" s="77">
        <f>J19*'Inflation Rates by Year'!$G$2</f>
        <v>4315660.8072925359</v>
      </c>
      <c r="L19" s="78">
        <f t="shared" si="3"/>
        <v>160.20717229536476</v>
      </c>
    </row>
    <row r="20" spans="1:12" ht="15" customHeight="1">
      <c r="A20" s="81">
        <v>42961</v>
      </c>
      <c r="B20" s="61">
        <v>19</v>
      </c>
      <c r="C20" s="61" t="s">
        <v>160</v>
      </c>
      <c r="D20" s="62">
        <v>27210</v>
      </c>
      <c r="E20" s="62">
        <v>3800214</v>
      </c>
      <c r="F20" s="63">
        <f t="shared" si="4"/>
        <v>272</v>
      </c>
      <c r="G20" s="63">
        <f t="shared" si="0"/>
        <v>0.11238617936884121</v>
      </c>
      <c r="H20" s="63">
        <f t="shared" si="5"/>
        <v>0.12231338980028512</v>
      </c>
      <c r="I20" s="76">
        <f t="shared" si="1"/>
        <v>27210</v>
      </c>
      <c r="J20" s="76">
        <f t="shared" si="2"/>
        <v>3800214</v>
      </c>
      <c r="K20" s="77">
        <f>J20*'Inflation Rates by Year'!$G$2</f>
        <v>4628416.9989135917</v>
      </c>
      <c r="L20" s="78">
        <f t="shared" si="3"/>
        <v>170.09985295529555</v>
      </c>
    </row>
    <row r="21" spans="1:12" ht="14.5">
      <c r="A21" s="81">
        <v>42962</v>
      </c>
      <c r="B21" s="61">
        <v>20</v>
      </c>
      <c r="C21" s="61" t="s">
        <v>160</v>
      </c>
      <c r="D21" s="62">
        <v>27210</v>
      </c>
      <c r="E21" s="62">
        <v>4169084</v>
      </c>
      <c r="F21" s="63">
        <f t="shared" si="4"/>
        <v>0</v>
      </c>
      <c r="G21" s="63">
        <f t="shared" si="0"/>
        <v>0</v>
      </c>
      <c r="H21" s="63">
        <f t="shared" si="5"/>
        <v>0</v>
      </c>
      <c r="I21" s="76">
        <f t="shared" si="1"/>
        <v>27210</v>
      </c>
      <c r="J21" s="76">
        <f t="shared" si="2"/>
        <v>4169084</v>
      </c>
      <c r="K21" s="77">
        <f>J21*'Inflation Rates by Year'!$G$2</f>
        <v>5077677.0085839042</v>
      </c>
      <c r="L21" s="78">
        <f t="shared" si="3"/>
        <v>186.61069491304315</v>
      </c>
    </row>
    <row r="22" spans="1:12" ht="14.5">
      <c r="A22" s="81">
        <v>42963</v>
      </c>
      <c r="B22" s="61">
        <v>21</v>
      </c>
      <c r="C22" s="61" t="s">
        <v>160</v>
      </c>
      <c r="D22" s="62">
        <v>29256</v>
      </c>
      <c r="E22" s="62">
        <v>4907597</v>
      </c>
      <c r="F22" s="63">
        <f t="shared" si="4"/>
        <v>2046</v>
      </c>
      <c r="G22" s="63">
        <f t="shared" si="0"/>
        <v>0.84537545216415122</v>
      </c>
      <c r="H22" s="63">
        <f t="shared" si="5"/>
        <v>0.90111115370639661</v>
      </c>
      <c r="I22" s="76">
        <f t="shared" si="1"/>
        <v>29256</v>
      </c>
      <c r="J22" s="76">
        <f t="shared" si="2"/>
        <v>4907597</v>
      </c>
      <c r="K22" s="77">
        <f>J22*'Inflation Rates by Year'!$G$2</f>
        <v>5977138.492363153</v>
      </c>
      <c r="L22" s="78">
        <f t="shared" si="3"/>
        <v>204.30470646579002</v>
      </c>
    </row>
    <row r="23" spans="1:12" ht="14.5">
      <c r="A23" s="81">
        <v>42964</v>
      </c>
      <c r="B23" s="61">
        <v>22</v>
      </c>
      <c r="C23" s="61" t="s">
        <v>160</v>
      </c>
      <c r="D23" s="62">
        <v>29651</v>
      </c>
      <c r="E23" s="62">
        <v>5406604</v>
      </c>
      <c r="F23" s="63">
        <f t="shared" si="4"/>
        <v>395</v>
      </c>
      <c r="G23" s="63">
        <f t="shared" si="0"/>
        <v>0.16320787077460397</v>
      </c>
      <c r="H23" s="63">
        <f t="shared" si="5"/>
        <v>0.17029857831457373</v>
      </c>
      <c r="I23" s="76">
        <f t="shared" si="1"/>
        <v>29651</v>
      </c>
      <c r="J23" s="76">
        <f t="shared" si="2"/>
        <v>5406604</v>
      </c>
      <c r="K23" s="77">
        <f>J23*'Inflation Rates by Year'!$G$2</f>
        <v>6584897.0242186943</v>
      </c>
      <c r="L23" s="78">
        <f t="shared" si="3"/>
        <v>222.08009929576386</v>
      </c>
    </row>
    <row r="24" spans="1:12" ht="14.5">
      <c r="A24" s="81">
        <v>42965</v>
      </c>
      <c r="B24" s="61">
        <v>23</v>
      </c>
      <c r="C24" s="61" t="s">
        <v>160</v>
      </c>
      <c r="D24" s="62">
        <v>30043</v>
      </c>
      <c r="E24" s="62">
        <v>5934858</v>
      </c>
      <c r="F24" s="63">
        <f t="shared" si="4"/>
        <v>392</v>
      </c>
      <c r="G24" s="63">
        <f t="shared" si="0"/>
        <v>0.16196831732568293</v>
      </c>
      <c r="H24" s="63">
        <f t="shared" si="5"/>
        <v>0.1678873623732785</v>
      </c>
      <c r="I24" s="76">
        <f t="shared" si="1"/>
        <v>30043</v>
      </c>
      <c r="J24" s="76">
        <f t="shared" si="2"/>
        <v>5934858</v>
      </c>
      <c r="K24" s="77">
        <f>J24*'Inflation Rates by Year'!$G$2</f>
        <v>7228276.5268846229</v>
      </c>
      <c r="L24" s="78">
        <f t="shared" si="3"/>
        <v>240.59769420113247</v>
      </c>
    </row>
    <row r="25" spans="1:12" ht="14.5">
      <c r="A25" s="81">
        <v>42966</v>
      </c>
      <c r="B25" s="61">
        <v>24</v>
      </c>
      <c r="C25" s="61" t="s">
        <v>160</v>
      </c>
      <c r="D25" s="62">
        <v>30524</v>
      </c>
      <c r="E25" s="62">
        <v>6205094</v>
      </c>
      <c r="F25" s="63">
        <f t="shared" si="4"/>
        <v>481</v>
      </c>
      <c r="G25" s="63">
        <f t="shared" si="0"/>
        <v>0.19874173631034053</v>
      </c>
      <c r="H25" s="63">
        <f t="shared" si="5"/>
        <v>0.20451511350639484</v>
      </c>
      <c r="I25" s="76">
        <f t="shared" si="1"/>
        <v>30524</v>
      </c>
      <c r="J25" s="76">
        <f t="shared" si="2"/>
        <v>6205094</v>
      </c>
      <c r="K25" s="77">
        <f>J25*'Inflation Rates by Year'!$G$2</f>
        <v>7557406.6485352498</v>
      </c>
      <c r="L25" s="78">
        <f t="shared" si="3"/>
        <v>247.58900041066863</v>
      </c>
    </row>
    <row r="26" spans="1:12" ht="14.5">
      <c r="A26" s="81">
        <v>42967</v>
      </c>
      <c r="B26" s="61">
        <v>25</v>
      </c>
      <c r="C26" s="61" t="s">
        <v>160</v>
      </c>
      <c r="D26" s="62">
        <v>30581</v>
      </c>
      <c r="E26" s="62">
        <v>6568787</v>
      </c>
      <c r="F26" s="63">
        <f t="shared" si="4"/>
        <v>57</v>
      </c>
      <c r="G26" s="63">
        <f t="shared" si="0"/>
        <v>2.3551515529499814E-2</v>
      </c>
      <c r="H26" s="63">
        <f t="shared" si="5"/>
        <v>2.4128563527004057E-2</v>
      </c>
      <c r="I26" s="76">
        <f t="shared" si="1"/>
        <v>30581</v>
      </c>
      <c r="J26" s="76">
        <f t="shared" si="2"/>
        <v>6568787</v>
      </c>
      <c r="K26" s="77">
        <f>J26*'Inflation Rates by Year'!$G$2</f>
        <v>8000361.4041321399</v>
      </c>
      <c r="L26" s="78">
        <f t="shared" si="3"/>
        <v>261.61215801092641</v>
      </c>
    </row>
    <row r="27" spans="1:12" ht="14.5">
      <c r="A27" s="81">
        <v>42968</v>
      </c>
      <c r="B27" s="61">
        <v>26</v>
      </c>
      <c r="C27" s="61" t="s">
        <v>160</v>
      </c>
      <c r="D27" s="62">
        <v>30922</v>
      </c>
      <c r="E27" s="62">
        <v>6895762</v>
      </c>
      <c r="F27" s="63">
        <f t="shared" si="4"/>
        <v>341</v>
      </c>
      <c r="G27" s="63">
        <f t="shared" si="0"/>
        <v>0.14089590869402521</v>
      </c>
      <c r="H27" s="63">
        <f t="shared" si="5"/>
        <v>0.14388079748239288</v>
      </c>
      <c r="I27" s="76">
        <f t="shared" si="1"/>
        <v>30922</v>
      </c>
      <c r="J27" s="76">
        <f t="shared" si="2"/>
        <v>6895762</v>
      </c>
      <c r="K27" s="77">
        <f>J27*'Inflation Rates by Year'!$G$2</f>
        <v>8398595.9899264593</v>
      </c>
      <c r="L27" s="78">
        <f t="shared" si="3"/>
        <v>271.60584664402234</v>
      </c>
    </row>
    <row r="28" spans="1:12" ht="14.5">
      <c r="A28" s="81">
        <v>42969</v>
      </c>
      <c r="B28" s="61">
        <v>27</v>
      </c>
      <c r="C28" s="61" t="s">
        <v>160</v>
      </c>
      <c r="D28" s="62">
        <v>31555</v>
      </c>
      <c r="E28" s="62">
        <v>7426748</v>
      </c>
      <c r="F28" s="63">
        <f t="shared" si="4"/>
        <v>633</v>
      </c>
      <c r="G28" s="63">
        <f t="shared" si="0"/>
        <v>0.26154577772234006</v>
      </c>
      <c r="H28" s="63">
        <f t="shared" si="5"/>
        <v>0.26499894060026274</v>
      </c>
      <c r="I28" s="76">
        <f t="shared" si="1"/>
        <v>31555</v>
      </c>
      <c r="J28" s="76">
        <f t="shared" si="2"/>
        <v>7426748</v>
      </c>
      <c r="K28" s="77">
        <f>J28*'Inflation Rates by Year'!$G$2</f>
        <v>9045302.8934285063</v>
      </c>
      <c r="L28" s="78">
        <f t="shared" si="3"/>
        <v>286.65196936867392</v>
      </c>
    </row>
    <row r="29" spans="1:12" ht="14.5">
      <c r="A29" s="81">
        <v>42971</v>
      </c>
      <c r="B29" s="61">
        <v>28</v>
      </c>
      <c r="C29" s="61" t="s">
        <v>160</v>
      </c>
      <c r="D29" s="62">
        <v>32157</v>
      </c>
      <c r="E29" s="62">
        <v>7512942</v>
      </c>
      <c r="F29" s="63">
        <f t="shared" si="4"/>
        <v>602</v>
      </c>
      <c r="G29" s="63">
        <f t="shared" si="0"/>
        <v>0.24873705875015592</v>
      </c>
      <c r="H29" s="63">
        <f t="shared" si="5"/>
        <v>0.24956613751113244</v>
      </c>
      <c r="I29" s="76">
        <f t="shared" si="1"/>
        <v>32157</v>
      </c>
      <c r="J29" s="76">
        <f t="shared" si="2"/>
        <v>7512942</v>
      </c>
      <c r="K29" s="77">
        <f>J29*'Inflation Rates by Year'!$G$2</f>
        <v>9150281.6590465382</v>
      </c>
      <c r="L29" s="78">
        <f t="shared" si="3"/>
        <v>284.55022729255023</v>
      </c>
    </row>
    <row r="30" spans="1:12" ht="14.5">
      <c r="A30" s="81">
        <v>42976</v>
      </c>
      <c r="B30" s="61">
        <v>29</v>
      </c>
      <c r="C30" s="61" t="s">
        <v>160</v>
      </c>
      <c r="D30" s="62">
        <v>48924</v>
      </c>
      <c r="E30" s="62">
        <v>8000000</v>
      </c>
      <c r="F30" s="63">
        <f t="shared" si="4"/>
        <v>16767</v>
      </c>
      <c r="G30" s="63">
        <f t="shared" si="0"/>
        <v>6.9278642260197083</v>
      </c>
      <c r="H30" s="63">
        <f t="shared" si="5"/>
        <v>6.1951294155070276</v>
      </c>
      <c r="I30" s="76">
        <f t="shared" si="1"/>
        <v>48924</v>
      </c>
      <c r="J30" s="76">
        <f t="shared" si="2"/>
        <v>8000000</v>
      </c>
      <c r="K30" s="77">
        <f>J30*'Inflation Rates by Year'!$G$2</f>
        <v>9743487.075019652</v>
      </c>
      <c r="L30" s="78">
        <f t="shared" si="3"/>
        <v>199.15556935286673</v>
      </c>
    </row>
    <row r="31" spans="1:12" ht="14.5">
      <c r="A31" s="81">
        <v>42978</v>
      </c>
      <c r="B31" s="61">
        <v>30</v>
      </c>
      <c r="C31" s="61" t="s">
        <v>160</v>
      </c>
      <c r="D31" s="62">
        <v>58794</v>
      </c>
      <c r="E31" s="62">
        <v>8000000</v>
      </c>
      <c r="F31" s="63">
        <f t="shared" si="4"/>
        <v>9870</v>
      </c>
      <c r="G31" s="63">
        <f t="shared" si="0"/>
        <v>4.0781308469502306</v>
      </c>
      <c r="H31" s="63">
        <f t="shared" si="5"/>
        <v>3.1501060081153454</v>
      </c>
      <c r="I31" s="76">
        <f t="shared" si="1"/>
        <v>58794</v>
      </c>
      <c r="J31" s="76">
        <f t="shared" si="2"/>
        <v>8000000</v>
      </c>
      <c r="K31" s="77">
        <f>J31*'Inflation Rates by Year'!$G$2</f>
        <v>9743487.075019652</v>
      </c>
      <c r="L31" s="78">
        <f t="shared" si="3"/>
        <v>165.72247295675837</v>
      </c>
    </row>
    <row r="32" spans="1:12" ht="14.5">
      <c r="A32" s="81">
        <v>42980</v>
      </c>
      <c r="B32" s="61">
        <v>31</v>
      </c>
      <c r="C32" s="61" t="s">
        <v>160</v>
      </c>
      <c r="D32" s="62">
        <v>58794</v>
      </c>
      <c r="E32" s="62">
        <v>10000000</v>
      </c>
      <c r="F32" s="63">
        <f t="shared" si="4"/>
        <v>0</v>
      </c>
      <c r="G32" s="63">
        <f t="shared" si="0"/>
        <v>0</v>
      </c>
      <c r="H32" s="63">
        <f t="shared" si="5"/>
        <v>0</v>
      </c>
      <c r="I32" s="76">
        <f t="shared" si="1"/>
        <v>58794</v>
      </c>
      <c r="J32" s="76">
        <f t="shared" si="2"/>
        <v>10000000</v>
      </c>
      <c r="K32" s="77">
        <f>J32*'Inflation Rates by Year'!$G$2</f>
        <v>12179358.843774566</v>
      </c>
      <c r="L32" s="78">
        <f t="shared" si="3"/>
        <v>207.15309119594801</v>
      </c>
    </row>
    <row r="33" spans="1:12" ht="14.5">
      <c r="A33" s="81">
        <v>42982</v>
      </c>
      <c r="B33" s="61">
        <v>32</v>
      </c>
      <c r="C33" s="61" t="s">
        <v>160</v>
      </c>
      <c r="D33" s="62">
        <v>95000</v>
      </c>
      <c r="E33" s="62">
        <v>10000000</v>
      </c>
      <c r="F33" s="63">
        <f t="shared" si="4"/>
        <v>36206</v>
      </c>
      <c r="G33" s="63">
        <f t="shared" si="0"/>
        <v>14.959757390545093</v>
      </c>
      <c r="H33" s="63">
        <f t="shared" si="5"/>
        <v>9.7292419193635542</v>
      </c>
      <c r="I33" s="76">
        <f t="shared" si="1"/>
        <v>95000</v>
      </c>
      <c r="J33" s="76">
        <f t="shared" si="2"/>
        <v>10000000</v>
      </c>
      <c r="K33" s="77">
        <f>J33*'Inflation Rates by Year'!$G$2</f>
        <v>12179358.843774566</v>
      </c>
      <c r="L33" s="78">
        <f t="shared" si="3"/>
        <v>128.20377730289016</v>
      </c>
    </row>
    <row r="34" spans="1:12" ht="14.5">
      <c r="A34" s="81">
        <v>42983</v>
      </c>
      <c r="B34" s="61">
        <v>33</v>
      </c>
      <c r="C34" s="61" t="s">
        <v>160</v>
      </c>
      <c r="D34" s="62">
        <v>104000</v>
      </c>
      <c r="E34" s="62">
        <v>11500000</v>
      </c>
      <c r="F34" s="63">
        <f t="shared" si="4"/>
        <v>9000</v>
      </c>
      <c r="G34" s="63">
        <f t="shared" si="0"/>
        <v>3.7186603467631283</v>
      </c>
      <c r="H34" s="63">
        <f t="shared" si="5"/>
        <v>2.1116504706369068</v>
      </c>
      <c r="I34" s="76">
        <f t="shared" ref="I34:I56" si="6">D34</f>
        <v>104000</v>
      </c>
      <c r="J34" s="76">
        <f t="shared" ref="J34:J56" si="7">E34</f>
        <v>11500000</v>
      </c>
      <c r="K34" s="77">
        <f>J34*'Inflation Rates by Year'!$G$2</f>
        <v>14006262.67034075</v>
      </c>
      <c r="L34" s="78">
        <f t="shared" si="3"/>
        <v>134.67560259943031</v>
      </c>
    </row>
    <row r="35" spans="1:12" ht="14.5">
      <c r="A35" s="81">
        <v>42985</v>
      </c>
      <c r="B35" s="61">
        <v>34</v>
      </c>
      <c r="C35" s="61" t="s">
        <v>160</v>
      </c>
      <c r="D35" s="62">
        <v>104000</v>
      </c>
      <c r="E35" s="62">
        <v>11600000</v>
      </c>
      <c r="F35" s="63">
        <f t="shared" si="4"/>
        <v>0</v>
      </c>
      <c r="G35" s="63">
        <f t="shared" si="0"/>
        <v>0</v>
      </c>
      <c r="H35" s="63">
        <f t="shared" si="5"/>
        <v>0</v>
      </c>
      <c r="I35" s="76">
        <f t="shared" si="6"/>
        <v>104000</v>
      </c>
      <c r="J35" s="76">
        <f t="shared" si="7"/>
        <v>11600000</v>
      </c>
      <c r="K35" s="77">
        <f>J35*'Inflation Rates by Year'!$G$2</f>
        <v>14128056.258778496</v>
      </c>
      <c r="L35" s="78">
        <f t="shared" si="3"/>
        <v>135.84669479594709</v>
      </c>
    </row>
    <row r="36" spans="1:12" ht="14.5">
      <c r="A36" s="81">
        <v>42986</v>
      </c>
      <c r="B36" s="61">
        <v>35</v>
      </c>
      <c r="C36" s="61" t="s">
        <v>160</v>
      </c>
      <c r="D36" s="62">
        <v>105500</v>
      </c>
      <c r="E36" s="62">
        <v>12000000</v>
      </c>
      <c r="F36" s="63">
        <f t="shared" si="4"/>
        <v>1500</v>
      </c>
      <c r="G36" s="63">
        <f t="shared" si="0"/>
        <v>0.61977672446052146</v>
      </c>
      <c r="H36" s="63">
        <f t="shared" si="5"/>
        <v>0.34292327845871895</v>
      </c>
      <c r="I36" s="76">
        <f t="shared" si="6"/>
        <v>105500</v>
      </c>
      <c r="J36" s="76">
        <f t="shared" si="7"/>
        <v>12000000</v>
      </c>
      <c r="K36" s="77">
        <f>J36*'Inflation Rates by Year'!$G$2</f>
        <v>14615230.612529479</v>
      </c>
      <c r="L36" s="78">
        <f t="shared" si="3"/>
        <v>138.53299158795716</v>
      </c>
    </row>
    <row r="37" spans="1:12" ht="14.5">
      <c r="A37" s="81">
        <v>42987</v>
      </c>
      <c r="B37" s="61">
        <v>36</v>
      </c>
      <c r="C37" s="61" t="s">
        <v>160</v>
      </c>
      <c r="D37" s="62">
        <v>105500</v>
      </c>
      <c r="E37" s="62">
        <v>12200624</v>
      </c>
      <c r="F37" s="63">
        <f t="shared" si="4"/>
        <v>0</v>
      </c>
      <c r="G37" s="63">
        <f t="shared" si="0"/>
        <v>0</v>
      </c>
      <c r="H37" s="63">
        <f t="shared" si="5"/>
        <v>0</v>
      </c>
      <c r="I37" s="76">
        <f t="shared" si="6"/>
        <v>105500</v>
      </c>
      <c r="J37" s="76">
        <f t="shared" si="7"/>
        <v>12200624</v>
      </c>
      <c r="K37" s="77">
        <f>J37*'Inflation Rates by Year'!$G$2</f>
        <v>14859577.781396821</v>
      </c>
      <c r="L37" s="78">
        <f t="shared" si="3"/>
        <v>140.84907849665234</v>
      </c>
    </row>
    <row r="38" spans="1:12" ht="14.5">
      <c r="A38" s="81">
        <v>42988</v>
      </c>
      <c r="B38" s="61">
        <v>37</v>
      </c>
      <c r="C38" s="61" t="s">
        <v>160</v>
      </c>
      <c r="D38" s="62">
        <v>105750</v>
      </c>
      <c r="E38" s="62">
        <v>12400000</v>
      </c>
      <c r="F38" s="63">
        <f t="shared" si="4"/>
        <v>250</v>
      </c>
      <c r="G38" s="63">
        <f t="shared" si="0"/>
        <v>0.10329612074342023</v>
      </c>
      <c r="H38" s="63">
        <f t="shared" si="5"/>
        <v>5.6916300616649457E-2</v>
      </c>
      <c r="I38" s="76">
        <f t="shared" si="6"/>
        <v>105750</v>
      </c>
      <c r="J38" s="76">
        <f t="shared" si="7"/>
        <v>12400000</v>
      </c>
      <c r="K38" s="77">
        <f>J38*'Inflation Rates by Year'!$G$2</f>
        <v>15102404.966280462</v>
      </c>
      <c r="L38" s="78">
        <f t="shared" si="3"/>
        <v>142.81234010667103</v>
      </c>
    </row>
    <row r="39" spans="1:12" ht="14.5">
      <c r="A39" s="81">
        <v>42989</v>
      </c>
      <c r="B39" s="61">
        <v>38</v>
      </c>
      <c r="C39" s="61" t="s">
        <v>160</v>
      </c>
      <c r="D39" s="62">
        <v>109000</v>
      </c>
      <c r="E39" s="62">
        <v>13052886</v>
      </c>
      <c r="F39" s="63">
        <f t="shared" si="4"/>
        <v>3250</v>
      </c>
      <c r="G39" s="63">
        <f t="shared" si="0"/>
        <v>1.3428495696644631</v>
      </c>
      <c r="H39" s="63">
        <f t="shared" si="5"/>
        <v>0.7338784718724547</v>
      </c>
      <c r="I39" s="76">
        <f t="shared" si="6"/>
        <v>109000</v>
      </c>
      <c r="J39" s="76">
        <f t="shared" si="7"/>
        <v>13052886</v>
      </c>
      <c r="K39" s="77">
        <f>J39*'Inflation Rates by Year'!$G$2</f>
        <v>15897578.254088122</v>
      </c>
      <c r="L39" s="78">
        <f t="shared" si="3"/>
        <v>145.84934178062497</v>
      </c>
    </row>
    <row r="40" spans="1:12" ht="14.5">
      <c r="A40" s="81">
        <v>42990</v>
      </c>
      <c r="B40" s="61">
        <v>39</v>
      </c>
      <c r="C40" s="61" t="s">
        <v>160</v>
      </c>
      <c r="D40" s="62">
        <v>109000</v>
      </c>
      <c r="E40" s="62">
        <v>13419908</v>
      </c>
      <c r="F40" s="63">
        <f t="shared" si="4"/>
        <v>0</v>
      </c>
      <c r="G40" s="63">
        <f t="shared" si="0"/>
        <v>0</v>
      </c>
      <c r="H40" s="63">
        <f t="shared" si="5"/>
        <v>0</v>
      </c>
      <c r="I40" s="76">
        <f t="shared" si="6"/>
        <v>109000</v>
      </c>
      <c r="J40" s="76">
        <f t="shared" si="7"/>
        <v>13419908</v>
      </c>
      <c r="K40" s="77">
        <f>J40*'Inflation Rates by Year'!$G$2</f>
        <v>16344587.518244104</v>
      </c>
      <c r="L40" s="78">
        <f t="shared" si="3"/>
        <v>149.95034420407436</v>
      </c>
    </row>
    <row r="41" spans="1:12" ht="14.5">
      <c r="A41" s="81">
        <v>42991</v>
      </c>
      <c r="B41" s="61">
        <v>40</v>
      </c>
      <c r="C41" s="61" t="s">
        <v>160</v>
      </c>
      <c r="D41" s="62">
        <v>119000</v>
      </c>
      <c r="E41" s="62">
        <v>13700000</v>
      </c>
      <c r="F41" s="63">
        <f t="shared" si="4"/>
        <v>10000</v>
      </c>
      <c r="G41" s="63">
        <f t="shared" si="0"/>
        <v>4.1318448297368091</v>
      </c>
      <c r="H41" s="63">
        <f t="shared" si="5"/>
        <v>2.1919569502051344</v>
      </c>
      <c r="I41" s="76">
        <f t="shared" si="6"/>
        <v>119000</v>
      </c>
      <c r="J41" s="76">
        <f t="shared" si="7"/>
        <v>13700000</v>
      </c>
      <c r="K41" s="77">
        <f>J41*'Inflation Rates by Year'!$G$2</f>
        <v>16685721.615971155</v>
      </c>
      <c r="L41" s="78">
        <f t="shared" si="3"/>
        <v>140.21614803337104</v>
      </c>
    </row>
    <row r="42" spans="1:12" ht="14.5">
      <c r="A42" s="81">
        <v>42992</v>
      </c>
      <c r="B42" s="61">
        <v>41</v>
      </c>
      <c r="C42" s="61" t="s">
        <v>160</v>
      </c>
      <c r="D42" s="62">
        <v>122000</v>
      </c>
      <c r="E42" s="62">
        <v>10046105</v>
      </c>
      <c r="F42" s="63">
        <f t="shared" si="4"/>
        <v>3000</v>
      </c>
      <c r="G42" s="63">
        <f t="shared" si="0"/>
        <v>1.2395534489210429</v>
      </c>
      <c r="H42" s="63">
        <f t="shared" si="5"/>
        <v>0.63946397742625882</v>
      </c>
      <c r="I42" s="76">
        <f t="shared" si="6"/>
        <v>122000</v>
      </c>
      <c r="J42" s="76">
        <f t="shared" si="7"/>
        <v>10046105</v>
      </c>
      <c r="K42" s="77">
        <f>J42*'Inflation Rates by Year'!$G$2</f>
        <v>12235511.777723789</v>
      </c>
      <c r="L42" s="78">
        <f t="shared" si="3"/>
        <v>100.29108014527696</v>
      </c>
    </row>
    <row r="43" spans="1:12" ht="14.5">
      <c r="A43" s="81">
        <v>42993</v>
      </c>
      <c r="B43" s="61">
        <v>42</v>
      </c>
      <c r="C43" s="61" t="s">
        <v>160</v>
      </c>
      <c r="D43" s="62">
        <v>127300</v>
      </c>
      <c r="E43" s="62">
        <v>11886756</v>
      </c>
      <c r="F43" s="63">
        <f t="shared" si="4"/>
        <v>5300</v>
      </c>
      <c r="G43" s="63">
        <f t="shared" si="0"/>
        <v>2.1898777597605088</v>
      </c>
      <c r="H43" s="63">
        <f t="shared" si="5"/>
        <v>1.1107957489506961</v>
      </c>
      <c r="I43" s="76">
        <f t="shared" si="6"/>
        <v>127300</v>
      </c>
      <c r="J43" s="76">
        <f t="shared" si="7"/>
        <v>11886756</v>
      </c>
      <c r="K43" s="77">
        <f>J43*'Inflation Rates by Year'!$G$2</f>
        <v>14477306.681239039</v>
      </c>
      <c r="L43" s="78">
        <f t="shared" si="3"/>
        <v>113.725896946104</v>
      </c>
    </row>
    <row r="44" spans="1:12" ht="14.5">
      <c r="A44" s="81">
        <v>42994</v>
      </c>
      <c r="B44" s="61">
        <v>43</v>
      </c>
      <c r="C44" s="61" t="s">
        <v>160</v>
      </c>
      <c r="D44" s="62">
        <v>129000</v>
      </c>
      <c r="E44" s="62">
        <v>12209667</v>
      </c>
      <c r="F44" s="63">
        <f t="shared" si="4"/>
        <v>1700</v>
      </c>
      <c r="G44" s="63">
        <f t="shared" si="0"/>
        <v>0.70241362105525762</v>
      </c>
      <c r="H44" s="63">
        <f t="shared" si="5"/>
        <v>0.35137587920674329</v>
      </c>
      <c r="I44" s="76">
        <f t="shared" si="6"/>
        <v>129000</v>
      </c>
      <c r="J44" s="76">
        <f t="shared" si="7"/>
        <v>12209667</v>
      </c>
      <c r="K44" s="77">
        <f>J44*'Inflation Rates by Year'!$G$2</f>
        <v>14870591.575599248</v>
      </c>
      <c r="L44" s="78">
        <f t="shared" si="3"/>
        <v>115.27590368681587</v>
      </c>
    </row>
    <row r="45" spans="1:12" ht="14.5">
      <c r="A45" s="81">
        <v>42995</v>
      </c>
      <c r="B45" s="61">
        <v>44</v>
      </c>
      <c r="C45" s="61" t="s">
        <v>160</v>
      </c>
      <c r="D45" s="62">
        <v>129000</v>
      </c>
      <c r="E45" s="62">
        <v>12455603</v>
      </c>
      <c r="F45" s="63">
        <f t="shared" si="4"/>
        <v>0</v>
      </c>
      <c r="G45" s="63">
        <f t="shared" si="0"/>
        <v>0</v>
      </c>
      <c r="H45" s="63">
        <f t="shared" si="5"/>
        <v>0</v>
      </c>
      <c r="I45" s="76">
        <f t="shared" si="6"/>
        <v>129000</v>
      </c>
      <c r="J45" s="76">
        <f t="shared" si="7"/>
        <v>12455603</v>
      </c>
      <c r="K45" s="77">
        <f>J45*'Inflation Rates by Year'!$G$2</f>
        <v>15170125.855259502</v>
      </c>
      <c r="L45" s="78">
        <f t="shared" si="3"/>
        <v>117.59787484697289</v>
      </c>
    </row>
    <row r="46" spans="1:12" ht="14.5">
      <c r="A46" s="81">
        <v>42996</v>
      </c>
      <c r="B46" s="61">
        <v>45</v>
      </c>
      <c r="C46" s="61" t="s">
        <v>160</v>
      </c>
      <c r="D46" s="62">
        <v>129000</v>
      </c>
      <c r="E46" s="62">
        <v>12665799</v>
      </c>
      <c r="F46" s="63">
        <f t="shared" si="4"/>
        <v>0</v>
      </c>
      <c r="G46" s="63">
        <f t="shared" si="0"/>
        <v>0</v>
      </c>
      <c r="H46" s="63">
        <f t="shared" si="5"/>
        <v>0</v>
      </c>
      <c r="I46" s="76">
        <f t="shared" si="6"/>
        <v>129000</v>
      </c>
      <c r="J46" s="76">
        <f t="shared" si="7"/>
        <v>12665799</v>
      </c>
      <c r="K46" s="77">
        <f>J46*'Inflation Rates by Year'!$G$2</f>
        <v>15426131.106412105</v>
      </c>
      <c r="L46" s="78">
        <f t="shared" si="3"/>
        <v>119.58241167761322</v>
      </c>
    </row>
    <row r="47" spans="1:12" ht="14.5">
      <c r="A47" s="81">
        <v>42997</v>
      </c>
      <c r="B47" s="61">
        <v>46</v>
      </c>
      <c r="C47" s="61" t="s">
        <v>160</v>
      </c>
      <c r="D47" s="62">
        <v>129000</v>
      </c>
      <c r="E47" s="62">
        <v>13015434</v>
      </c>
      <c r="F47" s="63">
        <f t="shared" si="4"/>
        <v>0</v>
      </c>
      <c r="G47" s="63">
        <f t="shared" si="0"/>
        <v>0</v>
      </c>
      <c r="H47" s="63">
        <f t="shared" si="5"/>
        <v>0</v>
      </c>
      <c r="I47" s="76">
        <f t="shared" si="6"/>
        <v>129000</v>
      </c>
      <c r="J47" s="76">
        <f t="shared" si="7"/>
        <v>13015434</v>
      </c>
      <c r="K47" s="77">
        <f>J47*'Inflation Rates by Year'!$G$2</f>
        <v>15851964.119346417</v>
      </c>
      <c r="L47" s="78">
        <f t="shared" si="3"/>
        <v>122.88344278563115</v>
      </c>
    </row>
    <row r="48" spans="1:12" ht="14.5">
      <c r="A48" s="81">
        <v>42998</v>
      </c>
      <c r="B48" s="61">
        <v>47</v>
      </c>
      <c r="C48" s="61" t="s">
        <v>160</v>
      </c>
      <c r="D48" s="62">
        <v>127498</v>
      </c>
      <c r="E48" s="62">
        <v>13357252</v>
      </c>
      <c r="F48" s="63">
        <f t="shared" si="4"/>
        <v>-1502</v>
      </c>
      <c r="G48" s="63">
        <f t="shared" si="0"/>
        <v>-0.6206030934264688</v>
      </c>
      <c r="H48" s="63">
        <f t="shared" si="5"/>
        <v>-0.31033070017576947</v>
      </c>
      <c r="I48" s="76">
        <f t="shared" si="6"/>
        <v>127498</v>
      </c>
      <c r="J48" s="76">
        <f t="shared" si="7"/>
        <v>13357252</v>
      </c>
      <c r="K48" s="77">
        <f>J48*'Inflation Rates by Year'!$G$2</f>
        <v>16268276.52747255</v>
      </c>
      <c r="L48" s="78">
        <f t="shared" si="3"/>
        <v>127.59632721668223</v>
      </c>
    </row>
    <row r="49" spans="1:26" ht="14.5">
      <c r="A49" s="81">
        <v>42999</v>
      </c>
      <c r="B49" s="61">
        <v>48</v>
      </c>
      <c r="C49" s="61" t="s">
        <v>160</v>
      </c>
      <c r="D49" s="62">
        <v>127498</v>
      </c>
      <c r="E49" s="62">
        <v>14017968</v>
      </c>
      <c r="F49" s="63">
        <f t="shared" si="4"/>
        <v>0</v>
      </c>
      <c r="G49" s="63">
        <f t="shared" si="0"/>
        <v>0</v>
      </c>
      <c r="H49" s="63">
        <f t="shared" si="5"/>
        <v>0</v>
      </c>
      <c r="I49" s="76">
        <f t="shared" si="6"/>
        <v>127498</v>
      </c>
      <c r="J49" s="76">
        <f t="shared" si="7"/>
        <v>14017968</v>
      </c>
      <c r="K49" s="77">
        <f>J49*'Inflation Rates by Year'!$G$2</f>
        <v>17072986.253254887</v>
      </c>
      <c r="L49" s="78">
        <f t="shared" si="3"/>
        <v>133.90787505101952</v>
      </c>
    </row>
    <row r="50" spans="1:26" ht="14.5">
      <c r="A50" s="81">
        <v>43000</v>
      </c>
      <c r="B50" s="61">
        <v>49</v>
      </c>
      <c r="C50" s="61" t="s">
        <v>160</v>
      </c>
      <c r="D50" s="62">
        <v>127498</v>
      </c>
      <c r="E50" s="62">
        <v>14288000</v>
      </c>
      <c r="F50" s="63">
        <f t="shared" si="4"/>
        <v>0</v>
      </c>
      <c r="G50" s="63">
        <f t="shared" si="0"/>
        <v>0</v>
      </c>
      <c r="H50" s="63">
        <f t="shared" si="5"/>
        <v>0</v>
      </c>
      <c r="I50" s="76">
        <f t="shared" si="6"/>
        <v>127498</v>
      </c>
      <c r="J50" s="76">
        <f t="shared" si="7"/>
        <v>14288000</v>
      </c>
      <c r="K50" s="77">
        <f>J50*'Inflation Rates by Year'!$G$2</f>
        <v>17401867.9159851</v>
      </c>
      <c r="L50" s="78">
        <f t="shared" si="3"/>
        <v>136.48737953524841</v>
      </c>
    </row>
    <row r="51" spans="1:26" ht="14.5">
      <c r="A51" s="81">
        <v>43001</v>
      </c>
      <c r="B51" s="61">
        <v>50</v>
      </c>
      <c r="C51" s="61" t="s">
        <v>160</v>
      </c>
      <c r="D51" s="62">
        <v>127498</v>
      </c>
      <c r="E51" s="62">
        <v>14463166</v>
      </c>
      <c r="F51" s="63">
        <f t="shared" si="4"/>
        <v>0</v>
      </c>
      <c r="G51" s="63">
        <f t="shared" si="0"/>
        <v>0</v>
      </c>
      <c r="H51" s="63">
        <f t="shared" si="5"/>
        <v>0</v>
      </c>
      <c r="I51" s="76">
        <f t="shared" si="6"/>
        <v>127498</v>
      </c>
      <c r="J51" s="76">
        <f t="shared" si="7"/>
        <v>14463166</v>
      </c>
      <c r="K51" s="77">
        <f>J51*'Inflation Rates by Year'!$G$2</f>
        <v>17615208.873107962</v>
      </c>
      <c r="L51" s="78">
        <f t="shared" si="3"/>
        <v>138.16066819172036</v>
      </c>
    </row>
    <row r="52" spans="1:26" ht="14.5">
      <c r="A52" s="81">
        <v>43002</v>
      </c>
      <c r="B52" s="61">
        <v>51</v>
      </c>
      <c r="C52" s="61" t="s">
        <v>160</v>
      </c>
      <c r="D52" s="62">
        <v>127498</v>
      </c>
      <c r="E52" s="62">
        <v>14631734</v>
      </c>
      <c r="F52" s="63">
        <f t="shared" si="4"/>
        <v>0</v>
      </c>
      <c r="G52" s="63">
        <f t="shared" si="0"/>
        <v>0</v>
      </c>
      <c r="H52" s="63">
        <f t="shared" si="5"/>
        <v>0</v>
      </c>
      <c r="I52" s="76">
        <f t="shared" si="6"/>
        <v>127498</v>
      </c>
      <c r="J52" s="76">
        <f t="shared" si="7"/>
        <v>14631734</v>
      </c>
      <c r="K52" s="77">
        <f>J52*'Inflation Rates by Year'!$G$2</f>
        <v>17820513.889265701</v>
      </c>
      <c r="L52" s="78">
        <f t="shared" si="3"/>
        <v>139.77092887155644</v>
      </c>
    </row>
    <row r="53" spans="1:26" ht="14.5">
      <c r="A53" s="81">
        <v>43003</v>
      </c>
      <c r="B53" s="61">
        <v>52</v>
      </c>
      <c r="C53" s="61" t="s">
        <v>160</v>
      </c>
      <c r="D53" s="62">
        <v>127498</v>
      </c>
      <c r="E53" s="62">
        <v>14713526</v>
      </c>
      <c r="F53" s="63">
        <f t="shared" si="4"/>
        <v>0</v>
      </c>
      <c r="G53" s="63">
        <f t="shared" si="0"/>
        <v>0</v>
      </c>
      <c r="H53" s="63">
        <f t="shared" si="5"/>
        <v>0</v>
      </c>
      <c r="I53" s="76">
        <f t="shared" si="6"/>
        <v>127498</v>
      </c>
      <c r="J53" s="76">
        <f t="shared" si="7"/>
        <v>14713526</v>
      </c>
      <c r="K53" s="77">
        <f>J53*'Inflation Rates by Year'!$G$2</f>
        <v>17920131.301120702</v>
      </c>
      <c r="L53" s="78">
        <f t="shared" si="3"/>
        <v>140.55225416179627</v>
      </c>
    </row>
    <row r="54" spans="1:26" ht="14.5">
      <c r="A54" s="82">
        <v>43004</v>
      </c>
      <c r="B54" s="83">
        <v>53</v>
      </c>
      <c r="C54" s="83" t="s">
        <v>160</v>
      </c>
      <c r="D54" s="72">
        <v>128272</v>
      </c>
      <c r="E54" s="72">
        <v>14839231</v>
      </c>
      <c r="F54" s="71">
        <f t="shared" si="4"/>
        <v>774</v>
      </c>
      <c r="G54" s="63">
        <f t="shared" si="0"/>
        <v>0.31980478982162902</v>
      </c>
      <c r="H54" s="63">
        <f t="shared" si="5"/>
        <v>0.16014434028558414</v>
      </c>
      <c r="I54" s="72">
        <f t="shared" si="6"/>
        <v>128272</v>
      </c>
      <c r="J54" s="72">
        <f t="shared" si="7"/>
        <v>14839231</v>
      </c>
      <c r="K54" s="73">
        <f>J54*'Inflation Rates by Year'!$G$2</f>
        <v>18073231.931466371</v>
      </c>
      <c r="L54" s="73">
        <f t="shared" si="3"/>
        <v>140.89771681634627</v>
      </c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4.5">
      <c r="A55" s="81">
        <v>43005</v>
      </c>
      <c r="B55" s="61">
        <v>54</v>
      </c>
      <c r="C55" s="61" t="s">
        <v>160</v>
      </c>
      <c r="D55" s="62">
        <v>128272</v>
      </c>
      <c r="E55" s="62">
        <v>14751461</v>
      </c>
      <c r="F55" s="63">
        <f t="shared" si="4"/>
        <v>0</v>
      </c>
      <c r="G55" s="63">
        <f t="shared" si="0"/>
        <v>0</v>
      </c>
      <c r="H55" s="63">
        <f t="shared" si="5"/>
        <v>0</v>
      </c>
      <c r="I55" s="76">
        <f t="shared" si="6"/>
        <v>128272</v>
      </c>
      <c r="J55" s="76">
        <f t="shared" si="7"/>
        <v>14751461</v>
      </c>
      <c r="K55" s="77">
        <f>J55*'Inflation Rates by Year'!$G$2</f>
        <v>17966333.69889456</v>
      </c>
      <c r="L55" s="78">
        <f t="shared" si="3"/>
        <v>140.0643452888749</v>
      </c>
    </row>
    <row r="56" spans="1:26" ht="14.5">
      <c r="A56" s="81">
        <v>43013</v>
      </c>
      <c r="B56" s="61">
        <v>55</v>
      </c>
      <c r="C56" s="61" t="s">
        <v>160</v>
      </c>
      <c r="D56" s="62">
        <v>128272</v>
      </c>
      <c r="E56" s="62">
        <v>14760000</v>
      </c>
      <c r="F56" s="63">
        <f t="shared" si="4"/>
        <v>0</v>
      </c>
      <c r="G56" s="63">
        <f t="shared" si="0"/>
        <v>0</v>
      </c>
      <c r="H56" s="63">
        <f t="shared" si="5"/>
        <v>0</v>
      </c>
      <c r="I56" s="76">
        <f t="shared" si="6"/>
        <v>128272</v>
      </c>
      <c r="J56" s="76">
        <f t="shared" si="7"/>
        <v>14760000</v>
      </c>
      <c r="K56" s="77">
        <f>J56*'Inflation Rates by Year'!$G$2</f>
        <v>17976733.653411258</v>
      </c>
      <c r="L56" s="78">
        <f t="shared" si="3"/>
        <v>140.14542264415661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47"/>
  <sheetViews>
    <sheetView workbookViewId="0"/>
  </sheetViews>
  <sheetFormatPr defaultColWidth="12.54296875" defaultRowHeight="15" customHeight="1"/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42947</v>
      </c>
      <c r="B2" s="61">
        <v>1</v>
      </c>
      <c r="C2" s="61" t="s">
        <v>271</v>
      </c>
      <c r="D2" s="62">
        <v>600</v>
      </c>
      <c r="E2" s="62">
        <v>5000</v>
      </c>
      <c r="F2" s="63">
        <f>I2-0</f>
        <v>600</v>
      </c>
      <c r="G2" s="63">
        <f t="shared" ref="G2:G47" si="0">$B$37/$I$37*(F2)</f>
        <v>0.2582805213440153</v>
      </c>
      <c r="H2" s="63">
        <f>$B$37/SQRT($I$37)*(SQRT(I2)-SQRT(0))</f>
        <v>3.0492784012589849</v>
      </c>
      <c r="I2" s="76">
        <f t="shared" ref="I2:I47" si="1">D2</f>
        <v>600</v>
      </c>
      <c r="J2" s="76">
        <f t="shared" ref="J2:J47" si="2">E2</f>
        <v>5000</v>
      </c>
      <c r="K2" s="77">
        <f>J2*'Inflation Rates by Year'!$G$2</f>
        <v>6089.6794218872828</v>
      </c>
      <c r="L2" s="78">
        <f t="shared" ref="L2:L47" si="3">K2/I2</f>
        <v>10.149465703145472</v>
      </c>
    </row>
    <row r="3" spans="1:12" ht="15" customHeight="1">
      <c r="A3" s="81">
        <v>42948</v>
      </c>
      <c r="B3" s="61">
        <v>2</v>
      </c>
      <c r="C3" s="61" t="s">
        <v>271</v>
      </c>
      <c r="D3" s="62">
        <v>1000</v>
      </c>
      <c r="E3" s="62">
        <v>7000</v>
      </c>
      <c r="F3" s="63">
        <f t="shared" ref="F3:F47" si="4">I3-I2</f>
        <v>400</v>
      </c>
      <c r="G3" s="63">
        <f t="shared" si="0"/>
        <v>0.17218701422934354</v>
      </c>
      <c r="H3" s="63">
        <f t="shared" ref="H3:H47" si="5">$B$37/SQRT($I$37)*(SQRT(I3)-SQRT(I2))</f>
        <v>0.8873230874163569</v>
      </c>
      <c r="I3" s="76">
        <f t="shared" si="1"/>
        <v>1000</v>
      </c>
      <c r="J3" s="76">
        <f t="shared" si="2"/>
        <v>7000</v>
      </c>
      <c r="K3" s="77">
        <f>J3*'Inflation Rates by Year'!$G$2</f>
        <v>8525.5511906421962</v>
      </c>
      <c r="L3" s="78">
        <f t="shared" si="3"/>
        <v>8.5255511906421955</v>
      </c>
    </row>
    <row r="4" spans="1:12" ht="15" customHeight="1">
      <c r="A4" s="81">
        <v>42950</v>
      </c>
      <c r="B4" s="61">
        <v>3</v>
      </c>
      <c r="C4" s="61" t="s">
        <v>271</v>
      </c>
      <c r="D4" s="62">
        <v>2300</v>
      </c>
      <c r="E4" s="62">
        <v>15000</v>
      </c>
      <c r="F4" s="63">
        <f t="shared" si="4"/>
        <v>1300</v>
      </c>
      <c r="G4" s="63">
        <f t="shared" si="0"/>
        <v>0.5596077962453665</v>
      </c>
      <c r="H4" s="63">
        <f t="shared" si="5"/>
        <v>2.0335502636232636</v>
      </c>
      <c r="I4" s="76">
        <f t="shared" si="1"/>
        <v>2300</v>
      </c>
      <c r="J4" s="76">
        <f t="shared" si="2"/>
        <v>15000</v>
      </c>
      <c r="K4" s="77">
        <f>J4*'Inflation Rates by Year'!$G$2</f>
        <v>18269.038265661849</v>
      </c>
      <c r="L4" s="78">
        <f t="shared" si="3"/>
        <v>7.9430601155051521</v>
      </c>
    </row>
    <row r="5" spans="1:12" ht="15" customHeight="1">
      <c r="A5" s="81">
        <v>42952</v>
      </c>
      <c r="B5" s="61">
        <v>4</v>
      </c>
      <c r="C5" s="61" t="s">
        <v>271</v>
      </c>
      <c r="D5" s="62">
        <v>2796</v>
      </c>
      <c r="E5" s="62">
        <v>25000</v>
      </c>
      <c r="F5" s="63">
        <f t="shared" si="4"/>
        <v>496</v>
      </c>
      <c r="G5" s="63">
        <f t="shared" si="0"/>
        <v>0.213511897644386</v>
      </c>
      <c r="H5" s="63">
        <f t="shared" si="5"/>
        <v>0.6123356393089171</v>
      </c>
      <c r="I5" s="76">
        <f t="shared" si="1"/>
        <v>2796</v>
      </c>
      <c r="J5" s="76">
        <f t="shared" si="2"/>
        <v>25000</v>
      </c>
      <c r="K5" s="77">
        <f>J5*'Inflation Rates by Year'!$G$2</f>
        <v>30448.397109436413</v>
      </c>
      <c r="L5" s="78">
        <f t="shared" si="3"/>
        <v>10.889984660027329</v>
      </c>
    </row>
    <row r="6" spans="1:12" ht="15" customHeight="1">
      <c r="A6" s="81">
        <v>42953</v>
      </c>
      <c r="B6" s="61">
        <v>5</v>
      </c>
      <c r="C6" s="61" t="s">
        <v>271</v>
      </c>
      <c r="D6" s="62">
        <v>4500</v>
      </c>
      <c r="E6" s="62">
        <v>45000</v>
      </c>
      <c r="F6" s="63">
        <f t="shared" si="4"/>
        <v>1704</v>
      </c>
      <c r="G6" s="63">
        <f t="shared" si="0"/>
        <v>0.73351668061700348</v>
      </c>
      <c r="H6" s="63">
        <f t="shared" si="5"/>
        <v>1.7683054308066535</v>
      </c>
      <c r="I6" s="76">
        <f t="shared" si="1"/>
        <v>4500</v>
      </c>
      <c r="J6" s="76">
        <f t="shared" si="2"/>
        <v>45000</v>
      </c>
      <c r="K6" s="77">
        <f>J6*'Inflation Rates by Year'!$G$2</f>
        <v>54807.114796985545</v>
      </c>
      <c r="L6" s="78">
        <f t="shared" si="3"/>
        <v>12.179358843774565</v>
      </c>
    </row>
    <row r="7" spans="1:12" ht="15" customHeight="1">
      <c r="A7" s="81">
        <v>42954</v>
      </c>
      <c r="B7" s="61">
        <v>6</v>
      </c>
      <c r="C7" s="61" t="s">
        <v>271</v>
      </c>
      <c r="D7" s="62">
        <v>4500</v>
      </c>
      <c r="E7" s="62">
        <v>76000</v>
      </c>
      <c r="F7" s="63">
        <f t="shared" si="4"/>
        <v>0</v>
      </c>
      <c r="G7" s="63">
        <f t="shared" si="0"/>
        <v>0</v>
      </c>
      <c r="H7" s="63">
        <f t="shared" si="5"/>
        <v>0</v>
      </c>
      <c r="I7" s="76">
        <f t="shared" si="1"/>
        <v>4500</v>
      </c>
      <c r="J7" s="76">
        <f t="shared" si="2"/>
        <v>76000</v>
      </c>
      <c r="K7" s="77">
        <f>J7*'Inflation Rates by Year'!$G$2</f>
        <v>92563.127212686697</v>
      </c>
      <c r="L7" s="78">
        <f t="shared" si="3"/>
        <v>20.569583825041487</v>
      </c>
    </row>
    <row r="8" spans="1:12" ht="15" customHeight="1">
      <c r="A8" s="81">
        <v>42955</v>
      </c>
      <c r="B8" s="61">
        <v>7</v>
      </c>
      <c r="C8" s="61" t="s">
        <v>271</v>
      </c>
      <c r="D8" s="62">
        <v>6800</v>
      </c>
      <c r="E8" s="62">
        <v>107000</v>
      </c>
      <c r="F8" s="63">
        <f t="shared" si="4"/>
        <v>2300</v>
      </c>
      <c r="G8" s="63">
        <f t="shared" si="0"/>
        <v>0.99007533181872531</v>
      </c>
      <c r="H8" s="63">
        <f t="shared" si="5"/>
        <v>1.9146079349044709</v>
      </c>
      <c r="I8" s="76">
        <f t="shared" si="1"/>
        <v>6800</v>
      </c>
      <c r="J8" s="76">
        <f t="shared" si="2"/>
        <v>107000</v>
      </c>
      <c r="K8" s="77">
        <f>J8*'Inflation Rates by Year'!$G$2</f>
        <v>130319.13962838786</v>
      </c>
      <c r="L8" s="78">
        <f t="shared" si="3"/>
        <v>19.164579357115862</v>
      </c>
    </row>
    <row r="9" spans="1:12" ht="15" customHeight="1">
      <c r="A9" s="81">
        <v>42956</v>
      </c>
      <c r="B9" s="61">
        <v>8</v>
      </c>
      <c r="C9" s="61" t="s">
        <v>271</v>
      </c>
      <c r="D9" s="62">
        <v>9150</v>
      </c>
      <c r="E9" s="62">
        <v>24000</v>
      </c>
      <c r="F9" s="63">
        <f t="shared" si="4"/>
        <v>2350</v>
      </c>
      <c r="G9" s="63">
        <f t="shared" si="0"/>
        <v>1.0115987085973932</v>
      </c>
      <c r="H9" s="63">
        <f t="shared" si="5"/>
        <v>1.6424120652724268</v>
      </c>
      <c r="I9" s="76">
        <f t="shared" si="1"/>
        <v>9150</v>
      </c>
      <c r="J9" s="76">
        <f t="shared" si="2"/>
        <v>24000</v>
      </c>
      <c r="K9" s="77">
        <f>J9*'Inflation Rates by Year'!$G$2</f>
        <v>29230.46122505896</v>
      </c>
      <c r="L9" s="78">
        <f t="shared" si="3"/>
        <v>3.1945859262359519</v>
      </c>
    </row>
    <row r="10" spans="1:12" ht="15" customHeight="1">
      <c r="A10" s="81">
        <v>42957</v>
      </c>
      <c r="B10" s="61">
        <v>9</v>
      </c>
      <c r="C10" s="61" t="s">
        <v>271</v>
      </c>
      <c r="D10" s="62">
        <v>9500</v>
      </c>
      <c r="E10" s="62">
        <v>220000</v>
      </c>
      <c r="F10" s="63">
        <f t="shared" si="4"/>
        <v>350</v>
      </c>
      <c r="G10" s="63">
        <f t="shared" si="0"/>
        <v>0.1506636374506756</v>
      </c>
      <c r="H10" s="63">
        <f t="shared" si="5"/>
        <v>0.22560784785832441</v>
      </c>
      <c r="I10" s="76">
        <f t="shared" si="1"/>
        <v>9500</v>
      </c>
      <c r="J10" s="76">
        <f t="shared" si="2"/>
        <v>220000</v>
      </c>
      <c r="K10" s="77">
        <f>J10*'Inflation Rates by Year'!$G$2</f>
        <v>267945.89456304046</v>
      </c>
      <c r="L10" s="78">
        <f t="shared" si="3"/>
        <v>28.204831006635839</v>
      </c>
    </row>
    <row r="11" spans="1:12" ht="15" customHeight="1">
      <c r="A11" s="81">
        <v>42958</v>
      </c>
      <c r="B11" s="61">
        <v>10</v>
      </c>
      <c r="C11" s="61" t="s">
        <v>271</v>
      </c>
      <c r="D11" s="62">
        <v>9500</v>
      </c>
      <c r="E11" s="62">
        <v>152200</v>
      </c>
      <c r="F11" s="63">
        <f t="shared" si="4"/>
        <v>0</v>
      </c>
      <c r="G11" s="63">
        <f t="shared" si="0"/>
        <v>0</v>
      </c>
      <c r="H11" s="63">
        <f t="shared" si="5"/>
        <v>0</v>
      </c>
      <c r="I11" s="76">
        <f t="shared" si="1"/>
        <v>9500</v>
      </c>
      <c r="J11" s="76">
        <f t="shared" si="2"/>
        <v>152200</v>
      </c>
      <c r="K11" s="77">
        <f>J11*'Inflation Rates by Year'!$G$2</f>
        <v>185369.8416022489</v>
      </c>
      <c r="L11" s="78">
        <f t="shared" si="3"/>
        <v>19.512614905499884</v>
      </c>
    </row>
    <row r="12" spans="1:12" ht="15" customHeight="1">
      <c r="A12" s="81">
        <v>42960</v>
      </c>
      <c r="B12" s="61">
        <v>11</v>
      </c>
      <c r="C12" s="61" t="s">
        <v>271</v>
      </c>
      <c r="D12" s="62">
        <v>10230</v>
      </c>
      <c r="E12" s="62">
        <v>353250</v>
      </c>
      <c r="F12" s="63">
        <f t="shared" si="4"/>
        <v>730</v>
      </c>
      <c r="G12" s="63">
        <f t="shared" si="0"/>
        <v>0.31424130096855196</v>
      </c>
      <c r="H12" s="63">
        <f t="shared" si="5"/>
        <v>0.4575516510576495</v>
      </c>
      <c r="I12" s="76">
        <f t="shared" si="1"/>
        <v>10230</v>
      </c>
      <c r="J12" s="76">
        <f t="shared" si="2"/>
        <v>353250</v>
      </c>
      <c r="K12" s="77">
        <f>J12*'Inflation Rates by Year'!$G$2</f>
        <v>430235.85115633655</v>
      </c>
      <c r="L12" s="78">
        <f t="shared" si="3"/>
        <v>42.056290435614521</v>
      </c>
    </row>
    <row r="13" spans="1:12" ht="15" customHeight="1">
      <c r="A13" s="81">
        <v>42964</v>
      </c>
      <c r="B13" s="61">
        <v>12</v>
      </c>
      <c r="C13" s="61" t="s">
        <v>271</v>
      </c>
      <c r="D13" s="62">
        <v>11091</v>
      </c>
      <c r="E13" s="62">
        <v>393250</v>
      </c>
      <c r="F13" s="63">
        <f t="shared" si="4"/>
        <v>861</v>
      </c>
      <c r="G13" s="63">
        <f t="shared" si="0"/>
        <v>0.37063254812866198</v>
      </c>
      <c r="H13" s="63">
        <f t="shared" si="5"/>
        <v>0.51915184775955736</v>
      </c>
      <c r="I13" s="76">
        <f t="shared" si="1"/>
        <v>11091</v>
      </c>
      <c r="J13" s="76">
        <f t="shared" si="2"/>
        <v>393250</v>
      </c>
      <c r="K13" s="77">
        <f>J13*'Inflation Rates by Year'!$G$2</f>
        <v>478953.2865314348</v>
      </c>
      <c r="L13" s="78">
        <f t="shared" si="3"/>
        <v>43.183958753172377</v>
      </c>
    </row>
    <row r="14" spans="1:12" ht="15" customHeight="1">
      <c r="A14" s="81">
        <v>42965</v>
      </c>
      <c r="B14" s="61">
        <v>13</v>
      </c>
      <c r="C14" s="61" t="s">
        <v>271</v>
      </c>
      <c r="D14" s="62">
        <v>13591</v>
      </c>
      <c r="E14" s="62">
        <v>509080</v>
      </c>
      <c r="F14" s="63">
        <f t="shared" si="4"/>
        <v>2500</v>
      </c>
      <c r="G14" s="63">
        <f t="shared" si="0"/>
        <v>1.0761688389333972</v>
      </c>
      <c r="H14" s="63">
        <f t="shared" si="5"/>
        <v>1.4025404356634874</v>
      </c>
      <c r="I14" s="76">
        <f t="shared" si="1"/>
        <v>13591</v>
      </c>
      <c r="J14" s="76">
        <f t="shared" si="2"/>
        <v>509080</v>
      </c>
      <c r="K14" s="77">
        <f>J14*'Inflation Rates by Year'!$G$2</f>
        <v>620026.80001887563</v>
      </c>
      <c r="L14" s="78">
        <f t="shared" si="3"/>
        <v>45.620395851583815</v>
      </c>
    </row>
    <row r="15" spans="1:12" ht="15" customHeight="1">
      <c r="A15" s="81">
        <v>42966</v>
      </c>
      <c r="B15" s="61">
        <v>14</v>
      </c>
      <c r="C15" s="61" t="s">
        <v>271</v>
      </c>
      <c r="D15" s="62">
        <v>18393</v>
      </c>
      <c r="E15" s="62">
        <v>586736</v>
      </c>
      <c r="F15" s="63">
        <f t="shared" si="4"/>
        <v>4802</v>
      </c>
      <c r="G15" s="63">
        <f t="shared" si="0"/>
        <v>2.067105105823269</v>
      </c>
      <c r="H15" s="63">
        <f t="shared" si="5"/>
        <v>2.3702622072321984</v>
      </c>
      <c r="I15" s="76">
        <f t="shared" si="1"/>
        <v>18393</v>
      </c>
      <c r="J15" s="76">
        <f t="shared" si="2"/>
        <v>586736</v>
      </c>
      <c r="K15" s="77">
        <f>J15*'Inflation Rates by Year'!$G$2</f>
        <v>714606.82905609137</v>
      </c>
      <c r="L15" s="78">
        <f t="shared" si="3"/>
        <v>38.852108359489556</v>
      </c>
    </row>
    <row r="16" spans="1:12" ht="15" customHeight="1">
      <c r="A16" s="81">
        <v>42967</v>
      </c>
      <c r="B16" s="61">
        <v>15</v>
      </c>
      <c r="C16" s="61" t="s">
        <v>271</v>
      </c>
      <c r="D16" s="62">
        <v>20307</v>
      </c>
      <c r="E16" s="62">
        <v>619346</v>
      </c>
      <c r="F16" s="63">
        <f t="shared" si="4"/>
        <v>1914</v>
      </c>
      <c r="G16" s="63">
        <f t="shared" si="0"/>
        <v>0.8239148630874088</v>
      </c>
      <c r="H16" s="63">
        <f t="shared" si="5"/>
        <v>0.85669417634744427</v>
      </c>
      <c r="I16" s="76">
        <f t="shared" si="1"/>
        <v>20307</v>
      </c>
      <c r="J16" s="76">
        <f t="shared" si="2"/>
        <v>619346</v>
      </c>
      <c r="K16" s="77">
        <f>J16*'Inflation Rates by Year'!$G$2</f>
        <v>754323.71824564028</v>
      </c>
      <c r="L16" s="78">
        <f t="shared" si="3"/>
        <v>37.145994890709623</v>
      </c>
    </row>
    <row r="17" spans="1:12" ht="15" customHeight="1">
      <c r="A17" s="81">
        <v>42968</v>
      </c>
      <c r="B17" s="61">
        <v>16</v>
      </c>
      <c r="C17" s="61" t="s">
        <v>271</v>
      </c>
      <c r="D17" s="62">
        <v>21486</v>
      </c>
      <c r="E17" s="62">
        <v>704470</v>
      </c>
      <c r="F17" s="63">
        <f t="shared" si="4"/>
        <v>1179</v>
      </c>
      <c r="G17" s="63">
        <f t="shared" si="0"/>
        <v>0.50752122444099013</v>
      </c>
      <c r="H17" s="63">
        <f t="shared" si="5"/>
        <v>0.50770530593271435</v>
      </c>
      <c r="I17" s="76">
        <f t="shared" si="1"/>
        <v>21486</v>
      </c>
      <c r="J17" s="76">
        <f t="shared" si="2"/>
        <v>704470</v>
      </c>
      <c r="K17" s="77">
        <f>J17*'Inflation Rates by Year'!$G$2</f>
        <v>857999.29246738681</v>
      </c>
      <c r="L17" s="78">
        <f t="shared" si="3"/>
        <v>39.932946684696397</v>
      </c>
    </row>
    <row r="18" spans="1:12" ht="15" customHeight="1">
      <c r="A18" s="81">
        <v>42969</v>
      </c>
      <c r="B18" s="61">
        <v>17</v>
      </c>
      <c r="C18" s="61" t="s">
        <v>271</v>
      </c>
      <c r="D18" s="62">
        <v>24334</v>
      </c>
      <c r="E18" s="62">
        <v>757725</v>
      </c>
      <c r="F18" s="63">
        <f t="shared" si="4"/>
        <v>2848</v>
      </c>
      <c r="G18" s="63">
        <f t="shared" si="0"/>
        <v>1.225971541312926</v>
      </c>
      <c r="H18" s="63">
        <f t="shared" si="5"/>
        <v>1.1717337338677791</v>
      </c>
      <c r="I18" s="76">
        <f t="shared" si="1"/>
        <v>24334</v>
      </c>
      <c r="J18" s="76">
        <f t="shared" si="2"/>
        <v>757725</v>
      </c>
      <c r="K18" s="77">
        <f>J18*'Inflation Rates by Year'!$G$2</f>
        <v>922860.4679899083</v>
      </c>
      <c r="L18" s="78">
        <f t="shared" si="3"/>
        <v>37.924733623321622</v>
      </c>
    </row>
    <row r="19" spans="1:12" ht="15" customHeight="1">
      <c r="A19" s="81">
        <v>42970</v>
      </c>
      <c r="B19" s="61">
        <v>18</v>
      </c>
      <c r="C19" s="61" t="s">
        <v>271</v>
      </c>
      <c r="D19" s="62">
        <v>25293</v>
      </c>
      <c r="E19" s="62">
        <v>826206</v>
      </c>
      <c r="F19" s="63">
        <f t="shared" si="4"/>
        <v>959</v>
      </c>
      <c r="G19" s="63">
        <f t="shared" si="0"/>
        <v>0.41281836661485116</v>
      </c>
      <c r="H19" s="63">
        <f t="shared" si="5"/>
        <v>0.37895385140131033</v>
      </c>
      <c r="I19" s="76">
        <f t="shared" si="1"/>
        <v>25293</v>
      </c>
      <c r="J19" s="76">
        <f t="shared" si="2"/>
        <v>826206</v>
      </c>
      <c r="K19" s="77">
        <f>J19*'Inflation Rates by Year'!$G$2</f>
        <v>1006265.9352879609</v>
      </c>
      <c r="L19" s="78">
        <f t="shared" si="3"/>
        <v>39.784364657729846</v>
      </c>
    </row>
    <row r="20" spans="1:12" ht="15" customHeight="1">
      <c r="A20" s="81">
        <v>42971</v>
      </c>
      <c r="B20" s="61">
        <v>19</v>
      </c>
      <c r="C20" s="61" t="s">
        <v>271</v>
      </c>
      <c r="D20" s="62">
        <v>26204</v>
      </c>
      <c r="E20" s="62">
        <v>945122</v>
      </c>
      <c r="F20" s="63">
        <f t="shared" si="4"/>
        <v>911</v>
      </c>
      <c r="G20" s="63">
        <f t="shared" si="0"/>
        <v>0.39215592490732992</v>
      </c>
      <c r="H20" s="63">
        <f t="shared" si="5"/>
        <v>0.35338723479944806</v>
      </c>
      <c r="I20" s="76">
        <f t="shared" si="1"/>
        <v>26204</v>
      </c>
      <c r="J20" s="76">
        <f t="shared" si="2"/>
        <v>945122</v>
      </c>
      <c r="K20" s="77">
        <f>J20*'Inflation Rates by Year'!$G$2</f>
        <v>1151097.9989145906</v>
      </c>
      <c r="L20" s="78">
        <f t="shared" si="3"/>
        <v>43.928331511013226</v>
      </c>
    </row>
    <row r="21" spans="1:12" ht="14.5">
      <c r="A21" s="81">
        <v>42972</v>
      </c>
      <c r="B21" s="61">
        <v>20</v>
      </c>
      <c r="C21" s="61" t="s">
        <v>271</v>
      </c>
      <c r="D21" s="62">
        <v>27533</v>
      </c>
      <c r="E21" s="62">
        <v>1006219</v>
      </c>
      <c r="F21" s="63">
        <f t="shared" si="4"/>
        <v>1329</v>
      </c>
      <c r="G21" s="63">
        <f t="shared" si="0"/>
        <v>0.57209135477699391</v>
      </c>
      <c r="H21" s="63">
        <f t="shared" si="5"/>
        <v>0.50469376448021197</v>
      </c>
      <c r="I21" s="76">
        <f t="shared" si="1"/>
        <v>27533</v>
      </c>
      <c r="J21" s="76">
        <f t="shared" si="2"/>
        <v>1006219</v>
      </c>
      <c r="K21" s="77">
        <f>J21*'Inflation Rates by Year'!$G$2</f>
        <v>1225510.2276424</v>
      </c>
      <c r="L21" s="78">
        <f t="shared" si="3"/>
        <v>44.510595563229579</v>
      </c>
    </row>
    <row r="22" spans="1:12" ht="14.5">
      <c r="A22" s="81">
        <v>42973</v>
      </c>
      <c r="B22" s="61">
        <v>21</v>
      </c>
      <c r="C22" s="61" t="s">
        <v>271</v>
      </c>
      <c r="D22" s="62">
        <v>29036</v>
      </c>
      <c r="E22" s="62">
        <v>1080629</v>
      </c>
      <c r="F22" s="63">
        <f t="shared" si="4"/>
        <v>1503</v>
      </c>
      <c r="G22" s="63">
        <f t="shared" si="0"/>
        <v>0.6469927059667584</v>
      </c>
      <c r="H22" s="63">
        <f t="shared" si="5"/>
        <v>0.55630699030897779</v>
      </c>
      <c r="I22" s="76">
        <f t="shared" si="1"/>
        <v>29036</v>
      </c>
      <c r="J22" s="76">
        <f t="shared" si="2"/>
        <v>1080629</v>
      </c>
      <c r="K22" s="77">
        <f>J22*'Inflation Rates by Year'!$G$2</f>
        <v>1316136.8367989266</v>
      </c>
      <c r="L22" s="78">
        <f t="shared" si="3"/>
        <v>45.327759911796619</v>
      </c>
    </row>
    <row r="23" spans="1:12" ht="14.5">
      <c r="A23" s="81">
        <v>42974</v>
      </c>
      <c r="B23" s="61">
        <v>22</v>
      </c>
      <c r="C23" s="61" t="s">
        <v>271</v>
      </c>
      <c r="D23" s="62">
        <v>32010</v>
      </c>
      <c r="E23" s="62">
        <v>1160000</v>
      </c>
      <c r="F23" s="63">
        <f t="shared" si="4"/>
        <v>2974</v>
      </c>
      <c r="G23" s="63">
        <f t="shared" si="0"/>
        <v>1.2802104507951693</v>
      </c>
      <c r="H23" s="63">
        <f t="shared" si="5"/>
        <v>1.0598582156870622</v>
      </c>
      <c r="I23" s="76">
        <f t="shared" si="1"/>
        <v>32010</v>
      </c>
      <c r="J23" s="76">
        <f t="shared" si="2"/>
        <v>1160000</v>
      </c>
      <c r="K23" s="77">
        <f>J23*'Inflation Rates by Year'!$G$2</f>
        <v>1412805.6258778498</v>
      </c>
      <c r="L23" s="78">
        <f t="shared" si="3"/>
        <v>44.136383188936264</v>
      </c>
    </row>
    <row r="24" spans="1:12" ht="14.5">
      <c r="A24" s="81">
        <v>42975</v>
      </c>
      <c r="B24" s="61">
        <v>23</v>
      </c>
      <c r="C24" s="61" t="s">
        <v>271</v>
      </c>
      <c r="D24" s="62">
        <v>35110</v>
      </c>
      <c r="E24" s="62">
        <v>1226627</v>
      </c>
      <c r="F24" s="63">
        <f t="shared" si="4"/>
        <v>3100</v>
      </c>
      <c r="G24" s="63">
        <f t="shared" si="0"/>
        <v>1.3344493602774123</v>
      </c>
      <c r="H24" s="63">
        <f t="shared" si="5"/>
        <v>1.0535570767608708</v>
      </c>
      <c r="I24" s="76">
        <f t="shared" si="1"/>
        <v>35110</v>
      </c>
      <c r="J24" s="76">
        <f t="shared" si="2"/>
        <v>1226627</v>
      </c>
      <c r="K24" s="77">
        <f>J24*'Inflation Rates by Year'!$G$2</f>
        <v>1493953.0400462665</v>
      </c>
      <c r="L24" s="78">
        <f t="shared" si="3"/>
        <v>42.55064198365897</v>
      </c>
    </row>
    <row r="25" spans="1:12" ht="14.5">
      <c r="A25" s="81">
        <v>42976</v>
      </c>
      <c r="B25" s="61">
        <v>24</v>
      </c>
      <c r="C25" s="61" t="s">
        <v>271</v>
      </c>
      <c r="D25" s="62">
        <v>36007</v>
      </c>
      <c r="E25" s="62">
        <v>1289900</v>
      </c>
      <c r="F25" s="63">
        <f t="shared" si="4"/>
        <v>897</v>
      </c>
      <c r="G25" s="63">
        <f t="shared" si="0"/>
        <v>0.38612937940930286</v>
      </c>
      <c r="H25" s="63">
        <f t="shared" si="5"/>
        <v>0.29608800955501768</v>
      </c>
      <c r="I25" s="76">
        <f t="shared" si="1"/>
        <v>36007</v>
      </c>
      <c r="J25" s="76">
        <f t="shared" si="2"/>
        <v>1289900</v>
      </c>
      <c r="K25" s="77">
        <f>J25*'Inflation Rates by Year'!$G$2</f>
        <v>1571015.4972584813</v>
      </c>
      <c r="L25" s="78">
        <f t="shared" si="3"/>
        <v>43.630835594703292</v>
      </c>
    </row>
    <row r="26" spans="1:12" ht="14.5">
      <c r="A26" s="81">
        <v>42977</v>
      </c>
      <c r="B26" s="61">
        <v>25</v>
      </c>
      <c r="C26" s="61" t="s">
        <v>271</v>
      </c>
      <c r="D26" s="62">
        <v>41536</v>
      </c>
      <c r="E26" s="62">
        <v>1357551</v>
      </c>
      <c r="F26" s="63">
        <f t="shared" si="4"/>
        <v>5529</v>
      </c>
      <c r="G26" s="63">
        <f t="shared" si="0"/>
        <v>2.3800550041851012</v>
      </c>
      <c r="H26" s="63">
        <f t="shared" si="5"/>
        <v>1.7488729813807411</v>
      </c>
      <c r="I26" s="76">
        <f t="shared" si="1"/>
        <v>41536</v>
      </c>
      <c r="J26" s="76">
        <f t="shared" si="2"/>
        <v>1357551</v>
      </c>
      <c r="K26" s="77">
        <f>J26*'Inflation Rates by Year'!$G$2</f>
        <v>1653410.0777725005</v>
      </c>
      <c r="L26" s="78">
        <f t="shared" si="3"/>
        <v>39.806675601225457</v>
      </c>
    </row>
    <row r="27" spans="1:12" ht="14.5">
      <c r="A27" s="81">
        <v>42978</v>
      </c>
      <c r="B27" s="61">
        <v>26</v>
      </c>
      <c r="C27" s="61" t="s">
        <v>271</v>
      </c>
      <c r="D27" s="62">
        <v>44036</v>
      </c>
      <c r="E27" s="62">
        <v>1441819</v>
      </c>
      <c r="F27" s="63">
        <f t="shared" si="4"/>
        <v>2500</v>
      </c>
      <c r="G27" s="63">
        <f t="shared" si="0"/>
        <v>1.0761688389333972</v>
      </c>
      <c r="H27" s="63">
        <f t="shared" si="5"/>
        <v>0.75236220743178628</v>
      </c>
      <c r="I27" s="76">
        <f t="shared" si="1"/>
        <v>44036</v>
      </c>
      <c r="J27" s="76">
        <f t="shared" si="2"/>
        <v>1441819</v>
      </c>
      <c r="K27" s="77">
        <f>J27*'Inflation Rates by Year'!$G$2</f>
        <v>1756043.0988772202</v>
      </c>
      <c r="L27" s="78">
        <f t="shared" si="3"/>
        <v>39.877443429857848</v>
      </c>
    </row>
    <row r="28" spans="1:12" ht="14.5">
      <c r="A28" s="81">
        <v>42979</v>
      </c>
      <c r="B28" s="61">
        <v>27</v>
      </c>
      <c r="C28" s="61" t="s">
        <v>271</v>
      </c>
      <c r="D28" s="62">
        <v>45595</v>
      </c>
      <c r="E28" s="62">
        <v>1552687</v>
      </c>
      <c r="F28" s="63">
        <f t="shared" si="4"/>
        <v>1559</v>
      </c>
      <c r="G28" s="63">
        <f t="shared" si="0"/>
        <v>0.67109888795886641</v>
      </c>
      <c r="H28" s="63">
        <f t="shared" si="5"/>
        <v>0.45839500262858701</v>
      </c>
      <c r="I28" s="76">
        <f t="shared" si="1"/>
        <v>45595</v>
      </c>
      <c r="J28" s="76">
        <f t="shared" si="2"/>
        <v>1552687</v>
      </c>
      <c r="K28" s="77">
        <f>J28*'Inflation Rates by Year'!$G$2</f>
        <v>1891073.21450638</v>
      </c>
      <c r="L28" s="78">
        <f t="shared" si="3"/>
        <v>41.475451573777391</v>
      </c>
    </row>
    <row r="29" spans="1:12" ht="14.5">
      <c r="A29" s="81">
        <v>42980</v>
      </c>
      <c r="B29" s="61">
        <v>28</v>
      </c>
      <c r="C29" s="61" t="s">
        <v>271</v>
      </c>
      <c r="D29" s="62">
        <v>52182</v>
      </c>
      <c r="E29" s="62">
        <v>1624675</v>
      </c>
      <c r="F29" s="63">
        <f t="shared" si="4"/>
        <v>6587</v>
      </c>
      <c r="G29" s="63">
        <f t="shared" si="0"/>
        <v>2.8354896568217147</v>
      </c>
      <c r="H29" s="63">
        <f t="shared" si="5"/>
        <v>1.8553359469903141</v>
      </c>
      <c r="I29" s="76">
        <f t="shared" si="1"/>
        <v>52182</v>
      </c>
      <c r="J29" s="76">
        <f t="shared" si="2"/>
        <v>1624675</v>
      </c>
      <c r="K29" s="77">
        <f>J29*'Inflation Rates by Year'!$G$2</f>
        <v>1978749.9829509442</v>
      </c>
      <c r="L29" s="78">
        <f t="shared" si="3"/>
        <v>37.920163714517351</v>
      </c>
    </row>
    <row r="30" spans="1:12" ht="14.5">
      <c r="A30" s="81">
        <v>42981</v>
      </c>
      <c r="B30" s="61">
        <v>29</v>
      </c>
      <c r="C30" s="61" t="s">
        <v>271</v>
      </c>
      <c r="D30" s="62">
        <v>63851</v>
      </c>
      <c r="E30" s="62">
        <v>1695132</v>
      </c>
      <c r="F30" s="63">
        <f t="shared" si="4"/>
        <v>11669</v>
      </c>
      <c r="G30" s="63">
        <f t="shared" si="0"/>
        <v>5.0231256726055244</v>
      </c>
      <c r="H30" s="63">
        <f t="shared" si="5"/>
        <v>3.0192596363974413</v>
      </c>
      <c r="I30" s="76">
        <f t="shared" si="1"/>
        <v>63851</v>
      </c>
      <c r="J30" s="76">
        <f t="shared" si="2"/>
        <v>1695132</v>
      </c>
      <c r="K30" s="77">
        <f>J30*'Inflation Rates by Year'!$G$2</f>
        <v>2064562.0915565267</v>
      </c>
      <c r="L30" s="78">
        <f t="shared" si="3"/>
        <v>32.334060414974346</v>
      </c>
    </row>
    <row r="31" spans="1:12" ht="14.5">
      <c r="A31" s="81">
        <v>42982</v>
      </c>
      <c r="B31" s="61">
        <v>30</v>
      </c>
      <c r="C31" s="61" t="s">
        <v>271</v>
      </c>
      <c r="D31" s="62">
        <v>67942</v>
      </c>
      <c r="E31" s="62">
        <v>1765117</v>
      </c>
      <c r="F31" s="63">
        <f t="shared" si="4"/>
        <v>4091</v>
      </c>
      <c r="G31" s="63">
        <f t="shared" si="0"/>
        <v>1.7610426880306111</v>
      </c>
      <c r="H31" s="63">
        <f t="shared" si="5"/>
        <v>0.99206947961280756</v>
      </c>
      <c r="I31" s="76">
        <f t="shared" si="1"/>
        <v>67942</v>
      </c>
      <c r="J31" s="76">
        <f t="shared" si="2"/>
        <v>1765117</v>
      </c>
      <c r="K31" s="77">
        <f>J31*'Inflation Rates by Year'!$G$2</f>
        <v>2149799.3344246829</v>
      </c>
      <c r="L31" s="78">
        <f t="shared" si="3"/>
        <v>31.641684590160473</v>
      </c>
    </row>
    <row r="32" spans="1:12" ht="14.5">
      <c r="A32" s="81">
        <v>42983</v>
      </c>
      <c r="B32" s="61">
        <v>31</v>
      </c>
      <c r="C32" s="61" t="s">
        <v>271</v>
      </c>
      <c r="D32" s="62">
        <v>70938</v>
      </c>
      <c r="E32" s="62">
        <v>1865089</v>
      </c>
      <c r="F32" s="63">
        <f t="shared" si="4"/>
        <v>2996</v>
      </c>
      <c r="G32" s="63">
        <f t="shared" si="0"/>
        <v>1.2896807365777831</v>
      </c>
      <c r="H32" s="63">
        <f t="shared" si="5"/>
        <v>0.70770730404152971</v>
      </c>
      <c r="I32" s="76">
        <f t="shared" si="1"/>
        <v>70938</v>
      </c>
      <c r="J32" s="76">
        <f t="shared" si="2"/>
        <v>1865089</v>
      </c>
      <c r="K32" s="77">
        <f>J32*'Inflation Rates by Year'!$G$2</f>
        <v>2271558.8206576663</v>
      </c>
      <c r="L32" s="78">
        <f t="shared" si="3"/>
        <v>32.02174886038042</v>
      </c>
    </row>
    <row r="33" spans="1:26" ht="14.5">
      <c r="A33" s="81">
        <v>42984</v>
      </c>
      <c r="B33" s="61">
        <v>32</v>
      </c>
      <c r="C33" s="61" t="s">
        <v>271</v>
      </c>
      <c r="D33" s="62">
        <v>70938</v>
      </c>
      <c r="E33" s="62">
        <v>1947662</v>
      </c>
      <c r="F33" s="63">
        <f t="shared" si="4"/>
        <v>0</v>
      </c>
      <c r="G33" s="63">
        <f t="shared" si="0"/>
        <v>0</v>
      </c>
      <c r="H33" s="63">
        <f t="shared" si="5"/>
        <v>0</v>
      </c>
      <c r="I33" s="76">
        <f t="shared" si="1"/>
        <v>70938</v>
      </c>
      <c r="J33" s="76">
        <f t="shared" si="2"/>
        <v>1947662</v>
      </c>
      <c r="K33" s="77">
        <f>J33*'Inflation Rates by Year'!$G$2</f>
        <v>2372127.440438366</v>
      </c>
      <c r="L33" s="78">
        <f t="shared" si="3"/>
        <v>33.439446283210209</v>
      </c>
    </row>
    <row r="34" spans="1:26" ht="14.5">
      <c r="A34" s="81">
        <v>42985</v>
      </c>
      <c r="B34" s="61">
        <v>33</v>
      </c>
      <c r="C34" s="61" t="s">
        <v>271</v>
      </c>
      <c r="D34" s="62">
        <v>70938</v>
      </c>
      <c r="E34" s="62">
        <v>2028168</v>
      </c>
      <c r="F34" s="63">
        <f t="shared" si="4"/>
        <v>0</v>
      </c>
      <c r="G34" s="63">
        <f t="shared" si="0"/>
        <v>0</v>
      </c>
      <c r="H34" s="63">
        <f t="shared" si="5"/>
        <v>0</v>
      </c>
      <c r="I34" s="76">
        <f t="shared" si="1"/>
        <v>70938</v>
      </c>
      <c r="J34" s="76">
        <f t="shared" si="2"/>
        <v>2028168</v>
      </c>
      <c r="K34" s="77">
        <f>J34*'Inflation Rates by Year'!$G$2</f>
        <v>2470178.5867460575</v>
      </c>
      <c r="L34" s="78">
        <f t="shared" si="3"/>
        <v>34.821655343342883</v>
      </c>
    </row>
    <row r="35" spans="1:26" ht="14.5">
      <c r="A35" s="81">
        <v>42986</v>
      </c>
      <c r="B35" s="61">
        <v>34</v>
      </c>
      <c r="C35" s="61" t="s">
        <v>271</v>
      </c>
      <c r="D35" s="62">
        <v>80863</v>
      </c>
      <c r="E35" s="62">
        <v>2092937</v>
      </c>
      <c r="F35" s="63">
        <f t="shared" si="4"/>
        <v>9925</v>
      </c>
      <c r="G35" s="63">
        <f t="shared" si="0"/>
        <v>4.2723902905655864</v>
      </c>
      <c r="H35" s="63">
        <f t="shared" si="5"/>
        <v>2.2435310771561654</v>
      </c>
      <c r="I35" s="76">
        <f t="shared" si="1"/>
        <v>80863</v>
      </c>
      <c r="J35" s="76">
        <f t="shared" si="2"/>
        <v>2092937</v>
      </c>
      <c r="K35" s="77">
        <f>J35*'Inflation Rates by Year'!$G$2</f>
        <v>2549063.0760413008</v>
      </c>
      <c r="L35" s="78">
        <f t="shared" si="3"/>
        <v>31.523231589741918</v>
      </c>
    </row>
    <row r="36" spans="1:26" ht="14.5">
      <c r="A36" s="81">
        <v>42987</v>
      </c>
      <c r="B36" s="61">
        <v>35</v>
      </c>
      <c r="C36" s="61" t="s">
        <v>271</v>
      </c>
      <c r="D36" s="62">
        <v>82133</v>
      </c>
      <c r="E36" s="62">
        <v>2162783</v>
      </c>
      <c r="F36" s="63">
        <f t="shared" si="4"/>
        <v>1270</v>
      </c>
      <c r="G36" s="63">
        <f t="shared" si="0"/>
        <v>0.54669377017816578</v>
      </c>
      <c r="H36" s="63">
        <f t="shared" si="5"/>
        <v>0.27690130205523239</v>
      </c>
      <c r="I36" s="76">
        <f t="shared" si="1"/>
        <v>82133</v>
      </c>
      <c r="J36" s="76">
        <f t="shared" si="2"/>
        <v>2162783</v>
      </c>
      <c r="K36" s="77">
        <f>J36*'Inflation Rates by Year'!$G$2</f>
        <v>2634131.0258215289</v>
      </c>
      <c r="L36" s="78">
        <f t="shared" si="3"/>
        <v>32.071530637155938</v>
      </c>
    </row>
    <row r="37" spans="1:26" ht="14.5">
      <c r="A37" s="82">
        <v>42988</v>
      </c>
      <c r="B37" s="61">
        <v>36</v>
      </c>
      <c r="C37" s="83" t="s">
        <v>271</v>
      </c>
      <c r="D37" s="72">
        <v>83630</v>
      </c>
      <c r="E37" s="72">
        <v>2229199</v>
      </c>
      <c r="F37" s="71">
        <f t="shared" si="4"/>
        <v>1497</v>
      </c>
      <c r="G37" s="63">
        <f t="shared" si="0"/>
        <v>0.64440990075331817</v>
      </c>
      <c r="H37" s="63">
        <f t="shared" si="5"/>
        <v>0.32365989100226678</v>
      </c>
      <c r="I37" s="72">
        <f t="shared" si="1"/>
        <v>83630</v>
      </c>
      <c r="J37" s="72">
        <f t="shared" si="2"/>
        <v>2229199</v>
      </c>
      <c r="K37" s="77">
        <f>J37*'Inflation Rates by Year'!$G$2</f>
        <v>2715021.4555183416</v>
      </c>
      <c r="L37" s="73">
        <f t="shared" si="3"/>
        <v>32.464683194049286</v>
      </c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4.5">
      <c r="A38" s="81">
        <v>42989</v>
      </c>
      <c r="B38" s="61">
        <v>37</v>
      </c>
      <c r="C38" s="61" t="s">
        <v>271</v>
      </c>
      <c r="D38" s="62">
        <v>83630</v>
      </c>
      <c r="E38" s="62">
        <v>2305185</v>
      </c>
      <c r="F38" s="63">
        <f t="shared" si="4"/>
        <v>0</v>
      </c>
      <c r="G38" s="63">
        <f t="shared" si="0"/>
        <v>0</v>
      </c>
      <c r="H38" s="63">
        <f t="shared" si="5"/>
        <v>0</v>
      </c>
      <c r="I38" s="76">
        <f t="shared" si="1"/>
        <v>83630</v>
      </c>
      <c r="J38" s="76">
        <f t="shared" si="2"/>
        <v>2305185</v>
      </c>
      <c r="K38" s="77">
        <f>J38*'Inflation Rates by Year'!$G$2</f>
        <v>2807567.5316286474</v>
      </c>
      <c r="L38" s="78">
        <f t="shared" si="3"/>
        <v>33.57129656377672</v>
      </c>
    </row>
    <row r="39" spans="1:26" ht="14.5">
      <c r="A39" s="81">
        <v>42990</v>
      </c>
      <c r="B39" s="61">
        <v>38</v>
      </c>
      <c r="C39" s="61" t="s">
        <v>271</v>
      </c>
      <c r="D39" s="62">
        <v>83630</v>
      </c>
      <c r="E39" s="62">
        <v>2380598</v>
      </c>
      <c r="F39" s="63">
        <f t="shared" si="4"/>
        <v>0</v>
      </c>
      <c r="G39" s="63">
        <f t="shared" si="0"/>
        <v>0</v>
      </c>
      <c r="H39" s="63">
        <f t="shared" si="5"/>
        <v>0</v>
      </c>
      <c r="I39" s="76">
        <f t="shared" si="1"/>
        <v>83630</v>
      </c>
      <c r="J39" s="76">
        <f t="shared" si="2"/>
        <v>2380598</v>
      </c>
      <c r="K39" s="77">
        <f>J39*'Inflation Rates by Year'!$G$2</f>
        <v>2899415.7304772045</v>
      </c>
      <c r="L39" s="78">
        <f t="shared" si="3"/>
        <v>34.669565113920896</v>
      </c>
    </row>
    <row r="40" spans="1:26" ht="14.5">
      <c r="A40" s="81">
        <v>42991</v>
      </c>
      <c r="B40" s="61">
        <v>39</v>
      </c>
      <c r="C40" s="61" t="s">
        <v>271</v>
      </c>
      <c r="D40" s="62">
        <v>84619</v>
      </c>
      <c r="E40" s="62">
        <v>2440734</v>
      </c>
      <c r="F40" s="63">
        <f t="shared" si="4"/>
        <v>989</v>
      </c>
      <c r="G40" s="63">
        <f t="shared" si="0"/>
        <v>0.42573239268205193</v>
      </c>
      <c r="H40" s="63">
        <f t="shared" si="5"/>
        <v>0.2122405567033917</v>
      </c>
      <c r="I40" s="76">
        <f t="shared" si="1"/>
        <v>84619</v>
      </c>
      <c r="J40" s="76">
        <f t="shared" si="2"/>
        <v>2440734</v>
      </c>
      <c r="K40" s="77">
        <f>J40*'Inflation Rates by Year'!$G$2</f>
        <v>2972657.5228201272</v>
      </c>
      <c r="L40" s="78">
        <f t="shared" si="3"/>
        <v>35.129906082796147</v>
      </c>
    </row>
    <row r="41" spans="1:26" ht="14.5">
      <c r="A41" s="81">
        <v>42992</v>
      </c>
      <c r="B41" s="61">
        <v>40</v>
      </c>
      <c r="C41" s="61" t="s">
        <v>271</v>
      </c>
      <c r="D41" s="62">
        <v>84619</v>
      </c>
      <c r="E41" s="62">
        <v>2472459</v>
      </c>
      <c r="F41" s="63">
        <f t="shared" si="4"/>
        <v>0</v>
      </c>
      <c r="G41" s="63">
        <f t="shared" si="0"/>
        <v>0</v>
      </c>
      <c r="H41" s="63">
        <f t="shared" si="5"/>
        <v>0</v>
      </c>
      <c r="I41" s="76">
        <f t="shared" si="1"/>
        <v>84619</v>
      </c>
      <c r="J41" s="76">
        <f t="shared" si="2"/>
        <v>2472459</v>
      </c>
      <c r="K41" s="77">
        <f>J41*'Inflation Rates by Year'!$G$2</f>
        <v>3011296.5387520022</v>
      </c>
      <c r="L41" s="78">
        <f t="shared" si="3"/>
        <v>35.586529488081901</v>
      </c>
    </row>
    <row r="42" spans="1:26" ht="14.5">
      <c r="A42" s="81">
        <v>42993</v>
      </c>
      <c r="B42" s="61">
        <v>41</v>
      </c>
      <c r="C42" s="61" t="s">
        <v>271</v>
      </c>
      <c r="D42" s="62">
        <v>84619</v>
      </c>
      <c r="E42" s="62">
        <v>2710971.55</v>
      </c>
      <c r="F42" s="63">
        <f t="shared" si="4"/>
        <v>0</v>
      </c>
      <c r="G42" s="63">
        <f t="shared" si="0"/>
        <v>0</v>
      </c>
      <c r="H42" s="63">
        <f t="shared" si="5"/>
        <v>0</v>
      </c>
      <c r="I42" s="76">
        <f t="shared" si="1"/>
        <v>84619</v>
      </c>
      <c r="J42" s="76">
        <f t="shared" si="2"/>
        <v>2710971.55</v>
      </c>
      <c r="K42" s="77">
        <f>J42*'Inflation Rates by Year'!$G$2</f>
        <v>3301789.532271374</v>
      </c>
      <c r="L42" s="78">
        <f t="shared" si="3"/>
        <v>39.019481821711132</v>
      </c>
    </row>
    <row r="43" spans="1:26" ht="14.5">
      <c r="A43" s="81">
        <v>42994</v>
      </c>
      <c r="B43" s="61">
        <v>42</v>
      </c>
      <c r="C43" s="61" t="s">
        <v>271</v>
      </c>
      <c r="D43" s="62">
        <v>84619</v>
      </c>
      <c r="E43" s="62">
        <v>2585030</v>
      </c>
      <c r="F43" s="63">
        <f t="shared" si="4"/>
        <v>0</v>
      </c>
      <c r="G43" s="63">
        <f t="shared" si="0"/>
        <v>0</v>
      </c>
      <c r="H43" s="63">
        <f t="shared" si="5"/>
        <v>0</v>
      </c>
      <c r="I43" s="76">
        <f t="shared" si="1"/>
        <v>84619</v>
      </c>
      <c r="J43" s="76">
        <f t="shared" si="2"/>
        <v>2585030</v>
      </c>
      <c r="K43" s="77">
        <f>J43*'Inflation Rates by Year'!$G$2</f>
        <v>3148400.7991922568</v>
      </c>
      <c r="L43" s="78">
        <f t="shared" si="3"/>
        <v>37.206783336984088</v>
      </c>
    </row>
    <row r="44" spans="1:26" ht="14.5">
      <c r="A44" s="81">
        <v>42995</v>
      </c>
      <c r="B44" s="61">
        <v>43</v>
      </c>
      <c r="C44" s="61" t="s">
        <v>271</v>
      </c>
      <c r="D44" s="62">
        <v>84619</v>
      </c>
      <c r="E44" s="62">
        <v>2591494</v>
      </c>
      <c r="F44" s="63">
        <f t="shared" si="4"/>
        <v>0</v>
      </c>
      <c r="G44" s="63">
        <f t="shared" si="0"/>
        <v>0</v>
      </c>
      <c r="H44" s="63">
        <f t="shared" si="5"/>
        <v>0</v>
      </c>
      <c r="I44" s="76">
        <f t="shared" si="1"/>
        <v>84619</v>
      </c>
      <c r="J44" s="76">
        <f t="shared" si="2"/>
        <v>2591494</v>
      </c>
      <c r="K44" s="77">
        <f>J44*'Inflation Rates by Year'!$G$2</f>
        <v>3156273.5367488726</v>
      </c>
      <c r="L44" s="78">
        <f t="shared" si="3"/>
        <v>37.299820805597712</v>
      </c>
    </row>
    <row r="45" spans="1:26" ht="14.5">
      <c r="A45" s="81">
        <v>42996</v>
      </c>
      <c r="B45" s="61">
        <v>44</v>
      </c>
      <c r="C45" s="61" t="s">
        <v>271</v>
      </c>
      <c r="D45" s="62">
        <v>84619</v>
      </c>
      <c r="E45" s="62">
        <v>2602864</v>
      </c>
      <c r="F45" s="63">
        <f t="shared" si="4"/>
        <v>0</v>
      </c>
      <c r="G45" s="63">
        <f t="shared" si="0"/>
        <v>0</v>
      </c>
      <c r="H45" s="63">
        <f t="shared" si="5"/>
        <v>0</v>
      </c>
      <c r="I45" s="76">
        <f t="shared" si="1"/>
        <v>84619</v>
      </c>
      <c r="J45" s="76">
        <f t="shared" si="2"/>
        <v>2602864</v>
      </c>
      <c r="K45" s="77">
        <f>J45*'Inflation Rates by Year'!$G$2</f>
        <v>3170121.4677542443</v>
      </c>
      <c r="L45" s="78">
        <f t="shared" si="3"/>
        <v>37.463471179690664</v>
      </c>
    </row>
    <row r="46" spans="1:26" ht="14.5">
      <c r="A46" s="81">
        <v>42998</v>
      </c>
      <c r="B46" s="61">
        <v>45</v>
      </c>
      <c r="C46" s="61" t="s">
        <v>271</v>
      </c>
      <c r="D46" s="62">
        <v>84619</v>
      </c>
      <c r="E46" s="62">
        <v>2602864</v>
      </c>
      <c r="F46" s="63">
        <f t="shared" si="4"/>
        <v>0</v>
      </c>
      <c r="G46" s="63">
        <f t="shared" si="0"/>
        <v>0</v>
      </c>
      <c r="H46" s="63">
        <f t="shared" si="5"/>
        <v>0</v>
      </c>
      <c r="I46" s="76">
        <f t="shared" si="1"/>
        <v>84619</v>
      </c>
      <c r="J46" s="76">
        <f t="shared" si="2"/>
        <v>2602864</v>
      </c>
      <c r="K46" s="77">
        <f>J46*'Inflation Rates by Year'!$G$2</f>
        <v>3170121.4677542443</v>
      </c>
      <c r="L46" s="78">
        <f t="shared" si="3"/>
        <v>37.463471179690664</v>
      </c>
    </row>
    <row r="47" spans="1:26" ht="14.5">
      <c r="A47" s="81">
        <v>42999</v>
      </c>
      <c r="B47" s="61">
        <v>46</v>
      </c>
      <c r="C47" s="61" t="s">
        <v>271</v>
      </c>
      <c r="D47" s="62">
        <v>84619</v>
      </c>
      <c r="E47" s="62">
        <v>2603864</v>
      </c>
      <c r="F47" s="63">
        <f t="shared" si="4"/>
        <v>0</v>
      </c>
      <c r="G47" s="63">
        <f t="shared" si="0"/>
        <v>0</v>
      </c>
      <c r="H47" s="63">
        <f t="shared" si="5"/>
        <v>0</v>
      </c>
      <c r="I47" s="76">
        <f t="shared" si="1"/>
        <v>84619</v>
      </c>
      <c r="J47" s="76">
        <f t="shared" si="2"/>
        <v>2603864</v>
      </c>
      <c r="K47" s="77">
        <f>J47*'Inflation Rates by Year'!$G$2</f>
        <v>3171339.4036386218</v>
      </c>
      <c r="L47" s="78">
        <f t="shared" si="3"/>
        <v>37.477864352434111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2"/>
  <sheetViews>
    <sheetView workbookViewId="0"/>
  </sheetViews>
  <sheetFormatPr defaultColWidth="12.54296875" defaultRowHeight="15" customHeight="1"/>
  <cols>
    <col min="2" max="2" width="15" customWidth="1"/>
    <col min="3" max="3" width="16.453125" customWidth="1"/>
  </cols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43624</v>
      </c>
      <c r="B2" s="61">
        <v>1</v>
      </c>
      <c r="C2" s="61" t="s">
        <v>160</v>
      </c>
      <c r="D2" s="62">
        <v>1000</v>
      </c>
      <c r="E2" s="62">
        <v>150000</v>
      </c>
      <c r="F2" s="63">
        <f>I2-0</f>
        <v>1000</v>
      </c>
      <c r="G2" s="63">
        <f t="shared" ref="G2:G28" si="0">$B$14/$I$14*(F2)</f>
        <v>0.16261382968077653</v>
      </c>
      <c r="H2" s="63">
        <f>$B$14/SQRT($I$14)*(SQRT(I2)-SQRT(0))</f>
        <v>1.4539531580659999</v>
      </c>
      <c r="I2" s="76">
        <f t="shared" ref="I2:I28" si="1">D2</f>
        <v>1000</v>
      </c>
      <c r="J2" s="76">
        <f t="shared" ref="J2:J28" si="2">E2</f>
        <v>150000</v>
      </c>
      <c r="K2" s="77">
        <f>J2*'Inflation Rates by Year'!$E$2</f>
        <v>174739.05662400002</v>
      </c>
      <c r="L2" s="78">
        <f t="shared" ref="L2:L28" si="3">K2/I2</f>
        <v>174.73905662400003</v>
      </c>
    </row>
    <row r="3" spans="1:12" ht="15" customHeight="1">
      <c r="A3" s="81">
        <v>43626</v>
      </c>
      <c r="B3" s="61">
        <v>2</v>
      </c>
      <c r="C3" s="61" t="s">
        <v>160</v>
      </c>
      <c r="D3" s="62">
        <v>6000</v>
      </c>
      <c r="E3" s="62">
        <v>500000</v>
      </c>
      <c r="F3" s="63">
        <f t="shared" ref="F3:F28" si="4">I3-I2</f>
        <v>5000</v>
      </c>
      <c r="G3" s="63">
        <f t="shared" si="0"/>
        <v>0.81306914840388267</v>
      </c>
      <c r="H3" s="63">
        <f t="shared" ref="H3:H28" si="5">$B$14/SQRT($I$14)*(SQRT(I3)-SQRT(I2))</f>
        <v>2.1074901891038755</v>
      </c>
      <c r="I3" s="76">
        <f t="shared" si="1"/>
        <v>6000</v>
      </c>
      <c r="J3" s="76">
        <f t="shared" si="2"/>
        <v>500000</v>
      </c>
      <c r="K3" s="77">
        <f>J3*'Inflation Rates by Year'!$E$2</f>
        <v>582463.52208000002</v>
      </c>
      <c r="L3" s="78">
        <f t="shared" si="3"/>
        <v>97.077253679999998</v>
      </c>
    </row>
    <row r="4" spans="1:12" ht="15" customHeight="1">
      <c r="A4" s="81">
        <v>43627</v>
      </c>
      <c r="B4" s="61">
        <v>3</v>
      </c>
      <c r="C4" s="61" t="s">
        <v>160</v>
      </c>
      <c r="D4" s="62">
        <v>9377</v>
      </c>
      <c r="E4" s="62">
        <v>525000</v>
      </c>
      <c r="F4" s="63">
        <f t="shared" si="4"/>
        <v>3377</v>
      </c>
      <c r="G4" s="63">
        <f t="shared" si="0"/>
        <v>0.54914690283198242</v>
      </c>
      <c r="H4" s="63">
        <f t="shared" si="5"/>
        <v>0.89083567058230673</v>
      </c>
      <c r="I4" s="76">
        <f t="shared" si="1"/>
        <v>9377</v>
      </c>
      <c r="J4" s="76">
        <f t="shared" si="2"/>
        <v>525000</v>
      </c>
      <c r="K4" s="77">
        <f>J4*'Inflation Rates by Year'!$E$2</f>
        <v>611586.6981840001</v>
      </c>
      <c r="L4" s="78">
        <f t="shared" si="3"/>
        <v>65.222000446198152</v>
      </c>
    </row>
    <row r="5" spans="1:12" ht="15" customHeight="1">
      <c r="A5" s="81">
        <v>43628</v>
      </c>
      <c r="B5" s="61">
        <v>4</v>
      </c>
      <c r="C5" s="61" t="s">
        <v>160</v>
      </c>
      <c r="D5" s="62">
        <v>10801</v>
      </c>
      <c r="E5" s="62">
        <v>1050440</v>
      </c>
      <c r="F5" s="63">
        <f t="shared" si="4"/>
        <v>1424</v>
      </c>
      <c r="G5" s="63">
        <f t="shared" si="0"/>
        <v>0.23156209346542578</v>
      </c>
      <c r="H5" s="63">
        <f t="shared" si="5"/>
        <v>0.32611984242754044</v>
      </c>
      <c r="I5" s="76">
        <f t="shared" si="1"/>
        <v>10801</v>
      </c>
      <c r="J5" s="76">
        <f t="shared" si="2"/>
        <v>1050440</v>
      </c>
      <c r="K5" s="77">
        <f>J5*'Inflation Rates by Year'!$E$2</f>
        <v>1223685.9642674306</v>
      </c>
      <c r="L5" s="78">
        <f t="shared" si="3"/>
        <v>113.2937657871892</v>
      </c>
    </row>
    <row r="6" spans="1:12" ht="15" customHeight="1">
      <c r="A6" s="81">
        <v>43629</v>
      </c>
      <c r="B6" s="61">
        <v>5</v>
      </c>
      <c r="C6" s="61" t="s">
        <v>160</v>
      </c>
      <c r="D6" s="62">
        <v>25893</v>
      </c>
      <c r="E6" s="62">
        <v>2537597</v>
      </c>
      <c r="F6" s="63">
        <f t="shared" si="4"/>
        <v>15092</v>
      </c>
      <c r="G6" s="63">
        <f t="shared" si="0"/>
        <v>2.4541679175422795</v>
      </c>
      <c r="H6" s="63">
        <f t="shared" si="5"/>
        <v>2.6200657504686582</v>
      </c>
      <c r="I6" s="76">
        <f t="shared" si="1"/>
        <v>25893</v>
      </c>
      <c r="J6" s="76">
        <f t="shared" si="2"/>
        <v>2537597</v>
      </c>
      <c r="K6" s="77">
        <f>J6*'Inflation Rates by Year'!$E$2</f>
        <v>2956115.3724792837</v>
      </c>
      <c r="L6" s="78">
        <f t="shared" si="3"/>
        <v>114.16658450080267</v>
      </c>
    </row>
    <row r="7" spans="1:12" ht="15" customHeight="1">
      <c r="A7" s="81">
        <v>43630</v>
      </c>
      <c r="B7" s="61">
        <v>6</v>
      </c>
      <c r="C7" s="61" t="s">
        <v>160</v>
      </c>
      <c r="D7" s="62">
        <v>34351</v>
      </c>
      <c r="E7" s="62">
        <v>3955533</v>
      </c>
      <c r="F7" s="63">
        <f t="shared" si="4"/>
        <v>8458</v>
      </c>
      <c r="G7" s="63">
        <f t="shared" si="0"/>
        <v>1.375387771440008</v>
      </c>
      <c r="H7" s="63">
        <f t="shared" si="5"/>
        <v>1.1231150330407285</v>
      </c>
      <c r="I7" s="76">
        <f t="shared" si="1"/>
        <v>34351</v>
      </c>
      <c r="J7" s="76">
        <f t="shared" si="2"/>
        <v>3955533</v>
      </c>
      <c r="K7" s="77">
        <f>J7*'Inflation Rates by Year'!$E$2</f>
        <v>4607907.3657673383</v>
      </c>
      <c r="L7" s="78">
        <f t="shared" si="3"/>
        <v>134.14186969134343</v>
      </c>
    </row>
    <row r="8" spans="1:12" ht="15" customHeight="1">
      <c r="A8" s="81">
        <v>43631</v>
      </c>
      <c r="B8" s="61">
        <v>7</v>
      </c>
      <c r="C8" s="61" t="s">
        <v>160</v>
      </c>
      <c r="D8" s="62">
        <v>36490</v>
      </c>
      <c r="E8" s="62">
        <v>5714342</v>
      </c>
      <c r="F8" s="63">
        <f t="shared" si="4"/>
        <v>2139</v>
      </c>
      <c r="G8" s="63">
        <f t="shared" si="0"/>
        <v>0.34783098168718102</v>
      </c>
      <c r="H8" s="63">
        <f t="shared" si="5"/>
        <v>0.26130839986865634</v>
      </c>
      <c r="I8" s="76">
        <f t="shared" si="1"/>
        <v>36490</v>
      </c>
      <c r="J8" s="76">
        <f t="shared" si="2"/>
        <v>5714342</v>
      </c>
      <c r="K8" s="77">
        <f>J8*'Inflation Rates by Year'!$E$2</f>
        <v>6656791.5353793437</v>
      </c>
      <c r="L8" s="78">
        <f t="shared" si="3"/>
        <v>182.4278305119031</v>
      </c>
    </row>
    <row r="9" spans="1:12" ht="15" customHeight="1">
      <c r="A9" s="81">
        <v>43632</v>
      </c>
      <c r="B9" s="61">
        <v>8</v>
      </c>
      <c r="C9" s="61" t="s">
        <v>160</v>
      </c>
      <c r="D9" s="62">
        <v>37765</v>
      </c>
      <c r="E9" s="62">
        <v>7184335</v>
      </c>
      <c r="F9" s="63">
        <f t="shared" si="4"/>
        <v>1275</v>
      </c>
      <c r="G9" s="63">
        <f t="shared" si="0"/>
        <v>0.20733263284299008</v>
      </c>
      <c r="H9" s="63">
        <f t="shared" si="5"/>
        <v>0.15212435781185016</v>
      </c>
      <c r="I9" s="76">
        <f t="shared" si="1"/>
        <v>37765</v>
      </c>
      <c r="J9" s="76">
        <f t="shared" si="2"/>
        <v>7184335</v>
      </c>
      <c r="K9" s="77">
        <f>J9*'Inflation Rates by Year'!$E$2</f>
        <v>8369226.1358052343</v>
      </c>
      <c r="L9" s="78">
        <f t="shared" si="3"/>
        <v>221.61329632742579</v>
      </c>
    </row>
    <row r="10" spans="1:12" ht="15" customHeight="1">
      <c r="A10" s="81">
        <v>43633</v>
      </c>
      <c r="B10" s="61">
        <v>9</v>
      </c>
      <c r="C10" s="61" t="s">
        <v>160</v>
      </c>
      <c r="D10" s="62">
        <v>40557</v>
      </c>
      <c r="E10" s="62">
        <v>8080880</v>
      </c>
      <c r="F10" s="63">
        <f t="shared" si="4"/>
        <v>2792</v>
      </c>
      <c r="G10" s="63">
        <f t="shared" si="0"/>
        <v>0.45401781246872808</v>
      </c>
      <c r="H10" s="63">
        <f t="shared" si="5"/>
        <v>0.32439784846391617</v>
      </c>
      <c r="I10" s="76">
        <f t="shared" si="1"/>
        <v>40557</v>
      </c>
      <c r="J10" s="76">
        <f t="shared" si="2"/>
        <v>8080880</v>
      </c>
      <c r="K10" s="77">
        <f>J10*'Inflation Rates by Year'!$E$2</f>
        <v>9413635.6526116617</v>
      </c>
      <c r="L10" s="78">
        <f t="shared" si="3"/>
        <v>232.10877660112092</v>
      </c>
    </row>
    <row r="11" spans="1:12" ht="15" customHeight="1">
      <c r="A11" s="81">
        <v>43634</v>
      </c>
      <c r="B11" s="61">
        <v>10</v>
      </c>
      <c r="C11" s="61" t="s">
        <v>160</v>
      </c>
      <c r="D11" s="62">
        <v>44451</v>
      </c>
      <c r="E11" s="62">
        <v>9376789</v>
      </c>
      <c r="F11" s="63">
        <f t="shared" si="4"/>
        <v>3894</v>
      </c>
      <c r="G11" s="63">
        <f t="shared" si="0"/>
        <v>0.63321825277694388</v>
      </c>
      <c r="H11" s="63">
        <f t="shared" si="5"/>
        <v>0.43432563788398626</v>
      </c>
      <c r="I11" s="76">
        <f t="shared" si="1"/>
        <v>44451</v>
      </c>
      <c r="J11" s="76">
        <f t="shared" si="2"/>
        <v>9376789</v>
      </c>
      <c r="K11" s="77">
        <f>J11*'Inflation Rates by Year'!$E$2</f>
        <v>10923275.093482004</v>
      </c>
      <c r="L11" s="78">
        <f t="shared" si="3"/>
        <v>245.73744333045386</v>
      </c>
    </row>
    <row r="12" spans="1:12" ht="15" customHeight="1">
      <c r="A12" s="81">
        <v>43635</v>
      </c>
      <c r="B12" s="61">
        <v>11</v>
      </c>
      <c r="C12" s="61" t="s">
        <v>160</v>
      </c>
      <c r="D12" s="62">
        <v>50494</v>
      </c>
      <c r="E12" s="62">
        <v>10909208</v>
      </c>
      <c r="F12" s="63">
        <f t="shared" si="4"/>
        <v>6043</v>
      </c>
      <c r="G12" s="63">
        <f t="shared" si="0"/>
        <v>0.98267537276093264</v>
      </c>
      <c r="H12" s="63">
        <f t="shared" si="5"/>
        <v>0.63792880422417586</v>
      </c>
      <c r="I12" s="76">
        <f t="shared" si="1"/>
        <v>50494</v>
      </c>
      <c r="J12" s="76">
        <f t="shared" si="2"/>
        <v>10909208</v>
      </c>
      <c r="K12" s="77">
        <f>J12*'Inflation Rates by Year'!$E$2</f>
        <v>12708431.429566627</v>
      </c>
      <c r="L12" s="78">
        <f t="shared" si="3"/>
        <v>251.68201032927928</v>
      </c>
    </row>
    <row r="13" spans="1:12" ht="15" customHeight="1">
      <c r="A13" s="81">
        <v>43636</v>
      </c>
      <c r="B13" s="61">
        <v>12</v>
      </c>
      <c r="C13" s="61" t="s">
        <v>160</v>
      </c>
      <c r="D13" s="62">
        <v>65903</v>
      </c>
      <c r="E13" s="62">
        <v>12686934</v>
      </c>
      <c r="F13" s="63">
        <f t="shared" si="4"/>
        <v>15409</v>
      </c>
      <c r="G13" s="63">
        <f t="shared" si="0"/>
        <v>2.5057165015510856</v>
      </c>
      <c r="H13" s="63">
        <f t="shared" si="5"/>
        <v>1.4716234019276906</v>
      </c>
      <c r="I13" s="76">
        <f t="shared" si="1"/>
        <v>65903</v>
      </c>
      <c r="J13" s="76">
        <f t="shared" si="2"/>
        <v>12686934</v>
      </c>
      <c r="K13" s="77">
        <f>J13*'Inflation Rates by Year'!$E$2</f>
        <v>14779352.524073007</v>
      </c>
      <c r="L13" s="78">
        <f t="shared" si="3"/>
        <v>224.25917673054349</v>
      </c>
    </row>
    <row r="14" spans="1:12" ht="15" customHeight="1">
      <c r="A14" s="81">
        <v>43637</v>
      </c>
      <c r="B14" s="61">
        <v>13</v>
      </c>
      <c r="C14" s="61" t="s">
        <v>160</v>
      </c>
      <c r="D14" s="62">
        <v>79944</v>
      </c>
      <c r="E14" s="62">
        <v>13875848</v>
      </c>
      <c r="F14" s="63">
        <f t="shared" si="4"/>
        <v>14041</v>
      </c>
      <c r="G14" s="63">
        <f t="shared" si="0"/>
        <v>2.2832607825477833</v>
      </c>
      <c r="H14" s="63">
        <f t="shared" si="5"/>
        <v>1.1967119061306148</v>
      </c>
      <c r="I14" s="76">
        <f t="shared" si="1"/>
        <v>79944</v>
      </c>
      <c r="J14" s="76">
        <f t="shared" si="2"/>
        <v>13875848</v>
      </c>
      <c r="K14" s="77">
        <f>J14*'Inflation Rates by Year'!$E$2</f>
        <v>16164350.59585345</v>
      </c>
      <c r="L14" s="78">
        <f t="shared" si="3"/>
        <v>202.19591959188244</v>
      </c>
    </row>
    <row r="15" spans="1:12" ht="15" customHeight="1">
      <c r="A15" s="81">
        <v>43638</v>
      </c>
      <c r="B15" s="61">
        <v>14</v>
      </c>
      <c r="C15" s="61" t="s">
        <v>160</v>
      </c>
      <c r="D15" s="62">
        <v>96307</v>
      </c>
      <c r="E15" s="62">
        <v>15048241</v>
      </c>
      <c r="F15" s="63">
        <f t="shared" si="4"/>
        <v>16363</v>
      </c>
      <c r="G15" s="63">
        <f t="shared" si="0"/>
        <v>2.6608500950665466</v>
      </c>
      <c r="H15" s="63">
        <f t="shared" si="5"/>
        <v>1.2685336049597289</v>
      </c>
      <c r="I15" s="76">
        <f t="shared" si="1"/>
        <v>96307</v>
      </c>
      <c r="J15" s="76">
        <f t="shared" si="2"/>
        <v>15048241</v>
      </c>
      <c r="K15" s="77">
        <f>J15*'Inflation Rates by Year'!$E$2</f>
        <v>17530102.907937326</v>
      </c>
      <c r="L15" s="78">
        <f t="shared" si="3"/>
        <v>182.02314377913677</v>
      </c>
    </row>
    <row r="16" spans="1:12" ht="15" customHeight="1">
      <c r="A16" s="81">
        <v>43639</v>
      </c>
      <c r="B16" s="61">
        <v>15</v>
      </c>
      <c r="C16" s="61" t="s">
        <v>160</v>
      </c>
      <c r="D16" s="62">
        <v>112899</v>
      </c>
      <c r="E16" s="62">
        <v>16393082</v>
      </c>
      <c r="F16" s="63">
        <f t="shared" si="4"/>
        <v>16592</v>
      </c>
      <c r="G16" s="63">
        <f t="shared" si="0"/>
        <v>2.6980886620634443</v>
      </c>
      <c r="H16" s="63">
        <f t="shared" si="5"/>
        <v>1.1802917174617096</v>
      </c>
      <c r="I16" s="76">
        <f t="shared" si="1"/>
        <v>112899</v>
      </c>
      <c r="J16" s="76">
        <f t="shared" si="2"/>
        <v>16393082</v>
      </c>
      <c r="K16" s="77">
        <f>J16*'Inflation Rates by Year'!$E$2</f>
        <v>19096744.558932502</v>
      </c>
      <c r="L16" s="78">
        <f t="shared" si="3"/>
        <v>169.14892566747713</v>
      </c>
    </row>
    <row r="17" spans="1:26" ht="15" customHeight="1">
      <c r="A17" s="81">
        <v>43640</v>
      </c>
      <c r="B17" s="61">
        <v>16</v>
      </c>
      <c r="C17" s="61" t="s">
        <v>160</v>
      </c>
      <c r="D17" s="62">
        <v>121899</v>
      </c>
      <c r="E17" s="62">
        <v>17941087</v>
      </c>
      <c r="F17" s="63">
        <f t="shared" si="4"/>
        <v>9000</v>
      </c>
      <c r="G17" s="63">
        <f t="shared" si="0"/>
        <v>1.4635244671269889</v>
      </c>
      <c r="H17" s="63">
        <f t="shared" si="5"/>
        <v>0.60396328004077227</v>
      </c>
      <c r="I17" s="76">
        <f t="shared" si="1"/>
        <v>121899</v>
      </c>
      <c r="J17" s="76">
        <f t="shared" si="2"/>
        <v>17941087</v>
      </c>
      <c r="K17" s="77">
        <f>J17*'Inflation Rates by Year'!$E$2</f>
        <v>20900057.447927404</v>
      </c>
      <c r="L17" s="78">
        <f t="shared" si="3"/>
        <v>171.4538876276869</v>
      </c>
    </row>
    <row r="18" spans="1:26" ht="15" customHeight="1">
      <c r="A18" s="81">
        <v>43641</v>
      </c>
      <c r="B18" s="61">
        <v>17</v>
      </c>
      <c r="C18" s="61" t="s">
        <v>160</v>
      </c>
      <c r="D18" s="62">
        <v>123263</v>
      </c>
      <c r="E18" s="62">
        <v>18909771</v>
      </c>
      <c r="F18" s="63">
        <f t="shared" si="4"/>
        <v>1364</v>
      </c>
      <c r="G18" s="63">
        <f t="shared" si="0"/>
        <v>0.2218052636845792</v>
      </c>
      <c r="H18" s="63">
        <f t="shared" si="5"/>
        <v>8.9562228294757587E-2</v>
      </c>
      <c r="I18" s="76">
        <f t="shared" si="1"/>
        <v>123263</v>
      </c>
      <c r="J18" s="76">
        <f t="shared" si="2"/>
        <v>18909771</v>
      </c>
      <c r="K18" s="77">
        <f>J18*'Inflation Rates by Year'!$E$2</f>
        <v>22028503.636772491</v>
      </c>
      <c r="L18" s="78">
        <f t="shared" si="3"/>
        <v>178.71140274674875</v>
      </c>
    </row>
    <row r="19" spans="1:26" ht="15" customHeight="1">
      <c r="A19" s="81">
        <v>43642</v>
      </c>
      <c r="B19" s="61">
        <v>18</v>
      </c>
      <c r="C19" s="61" t="s">
        <v>160</v>
      </c>
      <c r="D19" s="62">
        <v>123404</v>
      </c>
      <c r="E19" s="62">
        <v>19895419</v>
      </c>
      <c r="F19" s="63">
        <f t="shared" si="4"/>
        <v>141</v>
      </c>
      <c r="G19" s="63">
        <f t="shared" si="0"/>
        <v>2.2928549984989492E-2</v>
      </c>
      <c r="H19" s="63">
        <f t="shared" si="5"/>
        <v>9.2299430572491212E-3</v>
      </c>
      <c r="I19" s="76">
        <f t="shared" si="1"/>
        <v>123404</v>
      </c>
      <c r="J19" s="76">
        <f t="shared" si="2"/>
        <v>19895419</v>
      </c>
      <c r="K19" s="77">
        <f>J19*'Inflation Rates by Year'!$E$2</f>
        <v>23176711.647994705</v>
      </c>
      <c r="L19" s="78">
        <f t="shared" si="3"/>
        <v>187.81167261996941</v>
      </c>
    </row>
    <row r="20" spans="1:26" ht="15" customHeight="1">
      <c r="A20" s="81">
        <v>43643</v>
      </c>
      <c r="B20" s="61">
        <v>19</v>
      </c>
      <c r="C20" s="61" t="s">
        <v>160</v>
      </c>
      <c r="D20" s="62">
        <v>123509</v>
      </c>
      <c r="E20" s="62">
        <v>20813911</v>
      </c>
      <c r="F20" s="63">
        <f t="shared" si="4"/>
        <v>105</v>
      </c>
      <c r="G20" s="63">
        <f t="shared" si="0"/>
        <v>1.7074452116481537E-2</v>
      </c>
      <c r="H20" s="63">
        <f t="shared" si="5"/>
        <v>6.8699368993362462E-3</v>
      </c>
      <c r="I20" s="76">
        <f t="shared" si="1"/>
        <v>123509</v>
      </c>
      <c r="J20" s="76">
        <f t="shared" si="2"/>
        <v>20813911</v>
      </c>
      <c r="K20" s="77">
        <f>J20*'Inflation Rates by Year'!$E$2</f>
        <v>24246687.818639312</v>
      </c>
      <c r="L20" s="78">
        <f t="shared" si="3"/>
        <v>196.31514965418967</v>
      </c>
    </row>
    <row r="21" spans="1:26" ht="14.5">
      <c r="A21" s="81">
        <v>43644</v>
      </c>
      <c r="B21" s="61">
        <v>20</v>
      </c>
      <c r="C21" s="61" t="s">
        <v>160</v>
      </c>
      <c r="D21" s="62">
        <v>123827</v>
      </c>
      <c r="E21" s="62">
        <v>21405127.059999999</v>
      </c>
      <c r="F21" s="63">
        <f t="shared" si="4"/>
        <v>318</v>
      </c>
      <c r="G21" s="63">
        <f t="shared" si="0"/>
        <v>5.171119783848694E-2</v>
      </c>
      <c r="H21" s="63">
        <f t="shared" si="5"/>
        <v>2.0788299278840419E-2</v>
      </c>
      <c r="I21" s="76">
        <f t="shared" si="1"/>
        <v>123827</v>
      </c>
      <c r="J21" s="76">
        <f t="shared" si="2"/>
        <v>21405127.059999999</v>
      </c>
      <c r="K21" s="77">
        <f>J21*'Inflation Rates by Year'!$E$2</f>
        <v>24935411.395875033</v>
      </c>
      <c r="L21" s="78">
        <f t="shared" si="3"/>
        <v>201.3729751659576</v>
      </c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4.5">
      <c r="A22" s="82">
        <v>43645</v>
      </c>
      <c r="B22" s="83">
        <v>21</v>
      </c>
      <c r="C22" s="83" t="s">
        <v>160</v>
      </c>
      <c r="D22" s="72">
        <v>123875</v>
      </c>
      <c r="E22" s="72">
        <v>21775136</v>
      </c>
      <c r="F22" s="71">
        <f t="shared" si="4"/>
        <v>48</v>
      </c>
      <c r="G22" s="71">
        <f t="shared" si="0"/>
        <v>7.8054638246772738E-3</v>
      </c>
      <c r="H22" s="71">
        <f t="shared" si="5"/>
        <v>3.1355367847413183E-3</v>
      </c>
      <c r="I22" s="72">
        <f t="shared" si="1"/>
        <v>123875</v>
      </c>
      <c r="J22" s="72">
        <f t="shared" si="2"/>
        <v>21775136</v>
      </c>
      <c r="K22" s="77">
        <f>J22*'Inflation Rates by Year'!$E$2</f>
        <v>25366444.81666201</v>
      </c>
      <c r="L22" s="73">
        <f t="shared" si="3"/>
        <v>204.77452929696881</v>
      </c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4.5">
      <c r="A23" s="81">
        <v>43646</v>
      </c>
      <c r="B23" s="61">
        <v>22</v>
      </c>
      <c r="C23" s="61" t="s">
        <v>160</v>
      </c>
      <c r="D23" s="62">
        <v>123875</v>
      </c>
      <c r="E23" s="62">
        <v>22287740.460000001</v>
      </c>
      <c r="F23" s="63">
        <f t="shared" si="4"/>
        <v>0</v>
      </c>
      <c r="G23" s="63">
        <f t="shared" si="0"/>
        <v>0</v>
      </c>
      <c r="H23" s="63">
        <f t="shared" si="5"/>
        <v>0</v>
      </c>
      <c r="I23" s="76">
        <f t="shared" si="1"/>
        <v>123875</v>
      </c>
      <c r="J23" s="76">
        <f t="shared" si="2"/>
        <v>22287740.460000001</v>
      </c>
      <c r="K23" s="77">
        <f>J23*'Inflation Rates by Year'!$E$2</f>
        <v>25963591.615073044</v>
      </c>
      <c r="L23" s="78">
        <f t="shared" si="3"/>
        <v>209.59508871905587</v>
      </c>
    </row>
    <row r="24" spans="1:26" ht="14.5">
      <c r="A24" s="81">
        <v>43647</v>
      </c>
      <c r="B24" s="61">
        <v>23</v>
      </c>
      <c r="C24" s="61" t="s">
        <v>160</v>
      </c>
      <c r="D24" s="62">
        <v>123875</v>
      </c>
      <c r="E24" s="62">
        <v>22662211.350000001</v>
      </c>
      <c r="F24" s="63">
        <f t="shared" si="4"/>
        <v>0</v>
      </c>
      <c r="G24" s="63">
        <f t="shared" si="0"/>
        <v>0</v>
      </c>
      <c r="H24" s="63">
        <f t="shared" si="5"/>
        <v>0</v>
      </c>
      <c r="I24" s="76">
        <f t="shared" si="1"/>
        <v>123875</v>
      </c>
      <c r="J24" s="76">
        <f t="shared" si="2"/>
        <v>22662211.350000001</v>
      </c>
      <c r="K24" s="77">
        <f>J24*'Inflation Rates by Year'!$E$2</f>
        <v>26399822.882084709</v>
      </c>
      <c r="L24" s="78">
        <f t="shared" si="3"/>
        <v>213.11663275144065</v>
      </c>
    </row>
    <row r="25" spans="1:26" ht="14.5">
      <c r="A25" s="81">
        <v>43648</v>
      </c>
      <c r="B25" s="61">
        <v>24</v>
      </c>
      <c r="C25" s="61" t="s">
        <v>160</v>
      </c>
      <c r="D25" s="62">
        <v>123875</v>
      </c>
      <c r="E25" s="62">
        <v>23483246.73</v>
      </c>
      <c r="F25" s="63">
        <f t="shared" si="4"/>
        <v>0</v>
      </c>
      <c r="G25" s="63">
        <f t="shared" si="0"/>
        <v>0</v>
      </c>
      <c r="H25" s="63">
        <f t="shared" si="5"/>
        <v>0</v>
      </c>
      <c r="I25" s="76">
        <f t="shared" si="1"/>
        <v>123875</v>
      </c>
      <c r="J25" s="76">
        <f t="shared" si="2"/>
        <v>23483246.73</v>
      </c>
      <c r="K25" s="77">
        <f>J25*'Inflation Rates by Year'!$E$2</f>
        <v>27356269.200458888</v>
      </c>
      <c r="L25" s="78">
        <f t="shared" si="3"/>
        <v>220.83769283922413</v>
      </c>
    </row>
    <row r="26" spans="1:26" ht="14.5">
      <c r="A26" s="81">
        <v>43649</v>
      </c>
      <c r="B26" s="61">
        <v>25</v>
      </c>
      <c r="C26" s="61" t="s">
        <v>160</v>
      </c>
      <c r="D26" s="62">
        <v>123875</v>
      </c>
      <c r="E26" s="62">
        <v>24000000</v>
      </c>
      <c r="F26" s="63">
        <f t="shared" si="4"/>
        <v>0</v>
      </c>
      <c r="G26" s="63">
        <f t="shared" si="0"/>
        <v>0</v>
      </c>
      <c r="H26" s="63">
        <f t="shared" si="5"/>
        <v>0</v>
      </c>
      <c r="I26" s="76">
        <f t="shared" si="1"/>
        <v>123875</v>
      </c>
      <c r="J26" s="76">
        <f t="shared" si="2"/>
        <v>24000000</v>
      </c>
      <c r="K26" s="77">
        <f>J26*'Inflation Rates by Year'!$E$2</f>
        <v>27958249.059840005</v>
      </c>
      <c r="L26" s="78">
        <f t="shared" si="3"/>
        <v>225.69726788972758</v>
      </c>
    </row>
    <row r="27" spans="1:26" ht="14.5">
      <c r="A27" s="81">
        <v>43650</v>
      </c>
      <c r="B27" s="61">
        <v>26</v>
      </c>
      <c r="C27" s="61" t="s">
        <v>160</v>
      </c>
      <c r="D27" s="62">
        <v>123875</v>
      </c>
      <c r="E27" s="62">
        <v>24109000</v>
      </c>
      <c r="F27" s="63">
        <f t="shared" si="4"/>
        <v>0</v>
      </c>
      <c r="G27" s="63">
        <f t="shared" si="0"/>
        <v>0</v>
      </c>
      <c r="H27" s="63">
        <f t="shared" si="5"/>
        <v>0</v>
      </c>
      <c r="I27" s="76">
        <f t="shared" si="1"/>
        <v>123875</v>
      </c>
      <c r="J27" s="76">
        <f t="shared" si="2"/>
        <v>24109000</v>
      </c>
      <c r="K27" s="77">
        <f>J27*'Inflation Rates by Year'!$E$2</f>
        <v>28085226.107653443</v>
      </c>
      <c r="L27" s="78">
        <f t="shared" si="3"/>
        <v>226.72230964806008</v>
      </c>
    </row>
    <row r="28" spans="1:26" ht="14.5">
      <c r="A28" s="81">
        <v>43651</v>
      </c>
      <c r="B28" s="61">
        <v>27</v>
      </c>
      <c r="C28" s="61" t="s">
        <v>160</v>
      </c>
      <c r="D28" s="62">
        <v>123875</v>
      </c>
      <c r="E28" s="62">
        <v>20000000</v>
      </c>
      <c r="F28" s="63">
        <f t="shared" si="4"/>
        <v>0</v>
      </c>
      <c r="G28" s="63">
        <f t="shared" si="0"/>
        <v>0</v>
      </c>
      <c r="H28" s="63">
        <f t="shared" si="5"/>
        <v>0</v>
      </c>
      <c r="I28" s="76">
        <f t="shared" si="1"/>
        <v>123875</v>
      </c>
      <c r="J28" s="76">
        <f t="shared" si="2"/>
        <v>20000000</v>
      </c>
      <c r="K28" s="77">
        <f>J28*'Inflation Rates by Year'!$E$2</f>
        <v>23298540.883200005</v>
      </c>
      <c r="L28" s="78">
        <f t="shared" si="3"/>
        <v>188.08105657477299</v>
      </c>
    </row>
    <row r="29" spans="1:26" ht="14.5">
      <c r="A29" s="81"/>
      <c r="C29" s="61"/>
      <c r="D29" s="62"/>
      <c r="E29" s="62"/>
      <c r="F29" s="63"/>
      <c r="G29" s="63"/>
      <c r="H29" s="63"/>
      <c r="I29" s="76"/>
      <c r="J29" s="76"/>
      <c r="K29" s="77"/>
      <c r="L29" s="78"/>
    </row>
    <row r="30" spans="1:26" ht="14.5">
      <c r="A30" s="81"/>
      <c r="C30" s="61"/>
      <c r="D30" s="62"/>
      <c r="E30" s="62"/>
      <c r="F30" s="63"/>
      <c r="G30" s="63"/>
      <c r="H30" s="63"/>
      <c r="I30" s="76"/>
      <c r="J30" s="76"/>
      <c r="K30" s="77"/>
      <c r="L30" s="78"/>
    </row>
    <row r="31" spans="1:26" ht="14.5">
      <c r="A31" s="81"/>
      <c r="C31" s="61"/>
      <c r="D31" s="62"/>
      <c r="E31" s="62"/>
      <c r="F31" s="63"/>
      <c r="G31" s="63"/>
      <c r="H31" s="63"/>
      <c r="I31" s="76"/>
      <c r="J31" s="76"/>
      <c r="K31" s="77"/>
      <c r="L31" s="78"/>
    </row>
    <row r="32" spans="1:26" ht="14.5">
      <c r="A32" s="81"/>
      <c r="C32" s="61"/>
      <c r="D32" s="62"/>
      <c r="E32" s="62"/>
      <c r="F32" s="63"/>
      <c r="G32" s="63"/>
      <c r="H32" s="63"/>
      <c r="I32" s="76"/>
      <c r="J32" s="76"/>
      <c r="K32" s="77"/>
      <c r="L32" s="78"/>
    </row>
    <row r="33" spans="1:12" ht="14.5">
      <c r="A33" s="81"/>
      <c r="C33" s="61"/>
      <c r="D33" s="62"/>
      <c r="E33" s="62"/>
      <c r="F33" s="63"/>
      <c r="G33" s="63"/>
      <c r="H33" s="63"/>
      <c r="I33" s="76"/>
      <c r="J33" s="76"/>
      <c r="K33" s="77"/>
      <c r="L33" s="78"/>
    </row>
    <row r="34" spans="1:12" ht="14.5">
      <c r="A34" s="81"/>
      <c r="C34" s="61"/>
      <c r="D34" s="62"/>
      <c r="E34" s="62"/>
      <c r="F34" s="63"/>
      <c r="G34" s="63"/>
      <c r="H34" s="63"/>
      <c r="I34" s="76"/>
      <c r="J34" s="76"/>
      <c r="K34" s="77"/>
      <c r="L34" s="78"/>
    </row>
    <row r="35" spans="1:12" ht="14.5">
      <c r="A35" s="81"/>
      <c r="C35" s="61"/>
      <c r="D35" s="62"/>
      <c r="E35" s="62"/>
      <c r="F35" s="63"/>
      <c r="G35" s="63"/>
      <c r="H35" s="63"/>
      <c r="I35" s="76"/>
      <c r="J35" s="76"/>
      <c r="K35" s="77"/>
      <c r="L35" s="78"/>
    </row>
    <row r="36" spans="1:12" ht="14.5">
      <c r="A36" s="81"/>
      <c r="C36" s="61"/>
      <c r="D36" s="62"/>
      <c r="E36" s="62"/>
      <c r="F36" s="63"/>
      <c r="G36" s="63"/>
      <c r="H36" s="63"/>
      <c r="I36" s="76"/>
      <c r="J36" s="76"/>
      <c r="K36" s="77"/>
      <c r="L36" s="78"/>
    </row>
    <row r="37" spans="1:12" ht="14.5">
      <c r="A37" s="81"/>
      <c r="C37" s="61"/>
      <c r="D37" s="62"/>
      <c r="E37" s="62"/>
      <c r="F37" s="63"/>
      <c r="G37" s="63"/>
      <c r="H37" s="63"/>
      <c r="I37" s="76"/>
      <c r="J37" s="76"/>
      <c r="K37" s="77"/>
      <c r="L37" s="78"/>
    </row>
    <row r="38" spans="1:12" ht="14.5">
      <c r="A38" s="81"/>
      <c r="C38" s="61"/>
      <c r="D38" s="62"/>
      <c r="E38" s="62"/>
      <c r="F38" s="63"/>
      <c r="G38" s="63"/>
      <c r="H38" s="63"/>
      <c r="I38" s="76"/>
      <c r="J38" s="76"/>
      <c r="K38" s="77"/>
      <c r="L38" s="78"/>
    </row>
    <row r="39" spans="1:12" ht="14.5">
      <c r="A39" s="81"/>
      <c r="C39" s="61"/>
      <c r="D39" s="62"/>
      <c r="E39" s="62"/>
      <c r="F39" s="63"/>
      <c r="G39" s="63"/>
      <c r="H39" s="63"/>
      <c r="I39" s="76"/>
      <c r="J39" s="76"/>
      <c r="K39" s="77"/>
      <c r="L39" s="78"/>
    </row>
    <row r="40" spans="1:12" ht="14.5">
      <c r="A40" s="81"/>
      <c r="C40" s="61"/>
      <c r="D40" s="62"/>
      <c r="E40" s="62"/>
      <c r="F40" s="63"/>
      <c r="G40" s="63"/>
      <c r="H40" s="63"/>
      <c r="I40" s="76"/>
      <c r="J40" s="76"/>
      <c r="K40" s="77"/>
      <c r="L40" s="78"/>
    </row>
    <row r="41" spans="1:12" ht="14.5">
      <c r="A41" s="81"/>
      <c r="C41" s="61"/>
      <c r="D41" s="62"/>
      <c r="E41" s="62"/>
      <c r="F41" s="63"/>
      <c r="G41" s="63"/>
      <c r="H41" s="63"/>
      <c r="I41" s="76"/>
      <c r="J41" s="76"/>
      <c r="K41" s="77"/>
      <c r="L41" s="78"/>
    </row>
    <row r="42" spans="1:12" ht="14.5">
      <c r="A42" s="81"/>
      <c r="C42" s="61"/>
      <c r="D42" s="62"/>
      <c r="E42" s="62"/>
      <c r="F42" s="63"/>
      <c r="G42" s="63"/>
      <c r="H42" s="63"/>
      <c r="I42" s="76"/>
      <c r="J42" s="76"/>
      <c r="K42" s="77"/>
      <c r="L42" s="78"/>
    </row>
    <row r="43" spans="1:12" ht="14.5">
      <c r="A43" s="81"/>
      <c r="C43" s="61"/>
      <c r="D43" s="62"/>
      <c r="E43" s="62"/>
      <c r="F43" s="63"/>
      <c r="G43" s="63"/>
      <c r="H43" s="63"/>
      <c r="I43" s="76"/>
      <c r="J43" s="76"/>
      <c r="K43" s="77"/>
      <c r="L43" s="78"/>
    </row>
    <row r="44" spans="1:12" ht="14.5">
      <c r="A44" s="81"/>
      <c r="C44" s="61"/>
      <c r="D44" s="62"/>
      <c r="E44" s="62"/>
      <c r="F44" s="63"/>
      <c r="G44" s="63"/>
      <c r="H44" s="63"/>
      <c r="I44" s="76"/>
      <c r="J44" s="76"/>
      <c r="K44" s="77"/>
      <c r="L44" s="78"/>
    </row>
    <row r="45" spans="1:12" ht="14.5">
      <c r="A45" s="81"/>
      <c r="C45" s="61"/>
      <c r="D45" s="62"/>
      <c r="E45" s="62"/>
      <c r="F45" s="63"/>
      <c r="G45" s="63"/>
      <c r="H45" s="63"/>
      <c r="I45" s="76"/>
      <c r="J45" s="76"/>
      <c r="K45" s="77"/>
      <c r="L45" s="78"/>
    </row>
    <row r="46" spans="1:12" ht="14.5">
      <c r="A46" s="81"/>
      <c r="C46" s="61"/>
      <c r="D46" s="62"/>
      <c r="E46" s="62"/>
      <c r="F46" s="63"/>
      <c r="G46" s="63"/>
      <c r="H46" s="63"/>
      <c r="I46" s="76"/>
      <c r="J46" s="76"/>
      <c r="K46" s="77"/>
      <c r="L46" s="78"/>
    </row>
    <row r="47" spans="1:12" ht="14.5">
      <c r="A47" s="81"/>
      <c r="C47" s="61"/>
      <c r="D47" s="62"/>
      <c r="E47" s="62"/>
      <c r="F47" s="63"/>
      <c r="G47" s="63"/>
      <c r="H47" s="63"/>
      <c r="I47" s="76"/>
      <c r="J47" s="76"/>
      <c r="K47" s="77"/>
      <c r="L47" s="78"/>
    </row>
    <row r="48" spans="1:12" ht="14.5">
      <c r="A48" s="81"/>
      <c r="C48" s="61"/>
      <c r="D48" s="62"/>
      <c r="E48" s="62"/>
      <c r="F48" s="63"/>
      <c r="G48" s="63"/>
      <c r="H48" s="63"/>
      <c r="I48" s="76"/>
      <c r="J48" s="76"/>
      <c r="K48" s="77"/>
      <c r="L48" s="78"/>
    </row>
    <row r="49" spans="1:12" ht="14.5">
      <c r="A49" s="81"/>
      <c r="C49" s="61"/>
      <c r="D49" s="62"/>
      <c r="E49" s="62"/>
      <c r="F49" s="63"/>
      <c r="G49" s="63"/>
      <c r="H49" s="63"/>
      <c r="I49" s="76"/>
      <c r="J49" s="76"/>
      <c r="K49" s="77"/>
      <c r="L49" s="78"/>
    </row>
    <row r="50" spans="1:12" ht="14.5">
      <c r="A50" s="81"/>
      <c r="C50" s="61"/>
      <c r="D50" s="62"/>
      <c r="E50" s="62"/>
      <c r="F50" s="63"/>
      <c r="G50" s="63"/>
      <c r="H50" s="63"/>
      <c r="I50" s="76"/>
      <c r="J50" s="76"/>
      <c r="K50" s="77"/>
      <c r="L50" s="78"/>
    </row>
    <row r="51" spans="1:12" ht="14.5">
      <c r="A51" s="81"/>
      <c r="C51" s="61"/>
      <c r="D51" s="62"/>
      <c r="E51" s="62"/>
      <c r="F51" s="63"/>
      <c r="G51" s="63"/>
      <c r="H51" s="63"/>
      <c r="I51" s="76"/>
      <c r="J51" s="76"/>
      <c r="K51" s="77"/>
      <c r="L51" s="78"/>
    </row>
    <row r="52" spans="1:12" ht="14.5">
      <c r="A52" s="81"/>
      <c r="C52" s="61"/>
      <c r="D52" s="62"/>
      <c r="E52" s="62"/>
      <c r="F52" s="63"/>
      <c r="G52" s="63"/>
      <c r="H52" s="63"/>
      <c r="I52" s="76"/>
      <c r="J52" s="76"/>
      <c r="K52" s="77"/>
      <c r="L52" s="78"/>
    </row>
    <row r="53" spans="1:12" ht="14.5">
      <c r="A53" s="81"/>
      <c r="C53" s="61"/>
      <c r="D53" s="62"/>
      <c r="E53" s="62"/>
      <c r="F53" s="63"/>
      <c r="G53" s="63"/>
      <c r="H53" s="63"/>
      <c r="I53" s="76"/>
      <c r="J53" s="76"/>
      <c r="K53" s="77"/>
      <c r="L53" s="78"/>
    </row>
    <row r="54" spans="1:12" ht="14.5">
      <c r="A54" s="81"/>
      <c r="C54" s="61"/>
      <c r="D54" s="62"/>
      <c r="E54" s="62"/>
      <c r="F54" s="63"/>
      <c r="G54" s="63"/>
      <c r="H54" s="63"/>
      <c r="I54" s="76"/>
      <c r="J54" s="76"/>
      <c r="K54" s="77"/>
      <c r="L54" s="78"/>
    </row>
    <row r="55" spans="1:12" ht="14.5">
      <c r="A55" s="81"/>
      <c r="C55" s="61"/>
      <c r="D55" s="62"/>
      <c r="E55" s="62"/>
      <c r="F55" s="63"/>
      <c r="G55" s="63"/>
      <c r="H55" s="63"/>
      <c r="I55" s="76"/>
      <c r="J55" s="76"/>
      <c r="K55" s="77"/>
      <c r="L55" s="78"/>
    </row>
    <row r="56" spans="1:12" ht="14.5">
      <c r="A56" s="81"/>
      <c r="C56" s="61"/>
      <c r="D56" s="62"/>
      <c r="E56" s="62"/>
      <c r="F56" s="63"/>
      <c r="G56" s="63"/>
      <c r="H56" s="63"/>
      <c r="I56" s="76"/>
      <c r="J56" s="76"/>
      <c r="K56" s="77"/>
      <c r="L56" s="78"/>
    </row>
    <row r="57" spans="1:12" ht="14.5">
      <c r="A57" s="81"/>
      <c r="C57" s="61"/>
      <c r="D57" s="62"/>
      <c r="E57" s="62"/>
      <c r="F57" s="63"/>
      <c r="G57" s="63"/>
      <c r="H57" s="63"/>
      <c r="I57" s="76"/>
      <c r="J57" s="76"/>
      <c r="K57" s="77"/>
      <c r="L57" s="78"/>
    </row>
    <row r="58" spans="1:12" ht="14.5">
      <c r="A58" s="81"/>
      <c r="C58" s="61"/>
      <c r="D58" s="62"/>
      <c r="E58" s="62"/>
      <c r="F58" s="63"/>
      <c r="G58" s="63"/>
      <c r="H58" s="63"/>
      <c r="I58" s="76"/>
      <c r="J58" s="76"/>
      <c r="K58" s="77"/>
      <c r="L58" s="78"/>
    </row>
    <row r="59" spans="1:12" ht="14.5">
      <c r="A59" s="82"/>
      <c r="B59" s="69"/>
      <c r="C59" s="83"/>
      <c r="D59" s="72"/>
      <c r="E59" s="72"/>
      <c r="F59" s="71"/>
      <c r="G59" s="63"/>
      <c r="H59" s="63"/>
      <c r="I59" s="72"/>
      <c r="J59" s="72"/>
      <c r="K59" s="73"/>
      <c r="L59" s="73"/>
    </row>
    <row r="60" spans="1:12" ht="14.5">
      <c r="A60" s="81"/>
      <c r="C60" s="61"/>
      <c r="D60" s="62"/>
      <c r="E60" s="62"/>
      <c r="F60" s="63"/>
      <c r="G60" s="63"/>
      <c r="H60" s="63"/>
      <c r="I60" s="76"/>
      <c r="J60" s="76"/>
      <c r="K60" s="77"/>
      <c r="L60" s="78"/>
    </row>
    <row r="61" spans="1:12" ht="14.5">
      <c r="A61" s="81"/>
      <c r="C61" s="61"/>
      <c r="D61" s="62"/>
      <c r="E61" s="62"/>
      <c r="F61" s="63"/>
      <c r="G61" s="63"/>
      <c r="H61" s="63"/>
      <c r="I61" s="76"/>
      <c r="J61" s="76"/>
      <c r="K61" s="77"/>
      <c r="L61" s="78"/>
    </row>
    <row r="62" spans="1:12" ht="14.5">
      <c r="A62" s="81"/>
      <c r="C62" s="61"/>
      <c r="D62" s="62"/>
      <c r="E62" s="62"/>
      <c r="F62" s="63"/>
      <c r="G62" s="63"/>
      <c r="H62" s="63"/>
      <c r="I62" s="76"/>
      <c r="J62" s="76"/>
      <c r="K62" s="77"/>
      <c r="L62" s="78"/>
    </row>
    <row r="63" spans="1:12" ht="14.5">
      <c r="A63" s="81"/>
      <c r="C63" s="61"/>
      <c r="D63" s="62"/>
      <c r="E63" s="62"/>
      <c r="F63" s="63"/>
      <c r="G63" s="63"/>
      <c r="H63" s="63"/>
      <c r="I63" s="76"/>
      <c r="J63" s="76"/>
      <c r="K63" s="77"/>
      <c r="L63" s="78"/>
    </row>
    <row r="64" spans="1:12" ht="14.5">
      <c r="A64" s="81"/>
      <c r="C64" s="61"/>
      <c r="D64" s="62"/>
      <c r="E64" s="62"/>
      <c r="F64" s="63"/>
      <c r="G64" s="63"/>
      <c r="H64" s="63"/>
      <c r="I64" s="76"/>
      <c r="J64" s="76"/>
      <c r="K64" s="77"/>
      <c r="L64" s="78"/>
    </row>
    <row r="65" spans="1:12" ht="14.5">
      <c r="A65" s="81"/>
      <c r="C65" s="61"/>
      <c r="D65" s="62"/>
      <c r="E65" s="62"/>
      <c r="F65" s="63"/>
      <c r="G65" s="63"/>
      <c r="H65" s="63"/>
      <c r="I65" s="76"/>
      <c r="J65" s="76"/>
      <c r="K65" s="77"/>
      <c r="L65" s="78"/>
    </row>
    <row r="66" spans="1:12" ht="14.5">
      <c r="A66" s="81"/>
      <c r="C66" s="61"/>
      <c r="D66" s="62"/>
      <c r="E66" s="62"/>
      <c r="F66" s="63"/>
      <c r="G66" s="63"/>
      <c r="H66" s="63"/>
      <c r="I66" s="76"/>
      <c r="J66" s="76"/>
      <c r="K66" s="77"/>
      <c r="L66" s="78"/>
    </row>
    <row r="67" spans="1:12" ht="14.5">
      <c r="A67" s="81"/>
      <c r="C67" s="61"/>
      <c r="D67" s="62"/>
      <c r="E67" s="62"/>
      <c r="F67" s="63"/>
      <c r="G67" s="63"/>
      <c r="H67" s="63"/>
      <c r="I67" s="76"/>
      <c r="J67" s="76"/>
      <c r="K67" s="77"/>
      <c r="L67" s="78"/>
    </row>
    <row r="68" spans="1:12" ht="14.5">
      <c r="A68" s="81"/>
      <c r="C68" s="61"/>
      <c r="D68" s="62"/>
      <c r="E68" s="62"/>
      <c r="F68" s="63"/>
      <c r="G68" s="63"/>
      <c r="H68" s="63"/>
      <c r="I68" s="76"/>
      <c r="J68" s="76"/>
      <c r="K68" s="77"/>
      <c r="L68" s="78"/>
    </row>
    <row r="69" spans="1:12" ht="14.5">
      <c r="A69" s="84"/>
      <c r="C69" s="61"/>
      <c r="D69" s="62"/>
      <c r="E69" s="62"/>
      <c r="F69" s="63"/>
      <c r="G69" s="63"/>
      <c r="H69" s="63"/>
      <c r="I69" s="76"/>
      <c r="J69" s="76"/>
      <c r="K69" s="77"/>
      <c r="L69" s="78"/>
    </row>
    <row r="70" spans="1:12" ht="14.5">
      <c r="A70" s="84"/>
      <c r="C70" s="61"/>
      <c r="D70" s="62"/>
      <c r="E70" s="62"/>
      <c r="F70" s="63"/>
      <c r="G70" s="63"/>
      <c r="H70" s="63"/>
      <c r="I70" s="76"/>
      <c r="J70" s="76"/>
      <c r="K70" s="77"/>
      <c r="L70" s="78"/>
    </row>
    <row r="71" spans="1:12" ht="14.5">
      <c r="F71" s="86"/>
      <c r="G71" s="86"/>
      <c r="H71" s="86"/>
      <c r="I71" s="65"/>
      <c r="J71" s="76"/>
      <c r="K71" s="66"/>
      <c r="L71" s="67"/>
    </row>
    <row r="72" spans="1:12" ht="12.5">
      <c r="F72" s="86"/>
      <c r="G72" s="86"/>
      <c r="H72" s="86"/>
      <c r="I72" s="65"/>
      <c r="J72" s="65"/>
      <c r="K72" s="66"/>
      <c r="L72" s="67"/>
    </row>
    <row r="73" spans="1:12" ht="12.5">
      <c r="F73" s="86"/>
      <c r="G73" s="86"/>
      <c r="H73" s="86"/>
      <c r="I73" s="65"/>
      <c r="J73" s="65"/>
      <c r="K73" s="66"/>
      <c r="L73" s="67"/>
    </row>
    <row r="74" spans="1:12" ht="12.5">
      <c r="F74" s="86"/>
      <c r="G74" s="86"/>
      <c r="H74" s="86"/>
      <c r="I74" s="65"/>
      <c r="J74" s="65"/>
      <c r="K74" s="66"/>
      <c r="L74" s="67"/>
    </row>
    <row r="75" spans="1:12" ht="12.5">
      <c r="F75" s="86"/>
      <c r="G75" s="86"/>
      <c r="H75" s="86"/>
      <c r="I75" s="65"/>
      <c r="J75" s="65"/>
      <c r="K75" s="66"/>
      <c r="L75" s="67"/>
    </row>
    <row r="76" spans="1:12" ht="12.5">
      <c r="F76" s="86"/>
      <c r="G76" s="86"/>
      <c r="H76" s="86"/>
      <c r="I76" s="65"/>
      <c r="J76" s="65"/>
      <c r="K76" s="66"/>
      <c r="L76" s="67"/>
    </row>
    <row r="77" spans="1:12" ht="12.5">
      <c r="F77" s="86"/>
      <c r="G77" s="86"/>
      <c r="H77" s="86"/>
      <c r="I77" s="65"/>
      <c r="J77" s="65"/>
      <c r="K77" s="66"/>
      <c r="L77" s="67"/>
    </row>
    <row r="78" spans="1:12" ht="12.5">
      <c r="F78" s="86"/>
      <c r="G78" s="86"/>
      <c r="H78" s="86"/>
      <c r="I78" s="65"/>
      <c r="J78" s="65"/>
      <c r="K78" s="66"/>
      <c r="L78" s="67"/>
    </row>
    <row r="79" spans="1:12" ht="12.5">
      <c r="F79" s="86"/>
      <c r="G79" s="86"/>
      <c r="H79" s="86"/>
      <c r="I79" s="65"/>
      <c r="J79" s="65"/>
      <c r="K79" s="66"/>
      <c r="L79" s="67"/>
    </row>
    <row r="80" spans="1:12" ht="12.5">
      <c r="F80" s="86"/>
      <c r="G80" s="86"/>
      <c r="H80" s="86"/>
      <c r="I80" s="65"/>
      <c r="J80" s="65"/>
      <c r="K80" s="66"/>
      <c r="L80" s="67"/>
    </row>
    <row r="81" spans="6:12" ht="12.5">
      <c r="F81" s="86"/>
      <c r="G81" s="86"/>
      <c r="H81" s="86"/>
      <c r="I81" s="65"/>
      <c r="J81" s="65"/>
      <c r="K81" s="66"/>
      <c r="L81" s="67"/>
    </row>
    <row r="82" spans="6:12" ht="12.5">
      <c r="F82" s="86"/>
      <c r="G82" s="86"/>
      <c r="H82" s="86"/>
      <c r="I82" s="65"/>
      <c r="J82" s="65"/>
      <c r="K82" s="66"/>
      <c r="L82" s="67"/>
    </row>
    <row r="83" spans="6:12" ht="12.5">
      <c r="F83" s="86"/>
      <c r="G83" s="86"/>
      <c r="H83" s="86"/>
      <c r="I83" s="65"/>
      <c r="J83" s="65"/>
      <c r="K83" s="66"/>
      <c r="L83" s="67"/>
    </row>
    <row r="84" spans="6:12" ht="12.5">
      <c r="F84" s="86"/>
      <c r="G84" s="86"/>
      <c r="H84" s="86"/>
      <c r="I84" s="65"/>
      <c r="J84" s="65"/>
      <c r="K84" s="66"/>
      <c r="L84" s="67"/>
    </row>
    <row r="85" spans="6:12" ht="12.5">
      <c r="F85" s="86"/>
      <c r="G85" s="86"/>
      <c r="H85" s="86"/>
      <c r="I85" s="65"/>
      <c r="J85" s="65"/>
      <c r="K85" s="66"/>
      <c r="L85" s="67"/>
    </row>
    <row r="86" spans="6:12" ht="12.5">
      <c r="F86" s="86"/>
      <c r="G86" s="86"/>
      <c r="H86" s="86"/>
      <c r="I86" s="65"/>
      <c r="J86" s="65"/>
      <c r="K86" s="66"/>
      <c r="L86" s="67"/>
    </row>
    <row r="87" spans="6:12" ht="12.5">
      <c r="F87" s="86"/>
      <c r="G87" s="86"/>
      <c r="H87" s="86"/>
      <c r="I87" s="65"/>
      <c r="J87" s="65"/>
      <c r="K87" s="66"/>
      <c r="L87" s="67"/>
    </row>
    <row r="88" spans="6:12" ht="12.5">
      <c r="F88" s="86"/>
      <c r="G88" s="86"/>
      <c r="H88" s="86"/>
      <c r="I88" s="65"/>
      <c r="J88" s="65"/>
      <c r="K88" s="66"/>
      <c r="L88" s="67"/>
    </row>
    <row r="89" spans="6:12" ht="12.5">
      <c r="F89" s="86"/>
      <c r="G89" s="86"/>
      <c r="H89" s="86"/>
      <c r="I89" s="65"/>
      <c r="J89" s="65"/>
      <c r="K89" s="66"/>
      <c r="L89" s="67"/>
    </row>
    <row r="90" spans="6:12" ht="12.5">
      <c r="F90" s="86"/>
      <c r="G90" s="86"/>
      <c r="H90" s="86"/>
      <c r="I90" s="65"/>
      <c r="J90" s="65"/>
      <c r="K90" s="66"/>
      <c r="L90" s="67"/>
    </row>
    <row r="91" spans="6:12" ht="12.5">
      <c r="F91" s="86"/>
      <c r="G91" s="86"/>
      <c r="H91" s="86"/>
      <c r="I91" s="65"/>
      <c r="J91" s="65"/>
      <c r="K91" s="66"/>
      <c r="L91" s="67"/>
    </row>
    <row r="92" spans="6:12" ht="12.5">
      <c r="F92" s="86"/>
      <c r="G92" s="86"/>
      <c r="H92" s="86"/>
      <c r="I92" s="65"/>
      <c r="J92" s="65"/>
      <c r="K92" s="66"/>
      <c r="L92" s="67"/>
    </row>
    <row r="93" spans="6:12" ht="12.5">
      <c r="F93" s="86"/>
      <c r="G93" s="86"/>
      <c r="H93" s="86"/>
      <c r="I93" s="65"/>
      <c r="J93" s="65"/>
      <c r="K93" s="66"/>
      <c r="L93" s="67"/>
    </row>
    <row r="94" spans="6:12" ht="12.5">
      <c r="F94" s="86"/>
      <c r="G94" s="86"/>
      <c r="H94" s="86"/>
      <c r="I94" s="65"/>
      <c r="J94" s="65"/>
      <c r="K94" s="66"/>
      <c r="L94" s="67"/>
    </row>
    <row r="95" spans="6:12" ht="12.5">
      <c r="F95" s="86"/>
      <c r="G95" s="86"/>
      <c r="H95" s="86"/>
      <c r="I95" s="65"/>
      <c r="J95" s="65"/>
      <c r="K95" s="66"/>
      <c r="L95" s="67"/>
    </row>
    <row r="96" spans="6:12" ht="12.5">
      <c r="F96" s="86"/>
      <c r="G96" s="86"/>
      <c r="H96" s="86"/>
      <c r="I96" s="65"/>
      <c r="J96" s="65"/>
      <c r="K96" s="66"/>
      <c r="L96" s="67"/>
    </row>
    <row r="97" spans="6:12" ht="12.5">
      <c r="F97" s="86"/>
      <c r="G97" s="86"/>
      <c r="H97" s="86"/>
      <c r="I97" s="65"/>
      <c r="J97" s="65"/>
      <c r="K97" s="66"/>
      <c r="L97" s="67"/>
    </row>
    <row r="98" spans="6:12" ht="12.5">
      <c r="F98" s="86"/>
      <c r="G98" s="86"/>
      <c r="H98" s="86"/>
      <c r="I98" s="65"/>
      <c r="J98" s="65"/>
      <c r="K98" s="66"/>
      <c r="L98" s="67"/>
    </row>
    <row r="99" spans="6:12" ht="12.5">
      <c r="F99" s="86"/>
      <c r="G99" s="86"/>
      <c r="H99" s="86"/>
      <c r="I99" s="65"/>
      <c r="J99" s="65"/>
      <c r="K99" s="66"/>
      <c r="L99" s="67"/>
    </row>
    <row r="100" spans="6:12" ht="12.5">
      <c r="F100" s="86"/>
      <c r="G100" s="86"/>
      <c r="H100" s="86"/>
      <c r="I100" s="65"/>
      <c r="J100" s="65"/>
      <c r="K100" s="66"/>
      <c r="L100" s="67"/>
    </row>
    <row r="101" spans="6:12" ht="12.5">
      <c r="F101" s="86"/>
      <c r="G101" s="86"/>
      <c r="H101" s="86"/>
      <c r="I101" s="65"/>
      <c r="J101" s="65"/>
      <c r="K101" s="66"/>
      <c r="L101" s="67"/>
    </row>
    <row r="102" spans="6:12" ht="12.5">
      <c r="F102" s="86"/>
      <c r="G102" s="86"/>
      <c r="H102" s="86"/>
      <c r="I102" s="65"/>
      <c r="J102" s="65"/>
      <c r="K102" s="66"/>
      <c r="L102" s="67"/>
    </row>
    <row r="103" spans="6:12" ht="12.5">
      <c r="F103" s="86"/>
      <c r="G103" s="86"/>
      <c r="H103" s="86"/>
      <c r="I103" s="65"/>
      <c r="J103" s="65"/>
      <c r="K103" s="66"/>
      <c r="L103" s="67"/>
    </row>
    <row r="104" spans="6:12" ht="12.5">
      <c r="F104" s="86"/>
      <c r="G104" s="86"/>
      <c r="H104" s="86"/>
      <c r="I104" s="65"/>
      <c r="J104" s="65"/>
      <c r="K104" s="66"/>
      <c r="L104" s="67"/>
    </row>
    <row r="105" spans="6:12" ht="12.5">
      <c r="F105" s="86"/>
      <c r="G105" s="86"/>
      <c r="H105" s="86"/>
      <c r="I105" s="65"/>
      <c r="J105" s="65"/>
      <c r="K105" s="66"/>
      <c r="L105" s="67"/>
    </row>
    <row r="106" spans="6:12" ht="12.5">
      <c r="F106" s="86"/>
      <c r="G106" s="86"/>
      <c r="H106" s="86"/>
      <c r="I106" s="65"/>
      <c r="J106" s="65"/>
      <c r="K106" s="66"/>
      <c r="L106" s="67"/>
    </row>
    <row r="107" spans="6:12" ht="12.5">
      <c r="F107" s="86"/>
      <c r="G107" s="86"/>
      <c r="H107" s="86"/>
      <c r="I107" s="65"/>
      <c r="J107" s="65"/>
      <c r="K107" s="66"/>
      <c r="L107" s="67"/>
    </row>
    <row r="108" spans="6:12" ht="12.5">
      <c r="F108" s="86"/>
      <c r="G108" s="86"/>
      <c r="H108" s="86"/>
      <c r="I108" s="65"/>
      <c r="J108" s="65"/>
      <c r="K108" s="66"/>
      <c r="L108" s="67"/>
    </row>
    <row r="109" spans="6:12" ht="12.5">
      <c r="F109" s="86"/>
      <c r="G109" s="86"/>
      <c r="H109" s="86"/>
      <c r="I109" s="65"/>
      <c r="J109" s="65"/>
      <c r="K109" s="66"/>
      <c r="L109" s="67"/>
    </row>
    <row r="110" spans="6:12" ht="12.5">
      <c r="F110" s="86"/>
      <c r="G110" s="86"/>
      <c r="H110" s="86"/>
      <c r="I110" s="65"/>
      <c r="J110" s="65"/>
      <c r="K110" s="66"/>
      <c r="L110" s="67"/>
    </row>
    <row r="111" spans="6:12" ht="12.5">
      <c r="F111" s="86"/>
      <c r="G111" s="86"/>
      <c r="H111" s="86"/>
      <c r="I111" s="65"/>
      <c r="J111" s="65"/>
      <c r="K111" s="66"/>
      <c r="L111" s="67"/>
    </row>
    <row r="112" spans="6:12" ht="12.5">
      <c r="F112" s="86"/>
      <c r="G112" s="86"/>
      <c r="H112" s="86"/>
      <c r="I112" s="65"/>
      <c r="J112" s="65"/>
      <c r="K112" s="66"/>
      <c r="L112" s="67"/>
    </row>
    <row r="113" spans="6:12" ht="12.5">
      <c r="F113" s="86"/>
      <c r="G113" s="86"/>
      <c r="H113" s="86"/>
      <c r="I113" s="65"/>
      <c r="J113" s="65"/>
      <c r="K113" s="66"/>
      <c r="L113" s="67"/>
    </row>
    <row r="114" spans="6:12" ht="12.5">
      <c r="F114" s="86"/>
      <c r="G114" s="86"/>
      <c r="H114" s="86"/>
      <c r="I114" s="65"/>
      <c r="J114" s="65"/>
      <c r="K114" s="66"/>
      <c r="L114" s="67"/>
    </row>
    <row r="115" spans="6:12" ht="12.5">
      <c r="F115" s="86"/>
      <c r="G115" s="86"/>
      <c r="H115" s="86"/>
      <c r="I115" s="65"/>
      <c r="J115" s="65"/>
      <c r="K115" s="66"/>
      <c r="L115" s="67"/>
    </row>
    <row r="116" spans="6:12" ht="12.5">
      <c r="F116" s="86"/>
      <c r="G116" s="86"/>
      <c r="H116" s="86"/>
      <c r="I116" s="65"/>
      <c r="J116" s="65"/>
      <c r="K116" s="87"/>
      <c r="L116" s="88"/>
    </row>
    <row r="117" spans="6:12" ht="12.5">
      <c r="F117" s="86"/>
      <c r="G117" s="86"/>
      <c r="H117" s="86"/>
      <c r="I117" s="65"/>
      <c r="J117" s="65"/>
      <c r="K117" s="87"/>
      <c r="L117" s="88"/>
    </row>
    <row r="118" spans="6:12" ht="12.5">
      <c r="F118" s="86"/>
      <c r="G118" s="86"/>
      <c r="H118" s="86"/>
      <c r="I118" s="65"/>
      <c r="J118" s="65"/>
      <c r="K118" s="87"/>
      <c r="L118" s="88"/>
    </row>
    <row r="119" spans="6:12" ht="12.5">
      <c r="F119" s="86"/>
      <c r="G119" s="86"/>
      <c r="H119" s="86"/>
      <c r="I119" s="65"/>
      <c r="J119" s="65"/>
      <c r="K119" s="87"/>
      <c r="L119" s="88"/>
    </row>
    <row r="120" spans="6:12" ht="12.5">
      <c r="F120" s="86"/>
      <c r="G120" s="86"/>
      <c r="H120" s="86"/>
      <c r="I120" s="65"/>
      <c r="J120" s="65"/>
      <c r="K120" s="87"/>
      <c r="L120" s="88"/>
    </row>
    <row r="121" spans="6:12" ht="12.5">
      <c r="F121" s="86"/>
      <c r="G121" s="86"/>
      <c r="H121" s="86"/>
      <c r="I121" s="65"/>
      <c r="J121" s="65"/>
      <c r="K121" s="87"/>
      <c r="L121" s="88"/>
    </row>
    <row r="122" spans="6:12" ht="12.5">
      <c r="F122" s="86"/>
      <c r="G122" s="86"/>
      <c r="H122" s="86"/>
      <c r="I122" s="65"/>
      <c r="J122" s="65"/>
      <c r="K122" s="87"/>
      <c r="L122" s="88"/>
    </row>
    <row r="123" spans="6:12" ht="12.5">
      <c r="F123" s="86"/>
      <c r="G123" s="86"/>
      <c r="H123" s="86"/>
      <c r="I123" s="65"/>
      <c r="J123" s="65"/>
      <c r="K123" s="87"/>
      <c r="L123" s="88"/>
    </row>
    <row r="124" spans="6:12" ht="12.5">
      <c r="F124" s="86"/>
      <c r="G124" s="86"/>
      <c r="H124" s="86"/>
      <c r="I124" s="65"/>
      <c r="J124" s="65"/>
      <c r="K124" s="87"/>
      <c r="L124" s="88"/>
    </row>
    <row r="125" spans="6:12" ht="12.5">
      <c r="F125" s="86"/>
      <c r="G125" s="86"/>
      <c r="H125" s="86"/>
      <c r="I125" s="65"/>
      <c r="J125" s="65"/>
      <c r="K125" s="87"/>
      <c r="L125" s="88"/>
    </row>
    <row r="126" spans="6:12" ht="12.5">
      <c r="F126" s="86"/>
      <c r="G126" s="86"/>
      <c r="H126" s="86"/>
      <c r="I126" s="65"/>
      <c r="J126" s="65"/>
      <c r="K126" s="87"/>
      <c r="L126" s="88"/>
    </row>
    <row r="127" spans="6:12" ht="12.5">
      <c r="F127" s="86"/>
      <c r="G127" s="86"/>
      <c r="H127" s="86"/>
      <c r="I127" s="65"/>
      <c r="J127" s="65"/>
      <c r="K127" s="87"/>
      <c r="L127" s="88"/>
    </row>
    <row r="128" spans="6:12" ht="12.5">
      <c r="F128" s="86"/>
      <c r="G128" s="86"/>
      <c r="H128" s="86"/>
      <c r="I128" s="65"/>
      <c r="J128" s="65"/>
      <c r="K128" s="87"/>
      <c r="L128" s="88"/>
    </row>
    <row r="129" spans="6:12" ht="12.5">
      <c r="F129" s="86"/>
      <c r="G129" s="86"/>
      <c r="H129" s="86"/>
      <c r="I129" s="65"/>
      <c r="J129" s="65"/>
      <c r="K129" s="87"/>
      <c r="L129" s="88"/>
    </row>
    <row r="130" spans="6:12" ht="12.5">
      <c r="F130" s="86"/>
      <c r="G130" s="86"/>
      <c r="H130" s="86"/>
      <c r="I130" s="65"/>
      <c r="J130" s="65"/>
      <c r="K130" s="87"/>
      <c r="L130" s="88"/>
    </row>
    <row r="131" spans="6:12" ht="12.5">
      <c r="F131" s="86"/>
      <c r="G131" s="86"/>
      <c r="H131" s="86"/>
      <c r="I131" s="65"/>
      <c r="J131" s="65"/>
      <c r="K131" s="87"/>
      <c r="L131" s="88"/>
    </row>
    <row r="132" spans="6:12" ht="12.5">
      <c r="F132" s="86"/>
      <c r="G132" s="86"/>
      <c r="H132" s="86"/>
      <c r="I132" s="65"/>
      <c r="J132" s="65"/>
      <c r="K132" s="87"/>
      <c r="L132" s="88"/>
    </row>
    <row r="133" spans="6:12" ht="12.5">
      <c r="F133" s="86"/>
      <c r="G133" s="86"/>
      <c r="H133" s="86"/>
      <c r="I133" s="65"/>
      <c r="J133" s="65"/>
      <c r="K133" s="87"/>
      <c r="L133" s="88"/>
    </row>
    <row r="134" spans="6:12" ht="12.5">
      <c r="F134" s="86"/>
      <c r="G134" s="86"/>
      <c r="H134" s="86"/>
      <c r="I134" s="65"/>
      <c r="J134" s="65"/>
      <c r="K134" s="87"/>
      <c r="L134" s="88"/>
    </row>
    <row r="135" spans="6:12" ht="12.5">
      <c r="F135" s="86"/>
      <c r="G135" s="86"/>
      <c r="H135" s="86"/>
      <c r="I135" s="65"/>
      <c r="J135" s="65"/>
      <c r="K135" s="87"/>
      <c r="L135" s="88"/>
    </row>
    <row r="136" spans="6:12" ht="12.5">
      <c r="F136" s="86"/>
      <c r="G136" s="86"/>
      <c r="H136" s="86"/>
      <c r="I136" s="65"/>
      <c r="J136" s="65"/>
      <c r="K136" s="87"/>
      <c r="L136" s="88"/>
    </row>
    <row r="137" spans="6:12" ht="12.5">
      <c r="F137" s="86"/>
      <c r="G137" s="86"/>
      <c r="H137" s="86"/>
      <c r="I137" s="65"/>
      <c r="J137" s="65"/>
      <c r="K137" s="87"/>
      <c r="L137" s="88"/>
    </row>
    <row r="138" spans="6:12" ht="12.5">
      <c r="F138" s="86"/>
      <c r="G138" s="86"/>
      <c r="H138" s="86"/>
      <c r="I138" s="65"/>
      <c r="J138" s="65"/>
      <c r="K138" s="87"/>
      <c r="L138" s="88"/>
    </row>
    <row r="139" spans="6:12" ht="12.5">
      <c r="F139" s="86"/>
      <c r="G139" s="86"/>
      <c r="H139" s="86"/>
      <c r="I139" s="65"/>
      <c r="J139" s="65"/>
      <c r="K139" s="87"/>
      <c r="L139" s="88"/>
    </row>
    <row r="140" spans="6:12" ht="12.5">
      <c r="F140" s="86"/>
      <c r="G140" s="86"/>
      <c r="H140" s="86"/>
      <c r="I140" s="65"/>
      <c r="J140" s="65"/>
      <c r="K140" s="87"/>
      <c r="L140" s="88"/>
    </row>
    <row r="141" spans="6:12" ht="12.5">
      <c r="F141" s="86"/>
      <c r="G141" s="86"/>
      <c r="H141" s="86"/>
      <c r="I141" s="65"/>
      <c r="J141" s="65"/>
      <c r="K141" s="87"/>
      <c r="L141" s="88"/>
    </row>
    <row r="142" spans="6:12" ht="12.5">
      <c r="F142" s="86"/>
      <c r="G142" s="86"/>
      <c r="H142" s="86"/>
      <c r="I142" s="65"/>
      <c r="J142" s="65"/>
      <c r="K142" s="87"/>
      <c r="L142" s="88"/>
    </row>
    <row r="143" spans="6:12" ht="12.5">
      <c r="F143" s="86"/>
      <c r="G143" s="86"/>
      <c r="H143" s="86"/>
      <c r="I143" s="65"/>
      <c r="J143" s="65"/>
      <c r="K143" s="87"/>
      <c r="L143" s="88"/>
    </row>
    <row r="144" spans="6:12" ht="12.5">
      <c r="F144" s="86"/>
      <c r="G144" s="86"/>
      <c r="H144" s="86"/>
      <c r="I144" s="65"/>
      <c r="J144" s="65"/>
      <c r="K144" s="87"/>
      <c r="L144" s="88"/>
    </row>
    <row r="145" spans="6:12" ht="12.5">
      <c r="F145" s="86"/>
      <c r="G145" s="86"/>
      <c r="H145" s="86"/>
      <c r="I145" s="65"/>
      <c r="J145" s="65"/>
      <c r="K145" s="87"/>
      <c r="L145" s="88"/>
    </row>
    <row r="146" spans="6:12" ht="12.5">
      <c r="F146" s="86"/>
      <c r="G146" s="86"/>
      <c r="H146" s="86"/>
      <c r="I146" s="65"/>
      <c r="J146" s="65"/>
      <c r="K146" s="87"/>
      <c r="L146" s="88"/>
    </row>
    <row r="147" spans="6:12" ht="12.5">
      <c r="F147" s="86"/>
      <c r="G147" s="86"/>
      <c r="H147" s="86"/>
      <c r="I147" s="65"/>
      <c r="J147" s="65"/>
      <c r="K147" s="87"/>
      <c r="L147" s="88"/>
    </row>
    <row r="148" spans="6:12" ht="12.5">
      <c r="F148" s="86"/>
      <c r="G148" s="86"/>
      <c r="H148" s="86"/>
      <c r="I148" s="65"/>
      <c r="J148" s="65"/>
      <c r="K148" s="87"/>
      <c r="L148" s="88"/>
    </row>
    <row r="149" spans="6:12" ht="12.5">
      <c r="F149" s="86"/>
      <c r="G149" s="86"/>
      <c r="H149" s="86"/>
      <c r="I149" s="65"/>
      <c r="J149" s="65"/>
      <c r="K149" s="87"/>
      <c r="L149" s="88"/>
    </row>
    <row r="150" spans="6:12" ht="12.5">
      <c r="F150" s="86"/>
      <c r="G150" s="86"/>
      <c r="H150" s="86"/>
      <c r="I150" s="65"/>
      <c r="J150" s="65"/>
      <c r="K150" s="87"/>
      <c r="L150" s="88"/>
    </row>
    <row r="151" spans="6:12" ht="12.5">
      <c r="F151" s="86"/>
      <c r="G151" s="86"/>
      <c r="H151" s="86"/>
      <c r="I151" s="65"/>
      <c r="J151" s="65"/>
      <c r="K151" s="87"/>
      <c r="L151" s="88"/>
    </row>
    <row r="152" spans="6:12" ht="12.5">
      <c r="F152" s="86"/>
      <c r="G152" s="86"/>
      <c r="H152" s="86"/>
      <c r="I152" s="65"/>
      <c r="J152" s="65"/>
      <c r="K152" s="87"/>
      <c r="L152" s="88"/>
    </row>
    <row r="153" spans="6:12" ht="12.5">
      <c r="F153" s="86"/>
      <c r="G153" s="86"/>
      <c r="H153" s="86"/>
      <c r="I153" s="65"/>
      <c r="J153" s="65"/>
      <c r="K153" s="87"/>
      <c r="L153" s="88"/>
    </row>
    <row r="154" spans="6:12" ht="12.5">
      <c r="F154" s="86"/>
      <c r="G154" s="86"/>
      <c r="H154" s="86"/>
      <c r="I154" s="65"/>
      <c r="J154" s="65"/>
      <c r="K154" s="87"/>
      <c r="L154" s="88"/>
    </row>
    <row r="155" spans="6:12" ht="12.5">
      <c r="F155" s="86"/>
      <c r="G155" s="86"/>
      <c r="H155" s="86"/>
      <c r="I155" s="65"/>
      <c r="J155" s="65"/>
      <c r="K155" s="87"/>
      <c r="L155" s="88"/>
    </row>
    <row r="156" spans="6:12" ht="12.5">
      <c r="F156" s="86"/>
      <c r="G156" s="86"/>
      <c r="H156" s="86"/>
      <c r="I156" s="65"/>
      <c r="J156" s="65"/>
      <c r="K156" s="87"/>
      <c r="L156" s="88"/>
    </row>
    <row r="157" spans="6:12" ht="12.5">
      <c r="F157" s="86"/>
      <c r="G157" s="86"/>
      <c r="H157" s="86"/>
      <c r="I157" s="65"/>
      <c r="J157" s="65"/>
      <c r="K157" s="87"/>
      <c r="L157" s="88"/>
    </row>
    <row r="158" spans="6:12" ht="12.5">
      <c r="F158" s="86"/>
      <c r="G158" s="86"/>
      <c r="H158" s="86"/>
      <c r="I158" s="65"/>
      <c r="J158" s="65"/>
      <c r="K158" s="87"/>
      <c r="L158" s="88"/>
    </row>
    <row r="159" spans="6:12" ht="12.5">
      <c r="F159" s="86"/>
      <c r="G159" s="86"/>
      <c r="H159" s="86"/>
      <c r="I159" s="65"/>
      <c r="J159" s="65"/>
      <c r="K159" s="87"/>
      <c r="L159" s="88"/>
    </row>
    <row r="160" spans="6:12" ht="12.5">
      <c r="F160" s="86"/>
      <c r="G160" s="86"/>
      <c r="H160" s="86"/>
      <c r="I160" s="65"/>
      <c r="J160" s="65"/>
      <c r="K160" s="87"/>
      <c r="L160" s="88"/>
    </row>
    <row r="161" spans="6:12" ht="12.5">
      <c r="F161" s="86"/>
      <c r="G161" s="86"/>
      <c r="H161" s="86"/>
      <c r="I161" s="65"/>
      <c r="J161" s="65"/>
      <c r="K161" s="87"/>
      <c r="L161" s="88"/>
    </row>
    <row r="162" spans="6:12" ht="12.5">
      <c r="F162" s="86"/>
      <c r="G162" s="86"/>
      <c r="H162" s="86"/>
      <c r="I162" s="65"/>
      <c r="J162" s="65"/>
      <c r="K162" s="87"/>
      <c r="L162" s="88"/>
    </row>
    <row r="163" spans="6:12" ht="12.5">
      <c r="F163" s="86"/>
      <c r="G163" s="86"/>
      <c r="H163" s="86"/>
      <c r="I163" s="65"/>
      <c r="J163" s="65"/>
      <c r="K163" s="87"/>
      <c r="L163" s="88"/>
    </row>
    <row r="164" spans="6:12" ht="12.5">
      <c r="F164" s="86"/>
      <c r="G164" s="86"/>
      <c r="H164" s="86"/>
      <c r="I164" s="65"/>
      <c r="J164" s="65"/>
      <c r="K164" s="87"/>
      <c r="L164" s="88"/>
    </row>
    <row r="165" spans="6:12" ht="12.5">
      <c r="F165" s="86"/>
      <c r="G165" s="86"/>
      <c r="H165" s="86"/>
      <c r="I165" s="65"/>
      <c r="J165" s="65"/>
      <c r="K165" s="87"/>
      <c r="L165" s="88"/>
    </row>
    <row r="166" spans="6:12" ht="12.5">
      <c r="F166" s="86"/>
      <c r="G166" s="86"/>
      <c r="H166" s="86"/>
      <c r="I166" s="65"/>
      <c r="J166" s="65"/>
      <c r="K166" s="87"/>
      <c r="L166" s="88"/>
    </row>
    <row r="167" spans="6:12" ht="12.5">
      <c r="F167" s="86"/>
      <c r="G167" s="86"/>
      <c r="H167" s="86"/>
      <c r="I167" s="65"/>
      <c r="J167" s="65"/>
      <c r="K167" s="87"/>
      <c r="L167" s="88"/>
    </row>
    <row r="168" spans="6:12" ht="12.5">
      <c r="F168" s="86"/>
      <c r="G168" s="86"/>
      <c r="H168" s="86"/>
      <c r="I168" s="65"/>
      <c r="J168" s="65"/>
      <c r="K168" s="87"/>
      <c r="L168" s="88"/>
    </row>
    <row r="169" spans="6:12" ht="12.5">
      <c r="F169" s="86"/>
      <c r="G169" s="86"/>
      <c r="H169" s="86"/>
      <c r="I169" s="65"/>
      <c r="J169" s="65"/>
      <c r="K169" s="87"/>
      <c r="L169" s="88"/>
    </row>
    <row r="170" spans="6:12" ht="12.5">
      <c r="F170" s="86"/>
      <c r="G170" s="86"/>
      <c r="H170" s="86"/>
      <c r="I170" s="65"/>
      <c r="J170" s="65"/>
      <c r="K170" s="87"/>
      <c r="L170" s="88"/>
    </row>
    <row r="171" spans="6:12" ht="12.5">
      <c r="F171" s="86"/>
      <c r="G171" s="86"/>
      <c r="H171" s="86"/>
      <c r="I171" s="65"/>
      <c r="J171" s="65"/>
      <c r="K171" s="87"/>
      <c r="L171" s="88"/>
    </row>
    <row r="172" spans="6:12" ht="12.5">
      <c r="F172" s="86"/>
      <c r="G172" s="86"/>
      <c r="H172" s="86"/>
      <c r="I172" s="65"/>
      <c r="J172" s="65"/>
      <c r="K172" s="87"/>
      <c r="L172" s="88"/>
    </row>
    <row r="173" spans="6:12" ht="12.5">
      <c r="F173" s="86"/>
      <c r="G173" s="86"/>
      <c r="H173" s="86"/>
      <c r="I173" s="65"/>
      <c r="J173" s="65"/>
      <c r="K173" s="87"/>
      <c r="L173" s="88"/>
    </row>
    <row r="174" spans="6:12" ht="12.5">
      <c r="F174" s="86"/>
      <c r="G174" s="86"/>
      <c r="H174" s="86"/>
      <c r="I174" s="65"/>
      <c r="J174" s="65"/>
      <c r="K174" s="87"/>
      <c r="L174" s="88"/>
    </row>
    <row r="175" spans="6:12" ht="12.5">
      <c r="F175" s="86"/>
      <c r="G175" s="86"/>
      <c r="H175" s="86"/>
      <c r="I175" s="65"/>
      <c r="J175" s="65"/>
      <c r="K175" s="87"/>
      <c r="L175" s="88"/>
    </row>
    <row r="176" spans="6:12" ht="12.5">
      <c r="F176" s="86"/>
      <c r="G176" s="86"/>
      <c r="H176" s="86"/>
      <c r="I176" s="65"/>
      <c r="J176" s="65"/>
      <c r="K176" s="87"/>
      <c r="L176" s="88"/>
    </row>
    <row r="177" spans="6:12" ht="12.5">
      <c r="F177" s="86"/>
      <c r="G177" s="86"/>
      <c r="H177" s="86"/>
      <c r="I177" s="65"/>
      <c r="J177" s="65"/>
      <c r="K177" s="87"/>
      <c r="L177" s="88"/>
    </row>
    <row r="178" spans="6:12" ht="12.5">
      <c r="F178" s="86"/>
      <c r="G178" s="86"/>
      <c r="H178" s="86"/>
      <c r="I178" s="65"/>
      <c r="J178" s="65"/>
      <c r="K178" s="87"/>
      <c r="L178" s="88"/>
    </row>
    <row r="179" spans="6:12" ht="12.5">
      <c r="F179" s="86"/>
      <c r="G179" s="86"/>
      <c r="H179" s="86"/>
      <c r="I179" s="65"/>
      <c r="J179" s="65"/>
      <c r="K179" s="87"/>
      <c r="L179" s="88"/>
    </row>
    <row r="180" spans="6:12" ht="12.5">
      <c r="F180" s="86"/>
      <c r="G180" s="86"/>
      <c r="H180" s="86"/>
      <c r="I180" s="65"/>
      <c r="J180" s="65"/>
      <c r="K180" s="87"/>
      <c r="L180" s="88"/>
    </row>
    <row r="181" spans="6:12" ht="12.5">
      <c r="F181" s="86"/>
      <c r="G181" s="86"/>
      <c r="H181" s="86"/>
      <c r="I181" s="65"/>
      <c r="J181" s="65"/>
      <c r="K181" s="87"/>
      <c r="L181" s="88"/>
    </row>
    <row r="182" spans="6:12" ht="12.5">
      <c r="F182" s="86"/>
      <c r="G182" s="86"/>
      <c r="H182" s="86"/>
      <c r="I182" s="65"/>
      <c r="J182" s="65"/>
      <c r="K182" s="87"/>
      <c r="L182" s="88"/>
    </row>
    <row r="183" spans="6:12" ht="12.5">
      <c r="F183" s="86"/>
      <c r="G183" s="86"/>
      <c r="H183" s="86"/>
      <c r="I183" s="65"/>
      <c r="J183" s="65"/>
      <c r="K183" s="87"/>
      <c r="L183" s="88"/>
    </row>
    <row r="184" spans="6:12" ht="12.5">
      <c r="F184" s="86"/>
      <c r="G184" s="86"/>
      <c r="H184" s="86"/>
      <c r="I184" s="65"/>
      <c r="J184" s="65"/>
      <c r="K184" s="87"/>
      <c r="L184" s="88"/>
    </row>
    <row r="185" spans="6:12" ht="12.5">
      <c r="F185" s="86"/>
      <c r="G185" s="86"/>
      <c r="H185" s="86"/>
      <c r="I185" s="65"/>
      <c r="J185" s="65"/>
      <c r="K185" s="87"/>
      <c r="L185" s="88"/>
    </row>
    <row r="186" spans="6:12" ht="12.5">
      <c r="F186" s="86"/>
      <c r="G186" s="86"/>
      <c r="H186" s="86"/>
      <c r="I186" s="65"/>
      <c r="J186" s="65"/>
      <c r="K186" s="87"/>
      <c r="L186" s="88"/>
    </row>
    <row r="187" spans="6:12" ht="12.5">
      <c r="F187" s="86"/>
      <c r="G187" s="86"/>
      <c r="H187" s="86"/>
      <c r="I187" s="65"/>
      <c r="J187" s="65"/>
      <c r="K187" s="87"/>
      <c r="L187" s="88"/>
    </row>
    <row r="188" spans="6:12" ht="12.5">
      <c r="F188" s="86"/>
      <c r="G188" s="86"/>
      <c r="H188" s="86"/>
      <c r="I188" s="65"/>
      <c r="J188" s="65"/>
      <c r="K188" s="87"/>
      <c r="L188" s="88"/>
    </row>
    <row r="189" spans="6:12" ht="12.5">
      <c r="F189" s="86"/>
      <c r="G189" s="86"/>
      <c r="H189" s="86"/>
      <c r="I189" s="65"/>
      <c r="J189" s="65"/>
      <c r="K189" s="87"/>
      <c r="L189" s="88"/>
    </row>
    <row r="190" spans="6:12" ht="12.5">
      <c r="F190" s="86"/>
      <c r="G190" s="86"/>
      <c r="H190" s="86"/>
      <c r="I190" s="65"/>
      <c r="J190" s="65"/>
      <c r="K190" s="87"/>
      <c r="L190" s="88"/>
    </row>
    <row r="191" spans="6:12" ht="12.5">
      <c r="F191" s="86"/>
      <c r="G191" s="86"/>
      <c r="H191" s="86"/>
      <c r="I191" s="65"/>
      <c r="J191" s="65"/>
      <c r="K191" s="87"/>
      <c r="L191" s="88"/>
    </row>
    <row r="192" spans="6:12" ht="12.5">
      <c r="F192" s="86"/>
      <c r="G192" s="86"/>
      <c r="H192" s="86"/>
      <c r="I192" s="65"/>
      <c r="J192" s="65"/>
      <c r="K192" s="87"/>
      <c r="L192" s="88"/>
    </row>
    <row r="193" spans="6:12" ht="12.5">
      <c r="F193" s="86"/>
      <c r="G193" s="86"/>
      <c r="H193" s="86"/>
      <c r="I193" s="65"/>
      <c r="J193" s="65"/>
      <c r="K193" s="87"/>
      <c r="L193" s="88"/>
    </row>
    <row r="194" spans="6:12" ht="12.5">
      <c r="F194" s="86"/>
      <c r="G194" s="86"/>
      <c r="H194" s="86"/>
      <c r="I194" s="65"/>
      <c r="J194" s="65"/>
      <c r="K194" s="87"/>
      <c r="L194" s="88"/>
    </row>
    <row r="195" spans="6:12" ht="12.5">
      <c r="F195" s="86"/>
      <c r="G195" s="86"/>
      <c r="H195" s="86"/>
      <c r="I195" s="65"/>
      <c r="J195" s="65"/>
      <c r="K195" s="87"/>
      <c r="L195" s="88"/>
    </row>
    <row r="196" spans="6:12" ht="12.5">
      <c r="F196" s="86"/>
      <c r="G196" s="86"/>
      <c r="H196" s="86"/>
      <c r="I196" s="65"/>
      <c r="J196" s="65"/>
      <c r="K196" s="87"/>
      <c r="L196" s="88"/>
    </row>
    <row r="197" spans="6:12" ht="12.5">
      <c r="F197" s="86"/>
      <c r="G197" s="86"/>
      <c r="H197" s="86"/>
      <c r="I197" s="65"/>
      <c r="J197" s="65"/>
      <c r="K197" s="87"/>
      <c r="L197" s="88"/>
    </row>
    <row r="198" spans="6:12" ht="12.5">
      <c r="F198" s="86"/>
      <c r="G198" s="86"/>
      <c r="H198" s="86"/>
      <c r="I198" s="65"/>
      <c r="J198" s="65"/>
      <c r="K198" s="87"/>
      <c r="L198" s="88"/>
    </row>
    <row r="199" spans="6:12" ht="12.5">
      <c r="F199" s="86"/>
      <c r="G199" s="86"/>
      <c r="H199" s="86"/>
      <c r="I199" s="65"/>
      <c r="J199" s="65"/>
      <c r="K199" s="87"/>
      <c r="L199" s="88"/>
    </row>
    <row r="200" spans="6:12" ht="12.5">
      <c r="F200" s="86"/>
      <c r="G200" s="86"/>
      <c r="H200" s="86"/>
      <c r="I200" s="65"/>
      <c r="J200" s="65"/>
      <c r="K200" s="87"/>
      <c r="L200" s="88"/>
    </row>
    <row r="201" spans="6:12" ht="12.5">
      <c r="F201" s="86"/>
      <c r="G201" s="86"/>
      <c r="H201" s="86"/>
      <c r="I201" s="65"/>
      <c r="J201" s="65"/>
      <c r="K201" s="87"/>
      <c r="L201" s="88"/>
    </row>
    <row r="202" spans="6:12" ht="12.5">
      <c r="F202" s="86"/>
      <c r="G202" s="86"/>
      <c r="H202" s="86"/>
      <c r="I202" s="65"/>
      <c r="J202" s="65"/>
      <c r="K202" s="87"/>
      <c r="L202" s="88"/>
    </row>
    <row r="203" spans="6:12" ht="12.5">
      <c r="F203" s="86"/>
      <c r="G203" s="86"/>
      <c r="H203" s="86"/>
      <c r="I203" s="65"/>
      <c r="J203" s="65"/>
      <c r="K203" s="87"/>
      <c r="L203" s="88"/>
    </row>
    <row r="204" spans="6:12" ht="12.5">
      <c r="F204" s="86"/>
      <c r="G204" s="86"/>
      <c r="H204" s="86"/>
      <c r="I204" s="65"/>
      <c r="J204" s="65"/>
      <c r="K204" s="87"/>
      <c r="L204" s="88"/>
    </row>
    <row r="205" spans="6:12" ht="12.5">
      <c r="F205" s="86"/>
      <c r="G205" s="86"/>
      <c r="H205" s="86"/>
      <c r="I205" s="65"/>
      <c r="J205" s="65"/>
      <c r="K205" s="87"/>
      <c r="L205" s="88"/>
    </row>
    <row r="206" spans="6:12" ht="12.5">
      <c r="F206" s="86"/>
      <c r="G206" s="86"/>
      <c r="H206" s="86"/>
      <c r="I206" s="65"/>
      <c r="J206" s="65"/>
      <c r="K206" s="87"/>
      <c r="L206" s="88"/>
    </row>
    <row r="207" spans="6:12" ht="12.5">
      <c r="F207" s="86"/>
      <c r="G207" s="86"/>
      <c r="H207" s="86"/>
      <c r="I207" s="65"/>
      <c r="J207" s="65"/>
      <c r="K207" s="87"/>
      <c r="L207" s="88"/>
    </row>
    <row r="208" spans="6:12" ht="12.5">
      <c r="F208" s="86"/>
      <c r="G208" s="86"/>
      <c r="H208" s="86"/>
      <c r="I208" s="65"/>
      <c r="J208" s="65"/>
      <c r="K208" s="87"/>
      <c r="L208" s="88"/>
    </row>
    <row r="209" spans="6:12" ht="12.5">
      <c r="F209" s="86"/>
      <c r="G209" s="86"/>
      <c r="H209" s="86"/>
      <c r="I209" s="65"/>
      <c r="J209" s="65"/>
      <c r="K209" s="87"/>
      <c r="L209" s="88"/>
    </row>
    <row r="210" spans="6:12" ht="12.5">
      <c r="F210" s="86"/>
      <c r="G210" s="86"/>
      <c r="H210" s="86"/>
      <c r="I210" s="65"/>
      <c r="J210" s="65"/>
      <c r="K210" s="87"/>
      <c r="L210" s="88"/>
    </row>
    <row r="211" spans="6:12" ht="12.5">
      <c r="F211" s="86"/>
      <c r="G211" s="86"/>
      <c r="H211" s="86"/>
      <c r="I211" s="65"/>
      <c r="J211" s="65"/>
      <c r="K211" s="87"/>
      <c r="L211" s="88"/>
    </row>
    <row r="212" spans="6:12" ht="12.5">
      <c r="F212" s="86"/>
      <c r="G212" s="86"/>
      <c r="H212" s="86"/>
      <c r="I212" s="65"/>
      <c r="J212" s="65"/>
      <c r="K212" s="87"/>
      <c r="L212" s="88"/>
    </row>
    <row r="213" spans="6:12" ht="12.5">
      <c r="F213" s="86"/>
      <c r="G213" s="86"/>
      <c r="H213" s="86"/>
      <c r="I213" s="65"/>
      <c r="J213" s="65"/>
      <c r="K213" s="87"/>
      <c r="L213" s="88"/>
    </row>
    <row r="214" spans="6:12" ht="12.5">
      <c r="F214" s="86"/>
      <c r="G214" s="86"/>
      <c r="H214" s="86"/>
      <c r="I214" s="65"/>
      <c r="J214" s="65"/>
      <c r="K214" s="87"/>
      <c r="L214" s="88"/>
    </row>
    <row r="215" spans="6:12" ht="12.5">
      <c r="F215" s="86"/>
      <c r="G215" s="86"/>
      <c r="H215" s="86"/>
      <c r="I215" s="65"/>
      <c r="J215" s="65"/>
      <c r="K215" s="87"/>
      <c r="L215" s="88"/>
    </row>
    <row r="216" spans="6:12" ht="12.5">
      <c r="F216" s="86"/>
      <c r="G216" s="86"/>
      <c r="H216" s="86"/>
      <c r="I216" s="65"/>
      <c r="J216" s="65"/>
      <c r="K216" s="87"/>
      <c r="L216" s="88"/>
    </row>
    <row r="217" spans="6:12" ht="12.5">
      <c r="F217" s="86"/>
      <c r="G217" s="86"/>
      <c r="H217" s="86"/>
      <c r="I217" s="65"/>
      <c r="J217" s="65"/>
      <c r="K217" s="87"/>
      <c r="L217" s="88"/>
    </row>
    <row r="218" spans="6:12" ht="12.5">
      <c r="F218" s="86"/>
      <c r="G218" s="86"/>
      <c r="H218" s="86"/>
      <c r="I218" s="65"/>
      <c r="J218" s="65"/>
      <c r="K218" s="87"/>
      <c r="L218" s="88"/>
    </row>
    <row r="219" spans="6:12" ht="12.5">
      <c r="F219" s="86"/>
      <c r="G219" s="86"/>
      <c r="H219" s="86"/>
      <c r="I219" s="65"/>
      <c r="J219" s="65"/>
      <c r="K219" s="87"/>
      <c r="L219" s="88"/>
    </row>
    <row r="220" spans="6:12" ht="12.5">
      <c r="F220" s="86"/>
      <c r="G220" s="86"/>
      <c r="H220" s="86"/>
      <c r="I220" s="65"/>
      <c r="J220" s="65"/>
      <c r="K220" s="87"/>
      <c r="L220" s="88"/>
    </row>
    <row r="221" spans="6:12" ht="12.5">
      <c r="F221" s="86"/>
      <c r="G221" s="86"/>
      <c r="H221" s="86"/>
      <c r="I221" s="65"/>
      <c r="J221" s="65"/>
      <c r="K221" s="87"/>
      <c r="L221" s="88"/>
    </row>
    <row r="222" spans="6:12" ht="12.5">
      <c r="F222" s="86"/>
      <c r="G222" s="86"/>
      <c r="H222" s="86"/>
      <c r="I222" s="65"/>
      <c r="J222" s="65"/>
      <c r="K222" s="87"/>
      <c r="L222" s="88"/>
    </row>
    <row r="223" spans="6:12" ht="12.5">
      <c r="F223" s="86"/>
      <c r="G223" s="86"/>
      <c r="H223" s="86"/>
      <c r="I223" s="65"/>
      <c r="J223" s="65"/>
      <c r="K223" s="87"/>
      <c r="L223" s="88"/>
    </row>
    <row r="224" spans="6:12" ht="12.5">
      <c r="F224" s="86"/>
      <c r="G224" s="86"/>
      <c r="H224" s="86"/>
      <c r="I224" s="65"/>
      <c r="J224" s="65"/>
      <c r="K224" s="87"/>
      <c r="L224" s="88"/>
    </row>
    <row r="225" spans="6:12" ht="12.5">
      <c r="F225" s="86"/>
      <c r="G225" s="86"/>
      <c r="H225" s="86"/>
      <c r="I225" s="65"/>
      <c r="J225" s="65"/>
      <c r="K225" s="87"/>
      <c r="L225" s="88"/>
    </row>
    <row r="226" spans="6:12" ht="12.5">
      <c r="F226" s="86"/>
      <c r="G226" s="86"/>
      <c r="H226" s="86"/>
      <c r="I226" s="65"/>
      <c r="J226" s="65"/>
      <c r="K226" s="87"/>
      <c r="L226" s="88"/>
    </row>
    <row r="227" spans="6:12" ht="12.5">
      <c r="F227" s="86"/>
      <c r="G227" s="86"/>
      <c r="H227" s="86"/>
      <c r="I227" s="65"/>
      <c r="J227" s="65"/>
      <c r="K227" s="87"/>
      <c r="L227" s="88"/>
    </row>
    <row r="228" spans="6:12" ht="12.5">
      <c r="F228" s="86"/>
      <c r="G228" s="86"/>
      <c r="H228" s="86"/>
      <c r="I228" s="65"/>
      <c r="J228" s="65"/>
      <c r="K228" s="87"/>
      <c r="L228" s="88"/>
    </row>
    <row r="229" spans="6:12" ht="12.5">
      <c r="F229" s="86"/>
      <c r="G229" s="86"/>
      <c r="H229" s="86"/>
      <c r="I229" s="65"/>
      <c r="J229" s="65"/>
      <c r="K229" s="87"/>
      <c r="L229" s="88"/>
    </row>
    <row r="230" spans="6:12" ht="12.5">
      <c r="F230" s="86"/>
      <c r="G230" s="86"/>
      <c r="H230" s="86"/>
      <c r="I230" s="65"/>
      <c r="J230" s="65"/>
      <c r="K230" s="87"/>
      <c r="L230" s="88"/>
    </row>
    <row r="231" spans="6:12" ht="12.5">
      <c r="F231" s="86"/>
      <c r="G231" s="86"/>
      <c r="H231" s="86"/>
      <c r="I231" s="65"/>
      <c r="J231" s="65"/>
      <c r="K231" s="87"/>
      <c r="L231" s="88"/>
    </row>
    <row r="232" spans="6:12" ht="12.5">
      <c r="F232" s="86"/>
      <c r="G232" s="86"/>
      <c r="H232" s="86"/>
      <c r="I232" s="65"/>
      <c r="J232" s="65"/>
      <c r="K232" s="87"/>
      <c r="L232" s="88"/>
    </row>
    <row r="233" spans="6:12" ht="12.5">
      <c r="F233" s="86"/>
      <c r="G233" s="86"/>
      <c r="H233" s="86"/>
      <c r="I233" s="65"/>
      <c r="J233" s="65"/>
      <c r="K233" s="87"/>
      <c r="L233" s="88"/>
    </row>
    <row r="234" spans="6:12" ht="12.5">
      <c r="F234" s="86"/>
      <c r="G234" s="86"/>
      <c r="H234" s="86"/>
      <c r="I234" s="65"/>
      <c r="J234" s="65"/>
      <c r="K234" s="87"/>
      <c r="L234" s="88"/>
    </row>
    <row r="235" spans="6:12" ht="12.5">
      <c r="F235" s="86"/>
      <c r="G235" s="86"/>
      <c r="H235" s="86"/>
      <c r="I235" s="65"/>
      <c r="J235" s="65"/>
      <c r="K235" s="87"/>
      <c r="L235" s="88"/>
    </row>
    <row r="236" spans="6:12" ht="12.5">
      <c r="F236" s="86"/>
      <c r="G236" s="86"/>
      <c r="H236" s="86"/>
      <c r="I236" s="65"/>
      <c r="J236" s="65"/>
      <c r="K236" s="87"/>
      <c r="L236" s="88"/>
    </row>
    <row r="237" spans="6:12" ht="12.5">
      <c r="F237" s="86"/>
      <c r="G237" s="86"/>
      <c r="H237" s="86"/>
      <c r="I237" s="65"/>
      <c r="J237" s="65"/>
      <c r="K237" s="87"/>
      <c r="L237" s="88"/>
    </row>
    <row r="238" spans="6:12" ht="12.5">
      <c r="F238" s="86"/>
      <c r="G238" s="86"/>
      <c r="H238" s="86"/>
      <c r="I238" s="65"/>
      <c r="J238" s="65"/>
      <c r="K238" s="87"/>
      <c r="L238" s="88"/>
    </row>
    <row r="239" spans="6:12" ht="12.5">
      <c r="F239" s="86"/>
      <c r="G239" s="86"/>
      <c r="H239" s="86"/>
      <c r="I239" s="65"/>
      <c r="J239" s="65"/>
      <c r="K239" s="87"/>
      <c r="L239" s="88"/>
    </row>
    <row r="240" spans="6:12" ht="12.5">
      <c r="F240" s="86"/>
      <c r="G240" s="86"/>
      <c r="H240" s="86"/>
      <c r="I240" s="65"/>
      <c r="J240" s="65"/>
      <c r="K240" s="87"/>
      <c r="L240" s="88"/>
    </row>
    <row r="241" spans="6:12" ht="12.5">
      <c r="F241" s="86"/>
      <c r="G241" s="86"/>
      <c r="H241" s="86"/>
      <c r="I241" s="65"/>
      <c r="J241" s="65"/>
      <c r="K241" s="87"/>
      <c r="L241" s="88"/>
    </row>
    <row r="242" spans="6:12" ht="12.5">
      <c r="F242" s="86"/>
      <c r="G242" s="86"/>
      <c r="H242" s="86"/>
      <c r="I242" s="65"/>
      <c r="J242" s="65"/>
      <c r="K242" s="87"/>
      <c r="L242" s="88"/>
    </row>
    <row r="243" spans="6:12" ht="12.5">
      <c r="F243" s="86"/>
      <c r="G243" s="86"/>
      <c r="H243" s="86"/>
      <c r="I243" s="65"/>
      <c r="J243" s="65"/>
      <c r="K243" s="87"/>
      <c r="L243" s="88"/>
    </row>
    <row r="244" spans="6:12" ht="12.5">
      <c r="F244" s="86"/>
      <c r="G244" s="86"/>
      <c r="H244" s="86"/>
      <c r="I244" s="65"/>
      <c r="J244" s="65"/>
      <c r="K244" s="87"/>
      <c r="L244" s="88"/>
    </row>
    <row r="245" spans="6:12" ht="12.5">
      <c r="F245" s="86"/>
      <c r="G245" s="86"/>
      <c r="H245" s="86"/>
      <c r="I245" s="65"/>
      <c r="J245" s="65"/>
      <c r="K245" s="87"/>
      <c r="L245" s="88"/>
    </row>
    <row r="246" spans="6:12" ht="12.5">
      <c r="F246" s="86"/>
      <c r="G246" s="86"/>
      <c r="H246" s="86"/>
      <c r="I246" s="65"/>
      <c r="J246" s="65"/>
      <c r="K246" s="87"/>
      <c r="L246" s="88"/>
    </row>
    <row r="247" spans="6:12" ht="12.5">
      <c r="F247" s="86"/>
      <c r="G247" s="86"/>
      <c r="H247" s="86"/>
      <c r="I247" s="65"/>
      <c r="J247" s="65"/>
      <c r="K247" s="87"/>
      <c r="L247" s="88"/>
    </row>
    <row r="248" spans="6:12" ht="12.5">
      <c r="F248" s="86"/>
      <c r="G248" s="86"/>
      <c r="H248" s="86"/>
      <c r="I248" s="65"/>
      <c r="J248" s="65"/>
      <c r="K248" s="87"/>
      <c r="L248" s="88"/>
    </row>
    <row r="249" spans="6:12" ht="12.5">
      <c r="F249" s="86"/>
      <c r="G249" s="86"/>
      <c r="H249" s="86"/>
      <c r="I249" s="65"/>
      <c r="J249" s="65"/>
      <c r="K249" s="87"/>
      <c r="L249" s="88"/>
    </row>
    <row r="250" spans="6:12" ht="12.5">
      <c r="F250" s="86"/>
      <c r="G250" s="86"/>
      <c r="H250" s="86"/>
      <c r="I250" s="65"/>
      <c r="J250" s="65"/>
      <c r="K250" s="87"/>
      <c r="L250" s="88"/>
    </row>
    <row r="251" spans="6:12" ht="12.5">
      <c r="F251" s="86"/>
      <c r="G251" s="86"/>
      <c r="H251" s="86"/>
      <c r="I251" s="65"/>
      <c r="J251" s="65"/>
      <c r="K251" s="87"/>
      <c r="L251" s="88"/>
    </row>
    <row r="252" spans="6:12" ht="12.5">
      <c r="F252" s="86"/>
      <c r="G252" s="86"/>
      <c r="H252" s="86"/>
      <c r="I252" s="65"/>
      <c r="J252" s="65"/>
      <c r="K252" s="87"/>
      <c r="L252" s="88"/>
    </row>
    <row r="253" spans="6:12" ht="12.5">
      <c r="F253" s="86"/>
      <c r="G253" s="86"/>
      <c r="H253" s="86"/>
      <c r="I253" s="65"/>
      <c r="J253" s="65"/>
      <c r="K253" s="87"/>
      <c r="L253" s="88"/>
    </row>
    <row r="254" spans="6:12" ht="12.5">
      <c r="F254" s="86"/>
      <c r="G254" s="86"/>
      <c r="H254" s="86"/>
      <c r="I254" s="65"/>
      <c r="J254" s="65"/>
      <c r="K254" s="87"/>
      <c r="L254" s="88"/>
    </row>
    <row r="255" spans="6:12" ht="12.5">
      <c r="F255" s="86"/>
      <c r="G255" s="86"/>
      <c r="H255" s="86"/>
      <c r="I255" s="65"/>
      <c r="J255" s="65"/>
      <c r="K255" s="87"/>
      <c r="L255" s="88"/>
    </row>
    <row r="256" spans="6:12" ht="12.5">
      <c r="F256" s="86"/>
      <c r="G256" s="86"/>
      <c r="H256" s="86"/>
      <c r="I256" s="65"/>
      <c r="J256" s="65"/>
      <c r="K256" s="87"/>
      <c r="L256" s="88"/>
    </row>
    <row r="257" spans="6:12" ht="12.5">
      <c r="F257" s="86"/>
      <c r="G257" s="86"/>
      <c r="H257" s="86"/>
      <c r="I257" s="65"/>
      <c r="J257" s="65"/>
      <c r="K257" s="87"/>
      <c r="L257" s="88"/>
    </row>
    <row r="258" spans="6:12" ht="12.5">
      <c r="F258" s="86"/>
      <c r="G258" s="86"/>
      <c r="H258" s="86"/>
      <c r="I258" s="65"/>
      <c r="J258" s="65"/>
      <c r="K258" s="87"/>
      <c r="L258" s="88"/>
    </row>
    <row r="259" spans="6:12" ht="12.5">
      <c r="F259" s="86"/>
      <c r="G259" s="86"/>
      <c r="H259" s="86"/>
      <c r="I259" s="65"/>
      <c r="J259" s="65"/>
      <c r="K259" s="87"/>
      <c r="L259" s="88"/>
    </row>
    <row r="260" spans="6:12" ht="12.5">
      <c r="F260" s="86"/>
      <c r="G260" s="86"/>
      <c r="H260" s="86"/>
      <c r="I260" s="65"/>
      <c r="J260" s="65"/>
      <c r="K260" s="87"/>
      <c r="L260" s="88"/>
    </row>
    <row r="261" spans="6:12" ht="12.5">
      <c r="F261" s="86"/>
      <c r="G261" s="86"/>
      <c r="H261" s="86"/>
      <c r="I261" s="65"/>
      <c r="J261" s="65"/>
      <c r="K261" s="87"/>
      <c r="L261" s="88"/>
    </row>
    <row r="262" spans="6:12" ht="12.5">
      <c r="F262" s="86"/>
      <c r="G262" s="86"/>
      <c r="H262" s="86"/>
      <c r="I262" s="65"/>
      <c r="J262" s="65"/>
      <c r="K262" s="87"/>
      <c r="L262" s="88"/>
    </row>
    <row r="263" spans="6:12" ht="12.5">
      <c r="F263" s="86"/>
      <c r="G263" s="86"/>
      <c r="H263" s="86"/>
      <c r="I263" s="65"/>
      <c r="J263" s="65"/>
      <c r="K263" s="87"/>
      <c r="L263" s="88"/>
    </row>
    <row r="264" spans="6:12" ht="12.5">
      <c r="F264" s="86"/>
      <c r="G264" s="86"/>
      <c r="H264" s="86"/>
      <c r="I264" s="65"/>
      <c r="J264" s="65"/>
      <c r="K264" s="87"/>
      <c r="L264" s="88"/>
    </row>
    <row r="265" spans="6:12" ht="12.5">
      <c r="F265" s="86"/>
      <c r="G265" s="86"/>
      <c r="H265" s="86"/>
      <c r="I265" s="65"/>
      <c r="J265" s="65"/>
      <c r="K265" s="87"/>
      <c r="L265" s="88"/>
    </row>
    <row r="266" spans="6:12" ht="12.5">
      <c r="F266" s="86"/>
      <c r="G266" s="86"/>
      <c r="H266" s="86"/>
      <c r="I266" s="65"/>
      <c r="J266" s="65"/>
      <c r="K266" s="87"/>
      <c r="L266" s="88"/>
    </row>
    <row r="267" spans="6:12" ht="12.5">
      <c r="F267" s="86"/>
      <c r="G267" s="86"/>
      <c r="H267" s="86"/>
      <c r="I267" s="65"/>
      <c r="J267" s="65"/>
      <c r="K267" s="87"/>
      <c r="L267" s="88"/>
    </row>
    <row r="268" spans="6:12" ht="12.5">
      <c r="F268" s="86"/>
      <c r="G268" s="86"/>
      <c r="H268" s="86"/>
      <c r="I268" s="65"/>
      <c r="J268" s="65"/>
      <c r="K268" s="87"/>
      <c r="L268" s="88"/>
    </row>
    <row r="269" spans="6:12" ht="12.5">
      <c r="F269" s="86"/>
      <c r="G269" s="86"/>
      <c r="H269" s="86"/>
      <c r="I269" s="65"/>
      <c r="J269" s="65"/>
      <c r="K269" s="87"/>
      <c r="L269" s="88"/>
    </row>
    <row r="270" spans="6:12" ht="12.5">
      <c r="F270" s="86"/>
      <c r="G270" s="86"/>
      <c r="H270" s="86"/>
      <c r="I270" s="65"/>
      <c r="J270" s="65"/>
      <c r="K270" s="87"/>
      <c r="L270" s="88"/>
    </row>
    <row r="271" spans="6:12" ht="12.5">
      <c r="F271" s="86"/>
      <c r="G271" s="86"/>
      <c r="H271" s="86"/>
      <c r="I271" s="65"/>
      <c r="J271" s="65"/>
      <c r="K271" s="87"/>
      <c r="L271" s="88"/>
    </row>
    <row r="272" spans="6:12" ht="12.5">
      <c r="F272" s="86"/>
      <c r="G272" s="86"/>
      <c r="H272" s="86"/>
      <c r="I272" s="65"/>
      <c r="J272" s="65"/>
      <c r="K272" s="87"/>
      <c r="L272" s="88"/>
    </row>
    <row r="273" spans="6:12" ht="12.5">
      <c r="F273" s="86"/>
      <c r="G273" s="86"/>
      <c r="H273" s="86"/>
      <c r="I273" s="65"/>
      <c r="J273" s="65"/>
      <c r="K273" s="87"/>
      <c r="L273" s="88"/>
    </row>
    <row r="274" spans="6:12" ht="12.5">
      <c r="F274" s="86"/>
      <c r="G274" s="86"/>
      <c r="H274" s="86"/>
      <c r="I274" s="65"/>
      <c r="J274" s="65"/>
      <c r="K274" s="87"/>
      <c r="L274" s="88"/>
    </row>
    <row r="275" spans="6:12" ht="12.5">
      <c r="F275" s="86"/>
      <c r="G275" s="86"/>
      <c r="H275" s="86"/>
      <c r="I275" s="65"/>
      <c r="J275" s="65"/>
      <c r="K275" s="87"/>
      <c r="L275" s="88"/>
    </row>
    <row r="276" spans="6:12" ht="12.5">
      <c r="F276" s="86"/>
      <c r="G276" s="86"/>
      <c r="H276" s="86"/>
      <c r="I276" s="65"/>
      <c r="J276" s="65"/>
      <c r="K276" s="87"/>
      <c r="L276" s="88"/>
    </row>
    <row r="277" spans="6:12" ht="12.5">
      <c r="F277" s="86"/>
      <c r="G277" s="86"/>
      <c r="H277" s="86"/>
      <c r="I277" s="65"/>
      <c r="J277" s="65"/>
      <c r="K277" s="87"/>
      <c r="L277" s="88"/>
    </row>
    <row r="278" spans="6:12" ht="12.5">
      <c r="F278" s="86"/>
      <c r="G278" s="86"/>
      <c r="H278" s="86"/>
      <c r="I278" s="65"/>
      <c r="J278" s="65"/>
      <c r="K278" s="87"/>
      <c r="L278" s="88"/>
    </row>
    <row r="279" spans="6:12" ht="12.5">
      <c r="F279" s="86"/>
      <c r="G279" s="86"/>
      <c r="H279" s="86"/>
      <c r="I279" s="65"/>
      <c r="J279" s="65"/>
      <c r="K279" s="87"/>
      <c r="L279" s="88"/>
    </row>
    <row r="280" spans="6:12" ht="12.5">
      <c r="F280" s="86"/>
      <c r="G280" s="86"/>
      <c r="H280" s="86"/>
      <c r="I280" s="65"/>
      <c r="J280" s="65"/>
      <c r="K280" s="87"/>
      <c r="L280" s="88"/>
    </row>
    <row r="281" spans="6:12" ht="12.5">
      <c r="F281" s="86"/>
      <c r="G281" s="86"/>
      <c r="H281" s="86"/>
      <c r="I281" s="65"/>
      <c r="J281" s="65"/>
      <c r="K281" s="87"/>
      <c r="L281" s="88"/>
    </row>
    <row r="282" spans="6:12" ht="12.5">
      <c r="F282" s="86"/>
      <c r="G282" s="86"/>
      <c r="H282" s="86"/>
      <c r="I282" s="65"/>
      <c r="J282" s="65"/>
      <c r="K282" s="87"/>
      <c r="L282" s="88"/>
    </row>
    <row r="283" spans="6:12" ht="12.5">
      <c r="F283" s="86"/>
      <c r="G283" s="86"/>
      <c r="H283" s="86"/>
      <c r="I283" s="65"/>
      <c r="J283" s="65"/>
      <c r="K283" s="87"/>
      <c r="L283" s="88"/>
    </row>
    <row r="284" spans="6:12" ht="12.5">
      <c r="F284" s="86"/>
      <c r="G284" s="86"/>
      <c r="H284" s="86"/>
      <c r="I284" s="65"/>
      <c r="J284" s="65"/>
      <c r="K284" s="87"/>
      <c r="L284" s="88"/>
    </row>
    <row r="285" spans="6:12" ht="12.5">
      <c r="F285" s="86"/>
      <c r="G285" s="86"/>
      <c r="H285" s="86"/>
      <c r="I285" s="65"/>
      <c r="J285" s="65"/>
      <c r="K285" s="87"/>
      <c r="L285" s="88"/>
    </row>
    <row r="286" spans="6:12" ht="12.5">
      <c r="F286" s="86"/>
      <c r="G286" s="86"/>
      <c r="H286" s="86"/>
      <c r="I286" s="65"/>
      <c r="J286" s="65"/>
      <c r="K286" s="87"/>
      <c r="L286" s="88"/>
    </row>
    <row r="287" spans="6:12" ht="12.5">
      <c r="F287" s="86"/>
      <c r="G287" s="86"/>
      <c r="H287" s="86"/>
      <c r="I287" s="65"/>
      <c r="J287" s="65"/>
      <c r="K287" s="87"/>
      <c r="L287" s="88"/>
    </row>
    <row r="288" spans="6:12" ht="12.5">
      <c r="F288" s="86"/>
      <c r="G288" s="86"/>
      <c r="H288" s="86"/>
      <c r="I288" s="65"/>
      <c r="J288" s="65"/>
      <c r="K288" s="87"/>
      <c r="L288" s="88"/>
    </row>
    <row r="289" spans="6:12" ht="12.5">
      <c r="F289" s="86"/>
      <c r="G289" s="86"/>
      <c r="H289" s="86"/>
      <c r="I289" s="65"/>
      <c r="J289" s="65"/>
      <c r="K289" s="87"/>
      <c r="L289" s="88"/>
    </row>
    <row r="290" spans="6:12" ht="12.5">
      <c r="F290" s="86"/>
      <c r="G290" s="86"/>
      <c r="H290" s="86"/>
      <c r="I290" s="65"/>
      <c r="J290" s="65"/>
      <c r="K290" s="87"/>
      <c r="L290" s="88"/>
    </row>
    <row r="291" spans="6:12" ht="12.5">
      <c r="F291" s="86"/>
      <c r="G291" s="86"/>
      <c r="H291" s="86"/>
      <c r="I291" s="65"/>
      <c r="J291" s="65"/>
      <c r="K291" s="87"/>
      <c r="L291" s="88"/>
    </row>
    <row r="292" spans="6:12" ht="12.5">
      <c r="F292" s="86"/>
      <c r="G292" s="86"/>
      <c r="H292" s="86"/>
      <c r="I292" s="65"/>
      <c r="J292" s="65"/>
      <c r="K292" s="87"/>
      <c r="L292" s="88"/>
    </row>
    <row r="293" spans="6:12" ht="12.5">
      <c r="F293" s="86"/>
      <c r="G293" s="86"/>
      <c r="H293" s="86"/>
      <c r="I293" s="65"/>
      <c r="J293" s="65"/>
      <c r="K293" s="87"/>
      <c r="L293" s="88"/>
    </row>
    <row r="294" spans="6:12" ht="12.5">
      <c r="F294" s="86"/>
      <c r="G294" s="86"/>
      <c r="H294" s="86"/>
      <c r="I294" s="65"/>
      <c r="J294" s="65"/>
      <c r="K294" s="87"/>
      <c r="L294" s="88"/>
    </row>
    <row r="295" spans="6:12" ht="12.5">
      <c r="F295" s="86"/>
      <c r="G295" s="86"/>
      <c r="H295" s="86"/>
      <c r="I295" s="65"/>
      <c r="J295" s="65"/>
      <c r="K295" s="87"/>
      <c r="L295" s="88"/>
    </row>
    <row r="296" spans="6:12" ht="12.5">
      <c r="F296" s="86"/>
      <c r="G296" s="86"/>
      <c r="H296" s="86"/>
      <c r="I296" s="65"/>
      <c r="J296" s="65"/>
      <c r="K296" s="87"/>
      <c r="L296" s="88"/>
    </row>
    <row r="297" spans="6:12" ht="12.5">
      <c r="F297" s="86"/>
      <c r="G297" s="86"/>
      <c r="H297" s="86"/>
      <c r="I297" s="65"/>
      <c r="J297" s="65"/>
      <c r="K297" s="87"/>
      <c r="L297" s="88"/>
    </row>
    <row r="298" spans="6:12" ht="12.5">
      <c r="F298" s="86"/>
      <c r="G298" s="86"/>
      <c r="H298" s="86"/>
      <c r="I298" s="65"/>
      <c r="J298" s="65"/>
      <c r="K298" s="87"/>
      <c r="L298" s="88"/>
    </row>
    <row r="299" spans="6:12" ht="12.5">
      <c r="F299" s="86"/>
      <c r="G299" s="86"/>
      <c r="H299" s="86"/>
      <c r="I299" s="65"/>
      <c r="J299" s="65"/>
      <c r="K299" s="87"/>
      <c r="L299" s="88"/>
    </row>
    <row r="300" spans="6:12" ht="12.5">
      <c r="F300" s="86"/>
      <c r="G300" s="86"/>
      <c r="H300" s="86"/>
      <c r="I300" s="65"/>
      <c r="J300" s="65"/>
      <c r="K300" s="87"/>
      <c r="L300" s="88"/>
    </row>
    <row r="301" spans="6:12" ht="12.5">
      <c r="F301" s="86"/>
      <c r="G301" s="86"/>
      <c r="H301" s="86"/>
      <c r="I301" s="65"/>
      <c r="J301" s="65"/>
      <c r="K301" s="87"/>
      <c r="L301" s="88"/>
    </row>
    <row r="302" spans="6:12" ht="12.5">
      <c r="F302" s="86"/>
      <c r="G302" s="86"/>
      <c r="H302" s="86"/>
      <c r="I302" s="65"/>
      <c r="J302" s="65"/>
      <c r="K302" s="87"/>
      <c r="L302" s="88"/>
    </row>
    <row r="303" spans="6:12" ht="12.5">
      <c r="F303" s="86"/>
      <c r="G303" s="86"/>
      <c r="H303" s="86"/>
      <c r="I303" s="65"/>
      <c r="J303" s="65"/>
      <c r="K303" s="87"/>
      <c r="L303" s="88"/>
    </row>
    <row r="304" spans="6:12" ht="12.5">
      <c r="F304" s="86"/>
      <c r="G304" s="86"/>
      <c r="H304" s="86"/>
      <c r="I304" s="65"/>
      <c r="J304" s="65"/>
      <c r="K304" s="87"/>
      <c r="L304" s="88"/>
    </row>
    <row r="305" spans="6:12" ht="12.5">
      <c r="F305" s="86"/>
      <c r="G305" s="86"/>
      <c r="H305" s="86"/>
      <c r="I305" s="65"/>
      <c r="J305" s="65"/>
      <c r="K305" s="87"/>
      <c r="L305" s="88"/>
    </row>
    <row r="306" spans="6:12" ht="12.5">
      <c r="F306" s="86"/>
      <c r="G306" s="86"/>
      <c r="H306" s="86"/>
      <c r="I306" s="65"/>
      <c r="J306" s="65"/>
      <c r="K306" s="87"/>
      <c r="L306" s="88"/>
    </row>
    <row r="307" spans="6:12" ht="12.5">
      <c r="F307" s="86"/>
      <c r="G307" s="86"/>
      <c r="H307" s="86"/>
      <c r="I307" s="65"/>
      <c r="J307" s="65"/>
      <c r="K307" s="87"/>
      <c r="L307" s="88"/>
    </row>
    <row r="308" spans="6:12" ht="12.5">
      <c r="F308" s="86"/>
      <c r="G308" s="86"/>
      <c r="H308" s="86"/>
      <c r="I308" s="65"/>
      <c r="J308" s="65"/>
      <c r="K308" s="87"/>
      <c r="L308" s="88"/>
    </row>
    <row r="309" spans="6:12" ht="12.5">
      <c r="F309" s="86"/>
      <c r="G309" s="86"/>
      <c r="H309" s="86"/>
      <c r="I309" s="65"/>
      <c r="J309" s="65"/>
      <c r="K309" s="87"/>
      <c r="L309" s="88"/>
    </row>
    <row r="310" spans="6:12" ht="12.5">
      <c r="F310" s="86"/>
      <c r="G310" s="86"/>
      <c r="H310" s="86"/>
      <c r="I310" s="65"/>
      <c r="J310" s="65"/>
      <c r="K310" s="87"/>
      <c r="L310" s="88"/>
    </row>
    <row r="311" spans="6:12" ht="12.5">
      <c r="F311" s="86"/>
      <c r="G311" s="86"/>
      <c r="H311" s="86"/>
      <c r="I311" s="65"/>
      <c r="J311" s="65"/>
      <c r="K311" s="87"/>
      <c r="L311" s="88"/>
    </row>
    <row r="312" spans="6:12" ht="12.5">
      <c r="F312" s="86"/>
      <c r="G312" s="86"/>
      <c r="H312" s="86"/>
      <c r="I312" s="65"/>
      <c r="J312" s="65"/>
      <c r="K312" s="87"/>
      <c r="L312" s="88"/>
    </row>
    <row r="313" spans="6:12" ht="12.5">
      <c r="F313" s="86"/>
      <c r="G313" s="86"/>
      <c r="H313" s="86"/>
      <c r="I313" s="65"/>
      <c r="J313" s="65"/>
      <c r="K313" s="87"/>
      <c r="L313" s="88"/>
    </row>
    <row r="314" spans="6:12" ht="12.5">
      <c r="F314" s="86"/>
      <c r="G314" s="86"/>
      <c r="H314" s="86"/>
      <c r="I314" s="65"/>
      <c r="J314" s="65"/>
      <c r="K314" s="87"/>
      <c r="L314" s="88"/>
    </row>
    <row r="315" spans="6:12" ht="12.5">
      <c r="F315" s="86"/>
      <c r="G315" s="86"/>
      <c r="H315" s="86"/>
      <c r="I315" s="65"/>
      <c r="J315" s="65"/>
      <c r="K315" s="87"/>
      <c r="L315" s="88"/>
    </row>
    <row r="316" spans="6:12" ht="12.5">
      <c r="F316" s="86"/>
      <c r="G316" s="86"/>
      <c r="H316" s="86"/>
      <c r="I316" s="65"/>
      <c r="J316" s="65"/>
      <c r="K316" s="87"/>
      <c r="L316" s="88"/>
    </row>
    <row r="317" spans="6:12" ht="12.5">
      <c r="F317" s="86"/>
      <c r="G317" s="86"/>
      <c r="H317" s="86"/>
      <c r="I317" s="65"/>
      <c r="J317" s="65"/>
      <c r="K317" s="87"/>
      <c r="L317" s="88"/>
    </row>
    <row r="318" spans="6:12" ht="12.5">
      <c r="F318" s="86"/>
      <c r="G318" s="86"/>
      <c r="H318" s="86"/>
      <c r="I318" s="65"/>
      <c r="J318" s="65"/>
      <c r="K318" s="87"/>
      <c r="L318" s="88"/>
    </row>
    <row r="319" spans="6:12" ht="12.5">
      <c r="F319" s="86"/>
      <c r="G319" s="86"/>
      <c r="H319" s="86"/>
      <c r="I319" s="65"/>
      <c r="J319" s="65"/>
      <c r="K319" s="87"/>
      <c r="L319" s="88"/>
    </row>
    <row r="320" spans="6:12" ht="12.5">
      <c r="F320" s="86"/>
      <c r="G320" s="86"/>
      <c r="H320" s="86"/>
      <c r="I320" s="65"/>
      <c r="J320" s="65"/>
      <c r="K320" s="87"/>
      <c r="L320" s="88"/>
    </row>
    <row r="321" spans="6:12" ht="12.5">
      <c r="F321" s="86"/>
      <c r="G321" s="86"/>
      <c r="H321" s="86"/>
      <c r="I321" s="65"/>
      <c r="J321" s="65"/>
      <c r="K321" s="87"/>
      <c r="L321" s="88"/>
    </row>
    <row r="322" spans="6:12" ht="12.5">
      <c r="F322" s="86"/>
      <c r="G322" s="86"/>
      <c r="H322" s="86"/>
      <c r="I322" s="65"/>
      <c r="J322" s="65"/>
      <c r="K322" s="87"/>
      <c r="L322" s="88"/>
    </row>
    <row r="323" spans="6:12" ht="12.5">
      <c r="F323" s="86"/>
      <c r="G323" s="86"/>
      <c r="H323" s="86"/>
      <c r="I323" s="65"/>
      <c r="J323" s="65"/>
      <c r="K323" s="87"/>
      <c r="L323" s="88"/>
    </row>
    <row r="324" spans="6:12" ht="12.5">
      <c r="F324" s="86"/>
      <c r="G324" s="86"/>
      <c r="H324" s="86"/>
      <c r="I324" s="65"/>
      <c r="J324" s="65"/>
      <c r="K324" s="87"/>
      <c r="L324" s="88"/>
    </row>
    <row r="325" spans="6:12" ht="12.5">
      <c r="F325" s="86"/>
      <c r="G325" s="86"/>
      <c r="H325" s="86"/>
      <c r="I325" s="65"/>
      <c r="J325" s="65"/>
      <c r="K325" s="87"/>
      <c r="L325" s="88"/>
    </row>
    <row r="326" spans="6:12" ht="12.5">
      <c r="F326" s="86"/>
      <c r="G326" s="86"/>
      <c r="H326" s="86"/>
      <c r="I326" s="65"/>
      <c r="J326" s="65"/>
      <c r="K326" s="87"/>
      <c r="L326" s="88"/>
    </row>
    <row r="327" spans="6:12" ht="12.5">
      <c r="F327" s="86"/>
      <c r="G327" s="86"/>
      <c r="H327" s="86"/>
      <c r="I327" s="65"/>
      <c r="J327" s="65"/>
      <c r="K327" s="87"/>
      <c r="L327" s="88"/>
    </row>
    <row r="328" spans="6:12" ht="12.5">
      <c r="F328" s="86"/>
      <c r="G328" s="86"/>
      <c r="H328" s="86"/>
      <c r="I328" s="65"/>
      <c r="J328" s="65"/>
      <c r="K328" s="87"/>
      <c r="L328" s="88"/>
    </row>
    <row r="329" spans="6:12" ht="12.5">
      <c r="F329" s="86"/>
      <c r="G329" s="86"/>
      <c r="H329" s="86"/>
      <c r="I329" s="65"/>
      <c r="J329" s="65"/>
      <c r="K329" s="87"/>
      <c r="L329" s="88"/>
    </row>
    <row r="330" spans="6:12" ht="12.5">
      <c r="F330" s="86"/>
      <c r="G330" s="86"/>
      <c r="H330" s="86"/>
      <c r="I330" s="65"/>
      <c r="J330" s="65"/>
      <c r="K330" s="87"/>
      <c r="L330" s="88"/>
    </row>
    <row r="331" spans="6:12" ht="12.5">
      <c r="F331" s="86"/>
      <c r="G331" s="86"/>
      <c r="H331" s="86"/>
      <c r="I331" s="65"/>
      <c r="J331" s="65"/>
      <c r="K331" s="87"/>
      <c r="L331" s="88"/>
    </row>
    <row r="332" spans="6:12" ht="12.5">
      <c r="F332" s="86"/>
      <c r="G332" s="86"/>
      <c r="H332" s="86"/>
      <c r="I332" s="65"/>
      <c r="J332" s="65"/>
      <c r="K332" s="87"/>
      <c r="L332" s="88"/>
    </row>
    <row r="333" spans="6:12" ht="12.5">
      <c r="F333" s="86"/>
      <c r="G333" s="86"/>
      <c r="H333" s="86"/>
      <c r="I333" s="65"/>
      <c r="J333" s="65"/>
      <c r="K333" s="87"/>
      <c r="L333" s="88"/>
    </row>
    <row r="334" spans="6:12" ht="12.5">
      <c r="F334" s="86"/>
      <c r="G334" s="86"/>
      <c r="H334" s="86"/>
      <c r="I334" s="65"/>
      <c r="J334" s="65"/>
      <c r="K334" s="87"/>
      <c r="L334" s="88"/>
    </row>
    <row r="335" spans="6:12" ht="12.5">
      <c r="F335" s="86"/>
      <c r="G335" s="86"/>
      <c r="H335" s="86"/>
      <c r="I335" s="65"/>
      <c r="J335" s="65"/>
      <c r="K335" s="87"/>
      <c r="L335" s="88"/>
    </row>
    <row r="336" spans="6:12" ht="12.5">
      <c r="F336" s="86"/>
      <c r="G336" s="86"/>
      <c r="H336" s="86"/>
      <c r="I336" s="65"/>
      <c r="J336" s="65"/>
      <c r="K336" s="87"/>
      <c r="L336" s="88"/>
    </row>
    <row r="337" spans="6:12" ht="12.5">
      <c r="F337" s="86"/>
      <c r="G337" s="86"/>
      <c r="H337" s="86"/>
      <c r="I337" s="65"/>
      <c r="J337" s="65"/>
      <c r="K337" s="87"/>
      <c r="L337" s="88"/>
    </row>
    <row r="338" spans="6:12" ht="12.5">
      <c r="F338" s="86"/>
      <c r="G338" s="86"/>
      <c r="H338" s="86"/>
      <c r="I338" s="65"/>
      <c r="J338" s="65"/>
      <c r="K338" s="87"/>
      <c r="L338" s="88"/>
    </row>
    <row r="339" spans="6:12" ht="12.5">
      <c r="F339" s="86"/>
      <c r="G339" s="86"/>
      <c r="H339" s="86"/>
      <c r="I339" s="65"/>
      <c r="J339" s="65"/>
      <c r="K339" s="87"/>
      <c r="L339" s="88"/>
    </row>
    <row r="340" spans="6:12" ht="12.5">
      <c r="F340" s="86"/>
      <c r="G340" s="86"/>
      <c r="H340" s="86"/>
      <c r="I340" s="65"/>
      <c r="J340" s="65"/>
      <c r="K340" s="87"/>
      <c r="L340" s="88"/>
    </row>
    <row r="341" spans="6:12" ht="12.5">
      <c r="F341" s="86"/>
      <c r="G341" s="86"/>
      <c r="H341" s="86"/>
      <c r="I341" s="65"/>
      <c r="J341" s="65"/>
      <c r="K341" s="87"/>
      <c r="L341" s="88"/>
    </row>
    <row r="342" spans="6:12" ht="12.5">
      <c r="F342" s="86"/>
      <c r="G342" s="86"/>
      <c r="H342" s="86"/>
      <c r="I342" s="65"/>
      <c r="J342" s="65"/>
      <c r="K342" s="87"/>
      <c r="L342" s="88"/>
    </row>
    <row r="343" spans="6:12" ht="12.5">
      <c r="F343" s="86"/>
      <c r="G343" s="86"/>
      <c r="H343" s="86"/>
      <c r="I343" s="65"/>
      <c r="J343" s="65"/>
      <c r="K343" s="87"/>
      <c r="L343" s="88"/>
    </row>
    <row r="344" spans="6:12" ht="12.5">
      <c r="F344" s="86"/>
      <c r="G344" s="86"/>
      <c r="H344" s="86"/>
      <c r="I344" s="65"/>
      <c r="J344" s="65"/>
      <c r="K344" s="87"/>
      <c r="L344" s="88"/>
    </row>
    <row r="345" spans="6:12" ht="12.5">
      <c r="F345" s="86"/>
      <c r="G345" s="86"/>
      <c r="H345" s="86"/>
      <c r="I345" s="65"/>
      <c r="J345" s="65"/>
      <c r="K345" s="87"/>
      <c r="L345" s="88"/>
    </row>
    <row r="346" spans="6:12" ht="12.5">
      <c r="F346" s="86"/>
      <c r="G346" s="86"/>
      <c r="H346" s="86"/>
      <c r="I346" s="65"/>
      <c r="J346" s="65"/>
      <c r="K346" s="87"/>
      <c r="L346" s="88"/>
    </row>
    <row r="347" spans="6:12" ht="12.5">
      <c r="F347" s="86"/>
      <c r="G347" s="86"/>
      <c r="H347" s="86"/>
      <c r="I347" s="65"/>
      <c r="J347" s="65"/>
      <c r="K347" s="87"/>
      <c r="L347" s="88"/>
    </row>
    <row r="348" spans="6:12" ht="12.5">
      <c r="F348" s="86"/>
      <c r="G348" s="86"/>
      <c r="H348" s="86"/>
      <c r="I348" s="65"/>
      <c r="J348" s="65"/>
      <c r="K348" s="87"/>
      <c r="L348" s="88"/>
    </row>
    <row r="349" spans="6:12" ht="12.5">
      <c r="F349" s="86"/>
      <c r="G349" s="86"/>
      <c r="H349" s="86"/>
      <c r="I349" s="65"/>
      <c r="J349" s="65"/>
      <c r="K349" s="87"/>
      <c r="L349" s="88"/>
    </row>
    <row r="350" spans="6:12" ht="12.5">
      <c r="F350" s="86"/>
      <c r="G350" s="86"/>
      <c r="H350" s="86"/>
      <c r="I350" s="65"/>
      <c r="J350" s="65"/>
      <c r="K350" s="87"/>
      <c r="L350" s="88"/>
    </row>
    <row r="351" spans="6:12" ht="12.5">
      <c r="F351" s="86"/>
      <c r="G351" s="86"/>
      <c r="H351" s="86"/>
      <c r="I351" s="65"/>
      <c r="J351" s="65"/>
      <c r="K351" s="87"/>
      <c r="L351" s="88"/>
    </row>
    <row r="352" spans="6:12" ht="12.5">
      <c r="F352" s="86"/>
      <c r="G352" s="86"/>
      <c r="H352" s="86"/>
      <c r="I352" s="65"/>
      <c r="J352" s="65"/>
      <c r="K352" s="87"/>
      <c r="L352" s="88"/>
    </row>
    <row r="353" spans="6:12" ht="12.5">
      <c r="F353" s="86"/>
      <c r="G353" s="86"/>
      <c r="H353" s="86"/>
      <c r="I353" s="65"/>
      <c r="J353" s="65"/>
      <c r="K353" s="87"/>
      <c r="L353" s="88"/>
    </row>
    <row r="354" spans="6:12" ht="12.5">
      <c r="F354" s="86"/>
      <c r="G354" s="86"/>
      <c r="H354" s="86"/>
      <c r="I354" s="65"/>
      <c r="J354" s="65"/>
      <c r="K354" s="87"/>
      <c r="L354" s="88"/>
    </row>
    <row r="355" spans="6:12" ht="12.5">
      <c r="F355" s="86"/>
      <c r="G355" s="86"/>
      <c r="H355" s="86"/>
      <c r="I355" s="65"/>
      <c r="J355" s="65"/>
      <c r="K355" s="87"/>
      <c r="L355" s="88"/>
    </row>
    <row r="356" spans="6:12" ht="12.5">
      <c r="F356" s="86"/>
      <c r="G356" s="86"/>
      <c r="H356" s="86"/>
      <c r="I356" s="65"/>
      <c r="J356" s="65"/>
      <c r="K356" s="87"/>
      <c r="L356" s="88"/>
    </row>
    <row r="357" spans="6:12" ht="12.5">
      <c r="F357" s="86"/>
      <c r="G357" s="86"/>
      <c r="H357" s="86"/>
      <c r="I357" s="65"/>
      <c r="J357" s="65"/>
      <c r="K357" s="87"/>
      <c r="L357" s="88"/>
    </row>
    <row r="358" spans="6:12" ht="12.5">
      <c r="F358" s="86"/>
      <c r="G358" s="86"/>
      <c r="H358" s="86"/>
      <c r="I358" s="65"/>
      <c r="J358" s="65"/>
      <c r="K358" s="87"/>
      <c r="L358" s="88"/>
    </row>
    <row r="359" spans="6:12" ht="12.5">
      <c r="F359" s="86"/>
      <c r="G359" s="86"/>
      <c r="H359" s="86"/>
      <c r="I359" s="65"/>
      <c r="J359" s="65"/>
      <c r="K359" s="87"/>
      <c r="L359" s="88"/>
    </row>
    <row r="360" spans="6:12" ht="12.5">
      <c r="F360" s="86"/>
      <c r="G360" s="86"/>
      <c r="H360" s="86"/>
      <c r="I360" s="65"/>
      <c r="J360" s="65"/>
      <c r="K360" s="87"/>
      <c r="L360" s="88"/>
    </row>
    <row r="361" spans="6:12" ht="12.5">
      <c r="F361" s="86"/>
      <c r="G361" s="86"/>
      <c r="H361" s="86"/>
      <c r="I361" s="65"/>
      <c r="J361" s="65"/>
      <c r="K361" s="87"/>
      <c r="L361" s="88"/>
    </row>
    <row r="362" spans="6:12" ht="12.5">
      <c r="F362" s="86"/>
      <c r="G362" s="86"/>
      <c r="H362" s="86"/>
      <c r="I362" s="65"/>
      <c r="J362" s="65"/>
      <c r="K362" s="87"/>
      <c r="L362" s="88"/>
    </row>
    <row r="363" spans="6:12" ht="12.5">
      <c r="F363" s="86"/>
      <c r="G363" s="86"/>
      <c r="H363" s="86"/>
      <c r="I363" s="65"/>
      <c r="J363" s="65"/>
      <c r="K363" s="87"/>
      <c r="L363" s="88"/>
    </row>
    <row r="364" spans="6:12" ht="12.5">
      <c r="F364" s="86"/>
      <c r="G364" s="86"/>
      <c r="H364" s="86"/>
      <c r="I364" s="65"/>
      <c r="J364" s="65"/>
      <c r="K364" s="87"/>
      <c r="L364" s="88"/>
    </row>
    <row r="365" spans="6:12" ht="12.5">
      <c r="F365" s="86"/>
      <c r="G365" s="86"/>
      <c r="H365" s="86"/>
      <c r="I365" s="65"/>
      <c r="J365" s="65"/>
      <c r="K365" s="87"/>
      <c r="L365" s="88"/>
    </row>
    <row r="366" spans="6:12" ht="12.5">
      <c r="F366" s="86"/>
      <c r="G366" s="86"/>
      <c r="H366" s="86"/>
      <c r="I366" s="65"/>
      <c r="J366" s="65"/>
      <c r="K366" s="87"/>
      <c r="L366" s="88"/>
    </row>
    <row r="367" spans="6:12" ht="12.5">
      <c r="F367" s="86"/>
      <c r="G367" s="86"/>
      <c r="H367" s="86"/>
      <c r="I367" s="65"/>
      <c r="J367" s="65"/>
      <c r="K367" s="87"/>
      <c r="L367" s="88"/>
    </row>
    <row r="368" spans="6:12" ht="12.5">
      <c r="F368" s="86"/>
      <c r="G368" s="86"/>
      <c r="H368" s="86"/>
      <c r="I368" s="65"/>
      <c r="J368" s="65"/>
      <c r="K368" s="87"/>
      <c r="L368" s="88"/>
    </row>
    <row r="369" spans="6:12" ht="12.5">
      <c r="F369" s="86"/>
      <c r="G369" s="86"/>
      <c r="H369" s="86"/>
      <c r="I369" s="65"/>
      <c r="J369" s="65"/>
      <c r="K369" s="87"/>
      <c r="L369" s="88"/>
    </row>
    <row r="370" spans="6:12" ht="12.5">
      <c r="F370" s="86"/>
      <c r="G370" s="86"/>
      <c r="H370" s="86"/>
      <c r="I370" s="65"/>
      <c r="J370" s="65"/>
      <c r="K370" s="87"/>
      <c r="L370" s="88"/>
    </row>
    <row r="371" spans="6:12" ht="12.5">
      <c r="F371" s="86"/>
      <c r="G371" s="86"/>
      <c r="H371" s="86"/>
      <c r="I371" s="65"/>
      <c r="J371" s="65"/>
      <c r="K371" s="87"/>
      <c r="L371" s="88"/>
    </row>
    <row r="372" spans="6:12" ht="12.5">
      <c r="F372" s="86"/>
      <c r="G372" s="86"/>
      <c r="H372" s="86"/>
      <c r="I372" s="65"/>
      <c r="J372" s="65"/>
      <c r="K372" s="87"/>
      <c r="L372" s="88"/>
    </row>
    <row r="373" spans="6:12" ht="12.5">
      <c r="F373" s="86"/>
      <c r="G373" s="86"/>
      <c r="H373" s="86"/>
      <c r="I373" s="65"/>
      <c r="J373" s="65"/>
      <c r="K373" s="87"/>
      <c r="L373" s="88"/>
    </row>
    <row r="374" spans="6:12" ht="12.5">
      <c r="F374" s="86"/>
      <c r="G374" s="86"/>
      <c r="H374" s="86"/>
      <c r="I374" s="65"/>
      <c r="J374" s="65"/>
      <c r="K374" s="87"/>
      <c r="L374" s="88"/>
    </row>
    <row r="375" spans="6:12" ht="12.5">
      <c r="F375" s="86"/>
      <c r="G375" s="86"/>
      <c r="H375" s="86"/>
      <c r="I375" s="65"/>
      <c r="J375" s="65"/>
      <c r="K375" s="87"/>
      <c r="L375" s="88"/>
    </row>
    <row r="376" spans="6:12" ht="12.5">
      <c r="F376" s="86"/>
      <c r="G376" s="86"/>
      <c r="H376" s="86"/>
      <c r="I376" s="65"/>
      <c r="J376" s="65"/>
      <c r="K376" s="87"/>
      <c r="L376" s="88"/>
    </row>
    <row r="377" spans="6:12" ht="12.5">
      <c r="F377" s="86"/>
      <c r="G377" s="86"/>
      <c r="H377" s="86"/>
      <c r="I377" s="65"/>
      <c r="J377" s="65"/>
      <c r="K377" s="87"/>
      <c r="L377" s="88"/>
    </row>
    <row r="378" spans="6:12" ht="12.5">
      <c r="F378" s="86"/>
      <c r="G378" s="86"/>
      <c r="H378" s="86"/>
      <c r="I378" s="65"/>
      <c r="J378" s="65"/>
      <c r="K378" s="87"/>
      <c r="L378" s="88"/>
    </row>
    <row r="379" spans="6:12" ht="12.5">
      <c r="F379" s="86"/>
      <c r="G379" s="86"/>
      <c r="H379" s="86"/>
      <c r="I379" s="65"/>
      <c r="J379" s="65"/>
      <c r="K379" s="87"/>
      <c r="L379" s="88"/>
    </row>
    <row r="380" spans="6:12" ht="12.5">
      <c r="F380" s="86"/>
      <c r="G380" s="86"/>
      <c r="H380" s="86"/>
      <c r="I380" s="65"/>
      <c r="J380" s="65"/>
      <c r="K380" s="87"/>
      <c r="L380" s="88"/>
    </row>
    <row r="381" spans="6:12" ht="12.5">
      <c r="F381" s="86"/>
      <c r="G381" s="86"/>
      <c r="H381" s="86"/>
      <c r="I381" s="65"/>
      <c r="J381" s="65"/>
      <c r="K381" s="87"/>
      <c r="L381" s="88"/>
    </row>
    <row r="382" spans="6:12" ht="12.5">
      <c r="F382" s="86"/>
      <c r="G382" s="86"/>
      <c r="H382" s="86"/>
      <c r="I382" s="65"/>
      <c r="J382" s="65"/>
      <c r="K382" s="87"/>
      <c r="L382" s="88"/>
    </row>
    <row r="383" spans="6:12" ht="12.5">
      <c r="F383" s="86"/>
      <c r="G383" s="86"/>
      <c r="H383" s="86"/>
      <c r="I383" s="65"/>
      <c r="J383" s="65"/>
      <c r="K383" s="87"/>
      <c r="L383" s="88"/>
    </row>
    <row r="384" spans="6:12" ht="12.5">
      <c r="F384" s="86"/>
      <c r="G384" s="86"/>
      <c r="H384" s="86"/>
      <c r="I384" s="65"/>
      <c r="J384" s="65"/>
      <c r="K384" s="87"/>
      <c r="L384" s="88"/>
    </row>
    <row r="385" spans="6:12" ht="12.5">
      <c r="F385" s="86"/>
      <c r="G385" s="86"/>
      <c r="H385" s="86"/>
      <c r="I385" s="65"/>
      <c r="J385" s="65"/>
      <c r="K385" s="87"/>
      <c r="L385" s="88"/>
    </row>
    <row r="386" spans="6:12" ht="12.5">
      <c r="F386" s="86"/>
      <c r="G386" s="86"/>
      <c r="H386" s="86"/>
      <c r="I386" s="65"/>
      <c r="J386" s="65"/>
      <c r="K386" s="87"/>
      <c r="L386" s="88"/>
    </row>
    <row r="387" spans="6:12" ht="12.5">
      <c r="F387" s="86"/>
      <c r="G387" s="86"/>
      <c r="H387" s="86"/>
      <c r="I387" s="65"/>
      <c r="J387" s="65"/>
      <c r="K387" s="87"/>
      <c r="L387" s="88"/>
    </row>
    <row r="388" spans="6:12" ht="12.5">
      <c r="F388" s="86"/>
      <c r="G388" s="86"/>
      <c r="H388" s="86"/>
      <c r="I388" s="65"/>
      <c r="J388" s="65"/>
      <c r="K388" s="87"/>
      <c r="L388" s="88"/>
    </row>
    <row r="389" spans="6:12" ht="12.5">
      <c r="F389" s="86"/>
      <c r="G389" s="86"/>
      <c r="H389" s="86"/>
      <c r="I389" s="65"/>
      <c r="J389" s="65"/>
      <c r="K389" s="87"/>
      <c r="L389" s="88"/>
    </row>
    <row r="390" spans="6:12" ht="12.5">
      <c r="F390" s="86"/>
      <c r="G390" s="86"/>
      <c r="H390" s="86"/>
      <c r="I390" s="65"/>
      <c r="J390" s="65"/>
      <c r="K390" s="87"/>
      <c r="L390" s="88"/>
    </row>
    <row r="391" spans="6:12" ht="12.5">
      <c r="F391" s="86"/>
      <c r="G391" s="86"/>
      <c r="H391" s="86"/>
      <c r="I391" s="65"/>
      <c r="J391" s="65"/>
      <c r="K391" s="87"/>
      <c r="L391" s="88"/>
    </row>
    <row r="392" spans="6:12" ht="12.5">
      <c r="F392" s="86"/>
      <c r="G392" s="86"/>
      <c r="H392" s="86"/>
      <c r="I392" s="65"/>
      <c r="J392" s="65"/>
      <c r="K392" s="87"/>
      <c r="L392" s="88"/>
    </row>
    <row r="393" spans="6:12" ht="12.5">
      <c r="F393" s="86"/>
      <c r="G393" s="86"/>
      <c r="H393" s="86"/>
      <c r="I393" s="65"/>
      <c r="J393" s="65"/>
      <c r="K393" s="87"/>
      <c r="L393" s="88"/>
    </row>
    <row r="394" spans="6:12" ht="12.5">
      <c r="F394" s="86"/>
      <c r="G394" s="86"/>
      <c r="H394" s="86"/>
      <c r="I394" s="65"/>
      <c r="J394" s="65"/>
      <c r="K394" s="87"/>
      <c r="L394" s="88"/>
    </row>
    <row r="395" spans="6:12" ht="12.5">
      <c r="F395" s="86"/>
      <c r="G395" s="86"/>
      <c r="H395" s="86"/>
      <c r="I395" s="65"/>
      <c r="J395" s="65"/>
      <c r="K395" s="87"/>
      <c r="L395" s="88"/>
    </row>
    <row r="396" spans="6:12" ht="12.5">
      <c r="F396" s="86"/>
      <c r="G396" s="86"/>
      <c r="H396" s="86"/>
      <c r="I396" s="65"/>
      <c r="J396" s="65"/>
      <c r="K396" s="87"/>
      <c r="L396" s="88"/>
    </row>
    <row r="397" spans="6:12" ht="12.5">
      <c r="F397" s="86"/>
      <c r="G397" s="86"/>
      <c r="H397" s="86"/>
      <c r="I397" s="65"/>
      <c r="J397" s="65"/>
      <c r="K397" s="87"/>
      <c r="L397" s="88"/>
    </row>
    <row r="398" spans="6:12" ht="12.5">
      <c r="F398" s="86"/>
      <c r="G398" s="86"/>
      <c r="H398" s="86"/>
      <c r="I398" s="65"/>
      <c r="J398" s="65"/>
      <c r="K398" s="87"/>
      <c r="L398" s="88"/>
    </row>
    <row r="399" spans="6:12" ht="12.5">
      <c r="F399" s="86"/>
      <c r="G399" s="86"/>
      <c r="H399" s="86"/>
      <c r="I399" s="65"/>
      <c r="J399" s="65"/>
      <c r="K399" s="87"/>
      <c r="L399" s="88"/>
    </row>
    <row r="400" spans="6:12" ht="12.5">
      <c r="F400" s="86"/>
      <c r="G400" s="86"/>
      <c r="H400" s="86"/>
      <c r="I400" s="65"/>
      <c r="J400" s="65"/>
      <c r="K400" s="87"/>
      <c r="L400" s="88"/>
    </row>
    <row r="401" spans="6:12" ht="12.5">
      <c r="F401" s="86"/>
      <c r="G401" s="86"/>
      <c r="H401" s="86"/>
      <c r="I401" s="65"/>
      <c r="J401" s="65"/>
      <c r="K401" s="87"/>
      <c r="L401" s="88"/>
    </row>
    <row r="402" spans="6:12" ht="12.5">
      <c r="F402" s="86"/>
      <c r="G402" s="86"/>
      <c r="H402" s="86"/>
      <c r="I402" s="65"/>
      <c r="J402" s="65"/>
      <c r="K402" s="87"/>
      <c r="L402" s="88"/>
    </row>
    <row r="403" spans="6:12" ht="12.5">
      <c r="F403" s="86"/>
      <c r="G403" s="86"/>
      <c r="H403" s="86"/>
      <c r="I403" s="65"/>
      <c r="J403" s="65"/>
      <c r="K403" s="87"/>
      <c r="L403" s="88"/>
    </row>
    <row r="404" spans="6:12" ht="12.5">
      <c r="F404" s="86"/>
      <c r="G404" s="86"/>
      <c r="H404" s="86"/>
      <c r="I404" s="65"/>
      <c r="J404" s="65"/>
      <c r="K404" s="87"/>
      <c r="L404" s="88"/>
    </row>
    <row r="405" spans="6:12" ht="12.5">
      <c r="F405" s="86"/>
      <c r="G405" s="86"/>
      <c r="H405" s="86"/>
      <c r="I405" s="65"/>
      <c r="J405" s="65"/>
      <c r="K405" s="87"/>
      <c r="L405" s="88"/>
    </row>
    <row r="406" spans="6:12" ht="12.5">
      <c r="F406" s="86"/>
      <c r="G406" s="86"/>
      <c r="H406" s="86"/>
      <c r="I406" s="65"/>
      <c r="J406" s="65"/>
      <c r="K406" s="87"/>
      <c r="L406" s="88"/>
    </row>
    <row r="407" spans="6:12" ht="12.5">
      <c r="F407" s="86"/>
      <c r="G407" s="86"/>
      <c r="H407" s="86"/>
      <c r="I407" s="65"/>
      <c r="J407" s="65"/>
      <c r="K407" s="87"/>
      <c r="L407" s="88"/>
    </row>
    <row r="408" spans="6:12" ht="12.5">
      <c r="F408" s="86"/>
      <c r="G408" s="86"/>
      <c r="H408" s="86"/>
      <c r="I408" s="65"/>
      <c r="J408" s="65"/>
      <c r="K408" s="87"/>
      <c r="L408" s="88"/>
    </row>
    <row r="409" spans="6:12" ht="12.5">
      <c r="F409" s="86"/>
      <c r="G409" s="86"/>
      <c r="H409" s="86"/>
      <c r="I409" s="65"/>
      <c r="J409" s="65"/>
      <c r="K409" s="87"/>
      <c r="L409" s="88"/>
    </row>
    <row r="410" spans="6:12" ht="12.5">
      <c r="F410" s="86"/>
      <c r="G410" s="86"/>
      <c r="H410" s="86"/>
      <c r="I410" s="65"/>
      <c r="J410" s="65"/>
      <c r="K410" s="87"/>
      <c r="L410" s="88"/>
    </row>
    <row r="411" spans="6:12" ht="12.5">
      <c r="F411" s="86"/>
      <c r="G411" s="86"/>
      <c r="H411" s="86"/>
      <c r="I411" s="65"/>
      <c r="J411" s="65"/>
      <c r="K411" s="87"/>
      <c r="L411" s="88"/>
    </row>
    <row r="412" spans="6:12" ht="12.5">
      <c r="F412" s="86"/>
      <c r="G412" s="86"/>
      <c r="H412" s="86"/>
      <c r="I412" s="65"/>
      <c r="J412" s="65"/>
      <c r="K412" s="87"/>
      <c r="L412" s="88"/>
    </row>
    <row r="413" spans="6:12" ht="12.5">
      <c r="F413" s="86"/>
      <c r="G413" s="86"/>
      <c r="H413" s="86"/>
      <c r="I413" s="65"/>
      <c r="J413" s="65"/>
      <c r="K413" s="87"/>
      <c r="L413" s="88"/>
    </row>
    <row r="414" spans="6:12" ht="12.5">
      <c r="F414" s="86"/>
      <c r="G414" s="86"/>
      <c r="H414" s="86"/>
      <c r="I414" s="65"/>
      <c r="J414" s="65"/>
      <c r="K414" s="87"/>
      <c r="L414" s="88"/>
    </row>
    <row r="415" spans="6:12" ht="12.5">
      <c r="F415" s="86"/>
      <c r="G415" s="86"/>
      <c r="H415" s="86"/>
      <c r="I415" s="65"/>
      <c r="J415" s="65"/>
      <c r="K415" s="87"/>
      <c r="L415" s="88"/>
    </row>
    <row r="416" spans="6:12" ht="12.5">
      <c r="F416" s="86"/>
      <c r="G416" s="86"/>
      <c r="H416" s="86"/>
      <c r="I416" s="65"/>
      <c r="J416" s="65"/>
      <c r="K416" s="87"/>
      <c r="L416" s="88"/>
    </row>
    <row r="417" spans="6:12" ht="12.5">
      <c r="F417" s="86"/>
      <c r="G417" s="86"/>
      <c r="H417" s="86"/>
      <c r="I417" s="65"/>
      <c r="J417" s="65"/>
      <c r="K417" s="87"/>
      <c r="L417" s="88"/>
    </row>
    <row r="418" spans="6:12" ht="12.5">
      <c r="F418" s="86"/>
      <c r="G418" s="86"/>
      <c r="H418" s="86"/>
      <c r="I418" s="65"/>
      <c r="J418" s="65"/>
      <c r="K418" s="87"/>
      <c r="L418" s="88"/>
    </row>
    <row r="419" spans="6:12" ht="12.5">
      <c r="F419" s="86"/>
      <c r="G419" s="86"/>
      <c r="H419" s="86"/>
      <c r="I419" s="65"/>
      <c r="J419" s="65"/>
      <c r="K419" s="87"/>
      <c r="L419" s="88"/>
    </row>
    <row r="420" spans="6:12" ht="12.5">
      <c r="F420" s="86"/>
      <c r="G420" s="86"/>
      <c r="H420" s="86"/>
      <c r="I420" s="65"/>
      <c r="J420" s="65"/>
      <c r="K420" s="87"/>
      <c r="L420" s="88"/>
    </row>
    <row r="421" spans="6:12" ht="12.5">
      <c r="F421" s="86"/>
      <c r="G421" s="86"/>
      <c r="H421" s="86"/>
      <c r="I421" s="65"/>
      <c r="J421" s="65"/>
      <c r="K421" s="87"/>
      <c r="L421" s="88"/>
    </row>
    <row r="422" spans="6:12" ht="12.5">
      <c r="F422" s="86"/>
      <c r="G422" s="86"/>
      <c r="H422" s="86"/>
      <c r="I422" s="65"/>
      <c r="J422" s="65"/>
      <c r="K422" s="87"/>
      <c r="L422" s="88"/>
    </row>
    <row r="423" spans="6:12" ht="12.5">
      <c r="F423" s="86"/>
      <c r="G423" s="86"/>
      <c r="H423" s="86"/>
      <c r="I423" s="65"/>
      <c r="J423" s="65"/>
      <c r="K423" s="87"/>
      <c r="L423" s="88"/>
    </row>
    <row r="424" spans="6:12" ht="12.5">
      <c r="F424" s="86"/>
      <c r="G424" s="86"/>
      <c r="H424" s="86"/>
      <c r="I424" s="65"/>
      <c r="J424" s="65"/>
      <c r="K424" s="87"/>
      <c r="L424" s="88"/>
    </row>
    <row r="425" spans="6:12" ht="12.5">
      <c r="F425" s="86"/>
      <c r="G425" s="86"/>
      <c r="H425" s="86"/>
      <c r="I425" s="65"/>
      <c r="J425" s="65"/>
      <c r="K425" s="87"/>
      <c r="L425" s="88"/>
    </row>
    <row r="426" spans="6:12" ht="12.5">
      <c r="F426" s="86"/>
      <c r="G426" s="86"/>
      <c r="H426" s="86"/>
      <c r="I426" s="65"/>
      <c r="J426" s="65"/>
      <c r="K426" s="87"/>
      <c r="L426" s="88"/>
    </row>
    <row r="427" spans="6:12" ht="12.5">
      <c r="F427" s="86"/>
      <c r="G427" s="86"/>
      <c r="H427" s="86"/>
      <c r="I427" s="65"/>
      <c r="J427" s="65"/>
      <c r="K427" s="87"/>
      <c r="L427" s="88"/>
    </row>
    <row r="428" spans="6:12" ht="12.5">
      <c r="F428" s="86"/>
      <c r="G428" s="86"/>
      <c r="H428" s="86"/>
      <c r="I428" s="65"/>
      <c r="J428" s="65"/>
      <c r="K428" s="87"/>
      <c r="L428" s="88"/>
    </row>
    <row r="429" spans="6:12" ht="12.5">
      <c r="F429" s="86"/>
      <c r="G429" s="86"/>
      <c r="H429" s="86"/>
      <c r="I429" s="65"/>
      <c r="J429" s="65"/>
      <c r="K429" s="87"/>
      <c r="L429" s="88"/>
    </row>
    <row r="430" spans="6:12" ht="12.5">
      <c r="F430" s="86"/>
      <c r="G430" s="86"/>
      <c r="H430" s="86"/>
      <c r="I430" s="65"/>
      <c r="J430" s="65"/>
      <c r="K430" s="87"/>
      <c r="L430" s="88"/>
    </row>
    <row r="431" spans="6:12" ht="12.5">
      <c r="F431" s="86"/>
      <c r="G431" s="86"/>
      <c r="H431" s="86"/>
      <c r="I431" s="65"/>
      <c r="J431" s="65"/>
      <c r="K431" s="87"/>
      <c r="L431" s="88"/>
    </row>
    <row r="432" spans="6:12" ht="12.5">
      <c r="F432" s="86"/>
      <c r="G432" s="86"/>
      <c r="H432" s="86"/>
      <c r="I432" s="65"/>
      <c r="J432" s="65"/>
      <c r="K432" s="87"/>
      <c r="L432" s="88"/>
    </row>
    <row r="433" spans="6:12" ht="12.5">
      <c r="F433" s="86"/>
      <c r="G433" s="86"/>
      <c r="H433" s="86"/>
      <c r="I433" s="65"/>
      <c r="J433" s="65"/>
      <c r="K433" s="87"/>
      <c r="L433" s="88"/>
    </row>
    <row r="434" spans="6:12" ht="12.5">
      <c r="F434" s="86"/>
      <c r="G434" s="86"/>
      <c r="H434" s="86"/>
      <c r="I434" s="65"/>
      <c r="J434" s="65"/>
      <c r="K434" s="87"/>
      <c r="L434" s="88"/>
    </row>
    <row r="435" spans="6:12" ht="12.5">
      <c r="F435" s="86"/>
      <c r="G435" s="86"/>
      <c r="H435" s="86"/>
      <c r="I435" s="65"/>
      <c r="J435" s="65"/>
      <c r="K435" s="87"/>
      <c r="L435" s="88"/>
    </row>
    <row r="436" spans="6:12" ht="12.5">
      <c r="F436" s="86"/>
      <c r="G436" s="86"/>
      <c r="H436" s="86"/>
      <c r="I436" s="65"/>
      <c r="J436" s="65"/>
      <c r="K436" s="87"/>
      <c r="L436" s="88"/>
    </row>
    <row r="437" spans="6:12" ht="12.5">
      <c r="F437" s="86"/>
      <c r="G437" s="86"/>
      <c r="H437" s="86"/>
      <c r="I437" s="65"/>
      <c r="J437" s="65"/>
      <c r="K437" s="87"/>
      <c r="L437" s="88"/>
    </row>
    <row r="438" spans="6:12" ht="12.5">
      <c r="F438" s="86"/>
      <c r="G438" s="86"/>
      <c r="H438" s="86"/>
      <c r="I438" s="65"/>
      <c r="J438" s="65"/>
      <c r="K438" s="87"/>
      <c r="L438" s="88"/>
    </row>
    <row r="439" spans="6:12" ht="12.5">
      <c r="F439" s="86"/>
      <c r="G439" s="86"/>
      <c r="H439" s="86"/>
      <c r="I439" s="65"/>
      <c r="J439" s="65"/>
      <c r="K439" s="87"/>
      <c r="L439" s="88"/>
    </row>
    <row r="440" spans="6:12" ht="12.5">
      <c r="F440" s="86"/>
      <c r="G440" s="86"/>
      <c r="H440" s="86"/>
      <c r="I440" s="65"/>
      <c r="J440" s="65"/>
      <c r="K440" s="87"/>
      <c r="L440" s="88"/>
    </row>
    <row r="441" spans="6:12" ht="12.5">
      <c r="F441" s="86"/>
      <c r="G441" s="86"/>
      <c r="H441" s="86"/>
      <c r="I441" s="65"/>
      <c r="J441" s="65"/>
      <c r="K441" s="87"/>
      <c r="L441" s="88"/>
    </row>
    <row r="442" spans="6:12" ht="12.5">
      <c r="F442" s="86"/>
      <c r="G442" s="86"/>
      <c r="H442" s="86"/>
      <c r="I442" s="65"/>
      <c r="J442" s="65"/>
      <c r="K442" s="87"/>
      <c r="L442" s="88"/>
    </row>
    <row r="443" spans="6:12" ht="12.5">
      <c r="F443" s="86"/>
      <c r="G443" s="86"/>
      <c r="H443" s="86"/>
      <c r="I443" s="65"/>
      <c r="J443" s="65"/>
      <c r="K443" s="87"/>
      <c r="L443" s="88"/>
    </row>
    <row r="444" spans="6:12" ht="12.5">
      <c r="F444" s="86"/>
      <c r="G444" s="86"/>
      <c r="H444" s="86"/>
      <c r="I444" s="65"/>
      <c r="J444" s="65"/>
      <c r="K444" s="87"/>
      <c r="L444" s="88"/>
    </row>
    <row r="445" spans="6:12" ht="12.5">
      <c r="F445" s="86"/>
      <c r="G445" s="86"/>
      <c r="H445" s="86"/>
      <c r="I445" s="65"/>
      <c r="J445" s="65"/>
      <c r="K445" s="87"/>
      <c r="L445" s="88"/>
    </row>
    <row r="446" spans="6:12" ht="12.5">
      <c r="F446" s="86"/>
      <c r="G446" s="86"/>
      <c r="H446" s="86"/>
      <c r="I446" s="65"/>
      <c r="J446" s="65"/>
      <c r="K446" s="87"/>
      <c r="L446" s="88"/>
    </row>
    <row r="447" spans="6:12" ht="12.5">
      <c r="F447" s="86"/>
      <c r="G447" s="86"/>
      <c r="H447" s="86"/>
      <c r="I447" s="65"/>
      <c r="J447" s="65"/>
      <c r="K447" s="87"/>
      <c r="L447" s="88"/>
    </row>
    <row r="448" spans="6:12" ht="12.5">
      <c r="F448" s="86"/>
      <c r="G448" s="86"/>
      <c r="H448" s="86"/>
      <c r="I448" s="65"/>
      <c r="J448" s="65"/>
      <c r="K448" s="87"/>
      <c r="L448" s="88"/>
    </row>
    <row r="449" spans="6:12" ht="12.5">
      <c r="F449" s="86"/>
      <c r="G449" s="86"/>
      <c r="H449" s="86"/>
      <c r="I449" s="65"/>
      <c r="J449" s="65"/>
      <c r="K449" s="87"/>
      <c r="L449" s="88"/>
    </row>
    <row r="450" spans="6:12" ht="12.5">
      <c r="F450" s="86"/>
      <c r="G450" s="86"/>
      <c r="H450" s="86"/>
      <c r="I450" s="65"/>
      <c r="J450" s="65"/>
      <c r="K450" s="87"/>
      <c r="L450" s="88"/>
    </row>
    <row r="451" spans="6:12" ht="12.5">
      <c r="F451" s="86"/>
      <c r="G451" s="86"/>
      <c r="H451" s="86"/>
      <c r="I451" s="65"/>
      <c r="J451" s="65"/>
      <c r="K451" s="87"/>
      <c r="L451" s="88"/>
    </row>
    <row r="452" spans="6:12" ht="12.5">
      <c r="F452" s="86"/>
      <c r="G452" s="86"/>
      <c r="H452" s="86"/>
      <c r="I452" s="65"/>
      <c r="J452" s="65"/>
      <c r="K452" s="87"/>
      <c r="L452" s="88"/>
    </row>
    <row r="453" spans="6:12" ht="12.5">
      <c r="F453" s="86"/>
      <c r="G453" s="86"/>
      <c r="H453" s="86"/>
      <c r="I453" s="65"/>
      <c r="J453" s="65"/>
      <c r="K453" s="87"/>
      <c r="L453" s="88"/>
    </row>
    <row r="454" spans="6:12" ht="12.5">
      <c r="F454" s="86"/>
      <c r="G454" s="86"/>
      <c r="H454" s="86"/>
      <c r="I454" s="65"/>
      <c r="J454" s="65"/>
      <c r="K454" s="87"/>
      <c r="L454" s="88"/>
    </row>
    <row r="455" spans="6:12" ht="12.5">
      <c r="F455" s="86"/>
      <c r="G455" s="86"/>
      <c r="H455" s="86"/>
      <c r="I455" s="65"/>
      <c r="J455" s="65"/>
      <c r="K455" s="87"/>
      <c r="L455" s="88"/>
    </row>
    <row r="456" spans="6:12" ht="12.5">
      <c r="F456" s="86"/>
      <c r="G456" s="86"/>
      <c r="H456" s="86"/>
      <c r="I456" s="65"/>
      <c r="J456" s="65"/>
      <c r="K456" s="87"/>
      <c r="L456" s="88"/>
    </row>
    <row r="457" spans="6:12" ht="12.5">
      <c r="F457" s="86"/>
      <c r="G457" s="86"/>
      <c r="H457" s="86"/>
      <c r="I457" s="65"/>
      <c r="J457" s="65"/>
      <c r="K457" s="87"/>
      <c r="L457" s="88"/>
    </row>
    <row r="458" spans="6:12" ht="12.5">
      <c r="F458" s="86"/>
      <c r="G458" s="86"/>
      <c r="H458" s="86"/>
      <c r="I458" s="65"/>
      <c r="J458" s="65"/>
      <c r="K458" s="87"/>
      <c r="L458" s="88"/>
    </row>
    <row r="459" spans="6:12" ht="12.5">
      <c r="F459" s="86"/>
      <c r="G459" s="86"/>
      <c r="H459" s="86"/>
      <c r="I459" s="65"/>
      <c r="J459" s="65"/>
      <c r="K459" s="87"/>
      <c r="L459" s="88"/>
    </row>
    <row r="460" spans="6:12" ht="12.5">
      <c r="F460" s="86"/>
      <c r="G460" s="86"/>
      <c r="H460" s="86"/>
      <c r="I460" s="65"/>
      <c r="J460" s="65"/>
      <c r="K460" s="87"/>
      <c r="L460" s="88"/>
    </row>
    <row r="461" spans="6:12" ht="12.5">
      <c r="F461" s="86"/>
      <c r="G461" s="86"/>
      <c r="H461" s="86"/>
      <c r="I461" s="65"/>
      <c r="J461" s="65"/>
      <c r="K461" s="87"/>
      <c r="L461" s="88"/>
    </row>
    <row r="462" spans="6:12" ht="12.5">
      <c r="F462" s="86"/>
      <c r="G462" s="86"/>
      <c r="H462" s="86"/>
      <c r="I462" s="65"/>
      <c r="J462" s="65"/>
      <c r="K462" s="87"/>
      <c r="L462" s="88"/>
    </row>
    <row r="463" spans="6:12" ht="12.5">
      <c r="F463" s="86"/>
      <c r="G463" s="86"/>
      <c r="H463" s="86"/>
      <c r="I463" s="65"/>
      <c r="J463" s="65"/>
      <c r="K463" s="87"/>
      <c r="L463" s="88"/>
    </row>
    <row r="464" spans="6:12" ht="12.5">
      <c r="F464" s="86"/>
      <c r="G464" s="86"/>
      <c r="H464" s="86"/>
      <c r="I464" s="65"/>
      <c r="J464" s="65"/>
      <c r="K464" s="87"/>
      <c r="L464" s="88"/>
    </row>
    <row r="465" spans="6:12" ht="12.5">
      <c r="F465" s="86"/>
      <c r="G465" s="86"/>
      <c r="H465" s="86"/>
      <c r="I465" s="65"/>
      <c r="J465" s="65"/>
      <c r="K465" s="87"/>
      <c r="L465" s="88"/>
    </row>
    <row r="466" spans="6:12" ht="12.5">
      <c r="F466" s="86"/>
      <c r="G466" s="86"/>
      <c r="H466" s="86"/>
      <c r="I466" s="65"/>
      <c r="J466" s="65"/>
      <c r="K466" s="87"/>
      <c r="L466" s="88"/>
    </row>
    <row r="467" spans="6:12" ht="12.5">
      <c r="F467" s="86"/>
      <c r="G467" s="86"/>
      <c r="H467" s="86"/>
      <c r="I467" s="65"/>
      <c r="J467" s="65"/>
      <c r="K467" s="87"/>
      <c r="L467" s="88"/>
    </row>
    <row r="468" spans="6:12" ht="12.5">
      <c r="F468" s="86"/>
      <c r="G468" s="86"/>
      <c r="H468" s="86"/>
      <c r="I468" s="65"/>
      <c r="J468" s="65"/>
      <c r="K468" s="87"/>
      <c r="L468" s="88"/>
    </row>
    <row r="469" spans="6:12" ht="12.5">
      <c r="F469" s="86"/>
      <c r="G469" s="86"/>
      <c r="H469" s="86"/>
      <c r="I469" s="65"/>
      <c r="J469" s="65"/>
      <c r="K469" s="87"/>
      <c r="L469" s="88"/>
    </row>
    <row r="470" spans="6:12" ht="12.5">
      <c r="F470" s="86"/>
      <c r="G470" s="86"/>
      <c r="H470" s="86"/>
      <c r="I470" s="65"/>
      <c r="J470" s="65"/>
      <c r="K470" s="87"/>
      <c r="L470" s="88"/>
    </row>
    <row r="471" spans="6:12" ht="12.5">
      <c r="F471" s="86"/>
      <c r="G471" s="86"/>
      <c r="H471" s="86"/>
      <c r="I471" s="65"/>
      <c r="J471" s="65"/>
      <c r="K471" s="87"/>
      <c r="L471" s="88"/>
    </row>
    <row r="472" spans="6:12" ht="12.5">
      <c r="F472" s="86"/>
      <c r="G472" s="86"/>
      <c r="H472" s="86"/>
      <c r="I472" s="65"/>
      <c r="J472" s="65"/>
      <c r="K472" s="87"/>
      <c r="L472" s="88"/>
    </row>
    <row r="473" spans="6:12" ht="12.5">
      <c r="F473" s="86"/>
      <c r="G473" s="86"/>
      <c r="H473" s="86"/>
      <c r="I473" s="65"/>
      <c r="J473" s="65"/>
      <c r="K473" s="87"/>
      <c r="L473" s="88"/>
    </row>
    <row r="474" spans="6:12" ht="12.5">
      <c r="F474" s="86"/>
      <c r="G474" s="86"/>
      <c r="H474" s="86"/>
      <c r="I474" s="65"/>
      <c r="J474" s="65"/>
      <c r="K474" s="87"/>
      <c r="L474" s="88"/>
    </row>
    <row r="475" spans="6:12" ht="12.5">
      <c r="F475" s="86"/>
      <c r="G475" s="86"/>
      <c r="H475" s="86"/>
      <c r="I475" s="65"/>
      <c r="J475" s="65"/>
      <c r="K475" s="87"/>
      <c r="L475" s="88"/>
    </row>
    <row r="476" spans="6:12" ht="12.5">
      <c r="F476" s="86"/>
      <c r="G476" s="86"/>
      <c r="H476" s="86"/>
      <c r="I476" s="65"/>
      <c r="J476" s="65"/>
      <c r="K476" s="87"/>
      <c r="L476" s="88"/>
    </row>
    <row r="477" spans="6:12" ht="12.5">
      <c r="F477" s="86"/>
      <c r="G477" s="86"/>
      <c r="H477" s="86"/>
      <c r="I477" s="65"/>
      <c r="J477" s="65"/>
      <c r="K477" s="87"/>
      <c r="L477" s="88"/>
    </row>
    <row r="478" spans="6:12" ht="12.5">
      <c r="F478" s="86"/>
      <c r="G478" s="86"/>
      <c r="H478" s="86"/>
      <c r="I478" s="65"/>
      <c r="J478" s="65"/>
      <c r="K478" s="87"/>
      <c r="L478" s="88"/>
    </row>
    <row r="479" spans="6:12" ht="12.5">
      <c r="F479" s="86"/>
      <c r="G479" s="86"/>
      <c r="H479" s="86"/>
      <c r="I479" s="65"/>
      <c r="J479" s="65"/>
      <c r="K479" s="87"/>
      <c r="L479" s="88"/>
    </row>
    <row r="480" spans="6:12" ht="12.5">
      <c r="F480" s="86"/>
      <c r="G480" s="86"/>
      <c r="H480" s="86"/>
      <c r="I480" s="65"/>
      <c r="J480" s="65"/>
      <c r="K480" s="87"/>
      <c r="L480" s="88"/>
    </row>
    <row r="481" spans="6:12" ht="12.5">
      <c r="F481" s="86"/>
      <c r="G481" s="86"/>
      <c r="H481" s="86"/>
      <c r="I481" s="65"/>
      <c r="J481" s="65"/>
      <c r="K481" s="87"/>
      <c r="L481" s="88"/>
    </row>
    <row r="482" spans="6:12" ht="12.5">
      <c r="F482" s="86"/>
      <c r="G482" s="86"/>
      <c r="H482" s="86"/>
      <c r="I482" s="65"/>
      <c r="J482" s="65"/>
      <c r="K482" s="87"/>
      <c r="L482" s="88"/>
    </row>
    <row r="483" spans="6:12" ht="12.5">
      <c r="F483" s="86"/>
      <c r="G483" s="86"/>
      <c r="H483" s="86"/>
      <c r="I483" s="65"/>
      <c r="J483" s="65"/>
      <c r="K483" s="87"/>
      <c r="L483" s="88"/>
    </row>
    <row r="484" spans="6:12" ht="12.5">
      <c r="F484" s="86"/>
      <c r="G484" s="86"/>
      <c r="H484" s="86"/>
      <c r="I484" s="65"/>
      <c r="J484" s="65"/>
      <c r="K484" s="87"/>
      <c r="L484" s="88"/>
    </row>
    <row r="485" spans="6:12" ht="12.5">
      <c r="F485" s="86"/>
      <c r="G485" s="86"/>
      <c r="H485" s="86"/>
      <c r="I485" s="65"/>
      <c r="J485" s="65"/>
      <c r="K485" s="87"/>
      <c r="L485" s="88"/>
    </row>
    <row r="486" spans="6:12" ht="12.5">
      <c r="F486" s="86"/>
      <c r="G486" s="86"/>
      <c r="H486" s="86"/>
      <c r="I486" s="65"/>
      <c r="J486" s="65"/>
      <c r="K486" s="87"/>
      <c r="L486" s="88"/>
    </row>
    <row r="487" spans="6:12" ht="12.5">
      <c r="F487" s="86"/>
      <c r="G487" s="86"/>
      <c r="H487" s="86"/>
      <c r="I487" s="65"/>
      <c r="J487" s="65"/>
      <c r="K487" s="87"/>
      <c r="L487" s="88"/>
    </row>
    <row r="488" spans="6:12" ht="12.5">
      <c r="F488" s="86"/>
      <c r="G488" s="86"/>
      <c r="H488" s="86"/>
      <c r="I488" s="65"/>
      <c r="J488" s="65"/>
      <c r="K488" s="87"/>
      <c r="L488" s="88"/>
    </row>
    <row r="489" spans="6:12" ht="12.5">
      <c r="F489" s="86"/>
      <c r="G489" s="86"/>
      <c r="H489" s="86"/>
      <c r="I489" s="65"/>
      <c r="J489" s="65"/>
      <c r="K489" s="87"/>
      <c r="L489" s="88"/>
    </row>
    <row r="490" spans="6:12" ht="12.5">
      <c r="F490" s="86"/>
      <c r="G490" s="86"/>
      <c r="H490" s="86"/>
      <c r="I490" s="65"/>
      <c r="J490" s="65"/>
      <c r="K490" s="87"/>
      <c r="L490" s="88"/>
    </row>
    <row r="491" spans="6:12" ht="12.5">
      <c r="F491" s="86"/>
      <c r="G491" s="86"/>
      <c r="H491" s="86"/>
      <c r="I491" s="65"/>
      <c r="J491" s="65"/>
      <c r="K491" s="87"/>
      <c r="L491" s="88"/>
    </row>
    <row r="492" spans="6:12" ht="12.5">
      <c r="F492" s="86"/>
      <c r="G492" s="86"/>
      <c r="H492" s="86"/>
      <c r="I492" s="65"/>
      <c r="J492" s="65"/>
      <c r="K492" s="87"/>
      <c r="L492" s="88"/>
    </row>
    <row r="493" spans="6:12" ht="12.5">
      <c r="F493" s="86"/>
      <c r="G493" s="86"/>
      <c r="H493" s="86"/>
      <c r="I493" s="65"/>
      <c r="J493" s="65"/>
      <c r="K493" s="87"/>
      <c r="L493" s="88"/>
    </row>
    <row r="494" spans="6:12" ht="12.5">
      <c r="F494" s="86"/>
      <c r="G494" s="86"/>
      <c r="H494" s="86"/>
      <c r="I494" s="65"/>
      <c r="J494" s="65"/>
      <c r="K494" s="87"/>
      <c r="L494" s="88"/>
    </row>
    <row r="495" spans="6:12" ht="12.5">
      <c r="F495" s="86"/>
      <c r="G495" s="86"/>
      <c r="H495" s="86"/>
      <c r="I495" s="65"/>
      <c r="J495" s="65"/>
      <c r="K495" s="87"/>
      <c r="L495" s="88"/>
    </row>
    <row r="496" spans="6:12" ht="12.5">
      <c r="F496" s="86"/>
      <c r="G496" s="86"/>
      <c r="H496" s="86"/>
      <c r="I496" s="65"/>
      <c r="J496" s="65"/>
      <c r="K496" s="87"/>
      <c r="L496" s="88"/>
    </row>
    <row r="497" spans="6:12" ht="12.5">
      <c r="F497" s="86"/>
      <c r="G497" s="86"/>
      <c r="H497" s="86"/>
      <c r="I497" s="65"/>
      <c r="J497" s="65"/>
      <c r="K497" s="87"/>
      <c r="L497" s="88"/>
    </row>
    <row r="498" spans="6:12" ht="12.5">
      <c r="F498" s="86"/>
      <c r="G498" s="86"/>
      <c r="H498" s="86"/>
      <c r="I498" s="65"/>
      <c r="J498" s="65"/>
      <c r="K498" s="87"/>
      <c r="L498" s="88"/>
    </row>
    <row r="499" spans="6:12" ht="12.5">
      <c r="F499" s="86"/>
      <c r="G499" s="86"/>
      <c r="H499" s="86"/>
      <c r="I499" s="65"/>
      <c r="J499" s="65"/>
      <c r="K499" s="87"/>
      <c r="L499" s="88"/>
    </row>
    <row r="500" spans="6:12" ht="12.5">
      <c r="F500" s="86"/>
      <c r="G500" s="86"/>
      <c r="H500" s="86"/>
      <c r="I500" s="65"/>
      <c r="J500" s="65"/>
      <c r="K500" s="87"/>
      <c r="L500" s="88"/>
    </row>
    <row r="501" spans="6:12" ht="12.5">
      <c r="F501" s="86"/>
      <c r="G501" s="86"/>
      <c r="H501" s="86"/>
      <c r="I501" s="65"/>
      <c r="J501" s="65"/>
      <c r="K501" s="87"/>
      <c r="L501" s="88"/>
    </row>
    <row r="502" spans="6:12" ht="12.5">
      <c r="F502" s="86"/>
      <c r="G502" s="86"/>
      <c r="H502" s="86"/>
      <c r="I502" s="65"/>
      <c r="J502" s="65"/>
      <c r="K502" s="87"/>
      <c r="L502" s="88"/>
    </row>
    <row r="503" spans="6:12" ht="12.5">
      <c r="F503" s="86"/>
      <c r="G503" s="86"/>
      <c r="H503" s="86"/>
      <c r="I503" s="65"/>
      <c r="J503" s="65"/>
      <c r="K503" s="87"/>
      <c r="L503" s="88"/>
    </row>
    <row r="504" spans="6:12" ht="12.5">
      <c r="F504" s="86"/>
      <c r="G504" s="86"/>
      <c r="H504" s="86"/>
      <c r="I504" s="65"/>
      <c r="J504" s="65"/>
      <c r="K504" s="87"/>
      <c r="L504" s="88"/>
    </row>
    <row r="505" spans="6:12" ht="12.5">
      <c r="F505" s="86"/>
      <c r="G505" s="86"/>
      <c r="H505" s="86"/>
      <c r="I505" s="65"/>
      <c r="J505" s="65"/>
      <c r="K505" s="87"/>
      <c r="L505" s="88"/>
    </row>
    <row r="506" spans="6:12" ht="12.5">
      <c r="F506" s="86"/>
      <c r="G506" s="86"/>
      <c r="H506" s="86"/>
      <c r="I506" s="65"/>
      <c r="J506" s="65"/>
      <c r="K506" s="87"/>
      <c r="L506" s="88"/>
    </row>
    <row r="507" spans="6:12" ht="12.5">
      <c r="F507" s="86"/>
      <c r="G507" s="86"/>
      <c r="H507" s="86"/>
      <c r="I507" s="65"/>
      <c r="J507" s="65"/>
      <c r="K507" s="87"/>
      <c r="L507" s="88"/>
    </row>
    <row r="508" spans="6:12" ht="12.5">
      <c r="F508" s="86"/>
      <c r="G508" s="86"/>
      <c r="H508" s="86"/>
      <c r="I508" s="65"/>
      <c r="J508" s="65"/>
      <c r="K508" s="87"/>
      <c r="L508" s="88"/>
    </row>
    <row r="509" spans="6:12" ht="12.5">
      <c r="F509" s="86"/>
      <c r="G509" s="86"/>
      <c r="H509" s="86"/>
      <c r="I509" s="65"/>
      <c r="J509" s="65"/>
      <c r="K509" s="87"/>
      <c r="L509" s="88"/>
    </row>
    <row r="510" spans="6:12" ht="12.5">
      <c r="F510" s="86"/>
      <c r="G510" s="86"/>
      <c r="H510" s="86"/>
      <c r="I510" s="65"/>
      <c r="J510" s="65"/>
      <c r="K510" s="87"/>
      <c r="L510" s="88"/>
    </row>
    <row r="511" spans="6:12" ht="12.5">
      <c r="F511" s="86"/>
      <c r="G511" s="86"/>
      <c r="H511" s="86"/>
      <c r="I511" s="65"/>
      <c r="J511" s="65"/>
      <c r="K511" s="87"/>
      <c r="L511" s="88"/>
    </row>
    <row r="512" spans="6:12" ht="12.5">
      <c r="F512" s="86"/>
      <c r="G512" s="86"/>
      <c r="H512" s="86"/>
      <c r="I512" s="65"/>
      <c r="J512" s="65"/>
      <c r="K512" s="87"/>
      <c r="L512" s="88"/>
    </row>
    <row r="513" spans="6:12" ht="12.5">
      <c r="F513" s="86"/>
      <c r="G513" s="86"/>
      <c r="H513" s="86"/>
      <c r="I513" s="65"/>
      <c r="J513" s="65"/>
      <c r="K513" s="87"/>
      <c r="L513" s="88"/>
    </row>
    <row r="514" spans="6:12" ht="12.5">
      <c r="F514" s="86"/>
      <c r="G514" s="86"/>
      <c r="H514" s="86"/>
      <c r="I514" s="65"/>
      <c r="J514" s="65"/>
      <c r="K514" s="87"/>
      <c r="L514" s="88"/>
    </row>
    <row r="515" spans="6:12" ht="12.5">
      <c r="F515" s="86"/>
      <c r="G515" s="86"/>
      <c r="H515" s="86"/>
      <c r="I515" s="65"/>
      <c r="J515" s="65"/>
      <c r="K515" s="87"/>
      <c r="L515" s="88"/>
    </row>
    <row r="516" spans="6:12" ht="12.5">
      <c r="F516" s="86"/>
      <c r="G516" s="86"/>
      <c r="H516" s="86"/>
      <c r="I516" s="65"/>
      <c r="J516" s="65"/>
      <c r="K516" s="87"/>
      <c r="L516" s="88"/>
    </row>
    <row r="517" spans="6:12" ht="12.5">
      <c r="F517" s="86"/>
      <c r="G517" s="86"/>
      <c r="H517" s="86"/>
      <c r="I517" s="65"/>
      <c r="J517" s="65"/>
      <c r="K517" s="87"/>
      <c r="L517" s="88"/>
    </row>
    <row r="518" spans="6:12" ht="12.5">
      <c r="F518" s="86"/>
      <c r="G518" s="86"/>
      <c r="H518" s="86"/>
      <c r="I518" s="65"/>
      <c r="J518" s="65"/>
      <c r="K518" s="87"/>
      <c r="L518" s="88"/>
    </row>
    <row r="519" spans="6:12" ht="12.5">
      <c r="F519" s="86"/>
      <c r="G519" s="86"/>
      <c r="H519" s="86"/>
      <c r="I519" s="65"/>
      <c r="J519" s="65"/>
      <c r="K519" s="87"/>
      <c r="L519" s="88"/>
    </row>
    <row r="520" spans="6:12" ht="12.5">
      <c r="F520" s="86"/>
      <c r="G520" s="86"/>
      <c r="H520" s="86"/>
      <c r="I520" s="65"/>
      <c r="J520" s="65"/>
      <c r="K520" s="87"/>
      <c r="L520" s="88"/>
    </row>
    <row r="521" spans="6:12" ht="12.5">
      <c r="F521" s="86"/>
      <c r="G521" s="86"/>
      <c r="H521" s="86"/>
      <c r="I521" s="65"/>
      <c r="J521" s="65"/>
      <c r="K521" s="87"/>
      <c r="L521" s="88"/>
    </row>
    <row r="522" spans="6:12" ht="12.5">
      <c r="F522" s="86"/>
      <c r="G522" s="86"/>
      <c r="H522" s="86"/>
      <c r="I522" s="65"/>
      <c r="J522" s="65"/>
      <c r="K522" s="87"/>
      <c r="L522" s="88"/>
    </row>
    <row r="523" spans="6:12" ht="12.5">
      <c r="F523" s="86"/>
      <c r="G523" s="86"/>
      <c r="H523" s="86"/>
      <c r="I523" s="65"/>
      <c r="J523" s="65"/>
      <c r="K523" s="87"/>
      <c r="L523" s="88"/>
    </row>
    <row r="524" spans="6:12" ht="12.5">
      <c r="F524" s="86"/>
      <c r="G524" s="86"/>
      <c r="H524" s="86"/>
      <c r="I524" s="65"/>
      <c r="J524" s="65"/>
      <c r="K524" s="87"/>
      <c r="L524" s="88"/>
    </row>
    <row r="525" spans="6:12" ht="12.5">
      <c r="F525" s="86"/>
      <c r="G525" s="86"/>
      <c r="H525" s="86"/>
      <c r="I525" s="65"/>
      <c r="J525" s="65"/>
      <c r="K525" s="87"/>
      <c r="L525" s="88"/>
    </row>
    <row r="526" spans="6:12" ht="12.5">
      <c r="F526" s="86"/>
      <c r="G526" s="86"/>
      <c r="H526" s="86"/>
      <c r="I526" s="65"/>
      <c r="J526" s="65"/>
      <c r="K526" s="87"/>
      <c r="L526" s="88"/>
    </row>
    <row r="527" spans="6:12" ht="12.5">
      <c r="F527" s="86"/>
      <c r="G527" s="86"/>
      <c r="H527" s="86"/>
      <c r="I527" s="65"/>
      <c r="J527" s="65"/>
      <c r="K527" s="87"/>
      <c r="L527" s="88"/>
    </row>
    <row r="528" spans="6:12" ht="12.5">
      <c r="F528" s="86"/>
      <c r="G528" s="86"/>
      <c r="H528" s="86"/>
      <c r="I528" s="65"/>
      <c r="J528" s="65"/>
      <c r="K528" s="87"/>
      <c r="L528" s="88"/>
    </row>
    <row r="529" spans="6:12" ht="12.5">
      <c r="F529" s="86"/>
      <c r="G529" s="86"/>
      <c r="H529" s="86"/>
      <c r="I529" s="65"/>
      <c r="J529" s="65"/>
      <c r="K529" s="87"/>
      <c r="L529" s="88"/>
    </row>
    <row r="530" spans="6:12" ht="12.5">
      <c r="F530" s="86"/>
      <c r="G530" s="86"/>
      <c r="H530" s="86"/>
      <c r="I530" s="65"/>
      <c r="J530" s="65"/>
      <c r="K530" s="87"/>
      <c r="L530" s="88"/>
    </row>
    <row r="531" spans="6:12" ht="12.5">
      <c r="F531" s="86"/>
      <c r="G531" s="86"/>
      <c r="H531" s="86"/>
      <c r="I531" s="65"/>
      <c r="J531" s="65"/>
      <c r="K531" s="87"/>
      <c r="L531" s="88"/>
    </row>
    <row r="532" spans="6:12" ht="12.5">
      <c r="F532" s="86"/>
      <c r="G532" s="86"/>
      <c r="H532" s="86"/>
      <c r="I532" s="65"/>
      <c r="J532" s="65"/>
      <c r="K532" s="87"/>
      <c r="L532" s="88"/>
    </row>
    <row r="533" spans="6:12" ht="12.5">
      <c r="F533" s="86"/>
      <c r="G533" s="86"/>
      <c r="H533" s="86"/>
      <c r="I533" s="65"/>
      <c r="J533" s="65"/>
      <c r="K533" s="87"/>
      <c r="L533" s="88"/>
    </row>
    <row r="534" spans="6:12" ht="12.5">
      <c r="F534" s="86"/>
      <c r="G534" s="86"/>
      <c r="H534" s="86"/>
      <c r="I534" s="65"/>
      <c r="J534" s="65"/>
      <c r="K534" s="87"/>
      <c r="L534" s="88"/>
    </row>
    <row r="535" spans="6:12" ht="12.5">
      <c r="F535" s="86"/>
      <c r="G535" s="86"/>
      <c r="H535" s="86"/>
      <c r="I535" s="65"/>
      <c r="J535" s="65"/>
      <c r="K535" s="87"/>
      <c r="L535" s="88"/>
    </row>
    <row r="536" spans="6:12" ht="12.5">
      <c r="F536" s="86"/>
      <c r="G536" s="86"/>
      <c r="H536" s="86"/>
      <c r="I536" s="65"/>
      <c r="J536" s="65"/>
      <c r="K536" s="87"/>
      <c r="L536" s="88"/>
    </row>
    <row r="537" spans="6:12" ht="12.5">
      <c r="F537" s="86"/>
      <c r="G537" s="86"/>
      <c r="H537" s="86"/>
      <c r="I537" s="65"/>
      <c r="J537" s="65"/>
      <c r="K537" s="87"/>
      <c r="L537" s="88"/>
    </row>
    <row r="538" spans="6:12" ht="12.5">
      <c r="F538" s="86"/>
      <c r="G538" s="86"/>
      <c r="H538" s="86"/>
      <c r="I538" s="65"/>
      <c r="J538" s="65"/>
      <c r="K538" s="87"/>
      <c r="L538" s="88"/>
    </row>
    <row r="539" spans="6:12" ht="12.5">
      <c r="F539" s="86"/>
      <c r="G539" s="86"/>
      <c r="H539" s="86"/>
      <c r="I539" s="65"/>
      <c r="J539" s="65"/>
      <c r="K539" s="87"/>
      <c r="L539" s="88"/>
    </row>
    <row r="540" spans="6:12" ht="12.5">
      <c r="F540" s="86"/>
      <c r="G540" s="86"/>
      <c r="H540" s="86"/>
      <c r="I540" s="65"/>
      <c r="J540" s="65"/>
      <c r="K540" s="87"/>
      <c r="L540" s="88"/>
    </row>
    <row r="541" spans="6:12" ht="12.5">
      <c r="F541" s="86"/>
      <c r="G541" s="86"/>
      <c r="H541" s="86"/>
      <c r="I541" s="65"/>
      <c r="J541" s="65"/>
      <c r="K541" s="87"/>
      <c r="L541" s="88"/>
    </row>
    <row r="542" spans="6:12" ht="12.5">
      <c r="F542" s="86"/>
      <c r="G542" s="86"/>
      <c r="H542" s="86"/>
      <c r="I542" s="65"/>
      <c r="J542" s="65"/>
      <c r="K542" s="87"/>
      <c r="L542" s="88"/>
    </row>
    <row r="543" spans="6:12" ht="12.5">
      <c r="F543" s="86"/>
      <c r="G543" s="86"/>
      <c r="H543" s="86"/>
      <c r="I543" s="65"/>
      <c r="J543" s="65"/>
      <c r="K543" s="87"/>
      <c r="L543" s="88"/>
    </row>
    <row r="544" spans="6:12" ht="12.5">
      <c r="F544" s="86"/>
      <c r="G544" s="86"/>
      <c r="H544" s="86"/>
      <c r="I544" s="65"/>
      <c r="J544" s="65"/>
      <c r="K544" s="87"/>
      <c r="L544" s="88"/>
    </row>
    <row r="545" spans="6:12" ht="12.5">
      <c r="F545" s="86"/>
      <c r="G545" s="86"/>
      <c r="H545" s="86"/>
      <c r="I545" s="65"/>
      <c r="J545" s="65"/>
      <c r="K545" s="87"/>
      <c r="L545" s="88"/>
    </row>
    <row r="546" spans="6:12" ht="12.5">
      <c r="F546" s="86"/>
      <c r="G546" s="86"/>
      <c r="H546" s="86"/>
      <c r="I546" s="65"/>
      <c r="J546" s="65"/>
      <c r="K546" s="87"/>
      <c r="L546" s="88"/>
    </row>
    <row r="547" spans="6:12" ht="12.5">
      <c r="F547" s="86"/>
      <c r="G547" s="86"/>
      <c r="H547" s="86"/>
      <c r="I547" s="65"/>
      <c r="J547" s="65"/>
      <c r="K547" s="87"/>
      <c r="L547" s="88"/>
    </row>
    <row r="548" spans="6:12" ht="12.5">
      <c r="F548" s="86"/>
      <c r="G548" s="86"/>
      <c r="H548" s="86"/>
      <c r="I548" s="65"/>
      <c r="J548" s="65"/>
      <c r="K548" s="87"/>
      <c r="L548" s="88"/>
    </row>
    <row r="549" spans="6:12" ht="12.5">
      <c r="F549" s="86"/>
      <c r="G549" s="86"/>
      <c r="H549" s="86"/>
      <c r="I549" s="65"/>
      <c r="J549" s="65"/>
      <c r="K549" s="87"/>
      <c r="L549" s="88"/>
    </row>
    <row r="550" spans="6:12" ht="12.5">
      <c r="F550" s="86"/>
      <c r="G550" s="86"/>
      <c r="H550" s="86"/>
      <c r="I550" s="65"/>
      <c r="J550" s="65"/>
      <c r="K550" s="87"/>
      <c r="L550" s="88"/>
    </row>
    <row r="551" spans="6:12" ht="12.5">
      <c r="F551" s="86"/>
      <c r="G551" s="86"/>
      <c r="H551" s="86"/>
      <c r="I551" s="65"/>
      <c r="J551" s="65"/>
      <c r="K551" s="87"/>
      <c r="L551" s="88"/>
    </row>
    <row r="552" spans="6:12" ht="12.5">
      <c r="F552" s="86"/>
      <c r="G552" s="86"/>
      <c r="H552" s="86"/>
      <c r="I552" s="65"/>
      <c r="J552" s="65"/>
      <c r="K552" s="87"/>
      <c r="L552" s="88"/>
    </row>
    <row r="553" spans="6:12" ht="12.5">
      <c r="F553" s="86"/>
      <c r="G553" s="86"/>
      <c r="H553" s="86"/>
      <c r="I553" s="65"/>
      <c r="J553" s="65"/>
      <c r="K553" s="87"/>
      <c r="L553" s="88"/>
    </row>
    <row r="554" spans="6:12" ht="12.5">
      <c r="F554" s="86"/>
      <c r="G554" s="86"/>
      <c r="H554" s="86"/>
      <c r="I554" s="65"/>
      <c r="J554" s="65"/>
      <c r="K554" s="87"/>
      <c r="L554" s="88"/>
    </row>
    <row r="555" spans="6:12" ht="12.5">
      <c r="F555" s="86"/>
      <c r="G555" s="86"/>
      <c r="H555" s="86"/>
      <c r="I555" s="65"/>
      <c r="J555" s="65"/>
      <c r="K555" s="87"/>
      <c r="L555" s="88"/>
    </row>
    <row r="556" spans="6:12" ht="12.5">
      <c r="F556" s="86"/>
      <c r="G556" s="86"/>
      <c r="H556" s="86"/>
      <c r="I556" s="65"/>
      <c r="J556" s="65"/>
      <c r="K556" s="87"/>
      <c r="L556" s="88"/>
    </row>
    <row r="557" spans="6:12" ht="12.5">
      <c r="F557" s="86"/>
      <c r="G557" s="86"/>
      <c r="H557" s="86"/>
      <c r="I557" s="65"/>
      <c r="J557" s="65"/>
      <c r="K557" s="87"/>
      <c r="L557" s="88"/>
    </row>
    <row r="558" spans="6:12" ht="12.5">
      <c r="F558" s="86"/>
      <c r="G558" s="86"/>
      <c r="H558" s="86"/>
      <c r="I558" s="65"/>
      <c r="J558" s="65"/>
      <c r="K558" s="87"/>
      <c r="L558" s="88"/>
    </row>
    <row r="559" spans="6:12" ht="12.5">
      <c r="F559" s="86"/>
      <c r="G559" s="86"/>
      <c r="H559" s="86"/>
      <c r="I559" s="65"/>
      <c r="J559" s="65"/>
      <c r="K559" s="87"/>
      <c r="L559" s="88"/>
    </row>
    <row r="560" spans="6:12" ht="12.5">
      <c r="F560" s="86"/>
      <c r="G560" s="86"/>
      <c r="H560" s="86"/>
      <c r="I560" s="65"/>
      <c r="J560" s="65"/>
      <c r="K560" s="87"/>
      <c r="L560" s="88"/>
    </row>
    <row r="561" spans="6:12" ht="12.5">
      <c r="F561" s="86"/>
      <c r="G561" s="86"/>
      <c r="H561" s="86"/>
      <c r="I561" s="65"/>
      <c r="J561" s="65"/>
      <c r="K561" s="87"/>
      <c r="L561" s="88"/>
    </row>
    <row r="562" spans="6:12" ht="12.5">
      <c r="F562" s="86"/>
      <c r="G562" s="86"/>
      <c r="H562" s="86"/>
      <c r="I562" s="65"/>
      <c r="J562" s="65"/>
      <c r="K562" s="87"/>
      <c r="L562" s="88"/>
    </row>
    <row r="563" spans="6:12" ht="12.5">
      <c r="F563" s="86"/>
      <c r="G563" s="86"/>
      <c r="H563" s="86"/>
      <c r="I563" s="65"/>
      <c r="J563" s="65"/>
      <c r="K563" s="87"/>
      <c r="L563" s="88"/>
    </row>
    <row r="564" spans="6:12" ht="12.5">
      <c r="F564" s="86"/>
      <c r="G564" s="86"/>
      <c r="H564" s="86"/>
      <c r="I564" s="65"/>
      <c r="J564" s="65"/>
      <c r="K564" s="87"/>
      <c r="L564" s="88"/>
    </row>
    <row r="565" spans="6:12" ht="12.5">
      <c r="F565" s="86"/>
      <c r="G565" s="86"/>
      <c r="H565" s="86"/>
      <c r="I565" s="65"/>
      <c r="J565" s="65"/>
      <c r="K565" s="87"/>
      <c r="L565" s="88"/>
    </row>
    <row r="566" spans="6:12" ht="12.5">
      <c r="F566" s="86"/>
      <c r="G566" s="86"/>
      <c r="H566" s="86"/>
      <c r="I566" s="65"/>
      <c r="J566" s="65"/>
      <c r="K566" s="87"/>
      <c r="L566" s="88"/>
    </row>
    <row r="567" spans="6:12" ht="12.5">
      <c r="F567" s="86"/>
      <c r="G567" s="86"/>
      <c r="H567" s="86"/>
      <c r="I567" s="65"/>
      <c r="J567" s="65"/>
      <c r="K567" s="87"/>
      <c r="L567" s="88"/>
    </row>
    <row r="568" spans="6:12" ht="12.5">
      <c r="F568" s="86"/>
      <c r="G568" s="86"/>
      <c r="H568" s="86"/>
      <c r="I568" s="65"/>
      <c r="J568" s="65"/>
      <c r="K568" s="87"/>
      <c r="L568" s="88"/>
    </row>
    <row r="569" spans="6:12" ht="12.5">
      <c r="F569" s="86"/>
      <c r="G569" s="86"/>
      <c r="H569" s="86"/>
      <c r="I569" s="65"/>
      <c r="J569" s="65"/>
      <c r="K569" s="87"/>
      <c r="L569" s="88"/>
    </row>
    <row r="570" spans="6:12" ht="12.5">
      <c r="F570" s="86"/>
      <c r="G570" s="86"/>
      <c r="H570" s="86"/>
      <c r="I570" s="65"/>
      <c r="J570" s="65"/>
      <c r="K570" s="87"/>
      <c r="L570" s="88"/>
    </row>
    <row r="571" spans="6:12" ht="12.5">
      <c r="F571" s="86"/>
      <c r="G571" s="86"/>
      <c r="H571" s="86"/>
      <c r="I571" s="65"/>
      <c r="J571" s="65"/>
      <c r="K571" s="87"/>
      <c r="L571" s="88"/>
    </row>
    <row r="572" spans="6:12" ht="12.5">
      <c r="F572" s="86"/>
      <c r="G572" s="86"/>
      <c r="H572" s="86"/>
      <c r="I572" s="65"/>
      <c r="J572" s="65"/>
      <c r="K572" s="87"/>
      <c r="L572" s="88"/>
    </row>
    <row r="573" spans="6:12" ht="12.5">
      <c r="F573" s="86"/>
      <c r="G573" s="86"/>
      <c r="H573" s="86"/>
      <c r="I573" s="65"/>
      <c r="J573" s="65"/>
      <c r="K573" s="87"/>
      <c r="L573" s="88"/>
    </row>
    <row r="574" spans="6:12" ht="12.5">
      <c r="F574" s="86"/>
      <c r="G574" s="86"/>
      <c r="H574" s="86"/>
      <c r="I574" s="65"/>
      <c r="J574" s="65"/>
      <c r="K574" s="87"/>
      <c r="L574" s="88"/>
    </row>
    <row r="575" spans="6:12" ht="12.5">
      <c r="F575" s="86"/>
      <c r="G575" s="86"/>
      <c r="H575" s="86"/>
      <c r="I575" s="65"/>
      <c r="J575" s="65"/>
      <c r="K575" s="87"/>
      <c r="L575" s="88"/>
    </row>
    <row r="576" spans="6:12" ht="12.5">
      <c r="F576" s="86"/>
      <c r="G576" s="86"/>
      <c r="H576" s="86"/>
      <c r="I576" s="65"/>
      <c r="J576" s="65"/>
      <c r="K576" s="87"/>
      <c r="L576" s="88"/>
    </row>
    <row r="577" spans="6:12" ht="12.5">
      <c r="F577" s="86"/>
      <c r="G577" s="86"/>
      <c r="H577" s="86"/>
      <c r="I577" s="65"/>
      <c r="J577" s="65"/>
      <c r="K577" s="87"/>
      <c r="L577" s="88"/>
    </row>
    <row r="578" spans="6:12" ht="12.5">
      <c r="F578" s="86"/>
      <c r="G578" s="86"/>
      <c r="H578" s="86"/>
      <c r="I578" s="65"/>
      <c r="J578" s="65"/>
      <c r="K578" s="87"/>
      <c r="L578" s="88"/>
    </row>
    <row r="579" spans="6:12" ht="12.5">
      <c r="F579" s="86"/>
      <c r="G579" s="86"/>
      <c r="H579" s="86"/>
      <c r="I579" s="65"/>
      <c r="J579" s="65"/>
      <c r="K579" s="87"/>
      <c r="L579" s="88"/>
    </row>
    <row r="580" spans="6:12" ht="12.5">
      <c r="F580" s="86"/>
      <c r="G580" s="86"/>
      <c r="H580" s="86"/>
      <c r="I580" s="65"/>
      <c r="J580" s="65"/>
      <c r="K580" s="87"/>
      <c r="L580" s="88"/>
    </row>
    <row r="581" spans="6:12" ht="12.5">
      <c r="F581" s="86"/>
      <c r="G581" s="86"/>
      <c r="H581" s="86"/>
      <c r="I581" s="65"/>
      <c r="J581" s="65"/>
      <c r="K581" s="87"/>
      <c r="L581" s="88"/>
    </row>
    <row r="582" spans="6:12" ht="12.5">
      <c r="F582" s="86"/>
      <c r="G582" s="86"/>
      <c r="H582" s="86"/>
      <c r="I582" s="65"/>
      <c r="J582" s="65"/>
      <c r="K582" s="87"/>
      <c r="L582" s="88"/>
    </row>
    <row r="583" spans="6:12" ht="12.5">
      <c r="F583" s="86"/>
      <c r="G583" s="86"/>
      <c r="H583" s="86"/>
      <c r="I583" s="65"/>
      <c r="J583" s="65"/>
      <c r="K583" s="87"/>
      <c r="L583" s="88"/>
    </row>
    <row r="584" spans="6:12" ht="12.5">
      <c r="F584" s="86"/>
      <c r="G584" s="86"/>
      <c r="H584" s="86"/>
      <c r="I584" s="65"/>
      <c r="J584" s="65"/>
      <c r="K584" s="87"/>
      <c r="L584" s="88"/>
    </row>
    <row r="585" spans="6:12" ht="12.5">
      <c r="F585" s="86"/>
      <c r="G585" s="86"/>
      <c r="H585" s="86"/>
      <c r="I585" s="65"/>
      <c r="J585" s="65"/>
      <c r="K585" s="87"/>
      <c r="L585" s="88"/>
    </row>
    <row r="586" spans="6:12" ht="12.5">
      <c r="F586" s="86"/>
      <c r="G586" s="86"/>
      <c r="H586" s="86"/>
      <c r="I586" s="65"/>
      <c r="J586" s="65"/>
      <c r="K586" s="87"/>
      <c r="L586" s="88"/>
    </row>
    <row r="587" spans="6:12" ht="12.5">
      <c r="F587" s="86"/>
      <c r="G587" s="86"/>
      <c r="H587" s="86"/>
      <c r="I587" s="65"/>
      <c r="J587" s="65"/>
      <c r="K587" s="87"/>
      <c r="L587" s="88"/>
    </row>
    <row r="588" spans="6:12" ht="12.5">
      <c r="F588" s="86"/>
      <c r="G588" s="86"/>
      <c r="H588" s="86"/>
      <c r="I588" s="65"/>
      <c r="J588" s="65"/>
      <c r="K588" s="87"/>
      <c r="L588" s="88"/>
    </row>
    <row r="589" spans="6:12" ht="12.5">
      <c r="F589" s="86"/>
      <c r="G589" s="86"/>
      <c r="H589" s="86"/>
      <c r="I589" s="65"/>
      <c r="J589" s="65"/>
      <c r="K589" s="87"/>
      <c r="L589" s="88"/>
    </row>
    <row r="590" spans="6:12" ht="12.5">
      <c r="F590" s="86"/>
      <c r="G590" s="86"/>
      <c r="H590" s="86"/>
      <c r="I590" s="65"/>
      <c r="J590" s="65"/>
      <c r="K590" s="87"/>
      <c r="L590" s="88"/>
    </row>
    <row r="591" spans="6:12" ht="12.5">
      <c r="F591" s="86"/>
      <c r="G591" s="86"/>
      <c r="H591" s="86"/>
      <c r="I591" s="65"/>
      <c r="J591" s="65"/>
      <c r="K591" s="87"/>
      <c r="L591" s="88"/>
    </row>
    <row r="592" spans="6:12" ht="12.5">
      <c r="F592" s="86"/>
      <c r="G592" s="86"/>
      <c r="H592" s="86"/>
      <c r="I592" s="65"/>
      <c r="J592" s="65"/>
      <c r="K592" s="87"/>
      <c r="L592" s="88"/>
    </row>
    <row r="593" spans="6:12" ht="12.5">
      <c r="F593" s="86"/>
      <c r="G593" s="86"/>
      <c r="H593" s="86"/>
      <c r="I593" s="65"/>
      <c r="J593" s="65"/>
      <c r="K593" s="87"/>
      <c r="L593" s="88"/>
    </row>
    <row r="594" spans="6:12" ht="12.5">
      <c r="F594" s="86"/>
      <c r="G594" s="86"/>
      <c r="H594" s="86"/>
      <c r="I594" s="65"/>
      <c r="J594" s="65"/>
      <c r="K594" s="87"/>
      <c r="L594" s="88"/>
    </row>
    <row r="595" spans="6:12" ht="12.5">
      <c r="F595" s="86"/>
      <c r="G595" s="86"/>
      <c r="H595" s="86"/>
      <c r="I595" s="65"/>
      <c r="J595" s="65"/>
      <c r="K595" s="87"/>
      <c r="L595" s="88"/>
    </row>
    <row r="596" spans="6:12" ht="12.5">
      <c r="F596" s="86"/>
      <c r="G596" s="86"/>
      <c r="H596" s="86"/>
      <c r="I596" s="65"/>
      <c r="J596" s="65"/>
      <c r="K596" s="87"/>
      <c r="L596" s="88"/>
    </row>
    <row r="597" spans="6:12" ht="12.5">
      <c r="F597" s="86"/>
      <c r="G597" s="86"/>
      <c r="H597" s="86"/>
      <c r="I597" s="65"/>
      <c r="J597" s="65"/>
      <c r="K597" s="87"/>
      <c r="L597" s="88"/>
    </row>
    <row r="598" spans="6:12" ht="12.5">
      <c r="F598" s="86"/>
      <c r="G598" s="86"/>
      <c r="H598" s="86"/>
      <c r="I598" s="65"/>
      <c r="J598" s="65"/>
      <c r="K598" s="87"/>
      <c r="L598" s="88"/>
    </row>
    <row r="599" spans="6:12" ht="12.5">
      <c r="F599" s="86"/>
      <c r="G599" s="86"/>
      <c r="H599" s="86"/>
      <c r="I599" s="65"/>
      <c r="J599" s="65"/>
      <c r="K599" s="87"/>
      <c r="L599" s="88"/>
    </row>
    <row r="600" spans="6:12" ht="12.5">
      <c r="F600" s="86"/>
      <c r="G600" s="86"/>
      <c r="H600" s="86"/>
      <c r="I600" s="65"/>
      <c r="J600" s="65"/>
      <c r="K600" s="87"/>
      <c r="L600" s="88"/>
    </row>
    <row r="601" spans="6:12" ht="12.5">
      <c r="F601" s="86"/>
      <c r="G601" s="86"/>
      <c r="H601" s="86"/>
      <c r="I601" s="65"/>
      <c r="J601" s="65"/>
      <c r="K601" s="87"/>
      <c r="L601" s="88"/>
    </row>
    <row r="602" spans="6:12" ht="12.5">
      <c r="F602" s="86"/>
      <c r="G602" s="86"/>
      <c r="H602" s="86"/>
      <c r="I602" s="65"/>
      <c r="J602" s="65"/>
      <c r="K602" s="87"/>
      <c r="L602" s="88"/>
    </row>
    <row r="603" spans="6:12" ht="12.5">
      <c r="F603" s="86"/>
      <c r="G603" s="86"/>
      <c r="H603" s="86"/>
      <c r="I603" s="65"/>
      <c r="J603" s="65"/>
      <c r="K603" s="87"/>
      <c r="L603" s="88"/>
    </row>
    <row r="604" spans="6:12" ht="12.5">
      <c r="F604" s="86"/>
      <c r="G604" s="86"/>
      <c r="H604" s="86"/>
      <c r="I604" s="65"/>
      <c r="J604" s="65"/>
      <c r="K604" s="87"/>
      <c r="L604" s="88"/>
    </row>
    <row r="605" spans="6:12" ht="12.5">
      <c r="F605" s="86"/>
      <c r="G605" s="86"/>
      <c r="H605" s="86"/>
      <c r="I605" s="65"/>
      <c r="J605" s="65"/>
      <c r="K605" s="87"/>
      <c r="L605" s="88"/>
    </row>
    <row r="606" spans="6:12" ht="12.5">
      <c r="F606" s="86"/>
      <c r="G606" s="86"/>
      <c r="H606" s="86"/>
      <c r="I606" s="65"/>
      <c r="J606" s="65"/>
      <c r="K606" s="87"/>
      <c r="L606" s="88"/>
    </row>
    <row r="607" spans="6:12" ht="12.5">
      <c r="F607" s="86"/>
      <c r="G607" s="86"/>
      <c r="H607" s="86"/>
      <c r="I607" s="65"/>
      <c r="J607" s="65"/>
      <c r="K607" s="87"/>
      <c r="L607" s="88"/>
    </row>
    <row r="608" spans="6:12" ht="12.5">
      <c r="F608" s="86"/>
      <c r="G608" s="86"/>
      <c r="H608" s="86"/>
      <c r="I608" s="65"/>
      <c r="J608" s="65"/>
      <c r="K608" s="87"/>
      <c r="L608" s="88"/>
    </row>
    <row r="609" spans="6:12" ht="12.5">
      <c r="F609" s="86"/>
      <c r="G609" s="86"/>
      <c r="H609" s="86"/>
      <c r="I609" s="65"/>
      <c r="J609" s="65"/>
      <c r="K609" s="87"/>
      <c r="L609" s="88"/>
    </row>
    <row r="610" spans="6:12" ht="12.5">
      <c r="F610" s="86"/>
      <c r="G610" s="86"/>
      <c r="H610" s="86"/>
      <c r="I610" s="65"/>
      <c r="J610" s="65"/>
      <c r="K610" s="87"/>
      <c r="L610" s="88"/>
    </row>
    <row r="611" spans="6:12" ht="12.5">
      <c r="F611" s="86"/>
      <c r="G611" s="86"/>
      <c r="H611" s="86"/>
      <c r="I611" s="65"/>
      <c r="J611" s="65"/>
      <c r="K611" s="87"/>
      <c r="L611" s="88"/>
    </row>
    <row r="612" spans="6:12" ht="12.5">
      <c r="F612" s="86"/>
      <c r="G612" s="86"/>
      <c r="H612" s="86"/>
      <c r="I612" s="65"/>
      <c r="J612" s="65"/>
      <c r="K612" s="87"/>
      <c r="L612" s="88"/>
    </row>
    <row r="613" spans="6:12" ht="12.5">
      <c r="F613" s="86"/>
      <c r="G613" s="86"/>
      <c r="H613" s="86"/>
      <c r="I613" s="65"/>
      <c r="J613" s="65"/>
      <c r="K613" s="87"/>
      <c r="L613" s="88"/>
    </row>
    <row r="614" spans="6:12" ht="12.5">
      <c r="F614" s="86"/>
      <c r="G614" s="86"/>
      <c r="H614" s="86"/>
      <c r="I614" s="65"/>
      <c r="J614" s="65"/>
      <c r="K614" s="87"/>
      <c r="L614" s="88"/>
    </row>
    <row r="615" spans="6:12" ht="12.5">
      <c r="F615" s="86"/>
      <c r="G615" s="86"/>
      <c r="H615" s="86"/>
      <c r="I615" s="65"/>
      <c r="J615" s="65"/>
      <c r="K615" s="87"/>
      <c r="L615" s="88"/>
    </row>
    <row r="616" spans="6:12" ht="12.5">
      <c r="F616" s="86"/>
      <c r="G616" s="86"/>
      <c r="H616" s="86"/>
      <c r="I616" s="65"/>
      <c r="J616" s="65"/>
      <c r="K616" s="87"/>
      <c r="L616" s="88"/>
    </row>
    <row r="617" spans="6:12" ht="12.5">
      <c r="F617" s="86"/>
      <c r="G617" s="86"/>
      <c r="H617" s="86"/>
      <c r="I617" s="65"/>
      <c r="J617" s="65"/>
      <c r="K617" s="87"/>
      <c r="L617" s="88"/>
    </row>
    <row r="618" spans="6:12" ht="12.5">
      <c r="F618" s="86"/>
      <c r="G618" s="86"/>
      <c r="H618" s="86"/>
      <c r="I618" s="65"/>
      <c r="J618" s="65"/>
      <c r="K618" s="87"/>
      <c r="L618" s="88"/>
    </row>
    <row r="619" spans="6:12" ht="12.5">
      <c r="F619" s="86"/>
      <c r="G619" s="86"/>
      <c r="H619" s="86"/>
      <c r="I619" s="65"/>
      <c r="J619" s="65"/>
      <c r="K619" s="87"/>
      <c r="L619" s="88"/>
    </row>
    <row r="620" spans="6:12" ht="12.5">
      <c r="F620" s="86"/>
      <c r="G620" s="86"/>
      <c r="H620" s="86"/>
      <c r="I620" s="65"/>
      <c r="J620" s="65"/>
      <c r="K620" s="87"/>
      <c r="L620" s="88"/>
    </row>
    <row r="621" spans="6:12" ht="12.5">
      <c r="F621" s="86"/>
      <c r="G621" s="86"/>
      <c r="H621" s="86"/>
      <c r="I621" s="65"/>
      <c r="J621" s="65"/>
      <c r="K621" s="87"/>
      <c r="L621" s="88"/>
    </row>
    <row r="622" spans="6:12" ht="12.5">
      <c r="F622" s="86"/>
      <c r="G622" s="86"/>
      <c r="H622" s="86"/>
      <c r="I622" s="65"/>
      <c r="J622" s="65"/>
      <c r="K622" s="87"/>
      <c r="L622" s="88"/>
    </row>
    <row r="623" spans="6:12" ht="12.5">
      <c r="F623" s="86"/>
      <c r="G623" s="86"/>
      <c r="H623" s="86"/>
      <c r="I623" s="65"/>
      <c r="J623" s="65"/>
      <c r="K623" s="87"/>
      <c r="L623" s="88"/>
    </row>
    <row r="624" spans="6:12" ht="12.5">
      <c r="F624" s="86"/>
      <c r="G624" s="86"/>
      <c r="H624" s="86"/>
      <c r="I624" s="65"/>
      <c r="J624" s="65"/>
      <c r="K624" s="87"/>
      <c r="L624" s="88"/>
    </row>
    <row r="625" spans="6:12" ht="12.5">
      <c r="F625" s="86"/>
      <c r="G625" s="86"/>
      <c r="H625" s="86"/>
      <c r="I625" s="65"/>
      <c r="J625" s="65"/>
      <c r="K625" s="87"/>
      <c r="L625" s="88"/>
    </row>
    <row r="626" spans="6:12" ht="12.5">
      <c r="F626" s="86"/>
      <c r="G626" s="86"/>
      <c r="H626" s="86"/>
      <c r="I626" s="65"/>
      <c r="J626" s="65"/>
      <c r="K626" s="87"/>
      <c r="L626" s="88"/>
    </row>
    <row r="627" spans="6:12" ht="12.5">
      <c r="F627" s="86"/>
      <c r="G627" s="86"/>
      <c r="H627" s="86"/>
      <c r="I627" s="65"/>
      <c r="J627" s="65"/>
      <c r="K627" s="87"/>
      <c r="L627" s="88"/>
    </row>
    <row r="628" spans="6:12" ht="12.5">
      <c r="F628" s="86"/>
      <c r="G628" s="86"/>
      <c r="H628" s="86"/>
      <c r="I628" s="65"/>
      <c r="J628" s="65"/>
      <c r="K628" s="87"/>
      <c r="L628" s="88"/>
    </row>
    <row r="629" spans="6:12" ht="12.5">
      <c r="F629" s="86"/>
      <c r="G629" s="86"/>
      <c r="H629" s="86"/>
      <c r="I629" s="65"/>
      <c r="J629" s="65"/>
      <c r="K629" s="87"/>
      <c r="L629" s="88"/>
    </row>
    <row r="630" spans="6:12" ht="12.5">
      <c r="F630" s="86"/>
      <c r="G630" s="86"/>
      <c r="H630" s="86"/>
      <c r="I630" s="65"/>
      <c r="J630" s="65"/>
      <c r="K630" s="87"/>
      <c r="L630" s="88"/>
    </row>
    <row r="631" spans="6:12" ht="12.5">
      <c r="F631" s="86"/>
      <c r="G631" s="86"/>
      <c r="H631" s="86"/>
      <c r="I631" s="65"/>
      <c r="J631" s="65"/>
      <c r="K631" s="87"/>
      <c r="L631" s="88"/>
    </row>
    <row r="632" spans="6:12" ht="12.5">
      <c r="F632" s="86"/>
      <c r="G632" s="86"/>
      <c r="H632" s="86"/>
      <c r="I632" s="65"/>
      <c r="J632" s="65"/>
      <c r="K632" s="87"/>
      <c r="L632" s="88"/>
    </row>
    <row r="633" spans="6:12" ht="12.5">
      <c r="F633" s="86"/>
      <c r="G633" s="86"/>
      <c r="H633" s="86"/>
      <c r="I633" s="65"/>
      <c r="J633" s="65"/>
      <c r="K633" s="87"/>
      <c r="L633" s="88"/>
    </row>
    <row r="634" spans="6:12" ht="12.5">
      <c r="F634" s="86"/>
      <c r="G634" s="86"/>
      <c r="H634" s="86"/>
      <c r="I634" s="65"/>
      <c r="J634" s="65"/>
      <c r="K634" s="87"/>
      <c r="L634" s="88"/>
    </row>
    <row r="635" spans="6:12" ht="12.5">
      <c r="F635" s="86"/>
      <c r="G635" s="86"/>
      <c r="H635" s="86"/>
      <c r="I635" s="65"/>
      <c r="J635" s="65"/>
      <c r="K635" s="87"/>
      <c r="L635" s="88"/>
    </row>
    <row r="636" spans="6:12" ht="12.5">
      <c r="F636" s="86"/>
      <c r="G636" s="86"/>
      <c r="H636" s="86"/>
      <c r="I636" s="65"/>
      <c r="J636" s="65"/>
      <c r="K636" s="87"/>
      <c r="L636" s="88"/>
    </row>
    <row r="637" spans="6:12" ht="12.5">
      <c r="F637" s="86"/>
      <c r="G637" s="86"/>
      <c r="H637" s="86"/>
      <c r="I637" s="65"/>
      <c r="J637" s="65"/>
      <c r="K637" s="87"/>
      <c r="L637" s="88"/>
    </row>
    <row r="638" spans="6:12" ht="12.5">
      <c r="F638" s="86"/>
      <c r="G638" s="86"/>
      <c r="H638" s="86"/>
      <c r="I638" s="65"/>
      <c r="J638" s="65"/>
      <c r="K638" s="87"/>
      <c r="L638" s="88"/>
    </row>
    <row r="639" spans="6:12" ht="12.5">
      <c r="F639" s="86"/>
      <c r="G639" s="86"/>
      <c r="H639" s="86"/>
      <c r="I639" s="65"/>
      <c r="J639" s="65"/>
      <c r="K639" s="87"/>
      <c r="L639" s="88"/>
    </row>
    <row r="640" spans="6:12" ht="12.5">
      <c r="F640" s="86"/>
      <c r="G640" s="86"/>
      <c r="H640" s="86"/>
      <c r="I640" s="65"/>
      <c r="J640" s="65"/>
      <c r="K640" s="87"/>
      <c r="L640" s="88"/>
    </row>
    <row r="641" spans="6:12" ht="12.5">
      <c r="F641" s="86"/>
      <c r="G641" s="86"/>
      <c r="H641" s="86"/>
      <c r="I641" s="65"/>
      <c r="J641" s="65"/>
      <c r="K641" s="87"/>
      <c r="L641" s="88"/>
    </row>
    <row r="642" spans="6:12" ht="12.5">
      <c r="F642" s="86"/>
      <c r="G642" s="86"/>
      <c r="H642" s="86"/>
      <c r="I642" s="65"/>
      <c r="J642" s="65"/>
      <c r="K642" s="87"/>
      <c r="L642" s="88"/>
    </row>
    <row r="643" spans="6:12" ht="12.5">
      <c r="F643" s="86"/>
      <c r="G643" s="86"/>
      <c r="H643" s="86"/>
      <c r="I643" s="65"/>
      <c r="J643" s="65"/>
      <c r="K643" s="87"/>
      <c r="L643" s="88"/>
    </row>
    <row r="644" spans="6:12" ht="12.5">
      <c r="F644" s="86"/>
      <c r="G644" s="86"/>
      <c r="H644" s="86"/>
      <c r="I644" s="65"/>
      <c r="J644" s="65"/>
      <c r="K644" s="87"/>
      <c r="L644" s="88"/>
    </row>
    <row r="645" spans="6:12" ht="12.5">
      <c r="F645" s="86"/>
      <c r="G645" s="86"/>
      <c r="H645" s="86"/>
      <c r="I645" s="65"/>
      <c r="J645" s="65"/>
      <c r="K645" s="87"/>
      <c r="L645" s="88"/>
    </row>
    <row r="646" spans="6:12" ht="12.5">
      <c r="F646" s="86"/>
      <c r="G646" s="86"/>
      <c r="H646" s="86"/>
      <c r="I646" s="65"/>
      <c r="J646" s="65"/>
      <c r="K646" s="87"/>
      <c r="L646" s="88"/>
    </row>
    <row r="647" spans="6:12" ht="12.5">
      <c r="F647" s="86"/>
      <c r="G647" s="86"/>
      <c r="H647" s="86"/>
      <c r="I647" s="65"/>
      <c r="J647" s="65"/>
      <c r="K647" s="87"/>
      <c r="L647" s="88"/>
    </row>
    <row r="648" spans="6:12" ht="12.5">
      <c r="F648" s="86"/>
      <c r="G648" s="86"/>
      <c r="H648" s="86"/>
      <c r="I648" s="65"/>
      <c r="J648" s="65"/>
      <c r="K648" s="87"/>
      <c r="L648" s="88"/>
    </row>
    <row r="649" spans="6:12" ht="12.5">
      <c r="F649" s="86"/>
      <c r="G649" s="86"/>
      <c r="H649" s="86"/>
      <c r="I649" s="65"/>
      <c r="J649" s="65"/>
      <c r="K649" s="87"/>
      <c r="L649" s="88"/>
    </row>
    <row r="650" spans="6:12" ht="12.5">
      <c r="F650" s="86"/>
      <c r="G650" s="86"/>
      <c r="H650" s="86"/>
      <c r="I650" s="65"/>
      <c r="J650" s="65"/>
      <c r="K650" s="87"/>
      <c r="L650" s="88"/>
    </row>
    <row r="651" spans="6:12" ht="12.5">
      <c r="F651" s="86"/>
      <c r="G651" s="86"/>
      <c r="H651" s="86"/>
      <c r="I651" s="65"/>
      <c r="J651" s="65"/>
      <c r="K651" s="87"/>
      <c r="L651" s="88"/>
    </row>
    <row r="652" spans="6:12" ht="12.5">
      <c r="F652" s="86"/>
      <c r="G652" s="86"/>
      <c r="H652" s="86"/>
      <c r="I652" s="65"/>
      <c r="J652" s="65"/>
      <c r="K652" s="87"/>
      <c r="L652" s="88"/>
    </row>
    <row r="653" spans="6:12" ht="12.5">
      <c r="F653" s="86"/>
      <c r="G653" s="86"/>
      <c r="H653" s="86"/>
      <c r="I653" s="65"/>
      <c r="J653" s="65"/>
      <c r="K653" s="87"/>
      <c r="L653" s="88"/>
    </row>
    <row r="654" spans="6:12" ht="12.5">
      <c r="F654" s="86"/>
      <c r="G654" s="86"/>
      <c r="H654" s="86"/>
      <c r="I654" s="65"/>
      <c r="J654" s="65"/>
      <c r="K654" s="87"/>
      <c r="L654" s="88"/>
    </row>
    <row r="655" spans="6:12" ht="12.5">
      <c r="F655" s="86"/>
      <c r="G655" s="86"/>
      <c r="H655" s="86"/>
      <c r="I655" s="65"/>
      <c r="J655" s="65"/>
      <c r="K655" s="87"/>
      <c r="L655" s="88"/>
    </row>
    <row r="656" spans="6:12" ht="12.5">
      <c r="F656" s="86"/>
      <c r="G656" s="86"/>
      <c r="H656" s="86"/>
      <c r="I656" s="65"/>
      <c r="J656" s="65"/>
      <c r="K656" s="87"/>
      <c r="L656" s="88"/>
    </row>
    <row r="657" spans="6:12" ht="12.5">
      <c r="F657" s="86"/>
      <c r="G657" s="86"/>
      <c r="H657" s="86"/>
      <c r="I657" s="65"/>
      <c r="J657" s="65"/>
      <c r="K657" s="87"/>
      <c r="L657" s="88"/>
    </row>
    <row r="658" spans="6:12" ht="12.5">
      <c r="F658" s="86"/>
      <c r="G658" s="86"/>
      <c r="H658" s="86"/>
      <c r="I658" s="65"/>
      <c r="J658" s="65"/>
      <c r="K658" s="87"/>
      <c r="L658" s="88"/>
    </row>
    <row r="659" spans="6:12" ht="12.5">
      <c r="F659" s="86"/>
      <c r="G659" s="86"/>
      <c r="H659" s="86"/>
      <c r="I659" s="65"/>
      <c r="J659" s="65"/>
      <c r="K659" s="87"/>
      <c r="L659" s="88"/>
    </row>
    <row r="660" spans="6:12" ht="12.5">
      <c r="F660" s="86"/>
      <c r="G660" s="86"/>
      <c r="H660" s="86"/>
      <c r="I660" s="65"/>
      <c r="J660" s="65"/>
      <c r="K660" s="87"/>
      <c r="L660" s="88"/>
    </row>
    <row r="661" spans="6:12" ht="12.5">
      <c r="F661" s="86"/>
      <c r="G661" s="86"/>
      <c r="H661" s="86"/>
      <c r="I661" s="65"/>
      <c r="J661" s="65"/>
      <c r="K661" s="87"/>
      <c r="L661" s="88"/>
    </row>
    <row r="662" spans="6:12" ht="12.5">
      <c r="F662" s="86"/>
      <c r="G662" s="86"/>
      <c r="H662" s="86"/>
      <c r="I662" s="65"/>
      <c r="J662" s="65"/>
      <c r="K662" s="87"/>
      <c r="L662" s="88"/>
    </row>
    <row r="663" spans="6:12" ht="12.5">
      <c r="F663" s="86"/>
      <c r="G663" s="86"/>
      <c r="H663" s="86"/>
      <c r="I663" s="65"/>
      <c r="J663" s="65"/>
      <c r="K663" s="87"/>
      <c r="L663" s="88"/>
    </row>
    <row r="664" spans="6:12" ht="12.5">
      <c r="F664" s="86"/>
      <c r="G664" s="86"/>
      <c r="H664" s="86"/>
      <c r="I664" s="65"/>
      <c r="J664" s="65"/>
      <c r="K664" s="87"/>
      <c r="L664" s="88"/>
    </row>
    <row r="665" spans="6:12" ht="12.5">
      <c r="F665" s="86"/>
      <c r="G665" s="86"/>
      <c r="H665" s="86"/>
      <c r="I665" s="65"/>
      <c r="J665" s="65"/>
      <c r="K665" s="87"/>
      <c r="L665" s="88"/>
    </row>
    <row r="666" spans="6:12" ht="12.5">
      <c r="F666" s="86"/>
      <c r="G666" s="86"/>
      <c r="H666" s="86"/>
      <c r="I666" s="65"/>
      <c r="J666" s="65"/>
      <c r="K666" s="87"/>
      <c r="L666" s="88"/>
    </row>
    <row r="667" spans="6:12" ht="12.5">
      <c r="F667" s="86"/>
      <c r="G667" s="86"/>
      <c r="H667" s="86"/>
      <c r="I667" s="65"/>
      <c r="J667" s="65"/>
      <c r="K667" s="87"/>
      <c r="L667" s="88"/>
    </row>
    <row r="668" spans="6:12" ht="12.5">
      <c r="F668" s="86"/>
      <c r="G668" s="86"/>
      <c r="H668" s="86"/>
      <c r="I668" s="65"/>
      <c r="J668" s="65"/>
      <c r="K668" s="87"/>
      <c r="L668" s="88"/>
    </row>
    <row r="669" spans="6:12" ht="12.5">
      <c r="F669" s="86"/>
      <c r="G669" s="86"/>
      <c r="H669" s="86"/>
      <c r="I669" s="65"/>
      <c r="J669" s="65"/>
      <c r="K669" s="87"/>
      <c r="L669" s="88"/>
    </row>
    <row r="670" spans="6:12" ht="12.5">
      <c r="F670" s="86"/>
      <c r="G670" s="86"/>
      <c r="H670" s="86"/>
      <c r="I670" s="65"/>
      <c r="J670" s="65"/>
      <c r="K670" s="87"/>
      <c r="L670" s="88"/>
    </row>
    <row r="671" spans="6:12" ht="12.5">
      <c r="F671" s="86"/>
      <c r="G671" s="86"/>
      <c r="H671" s="86"/>
      <c r="I671" s="65"/>
      <c r="J671" s="65"/>
      <c r="K671" s="87"/>
      <c r="L671" s="88"/>
    </row>
    <row r="672" spans="6:12" ht="12.5">
      <c r="F672" s="86"/>
      <c r="G672" s="86"/>
      <c r="H672" s="86"/>
      <c r="I672" s="65"/>
      <c r="J672" s="65"/>
      <c r="K672" s="87"/>
      <c r="L672" s="88"/>
    </row>
    <row r="673" spans="6:12" ht="12.5">
      <c r="F673" s="86"/>
      <c r="G673" s="86"/>
      <c r="H673" s="86"/>
      <c r="I673" s="65"/>
      <c r="J673" s="65"/>
      <c r="K673" s="87"/>
      <c r="L673" s="88"/>
    </row>
    <row r="674" spans="6:12" ht="12.5">
      <c r="F674" s="86"/>
      <c r="G674" s="86"/>
      <c r="H674" s="86"/>
      <c r="I674" s="65"/>
      <c r="J674" s="65"/>
      <c r="K674" s="87"/>
      <c r="L674" s="88"/>
    </row>
    <row r="675" spans="6:12" ht="12.5">
      <c r="F675" s="86"/>
      <c r="G675" s="86"/>
      <c r="H675" s="86"/>
      <c r="I675" s="65"/>
      <c r="J675" s="65"/>
      <c r="K675" s="87"/>
      <c r="L675" s="88"/>
    </row>
    <row r="676" spans="6:12" ht="12.5">
      <c r="F676" s="86"/>
      <c r="G676" s="86"/>
      <c r="H676" s="86"/>
      <c r="I676" s="65"/>
      <c r="J676" s="65"/>
      <c r="K676" s="87"/>
      <c r="L676" s="88"/>
    </row>
    <row r="677" spans="6:12" ht="12.5">
      <c r="F677" s="86"/>
      <c r="G677" s="86"/>
      <c r="H677" s="86"/>
      <c r="I677" s="65"/>
      <c r="J677" s="65"/>
      <c r="K677" s="87"/>
      <c r="L677" s="88"/>
    </row>
    <row r="678" spans="6:12" ht="12.5">
      <c r="F678" s="86"/>
      <c r="G678" s="86"/>
      <c r="H678" s="86"/>
      <c r="I678" s="65"/>
      <c r="J678" s="65"/>
      <c r="K678" s="87"/>
      <c r="L678" s="88"/>
    </row>
    <row r="679" spans="6:12" ht="12.5">
      <c r="F679" s="86"/>
      <c r="G679" s="86"/>
      <c r="H679" s="86"/>
      <c r="I679" s="65"/>
      <c r="J679" s="65"/>
      <c r="K679" s="87"/>
      <c r="L679" s="88"/>
    </row>
    <row r="680" spans="6:12" ht="12.5">
      <c r="F680" s="86"/>
      <c r="G680" s="86"/>
      <c r="H680" s="86"/>
      <c r="I680" s="65"/>
      <c r="J680" s="65"/>
      <c r="K680" s="87"/>
      <c r="L680" s="88"/>
    </row>
    <row r="681" spans="6:12" ht="12.5">
      <c r="F681" s="86"/>
      <c r="G681" s="86"/>
      <c r="H681" s="86"/>
      <c r="I681" s="65"/>
      <c r="J681" s="65"/>
      <c r="K681" s="87"/>
      <c r="L681" s="88"/>
    </row>
    <row r="682" spans="6:12" ht="12.5">
      <c r="F682" s="86"/>
      <c r="G682" s="86"/>
      <c r="H682" s="86"/>
      <c r="I682" s="65"/>
      <c r="J682" s="65"/>
      <c r="K682" s="87"/>
      <c r="L682" s="88"/>
    </row>
    <row r="683" spans="6:12" ht="12.5">
      <c r="F683" s="86"/>
      <c r="G683" s="86"/>
      <c r="H683" s="86"/>
      <c r="I683" s="65"/>
      <c r="J683" s="65"/>
      <c r="K683" s="87"/>
      <c r="L683" s="88"/>
    </row>
    <row r="684" spans="6:12" ht="12.5">
      <c r="F684" s="86"/>
      <c r="G684" s="86"/>
      <c r="H684" s="86"/>
      <c r="I684" s="65"/>
      <c r="J684" s="65"/>
      <c r="K684" s="87"/>
      <c r="L684" s="88"/>
    </row>
    <row r="685" spans="6:12" ht="12.5">
      <c r="F685" s="86"/>
      <c r="G685" s="86"/>
      <c r="H685" s="86"/>
      <c r="I685" s="65"/>
      <c r="J685" s="65"/>
      <c r="K685" s="87"/>
      <c r="L685" s="88"/>
    </row>
    <row r="686" spans="6:12" ht="12.5">
      <c r="F686" s="86"/>
      <c r="G686" s="86"/>
      <c r="H686" s="86"/>
      <c r="I686" s="65"/>
      <c r="J686" s="65"/>
      <c r="K686" s="87"/>
      <c r="L686" s="88"/>
    </row>
    <row r="687" spans="6:12" ht="12.5">
      <c r="F687" s="86"/>
      <c r="G687" s="86"/>
      <c r="H687" s="86"/>
      <c r="I687" s="65"/>
      <c r="J687" s="65"/>
      <c r="K687" s="87"/>
      <c r="L687" s="88"/>
    </row>
    <row r="688" spans="6:12" ht="12.5">
      <c r="F688" s="86"/>
      <c r="G688" s="86"/>
      <c r="H688" s="86"/>
      <c r="I688" s="65"/>
      <c r="J688" s="65"/>
      <c r="K688" s="87"/>
      <c r="L688" s="88"/>
    </row>
    <row r="689" spans="6:12" ht="12.5">
      <c r="F689" s="86"/>
      <c r="G689" s="86"/>
      <c r="H689" s="86"/>
      <c r="I689" s="65"/>
      <c r="J689" s="65"/>
      <c r="K689" s="87"/>
      <c r="L689" s="88"/>
    </row>
    <row r="690" spans="6:12" ht="12.5">
      <c r="F690" s="86"/>
      <c r="G690" s="86"/>
      <c r="H690" s="86"/>
      <c r="I690" s="65"/>
      <c r="J690" s="65"/>
      <c r="K690" s="87"/>
      <c r="L690" s="88"/>
    </row>
    <row r="691" spans="6:12" ht="12.5">
      <c r="F691" s="86"/>
      <c r="G691" s="86"/>
      <c r="H691" s="86"/>
      <c r="I691" s="65"/>
      <c r="J691" s="65"/>
      <c r="K691" s="87"/>
      <c r="L691" s="88"/>
    </row>
    <row r="692" spans="6:12" ht="12.5">
      <c r="F692" s="86"/>
      <c r="G692" s="86"/>
      <c r="H692" s="86"/>
      <c r="I692" s="65"/>
      <c r="J692" s="65"/>
      <c r="K692" s="87"/>
      <c r="L692" s="88"/>
    </row>
    <row r="693" spans="6:12" ht="12.5">
      <c r="F693" s="86"/>
      <c r="G693" s="86"/>
      <c r="H693" s="86"/>
      <c r="I693" s="65"/>
      <c r="J693" s="65"/>
      <c r="K693" s="87"/>
      <c r="L693" s="88"/>
    </row>
    <row r="694" spans="6:12" ht="12.5">
      <c r="F694" s="86"/>
      <c r="G694" s="86"/>
      <c r="H694" s="86"/>
      <c r="I694" s="65"/>
      <c r="J694" s="65"/>
      <c r="K694" s="87"/>
      <c r="L694" s="88"/>
    </row>
    <row r="695" spans="6:12" ht="12.5">
      <c r="F695" s="86"/>
      <c r="G695" s="86"/>
      <c r="H695" s="86"/>
      <c r="I695" s="65"/>
      <c r="J695" s="65"/>
      <c r="K695" s="87"/>
      <c r="L695" s="88"/>
    </row>
    <row r="696" spans="6:12" ht="12.5">
      <c r="F696" s="86"/>
      <c r="G696" s="86"/>
      <c r="H696" s="86"/>
      <c r="I696" s="65"/>
      <c r="J696" s="65"/>
      <c r="K696" s="87"/>
      <c r="L696" s="88"/>
    </row>
    <row r="697" spans="6:12" ht="12.5">
      <c r="F697" s="86"/>
      <c r="G697" s="86"/>
      <c r="H697" s="86"/>
      <c r="I697" s="65"/>
      <c r="J697" s="65"/>
      <c r="K697" s="87"/>
      <c r="L697" s="88"/>
    </row>
    <row r="698" spans="6:12" ht="12.5">
      <c r="F698" s="86"/>
      <c r="G698" s="86"/>
      <c r="H698" s="86"/>
      <c r="I698" s="65"/>
      <c r="J698" s="65"/>
      <c r="K698" s="87"/>
      <c r="L698" s="88"/>
    </row>
    <row r="699" spans="6:12" ht="12.5">
      <c r="F699" s="86"/>
      <c r="G699" s="86"/>
      <c r="H699" s="86"/>
      <c r="I699" s="65"/>
      <c r="J699" s="65"/>
      <c r="K699" s="87"/>
      <c r="L699" s="88"/>
    </row>
    <row r="700" spans="6:12" ht="12.5">
      <c r="F700" s="86"/>
      <c r="G700" s="86"/>
      <c r="H700" s="86"/>
      <c r="I700" s="65"/>
      <c r="J700" s="65"/>
      <c r="K700" s="87"/>
      <c r="L700" s="88"/>
    </row>
    <row r="701" spans="6:12" ht="12.5">
      <c r="F701" s="86"/>
      <c r="G701" s="86"/>
      <c r="H701" s="86"/>
      <c r="I701" s="65"/>
      <c r="J701" s="65"/>
      <c r="K701" s="87"/>
      <c r="L701" s="88"/>
    </row>
    <row r="702" spans="6:12" ht="12.5">
      <c r="F702" s="86"/>
      <c r="G702" s="86"/>
      <c r="H702" s="86"/>
      <c r="I702" s="65"/>
      <c r="J702" s="65"/>
      <c r="K702" s="87"/>
      <c r="L702" s="88"/>
    </row>
    <row r="703" spans="6:12" ht="12.5">
      <c r="F703" s="86"/>
      <c r="G703" s="86"/>
      <c r="H703" s="86"/>
      <c r="I703" s="65"/>
      <c r="J703" s="65"/>
      <c r="K703" s="87"/>
      <c r="L703" s="88"/>
    </row>
    <row r="704" spans="6:12" ht="12.5">
      <c r="F704" s="86"/>
      <c r="G704" s="86"/>
      <c r="H704" s="86"/>
      <c r="I704" s="65"/>
      <c r="J704" s="65"/>
      <c r="K704" s="87"/>
      <c r="L704" s="88"/>
    </row>
    <row r="705" spans="6:12" ht="12.5">
      <c r="F705" s="86"/>
      <c r="G705" s="86"/>
      <c r="H705" s="86"/>
      <c r="I705" s="65"/>
      <c r="J705" s="65"/>
      <c r="K705" s="87"/>
      <c r="L705" s="88"/>
    </row>
    <row r="706" spans="6:12" ht="12.5">
      <c r="F706" s="86"/>
      <c r="G706" s="86"/>
      <c r="H706" s="86"/>
      <c r="I706" s="65"/>
      <c r="J706" s="65"/>
      <c r="K706" s="87"/>
      <c r="L706" s="88"/>
    </row>
    <row r="707" spans="6:12" ht="12.5">
      <c r="F707" s="86"/>
      <c r="G707" s="86"/>
      <c r="H707" s="86"/>
      <c r="I707" s="65"/>
      <c r="J707" s="65"/>
      <c r="K707" s="87"/>
      <c r="L707" s="88"/>
    </row>
    <row r="708" spans="6:12" ht="12.5">
      <c r="F708" s="86"/>
      <c r="G708" s="86"/>
      <c r="H708" s="86"/>
      <c r="I708" s="65"/>
      <c r="J708" s="65"/>
      <c r="K708" s="87"/>
      <c r="L708" s="88"/>
    </row>
    <row r="709" spans="6:12" ht="12.5">
      <c r="F709" s="86"/>
      <c r="G709" s="86"/>
      <c r="H709" s="86"/>
      <c r="I709" s="65"/>
      <c r="J709" s="65"/>
      <c r="K709" s="87"/>
      <c r="L709" s="88"/>
    </row>
    <row r="710" spans="6:12" ht="12.5">
      <c r="F710" s="86"/>
      <c r="G710" s="86"/>
      <c r="H710" s="86"/>
      <c r="I710" s="65"/>
      <c r="J710" s="65"/>
      <c r="K710" s="87"/>
      <c r="L710" s="88"/>
    </row>
    <row r="711" spans="6:12" ht="12.5">
      <c r="F711" s="86"/>
      <c r="G711" s="86"/>
      <c r="H711" s="86"/>
      <c r="I711" s="65"/>
      <c r="J711" s="65"/>
      <c r="K711" s="87"/>
      <c r="L711" s="88"/>
    </row>
    <row r="712" spans="6:12" ht="12.5">
      <c r="F712" s="86"/>
      <c r="G712" s="86"/>
      <c r="H712" s="86"/>
      <c r="I712" s="65"/>
      <c r="J712" s="65"/>
      <c r="K712" s="87"/>
      <c r="L712" s="88"/>
    </row>
    <row r="713" spans="6:12" ht="12.5">
      <c r="F713" s="86"/>
      <c r="G713" s="86"/>
      <c r="H713" s="86"/>
      <c r="I713" s="65"/>
      <c r="J713" s="65"/>
      <c r="K713" s="87"/>
      <c r="L713" s="88"/>
    </row>
    <row r="714" spans="6:12" ht="12.5">
      <c r="F714" s="86"/>
      <c r="G714" s="86"/>
      <c r="H714" s="86"/>
      <c r="I714" s="65"/>
      <c r="J714" s="65"/>
      <c r="K714" s="87"/>
      <c r="L714" s="88"/>
    </row>
    <row r="715" spans="6:12" ht="12.5">
      <c r="F715" s="86"/>
      <c r="G715" s="86"/>
      <c r="H715" s="86"/>
      <c r="I715" s="65"/>
      <c r="J715" s="65"/>
      <c r="K715" s="87"/>
      <c r="L715" s="88"/>
    </row>
    <row r="716" spans="6:12" ht="12.5">
      <c r="F716" s="86"/>
      <c r="G716" s="86"/>
      <c r="H716" s="86"/>
      <c r="I716" s="65"/>
      <c r="J716" s="65"/>
      <c r="K716" s="87"/>
      <c r="L716" s="88"/>
    </row>
    <row r="717" spans="6:12" ht="12.5">
      <c r="F717" s="86"/>
      <c r="G717" s="86"/>
      <c r="H717" s="86"/>
      <c r="I717" s="65"/>
      <c r="J717" s="65"/>
      <c r="K717" s="87"/>
      <c r="L717" s="88"/>
    </row>
    <row r="718" spans="6:12" ht="12.5">
      <c r="F718" s="86"/>
      <c r="G718" s="86"/>
      <c r="H718" s="86"/>
      <c r="I718" s="65"/>
      <c r="J718" s="65"/>
      <c r="K718" s="87"/>
      <c r="L718" s="88"/>
    </row>
    <row r="719" spans="6:12" ht="12.5">
      <c r="F719" s="86"/>
      <c r="G719" s="86"/>
      <c r="H719" s="86"/>
      <c r="I719" s="65"/>
      <c r="J719" s="65"/>
      <c r="K719" s="87"/>
      <c r="L719" s="88"/>
    </row>
    <row r="720" spans="6:12" ht="12.5">
      <c r="F720" s="86"/>
      <c r="G720" s="86"/>
      <c r="H720" s="86"/>
      <c r="I720" s="65"/>
      <c r="J720" s="65"/>
      <c r="K720" s="87"/>
      <c r="L720" s="88"/>
    </row>
    <row r="721" spans="6:12" ht="12.5">
      <c r="F721" s="86"/>
      <c r="G721" s="86"/>
      <c r="H721" s="86"/>
      <c r="I721" s="65"/>
      <c r="J721" s="65"/>
      <c r="K721" s="87"/>
      <c r="L721" s="88"/>
    </row>
    <row r="722" spans="6:12" ht="12.5">
      <c r="F722" s="86"/>
      <c r="G722" s="86"/>
      <c r="H722" s="86"/>
      <c r="I722" s="65"/>
      <c r="J722" s="65"/>
      <c r="K722" s="87"/>
      <c r="L722" s="88"/>
    </row>
    <row r="723" spans="6:12" ht="12.5">
      <c r="F723" s="86"/>
      <c r="G723" s="86"/>
      <c r="H723" s="86"/>
      <c r="I723" s="65"/>
      <c r="J723" s="65"/>
      <c r="K723" s="87"/>
      <c r="L723" s="88"/>
    </row>
    <row r="724" spans="6:12" ht="12.5">
      <c r="F724" s="86"/>
      <c r="G724" s="86"/>
      <c r="H724" s="86"/>
      <c r="I724" s="65"/>
      <c r="J724" s="65"/>
      <c r="K724" s="87"/>
      <c r="L724" s="88"/>
    </row>
    <row r="725" spans="6:12" ht="12.5">
      <c r="F725" s="86"/>
      <c r="G725" s="86"/>
      <c r="H725" s="86"/>
      <c r="I725" s="65"/>
      <c r="J725" s="65"/>
      <c r="K725" s="87"/>
      <c r="L725" s="88"/>
    </row>
    <row r="726" spans="6:12" ht="12.5">
      <c r="F726" s="86"/>
      <c r="G726" s="86"/>
      <c r="H726" s="86"/>
      <c r="I726" s="65"/>
      <c r="J726" s="65"/>
      <c r="K726" s="87"/>
      <c r="L726" s="88"/>
    </row>
    <row r="727" spans="6:12" ht="12.5">
      <c r="F727" s="86"/>
      <c r="G727" s="86"/>
      <c r="H727" s="86"/>
      <c r="I727" s="65"/>
      <c r="J727" s="65"/>
      <c r="K727" s="87"/>
      <c r="L727" s="88"/>
    </row>
    <row r="728" spans="6:12" ht="12.5">
      <c r="F728" s="86"/>
      <c r="G728" s="86"/>
      <c r="H728" s="86"/>
      <c r="I728" s="65"/>
      <c r="J728" s="65"/>
      <c r="K728" s="87"/>
      <c r="L728" s="88"/>
    </row>
    <row r="729" spans="6:12" ht="12.5">
      <c r="F729" s="86"/>
      <c r="G729" s="86"/>
      <c r="H729" s="86"/>
      <c r="I729" s="65"/>
      <c r="J729" s="65"/>
      <c r="K729" s="87"/>
      <c r="L729" s="88"/>
    </row>
    <row r="730" spans="6:12" ht="12.5">
      <c r="F730" s="86"/>
      <c r="G730" s="86"/>
      <c r="H730" s="86"/>
      <c r="I730" s="65"/>
      <c r="J730" s="65"/>
      <c r="K730" s="87"/>
      <c r="L730" s="88"/>
    </row>
    <row r="731" spans="6:12" ht="12.5">
      <c r="F731" s="86"/>
      <c r="G731" s="86"/>
      <c r="H731" s="86"/>
      <c r="I731" s="65"/>
      <c r="J731" s="65"/>
      <c r="K731" s="87"/>
      <c r="L731" s="88"/>
    </row>
    <row r="732" spans="6:12" ht="12.5">
      <c r="F732" s="86"/>
      <c r="G732" s="86"/>
      <c r="H732" s="86"/>
      <c r="I732" s="65"/>
      <c r="J732" s="65"/>
      <c r="K732" s="87"/>
      <c r="L732" s="88"/>
    </row>
    <row r="733" spans="6:12" ht="12.5">
      <c r="F733" s="86"/>
      <c r="G733" s="86"/>
      <c r="H733" s="86"/>
      <c r="I733" s="65"/>
      <c r="J733" s="65"/>
      <c r="K733" s="87"/>
      <c r="L733" s="88"/>
    </row>
    <row r="734" spans="6:12" ht="12.5">
      <c r="F734" s="86"/>
      <c r="G734" s="86"/>
      <c r="H734" s="86"/>
      <c r="I734" s="65"/>
      <c r="J734" s="65"/>
      <c r="K734" s="87"/>
      <c r="L734" s="88"/>
    </row>
    <row r="735" spans="6:12" ht="12.5">
      <c r="F735" s="86"/>
      <c r="G735" s="86"/>
      <c r="H735" s="86"/>
      <c r="I735" s="65"/>
      <c r="J735" s="65"/>
      <c r="K735" s="87"/>
      <c r="L735" s="88"/>
    </row>
    <row r="736" spans="6:12" ht="12.5">
      <c r="F736" s="86"/>
      <c r="G736" s="86"/>
      <c r="H736" s="86"/>
      <c r="I736" s="65"/>
      <c r="J736" s="65"/>
      <c r="K736" s="87"/>
      <c r="L736" s="88"/>
    </row>
    <row r="737" spans="6:12" ht="12.5">
      <c r="F737" s="86"/>
      <c r="G737" s="86"/>
      <c r="H737" s="86"/>
      <c r="I737" s="65"/>
      <c r="J737" s="65"/>
      <c r="K737" s="87"/>
      <c r="L737" s="88"/>
    </row>
    <row r="738" spans="6:12" ht="12.5">
      <c r="F738" s="86"/>
      <c r="G738" s="86"/>
      <c r="H738" s="86"/>
      <c r="I738" s="65"/>
      <c r="J738" s="65"/>
      <c r="K738" s="87"/>
      <c r="L738" s="88"/>
    </row>
    <row r="739" spans="6:12" ht="12.5">
      <c r="F739" s="86"/>
      <c r="G739" s="86"/>
      <c r="H739" s="86"/>
      <c r="I739" s="65"/>
      <c r="J739" s="65"/>
      <c r="K739" s="87"/>
      <c r="L739" s="88"/>
    </row>
    <row r="740" spans="6:12" ht="12.5">
      <c r="F740" s="86"/>
      <c r="G740" s="86"/>
      <c r="H740" s="86"/>
      <c r="I740" s="65"/>
      <c r="J740" s="65"/>
      <c r="K740" s="87"/>
      <c r="L740" s="88"/>
    </row>
    <row r="741" spans="6:12" ht="12.5">
      <c r="F741" s="86"/>
      <c r="G741" s="86"/>
      <c r="H741" s="86"/>
      <c r="I741" s="65"/>
      <c r="J741" s="65"/>
      <c r="K741" s="87"/>
      <c r="L741" s="88"/>
    </row>
    <row r="742" spans="6:12" ht="12.5">
      <c r="F742" s="86"/>
      <c r="G742" s="86"/>
      <c r="H742" s="86"/>
      <c r="I742" s="65"/>
      <c r="J742" s="65"/>
      <c r="K742" s="87"/>
      <c r="L742" s="88"/>
    </row>
    <row r="743" spans="6:12" ht="12.5">
      <c r="F743" s="86"/>
      <c r="G743" s="86"/>
      <c r="H743" s="86"/>
      <c r="I743" s="65"/>
      <c r="J743" s="65"/>
      <c r="K743" s="87"/>
      <c r="L743" s="88"/>
    </row>
    <row r="744" spans="6:12" ht="12.5">
      <c r="F744" s="86"/>
      <c r="G744" s="86"/>
      <c r="H744" s="86"/>
      <c r="I744" s="65"/>
      <c r="J744" s="65"/>
      <c r="K744" s="87"/>
      <c r="L744" s="88"/>
    </row>
    <row r="745" spans="6:12" ht="12.5">
      <c r="F745" s="86"/>
      <c r="G745" s="86"/>
      <c r="H745" s="86"/>
      <c r="I745" s="65"/>
      <c r="J745" s="65"/>
      <c r="K745" s="87"/>
      <c r="L745" s="88"/>
    </row>
    <row r="746" spans="6:12" ht="12.5">
      <c r="F746" s="86"/>
      <c r="G746" s="86"/>
      <c r="H746" s="86"/>
      <c r="I746" s="65"/>
      <c r="J746" s="65"/>
      <c r="K746" s="87"/>
      <c r="L746" s="88"/>
    </row>
    <row r="747" spans="6:12" ht="12.5">
      <c r="F747" s="86"/>
      <c r="G747" s="86"/>
      <c r="H747" s="86"/>
      <c r="I747" s="65"/>
      <c r="J747" s="65"/>
      <c r="K747" s="87"/>
      <c r="L747" s="88"/>
    </row>
    <row r="748" spans="6:12" ht="12.5">
      <c r="F748" s="86"/>
      <c r="G748" s="86"/>
      <c r="H748" s="86"/>
      <c r="I748" s="65"/>
      <c r="J748" s="65"/>
      <c r="K748" s="87"/>
      <c r="L748" s="88"/>
    </row>
    <row r="749" spans="6:12" ht="12.5">
      <c r="F749" s="86"/>
      <c r="G749" s="86"/>
      <c r="H749" s="86"/>
      <c r="I749" s="65"/>
      <c r="J749" s="65"/>
      <c r="K749" s="87"/>
      <c r="L749" s="88"/>
    </row>
    <row r="750" spans="6:12" ht="12.5">
      <c r="F750" s="86"/>
      <c r="G750" s="86"/>
      <c r="H750" s="86"/>
      <c r="I750" s="65"/>
      <c r="J750" s="65"/>
      <c r="K750" s="87"/>
      <c r="L750" s="88"/>
    </row>
    <row r="751" spans="6:12" ht="12.5">
      <c r="F751" s="86"/>
      <c r="G751" s="86"/>
      <c r="H751" s="86"/>
      <c r="I751" s="65"/>
      <c r="J751" s="65"/>
      <c r="K751" s="87"/>
      <c r="L751" s="88"/>
    </row>
    <row r="752" spans="6:12" ht="12.5">
      <c r="F752" s="86"/>
      <c r="G752" s="86"/>
      <c r="H752" s="86"/>
      <c r="I752" s="65"/>
      <c r="J752" s="65"/>
      <c r="K752" s="87"/>
      <c r="L752" s="88"/>
    </row>
    <row r="753" spans="6:12" ht="12.5">
      <c r="F753" s="86"/>
      <c r="G753" s="86"/>
      <c r="H753" s="86"/>
      <c r="I753" s="65"/>
      <c r="J753" s="65"/>
      <c r="K753" s="87"/>
      <c r="L753" s="88"/>
    </row>
    <row r="754" spans="6:12" ht="12.5">
      <c r="F754" s="86"/>
      <c r="G754" s="86"/>
      <c r="H754" s="86"/>
      <c r="I754" s="65"/>
      <c r="J754" s="65"/>
      <c r="K754" s="87"/>
      <c r="L754" s="88"/>
    </row>
    <row r="755" spans="6:12" ht="12.5">
      <c r="F755" s="86"/>
      <c r="G755" s="86"/>
      <c r="H755" s="86"/>
      <c r="I755" s="65"/>
      <c r="J755" s="65"/>
      <c r="K755" s="87"/>
      <c r="L755" s="88"/>
    </row>
    <row r="756" spans="6:12" ht="12.5">
      <c r="F756" s="86"/>
      <c r="G756" s="86"/>
      <c r="H756" s="86"/>
      <c r="I756" s="65"/>
      <c r="J756" s="65"/>
      <c r="K756" s="87"/>
      <c r="L756" s="88"/>
    </row>
    <row r="757" spans="6:12" ht="12.5">
      <c r="F757" s="86"/>
      <c r="G757" s="86"/>
      <c r="H757" s="86"/>
      <c r="I757" s="65"/>
      <c r="J757" s="65"/>
      <c r="K757" s="87"/>
      <c r="L757" s="88"/>
    </row>
    <row r="758" spans="6:12" ht="12.5">
      <c r="F758" s="86"/>
      <c r="G758" s="86"/>
      <c r="H758" s="86"/>
      <c r="I758" s="65"/>
      <c r="J758" s="65"/>
      <c r="K758" s="87"/>
      <c r="L758" s="88"/>
    </row>
    <row r="759" spans="6:12" ht="12.5">
      <c r="F759" s="86"/>
      <c r="G759" s="86"/>
      <c r="H759" s="86"/>
      <c r="I759" s="65"/>
      <c r="J759" s="65"/>
      <c r="K759" s="87"/>
      <c r="L759" s="88"/>
    </row>
    <row r="760" spans="6:12" ht="12.5">
      <c r="F760" s="86"/>
      <c r="G760" s="86"/>
      <c r="H760" s="86"/>
      <c r="I760" s="65"/>
      <c r="J760" s="65"/>
      <c r="K760" s="87"/>
      <c r="L760" s="88"/>
    </row>
    <row r="761" spans="6:12" ht="12.5">
      <c r="F761" s="86"/>
      <c r="G761" s="86"/>
      <c r="H761" s="86"/>
      <c r="I761" s="65"/>
      <c r="J761" s="65"/>
      <c r="K761" s="87"/>
      <c r="L761" s="88"/>
    </row>
    <row r="762" spans="6:12" ht="12.5">
      <c r="F762" s="86"/>
      <c r="G762" s="86"/>
      <c r="H762" s="86"/>
      <c r="I762" s="65"/>
      <c r="J762" s="65"/>
      <c r="K762" s="87"/>
      <c r="L762" s="88"/>
    </row>
    <row r="763" spans="6:12" ht="12.5">
      <c r="F763" s="86"/>
      <c r="G763" s="86"/>
      <c r="H763" s="86"/>
      <c r="I763" s="65"/>
      <c r="J763" s="65"/>
      <c r="K763" s="87"/>
      <c r="L763" s="88"/>
    </row>
    <row r="764" spans="6:12" ht="12.5">
      <c r="F764" s="86"/>
      <c r="G764" s="86"/>
      <c r="H764" s="86"/>
      <c r="I764" s="65"/>
      <c r="J764" s="65"/>
      <c r="K764" s="87"/>
      <c r="L764" s="88"/>
    </row>
    <row r="765" spans="6:12" ht="12.5">
      <c r="F765" s="86"/>
      <c r="G765" s="86"/>
      <c r="H765" s="86"/>
      <c r="I765" s="65"/>
      <c r="J765" s="65"/>
      <c r="K765" s="87"/>
      <c r="L765" s="88"/>
    </row>
    <row r="766" spans="6:12" ht="12.5">
      <c r="F766" s="86"/>
      <c r="G766" s="86"/>
      <c r="H766" s="86"/>
      <c r="I766" s="65"/>
      <c r="J766" s="65"/>
      <c r="K766" s="87"/>
      <c r="L766" s="88"/>
    </row>
    <row r="767" spans="6:12" ht="12.5">
      <c r="F767" s="86"/>
      <c r="G767" s="86"/>
      <c r="H767" s="86"/>
      <c r="I767" s="65"/>
      <c r="J767" s="65"/>
      <c r="K767" s="87"/>
      <c r="L767" s="88"/>
    </row>
    <row r="768" spans="6:12" ht="12.5">
      <c r="F768" s="86"/>
      <c r="G768" s="86"/>
      <c r="H768" s="86"/>
      <c r="I768" s="65"/>
      <c r="J768" s="65"/>
      <c r="K768" s="87"/>
      <c r="L768" s="88"/>
    </row>
    <row r="769" spans="6:12" ht="12.5">
      <c r="F769" s="86"/>
      <c r="G769" s="86"/>
      <c r="H769" s="86"/>
      <c r="I769" s="65"/>
      <c r="J769" s="65"/>
      <c r="K769" s="87"/>
      <c r="L769" s="88"/>
    </row>
    <row r="770" spans="6:12" ht="12.5">
      <c r="F770" s="86"/>
      <c r="G770" s="86"/>
      <c r="H770" s="86"/>
      <c r="I770" s="65"/>
      <c r="J770" s="65"/>
      <c r="K770" s="87"/>
      <c r="L770" s="88"/>
    </row>
    <row r="771" spans="6:12" ht="12.5">
      <c r="F771" s="86"/>
      <c r="G771" s="86"/>
      <c r="H771" s="86"/>
      <c r="I771" s="65"/>
      <c r="J771" s="65"/>
      <c r="K771" s="87"/>
      <c r="L771" s="88"/>
    </row>
    <row r="772" spans="6:12" ht="12.5">
      <c r="F772" s="86"/>
      <c r="G772" s="86"/>
      <c r="H772" s="86"/>
      <c r="I772" s="65"/>
      <c r="J772" s="65"/>
      <c r="K772" s="87"/>
      <c r="L772" s="88"/>
    </row>
    <row r="773" spans="6:12" ht="12.5">
      <c r="F773" s="86"/>
      <c r="G773" s="86"/>
      <c r="H773" s="86"/>
      <c r="I773" s="65"/>
      <c r="J773" s="65"/>
      <c r="K773" s="87"/>
      <c r="L773" s="88"/>
    </row>
    <row r="774" spans="6:12" ht="12.5">
      <c r="F774" s="86"/>
      <c r="G774" s="86"/>
      <c r="H774" s="86"/>
      <c r="I774" s="65"/>
      <c r="J774" s="65"/>
      <c r="K774" s="87"/>
      <c r="L774" s="88"/>
    </row>
    <row r="775" spans="6:12" ht="12.5">
      <c r="F775" s="86"/>
      <c r="G775" s="86"/>
      <c r="H775" s="86"/>
      <c r="I775" s="65"/>
      <c r="J775" s="65"/>
      <c r="K775" s="87"/>
      <c r="L775" s="88"/>
    </row>
    <row r="776" spans="6:12" ht="12.5">
      <c r="F776" s="86"/>
      <c r="G776" s="86"/>
      <c r="H776" s="86"/>
      <c r="I776" s="65"/>
      <c r="J776" s="65"/>
      <c r="K776" s="87"/>
      <c r="L776" s="88"/>
    </row>
    <row r="777" spans="6:12" ht="12.5">
      <c r="F777" s="86"/>
      <c r="G777" s="86"/>
      <c r="H777" s="86"/>
      <c r="I777" s="65"/>
      <c r="J777" s="65"/>
      <c r="K777" s="87"/>
      <c r="L777" s="88"/>
    </row>
    <row r="778" spans="6:12" ht="12.5">
      <c r="F778" s="86"/>
      <c r="G778" s="86"/>
      <c r="H778" s="86"/>
      <c r="I778" s="65"/>
      <c r="J778" s="65"/>
      <c r="K778" s="87"/>
      <c r="L778" s="88"/>
    </row>
    <row r="779" spans="6:12" ht="12.5">
      <c r="F779" s="86"/>
      <c r="G779" s="86"/>
      <c r="H779" s="86"/>
      <c r="I779" s="65"/>
      <c r="J779" s="65"/>
      <c r="K779" s="87"/>
      <c r="L779" s="88"/>
    </row>
    <row r="780" spans="6:12" ht="12.5">
      <c r="F780" s="86"/>
      <c r="G780" s="86"/>
      <c r="H780" s="86"/>
      <c r="I780" s="65"/>
      <c r="J780" s="65"/>
      <c r="K780" s="87"/>
      <c r="L780" s="88"/>
    </row>
    <row r="781" spans="6:12" ht="12.5">
      <c r="F781" s="86"/>
      <c r="G781" s="86"/>
      <c r="H781" s="86"/>
      <c r="I781" s="65"/>
      <c r="J781" s="65"/>
      <c r="K781" s="87"/>
      <c r="L781" s="88"/>
    </row>
    <row r="782" spans="6:12" ht="12.5">
      <c r="F782" s="86"/>
      <c r="G782" s="86"/>
      <c r="H782" s="86"/>
      <c r="I782" s="65"/>
      <c r="J782" s="65"/>
      <c r="K782" s="87"/>
      <c r="L782" s="88"/>
    </row>
    <row r="783" spans="6:12" ht="12.5">
      <c r="F783" s="86"/>
      <c r="G783" s="86"/>
      <c r="H783" s="86"/>
      <c r="I783" s="65"/>
      <c r="J783" s="65"/>
      <c r="K783" s="87"/>
      <c r="L783" s="88"/>
    </row>
    <row r="784" spans="6:12" ht="12.5">
      <c r="F784" s="86"/>
      <c r="G784" s="86"/>
      <c r="H784" s="86"/>
      <c r="I784" s="65"/>
      <c r="J784" s="65"/>
      <c r="K784" s="87"/>
      <c r="L784" s="88"/>
    </row>
    <row r="785" spans="6:12" ht="12.5">
      <c r="F785" s="86"/>
      <c r="G785" s="86"/>
      <c r="H785" s="86"/>
      <c r="I785" s="65"/>
      <c r="J785" s="65"/>
      <c r="K785" s="87"/>
      <c r="L785" s="88"/>
    </row>
    <row r="786" spans="6:12" ht="12.5">
      <c r="F786" s="86"/>
      <c r="G786" s="86"/>
      <c r="H786" s="86"/>
      <c r="I786" s="65"/>
      <c r="J786" s="65"/>
      <c r="K786" s="87"/>
      <c r="L786" s="88"/>
    </row>
    <row r="787" spans="6:12" ht="12.5">
      <c r="F787" s="86"/>
      <c r="G787" s="86"/>
      <c r="H787" s="86"/>
      <c r="I787" s="65"/>
      <c r="J787" s="65"/>
      <c r="K787" s="87"/>
      <c r="L787" s="88"/>
    </row>
    <row r="788" spans="6:12" ht="12.5">
      <c r="F788" s="86"/>
      <c r="G788" s="86"/>
      <c r="H788" s="86"/>
      <c r="I788" s="65"/>
      <c r="J788" s="65"/>
      <c r="K788" s="87"/>
      <c r="L788" s="88"/>
    </row>
    <row r="789" spans="6:12" ht="12.5">
      <c r="F789" s="86"/>
      <c r="G789" s="86"/>
      <c r="H789" s="86"/>
      <c r="I789" s="65"/>
      <c r="J789" s="65"/>
      <c r="K789" s="87"/>
      <c r="L789" s="88"/>
    </row>
    <row r="790" spans="6:12" ht="12.5">
      <c r="F790" s="86"/>
      <c r="G790" s="86"/>
      <c r="H790" s="86"/>
      <c r="I790" s="65"/>
      <c r="J790" s="65"/>
      <c r="K790" s="87"/>
      <c r="L790" s="88"/>
    </row>
    <row r="791" spans="6:12" ht="12.5">
      <c r="F791" s="86"/>
      <c r="G791" s="86"/>
      <c r="H791" s="86"/>
      <c r="I791" s="65"/>
      <c r="J791" s="65"/>
      <c r="K791" s="87"/>
      <c r="L791" s="88"/>
    </row>
    <row r="792" spans="6:12" ht="12.5">
      <c r="F792" s="86"/>
      <c r="G792" s="86"/>
      <c r="H792" s="86"/>
      <c r="I792" s="65"/>
      <c r="J792" s="65"/>
      <c r="K792" s="87"/>
      <c r="L792" s="88"/>
    </row>
    <row r="793" spans="6:12" ht="12.5">
      <c r="F793" s="86"/>
      <c r="G793" s="86"/>
      <c r="H793" s="86"/>
      <c r="I793" s="65"/>
      <c r="J793" s="65"/>
      <c r="K793" s="87"/>
      <c r="L793" s="88"/>
    </row>
    <row r="794" spans="6:12" ht="12.5">
      <c r="F794" s="86"/>
      <c r="G794" s="86"/>
      <c r="H794" s="86"/>
      <c r="I794" s="65"/>
      <c r="J794" s="65"/>
      <c r="K794" s="87"/>
      <c r="L794" s="88"/>
    </row>
    <row r="795" spans="6:12" ht="12.5">
      <c r="F795" s="86"/>
      <c r="G795" s="86"/>
      <c r="H795" s="86"/>
      <c r="I795" s="65"/>
      <c r="J795" s="65"/>
      <c r="K795" s="87"/>
      <c r="L795" s="88"/>
    </row>
    <row r="796" spans="6:12" ht="12.5">
      <c r="F796" s="86"/>
      <c r="G796" s="86"/>
      <c r="H796" s="86"/>
      <c r="I796" s="65"/>
      <c r="J796" s="65"/>
      <c r="K796" s="87"/>
      <c r="L796" s="88"/>
    </row>
    <row r="797" spans="6:12" ht="12.5">
      <c r="F797" s="86"/>
      <c r="G797" s="86"/>
      <c r="H797" s="86"/>
      <c r="I797" s="65"/>
      <c r="J797" s="65"/>
      <c r="K797" s="87"/>
      <c r="L797" s="88"/>
    </row>
    <row r="798" spans="6:12" ht="12.5">
      <c r="F798" s="86"/>
      <c r="G798" s="86"/>
      <c r="H798" s="86"/>
      <c r="I798" s="65"/>
      <c r="J798" s="65"/>
      <c r="K798" s="87"/>
      <c r="L798" s="88"/>
    </row>
    <row r="799" spans="6:12" ht="12.5">
      <c r="F799" s="86"/>
      <c r="G799" s="86"/>
      <c r="H799" s="86"/>
      <c r="I799" s="65"/>
      <c r="J799" s="65"/>
      <c r="K799" s="87"/>
      <c r="L799" s="88"/>
    </row>
    <row r="800" spans="6:12" ht="12.5">
      <c r="F800" s="86"/>
      <c r="G800" s="86"/>
      <c r="H800" s="86"/>
      <c r="I800" s="65"/>
      <c r="J800" s="65"/>
      <c r="K800" s="87"/>
      <c r="L800" s="88"/>
    </row>
    <row r="801" spans="6:12" ht="12.5">
      <c r="F801" s="86"/>
      <c r="G801" s="86"/>
      <c r="H801" s="86"/>
      <c r="I801" s="65"/>
      <c r="J801" s="65"/>
      <c r="K801" s="87"/>
      <c r="L801" s="88"/>
    </row>
    <row r="802" spans="6:12" ht="12.5">
      <c r="F802" s="86"/>
      <c r="G802" s="86"/>
      <c r="H802" s="86"/>
      <c r="I802" s="65"/>
      <c r="J802" s="65"/>
      <c r="K802" s="87"/>
      <c r="L802" s="88"/>
    </row>
    <row r="803" spans="6:12" ht="12.5">
      <c r="F803" s="86"/>
      <c r="G803" s="86"/>
      <c r="H803" s="86"/>
      <c r="I803" s="65"/>
      <c r="J803" s="65"/>
      <c r="K803" s="87"/>
      <c r="L803" s="88"/>
    </row>
    <row r="804" spans="6:12" ht="12.5">
      <c r="F804" s="86"/>
      <c r="G804" s="86"/>
      <c r="H804" s="86"/>
      <c r="I804" s="65"/>
      <c r="J804" s="65"/>
      <c r="K804" s="87"/>
      <c r="L804" s="88"/>
    </row>
    <row r="805" spans="6:12" ht="12.5">
      <c r="F805" s="86"/>
      <c r="G805" s="86"/>
      <c r="H805" s="86"/>
      <c r="I805" s="65"/>
      <c r="J805" s="65"/>
      <c r="K805" s="87"/>
      <c r="L805" s="88"/>
    </row>
    <row r="806" spans="6:12" ht="12.5">
      <c r="F806" s="86"/>
      <c r="G806" s="86"/>
      <c r="H806" s="86"/>
      <c r="I806" s="65"/>
      <c r="J806" s="65"/>
      <c r="K806" s="87"/>
      <c r="L806" s="88"/>
    </row>
    <row r="807" spans="6:12" ht="12.5">
      <c r="F807" s="86"/>
      <c r="G807" s="86"/>
      <c r="H807" s="86"/>
      <c r="I807" s="65"/>
      <c r="J807" s="65"/>
      <c r="K807" s="87"/>
      <c r="L807" s="88"/>
    </row>
    <row r="808" spans="6:12" ht="12.5">
      <c r="F808" s="86"/>
      <c r="G808" s="86"/>
      <c r="H808" s="86"/>
      <c r="I808" s="65"/>
      <c r="J808" s="65"/>
      <c r="K808" s="87"/>
      <c r="L808" s="88"/>
    </row>
    <row r="809" spans="6:12" ht="12.5">
      <c r="F809" s="86"/>
      <c r="G809" s="86"/>
      <c r="H809" s="86"/>
      <c r="I809" s="65"/>
      <c r="J809" s="65"/>
      <c r="K809" s="87"/>
      <c r="L809" s="88"/>
    </row>
    <row r="810" spans="6:12" ht="12.5">
      <c r="F810" s="86"/>
      <c r="G810" s="86"/>
      <c r="H810" s="86"/>
      <c r="I810" s="65"/>
      <c r="J810" s="65"/>
      <c r="K810" s="87"/>
      <c r="L810" s="88"/>
    </row>
    <row r="811" spans="6:12" ht="12.5">
      <c r="F811" s="86"/>
      <c r="G811" s="86"/>
      <c r="H811" s="86"/>
      <c r="I811" s="65"/>
      <c r="J811" s="65"/>
      <c r="K811" s="87"/>
      <c r="L811" s="88"/>
    </row>
    <row r="812" spans="6:12" ht="12.5">
      <c r="F812" s="86"/>
      <c r="G812" s="86"/>
      <c r="H812" s="86"/>
      <c r="I812" s="65"/>
      <c r="J812" s="65"/>
      <c r="K812" s="87"/>
      <c r="L812" s="88"/>
    </row>
    <row r="813" spans="6:12" ht="12.5">
      <c r="F813" s="86"/>
      <c r="G813" s="86"/>
      <c r="H813" s="86"/>
      <c r="I813" s="65"/>
      <c r="J813" s="65"/>
      <c r="K813" s="87"/>
      <c r="L813" s="88"/>
    </row>
    <row r="814" spans="6:12" ht="12.5">
      <c r="F814" s="86"/>
      <c r="G814" s="86"/>
      <c r="H814" s="86"/>
      <c r="I814" s="65"/>
      <c r="J814" s="65"/>
      <c r="K814" s="87"/>
      <c r="L814" s="88"/>
    </row>
    <row r="815" spans="6:12" ht="12.5">
      <c r="F815" s="86"/>
      <c r="G815" s="86"/>
      <c r="H815" s="86"/>
      <c r="I815" s="65"/>
      <c r="J815" s="65"/>
      <c r="K815" s="87"/>
      <c r="L815" s="88"/>
    </row>
    <row r="816" spans="6:12" ht="12.5">
      <c r="F816" s="86"/>
      <c r="G816" s="86"/>
      <c r="H816" s="86"/>
      <c r="I816" s="65"/>
      <c r="J816" s="65"/>
      <c r="K816" s="87"/>
      <c r="L816" s="88"/>
    </row>
    <row r="817" spans="6:12" ht="12.5">
      <c r="F817" s="86"/>
      <c r="G817" s="86"/>
      <c r="H817" s="86"/>
      <c r="I817" s="65"/>
      <c r="J817" s="65"/>
      <c r="K817" s="87"/>
      <c r="L817" s="88"/>
    </row>
    <row r="818" spans="6:12" ht="12.5">
      <c r="F818" s="86"/>
      <c r="G818" s="86"/>
      <c r="H818" s="86"/>
      <c r="I818" s="65"/>
      <c r="J818" s="65"/>
      <c r="K818" s="87"/>
      <c r="L818" s="88"/>
    </row>
    <row r="819" spans="6:12" ht="12.5">
      <c r="F819" s="86"/>
      <c r="G819" s="86"/>
      <c r="H819" s="86"/>
      <c r="I819" s="65"/>
      <c r="J819" s="65"/>
      <c r="K819" s="87"/>
      <c r="L819" s="88"/>
    </row>
    <row r="820" spans="6:12" ht="12.5">
      <c r="F820" s="86"/>
      <c r="G820" s="86"/>
      <c r="H820" s="86"/>
      <c r="I820" s="65"/>
      <c r="J820" s="65"/>
      <c r="K820" s="87"/>
      <c r="L820" s="88"/>
    </row>
    <row r="821" spans="6:12" ht="12.5">
      <c r="F821" s="86"/>
      <c r="G821" s="86"/>
      <c r="H821" s="86"/>
      <c r="I821" s="65"/>
      <c r="J821" s="65"/>
      <c r="K821" s="87"/>
      <c r="L821" s="88"/>
    </row>
    <row r="822" spans="6:12" ht="12.5">
      <c r="F822" s="86"/>
      <c r="G822" s="86"/>
      <c r="H822" s="86"/>
      <c r="I822" s="65"/>
      <c r="J822" s="65"/>
      <c r="K822" s="87"/>
      <c r="L822" s="88"/>
    </row>
    <row r="823" spans="6:12" ht="12.5">
      <c r="F823" s="86"/>
      <c r="G823" s="86"/>
      <c r="H823" s="86"/>
      <c r="I823" s="65"/>
      <c r="J823" s="65"/>
      <c r="K823" s="87"/>
      <c r="L823" s="88"/>
    </row>
    <row r="824" spans="6:12" ht="12.5">
      <c r="F824" s="86"/>
      <c r="G824" s="86"/>
      <c r="H824" s="86"/>
      <c r="I824" s="65"/>
      <c r="J824" s="65"/>
      <c r="K824" s="87"/>
      <c r="L824" s="88"/>
    </row>
    <row r="825" spans="6:12" ht="12.5">
      <c r="F825" s="86"/>
      <c r="G825" s="86"/>
      <c r="H825" s="86"/>
      <c r="I825" s="65"/>
      <c r="J825" s="65"/>
      <c r="K825" s="87"/>
      <c r="L825" s="88"/>
    </row>
    <row r="826" spans="6:12" ht="12.5">
      <c r="F826" s="86"/>
      <c r="G826" s="86"/>
      <c r="H826" s="86"/>
      <c r="I826" s="65"/>
      <c r="J826" s="65"/>
      <c r="K826" s="87"/>
      <c r="L826" s="88"/>
    </row>
    <row r="827" spans="6:12" ht="12.5">
      <c r="F827" s="86"/>
      <c r="G827" s="86"/>
      <c r="H827" s="86"/>
      <c r="I827" s="65"/>
      <c r="J827" s="65"/>
      <c r="K827" s="87"/>
      <c r="L827" s="88"/>
    </row>
    <row r="828" spans="6:12" ht="12.5">
      <c r="F828" s="86"/>
      <c r="G828" s="86"/>
      <c r="H828" s="86"/>
      <c r="I828" s="65"/>
      <c r="J828" s="65"/>
      <c r="K828" s="87"/>
      <c r="L828" s="88"/>
    </row>
    <row r="829" spans="6:12" ht="12.5">
      <c r="F829" s="86"/>
      <c r="G829" s="86"/>
      <c r="H829" s="86"/>
      <c r="I829" s="65"/>
      <c r="J829" s="65"/>
      <c r="K829" s="87"/>
      <c r="L829" s="88"/>
    </row>
    <row r="830" spans="6:12" ht="12.5">
      <c r="F830" s="86"/>
      <c r="G830" s="86"/>
      <c r="H830" s="86"/>
      <c r="I830" s="65"/>
      <c r="J830" s="65"/>
      <c r="K830" s="87"/>
      <c r="L830" s="88"/>
    </row>
    <row r="831" spans="6:12" ht="12.5">
      <c r="F831" s="86"/>
      <c r="G831" s="86"/>
      <c r="H831" s="86"/>
      <c r="I831" s="65"/>
      <c r="J831" s="65"/>
      <c r="K831" s="87"/>
      <c r="L831" s="88"/>
    </row>
    <row r="832" spans="6:12" ht="12.5">
      <c r="F832" s="86"/>
      <c r="G832" s="86"/>
      <c r="H832" s="86"/>
      <c r="I832" s="65"/>
      <c r="J832" s="65"/>
      <c r="K832" s="87"/>
      <c r="L832" s="88"/>
    </row>
    <row r="833" spans="6:12" ht="12.5">
      <c r="F833" s="86"/>
      <c r="G833" s="86"/>
      <c r="H833" s="86"/>
      <c r="I833" s="65"/>
      <c r="J833" s="65"/>
      <c r="K833" s="87"/>
      <c r="L833" s="88"/>
    </row>
    <row r="834" spans="6:12" ht="12.5">
      <c r="F834" s="86"/>
      <c r="G834" s="86"/>
      <c r="H834" s="86"/>
      <c r="I834" s="65"/>
      <c r="J834" s="65"/>
      <c r="K834" s="87"/>
      <c r="L834" s="88"/>
    </row>
    <row r="835" spans="6:12" ht="12.5">
      <c r="F835" s="86"/>
      <c r="G835" s="86"/>
      <c r="H835" s="86"/>
      <c r="I835" s="65"/>
      <c r="J835" s="65"/>
      <c r="K835" s="87"/>
      <c r="L835" s="88"/>
    </row>
    <row r="836" spans="6:12" ht="12.5">
      <c r="F836" s="86"/>
      <c r="G836" s="86"/>
      <c r="H836" s="86"/>
      <c r="I836" s="65"/>
      <c r="J836" s="65"/>
      <c r="K836" s="87"/>
      <c r="L836" s="88"/>
    </row>
    <row r="837" spans="6:12" ht="12.5">
      <c r="F837" s="86"/>
      <c r="G837" s="86"/>
      <c r="H837" s="86"/>
      <c r="I837" s="65"/>
      <c r="J837" s="65"/>
      <c r="K837" s="87"/>
      <c r="L837" s="88"/>
    </row>
    <row r="838" spans="6:12" ht="12.5">
      <c r="F838" s="86"/>
      <c r="G838" s="86"/>
      <c r="H838" s="86"/>
      <c r="I838" s="65"/>
      <c r="J838" s="65"/>
      <c r="K838" s="87"/>
      <c r="L838" s="88"/>
    </row>
    <row r="839" spans="6:12" ht="12.5">
      <c r="F839" s="86"/>
      <c r="G839" s="86"/>
      <c r="H839" s="86"/>
      <c r="I839" s="65"/>
      <c r="J839" s="65"/>
      <c r="K839" s="87"/>
      <c r="L839" s="88"/>
    </row>
    <row r="840" spans="6:12" ht="12.5">
      <c r="F840" s="86"/>
      <c r="G840" s="86"/>
      <c r="H840" s="86"/>
      <c r="I840" s="65"/>
      <c r="J840" s="65"/>
      <c r="K840" s="87"/>
      <c r="L840" s="88"/>
    </row>
    <row r="841" spans="6:12" ht="12.5">
      <c r="F841" s="86"/>
      <c r="G841" s="86"/>
      <c r="H841" s="86"/>
      <c r="I841" s="65"/>
      <c r="J841" s="65"/>
      <c r="K841" s="87"/>
      <c r="L841" s="88"/>
    </row>
    <row r="842" spans="6:12" ht="12.5">
      <c r="F842" s="86"/>
      <c r="G842" s="86"/>
      <c r="H842" s="86"/>
      <c r="I842" s="65"/>
      <c r="J842" s="65"/>
      <c r="K842" s="87"/>
      <c r="L842" s="88"/>
    </row>
    <row r="843" spans="6:12" ht="12.5">
      <c r="F843" s="86"/>
      <c r="G843" s="86"/>
      <c r="H843" s="86"/>
      <c r="I843" s="65"/>
      <c r="J843" s="65"/>
      <c r="K843" s="87"/>
      <c r="L843" s="88"/>
    </row>
    <row r="844" spans="6:12" ht="12.5">
      <c r="F844" s="86"/>
      <c r="G844" s="86"/>
      <c r="H844" s="86"/>
      <c r="I844" s="65"/>
      <c r="J844" s="65"/>
      <c r="K844" s="87"/>
      <c r="L844" s="88"/>
    </row>
    <row r="845" spans="6:12" ht="12.5">
      <c r="F845" s="86"/>
      <c r="G845" s="86"/>
      <c r="H845" s="86"/>
      <c r="I845" s="65"/>
      <c r="J845" s="65"/>
      <c r="K845" s="87"/>
      <c r="L845" s="88"/>
    </row>
    <row r="846" spans="6:12" ht="12.5">
      <c r="F846" s="86"/>
      <c r="G846" s="86"/>
      <c r="H846" s="86"/>
      <c r="I846" s="65"/>
      <c r="J846" s="65"/>
      <c r="K846" s="87"/>
      <c r="L846" s="88"/>
    </row>
    <row r="847" spans="6:12" ht="12.5">
      <c r="F847" s="86"/>
      <c r="G847" s="86"/>
      <c r="H847" s="86"/>
      <c r="I847" s="65"/>
      <c r="J847" s="65"/>
      <c r="K847" s="87"/>
      <c r="L847" s="88"/>
    </row>
    <row r="848" spans="6:12" ht="12.5">
      <c r="F848" s="86"/>
      <c r="G848" s="86"/>
      <c r="H848" s="86"/>
      <c r="I848" s="65"/>
      <c r="J848" s="65"/>
      <c r="K848" s="87"/>
      <c r="L848" s="88"/>
    </row>
    <row r="849" spans="6:12" ht="12.5">
      <c r="F849" s="86"/>
      <c r="G849" s="86"/>
      <c r="H849" s="86"/>
      <c r="I849" s="65"/>
      <c r="J849" s="65"/>
      <c r="K849" s="87"/>
      <c r="L849" s="88"/>
    </row>
    <row r="850" spans="6:12" ht="12.5">
      <c r="F850" s="86"/>
      <c r="G850" s="86"/>
      <c r="H850" s="86"/>
      <c r="I850" s="65"/>
      <c r="J850" s="65"/>
      <c r="K850" s="87"/>
      <c r="L850" s="88"/>
    </row>
    <row r="851" spans="6:12" ht="12.5">
      <c r="F851" s="86"/>
      <c r="G851" s="86"/>
      <c r="H851" s="86"/>
      <c r="I851" s="65"/>
      <c r="J851" s="65"/>
      <c r="K851" s="87"/>
      <c r="L851" s="88"/>
    </row>
    <row r="852" spans="6:12" ht="12.5">
      <c r="F852" s="86"/>
      <c r="G852" s="86"/>
      <c r="H852" s="86"/>
      <c r="I852" s="65"/>
      <c r="J852" s="65"/>
      <c r="K852" s="87"/>
      <c r="L852" s="88"/>
    </row>
    <row r="853" spans="6:12" ht="12.5">
      <c r="F853" s="86"/>
      <c r="G853" s="86"/>
      <c r="H853" s="86"/>
      <c r="I853" s="65"/>
      <c r="J853" s="65"/>
      <c r="K853" s="87"/>
      <c r="L853" s="88"/>
    </row>
    <row r="854" spans="6:12" ht="12.5">
      <c r="F854" s="86"/>
      <c r="G854" s="86"/>
      <c r="H854" s="86"/>
      <c r="I854" s="65"/>
      <c r="J854" s="65"/>
      <c r="K854" s="87"/>
      <c r="L854" s="88"/>
    </row>
    <row r="855" spans="6:12" ht="12.5">
      <c r="F855" s="86"/>
      <c r="G855" s="86"/>
      <c r="H855" s="86"/>
      <c r="I855" s="65"/>
      <c r="J855" s="65"/>
      <c r="K855" s="87"/>
      <c r="L855" s="88"/>
    </row>
    <row r="856" spans="6:12" ht="12.5">
      <c r="F856" s="86"/>
      <c r="G856" s="86"/>
      <c r="H856" s="86"/>
      <c r="I856" s="65"/>
      <c r="J856" s="65"/>
      <c r="K856" s="87"/>
      <c r="L856" s="88"/>
    </row>
    <row r="857" spans="6:12" ht="12.5">
      <c r="F857" s="86"/>
      <c r="G857" s="86"/>
      <c r="H857" s="86"/>
      <c r="I857" s="65"/>
      <c r="J857" s="65"/>
      <c r="K857" s="87"/>
      <c r="L857" s="88"/>
    </row>
    <row r="858" spans="6:12" ht="12.5">
      <c r="F858" s="86"/>
      <c r="G858" s="86"/>
      <c r="H858" s="86"/>
      <c r="I858" s="65"/>
      <c r="J858" s="65"/>
      <c r="K858" s="87"/>
      <c r="L858" s="88"/>
    </row>
    <row r="859" spans="6:12" ht="12.5">
      <c r="F859" s="86"/>
      <c r="G859" s="86"/>
      <c r="H859" s="86"/>
      <c r="I859" s="65"/>
      <c r="J859" s="65"/>
      <c r="K859" s="87"/>
      <c r="L859" s="88"/>
    </row>
    <row r="860" spans="6:12" ht="12.5">
      <c r="F860" s="86"/>
      <c r="G860" s="86"/>
      <c r="H860" s="86"/>
      <c r="I860" s="65"/>
      <c r="J860" s="65"/>
      <c r="K860" s="87"/>
      <c r="L860" s="88"/>
    </row>
    <row r="861" spans="6:12" ht="12.5">
      <c r="F861" s="86"/>
      <c r="G861" s="86"/>
      <c r="H861" s="86"/>
      <c r="I861" s="65"/>
      <c r="J861" s="65"/>
      <c r="K861" s="87"/>
      <c r="L861" s="88"/>
    </row>
    <row r="862" spans="6:12" ht="12.5">
      <c r="F862" s="86"/>
      <c r="G862" s="86"/>
      <c r="H862" s="86"/>
      <c r="I862" s="65"/>
      <c r="J862" s="65"/>
      <c r="K862" s="87"/>
      <c r="L862" s="88"/>
    </row>
    <row r="863" spans="6:12" ht="12.5">
      <c r="F863" s="86"/>
      <c r="G863" s="86"/>
      <c r="H863" s="86"/>
      <c r="I863" s="65"/>
      <c r="J863" s="65"/>
      <c r="K863" s="87"/>
      <c r="L863" s="88"/>
    </row>
    <row r="864" spans="6:12" ht="12.5">
      <c r="F864" s="86"/>
      <c r="G864" s="86"/>
      <c r="H864" s="86"/>
      <c r="I864" s="65"/>
      <c r="J864" s="65"/>
      <c r="K864" s="87"/>
      <c r="L864" s="88"/>
    </row>
    <row r="865" spans="6:12" ht="12.5">
      <c r="F865" s="86"/>
      <c r="G865" s="86"/>
      <c r="H865" s="86"/>
      <c r="I865" s="65"/>
      <c r="J865" s="65"/>
      <c r="K865" s="87"/>
      <c r="L865" s="88"/>
    </row>
    <row r="866" spans="6:12" ht="12.5">
      <c r="F866" s="86"/>
      <c r="G866" s="86"/>
      <c r="H866" s="86"/>
      <c r="I866" s="65"/>
      <c r="J866" s="65"/>
      <c r="K866" s="87"/>
      <c r="L866" s="88"/>
    </row>
    <row r="867" spans="6:12" ht="12.5">
      <c r="F867" s="86"/>
      <c r="G867" s="86"/>
      <c r="H867" s="86"/>
      <c r="I867" s="65"/>
      <c r="J867" s="65"/>
      <c r="K867" s="87"/>
      <c r="L867" s="88"/>
    </row>
    <row r="868" spans="6:12" ht="12.5">
      <c r="F868" s="86"/>
      <c r="G868" s="86"/>
      <c r="H868" s="86"/>
      <c r="I868" s="65"/>
      <c r="J868" s="65"/>
      <c r="K868" s="87"/>
      <c r="L868" s="88"/>
    </row>
    <row r="869" spans="6:12" ht="12.5">
      <c r="F869" s="86"/>
      <c r="G869" s="86"/>
      <c r="H869" s="86"/>
      <c r="I869" s="65"/>
      <c r="J869" s="65"/>
      <c r="K869" s="87"/>
      <c r="L869" s="88"/>
    </row>
    <row r="870" spans="6:12" ht="12.5">
      <c r="F870" s="86"/>
      <c r="G870" s="86"/>
      <c r="H870" s="86"/>
      <c r="I870" s="65"/>
      <c r="J870" s="65"/>
      <c r="K870" s="87"/>
      <c r="L870" s="88"/>
    </row>
    <row r="871" spans="6:12" ht="12.5">
      <c r="F871" s="86"/>
      <c r="G871" s="86"/>
      <c r="H871" s="86"/>
      <c r="I871" s="65"/>
      <c r="J871" s="65"/>
      <c r="K871" s="87"/>
      <c r="L871" s="88"/>
    </row>
    <row r="872" spans="6:12" ht="12.5">
      <c r="F872" s="86"/>
      <c r="G872" s="86"/>
      <c r="H872" s="86"/>
      <c r="I872" s="65"/>
      <c r="J872" s="65"/>
      <c r="K872" s="87"/>
      <c r="L872" s="88"/>
    </row>
    <row r="873" spans="6:12" ht="12.5">
      <c r="F873" s="86"/>
      <c r="G873" s="86"/>
      <c r="H873" s="86"/>
      <c r="I873" s="65"/>
      <c r="J873" s="65"/>
      <c r="K873" s="87"/>
      <c r="L873" s="88"/>
    </row>
    <row r="874" spans="6:12" ht="12.5">
      <c r="F874" s="86"/>
      <c r="G874" s="86"/>
      <c r="H874" s="86"/>
      <c r="I874" s="65"/>
      <c r="J874" s="65"/>
      <c r="K874" s="87"/>
      <c r="L874" s="88"/>
    </row>
    <row r="875" spans="6:12" ht="12.5">
      <c r="F875" s="86"/>
      <c r="G875" s="86"/>
      <c r="H875" s="86"/>
      <c r="I875" s="65"/>
      <c r="J875" s="65"/>
      <c r="K875" s="87"/>
      <c r="L875" s="88"/>
    </row>
    <row r="876" spans="6:12" ht="12.5">
      <c r="F876" s="86"/>
      <c r="G876" s="86"/>
      <c r="H876" s="86"/>
      <c r="I876" s="65"/>
      <c r="J876" s="65"/>
      <c r="K876" s="87"/>
      <c r="L876" s="88"/>
    </row>
    <row r="877" spans="6:12" ht="12.5">
      <c r="F877" s="86"/>
      <c r="G877" s="86"/>
      <c r="H877" s="86"/>
      <c r="I877" s="65"/>
      <c r="J877" s="65"/>
      <c r="K877" s="87"/>
      <c r="L877" s="88"/>
    </row>
    <row r="878" spans="6:12" ht="12.5">
      <c r="F878" s="86"/>
      <c r="G878" s="86"/>
      <c r="H878" s="86"/>
      <c r="I878" s="65"/>
      <c r="J878" s="65"/>
      <c r="K878" s="87"/>
      <c r="L878" s="88"/>
    </row>
    <row r="879" spans="6:12" ht="12.5">
      <c r="F879" s="86"/>
      <c r="G879" s="86"/>
      <c r="H879" s="86"/>
      <c r="I879" s="65"/>
      <c r="J879" s="65"/>
      <c r="K879" s="87"/>
      <c r="L879" s="88"/>
    </row>
    <row r="880" spans="6:12" ht="12.5">
      <c r="F880" s="86"/>
      <c r="G880" s="86"/>
      <c r="H880" s="86"/>
      <c r="I880" s="65"/>
      <c r="J880" s="65"/>
      <c r="K880" s="87"/>
      <c r="L880" s="88"/>
    </row>
    <row r="881" spans="6:12" ht="12.5">
      <c r="F881" s="86"/>
      <c r="G881" s="86"/>
      <c r="H881" s="86"/>
      <c r="I881" s="65"/>
      <c r="J881" s="65"/>
      <c r="K881" s="87"/>
      <c r="L881" s="88"/>
    </row>
    <row r="882" spans="6:12" ht="12.5">
      <c r="F882" s="86"/>
      <c r="G882" s="86"/>
      <c r="H882" s="86"/>
      <c r="I882" s="65"/>
      <c r="J882" s="65"/>
      <c r="K882" s="87"/>
      <c r="L882" s="88"/>
    </row>
    <row r="883" spans="6:12" ht="12.5">
      <c r="F883" s="86"/>
      <c r="G883" s="86"/>
      <c r="H883" s="86"/>
      <c r="I883" s="65"/>
      <c r="J883" s="65"/>
      <c r="K883" s="87"/>
      <c r="L883" s="88"/>
    </row>
    <row r="884" spans="6:12" ht="12.5">
      <c r="F884" s="86"/>
      <c r="G884" s="86"/>
      <c r="H884" s="86"/>
      <c r="I884" s="65"/>
      <c r="J884" s="65"/>
      <c r="K884" s="87"/>
      <c r="L884" s="88"/>
    </row>
    <row r="885" spans="6:12" ht="12.5">
      <c r="F885" s="86"/>
      <c r="G885" s="86"/>
      <c r="H885" s="86"/>
      <c r="I885" s="65"/>
      <c r="J885" s="65"/>
      <c r="K885" s="87"/>
      <c r="L885" s="88"/>
    </row>
    <row r="886" spans="6:12" ht="12.5">
      <c r="F886" s="86"/>
      <c r="G886" s="86"/>
      <c r="H886" s="86"/>
      <c r="I886" s="65"/>
      <c r="J886" s="65"/>
      <c r="K886" s="87"/>
      <c r="L886" s="88"/>
    </row>
    <row r="887" spans="6:12" ht="12.5">
      <c r="F887" s="86"/>
      <c r="G887" s="86"/>
      <c r="H887" s="86"/>
      <c r="I887" s="65"/>
      <c r="J887" s="65"/>
      <c r="K887" s="87"/>
      <c r="L887" s="88"/>
    </row>
    <row r="888" spans="6:12" ht="12.5">
      <c r="F888" s="86"/>
      <c r="G888" s="86"/>
      <c r="H888" s="86"/>
      <c r="I888" s="65"/>
      <c r="J888" s="65"/>
      <c r="K888" s="87"/>
      <c r="L888" s="88"/>
    </row>
    <row r="889" spans="6:12" ht="12.5">
      <c r="F889" s="86"/>
      <c r="G889" s="86"/>
      <c r="H889" s="86"/>
      <c r="I889" s="65"/>
      <c r="J889" s="65"/>
      <c r="K889" s="87"/>
      <c r="L889" s="88"/>
    </row>
    <row r="890" spans="6:12" ht="12.5">
      <c r="F890" s="86"/>
      <c r="G890" s="86"/>
      <c r="H890" s="86"/>
      <c r="I890" s="65"/>
      <c r="J890" s="65"/>
      <c r="K890" s="87"/>
      <c r="L890" s="88"/>
    </row>
    <row r="891" spans="6:12" ht="12.5">
      <c r="F891" s="86"/>
      <c r="G891" s="86"/>
      <c r="H891" s="86"/>
      <c r="I891" s="65"/>
      <c r="J891" s="65"/>
      <c r="K891" s="87"/>
      <c r="L891" s="88"/>
    </row>
    <row r="892" spans="6:12" ht="12.5">
      <c r="F892" s="86"/>
      <c r="G892" s="86"/>
      <c r="H892" s="86"/>
      <c r="I892" s="65"/>
      <c r="J892" s="65"/>
      <c r="K892" s="87"/>
      <c r="L892" s="88"/>
    </row>
    <row r="893" spans="6:12" ht="12.5">
      <c r="F893" s="86"/>
      <c r="G893" s="86"/>
      <c r="H893" s="86"/>
      <c r="I893" s="65"/>
      <c r="J893" s="65"/>
      <c r="K893" s="87"/>
      <c r="L893" s="88"/>
    </row>
    <row r="894" spans="6:12" ht="12.5">
      <c r="F894" s="86"/>
      <c r="G894" s="86"/>
      <c r="H894" s="86"/>
      <c r="I894" s="65"/>
      <c r="J894" s="65"/>
      <c r="K894" s="87"/>
      <c r="L894" s="88"/>
    </row>
    <row r="895" spans="6:12" ht="12.5">
      <c r="F895" s="86"/>
      <c r="G895" s="86"/>
      <c r="H895" s="86"/>
      <c r="I895" s="65"/>
      <c r="J895" s="65"/>
      <c r="K895" s="87"/>
      <c r="L895" s="88"/>
    </row>
    <row r="896" spans="6:12" ht="12.5">
      <c r="F896" s="86"/>
      <c r="G896" s="86"/>
      <c r="H896" s="86"/>
      <c r="I896" s="65"/>
      <c r="J896" s="65"/>
      <c r="K896" s="87"/>
      <c r="L896" s="88"/>
    </row>
    <row r="897" spans="6:12" ht="12.5">
      <c r="F897" s="86"/>
      <c r="G897" s="86"/>
      <c r="H897" s="86"/>
      <c r="I897" s="65"/>
      <c r="J897" s="65"/>
      <c r="K897" s="87"/>
      <c r="L897" s="88"/>
    </row>
    <row r="898" spans="6:12" ht="12.5">
      <c r="F898" s="86"/>
      <c r="G898" s="86"/>
      <c r="H898" s="86"/>
      <c r="I898" s="65"/>
      <c r="J898" s="65"/>
      <c r="K898" s="87"/>
      <c r="L898" s="88"/>
    </row>
    <row r="899" spans="6:12" ht="12.5">
      <c r="F899" s="86"/>
      <c r="G899" s="86"/>
      <c r="H899" s="86"/>
      <c r="I899" s="65"/>
      <c r="J899" s="65"/>
      <c r="K899" s="87"/>
      <c r="L899" s="88"/>
    </row>
    <row r="900" spans="6:12" ht="12.5">
      <c r="F900" s="86"/>
      <c r="G900" s="86"/>
      <c r="H900" s="86"/>
      <c r="I900" s="65"/>
      <c r="J900" s="65"/>
      <c r="K900" s="87"/>
      <c r="L900" s="88"/>
    </row>
    <row r="901" spans="6:12" ht="12.5">
      <c r="F901" s="86"/>
      <c r="G901" s="86"/>
      <c r="H901" s="86"/>
      <c r="I901" s="65"/>
      <c r="J901" s="65"/>
      <c r="K901" s="87"/>
      <c r="L901" s="88"/>
    </row>
    <row r="902" spans="6:12" ht="12.5">
      <c r="F902" s="86"/>
      <c r="G902" s="86"/>
      <c r="H902" s="86"/>
      <c r="I902" s="65"/>
      <c r="J902" s="65"/>
      <c r="K902" s="87"/>
      <c r="L902" s="88"/>
    </row>
    <row r="903" spans="6:12" ht="12.5">
      <c r="F903" s="86"/>
      <c r="G903" s="86"/>
      <c r="H903" s="86"/>
      <c r="I903" s="65"/>
      <c r="J903" s="65"/>
      <c r="K903" s="87"/>
      <c r="L903" s="88"/>
    </row>
    <row r="904" spans="6:12" ht="12.5">
      <c r="F904" s="86"/>
      <c r="G904" s="86"/>
      <c r="H904" s="86"/>
      <c r="I904" s="65"/>
      <c r="J904" s="65"/>
      <c r="K904" s="87"/>
      <c r="L904" s="88"/>
    </row>
    <row r="905" spans="6:12" ht="12.5">
      <c r="F905" s="86"/>
      <c r="G905" s="86"/>
      <c r="H905" s="86"/>
      <c r="I905" s="65"/>
      <c r="J905" s="65"/>
      <c r="K905" s="87"/>
      <c r="L905" s="88"/>
    </row>
    <row r="906" spans="6:12" ht="12.5">
      <c r="F906" s="86"/>
      <c r="G906" s="86"/>
      <c r="H906" s="86"/>
      <c r="I906" s="65"/>
      <c r="J906" s="65"/>
      <c r="K906" s="87"/>
      <c r="L906" s="88"/>
    </row>
    <row r="907" spans="6:12" ht="12.5">
      <c r="F907" s="86"/>
      <c r="G907" s="86"/>
      <c r="H907" s="86"/>
      <c r="I907" s="65"/>
      <c r="J907" s="65"/>
      <c r="K907" s="87"/>
      <c r="L907" s="88"/>
    </row>
    <row r="908" spans="6:12" ht="12.5">
      <c r="F908" s="86"/>
      <c r="G908" s="86"/>
      <c r="H908" s="86"/>
      <c r="I908" s="65"/>
      <c r="J908" s="65"/>
      <c r="K908" s="87"/>
      <c r="L908" s="88"/>
    </row>
    <row r="909" spans="6:12" ht="12.5">
      <c r="F909" s="86"/>
      <c r="G909" s="86"/>
      <c r="H909" s="86"/>
      <c r="I909" s="65"/>
      <c r="J909" s="65"/>
      <c r="K909" s="87"/>
      <c r="L909" s="88"/>
    </row>
    <row r="910" spans="6:12" ht="12.5">
      <c r="F910" s="86"/>
      <c r="G910" s="86"/>
      <c r="H910" s="86"/>
      <c r="I910" s="65"/>
      <c r="J910" s="65"/>
      <c r="K910" s="87"/>
      <c r="L910" s="88"/>
    </row>
    <row r="911" spans="6:12" ht="12.5">
      <c r="F911" s="86"/>
      <c r="G911" s="86"/>
      <c r="H911" s="86"/>
      <c r="I911" s="65"/>
      <c r="J911" s="65"/>
      <c r="K911" s="87"/>
      <c r="L911" s="88"/>
    </row>
    <row r="912" spans="6:12" ht="12.5">
      <c r="F912" s="86"/>
      <c r="G912" s="86"/>
      <c r="H912" s="86"/>
      <c r="I912" s="65"/>
      <c r="J912" s="65"/>
      <c r="K912" s="87"/>
      <c r="L912" s="88"/>
    </row>
    <row r="913" spans="6:12" ht="12.5">
      <c r="F913" s="86"/>
      <c r="G913" s="86"/>
      <c r="H913" s="86"/>
      <c r="I913" s="65"/>
      <c r="J913" s="65"/>
      <c r="K913" s="87"/>
      <c r="L913" s="88"/>
    </row>
    <row r="914" spans="6:12" ht="12.5">
      <c r="F914" s="86"/>
      <c r="G914" s="86"/>
      <c r="H914" s="86"/>
      <c r="I914" s="65"/>
      <c r="J914" s="65"/>
      <c r="K914" s="87"/>
      <c r="L914" s="88"/>
    </row>
    <row r="915" spans="6:12" ht="12.5">
      <c r="F915" s="86"/>
      <c r="G915" s="86"/>
      <c r="H915" s="86"/>
      <c r="I915" s="65"/>
      <c r="J915" s="65"/>
      <c r="K915" s="87"/>
      <c r="L915" s="88"/>
    </row>
    <row r="916" spans="6:12" ht="12.5">
      <c r="F916" s="86"/>
      <c r="G916" s="86"/>
      <c r="H916" s="86"/>
      <c r="I916" s="65"/>
      <c r="J916" s="65"/>
      <c r="K916" s="87"/>
      <c r="L916" s="88"/>
    </row>
    <row r="917" spans="6:12" ht="12.5">
      <c r="F917" s="86"/>
      <c r="G917" s="86"/>
      <c r="H917" s="86"/>
      <c r="I917" s="65"/>
      <c r="J917" s="65"/>
      <c r="K917" s="87"/>
      <c r="L917" s="88"/>
    </row>
    <row r="918" spans="6:12" ht="12.5">
      <c r="F918" s="86"/>
      <c r="G918" s="86"/>
      <c r="H918" s="86"/>
      <c r="I918" s="65"/>
      <c r="J918" s="65"/>
      <c r="K918" s="87"/>
      <c r="L918" s="88"/>
    </row>
    <row r="919" spans="6:12" ht="12.5">
      <c r="F919" s="86"/>
      <c r="G919" s="86"/>
      <c r="H919" s="86"/>
      <c r="I919" s="65"/>
      <c r="J919" s="65"/>
      <c r="K919" s="87"/>
      <c r="L919" s="88"/>
    </row>
    <row r="920" spans="6:12" ht="12.5">
      <c r="F920" s="86"/>
      <c r="G920" s="86"/>
      <c r="H920" s="86"/>
      <c r="I920" s="65"/>
      <c r="J920" s="65"/>
      <c r="K920" s="87"/>
      <c r="L920" s="88"/>
    </row>
    <row r="921" spans="6:12" ht="12.5">
      <c r="F921" s="86"/>
      <c r="G921" s="86"/>
      <c r="H921" s="86"/>
      <c r="I921" s="65"/>
      <c r="J921" s="65"/>
      <c r="K921" s="87"/>
      <c r="L921" s="88"/>
    </row>
    <row r="922" spans="6:12" ht="12.5">
      <c r="F922" s="86"/>
      <c r="G922" s="86"/>
      <c r="H922" s="86"/>
      <c r="I922" s="65"/>
      <c r="J922" s="65"/>
      <c r="K922" s="87"/>
      <c r="L922" s="88"/>
    </row>
    <row r="923" spans="6:12" ht="12.5">
      <c r="F923" s="86"/>
      <c r="G923" s="86"/>
      <c r="H923" s="86"/>
      <c r="I923" s="65"/>
      <c r="J923" s="65"/>
      <c r="K923" s="87"/>
      <c r="L923" s="88"/>
    </row>
    <row r="924" spans="6:12" ht="12.5">
      <c r="F924" s="86"/>
      <c r="G924" s="86"/>
      <c r="H924" s="86"/>
      <c r="I924" s="65"/>
      <c r="J924" s="65"/>
      <c r="K924" s="87"/>
      <c r="L924" s="88"/>
    </row>
    <row r="925" spans="6:12" ht="12.5">
      <c r="F925" s="86"/>
      <c r="G925" s="86"/>
      <c r="H925" s="86"/>
      <c r="I925" s="65"/>
      <c r="J925" s="65"/>
      <c r="K925" s="87"/>
      <c r="L925" s="88"/>
    </row>
    <row r="926" spans="6:12" ht="12.5">
      <c r="F926" s="86"/>
      <c r="G926" s="86"/>
      <c r="H926" s="86"/>
      <c r="I926" s="65"/>
      <c r="J926" s="65"/>
      <c r="K926" s="87"/>
      <c r="L926" s="88"/>
    </row>
    <row r="927" spans="6:12" ht="12.5">
      <c r="F927" s="86"/>
      <c r="G927" s="86"/>
      <c r="H927" s="86"/>
      <c r="I927" s="65"/>
      <c r="J927" s="65"/>
      <c r="K927" s="87"/>
      <c r="L927" s="88"/>
    </row>
    <row r="928" spans="6:12" ht="12.5">
      <c r="F928" s="86"/>
      <c r="G928" s="86"/>
      <c r="H928" s="86"/>
      <c r="I928" s="65"/>
      <c r="J928" s="65"/>
      <c r="K928" s="87"/>
      <c r="L928" s="88"/>
    </row>
    <row r="929" spans="6:12" ht="12.5">
      <c r="F929" s="86"/>
      <c r="G929" s="86"/>
      <c r="H929" s="86"/>
      <c r="I929" s="65"/>
      <c r="J929" s="65"/>
      <c r="K929" s="87"/>
      <c r="L929" s="88"/>
    </row>
    <row r="930" spans="6:12" ht="12.5">
      <c r="F930" s="86"/>
      <c r="G930" s="86"/>
      <c r="H930" s="86"/>
      <c r="I930" s="65"/>
      <c r="J930" s="65"/>
      <c r="K930" s="87"/>
      <c r="L930" s="88"/>
    </row>
    <row r="931" spans="6:12" ht="12.5">
      <c r="F931" s="86"/>
      <c r="G931" s="86"/>
      <c r="H931" s="86"/>
      <c r="I931" s="65"/>
      <c r="J931" s="65"/>
      <c r="K931" s="87"/>
      <c r="L931" s="88"/>
    </row>
    <row r="932" spans="6:12" ht="12.5">
      <c r="F932" s="86"/>
      <c r="G932" s="86"/>
      <c r="H932" s="86"/>
      <c r="I932" s="65"/>
      <c r="J932" s="65"/>
      <c r="K932" s="87"/>
      <c r="L932" s="88"/>
    </row>
    <row r="933" spans="6:12" ht="12.5">
      <c r="F933" s="86"/>
      <c r="G933" s="86"/>
      <c r="H933" s="86"/>
      <c r="I933" s="65"/>
      <c r="J933" s="65"/>
      <c r="K933" s="87"/>
      <c r="L933" s="88"/>
    </row>
    <row r="934" spans="6:12" ht="12.5">
      <c r="F934" s="86"/>
      <c r="G934" s="86"/>
      <c r="H934" s="86"/>
      <c r="I934" s="65"/>
      <c r="J934" s="65"/>
      <c r="K934" s="87"/>
      <c r="L934" s="88"/>
    </row>
    <row r="935" spans="6:12" ht="12.5">
      <c r="F935" s="86"/>
      <c r="G935" s="86"/>
      <c r="H935" s="86"/>
      <c r="I935" s="65"/>
      <c r="J935" s="65"/>
      <c r="K935" s="87"/>
      <c r="L935" s="88"/>
    </row>
    <row r="936" spans="6:12" ht="12.5">
      <c r="F936" s="86"/>
      <c r="G936" s="86"/>
      <c r="H936" s="86"/>
      <c r="I936" s="65"/>
      <c r="J936" s="65"/>
      <c r="K936" s="87"/>
      <c r="L936" s="88"/>
    </row>
    <row r="937" spans="6:12" ht="12.5">
      <c r="F937" s="86"/>
      <c r="G937" s="86"/>
      <c r="H937" s="86"/>
      <c r="I937" s="65"/>
      <c r="J937" s="65"/>
      <c r="K937" s="87"/>
      <c r="L937" s="88"/>
    </row>
    <row r="938" spans="6:12" ht="12.5">
      <c r="F938" s="86"/>
      <c r="G938" s="86"/>
      <c r="H938" s="86"/>
      <c r="I938" s="65"/>
      <c r="J938" s="65"/>
      <c r="K938" s="87"/>
      <c r="L938" s="88"/>
    </row>
    <row r="939" spans="6:12" ht="12.5">
      <c r="F939" s="86"/>
      <c r="G939" s="86"/>
      <c r="H939" s="86"/>
      <c r="I939" s="65"/>
      <c r="J939" s="65"/>
      <c r="K939" s="87"/>
      <c r="L939" s="88"/>
    </row>
    <row r="940" spans="6:12" ht="12.5">
      <c r="F940" s="86"/>
      <c r="G940" s="86"/>
      <c r="H940" s="86"/>
      <c r="I940" s="65"/>
      <c r="J940" s="65"/>
      <c r="K940" s="87"/>
      <c r="L940" s="88"/>
    </row>
    <row r="941" spans="6:12" ht="12.5">
      <c r="F941" s="86"/>
      <c r="G941" s="86"/>
      <c r="H941" s="86"/>
      <c r="I941" s="65"/>
      <c r="J941" s="65"/>
      <c r="K941" s="87"/>
      <c r="L941" s="88"/>
    </row>
    <row r="942" spans="6:12" ht="12.5">
      <c r="F942" s="86"/>
      <c r="G942" s="86"/>
      <c r="H942" s="86"/>
      <c r="I942" s="65"/>
      <c r="J942" s="65"/>
      <c r="K942" s="87"/>
      <c r="L942" s="88"/>
    </row>
    <row r="943" spans="6:12" ht="12.5">
      <c r="F943" s="86"/>
      <c r="G943" s="86"/>
      <c r="H943" s="86"/>
      <c r="I943" s="65"/>
      <c r="J943" s="65"/>
      <c r="K943" s="87"/>
      <c r="L943" s="88"/>
    </row>
    <row r="944" spans="6:12" ht="12.5">
      <c r="F944" s="86"/>
      <c r="G944" s="86"/>
      <c r="H944" s="86"/>
      <c r="I944" s="65"/>
      <c r="J944" s="65"/>
      <c r="K944" s="87"/>
      <c r="L944" s="88"/>
    </row>
    <row r="945" spans="6:12" ht="12.5">
      <c r="F945" s="86"/>
      <c r="G945" s="86"/>
      <c r="H945" s="86"/>
      <c r="I945" s="65"/>
      <c r="J945" s="65"/>
      <c r="K945" s="87"/>
      <c r="L945" s="88"/>
    </row>
    <row r="946" spans="6:12" ht="12.5">
      <c r="F946" s="86"/>
      <c r="G946" s="86"/>
      <c r="H946" s="86"/>
      <c r="I946" s="65"/>
      <c r="J946" s="65"/>
      <c r="K946" s="87"/>
      <c r="L946" s="88"/>
    </row>
    <row r="947" spans="6:12" ht="12.5">
      <c r="F947" s="86"/>
      <c r="G947" s="86"/>
      <c r="H947" s="86"/>
      <c r="I947" s="65"/>
      <c r="J947" s="65"/>
      <c r="K947" s="87"/>
      <c r="L947" s="88"/>
    </row>
    <row r="948" spans="6:12" ht="12.5">
      <c r="F948" s="86"/>
      <c r="G948" s="86"/>
      <c r="H948" s="86"/>
      <c r="I948" s="65"/>
      <c r="J948" s="65"/>
      <c r="K948" s="87"/>
      <c r="L948" s="88"/>
    </row>
    <row r="949" spans="6:12" ht="12.5">
      <c r="F949" s="86"/>
      <c r="G949" s="86"/>
      <c r="H949" s="86"/>
      <c r="I949" s="65"/>
      <c r="J949" s="65"/>
      <c r="K949" s="87"/>
      <c r="L949" s="88"/>
    </row>
    <row r="950" spans="6:12" ht="12.5">
      <c r="F950" s="86"/>
      <c r="G950" s="86"/>
      <c r="H950" s="86"/>
      <c r="I950" s="65"/>
      <c r="J950" s="65"/>
      <c r="K950" s="87"/>
      <c r="L950" s="88"/>
    </row>
    <row r="951" spans="6:12" ht="12.5">
      <c r="F951" s="86"/>
      <c r="G951" s="86"/>
      <c r="H951" s="86"/>
      <c r="I951" s="65"/>
      <c r="J951" s="65"/>
      <c r="K951" s="87"/>
      <c r="L951" s="88"/>
    </row>
    <row r="952" spans="6:12" ht="12.5">
      <c r="F952" s="86"/>
      <c r="G952" s="86"/>
      <c r="H952" s="86"/>
      <c r="I952" s="65"/>
      <c r="J952" s="65"/>
      <c r="K952" s="87"/>
      <c r="L952" s="88"/>
    </row>
    <row r="953" spans="6:12" ht="12.5">
      <c r="F953" s="86"/>
      <c r="G953" s="86"/>
      <c r="H953" s="86"/>
      <c r="I953" s="65"/>
      <c r="J953" s="65"/>
      <c r="K953" s="87"/>
      <c r="L953" s="88"/>
    </row>
    <row r="954" spans="6:12" ht="12.5">
      <c r="F954" s="86"/>
      <c r="G954" s="86"/>
      <c r="H954" s="86"/>
      <c r="I954" s="65"/>
      <c r="J954" s="65"/>
      <c r="K954" s="87"/>
      <c r="L954" s="88"/>
    </row>
    <row r="955" spans="6:12" ht="12.5">
      <c r="F955" s="86"/>
      <c r="G955" s="86"/>
      <c r="H955" s="86"/>
      <c r="I955" s="65"/>
      <c r="J955" s="65"/>
      <c r="K955" s="87"/>
      <c r="L955" s="88"/>
    </row>
    <row r="956" spans="6:12" ht="12.5">
      <c r="F956" s="86"/>
      <c r="G956" s="86"/>
      <c r="H956" s="86"/>
      <c r="I956" s="65"/>
      <c r="J956" s="65"/>
      <c r="K956" s="87"/>
      <c r="L956" s="88"/>
    </row>
    <row r="957" spans="6:12" ht="12.5">
      <c r="F957" s="86"/>
      <c r="G957" s="86"/>
      <c r="H957" s="86"/>
      <c r="I957" s="65"/>
      <c r="J957" s="65"/>
      <c r="K957" s="87"/>
      <c r="L957" s="88"/>
    </row>
    <row r="958" spans="6:12" ht="12.5">
      <c r="F958" s="86"/>
      <c r="G958" s="86"/>
      <c r="H958" s="86"/>
      <c r="I958" s="65"/>
      <c r="J958" s="65"/>
      <c r="K958" s="87"/>
      <c r="L958" s="88"/>
    </row>
    <row r="959" spans="6:12" ht="12.5">
      <c r="F959" s="86"/>
      <c r="G959" s="86"/>
      <c r="H959" s="86"/>
      <c r="I959" s="65"/>
      <c r="J959" s="65"/>
      <c r="K959" s="87"/>
      <c r="L959" s="88"/>
    </row>
    <row r="960" spans="6:12" ht="12.5">
      <c r="F960" s="86"/>
      <c r="G960" s="86"/>
      <c r="H960" s="86"/>
      <c r="I960" s="65"/>
      <c r="J960" s="65"/>
      <c r="K960" s="87"/>
      <c r="L960" s="88"/>
    </row>
    <row r="961" spans="6:12" ht="12.5">
      <c r="F961" s="86"/>
      <c r="G961" s="86"/>
      <c r="H961" s="86"/>
      <c r="I961" s="65"/>
      <c r="J961" s="65"/>
      <c r="K961" s="87"/>
      <c r="L961" s="88"/>
    </row>
    <row r="962" spans="6:12" ht="12.5">
      <c r="F962" s="86"/>
      <c r="G962" s="86"/>
      <c r="H962" s="86"/>
      <c r="I962" s="65"/>
      <c r="J962" s="65"/>
      <c r="K962" s="87"/>
      <c r="L962" s="88"/>
    </row>
    <row r="963" spans="6:12" ht="12.5">
      <c r="F963" s="86"/>
      <c r="G963" s="86"/>
      <c r="H963" s="86"/>
      <c r="I963" s="65"/>
      <c r="J963" s="65"/>
      <c r="K963" s="87"/>
      <c r="L963" s="88"/>
    </row>
    <row r="964" spans="6:12" ht="12.5">
      <c r="F964" s="86"/>
      <c r="G964" s="86"/>
      <c r="H964" s="86"/>
      <c r="I964" s="65"/>
      <c r="J964" s="65"/>
      <c r="K964" s="87"/>
      <c r="L964" s="88"/>
    </row>
    <row r="965" spans="6:12" ht="12.5">
      <c r="F965" s="86"/>
      <c r="G965" s="86"/>
      <c r="H965" s="86"/>
      <c r="I965" s="65"/>
      <c r="J965" s="65"/>
      <c r="K965" s="87"/>
      <c r="L965" s="88"/>
    </row>
    <row r="966" spans="6:12" ht="12.5">
      <c r="F966" s="86"/>
      <c r="G966" s="86"/>
      <c r="H966" s="86"/>
      <c r="I966" s="65"/>
      <c r="J966" s="65"/>
      <c r="K966" s="87"/>
      <c r="L966" s="88"/>
    </row>
    <row r="967" spans="6:12" ht="12.5">
      <c r="F967" s="86"/>
      <c r="G967" s="86"/>
      <c r="H967" s="86"/>
      <c r="I967" s="65"/>
      <c r="J967" s="65"/>
      <c r="K967" s="87"/>
      <c r="L967" s="88"/>
    </row>
    <row r="968" spans="6:12" ht="12.5">
      <c r="F968" s="86"/>
      <c r="G968" s="86"/>
      <c r="H968" s="86"/>
      <c r="I968" s="65"/>
      <c r="J968" s="65"/>
      <c r="K968" s="87"/>
      <c r="L968" s="88"/>
    </row>
    <row r="969" spans="6:12" ht="12.5">
      <c r="F969" s="86"/>
      <c r="G969" s="86"/>
      <c r="H969" s="86"/>
      <c r="I969" s="65"/>
      <c r="J969" s="65"/>
      <c r="K969" s="87"/>
      <c r="L969" s="88"/>
    </row>
    <row r="970" spans="6:12" ht="12.5">
      <c r="F970" s="86"/>
      <c r="G970" s="86"/>
      <c r="H970" s="86"/>
      <c r="I970" s="65"/>
      <c r="J970" s="65"/>
      <c r="K970" s="87"/>
      <c r="L970" s="88"/>
    </row>
    <row r="971" spans="6:12" ht="12.5">
      <c r="F971" s="86"/>
      <c r="G971" s="86"/>
      <c r="H971" s="86"/>
      <c r="I971" s="65"/>
      <c r="J971" s="65"/>
      <c r="K971" s="87"/>
      <c r="L971" s="88"/>
    </row>
    <row r="972" spans="6:12" ht="12.5">
      <c r="F972" s="86"/>
      <c r="G972" s="86"/>
      <c r="H972" s="86"/>
      <c r="I972" s="65"/>
      <c r="J972" s="65"/>
      <c r="K972" s="87"/>
      <c r="L972" s="88"/>
    </row>
    <row r="973" spans="6:12" ht="12.5">
      <c r="F973" s="86"/>
      <c r="G973" s="86"/>
      <c r="H973" s="86"/>
      <c r="I973" s="65"/>
      <c r="J973" s="65"/>
      <c r="K973" s="87"/>
      <c r="L973" s="88"/>
    </row>
    <row r="974" spans="6:12" ht="12.5">
      <c r="F974" s="86"/>
      <c r="G974" s="86"/>
      <c r="H974" s="86"/>
      <c r="I974" s="65"/>
      <c r="J974" s="65"/>
      <c r="K974" s="87"/>
      <c r="L974" s="88"/>
    </row>
    <row r="975" spans="6:12" ht="12.5">
      <c r="F975" s="86"/>
      <c r="G975" s="86"/>
      <c r="H975" s="86"/>
      <c r="I975" s="65"/>
      <c r="J975" s="65"/>
      <c r="K975" s="87"/>
      <c r="L975" s="88"/>
    </row>
    <row r="976" spans="6:12" ht="12.5">
      <c r="F976" s="86"/>
      <c r="G976" s="86"/>
      <c r="H976" s="86"/>
      <c r="I976" s="65"/>
      <c r="J976" s="65"/>
      <c r="K976" s="87"/>
      <c r="L976" s="88"/>
    </row>
    <row r="977" spans="6:12" ht="12.5">
      <c r="F977" s="86"/>
      <c r="G977" s="86"/>
      <c r="H977" s="86"/>
      <c r="I977" s="65"/>
      <c r="J977" s="65"/>
      <c r="K977" s="87"/>
      <c r="L977" s="88"/>
    </row>
    <row r="978" spans="6:12" ht="12.5">
      <c r="F978" s="86"/>
      <c r="G978" s="86"/>
      <c r="H978" s="86"/>
      <c r="I978" s="65"/>
      <c r="J978" s="65"/>
      <c r="K978" s="87"/>
      <c r="L978" s="88"/>
    </row>
    <row r="979" spans="6:12" ht="12.5">
      <c r="F979" s="86"/>
      <c r="G979" s="86"/>
      <c r="H979" s="86"/>
      <c r="I979" s="65"/>
      <c r="J979" s="65"/>
      <c r="K979" s="87"/>
      <c r="L979" s="88"/>
    </row>
    <row r="980" spans="6:12" ht="12.5">
      <c r="F980" s="86"/>
      <c r="G980" s="86"/>
      <c r="H980" s="86"/>
      <c r="I980" s="65"/>
      <c r="J980" s="65"/>
      <c r="K980" s="87"/>
      <c r="L980" s="88"/>
    </row>
    <row r="981" spans="6:12" ht="12.5">
      <c r="F981" s="86"/>
      <c r="G981" s="86"/>
      <c r="H981" s="86"/>
      <c r="I981" s="65"/>
      <c r="J981" s="65"/>
      <c r="K981" s="87"/>
      <c r="L981" s="88"/>
    </row>
    <row r="982" spans="6:12" ht="12.5">
      <c r="F982" s="86"/>
      <c r="G982" s="86"/>
      <c r="H982" s="86"/>
      <c r="I982" s="65"/>
      <c r="J982" s="65"/>
      <c r="K982" s="87"/>
      <c r="L982" s="88"/>
    </row>
    <row r="983" spans="6:12" ht="12.5">
      <c r="F983" s="86"/>
      <c r="G983" s="86"/>
      <c r="H983" s="86"/>
      <c r="I983" s="65"/>
      <c r="J983" s="65"/>
      <c r="K983" s="87"/>
      <c r="L983" s="88"/>
    </row>
    <row r="984" spans="6:12" ht="12.5">
      <c r="F984" s="86"/>
      <c r="G984" s="86"/>
      <c r="H984" s="86"/>
      <c r="I984" s="65"/>
      <c r="J984" s="65"/>
      <c r="K984" s="87"/>
      <c r="L984" s="88"/>
    </row>
    <row r="985" spans="6:12" ht="12.5">
      <c r="F985" s="86"/>
      <c r="G985" s="86"/>
      <c r="H985" s="86"/>
      <c r="I985" s="65"/>
      <c r="J985" s="65"/>
      <c r="K985" s="87"/>
      <c r="L985" s="88"/>
    </row>
    <row r="986" spans="6:12" ht="12.5">
      <c r="F986" s="86"/>
      <c r="G986" s="86"/>
      <c r="H986" s="86"/>
      <c r="I986" s="65"/>
      <c r="J986" s="65"/>
      <c r="K986" s="87"/>
      <c r="L986" s="88"/>
    </row>
    <row r="987" spans="6:12" ht="12.5">
      <c r="F987" s="86"/>
      <c r="G987" s="86"/>
      <c r="H987" s="86"/>
      <c r="I987" s="65"/>
      <c r="J987" s="65"/>
      <c r="K987" s="87"/>
      <c r="L987" s="88"/>
    </row>
    <row r="988" spans="6:12" ht="12.5">
      <c r="F988" s="86"/>
      <c r="G988" s="86"/>
      <c r="H988" s="86"/>
      <c r="I988" s="65"/>
      <c r="J988" s="65"/>
      <c r="K988" s="87"/>
      <c r="L988" s="88"/>
    </row>
    <row r="989" spans="6:12" ht="12.5">
      <c r="F989" s="86"/>
      <c r="G989" s="86"/>
      <c r="H989" s="86"/>
      <c r="I989" s="65"/>
      <c r="J989" s="65"/>
      <c r="K989" s="87"/>
      <c r="L989" s="88"/>
    </row>
    <row r="990" spans="6:12" ht="12.5">
      <c r="F990" s="86"/>
      <c r="G990" s="86"/>
      <c r="H990" s="86"/>
      <c r="I990" s="65"/>
      <c r="J990" s="65"/>
      <c r="K990" s="87"/>
      <c r="L990" s="88"/>
    </row>
    <row r="991" spans="6:12" ht="12.5">
      <c r="F991" s="86"/>
      <c r="G991" s="86"/>
      <c r="H991" s="86"/>
      <c r="I991" s="65"/>
      <c r="J991" s="65"/>
      <c r="K991" s="87"/>
      <c r="L991" s="88"/>
    </row>
    <row r="992" spans="6:12" ht="12.5">
      <c r="F992" s="86"/>
      <c r="G992" s="86"/>
      <c r="H992" s="86"/>
      <c r="I992" s="65"/>
      <c r="J992" s="65"/>
      <c r="K992" s="87"/>
      <c r="L992" s="88"/>
    </row>
    <row r="993" spans="6:12" ht="12.5">
      <c r="F993" s="86"/>
      <c r="G993" s="86"/>
      <c r="H993" s="86"/>
      <c r="I993" s="65"/>
      <c r="J993" s="65"/>
      <c r="K993" s="87"/>
      <c r="L993" s="88"/>
    </row>
    <row r="994" spans="6:12" ht="12.5">
      <c r="F994" s="86"/>
      <c r="G994" s="86"/>
      <c r="H994" s="86"/>
      <c r="I994" s="65"/>
      <c r="J994" s="65"/>
      <c r="K994" s="87"/>
      <c r="L994" s="88"/>
    </row>
    <row r="995" spans="6:12" ht="12.5">
      <c r="F995" s="86"/>
      <c r="G995" s="86"/>
      <c r="H995" s="86"/>
      <c r="I995" s="65"/>
      <c r="J995" s="65"/>
      <c r="K995" s="87"/>
      <c r="L995" s="88"/>
    </row>
    <row r="996" spans="6:12" ht="12.5">
      <c r="F996" s="86"/>
      <c r="G996" s="86"/>
      <c r="H996" s="86"/>
      <c r="I996" s="65"/>
      <c r="J996" s="65"/>
      <c r="K996" s="87"/>
      <c r="L996" s="88"/>
    </row>
    <row r="997" spans="6:12" ht="12.5">
      <c r="F997" s="86"/>
      <c r="G997" s="86"/>
      <c r="H997" s="86"/>
      <c r="I997" s="65"/>
      <c r="J997" s="65"/>
      <c r="K997" s="87"/>
      <c r="L997" s="88"/>
    </row>
    <row r="998" spans="6:12" ht="12.5">
      <c r="F998" s="86"/>
      <c r="G998" s="86"/>
      <c r="H998" s="86"/>
      <c r="I998" s="65"/>
      <c r="J998" s="65"/>
      <c r="K998" s="87"/>
      <c r="L998" s="88"/>
    </row>
    <row r="999" spans="6:12" ht="12.5">
      <c r="F999" s="86"/>
      <c r="G999" s="86"/>
      <c r="H999" s="86"/>
      <c r="I999" s="65"/>
      <c r="J999" s="65"/>
      <c r="K999" s="87"/>
      <c r="L999" s="88"/>
    </row>
    <row r="1000" spans="6:12" ht="12.5">
      <c r="F1000" s="89"/>
      <c r="G1000" s="89"/>
      <c r="H1000" s="89"/>
      <c r="I1000" s="90"/>
      <c r="J1000" s="65"/>
      <c r="K1000" s="91"/>
      <c r="L1000" s="50"/>
    </row>
    <row r="1001" spans="6:12" ht="12.5">
      <c r="F1001" s="89"/>
      <c r="G1001" s="89"/>
      <c r="H1001" s="89"/>
      <c r="I1001" s="90"/>
      <c r="J1001" s="92"/>
    </row>
    <row r="1002" spans="6:12" ht="12.5">
      <c r="F1002" s="89"/>
      <c r="G1002" s="89"/>
      <c r="H1002" s="89"/>
      <c r="I1002" s="90"/>
      <c r="J1002" s="9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1002"/>
  <sheetViews>
    <sheetView workbookViewId="0"/>
  </sheetViews>
  <sheetFormatPr defaultColWidth="12.54296875" defaultRowHeight="15" customHeight="1"/>
  <cols>
    <col min="2" max="2" width="15" customWidth="1"/>
    <col min="3" max="3" width="16.453125" customWidth="1"/>
  </cols>
  <sheetData>
    <row r="1" spans="1:26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26" ht="15" customHeight="1">
      <c r="A2" s="81">
        <v>43278</v>
      </c>
      <c r="B2" s="61">
        <v>1</v>
      </c>
      <c r="C2" s="61" t="s">
        <v>331</v>
      </c>
      <c r="D2" s="62">
        <v>1700</v>
      </c>
      <c r="E2" s="62">
        <v>100000</v>
      </c>
      <c r="F2" s="63">
        <f>I2-0</f>
        <v>1700</v>
      </c>
      <c r="G2" s="63">
        <f t="shared" ref="G2:G29" si="0">$B$16/$I$16*(F2)</f>
        <v>0.23601277245592114</v>
      </c>
      <c r="H2" s="63">
        <f>$B$16/SQRT($I$16)*(SQRT(I2)-SQRT(0))</f>
        <v>1.8815396851618138</v>
      </c>
      <c r="I2" s="76">
        <f t="shared" ref="I2:I29" si="1">D2</f>
        <v>1700</v>
      </c>
      <c r="J2" s="76">
        <f t="shared" ref="J2:J29" si="2">E2</f>
        <v>100000</v>
      </c>
      <c r="K2" s="77">
        <f>J2*'Inflation Rates by Year'!$F$2</f>
        <v>119288.52932198401</v>
      </c>
      <c r="L2" s="78">
        <f t="shared" ref="L2:L29" si="3">K2/I2</f>
        <v>70.169723130578831</v>
      </c>
    </row>
    <row r="3" spans="1:26" ht="15" customHeight="1">
      <c r="A3" s="81">
        <v>43279</v>
      </c>
      <c r="B3" s="61">
        <v>2</v>
      </c>
      <c r="C3" s="61" t="s">
        <v>331</v>
      </c>
      <c r="D3" s="62">
        <v>14424</v>
      </c>
      <c r="E3" s="62">
        <v>600000</v>
      </c>
      <c r="F3" s="63">
        <f t="shared" ref="F3:F29" si="4">I3-I2</f>
        <v>12724</v>
      </c>
      <c r="G3" s="63">
        <f t="shared" si="0"/>
        <v>1.7664861863112591</v>
      </c>
      <c r="H3" s="63">
        <f t="shared" ref="H3:H29" si="5">$B$16/SQRT($I$16)*(SQRT(I3)-SQRT(I2))</f>
        <v>3.5991066618950462</v>
      </c>
      <c r="I3" s="76">
        <f t="shared" si="1"/>
        <v>14424</v>
      </c>
      <c r="J3" s="76">
        <f t="shared" si="2"/>
        <v>600000</v>
      </c>
      <c r="K3" s="77">
        <f>J3*'Inflation Rates by Year'!$F$2</f>
        <v>715731.17593190412</v>
      </c>
      <c r="L3" s="78">
        <f t="shared" si="3"/>
        <v>49.620852463387692</v>
      </c>
    </row>
    <row r="4" spans="1:26" ht="15" customHeight="1">
      <c r="A4" s="81">
        <v>43280</v>
      </c>
      <c r="B4" s="61">
        <v>3</v>
      </c>
      <c r="C4" s="61" t="s">
        <v>331</v>
      </c>
      <c r="D4" s="62">
        <v>33956</v>
      </c>
      <c r="E4" s="62">
        <v>1200000</v>
      </c>
      <c r="F4" s="63">
        <f t="shared" si="4"/>
        <v>19532</v>
      </c>
      <c r="G4" s="63">
        <f t="shared" si="0"/>
        <v>2.7116479244759129</v>
      </c>
      <c r="H4" s="63">
        <f t="shared" si="5"/>
        <v>2.9284084897631724</v>
      </c>
      <c r="I4" s="76">
        <f t="shared" si="1"/>
        <v>33956</v>
      </c>
      <c r="J4" s="76">
        <f t="shared" si="2"/>
        <v>1200000</v>
      </c>
      <c r="K4" s="77">
        <f>J4*'Inflation Rates by Year'!$F$2</f>
        <v>1431462.3518638082</v>
      </c>
      <c r="L4" s="78">
        <f t="shared" si="3"/>
        <v>42.15638920555449</v>
      </c>
    </row>
    <row r="5" spans="1:26" ht="15" customHeight="1">
      <c r="A5" s="81">
        <v>43281</v>
      </c>
      <c r="B5" s="61">
        <v>4</v>
      </c>
      <c r="C5" s="61" t="s">
        <v>331</v>
      </c>
      <c r="D5" s="62">
        <v>41292</v>
      </c>
      <c r="E5" s="62">
        <v>2602130</v>
      </c>
      <c r="F5" s="63">
        <f t="shared" si="4"/>
        <v>7336</v>
      </c>
      <c r="G5" s="63">
        <f t="shared" si="0"/>
        <v>1.0184645286686103</v>
      </c>
      <c r="H5" s="63">
        <f t="shared" si="5"/>
        <v>0.86397978937842412</v>
      </c>
      <c r="I5" s="76">
        <f t="shared" si="1"/>
        <v>41292</v>
      </c>
      <c r="J5" s="76">
        <f t="shared" si="2"/>
        <v>2602130</v>
      </c>
      <c r="K5" s="77">
        <f>J5*'Inflation Rates by Year'!$F$2</f>
        <v>3104042.6080461429</v>
      </c>
      <c r="L5" s="78">
        <f t="shared" si="3"/>
        <v>75.172978011385808</v>
      </c>
    </row>
    <row r="6" spans="1:26" ht="15" customHeight="1">
      <c r="A6" s="81">
        <v>43282</v>
      </c>
      <c r="B6" s="61">
        <v>5</v>
      </c>
      <c r="C6" s="61" t="s">
        <v>331</v>
      </c>
      <c r="D6" s="62">
        <v>50033</v>
      </c>
      <c r="E6" s="62">
        <v>4100000</v>
      </c>
      <c r="F6" s="63">
        <f t="shared" si="4"/>
        <v>8741</v>
      </c>
      <c r="G6" s="63">
        <f t="shared" si="0"/>
        <v>1.2135221435512979</v>
      </c>
      <c r="H6" s="63">
        <f t="shared" si="5"/>
        <v>0.93441379796441182</v>
      </c>
      <c r="I6" s="76">
        <f t="shared" si="1"/>
        <v>50033</v>
      </c>
      <c r="J6" s="76">
        <f t="shared" si="2"/>
        <v>4100000</v>
      </c>
      <c r="K6" s="77">
        <f>J6*'Inflation Rates by Year'!$F$2</f>
        <v>4890829.702201345</v>
      </c>
      <c r="L6" s="78">
        <f t="shared" si="3"/>
        <v>97.75207767276288</v>
      </c>
    </row>
    <row r="7" spans="1:26" ht="15" customHeight="1">
      <c r="A7" s="81">
        <v>43283</v>
      </c>
      <c r="B7" s="61">
        <v>6</v>
      </c>
      <c r="C7" s="61" t="s">
        <v>331</v>
      </c>
      <c r="D7" s="62">
        <v>60710</v>
      </c>
      <c r="E7" s="62">
        <v>6500000</v>
      </c>
      <c r="F7" s="63">
        <f t="shared" si="4"/>
        <v>10677</v>
      </c>
      <c r="G7" s="63">
        <f t="shared" si="0"/>
        <v>1.482299042065806</v>
      </c>
      <c r="H7" s="63">
        <f t="shared" si="5"/>
        <v>1.0365050159280367</v>
      </c>
      <c r="I7" s="76">
        <f t="shared" si="1"/>
        <v>60710</v>
      </c>
      <c r="J7" s="76">
        <f t="shared" si="2"/>
        <v>6500000</v>
      </c>
      <c r="K7" s="77">
        <f>J7*'Inflation Rates by Year'!$F$2</f>
        <v>7753754.405928961</v>
      </c>
      <c r="L7" s="78">
        <f t="shared" si="3"/>
        <v>127.71791147964028</v>
      </c>
    </row>
    <row r="8" spans="1:26" ht="15" customHeight="1">
      <c r="A8" s="81">
        <v>43284</v>
      </c>
      <c r="B8" s="61">
        <v>7</v>
      </c>
      <c r="C8" s="61" t="s">
        <v>331</v>
      </c>
      <c r="D8" s="62">
        <v>84569</v>
      </c>
      <c r="E8" s="62">
        <v>8150000</v>
      </c>
      <c r="F8" s="63">
        <f t="shared" si="4"/>
        <v>23859</v>
      </c>
      <c r="G8" s="63">
        <f t="shared" si="0"/>
        <v>3.3123698458975426</v>
      </c>
      <c r="H8" s="63">
        <f t="shared" si="5"/>
        <v>2.0267675897324269</v>
      </c>
      <c r="I8" s="76">
        <f t="shared" si="1"/>
        <v>84569</v>
      </c>
      <c r="J8" s="76">
        <f t="shared" si="2"/>
        <v>8150000</v>
      </c>
      <c r="K8" s="77">
        <f>J8*'Inflation Rates by Year'!$F$2</f>
        <v>9722015.1397416964</v>
      </c>
      <c r="L8" s="78">
        <f t="shared" si="3"/>
        <v>114.95956130191556</v>
      </c>
    </row>
    <row r="9" spans="1:26" ht="15" customHeight="1">
      <c r="A9" s="81">
        <v>43286</v>
      </c>
      <c r="B9" s="61">
        <v>8</v>
      </c>
      <c r="C9" s="61" t="s">
        <v>331</v>
      </c>
      <c r="D9" s="62">
        <v>103657</v>
      </c>
      <c r="E9" s="62">
        <v>12320000</v>
      </c>
      <c r="F9" s="63">
        <f t="shared" si="4"/>
        <v>19088</v>
      </c>
      <c r="G9" s="63">
        <f t="shared" si="0"/>
        <v>2.6500069415521308</v>
      </c>
      <c r="H9" s="63">
        <f t="shared" si="5"/>
        <v>1.4215266122046644</v>
      </c>
      <c r="I9" s="76">
        <f t="shared" si="1"/>
        <v>103657</v>
      </c>
      <c r="J9" s="76">
        <f t="shared" si="2"/>
        <v>12320000</v>
      </c>
      <c r="K9" s="77">
        <f>J9*'Inflation Rates by Year'!$F$2</f>
        <v>14696346.81246843</v>
      </c>
      <c r="L9" s="78">
        <f t="shared" si="3"/>
        <v>141.77862385047251</v>
      </c>
    </row>
    <row r="10" spans="1:26" ht="15" customHeight="1">
      <c r="A10" s="81">
        <v>43287</v>
      </c>
      <c r="B10" s="61">
        <v>9</v>
      </c>
      <c r="C10" s="61" t="s">
        <v>331</v>
      </c>
      <c r="D10" s="62">
        <v>105733</v>
      </c>
      <c r="E10" s="62">
        <v>14550000</v>
      </c>
      <c r="F10" s="63">
        <f t="shared" si="4"/>
        <v>2076</v>
      </c>
      <c r="G10" s="63">
        <f t="shared" si="0"/>
        <v>0.28821324448146607</v>
      </c>
      <c r="H10" s="63">
        <f t="shared" si="5"/>
        <v>0.14639580816310327</v>
      </c>
      <c r="I10" s="76">
        <f t="shared" si="1"/>
        <v>105733</v>
      </c>
      <c r="J10" s="76">
        <f t="shared" si="2"/>
        <v>14550000</v>
      </c>
      <c r="K10" s="77">
        <f>J10*'Inflation Rates by Year'!$F$2</f>
        <v>17356481.016348675</v>
      </c>
      <c r="L10" s="78">
        <f t="shared" si="3"/>
        <v>164.15386886164845</v>
      </c>
    </row>
    <row r="11" spans="1:26" ht="15" customHeight="1">
      <c r="A11" s="81">
        <v>43288</v>
      </c>
      <c r="B11" s="61">
        <v>10</v>
      </c>
      <c r="C11" s="61" t="s">
        <v>331</v>
      </c>
      <c r="D11" s="62">
        <v>106985</v>
      </c>
      <c r="E11" s="62">
        <v>17250000</v>
      </c>
      <c r="F11" s="63">
        <f t="shared" si="4"/>
        <v>1252</v>
      </c>
      <c r="G11" s="63">
        <f t="shared" si="0"/>
        <v>0.17381646536165485</v>
      </c>
      <c r="H11" s="63">
        <f t="shared" si="5"/>
        <v>8.7594737052330104E-2</v>
      </c>
      <c r="I11" s="76">
        <f t="shared" si="1"/>
        <v>106985</v>
      </c>
      <c r="J11" s="76">
        <f t="shared" si="2"/>
        <v>17250000</v>
      </c>
      <c r="K11" s="77">
        <f>J11*'Inflation Rates by Year'!$F$2</f>
        <v>20577271.308042243</v>
      </c>
      <c r="L11" s="78">
        <f t="shared" si="3"/>
        <v>192.33791006255311</v>
      </c>
    </row>
    <row r="12" spans="1:26" ht="15" customHeight="1">
      <c r="A12" s="81">
        <v>43289</v>
      </c>
      <c r="B12" s="61">
        <v>11</v>
      </c>
      <c r="C12" s="61" t="s">
        <v>331</v>
      </c>
      <c r="D12" s="62">
        <v>107307</v>
      </c>
      <c r="E12" s="62">
        <v>19700000</v>
      </c>
      <c r="F12" s="63">
        <f t="shared" si="4"/>
        <v>322</v>
      </c>
      <c r="G12" s="63">
        <f t="shared" si="0"/>
        <v>4.4703595724003883E-2</v>
      </c>
      <c r="H12" s="63">
        <f t="shared" si="5"/>
        <v>2.2445378816294159E-2</v>
      </c>
      <c r="I12" s="76">
        <f t="shared" si="1"/>
        <v>107307</v>
      </c>
      <c r="J12" s="76">
        <f t="shared" si="2"/>
        <v>19700000</v>
      </c>
      <c r="K12" s="77">
        <f>J12*'Inflation Rates by Year'!$F$2</f>
        <v>23499840.276430853</v>
      </c>
      <c r="L12" s="78">
        <f t="shared" si="3"/>
        <v>218.99634018685504</v>
      </c>
    </row>
    <row r="13" spans="1:26" ht="15" customHeight="1">
      <c r="A13" s="81">
        <v>43290</v>
      </c>
      <c r="B13" s="61">
        <v>12</v>
      </c>
      <c r="C13" s="61" t="s">
        <v>331</v>
      </c>
      <c r="D13" s="62">
        <v>107967</v>
      </c>
      <c r="E13" s="62">
        <v>22100000</v>
      </c>
      <c r="F13" s="63">
        <f t="shared" si="4"/>
        <v>660</v>
      </c>
      <c r="G13" s="63">
        <f t="shared" si="0"/>
        <v>9.1628488129945854E-2</v>
      </c>
      <c r="H13" s="63">
        <f t="shared" si="5"/>
        <v>4.5901045730403434E-2</v>
      </c>
      <c r="I13" s="76">
        <f t="shared" si="1"/>
        <v>107967</v>
      </c>
      <c r="J13" s="76">
        <f t="shared" si="2"/>
        <v>22100000</v>
      </c>
      <c r="K13" s="77">
        <f>J13*'Inflation Rates by Year'!$F$2</f>
        <v>26362764.980158467</v>
      </c>
      <c r="L13" s="78">
        <f t="shared" si="3"/>
        <v>244.1742845513765</v>
      </c>
    </row>
    <row r="14" spans="1:26" ht="15" customHeight="1">
      <c r="A14" s="81">
        <v>43291</v>
      </c>
      <c r="B14" s="61">
        <v>13</v>
      </c>
      <c r="C14" s="61" t="s">
        <v>331</v>
      </c>
      <c r="D14" s="62">
        <v>107967</v>
      </c>
      <c r="E14" s="62">
        <v>24260000</v>
      </c>
      <c r="F14" s="63">
        <f t="shared" si="4"/>
        <v>0</v>
      </c>
      <c r="G14" s="63">
        <f t="shared" si="0"/>
        <v>0</v>
      </c>
      <c r="H14" s="63">
        <f t="shared" si="5"/>
        <v>0</v>
      </c>
      <c r="I14" s="76">
        <f t="shared" si="1"/>
        <v>107967</v>
      </c>
      <c r="J14" s="76">
        <f t="shared" si="2"/>
        <v>24260000</v>
      </c>
      <c r="K14" s="77">
        <f>J14*'Inflation Rates by Year'!$F$2</f>
        <v>28939397.213513322</v>
      </c>
      <c r="L14" s="78">
        <f t="shared" si="3"/>
        <v>268.03928249847939</v>
      </c>
    </row>
    <row r="15" spans="1:26" ht="15" customHeight="1">
      <c r="A15" s="81">
        <v>43292</v>
      </c>
      <c r="B15" s="61">
        <v>14</v>
      </c>
      <c r="C15" s="61" t="s">
        <v>331</v>
      </c>
      <c r="D15" s="62">
        <v>107967</v>
      </c>
      <c r="E15" s="62">
        <v>26100000</v>
      </c>
      <c r="F15" s="63">
        <f t="shared" si="4"/>
        <v>0</v>
      </c>
      <c r="G15" s="63">
        <f t="shared" si="0"/>
        <v>0</v>
      </c>
      <c r="H15" s="63">
        <f t="shared" si="5"/>
        <v>0</v>
      </c>
      <c r="I15" s="76">
        <f t="shared" si="1"/>
        <v>107967</v>
      </c>
      <c r="J15" s="76">
        <f t="shared" si="2"/>
        <v>26100000</v>
      </c>
      <c r="K15" s="77">
        <f>J15*'Inflation Rates by Year'!$F$2</f>
        <v>31134306.153037827</v>
      </c>
      <c r="L15" s="78">
        <f t="shared" si="3"/>
        <v>288.36872519415959</v>
      </c>
    </row>
    <row r="16" spans="1:26" ht="15" customHeight="1">
      <c r="A16" s="82">
        <v>43293</v>
      </c>
      <c r="B16" s="61">
        <v>15</v>
      </c>
      <c r="C16" s="83" t="s">
        <v>331</v>
      </c>
      <c r="D16" s="72">
        <v>108045</v>
      </c>
      <c r="E16" s="72">
        <v>28200000</v>
      </c>
      <c r="F16" s="71">
        <f t="shared" si="4"/>
        <v>78</v>
      </c>
      <c r="G16" s="63">
        <f t="shared" si="0"/>
        <v>1.0828821324448146E-2</v>
      </c>
      <c r="H16" s="63">
        <f t="shared" si="5"/>
        <v>5.4153882098730722E-3</v>
      </c>
      <c r="I16" s="72">
        <f t="shared" si="1"/>
        <v>108045</v>
      </c>
      <c r="J16" s="72">
        <f t="shared" si="2"/>
        <v>28200000</v>
      </c>
      <c r="K16" s="77">
        <f>J16*'Inflation Rates by Year'!$F$2</f>
        <v>33639365.268799491</v>
      </c>
      <c r="L16" s="73">
        <f t="shared" si="3"/>
        <v>311.34587689203101</v>
      </c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12" ht="15" customHeight="1">
      <c r="A17" s="81">
        <v>43294</v>
      </c>
      <c r="B17" s="61">
        <v>16</v>
      </c>
      <c r="C17" s="61" t="s">
        <v>331</v>
      </c>
      <c r="D17" s="62">
        <v>108045</v>
      </c>
      <c r="E17" s="62">
        <v>29600000</v>
      </c>
      <c r="F17" s="63">
        <f t="shared" si="4"/>
        <v>0</v>
      </c>
      <c r="G17" s="63">
        <f t="shared" si="0"/>
        <v>0</v>
      </c>
      <c r="H17" s="63">
        <f t="shared" si="5"/>
        <v>0</v>
      </c>
      <c r="I17" s="76">
        <f t="shared" si="1"/>
        <v>108045</v>
      </c>
      <c r="J17" s="76">
        <f t="shared" si="2"/>
        <v>29600000</v>
      </c>
      <c r="K17" s="77">
        <f>J17*'Inflation Rates by Year'!$F$2</f>
        <v>35309404.679307267</v>
      </c>
      <c r="L17" s="78">
        <f t="shared" si="3"/>
        <v>326.80276439730915</v>
      </c>
    </row>
    <row r="18" spans="1:12" ht="15" customHeight="1">
      <c r="A18" s="81">
        <v>43295</v>
      </c>
      <c r="B18" s="61">
        <v>17</v>
      </c>
      <c r="C18" s="61" t="s">
        <v>331</v>
      </c>
      <c r="D18" s="62">
        <v>108045</v>
      </c>
      <c r="E18" s="62">
        <v>30350000</v>
      </c>
      <c r="F18" s="63">
        <f t="shared" si="4"/>
        <v>0</v>
      </c>
      <c r="G18" s="63">
        <f t="shared" si="0"/>
        <v>0</v>
      </c>
      <c r="H18" s="63">
        <f t="shared" si="5"/>
        <v>0</v>
      </c>
      <c r="I18" s="76">
        <f t="shared" si="1"/>
        <v>108045</v>
      </c>
      <c r="J18" s="76">
        <f t="shared" si="2"/>
        <v>30350000</v>
      </c>
      <c r="K18" s="77">
        <f>J18*'Inflation Rates by Year'!$F$2</f>
        <v>36204068.64922215</v>
      </c>
      <c r="L18" s="78">
        <f t="shared" si="3"/>
        <v>335.08323984656533</v>
      </c>
    </row>
    <row r="19" spans="1:12" ht="15" customHeight="1">
      <c r="A19" s="81">
        <v>43296</v>
      </c>
      <c r="B19" s="61">
        <v>18</v>
      </c>
      <c r="C19" s="61" t="s">
        <v>331</v>
      </c>
      <c r="D19" s="62">
        <v>108045</v>
      </c>
      <c r="E19" s="62">
        <v>31900000</v>
      </c>
      <c r="F19" s="63">
        <f t="shared" si="4"/>
        <v>0</v>
      </c>
      <c r="G19" s="63">
        <f t="shared" si="0"/>
        <v>0</v>
      </c>
      <c r="H19" s="63">
        <f t="shared" si="5"/>
        <v>0</v>
      </c>
      <c r="I19" s="76">
        <f t="shared" si="1"/>
        <v>108045</v>
      </c>
      <c r="J19" s="76">
        <f t="shared" si="2"/>
        <v>31900000</v>
      </c>
      <c r="K19" s="77">
        <f>J19*'Inflation Rates by Year'!$F$2</f>
        <v>38053040.853712901</v>
      </c>
      <c r="L19" s="78">
        <f t="shared" si="3"/>
        <v>352.19622244169466</v>
      </c>
    </row>
    <row r="20" spans="1:12" ht="15" customHeight="1">
      <c r="A20" s="81">
        <v>43297</v>
      </c>
      <c r="B20" s="61">
        <v>19</v>
      </c>
      <c r="C20" s="61" t="s">
        <v>331</v>
      </c>
      <c r="D20" s="62">
        <v>108045</v>
      </c>
      <c r="E20" s="62">
        <v>31980000</v>
      </c>
      <c r="F20" s="63">
        <f t="shared" si="4"/>
        <v>0</v>
      </c>
      <c r="G20" s="63">
        <f t="shared" si="0"/>
        <v>0</v>
      </c>
      <c r="H20" s="63">
        <f t="shared" si="5"/>
        <v>0</v>
      </c>
      <c r="I20" s="76">
        <f t="shared" si="1"/>
        <v>108045</v>
      </c>
      <c r="J20" s="76">
        <f t="shared" si="2"/>
        <v>31980000</v>
      </c>
      <c r="K20" s="77">
        <f>J20*'Inflation Rates by Year'!$F$2</f>
        <v>38148471.677170485</v>
      </c>
      <c r="L20" s="78">
        <f t="shared" si="3"/>
        <v>353.07947315628195</v>
      </c>
    </row>
    <row r="21" spans="1:12" ht="14.5">
      <c r="A21" s="81">
        <v>43298</v>
      </c>
      <c r="B21" s="61">
        <v>20</v>
      </c>
      <c r="C21" s="61" t="s">
        <v>331</v>
      </c>
      <c r="D21" s="62">
        <v>108045</v>
      </c>
      <c r="E21" s="62">
        <v>35000000</v>
      </c>
      <c r="F21" s="63">
        <f t="shared" si="4"/>
        <v>0</v>
      </c>
      <c r="G21" s="63">
        <f t="shared" si="0"/>
        <v>0</v>
      </c>
      <c r="H21" s="63">
        <f t="shared" si="5"/>
        <v>0</v>
      </c>
      <c r="I21" s="76">
        <f t="shared" si="1"/>
        <v>108045</v>
      </c>
      <c r="J21" s="76">
        <f t="shared" si="2"/>
        <v>35000000</v>
      </c>
      <c r="K21" s="77">
        <f>J21*'Inflation Rates by Year'!$F$2</f>
        <v>41750985.262694404</v>
      </c>
      <c r="L21" s="78">
        <f t="shared" si="3"/>
        <v>386.42218763195336</v>
      </c>
    </row>
    <row r="22" spans="1:12" ht="14.5">
      <c r="A22" s="81">
        <v>43300</v>
      </c>
      <c r="B22" s="61">
        <v>21</v>
      </c>
      <c r="C22" s="61" t="s">
        <v>331</v>
      </c>
      <c r="D22" s="62">
        <v>108045</v>
      </c>
      <c r="E22" s="62">
        <v>32000000</v>
      </c>
      <c r="F22" s="63">
        <f t="shared" si="4"/>
        <v>0</v>
      </c>
      <c r="G22" s="63">
        <f t="shared" si="0"/>
        <v>0</v>
      </c>
      <c r="H22" s="63">
        <f t="shared" si="5"/>
        <v>0</v>
      </c>
      <c r="I22" s="76">
        <f t="shared" si="1"/>
        <v>108045</v>
      </c>
      <c r="J22" s="76">
        <f t="shared" si="2"/>
        <v>32000000</v>
      </c>
      <c r="K22" s="77">
        <f>J22*'Inflation Rates by Year'!$F$2</f>
        <v>38172329.383034885</v>
      </c>
      <c r="L22" s="78">
        <f t="shared" si="3"/>
        <v>353.30028583492884</v>
      </c>
    </row>
    <row r="23" spans="1:12" ht="14.5">
      <c r="A23" s="81">
        <v>43307</v>
      </c>
      <c r="B23" s="61">
        <v>22</v>
      </c>
      <c r="C23" s="61" t="s">
        <v>331</v>
      </c>
      <c r="D23" s="62">
        <v>108045</v>
      </c>
      <c r="E23" s="62">
        <v>32000000</v>
      </c>
      <c r="F23" s="63">
        <f t="shared" si="4"/>
        <v>0</v>
      </c>
      <c r="G23" s="63">
        <f t="shared" si="0"/>
        <v>0</v>
      </c>
      <c r="H23" s="63">
        <f t="shared" si="5"/>
        <v>0</v>
      </c>
      <c r="I23" s="76">
        <f t="shared" si="1"/>
        <v>108045</v>
      </c>
      <c r="J23" s="76">
        <f t="shared" si="2"/>
        <v>32000000</v>
      </c>
      <c r="K23" s="77">
        <f>J23*'Inflation Rates by Year'!$F$2</f>
        <v>38172329.383034885</v>
      </c>
      <c r="L23" s="78">
        <f t="shared" si="3"/>
        <v>353.30028583492884</v>
      </c>
    </row>
    <row r="24" spans="1:12" ht="14.5">
      <c r="A24" s="81">
        <v>43314</v>
      </c>
      <c r="B24" s="61">
        <v>23</v>
      </c>
      <c r="C24" s="61" t="s">
        <v>331</v>
      </c>
      <c r="D24" s="62">
        <v>108045</v>
      </c>
      <c r="E24" s="62">
        <v>30750000</v>
      </c>
      <c r="F24" s="63">
        <f t="shared" si="4"/>
        <v>0</v>
      </c>
      <c r="G24" s="63">
        <f t="shared" si="0"/>
        <v>0</v>
      </c>
      <c r="H24" s="63">
        <f t="shared" si="5"/>
        <v>0</v>
      </c>
      <c r="I24" s="76">
        <f t="shared" si="1"/>
        <v>108045</v>
      </c>
      <c r="J24" s="76">
        <f t="shared" si="2"/>
        <v>30750000</v>
      </c>
      <c r="K24" s="77">
        <f>J24*'Inflation Rates by Year'!$F$2</f>
        <v>36681222.766510084</v>
      </c>
      <c r="L24" s="78">
        <f t="shared" si="3"/>
        <v>339.4994934195019</v>
      </c>
    </row>
    <row r="25" spans="1:12" ht="14.5">
      <c r="A25" s="81">
        <v>43321</v>
      </c>
      <c r="B25" s="61">
        <v>24</v>
      </c>
      <c r="C25" s="61" t="s">
        <v>331</v>
      </c>
      <c r="D25" s="62">
        <v>108045</v>
      </c>
      <c r="E25" s="62">
        <v>32000000</v>
      </c>
      <c r="F25" s="63">
        <f t="shared" si="4"/>
        <v>0</v>
      </c>
      <c r="G25" s="63">
        <f t="shared" si="0"/>
        <v>0</v>
      </c>
      <c r="H25" s="63">
        <f t="shared" si="5"/>
        <v>0</v>
      </c>
      <c r="I25" s="76">
        <f t="shared" si="1"/>
        <v>108045</v>
      </c>
      <c r="J25" s="76">
        <f t="shared" si="2"/>
        <v>32000000</v>
      </c>
      <c r="K25" s="77">
        <f>J25*'Inflation Rates by Year'!$F$2</f>
        <v>38172329.383034885</v>
      </c>
      <c r="L25" s="78">
        <f t="shared" si="3"/>
        <v>353.30028583492884</v>
      </c>
    </row>
    <row r="26" spans="1:12" ht="14.5">
      <c r="A26" s="81">
        <v>43328</v>
      </c>
      <c r="B26" s="61">
        <v>25</v>
      </c>
      <c r="C26" s="61" t="s">
        <v>331</v>
      </c>
      <c r="D26" s="62">
        <v>108045</v>
      </c>
      <c r="E26" s="62">
        <v>32000000</v>
      </c>
      <c r="F26" s="63">
        <f t="shared" si="4"/>
        <v>0</v>
      </c>
      <c r="G26" s="63">
        <f t="shared" si="0"/>
        <v>0</v>
      </c>
      <c r="H26" s="63">
        <f t="shared" si="5"/>
        <v>0</v>
      </c>
      <c r="I26" s="76">
        <f t="shared" si="1"/>
        <v>108045</v>
      </c>
      <c r="J26" s="76">
        <f t="shared" si="2"/>
        <v>32000000</v>
      </c>
      <c r="K26" s="77">
        <f>J26*'Inflation Rates by Year'!$F$2</f>
        <v>38172329.383034885</v>
      </c>
      <c r="L26" s="78">
        <f t="shared" si="3"/>
        <v>353.30028583492884</v>
      </c>
    </row>
    <row r="27" spans="1:12" ht="14.5">
      <c r="A27" s="81">
        <v>43335</v>
      </c>
      <c r="B27" s="61">
        <v>26</v>
      </c>
      <c r="C27" s="61" t="s">
        <v>331</v>
      </c>
      <c r="D27" s="62">
        <v>108045</v>
      </c>
      <c r="E27" s="62">
        <v>32000000</v>
      </c>
      <c r="F27" s="63">
        <f t="shared" si="4"/>
        <v>0</v>
      </c>
      <c r="G27" s="63">
        <f t="shared" si="0"/>
        <v>0</v>
      </c>
      <c r="H27" s="63">
        <f t="shared" si="5"/>
        <v>0</v>
      </c>
      <c r="I27" s="76">
        <f t="shared" si="1"/>
        <v>108045</v>
      </c>
      <c r="J27" s="76">
        <f t="shared" si="2"/>
        <v>32000000</v>
      </c>
      <c r="K27" s="77">
        <f>J27*'Inflation Rates by Year'!$F$2</f>
        <v>38172329.383034885</v>
      </c>
      <c r="L27" s="78">
        <f t="shared" si="3"/>
        <v>353.30028583492884</v>
      </c>
    </row>
    <row r="28" spans="1:12" ht="14.5">
      <c r="A28" s="81">
        <v>43342</v>
      </c>
      <c r="B28" s="61">
        <v>27</v>
      </c>
      <c r="C28" s="61" t="s">
        <v>331</v>
      </c>
      <c r="D28" s="62">
        <v>108045</v>
      </c>
      <c r="E28" s="62">
        <v>32000000</v>
      </c>
      <c r="F28" s="63">
        <f t="shared" si="4"/>
        <v>0</v>
      </c>
      <c r="G28" s="63">
        <f t="shared" si="0"/>
        <v>0</v>
      </c>
      <c r="H28" s="63">
        <f t="shared" si="5"/>
        <v>0</v>
      </c>
      <c r="I28" s="76">
        <f t="shared" si="1"/>
        <v>108045</v>
      </c>
      <c r="J28" s="76">
        <f t="shared" si="2"/>
        <v>32000000</v>
      </c>
      <c r="K28" s="77">
        <f>J28*'Inflation Rates by Year'!$F$2</f>
        <v>38172329.383034885</v>
      </c>
      <c r="L28" s="78">
        <f t="shared" si="3"/>
        <v>353.30028583492884</v>
      </c>
    </row>
    <row r="29" spans="1:12" ht="14.5">
      <c r="A29" s="81">
        <v>43349</v>
      </c>
      <c r="B29" s="61">
        <v>28</v>
      </c>
      <c r="C29" s="61" t="s">
        <v>331</v>
      </c>
      <c r="D29" s="62">
        <v>108045</v>
      </c>
      <c r="E29" s="62">
        <v>32000000</v>
      </c>
      <c r="F29" s="63">
        <f t="shared" si="4"/>
        <v>0</v>
      </c>
      <c r="G29" s="63">
        <f t="shared" si="0"/>
        <v>0</v>
      </c>
      <c r="H29" s="63">
        <f t="shared" si="5"/>
        <v>0</v>
      </c>
      <c r="I29" s="76">
        <f t="shared" si="1"/>
        <v>108045</v>
      </c>
      <c r="J29" s="76">
        <f t="shared" si="2"/>
        <v>32000000</v>
      </c>
      <c r="K29" s="77">
        <f>J29*'Inflation Rates by Year'!$F$2</f>
        <v>38172329.383034885</v>
      </c>
      <c r="L29" s="78">
        <f t="shared" si="3"/>
        <v>353.30028583492884</v>
      </c>
    </row>
    <row r="30" spans="1:12" ht="14.5">
      <c r="A30" s="81"/>
      <c r="B30" s="61"/>
      <c r="C30" s="61"/>
      <c r="D30" s="62"/>
      <c r="E30" s="62"/>
      <c r="F30" s="63"/>
      <c r="G30" s="63"/>
      <c r="H30" s="63"/>
      <c r="I30" s="76"/>
      <c r="J30" s="76"/>
      <c r="K30" s="77"/>
      <c r="L30" s="78"/>
    </row>
    <row r="31" spans="1:12" ht="14.5">
      <c r="A31" s="81"/>
      <c r="B31" s="61"/>
      <c r="C31" s="61"/>
      <c r="D31" s="62"/>
      <c r="E31" s="62"/>
      <c r="F31" s="63"/>
      <c r="G31" s="63"/>
      <c r="H31" s="63"/>
      <c r="I31" s="76"/>
      <c r="J31" s="76"/>
      <c r="K31" s="77"/>
      <c r="L31" s="78"/>
    </row>
    <row r="32" spans="1:12" ht="14.5">
      <c r="A32" s="81"/>
      <c r="B32" s="61"/>
      <c r="C32" s="61"/>
      <c r="D32" s="62"/>
      <c r="E32" s="62"/>
      <c r="F32" s="63"/>
      <c r="G32" s="63"/>
      <c r="H32" s="63"/>
      <c r="I32" s="76"/>
      <c r="J32" s="76"/>
      <c r="K32" s="77"/>
      <c r="L32" s="78"/>
    </row>
    <row r="33" spans="1:12" ht="14.5">
      <c r="A33" s="81"/>
      <c r="B33" s="61"/>
      <c r="C33" s="61"/>
      <c r="D33" s="62"/>
      <c r="E33" s="62"/>
      <c r="F33" s="63"/>
      <c r="G33" s="63"/>
      <c r="H33" s="63"/>
      <c r="I33" s="76"/>
      <c r="J33" s="76"/>
      <c r="K33" s="77"/>
      <c r="L33" s="78"/>
    </row>
    <row r="34" spans="1:12" ht="14.5">
      <c r="A34" s="81"/>
      <c r="B34" s="61"/>
      <c r="C34" s="61"/>
      <c r="D34" s="62"/>
      <c r="E34" s="62"/>
      <c r="F34" s="63"/>
      <c r="G34" s="63"/>
      <c r="H34" s="63"/>
      <c r="I34" s="76"/>
      <c r="J34" s="76"/>
      <c r="K34" s="77"/>
      <c r="L34" s="78"/>
    </row>
    <row r="35" spans="1:12" ht="14.5">
      <c r="A35" s="81"/>
      <c r="B35" s="61"/>
      <c r="C35" s="61"/>
      <c r="D35" s="62"/>
      <c r="E35" s="62"/>
      <c r="F35" s="63"/>
      <c r="G35" s="63"/>
      <c r="H35" s="63"/>
      <c r="I35" s="76"/>
      <c r="J35" s="76"/>
      <c r="K35" s="77"/>
      <c r="L35" s="78"/>
    </row>
    <row r="36" spans="1:12" ht="14.5">
      <c r="A36" s="81"/>
      <c r="B36" s="61"/>
      <c r="C36" s="61"/>
      <c r="D36" s="62"/>
      <c r="E36" s="62"/>
      <c r="F36" s="63"/>
      <c r="G36" s="63"/>
      <c r="H36" s="63"/>
      <c r="I36" s="76"/>
      <c r="J36" s="76"/>
      <c r="K36" s="77"/>
      <c r="L36" s="78"/>
    </row>
    <row r="37" spans="1:12" ht="14.5">
      <c r="A37" s="81"/>
      <c r="B37" s="61"/>
      <c r="C37" s="61"/>
      <c r="D37" s="62"/>
      <c r="E37" s="62"/>
      <c r="F37" s="63"/>
      <c r="G37" s="63"/>
      <c r="H37" s="63"/>
      <c r="I37" s="76"/>
      <c r="J37" s="76"/>
      <c r="K37" s="77"/>
      <c r="L37" s="78"/>
    </row>
    <row r="38" spans="1:12" ht="14.5">
      <c r="A38" s="81"/>
      <c r="B38" s="61"/>
      <c r="C38" s="61"/>
      <c r="D38" s="62"/>
      <c r="E38" s="62"/>
      <c r="F38" s="63"/>
      <c r="G38" s="63"/>
      <c r="H38" s="63"/>
      <c r="I38" s="76"/>
      <c r="J38" s="76"/>
      <c r="K38" s="77"/>
      <c r="L38" s="78"/>
    </row>
    <row r="39" spans="1:12" ht="14.5">
      <c r="A39" s="81"/>
      <c r="B39" s="61"/>
      <c r="C39" s="61"/>
      <c r="D39" s="62"/>
      <c r="E39" s="62"/>
      <c r="F39" s="63"/>
      <c r="G39" s="63"/>
      <c r="H39" s="63"/>
      <c r="I39" s="76"/>
      <c r="J39" s="76"/>
      <c r="K39" s="77"/>
      <c r="L39" s="78"/>
    </row>
    <row r="40" spans="1:12" ht="14.5">
      <c r="A40" s="82"/>
      <c r="B40" s="83"/>
      <c r="C40" s="83"/>
      <c r="D40" s="72"/>
      <c r="E40" s="72"/>
      <c r="F40" s="71"/>
      <c r="G40" s="63"/>
      <c r="H40" s="63"/>
      <c r="I40" s="72"/>
      <c r="J40" s="72"/>
      <c r="K40" s="73"/>
      <c r="L40" s="73"/>
    </row>
    <row r="41" spans="1:12" ht="14.5">
      <c r="A41" s="81"/>
      <c r="B41" s="61"/>
      <c r="C41" s="61"/>
      <c r="D41" s="62"/>
      <c r="E41" s="62"/>
      <c r="F41" s="63"/>
      <c r="G41" s="63"/>
      <c r="H41" s="63"/>
      <c r="I41" s="76"/>
      <c r="J41" s="76"/>
      <c r="K41" s="77"/>
      <c r="L41" s="78"/>
    </row>
    <row r="42" spans="1:12" ht="14.5">
      <c r="A42" s="81"/>
      <c r="B42" s="61"/>
      <c r="C42" s="61"/>
      <c r="D42" s="62"/>
      <c r="E42" s="62"/>
      <c r="F42" s="63"/>
      <c r="G42" s="63"/>
      <c r="H42" s="63"/>
      <c r="I42" s="76"/>
      <c r="J42" s="76"/>
      <c r="K42" s="77"/>
      <c r="L42" s="78"/>
    </row>
    <row r="43" spans="1:12" ht="14.5">
      <c r="A43" s="81"/>
      <c r="B43" s="61"/>
      <c r="C43" s="61"/>
      <c r="D43" s="62"/>
      <c r="E43" s="62"/>
      <c r="F43" s="63"/>
      <c r="G43" s="63"/>
      <c r="H43" s="63"/>
      <c r="I43" s="76"/>
      <c r="J43" s="76"/>
      <c r="K43" s="77"/>
      <c r="L43" s="78"/>
    </row>
    <row r="44" spans="1:12" ht="14.5">
      <c r="A44" s="81"/>
      <c r="B44" s="61"/>
      <c r="C44" s="61"/>
      <c r="D44" s="62"/>
      <c r="E44" s="62"/>
      <c r="F44" s="63"/>
      <c r="G44" s="63"/>
      <c r="H44" s="63"/>
      <c r="I44" s="76"/>
      <c r="J44" s="76"/>
      <c r="K44" s="77"/>
      <c r="L44" s="78"/>
    </row>
    <row r="45" spans="1:12" ht="14.5">
      <c r="A45" s="81"/>
      <c r="B45" s="61"/>
      <c r="C45" s="61"/>
      <c r="D45" s="62"/>
      <c r="E45" s="62"/>
      <c r="F45" s="63"/>
      <c r="G45" s="63"/>
      <c r="H45" s="63"/>
      <c r="I45" s="76"/>
      <c r="J45" s="76"/>
      <c r="K45" s="77"/>
      <c r="L45" s="78"/>
    </row>
    <row r="46" spans="1:12" ht="14.5">
      <c r="A46" s="81"/>
      <c r="B46" s="61"/>
      <c r="C46" s="61"/>
      <c r="D46" s="62"/>
      <c r="E46" s="62"/>
      <c r="F46" s="63"/>
      <c r="G46" s="63"/>
      <c r="H46" s="63"/>
      <c r="I46" s="76"/>
      <c r="J46" s="76"/>
      <c r="K46" s="77"/>
      <c r="L46" s="78"/>
    </row>
    <row r="47" spans="1:12" ht="14.5">
      <c r="A47" s="81"/>
      <c r="B47" s="61"/>
      <c r="C47" s="61"/>
      <c r="D47" s="62"/>
      <c r="E47" s="62"/>
      <c r="F47" s="63"/>
      <c r="G47" s="63"/>
      <c r="H47" s="63"/>
      <c r="I47" s="76"/>
      <c r="J47" s="76"/>
      <c r="K47" s="77"/>
      <c r="L47" s="78"/>
    </row>
    <row r="48" spans="1:12" ht="14.5">
      <c r="A48" s="81"/>
      <c r="B48" s="61"/>
      <c r="C48" s="61"/>
      <c r="D48" s="62"/>
      <c r="E48" s="62"/>
      <c r="F48" s="63"/>
      <c r="G48" s="63"/>
      <c r="H48" s="63"/>
      <c r="I48" s="76"/>
      <c r="J48" s="76"/>
      <c r="K48" s="77"/>
      <c r="L48" s="78"/>
    </row>
    <row r="49" spans="1:12" ht="14.5">
      <c r="A49" s="81"/>
      <c r="C49" s="61"/>
      <c r="D49" s="62"/>
      <c r="E49" s="62"/>
      <c r="F49" s="63"/>
      <c r="G49" s="63"/>
      <c r="H49" s="63"/>
      <c r="I49" s="76"/>
      <c r="J49" s="76"/>
      <c r="K49" s="77"/>
      <c r="L49" s="78"/>
    </row>
    <row r="50" spans="1:12" ht="14.5">
      <c r="A50" s="81"/>
      <c r="C50" s="61"/>
      <c r="D50" s="62"/>
      <c r="E50" s="62"/>
      <c r="F50" s="63"/>
      <c r="G50" s="63"/>
      <c r="H50" s="63"/>
      <c r="I50" s="76"/>
      <c r="J50" s="76"/>
      <c r="K50" s="77"/>
      <c r="L50" s="78"/>
    </row>
    <row r="51" spans="1:12" ht="14.5">
      <c r="A51" s="81"/>
      <c r="C51" s="61"/>
      <c r="D51" s="62"/>
      <c r="E51" s="62"/>
      <c r="F51" s="63"/>
      <c r="G51" s="63"/>
      <c r="H51" s="63"/>
      <c r="I51" s="76"/>
      <c r="J51" s="76"/>
      <c r="K51" s="77"/>
      <c r="L51" s="78"/>
    </row>
    <row r="52" spans="1:12" ht="14.5">
      <c r="A52" s="81"/>
      <c r="C52" s="61"/>
      <c r="D52" s="62"/>
      <c r="E52" s="62"/>
      <c r="F52" s="63"/>
      <c r="G52" s="63"/>
      <c r="H52" s="63"/>
      <c r="I52" s="76"/>
      <c r="J52" s="76"/>
      <c r="K52" s="77"/>
      <c r="L52" s="78"/>
    </row>
    <row r="53" spans="1:12" ht="14.5">
      <c r="A53" s="81"/>
      <c r="C53" s="61"/>
      <c r="D53" s="62"/>
      <c r="E53" s="62"/>
      <c r="F53" s="63"/>
      <c r="G53" s="63"/>
      <c r="H53" s="63"/>
      <c r="I53" s="76"/>
      <c r="J53" s="76"/>
      <c r="K53" s="77"/>
      <c r="L53" s="78"/>
    </row>
    <row r="54" spans="1:12" ht="14.5">
      <c r="A54" s="81"/>
      <c r="C54" s="61"/>
      <c r="D54" s="62"/>
      <c r="E54" s="62"/>
      <c r="F54" s="63"/>
      <c r="G54" s="63"/>
      <c r="H54" s="63"/>
      <c r="I54" s="76"/>
      <c r="J54" s="76"/>
      <c r="K54" s="77"/>
      <c r="L54" s="78"/>
    </row>
    <row r="55" spans="1:12" ht="14.5">
      <c r="A55" s="81"/>
      <c r="C55" s="61"/>
      <c r="D55" s="62"/>
      <c r="E55" s="62"/>
      <c r="F55" s="63"/>
      <c r="G55" s="63"/>
      <c r="H55" s="63"/>
      <c r="I55" s="76"/>
      <c r="J55" s="76"/>
      <c r="K55" s="77"/>
      <c r="L55" s="78"/>
    </row>
    <row r="56" spans="1:12" ht="14.5">
      <c r="A56" s="81"/>
      <c r="C56" s="61"/>
      <c r="D56" s="62"/>
      <c r="E56" s="62"/>
      <c r="F56" s="63"/>
      <c r="G56" s="63"/>
      <c r="H56" s="63"/>
      <c r="I56" s="76"/>
      <c r="J56" s="76"/>
      <c r="K56" s="77"/>
      <c r="L56" s="78"/>
    </row>
    <row r="57" spans="1:12" ht="14.5">
      <c r="A57" s="81"/>
      <c r="C57" s="61"/>
      <c r="D57" s="62"/>
      <c r="E57" s="62"/>
      <c r="F57" s="63"/>
      <c r="G57" s="63"/>
      <c r="H57" s="63"/>
      <c r="I57" s="76"/>
      <c r="J57" s="76"/>
      <c r="K57" s="77"/>
      <c r="L57" s="78"/>
    </row>
    <row r="58" spans="1:12" ht="14.5">
      <c r="A58" s="81"/>
      <c r="C58" s="61"/>
      <c r="D58" s="62"/>
      <c r="E58" s="62"/>
      <c r="F58" s="63"/>
      <c r="G58" s="63"/>
      <c r="H58" s="63"/>
      <c r="I58" s="76"/>
      <c r="J58" s="76"/>
      <c r="K58" s="77"/>
      <c r="L58" s="78"/>
    </row>
    <row r="59" spans="1:12" ht="14.5">
      <c r="A59" s="81"/>
      <c r="C59" s="61"/>
      <c r="D59" s="62"/>
      <c r="E59" s="62"/>
      <c r="F59" s="63"/>
      <c r="G59" s="63"/>
      <c r="H59" s="63"/>
      <c r="I59" s="76"/>
      <c r="J59" s="76"/>
      <c r="K59" s="77"/>
      <c r="L59" s="78"/>
    </row>
    <row r="60" spans="1:12" ht="14.5">
      <c r="A60" s="81"/>
      <c r="C60" s="61"/>
      <c r="D60" s="62"/>
      <c r="E60" s="62"/>
      <c r="F60" s="63"/>
      <c r="G60" s="63"/>
      <c r="H60" s="63"/>
      <c r="I60" s="76"/>
      <c r="J60" s="76"/>
      <c r="K60" s="77"/>
      <c r="L60" s="78"/>
    </row>
    <row r="61" spans="1:12" ht="14.5">
      <c r="A61" s="81"/>
      <c r="C61" s="61"/>
      <c r="D61" s="62"/>
      <c r="E61" s="62"/>
      <c r="F61" s="63"/>
      <c r="G61" s="63"/>
      <c r="H61" s="63"/>
      <c r="I61" s="76"/>
      <c r="J61" s="76"/>
      <c r="K61" s="77"/>
      <c r="L61" s="78"/>
    </row>
    <row r="62" spans="1:12" ht="14.5">
      <c r="A62" s="81"/>
      <c r="C62" s="61"/>
      <c r="D62" s="62"/>
      <c r="E62" s="62"/>
      <c r="F62" s="63"/>
      <c r="G62" s="63"/>
      <c r="H62" s="63"/>
      <c r="I62" s="76"/>
      <c r="J62" s="76"/>
      <c r="K62" s="77"/>
      <c r="L62" s="78"/>
    </row>
    <row r="63" spans="1:12" ht="14.5">
      <c r="A63" s="81"/>
      <c r="C63" s="61"/>
      <c r="D63" s="62"/>
      <c r="E63" s="62"/>
      <c r="F63" s="63"/>
      <c r="G63" s="63"/>
      <c r="H63" s="63"/>
      <c r="I63" s="76"/>
      <c r="J63" s="76"/>
      <c r="K63" s="77"/>
      <c r="L63" s="78"/>
    </row>
    <row r="64" spans="1:12" ht="14.5">
      <c r="A64" s="81"/>
      <c r="C64" s="61"/>
      <c r="D64" s="62"/>
      <c r="E64" s="62"/>
      <c r="F64" s="63"/>
      <c r="G64" s="63"/>
      <c r="H64" s="63"/>
      <c r="I64" s="76"/>
      <c r="J64" s="76"/>
      <c r="K64" s="77"/>
      <c r="L64" s="78"/>
    </row>
    <row r="65" spans="1:12" ht="14.5">
      <c r="A65" s="81"/>
      <c r="C65" s="61"/>
      <c r="D65" s="62"/>
      <c r="E65" s="62"/>
      <c r="F65" s="63"/>
      <c r="G65" s="63"/>
      <c r="H65" s="63"/>
      <c r="I65" s="76"/>
      <c r="J65" s="76"/>
      <c r="K65" s="77"/>
      <c r="L65" s="78"/>
    </row>
    <row r="66" spans="1:12" ht="14.5">
      <c r="A66" s="81"/>
      <c r="C66" s="61"/>
      <c r="D66" s="62"/>
      <c r="E66" s="62"/>
      <c r="F66" s="63"/>
      <c r="G66" s="63"/>
      <c r="H66" s="63"/>
      <c r="I66" s="76"/>
      <c r="J66" s="76"/>
      <c r="K66" s="77"/>
      <c r="L66" s="78"/>
    </row>
    <row r="67" spans="1:12" ht="14.5">
      <c r="A67" s="81"/>
      <c r="C67" s="61"/>
      <c r="D67" s="62"/>
      <c r="E67" s="62"/>
      <c r="F67" s="63"/>
      <c r="G67" s="63"/>
      <c r="H67" s="63"/>
      <c r="I67" s="76"/>
      <c r="J67" s="76"/>
      <c r="K67" s="77"/>
      <c r="L67" s="78"/>
    </row>
    <row r="68" spans="1:12" ht="14.5">
      <c r="A68" s="84"/>
      <c r="C68" s="61"/>
      <c r="D68" s="62"/>
      <c r="E68" s="62"/>
      <c r="F68" s="63"/>
      <c r="G68" s="63"/>
      <c r="H68" s="63"/>
      <c r="I68" s="76"/>
      <c r="J68" s="76"/>
      <c r="K68" s="77"/>
      <c r="L68" s="78"/>
    </row>
    <row r="69" spans="1:12" ht="14.5">
      <c r="A69" s="84"/>
      <c r="C69" s="61"/>
      <c r="D69" s="62"/>
      <c r="E69" s="62"/>
      <c r="F69" s="63"/>
      <c r="G69" s="63"/>
      <c r="H69" s="63"/>
      <c r="I69" s="76"/>
      <c r="J69" s="76"/>
      <c r="K69" s="77"/>
      <c r="L69" s="78"/>
    </row>
    <row r="70" spans="1:12" ht="14.5">
      <c r="F70" s="86"/>
      <c r="G70" s="86"/>
      <c r="H70" s="86"/>
      <c r="I70" s="65"/>
      <c r="J70" s="76"/>
      <c r="K70" s="66"/>
      <c r="L70" s="67"/>
    </row>
    <row r="71" spans="1:12" ht="12.5">
      <c r="F71" s="86"/>
      <c r="G71" s="86"/>
      <c r="H71" s="86"/>
      <c r="I71" s="65"/>
      <c r="J71" s="65"/>
      <c r="K71" s="66"/>
      <c r="L71" s="67"/>
    </row>
    <row r="72" spans="1:12" ht="12.5">
      <c r="F72" s="86"/>
      <c r="G72" s="86"/>
      <c r="H72" s="86"/>
      <c r="I72" s="65"/>
      <c r="J72" s="65"/>
      <c r="K72" s="66"/>
      <c r="L72" s="67"/>
    </row>
    <row r="73" spans="1:12" ht="12.5">
      <c r="F73" s="86"/>
      <c r="G73" s="86"/>
      <c r="H73" s="86"/>
      <c r="I73" s="65"/>
      <c r="J73" s="65"/>
      <c r="K73" s="66"/>
      <c r="L73" s="67"/>
    </row>
    <row r="74" spans="1:12" ht="12.5">
      <c r="F74" s="86"/>
      <c r="G74" s="86"/>
      <c r="H74" s="86"/>
      <c r="I74" s="65"/>
      <c r="J74" s="65"/>
      <c r="K74" s="66"/>
      <c r="L74" s="67"/>
    </row>
    <row r="75" spans="1:12" ht="12.5">
      <c r="F75" s="86"/>
      <c r="G75" s="86"/>
      <c r="H75" s="86"/>
      <c r="I75" s="65"/>
      <c r="J75" s="65"/>
      <c r="K75" s="66"/>
      <c r="L75" s="67"/>
    </row>
    <row r="76" spans="1:12" ht="12.5">
      <c r="F76" s="86"/>
      <c r="G76" s="86"/>
      <c r="H76" s="86"/>
      <c r="I76" s="65"/>
      <c r="J76" s="65"/>
      <c r="K76" s="66"/>
      <c r="L76" s="67"/>
    </row>
    <row r="77" spans="1:12" ht="12.5">
      <c r="F77" s="86"/>
      <c r="G77" s="86"/>
      <c r="H77" s="86"/>
      <c r="I77" s="65"/>
      <c r="J77" s="65"/>
      <c r="K77" s="66"/>
      <c r="L77" s="67"/>
    </row>
    <row r="78" spans="1:12" ht="12.5">
      <c r="F78" s="86"/>
      <c r="G78" s="86"/>
      <c r="H78" s="86"/>
      <c r="I78" s="65"/>
      <c r="J78" s="65"/>
      <c r="K78" s="66"/>
      <c r="L78" s="67"/>
    </row>
    <row r="79" spans="1:12" ht="12.5">
      <c r="F79" s="86"/>
      <c r="G79" s="86"/>
      <c r="H79" s="86"/>
      <c r="I79" s="65"/>
      <c r="J79" s="65"/>
      <c r="K79" s="66"/>
      <c r="L79" s="67"/>
    </row>
    <row r="80" spans="1:12" ht="12.5">
      <c r="F80" s="86"/>
      <c r="G80" s="86"/>
      <c r="H80" s="86"/>
      <c r="I80" s="65"/>
      <c r="J80" s="65"/>
      <c r="K80" s="66"/>
      <c r="L80" s="67"/>
    </row>
    <row r="81" spans="1:12" ht="12.5">
      <c r="F81" s="86"/>
      <c r="G81" s="86"/>
      <c r="H81" s="86"/>
      <c r="I81" s="65"/>
      <c r="J81" s="65"/>
      <c r="K81" s="66"/>
      <c r="L81" s="67"/>
    </row>
    <row r="82" spans="1:12" ht="12.5">
      <c r="F82" s="86"/>
      <c r="G82" s="86"/>
      <c r="H82" s="86"/>
      <c r="I82" s="65"/>
      <c r="J82" s="65"/>
      <c r="K82" s="66"/>
      <c r="L82" s="67"/>
    </row>
    <row r="83" spans="1:12" ht="12.5">
      <c r="F83" s="86"/>
      <c r="G83" s="86"/>
      <c r="H83" s="86"/>
      <c r="I83" s="65"/>
      <c r="J83" s="65"/>
      <c r="K83" s="66"/>
      <c r="L83" s="67"/>
    </row>
    <row r="84" spans="1:12" ht="12.5">
      <c r="F84" s="86"/>
      <c r="G84" s="86"/>
      <c r="H84" s="86"/>
      <c r="I84" s="65"/>
      <c r="J84" s="65"/>
      <c r="K84" s="66"/>
      <c r="L84" s="67"/>
    </row>
    <row r="85" spans="1:12" ht="12.5">
      <c r="F85" s="86"/>
      <c r="G85" s="86"/>
      <c r="H85" s="86"/>
      <c r="I85" s="65"/>
      <c r="J85" s="65"/>
      <c r="K85" s="66"/>
      <c r="L85" s="67"/>
    </row>
    <row r="86" spans="1:12" ht="12.5">
      <c r="F86" s="86"/>
      <c r="G86" s="86"/>
      <c r="H86" s="86"/>
      <c r="I86" s="65"/>
      <c r="J86" s="65"/>
      <c r="K86" s="66"/>
      <c r="L86" s="67"/>
    </row>
    <row r="87" spans="1:12" ht="12.5">
      <c r="F87" s="86"/>
      <c r="G87" s="86"/>
      <c r="H87" s="86"/>
      <c r="I87" s="65"/>
      <c r="J87" s="65"/>
      <c r="K87" s="66"/>
      <c r="L87" s="67"/>
    </row>
    <row r="88" spans="1:12" ht="12.5">
      <c r="F88" s="86"/>
      <c r="G88" s="86"/>
      <c r="H88" s="86"/>
      <c r="I88" s="65"/>
      <c r="J88" s="65"/>
      <c r="K88" s="66"/>
      <c r="L88" s="67"/>
    </row>
    <row r="89" spans="1:12" ht="14.5">
      <c r="A89" s="81"/>
      <c r="C89" s="61"/>
      <c r="D89" s="62"/>
      <c r="E89" s="62"/>
      <c r="F89" s="63"/>
      <c r="G89" s="63"/>
      <c r="H89" s="63"/>
      <c r="I89" s="76"/>
      <c r="J89" s="76"/>
      <c r="K89" s="77"/>
      <c r="L89" s="78"/>
    </row>
    <row r="90" spans="1:12" ht="12.5">
      <c r="F90" s="86"/>
      <c r="G90" s="86"/>
      <c r="H90" s="86"/>
      <c r="I90" s="65"/>
      <c r="J90" s="65"/>
      <c r="K90" s="66"/>
      <c r="L90" s="67"/>
    </row>
    <row r="91" spans="1:12" ht="12.5">
      <c r="F91" s="86"/>
      <c r="G91" s="86"/>
      <c r="H91" s="86"/>
      <c r="I91" s="65"/>
      <c r="J91" s="65"/>
      <c r="K91" s="66"/>
      <c r="L91" s="67"/>
    </row>
    <row r="92" spans="1:12" ht="12.5">
      <c r="F92" s="86"/>
      <c r="G92" s="86"/>
      <c r="H92" s="86"/>
      <c r="I92" s="65"/>
      <c r="J92" s="65"/>
      <c r="K92" s="66"/>
      <c r="L92" s="67"/>
    </row>
    <row r="93" spans="1:12" ht="12.5">
      <c r="F93" s="86"/>
      <c r="G93" s="86"/>
      <c r="H93" s="86"/>
      <c r="I93" s="65"/>
      <c r="J93" s="65"/>
      <c r="K93" s="66"/>
      <c r="L93" s="67"/>
    </row>
    <row r="94" spans="1:12" ht="12.5">
      <c r="F94" s="86"/>
      <c r="G94" s="86"/>
      <c r="H94" s="86"/>
      <c r="I94" s="65"/>
      <c r="J94" s="65"/>
      <c r="K94" s="66"/>
      <c r="L94" s="67"/>
    </row>
    <row r="95" spans="1:12" ht="12.5">
      <c r="F95" s="86"/>
      <c r="G95" s="86"/>
      <c r="H95" s="86"/>
      <c r="I95" s="65"/>
      <c r="J95" s="65"/>
      <c r="K95" s="66"/>
      <c r="L95" s="67"/>
    </row>
    <row r="96" spans="1:12" ht="12.5">
      <c r="F96" s="86"/>
      <c r="G96" s="86"/>
      <c r="H96" s="86"/>
      <c r="I96" s="65"/>
      <c r="J96" s="65"/>
      <c r="K96" s="66"/>
      <c r="L96" s="67"/>
    </row>
    <row r="97" spans="6:12" ht="12.5">
      <c r="F97" s="86"/>
      <c r="G97" s="86"/>
      <c r="H97" s="86"/>
      <c r="I97" s="65"/>
      <c r="J97" s="65"/>
      <c r="K97" s="66"/>
      <c r="L97" s="67"/>
    </row>
    <row r="98" spans="6:12" ht="12.5">
      <c r="F98" s="86"/>
      <c r="G98" s="86"/>
      <c r="H98" s="86"/>
      <c r="I98" s="65"/>
      <c r="J98" s="65"/>
      <c r="K98" s="66"/>
      <c r="L98" s="67"/>
    </row>
    <row r="99" spans="6:12" ht="12.5">
      <c r="F99" s="86"/>
      <c r="G99" s="86"/>
      <c r="H99" s="86"/>
      <c r="I99" s="65"/>
      <c r="J99" s="65"/>
      <c r="K99" s="66"/>
      <c r="L99" s="67"/>
    </row>
    <row r="100" spans="6:12" ht="12.5">
      <c r="F100" s="86"/>
      <c r="G100" s="86"/>
      <c r="H100" s="86"/>
      <c r="I100" s="65"/>
      <c r="J100" s="65"/>
      <c r="K100" s="66"/>
      <c r="L100" s="67"/>
    </row>
    <row r="101" spans="6:12" ht="12.5">
      <c r="F101" s="86"/>
      <c r="G101" s="86"/>
      <c r="H101" s="86"/>
      <c r="I101" s="65"/>
      <c r="J101" s="65"/>
      <c r="K101" s="66"/>
      <c r="L101" s="67"/>
    </row>
    <row r="102" spans="6:12" ht="12.5">
      <c r="F102" s="86"/>
      <c r="G102" s="86"/>
      <c r="H102" s="86"/>
      <c r="I102" s="65"/>
      <c r="J102" s="65"/>
      <c r="K102" s="66"/>
      <c r="L102" s="67"/>
    </row>
    <row r="103" spans="6:12" ht="12.5">
      <c r="F103" s="86"/>
      <c r="G103" s="86"/>
      <c r="H103" s="86"/>
      <c r="I103" s="65"/>
      <c r="J103" s="65"/>
      <c r="K103" s="66"/>
      <c r="L103" s="67"/>
    </row>
    <row r="104" spans="6:12" ht="12.5">
      <c r="F104" s="86"/>
      <c r="G104" s="86"/>
      <c r="H104" s="86"/>
      <c r="I104" s="65"/>
      <c r="J104" s="65"/>
      <c r="K104" s="66"/>
      <c r="L104" s="67"/>
    </row>
    <row r="105" spans="6:12" ht="12.5">
      <c r="F105" s="86"/>
      <c r="G105" s="86"/>
      <c r="H105" s="86"/>
      <c r="I105" s="65"/>
      <c r="J105" s="65"/>
      <c r="K105" s="66"/>
      <c r="L105" s="67"/>
    </row>
    <row r="106" spans="6:12" ht="12.5">
      <c r="F106" s="86"/>
      <c r="G106" s="86"/>
      <c r="H106" s="86"/>
      <c r="I106" s="65"/>
      <c r="J106" s="65"/>
      <c r="K106" s="66"/>
      <c r="L106" s="67"/>
    </row>
    <row r="107" spans="6:12" ht="12.5">
      <c r="F107" s="86"/>
      <c r="G107" s="86"/>
      <c r="H107" s="86"/>
      <c r="I107" s="65"/>
      <c r="J107" s="65"/>
      <c r="K107" s="66"/>
      <c r="L107" s="67"/>
    </row>
    <row r="108" spans="6:12" ht="12.5">
      <c r="F108" s="86"/>
      <c r="G108" s="86"/>
      <c r="H108" s="86"/>
      <c r="I108" s="65"/>
      <c r="J108" s="65"/>
      <c r="K108" s="66"/>
      <c r="L108" s="67"/>
    </row>
    <row r="109" spans="6:12" ht="12.5">
      <c r="F109" s="86"/>
      <c r="G109" s="86"/>
      <c r="H109" s="86"/>
      <c r="I109" s="65"/>
      <c r="J109" s="65"/>
      <c r="K109" s="66"/>
      <c r="L109" s="67"/>
    </row>
    <row r="110" spans="6:12" ht="12.5">
      <c r="F110" s="86"/>
      <c r="G110" s="86"/>
      <c r="H110" s="86"/>
      <c r="I110" s="65"/>
      <c r="J110" s="65"/>
      <c r="K110" s="66"/>
      <c r="L110" s="67"/>
    </row>
    <row r="111" spans="6:12" ht="12.5">
      <c r="F111" s="86"/>
      <c r="G111" s="86"/>
      <c r="H111" s="86"/>
      <c r="I111" s="65"/>
      <c r="J111" s="65"/>
      <c r="K111" s="66"/>
      <c r="L111" s="67"/>
    </row>
    <row r="112" spans="6:12" ht="12.5">
      <c r="F112" s="86"/>
      <c r="G112" s="86"/>
      <c r="H112" s="86"/>
      <c r="I112" s="65"/>
      <c r="J112" s="65"/>
      <c r="K112" s="66"/>
      <c r="L112" s="67"/>
    </row>
    <row r="113" spans="6:12" ht="12.5">
      <c r="F113" s="86"/>
      <c r="G113" s="86"/>
      <c r="H113" s="86"/>
      <c r="I113" s="65"/>
      <c r="J113" s="65"/>
      <c r="K113" s="66"/>
      <c r="L113" s="67"/>
    </row>
    <row r="114" spans="6:12" ht="12.5">
      <c r="F114" s="86"/>
      <c r="G114" s="86"/>
      <c r="H114" s="86"/>
      <c r="I114" s="65"/>
      <c r="J114" s="65"/>
      <c r="K114" s="66"/>
      <c r="L114" s="67"/>
    </row>
    <row r="115" spans="6:12" ht="12.5">
      <c r="F115" s="86"/>
      <c r="G115" s="86"/>
      <c r="H115" s="86"/>
      <c r="I115" s="65"/>
      <c r="J115" s="65"/>
      <c r="K115" s="66"/>
      <c r="L115" s="67"/>
    </row>
    <row r="116" spans="6:12" ht="12.5">
      <c r="F116" s="86"/>
      <c r="G116" s="86"/>
      <c r="H116" s="86"/>
      <c r="I116" s="65"/>
      <c r="J116" s="65"/>
      <c r="K116" s="87"/>
      <c r="L116" s="88"/>
    </row>
    <row r="117" spans="6:12" ht="12.5">
      <c r="F117" s="86"/>
      <c r="G117" s="86"/>
      <c r="H117" s="86"/>
      <c r="I117" s="65"/>
      <c r="J117" s="65"/>
      <c r="K117" s="87"/>
      <c r="L117" s="88"/>
    </row>
    <row r="118" spans="6:12" ht="12.5">
      <c r="F118" s="86"/>
      <c r="G118" s="86"/>
      <c r="H118" s="86"/>
      <c r="I118" s="65"/>
      <c r="J118" s="65"/>
      <c r="K118" s="87"/>
      <c r="L118" s="88"/>
    </row>
    <row r="119" spans="6:12" ht="12.5">
      <c r="F119" s="86"/>
      <c r="G119" s="86"/>
      <c r="H119" s="86"/>
      <c r="I119" s="65"/>
      <c r="J119" s="65"/>
      <c r="K119" s="87"/>
      <c r="L119" s="88"/>
    </row>
    <row r="120" spans="6:12" ht="12.5">
      <c r="F120" s="86"/>
      <c r="G120" s="86"/>
      <c r="H120" s="86"/>
      <c r="I120" s="65"/>
      <c r="J120" s="65"/>
      <c r="K120" s="87"/>
      <c r="L120" s="88"/>
    </row>
    <row r="121" spans="6:12" ht="12.5">
      <c r="F121" s="86"/>
      <c r="G121" s="86"/>
      <c r="H121" s="86"/>
      <c r="I121" s="65"/>
      <c r="J121" s="65"/>
      <c r="K121" s="87"/>
      <c r="L121" s="88"/>
    </row>
    <row r="122" spans="6:12" ht="12.5">
      <c r="F122" s="86"/>
      <c r="G122" s="86"/>
      <c r="H122" s="86"/>
      <c r="I122" s="65"/>
      <c r="J122" s="65"/>
      <c r="K122" s="87"/>
      <c r="L122" s="88"/>
    </row>
    <row r="123" spans="6:12" ht="12.5">
      <c r="F123" s="86"/>
      <c r="G123" s="86"/>
      <c r="H123" s="86"/>
      <c r="I123" s="65"/>
      <c r="J123" s="65"/>
      <c r="K123" s="87"/>
      <c r="L123" s="88"/>
    </row>
    <row r="124" spans="6:12" ht="12.5">
      <c r="F124" s="86"/>
      <c r="G124" s="86"/>
      <c r="H124" s="86"/>
      <c r="I124" s="65"/>
      <c r="J124" s="65"/>
      <c r="K124" s="87"/>
      <c r="L124" s="88"/>
    </row>
    <row r="125" spans="6:12" ht="12.5">
      <c r="F125" s="86"/>
      <c r="G125" s="86"/>
      <c r="H125" s="86"/>
      <c r="I125" s="65"/>
      <c r="J125" s="65"/>
      <c r="K125" s="87"/>
      <c r="L125" s="88"/>
    </row>
    <row r="126" spans="6:12" ht="12.5">
      <c r="F126" s="86"/>
      <c r="G126" s="86"/>
      <c r="H126" s="86"/>
      <c r="I126" s="65"/>
      <c r="J126" s="65"/>
      <c r="K126" s="87"/>
      <c r="L126" s="88"/>
    </row>
    <row r="127" spans="6:12" ht="12.5">
      <c r="F127" s="86"/>
      <c r="G127" s="86"/>
      <c r="H127" s="86"/>
      <c r="I127" s="65"/>
      <c r="J127" s="65"/>
      <c r="K127" s="87"/>
      <c r="L127" s="88"/>
    </row>
    <row r="128" spans="6:12" ht="12.5">
      <c r="F128" s="86"/>
      <c r="G128" s="86"/>
      <c r="H128" s="86"/>
      <c r="I128" s="65"/>
      <c r="J128" s="65"/>
      <c r="K128" s="87"/>
      <c r="L128" s="88"/>
    </row>
    <row r="129" spans="6:12" ht="12.5">
      <c r="F129" s="86"/>
      <c r="G129" s="86"/>
      <c r="H129" s="86"/>
      <c r="I129" s="65"/>
      <c r="J129" s="65"/>
      <c r="K129" s="87"/>
      <c r="L129" s="88"/>
    </row>
    <row r="130" spans="6:12" ht="12.5">
      <c r="F130" s="86"/>
      <c r="G130" s="86"/>
      <c r="H130" s="86"/>
      <c r="I130" s="65"/>
      <c r="J130" s="65"/>
      <c r="K130" s="87"/>
      <c r="L130" s="88"/>
    </row>
    <row r="131" spans="6:12" ht="12.5">
      <c r="F131" s="86"/>
      <c r="G131" s="86"/>
      <c r="H131" s="86"/>
      <c r="I131" s="65"/>
      <c r="J131" s="65"/>
      <c r="K131" s="87"/>
      <c r="L131" s="88"/>
    </row>
    <row r="132" spans="6:12" ht="12.5">
      <c r="F132" s="86"/>
      <c r="G132" s="86"/>
      <c r="H132" s="86"/>
      <c r="I132" s="65"/>
      <c r="J132" s="65"/>
      <c r="K132" s="87"/>
      <c r="L132" s="88"/>
    </row>
    <row r="133" spans="6:12" ht="12.5">
      <c r="F133" s="86"/>
      <c r="G133" s="86"/>
      <c r="H133" s="86"/>
      <c r="I133" s="65"/>
      <c r="J133" s="65"/>
      <c r="K133" s="87"/>
      <c r="L133" s="88"/>
    </row>
    <row r="134" spans="6:12" ht="12.5">
      <c r="F134" s="86"/>
      <c r="G134" s="86"/>
      <c r="H134" s="86"/>
      <c r="I134" s="65"/>
      <c r="J134" s="65"/>
      <c r="K134" s="87"/>
      <c r="L134" s="88"/>
    </row>
    <row r="135" spans="6:12" ht="12.5">
      <c r="F135" s="86"/>
      <c r="G135" s="86"/>
      <c r="H135" s="86"/>
      <c r="I135" s="65"/>
      <c r="J135" s="65"/>
      <c r="K135" s="87"/>
      <c r="L135" s="88"/>
    </row>
    <row r="136" spans="6:12" ht="12.5">
      <c r="F136" s="86"/>
      <c r="G136" s="86"/>
      <c r="H136" s="86"/>
      <c r="I136" s="65"/>
      <c r="J136" s="65"/>
      <c r="K136" s="87"/>
      <c r="L136" s="88"/>
    </row>
    <row r="137" spans="6:12" ht="12.5">
      <c r="F137" s="86"/>
      <c r="G137" s="86"/>
      <c r="H137" s="86"/>
      <c r="I137" s="65"/>
      <c r="J137" s="65"/>
      <c r="K137" s="87"/>
      <c r="L137" s="88"/>
    </row>
    <row r="138" spans="6:12" ht="12.5">
      <c r="F138" s="86"/>
      <c r="G138" s="86"/>
      <c r="H138" s="86"/>
      <c r="I138" s="65"/>
      <c r="J138" s="65"/>
      <c r="K138" s="87"/>
      <c r="L138" s="88"/>
    </row>
    <row r="139" spans="6:12" ht="12.5">
      <c r="F139" s="86"/>
      <c r="G139" s="86"/>
      <c r="H139" s="86"/>
      <c r="I139" s="65"/>
      <c r="J139" s="65"/>
      <c r="K139" s="87"/>
      <c r="L139" s="88"/>
    </row>
    <row r="140" spans="6:12" ht="12.5">
      <c r="F140" s="86"/>
      <c r="G140" s="86"/>
      <c r="H140" s="86"/>
      <c r="I140" s="65"/>
      <c r="J140" s="65"/>
      <c r="K140" s="87"/>
      <c r="L140" s="88"/>
    </row>
    <row r="141" spans="6:12" ht="12.5">
      <c r="F141" s="86"/>
      <c r="G141" s="86"/>
      <c r="H141" s="86"/>
      <c r="I141" s="65"/>
      <c r="J141" s="65"/>
      <c r="K141" s="87"/>
      <c r="L141" s="88"/>
    </row>
    <row r="142" spans="6:12" ht="12.5">
      <c r="F142" s="86"/>
      <c r="G142" s="86"/>
      <c r="H142" s="86"/>
      <c r="I142" s="65"/>
      <c r="J142" s="65"/>
      <c r="K142" s="87"/>
      <c r="L142" s="88"/>
    </row>
    <row r="143" spans="6:12" ht="12.5">
      <c r="F143" s="86"/>
      <c r="G143" s="86"/>
      <c r="H143" s="86"/>
      <c r="I143" s="65"/>
      <c r="J143" s="65"/>
      <c r="K143" s="87"/>
      <c r="L143" s="88"/>
    </row>
    <row r="144" spans="6:12" ht="12.5">
      <c r="F144" s="86"/>
      <c r="G144" s="86"/>
      <c r="H144" s="86"/>
      <c r="I144" s="65"/>
      <c r="J144" s="65"/>
      <c r="K144" s="87"/>
      <c r="L144" s="88"/>
    </row>
    <row r="145" spans="6:12" ht="12.5">
      <c r="F145" s="86"/>
      <c r="G145" s="86"/>
      <c r="H145" s="86"/>
      <c r="I145" s="65"/>
      <c r="J145" s="65"/>
      <c r="K145" s="87"/>
      <c r="L145" s="88"/>
    </row>
    <row r="146" spans="6:12" ht="12.5">
      <c r="F146" s="86"/>
      <c r="G146" s="86"/>
      <c r="H146" s="86"/>
      <c r="I146" s="65"/>
      <c r="J146" s="65"/>
      <c r="K146" s="87"/>
      <c r="L146" s="88"/>
    </row>
    <row r="147" spans="6:12" ht="12.5">
      <c r="F147" s="86"/>
      <c r="G147" s="86"/>
      <c r="H147" s="86"/>
      <c r="I147" s="65"/>
      <c r="J147" s="65"/>
      <c r="K147" s="87"/>
      <c r="L147" s="88"/>
    </row>
    <row r="148" spans="6:12" ht="12.5">
      <c r="F148" s="86"/>
      <c r="G148" s="86"/>
      <c r="H148" s="86"/>
      <c r="I148" s="65"/>
      <c r="J148" s="65"/>
      <c r="K148" s="87"/>
      <c r="L148" s="88"/>
    </row>
    <row r="149" spans="6:12" ht="12.5">
      <c r="F149" s="86"/>
      <c r="G149" s="86"/>
      <c r="H149" s="86"/>
      <c r="I149" s="65"/>
      <c r="J149" s="65"/>
      <c r="K149" s="87"/>
      <c r="L149" s="88"/>
    </row>
    <row r="150" spans="6:12" ht="12.5">
      <c r="F150" s="86"/>
      <c r="G150" s="86"/>
      <c r="H150" s="86"/>
      <c r="I150" s="65"/>
      <c r="J150" s="65"/>
      <c r="K150" s="87"/>
      <c r="L150" s="88"/>
    </row>
    <row r="151" spans="6:12" ht="12.5">
      <c r="F151" s="86"/>
      <c r="G151" s="86"/>
      <c r="H151" s="86"/>
      <c r="I151" s="65"/>
      <c r="J151" s="65"/>
      <c r="K151" s="87"/>
      <c r="L151" s="88"/>
    </row>
    <row r="152" spans="6:12" ht="12.5">
      <c r="F152" s="86"/>
      <c r="G152" s="86"/>
      <c r="H152" s="86"/>
      <c r="I152" s="65"/>
      <c r="J152" s="65"/>
      <c r="K152" s="87"/>
      <c r="L152" s="88"/>
    </row>
    <row r="153" spans="6:12" ht="12.5">
      <c r="F153" s="86"/>
      <c r="G153" s="86"/>
      <c r="H153" s="86"/>
      <c r="I153" s="65"/>
      <c r="J153" s="65"/>
      <c r="K153" s="87"/>
      <c r="L153" s="88"/>
    </row>
    <row r="154" spans="6:12" ht="12.5">
      <c r="F154" s="86"/>
      <c r="G154" s="86"/>
      <c r="H154" s="86"/>
      <c r="I154" s="65"/>
      <c r="J154" s="65"/>
      <c r="K154" s="87"/>
      <c r="L154" s="88"/>
    </row>
    <row r="155" spans="6:12" ht="12.5">
      <c r="F155" s="86"/>
      <c r="G155" s="86"/>
      <c r="H155" s="86"/>
      <c r="I155" s="65"/>
      <c r="J155" s="65"/>
      <c r="K155" s="87"/>
      <c r="L155" s="88"/>
    </row>
    <row r="156" spans="6:12" ht="12.5">
      <c r="F156" s="86"/>
      <c r="G156" s="86"/>
      <c r="H156" s="86"/>
      <c r="I156" s="65"/>
      <c r="J156" s="65"/>
      <c r="K156" s="87"/>
      <c r="L156" s="88"/>
    </row>
    <row r="157" spans="6:12" ht="12.5">
      <c r="F157" s="86"/>
      <c r="G157" s="86"/>
      <c r="H157" s="86"/>
      <c r="I157" s="65"/>
      <c r="J157" s="65"/>
      <c r="K157" s="87"/>
      <c r="L157" s="88"/>
    </row>
    <row r="158" spans="6:12" ht="12.5">
      <c r="F158" s="86"/>
      <c r="G158" s="86"/>
      <c r="H158" s="86"/>
      <c r="I158" s="65"/>
      <c r="J158" s="65"/>
      <c r="K158" s="87"/>
      <c r="L158" s="88"/>
    </row>
    <row r="159" spans="6:12" ht="12.5">
      <c r="F159" s="86"/>
      <c r="G159" s="86"/>
      <c r="H159" s="86"/>
      <c r="I159" s="65"/>
      <c r="J159" s="65"/>
      <c r="K159" s="87"/>
      <c r="L159" s="88"/>
    </row>
    <row r="160" spans="6:12" ht="12.5">
      <c r="F160" s="86"/>
      <c r="G160" s="86"/>
      <c r="H160" s="86"/>
      <c r="I160" s="65"/>
      <c r="J160" s="65"/>
      <c r="K160" s="87"/>
      <c r="L160" s="88"/>
    </row>
    <row r="161" spans="6:12" ht="12.5">
      <c r="F161" s="86"/>
      <c r="G161" s="86"/>
      <c r="H161" s="86"/>
      <c r="I161" s="65"/>
      <c r="J161" s="65"/>
      <c r="K161" s="87"/>
      <c r="L161" s="88"/>
    </row>
    <row r="162" spans="6:12" ht="12.5">
      <c r="F162" s="86"/>
      <c r="G162" s="86"/>
      <c r="H162" s="86"/>
      <c r="I162" s="65"/>
      <c r="J162" s="65"/>
      <c r="K162" s="87"/>
      <c r="L162" s="88"/>
    </row>
    <row r="163" spans="6:12" ht="12.5">
      <c r="F163" s="86"/>
      <c r="G163" s="86"/>
      <c r="H163" s="86"/>
      <c r="I163" s="65"/>
      <c r="J163" s="65"/>
      <c r="K163" s="87"/>
      <c r="L163" s="88"/>
    </row>
    <row r="164" spans="6:12" ht="12.5">
      <c r="F164" s="86"/>
      <c r="G164" s="86"/>
      <c r="H164" s="86"/>
      <c r="I164" s="65"/>
      <c r="J164" s="65"/>
      <c r="K164" s="87"/>
      <c r="L164" s="88"/>
    </row>
    <row r="165" spans="6:12" ht="12.5">
      <c r="F165" s="86"/>
      <c r="G165" s="86"/>
      <c r="H165" s="86"/>
      <c r="I165" s="65"/>
      <c r="J165" s="65"/>
      <c r="K165" s="87"/>
      <c r="L165" s="88"/>
    </row>
    <row r="166" spans="6:12" ht="12.5">
      <c r="F166" s="86"/>
      <c r="G166" s="86"/>
      <c r="H166" s="86"/>
      <c r="I166" s="65"/>
      <c r="J166" s="65"/>
      <c r="K166" s="87"/>
      <c r="L166" s="88"/>
    </row>
    <row r="167" spans="6:12" ht="12.5">
      <c r="F167" s="86"/>
      <c r="G167" s="86"/>
      <c r="H167" s="86"/>
      <c r="I167" s="65"/>
      <c r="J167" s="65"/>
      <c r="K167" s="87"/>
      <c r="L167" s="88"/>
    </row>
    <row r="168" spans="6:12" ht="12.5">
      <c r="F168" s="86"/>
      <c r="G168" s="86"/>
      <c r="H168" s="86"/>
      <c r="I168" s="65"/>
      <c r="J168" s="65"/>
      <c r="K168" s="87"/>
      <c r="L168" s="88"/>
    </row>
    <row r="169" spans="6:12" ht="12.5">
      <c r="F169" s="86"/>
      <c r="G169" s="86"/>
      <c r="H169" s="86"/>
      <c r="I169" s="65"/>
      <c r="J169" s="65"/>
      <c r="K169" s="87"/>
      <c r="L169" s="88"/>
    </row>
    <row r="170" spans="6:12" ht="12.5">
      <c r="F170" s="86"/>
      <c r="G170" s="86"/>
      <c r="H170" s="86"/>
      <c r="I170" s="65"/>
      <c r="J170" s="65"/>
      <c r="K170" s="87"/>
      <c r="L170" s="88"/>
    </row>
    <row r="171" spans="6:12" ht="12.5">
      <c r="F171" s="86"/>
      <c r="G171" s="86"/>
      <c r="H171" s="86"/>
      <c r="I171" s="65"/>
      <c r="J171" s="65"/>
      <c r="K171" s="87"/>
      <c r="L171" s="88"/>
    </row>
    <row r="172" spans="6:12" ht="12.5">
      <c r="F172" s="86"/>
      <c r="G172" s="86"/>
      <c r="H172" s="86"/>
      <c r="I172" s="65"/>
      <c r="J172" s="65"/>
      <c r="K172" s="87"/>
      <c r="L172" s="88"/>
    </row>
    <row r="173" spans="6:12" ht="12.5">
      <c r="F173" s="86"/>
      <c r="G173" s="86"/>
      <c r="H173" s="86"/>
      <c r="I173" s="65"/>
      <c r="J173" s="65"/>
      <c r="K173" s="87"/>
      <c r="L173" s="88"/>
    </row>
    <row r="174" spans="6:12" ht="12.5">
      <c r="F174" s="86"/>
      <c r="G174" s="86"/>
      <c r="H174" s="86"/>
      <c r="I174" s="65"/>
      <c r="J174" s="65"/>
      <c r="K174" s="87"/>
      <c r="L174" s="88"/>
    </row>
    <row r="175" spans="6:12" ht="12.5">
      <c r="F175" s="86"/>
      <c r="G175" s="86"/>
      <c r="H175" s="86"/>
      <c r="I175" s="65"/>
      <c r="J175" s="65"/>
      <c r="K175" s="87"/>
      <c r="L175" s="88"/>
    </row>
    <row r="176" spans="6:12" ht="12.5">
      <c r="F176" s="86"/>
      <c r="G176" s="86"/>
      <c r="H176" s="86"/>
      <c r="I176" s="65"/>
      <c r="J176" s="65"/>
      <c r="K176" s="87"/>
      <c r="L176" s="88"/>
    </row>
    <row r="177" spans="6:12" ht="12.5">
      <c r="F177" s="86"/>
      <c r="G177" s="86"/>
      <c r="H177" s="86"/>
      <c r="I177" s="65"/>
      <c r="J177" s="65"/>
      <c r="K177" s="87"/>
      <c r="L177" s="88"/>
    </row>
    <row r="178" spans="6:12" ht="12.5">
      <c r="F178" s="86"/>
      <c r="G178" s="86"/>
      <c r="H178" s="86"/>
      <c r="I178" s="65"/>
      <c r="J178" s="65"/>
      <c r="K178" s="87"/>
      <c r="L178" s="88"/>
    </row>
    <row r="179" spans="6:12" ht="12.5">
      <c r="F179" s="86"/>
      <c r="G179" s="86"/>
      <c r="H179" s="86"/>
      <c r="I179" s="65"/>
      <c r="J179" s="65"/>
      <c r="K179" s="87"/>
      <c r="L179" s="88"/>
    </row>
    <row r="180" spans="6:12" ht="12.5">
      <c r="F180" s="86"/>
      <c r="G180" s="86"/>
      <c r="H180" s="86"/>
      <c r="I180" s="65"/>
      <c r="J180" s="65"/>
      <c r="K180" s="87"/>
      <c r="L180" s="88"/>
    </row>
    <row r="181" spans="6:12" ht="12.5">
      <c r="F181" s="86"/>
      <c r="G181" s="86"/>
      <c r="H181" s="86"/>
      <c r="I181" s="65"/>
      <c r="J181" s="65"/>
      <c r="K181" s="87"/>
      <c r="L181" s="88"/>
    </row>
    <row r="182" spans="6:12" ht="12.5">
      <c r="F182" s="86"/>
      <c r="G182" s="86"/>
      <c r="H182" s="86"/>
      <c r="I182" s="65"/>
      <c r="J182" s="65"/>
      <c r="K182" s="87"/>
      <c r="L182" s="88"/>
    </row>
    <row r="183" spans="6:12" ht="12.5">
      <c r="F183" s="86"/>
      <c r="G183" s="86"/>
      <c r="H183" s="86"/>
      <c r="I183" s="65"/>
      <c r="J183" s="65"/>
      <c r="K183" s="87"/>
      <c r="L183" s="88"/>
    </row>
    <row r="184" spans="6:12" ht="12.5">
      <c r="F184" s="86"/>
      <c r="G184" s="86"/>
      <c r="H184" s="86"/>
      <c r="I184" s="65"/>
      <c r="J184" s="65"/>
      <c r="K184" s="87"/>
      <c r="L184" s="88"/>
    </row>
    <row r="185" spans="6:12" ht="12.5">
      <c r="F185" s="86"/>
      <c r="G185" s="86"/>
      <c r="H185" s="86"/>
      <c r="I185" s="65"/>
      <c r="J185" s="65"/>
      <c r="K185" s="87"/>
      <c r="L185" s="88"/>
    </row>
    <row r="186" spans="6:12" ht="12.5">
      <c r="F186" s="86"/>
      <c r="G186" s="86"/>
      <c r="H186" s="86"/>
      <c r="I186" s="65"/>
      <c r="J186" s="65"/>
      <c r="K186" s="87"/>
      <c r="L186" s="88"/>
    </row>
    <row r="187" spans="6:12" ht="12.5">
      <c r="F187" s="86"/>
      <c r="G187" s="86"/>
      <c r="H187" s="86"/>
      <c r="I187" s="65"/>
      <c r="J187" s="65"/>
      <c r="K187" s="87"/>
      <c r="L187" s="88"/>
    </row>
    <row r="188" spans="6:12" ht="12.5">
      <c r="F188" s="86"/>
      <c r="G188" s="86"/>
      <c r="H188" s="86"/>
      <c r="I188" s="65"/>
      <c r="J188" s="65"/>
      <c r="K188" s="87"/>
      <c r="L188" s="88"/>
    </row>
    <row r="189" spans="6:12" ht="12.5">
      <c r="F189" s="86"/>
      <c r="G189" s="86"/>
      <c r="H189" s="86"/>
      <c r="I189" s="65"/>
      <c r="J189" s="65"/>
      <c r="K189" s="87"/>
      <c r="L189" s="88"/>
    </row>
    <row r="190" spans="6:12" ht="12.5">
      <c r="F190" s="86"/>
      <c r="G190" s="86"/>
      <c r="H190" s="86"/>
      <c r="I190" s="65"/>
      <c r="J190" s="65"/>
      <c r="K190" s="87"/>
      <c r="L190" s="88"/>
    </row>
    <row r="191" spans="6:12" ht="12.5">
      <c r="F191" s="86"/>
      <c r="G191" s="86"/>
      <c r="H191" s="86"/>
      <c r="I191" s="65"/>
      <c r="J191" s="65"/>
      <c r="K191" s="87"/>
      <c r="L191" s="88"/>
    </row>
    <row r="192" spans="6:12" ht="12.5">
      <c r="F192" s="86"/>
      <c r="G192" s="86"/>
      <c r="H192" s="86"/>
      <c r="I192" s="65"/>
      <c r="J192" s="65"/>
      <c r="K192" s="87"/>
      <c r="L192" s="88"/>
    </row>
    <row r="193" spans="6:12" ht="12.5">
      <c r="F193" s="86"/>
      <c r="G193" s="86"/>
      <c r="H193" s="86"/>
      <c r="I193" s="65"/>
      <c r="J193" s="65"/>
      <c r="K193" s="87"/>
      <c r="L193" s="88"/>
    </row>
    <row r="194" spans="6:12" ht="12.5">
      <c r="F194" s="86"/>
      <c r="G194" s="86"/>
      <c r="H194" s="86"/>
      <c r="I194" s="65"/>
      <c r="J194" s="65"/>
      <c r="K194" s="87"/>
      <c r="L194" s="88"/>
    </row>
    <row r="195" spans="6:12" ht="12.5">
      <c r="F195" s="86"/>
      <c r="G195" s="86"/>
      <c r="H195" s="86"/>
      <c r="I195" s="65"/>
      <c r="J195" s="65"/>
      <c r="K195" s="87"/>
      <c r="L195" s="88"/>
    </row>
    <row r="196" spans="6:12" ht="12.5">
      <c r="F196" s="86"/>
      <c r="G196" s="86"/>
      <c r="H196" s="86"/>
      <c r="I196" s="65"/>
      <c r="J196" s="65"/>
      <c r="K196" s="87"/>
      <c r="L196" s="88"/>
    </row>
    <row r="197" spans="6:12" ht="12.5">
      <c r="F197" s="86"/>
      <c r="G197" s="86"/>
      <c r="H197" s="86"/>
      <c r="I197" s="65"/>
      <c r="J197" s="65"/>
      <c r="K197" s="87"/>
      <c r="L197" s="88"/>
    </row>
    <row r="198" spans="6:12" ht="12.5">
      <c r="F198" s="86"/>
      <c r="G198" s="86"/>
      <c r="H198" s="86"/>
      <c r="I198" s="65"/>
      <c r="J198" s="65"/>
      <c r="K198" s="87"/>
      <c r="L198" s="88"/>
    </row>
    <row r="199" spans="6:12" ht="12.5">
      <c r="F199" s="86"/>
      <c r="G199" s="86"/>
      <c r="H199" s="86"/>
      <c r="I199" s="65"/>
      <c r="J199" s="65"/>
      <c r="K199" s="87"/>
      <c r="L199" s="88"/>
    </row>
    <row r="200" spans="6:12" ht="12.5">
      <c r="F200" s="86"/>
      <c r="G200" s="86"/>
      <c r="H200" s="86"/>
      <c r="I200" s="65"/>
      <c r="J200" s="65"/>
      <c r="K200" s="87"/>
      <c r="L200" s="88"/>
    </row>
    <row r="201" spans="6:12" ht="12.5">
      <c r="F201" s="86"/>
      <c r="G201" s="86"/>
      <c r="H201" s="86"/>
      <c r="I201" s="65"/>
      <c r="J201" s="65"/>
      <c r="K201" s="87"/>
      <c r="L201" s="88"/>
    </row>
    <row r="202" spans="6:12" ht="12.5">
      <c r="F202" s="86"/>
      <c r="G202" s="86"/>
      <c r="H202" s="86"/>
      <c r="I202" s="65"/>
      <c r="J202" s="65"/>
      <c r="K202" s="87"/>
      <c r="L202" s="88"/>
    </row>
    <row r="203" spans="6:12" ht="12.5">
      <c r="F203" s="86"/>
      <c r="G203" s="86"/>
      <c r="H203" s="86"/>
      <c r="I203" s="65"/>
      <c r="J203" s="65"/>
      <c r="K203" s="87"/>
      <c r="L203" s="88"/>
    </row>
    <row r="204" spans="6:12" ht="12.5">
      <c r="F204" s="86"/>
      <c r="G204" s="86"/>
      <c r="H204" s="86"/>
      <c r="I204" s="65"/>
      <c r="J204" s="65"/>
      <c r="K204" s="87"/>
      <c r="L204" s="88"/>
    </row>
    <row r="205" spans="6:12" ht="12.5">
      <c r="F205" s="86"/>
      <c r="G205" s="86"/>
      <c r="H205" s="86"/>
      <c r="I205" s="65"/>
      <c r="J205" s="65"/>
      <c r="K205" s="87"/>
      <c r="L205" s="88"/>
    </row>
    <row r="206" spans="6:12" ht="12.5">
      <c r="F206" s="86"/>
      <c r="G206" s="86"/>
      <c r="H206" s="86"/>
      <c r="I206" s="65"/>
      <c r="J206" s="65"/>
      <c r="K206" s="87"/>
      <c r="L206" s="88"/>
    </row>
    <row r="207" spans="6:12" ht="12.5">
      <c r="F207" s="86"/>
      <c r="G207" s="86"/>
      <c r="H207" s="86"/>
      <c r="I207" s="65"/>
      <c r="J207" s="65"/>
      <c r="K207" s="87"/>
      <c r="L207" s="88"/>
    </row>
    <row r="208" spans="6:12" ht="12.5">
      <c r="F208" s="86"/>
      <c r="G208" s="86"/>
      <c r="H208" s="86"/>
      <c r="I208" s="65"/>
      <c r="J208" s="65"/>
      <c r="K208" s="87"/>
      <c r="L208" s="88"/>
    </row>
    <row r="209" spans="6:12" ht="12.5">
      <c r="F209" s="86"/>
      <c r="G209" s="86"/>
      <c r="H209" s="86"/>
      <c r="I209" s="65"/>
      <c r="J209" s="65"/>
      <c r="K209" s="87"/>
      <c r="L209" s="88"/>
    </row>
    <row r="210" spans="6:12" ht="12.5">
      <c r="F210" s="86"/>
      <c r="G210" s="86"/>
      <c r="H210" s="86"/>
      <c r="I210" s="65"/>
      <c r="J210" s="65"/>
      <c r="K210" s="87"/>
      <c r="L210" s="88"/>
    </row>
    <row r="211" spans="6:12" ht="12.5">
      <c r="F211" s="86"/>
      <c r="G211" s="86"/>
      <c r="H211" s="86"/>
      <c r="I211" s="65"/>
      <c r="J211" s="65"/>
      <c r="K211" s="87"/>
      <c r="L211" s="88"/>
    </row>
    <row r="212" spans="6:12" ht="12.5">
      <c r="F212" s="86"/>
      <c r="G212" s="86"/>
      <c r="H212" s="86"/>
      <c r="I212" s="65"/>
      <c r="J212" s="65"/>
      <c r="K212" s="87"/>
      <c r="L212" s="88"/>
    </row>
    <row r="213" spans="6:12" ht="12.5">
      <c r="F213" s="86"/>
      <c r="G213" s="86"/>
      <c r="H213" s="86"/>
      <c r="I213" s="65"/>
      <c r="J213" s="65"/>
      <c r="K213" s="87"/>
      <c r="L213" s="88"/>
    </row>
    <row r="214" spans="6:12" ht="12.5">
      <c r="F214" s="86"/>
      <c r="G214" s="86"/>
      <c r="H214" s="86"/>
      <c r="I214" s="65"/>
      <c r="J214" s="65"/>
      <c r="K214" s="87"/>
      <c r="L214" s="88"/>
    </row>
    <row r="215" spans="6:12" ht="12.5">
      <c r="F215" s="86"/>
      <c r="G215" s="86"/>
      <c r="H215" s="86"/>
      <c r="I215" s="65"/>
      <c r="J215" s="65"/>
      <c r="K215" s="87"/>
      <c r="L215" s="88"/>
    </row>
    <row r="216" spans="6:12" ht="12.5">
      <c r="F216" s="86"/>
      <c r="G216" s="86"/>
      <c r="H216" s="86"/>
      <c r="I216" s="65"/>
      <c r="J216" s="65"/>
      <c r="K216" s="87"/>
      <c r="L216" s="88"/>
    </row>
    <row r="217" spans="6:12" ht="12.5">
      <c r="F217" s="86"/>
      <c r="G217" s="86"/>
      <c r="H217" s="86"/>
      <c r="I217" s="65"/>
      <c r="J217" s="65"/>
      <c r="K217" s="87"/>
      <c r="L217" s="88"/>
    </row>
    <row r="218" spans="6:12" ht="12.5">
      <c r="F218" s="86"/>
      <c r="G218" s="86"/>
      <c r="H218" s="86"/>
      <c r="I218" s="65"/>
      <c r="J218" s="65"/>
      <c r="K218" s="87"/>
      <c r="L218" s="88"/>
    </row>
    <row r="219" spans="6:12" ht="12.5">
      <c r="F219" s="86"/>
      <c r="G219" s="86"/>
      <c r="H219" s="86"/>
      <c r="I219" s="65"/>
      <c r="J219" s="65"/>
      <c r="K219" s="87"/>
      <c r="L219" s="88"/>
    </row>
    <row r="220" spans="6:12" ht="12.5">
      <c r="F220" s="86"/>
      <c r="G220" s="86"/>
      <c r="H220" s="86"/>
      <c r="I220" s="65"/>
      <c r="J220" s="65"/>
      <c r="K220" s="87"/>
      <c r="L220" s="88"/>
    </row>
    <row r="221" spans="6:12" ht="12.5">
      <c r="F221" s="86"/>
      <c r="G221" s="86"/>
      <c r="H221" s="86"/>
      <c r="I221" s="65"/>
      <c r="J221" s="65"/>
      <c r="K221" s="87"/>
      <c r="L221" s="88"/>
    </row>
    <row r="222" spans="6:12" ht="12.5">
      <c r="F222" s="86"/>
      <c r="G222" s="86"/>
      <c r="H222" s="86"/>
      <c r="I222" s="65"/>
      <c r="J222" s="65"/>
      <c r="K222" s="87"/>
      <c r="L222" s="88"/>
    </row>
    <row r="223" spans="6:12" ht="12.5">
      <c r="F223" s="86"/>
      <c r="G223" s="86"/>
      <c r="H223" s="86"/>
      <c r="I223" s="65"/>
      <c r="J223" s="65"/>
      <c r="K223" s="87"/>
      <c r="L223" s="88"/>
    </row>
    <row r="224" spans="6:12" ht="12.5">
      <c r="F224" s="86"/>
      <c r="G224" s="86"/>
      <c r="H224" s="86"/>
      <c r="I224" s="65"/>
      <c r="J224" s="65"/>
      <c r="K224" s="87"/>
      <c r="L224" s="88"/>
    </row>
    <row r="225" spans="6:12" ht="12.5">
      <c r="F225" s="86"/>
      <c r="G225" s="86"/>
      <c r="H225" s="86"/>
      <c r="I225" s="65"/>
      <c r="J225" s="65"/>
      <c r="K225" s="87"/>
      <c r="L225" s="88"/>
    </row>
    <row r="226" spans="6:12" ht="12.5">
      <c r="F226" s="86"/>
      <c r="G226" s="86"/>
      <c r="H226" s="86"/>
      <c r="I226" s="65"/>
      <c r="J226" s="65"/>
      <c r="K226" s="87"/>
      <c r="L226" s="88"/>
    </row>
    <row r="227" spans="6:12" ht="12.5">
      <c r="F227" s="86"/>
      <c r="G227" s="86"/>
      <c r="H227" s="86"/>
      <c r="I227" s="65"/>
      <c r="J227" s="65"/>
      <c r="K227" s="87"/>
      <c r="L227" s="88"/>
    </row>
    <row r="228" spans="6:12" ht="12.5">
      <c r="F228" s="86"/>
      <c r="G228" s="86"/>
      <c r="H228" s="86"/>
      <c r="I228" s="65"/>
      <c r="J228" s="65"/>
      <c r="K228" s="87"/>
      <c r="L228" s="88"/>
    </row>
    <row r="229" spans="6:12" ht="12.5">
      <c r="F229" s="86"/>
      <c r="G229" s="86"/>
      <c r="H229" s="86"/>
      <c r="I229" s="65"/>
      <c r="J229" s="65"/>
      <c r="K229" s="87"/>
      <c r="L229" s="88"/>
    </row>
    <row r="230" spans="6:12" ht="12.5">
      <c r="F230" s="86"/>
      <c r="G230" s="86"/>
      <c r="H230" s="86"/>
      <c r="I230" s="65"/>
      <c r="J230" s="65"/>
      <c r="K230" s="87"/>
      <c r="L230" s="88"/>
    </row>
    <row r="231" spans="6:12" ht="12.5">
      <c r="F231" s="86"/>
      <c r="G231" s="86"/>
      <c r="H231" s="86"/>
      <c r="I231" s="65"/>
      <c r="J231" s="65"/>
      <c r="K231" s="87"/>
      <c r="L231" s="88"/>
    </row>
    <row r="232" spans="6:12" ht="12.5">
      <c r="F232" s="86"/>
      <c r="G232" s="86"/>
      <c r="H232" s="86"/>
      <c r="I232" s="65"/>
      <c r="J232" s="65"/>
      <c r="K232" s="87"/>
      <c r="L232" s="88"/>
    </row>
    <row r="233" spans="6:12" ht="12.5">
      <c r="F233" s="86"/>
      <c r="G233" s="86"/>
      <c r="H233" s="86"/>
      <c r="I233" s="65"/>
      <c r="J233" s="65"/>
      <c r="K233" s="87"/>
      <c r="L233" s="88"/>
    </row>
    <row r="234" spans="6:12" ht="12.5">
      <c r="F234" s="86"/>
      <c r="G234" s="86"/>
      <c r="H234" s="86"/>
      <c r="I234" s="65"/>
      <c r="J234" s="65"/>
      <c r="K234" s="87"/>
      <c r="L234" s="88"/>
    </row>
    <row r="235" spans="6:12" ht="12.5">
      <c r="F235" s="86"/>
      <c r="G235" s="86"/>
      <c r="H235" s="86"/>
      <c r="I235" s="65"/>
      <c r="J235" s="65"/>
      <c r="K235" s="87"/>
      <c r="L235" s="88"/>
    </row>
    <row r="236" spans="6:12" ht="12.5">
      <c r="F236" s="86"/>
      <c r="G236" s="86"/>
      <c r="H236" s="86"/>
      <c r="I236" s="65"/>
      <c r="J236" s="65"/>
      <c r="K236" s="87"/>
      <c r="L236" s="88"/>
    </row>
    <row r="237" spans="6:12" ht="12.5">
      <c r="F237" s="86"/>
      <c r="G237" s="86"/>
      <c r="H237" s="86"/>
      <c r="I237" s="65"/>
      <c r="J237" s="65"/>
      <c r="K237" s="87"/>
      <c r="L237" s="88"/>
    </row>
    <row r="238" spans="6:12" ht="12.5">
      <c r="F238" s="86"/>
      <c r="G238" s="86"/>
      <c r="H238" s="86"/>
      <c r="I238" s="65"/>
      <c r="J238" s="65"/>
      <c r="K238" s="87"/>
      <c r="L238" s="88"/>
    </row>
    <row r="239" spans="6:12" ht="12.5">
      <c r="F239" s="86"/>
      <c r="G239" s="86"/>
      <c r="H239" s="86"/>
      <c r="I239" s="65"/>
      <c r="J239" s="65"/>
      <c r="K239" s="87"/>
      <c r="L239" s="88"/>
    </row>
    <row r="240" spans="6:12" ht="12.5">
      <c r="F240" s="86"/>
      <c r="G240" s="86"/>
      <c r="H240" s="86"/>
      <c r="I240" s="65"/>
      <c r="J240" s="65"/>
      <c r="K240" s="87"/>
      <c r="L240" s="88"/>
    </row>
    <row r="241" spans="6:12" ht="12.5">
      <c r="F241" s="86"/>
      <c r="G241" s="86"/>
      <c r="H241" s="86"/>
      <c r="I241" s="65"/>
      <c r="J241" s="65"/>
      <c r="K241" s="87"/>
      <c r="L241" s="88"/>
    </row>
    <row r="242" spans="6:12" ht="12.5">
      <c r="F242" s="86"/>
      <c r="G242" s="86"/>
      <c r="H242" s="86"/>
      <c r="I242" s="65"/>
      <c r="J242" s="65"/>
      <c r="K242" s="87"/>
      <c r="L242" s="88"/>
    </row>
    <row r="243" spans="6:12" ht="12.5">
      <c r="F243" s="86"/>
      <c r="G243" s="86"/>
      <c r="H243" s="86"/>
      <c r="I243" s="65"/>
      <c r="J243" s="65"/>
      <c r="K243" s="87"/>
      <c r="L243" s="88"/>
    </row>
    <row r="244" spans="6:12" ht="12.5">
      <c r="F244" s="86"/>
      <c r="G244" s="86"/>
      <c r="H244" s="86"/>
      <c r="I244" s="65"/>
      <c r="J244" s="65"/>
      <c r="K244" s="87"/>
      <c r="L244" s="88"/>
    </row>
    <row r="245" spans="6:12" ht="12.5">
      <c r="F245" s="86"/>
      <c r="G245" s="86"/>
      <c r="H245" s="86"/>
      <c r="I245" s="65"/>
      <c r="J245" s="65"/>
      <c r="K245" s="87"/>
      <c r="L245" s="88"/>
    </row>
    <row r="246" spans="6:12" ht="12.5">
      <c r="F246" s="86"/>
      <c r="G246" s="86"/>
      <c r="H246" s="86"/>
      <c r="I246" s="65"/>
      <c r="J246" s="65"/>
      <c r="K246" s="87"/>
      <c r="L246" s="88"/>
    </row>
    <row r="247" spans="6:12" ht="12.5">
      <c r="F247" s="86"/>
      <c r="G247" s="86"/>
      <c r="H247" s="86"/>
      <c r="I247" s="65"/>
      <c r="J247" s="65"/>
      <c r="K247" s="87"/>
      <c r="L247" s="88"/>
    </row>
    <row r="248" spans="6:12" ht="12.5">
      <c r="F248" s="86"/>
      <c r="G248" s="86"/>
      <c r="H248" s="86"/>
      <c r="I248" s="65"/>
      <c r="J248" s="65"/>
      <c r="K248" s="87"/>
      <c r="L248" s="88"/>
    </row>
    <row r="249" spans="6:12" ht="12.5">
      <c r="F249" s="86"/>
      <c r="G249" s="86"/>
      <c r="H249" s="86"/>
      <c r="I249" s="65"/>
      <c r="J249" s="65"/>
      <c r="K249" s="87"/>
      <c r="L249" s="88"/>
    </row>
    <row r="250" spans="6:12" ht="12.5">
      <c r="F250" s="86"/>
      <c r="G250" s="86"/>
      <c r="H250" s="86"/>
      <c r="I250" s="65"/>
      <c r="J250" s="65"/>
      <c r="K250" s="87"/>
      <c r="L250" s="88"/>
    </row>
    <row r="251" spans="6:12" ht="12.5">
      <c r="F251" s="86"/>
      <c r="G251" s="86"/>
      <c r="H251" s="86"/>
      <c r="I251" s="65"/>
      <c r="J251" s="65"/>
      <c r="K251" s="87"/>
      <c r="L251" s="88"/>
    </row>
    <row r="252" spans="6:12" ht="12.5">
      <c r="F252" s="86"/>
      <c r="G252" s="86"/>
      <c r="H252" s="86"/>
      <c r="I252" s="65"/>
      <c r="J252" s="65"/>
      <c r="K252" s="87"/>
      <c r="L252" s="88"/>
    </row>
    <row r="253" spans="6:12" ht="12.5">
      <c r="F253" s="86"/>
      <c r="G253" s="86"/>
      <c r="H253" s="86"/>
      <c r="I253" s="65"/>
      <c r="J253" s="65"/>
      <c r="K253" s="87"/>
      <c r="L253" s="88"/>
    </row>
    <row r="254" spans="6:12" ht="12.5">
      <c r="F254" s="86"/>
      <c r="G254" s="86"/>
      <c r="H254" s="86"/>
      <c r="I254" s="65"/>
      <c r="J254" s="65"/>
      <c r="K254" s="87"/>
      <c r="L254" s="88"/>
    </row>
    <row r="255" spans="6:12" ht="12.5">
      <c r="F255" s="86"/>
      <c r="G255" s="86"/>
      <c r="H255" s="86"/>
      <c r="I255" s="65"/>
      <c r="J255" s="65"/>
      <c r="K255" s="87"/>
      <c r="L255" s="88"/>
    </row>
    <row r="256" spans="6:12" ht="12.5">
      <c r="F256" s="86"/>
      <c r="G256" s="86"/>
      <c r="H256" s="86"/>
      <c r="I256" s="65"/>
      <c r="J256" s="65"/>
      <c r="K256" s="87"/>
      <c r="L256" s="88"/>
    </row>
    <row r="257" spans="6:12" ht="12.5">
      <c r="F257" s="86"/>
      <c r="G257" s="86"/>
      <c r="H257" s="86"/>
      <c r="I257" s="65"/>
      <c r="J257" s="65"/>
      <c r="K257" s="87"/>
      <c r="L257" s="88"/>
    </row>
    <row r="258" spans="6:12" ht="12.5">
      <c r="F258" s="86"/>
      <c r="G258" s="86"/>
      <c r="H258" s="86"/>
      <c r="I258" s="65"/>
      <c r="J258" s="65"/>
      <c r="K258" s="87"/>
      <c r="L258" s="88"/>
    </row>
    <row r="259" spans="6:12" ht="12.5">
      <c r="F259" s="86"/>
      <c r="G259" s="86"/>
      <c r="H259" s="86"/>
      <c r="I259" s="65"/>
      <c r="J259" s="65"/>
      <c r="K259" s="87"/>
      <c r="L259" s="88"/>
    </row>
    <row r="260" spans="6:12" ht="12.5">
      <c r="F260" s="86"/>
      <c r="G260" s="86"/>
      <c r="H260" s="86"/>
      <c r="I260" s="65"/>
      <c r="J260" s="65"/>
      <c r="K260" s="87"/>
      <c r="L260" s="88"/>
    </row>
    <row r="261" spans="6:12" ht="12.5">
      <c r="F261" s="86"/>
      <c r="G261" s="86"/>
      <c r="H261" s="86"/>
      <c r="I261" s="65"/>
      <c r="J261" s="65"/>
      <c r="K261" s="87"/>
      <c r="L261" s="88"/>
    </row>
    <row r="262" spans="6:12" ht="12.5">
      <c r="F262" s="86"/>
      <c r="G262" s="86"/>
      <c r="H262" s="86"/>
      <c r="I262" s="65"/>
      <c r="J262" s="65"/>
      <c r="K262" s="87"/>
      <c r="L262" s="88"/>
    </row>
    <row r="263" spans="6:12" ht="12.5">
      <c r="F263" s="86"/>
      <c r="G263" s="86"/>
      <c r="H263" s="86"/>
      <c r="I263" s="65"/>
      <c r="J263" s="65"/>
      <c r="K263" s="87"/>
      <c r="L263" s="88"/>
    </row>
    <row r="264" spans="6:12" ht="12.5">
      <c r="F264" s="86"/>
      <c r="G264" s="86"/>
      <c r="H264" s="86"/>
      <c r="I264" s="65"/>
      <c r="J264" s="65"/>
      <c r="K264" s="87"/>
      <c r="L264" s="88"/>
    </row>
    <row r="265" spans="6:12" ht="12.5">
      <c r="F265" s="86"/>
      <c r="G265" s="86"/>
      <c r="H265" s="86"/>
      <c r="I265" s="65"/>
      <c r="J265" s="65"/>
      <c r="K265" s="87"/>
      <c r="L265" s="88"/>
    </row>
    <row r="266" spans="6:12" ht="12.5">
      <c r="F266" s="86"/>
      <c r="G266" s="86"/>
      <c r="H266" s="86"/>
      <c r="I266" s="65"/>
      <c r="J266" s="65"/>
      <c r="K266" s="87"/>
      <c r="L266" s="88"/>
    </row>
    <row r="267" spans="6:12" ht="12.5">
      <c r="F267" s="86"/>
      <c r="G267" s="86"/>
      <c r="H267" s="86"/>
      <c r="I267" s="65"/>
      <c r="J267" s="65"/>
      <c r="K267" s="87"/>
      <c r="L267" s="88"/>
    </row>
    <row r="268" spans="6:12" ht="12.5">
      <c r="F268" s="86"/>
      <c r="G268" s="86"/>
      <c r="H268" s="86"/>
      <c r="I268" s="65"/>
      <c r="J268" s="65"/>
      <c r="K268" s="87"/>
      <c r="L268" s="88"/>
    </row>
    <row r="269" spans="6:12" ht="12.5">
      <c r="F269" s="86"/>
      <c r="G269" s="86"/>
      <c r="H269" s="86"/>
      <c r="I269" s="65"/>
      <c r="J269" s="65"/>
      <c r="K269" s="87"/>
      <c r="L269" s="88"/>
    </row>
    <row r="270" spans="6:12" ht="12.5">
      <c r="F270" s="86"/>
      <c r="G270" s="86"/>
      <c r="H270" s="86"/>
      <c r="I270" s="65"/>
      <c r="J270" s="65"/>
      <c r="K270" s="87"/>
      <c r="L270" s="88"/>
    </row>
    <row r="271" spans="6:12" ht="12.5">
      <c r="F271" s="86"/>
      <c r="G271" s="86"/>
      <c r="H271" s="86"/>
      <c r="I271" s="65"/>
      <c r="J271" s="65"/>
      <c r="K271" s="87"/>
      <c r="L271" s="88"/>
    </row>
    <row r="272" spans="6:12" ht="12.5">
      <c r="F272" s="86"/>
      <c r="G272" s="86"/>
      <c r="H272" s="86"/>
      <c r="I272" s="65"/>
      <c r="J272" s="65"/>
      <c r="K272" s="87"/>
      <c r="L272" s="88"/>
    </row>
    <row r="273" spans="6:12" ht="12.5">
      <c r="F273" s="86"/>
      <c r="G273" s="86"/>
      <c r="H273" s="86"/>
      <c r="I273" s="65"/>
      <c r="J273" s="65"/>
      <c r="K273" s="87"/>
      <c r="L273" s="88"/>
    </row>
    <row r="274" spans="6:12" ht="12.5">
      <c r="F274" s="86"/>
      <c r="G274" s="86"/>
      <c r="H274" s="86"/>
      <c r="I274" s="65"/>
      <c r="J274" s="65"/>
      <c r="K274" s="87"/>
      <c r="L274" s="88"/>
    </row>
    <row r="275" spans="6:12" ht="12.5">
      <c r="F275" s="86"/>
      <c r="G275" s="86"/>
      <c r="H275" s="86"/>
      <c r="I275" s="65"/>
      <c r="J275" s="65"/>
      <c r="K275" s="87"/>
      <c r="L275" s="88"/>
    </row>
    <row r="276" spans="6:12" ht="12.5">
      <c r="F276" s="86"/>
      <c r="G276" s="86"/>
      <c r="H276" s="86"/>
      <c r="I276" s="65"/>
      <c r="J276" s="65"/>
      <c r="K276" s="87"/>
      <c r="L276" s="88"/>
    </row>
    <row r="277" spans="6:12" ht="12.5">
      <c r="F277" s="86"/>
      <c r="G277" s="86"/>
      <c r="H277" s="86"/>
      <c r="I277" s="65"/>
      <c r="J277" s="65"/>
      <c r="K277" s="87"/>
      <c r="L277" s="88"/>
    </row>
    <row r="278" spans="6:12" ht="12.5">
      <c r="F278" s="86"/>
      <c r="G278" s="86"/>
      <c r="H278" s="86"/>
      <c r="I278" s="65"/>
      <c r="J278" s="65"/>
      <c r="K278" s="87"/>
      <c r="L278" s="88"/>
    </row>
    <row r="279" spans="6:12" ht="12.5">
      <c r="F279" s="86"/>
      <c r="G279" s="86"/>
      <c r="H279" s="86"/>
      <c r="I279" s="65"/>
      <c r="J279" s="65"/>
      <c r="K279" s="87"/>
      <c r="L279" s="88"/>
    </row>
    <row r="280" spans="6:12" ht="12.5">
      <c r="F280" s="86"/>
      <c r="G280" s="86"/>
      <c r="H280" s="86"/>
      <c r="I280" s="65"/>
      <c r="J280" s="65"/>
      <c r="K280" s="87"/>
      <c r="L280" s="88"/>
    </row>
    <row r="281" spans="6:12" ht="12.5">
      <c r="F281" s="86"/>
      <c r="G281" s="86"/>
      <c r="H281" s="86"/>
      <c r="I281" s="65"/>
      <c r="J281" s="65"/>
      <c r="K281" s="87"/>
      <c r="L281" s="88"/>
    </row>
    <row r="282" spans="6:12" ht="12.5">
      <c r="F282" s="86"/>
      <c r="G282" s="86"/>
      <c r="H282" s="86"/>
      <c r="I282" s="65"/>
      <c r="J282" s="65"/>
      <c r="K282" s="87"/>
      <c r="L282" s="88"/>
    </row>
    <row r="283" spans="6:12" ht="12.5">
      <c r="F283" s="86"/>
      <c r="G283" s="86"/>
      <c r="H283" s="86"/>
      <c r="I283" s="65"/>
      <c r="J283" s="65"/>
      <c r="K283" s="87"/>
      <c r="L283" s="88"/>
    </row>
    <row r="284" spans="6:12" ht="12.5">
      <c r="F284" s="86"/>
      <c r="G284" s="86"/>
      <c r="H284" s="86"/>
      <c r="I284" s="65"/>
      <c r="J284" s="65"/>
      <c r="K284" s="87"/>
      <c r="L284" s="88"/>
    </row>
    <row r="285" spans="6:12" ht="12.5">
      <c r="F285" s="86"/>
      <c r="G285" s="86"/>
      <c r="H285" s="86"/>
      <c r="I285" s="65"/>
      <c r="J285" s="65"/>
      <c r="K285" s="87"/>
      <c r="L285" s="88"/>
    </row>
    <row r="286" spans="6:12" ht="12.5">
      <c r="F286" s="86"/>
      <c r="G286" s="86"/>
      <c r="H286" s="86"/>
      <c r="I286" s="65"/>
      <c r="J286" s="65"/>
      <c r="K286" s="87"/>
      <c r="L286" s="88"/>
    </row>
    <row r="287" spans="6:12" ht="12.5">
      <c r="F287" s="86"/>
      <c r="G287" s="86"/>
      <c r="H287" s="86"/>
      <c r="I287" s="65"/>
      <c r="J287" s="65"/>
      <c r="K287" s="87"/>
      <c r="L287" s="88"/>
    </row>
    <row r="288" spans="6:12" ht="12.5">
      <c r="F288" s="86"/>
      <c r="G288" s="86"/>
      <c r="H288" s="86"/>
      <c r="I288" s="65"/>
      <c r="J288" s="65"/>
      <c r="K288" s="87"/>
      <c r="L288" s="88"/>
    </row>
    <row r="289" spans="6:12" ht="12.5">
      <c r="F289" s="86"/>
      <c r="G289" s="86"/>
      <c r="H289" s="86"/>
      <c r="I289" s="65"/>
      <c r="J289" s="65"/>
      <c r="K289" s="87"/>
      <c r="L289" s="88"/>
    </row>
    <row r="290" spans="6:12" ht="12.5">
      <c r="F290" s="86"/>
      <c r="G290" s="86"/>
      <c r="H290" s="86"/>
      <c r="I290" s="65"/>
      <c r="J290" s="65"/>
      <c r="K290" s="87"/>
      <c r="L290" s="88"/>
    </row>
    <row r="291" spans="6:12" ht="12.5">
      <c r="F291" s="86"/>
      <c r="G291" s="86"/>
      <c r="H291" s="86"/>
      <c r="I291" s="65"/>
      <c r="J291" s="65"/>
      <c r="K291" s="87"/>
      <c r="L291" s="88"/>
    </row>
    <row r="292" spans="6:12" ht="12.5">
      <c r="F292" s="86"/>
      <c r="G292" s="86"/>
      <c r="H292" s="86"/>
      <c r="I292" s="65"/>
      <c r="J292" s="65"/>
      <c r="K292" s="87"/>
      <c r="L292" s="88"/>
    </row>
    <row r="293" spans="6:12" ht="12.5">
      <c r="F293" s="86"/>
      <c r="G293" s="86"/>
      <c r="H293" s="86"/>
      <c r="I293" s="65"/>
      <c r="J293" s="65"/>
      <c r="K293" s="87"/>
      <c r="L293" s="88"/>
    </row>
    <row r="294" spans="6:12" ht="12.5">
      <c r="F294" s="86"/>
      <c r="G294" s="86"/>
      <c r="H294" s="86"/>
      <c r="I294" s="65"/>
      <c r="J294" s="65"/>
      <c r="K294" s="87"/>
      <c r="L294" s="88"/>
    </row>
    <row r="295" spans="6:12" ht="12.5">
      <c r="F295" s="86"/>
      <c r="G295" s="86"/>
      <c r="H295" s="86"/>
      <c r="I295" s="65"/>
      <c r="J295" s="65"/>
      <c r="K295" s="87"/>
      <c r="L295" s="88"/>
    </row>
    <row r="296" spans="6:12" ht="12.5">
      <c r="F296" s="86"/>
      <c r="G296" s="86"/>
      <c r="H296" s="86"/>
      <c r="I296" s="65"/>
      <c r="J296" s="65"/>
      <c r="K296" s="87"/>
      <c r="L296" s="88"/>
    </row>
    <row r="297" spans="6:12" ht="12.5">
      <c r="F297" s="86"/>
      <c r="G297" s="86"/>
      <c r="H297" s="86"/>
      <c r="I297" s="65"/>
      <c r="J297" s="65"/>
      <c r="K297" s="87"/>
      <c r="L297" s="88"/>
    </row>
    <row r="298" spans="6:12" ht="12.5">
      <c r="F298" s="86"/>
      <c r="G298" s="86"/>
      <c r="H298" s="86"/>
      <c r="I298" s="65"/>
      <c r="J298" s="65"/>
      <c r="K298" s="87"/>
      <c r="L298" s="88"/>
    </row>
    <row r="299" spans="6:12" ht="12.5">
      <c r="F299" s="86"/>
      <c r="G299" s="86"/>
      <c r="H299" s="86"/>
      <c r="I299" s="65"/>
      <c r="J299" s="65"/>
      <c r="K299" s="87"/>
      <c r="L299" s="88"/>
    </row>
    <row r="300" spans="6:12" ht="12.5">
      <c r="F300" s="86"/>
      <c r="G300" s="86"/>
      <c r="H300" s="86"/>
      <c r="I300" s="65"/>
      <c r="J300" s="65"/>
      <c r="K300" s="87"/>
      <c r="L300" s="88"/>
    </row>
    <row r="301" spans="6:12" ht="12.5">
      <c r="F301" s="86"/>
      <c r="G301" s="86"/>
      <c r="H301" s="86"/>
      <c r="I301" s="65"/>
      <c r="J301" s="65"/>
      <c r="K301" s="87"/>
      <c r="L301" s="88"/>
    </row>
    <row r="302" spans="6:12" ht="12.5">
      <c r="F302" s="86"/>
      <c r="G302" s="86"/>
      <c r="H302" s="86"/>
      <c r="I302" s="65"/>
      <c r="J302" s="65"/>
      <c r="K302" s="87"/>
      <c r="L302" s="88"/>
    </row>
    <row r="303" spans="6:12" ht="12.5">
      <c r="F303" s="86"/>
      <c r="G303" s="86"/>
      <c r="H303" s="86"/>
      <c r="I303" s="65"/>
      <c r="J303" s="65"/>
      <c r="K303" s="87"/>
      <c r="L303" s="88"/>
    </row>
    <row r="304" spans="6:12" ht="12.5">
      <c r="F304" s="86"/>
      <c r="G304" s="86"/>
      <c r="H304" s="86"/>
      <c r="I304" s="65"/>
      <c r="J304" s="65"/>
      <c r="K304" s="87"/>
      <c r="L304" s="88"/>
    </row>
    <row r="305" spans="6:12" ht="12.5">
      <c r="F305" s="86"/>
      <c r="G305" s="86"/>
      <c r="H305" s="86"/>
      <c r="I305" s="65"/>
      <c r="J305" s="65"/>
      <c r="K305" s="87"/>
      <c r="L305" s="88"/>
    </row>
    <row r="306" spans="6:12" ht="12.5">
      <c r="F306" s="86"/>
      <c r="G306" s="86"/>
      <c r="H306" s="86"/>
      <c r="I306" s="65"/>
      <c r="J306" s="65"/>
      <c r="K306" s="87"/>
      <c r="L306" s="88"/>
    </row>
    <row r="307" spans="6:12" ht="12.5">
      <c r="F307" s="86"/>
      <c r="G307" s="86"/>
      <c r="H307" s="86"/>
      <c r="I307" s="65"/>
      <c r="J307" s="65"/>
      <c r="K307" s="87"/>
      <c r="L307" s="88"/>
    </row>
    <row r="308" spans="6:12" ht="12.5">
      <c r="F308" s="86"/>
      <c r="G308" s="86"/>
      <c r="H308" s="86"/>
      <c r="I308" s="65"/>
      <c r="J308" s="65"/>
      <c r="K308" s="87"/>
      <c r="L308" s="88"/>
    </row>
    <row r="309" spans="6:12" ht="12.5">
      <c r="F309" s="86"/>
      <c r="G309" s="86"/>
      <c r="H309" s="86"/>
      <c r="I309" s="65"/>
      <c r="J309" s="65"/>
      <c r="K309" s="87"/>
      <c r="L309" s="88"/>
    </row>
    <row r="310" spans="6:12" ht="12.5">
      <c r="F310" s="86"/>
      <c r="G310" s="86"/>
      <c r="H310" s="86"/>
      <c r="I310" s="65"/>
      <c r="J310" s="65"/>
      <c r="K310" s="87"/>
      <c r="L310" s="88"/>
    </row>
    <row r="311" spans="6:12" ht="12.5">
      <c r="F311" s="86"/>
      <c r="G311" s="86"/>
      <c r="H311" s="86"/>
      <c r="I311" s="65"/>
      <c r="J311" s="65"/>
      <c r="K311" s="87"/>
      <c r="L311" s="88"/>
    </row>
    <row r="312" spans="6:12" ht="12.5">
      <c r="F312" s="86"/>
      <c r="G312" s="86"/>
      <c r="H312" s="86"/>
      <c r="I312" s="65"/>
      <c r="J312" s="65"/>
      <c r="K312" s="87"/>
      <c r="L312" s="88"/>
    </row>
    <row r="313" spans="6:12" ht="12.5">
      <c r="F313" s="86"/>
      <c r="G313" s="86"/>
      <c r="H313" s="86"/>
      <c r="I313" s="65"/>
      <c r="J313" s="65"/>
      <c r="K313" s="87"/>
      <c r="L313" s="88"/>
    </row>
    <row r="314" spans="6:12" ht="12.5">
      <c r="F314" s="86"/>
      <c r="G314" s="86"/>
      <c r="H314" s="86"/>
      <c r="I314" s="65"/>
      <c r="J314" s="65"/>
      <c r="K314" s="87"/>
      <c r="L314" s="88"/>
    </row>
    <row r="315" spans="6:12" ht="12.5">
      <c r="F315" s="86"/>
      <c r="G315" s="86"/>
      <c r="H315" s="86"/>
      <c r="I315" s="65"/>
      <c r="J315" s="65"/>
      <c r="K315" s="87"/>
      <c r="L315" s="88"/>
    </row>
    <row r="316" spans="6:12" ht="12.5">
      <c r="F316" s="86"/>
      <c r="G316" s="86"/>
      <c r="H316" s="86"/>
      <c r="I316" s="65"/>
      <c r="J316" s="65"/>
      <c r="K316" s="87"/>
      <c r="L316" s="88"/>
    </row>
    <row r="317" spans="6:12" ht="12.5">
      <c r="F317" s="86"/>
      <c r="G317" s="86"/>
      <c r="H317" s="86"/>
      <c r="I317" s="65"/>
      <c r="J317" s="65"/>
      <c r="K317" s="87"/>
      <c r="L317" s="88"/>
    </row>
    <row r="318" spans="6:12" ht="12.5">
      <c r="F318" s="86"/>
      <c r="G318" s="86"/>
      <c r="H318" s="86"/>
      <c r="I318" s="65"/>
      <c r="J318" s="65"/>
      <c r="K318" s="87"/>
      <c r="L318" s="88"/>
    </row>
    <row r="319" spans="6:12" ht="12.5">
      <c r="F319" s="86"/>
      <c r="G319" s="86"/>
      <c r="H319" s="86"/>
      <c r="I319" s="65"/>
      <c r="J319" s="65"/>
      <c r="K319" s="87"/>
      <c r="L319" s="88"/>
    </row>
    <row r="320" spans="6:12" ht="12.5">
      <c r="F320" s="86"/>
      <c r="G320" s="86"/>
      <c r="H320" s="86"/>
      <c r="I320" s="65"/>
      <c r="J320" s="65"/>
      <c r="K320" s="87"/>
      <c r="L320" s="88"/>
    </row>
    <row r="321" spans="6:12" ht="12.5">
      <c r="F321" s="86"/>
      <c r="G321" s="86"/>
      <c r="H321" s="86"/>
      <c r="I321" s="65"/>
      <c r="J321" s="65"/>
      <c r="K321" s="87"/>
      <c r="L321" s="88"/>
    </row>
    <row r="322" spans="6:12" ht="12.5">
      <c r="F322" s="86"/>
      <c r="G322" s="86"/>
      <c r="H322" s="86"/>
      <c r="I322" s="65"/>
      <c r="J322" s="65"/>
      <c r="K322" s="87"/>
      <c r="L322" s="88"/>
    </row>
    <row r="323" spans="6:12" ht="12.5">
      <c r="F323" s="86"/>
      <c r="G323" s="86"/>
      <c r="H323" s="86"/>
      <c r="I323" s="65"/>
      <c r="J323" s="65"/>
      <c r="K323" s="87"/>
      <c r="L323" s="88"/>
    </row>
    <row r="324" spans="6:12" ht="12.5">
      <c r="F324" s="86"/>
      <c r="G324" s="86"/>
      <c r="H324" s="86"/>
      <c r="I324" s="65"/>
      <c r="J324" s="65"/>
      <c r="K324" s="87"/>
      <c r="L324" s="88"/>
    </row>
    <row r="325" spans="6:12" ht="12.5">
      <c r="F325" s="86"/>
      <c r="G325" s="86"/>
      <c r="H325" s="86"/>
      <c r="I325" s="65"/>
      <c r="J325" s="65"/>
      <c r="K325" s="87"/>
      <c r="L325" s="88"/>
    </row>
    <row r="326" spans="6:12" ht="12.5">
      <c r="F326" s="86"/>
      <c r="G326" s="86"/>
      <c r="H326" s="86"/>
      <c r="I326" s="65"/>
      <c r="J326" s="65"/>
      <c r="K326" s="87"/>
      <c r="L326" s="88"/>
    </row>
    <row r="327" spans="6:12" ht="12.5">
      <c r="F327" s="86"/>
      <c r="G327" s="86"/>
      <c r="H327" s="86"/>
      <c r="I327" s="65"/>
      <c r="J327" s="65"/>
      <c r="K327" s="87"/>
      <c r="L327" s="88"/>
    </row>
    <row r="328" spans="6:12" ht="12.5">
      <c r="F328" s="86"/>
      <c r="G328" s="86"/>
      <c r="H328" s="86"/>
      <c r="I328" s="65"/>
      <c r="J328" s="65"/>
      <c r="K328" s="87"/>
      <c r="L328" s="88"/>
    </row>
    <row r="329" spans="6:12" ht="12.5">
      <c r="F329" s="86"/>
      <c r="G329" s="86"/>
      <c r="H329" s="86"/>
      <c r="I329" s="65"/>
      <c r="J329" s="65"/>
      <c r="K329" s="87"/>
      <c r="L329" s="88"/>
    </row>
    <row r="330" spans="6:12" ht="12.5">
      <c r="F330" s="86"/>
      <c r="G330" s="86"/>
      <c r="H330" s="86"/>
      <c r="I330" s="65"/>
      <c r="J330" s="65"/>
      <c r="K330" s="87"/>
      <c r="L330" s="88"/>
    </row>
    <row r="331" spans="6:12" ht="12.5">
      <c r="F331" s="86"/>
      <c r="G331" s="86"/>
      <c r="H331" s="86"/>
      <c r="I331" s="65"/>
      <c r="J331" s="65"/>
      <c r="K331" s="87"/>
      <c r="L331" s="88"/>
    </row>
    <row r="332" spans="6:12" ht="12.5">
      <c r="F332" s="86"/>
      <c r="G332" s="86"/>
      <c r="H332" s="86"/>
      <c r="I332" s="65"/>
      <c r="J332" s="65"/>
      <c r="K332" s="87"/>
      <c r="L332" s="88"/>
    </row>
    <row r="333" spans="6:12" ht="12.5">
      <c r="F333" s="86"/>
      <c r="G333" s="86"/>
      <c r="H333" s="86"/>
      <c r="I333" s="65"/>
      <c r="J333" s="65"/>
      <c r="K333" s="87"/>
      <c r="L333" s="88"/>
    </row>
    <row r="334" spans="6:12" ht="12.5">
      <c r="F334" s="86"/>
      <c r="G334" s="86"/>
      <c r="H334" s="86"/>
      <c r="I334" s="65"/>
      <c r="J334" s="65"/>
      <c r="K334" s="87"/>
      <c r="L334" s="88"/>
    </row>
    <row r="335" spans="6:12" ht="12.5">
      <c r="F335" s="86"/>
      <c r="G335" s="86"/>
      <c r="H335" s="86"/>
      <c r="I335" s="65"/>
      <c r="J335" s="65"/>
      <c r="K335" s="87"/>
      <c r="L335" s="88"/>
    </row>
    <row r="336" spans="6:12" ht="12.5">
      <c r="F336" s="86"/>
      <c r="G336" s="86"/>
      <c r="H336" s="86"/>
      <c r="I336" s="65"/>
      <c r="J336" s="65"/>
      <c r="K336" s="87"/>
      <c r="L336" s="88"/>
    </row>
    <row r="337" spans="6:12" ht="12.5">
      <c r="F337" s="86"/>
      <c r="G337" s="86"/>
      <c r="H337" s="86"/>
      <c r="I337" s="65"/>
      <c r="J337" s="65"/>
      <c r="K337" s="87"/>
      <c r="L337" s="88"/>
    </row>
    <row r="338" spans="6:12" ht="12.5">
      <c r="F338" s="86"/>
      <c r="G338" s="86"/>
      <c r="H338" s="86"/>
      <c r="I338" s="65"/>
      <c r="J338" s="65"/>
      <c r="K338" s="87"/>
      <c r="L338" s="88"/>
    </row>
    <row r="339" spans="6:12" ht="12.5">
      <c r="F339" s="86"/>
      <c r="G339" s="86"/>
      <c r="H339" s="86"/>
      <c r="I339" s="65"/>
      <c r="J339" s="65"/>
      <c r="K339" s="87"/>
      <c r="L339" s="88"/>
    </row>
    <row r="340" spans="6:12" ht="12.5">
      <c r="F340" s="86"/>
      <c r="G340" s="86"/>
      <c r="H340" s="86"/>
      <c r="I340" s="65"/>
      <c r="J340" s="65"/>
      <c r="K340" s="87"/>
      <c r="L340" s="88"/>
    </row>
    <row r="341" spans="6:12" ht="12.5">
      <c r="F341" s="86"/>
      <c r="G341" s="86"/>
      <c r="H341" s="86"/>
      <c r="I341" s="65"/>
      <c r="J341" s="65"/>
      <c r="K341" s="87"/>
      <c r="L341" s="88"/>
    </row>
    <row r="342" spans="6:12" ht="12.5">
      <c r="F342" s="86"/>
      <c r="G342" s="86"/>
      <c r="H342" s="86"/>
      <c r="I342" s="65"/>
      <c r="J342" s="65"/>
      <c r="K342" s="87"/>
      <c r="L342" s="88"/>
    </row>
    <row r="343" spans="6:12" ht="12.5">
      <c r="F343" s="86"/>
      <c r="G343" s="86"/>
      <c r="H343" s="86"/>
      <c r="I343" s="65"/>
      <c r="J343" s="65"/>
      <c r="K343" s="87"/>
      <c r="L343" s="88"/>
    </row>
    <row r="344" spans="6:12" ht="12.5">
      <c r="F344" s="86"/>
      <c r="G344" s="86"/>
      <c r="H344" s="86"/>
      <c r="I344" s="65"/>
      <c r="J344" s="65"/>
      <c r="K344" s="87"/>
      <c r="L344" s="88"/>
    </row>
    <row r="345" spans="6:12" ht="12.5">
      <c r="F345" s="86"/>
      <c r="G345" s="86"/>
      <c r="H345" s="86"/>
      <c r="I345" s="65"/>
      <c r="J345" s="65"/>
      <c r="K345" s="87"/>
      <c r="L345" s="88"/>
    </row>
    <row r="346" spans="6:12" ht="12.5">
      <c r="F346" s="86"/>
      <c r="G346" s="86"/>
      <c r="H346" s="86"/>
      <c r="I346" s="65"/>
      <c r="J346" s="65"/>
      <c r="K346" s="87"/>
      <c r="L346" s="88"/>
    </row>
    <row r="347" spans="6:12" ht="12.5">
      <c r="F347" s="86"/>
      <c r="G347" s="86"/>
      <c r="H347" s="86"/>
      <c r="I347" s="65"/>
      <c r="J347" s="65"/>
      <c r="K347" s="87"/>
      <c r="L347" s="88"/>
    </row>
    <row r="348" spans="6:12" ht="12.5">
      <c r="F348" s="86"/>
      <c r="G348" s="86"/>
      <c r="H348" s="86"/>
      <c r="I348" s="65"/>
      <c r="J348" s="65"/>
      <c r="K348" s="87"/>
      <c r="L348" s="88"/>
    </row>
    <row r="349" spans="6:12" ht="12.5">
      <c r="F349" s="86"/>
      <c r="G349" s="86"/>
      <c r="H349" s="86"/>
      <c r="I349" s="65"/>
      <c r="J349" s="65"/>
      <c r="K349" s="87"/>
      <c r="L349" s="88"/>
    </row>
    <row r="350" spans="6:12" ht="12.5">
      <c r="F350" s="86"/>
      <c r="G350" s="86"/>
      <c r="H350" s="86"/>
      <c r="I350" s="65"/>
      <c r="J350" s="65"/>
      <c r="K350" s="87"/>
      <c r="L350" s="88"/>
    </row>
    <row r="351" spans="6:12" ht="12.5">
      <c r="F351" s="86"/>
      <c r="G351" s="86"/>
      <c r="H351" s="86"/>
      <c r="I351" s="65"/>
      <c r="J351" s="65"/>
      <c r="K351" s="87"/>
      <c r="L351" s="88"/>
    </row>
    <row r="352" spans="6:12" ht="12.5">
      <c r="F352" s="86"/>
      <c r="G352" s="86"/>
      <c r="H352" s="86"/>
      <c r="I352" s="65"/>
      <c r="J352" s="65"/>
      <c r="K352" s="87"/>
      <c r="L352" s="88"/>
    </row>
    <row r="353" spans="6:12" ht="12.5">
      <c r="F353" s="86"/>
      <c r="G353" s="86"/>
      <c r="H353" s="86"/>
      <c r="I353" s="65"/>
      <c r="J353" s="65"/>
      <c r="K353" s="87"/>
      <c r="L353" s="88"/>
    </row>
    <row r="354" spans="6:12" ht="12.5">
      <c r="F354" s="86"/>
      <c r="G354" s="86"/>
      <c r="H354" s="86"/>
      <c r="I354" s="65"/>
      <c r="J354" s="65"/>
      <c r="K354" s="87"/>
      <c r="L354" s="88"/>
    </row>
    <row r="355" spans="6:12" ht="12.5">
      <c r="F355" s="86"/>
      <c r="G355" s="86"/>
      <c r="H355" s="86"/>
      <c r="I355" s="65"/>
      <c r="J355" s="65"/>
      <c r="K355" s="87"/>
      <c r="L355" s="88"/>
    </row>
    <row r="356" spans="6:12" ht="12.5">
      <c r="F356" s="86"/>
      <c r="G356" s="86"/>
      <c r="H356" s="86"/>
      <c r="I356" s="65"/>
      <c r="J356" s="65"/>
      <c r="K356" s="87"/>
      <c r="L356" s="88"/>
    </row>
    <row r="357" spans="6:12" ht="12.5">
      <c r="F357" s="86"/>
      <c r="G357" s="86"/>
      <c r="H357" s="86"/>
      <c r="I357" s="65"/>
      <c r="J357" s="65"/>
      <c r="K357" s="87"/>
      <c r="L357" s="88"/>
    </row>
    <row r="358" spans="6:12" ht="12.5">
      <c r="F358" s="86"/>
      <c r="G358" s="86"/>
      <c r="H358" s="86"/>
      <c r="I358" s="65"/>
      <c r="J358" s="65"/>
      <c r="K358" s="87"/>
      <c r="L358" s="88"/>
    </row>
    <row r="359" spans="6:12" ht="12.5">
      <c r="F359" s="86"/>
      <c r="G359" s="86"/>
      <c r="H359" s="86"/>
      <c r="I359" s="65"/>
      <c r="J359" s="65"/>
      <c r="K359" s="87"/>
      <c r="L359" s="88"/>
    </row>
    <row r="360" spans="6:12" ht="12.5">
      <c r="F360" s="86"/>
      <c r="G360" s="86"/>
      <c r="H360" s="86"/>
      <c r="I360" s="65"/>
      <c r="J360" s="65"/>
      <c r="K360" s="87"/>
      <c r="L360" s="88"/>
    </row>
    <row r="361" spans="6:12" ht="12.5">
      <c r="F361" s="86"/>
      <c r="G361" s="86"/>
      <c r="H361" s="86"/>
      <c r="I361" s="65"/>
      <c r="J361" s="65"/>
      <c r="K361" s="87"/>
      <c r="L361" s="88"/>
    </row>
    <row r="362" spans="6:12" ht="12.5">
      <c r="F362" s="86"/>
      <c r="G362" s="86"/>
      <c r="H362" s="86"/>
      <c r="I362" s="65"/>
      <c r="J362" s="65"/>
      <c r="K362" s="87"/>
      <c r="L362" s="88"/>
    </row>
    <row r="363" spans="6:12" ht="12.5">
      <c r="F363" s="86"/>
      <c r="G363" s="86"/>
      <c r="H363" s="86"/>
      <c r="I363" s="65"/>
      <c r="J363" s="65"/>
      <c r="K363" s="87"/>
      <c r="L363" s="88"/>
    </row>
    <row r="364" spans="6:12" ht="12.5">
      <c r="F364" s="86"/>
      <c r="G364" s="86"/>
      <c r="H364" s="86"/>
      <c r="I364" s="65"/>
      <c r="J364" s="65"/>
      <c r="K364" s="87"/>
      <c r="L364" s="88"/>
    </row>
    <row r="365" spans="6:12" ht="12.5">
      <c r="F365" s="86"/>
      <c r="G365" s="86"/>
      <c r="H365" s="86"/>
      <c r="I365" s="65"/>
      <c r="J365" s="65"/>
      <c r="K365" s="87"/>
      <c r="L365" s="88"/>
    </row>
    <row r="366" spans="6:12" ht="12.5">
      <c r="F366" s="86"/>
      <c r="G366" s="86"/>
      <c r="H366" s="86"/>
      <c r="I366" s="65"/>
      <c r="J366" s="65"/>
      <c r="K366" s="87"/>
      <c r="L366" s="88"/>
    </row>
    <row r="367" spans="6:12" ht="12.5">
      <c r="F367" s="86"/>
      <c r="G367" s="86"/>
      <c r="H367" s="86"/>
      <c r="I367" s="65"/>
      <c r="J367" s="65"/>
      <c r="K367" s="87"/>
      <c r="L367" s="88"/>
    </row>
    <row r="368" spans="6:12" ht="12.5">
      <c r="F368" s="86"/>
      <c r="G368" s="86"/>
      <c r="H368" s="86"/>
      <c r="I368" s="65"/>
      <c r="J368" s="65"/>
      <c r="K368" s="87"/>
      <c r="L368" s="88"/>
    </row>
    <row r="369" spans="6:12" ht="12.5">
      <c r="F369" s="86"/>
      <c r="G369" s="86"/>
      <c r="H369" s="86"/>
      <c r="I369" s="65"/>
      <c r="J369" s="65"/>
      <c r="K369" s="87"/>
      <c r="L369" s="88"/>
    </row>
    <row r="370" spans="6:12" ht="12.5">
      <c r="F370" s="86"/>
      <c r="G370" s="86"/>
      <c r="H370" s="86"/>
      <c r="I370" s="65"/>
      <c r="J370" s="65"/>
      <c r="K370" s="87"/>
      <c r="L370" s="88"/>
    </row>
    <row r="371" spans="6:12" ht="12.5">
      <c r="F371" s="86"/>
      <c r="G371" s="86"/>
      <c r="H371" s="86"/>
      <c r="I371" s="65"/>
      <c r="J371" s="65"/>
      <c r="K371" s="87"/>
      <c r="L371" s="88"/>
    </row>
    <row r="372" spans="6:12" ht="12.5">
      <c r="F372" s="86"/>
      <c r="G372" s="86"/>
      <c r="H372" s="86"/>
      <c r="I372" s="65"/>
      <c r="J372" s="65"/>
      <c r="K372" s="87"/>
      <c r="L372" s="88"/>
    </row>
    <row r="373" spans="6:12" ht="12.5">
      <c r="F373" s="86"/>
      <c r="G373" s="86"/>
      <c r="H373" s="86"/>
      <c r="I373" s="65"/>
      <c r="J373" s="65"/>
      <c r="K373" s="87"/>
      <c r="L373" s="88"/>
    </row>
    <row r="374" spans="6:12" ht="12.5">
      <c r="F374" s="86"/>
      <c r="G374" s="86"/>
      <c r="H374" s="86"/>
      <c r="I374" s="65"/>
      <c r="J374" s="65"/>
      <c r="K374" s="87"/>
      <c r="L374" s="88"/>
    </row>
    <row r="375" spans="6:12" ht="12.5">
      <c r="F375" s="86"/>
      <c r="G375" s="86"/>
      <c r="H375" s="86"/>
      <c r="I375" s="65"/>
      <c r="J375" s="65"/>
      <c r="K375" s="87"/>
      <c r="L375" s="88"/>
    </row>
    <row r="376" spans="6:12" ht="12.5">
      <c r="F376" s="86"/>
      <c r="G376" s="86"/>
      <c r="H376" s="86"/>
      <c r="I376" s="65"/>
      <c r="J376" s="65"/>
      <c r="K376" s="87"/>
      <c r="L376" s="88"/>
    </row>
    <row r="377" spans="6:12" ht="12.5">
      <c r="F377" s="86"/>
      <c r="G377" s="86"/>
      <c r="H377" s="86"/>
      <c r="I377" s="65"/>
      <c r="J377" s="65"/>
      <c r="K377" s="87"/>
      <c r="L377" s="88"/>
    </row>
    <row r="378" spans="6:12" ht="12.5">
      <c r="F378" s="86"/>
      <c r="G378" s="86"/>
      <c r="H378" s="86"/>
      <c r="I378" s="65"/>
      <c r="J378" s="65"/>
      <c r="K378" s="87"/>
      <c r="L378" s="88"/>
    </row>
    <row r="379" spans="6:12" ht="12.5">
      <c r="F379" s="86"/>
      <c r="G379" s="86"/>
      <c r="H379" s="86"/>
      <c r="I379" s="65"/>
      <c r="J379" s="65"/>
      <c r="K379" s="87"/>
      <c r="L379" s="88"/>
    </row>
    <row r="380" spans="6:12" ht="12.5">
      <c r="F380" s="86"/>
      <c r="G380" s="86"/>
      <c r="H380" s="86"/>
      <c r="I380" s="65"/>
      <c r="J380" s="65"/>
      <c r="K380" s="87"/>
      <c r="L380" s="88"/>
    </row>
    <row r="381" spans="6:12" ht="12.5">
      <c r="F381" s="86"/>
      <c r="G381" s="86"/>
      <c r="H381" s="86"/>
      <c r="I381" s="65"/>
      <c r="J381" s="65"/>
      <c r="K381" s="87"/>
      <c r="L381" s="88"/>
    </row>
    <row r="382" spans="6:12" ht="12.5">
      <c r="F382" s="86"/>
      <c r="G382" s="86"/>
      <c r="H382" s="86"/>
      <c r="I382" s="65"/>
      <c r="J382" s="65"/>
      <c r="K382" s="87"/>
      <c r="L382" s="88"/>
    </row>
    <row r="383" spans="6:12" ht="12.5">
      <c r="F383" s="86"/>
      <c r="G383" s="86"/>
      <c r="H383" s="86"/>
      <c r="I383" s="65"/>
      <c r="J383" s="65"/>
      <c r="K383" s="87"/>
      <c r="L383" s="88"/>
    </row>
    <row r="384" spans="6:12" ht="12.5">
      <c r="F384" s="86"/>
      <c r="G384" s="86"/>
      <c r="H384" s="86"/>
      <c r="I384" s="65"/>
      <c r="J384" s="65"/>
      <c r="K384" s="87"/>
      <c r="L384" s="88"/>
    </row>
    <row r="385" spans="6:12" ht="12.5">
      <c r="F385" s="86"/>
      <c r="G385" s="86"/>
      <c r="H385" s="86"/>
      <c r="I385" s="65"/>
      <c r="J385" s="65"/>
      <c r="K385" s="87"/>
      <c r="L385" s="88"/>
    </row>
    <row r="386" spans="6:12" ht="12.5">
      <c r="F386" s="86"/>
      <c r="G386" s="86"/>
      <c r="H386" s="86"/>
      <c r="I386" s="65"/>
      <c r="J386" s="65"/>
      <c r="K386" s="87"/>
      <c r="L386" s="88"/>
    </row>
    <row r="387" spans="6:12" ht="12.5">
      <c r="F387" s="86"/>
      <c r="G387" s="86"/>
      <c r="H387" s="86"/>
      <c r="I387" s="65"/>
      <c r="J387" s="65"/>
      <c r="K387" s="87"/>
      <c r="L387" s="88"/>
    </row>
    <row r="388" spans="6:12" ht="12.5">
      <c r="F388" s="86"/>
      <c r="G388" s="86"/>
      <c r="H388" s="86"/>
      <c r="I388" s="65"/>
      <c r="J388" s="65"/>
      <c r="K388" s="87"/>
      <c r="L388" s="88"/>
    </row>
    <row r="389" spans="6:12" ht="12.5">
      <c r="F389" s="86"/>
      <c r="G389" s="86"/>
      <c r="H389" s="86"/>
      <c r="I389" s="65"/>
      <c r="J389" s="65"/>
      <c r="K389" s="87"/>
      <c r="L389" s="88"/>
    </row>
    <row r="390" spans="6:12" ht="12.5">
      <c r="F390" s="86"/>
      <c r="G390" s="86"/>
      <c r="H390" s="86"/>
      <c r="I390" s="65"/>
      <c r="J390" s="65"/>
      <c r="K390" s="87"/>
      <c r="L390" s="88"/>
    </row>
    <row r="391" spans="6:12" ht="12.5">
      <c r="F391" s="86"/>
      <c r="G391" s="86"/>
      <c r="H391" s="86"/>
      <c r="I391" s="65"/>
      <c r="J391" s="65"/>
      <c r="K391" s="87"/>
      <c r="L391" s="88"/>
    </row>
    <row r="392" spans="6:12" ht="12.5">
      <c r="F392" s="86"/>
      <c r="G392" s="86"/>
      <c r="H392" s="86"/>
      <c r="I392" s="65"/>
      <c r="J392" s="65"/>
      <c r="K392" s="87"/>
      <c r="L392" s="88"/>
    </row>
    <row r="393" spans="6:12" ht="12.5">
      <c r="F393" s="86"/>
      <c r="G393" s="86"/>
      <c r="H393" s="86"/>
      <c r="I393" s="65"/>
      <c r="J393" s="65"/>
      <c r="K393" s="87"/>
      <c r="L393" s="88"/>
    </row>
    <row r="394" spans="6:12" ht="12.5">
      <c r="F394" s="86"/>
      <c r="G394" s="86"/>
      <c r="H394" s="86"/>
      <c r="I394" s="65"/>
      <c r="J394" s="65"/>
      <c r="K394" s="87"/>
      <c r="L394" s="88"/>
    </row>
    <row r="395" spans="6:12" ht="12.5">
      <c r="F395" s="86"/>
      <c r="G395" s="86"/>
      <c r="H395" s="86"/>
      <c r="I395" s="65"/>
      <c r="J395" s="65"/>
      <c r="K395" s="87"/>
      <c r="L395" s="88"/>
    </row>
    <row r="396" spans="6:12" ht="12.5">
      <c r="F396" s="86"/>
      <c r="G396" s="86"/>
      <c r="H396" s="86"/>
      <c r="I396" s="65"/>
      <c r="J396" s="65"/>
      <c r="K396" s="87"/>
      <c r="L396" s="88"/>
    </row>
    <row r="397" spans="6:12" ht="12.5">
      <c r="F397" s="86"/>
      <c r="G397" s="86"/>
      <c r="H397" s="86"/>
      <c r="I397" s="65"/>
      <c r="J397" s="65"/>
      <c r="K397" s="87"/>
      <c r="L397" s="88"/>
    </row>
    <row r="398" spans="6:12" ht="12.5">
      <c r="F398" s="86"/>
      <c r="G398" s="86"/>
      <c r="H398" s="86"/>
      <c r="I398" s="65"/>
      <c r="J398" s="65"/>
      <c r="K398" s="87"/>
      <c r="L398" s="88"/>
    </row>
    <row r="399" spans="6:12" ht="12.5">
      <c r="F399" s="86"/>
      <c r="G399" s="86"/>
      <c r="H399" s="86"/>
      <c r="I399" s="65"/>
      <c r="J399" s="65"/>
      <c r="K399" s="87"/>
      <c r="L399" s="88"/>
    </row>
    <row r="400" spans="6:12" ht="12.5">
      <c r="F400" s="86"/>
      <c r="G400" s="86"/>
      <c r="H400" s="86"/>
      <c r="I400" s="65"/>
      <c r="J400" s="65"/>
      <c r="K400" s="87"/>
      <c r="L400" s="88"/>
    </row>
    <row r="401" spans="6:12" ht="12.5">
      <c r="F401" s="86"/>
      <c r="G401" s="86"/>
      <c r="H401" s="86"/>
      <c r="I401" s="65"/>
      <c r="J401" s="65"/>
      <c r="K401" s="87"/>
      <c r="L401" s="88"/>
    </row>
    <row r="402" spans="6:12" ht="12.5">
      <c r="F402" s="86"/>
      <c r="G402" s="86"/>
      <c r="H402" s="86"/>
      <c r="I402" s="65"/>
      <c r="J402" s="65"/>
      <c r="K402" s="87"/>
      <c r="L402" s="88"/>
    </row>
    <row r="403" spans="6:12" ht="12.5">
      <c r="F403" s="86"/>
      <c r="G403" s="86"/>
      <c r="H403" s="86"/>
      <c r="I403" s="65"/>
      <c r="J403" s="65"/>
      <c r="K403" s="87"/>
      <c r="L403" s="88"/>
    </row>
    <row r="404" spans="6:12" ht="12.5">
      <c r="F404" s="86"/>
      <c r="G404" s="86"/>
      <c r="H404" s="86"/>
      <c r="I404" s="65"/>
      <c r="J404" s="65"/>
      <c r="K404" s="87"/>
      <c r="L404" s="88"/>
    </row>
    <row r="405" spans="6:12" ht="12.5">
      <c r="F405" s="86"/>
      <c r="G405" s="86"/>
      <c r="H405" s="86"/>
      <c r="I405" s="65"/>
      <c r="J405" s="65"/>
      <c r="K405" s="87"/>
      <c r="L405" s="88"/>
    </row>
    <row r="406" spans="6:12" ht="12.5">
      <c r="F406" s="86"/>
      <c r="G406" s="86"/>
      <c r="H406" s="86"/>
      <c r="I406" s="65"/>
      <c r="J406" s="65"/>
      <c r="K406" s="87"/>
      <c r="L406" s="88"/>
    </row>
    <row r="407" spans="6:12" ht="12.5">
      <c r="F407" s="86"/>
      <c r="G407" s="86"/>
      <c r="H407" s="86"/>
      <c r="I407" s="65"/>
      <c r="J407" s="65"/>
      <c r="K407" s="87"/>
      <c r="L407" s="88"/>
    </row>
    <row r="408" spans="6:12" ht="12.5">
      <c r="F408" s="86"/>
      <c r="G408" s="86"/>
      <c r="H408" s="86"/>
      <c r="I408" s="65"/>
      <c r="J408" s="65"/>
      <c r="K408" s="87"/>
      <c r="L408" s="88"/>
    </row>
    <row r="409" spans="6:12" ht="12.5">
      <c r="F409" s="86"/>
      <c r="G409" s="86"/>
      <c r="H409" s="86"/>
      <c r="I409" s="65"/>
      <c r="J409" s="65"/>
      <c r="K409" s="87"/>
      <c r="L409" s="88"/>
    </row>
    <row r="410" spans="6:12" ht="12.5">
      <c r="F410" s="86"/>
      <c r="G410" s="86"/>
      <c r="H410" s="86"/>
      <c r="I410" s="65"/>
      <c r="J410" s="65"/>
      <c r="K410" s="87"/>
      <c r="L410" s="88"/>
    </row>
    <row r="411" spans="6:12" ht="12.5">
      <c r="F411" s="86"/>
      <c r="G411" s="86"/>
      <c r="H411" s="86"/>
      <c r="I411" s="65"/>
      <c r="J411" s="65"/>
      <c r="K411" s="87"/>
      <c r="L411" s="88"/>
    </row>
    <row r="412" spans="6:12" ht="12.5">
      <c r="F412" s="86"/>
      <c r="G412" s="86"/>
      <c r="H412" s="86"/>
      <c r="I412" s="65"/>
      <c r="J412" s="65"/>
      <c r="K412" s="87"/>
      <c r="L412" s="88"/>
    </row>
    <row r="413" spans="6:12" ht="12.5">
      <c r="F413" s="86"/>
      <c r="G413" s="86"/>
      <c r="H413" s="86"/>
      <c r="I413" s="65"/>
      <c r="J413" s="65"/>
      <c r="K413" s="87"/>
      <c r="L413" s="88"/>
    </row>
    <row r="414" spans="6:12" ht="12.5">
      <c r="F414" s="86"/>
      <c r="G414" s="86"/>
      <c r="H414" s="86"/>
      <c r="I414" s="65"/>
      <c r="J414" s="65"/>
      <c r="K414" s="87"/>
      <c r="L414" s="88"/>
    </row>
    <row r="415" spans="6:12" ht="12.5">
      <c r="F415" s="86"/>
      <c r="G415" s="86"/>
      <c r="H415" s="86"/>
      <c r="I415" s="65"/>
      <c r="J415" s="65"/>
      <c r="K415" s="87"/>
      <c r="L415" s="88"/>
    </row>
    <row r="416" spans="6:12" ht="12.5">
      <c r="F416" s="86"/>
      <c r="G416" s="86"/>
      <c r="H416" s="86"/>
      <c r="I416" s="65"/>
      <c r="J416" s="65"/>
      <c r="K416" s="87"/>
      <c r="L416" s="88"/>
    </row>
    <row r="417" spans="6:12" ht="12.5">
      <c r="F417" s="86"/>
      <c r="G417" s="86"/>
      <c r="H417" s="86"/>
      <c r="I417" s="65"/>
      <c r="J417" s="65"/>
      <c r="K417" s="87"/>
      <c r="L417" s="88"/>
    </row>
    <row r="418" spans="6:12" ht="12.5">
      <c r="F418" s="86"/>
      <c r="G418" s="86"/>
      <c r="H418" s="86"/>
      <c r="I418" s="65"/>
      <c r="J418" s="65"/>
      <c r="K418" s="87"/>
      <c r="L418" s="88"/>
    </row>
    <row r="419" spans="6:12" ht="12.5">
      <c r="F419" s="86"/>
      <c r="G419" s="86"/>
      <c r="H419" s="86"/>
      <c r="I419" s="65"/>
      <c r="J419" s="65"/>
      <c r="K419" s="87"/>
      <c r="L419" s="88"/>
    </row>
    <row r="420" spans="6:12" ht="12.5">
      <c r="F420" s="86"/>
      <c r="G420" s="86"/>
      <c r="H420" s="86"/>
      <c r="I420" s="65"/>
      <c r="J420" s="65"/>
      <c r="K420" s="87"/>
      <c r="L420" s="88"/>
    </row>
    <row r="421" spans="6:12" ht="12.5">
      <c r="F421" s="86"/>
      <c r="G421" s="86"/>
      <c r="H421" s="86"/>
      <c r="I421" s="65"/>
      <c r="J421" s="65"/>
      <c r="K421" s="87"/>
      <c r="L421" s="88"/>
    </row>
    <row r="422" spans="6:12" ht="12.5">
      <c r="F422" s="86"/>
      <c r="G422" s="86"/>
      <c r="H422" s="86"/>
      <c r="I422" s="65"/>
      <c r="J422" s="65"/>
      <c r="K422" s="87"/>
      <c r="L422" s="88"/>
    </row>
    <row r="423" spans="6:12" ht="12.5">
      <c r="F423" s="86"/>
      <c r="G423" s="86"/>
      <c r="H423" s="86"/>
      <c r="I423" s="65"/>
      <c r="J423" s="65"/>
      <c r="K423" s="87"/>
      <c r="L423" s="88"/>
    </row>
    <row r="424" spans="6:12" ht="12.5">
      <c r="F424" s="86"/>
      <c r="G424" s="86"/>
      <c r="H424" s="86"/>
      <c r="I424" s="65"/>
      <c r="J424" s="65"/>
      <c r="K424" s="87"/>
      <c r="L424" s="88"/>
    </row>
    <row r="425" spans="6:12" ht="12.5">
      <c r="F425" s="86"/>
      <c r="G425" s="86"/>
      <c r="H425" s="86"/>
      <c r="I425" s="65"/>
      <c r="J425" s="65"/>
      <c r="K425" s="87"/>
      <c r="L425" s="88"/>
    </row>
    <row r="426" spans="6:12" ht="12.5">
      <c r="F426" s="86"/>
      <c r="G426" s="86"/>
      <c r="H426" s="86"/>
      <c r="I426" s="65"/>
      <c r="J426" s="65"/>
      <c r="K426" s="87"/>
      <c r="L426" s="88"/>
    </row>
    <row r="427" spans="6:12" ht="12.5">
      <c r="F427" s="86"/>
      <c r="G427" s="86"/>
      <c r="H427" s="86"/>
      <c r="I427" s="65"/>
      <c r="J427" s="65"/>
      <c r="K427" s="87"/>
      <c r="L427" s="88"/>
    </row>
    <row r="428" spans="6:12" ht="12.5">
      <c r="F428" s="86"/>
      <c r="G428" s="86"/>
      <c r="H428" s="86"/>
      <c r="I428" s="65"/>
      <c r="J428" s="65"/>
      <c r="K428" s="87"/>
      <c r="L428" s="88"/>
    </row>
    <row r="429" spans="6:12" ht="12.5">
      <c r="F429" s="86"/>
      <c r="G429" s="86"/>
      <c r="H429" s="86"/>
      <c r="I429" s="65"/>
      <c r="J429" s="65"/>
      <c r="K429" s="87"/>
      <c r="L429" s="88"/>
    </row>
    <row r="430" spans="6:12" ht="12.5">
      <c r="F430" s="86"/>
      <c r="G430" s="86"/>
      <c r="H430" s="86"/>
      <c r="I430" s="65"/>
      <c r="J430" s="65"/>
      <c r="K430" s="87"/>
      <c r="L430" s="88"/>
    </row>
    <row r="431" spans="6:12" ht="12.5">
      <c r="F431" s="86"/>
      <c r="G431" s="86"/>
      <c r="H431" s="86"/>
      <c r="I431" s="65"/>
      <c r="J431" s="65"/>
      <c r="K431" s="87"/>
      <c r="L431" s="88"/>
    </row>
    <row r="432" spans="6:12" ht="12.5">
      <c r="F432" s="86"/>
      <c r="G432" s="86"/>
      <c r="H432" s="86"/>
      <c r="I432" s="65"/>
      <c r="J432" s="65"/>
      <c r="K432" s="87"/>
      <c r="L432" s="88"/>
    </row>
    <row r="433" spans="6:12" ht="12.5">
      <c r="F433" s="86"/>
      <c r="G433" s="86"/>
      <c r="H433" s="86"/>
      <c r="I433" s="65"/>
      <c r="J433" s="65"/>
      <c r="K433" s="87"/>
      <c r="L433" s="88"/>
    </row>
    <row r="434" spans="6:12" ht="12.5">
      <c r="F434" s="86"/>
      <c r="G434" s="86"/>
      <c r="H434" s="86"/>
      <c r="I434" s="65"/>
      <c r="J434" s="65"/>
      <c r="K434" s="87"/>
      <c r="L434" s="88"/>
    </row>
    <row r="435" spans="6:12" ht="12.5">
      <c r="F435" s="86"/>
      <c r="G435" s="86"/>
      <c r="H435" s="86"/>
      <c r="I435" s="65"/>
      <c r="J435" s="65"/>
      <c r="K435" s="87"/>
      <c r="L435" s="88"/>
    </row>
    <row r="436" spans="6:12" ht="12.5">
      <c r="F436" s="86"/>
      <c r="G436" s="86"/>
      <c r="H436" s="86"/>
      <c r="I436" s="65"/>
      <c r="J436" s="65"/>
      <c r="K436" s="87"/>
      <c r="L436" s="88"/>
    </row>
    <row r="437" spans="6:12" ht="12.5">
      <c r="F437" s="86"/>
      <c r="G437" s="86"/>
      <c r="H437" s="86"/>
      <c r="I437" s="65"/>
      <c r="J437" s="65"/>
      <c r="K437" s="87"/>
      <c r="L437" s="88"/>
    </row>
    <row r="438" spans="6:12" ht="12.5">
      <c r="F438" s="86"/>
      <c r="G438" s="86"/>
      <c r="H438" s="86"/>
      <c r="I438" s="65"/>
      <c r="J438" s="65"/>
      <c r="K438" s="87"/>
      <c r="L438" s="88"/>
    </row>
    <row r="439" spans="6:12" ht="12.5">
      <c r="F439" s="86"/>
      <c r="G439" s="86"/>
      <c r="H439" s="86"/>
      <c r="I439" s="65"/>
      <c r="J439" s="65"/>
      <c r="K439" s="87"/>
      <c r="L439" s="88"/>
    </row>
    <row r="440" spans="6:12" ht="12.5">
      <c r="F440" s="86"/>
      <c r="G440" s="86"/>
      <c r="H440" s="86"/>
      <c r="I440" s="65"/>
      <c r="J440" s="65"/>
      <c r="K440" s="87"/>
      <c r="L440" s="88"/>
    </row>
    <row r="441" spans="6:12" ht="12.5">
      <c r="F441" s="86"/>
      <c r="G441" s="86"/>
      <c r="H441" s="86"/>
      <c r="I441" s="65"/>
      <c r="J441" s="65"/>
      <c r="K441" s="87"/>
      <c r="L441" s="88"/>
    </row>
    <row r="442" spans="6:12" ht="12.5">
      <c r="F442" s="86"/>
      <c r="G442" s="86"/>
      <c r="H442" s="86"/>
      <c r="I442" s="65"/>
      <c r="J442" s="65"/>
      <c r="K442" s="87"/>
      <c r="L442" s="88"/>
    </row>
    <row r="443" spans="6:12" ht="12.5">
      <c r="F443" s="86"/>
      <c r="G443" s="86"/>
      <c r="H443" s="86"/>
      <c r="I443" s="65"/>
      <c r="J443" s="65"/>
      <c r="K443" s="87"/>
      <c r="L443" s="88"/>
    </row>
    <row r="444" spans="6:12" ht="12.5">
      <c r="F444" s="86"/>
      <c r="G444" s="86"/>
      <c r="H444" s="86"/>
      <c r="I444" s="65"/>
      <c r="J444" s="65"/>
      <c r="K444" s="87"/>
      <c r="L444" s="88"/>
    </row>
    <row r="445" spans="6:12" ht="12.5">
      <c r="F445" s="86"/>
      <c r="G445" s="86"/>
      <c r="H445" s="86"/>
      <c r="I445" s="65"/>
      <c r="J445" s="65"/>
      <c r="K445" s="87"/>
      <c r="L445" s="88"/>
    </row>
    <row r="446" spans="6:12" ht="12.5">
      <c r="F446" s="86"/>
      <c r="G446" s="86"/>
      <c r="H446" s="86"/>
      <c r="I446" s="65"/>
      <c r="J446" s="65"/>
      <c r="K446" s="87"/>
      <c r="L446" s="88"/>
    </row>
    <row r="447" spans="6:12" ht="12.5">
      <c r="F447" s="86"/>
      <c r="G447" s="86"/>
      <c r="H447" s="86"/>
      <c r="I447" s="65"/>
      <c r="J447" s="65"/>
      <c r="K447" s="87"/>
      <c r="L447" s="88"/>
    </row>
    <row r="448" spans="6:12" ht="12.5">
      <c r="F448" s="86"/>
      <c r="G448" s="86"/>
      <c r="H448" s="86"/>
      <c r="I448" s="65"/>
      <c r="J448" s="65"/>
      <c r="K448" s="87"/>
      <c r="L448" s="88"/>
    </row>
    <row r="449" spans="6:12" ht="12.5">
      <c r="F449" s="86"/>
      <c r="G449" s="86"/>
      <c r="H449" s="86"/>
      <c r="I449" s="65"/>
      <c r="J449" s="65"/>
      <c r="K449" s="87"/>
      <c r="L449" s="88"/>
    </row>
    <row r="450" spans="6:12" ht="12.5">
      <c r="F450" s="86"/>
      <c r="G450" s="86"/>
      <c r="H450" s="86"/>
      <c r="I450" s="65"/>
      <c r="J450" s="65"/>
      <c r="K450" s="87"/>
      <c r="L450" s="88"/>
    </row>
    <row r="451" spans="6:12" ht="12.5">
      <c r="F451" s="86"/>
      <c r="G451" s="86"/>
      <c r="H451" s="86"/>
      <c r="I451" s="65"/>
      <c r="J451" s="65"/>
      <c r="K451" s="87"/>
      <c r="L451" s="88"/>
    </row>
    <row r="452" spans="6:12" ht="12.5">
      <c r="F452" s="86"/>
      <c r="G452" s="86"/>
      <c r="H452" s="86"/>
      <c r="I452" s="65"/>
      <c r="J452" s="65"/>
      <c r="K452" s="87"/>
      <c r="L452" s="88"/>
    </row>
    <row r="453" spans="6:12" ht="12.5">
      <c r="F453" s="86"/>
      <c r="G453" s="86"/>
      <c r="H453" s="86"/>
      <c r="I453" s="65"/>
      <c r="J453" s="65"/>
      <c r="K453" s="87"/>
      <c r="L453" s="88"/>
    </row>
    <row r="454" spans="6:12" ht="12.5">
      <c r="F454" s="86"/>
      <c r="G454" s="86"/>
      <c r="H454" s="86"/>
      <c r="I454" s="65"/>
      <c r="J454" s="65"/>
      <c r="K454" s="87"/>
      <c r="L454" s="88"/>
    </row>
    <row r="455" spans="6:12" ht="12.5">
      <c r="F455" s="86"/>
      <c r="G455" s="86"/>
      <c r="H455" s="86"/>
      <c r="I455" s="65"/>
      <c r="J455" s="65"/>
      <c r="K455" s="87"/>
      <c r="L455" s="88"/>
    </row>
    <row r="456" spans="6:12" ht="12.5">
      <c r="F456" s="86"/>
      <c r="G456" s="86"/>
      <c r="H456" s="86"/>
      <c r="I456" s="65"/>
      <c r="J456" s="65"/>
      <c r="K456" s="87"/>
      <c r="L456" s="88"/>
    </row>
    <row r="457" spans="6:12" ht="12.5">
      <c r="F457" s="86"/>
      <c r="G457" s="86"/>
      <c r="H457" s="86"/>
      <c r="I457" s="65"/>
      <c r="J457" s="65"/>
      <c r="K457" s="87"/>
      <c r="L457" s="88"/>
    </row>
    <row r="458" spans="6:12" ht="12.5">
      <c r="F458" s="86"/>
      <c r="G458" s="86"/>
      <c r="H458" s="86"/>
      <c r="I458" s="65"/>
      <c r="J458" s="65"/>
      <c r="K458" s="87"/>
      <c r="L458" s="88"/>
    </row>
    <row r="459" spans="6:12" ht="12.5">
      <c r="F459" s="86"/>
      <c r="G459" s="86"/>
      <c r="H459" s="86"/>
      <c r="I459" s="65"/>
      <c r="J459" s="65"/>
      <c r="K459" s="87"/>
      <c r="L459" s="88"/>
    </row>
    <row r="460" spans="6:12" ht="12.5">
      <c r="F460" s="86"/>
      <c r="G460" s="86"/>
      <c r="H460" s="86"/>
      <c r="I460" s="65"/>
      <c r="J460" s="65"/>
      <c r="K460" s="87"/>
      <c r="L460" s="88"/>
    </row>
    <row r="461" spans="6:12" ht="12.5">
      <c r="F461" s="86"/>
      <c r="G461" s="86"/>
      <c r="H461" s="86"/>
      <c r="I461" s="65"/>
      <c r="J461" s="65"/>
      <c r="K461" s="87"/>
      <c r="L461" s="88"/>
    </row>
    <row r="462" spans="6:12" ht="12.5">
      <c r="F462" s="86"/>
      <c r="G462" s="86"/>
      <c r="H462" s="86"/>
      <c r="I462" s="65"/>
      <c r="J462" s="65"/>
      <c r="K462" s="87"/>
      <c r="L462" s="88"/>
    </row>
    <row r="463" spans="6:12" ht="12.5">
      <c r="F463" s="86"/>
      <c r="G463" s="86"/>
      <c r="H463" s="86"/>
      <c r="I463" s="65"/>
      <c r="J463" s="65"/>
      <c r="K463" s="87"/>
      <c r="L463" s="88"/>
    </row>
    <row r="464" spans="6:12" ht="12.5">
      <c r="F464" s="86"/>
      <c r="G464" s="86"/>
      <c r="H464" s="86"/>
      <c r="I464" s="65"/>
      <c r="J464" s="65"/>
      <c r="K464" s="87"/>
      <c r="L464" s="88"/>
    </row>
    <row r="465" spans="6:12" ht="12.5">
      <c r="F465" s="86"/>
      <c r="G465" s="86"/>
      <c r="H465" s="86"/>
      <c r="I465" s="65"/>
      <c r="J465" s="65"/>
      <c r="K465" s="87"/>
      <c r="L465" s="88"/>
    </row>
    <row r="466" spans="6:12" ht="12.5">
      <c r="F466" s="86"/>
      <c r="G466" s="86"/>
      <c r="H466" s="86"/>
      <c r="I466" s="65"/>
      <c r="J466" s="65"/>
      <c r="K466" s="87"/>
      <c r="L466" s="88"/>
    </row>
    <row r="467" spans="6:12" ht="12.5">
      <c r="F467" s="86"/>
      <c r="G467" s="86"/>
      <c r="H467" s="86"/>
      <c r="I467" s="65"/>
      <c r="J467" s="65"/>
      <c r="K467" s="87"/>
      <c r="L467" s="88"/>
    </row>
    <row r="468" spans="6:12" ht="12.5">
      <c r="F468" s="86"/>
      <c r="G468" s="86"/>
      <c r="H468" s="86"/>
      <c r="I468" s="65"/>
      <c r="J468" s="65"/>
      <c r="K468" s="87"/>
      <c r="L468" s="88"/>
    </row>
    <row r="469" spans="6:12" ht="12.5">
      <c r="F469" s="86"/>
      <c r="G469" s="86"/>
      <c r="H469" s="86"/>
      <c r="I469" s="65"/>
      <c r="J469" s="65"/>
      <c r="K469" s="87"/>
      <c r="L469" s="88"/>
    </row>
    <row r="470" spans="6:12" ht="12.5">
      <c r="F470" s="86"/>
      <c r="G470" s="86"/>
      <c r="H470" s="86"/>
      <c r="I470" s="65"/>
      <c r="J470" s="65"/>
      <c r="K470" s="87"/>
      <c r="L470" s="88"/>
    </row>
    <row r="471" spans="6:12" ht="12.5">
      <c r="F471" s="86"/>
      <c r="G471" s="86"/>
      <c r="H471" s="86"/>
      <c r="I471" s="65"/>
      <c r="J471" s="65"/>
      <c r="K471" s="87"/>
      <c r="L471" s="88"/>
    </row>
    <row r="472" spans="6:12" ht="12.5">
      <c r="F472" s="86"/>
      <c r="G472" s="86"/>
      <c r="H472" s="86"/>
      <c r="I472" s="65"/>
      <c r="J472" s="65"/>
      <c r="K472" s="87"/>
      <c r="L472" s="88"/>
    </row>
    <row r="473" spans="6:12" ht="12.5">
      <c r="F473" s="86"/>
      <c r="G473" s="86"/>
      <c r="H473" s="86"/>
      <c r="I473" s="65"/>
      <c r="J473" s="65"/>
      <c r="K473" s="87"/>
      <c r="L473" s="88"/>
    </row>
    <row r="474" spans="6:12" ht="12.5">
      <c r="F474" s="86"/>
      <c r="G474" s="86"/>
      <c r="H474" s="86"/>
      <c r="I474" s="65"/>
      <c r="J474" s="65"/>
      <c r="K474" s="87"/>
      <c r="L474" s="88"/>
    </row>
    <row r="475" spans="6:12" ht="12.5">
      <c r="F475" s="86"/>
      <c r="G475" s="86"/>
      <c r="H475" s="86"/>
      <c r="I475" s="65"/>
      <c r="J475" s="65"/>
      <c r="K475" s="87"/>
      <c r="L475" s="88"/>
    </row>
    <row r="476" spans="6:12" ht="12.5">
      <c r="F476" s="86"/>
      <c r="G476" s="86"/>
      <c r="H476" s="86"/>
      <c r="I476" s="65"/>
      <c r="J476" s="65"/>
      <c r="K476" s="87"/>
      <c r="L476" s="88"/>
    </row>
    <row r="477" spans="6:12" ht="12.5">
      <c r="F477" s="86"/>
      <c r="G477" s="86"/>
      <c r="H477" s="86"/>
      <c r="I477" s="65"/>
      <c r="J477" s="65"/>
      <c r="K477" s="87"/>
      <c r="L477" s="88"/>
    </row>
    <row r="478" spans="6:12" ht="12.5">
      <c r="F478" s="86"/>
      <c r="G478" s="86"/>
      <c r="H478" s="86"/>
      <c r="I478" s="65"/>
      <c r="J478" s="65"/>
      <c r="K478" s="87"/>
      <c r="L478" s="88"/>
    </row>
    <row r="479" spans="6:12" ht="12.5">
      <c r="F479" s="86"/>
      <c r="G479" s="86"/>
      <c r="H479" s="86"/>
      <c r="I479" s="65"/>
      <c r="J479" s="65"/>
      <c r="K479" s="87"/>
      <c r="L479" s="88"/>
    </row>
    <row r="480" spans="6:12" ht="12.5">
      <c r="F480" s="86"/>
      <c r="G480" s="86"/>
      <c r="H480" s="86"/>
      <c r="I480" s="65"/>
      <c r="J480" s="65"/>
      <c r="K480" s="87"/>
      <c r="L480" s="88"/>
    </row>
    <row r="481" spans="6:12" ht="12.5">
      <c r="F481" s="86"/>
      <c r="G481" s="86"/>
      <c r="H481" s="86"/>
      <c r="I481" s="65"/>
      <c r="J481" s="65"/>
      <c r="K481" s="87"/>
      <c r="L481" s="88"/>
    </row>
    <row r="482" spans="6:12" ht="12.5">
      <c r="F482" s="86"/>
      <c r="G482" s="86"/>
      <c r="H482" s="86"/>
      <c r="I482" s="65"/>
      <c r="J482" s="65"/>
      <c r="K482" s="87"/>
      <c r="L482" s="88"/>
    </row>
    <row r="483" spans="6:12" ht="12.5">
      <c r="F483" s="86"/>
      <c r="G483" s="86"/>
      <c r="H483" s="86"/>
      <c r="I483" s="65"/>
      <c r="J483" s="65"/>
      <c r="K483" s="87"/>
      <c r="L483" s="88"/>
    </row>
    <row r="484" spans="6:12" ht="12.5">
      <c r="F484" s="86"/>
      <c r="G484" s="86"/>
      <c r="H484" s="86"/>
      <c r="I484" s="65"/>
      <c r="J484" s="65"/>
      <c r="K484" s="87"/>
      <c r="L484" s="88"/>
    </row>
    <row r="485" spans="6:12" ht="12.5">
      <c r="F485" s="86"/>
      <c r="G485" s="86"/>
      <c r="H485" s="86"/>
      <c r="I485" s="65"/>
      <c r="J485" s="65"/>
      <c r="K485" s="87"/>
      <c r="L485" s="88"/>
    </row>
    <row r="486" spans="6:12" ht="12.5">
      <c r="F486" s="86"/>
      <c r="G486" s="86"/>
      <c r="H486" s="86"/>
      <c r="I486" s="65"/>
      <c r="J486" s="65"/>
      <c r="K486" s="87"/>
      <c r="L486" s="88"/>
    </row>
    <row r="487" spans="6:12" ht="12.5">
      <c r="F487" s="86"/>
      <c r="G487" s="86"/>
      <c r="H487" s="86"/>
      <c r="I487" s="65"/>
      <c r="J487" s="65"/>
      <c r="K487" s="87"/>
      <c r="L487" s="88"/>
    </row>
    <row r="488" spans="6:12" ht="12.5">
      <c r="F488" s="86"/>
      <c r="G488" s="86"/>
      <c r="H488" s="86"/>
      <c r="I488" s="65"/>
      <c r="J488" s="65"/>
      <c r="K488" s="87"/>
      <c r="L488" s="88"/>
    </row>
    <row r="489" spans="6:12" ht="12.5">
      <c r="F489" s="86"/>
      <c r="G489" s="86"/>
      <c r="H489" s="86"/>
      <c r="I489" s="65"/>
      <c r="J489" s="65"/>
      <c r="K489" s="87"/>
      <c r="L489" s="88"/>
    </row>
    <row r="490" spans="6:12" ht="12.5">
      <c r="F490" s="86"/>
      <c r="G490" s="86"/>
      <c r="H490" s="86"/>
      <c r="I490" s="65"/>
      <c r="J490" s="65"/>
      <c r="K490" s="87"/>
      <c r="L490" s="88"/>
    </row>
    <row r="491" spans="6:12" ht="12.5">
      <c r="F491" s="86"/>
      <c r="G491" s="86"/>
      <c r="H491" s="86"/>
      <c r="I491" s="65"/>
      <c r="J491" s="65"/>
      <c r="K491" s="87"/>
      <c r="L491" s="88"/>
    </row>
    <row r="492" spans="6:12" ht="12.5">
      <c r="F492" s="86"/>
      <c r="G492" s="86"/>
      <c r="H492" s="86"/>
      <c r="I492" s="65"/>
      <c r="J492" s="65"/>
      <c r="K492" s="87"/>
      <c r="L492" s="88"/>
    </row>
    <row r="493" spans="6:12" ht="12.5">
      <c r="F493" s="86"/>
      <c r="G493" s="86"/>
      <c r="H493" s="86"/>
      <c r="I493" s="65"/>
      <c r="J493" s="65"/>
      <c r="K493" s="87"/>
      <c r="L493" s="88"/>
    </row>
    <row r="494" spans="6:12" ht="12.5">
      <c r="F494" s="86"/>
      <c r="G494" s="86"/>
      <c r="H494" s="86"/>
      <c r="I494" s="65"/>
      <c r="J494" s="65"/>
      <c r="K494" s="87"/>
      <c r="L494" s="88"/>
    </row>
    <row r="495" spans="6:12" ht="12.5">
      <c r="F495" s="86"/>
      <c r="G495" s="86"/>
      <c r="H495" s="86"/>
      <c r="I495" s="65"/>
      <c r="J495" s="65"/>
      <c r="K495" s="87"/>
      <c r="L495" s="88"/>
    </row>
    <row r="496" spans="6:12" ht="12.5">
      <c r="F496" s="86"/>
      <c r="G496" s="86"/>
      <c r="H496" s="86"/>
      <c r="I496" s="65"/>
      <c r="J496" s="65"/>
      <c r="K496" s="87"/>
      <c r="L496" s="88"/>
    </row>
    <row r="497" spans="6:12" ht="12.5">
      <c r="F497" s="86"/>
      <c r="G497" s="86"/>
      <c r="H497" s="86"/>
      <c r="I497" s="65"/>
      <c r="J497" s="65"/>
      <c r="K497" s="87"/>
      <c r="L497" s="88"/>
    </row>
    <row r="498" spans="6:12" ht="12.5">
      <c r="F498" s="86"/>
      <c r="G498" s="86"/>
      <c r="H498" s="86"/>
      <c r="I498" s="65"/>
      <c r="J498" s="65"/>
      <c r="K498" s="87"/>
      <c r="L498" s="88"/>
    </row>
    <row r="499" spans="6:12" ht="12.5">
      <c r="F499" s="86"/>
      <c r="G499" s="86"/>
      <c r="H499" s="86"/>
      <c r="I499" s="65"/>
      <c r="J499" s="65"/>
      <c r="K499" s="87"/>
      <c r="L499" s="88"/>
    </row>
    <row r="500" spans="6:12" ht="12.5">
      <c r="F500" s="86"/>
      <c r="G500" s="86"/>
      <c r="H500" s="86"/>
      <c r="I500" s="65"/>
      <c r="J500" s="65"/>
      <c r="K500" s="87"/>
      <c r="L500" s="88"/>
    </row>
    <row r="501" spans="6:12" ht="12.5">
      <c r="F501" s="86"/>
      <c r="G501" s="86"/>
      <c r="H501" s="86"/>
      <c r="I501" s="65"/>
      <c r="J501" s="65"/>
      <c r="K501" s="87"/>
      <c r="L501" s="88"/>
    </row>
    <row r="502" spans="6:12" ht="12.5">
      <c r="F502" s="86"/>
      <c r="G502" s="86"/>
      <c r="H502" s="86"/>
      <c r="I502" s="65"/>
      <c r="J502" s="65"/>
      <c r="K502" s="87"/>
      <c r="L502" s="88"/>
    </row>
    <row r="503" spans="6:12" ht="12.5">
      <c r="F503" s="86"/>
      <c r="G503" s="86"/>
      <c r="H503" s="86"/>
      <c r="I503" s="65"/>
      <c r="J503" s="65"/>
      <c r="K503" s="87"/>
      <c r="L503" s="88"/>
    </row>
    <row r="504" spans="6:12" ht="12.5">
      <c r="F504" s="86"/>
      <c r="G504" s="86"/>
      <c r="H504" s="86"/>
      <c r="I504" s="65"/>
      <c r="J504" s="65"/>
      <c r="K504" s="87"/>
      <c r="L504" s="88"/>
    </row>
    <row r="505" spans="6:12" ht="12.5">
      <c r="F505" s="86"/>
      <c r="G505" s="86"/>
      <c r="H505" s="86"/>
      <c r="I505" s="65"/>
      <c r="J505" s="65"/>
      <c r="K505" s="87"/>
      <c r="L505" s="88"/>
    </row>
    <row r="506" spans="6:12" ht="12.5">
      <c r="F506" s="86"/>
      <c r="G506" s="86"/>
      <c r="H506" s="86"/>
      <c r="I506" s="65"/>
      <c r="J506" s="65"/>
      <c r="K506" s="87"/>
      <c r="L506" s="88"/>
    </row>
    <row r="507" spans="6:12" ht="12.5">
      <c r="F507" s="86"/>
      <c r="G507" s="86"/>
      <c r="H507" s="86"/>
      <c r="I507" s="65"/>
      <c r="J507" s="65"/>
      <c r="K507" s="87"/>
      <c r="L507" s="88"/>
    </row>
    <row r="508" spans="6:12" ht="12.5">
      <c r="F508" s="86"/>
      <c r="G508" s="86"/>
      <c r="H508" s="86"/>
      <c r="I508" s="65"/>
      <c r="J508" s="65"/>
      <c r="K508" s="87"/>
      <c r="L508" s="88"/>
    </row>
    <row r="509" spans="6:12" ht="12.5">
      <c r="F509" s="86"/>
      <c r="G509" s="86"/>
      <c r="H509" s="86"/>
      <c r="I509" s="65"/>
      <c r="J509" s="65"/>
      <c r="K509" s="87"/>
      <c r="L509" s="88"/>
    </row>
    <row r="510" spans="6:12" ht="12.5">
      <c r="F510" s="86"/>
      <c r="G510" s="86"/>
      <c r="H510" s="86"/>
      <c r="I510" s="65"/>
      <c r="J510" s="65"/>
      <c r="K510" s="87"/>
      <c r="L510" s="88"/>
    </row>
    <row r="511" spans="6:12" ht="12.5">
      <c r="F511" s="86"/>
      <c r="G511" s="86"/>
      <c r="H511" s="86"/>
      <c r="I511" s="65"/>
      <c r="J511" s="65"/>
      <c r="K511" s="87"/>
      <c r="L511" s="88"/>
    </row>
    <row r="512" spans="6:12" ht="12.5">
      <c r="F512" s="86"/>
      <c r="G512" s="86"/>
      <c r="H512" s="86"/>
      <c r="I512" s="65"/>
      <c r="J512" s="65"/>
      <c r="K512" s="87"/>
      <c r="L512" s="88"/>
    </row>
    <row r="513" spans="6:12" ht="12.5">
      <c r="F513" s="86"/>
      <c r="G513" s="86"/>
      <c r="H513" s="86"/>
      <c r="I513" s="65"/>
      <c r="J513" s="65"/>
      <c r="K513" s="87"/>
      <c r="L513" s="88"/>
    </row>
    <row r="514" spans="6:12" ht="12.5">
      <c r="F514" s="86"/>
      <c r="G514" s="86"/>
      <c r="H514" s="86"/>
      <c r="I514" s="65"/>
      <c r="J514" s="65"/>
      <c r="K514" s="87"/>
      <c r="L514" s="88"/>
    </row>
    <row r="515" spans="6:12" ht="12.5">
      <c r="F515" s="86"/>
      <c r="G515" s="86"/>
      <c r="H515" s="86"/>
      <c r="I515" s="65"/>
      <c r="J515" s="65"/>
      <c r="K515" s="87"/>
      <c r="L515" s="88"/>
    </row>
    <row r="516" spans="6:12" ht="12.5">
      <c r="F516" s="86"/>
      <c r="G516" s="86"/>
      <c r="H516" s="86"/>
      <c r="I516" s="65"/>
      <c r="J516" s="65"/>
      <c r="K516" s="87"/>
      <c r="L516" s="88"/>
    </row>
    <row r="517" spans="6:12" ht="12.5">
      <c r="F517" s="86"/>
      <c r="G517" s="86"/>
      <c r="H517" s="86"/>
      <c r="I517" s="65"/>
      <c r="J517" s="65"/>
      <c r="K517" s="87"/>
      <c r="L517" s="88"/>
    </row>
    <row r="518" spans="6:12" ht="12.5">
      <c r="F518" s="86"/>
      <c r="G518" s="86"/>
      <c r="H518" s="86"/>
      <c r="I518" s="65"/>
      <c r="J518" s="65"/>
      <c r="K518" s="87"/>
      <c r="L518" s="88"/>
    </row>
    <row r="519" spans="6:12" ht="12.5">
      <c r="F519" s="86"/>
      <c r="G519" s="86"/>
      <c r="H519" s="86"/>
      <c r="I519" s="65"/>
      <c r="J519" s="65"/>
      <c r="K519" s="87"/>
      <c r="L519" s="88"/>
    </row>
    <row r="520" spans="6:12" ht="12.5">
      <c r="F520" s="86"/>
      <c r="G520" s="86"/>
      <c r="H520" s="86"/>
      <c r="I520" s="65"/>
      <c r="J520" s="65"/>
      <c r="K520" s="87"/>
      <c r="L520" s="88"/>
    </row>
    <row r="521" spans="6:12" ht="12.5">
      <c r="F521" s="86"/>
      <c r="G521" s="86"/>
      <c r="H521" s="86"/>
      <c r="I521" s="65"/>
      <c r="J521" s="65"/>
      <c r="K521" s="87"/>
      <c r="L521" s="88"/>
    </row>
    <row r="522" spans="6:12" ht="12.5">
      <c r="F522" s="86"/>
      <c r="G522" s="86"/>
      <c r="H522" s="86"/>
      <c r="I522" s="65"/>
      <c r="J522" s="65"/>
      <c r="K522" s="87"/>
      <c r="L522" s="88"/>
    </row>
    <row r="523" spans="6:12" ht="12.5">
      <c r="F523" s="86"/>
      <c r="G523" s="86"/>
      <c r="H523" s="86"/>
      <c r="I523" s="65"/>
      <c r="J523" s="65"/>
      <c r="K523" s="87"/>
      <c r="L523" s="88"/>
    </row>
    <row r="524" spans="6:12" ht="12.5">
      <c r="F524" s="86"/>
      <c r="G524" s="86"/>
      <c r="H524" s="86"/>
      <c r="I524" s="65"/>
      <c r="J524" s="65"/>
      <c r="K524" s="87"/>
      <c r="L524" s="88"/>
    </row>
    <row r="525" spans="6:12" ht="12.5">
      <c r="F525" s="86"/>
      <c r="G525" s="86"/>
      <c r="H525" s="86"/>
      <c r="I525" s="65"/>
      <c r="J525" s="65"/>
      <c r="K525" s="87"/>
      <c r="L525" s="88"/>
    </row>
    <row r="526" spans="6:12" ht="12.5">
      <c r="F526" s="86"/>
      <c r="G526" s="86"/>
      <c r="H526" s="86"/>
      <c r="I526" s="65"/>
      <c r="J526" s="65"/>
      <c r="K526" s="87"/>
      <c r="L526" s="88"/>
    </row>
    <row r="527" spans="6:12" ht="12.5">
      <c r="F527" s="86"/>
      <c r="G527" s="86"/>
      <c r="H527" s="86"/>
      <c r="I527" s="65"/>
      <c r="J527" s="65"/>
      <c r="K527" s="87"/>
      <c r="L527" s="88"/>
    </row>
    <row r="528" spans="6:12" ht="12.5">
      <c r="F528" s="86"/>
      <c r="G528" s="86"/>
      <c r="H528" s="86"/>
      <c r="I528" s="65"/>
      <c r="J528" s="65"/>
      <c r="K528" s="87"/>
      <c r="L528" s="88"/>
    </row>
    <row r="529" spans="6:12" ht="12.5">
      <c r="F529" s="86"/>
      <c r="G529" s="86"/>
      <c r="H529" s="86"/>
      <c r="I529" s="65"/>
      <c r="J529" s="65"/>
      <c r="K529" s="87"/>
      <c r="L529" s="88"/>
    </row>
    <row r="530" spans="6:12" ht="12.5">
      <c r="F530" s="86"/>
      <c r="G530" s="86"/>
      <c r="H530" s="86"/>
      <c r="I530" s="65"/>
      <c r="J530" s="65"/>
      <c r="K530" s="87"/>
      <c r="L530" s="88"/>
    </row>
    <row r="531" spans="6:12" ht="12.5">
      <c r="F531" s="86"/>
      <c r="G531" s="86"/>
      <c r="H531" s="86"/>
      <c r="I531" s="65"/>
      <c r="J531" s="65"/>
      <c r="K531" s="87"/>
      <c r="L531" s="88"/>
    </row>
    <row r="532" spans="6:12" ht="12.5">
      <c r="F532" s="86"/>
      <c r="G532" s="86"/>
      <c r="H532" s="86"/>
      <c r="I532" s="65"/>
      <c r="J532" s="65"/>
      <c r="K532" s="87"/>
      <c r="L532" s="88"/>
    </row>
    <row r="533" spans="6:12" ht="12.5">
      <c r="F533" s="86"/>
      <c r="G533" s="86"/>
      <c r="H533" s="86"/>
      <c r="I533" s="65"/>
      <c r="J533" s="65"/>
      <c r="K533" s="87"/>
      <c r="L533" s="88"/>
    </row>
    <row r="534" spans="6:12" ht="12.5">
      <c r="F534" s="86"/>
      <c r="G534" s="86"/>
      <c r="H534" s="86"/>
      <c r="I534" s="65"/>
      <c r="J534" s="65"/>
      <c r="K534" s="87"/>
      <c r="L534" s="88"/>
    </row>
    <row r="535" spans="6:12" ht="12.5">
      <c r="F535" s="86"/>
      <c r="G535" s="86"/>
      <c r="H535" s="86"/>
      <c r="I535" s="65"/>
      <c r="J535" s="65"/>
      <c r="K535" s="87"/>
      <c r="L535" s="88"/>
    </row>
    <row r="536" spans="6:12" ht="12.5">
      <c r="F536" s="86"/>
      <c r="G536" s="86"/>
      <c r="H536" s="86"/>
      <c r="I536" s="65"/>
      <c r="J536" s="65"/>
      <c r="K536" s="87"/>
      <c r="L536" s="88"/>
    </row>
    <row r="537" spans="6:12" ht="12.5">
      <c r="F537" s="86"/>
      <c r="G537" s="86"/>
      <c r="H537" s="86"/>
      <c r="I537" s="65"/>
      <c r="J537" s="65"/>
      <c r="K537" s="87"/>
      <c r="L537" s="88"/>
    </row>
    <row r="538" spans="6:12" ht="12.5">
      <c r="F538" s="86"/>
      <c r="G538" s="86"/>
      <c r="H538" s="86"/>
      <c r="I538" s="65"/>
      <c r="J538" s="65"/>
      <c r="K538" s="87"/>
      <c r="L538" s="88"/>
    </row>
    <row r="539" spans="6:12" ht="12.5">
      <c r="F539" s="86"/>
      <c r="G539" s="86"/>
      <c r="H539" s="86"/>
      <c r="I539" s="65"/>
      <c r="J539" s="65"/>
      <c r="K539" s="87"/>
      <c r="L539" s="88"/>
    </row>
    <row r="540" spans="6:12" ht="12.5">
      <c r="F540" s="86"/>
      <c r="G540" s="86"/>
      <c r="H540" s="86"/>
      <c r="I540" s="65"/>
      <c r="J540" s="65"/>
      <c r="K540" s="87"/>
      <c r="L540" s="88"/>
    </row>
    <row r="541" spans="6:12" ht="12.5">
      <c r="F541" s="86"/>
      <c r="G541" s="86"/>
      <c r="H541" s="86"/>
      <c r="I541" s="65"/>
      <c r="J541" s="65"/>
      <c r="K541" s="87"/>
      <c r="L541" s="88"/>
    </row>
    <row r="542" spans="6:12" ht="12.5">
      <c r="F542" s="86"/>
      <c r="G542" s="86"/>
      <c r="H542" s="86"/>
      <c r="I542" s="65"/>
      <c r="J542" s="65"/>
      <c r="K542" s="87"/>
      <c r="L542" s="88"/>
    </row>
    <row r="543" spans="6:12" ht="12.5">
      <c r="F543" s="86"/>
      <c r="G543" s="86"/>
      <c r="H543" s="86"/>
      <c r="I543" s="65"/>
      <c r="J543" s="65"/>
      <c r="K543" s="87"/>
      <c r="L543" s="88"/>
    </row>
    <row r="544" spans="6:12" ht="12.5">
      <c r="F544" s="86"/>
      <c r="G544" s="86"/>
      <c r="H544" s="86"/>
      <c r="I544" s="65"/>
      <c r="J544" s="65"/>
      <c r="K544" s="87"/>
      <c r="L544" s="88"/>
    </row>
    <row r="545" spans="6:12" ht="12.5">
      <c r="F545" s="86"/>
      <c r="G545" s="86"/>
      <c r="H545" s="86"/>
      <c r="I545" s="65"/>
      <c r="J545" s="65"/>
      <c r="K545" s="87"/>
      <c r="L545" s="88"/>
    </row>
    <row r="546" spans="6:12" ht="12.5">
      <c r="F546" s="86"/>
      <c r="G546" s="86"/>
      <c r="H546" s="86"/>
      <c r="I546" s="65"/>
      <c r="J546" s="65"/>
      <c r="K546" s="87"/>
      <c r="L546" s="88"/>
    </row>
    <row r="547" spans="6:12" ht="12.5">
      <c r="F547" s="86"/>
      <c r="G547" s="86"/>
      <c r="H547" s="86"/>
      <c r="I547" s="65"/>
      <c r="J547" s="65"/>
      <c r="K547" s="87"/>
      <c r="L547" s="88"/>
    </row>
    <row r="548" spans="6:12" ht="12.5">
      <c r="F548" s="86"/>
      <c r="G548" s="86"/>
      <c r="H548" s="86"/>
      <c r="I548" s="65"/>
      <c r="J548" s="65"/>
      <c r="K548" s="87"/>
      <c r="L548" s="88"/>
    </row>
    <row r="549" spans="6:12" ht="12.5">
      <c r="F549" s="86"/>
      <c r="G549" s="86"/>
      <c r="H549" s="86"/>
      <c r="I549" s="65"/>
      <c r="J549" s="65"/>
      <c r="K549" s="87"/>
      <c r="L549" s="88"/>
    </row>
    <row r="550" spans="6:12" ht="12.5">
      <c r="F550" s="86"/>
      <c r="G550" s="86"/>
      <c r="H550" s="86"/>
      <c r="I550" s="65"/>
      <c r="J550" s="65"/>
      <c r="K550" s="87"/>
      <c r="L550" s="88"/>
    </row>
    <row r="551" spans="6:12" ht="12.5">
      <c r="F551" s="86"/>
      <c r="G551" s="86"/>
      <c r="H551" s="86"/>
      <c r="I551" s="65"/>
      <c r="J551" s="65"/>
      <c r="K551" s="87"/>
      <c r="L551" s="88"/>
    </row>
    <row r="552" spans="6:12" ht="12.5">
      <c r="F552" s="86"/>
      <c r="G552" s="86"/>
      <c r="H552" s="86"/>
      <c r="I552" s="65"/>
      <c r="J552" s="65"/>
      <c r="K552" s="87"/>
      <c r="L552" s="88"/>
    </row>
    <row r="553" spans="6:12" ht="12.5">
      <c r="F553" s="86"/>
      <c r="G553" s="86"/>
      <c r="H553" s="86"/>
      <c r="I553" s="65"/>
      <c r="J553" s="65"/>
      <c r="K553" s="87"/>
      <c r="L553" s="88"/>
    </row>
    <row r="554" spans="6:12" ht="12.5">
      <c r="F554" s="86"/>
      <c r="G554" s="86"/>
      <c r="H554" s="86"/>
      <c r="I554" s="65"/>
      <c r="J554" s="65"/>
      <c r="K554" s="87"/>
      <c r="L554" s="88"/>
    </row>
    <row r="555" spans="6:12" ht="12.5">
      <c r="F555" s="86"/>
      <c r="G555" s="86"/>
      <c r="H555" s="86"/>
      <c r="I555" s="65"/>
      <c r="J555" s="65"/>
      <c r="K555" s="87"/>
      <c r="L555" s="88"/>
    </row>
    <row r="556" spans="6:12" ht="12.5">
      <c r="F556" s="86"/>
      <c r="G556" s="86"/>
      <c r="H556" s="86"/>
      <c r="I556" s="65"/>
      <c r="J556" s="65"/>
      <c r="K556" s="87"/>
      <c r="L556" s="88"/>
    </row>
    <row r="557" spans="6:12" ht="12.5">
      <c r="F557" s="86"/>
      <c r="G557" s="86"/>
      <c r="H557" s="86"/>
      <c r="I557" s="65"/>
      <c r="J557" s="65"/>
      <c r="K557" s="87"/>
      <c r="L557" s="88"/>
    </row>
    <row r="558" spans="6:12" ht="12.5">
      <c r="F558" s="86"/>
      <c r="G558" s="86"/>
      <c r="H558" s="86"/>
      <c r="I558" s="65"/>
      <c r="J558" s="65"/>
      <c r="K558" s="87"/>
      <c r="L558" s="88"/>
    </row>
    <row r="559" spans="6:12" ht="12.5">
      <c r="F559" s="86"/>
      <c r="G559" s="86"/>
      <c r="H559" s="86"/>
      <c r="I559" s="65"/>
      <c r="J559" s="65"/>
      <c r="K559" s="87"/>
      <c r="L559" s="88"/>
    </row>
    <row r="560" spans="6:12" ht="12.5">
      <c r="F560" s="86"/>
      <c r="G560" s="86"/>
      <c r="H560" s="86"/>
      <c r="I560" s="65"/>
      <c r="J560" s="65"/>
      <c r="K560" s="87"/>
      <c r="L560" s="88"/>
    </row>
    <row r="561" spans="6:12" ht="12.5">
      <c r="F561" s="86"/>
      <c r="G561" s="86"/>
      <c r="H561" s="86"/>
      <c r="I561" s="65"/>
      <c r="J561" s="65"/>
      <c r="K561" s="87"/>
      <c r="L561" s="88"/>
    </row>
    <row r="562" spans="6:12" ht="12.5">
      <c r="F562" s="86"/>
      <c r="G562" s="86"/>
      <c r="H562" s="86"/>
      <c r="I562" s="65"/>
      <c r="J562" s="65"/>
      <c r="K562" s="87"/>
      <c r="L562" s="88"/>
    </row>
    <row r="563" spans="6:12" ht="12.5">
      <c r="F563" s="86"/>
      <c r="G563" s="86"/>
      <c r="H563" s="86"/>
      <c r="I563" s="65"/>
      <c r="J563" s="65"/>
      <c r="K563" s="87"/>
      <c r="L563" s="88"/>
    </row>
    <row r="564" spans="6:12" ht="12.5">
      <c r="F564" s="86"/>
      <c r="G564" s="86"/>
      <c r="H564" s="86"/>
      <c r="I564" s="65"/>
      <c r="J564" s="65"/>
      <c r="K564" s="87"/>
      <c r="L564" s="88"/>
    </row>
    <row r="565" spans="6:12" ht="12.5">
      <c r="F565" s="86"/>
      <c r="G565" s="86"/>
      <c r="H565" s="86"/>
      <c r="I565" s="65"/>
      <c r="J565" s="65"/>
      <c r="K565" s="87"/>
      <c r="L565" s="88"/>
    </row>
    <row r="566" spans="6:12" ht="12.5">
      <c r="F566" s="86"/>
      <c r="G566" s="86"/>
      <c r="H566" s="86"/>
      <c r="I566" s="65"/>
      <c r="J566" s="65"/>
      <c r="K566" s="87"/>
      <c r="L566" s="88"/>
    </row>
    <row r="567" spans="6:12" ht="12.5">
      <c r="F567" s="86"/>
      <c r="G567" s="86"/>
      <c r="H567" s="86"/>
      <c r="I567" s="65"/>
      <c r="J567" s="65"/>
      <c r="K567" s="87"/>
      <c r="L567" s="88"/>
    </row>
    <row r="568" spans="6:12" ht="12.5">
      <c r="F568" s="86"/>
      <c r="G568" s="86"/>
      <c r="H568" s="86"/>
      <c r="I568" s="65"/>
      <c r="J568" s="65"/>
      <c r="K568" s="87"/>
      <c r="L568" s="88"/>
    </row>
    <row r="569" spans="6:12" ht="12.5">
      <c r="F569" s="86"/>
      <c r="G569" s="86"/>
      <c r="H569" s="86"/>
      <c r="I569" s="65"/>
      <c r="J569" s="65"/>
      <c r="K569" s="87"/>
      <c r="L569" s="88"/>
    </row>
    <row r="570" spans="6:12" ht="12.5">
      <c r="F570" s="86"/>
      <c r="G570" s="86"/>
      <c r="H570" s="86"/>
      <c r="I570" s="65"/>
      <c r="J570" s="65"/>
      <c r="K570" s="87"/>
      <c r="L570" s="88"/>
    </row>
    <row r="571" spans="6:12" ht="12.5">
      <c r="F571" s="86"/>
      <c r="G571" s="86"/>
      <c r="H571" s="86"/>
      <c r="I571" s="65"/>
      <c r="J571" s="65"/>
      <c r="K571" s="87"/>
      <c r="L571" s="88"/>
    </row>
    <row r="572" spans="6:12" ht="12.5">
      <c r="F572" s="86"/>
      <c r="G572" s="86"/>
      <c r="H572" s="86"/>
      <c r="I572" s="65"/>
      <c r="J572" s="65"/>
      <c r="K572" s="87"/>
      <c r="L572" s="88"/>
    </row>
    <row r="573" spans="6:12" ht="12.5">
      <c r="F573" s="86"/>
      <c r="G573" s="86"/>
      <c r="H573" s="86"/>
      <c r="I573" s="65"/>
      <c r="J573" s="65"/>
      <c r="K573" s="87"/>
      <c r="L573" s="88"/>
    </row>
    <row r="574" spans="6:12" ht="12.5">
      <c r="F574" s="86"/>
      <c r="G574" s="86"/>
      <c r="H574" s="86"/>
      <c r="I574" s="65"/>
      <c r="J574" s="65"/>
      <c r="K574" s="87"/>
      <c r="L574" s="88"/>
    </row>
    <row r="575" spans="6:12" ht="12.5">
      <c r="F575" s="86"/>
      <c r="G575" s="86"/>
      <c r="H575" s="86"/>
      <c r="I575" s="65"/>
      <c r="J575" s="65"/>
      <c r="K575" s="87"/>
      <c r="L575" s="88"/>
    </row>
    <row r="576" spans="6:12" ht="12.5">
      <c r="F576" s="86"/>
      <c r="G576" s="86"/>
      <c r="H576" s="86"/>
      <c r="I576" s="65"/>
      <c r="J576" s="65"/>
      <c r="K576" s="87"/>
      <c r="L576" s="88"/>
    </row>
    <row r="577" spans="6:12" ht="12.5">
      <c r="F577" s="86"/>
      <c r="G577" s="86"/>
      <c r="H577" s="86"/>
      <c r="I577" s="65"/>
      <c r="J577" s="65"/>
      <c r="K577" s="87"/>
      <c r="L577" s="88"/>
    </row>
    <row r="578" spans="6:12" ht="12.5">
      <c r="F578" s="86"/>
      <c r="G578" s="86"/>
      <c r="H578" s="86"/>
      <c r="I578" s="65"/>
      <c r="J578" s="65"/>
      <c r="K578" s="87"/>
      <c r="L578" s="88"/>
    </row>
    <row r="579" spans="6:12" ht="12.5">
      <c r="F579" s="86"/>
      <c r="G579" s="86"/>
      <c r="H579" s="86"/>
      <c r="I579" s="65"/>
      <c r="J579" s="65"/>
      <c r="K579" s="87"/>
      <c r="L579" s="88"/>
    </row>
    <row r="580" spans="6:12" ht="12.5">
      <c r="F580" s="86"/>
      <c r="G580" s="86"/>
      <c r="H580" s="86"/>
      <c r="I580" s="65"/>
      <c r="J580" s="65"/>
      <c r="K580" s="87"/>
      <c r="L580" s="88"/>
    </row>
    <row r="581" spans="6:12" ht="12.5">
      <c r="F581" s="86"/>
      <c r="G581" s="86"/>
      <c r="H581" s="86"/>
      <c r="I581" s="65"/>
      <c r="J581" s="65"/>
      <c r="K581" s="87"/>
      <c r="L581" s="88"/>
    </row>
    <row r="582" spans="6:12" ht="12.5">
      <c r="F582" s="86"/>
      <c r="G582" s="86"/>
      <c r="H582" s="86"/>
      <c r="I582" s="65"/>
      <c r="J582" s="65"/>
      <c r="K582" s="87"/>
      <c r="L582" s="88"/>
    </row>
    <row r="583" spans="6:12" ht="12.5">
      <c r="F583" s="86"/>
      <c r="G583" s="86"/>
      <c r="H583" s="86"/>
      <c r="I583" s="65"/>
      <c r="J583" s="65"/>
      <c r="K583" s="87"/>
      <c r="L583" s="88"/>
    </row>
    <row r="584" spans="6:12" ht="12.5">
      <c r="F584" s="86"/>
      <c r="G584" s="86"/>
      <c r="H584" s="86"/>
      <c r="I584" s="65"/>
      <c r="J584" s="65"/>
      <c r="K584" s="87"/>
      <c r="L584" s="88"/>
    </row>
    <row r="585" spans="6:12" ht="12.5">
      <c r="F585" s="86"/>
      <c r="G585" s="86"/>
      <c r="H585" s="86"/>
      <c r="I585" s="65"/>
      <c r="J585" s="65"/>
      <c r="K585" s="87"/>
      <c r="L585" s="88"/>
    </row>
    <row r="586" spans="6:12" ht="12.5">
      <c r="F586" s="86"/>
      <c r="G586" s="86"/>
      <c r="H586" s="86"/>
      <c r="I586" s="65"/>
      <c r="J586" s="65"/>
      <c r="K586" s="87"/>
      <c r="L586" s="88"/>
    </row>
    <row r="587" spans="6:12" ht="12.5">
      <c r="F587" s="86"/>
      <c r="G587" s="86"/>
      <c r="H587" s="86"/>
      <c r="I587" s="65"/>
      <c r="J587" s="65"/>
      <c r="K587" s="87"/>
      <c r="L587" s="88"/>
    </row>
    <row r="588" spans="6:12" ht="12.5">
      <c r="F588" s="86"/>
      <c r="G588" s="86"/>
      <c r="H588" s="86"/>
      <c r="I588" s="65"/>
      <c r="J588" s="65"/>
      <c r="K588" s="87"/>
      <c r="L588" s="88"/>
    </row>
    <row r="589" spans="6:12" ht="12.5">
      <c r="F589" s="86"/>
      <c r="G589" s="86"/>
      <c r="H589" s="86"/>
      <c r="I589" s="65"/>
      <c r="J589" s="65"/>
      <c r="K589" s="87"/>
      <c r="L589" s="88"/>
    </row>
    <row r="590" spans="6:12" ht="12.5">
      <c r="F590" s="86"/>
      <c r="G590" s="86"/>
      <c r="H590" s="86"/>
      <c r="I590" s="65"/>
      <c r="J590" s="65"/>
      <c r="K590" s="87"/>
      <c r="L590" s="88"/>
    </row>
    <row r="591" spans="6:12" ht="12.5">
      <c r="F591" s="86"/>
      <c r="G591" s="86"/>
      <c r="H591" s="86"/>
      <c r="I591" s="65"/>
      <c r="J591" s="65"/>
      <c r="K591" s="87"/>
      <c r="L591" s="88"/>
    </row>
    <row r="592" spans="6:12" ht="12.5">
      <c r="F592" s="86"/>
      <c r="G592" s="86"/>
      <c r="H592" s="86"/>
      <c r="I592" s="65"/>
      <c r="J592" s="65"/>
      <c r="K592" s="87"/>
      <c r="L592" s="88"/>
    </row>
    <row r="593" spans="6:12" ht="12.5">
      <c r="F593" s="86"/>
      <c r="G593" s="86"/>
      <c r="H593" s="86"/>
      <c r="I593" s="65"/>
      <c r="J593" s="65"/>
      <c r="K593" s="87"/>
      <c r="L593" s="88"/>
    </row>
    <row r="594" spans="6:12" ht="12.5">
      <c r="F594" s="86"/>
      <c r="G594" s="86"/>
      <c r="H594" s="86"/>
      <c r="I594" s="65"/>
      <c r="J594" s="65"/>
      <c r="K594" s="87"/>
      <c r="L594" s="88"/>
    </row>
    <row r="595" spans="6:12" ht="12.5">
      <c r="F595" s="86"/>
      <c r="G595" s="86"/>
      <c r="H595" s="86"/>
      <c r="I595" s="65"/>
      <c r="J595" s="65"/>
      <c r="K595" s="87"/>
      <c r="L595" s="88"/>
    </row>
    <row r="596" spans="6:12" ht="12.5">
      <c r="F596" s="86"/>
      <c r="G596" s="86"/>
      <c r="H596" s="86"/>
      <c r="I596" s="65"/>
      <c r="J596" s="65"/>
      <c r="K596" s="87"/>
      <c r="L596" s="88"/>
    </row>
    <row r="597" spans="6:12" ht="12.5">
      <c r="F597" s="86"/>
      <c r="G597" s="86"/>
      <c r="H597" s="86"/>
      <c r="I597" s="65"/>
      <c r="J597" s="65"/>
      <c r="K597" s="87"/>
      <c r="L597" s="88"/>
    </row>
    <row r="598" spans="6:12" ht="12.5">
      <c r="F598" s="86"/>
      <c r="G598" s="86"/>
      <c r="H598" s="86"/>
      <c r="I598" s="65"/>
      <c r="J598" s="65"/>
      <c r="K598" s="87"/>
      <c r="L598" s="88"/>
    </row>
    <row r="599" spans="6:12" ht="12.5">
      <c r="F599" s="86"/>
      <c r="G599" s="86"/>
      <c r="H599" s="86"/>
      <c r="I599" s="65"/>
      <c r="J599" s="65"/>
      <c r="K599" s="87"/>
      <c r="L599" s="88"/>
    </row>
    <row r="600" spans="6:12" ht="12.5">
      <c r="F600" s="86"/>
      <c r="G600" s="86"/>
      <c r="H600" s="86"/>
      <c r="I600" s="65"/>
      <c r="J600" s="65"/>
      <c r="K600" s="87"/>
      <c r="L600" s="88"/>
    </row>
    <row r="601" spans="6:12" ht="12.5">
      <c r="F601" s="86"/>
      <c r="G601" s="86"/>
      <c r="H601" s="86"/>
      <c r="I601" s="65"/>
      <c r="J601" s="65"/>
      <c r="K601" s="87"/>
      <c r="L601" s="88"/>
    </row>
    <row r="602" spans="6:12" ht="12.5">
      <c r="F602" s="86"/>
      <c r="G602" s="86"/>
      <c r="H602" s="86"/>
      <c r="I602" s="65"/>
      <c r="J602" s="65"/>
      <c r="K602" s="87"/>
      <c r="L602" s="88"/>
    </row>
    <row r="603" spans="6:12" ht="12.5">
      <c r="F603" s="86"/>
      <c r="G603" s="86"/>
      <c r="H603" s="86"/>
      <c r="I603" s="65"/>
      <c r="J603" s="65"/>
      <c r="K603" s="87"/>
      <c r="L603" s="88"/>
    </row>
    <row r="604" spans="6:12" ht="12.5">
      <c r="F604" s="86"/>
      <c r="G604" s="86"/>
      <c r="H604" s="86"/>
      <c r="I604" s="65"/>
      <c r="J604" s="65"/>
      <c r="K604" s="87"/>
      <c r="L604" s="88"/>
    </row>
    <row r="605" spans="6:12" ht="12.5">
      <c r="F605" s="86"/>
      <c r="G605" s="86"/>
      <c r="H605" s="86"/>
      <c r="I605" s="65"/>
      <c r="J605" s="65"/>
      <c r="K605" s="87"/>
      <c r="L605" s="88"/>
    </row>
    <row r="606" spans="6:12" ht="12.5">
      <c r="F606" s="86"/>
      <c r="G606" s="86"/>
      <c r="H606" s="86"/>
      <c r="I606" s="65"/>
      <c r="J606" s="65"/>
      <c r="K606" s="87"/>
      <c r="L606" s="88"/>
    </row>
    <row r="607" spans="6:12" ht="12.5">
      <c r="F607" s="86"/>
      <c r="G607" s="86"/>
      <c r="H607" s="86"/>
      <c r="I607" s="65"/>
      <c r="J607" s="65"/>
      <c r="K607" s="87"/>
      <c r="L607" s="88"/>
    </row>
    <row r="608" spans="6:12" ht="12.5">
      <c r="F608" s="86"/>
      <c r="G608" s="86"/>
      <c r="H608" s="86"/>
      <c r="I608" s="65"/>
      <c r="J608" s="65"/>
      <c r="K608" s="87"/>
      <c r="L608" s="88"/>
    </row>
    <row r="609" spans="6:12" ht="12.5">
      <c r="F609" s="86"/>
      <c r="G609" s="86"/>
      <c r="H609" s="86"/>
      <c r="I609" s="65"/>
      <c r="J609" s="65"/>
      <c r="K609" s="87"/>
      <c r="L609" s="88"/>
    </row>
    <row r="610" spans="6:12" ht="12.5">
      <c r="F610" s="86"/>
      <c r="G610" s="86"/>
      <c r="H610" s="86"/>
      <c r="I610" s="65"/>
      <c r="J610" s="65"/>
      <c r="K610" s="87"/>
      <c r="L610" s="88"/>
    </row>
    <row r="611" spans="6:12" ht="12.5">
      <c r="F611" s="86"/>
      <c r="G611" s="86"/>
      <c r="H611" s="86"/>
      <c r="I611" s="65"/>
      <c r="J611" s="65"/>
      <c r="K611" s="87"/>
      <c r="L611" s="88"/>
    </row>
    <row r="612" spans="6:12" ht="12.5">
      <c r="F612" s="86"/>
      <c r="G612" s="86"/>
      <c r="H612" s="86"/>
      <c r="I612" s="65"/>
      <c r="J612" s="65"/>
      <c r="K612" s="87"/>
      <c r="L612" s="88"/>
    </row>
    <row r="613" spans="6:12" ht="12.5">
      <c r="F613" s="86"/>
      <c r="G613" s="86"/>
      <c r="H613" s="86"/>
      <c r="I613" s="65"/>
      <c r="J613" s="65"/>
      <c r="K613" s="87"/>
      <c r="L613" s="88"/>
    </row>
    <row r="614" spans="6:12" ht="12.5">
      <c r="F614" s="86"/>
      <c r="G614" s="86"/>
      <c r="H614" s="86"/>
      <c r="I614" s="65"/>
      <c r="J614" s="65"/>
      <c r="K614" s="87"/>
      <c r="L614" s="88"/>
    </row>
    <row r="615" spans="6:12" ht="12.5">
      <c r="F615" s="86"/>
      <c r="G615" s="86"/>
      <c r="H615" s="86"/>
      <c r="I615" s="65"/>
      <c r="J615" s="65"/>
      <c r="K615" s="87"/>
      <c r="L615" s="88"/>
    </row>
    <row r="616" spans="6:12" ht="12.5">
      <c r="F616" s="86"/>
      <c r="G616" s="86"/>
      <c r="H616" s="86"/>
      <c r="I616" s="65"/>
      <c r="J616" s="65"/>
      <c r="K616" s="87"/>
      <c r="L616" s="88"/>
    </row>
    <row r="617" spans="6:12" ht="12.5">
      <c r="F617" s="86"/>
      <c r="G617" s="86"/>
      <c r="H617" s="86"/>
      <c r="I617" s="65"/>
      <c r="J617" s="65"/>
      <c r="K617" s="87"/>
      <c r="L617" s="88"/>
    </row>
    <row r="618" spans="6:12" ht="12.5">
      <c r="F618" s="86"/>
      <c r="G618" s="86"/>
      <c r="H618" s="86"/>
      <c r="I618" s="65"/>
      <c r="J618" s="65"/>
      <c r="K618" s="87"/>
      <c r="L618" s="88"/>
    </row>
    <row r="619" spans="6:12" ht="12.5">
      <c r="F619" s="86"/>
      <c r="G619" s="86"/>
      <c r="H619" s="86"/>
      <c r="I619" s="65"/>
      <c r="J619" s="65"/>
      <c r="K619" s="87"/>
      <c r="L619" s="88"/>
    </row>
    <row r="620" spans="6:12" ht="12.5">
      <c r="F620" s="86"/>
      <c r="G620" s="86"/>
      <c r="H620" s="86"/>
      <c r="I620" s="65"/>
      <c r="J620" s="65"/>
      <c r="K620" s="87"/>
      <c r="L620" s="88"/>
    </row>
    <row r="621" spans="6:12" ht="12.5">
      <c r="F621" s="86"/>
      <c r="G621" s="86"/>
      <c r="H621" s="86"/>
      <c r="I621" s="65"/>
      <c r="J621" s="65"/>
      <c r="K621" s="87"/>
      <c r="L621" s="88"/>
    </row>
    <row r="622" spans="6:12" ht="12.5">
      <c r="F622" s="86"/>
      <c r="G622" s="86"/>
      <c r="H622" s="86"/>
      <c r="I622" s="65"/>
      <c r="J622" s="65"/>
      <c r="K622" s="87"/>
      <c r="L622" s="88"/>
    </row>
    <row r="623" spans="6:12" ht="12.5">
      <c r="F623" s="86"/>
      <c r="G623" s="86"/>
      <c r="H623" s="86"/>
      <c r="I623" s="65"/>
      <c r="J623" s="65"/>
      <c r="K623" s="87"/>
      <c r="L623" s="88"/>
    </row>
    <row r="624" spans="6:12" ht="12.5">
      <c r="F624" s="86"/>
      <c r="G624" s="86"/>
      <c r="H624" s="86"/>
      <c r="I624" s="65"/>
      <c r="J624" s="65"/>
      <c r="K624" s="87"/>
      <c r="L624" s="88"/>
    </row>
    <row r="625" spans="6:12" ht="12.5">
      <c r="F625" s="86"/>
      <c r="G625" s="86"/>
      <c r="H625" s="86"/>
      <c r="I625" s="65"/>
      <c r="J625" s="65"/>
      <c r="K625" s="87"/>
      <c r="L625" s="88"/>
    </row>
    <row r="626" spans="6:12" ht="12.5">
      <c r="F626" s="86"/>
      <c r="G626" s="86"/>
      <c r="H626" s="86"/>
      <c r="I626" s="65"/>
      <c r="J626" s="65"/>
      <c r="K626" s="87"/>
      <c r="L626" s="88"/>
    </row>
    <row r="627" spans="6:12" ht="12.5">
      <c r="F627" s="86"/>
      <c r="G627" s="86"/>
      <c r="H627" s="86"/>
      <c r="I627" s="65"/>
      <c r="J627" s="65"/>
      <c r="K627" s="87"/>
      <c r="L627" s="88"/>
    </row>
    <row r="628" spans="6:12" ht="12.5">
      <c r="F628" s="86"/>
      <c r="G628" s="86"/>
      <c r="H628" s="86"/>
      <c r="I628" s="65"/>
      <c r="J628" s="65"/>
      <c r="K628" s="87"/>
      <c r="L628" s="88"/>
    </row>
    <row r="629" spans="6:12" ht="12.5">
      <c r="F629" s="86"/>
      <c r="G629" s="86"/>
      <c r="H629" s="86"/>
      <c r="I629" s="65"/>
      <c r="J629" s="65"/>
      <c r="K629" s="87"/>
      <c r="L629" s="88"/>
    </row>
    <row r="630" spans="6:12" ht="12.5">
      <c r="F630" s="86"/>
      <c r="G630" s="86"/>
      <c r="H630" s="86"/>
      <c r="I630" s="65"/>
      <c r="J630" s="65"/>
      <c r="K630" s="87"/>
      <c r="L630" s="88"/>
    </row>
    <row r="631" spans="6:12" ht="12.5">
      <c r="F631" s="86"/>
      <c r="G631" s="86"/>
      <c r="H631" s="86"/>
      <c r="I631" s="65"/>
      <c r="J631" s="65"/>
      <c r="K631" s="87"/>
      <c r="L631" s="88"/>
    </row>
    <row r="632" spans="6:12" ht="12.5">
      <c r="F632" s="86"/>
      <c r="G632" s="86"/>
      <c r="H632" s="86"/>
      <c r="I632" s="65"/>
      <c r="J632" s="65"/>
      <c r="K632" s="87"/>
      <c r="L632" s="88"/>
    </row>
    <row r="633" spans="6:12" ht="12.5">
      <c r="F633" s="86"/>
      <c r="G633" s="86"/>
      <c r="H633" s="86"/>
      <c r="I633" s="65"/>
      <c r="J633" s="65"/>
      <c r="K633" s="87"/>
      <c r="L633" s="88"/>
    </row>
    <row r="634" spans="6:12" ht="12.5">
      <c r="F634" s="86"/>
      <c r="G634" s="86"/>
      <c r="H634" s="86"/>
      <c r="I634" s="65"/>
      <c r="J634" s="65"/>
      <c r="K634" s="87"/>
      <c r="L634" s="88"/>
    </row>
    <row r="635" spans="6:12" ht="12.5">
      <c r="F635" s="86"/>
      <c r="G635" s="86"/>
      <c r="H635" s="86"/>
      <c r="I635" s="65"/>
      <c r="J635" s="65"/>
      <c r="K635" s="87"/>
      <c r="L635" s="88"/>
    </row>
    <row r="636" spans="6:12" ht="12.5">
      <c r="F636" s="86"/>
      <c r="G636" s="86"/>
      <c r="H636" s="86"/>
      <c r="I636" s="65"/>
      <c r="J636" s="65"/>
      <c r="K636" s="87"/>
      <c r="L636" s="88"/>
    </row>
    <row r="637" spans="6:12" ht="12.5">
      <c r="F637" s="86"/>
      <c r="G637" s="86"/>
      <c r="H637" s="86"/>
      <c r="I637" s="65"/>
      <c r="J637" s="65"/>
      <c r="K637" s="87"/>
      <c r="L637" s="88"/>
    </row>
    <row r="638" spans="6:12" ht="12.5">
      <c r="F638" s="86"/>
      <c r="G638" s="86"/>
      <c r="H638" s="86"/>
      <c r="I638" s="65"/>
      <c r="J638" s="65"/>
      <c r="K638" s="87"/>
      <c r="L638" s="88"/>
    </row>
    <row r="639" spans="6:12" ht="12.5">
      <c r="F639" s="86"/>
      <c r="G639" s="86"/>
      <c r="H639" s="86"/>
      <c r="I639" s="65"/>
      <c r="J639" s="65"/>
      <c r="K639" s="87"/>
      <c r="L639" s="88"/>
    </row>
    <row r="640" spans="6:12" ht="12.5">
      <c r="F640" s="86"/>
      <c r="G640" s="86"/>
      <c r="H640" s="86"/>
      <c r="I640" s="65"/>
      <c r="J640" s="65"/>
      <c r="K640" s="87"/>
      <c r="L640" s="88"/>
    </row>
    <row r="641" spans="6:12" ht="12.5">
      <c r="F641" s="86"/>
      <c r="G641" s="86"/>
      <c r="H641" s="86"/>
      <c r="I641" s="65"/>
      <c r="J641" s="65"/>
      <c r="K641" s="87"/>
      <c r="L641" s="88"/>
    </row>
    <row r="642" spans="6:12" ht="12.5">
      <c r="F642" s="86"/>
      <c r="G642" s="86"/>
      <c r="H642" s="86"/>
      <c r="I642" s="65"/>
      <c r="J642" s="65"/>
      <c r="K642" s="87"/>
      <c r="L642" s="88"/>
    </row>
    <row r="643" spans="6:12" ht="12.5">
      <c r="F643" s="86"/>
      <c r="G643" s="86"/>
      <c r="H643" s="86"/>
      <c r="I643" s="65"/>
      <c r="J643" s="65"/>
      <c r="K643" s="87"/>
      <c r="L643" s="88"/>
    </row>
    <row r="644" spans="6:12" ht="12.5">
      <c r="F644" s="86"/>
      <c r="G644" s="86"/>
      <c r="H644" s="86"/>
      <c r="I644" s="65"/>
      <c r="J644" s="65"/>
      <c r="K644" s="87"/>
      <c r="L644" s="88"/>
    </row>
    <row r="645" spans="6:12" ht="12.5">
      <c r="F645" s="86"/>
      <c r="G645" s="86"/>
      <c r="H645" s="86"/>
      <c r="I645" s="65"/>
      <c r="J645" s="65"/>
      <c r="K645" s="87"/>
      <c r="L645" s="88"/>
    </row>
    <row r="646" spans="6:12" ht="12.5">
      <c r="F646" s="86"/>
      <c r="G646" s="86"/>
      <c r="H646" s="86"/>
      <c r="I646" s="65"/>
      <c r="J646" s="65"/>
      <c r="K646" s="87"/>
      <c r="L646" s="88"/>
    </row>
    <row r="647" spans="6:12" ht="12.5">
      <c r="F647" s="86"/>
      <c r="G647" s="86"/>
      <c r="H647" s="86"/>
      <c r="I647" s="65"/>
      <c r="J647" s="65"/>
      <c r="K647" s="87"/>
      <c r="L647" s="88"/>
    </row>
    <row r="648" spans="6:12" ht="12.5">
      <c r="F648" s="86"/>
      <c r="G648" s="86"/>
      <c r="H648" s="86"/>
      <c r="I648" s="65"/>
      <c r="J648" s="65"/>
      <c r="K648" s="87"/>
      <c r="L648" s="88"/>
    </row>
    <row r="649" spans="6:12" ht="12.5">
      <c r="F649" s="86"/>
      <c r="G649" s="86"/>
      <c r="H649" s="86"/>
      <c r="I649" s="65"/>
      <c r="J649" s="65"/>
      <c r="K649" s="87"/>
      <c r="L649" s="88"/>
    </row>
    <row r="650" spans="6:12" ht="12.5">
      <c r="F650" s="86"/>
      <c r="G650" s="86"/>
      <c r="H650" s="86"/>
      <c r="I650" s="65"/>
      <c r="J650" s="65"/>
      <c r="K650" s="87"/>
      <c r="L650" s="88"/>
    </row>
    <row r="651" spans="6:12" ht="12.5">
      <c r="F651" s="86"/>
      <c r="G651" s="86"/>
      <c r="H651" s="86"/>
      <c r="I651" s="65"/>
      <c r="J651" s="65"/>
      <c r="K651" s="87"/>
      <c r="L651" s="88"/>
    </row>
    <row r="652" spans="6:12" ht="12.5">
      <c r="F652" s="86"/>
      <c r="G652" s="86"/>
      <c r="H652" s="86"/>
      <c r="I652" s="65"/>
      <c r="J652" s="65"/>
      <c r="K652" s="87"/>
      <c r="L652" s="88"/>
    </row>
    <row r="653" spans="6:12" ht="12.5">
      <c r="F653" s="86"/>
      <c r="G653" s="86"/>
      <c r="H653" s="86"/>
      <c r="I653" s="65"/>
      <c r="J653" s="65"/>
      <c r="K653" s="87"/>
      <c r="L653" s="88"/>
    </row>
    <row r="654" spans="6:12" ht="12.5">
      <c r="F654" s="86"/>
      <c r="G654" s="86"/>
      <c r="H654" s="86"/>
      <c r="I654" s="65"/>
      <c r="J654" s="65"/>
      <c r="K654" s="87"/>
      <c r="L654" s="88"/>
    </row>
    <row r="655" spans="6:12" ht="12.5">
      <c r="F655" s="86"/>
      <c r="G655" s="86"/>
      <c r="H655" s="86"/>
      <c r="I655" s="65"/>
      <c r="J655" s="65"/>
      <c r="K655" s="87"/>
      <c r="L655" s="88"/>
    </row>
    <row r="656" spans="6:12" ht="12.5">
      <c r="F656" s="86"/>
      <c r="G656" s="86"/>
      <c r="H656" s="86"/>
      <c r="I656" s="65"/>
      <c r="J656" s="65"/>
      <c r="K656" s="87"/>
      <c r="L656" s="88"/>
    </row>
    <row r="657" spans="6:12" ht="12.5">
      <c r="F657" s="86"/>
      <c r="G657" s="86"/>
      <c r="H657" s="86"/>
      <c r="I657" s="65"/>
      <c r="J657" s="65"/>
      <c r="K657" s="87"/>
      <c r="L657" s="88"/>
    </row>
    <row r="658" spans="6:12" ht="12.5">
      <c r="F658" s="86"/>
      <c r="G658" s="86"/>
      <c r="H658" s="86"/>
      <c r="I658" s="65"/>
      <c r="J658" s="65"/>
      <c r="K658" s="87"/>
      <c r="L658" s="88"/>
    </row>
    <row r="659" spans="6:12" ht="12.5">
      <c r="F659" s="86"/>
      <c r="G659" s="86"/>
      <c r="H659" s="86"/>
      <c r="I659" s="65"/>
      <c r="J659" s="65"/>
      <c r="K659" s="87"/>
      <c r="L659" s="88"/>
    </row>
    <row r="660" spans="6:12" ht="12.5">
      <c r="F660" s="86"/>
      <c r="G660" s="86"/>
      <c r="H660" s="86"/>
      <c r="I660" s="65"/>
      <c r="J660" s="65"/>
      <c r="K660" s="87"/>
      <c r="L660" s="88"/>
    </row>
    <row r="661" spans="6:12" ht="12.5">
      <c r="F661" s="86"/>
      <c r="G661" s="86"/>
      <c r="H661" s="86"/>
      <c r="I661" s="65"/>
      <c r="J661" s="65"/>
      <c r="K661" s="87"/>
      <c r="L661" s="88"/>
    </row>
    <row r="662" spans="6:12" ht="12.5">
      <c r="F662" s="86"/>
      <c r="G662" s="86"/>
      <c r="H662" s="86"/>
      <c r="I662" s="65"/>
      <c r="J662" s="65"/>
      <c r="K662" s="87"/>
      <c r="L662" s="88"/>
    </row>
    <row r="663" spans="6:12" ht="12.5">
      <c r="F663" s="86"/>
      <c r="G663" s="86"/>
      <c r="H663" s="86"/>
      <c r="I663" s="65"/>
      <c r="J663" s="65"/>
      <c r="K663" s="87"/>
      <c r="L663" s="88"/>
    </row>
    <row r="664" spans="6:12" ht="12.5">
      <c r="F664" s="86"/>
      <c r="G664" s="86"/>
      <c r="H664" s="86"/>
      <c r="I664" s="65"/>
      <c r="J664" s="65"/>
      <c r="K664" s="87"/>
      <c r="L664" s="88"/>
    </row>
    <row r="665" spans="6:12" ht="12.5">
      <c r="F665" s="86"/>
      <c r="G665" s="86"/>
      <c r="H665" s="86"/>
      <c r="I665" s="65"/>
      <c r="J665" s="65"/>
      <c r="K665" s="87"/>
      <c r="L665" s="88"/>
    </row>
    <row r="666" spans="6:12" ht="12.5">
      <c r="F666" s="86"/>
      <c r="G666" s="86"/>
      <c r="H666" s="86"/>
      <c r="I666" s="65"/>
      <c r="J666" s="65"/>
      <c r="K666" s="87"/>
      <c r="L666" s="88"/>
    </row>
    <row r="667" spans="6:12" ht="12.5">
      <c r="F667" s="86"/>
      <c r="G667" s="86"/>
      <c r="H667" s="86"/>
      <c r="I667" s="65"/>
      <c r="J667" s="65"/>
      <c r="K667" s="87"/>
      <c r="L667" s="88"/>
    </row>
    <row r="668" spans="6:12" ht="12.5">
      <c r="F668" s="86"/>
      <c r="G668" s="86"/>
      <c r="H668" s="86"/>
      <c r="I668" s="65"/>
      <c r="J668" s="65"/>
      <c r="K668" s="87"/>
      <c r="L668" s="88"/>
    </row>
    <row r="669" spans="6:12" ht="12.5">
      <c r="F669" s="86"/>
      <c r="G669" s="86"/>
      <c r="H669" s="86"/>
      <c r="I669" s="65"/>
      <c r="J669" s="65"/>
      <c r="K669" s="87"/>
      <c r="L669" s="88"/>
    </row>
    <row r="670" spans="6:12" ht="12.5">
      <c r="F670" s="86"/>
      <c r="G670" s="86"/>
      <c r="H670" s="86"/>
      <c r="I670" s="65"/>
      <c r="J670" s="65"/>
      <c r="K670" s="87"/>
      <c r="L670" s="88"/>
    </row>
    <row r="671" spans="6:12" ht="12.5">
      <c r="F671" s="86"/>
      <c r="G671" s="86"/>
      <c r="H671" s="86"/>
      <c r="I671" s="65"/>
      <c r="J671" s="65"/>
      <c r="K671" s="87"/>
      <c r="L671" s="88"/>
    </row>
    <row r="672" spans="6:12" ht="12.5">
      <c r="F672" s="86"/>
      <c r="G672" s="86"/>
      <c r="H672" s="86"/>
      <c r="I672" s="65"/>
      <c r="J672" s="65"/>
      <c r="K672" s="87"/>
      <c r="L672" s="88"/>
    </row>
    <row r="673" spans="6:12" ht="12.5">
      <c r="F673" s="86"/>
      <c r="G673" s="86"/>
      <c r="H673" s="86"/>
      <c r="I673" s="65"/>
      <c r="J673" s="65"/>
      <c r="K673" s="87"/>
      <c r="L673" s="88"/>
    </row>
    <row r="674" spans="6:12" ht="12.5">
      <c r="F674" s="86"/>
      <c r="G674" s="86"/>
      <c r="H674" s="86"/>
      <c r="I674" s="65"/>
      <c r="J674" s="65"/>
      <c r="K674" s="87"/>
      <c r="L674" s="88"/>
    </row>
    <row r="675" spans="6:12" ht="12.5">
      <c r="F675" s="86"/>
      <c r="G675" s="86"/>
      <c r="H675" s="86"/>
      <c r="I675" s="65"/>
      <c r="J675" s="65"/>
      <c r="K675" s="87"/>
      <c r="L675" s="88"/>
    </row>
    <row r="676" spans="6:12" ht="12.5">
      <c r="F676" s="86"/>
      <c r="G676" s="86"/>
      <c r="H676" s="86"/>
      <c r="I676" s="65"/>
      <c r="J676" s="65"/>
      <c r="K676" s="87"/>
      <c r="L676" s="88"/>
    </row>
    <row r="677" spans="6:12" ht="12.5">
      <c r="F677" s="86"/>
      <c r="G677" s="86"/>
      <c r="H677" s="86"/>
      <c r="I677" s="65"/>
      <c r="J677" s="65"/>
      <c r="K677" s="87"/>
      <c r="L677" s="88"/>
    </row>
    <row r="678" spans="6:12" ht="12.5">
      <c r="F678" s="86"/>
      <c r="G678" s="86"/>
      <c r="H678" s="86"/>
      <c r="I678" s="65"/>
      <c r="J678" s="65"/>
      <c r="K678" s="87"/>
      <c r="L678" s="88"/>
    </row>
    <row r="679" spans="6:12" ht="12.5">
      <c r="F679" s="86"/>
      <c r="G679" s="86"/>
      <c r="H679" s="86"/>
      <c r="I679" s="65"/>
      <c r="J679" s="65"/>
      <c r="K679" s="87"/>
      <c r="L679" s="88"/>
    </row>
    <row r="680" spans="6:12" ht="12.5">
      <c r="F680" s="86"/>
      <c r="G680" s="86"/>
      <c r="H680" s="86"/>
      <c r="I680" s="65"/>
      <c r="J680" s="65"/>
      <c r="K680" s="87"/>
      <c r="L680" s="88"/>
    </row>
    <row r="681" spans="6:12" ht="12.5">
      <c r="F681" s="86"/>
      <c r="G681" s="86"/>
      <c r="H681" s="86"/>
      <c r="I681" s="65"/>
      <c r="J681" s="65"/>
      <c r="K681" s="87"/>
      <c r="L681" s="88"/>
    </row>
    <row r="682" spans="6:12" ht="12.5">
      <c r="F682" s="86"/>
      <c r="G682" s="86"/>
      <c r="H682" s="86"/>
      <c r="I682" s="65"/>
      <c r="J682" s="65"/>
      <c r="K682" s="87"/>
      <c r="L682" s="88"/>
    </row>
    <row r="683" spans="6:12" ht="12.5">
      <c r="F683" s="86"/>
      <c r="G683" s="86"/>
      <c r="H683" s="86"/>
      <c r="I683" s="65"/>
      <c r="J683" s="65"/>
      <c r="K683" s="87"/>
      <c r="L683" s="88"/>
    </row>
    <row r="684" spans="6:12" ht="12.5">
      <c r="F684" s="86"/>
      <c r="G684" s="86"/>
      <c r="H684" s="86"/>
      <c r="I684" s="65"/>
      <c r="J684" s="65"/>
      <c r="K684" s="87"/>
      <c r="L684" s="88"/>
    </row>
    <row r="685" spans="6:12" ht="12.5">
      <c r="F685" s="86"/>
      <c r="G685" s="86"/>
      <c r="H685" s="86"/>
      <c r="I685" s="65"/>
      <c r="J685" s="65"/>
      <c r="K685" s="87"/>
      <c r="L685" s="88"/>
    </row>
    <row r="686" spans="6:12" ht="12.5">
      <c r="F686" s="86"/>
      <c r="G686" s="86"/>
      <c r="H686" s="86"/>
      <c r="I686" s="65"/>
      <c r="J686" s="65"/>
      <c r="K686" s="87"/>
      <c r="L686" s="88"/>
    </row>
    <row r="687" spans="6:12" ht="12.5">
      <c r="F687" s="86"/>
      <c r="G687" s="86"/>
      <c r="H687" s="86"/>
      <c r="I687" s="65"/>
      <c r="J687" s="65"/>
      <c r="K687" s="87"/>
      <c r="L687" s="88"/>
    </row>
    <row r="688" spans="6:12" ht="12.5">
      <c r="F688" s="86"/>
      <c r="G688" s="86"/>
      <c r="H688" s="86"/>
      <c r="I688" s="65"/>
      <c r="J688" s="65"/>
      <c r="K688" s="87"/>
      <c r="L688" s="88"/>
    </row>
    <row r="689" spans="6:12" ht="12.5">
      <c r="F689" s="86"/>
      <c r="G689" s="86"/>
      <c r="H689" s="86"/>
      <c r="I689" s="65"/>
      <c r="J689" s="65"/>
      <c r="K689" s="87"/>
      <c r="L689" s="88"/>
    </row>
    <row r="690" spans="6:12" ht="12.5">
      <c r="F690" s="86"/>
      <c r="G690" s="86"/>
      <c r="H690" s="86"/>
      <c r="I690" s="65"/>
      <c r="J690" s="65"/>
      <c r="K690" s="87"/>
      <c r="L690" s="88"/>
    </row>
    <row r="691" spans="6:12" ht="12.5">
      <c r="F691" s="86"/>
      <c r="G691" s="86"/>
      <c r="H691" s="86"/>
      <c r="I691" s="65"/>
      <c r="J691" s="65"/>
      <c r="K691" s="87"/>
      <c r="L691" s="88"/>
    </row>
    <row r="692" spans="6:12" ht="12.5">
      <c r="F692" s="86"/>
      <c r="G692" s="86"/>
      <c r="H692" s="86"/>
      <c r="I692" s="65"/>
      <c r="J692" s="65"/>
      <c r="K692" s="87"/>
      <c r="L692" s="88"/>
    </row>
    <row r="693" spans="6:12" ht="12.5">
      <c r="F693" s="86"/>
      <c r="G693" s="86"/>
      <c r="H693" s="86"/>
      <c r="I693" s="65"/>
      <c r="J693" s="65"/>
      <c r="K693" s="87"/>
      <c r="L693" s="88"/>
    </row>
    <row r="694" spans="6:12" ht="12.5">
      <c r="F694" s="86"/>
      <c r="G694" s="86"/>
      <c r="H694" s="86"/>
      <c r="I694" s="65"/>
      <c r="J694" s="65"/>
      <c r="K694" s="87"/>
      <c r="L694" s="88"/>
    </row>
    <row r="695" spans="6:12" ht="12.5">
      <c r="F695" s="86"/>
      <c r="G695" s="86"/>
      <c r="H695" s="86"/>
      <c r="I695" s="65"/>
      <c r="J695" s="65"/>
      <c r="K695" s="87"/>
      <c r="L695" s="88"/>
    </row>
    <row r="696" spans="6:12" ht="12.5">
      <c r="F696" s="86"/>
      <c r="G696" s="86"/>
      <c r="H696" s="86"/>
      <c r="I696" s="65"/>
      <c r="J696" s="65"/>
      <c r="K696" s="87"/>
      <c r="L696" s="88"/>
    </row>
    <row r="697" spans="6:12" ht="12.5">
      <c r="F697" s="86"/>
      <c r="G697" s="86"/>
      <c r="H697" s="86"/>
      <c r="I697" s="65"/>
      <c r="J697" s="65"/>
      <c r="K697" s="87"/>
      <c r="L697" s="88"/>
    </row>
    <row r="698" spans="6:12" ht="12.5">
      <c r="F698" s="86"/>
      <c r="G698" s="86"/>
      <c r="H698" s="86"/>
      <c r="I698" s="65"/>
      <c r="J698" s="65"/>
      <c r="K698" s="87"/>
      <c r="L698" s="88"/>
    </row>
    <row r="699" spans="6:12" ht="12.5">
      <c r="F699" s="86"/>
      <c r="G699" s="86"/>
      <c r="H699" s="86"/>
      <c r="I699" s="65"/>
      <c r="J699" s="65"/>
      <c r="K699" s="87"/>
      <c r="L699" s="88"/>
    </row>
    <row r="700" spans="6:12" ht="12.5">
      <c r="F700" s="86"/>
      <c r="G700" s="86"/>
      <c r="H700" s="86"/>
      <c r="I700" s="65"/>
      <c r="J700" s="65"/>
      <c r="K700" s="87"/>
      <c r="L700" s="88"/>
    </row>
    <row r="701" spans="6:12" ht="12.5">
      <c r="F701" s="86"/>
      <c r="G701" s="86"/>
      <c r="H701" s="86"/>
      <c r="I701" s="65"/>
      <c r="J701" s="65"/>
      <c r="K701" s="87"/>
      <c r="L701" s="88"/>
    </row>
    <row r="702" spans="6:12" ht="12.5">
      <c r="F702" s="86"/>
      <c r="G702" s="86"/>
      <c r="H702" s="86"/>
      <c r="I702" s="65"/>
      <c r="J702" s="65"/>
      <c r="K702" s="87"/>
      <c r="L702" s="88"/>
    </row>
    <row r="703" spans="6:12" ht="12.5">
      <c r="F703" s="86"/>
      <c r="G703" s="86"/>
      <c r="H703" s="86"/>
      <c r="I703" s="65"/>
      <c r="J703" s="65"/>
      <c r="K703" s="87"/>
      <c r="L703" s="88"/>
    </row>
    <row r="704" spans="6:12" ht="12.5">
      <c r="F704" s="86"/>
      <c r="G704" s="86"/>
      <c r="H704" s="86"/>
      <c r="I704" s="65"/>
      <c r="J704" s="65"/>
      <c r="K704" s="87"/>
      <c r="L704" s="88"/>
    </row>
    <row r="705" spans="6:12" ht="12.5">
      <c r="F705" s="86"/>
      <c r="G705" s="86"/>
      <c r="H705" s="86"/>
      <c r="I705" s="65"/>
      <c r="J705" s="65"/>
      <c r="K705" s="87"/>
      <c r="L705" s="88"/>
    </row>
    <row r="706" spans="6:12" ht="12.5">
      <c r="F706" s="86"/>
      <c r="G706" s="86"/>
      <c r="H706" s="86"/>
      <c r="I706" s="65"/>
      <c r="J706" s="65"/>
      <c r="K706" s="87"/>
      <c r="L706" s="88"/>
    </row>
    <row r="707" spans="6:12" ht="12.5">
      <c r="F707" s="86"/>
      <c r="G707" s="86"/>
      <c r="H707" s="86"/>
      <c r="I707" s="65"/>
      <c r="J707" s="65"/>
      <c r="K707" s="87"/>
      <c r="L707" s="88"/>
    </row>
    <row r="708" spans="6:12" ht="12.5">
      <c r="F708" s="86"/>
      <c r="G708" s="86"/>
      <c r="H708" s="86"/>
      <c r="I708" s="65"/>
      <c r="J708" s="65"/>
      <c r="K708" s="87"/>
      <c r="L708" s="88"/>
    </row>
    <row r="709" spans="6:12" ht="12.5">
      <c r="F709" s="86"/>
      <c r="G709" s="86"/>
      <c r="H709" s="86"/>
      <c r="I709" s="65"/>
      <c r="J709" s="65"/>
      <c r="K709" s="87"/>
      <c r="L709" s="88"/>
    </row>
    <row r="710" spans="6:12" ht="12.5">
      <c r="F710" s="86"/>
      <c r="G710" s="86"/>
      <c r="H710" s="86"/>
      <c r="I710" s="65"/>
      <c r="J710" s="65"/>
      <c r="K710" s="87"/>
      <c r="L710" s="88"/>
    </row>
    <row r="711" spans="6:12" ht="12.5">
      <c r="F711" s="86"/>
      <c r="G711" s="86"/>
      <c r="H711" s="86"/>
      <c r="I711" s="65"/>
      <c r="J711" s="65"/>
      <c r="K711" s="87"/>
      <c r="L711" s="88"/>
    </row>
    <row r="712" spans="6:12" ht="12.5">
      <c r="F712" s="86"/>
      <c r="G712" s="86"/>
      <c r="H712" s="86"/>
      <c r="I712" s="65"/>
      <c r="J712" s="65"/>
      <c r="K712" s="87"/>
      <c r="L712" s="88"/>
    </row>
    <row r="713" spans="6:12" ht="12.5">
      <c r="F713" s="86"/>
      <c r="G713" s="86"/>
      <c r="H713" s="86"/>
      <c r="I713" s="65"/>
      <c r="J713" s="65"/>
      <c r="K713" s="87"/>
      <c r="L713" s="88"/>
    </row>
    <row r="714" spans="6:12" ht="12.5">
      <c r="F714" s="86"/>
      <c r="G714" s="86"/>
      <c r="H714" s="86"/>
      <c r="I714" s="65"/>
      <c r="J714" s="65"/>
      <c r="K714" s="87"/>
      <c r="L714" s="88"/>
    </row>
    <row r="715" spans="6:12" ht="12.5">
      <c r="F715" s="86"/>
      <c r="G715" s="86"/>
      <c r="H715" s="86"/>
      <c r="I715" s="65"/>
      <c r="J715" s="65"/>
      <c r="K715" s="87"/>
      <c r="L715" s="88"/>
    </row>
    <row r="716" spans="6:12" ht="12.5">
      <c r="F716" s="86"/>
      <c r="G716" s="86"/>
      <c r="H716" s="86"/>
      <c r="I716" s="65"/>
      <c r="J716" s="65"/>
      <c r="K716" s="87"/>
      <c r="L716" s="88"/>
    </row>
    <row r="717" spans="6:12" ht="12.5">
      <c r="F717" s="86"/>
      <c r="G717" s="86"/>
      <c r="H717" s="86"/>
      <c r="I717" s="65"/>
      <c r="J717" s="65"/>
      <c r="K717" s="87"/>
      <c r="L717" s="88"/>
    </row>
    <row r="718" spans="6:12" ht="12.5">
      <c r="F718" s="86"/>
      <c r="G718" s="86"/>
      <c r="H718" s="86"/>
      <c r="I718" s="65"/>
      <c r="J718" s="65"/>
      <c r="K718" s="87"/>
      <c r="L718" s="88"/>
    </row>
    <row r="719" spans="6:12" ht="12.5">
      <c r="F719" s="86"/>
      <c r="G719" s="86"/>
      <c r="H719" s="86"/>
      <c r="I719" s="65"/>
      <c r="J719" s="65"/>
      <c r="K719" s="87"/>
      <c r="L719" s="88"/>
    </row>
    <row r="720" spans="6:12" ht="12.5">
      <c r="F720" s="86"/>
      <c r="G720" s="86"/>
      <c r="H720" s="86"/>
      <c r="I720" s="65"/>
      <c r="J720" s="65"/>
      <c r="K720" s="87"/>
      <c r="L720" s="88"/>
    </row>
    <row r="721" spans="6:12" ht="12.5">
      <c r="F721" s="86"/>
      <c r="G721" s="86"/>
      <c r="H721" s="86"/>
      <c r="I721" s="65"/>
      <c r="J721" s="65"/>
      <c r="K721" s="87"/>
      <c r="L721" s="88"/>
    </row>
    <row r="722" spans="6:12" ht="12.5">
      <c r="F722" s="86"/>
      <c r="G722" s="86"/>
      <c r="H722" s="86"/>
      <c r="I722" s="65"/>
      <c r="J722" s="65"/>
      <c r="K722" s="87"/>
      <c r="L722" s="88"/>
    </row>
    <row r="723" spans="6:12" ht="12.5">
      <c r="F723" s="86"/>
      <c r="G723" s="86"/>
      <c r="H723" s="86"/>
      <c r="I723" s="65"/>
      <c r="J723" s="65"/>
      <c r="K723" s="87"/>
      <c r="L723" s="88"/>
    </row>
    <row r="724" spans="6:12" ht="12.5">
      <c r="F724" s="86"/>
      <c r="G724" s="86"/>
      <c r="H724" s="86"/>
      <c r="I724" s="65"/>
      <c r="J724" s="65"/>
      <c r="K724" s="87"/>
      <c r="L724" s="88"/>
    </row>
    <row r="725" spans="6:12" ht="12.5">
      <c r="F725" s="86"/>
      <c r="G725" s="86"/>
      <c r="H725" s="86"/>
      <c r="I725" s="65"/>
      <c r="J725" s="65"/>
      <c r="K725" s="87"/>
      <c r="L725" s="88"/>
    </row>
    <row r="726" spans="6:12" ht="12.5">
      <c r="F726" s="86"/>
      <c r="G726" s="86"/>
      <c r="H726" s="86"/>
      <c r="I726" s="65"/>
      <c r="J726" s="65"/>
      <c r="K726" s="87"/>
      <c r="L726" s="88"/>
    </row>
    <row r="727" spans="6:12" ht="12.5">
      <c r="F727" s="86"/>
      <c r="G727" s="86"/>
      <c r="H727" s="86"/>
      <c r="I727" s="65"/>
      <c r="J727" s="65"/>
      <c r="K727" s="87"/>
      <c r="L727" s="88"/>
    </row>
    <row r="728" spans="6:12" ht="12.5">
      <c r="F728" s="86"/>
      <c r="G728" s="86"/>
      <c r="H728" s="86"/>
      <c r="I728" s="65"/>
      <c r="J728" s="65"/>
      <c r="K728" s="87"/>
      <c r="L728" s="88"/>
    </row>
    <row r="729" spans="6:12" ht="12.5">
      <c r="F729" s="86"/>
      <c r="G729" s="86"/>
      <c r="H729" s="86"/>
      <c r="I729" s="65"/>
      <c r="J729" s="65"/>
      <c r="K729" s="87"/>
      <c r="L729" s="88"/>
    </row>
    <row r="730" spans="6:12" ht="12.5">
      <c r="F730" s="86"/>
      <c r="G730" s="86"/>
      <c r="H730" s="86"/>
      <c r="I730" s="65"/>
      <c r="J730" s="65"/>
      <c r="K730" s="87"/>
      <c r="L730" s="88"/>
    </row>
    <row r="731" spans="6:12" ht="12.5">
      <c r="F731" s="86"/>
      <c r="G731" s="86"/>
      <c r="H731" s="86"/>
      <c r="I731" s="65"/>
      <c r="J731" s="65"/>
      <c r="K731" s="87"/>
      <c r="L731" s="88"/>
    </row>
    <row r="732" spans="6:12" ht="12.5">
      <c r="F732" s="86"/>
      <c r="G732" s="86"/>
      <c r="H732" s="86"/>
      <c r="I732" s="65"/>
      <c r="J732" s="65"/>
      <c r="K732" s="87"/>
      <c r="L732" s="88"/>
    </row>
    <row r="733" spans="6:12" ht="12.5">
      <c r="F733" s="86"/>
      <c r="G733" s="86"/>
      <c r="H733" s="86"/>
      <c r="I733" s="65"/>
      <c r="J733" s="65"/>
      <c r="K733" s="87"/>
      <c r="L733" s="88"/>
    </row>
    <row r="734" spans="6:12" ht="12.5">
      <c r="F734" s="86"/>
      <c r="G734" s="86"/>
      <c r="H734" s="86"/>
      <c r="I734" s="65"/>
      <c r="J734" s="65"/>
      <c r="K734" s="87"/>
      <c r="L734" s="88"/>
    </row>
    <row r="735" spans="6:12" ht="12.5">
      <c r="F735" s="86"/>
      <c r="G735" s="86"/>
      <c r="H735" s="86"/>
      <c r="I735" s="65"/>
      <c r="J735" s="65"/>
      <c r="K735" s="87"/>
      <c r="L735" s="88"/>
    </row>
    <row r="736" spans="6:12" ht="12.5">
      <c r="F736" s="86"/>
      <c r="G736" s="86"/>
      <c r="H736" s="86"/>
      <c r="I736" s="65"/>
      <c r="J736" s="65"/>
      <c r="K736" s="87"/>
      <c r="L736" s="88"/>
    </row>
    <row r="737" spans="6:12" ht="12.5">
      <c r="F737" s="86"/>
      <c r="G737" s="86"/>
      <c r="H737" s="86"/>
      <c r="I737" s="65"/>
      <c r="J737" s="65"/>
      <c r="K737" s="87"/>
      <c r="L737" s="88"/>
    </row>
    <row r="738" spans="6:12" ht="12.5">
      <c r="F738" s="86"/>
      <c r="G738" s="86"/>
      <c r="H738" s="86"/>
      <c r="I738" s="65"/>
      <c r="J738" s="65"/>
      <c r="K738" s="87"/>
      <c r="L738" s="88"/>
    </row>
    <row r="739" spans="6:12" ht="12.5">
      <c r="F739" s="86"/>
      <c r="G739" s="86"/>
      <c r="H739" s="86"/>
      <c r="I739" s="65"/>
      <c r="J739" s="65"/>
      <c r="K739" s="87"/>
      <c r="L739" s="88"/>
    </row>
    <row r="740" spans="6:12" ht="12.5">
      <c r="F740" s="86"/>
      <c r="G740" s="86"/>
      <c r="H740" s="86"/>
      <c r="I740" s="65"/>
      <c r="J740" s="65"/>
      <c r="K740" s="87"/>
      <c r="L740" s="88"/>
    </row>
    <row r="741" spans="6:12" ht="12.5">
      <c r="F741" s="86"/>
      <c r="G741" s="86"/>
      <c r="H741" s="86"/>
      <c r="I741" s="65"/>
      <c r="J741" s="65"/>
      <c r="K741" s="87"/>
      <c r="L741" s="88"/>
    </row>
    <row r="742" spans="6:12" ht="12.5">
      <c r="F742" s="86"/>
      <c r="G742" s="86"/>
      <c r="H742" s="86"/>
      <c r="I742" s="65"/>
      <c r="J742" s="65"/>
      <c r="K742" s="87"/>
      <c r="L742" s="88"/>
    </row>
    <row r="743" spans="6:12" ht="12.5">
      <c r="F743" s="86"/>
      <c r="G743" s="86"/>
      <c r="H743" s="86"/>
      <c r="I743" s="65"/>
      <c r="J743" s="65"/>
      <c r="K743" s="87"/>
      <c r="L743" s="88"/>
    </row>
    <row r="744" spans="6:12" ht="12.5">
      <c r="F744" s="86"/>
      <c r="G744" s="86"/>
      <c r="H744" s="86"/>
      <c r="I744" s="65"/>
      <c r="J744" s="65"/>
      <c r="K744" s="87"/>
      <c r="L744" s="88"/>
    </row>
    <row r="745" spans="6:12" ht="12.5">
      <c r="F745" s="86"/>
      <c r="G745" s="86"/>
      <c r="H745" s="86"/>
      <c r="I745" s="65"/>
      <c r="J745" s="65"/>
      <c r="K745" s="87"/>
      <c r="L745" s="88"/>
    </row>
    <row r="746" spans="6:12" ht="12.5">
      <c r="F746" s="86"/>
      <c r="G746" s="86"/>
      <c r="H746" s="86"/>
      <c r="I746" s="65"/>
      <c r="J746" s="65"/>
      <c r="K746" s="87"/>
      <c r="L746" s="88"/>
    </row>
    <row r="747" spans="6:12" ht="12.5">
      <c r="F747" s="86"/>
      <c r="G747" s="86"/>
      <c r="H747" s="86"/>
      <c r="I747" s="65"/>
      <c r="J747" s="65"/>
      <c r="K747" s="87"/>
      <c r="L747" s="88"/>
    </row>
    <row r="748" spans="6:12" ht="12.5">
      <c r="F748" s="86"/>
      <c r="G748" s="86"/>
      <c r="H748" s="86"/>
      <c r="I748" s="65"/>
      <c r="J748" s="65"/>
      <c r="K748" s="87"/>
      <c r="L748" s="88"/>
    </row>
    <row r="749" spans="6:12" ht="12.5">
      <c r="F749" s="86"/>
      <c r="G749" s="86"/>
      <c r="H749" s="86"/>
      <c r="I749" s="65"/>
      <c r="J749" s="65"/>
      <c r="K749" s="87"/>
      <c r="L749" s="88"/>
    </row>
    <row r="750" spans="6:12" ht="12.5">
      <c r="F750" s="86"/>
      <c r="G750" s="86"/>
      <c r="H750" s="86"/>
      <c r="I750" s="65"/>
      <c r="J750" s="65"/>
      <c r="K750" s="87"/>
      <c r="L750" s="88"/>
    </row>
    <row r="751" spans="6:12" ht="12.5">
      <c r="F751" s="86"/>
      <c r="G751" s="86"/>
      <c r="H751" s="86"/>
      <c r="I751" s="65"/>
      <c r="J751" s="65"/>
      <c r="K751" s="87"/>
      <c r="L751" s="88"/>
    </row>
    <row r="752" spans="6:12" ht="12.5">
      <c r="F752" s="86"/>
      <c r="G752" s="86"/>
      <c r="H752" s="86"/>
      <c r="I752" s="65"/>
      <c r="J752" s="65"/>
      <c r="K752" s="87"/>
      <c r="L752" s="88"/>
    </row>
    <row r="753" spans="6:12" ht="12.5">
      <c r="F753" s="86"/>
      <c r="G753" s="86"/>
      <c r="H753" s="86"/>
      <c r="I753" s="65"/>
      <c r="J753" s="65"/>
      <c r="K753" s="87"/>
      <c r="L753" s="88"/>
    </row>
    <row r="754" spans="6:12" ht="12.5">
      <c r="F754" s="86"/>
      <c r="G754" s="86"/>
      <c r="H754" s="86"/>
      <c r="I754" s="65"/>
      <c r="J754" s="65"/>
      <c r="K754" s="87"/>
      <c r="L754" s="88"/>
    </row>
    <row r="755" spans="6:12" ht="12.5">
      <c r="F755" s="86"/>
      <c r="G755" s="86"/>
      <c r="H755" s="86"/>
      <c r="I755" s="65"/>
      <c r="J755" s="65"/>
      <c r="K755" s="87"/>
      <c r="L755" s="88"/>
    </row>
    <row r="756" spans="6:12" ht="12.5">
      <c r="F756" s="86"/>
      <c r="G756" s="86"/>
      <c r="H756" s="86"/>
      <c r="I756" s="65"/>
      <c r="J756" s="65"/>
      <c r="K756" s="87"/>
      <c r="L756" s="88"/>
    </row>
    <row r="757" spans="6:12" ht="12.5">
      <c r="F757" s="86"/>
      <c r="G757" s="86"/>
      <c r="H757" s="86"/>
      <c r="I757" s="65"/>
      <c r="J757" s="65"/>
      <c r="K757" s="87"/>
      <c r="L757" s="88"/>
    </row>
    <row r="758" spans="6:12" ht="12.5">
      <c r="F758" s="86"/>
      <c r="G758" s="86"/>
      <c r="H758" s="86"/>
      <c r="I758" s="65"/>
      <c r="J758" s="65"/>
      <c r="K758" s="87"/>
      <c r="L758" s="88"/>
    </row>
    <row r="759" spans="6:12" ht="12.5">
      <c r="F759" s="86"/>
      <c r="G759" s="86"/>
      <c r="H759" s="86"/>
      <c r="I759" s="65"/>
      <c r="J759" s="65"/>
      <c r="K759" s="87"/>
      <c r="L759" s="88"/>
    </row>
    <row r="760" spans="6:12" ht="12.5">
      <c r="F760" s="86"/>
      <c r="G760" s="86"/>
      <c r="H760" s="86"/>
      <c r="I760" s="65"/>
      <c r="J760" s="65"/>
      <c r="K760" s="87"/>
      <c r="L760" s="88"/>
    </row>
    <row r="761" spans="6:12" ht="12.5">
      <c r="F761" s="86"/>
      <c r="G761" s="86"/>
      <c r="H761" s="86"/>
      <c r="I761" s="65"/>
      <c r="J761" s="65"/>
      <c r="K761" s="87"/>
      <c r="L761" s="88"/>
    </row>
    <row r="762" spans="6:12" ht="12.5">
      <c r="F762" s="86"/>
      <c r="G762" s="86"/>
      <c r="H762" s="86"/>
      <c r="I762" s="65"/>
      <c r="J762" s="65"/>
      <c r="K762" s="87"/>
      <c r="L762" s="88"/>
    </row>
    <row r="763" spans="6:12" ht="12.5">
      <c r="F763" s="86"/>
      <c r="G763" s="86"/>
      <c r="H763" s="86"/>
      <c r="I763" s="65"/>
      <c r="J763" s="65"/>
      <c r="K763" s="87"/>
      <c r="L763" s="88"/>
    </row>
    <row r="764" spans="6:12" ht="12.5">
      <c r="F764" s="86"/>
      <c r="G764" s="86"/>
      <c r="H764" s="86"/>
      <c r="I764" s="65"/>
      <c r="J764" s="65"/>
      <c r="K764" s="87"/>
      <c r="L764" s="88"/>
    </row>
    <row r="765" spans="6:12" ht="12.5">
      <c r="F765" s="86"/>
      <c r="G765" s="86"/>
      <c r="H765" s="86"/>
      <c r="I765" s="65"/>
      <c r="J765" s="65"/>
      <c r="K765" s="87"/>
      <c r="L765" s="88"/>
    </row>
    <row r="766" spans="6:12" ht="12.5">
      <c r="F766" s="86"/>
      <c r="G766" s="86"/>
      <c r="H766" s="86"/>
      <c r="I766" s="65"/>
      <c r="J766" s="65"/>
      <c r="K766" s="87"/>
      <c r="L766" s="88"/>
    </row>
    <row r="767" spans="6:12" ht="12.5">
      <c r="F767" s="86"/>
      <c r="G767" s="86"/>
      <c r="H767" s="86"/>
      <c r="I767" s="65"/>
      <c r="J767" s="65"/>
      <c r="K767" s="87"/>
      <c r="L767" s="88"/>
    </row>
    <row r="768" spans="6:12" ht="12.5">
      <c r="F768" s="86"/>
      <c r="G768" s="86"/>
      <c r="H768" s="86"/>
      <c r="I768" s="65"/>
      <c r="J768" s="65"/>
      <c r="K768" s="87"/>
      <c r="L768" s="88"/>
    </row>
    <row r="769" spans="6:12" ht="12.5">
      <c r="F769" s="86"/>
      <c r="G769" s="86"/>
      <c r="H769" s="86"/>
      <c r="I769" s="65"/>
      <c r="J769" s="65"/>
      <c r="K769" s="87"/>
      <c r="L769" s="88"/>
    </row>
    <row r="770" spans="6:12" ht="12.5">
      <c r="F770" s="86"/>
      <c r="G770" s="86"/>
      <c r="H770" s="86"/>
      <c r="I770" s="65"/>
      <c r="J770" s="65"/>
      <c r="K770" s="87"/>
      <c r="L770" s="88"/>
    </row>
    <row r="771" spans="6:12" ht="12.5">
      <c r="F771" s="86"/>
      <c r="G771" s="86"/>
      <c r="H771" s="86"/>
      <c r="I771" s="65"/>
      <c r="J771" s="65"/>
      <c r="K771" s="87"/>
      <c r="L771" s="88"/>
    </row>
    <row r="772" spans="6:12" ht="12.5">
      <c r="F772" s="86"/>
      <c r="G772" s="86"/>
      <c r="H772" s="86"/>
      <c r="I772" s="65"/>
      <c r="J772" s="65"/>
      <c r="K772" s="87"/>
      <c r="L772" s="88"/>
    </row>
    <row r="773" spans="6:12" ht="12.5">
      <c r="F773" s="86"/>
      <c r="G773" s="86"/>
      <c r="H773" s="86"/>
      <c r="I773" s="65"/>
      <c r="J773" s="65"/>
      <c r="K773" s="87"/>
      <c r="L773" s="88"/>
    </row>
    <row r="774" spans="6:12" ht="12.5">
      <c r="F774" s="86"/>
      <c r="G774" s="86"/>
      <c r="H774" s="86"/>
      <c r="I774" s="65"/>
      <c r="J774" s="65"/>
      <c r="K774" s="87"/>
      <c r="L774" s="88"/>
    </row>
    <row r="775" spans="6:12" ht="12.5">
      <c r="F775" s="86"/>
      <c r="G775" s="86"/>
      <c r="H775" s="86"/>
      <c r="I775" s="65"/>
      <c r="J775" s="65"/>
      <c r="K775" s="87"/>
      <c r="L775" s="88"/>
    </row>
    <row r="776" spans="6:12" ht="12.5">
      <c r="F776" s="86"/>
      <c r="G776" s="86"/>
      <c r="H776" s="86"/>
      <c r="I776" s="65"/>
      <c r="J776" s="65"/>
      <c r="K776" s="87"/>
      <c r="L776" s="88"/>
    </row>
    <row r="777" spans="6:12" ht="12.5">
      <c r="F777" s="86"/>
      <c r="G777" s="86"/>
      <c r="H777" s="86"/>
      <c r="I777" s="65"/>
      <c r="J777" s="65"/>
      <c r="K777" s="87"/>
      <c r="L777" s="88"/>
    </row>
    <row r="778" spans="6:12" ht="12.5">
      <c r="F778" s="86"/>
      <c r="G778" s="86"/>
      <c r="H778" s="86"/>
      <c r="I778" s="65"/>
      <c r="J778" s="65"/>
      <c r="K778" s="87"/>
      <c r="L778" s="88"/>
    </row>
    <row r="779" spans="6:12" ht="12.5">
      <c r="F779" s="86"/>
      <c r="G779" s="86"/>
      <c r="H779" s="86"/>
      <c r="I779" s="65"/>
      <c r="J779" s="65"/>
      <c r="K779" s="87"/>
      <c r="L779" s="88"/>
    </row>
    <row r="780" spans="6:12" ht="12.5">
      <c r="F780" s="86"/>
      <c r="G780" s="86"/>
      <c r="H780" s="86"/>
      <c r="I780" s="65"/>
      <c r="J780" s="65"/>
      <c r="K780" s="87"/>
      <c r="L780" s="88"/>
    </row>
    <row r="781" spans="6:12" ht="12.5">
      <c r="F781" s="86"/>
      <c r="G781" s="86"/>
      <c r="H781" s="86"/>
      <c r="I781" s="65"/>
      <c r="J781" s="65"/>
      <c r="K781" s="87"/>
      <c r="L781" s="88"/>
    </row>
    <row r="782" spans="6:12" ht="12.5">
      <c r="F782" s="86"/>
      <c r="G782" s="86"/>
      <c r="H782" s="86"/>
      <c r="I782" s="65"/>
      <c r="J782" s="65"/>
      <c r="K782" s="87"/>
      <c r="L782" s="88"/>
    </row>
    <row r="783" spans="6:12" ht="12.5">
      <c r="F783" s="86"/>
      <c r="G783" s="86"/>
      <c r="H783" s="86"/>
      <c r="I783" s="65"/>
      <c r="J783" s="65"/>
      <c r="K783" s="87"/>
      <c r="L783" s="88"/>
    </row>
    <row r="784" spans="6:12" ht="12.5">
      <c r="F784" s="86"/>
      <c r="G784" s="86"/>
      <c r="H784" s="86"/>
      <c r="I784" s="65"/>
      <c r="J784" s="65"/>
      <c r="K784" s="87"/>
      <c r="L784" s="88"/>
    </row>
    <row r="785" spans="6:12" ht="12.5">
      <c r="F785" s="86"/>
      <c r="G785" s="86"/>
      <c r="H785" s="86"/>
      <c r="I785" s="65"/>
      <c r="J785" s="65"/>
      <c r="K785" s="87"/>
      <c r="L785" s="88"/>
    </row>
    <row r="786" spans="6:12" ht="12.5">
      <c r="F786" s="86"/>
      <c r="G786" s="86"/>
      <c r="H786" s="86"/>
      <c r="I786" s="65"/>
      <c r="J786" s="65"/>
      <c r="K786" s="87"/>
      <c r="L786" s="88"/>
    </row>
    <row r="787" spans="6:12" ht="12.5">
      <c r="F787" s="86"/>
      <c r="G787" s="86"/>
      <c r="H787" s="86"/>
      <c r="I787" s="65"/>
      <c r="J787" s="65"/>
      <c r="K787" s="87"/>
      <c r="L787" s="88"/>
    </row>
    <row r="788" spans="6:12" ht="12.5">
      <c r="F788" s="86"/>
      <c r="G788" s="86"/>
      <c r="H788" s="86"/>
      <c r="I788" s="65"/>
      <c r="J788" s="65"/>
      <c r="K788" s="87"/>
      <c r="L788" s="88"/>
    </row>
    <row r="789" spans="6:12" ht="12.5">
      <c r="F789" s="86"/>
      <c r="G789" s="86"/>
      <c r="H789" s="86"/>
      <c r="I789" s="65"/>
      <c r="J789" s="65"/>
      <c r="K789" s="87"/>
      <c r="L789" s="88"/>
    </row>
    <row r="790" spans="6:12" ht="12.5">
      <c r="F790" s="86"/>
      <c r="G790" s="86"/>
      <c r="H790" s="86"/>
      <c r="I790" s="65"/>
      <c r="J790" s="65"/>
      <c r="K790" s="87"/>
      <c r="L790" s="88"/>
    </row>
    <row r="791" spans="6:12" ht="12.5">
      <c r="F791" s="86"/>
      <c r="G791" s="86"/>
      <c r="H791" s="86"/>
      <c r="I791" s="65"/>
      <c r="J791" s="65"/>
      <c r="K791" s="87"/>
      <c r="L791" s="88"/>
    </row>
    <row r="792" spans="6:12" ht="12.5">
      <c r="F792" s="86"/>
      <c r="G792" s="86"/>
      <c r="H792" s="86"/>
      <c r="I792" s="65"/>
      <c r="J792" s="65"/>
      <c r="K792" s="87"/>
      <c r="L792" s="88"/>
    </row>
    <row r="793" spans="6:12" ht="12.5">
      <c r="F793" s="86"/>
      <c r="G793" s="86"/>
      <c r="H793" s="86"/>
      <c r="I793" s="65"/>
      <c r="J793" s="65"/>
      <c r="K793" s="87"/>
      <c r="L793" s="88"/>
    </row>
    <row r="794" spans="6:12" ht="12.5">
      <c r="F794" s="86"/>
      <c r="G794" s="86"/>
      <c r="H794" s="86"/>
      <c r="I794" s="65"/>
      <c r="J794" s="65"/>
      <c r="K794" s="87"/>
      <c r="L794" s="88"/>
    </row>
    <row r="795" spans="6:12" ht="12.5">
      <c r="F795" s="86"/>
      <c r="G795" s="86"/>
      <c r="H795" s="86"/>
      <c r="I795" s="65"/>
      <c r="J795" s="65"/>
      <c r="K795" s="87"/>
      <c r="L795" s="88"/>
    </row>
    <row r="796" spans="6:12" ht="12.5">
      <c r="F796" s="86"/>
      <c r="G796" s="86"/>
      <c r="H796" s="86"/>
      <c r="I796" s="65"/>
      <c r="J796" s="65"/>
      <c r="K796" s="87"/>
      <c r="L796" s="88"/>
    </row>
    <row r="797" spans="6:12" ht="12.5">
      <c r="F797" s="86"/>
      <c r="G797" s="86"/>
      <c r="H797" s="86"/>
      <c r="I797" s="65"/>
      <c r="J797" s="65"/>
      <c r="K797" s="87"/>
      <c r="L797" s="88"/>
    </row>
    <row r="798" spans="6:12" ht="12.5">
      <c r="F798" s="86"/>
      <c r="G798" s="86"/>
      <c r="H798" s="86"/>
      <c r="I798" s="65"/>
      <c r="J798" s="65"/>
      <c r="K798" s="87"/>
      <c r="L798" s="88"/>
    </row>
    <row r="799" spans="6:12" ht="12.5">
      <c r="F799" s="86"/>
      <c r="G799" s="86"/>
      <c r="H799" s="86"/>
      <c r="I799" s="65"/>
      <c r="J799" s="65"/>
      <c r="K799" s="87"/>
      <c r="L799" s="88"/>
    </row>
    <row r="800" spans="6:12" ht="12.5">
      <c r="F800" s="86"/>
      <c r="G800" s="86"/>
      <c r="H800" s="86"/>
      <c r="I800" s="65"/>
      <c r="J800" s="65"/>
      <c r="K800" s="87"/>
      <c r="L800" s="88"/>
    </row>
    <row r="801" spans="6:12" ht="12.5">
      <c r="F801" s="86"/>
      <c r="G801" s="86"/>
      <c r="H801" s="86"/>
      <c r="I801" s="65"/>
      <c r="J801" s="65"/>
      <c r="K801" s="87"/>
      <c r="L801" s="88"/>
    </row>
    <row r="802" spans="6:12" ht="12.5">
      <c r="F802" s="86"/>
      <c r="G802" s="86"/>
      <c r="H802" s="86"/>
      <c r="I802" s="65"/>
      <c r="J802" s="65"/>
      <c r="K802" s="87"/>
      <c r="L802" s="88"/>
    </row>
    <row r="803" spans="6:12" ht="12.5">
      <c r="F803" s="86"/>
      <c r="G803" s="86"/>
      <c r="H803" s="86"/>
      <c r="I803" s="65"/>
      <c r="J803" s="65"/>
      <c r="K803" s="87"/>
      <c r="L803" s="88"/>
    </row>
    <row r="804" spans="6:12" ht="12.5">
      <c r="F804" s="86"/>
      <c r="G804" s="86"/>
      <c r="H804" s="86"/>
      <c r="I804" s="65"/>
      <c r="J804" s="65"/>
      <c r="K804" s="87"/>
      <c r="L804" s="88"/>
    </row>
    <row r="805" spans="6:12" ht="12.5">
      <c r="F805" s="86"/>
      <c r="G805" s="86"/>
      <c r="H805" s="86"/>
      <c r="I805" s="65"/>
      <c r="J805" s="65"/>
      <c r="K805" s="87"/>
      <c r="L805" s="88"/>
    </row>
    <row r="806" spans="6:12" ht="12.5">
      <c r="F806" s="86"/>
      <c r="G806" s="86"/>
      <c r="H806" s="86"/>
      <c r="I806" s="65"/>
      <c r="J806" s="65"/>
      <c r="K806" s="87"/>
      <c r="L806" s="88"/>
    </row>
    <row r="807" spans="6:12" ht="12.5">
      <c r="F807" s="86"/>
      <c r="G807" s="86"/>
      <c r="H807" s="86"/>
      <c r="I807" s="65"/>
      <c r="J807" s="65"/>
      <c r="K807" s="87"/>
      <c r="L807" s="88"/>
    </row>
    <row r="808" spans="6:12" ht="12.5">
      <c r="F808" s="86"/>
      <c r="G808" s="86"/>
      <c r="H808" s="86"/>
      <c r="I808" s="65"/>
      <c r="J808" s="65"/>
      <c r="K808" s="87"/>
      <c r="L808" s="88"/>
    </row>
    <row r="809" spans="6:12" ht="12.5">
      <c r="F809" s="86"/>
      <c r="G809" s="86"/>
      <c r="H809" s="86"/>
      <c r="I809" s="65"/>
      <c r="J809" s="65"/>
      <c r="K809" s="87"/>
      <c r="L809" s="88"/>
    </row>
    <row r="810" spans="6:12" ht="12.5">
      <c r="F810" s="86"/>
      <c r="G810" s="86"/>
      <c r="H810" s="86"/>
      <c r="I810" s="65"/>
      <c r="J810" s="65"/>
      <c r="K810" s="87"/>
      <c r="L810" s="88"/>
    </row>
    <row r="811" spans="6:12" ht="12.5">
      <c r="F811" s="86"/>
      <c r="G811" s="86"/>
      <c r="H811" s="86"/>
      <c r="I811" s="65"/>
      <c r="J811" s="65"/>
      <c r="K811" s="87"/>
      <c r="L811" s="88"/>
    </row>
    <row r="812" spans="6:12" ht="12.5">
      <c r="F812" s="86"/>
      <c r="G812" s="86"/>
      <c r="H812" s="86"/>
      <c r="I812" s="65"/>
      <c r="J812" s="65"/>
      <c r="K812" s="87"/>
      <c r="L812" s="88"/>
    </row>
    <row r="813" spans="6:12" ht="12.5">
      <c r="F813" s="86"/>
      <c r="G813" s="86"/>
      <c r="H813" s="86"/>
      <c r="I813" s="65"/>
      <c r="J813" s="65"/>
      <c r="K813" s="87"/>
      <c r="L813" s="88"/>
    </row>
    <row r="814" spans="6:12" ht="12.5">
      <c r="F814" s="86"/>
      <c r="G814" s="86"/>
      <c r="H814" s="86"/>
      <c r="I814" s="65"/>
      <c r="J814" s="65"/>
      <c r="K814" s="87"/>
      <c r="L814" s="88"/>
    </row>
    <row r="815" spans="6:12" ht="12.5">
      <c r="F815" s="86"/>
      <c r="G815" s="86"/>
      <c r="H815" s="86"/>
      <c r="I815" s="65"/>
      <c r="J815" s="65"/>
      <c r="K815" s="87"/>
      <c r="L815" s="88"/>
    </row>
    <row r="816" spans="6:12" ht="12.5">
      <c r="F816" s="86"/>
      <c r="G816" s="86"/>
      <c r="H816" s="86"/>
      <c r="I816" s="65"/>
      <c r="J816" s="65"/>
      <c r="K816" s="87"/>
      <c r="L816" s="88"/>
    </row>
    <row r="817" spans="6:12" ht="12.5">
      <c r="F817" s="86"/>
      <c r="G817" s="86"/>
      <c r="H817" s="86"/>
      <c r="I817" s="65"/>
      <c r="J817" s="65"/>
      <c r="K817" s="87"/>
      <c r="L817" s="88"/>
    </row>
    <row r="818" spans="6:12" ht="12.5">
      <c r="F818" s="86"/>
      <c r="G818" s="86"/>
      <c r="H818" s="86"/>
      <c r="I818" s="65"/>
      <c r="J818" s="65"/>
      <c r="K818" s="87"/>
      <c r="L818" s="88"/>
    </row>
    <row r="819" spans="6:12" ht="12.5">
      <c r="F819" s="86"/>
      <c r="G819" s="86"/>
      <c r="H819" s="86"/>
      <c r="I819" s="65"/>
      <c r="J819" s="65"/>
      <c r="K819" s="87"/>
      <c r="L819" s="88"/>
    </row>
    <row r="820" spans="6:12" ht="12.5">
      <c r="F820" s="86"/>
      <c r="G820" s="86"/>
      <c r="H820" s="86"/>
      <c r="I820" s="65"/>
      <c r="J820" s="65"/>
      <c r="K820" s="87"/>
      <c r="L820" s="88"/>
    </row>
    <row r="821" spans="6:12" ht="12.5">
      <c r="F821" s="86"/>
      <c r="G821" s="86"/>
      <c r="H821" s="86"/>
      <c r="I821" s="65"/>
      <c r="J821" s="65"/>
      <c r="K821" s="87"/>
      <c r="L821" s="88"/>
    </row>
    <row r="822" spans="6:12" ht="12.5">
      <c r="F822" s="86"/>
      <c r="G822" s="86"/>
      <c r="H822" s="86"/>
      <c r="I822" s="65"/>
      <c r="J822" s="65"/>
      <c r="K822" s="87"/>
      <c r="L822" s="88"/>
    </row>
    <row r="823" spans="6:12" ht="12.5">
      <c r="F823" s="86"/>
      <c r="G823" s="86"/>
      <c r="H823" s="86"/>
      <c r="I823" s="65"/>
      <c r="J823" s="65"/>
      <c r="K823" s="87"/>
      <c r="L823" s="88"/>
    </row>
    <row r="824" spans="6:12" ht="12.5">
      <c r="F824" s="86"/>
      <c r="G824" s="86"/>
      <c r="H824" s="86"/>
      <c r="I824" s="65"/>
      <c r="J824" s="65"/>
      <c r="K824" s="87"/>
      <c r="L824" s="88"/>
    </row>
    <row r="825" spans="6:12" ht="12.5">
      <c r="F825" s="86"/>
      <c r="G825" s="86"/>
      <c r="H825" s="86"/>
      <c r="I825" s="65"/>
      <c r="J825" s="65"/>
      <c r="K825" s="87"/>
      <c r="L825" s="88"/>
    </row>
    <row r="826" spans="6:12" ht="12.5">
      <c r="F826" s="86"/>
      <c r="G826" s="86"/>
      <c r="H826" s="86"/>
      <c r="I826" s="65"/>
      <c r="J826" s="65"/>
      <c r="K826" s="87"/>
      <c r="L826" s="88"/>
    </row>
    <row r="827" spans="6:12" ht="12.5">
      <c r="F827" s="86"/>
      <c r="G827" s="86"/>
      <c r="H827" s="86"/>
      <c r="I827" s="65"/>
      <c r="J827" s="65"/>
      <c r="K827" s="87"/>
      <c r="L827" s="88"/>
    </row>
    <row r="828" spans="6:12" ht="12.5">
      <c r="F828" s="86"/>
      <c r="G828" s="86"/>
      <c r="H828" s="86"/>
      <c r="I828" s="65"/>
      <c r="J828" s="65"/>
      <c r="K828" s="87"/>
      <c r="L828" s="88"/>
    </row>
    <row r="829" spans="6:12" ht="12.5">
      <c r="F829" s="86"/>
      <c r="G829" s="86"/>
      <c r="H829" s="86"/>
      <c r="I829" s="65"/>
      <c r="J829" s="65"/>
      <c r="K829" s="87"/>
      <c r="L829" s="88"/>
    </row>
    <row r="830" spans="6:12" ht="12.5">
      <c r="F830" s="86"/>
      <c r="G830" s="86"/>
      <c r="H830" s="86"/>
      <c r="I830" s="65"/>
      <c r="J830" s="65"/>
      <c r="K830" s="87"/>
      <c r="L830" s="88"/>
    </row>
    <row r="831" spans="6:12" ht="12.5">
      <c r="F831" s="86"/>
      <c r="G831" s="86"/>
      <c r="H831" s="86"/>
      <c r="I831" s="65"/>
      <c r="J831" s="65"/>
      <c r="K831" s="87"/>
      <c r="L831" s="88"/>
    </row>
    <row r="832" spans="6:12" ht="12.5">
      <c r="F832" s="86"/>
      <c r="G832" s="86"/>
      <c r="H832" s="86"/>
      <c r="I832" s="65"/>
      <c r="J832" s="65"/>
      <c r="K832" s="87"/>
      <c r="L832" s="88"/>
    </row>
    <row r="833" spans="6:12" ht="12.5">
      <c r="F833" s="86"/>
      <c r="G833" s="86"/>
      <c r="H833" s="86"/>
      <c r="I833" s="65"/>
      <c r="J833" s="65"/>
      <c r="K833" s="87"/>
      <c r="L833" s="88"/>
    </row>
    <row r="834" spans="6:12" ht="12.5">
      <c r="F834" s="86"/>
      <c r="G834" s="86"/>
      <c r="H834" s="86"/>
      <c r="I834" s="65"/>
      <c r="J834" s="65"/>
      <c r="K834" s="87"/>
      <c r="L834" s="88"/>
    </row>
    <row r="835" spans="6:12" ht="12.5">
      <c r="F835" s="86"/>
      <c r="G835" s="86"/>
      <c r="H835" s="86"/>
      <c r="I835" s="65"/>
      <c r="J835" s="65"/>
      <c r="K835" s="87"/>
      <c r="L835" s="88"/>
    </row>
    <row r="836" spans="6:12" ht="12.5">
      <c r="F836" s="86"/>
      <c r="G836" s="86"/>
      <c r="H836" s="86"/>
      <c r="I836" s="65"/>
      <c r="J836" s="65"/>
      <c r="K836" s="87"/>
      <c r="L836" s="88"/>
    </row>
    <row r="837" spans="6:12" ht="12.5">
      <c r="F837" s="86"/>
      <c r="G837" s="86"/>
      <c r="H837" s="86"/>
      <c r="I837" s="65"/>
      <c r="J837" s="65"/>
      <c r="K837" s="87"/>
      <c r="L837" s="88"/>
    </row>
    <row r="838" spans="6:12" ht="12.5">
      <c r="F838" s="86"/>
      <c r="G838" s="86"/>
      <c r="H838" s="86"/>
      <c r="I838" s="65"/>
      <c r="J838" s="65"/>
      <c r="K838" s="87"/>
      <c r="L838" s="88"/>
    </row>
    <row r="839" spans="6:12" ht="12.5">
      <c r="F839" s="86"/>
      <c r="G839" s="86"/>
      <c r="H839" s="86"/>
      <c r="I839" s="65"/>
      <c r="J839" s="65"/>
      <c r="K839" s="87"/>
      <c r="L839" s="88"/>
    </row>
    <row r="840" spans="6:12" ht="12.5">
      <c r="F840" s="86"/>
      <c r="G840" s="86"/>
      <c r="H840" s="86"/>
      <c r="I840" s="65"/>
      <c r="J840" s="65"/>
      <c r="K840" s="87"/>
      <c r="L840" s="88"/>
    </row>
    <row r="841" spans="6:12" ht="12.5">
      <c r="F841" s="86"/>
      <c r="G841" s="86"/>
      <c r="H841" s="86"/>
      <c r="I841" s="65"/>
      <c r="J841" s="65"/>
      <c r="K841" s="87"/>
      <c r="L841" s="88"/>
    </row>
    <row r="842" spans="6:12" ht="12.5">
      <c r="F842" s="86"/>
      <c r="G842" s="86"/>
      <c r="H842" s="86"/>
      <c r="I842" s="65"/>
      <c r="J842" s="65"/>
      <c r="K842" s="87"/>
      <c r="L842" s="88"/>
    </row>
    <row r="843" spans="6:12" ht="12.5">
      <c r="F843" s="86"/>
      <c r="G843" s="86"/>
      <c r="H843" s="86"/>
      <c r="I843" s="65"/>
      <c r="J843" s="65"/>
      <c r="K843" s="87"/>
      <c r="L843" s="88"/>
    </row>
    <row r="844" spans="6:12" ht="12.5">
      <c r="F844" s="86"/>
      <c r="G844" s="86"/>
      <c r="H844" s="86"/>
      <c r="I844" s="65"/>
      <c r="J844" s="65"/>
      <c r="K844" s="87"/>
      <c r="L844" s="88"/>
    </row>
    <row r="845" spans="6:12" ht="12.5">
      <c r="F845" s="86"/>
      <c r="G845" s="86"/>
      <c r="H845" s="86"/>
      <c r="I845" s="65"/>
      <c r="J845" s="65"/>
      <c r="K845" s="87"/>
      <c r="L845" s="88"/>
    </row>
    <row r="846" spans="6:12" ht="12.5">
      <c r="F846" s="86"/>
      <c r="G846" s="86"/>
      <c r="H846" s="86"/>
      <c r="I846" s="65"/>
      <c r="J846" s="65"/>
      <c r="K846" s="87"/>
      <c r="L846" s="88"/>
    </row>
    <row r="847" spans="6:12" ht="12.5">
      <c r="F847" s="86"/>
      <c r="G847" s="86"/>
      <c r="H847" s="86"/>
      <c r="I847" s="65"/>
      <c r="J847" s="65"/>
      <c r="K847" s="87"/>
      <c r="L847" s="88"/>
    </row>
    <row r="848" spans="6:12" ht="12.5">
      <c r="F848" s="86"/>
      <c r="G848" s="86"/>
      <c r="H848" s="86"/>
      <c r="I848" s="65"/>
      <c r="J848" s="65"/>
      <c r="K848" s="87"/>
      <c r="L848" s="88"/>
    </row>
    <row r="849" spans="6:12" ht="12.5">
      <c r="F849" s="86"/>
      <c r="G849" s="86"/>
      <c r="H849" s="86"/>
      <c r="I849" s="65"/>
      <c r="J849" s="65"/>
      <c r="K849" s="87"/>
      <c r="L849" s="88"/>
    </row>
    <row r="850" spans="6:12" ht="12.5">
      <c r="F850" s="86"/>
      <c r="G850" s="86"/>
      <c r="H850" s="86"/>
      <c r="I850" s="65"/>
      <c r="J850" s="65"/>
      <c r="K850" s="87"/>
      <c r="L850" s="88"/>
    </row>
    <row r="851" spans="6:12" ht="12.5">
      <c r="F851" s="86"/>
      <c r="G851" s="86"/>
      <c r="H851" s="86"/>
      <c r="I851" s="65"/>
      <c r="J851" s="65"/>
      <c r="K851" s="87"/>
      <c r="L851" s="88"/>
    </row>
    <row r="852" spans="6:12" ht="12.5">
      <c r="F852" s="86"/>
      <c r="G852" s="86"/>
      <c r="H852" s="86"/>
      <c r="I852" s="65"/>
      <c r="J852" s="65"/>
      <c r="K852" s="87"/>
      <c r="L852" s="88"/>
    </row>
    <row r="853" spans="6:12" ht="12.5">
      <c r="F853" s="86"/>
      <c r="G853" s="86"/>
      <c r="H853" s="86"/>
      <c r="I853" s="65"/>
      <c r="J853" s="65"/>
      <c r="K853" s="87"/>
      <c r="L853" s="88"/>
    </row>
    <row r="854" spans="6:12" ht="12.5">
      <c r="F854" s="86"/>
      <c r="G854" s="86"/>
      <c r="H854" s="86"/>
      <c r="I854" s="65"/>
      <c r="J854" s="65"/>
      <c r="K854" s="87"/>
      <c r="L854" s="88"/>
    </row>
    <row r="855" spans="6:12" ht="12.5">
      <c r="F855" s="86"/>
      <c r="G855" s="86"/>
      <c r="H855" s="86"/>
      <c r="I855" s="65"/>
      <c r="J855" s="65"/>
      <c r="K855" s="87"/>
      <c r="L855" s="88"/>
    </row>
    <row r="856" spans="6:12" ht="12.5">
      <c r="F856" s="86"/>
      <c r="G856" s="86"/>
      <c r="H856" s="86"/>
      <c r="I856" s="65"/>
      <c r="J856" s="65"/>
      <c r="K856" s="87"/>
      <c r="L856" s="88"/>
    </row>
    <row r="857" spans="6:12" ht="12.5">
      <c r="F857" s="86"/>
      <c r="G857" s="86"/>
      <c r="H857" s="86"/>
      <c r="I857" s="65"/>
      <c r="J857" s="65"/>
      <c r="K857" s="87"/>
      <c r="L857" s="88"/>
    </row>
    <row r="858" spans="6:12" ht="12.5">
      <c r="F858" s="86"/>
      <c r="G858" s="86"/>
      <c r="H858" s="86"/>
      <c r="I858" s="65"/>
      <c r="J858" s="65"/>
      <c r="K858" s="87"/>
      <c r="L858" s="88"/>
    </row>
    <row r="859" spans="6:12" ht="12.5">
      <c r="F859" s="86"/>
      <c r="G859" s="86"/>
      <c r="H859" s="86"/>
      <c r="I859" s="65"/>
      <c r="J859" s="65"/>
      <c r="K859" s="87"/>
      <c r="L859" s="88"/>
    </row>
    <row r="860" spans="6:12" ht="12.5">
      <c r="F860" s="86"/>
      <c r="G860" s="86"/>
      <c r="H860" s="86"/>
      <c r="I860" s="65"/>
      <c r="J860" s="65"/>
      <c r="K860" s="87"/>
      <c r="L860" s="88"/>
    </row>
    <row r="861" spans="6:12" ht="12.5">
      <c r="F861" s="86"/>
      <c r="G861" s="86"/>
      <c r="H861" s="86"/>
      <c r="I861" s="65"/>
      <c r="J861" s="65"/>
      <c r="K861" s="87"/>
      <c r="L861" s="88"/>
    </row>
    <row r="862" spans="6:12" ht="12.5">
      <c r="F862" s="86"/>
      <c r="G862" s="86"/>
      <c r="H862" s="86"/>
      <c r="I862" s="65"/>
      <c r="J862" s="65"/>
      <c r="K862" s="87"/>
      <c r="L862" s="88"/>
    </row>
    <row r="863" spans="6:12" ht="12.5">
      <c r="F863" s="86"/>
      <c r="G863" s="86"/>
      <c r="H863" s="86"/>
      <c r="I863" s="65"/>
      <c r="J863" s="65"/>
      <c r="K863" s="87"/>
      <c r="L863" s="88"/>
    </row>
    <row r="864" spans="6:12" ht="12.5">
      <c r="F864" s="86"/>
      <c r="G864" s="86"/>
      <c r="H864" s="86"/>
      <c r="I864" s="65"/>
      <c r="J864" s="65"/>
      <c r="K864" s="87"/>
      <c r="L864" s="88"/>
    </row>
    <row r="865" spans="6:12" ht="12.5">
      <c r="F865" s="86"/>
      <c r="G865" s="86"/>
      <c r="H865" s="86"/>
      <c r="I865" s="65"/>
      <c r="J865" s="65"/>
      <c r="K865" s="87"/>
      <c r="L865" s="88"/>
    </row>
    <row r="866" spans="6:12" ht="12.5">
      <c r="F866" s="86"/>
      <c r="G866" s="86"/>
      <c r="H866" s="86"/>
      <c r="I866" s="65"/>
      <c r="J866" s="65"/>
      <c r="K866" s="87"/>
      <c r="L866" s="88"/>
    </row>
    <row r="867" spans="6:12" ht="12.5">
      <c r="F867" s="86"/>
      <c r="G867" s="86"/>
      <c r="H867" s="86"/>
      <c r="I867" s="65"/>
      <c r="J867" s="65"/>
      <c r="K867" s="87"/>
      <c r="L867" s="88"/>
    </row>
    <row r="868" spans="6:12" ht="12.5">
      <c r="F868" s="86"/>
      <c r="G868" s="86"/>
      <c r="H868" s="86"/>
      <c r="I868" s="65"/>
      <c r="J868" s="65"/>
      <c r="K868" s="87"/>
      <c r="L868" s="88"/>
    </row>
    <row r="869" spans="6:12" ht="12.5">
      <c r="F869" s="86"/>
      <c r="G869" s="86"/>
      <c r="H869" s="86"/>
      <c r="I869" s="65"/>
      <c r="J869" s="65"/>
      <c r="K869" s="87"/>
      <c r="L869" s="88"/>
    </row>
    <row r="870" spans="6:12" ht="12.5">
      <c r="F870" s="86"/>
      <c r="G870" s="86"/>
      <c r="H870" s="86"/>
      <c r="I870" s="65"/>
      <c r="J870" s="65"/>
      <c r="K870" s="87"/>
      <c r="L870" s="88"/>
    </row>
    <row r="871" spans="6:12" ht="12.5">
      <c r="F871" s="86"/>
      <c r="G871" s="86"/>
      <c r="H871" s="86"/>
      <c r="I871" s="65"/>
      <c r="J871" s="65"/>
      <c r="K871" s="87"/>
      <c r="L871" s="88"/>
    </row>
    <row r="872" spans="6:12" ht="12.5">
      <c r="F872" s="86"/>
      <c r="G872" s="86"/>
      <c r="H872" s="86"/>
      <c r="I872" s="65"/>
      <c r="J872" s="65"/>
      <c r="K872" s="87"/>
      <c r="L872" s="88"/>
    </row>
    <row r="873" spans="6:12" ht="12.5">
      <c r="F873" s="86"/>
      <c r="G873" s="86"/>
      <c r="H873" s="86"/>
      <c r="I873" s="65"/>
      <c r="J873" s="65"/>
      <c r="K873" s="87"/>
      <c r="L873" s="88"/>
    </row>
    <row r="874" spans="6:12" ht="12.5">
      <c r="F874" s="86"/>
      <c r="G874" s="86"/>
      <c r="H874" s="86"/>
      <c r="I874" s="65"/>
      <c r="J874" s="65"/>
      <c r="K874" s="87"/>
      <c r="L874" s="88"/>
    </row>
    <row r="875" spans="6:12" ht="12.5">
      <c r="F875" s="86"/>
      <c r="G875" s="86"/>
      <c r="H875" s="86"/>
      <c r="I875" s="65"/>
      <c r="J875" s="65"/>
      <c r="K875" s="87"/>
      <c r="L875" s="88"/>
    </row>
    <row r="876" spans="6:12" ht="12.5">
      <c r="F876" s="86"/>
      <c r="G876" s="86"/>
      <c r="H876" s="86"/>
      <c r="I876" s="65"/>
      <c r="J876" s="65"/>
      <c r="K876" s="87"/>
      <c r="L876" s="88"/>
    </row>
    <row r="877" spans="6:12" ht="12.5">
      <c r="F877" s="86"/>
      <c r="G877" s="86"/>
      <c r="H877" s="86"/>
      <c r="I877" s="65"/>
      <c r="J877" s="65"/>
      <c r="K877" s="87"/>
      <c r="L877" s="88"/>
    </row>
    <row r="878" spans="6:12" ht="12.5">
      <c r="F878" s="86"/>
      <c r="G878" s="86"/>
      <c r="H878" s="86"/>
      <c r="I878" s="65"/>
      <c r="J878" s="65"/>
      <c r="K878" s="87"/>
      <c r="L878" s="88"/>
    </row>
    <row r="879" spans="6:12" ht="12.5">
      <c r="F879" s="86"/>
      <c r="G879" s="86"/>
      <c r="H879" s="86"/>
      <c r="I879" s="65"/>
      <c r="J879" s="65"/>
      <c r="K879" s="87"/>
      <c r="L879" s="88"/>
    </row>
    <row r="880" spans="6:12" ht="12.5">
      <c r="F880" s="86"/>
      <c r="G880" s="86"/>
      <c r="H880" s="86"/>
      <c r="I880" s="65"/>
      <c r="J880" s="65"/>
      <c r="K880" s="87"/>
      <c r="L880" s="88"/>
    </row>
    <row r="881" spans="6:12" ht="12.5">
      <c r="F881" s="86"/>
      <c r="G881" s="86"/>
      <c r="H881" s="86"/>
      <c r="I881" s="65"/>
      <c r="J881" s="65"/>
      <c r="K881" s="87"/>
      <c r="L881" s="88"/>
    </row>
    <row r="882" spans="6:12" ht="12.5">
      <c r="F882" s="86"/>
      <c r="G882" s="86"/>
      <c r="H882" s="86"/>
      <c r="I882" s="65"/>
      <c r="J882" s="65"/>
      <c r="K882" s="87"/>
      <c r="L882" s="88"/>
    </row>
    <row r="883" spans="6:12" ht="12.5">
      <c r="F883" s="86"/>
      <c r="G883" s="86"/>
      <c r="H883" s="86"/>
      <c r="I883" s="65"/>
      <c r="J883" s="65"/>
      <c r="K883" s="87"/>
      <c r="L883" s="88"/>
    </row>
    <row r="884" spans="6:12" ht="12.5">
      <c r="F884" s="86"/>
      <c r="G884" s="86"/>
      <c r="H884" s="86"/>
      <c r="I884" s="65"/>
      <c r="J884" s="65"/>
      <c r="K884" s="87"/>
      <c r="L884" s="88"/>
    </row>
    <row r="885" spans="6:12" ht="12.5">
      <c r="F885" s="86"/>
      <c r="G885" s="86"/>
      <c r="H885" s="86"/>
      <c r="I885" s="65"/>
      <c r="J885" s="65"/>
      <c r="K885" s="87"/>
      <c r="L885" s="88"/>
    </row>
    <row r="886" spans="6:12" ht="12.5">
      <c r="F886" s="86"/>
      <c r="G886" s="86"/>
      <c r="H886" s="86"/>
      <c r="I886" s="65"/>
      <c r="J886" s="65"/>
      <c r="K886" s="87"/>
      <c r="L886" s="88"/>
    </row>
    <row r="887" spans="6:12" ht="12.5">
      <c r="F887" s="86"/>
      <c r="G887" s="86"/>
      <c r="H887" s="86"/>
      <c r="I887" s="65"/>
      <c r="J887" s="65"/>
      <c r="K887" s="87"/>
      <c r="L887" s="88"/>
    </row>
    <row r="888" spans="6:12" ht="12.5">
      <c r="F888" s="86"/>
      <c r="G888" s="86"/>
      <c r="H888" s="86"/>
      <c r="I888" s="65"/>
      <c r="J888" s="65"/>
      <c r="K888" s="87"/>
      <c r="L888" s="88"/>
    </row>
    <row r="889" spans="6:12" ht="12.5">
      <c r="F889" s="86"/>
      <c r="G889" s="86"/>
      <c r="H889" s="86"/>
      <c r="I889" s="65"/>
      <c r="J889" s="65"/>
      <c r="K889" s="87"/>
      <c r="L889" s="88"/>
    </row>
    <row r="890" spans="6:12" ht="12.5">
      <c r="F890" s="86"/>
      <c r="G890" s="86"/>
      <c r="H890" s="86"/>
      <c r="I890" s="65"/>
      <c r="J890" s="65"/>
      <c r="K890" s="87"/>
      <c r="L890" s="88"/>
    </row>
    <row r="891" spans="6:12" ht="12.5">
      <c r="F891" s="86"/>
      <c r="G891" s="86"/>
      <c r="H891" s="86"/>
      <c r="I891" s="65"/>
      <c r="J891" s="65"/>
      <c r="K891" s="87"/>
      <c r="L891" s="88"/>
    </row>
    <row r="892" spans="6:12" ht="12.5">
      <c r="F892" s="86"/>
      <c r="G892" s="86"/>
      <c r="H892" s="86"/>
      <c r="I892" s="65"/>
      <c r="J892" s="65"/>
      <c r="K892" s="87"/>
      <c r="L892" s="88"/>
    </row>
    <row r="893" spans="6:12" ht="12.5">
      <c r="F893" s="86"/>
      <c r="G893" s="86"/>
      <c r="H893" s="86"/>
      <c r="I893" s="65"/>
      <c r="J893" s="65"/>
      <c r="K893" s="87"/>
      <c r="L893" s="88"/>
    </row>
    <row r="894" spans="6:12" ht="12.5">
      <c r="F894" s="86"/>
      <c r="G894" s="86"/>
      <c r="H894" s="86"/>
      <c r="I894" s="65"/>
      <c r="J894" s="65"/>
      <c r="K894" s="87"/>
      <c r="L894" s="88"/>
    </row>
    <row r="895" spans="6:12" ht="12.5">
      <c r="F895" s="86"/>
      <c r="G895" s="86"/>
      <c r="H895" s="86"/>
      <c r="I895" s="65"/>
      <c r="J895" s="65"/>
      <c r="K895" s="87"/>
      <c r="L895" s="88"/>
    </row>
    <row r="896" spans="6:12" ht="12.5">
      <c r="F896" s="86"/>
      <c r="G896" s="86"/>
      <c r="H896" s="86"/>
      <c r="I896" s="65"/>
      <c r="J896" s="65"/>
      <c r="K896" s="87"/>
      <c r="L896" s="88"/>
    </row>
    <row r="897" spans="6:12" ht="12.5">
      <c r="F897" s="86"/>
      <c r="G897" s="86"/>
      <c r="H897" s="86"/>
      <c r="I897" s="65"/>
      <c r="J897" s="65"/>
      <c r="K897" s="87"/>
      <c r="L897" s="88"/>
    </row>
    <row r="898" spans="6:12" ht="12.5">
      <c r="F898" s="86"/>
      <c r="G898" s="86"/>
      <c r="H898" s="86"/>
      <c r="I898" s="65"/>
      <c r="J898" s="65"/>
      <c r="K898" s="87"/>
      <c r="L898" s="88"/>
    </row>
    <row r="899" spans="6:12" ht="12.5">
      <c r="F899" s="86"/>
      <c r="G899" s="86"/>
      <c r="H899" s="86"/>
      <c r="I899" s="65"/>
      <c r="J899" s="65"/>
      <c r="K899" s="87"/>
      <c r="L899" s="88"/>
    </row>
    <row r="900" spans="6:12" ht="12.5">
      <c r="F900" s="86"/>
      <c r="G900" s="86"/>
      <c r="H900" s="86"/>
      <c r="I900" s="65"/>
      <c r="J900" s="65"/>
      <c r="K900" s="87"/>
      <c r="L900" s="88"/>
    </row>
    <row r="901" spans="6:12" ht="12.5">
      <c r="F901" s="86"/>
      <c r="G901" s="86"/>
      <c r="H901" s="86"/>
      <c r="I901" s="65"/>
      <c r="J901" s="65"/>
      <c r="K901" s="87"/>
      <c r="L901" s="88"/>
    </row>
    <row r="902" spans="6:12" ht="12.5">
      <c r="F902" s="86"/>
      <c r="G902" s="86"/>
      <c r="H902" s="86"/>
      <c r="I902" s="65"/>
      <c r="J902" s="65"/>
      <c r="K902" s="87"/>
      <c r="L902" s="88"/>
    </row>
    <row r="903" spans="6:12" ht="12.5">
      <c r="F903" s="86"/>
      <c r="G903" s="86"/>
      <c r="H903" s="86"/>
      <c r="I903" s="65"/>
      <c r="J903" s="65"/>
      <c r="K903" s="87"/>
      <c r="L903" s="88"/>
    </row>
    <row r="904" spans="6:12" ht="12.5">
      <c r="F904" s="86"/>
      <c r="G904" s="86"/>
      <c r="H904" s="86"/>
      <c r="I904" s="65"/>
      <c r="J904" s="65"/>
      <c r="K904" s="87"/>
      <c r="L904" s="88"/>
    </row>
    <row r="905" spans="6:12" ht="12.5">
      <c r="F905" s="86"/>
      <c r="G905" s="86"/>
      <c r="H905" s="86"/>
      <c r="I905" s="65"/>
      <c r="J905" s="65"/>
      <c r="K905" s="87"/>
      <c r="L905" s="88"/>
    </row>
    <row r="906" spans="6:12" ht="12.5">
      <c r="F906" s="86"/>
      <c r="G906" s="86"/>
      <c r="H906" s="86"/>
      <c r="I906" s="65"/>
      <c r="J906" s="65"/>
      <c r="K906" s="87"/>
      <c r="L906" s="88"/>
    </row>
    <row r="907" spans="6:12" ht="12.5">
      <c r="F907" s="86"/>
      <c r="G907" s="86"/>
      <c r="H907" s="86"/>
      <c r="I907" s="65"/>
      <c r="J907" s="65"/>
      <c r="K907" s="87"/>
      <c r="L907" s="88"/>
    </row>
    <row r="908" spans="6:12" ht="12.5">
      <c r="F908" s="86"/>
      <c r="G908" s="86"/>
      <c r="H908" s="86"/>
      <c r="I908" s="65"/>
      <c r="J908" s="65"/>
      <c r="K908" s="87"/>
      <c r="L908" s="88"/>
    </row>
    <row r="909" spans="6:12" ht="12.5">
      <c r="F909" s="86"/>
      <c r="G909" s="86"/>
      <c r="H909" s="86"/>
      <c r="I909" s="65"/>
      <c r="J909" s="65"/>
      <c r="K909" s="87"/>
      <c r="L909" s="88"/>
    </row>
    <row r="910" spans="6:12" ht="12.5">
      <c r="F910" s="86"/>
      <c r="G910" s="86"/>
      <c r="H910" s="86"/>
      <c r="I910" s="65"/>
      <c r="J910" s="65"/>
      <c r="K910" s="87"/>
      <c r="L910" s="88"/>
    </row>
    <row r="911" spans="6:12" ht="12.5">
      <c r="F911" s="86"/>
      <c r="G911" s="86"/>
      <c r="H911" s="86"/>
      <c r="I911" s="65"/>
      <c r="J911" s="65"/>
      <c r="K911" s="87"/>
      <c r="L911" s="88"/>
    </row>
    <row r="912" spans="6:12" ht="12.5">
      <c r="F912" s="86"/>
      <c r="G912" s="86"/>
      <c r="H912" s="86"/>
      <c r="I912" s="65"/>
      <c r="J912" s="65"/>
      <c r="K912" s="87"/>
      <c r="L912" s="88"/>
    </row>
    <row r="913" spans="6:12" ht="12.5">
      <c r="F913" s="86"/>
      <c r="G913" s="86"/>
      <c r="H913" s="86"/>
      <c r="I913" s="65"/>
      <c r="J913" s="65"/>
      <c r="K913" s="87"/>
      <c r="L913" s="88"/>
    </row>
    <row r="914" spans="6:12" ht="12.5">
      <c r="F914" s="86"/>
      <c r="G914" s="86"/>
      <c r="H914" s="86"/>
      <c r="I914" s="65"/>
      <c r="J914" s="65"/>
      <c r="K914" s="87"/>
      <c r="L914" s="88"/>
    </row>
    <row r="915" spans="6:12" ht="12.5">
      <c r="F915" s="86"/>
      <c r="G915" s="86"/>
      <c r="H915" s="86"/>
      <c r="I915" s="65"/>
      <c r="J915" s="65"/>
      <c r="K915" s="87"/>
      <c r="L915" s="88"/>
    </row>
    <row r="916" spans="6:12" ht="12.5">
      <c r="F916" s="86"/>
      <c r="G916" s="86"/>
      <c r="H916" s="86"/>
      <c r="I916" s="65"/>
      <c r="J916" s="65"/>
      <c r="K916" s="87"/>
      <c r="L916" s="88"/>
    </row>
    <row r="917" spans="6:12" ht="12.5">
      <c r="F917" s="86"/>
      <c r="G917" s="86"/>
      <c r="H917" s="86"/>
      <c r="I917" s="65"/>
      <c r="J917" s="65"/>
      <c r="K917" s="87"/>
      <c r="L917" s="88"/>
    </row>
    <row r="918" spans="6:12" ht="12.5">
      <c r="F918" s="86"/>
      <c r="G918" s="86"/>
      <c r="H918" s="86"/>
      <c r="I918" s="65"/>
      <c r="J918" s="65"/>
      <c r="K918" s="87"/>
      <c r="L918" s="88"/>
    </row>
    <row r="919" spans="6:12" ht="12.5">
      <c r="F919" s="86"/>
      <c r="G919" s="86"/>
      <c r="H919" s="86"/>
      <c r="I919" s="65"/>
      <c r="J919" s="65"/>
      <c r="K919" s="87"/>
      <c r="L919" s="88"/>
    </row>
    <row r="920" spans="6:12" ht="12.5">
      <c r="F920" s="86"/>
      <c r="G920" s="86"/>
      <c r="H920" s="86"/>
      <c r="I920" s="65"/>
      <c r="J920" s="65"/>
      <c r="K920" s="87"/>
      <c r="L920" s="88"/>
    </row>
    <row r="921" spans="6:12" ht="12.5">
      <c r="F921" s="86"/>
      <c r="G921" s="86"/>
      <c r="H921" s="86"/>
      <c r="I921" s="65"/>
      <c r="J921" s="65"/>
      <c r="K921" s="87"/>
      <c r="L921" s="88"/>
    </row>
    <row r="922" spans="6:12" ht="12.5">
      <c r="F922" s="86"/>
      <c r="G922" s="86"/>
      <c r="H922" s="86"/>
      <c r="I922" s="65"/>
      <c r="J922" s="65"/>
      <c r="K922" s="87"/>
      <c r="L922" s="88"/>
    </row>
    <row r="923" spans="6:12" ht="12.5">
      <c r="F923" s="86"/>
      <c r="G923" s="86"/>
      <c r="H923" s="86"/>
      <c r="I923" s="65"/>
      <c r="J923" s="65"/>
      <c r="K923" s="87"/>
      <c r="L923" s="88"/>
    </row>
    <row r="924" spans="6:12" ht="12.5">
      <c r="F924" s="86"/>
      <c r="G924" s="86"/>
      <c r="H924" s="86"/>
      <c r="I924" s="65"/>
      <c r="J924" s="65"/>
      <c r="K924" s="87"/>
      <c r="L924" s="88"/>
    </row>
    <row r="925" spans="6:12" ht="12.5">
      <c r="F925" s="86"/>
      <c r="G925" s="86"/>
      <c r="H925" s="86"/>
      <c r="I925" s="65"/>
      <c r="J925" s="65"/>
      <c r="K925" s="87"/>
      <c r="L925" s="88"/>
    </row>
    <row r="926" spans="6:12" ht="12.5">
      <c r="F926" s="86"/>
      <c r="G926" s="86"/>
      <c r="H926" s="86"/>
      <c r="I926" s="65"/>
      <c r="J926" s="65"/>
      <c r="K926" s="87"/>
      <c r="L926" s="88"/>
    </row>
    <row r="927" spans="6:12" ht="12.5">
      <c r="F927" s="86"/>
      <c r="G927" s="86"/>
      <c r="H927" s="86"/>
      <c r="I927" s="65"/>
      <c r="J927" s="65"/>
      <c r="K927" s="87"/>
      <c r="L927" s="88"/>
    </row>
    <row r="928" spans="6:12" ht="12.5">
      <c r="F928" s="86"/>
      <c r="G928" s="86"/>
      <c r="H928" s="86"/>
      <c r="I928" s="65"/>
      <c r="J928" s="65"/>
      <c r="K928" s="87"/>
      <c r="L928" s="88"/>
    </row>
    <row r="929" spans="6:12" ht="12.5">
      <c r="F929" s="86"/>
      <c r="G929" s="86"/>
      <c r="H929" s="86"/>
      <c r="I929" s="65"/>
      <c r="J929" s="65"/>
      <c r="K929" s="87"/>
      <c r="L929" s="88"/>
    </row>
    <row r="930" spans="6:12" ht="12.5">
      <c r="F930" s="86"/>
      <c r="G930" s="86"/>
      <c r="H930" s="86"/>
      <c r="I930" s="65"/>
      <c r="J930" s="65"/>
      <c r="K930" s="87"/>
      <c r="L930" s="88"/>
    </row>
    <row r="931" spans="6:12" ht="12.5">
      <c r="F931" s="86"/>
      <c r="G931" s="86"/>
      <c r="H931" s="86"/>
      <c r="I931" s="65"/>
      <c r="J931" s="65"/>
      <c r="K931" s="87"/>
      <c r="L931" s="88"/>
    </row>
    <row r="932" spans="6:12" ht="12.5">
      <c r="F932" s="86"/>
      <c r="G932" s="86"/>
      <c r="H932" s="86"/>
      <c r="I932" s="65"/>
      <c r="J932" s="65"/>
      <c r="K932" s="87"/>
      <c r="L932" s="88"/>
    </row>
    <row r="933" spans="6:12" ht="12.5">
      <c r="F933" s="86"/>
      <c r="G933" s="86"/>
      <c r="H933" s="86"/>
      <c r="I933" s="65"/>
      <c r="J933" s="65"/>
      <c r="K933" s="87"/>
      <c r="L933" s="88"/>
    </row>
    <row r="934" spans="6:12" ht="12.5">
      <c r="F934" s="86"/>
      <c r="G934" s="86"/>
      <c r="H934" s="86"/>
      <c r="I934" s="65"/>
      <c r="J934" s="65"/>
      <c r="K934" s="87"/>
      <c r="L934" s="88"/>
    </row>
    <row r="935" spans="6:12" ht="12.5">
      <c r="F935" s="86"/>
      <c r="G935" s="86"/>
      <c r="H935" s="86"/>
      <c r="I935" s="65"/>
      <c r="J935" s="65"/>
      <c r="K935" s="87"/>
      <c r="L935" s="88"/>
    </row>
    <row r="936" spans="6:12" ht="12.5">
      <c r="F936" s="86"/>
      <c r="G936" s="86"/>
      <c r="H936" s="86"/>
      <c r="I936" s="65"/>
      <c r="J936" s="65"/>
      <c r="K936" s="87"/>
      <c r="L936" s="88"/>
    </row>
    <row r="937" spans="6:12" ht="12.5">
      <c r="F937" s="86"/>
      <c r="G937" s="86"/>
      <c r="H937" s="86"/>
      <c r="I937" s="65"/>
      <c r="J937" s="65"/>
      <c r="K937" s="87"/>
      <c r="L937" s="88"/>
    </row>
    <row r="938" spans="6:12" ht="12.5">
      <c r="F938" s="86"/>
      <c r="G938" s="86"/>
      <c r="H938" s="86"/>
      <c r="I938" s="65"/>
      <c r="J938" s="65"/>
      <c r="K938" s="87"/>
      <c r="L938" s="88"/>
    </row>
    <row r="939" spans="6:12" ht="12.5">
      <c r="F939" s="86"/>
      <c r="G939" s="86"/>
      <c r="H939" s="86"/>
      <c r="I939" s="65"/>
      <c r="J939" s="65"/>
      <c r="K939" s="87"/>
      <c r="L939" s="88"/>
    </row>
    <row r="940" spans="6:12" ht="12.5">
      <c r="F940" s="86"/>
      <c r="G940" s="86"/>
      <c r="H940" s="86"/>
      <c r="I940" s="65"/>
      <c r="J940" s="65"/>
      <c r="K940" s="87"/>
      <c r="L940" s="88"/>
    </row>
    <row r="941" spans="6:12" ht="12.5">
      <c r="F941" s="86"/>
      <c r="G941" s="86"/>
      <c r="H941" s="86"/>
      <c r="I941" s="65"/>
      <c r="J941" s="65"/>
      <c r="K941" s="87"/>
      <c r="L941" s="88"/>
    </row>
    <row r="942" spans="6:12" ht="12.5">
      <c r="F942" s="86"/>
      <c r="G942" s="86"/>
      <c r="H942" s="86"/>
      <c r="I942" s="65"/>
      <c r="J942" s="65"/>
      <c r="K942" s="87"/>
      <c r="L942" s="88"/>
    </row>
    <row r="943" spans="6:12" ht="12.5">
      <c r="F943" s="86"/>
      <c r="G943" s="86"/>
      <c r="H943" s="86"/>
      <c r="I943" s="65"/>
      <c r="J943" s="65"/>
      <c r="K943" s="87"/>
      <c r="L943" s="88"/>
    </row>
    <row r="944" spans="6:12" ht="12.5">
      <c r="F944" s="86"/>
      <c r="G944" s="86"/>
      <c r="H944" s="86"/>
      <c r="I944" s="65"/>
      <c r="J944" s="65"/>
      <c r="K944" s="87"/>
      <c r="L944" s="88"/>
    </row>
    <row r="945" spans="6:12" ht="12.5">
      <c r="F945" s="86"/>
      <c r="G945" s="86"/>
      <c r="H945" s="86"/>
      <c r="I945" s="65"/>
      <c r="J945" s="65"/>
      <c r="K945" s="87"/>
      <c r="L945" s="88"/>
    </row>
    <row r="946" spans="6:12" ht="12.5">
      <c r="F946" s="86"/>
      <c r="G946" s="86"/>
      <c r="H946" s="86"/>
      <c r="I946" s="65"/>
      <c r="J946" s="65"/>
      <c r="K946" s="87"/>
      <c r="L946" s="88"/>
    </row>
    <row r="947" spans="6:12" ht="12.5">
      <c r="F947" s="86"/>
      <c r="G947" s="86"/>
      <c r="H947" s="86"/>
      <c r="I947" s="65"/>
      <c r="J947" s="65"/>
      <c r="K947" s="87"/>
      <c r="L947" s="88"/>
    </row>
    <row r="948" spans="6:12" ht="12.5">
      <c r="F948" s="86"/>
      <c r="G948" s="86"/>
      <c r="H948" s="86"/>
      <c r="I948" s="65"/>
      <c r="J948" s="65"/>
      <c r="K948" s="87"/>
      <c r="L948" s="88"/>
    </row>
    <row r="949" spans="6:12" ht="12.5">
      <c r="F949" s="86"/>
      <c r="G949" s="86"/>
      <c r="H949" s="86"/>
      <c r="I949" s="65"/>
      <c r="J949" s="65"/>
      <c r="K949" s="87"/>
      <c r="L949" s="88"/>
    </row>
    <row r="950" spans="6:12" ht="12.5">
      <c r="F950" s="86"/>
      <c r="G950" s="86"/>
      <c r="H950" s="86"/>
      <c r="I950" s="65"/>
      <c r="J950" s="65"/>
      <c r="K950" s="87"/>
      <c r="L950" s="88"/>
    </row>
    <row r="951" spans="6:12" ht="12.5">
      <c r="F951" s="86"/>
      <c r="G951" s="86"/>
      <c r="H951" s="86"/>
      <c r="I951" s="65"/>
      <c r="J951" s="65"/>
      <c r="K951" s="87"/>
      <c r="L951" s="88"/>
    </row>
    <row r="952" spans="6:12" ht="12.5">
      <c r="F952" s="86"/>
      <c r="G952" s="86"/>
      <c r="H952" s="86"/>
      <c r="I952" s="65"/>
      <c r="J952" s="65"/>
      <c r="K952" s="87"/>
      <c r="L952" s="88"/>
    </row>
    <row r="953" spans="6:12" ht="12.5">
      <c r="F953" s="86"/>
      <c r="G953" s="86"/>
      <c r="H953" s="86"/>
      <c r="I953" s="65"/>
      <c r="J953" s="65"/>
      <c r="K953" s="87"/>
      <c r="L953" s="88"/>
    </row>
    <row r="954" spans="6:12" ht="12.5">
      <c r="F954" s="86"/>
      <c r="G954" s="86"/>
      <c r="H954" s="86"/>
      <c r="I954" s="65"/>
      <c r="J954" s="65"/>
      <c r="K954" s="87"/>
      <c r="L954" s="88"/>
    </row>
    <row r="955" spans="6:12" ht="12.5">
      <c r="F955" s="86"/>
      <c r="G955" s="86"/>
      <c r="H955" s="86"/>
      <c r="I955" s="65"/>
      <c r="J955" s="65"/>
      <c r="K955" s="87"/>
      <c r="L955" s="88"/>
    </row>
    <row r="956" spans="6:12" ht="12.5">
      <c r="F956" s="86"/>
      <c r="G956" s="86"/>
      <c r="H956" s="86"/>
      <c r="I956" s="65"/>
      <c r="J956" s="65"/>
      <c r="K956" s="87"/>
      <c r="L956" s="88"/>
    </row>
    <row r="957" spans="6:12" ht="12.5">
      <c r="F957" s="86"/>
      <c r="G957" s="86"/>
      <c r="H957" s="86"/>
      <c r="I957" s="65"/>
      <c r="J957" s="65"/>
      <c r="K957" s="87"/>
      <c r="L957" s="88"/>
    </row>
    <row r="958" spans="6:12" ht="12.5">
      <c r="F958" s="86"/>
      <c r="G958" s="86"/>
      <c r="H958" s="86"/>
      <c r="I958" s="65"/>
      <c r="J958" s="65"/>
      <c r="K958" s="87"/>
      <c r="L958" s="88"/>
    </row>
    <row r="959" spans="6:12" ht="12.5">
      <c r="F959" s="86"/>
      <c r="G959" s="86"/>
      <c r="H959" s="86"/>
      <c r="I959" s="65"/>
      <c r="J959" s="65"/>
      <c r="K959" s="87"/>
      <c r="L959" s="88"/>
    </row>
    <row r="960" spans="6:12" ht="12.5">
      <c r="F960" s="86"/>
      <c r="G960" s="86"/>
      <c r="H960" s="86"/>
      <c r="I960" s="65"/>
      <c r="J960" s="65"/>
      <c r="K960" s="87"/>
      <c r="L960" s="88"/>
    </row>
    <row r="961" spans="6:12" ht="12.5">
      <c r="F961" s="86"/>
      <c r="G961" s="86"/>
      <c r="H961" s="86"/>
      <c r="I961" s="65"/>
      <c r="J961" s="65"/>
      <c r="K961" s="87"/>
      <c r="L961" s="88"/>
    </row>
    <row r="962" spans="6:12" ht="12.5">
      <c r="F962" s="86"/>
      <c r="G962" s="86"/>
      <c r="H962" s="86"/>
      <c r="I962" s="65"/>
      <c r="J962" s="65"/>
      <c r="K962" s="87"/>
      <c r="L962" s="88"/>
    </row>
    <row r="963" spans="6:12" ht="12.5">
      <c r="F963" s="86"/>
      <c r="G963" s="86"/>
      <c r="H963" s="86"/>
      <c r="I963" s="65"/>
      <c r="J963" s="65"/>
      <c r="K963" s="87"/>
      <c r="L963" s="88"/>
    </row>
    <row r="964" spans="6:12" ht="12.5">
      <c r="F964" s="86"/>
      <c r="G964" s="86"/>
      <c r="H964" s="86"/>
      <c r="I964" s="65"/>
      <c r="J964" s="65"/>
      <c r="K964" s="87"/>
      <c r="L964" s="88"/>
    </row>
    <row r="965" spans="6:12" ht="12.5">
      <c r="F965" s="86"/>
      <c r="G965" s="86"/>
      <c r="H965" s="86"/>
      <c r="I965" s="65"/>
      <c r="J965" s="65"/>
      <c r="K965" s="87"/>
      <c r="L965" s="88"/>
    </row>
    <row r="966" spans="6:12" ht="12.5">
      <c r="F966" s="86"/>
      <c r="G966" s="86"/>
      <c r="H966" s="86"/>
      <c r="I966" s="65"/>
      <c r="J966" s="65"/>
      <c r="K966" s="87"/>
      <c r="L966" s="88"/>
    </row>
    <row r="967" spans="6:12" ht="12.5">
      <c r="F967" s="86"/>
      <c r="G967" s="86"/>
      <c r="H967" s="86"/>
      <c r="I967" s="65"/>
      <c r="J967" s="65"/>
      <c r="K967" s="87"/>
      <c r="L967" s="88"/>
    </row>
    <row r="968" spans="6:12" ht="12.5">
      <c r="F968" s="86"/>
      <c r="G968" s="86"/>
      <c r="H968" s="86"/>
      <c r="I968" s="65"/>
      <c r="J968" s="65"/>
      <c r="K968" s="87"/>
      <c r="L968" s="88"/>
    </row>
    <row r="969" spans="6:12" ht="12.5">
      <c r="F969" s="86"/>
      <c r="G969" s="86"/>
      <c r="H969" s="86"/>
      <c r="I969" s="65"/>
      <c r="J969" s="65"/>
      <c r="K969" s="87"/>
      <c r="L969" s="88"/>
    </row>
    <row r="970" spans="6:12" ht="12.5">
      <c r="F970" s="86"/>
      <c r="G970" s="86"/>
      <c r="H970" s="86"/>
      <c r="I970" s="65"/>
      <c r="J970" s="65"/>
      <c r="K970" s="87"/>
      <c r="L970" s="88"/>
    </row>
    <row r="971" spans="6:12" ht="12.5">
      <c r="F971" s="86"/>
      <c r="G971" s="86"/>
      <c r="H971" s="86"/>
      <c r="I971" s="65"/>
      <c r="J971" s="65"/>
      <c r="K971" s="87"/>
      <c r="L971" s="88"/>
    </row>
    <row r="972" spans="6:12" ht="12.5">
      <c r="F972" s="86"/>
      <c r="G972" s="86"/>
      <c r="H972" s="86"/>
      <c r="I972" s="65"/>
      <c r="J972" s="65"/>
      <c r="K972" s="87"/>
      <c r="L972" s="88"/>
    </row>
    <row r="973" spans="6:12" ht="12.5">
      <c r="F973" s="86"/>
      <c r="G973" s="86"/>
      <c r="H973" s="86"/>
      <c r="I973" s="65"/>
      <c r="J973" s="65"/>
      <c r="K973" s="87"/>
      <c r="L973" s="88"/>
    </row>
    <row r="974" spans="6:12" ht="12.5">
      <c r="F974" s="86"/>
      <c r="G974" s="86"/>
      <c r="H974" s="86"/>
      <c r="I974" s="65"/>
      <c r="J974" s="65"/>
      <c r="K974" s="87"/>
      <c r="L974" s="88"/>
    </row>
    <row r="975" spans="6:12" ht="12.5">
      <c r="F975" s="86"/>
      <c r="G975" s="86"/>
      <c r="H975" s="86"/>
      <c r="I975" s="65"/>
      <c r="J975" s="65"/>
      <c r="K975" s="87"/>
      <c r="L975" s="88"/>
    </row>
    <row r="976" spans="6:12" ht="12.5">
      <c r="F976" s="86"/>
      <c r="G976" s="86"/>
      <c r="H976" s="86"/>
      <c r="I976" s="65"/>
      <c r="J976" s="65"/>
      <c r="K976" s="87"/>
      <c r="L976" s="88"/>
    </row>
    <row r="977" spans="6:12" ht="12.5">
      <c r="F977" s="86"/>
      <c r="G977" s="86"/>
      <c r="H977" s="86"/>
      <c r="I977" s="65"/>
      <c r="J977" s="65"/>
      <c r="K977" s="87"/>
      <c r="L977" s="88"/>
    </row>
    <row r="978" spans="6:12" ht="12.5">
      <c r="F978" s="86"/>
      <c r="G978" s="86"/>
      <c r="H978" s="86"/>
      <c r="I978" s="65"/>
      <c r="J978" s="65"/>
      <c r="K978" s="87"/>
      <c r="L978" s="88"/>
    </row>
    <row r="979" spans="6:12" ht="12.5">
      <c r="F979" s="86"/>
      <c r="G979" s="86"/>
      <c r="H979" s="86"/>
      <c r="I979" s="65"/>
      <c r="J979" s="65"/>
      <c r="K979" s="87"/>
      <c r="L979" s="88"/>
    </row>
    <row r="980" spans="6:12" ht="12.5">
      <c r="F980" s="86"/>
      <c r="G980" s="86"/>
      <c r="H980" s="86"/>
      <c r="I980" s="65"/>
      <c r="J980" s="65"/>
      <c r="K980" s="87"/>
      <c r="L980" s="88"/>
    </row>
    <row r="981" spans="6:12" ht="12.5">
      <c r="F981" s="86"/>
      <c r="G981" s="86"/>
      <c r="H981" s="86"/>
      <c r="I981" s="65"/>
      <c r="J981" s="65"/>
      <c r="K981" s="87"/>
      <c r="L981" s="88"/>
    </row>
    <row r="982" spans="6:12" ht="12.5">
      <c r="F982" s="86"/>
      <c r="G982" s="86"/>
      <c r="H982" s="86"/>
      <c r="I982" s="65"/>
      <c r="J982" s="65"/>
      <c r="K982" s="87"/>
      <c r="L982" s="88"/>
    </row>
    <row r="983" spans="6:12" ht="12.5">
      <c r="F983" s="86"/>
      <c r="G983" s="86"/>
      <c r="H983" s="86"/>
      <c r="I983" s="65"/>
      <c r="J983" s="65"/>
      <c r="K983" s="87"/>
      <c r="L983" s="88"/>
    </row>
    <row r="984" spans="6:12" ht="12.5">
      <c r="F984" s="86"/>
      <c r="G984" s="86"/>
      <c r="H984" s="86"/>
      <c r="I984" s="65"/>
      <c r="J984" s="65"/>
      <c r="K984" s="87"/>
      <c r="L984" s="88"/>
    </row>
    <row r="985" spans="6:12" ht="12.5">
      <c r="F985" s="86"/>
      <c r="G985" s="86"/>
      <c r="H985" s="86"/>
      <c r="I985" s="65"/>
      <c r="J985" s="65"/>
      <c r="K985" s="87"/>
      <c r="L985" s="88"/>
    </row>
    <row r="986" spans="6:12" ht="12.5">
      <c r="F986" s="86"/>
      <c r="G986" s="86"/>
      <c r="H986" s="86"/>
      <c r="I986" s="65"/>
      <c r="J986" s="65"/>
      <c r="K986" s="87"/>
      <c r="L986" s="88"/>
    </row>
    <row r="987" spans="6:12" ht="12.5">
      <c r="F987" s="86"/>
      <c r="G987" s="86"/>
      <c r="H987" s="86"/>
      <c r="I987" s="65"/>
      <c r="J987" s="65"/>
      <c r="K987" s="87"/>
      <c r="L987" s="88"/>
    </row>
    <row r="988" spans="6:12" ht="12.5">
      <c r="F988" s="86"/>
      <c r="G988" s="86"/>
      <c r="H988" s="86"/>
      <c r="I988" s="65"/>
      <c r="J988" s="65"/>
      <c r="K988" s="87"/>
      <c r="L988" s="88"/>
    </row>
    <row r="989" spans="6:12" ht="12.5">
      <c r="F989" s="86"/>
      <c r="G989" s="86"/>
      <c r="H989" s="86"/>
      <c r="I989" s="65"/>
      <c r="J989" s="65"/>
      <c r="K989" s="87"/>
      <c r="L989" s="88"/>
    </row>
    <row r="990" spans="6:12" ht="12.5">
      <c r="F990" s="86"/>
      <c r="G990" s="86"/>
      <c r="H990" s="86"/>
      <c r="I990" s="65"/>
      <c r="J990" s="65"/>
      <c r="K990" s="87"/>
      <c r="L990" s="88"/>
    </row>
    <row r="991" spans="6:12" ht="12.5">
      <c r="F991" s="86"/>
      <c r="G991" s="86"/>
      <c r="H991" s="86"/>
      <c r="I991" s="65"/>
      <c r="J991" s="65"/>
      <c r="K991" s="87"/>
      <c r="L991" s="88"/>
    </row>
    <row r="992" spans="6:12" ht="12.5">
      <c r="F992" s="86"/>
      <c r="G992" s="86"/>
      <c r="H992" s="86"/>
      <c r="I992" s="65"/>
      <c r="J992" s="65"/>
      <c r="K992" s="87"/>
      <c r="L992" s="88"/>
    </row>
    <row r="993" spans="6:12" ht="12.5">
      <c r="F993" s="86"/>
      <c r="G993" s="86"/>
      <c r="H993" s="86"/>
      <c r="I993" s="65"/>
      <c r="J993" s="65"/>
      <c r="K993" s="87"/>
      <c r="L993" s="88"/>
    </row>
    <row r="994" spans="6:12" ht="12.5">
      <c r="F994" s="86"/>
      <c r="G994" s="86"/>
      <c r="H994" s="86"/>
      <c r="I994" s="65"/>
      <c r="J994" s="65"/>
      <c r="K994" s="87"/>
      <c r="L994" s="88"/>
    </row>
    <row r="995" spans="6:12" ht="12.5">
      <c r="F995" s="86"/>
      <c r="G995" s="86"/>
      <c r="H995" s="86"/>
      <c r="I995" s="65"/>
      <c r="J995" s="65"/>
      <c r="K995" s="87"/>
      <c r="L995" s="88"/>
    </row>
    <row r="996" spans="6:12" ht="12.5">
      <c r="F996" s="86"/>
      <c r="G996" s="86"/>
      <c r="H996" s="86"/>
      <c r="I996" s="65"/>
      <c r="J996" s="65"/>
      <c r="K996" s="87"/>
      <c r="L996" s="88"/>
    </row>
    <row r="997" spans="6:12" ht="12.5">
      <c r="F997" s="86"/>
      <c r="G997" s="86"/>
      <c r="H997" s="86"/>
      <c r="I997" s="65"/>
      <c r="J997" s="65"/>
      <c r="K997" s="87"/>
      <c r="L997" s="88"/>
    </row>
    <row r="998" spans="6:12" ht="12.5">
      <c r="F998" s="86"/>
      <c r="G998" s="86"/>
      <c r="H998" s="86"/>
      <c r="I998" s="65"/>
      <c r="J998" s="65"/>
      <c r="K998" s="87"/>
      <c r="L998" s="88"/>
    </row>
    <row r="999" spans="6:12" ht="12.5">
      <c r="F999" s="86"/>
      <c r="G999" s="86"/>
      <c r="H999" s="86"/>
      <c r="I999" s="65"/>
      <c r="J999" s="65"/>
      <c r="K999" s="87"/>
      <c r="L999" s="88"/>
    </row>
    <row r="1000" spans="6:12" ht="12.5">
      <c r="F1000" s="89"/>
      <c r="G1000" s="89"/>
      <c r="H1000" s="89"/>
      <c r="I1000" s="90"/>
      <c r="J1000" s="65"/>
      <c r="K1000" s="91"/>
      <c r="L1000" s="50"/>
    </row>
    <row r="1001" spans="6:12" ht="12.5">
      <c r="F1001" s="89"/>
      <c r="G1001" s="89"/>
      <c r="H1001" s="89"/>
      <c r="I1001" s="90"/>
      <c r="J1001" s="92"/>
    </row>
    <row r="1002" spans="6:12" ht="12.5">
      <c r="F1002" s="89"/>
      <c r="G1002" s="89"/>
      <c r="H1002" s="89"/>
      <c r="I1002" s="90"/>
      <c r="J1002" s="9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Z1002"/>
  <sheetViews>
    <sheetView workbookViewId="0"/>
  </sheetViews>
  <sheetFormatPr defaultColWidth="12.54296875" defaultRowHeight="15" customHeight="1"/>
  <cols>
    <col min="2" max="2" width="15" customWidth="1"/>
    <col min="3" max="3" width="16.453125" customWidth="1"/>
  </cols>
  <sheetData>
    <row r="1" spans="1:26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26" ht="15" customHeight="1">
      <c r="A2" s="81">
        <v>42977</v>
      </c>
      <c r="B2" s="61">
        <v>1</v>
      </c>
      <c r="C2" s="61" t="s">
        <v>271</v>
      </c>
      <c r="D2" s="62">
        <v>2000</v>
      </c>
      <c r="E2" s="62">
        <v>100000</v>
      </c>
      <c r="F2" s="63">
        <f>I2-0</f>
        <v>2000</v>
      </c>
      <c r="G2" s="63">
        <f t="shared" ref="G2:G7" si="0">$B$5/$I$5*(F2)</f>
        <v>8.0212563292725719E-2</v>
      </c>
      <c r="H2" s="63">
        <f>$B$5/SQRT($I$5)*(SQRT(I2)-SQRT(0))</f>
        <v>0.56643645113190133</v>
      </c>
      <c r="I2" s="76">
        <f t="shared" ref="I2:J7" si="1">D2</f>
        <v>2000</v>
      </c>
      <c r="J2" s="76">
        <f t="shared" si="1"/>
        <v>100000</v>
      </c>
      <c r="K2" s="77">
        <f>J2*'Inflation Rates by Year'!$G$2</f>
        <v>121793.58843774565</v>
      </c>
      <c r="L2" s="78">
        <f t="shared" ref="L2:L7" si="2">K2/I2</f>
        <v>60.896794218872827</v>
      </c>
    </row>
    <row r="3" spans="1:26" ht="15" customHeight="1">
      <c r="A3" s="81">
        <v>42978</v>
      </c>
      <c r="B3" s="61">
        <v>2</v>
      </c>
      <c r="C3" s="61" t="s">
        <v>271</v>
      </c>
      <c r="D3" s="62">
        <v>80000</v>
      </c>
      <c r="E3" s="62">
        <v>310469</v>
      </c>
      <c r="F3" s="63">
        <f>I3-I2</f>
        <v>78000</v>
      </c>
      <c r="G3" s="63">
        <f t="shared" si="0"/>
        <v>3.1282899684163032</v>
      </c>
      <c r="H3" s="63">
        <f>$B$5/SQRT($I$5)*(SQRT(I3)-SQRT(I2))</f>
        <v>3.0160222195070379</v>
      </c>
      <c r="I3" s="76">
        <f t="shared" si="1"/>
        <v>80000</v>
      </c>
      <c r="J3" s="76">
        <f t="shared" si="1"/>
        <v>310469</v>
      </c>
      <c r="K3" s="77">
        <f>J3*'Inflation Rates by Year'!$C$2</f>
        <v>351065.92644000001</v>
      </c>
      <c r="L3" s="78">
        <f t="shared" si="2"/>
        <v>4.3883240805000003</v>
      </c>
    </row>
    <row r="4" spans="1:26" ht="15" customHeight="1">
      <c r="A4" s="81">
        <v>42979</v>
      </c>
      <c r="B4" s="61">
        <v>3</v>
      </c>
      <c r="C4" s="61" t="s">
        <v>271</v>
      </c>
      <c r="D4" s="62">
        <v>91142</v>
      </c>
      <c r="E4" s="62">
        <v>657099</v>
      </c>
      <c r="F4" s="63">
        <f>I4-I3</f>
        <v>11142</v>
      </c>
      <c r="G4" s="63">
        <f t="shared" si="0"/>
        <v>0.44686419010377498</v>
      </c>
      <c r="H4" s="63">
        <f>$B$5/SQRT($I$5)*(SQRT(I4)-SQRT(I3))</f>
        <v>0.24134400304222445</v>
      </c>
      <c r="I4" s="76">
        <f t="shared" si="1"/>
        <v>91142</v>
      </c>
      <c r="J4" s="76">
        <f t="shared" si="1"/>
        <v>657099</v>
      </c>
      <c r="K4" s="77">
        <f>J4*'Inflation Rates by Year'!$C$2</f>
        <v>743021.26523999998</v>
      </c>
      <c r="L4" s="78">
        <f t="shared" si="2"/>
        <v>8.1523476030809068</v>
      </c>
    </row>
    <row r="5" spans="1:26" ht="15" customHeight="1">
      <c r="A5" s="82">
        <v>42980</v>
      </c>
      <c r="B5" s="83">
        <v>4</v>
      </c>
      <c r="C5" s="83" t="s">
        <v>271</v>
      </c>
      <c r="D5" s="72">
        <v>99735</v>
      </c>
      <c r="E5" s="72">
        <v>1112000</v>
      </c>
      <c r="F5" s="63">
        <f>I5-I4</f>
        <v>8593</v>
      </c>
      <c r="G5" s="63">
        <f t="shared" si="0"/>
        <v>0.34463327818719608</v>
      </c>
      <c r="H5" s="63">
        <f>$B$5/SQRT($I$5)*(SQRT(I5)-SQRT(I4))</f>
        <v>0.17619732631883611</v>
      </c>
      <c r="I5" s="72">
        <f t="shared" si="1"/>
        <v>99735</v>
      </c>
      <c r="J5" s="72">
        <f t="shared" si="1"/>
        <v>1112000</v>
      </c>
      <c r="K5" s="77">
        <f>J5*'Inflation Rates by Year'!$C$2</f>
        <v>1257405.1199999999</v>
      </c>
      <c r="L5" s="73">
        <f t="shared" si="2"/>
        <v>12.607460971574671</v>
      </c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5" customHeight="1">
      <c r="A6" s="81">
        <v>42981</v>
      </c>
      <c r="B6" s="61">
        <v>5</v>
      </c>
      <c r="C6" s="61" t="s">
        <v>271</v>
      </c>
      <c r="D6" s="62">
        <v>99735</v>
      </c>
      <c r="E6" s="62">
        <v>1386902</v>
      </c>
      <c r="F6" s="63">
        <f>I6-I5</f>
        <v>0</v>
      </c>
      <c r="G6" s="63">
        <f t="shared" si="0"/>
        <v>0</v>
      </c>
      <c r="H6" s="63">
        <f>$B$5/SQRT($I$5)*(SQRT(I6)-SQRT(I5))</f>
        <v>0</v>
      </c>
      <c r="I6" s="76">
        <f t="shared" si="1"/>
        <v>99735</v>
      </c>
      <c r="J6" s="76">
        <f t="shared" si="1"/>
        <v>1386902</v>
      </c>
      <c r="K6" s="77">
        <f>J6*'Inflation Rates by Year'!$C$2</f>
        <v>1568253.3055199999</v>
      </c>
      <c r="L6" s="78">
        <f t="shared" si="2"/>
        <v>15.724202191006166</v>
      </c>
    </row>
    <row r="7" spans="1:26" ht="15" customHeight="1">
      <c r="A7" s="81">
        <v>42982</v>
      </c>
      <c r="B7" s="61">
        <v>6</v>
      </c>
      <c r="C7" s="61" t="s">
        <v>271</v>
      </c>
      <c r="D7" s="62">
        <v>99735</v>
      </c>
      <c r="E7" s="62">
        <v>1500000</v>
      </c>
      <c r="F7" s="63">
        <f>I7-I6</f>
        <v>0</v>
      </c>
      <c r="G7" s="63">
        <f t="shared" si="0"/>
        <v>0</v>
      </c>
      <c r="H7" s="63">
        <f>$B$5/SQRT($I$5)*(SQRT(I7)-SQRT(I6))</f>
        <v>0</v>
      </c>
      <c r="I7" s="76">
        <f t="shared" si="1"/>
        <v>99735</v>
      </c>
      <c r="J7" s="76">
        <f t="shared" si="1"/>
        <v>1500000</v>
      </c>
      <c r="K7" s="77">
        <f>J7*'Inflation Rates by Year'!$C$2</f>
        <v>1696140</v>
      </c>
      <c r="L7" s="78">
        <f t="shared" si="2"/>
        <v>17.006467137915475</v>
      </c>
    </row>
    <row r="8" spans="1:26" ht="15" customHeight="1">
      <c r="A8" s="81"/>
      <c r="C8" s="61"/>
      <c r="D8" s="62"/>
      <c r="E8" s="62"/>
      <c r="F8" s="63"/>
      <c r="G8" s="63"/>
      <c r="H8" s="63"/>
      <c r="I8" s="76"/>
      <c r="J8" s="76"/>
      <c r="K8" s="77"/>
      <c r="L8" s="78"/>
    </row>
    <row r="9" spans="1:26" ht="15" customHeight="1">
      <c r="A9" s="81"/>
      <c r="C9" s="61"/>
      <c r="D9" s="62"/>
      <c r="E9" s="62"/>
      <c r="F9" s="63"/>
      <c r="G9" s="63"/>
      <c r="H9" s="63"/>
      <c r="I9" s="76"/>
      <c r="J9" s="76"/>
      <c r="K9" s="77"/>
      <c r="L9" s="78"/>
    </row>
    <row r="10" spans="1:26" ht="15" customHeight="1">
      <c r="A10" s="81"/>
      <c r="C10" s="61"/>
      <c r="D10" s="62"/>
      <c r="E10" s="62"/>
      <c r="F10" s="63"/>
      <c r="G10" s="63"/>
      <c r="H10" s="63"/>
      <c r="I10" s="76"/>
      <c r="J10" s="76"/>
      <c r="K10" s="77"/>
      <c r="L10" s="78"/>
    </row>
    <row r="11" spans="1:26" ht="15" customHeight="1">
      <c r="A11" s="81"/>
      <c r="C11" s="61"/>
      <c r="D11" s="62"/>
      <c r="E11" s="62"/>
      <c r="F11" s="63"/>
      <c r="G11" s="63"/>
      <c r="H11" s="63"/>
      <c r="I11" s="76"/>
      <c r="J11" s="76"/>
      <c r="K11" s="77"/>
      <c r="L11" s="78"/>
    </row>
    <row r="12" spans="1:26" ht="15" customHeight="1">
      <c r="A12" s="81"/>
      <c r="C12" s="61"/>
      <c r="D12" s="62"/>
      <c r="E12" s="62"/>
      <c r="F12" s="63"/>
      <c r="G12" s="63"/>
      <c r="H12" s="63"/>
      <c r="I12" s="76"/>
      <c r="J12" s="76"/>
      <c r="K12" s="77"/>
      <c r="L12" s="78"/>
    </row>
    <row r="13" spans="1:26" ht="15" customHeight="1">
      <c r="A13" s="81"/>
      <c r="C13" s="61"/>
      <c r="D13" s="62"/>
      <c r="E13" s="62"/>
      <c r="F13" s="63"/>
      <c r="G13" s="63"/>
      <c r="H13" s="63"/>
      <c r="I13" s="76"/>
      <c r="J13" s="76"/>
      <c r="K13" s="77"/>
      <c r="L13" s="78"/>
    </row>
    <row r="14" spans="1:26" ht="15" customHeight="1">
      <c r="A14" s="81"/>
      <c r="C14" s="61"/>
      <c r="D14" s="62"/>
      <c r="E14" s="62"/>
      <c r="F14" s="63"/>
      <c r="G14" s="63"/>
      <c r="H14" s="63"/>
      <c r="I14" s="76"/>
      <c r="J14" s="76"/>
      <c r="K14" s="77"/>
      <c r="L14" s="78"/>
    </row>
    <row r="15" spans="1:26" ht="15" customHeight="1">
      <c r="A15" s="81"/>
      <c r="C15" s="61"/>
      <c r="D15" s="62"/>
      <c r="E15" s="62"/>
      <c r="F15" s="63"/>
      <c r="G15" s="63"/>
      <c r="H15" s="63"/>
      <c r="I15" s="76"/>
      <c r="J15" s="76"/>
      <c r="K15" s="77"/>
      <c r="L15" s="78"/>
    </row>
    <row r="16" spans="1:26" ht="15" customHeight="1">
      <c r="A16" s="81"/>
      <c r="C16" s="61"/>
      <c r="D16" s="62"/>
      <c r="E16" s="62"/>
      <c r="F16" s="63"/>
      <c r="G16" s="63"/>
      <c r="H16" s="63"/>
      <c r="I16" s="76"/>
      <c r="J16" s="76"/>
      <c r="K16" s="77"/>
      <c r="L16" s="78"/>
    </row>
    <row r="17" spans="1:12" ht="15" customHeight="1">
      <c r="A17" s="81"/>
      <c r="C17" s="61"/>
      <c r="D17" s="62"/>
      <c r="E17" s="62"/>
      <c r="F17" s="63"/>
      <c r="G17" s="63"/>
      <c r="H17" s="63"/>
      <c r="I17" s="76"/>
      <c r="J17" s="76"/>
      <c r="K17" s="77"/>
      <c r="L17" s="78"/>
    </row>
    <row r="18" spans="1:12" ht="15" customHeight="1">
      <c r="A18" s="81"/>
      <c r="C18" s="61"/>
      <c r="D18" s="62"/>
      <c r="E18" s="62"/>
      <c r="F18" s="63"/>
      <c r="G18" s="63"/>
      <c r="H18" s="63"/>
      <c r="I18" s="76"/>
      <c r="J18" s="76"/>
      <c r="K18" s="77"/>
      <c r="L18" s="78"/>
    </row>
    <row r="19" spans="1:12" ht="15" customHeight="1">
      <c r="A19" s="81"/>
      <c r="C19" s="61"/>
      <c r="D19" s="62"/>
      <c r="E19" s="62"/>
      <c r="F19" s="63"/>
      <c r="G19" s="63"/>
      <c r="H19" s="63"/>
      <c r="I19" s="76"/>
      <c r="J19" s="76"/>
      <c r="K19" s="77"/>
      <c r="L19" s="78"/>
    </row>
    <row r="20" spans="1:12" ht="15" customHeight="1">
      <c r="A20" s="81"/>
      <c r="C20" s="61"/>
      <c r="D20" s="62"/>
      <c r="E20" s="62"/>
      <c r="F20" s="63"/>
      <c r="G20" s="63"/>
      <c r="H20" s="63"/>
      <c r="I20" s="76"/>
      <c r="J20" s="76"/>
      <c r="K20" s="77"/>
      <c r="L20" s="78"/>
    </row>
    <row r="21" spans="1:12" ht="14.5">
      <c r="A21" s="81"/>
      <c r="C21" s="61"/>
      <c r="D21" s="62"/>
      <c r="E21" s="62"/>
      <c r="F21" s="63"/>
      <c r="G21" s="63"/>
      <c r="H21" s="63"/>
      <c r="I21" s="76"/>
      <c r="J21" s="76"/>
      <c r="K21" s="77"/>
      <c r="L21" s="78"/>
    </row>
    <row r="22" spans="1:12" ht="14.5">
      <c r="A22" s="81"/>
      <c r="C22" s="61"/>
      <c r="D22" s="62"/>
      <c r="E22" s="62"/>
      <c r="F22" s="63"/>
      <c r="G22" s="63"/>
      <c r="H22" s="63"/>
      <c r="I22" s="76"/>
      <c r="J22" s="76"/>
      <c r="K22" s="77"/>
      <c r="L22" s="78"/>
    </row>
    <row r="23" spans="1:12" ht="14.5">
      <c r="A23" s="81"/>
      <c r="C23" s="61"/>
      <c r="D23" s="62"/>
      <c r="E23" s="62"/>
      <c r="F23" s="63"/>
      <c r="G23" s="63"/>
      <c r="H23" s="63"/>
      <c r="I23" s="76"/>
      <c r="J23" s="76"/>
      <c r="K23" s="77"/>
      <c r="L23" s="78"/>
    </row>
    <row r="24" spans="1:12" ht="14.5">
      <c r="A24" s="81"/>
      <c r="C24" s="61"/>
      <c r="D24" s="62"/>
      <c r="E24" s="62"/>
      <c r="F24" s="63"/>
      <c r="G24" s="63"/>
      <c r="H24" s="63"/>
      <c r="I24" s="76"/>
      <c r="J24" s="76"/>
      <c r="K24" s="77"/>
      <c r="L24" s="78"/>
    </row>
    <row r="25" spans="1:12" ht="14.5">
      <c r="A25" s="81"/>
      <c r="C25" s="61"/>
      <c r="D25" s="62"/>
      <c r="E25" s="62"/>
      <c r="F25" s="63"/>
      <c r="G25" s="63"/>
      <c r="H25" s="63"/>
      <c r="I25" s="76"/>
      <c r="J25" s="76"/>
      <c r="K25" s="77"/>
      <c r="L25" s="78"/>
    </row>
    <row r="26" spans="1:12" ht="14.5">
      <c r="A26" s="81"/>
      <c r="C26" s="61"/>
      <c r="D26" s="62"/>
      <c r="E26" s="62"/>
      <c r="F26" s="63"/>
      <c r="G26" s="63"/>
      <c r="H26" s="63"/>
      <c r="I26" s="76"/>
      <c r="J26" s="76"/>
      <c r="K26" s="77"/>
      <c r="L26" s="78"/>
    </row>
    <row r="27" spans="1:12" ht="14.5">
      <c r="A27" s="81"/>
      <c r="C27" s="61"/>
      <c r="D27" s="62"/>
      <c r="E27" s="62"/>
      <c r="F27" s="63"/>
      <c r="G27" s="63"/>
      <c r="H27" s="63"/>
      <c r="I27" s="76"/>
      <c r="J27" s="76"/>
      <c r="K27" s="77"/>
      <c r="L27" s="78"/>
    </row>
    <row r="28" spans="1:12" ht="14.5">
      <c r="A28" s="81"/>
      <c r="C28" s="61"/>
      <c r="D28" s="62"/>
      <c r="E28" s="62"/>
      <c r="F28" s="63"/>
      <c r="G28" s="63"/>
      <c r="H28" s="63"/>
      <c r="I28" s="76"/>
      <c r="J28" s="76"/>
      <c r="K28" s="77"/>
      <c r="L28" s="78"/>
    </row>
    <row r="29" spans="1:12" ht="14.5">
      <c r="A29" s="81"/>
      <c r="C29" s="61"/>
      <c r="D29" s="62"/>
      <c r="E29" s="62"/>
      <c r="F29" s="63"/>
      <c r="G29" s="63"/>
      <c r="H29" s="63"/>
      <c r="I29" s="76"/>
      <c r="J29" s="76"/>
      <c r="K29" s="77"/>
      <c r="L29" s="78"/>
    </row>
    <row r="30" spans="1:12" ht="14.5">
      <c r="A30" s="81"/>
      <c r="C30" s="61"/>
      <c r="D30" s="62"/>
      <c r="E30" s="62"/>
      <c r="F30" s="63"/>
      <c r="G30" s="63"/>
      <c r="H30" s="63"/>
      <c r="I30" s="76"/>
      <c r="J30" s="76"/>
      <c r="K30" s="77"/>
      <c r="L30" s="78"/>
    </row>
    <row r="31" spans="1:12" ht="14.5">
      <c r="A31" s="81"/>
      <c r="C31" s="61"/>
      <c r="D31" s="62"/>
      <c r="E31" s="62"/>
      <c r="F31" s="63"/>
      <c r="G31" s="63"/>
      <c r="H31" s="63"/>
      <c r="I31" s="76"/>
      <c r="J31" s="76"/>
      <c r="K31" s="77"/>
      <c r="L31" s="78"/>
    </row>
    <row r="32" spans="1:12" ht="14.5">
      <c r="A32" s="81"/>
      <c r="C32" s="61"/>
      <c r="D32" s="62"/>
      <c r="E32" s="62"/>
      <c r="F32" s="63"/>
      <c r="G32" s="63"/>
      <c r="H32" s="63"/>
      <c r="I32" s="76"/>
      <c r="J32" s="76"/>
      <c r="K32" s="77"/>
      <c r="L32" s="78"/>
    </row>
    <row r="33" spans="1:12" ht="14.5">
      <c r="A33" s="81"/>
      <c r="C33" s="61"/>
      <c r="D33" s="62"/>
      <c r="E33" s="62"/>
      <c r="F33" s="63"/>
      <c r="G33" s="63"/>
      <c r="H33" s="63"/>
      <c r="I33" s="76"/>
      <c r="J33" s="76"/>
      <c r="K33" s="77"/>
      <c r="L33" s="78"/>
    </row>
    <row r="34" spans="1:12" ht="14.5">
      <c r="A34" s="81"/>
      <c r="C34" s="61"/>
      <c r="D34" s="62"/>
      <c r="E34" s="62"/>
      <c r="F34" s="63"/>
      <c r="G34" s="63"/>
      <c r="H34" s="63"/>
      <c r="I34" s="76"/>
      <c r="J34" s="76"/>
      <c r="K34" s="77"/>
      <c r="L34" s="78"/>
    </row>
    <row r="35" spans="1:12" ht="14.5">
      <c r="A35" s="81"/>
      <c r="C35" s="61"/>
      <c r="D35" s="62"/>
      <c r="E35" s="62"/>
      <c r="F35" s="63"/>
      <c r="G35" s="63"/>
      <c r="H35" s="63"/>
      <c r="I35" s="76"/>
      <c r="J35" s="76"/>
      <c r="K35" s="77"/>
      <c r="L35" s="78"/>
    </row>
    <row r="36" spans="1:12" ht="14.5">
      <c r="A36" s="81"/>
      <c r="C36" s="61"/>
      <c r="D36" s="62"/>
      <c r="E36" s="62"/>
      <c r="F36" s="63"/>
      <c r="G36" s="63"/>
      <c r="H36" s="63"/>
      <c r="I36" s="76"/>
      <c r="J36" s="76"/>
      <c r="K36" s="77"/>
      <c r="L36" s="78"/>
    </row>
    <row r="37" spans="1:12" ht="14.5">
      <c r="A37" s="81"/>
      <c r="C37" s="61"/>
      <c r="D37" s="62"/>
      <c r="E37" s="62"/>
      <c r="F37" s="63"/>
      <c r="G37" s="63"/>
      <c r="H37" s="63"/>
      <c r="I37" s="76"/>
      <c r="J37" s="76"/>
      <c r="K37" s="77"/>
      <c r="L37" s="78"/>
    </row>
    <row r="38" spans="1:12" ht="14.5">
      <c r="A38" s="81"/>
      <c r="C38" s="61"/>
      <c r="D38" s="62"/>
      <c r="E38" s="62"/>
      <c r="F38" s="63"/>
      <c r="G38" s="63"/>
      <c r="H38" s="63"/>
      <c r="I38" s="76"/>
      <c r="J38" s="76"/>
      <c r="K38" s="77"/>
      <c r="L38" s="78"/>
    </row>
    <row r="39" spans="1:12" ht="14.5">
      <c r="A39" s="81"/>
      <c r="C39" s="61"/>
      <c r="D39" s="62"/>
      <c r="E39" s="62"/>
      <c r="F39" s="63"/>
      <c r="G39" s="63"/>
      <c r="H39" s="63"/>
      <c r="I39" s="76"/>
      <c r="J39" s="76"/>
      <c r="K39" s="77"/>
      <c r="L39" s="78"/>
    </row>
    <row r="40" spans="1:12" ht="14.5">
      <c r="A40" s="81"/>
      <c r="C40" s="61"/>
      <c r="D40" s="62"/>
      <c r="E40" s="62"/>
      <c r="F40" s="63"/>
      <c r="G40" s="63"/>
      <c r="H40" s="63"/>
      <c r="I40" s="76"/>
      <c r="J40" s="76"/>
      <c r="K40" s="77"/>
      <c r="L40" s="78"/>
    </row>
    <row r="41" spans="1:12" ht="14.5">
      <c r="A41" s="81"/>
      <c r="C41" s="61"/>
      <c r="D41" s="62"/>
      <c r="E41" s="62"/>
      <c r="F41" s="63"/>
      <c r="G41" s="63"/>
      <c r="H41" s="63"/>
      <c r="I41" s="76"/>
      <c r="J41" s="76"/>
      <c r="K41" s="77"/>
      <c r="L41" s="78"/>
    </row>
    <row r="42" spans="1:12" ht="14.5">
      <c r="A42" s="81"/>
      <c r="C42" s="61"/>
      <c r="D42" s="62"/>
      <c r="E42" s="62"/>
      <c r="F42" s="63"/>
      <c r="G42" s="63"/>
      <c r="H42" s="63"/>
      <c r="I42" s="76"/>
      <c r="J42" s="76"/>
      <c r="K42" s="77"/>
      <c r="L42" s="78"/>
    </row>
    <row r="43" spans="1:12" ht="14.5">
      <c r="A43" s="81"/>
      <c r="C43" s="61"/>
      <c r="D43" s="62"/>
      <c r="E43" s="62"/>
      <c r="F43" s="63"/>
      <c r="G43" s="63"/>
      <c r="H43" s="63"/>
      <c r="I43" s="76"/>
      <c r="J43" s="76"/>
      <c r="K43" s="77"/>
      <c r="L43" s="78"/>
    </row>
    <row r="44" spans="1:12" ht="14.5">
      <c r="A44" s="81"/>
      <c r="C44" s="61"/>
      <c r="D44" s="62"/>
      <c r="E44" s="62"/>
      <c r="F44" s="63"/>
      <c r="G44" s="63"/>
      <c r="H44" s="63"/>
      <c r="I44" s="76"/>
      <c r="J44" s="76"/>
      <c r="K44" s="77"/>
      <c r="L44" s="78"/>
    </row>
    <row r="45" spans="1:12" ht="14.5">
      <c r="A45" s="81"/>
      <c r="C45" s="61"/>
      <c r="D45" s="62"/>
      <c r="E45" s="62"/>
      <c r="F45" s="63"/>
      <c r="G45" s="63"/>
      <c r="H45" s="63"/>
      <c r="I45" s="76"/>
      <c r="J45" s="76"/>
      <c r="K45" s="77"/>
      <c r="L45" s="78"/>
    </row>
    <row r="46" spans="1:12" ht="14.5">
      <c r="A46" s="81"/>
      <c r="C46" s="61"/>
      <c r="D46" s="62"/>
      <c r="E46" s="62"/>
      <c r="F46" s="63"/>
      <c r="G46" s="63"/>
      <c r="H46" s="63"/>
      <c r="I46" s="76"/>
      <c r="J46" s="76"/>
      <c r="K46" s="77"/>
      <c r="L46" s="78"/>
    </row>
    <row r="47" spans="1:12" ht="14.5">
      <c r="A47" s="81"/>
      <c r="C47" s="61"/>
      <c r="D47" s="62"/>
      <c r="E47" s="62"/>
      <c r="F47" s="63"/>
      <c r="G47" s="63"/>
      <c r="H47" s="63"/>
      <c r="I47" s="76"/>
      <c r="J47" s="76"/>
      <c r="K47" s="77"/>
      <c r="L47" s="78"/>
    </row>
    <row r="48" spans="1:12" ht="14.5">
      <c r="A48" s="81"/>
      <c r="C48" s="61"/>
      <c r="D48" s="62"/>
      <c r="E48" s="62"/>
      <c r="F48" s="63"/>
      <c r="G48" s="63"/>
      <c r="H48" s="63"/>
      <c r="I48" s="76"/>
      <c r="J48" s="76"/>
      <c r="K48" s="77"/>
      <c r="L48" s="78"/>
    </row>
    <row r="49" spans="1:12" ht="14.5">
      <c r="A49" s="81"/>
      <c r="C49" s="61"/>
      <c r="D49" s="62"/>
      <c r="E49" s="62"/>
      <c r="F49" s="63"/>
      <c r="G49" s="63"/>
      <c r="H49" s="63"/>
      <c r="I49" s="76"/>
      <c r="J49" s="76"/>
      <c r="K49" s="77"/>
      <c r="L49" s="78"/>
    </row>
    <row r="50" spans="1:12" ht="14.5">
      <c r="A50" s="81"/>
      <c r="C50" s="61"/>
      <c r="D50" s="62"/>
      <c r="E50" s="62"/>
      <c r="F50" s="63"/>
      <c r="G50" s="63"/>
      <c r="H50" s="63"/>
      <c r="I50" s="76"/>
      <c r="J50" s="76"/>
      <c r="K50" s="77"/>
      <c r="L50" s="78"/>
    </row>
    <row r="51" spans="1:12" ht="14.5">
      <c r="A51" s="81"/>
      <c r="C51" s="61"/>
      <c r="D51" s="62"/>
      <c r="E51" s="62"/>
      <c r="F51" s="63"/>
      <c r="G51" s="63"/>
      <c r="H51" s="63"/>
      <c r="I51" s="76"/>
      <c r="J51" s="76"/>
      <c r="K51" s="77"/>
      <c r="L51" s="78"/>
    </row>
    <row r="52" spans="1:12" ht="14.5">
      <c r="A52" s="81"/>
      <c r="C52" s="61"/>
      <c r="D52" s="62"/>
      <c r="E52" s="62"/>
      <c r="F52" s="63"/>
      <c r="G52" s="63"/>
      <c r="H52" s="63"/>
      <c r="I52" s="76"/>
      <c r="J52" s="76"/>
      <c r="K52" s="77"/>
      <c r="L52" s="78"/>
    </row>
    <row r="53" spans="1:12" ht="14.5">
      <c r="A53" s="81"/>
      <c r="C53" s="61"/>
      <c r="D53" s="62"/>
      <c r="E53" s="62"/>
      <c r="F53" s="63"/>
      <c r="G53" s="63"/>
      <c r="H53" s="63"/>
      <c r="I53" s="76"/>
      <c r="J53" s="76"/>
      <c r="K53" s="77"/>
      <c r="L53" s="78"/>
    </row>
    <row r="54" spans="1:12" ht="14.5">
      <c r="A54" s="81"/>
      <c r="C54" s="61"/>
      <c r="D54" s="62"/>
      <c r="E54" s="62"/>
      <c r="F54" s="63"/>
      <c r="G54" s="63"/>
      <c r="H54" s="63"/>
      <c r="I54" s="76"/>
      <c r="J54" s="76"/>
      <c r="K54" s="77"/>
      <c r="L54" s="78"/>
    </row>
    <row r="55" spans="1:12" ht="14.5">
      <c r="A55" s="81"/>
      <c r="C55" s="61"/>
      <c r="D55" s="62"/>
      <c r="E55" s="62"/>
      <c r="F55" s="63"/>
      <c r="G55" s="63"/>
      <c r="H55" s="63"/>
      <c r="I55" s="76"/>
      <c r="J55" s="76"/>
      <c r="K55" s="77"/>
      <c r="L55" s="78"/>
    </row>
    <row r="56" spans="1:12" ht="14.5">
      <c r="A56" s="81"/>
      <c r="C56" s="61"/>
      <c r="D56" s="62"/>
      <c r="E56" s="62"/>
      <c r="F56" s="63"/>
      <c r="G56" s="63"/>
      <c r="H56" s="63"/>
      <c r="I56" s="76"/>
      <c r="J56" s="76"/>
      <c r="K56" s="77"/>
      <c r="L56" s="78"/>
    </row>
    <row r="57" spans="1:12" ht="14.5">
      <c r="A57" s="81"/>
      <c r="C57" s="61"/>
      <c r="D57" s="62"/>
      <c r="E57" s="62"/>
      <c r="F57" s="63"/>
      <c r="G57" s="63"/>
      <c r="H57" s="63"/>
      <c r="I57" s="76"/>
      <c r="J57" s="76"/>
      <c r="K57" s="77"/>
      <c r="L57" s="78"/>
    </row>
    <row r="58" spans="1:12" ht="14.5">
      <c r="A58" s="81"/>
      <c r="C58" s="61"/>
      <c r="D58" s="62"/>
      <c r="E58" s="62"/>
      <c r="F58" s="63"/>
      <c r="G58" s="63"/>
      <c r="H58" s="63"/>
      <c r="I58" s="76"/>
      <c r="J58" s="76"/>
      <c r="K58" s="77"/>
      <c r="L58" s="78"/>
    </row>
    <row r="59" spans="1:12" ht="14.5">
      <c r="A59" s="82"/>
      <c r="B59" s="69"/>
      <c r="C59" s="83"/>
      <c r="D59" s="72"/>
      <c r="E59" s="72"/>
      <c r="F59" s="63"/>
      <c r="G59" s="63"/>
      <c r="H59" s="63"/>
      <c r="I59" s="72"/>
      <c r="J59" s="72"/>
      <c r="K59" s="73"/>
      <c r="L59" s="73"/>
    </row>
    <row r="60" spans="1:12" ht="14.5">
      <c r="A60" s="81"/>
      <c r="C60" s="61"/>
      <c r="D60" s="62"/>
      <c r="E60" s="62"/>
      <c r="F60" s="63"/>
      <c r="G60" s="63"/>
      <c r="H60" s="63"/>
      <c r="I60" s="76"/>
      <c r="J60" s="76"/>
      <c r="K60" s="77"/>
      <c r="L60" s="78"/>
    </row>
    <row r="61" spans="1:12" ht="14.5">
      <c r="A61" s="81"/>
      <c r="C61" s="61"/>
      <c r="D61" s="62"/>
      <c r="E61" s="62"/>
      <c r="F61" s="63"/>
      <c r="G61" s="63"/>
      <c r="H61" s="63"/>
      <c r="I61" s="76"/>
      <c r="J61" s="76"/>
      <c r="K61" s="77"/>
      <c r="L61" s="78"/>
    </row>
    <row r="62" spans="1:12" ht="14.5">
      <c r="A62" s="81"/>
      <c r="C62" s="61"/>
      <c r="D62" s="62"/>
      <c r="E62" s="62"/>
      <c r="F62" s="63"/>
      <c r="G62" s="63"/>
      <c r="H62" s="63"/>
      <c r="I62" s="76"/>
      <c r="J62" s="76"/>
      <c r="K62" s="77"/>
      <c r="L62" s="78"/>
    </row>
    <row r="63" spans="1:12" ht="14.5">
      <c r="A63" s="81"/>
      <c r="C63" s="61"/>
      <c r="D63" s="62"/>
      <c r="E63" s="62"/>
      <c r="F63" s="63"/>
      <c r="G63" s="63"/>
      <c r="H63" s="63"/>
      <c r="I63" s="76"/>
      <c r="J63" s="76"/>
      <c r="K63" s="77"/>
      <c r="L63" s="78"/>
    </row>
    <row r="64" spans="1:12" ht="14.5">
      <c r="A64" s="81"/>
      <c r="C64" s="61"/>
      <c r="D64" s="62"/>
      <c r="E64" s="62"/>
      <c r="F64" s="63"/>
      <c r="G64" s="63"/>
      <c r="H64" s="63"/>
      <c r="I64" s="76"/>
      <c r="J64" s="76"/>
      <c r="K64" s="77"/>
      <c r="L64" s="78"/>
    </row>
    <row r="65" spans="1:12" ht="14.5">
      <c r="A65" s="81"/>
      <c r="C65" s="61"/>
      <c r="D65" s="62"/>
      <c r="E65" s="62"/>
      <c r="F65" s="63"/>
      <c r="G65" s="63"/>
      <c r="H65" s="63"/>
      <c r="I65" s="76"/>
      <c r="J65" s="76"/>
      <c r="K65" s="77"/>
      <c r="L65" s="78"/>
    </row>
    <row r="66" spans="1:12" ht="14.5">
      <c r="A66" s="81"/>
      <c r="C66" s="61"/>
      <c r="D66" s="62"/>
      <c r="E66" s="62"/>
      <c r="F66" s="63"/>
      <c r="G66" s="63"/>
      <c r="H66" s="63"/>
      <c r="I66" s="76"/>
      <c r="J66" s="76"/>
      <c r="K66" s="77"/>
      <c r="L66" s="78"/>
    </row>
    <row r="67" spans="1:12" ht="14.5">
      <c r="A67" s="81"/>
      <c r="C67" s="61"/>
      <c r="D67" s="62"/>
      <c r="E67" s="62"/>
      <c r="F67" s="63"/>
      <c r="G67" s="63"/>
      <c r="H67" s="63"/>
      <c r="I67" s="76"/>
      <c r="J67" s="76"/>
      <c r="K67" s="77"/>
      <c r="L67" s="78"/>
    </row>
    <row r="68" spans="1:12" ht="14.5">
      <c r="A68" s="81"/>
      <c r="C68" s="61"/>
      <c r="D68" s="62"/>
      <c r="E68" s="62"/>
      <c r="F68" s="63"/>
      <c r="G68" s="63"/>
      <c r="H68" s="63"/>
      <c r="I68" s="76"/>
      <c r="J68" s="76"/>
      <c r="K68" s="77"/>
      <c r="L68" s="78"/>
    </row>
    <row r="69" spans="1:12" ht="14.5">
      <c r="A69" s="84"/>
      <c r="C69" s="61"/>
      <c r="D69" s="62"/>
      <c r="E69" s="62"/>
      <c r="F69" s="63"/>
      <c r="G69" s="63"/>
      <c r="H69" s="63"/>
      <c r="I69" s="76"/>
      <c r="J69" s="76"/>
      <c r="K69" s="77"/>
      <c r="L69" s="78"/>
    </row>
    <row r="70" spans="1:12" ht="14.5">
      <c r="A70" s="84"/>
      <c r="C70" s="61"/>
      <c r="D70" s="62"/>
      <c r="E70" s="62"/>
      <c r="F70" s="63"/>
      <c r="G70" s="63"/>
      <c r="H70" s="63"/>
      <c r="I70" s="76"/>
      <c r="J70" s="76"/>
      <c r="K70" s="77"/>
      <c r="L70" s="78"/>
    </row>
    <row r="71" spans="1:12" ht="14.5">
      <c r="F71" s="86"/>
      <c r="G71" s="86"/>
      <c r="H71" s="86"/>
      <c r="I71" s="65"/>
      <c r="J71" s="76"/>
      <c r="K71" s="66"/>
      <c r="L71" s="67"/>
    </row>
    <row r="72" spans="1:12" ht="12.5">
      <c r="F72" s="86"/>
      <c r="G72" s="86"/>
      <c r="H72" s="86"/>
      <c r="I72" s="65"/>
      <c r="J72" s="65"/>
      <c r="K72" s="66"/>
      <c r="L72" s="67"/>
    </row>
    <row r="73" spans="1:12" ht="12.5">
      <c r="F73" s="86"/>
      <c r="G73" s="86"/>
      <c r="H73" s="86"/>
      <c r="I73" s="65"/>
      <c r="J73" s="65"/>
      <c r="K73" s="66"/>
      <c r="L73" s="67"/>
    </row>
    <row r="74" spans="1:12" ht="12.5">
      <c r="F74" s="86"/>
      <c r="G74" s="86"/>
      <c r="H74" s="86"/>
      <c r="I74" s="65"/>
      <c r="J74" s="65"/>
      <c r="K74" s="66"/>
      <c r="L74" s="67"/>
    </row>
    <row r="75" spans="1:12" ht="12.5">
      <c r="F75" s="86"/>
      <c r="G75" s="86"/>
      <c r="H75" s="86"/>
      <c r="I75" s="65"/>
      <c r="J75" s="65"/>
      <c r="K75" s="66"/>
      <c r="L75" s="67"/>
    </row>
    <row r="76" spans="1:12" ht="12.5">
      <c r="F76" s="86"/>
      <c r="G76" s="86"/>
      <c r="H76" s="86"/>
      <c r="I76" s="65"/>
      <c r="J76" s="65"/>
      <c r="K76" s="66"/>
      <c r="L76" s="67"/>
    </row>
    <row r="77" spans="1:12" ht="12.5">
      <c r="F77" s="86"/>
      <c r="G77" s="86"/>
      <c r="H77" s="86"/>
      <c r="I77" s="65"/>
      <c r="J77" s="65"/>
      <c r="K77" s="66"/>
      <c r="L77" s="67"/>
    </row>
    <row r="78" spans="1:12" ht="12.5">
      <c r="F78" s="86"/>
      <c r="G78" s="86"/>
      <c r="H78" s="86"/>
      <c r="I78" s="65"/>
      <c r="J78" s="65"/>
      <c r="K78" s="66"/>
      <c r="L78" s="67"/>
    </row>
    <row r="79" spans="1:12" ht="12.5">
      <c r="F79" s="86"/>
      <c r="G79" s="86"/>
      <c r="H79" s="86"/>
      <c r="I79" s="65"/>
      <c r="J79" s="65"/>
      <c r="K79" s="66"/>
      <c r="L79" s="67"/>
    </row>
    <row r="80" spans="1:12" ht="12.5">
      <c r="F80" s="86"/>
      <c r="G80" s="86"/>
      <c r="H80" s="86"/>
      <c r="I80" s="65"/>
      <c r="J80" s="65"/>
      <c r="K80" s="66"/>
      <c r="L80" s="67"/>
    </row>
    <row r="81" spans="6:12" ht="12.5">
      <c r="F81" s="86"/>
      <c r="G81" s="86"/>
      <c r="H81" s="86"/>
      <c r="I81" s="65"/>
      <c r="J81" s="65"/>
      <c r="K81" s="66"/>
      <c r="L81" s="67"/>
    </row>
    <row r="82" spans="6:12" ht="12.5">
      <c r="F82" s="86"/>
      <c r="G82" s="86"/>
      <c r="H82" s="86"/>
      <c r="I82" s="65"/>
      <c r="J82" s="65"/>
      <c r="K82" s="66"/>
      <c r="L82" s="67"/>
    </row>
    <row r="83" spans="6:12" ht="12.5">
      <c r="F83" s="86"/>
      <c r="G83" s="86"/>
      <c r="H83" s="86"/>
      <c r="I83" s="65"/>
      <c r="J83" s="65"/>
      <c r="K83" s="66"/>
      <c r="L83" s="67"/>
    </row>
    <row r="84" spans="6:12" ht="12.5">
      <c r="F84" s="86"/>
      <c r="G84" s="86"/>
      <c r="H84" s="86"/>
      <c r="I84" s="65"/>
      <c r="J84" s="65"/>
      <c r="K84" s="66"/>
      <c r="L84" s="67"/>
    </row>
    <row r="85" spans="6:12" ht="12.5">
      <c r="F85" s="86"/>
      <c r="G85" s="86"/>
      <c r="H85" s="86"/>
      <c r="I85" s="65"/>
      <c r="J85" s="65"/>
      <c r="K85" s="66"/>
      <c r="L85" s="67"/>
    </row>
    <row r="86" spans="6:12" ht="12.5">
      <c r="F86" s="86"/>
      <c r="G86" s="86"/>
      <c r="H86" s="86"/>
      <c r="I86" s="65"/>
      <c r="J86" s="65"/>
      <c r="K86" s="66"/>
      <c r="L86" s="67"/>
    </row>
    <row r="87" spans="6:12" ht="12.5">
      <c r="F87" s="86"/>
      <c r="G87" s="86"/>
      <c r="H87" s="86"/>
      <c r="I87" s="65"/>
      <c r="J87" s="65"/>
      <c r="K87" s="66"/>
      <c r="L87" s="67"/>
    </row>
    <row r="88" spans="6:12" ht="12.5">
      <c r="F88" s="86"/>
      <c r="G88" s="86"/>
      <c r="H88" s="86"/>
      <c r="I88" s="65"/>
      <c r="J88" s="65"/>
      <c r="K88" s="66"/>
      <c r="L88" s="67"/>
    </row>
    <row r="89" spans="6:12" ht="12.5">
      <c r="F89" s="86"/>
      <c r="G89" s="86"/>
      <c r="H89" s="86"/>
      <c r="I89" s="65"/>
      <c r="J89" s="65"/>
      <c r="K89" s="66"/>
      <c r="L89" s="67"/>
    </row>
    <row r="90" spans="6:12" ht="12.5">
      <c r="F90" s="86"/>
      <c r="G90" s="86"/>
      <c r="H90" s="86"/>
      <c r="I90" s="65"/>
      <c r="J90" s="65"/>
      <c r="K90" s="66"/>
      <c r="L90" s="67"/>
    </row>
    <row r="91" spans="6:12" ht="12.5">
      <c r="F91" s="86"/>
      <c r="G91" s="86"/>
      <c r="H91" s="86"/>
      <c r="I91" s="65"/>
      <c r="J91" s="65"/>
      <c r="K91" s="66"/>
      <c r="L91" s="67"/>
    </row>
    <row r="92" spans="6:12" ht="12.5">
      <c r="F92" s="86"/>
      <c r="G92" s="86"/>
      <c r="H92" s="86"/>
      <c r="I92" s="65"/>
      <c r="J92" s="65"/>
      <c r="K92" s="66"/>
      <c r="L92" s="67"/>
    </row>
    <row r="93" spans="6:12" ht="12.5">
      <c r="F93" s="86"/>
      <c r="G93" s="86"/>
      <c r="H93" s="86"/>
      <c r="I93" s="65"/>
      <c r="J93" s="65"/>
      <c r="K93" s="66"/>
      <c r="L93" s="67"/>
    </row>
    <row r="94" spans="6:12" ht="12.5">
      <c r="F94" s="86"/>
      <c r="G94" s="86"/>
      <c r="H94" s="86"/>
      <c r="I94" s="65"/>
      <c r="J94" s="65"/>
      <c r="K94" s="66"/>
      <c r="L94" s="67"/>
    </row>
    <row r="95" spans="6:12" ht="12.5">
      <c r="F95" s="86"/>
      <c r="G95" s="86"/>
      <c r="H95" s="86"/>
      <c r="I95" s="65"/>
      <c r="J95" s="65"/>
      <c r="K95" s="66"/>
      <c r="L95" s="67"/>
    </row>
    <row r="96" spans="6:12" ht="12.5">
      <c r="F96" s="86"/>
      <c r="G96" s="86"/>
      <c r="H96" s="86"/>
      <c r="I96" s="65"/>
      <c r="J96" s="65"/>
      <c r="K96" s="66"/>
      <c r="L96" s="67"/>
    </row>
    <row r="97" spans="6:12" ht="12.5">
      <c r="F97" s="86"/>
      <c r="G97" s="86"/>
      <c r="H97" s="86"/>
      <c r="I97" s="65"/>
      <c r="J97" s="65"/>
      <c r="K97" s="66"/>
      <c r="L97" s="67"/>
    </row>
    <row r="98" spans="6:12" ht="12.5">
      <c r="F98" s="86"/>
      <c r="G98" s="86"/>
      <c r="H98" s="86"/>
      <c r="I98" s="65"/>
      <c r="J98" s="65"/>
      <c r="K98" s="66"/>
      <c r="L98" s="67"/>
    </row>
    <row r="99" spans="6:12" ht="12.5">
      <c r="F99" s="86"/>
      <c r="G99" s="86"/>
      <c r="H99" s="86"/>
      <c r="I99" s="65"/>
      <c r="J99" s="65"/>
      <c r="K99" s="66"/>
      <c r="L99" s="67"/>
    </row>
    <row r="100" spans="6:12" ht="12.5">
      <c r="F100" s="86"/>
      <c r="G100" s="86"/>
      <c r="H100" s="86"/>
      <c r="I100" s="65"/>
      <c r="J100" s="65"/>
      <c r="K100" s="66"/>
      <c r="L100" s="67"/>
    </row>
    <row r="101" spans="6:12" ht="12.5">
      <c r="F101" s="86"/>
      <c r="G101" s="86"/>
      <c r="H101" s="86"/>
      <c r="I101" s="65"/>
      <c r="J101" s="65"/>
      <c r="K101" s="66"/>
      <c r="L101" s="67"/>
    </row>
    <row r="102" spans="6:12" ht="12.5">
      <c r="F102" s="86"/>
      <c r="G102" s="86"/>
      <c r="H102" s="86"/>
      <c r="I102" s="65"/>
      <c r="J102" s="65"/>
      <c r="K102" s="66"/>
      <c r="L102" s="67"/>
    </row>
    <row r="103" spans="6:12" ht="12.5">
      <c r="F103" s="86"/>
      <c r="G103" s="86"/>
      <c r="H103" s="86"/>
      <c r="I103" s="65"/>
      <c r="J103" s="65"/>
      <c r="K103" s="66"/>
      <c r="L103" s="67"/>
    </row>
    <row r="104" spans="6:12" ht="12.5">
      <c r="F104" s="86"/>
      <c r="G104" s="86"/>
      <c r="H104" s="86"/>
      <c r="I104" s="65"/>
      <c r="J104" s="65"/>
      <c r="K104" s="66"/>
      <c r="L104" s="67"/>
    </row>
    <row r="105" spans="6:12" ht="12.5">
      <c r="F105" s="86"/>
      <c r="G105" s="86"/>
      <c r="H105" s="86"/>
      <c r="I105" s="65"/>
      <c r="J105" s="65"/>
      <c r="K105" s="66"/>
      <c r="L105" s="67"/>
    </row>
    <row r="106" spans="6:12" ht="12.5">
      <c r="F106" s="86"/>
      <c r="G106" s="86"/>
      <c r="H106" s="86"/>
      <c r="I106" s="65"/>
      <c r="J106" s="65"/>
      <c r="K106" s="66"/>
      <c r="L106" s="67"/>
    </row>
    <row r="107" spans="6:12" ht="12.5">
      <c r="F107" s="86"/>
      <c r="G107" s="86"/>
      <c r="H107" s="86"/>
      <c r="I107" s="65"/>
      <c r="J107" s="65"/>
      <c r="K107" s="66"/>
      <c r="L107" s="67"/>
    </row>
    <row r="108" spans="6:12" ht="12.5">
      <c r="F108" s="86"/>
      <c r="G108" s="86"/>
      <c r="H108" s="86"/>
      <c r="I108" s="65"/>
      <c r="J108" s="65"/>
      <c r="K108" s="66"/>
      <c r="L108" s="67"/>
    </row>
    <row r="109" spans="6:12" ht="12.5">
      <c r="F109" s="86"/>
      <c r="G109" s="86"/>
      <c r="H109" s="86"/>
      <c r="I109" s="65"/>
      <c r="J109" s="65"/>
      <c r="K109" s="66"/>
      <c r="L109" s="67"/>
    </row>
    <row r="110" spans="6:12" ht="12.5">
      <c r="F110" s="86"/>
      <c r="G110" s="86"/>
      <c r="H110" s="86"/>
      <c r="I110" s="65"/>
      <c r="J110" s="65"/>
      <c r="K110" s="66"/>
      <c r="L110" s="67"/>
    </row>
    <row r="111" spans="6:12" ht="12.5">
      <c r="F111" s="86"/>
      <c r="G111" s="86"/>
      <c r="H111" s="86"/>
      <c r="I111" s="65"/>
      <c r="J111" s="65"/>
      <c r="K111" s="66"/>
      <c r="L111" s="67"/>
    </row>
    <row r="112" spans="6:12" ht="12.5">
      <c r="F112" s="86"/>
      <c r="G112" s="86"/>
      <c r="H112" s="86"/>
      <c r="I112" s="65"/>
      <c r="J112" s="65"/>
      <c r="K112" s="66"/>
      <c r="L112" s="67"/>
    </row>
    <row r="113" spans="6:12" ht="12.5">
      <c r="F113" s="86"/>
      <c r="G113" s="86"/>
      <c r="H113" s="86"/>
      <c r="I113" s="65"/>
      <c r="J113" s="65"/>
      <c r="K113" s="66"/>
      <c r="L113" s="67"/>
    </row>
    <row r="114" spans="6:12" ht="12.5">
      <c r="F114" s="86"/>
      <c r="G114" s="86"/>
      <c r="H114" s="86"/>
      <c r="I114" s="65"/>
      <c r="J114" s="65"/>
      <c r="K114" s="66"/>
      <c r="L114" s="67"/>
    </row>
    <row r="115" spans="6:12" ht="12.5">
      <c r="F115" s="86"/>
      <c r="G115" s="86"/>
      <c r="H115" s="86"/>
      <c r="I115" s="65"/>
      <c r="J115" s="65"/>
      <c r="K115" s="66"/>
      <c r="L115" s="67"/>
    </row>
    <row r="116" spans="6:12" ht="12.5">
      <c r="F116" s="86"/>
      <c r="G116" s="86"/>
      <c r="H116" s="86"/>
      <c r="I116" s="65"/>
      <c r="J116" s="65"/>
      <c r="K116" s="87"/>
      <c r="L116" s="88"/>
    </row>
    <row r="117" spans="6:12" ht="12.5">
      <c r="F117" s="86"/>
      <c r="G117" s="86"/>
      <c r="H117" s="86"/>
      <c r="I117" s="65"/>
      <c r="J117" s="65"/>
      <c r="K117" s="87"/>
      <c r="L117" s="88"/>
    </row>
    <row r="118" spans="6:12" ht="12.5">
      <c r="F118" s="86"/>
      <c r="G118" s="86"/>
      <c r="H118" s="86"/>
      <c r="I118" s="65"/>
      <c r="J118" s="65"/>
      <c r="K118" s="87"/>
      <c r="L118" s="88"/>
    </row>
    <row r="119" spans="6:12" ht="12.5">
      <c r="F119" s="86"/>
      <c r="G119" s="86"/>
      <c r="H119" s="86"/>
      <c r="I119" s="65"/>
      <c r="J119" s="65"/>
      <c r="K119" s="87"/>
      <c r="L119" s="88"/>
    </row>
    <row r="120" spans="6:12" ht="12.5">
      <c r="F120" s="86"/>
      <c r="G120" s="86"/>
      <c r="H120" s="86"/>
      <c r="I120" s="65"/>
      <c r="J120" s="65"/>
      <c r="K120" s="87"/>
      <c r="L120" s="88"/>
    </row>
    <row r="121" spans="6:12" ht="12.5">
      <c r="F121" s="86"/>
      <c r="G121" s="86"/>
      <c r="H121" s="86"/>
      <c r="I121" s="65"/>
      <c r="J121" s="65"/>
      <c r="K121" s="87"/>
      <c r="L121" s="88"/>
    </row>
    <row r="122" spans="6:12" ht="12.5">
      <c r="F122" s="86"/>
      <c r="G122" s="86"/>
      <c r="H122" s="86"/>
      <c r="I122" s="65"/>
      <c r="J122" s="65"/>
      <c r="K122" s="87"/>
      <c r="L122" s="88"/>
    </row>
    <row r="123" spans="6:12" ht="12.5">
      <c r="F123" s="86"/>
      <c r="G123" s="86"/>
      <c r="H123" s="86"/>
      <c r="I123" s="65"/>
      <c r="J123" s="65"/>
      <c r="K123" s="87"/>
      <c r="L123" s="88"/>
    </row>
    <row r="124" spans="6:12" ht="12.5">
      <c r="F124" s="86"/>
      <c r="G124" s="86"/>
      <c r="H124" s="86"/>
      <c r="I124" s="65"/>
      <c r="J124" s="65"/>
      <c r="K124" s="87"/>
      <c r="L124" s="88"/>
    </row>
    <row r="125" spans="6:12" ht="12.5">
      <c r="F125" s="86"/>
      <c r="G125" s="86"/>
      <c r="H125" s="86"/>
      <c r="I125" s="65"/>
      <c r="J125" s="65"/>
      <c r="K125" s="87"/>
      <c r="L125" s="88"/>
    </row>
    <row r="126" spans="6:12" ht="12.5">
      <c r="F126" s="86"/>
      <c r="G126" s="86"/>
      <c r="H126" s="86"/>
      <c r="I126" s="65"/>
      <c r="J126" s="65"/>
      <c r="K126" s="87"/>
      <c r="L126" s="88"/>
    </row>
    <row r="127" spans="6:12" ht="12.5">
      <c r="F127" s="86"/>
      <c r="G127" s="86"/>
      <c r="H127" s="86"/>
      <c r="I127" s="65"/>
      <c r="J127" s="65"/>
      <c r="K127" s="87"/>
      <c r="L127" s="88"/>
    </row>
    <row r="128" spans="6:12" ht="12.5">
      <c r="F128" s="86"/>
      <c r="G128" s="86"/>
      <c r="H128" s="86"/>
      <c r="I128" s="65"/>
      <c r="J128" s="65"/>
      <c r="K128" s="87"/>
      <c r="L128" s="88"/>
    </row>
    <row r="129" spans="6:12" ht="12.5">
      <c r="F129" s="86"/>
      <c r="G129" s="86"/>
      <c r="H129" s="86"/>
      <c r="I129" s="65"/>
      <c r="J129" s="65"/>
      <c r="K129" s="87"/>
      <c r="L129" s="88"/>
    </row>
    <row r="130" spans="6:12" ht="12.5">
      <c r="F130" s="86"/>
      <c r="G130" s="86"/>
      <c r="H130" s="86"/>
      <c r="I130" s="65"/>
      <c r="J130" s="65"/>
      <c r="K130" s="87"/>
      <c r="L130" s="88"/>
    </row>
    <row r="131" spans="6:12" ht="12.5">
      <c r="F131" s="86"/>
      <c r="G131" s="86"/>
      <c r="H131" s="86"/>
      <c r="I131" s="65"/>
      <c r="J131" s="65"/>
      <c r="K131" s="87"/>
      <c r="L131" s="88"/>
    </row>
    <row r="132" spans="6:12" ht="12.5">
      <c r="F132" s="86"/>
      <c r="G132" s="86"/>
      <c r="H132" s="86"/>
      <c r="I132" s="65"/>
      <c r="J132" s="65"/>
      <c r="K132" s="87"/>
      <c r="L132" s="88"/>
    </row>
    <row r="133" spans="6:12" ht="12.5">
      <c r="F133" s="86"/>
      <c r="G133" s="86"/>
      <c r="H133" s="86"/>
      <c r="I133" s="65"/>
      <c r="J133" s="65"/>
      <c r="K133" s="87"/>
      <c r="L133" s="88"/>
    </row>
    <row r="134" spans="6:12" ht="12.5">
      <c r="F134" s="86"/>
      <c r="G134" s="86"/>
      <c r="H134" s="86"/>
      <c r="I134" s="65"/>
      <c r="J134" s="65"/>
      <c r="K134" s="87"/>
      <c r="L134" s="88"/>
    </row>
    <row r="135" spans="6:12" ht="12.5">
      <c r="F135" s="86"/>
      <c r="G135" s="86"/>
      <c r="H135" s="86"/>
      <c r="I135" s="65"/>
      <c r="J135" s="65"/>
      <c r="K135" s="87"/>
      <c r="L135" s="88"/>
    </row>
    <row r="136" spans="6:12" ht="12.5">
      <c r="F136" s="86"/>
      <c r="G136" s="86"/>
      <c r="H136" s="86"/>
      <c r="I136" s="65"/>
      <c r="J136" s="65"/>
      <c r="K136" s="87"/>
      <c r="L136" s="88"/>
    </row>
    <row r="137" spans="6:12" ht="12.5">
      <c r="F137" s="86"/>
      <c r="G137" s="86"/>
      <c r="H137" s="86"/>
      <c r="I137" s="65"/>
      <c r="J137" s="65"/>
      <c r="K137" s="87"/>
      <c r="L137" s="88"/>
    </row>
    <row r="138" spans="6:12" ht="12.5">
      <c r="F138" s="86"/>
      <c r="G138" s="86"/>
      <c r="H138" s="86"/>
      <c r="I138" s="65"/>
      <c r="J138" s="65"/>
      <c r="K138" s="87"/>
      <c r="L138" s="88"/>
    </row>
    <row r="139" spans="6:12" ht="12.5">
      <c r="F139" s="86"/>
      <c r="G139" s="86"/>
      <c r="H139" s="86"/>
      <c r="I139" s="65"/>
      <c r="J139" s="65"/>
      <c r="K139" s="87"/>
      <c r="L139" s="88"/>
    </row>
    <row r="140" spans="6:12" ht="12.5">
      <c r="F140" s="86"/>
      <c r="G140" s="86"/>
      <c r="H140" s="86"/>
      <c r="I140" s="65"/>
      <c r="J140" s="65"/>
      <c r="K140" s="87"/>
      <c r="L140" s="88"/>
    </row>
    <row r="141" spans="6:12" ht="12.5">
      <c r="F141" s="86"/>
      <c r="G141" s="86"/>
      <c r="H141" s="86"/>
      <c r="I141" s="65"/>
      <c r="J141" s="65"/>
      <c r="K141" s="87"/>
      <c r="L141" s="88"/>
    </row>
    <row r="142" spans="6:12" ht="12.5">
      <c r="F142" s="86"/>
      <c r="G142" s="86"/>
      <c r="H142" s="86"/>
      <c r="I142" s="65"/>
      <c r="J142" s="65"/>
      <c r="K142" s="87"/>
      <c r="L142" s="88"/>
    </row>
    <row r="143" spans="6:12" ht="12.5">
      <c r="F143" s="86"/>
      <c r="G143" s="86"/>
      <c r="H143" s="86"/>
      <c r="I143" s="65"/>
      <c r="J143" s="65"/>
      <c r="K143" s="87"/>
      <c r="L143" s="88"/>
    </row>
    <row r="144" spans="6:12" ht="12.5">
      <c r="F144" s="86"/>
      <c r="G144" s="86"/>
      <c r="H144" s="86"/>
      <c r="I144" s="65"/>
      <c r="J144" s="65"/>
      <c r="K144" s="87"/>
      <c r="L144" s="88"/>
    </row>
    <row r="145" spans="6:12" ht="12.5">
      <c r="F145" s="86"/>
      <c r="G145" s="86"/>
      <c r="H145" s="86"/>
      <c r="I145" s="65"/>
      <c r="J145" s="65"/>
      <c r="K145" s="87"/>
      <c r="L145" s="88"/>
    </row>
    <row r="146" spans="6:12" ht="12.5">
      <c r="F146" s="86"/>
      <c r="G146" s="86"/>
      <c r="H146" s="86"/>
      <c r="I146" s="65"/>
      <c r="J146" s="65"/>
      <c r="K146" s="87"/>
      <c r="L146" s="88"/>
    </row>
    <row r="147" spans="6:12" ht="12.5">
      <c r="F147" s="86"/>
      <c r="G147" s="86"/>
      <c r="H147" s="86"/>
      <c r="I147" s="65"/>
      <c r="J147" s="65"/>
      <c r="K147" s="87"/>
      <c r="L147" s="88"/>
    </row>
    <row r="148" spans="6:12" ht="12.5">
      <c r="F148" s="86"/>
      <c r="G148" s="86"/>
      <c r="H148" s="86"/>
      <c r="I148" s="65"/>
      <c r="J148" s="65"/>
      <c r="K148" s="87"/>
      <c r="L148" s="88"/>
    </row>
    <row r="149" spans="6:12" ht="12.5">
      <c r="F149" s="86"/>
      <c r="G149" s="86"/>
      <c r="H149" s="86"/>
      <c r="I149" s="65"/>
      <c r="J149" s="65"/>
      <c r="K149" s="87"/>
      <c r="L149" s="88"/>
    </row>
    <row r="150" spans="6:12" ht="12.5">
      <c r="F150" s="86"/>
      <c r="G150" s="86"/>
      <c r="H150" s="86"/>
      <c r="I150" s="65"/>
      <c r="J150" s="65"/>
      <c r="K150" s="87"/>
      <c r="L150" s="88"/>
    </row>
    <row r="151" spans="6:12" ht="12.5">
      <c r="F151" s="86"/>
      <c r="G151" s="86"/>
      <c r="H151" s="86"/>
      <c r="I151" s="65"/>
      <c r="J151" s="65"/>
      <c r="K151" s="87"/>
      <c r="L151" s="88"/>
    </row>
    <row r="152" spans="6:12" ht="12.5">
      <c r="F152" s="86"/>
      <c r="G152" s="86"/>
      <c r="H152" s="86"/>
      <c r="I152" s="65"/>
      <c r="J152" s="65"/>
      <c r="K152" s="87"/>
      <c r="L152" s="88"/>
    </row>
    <row r="153" spans="6:12" ht="12.5">
      <c r="F153" s="86"/>
      <c r="G153" s="86"/>
      <c r="H153" s="86"/>
      <c r="I153" s="65"/>
      <c r="J153" s="65"/>
      <c r="K153" s="87"/>
      <c r="L153" s="88"/>
    </row>
    <row r="154" spans="6:12" ht="12.5">
      <c r="F154" s="86"/>
      <c r="G154" s="86"/>
      <c r="H154" s="86"/>
      <c r="I154" s="65"/>
      <c r="J154" s="65"/>
      <c r="K154" s="87"/>
      <c r="L154" s="88"/>
    </row>
    <row r="155" spans="6:12" ht="12.5">
      <c r="F155" s="86"/>
      <c r="G155" s="86"/>
      <c r="H155" s="86"/>
      <c r="I155" s="65"/>
      <c r="J155" s="65"/>
      <c r="K155" s="87"/>
      <c r="L155" s="88"/>
    </row>
    <row r="156" spans="6:12" ht="12.5">
      <c r="F156" s="86"/>
      <c r="G156" s="86"/>
      <c r="H156" s="86"/>
      <c r="I156" s="65"/>
      <c r="J156" s="65"/>
      <c r="K156" s="87"/>
      <c r="L156" s="88"/>
    </row>
    <row r="157" spans="6:12" ht="12.5">
      <c r="F157" s="86"/>
      <c r="G157" s="86"/>
      <c r="H157" s="86"/>
      <c r="I157" s="65"/>
      <c r="J157" s="65"/>
      <c r="K157" s="87"/>
      <c r="L157" s="88"/>
    </row>
    <row r="158" spans="6:12" ht="12.5">
      <c r="F158" s="86"/>
      <c r="G158" s="86"/>
      <c r="H158" s="86"/>
      <c r="I158" s="65"/>
      <c r="J158" s="65"/>
      <c r="K158" s="87"/>
      <c r="L158" s="88"/>
    </row>
    <row r="159" spans="6:12" ht="12.5">
      <c r="F159" s="86"/>
      <c r="G159" s="86"/>
      <c r="H159" s="86"/>
      <c r="I159" s="65"/>
      <c r="J159" s="65"/>
      <c r="K159" s="87"/>
      <c r="L159" s="88"/>
    </row>
    <row r="160" spans="6:12" ht="12.5">
      <c r="F160" s="86"/>
      <c r="G160" s="86"/>
      <c r="H160" s="86"/>
      <c r="I160" s="65"/>
      <c r="J160" s="65"/>
      <c r="K160" s="87"/>
      <c r="L160" s="88"/>
    </row>
    <row r="161" spans="6:12" ht="12.5">
      <c r="F161" s="86"/>
      <c r="G161" s="86"/>
      <c r="H161" s="86"/>
      <c r="I161" s="65"/>
      <c r="J161" s="65"/>
      <c r="K161" s="87"/>
      <c r="L161" s="88"/>
    </row>
    <row r="162" spans="6:12" ht="12.5">
      <c r="F162" s="86"/>
      <c r="G162" s="86"/>
      <c r="H162" s="86"/>
      <c r="I162" s="65"/>
      <c r="J162" s="65"/>
      <c r="K162" s="87"/>
      <c r="L162" s="88"/>
    </row>
    <row r="163" spans="6:12" ht="12.5">
      <c r="F163" s="86"/>
      <c r="G163" s="86"/>
      <c r="H163" s="86"/>
      <c r="I163" s="65"/>
      <c r="J163" s="65"/>
      <c r="K163" s="87"/>
      <c r="L163" s="88"/>
    </row>
    <row r="164" spans="6:12" ht="12.5">
      <c r="F164" s="86"/>
      <c r="G164" s="86"/>
      <c r="H164" s="86"/>
      <c r="I164" s="65"/>
      <c r="J164" s="65"/>
      <c r="K164" s="87"/>
      <c r="L164" s="88"/>
    </row>
    <row r="165" spans="6:12" ht="12.5">
      <c r="F165" s="86"/>
      <c r="G165" s="86"/>
      <c r="H165" s="86"/>
      <c r="I165" s="65"/>
      <c r="J165" s="65"/>
      <c r="K165" s="87"/>
      <c r="L165" s="88"/>
    </row>
    <row r="166" spans="6:12" ht="12.5">
      <c r="F166" s="86"/>
      <c r="G166" s="86"/>
      <c r="H166" s="86"/>
      <c r="I166" s="65"/>
      <c r="J166" s="65"/>
      <c r="K166" s="87"/>
      <c r="L166" s="88"/>
    </row>
    <row r="167" spans="6:12" ht="12.5">
      <c r="F167" s="86"/>
      <c r="G167" s="86"/>
      <c r="H167" s="86"/>
      <c r="I167" s="65"/>
      <c r="J167" s="65"/>
      <c r="K167" s="87"/>
      <c r="L167" s="88"/>
    </row>
    <row r="168" spans="6:12" ht="12.5">
      <c r="F168" s="86"/>
      <c r="G168" s="86"/>
      <c r="H168" s="86"/>
      <c r="I168" s="65"/>
      <c r="J168" s="65"/>
      <c r="K168" s="87"/>
      <c r="L168" s="88"/>
    </row>
    <row r="169" spans="6:12" ht="12.5">
      <c r="F169" s="86"/>
      <c r="G169" s="86"/>
      <c r="H169" s="86"/>
      <c r="I169" s="65"/>
      <c r="J169" s="65"/>
      <c r="K169" s="87"/>
      <c r="L169" s="88"/>
    </row>
    <row r="170" spans="6:12" ht="12.5">
      <c r="F170" s="86"/>
      <c r="G170" s="86"/>
      <c r="H170" s="86"/>
      <c r="I170" s="65"/>
      <c r="J170" s="65"/>
      <c r="K170" s="87"/>
      <c r="L170" s="88"/>
    </row>
    <row r="171" spans="6:12" ht="12.5">
      <c r="F171" s="86"/>
      <c r="G171" s="86"/>
      <c r="H171" s="86"/>
      <c r="I171" s="65"/>
      <c r="J171" s="65"/>
      <c r="K171" s="87"/>
      <c r="L171" s="88"/>
    </row>
    <row r="172" spans="6:12" ht="12.5">
      <c r="F172" s="86"/>
      <c r="G172" s="86"/>
      <c r="H172" s="86"/>
      <c r="I172" s="65"/>
      <c r="J172" s="65"/>
      <c r="K172" s="87"/>
      <c r="L172" s="88"/>
    </row>
    <row r="173" spans="6:12" ht="12.5">
      <c r="F173" s="86"/>
      <c r="G173" s="86"/>
      <c r="H173" s="86"/>
      <c r="I173" s="65"/>
      <c r="J173" s="65"/>
      <c r="K173" s="87"/>
      <c r="L173" s="88"/>
    </row>
    <row r="174" spans="6:12" ht="12.5">
      <c r="F174" s="86"/>
      <c r="G174" s="86"/>
      <c r="H174" s="86"/>
      <c r="I174" s="65"/>
      <c r="J174" s="65"/>
      <c r="K174" s="87"/>
      <c r="L174" s="88"/>
    </row>
    <row r="175" spans="6:12" ht="12.5">
      <c r="F175" s="86"/>
      <c r="G175" s="86"/>
      <c r="H175" s="86"/>
      <c r="I175" s="65"/>
      <c r="J175" s="65"/>
      <c r="K175" s="87"/>
      <c r="L175" s="88"/>
    </row>
    <row r="176" spans="6:12" ht="12.5">
      <c r="F176" s="86"/>
      <c r="G176" s="86"/>
      <c r="H176" s="86"/>
      <c r="I176" s="65"/>
      <c r="J176" s="65"/>
      <c r="K176" s="87"/>
      <c r="L176" s="88"/>
    </row>
    <row r="177" spans="6:12" ht="12.5">
      <c r="F177" s="86"/>
      <c r="G177" s="86"/>
      <c r="H177" s="86"/>
      <c r="I177" s="65"/>
      <c r="J177" s="65"/>
      <c r="K177" s="87"/>
      <c r="L177" s="88"/>
    </row>
    <row r="178" spans="6:12" ht="12.5">
      <c r="F178" s="86"/>
      <c r="G178" s="86"/>
      <c r="H178" s="86"/>
      <c r="I178" s="65"/>
      <c r="J178" s="65"/>
      <c r="K178" s="87"/>
      <c r="L178" s="88"/>
    </row>
    <row r="179" spans="6:12" ht="12.5">
      <c r="F179" s="86"/>
      <c r="G179" s="86"/>
      <c r="H179" s="86"/>
      <c r="I179" s="65"/>
      <c r="J179" s="65"/>
      <c r="K179" s="87"/>
      <c r="L179" s="88"/>
    </row>
    <row r="180" spans="6:12" ht="12.5">
      <c r="F180" s="86"/>
      <c r="G180" s="86"/>
      <c r="H180" s="86"/>
      <c r="I180" s="65"/>
      <c r="J180" s="65"/>
      <c r="K180" s="87"/>
      <c r="L180" s="88"/>
    </row>
    <row r="181" spans="6:12" ht="12.5">
      <c r="F181" s="86"/>
      <c r="G181" s="86"/>
      <c r="H181" s="86"/>
      <c r="I181" s="65"/>
      <c r="J181" s="65"/>
      <c r="K181" s="87"/>
      <c r="L181" s="88"/>
    </row>
    <row r="182" spans="6:12" ht="12.5">
      <c r="F182" s="86"/>
      <c r="G182" s="86"/>
      <c r="H182" s="86"/>
      <c r="I182" s="65"/>
      <c r="J182" s="65"/>
      <c r="K182" s="87"/>
      <c r="L182" s="88"/>
    </row>
    <row r="183" spans="6:12" ht="12.5">
      <c r="F183" s="86"/>
      <c r="G183" s="86"/>
      <c r="H183" s="86"/>
      <c r="I183" s="65"/>
      <c r="J183" s="65"/>
      <c r="K183" s="87"/>
      <c r="L183" s="88"/>
    </row>
    <row r="184" spans="6:12" ht="12.5">
      <c r="F184" s="86"/>
      <c r="G184" s="86"/>
      <c r="H184" s="86"/>
      <c r="I184" s="65"/>
      <c r="J184" s="65"/>
      <c r="K184" s="87"/>
      <c r="L184" s="88"/>
    </row>
    <row r="185" spans="6:12" ht="12.5">
      <c r="F185" s="86"/>
      <c r="G185" s="86"/>
      <c r="H185" s="86"/>
      <c r="I185" s="65"/>
      <c r="J185" s="65"/>
      <c r="K185" s="87"/>
      <c r="L185" s="88"/>
    </row>
    <row r="186" spans="6:12" ht="12.5">
      <c r="F186" s="86"/>
      <c r="G186" s="86"/>
      <c r="H186" s="86"/>
      <c r="I186" s="65"/>
      <c r="J186" s="65"/>
      <c r="K186" s="87"/>
      <c r="L186" s="88"/>
    </row>
    <row r="187" spans="6:12" ht="12.5">
      <c r="F187" s="86"/>
      <c r="G187" s="86"/>
      <c r="H187" s="86"/>
      <c r="I187" s="65"/>
      <c r="J187" s="65"/>
      <c r="K187" s="87"/>
      <c r="L187" s="88"/>
    </row>
    <row r="188" spans="6:12" ht="12.5">
      <c r="F188" s="86"/>
      <c r="G188" s="86"/>
      <c r="H188" s="86"/>
      <c r="I188" s="65"/>
      <c r="J188" s="65"/>
      <c r="K188" s="87"/>
      <c r="L188" s="88"/>
    </row>
    <row r="189" spans="6:12" ht="12.5">
      <c r="F189" s="86"/>
      <c r="G189" s="86"/>
      <c r="H189" s="86"/>
      <c r="I189" s="65"/>
      <c r="J189" s="65"/>
      <c r="K189" s="87"/>
      <c r="L189" s="88"/>
    </row>
    <row r="190" spans="6:12" ht="12.5">
      <c r="F190" s="86"/>
      <c r="G190" s="86"/>
      <c r="H190" s="86"/>
      <c r="I190" s="65"/>
      <c r="J190" s="65"/>
      <c r="K190" s="87"/>
      <c r="L190" s="88"/>
    </row>
    <row r="191" spans="6:12" ht="12.5">
      <c r="F191" s="86"/>
      <c r="G191" s="86"/>
      <c r="H191" s="86"/>
      <c r="I191" s="65"/>
      <c r="J191" s="65"/>
      <c r="K191" s="87"/>
      <c r="L191" s="88"/>
    </row>
    <row r="192" spans="6:12" ht="12.5">
      <c r="F192" s="86"/>
      <c r="G192" s="86"/>
      <c r="H192" s="86"/>
      <c r="I192" s="65"/>
      <c r="J192" s="65"/>
      <c r="K192" s="87"/>
      <c r="L192" s="88"/>
    </row>
    <row r="193" spans="6:12" ht="12.5">
      <c r="F193" s="86"/>
      <c r="G193" s="86"/>
      <c r="H193" s="86"/>
      <c r="I193" s="65"/>
      <c r="J193" s="65"/>
      <c r="K193" s="87"/>
      <c r="L193" s="88"/>
    </row>
    <row r="194" spans="6:12" ht="12.5">
      <c r="F194" s="86"/>
      <c r="G194" s="86"/>
      <c r="H194" s="86"/>
      <c r="I194" s="65"/>
      <c r="J194" s="65"/>
      <c r="K194" s="87"/>
      <c r="L194" s="88"/>
    </row>
    <row r="195" spans="6:12" ht="12.5">
      <c r="F195" s="86"/>
      <c r="G195" s="86"/>
      <c r="H195" s="86"/>
      <c r="I195" s="65"/>
      <c r="J195" s="65"/>
      <c r="K195" s="87"/>
      <c r="L195" s="88"/>
    </row>
    <row r="196" spans="6:12" ht="12.5">
      <c r="F196" s="86"/>
      <c r="G196" s="86"/>
      <c r="H196" s="86"/>
      <c r="I196" s="65"/>
      <c r="J196" s="65"/>
      <c r="K196" s="87"/>
      <c r="L196" s="88"/>
    </row>
    <row r="197" spans="6:12" ht="12.5">
      <c r="F197" s="86"/>
      <c r="G197" s="86"/>
      <c r="H197" s="86"/>
      <c r="I197" s="65"/>
      <c r="J197" s="65"/>
      <c r="K197" s="87"/>
      <c r="L197" s="88"/>
    </row>
    <row r="198" spans="6:12" ht="12.5">
      <c r="F198" s="86"/>
      <c r="G198" s="86"/>
      <c r="H198" s="86"/>
      <c r="I198" s="65"/>
      <c r="J198" s="65"/>
      <c r="K198" s="87"/>
      <c r="L198" s="88"/>
    </row>
    <row r="199" spans="6:12" ht="12.5">
      <c r="F199" s="86"/>
      <c r="G199" s="86"/>
      <c r="H199" s="86"/>
      <c r="I199" s="65"/>
      <c r="J199" s="65"/>
      <c r="K199" s="87"/>
      <c r="L199" s="88"/>
    </row>
    <row r="200" spans="6:12" ht="12.5">
      <c r="F200" s="86"/>
      <c r="G200" s="86"/>
      <c r="H200" s="86"/>
      <c r="I200" s="65"/>
      <c r="J200" s="65"/>
      <c r="K200" s="87"/>
      <c r="L200" s="88"/>
    </row>
    <row r="201" spans="6:12" ht="12.5">
      <c r="F201" s="86"/>
      <c r="G201" s="86"/>
      <c r="H201" s="86"/>
      <c r="I201" s="65"/>
      <c r="J201" s="65"/>
      <c r="K201" s="87"/>
      <c r="L201" s="88"/>
    </row>
    <row r="202" spans="6:12" ht="12.5">
      <c r="F202" s="86"/>
      <c r="G202" s="86"/>
      <c r="H202" s="86"/>
      <c r="I202" s="65"/>
      <c r="J202" s="65"/>
      <c r="K202" s="87"/>
      <c r="L202" s="88"/>
    </row>
    <row r="203" spans="6:12" ht="12.5">
      <c r="F203" s="86"/>
      <c r="G203" s="86"/>
      <c r="H203" s="86"/>
      <c r="I203" s="65"/>
      <c r="J203" s="65"/>
      <c r="K203" s="87"/>
      <c r="L203" s="88"/>
    </row>
    <row r="204" spans="6:12" ht="12.5">
      <c r="F204" s="86"/>
      <c r="G204" s="86"/>
      <c r="H204" s="86"/>
      <c r="I204" s="65"/>
      <c r="J204" s="65"/>
      <c r="K204" s="87"/>
      <c r="L204" s="88"/>
    </row>
    <row r="205" spans="6:12" ht="12.5">
      <c r="F205" s="86"/>
      <c r="G205" s="86"/>
      <c r="H205" s="86"/>
      <c r="I205" s="65"/>
      <c r="J205" s="65"/>
      <c r="K205" s="87"/>
      <c r="L205" s="88"/>
    </row>
    <row r="206" spans="6:12" ht="12.5">
      <c r="F206" s="86"/>
      <c r="G206" s="86"/>
      <c r="H206" s="86"/>
      <c r="I206" s="65"/>
      <c r="J206" s="65"/>
      <c r="K206" s="87"/>
      <c r="L206" s="88"/>
    </row>
    <row r="207" spans="6:12" ht="12.5">
      <c r="F207" s="86"/>
      <c r="G207" s="86"/>
      <c r="H207" s="86"/>
      <c r="I207" s="65"/>
      <c r="J207" s="65"/>
      <c r="K207" s="87"/>
      <c r="L207" s="88"/>
    </row>
    <row r="208" spans="6:12" ht="12.5">
      <c r="F208" s="86"/>
      <c r="G208" s="86"/>
      <c r="H208" s="86"/>
      <c r="I208" s="65"/>
      <c r="J208" s="65"/>
      <c r="K208" s="87"/>
      <c r="L208" s="88"/>
    </row>
    <row r="209" spans="6:12" ht="12.5">
      <c r="F209" s="86"/>
      <c r="G209" s="86"/>
      <c r="H209" s="86"/>
      <c r="I209" s="65"/>
      <c r="J209" s="65"/>
      <c r="K209" s="87"/>
      <c r="L209" s="88"/>
    </row>
    <row r="210" spans="6:12" ht="12.5">
      <c r="F210" s="86"/>
      <c r="G210" s="86"/>
      <c r="H210" s="86"/>
      <c r="I210" s="65"/>
      <c r="J210" s="65"/>
      <c r="K210" s="87"/>
      <c r="L210" s="88"/>
    </row>
    <row r="211" spans="6:12" ht="12.5">
      <c r="F211" s="86"/>
      <c r="G211" s="86"/>
      <c r="H211" s="86"/>
      <c r="I211" s="65"/>
      <c r="J211" s="65"/>
      <c r="K211" s="87"/>
      <c r="L211" s="88"/>
    </row>
    <row r="212" spans="6:12" ht="12.5">
      <c r="F212" s="86"/>
      <c r="G212" s="86"/>
      <c r="H212" s="86"/>
      <c r="I212" s="65"/>
      <c r="J212" s="65"/>
      <c r="K212" s="87"/>
      <c r="L212" s="88"/>
    </row>
    <row r="213" spans="6:12" ht="12.5">
      <c r="F213" s="86"/>
      <c r="G213" s="86"/>
      <c r="H213" s="86"/>
      <c r="I213" s="65"/>
      <c r="J213" s="65"/>
      <c r="K213" s="87"/>
      <c r="L213" s="88"/>
    </row>
    <row r="214" spans="6:12" ht="12.5">
      <c r="F214" s="86"/>
      <c r="G214" s="86"/>
      <c r="H214" s="86"/>
      <c r="I214" s="65"/>
      <c r="J214" s="65"/>
      <c r="K214" s="87"/>
      <c r="L214" s="88"/>
    </row>
    <row r="215" spans="6:12" ht="12.5">
      <c r="F215" s="86"/>
      <c r="G215" s="86"/>
      <c r="H215" s="86"/>
      <c r="I215" s="65"/>
      <c r="J215" s="65"/>
      <c r="K215" s="87"/>
      <c r="L215" s="88"/>
    </row>
    <row r="216" spans="6:12" ht="12.5">
      <c r="F216" s="86"/>
      <c r="G216" s="86"/>
      <c r="H216" s="86"/>
      <c r="I216" s="65"/>
      <c r="J216" s="65"/>
      <c r="K216" s="87"/>
      <c r="L216" s="88"/>
    </row>
    <row r="217" spans="6:12" ht="12.5">
      <c r="F217" s="86"/>
      <c r="G217" s="86"/>
      <c r="H217" s="86"/>
      <c r="I217" s="65"/>
      <c r="J217" s="65"/>
      <c r="K217" s="87"/>
      <c r="L217" s="88"/>
    </row>
    <row r="218" spans="6:12" ht="12.5">
      <c r="F218" s="86"/>
      <c r="G218" s="86"/>
      <c r="H218" s="86"/>
      <c r="I218" s="65"/>
      <c r="J218" s="65"/>
      <c r="K218" s="87"/>
      <c r="L218" s="88"/>
    </row>
    <row r="219" spans="6:12" ht="12.5">
      <c r="F219" s="86"/>
      <c r="G219" s="86"/>
      <c r="H219" s="86"/>
      <c r="I219" s="65"/>
      <c r="J219" s="65"/>
      <c r="K219" s="87"/>
      <c r="L219" s="88"/>
    </row>
    <row r="220" spans="6:12" ht="12.5">
      <c r="F220" s="86"/>
      <c r="G220" s="86"/>
      <c r="H220" s="86"/>
      <c r="I220" s="65"/>
      <c r="J220" s="65"/>
      <c r="K220" s="87"/>
      <c r="L220" s="88"/>
    </row>
    <row r="221" spans="6:12" ht="12.5">
      <c r="F221" s="86"/>
      <c r="G221" s="86"/>
      <c r="H221" s="86"/>
      <c r="I221" s="65"/>
      <c r="J221" s="65"/>
      <c r="K221" s="87"/>
      <c r="L221" s="88"/>
    </row>
    <row r="222" spans="6:12" ht="12.5">
      <c r="F222" s="86"/>
      <c r="G222" s="86"/>
      <c r="H222" s="86"/>
      <c r="I222" s="65"/>
      <c r="J222" s="65"/>
      <c r="K222" s="87"/>
      <c r="L222" s="88"/>
    </row>
    <row r="223" spans="6:12" ht="12.5">
      <c r="F223" s="86"/>
      <c r="G223" s="86"/>
      <c r="H223" s="86"/>
      <c r="I223" s="65"/>
      <c r="J223" s="65"/>
      <c r="K223" s="87"/>
      <c r="L223" s="88"/>
    </row>
    <row r="224" spans="6:12" ht="12.5">
      <c r="F224" s="86"/>
      <c r="G224" s="86"/>
      <c r="H224" s="86"/>
      <c r="I224" s="65"/>
      <c r="J224" s="65"/>
      <c r="K224" s="87"/>
      <c r="L224" s="88"/>
    </row>
    <row r="225" spans="6:12" ht="12.5">
      <c r="F225" s="86"/>
      <c r="G225" s="86"/>
      <c r="H225" s="86"/>
      <c r="I225" s="65"/>
      <c r="J225" s="65"/>
      <c r="K225" s="87"/>
      <c r="L225" s="88"/>
    </row>
    <row r="226" spans="6:12" ht="12.5">
      <c r="F226" s="86"/>
      <c r="G226" s="86"/>
      <c r="H226" s="86"/>
      <c r="I226" s="65"/>
      <c r="J226" s="65"/>
      <c r="K226" s="87"/>
      <c r="L226" s="88"/>
    </row>
    <row r="227" spans="6:12" ht="12.5">
      <c r="F227" s="86"/>
      <c r="G227" s="86"/>
      <c r="H227" s="86"/>
      <c r="I227" s="65"/>
      <c r="J227" s="65"/>
      <c r="K227" s="87"/>
      <c r="L227" s="88"/>
    </row>
    <row r="228" spans="6:12" ht="12.5">
      <c r="F228" s="86"/>
      <c r="G228" s="86"/>
      <c r="H228" s="86"/>
      <c r="I228" s="65"/>
      <c r="J228" s="65"/>
      <c r="K228" s="87"/>
      <c r="L228" s="88"/>
    </row>
    <row r="229" spans="6:12" ht="12.5">
      <c r="F229" s="86"/>
      <c r="G229" s="86"/>
      <c r="H229" s="86"/>
      <c r="I229" s="65"/>
      <c r="J229" s="65"/>
      <c r="K229" s="87"/>
      <c r="L229" s="88"/>
    </row>
    <row r="230" spans="6:12" ht="12.5">
      <c r="F230" s="86"/>
      <c r="G230" s="86"/>
      <c r="H230" s="86"/>
      <c r="I230" s="65"/>
      <c r="J230" s="65"/>
      <c r="K230" s="87"/>
      <c r="L230" s="88"/>
    </row>
    <row r="231" spans="6:12" ht="12.5">
      <c r="F231" s="86"/>
      <c r="G231" s="86"/>
      <c r="H231" s="86"/>
      <c r="I231" s="65"/>
      <c r="J231" s="65"/>
      <c r="K231" s="87"/>
      <c r="L231" s="88"/>
    </row>
    <row r="232" spans="6:12" ht="12.5">
      <c r="F232" s="86"/>
      <c r="G232" s="86"/>
      <c r="H232" s="86"/>
      <c r="I232" s="65"/>
      <c r="J232" s="65"/>
      <c r="K232" s="87"/>
      <c r="L232" s="88"/>
    </row>
    <row r="233" spans="6:12" ht="12.5">
      <c r="F233" s="86"/>
      <c r="G233" s="86"/>
      <c r="H233" s="86"/>
      <c r="I233" s="65"/>
      <c r="J233" s="65"/>
      <c r="K233" s="87"/>
      <c r="L233" s="88"/>
    </row>
    <row r="234" spans="6:12" ht="12.5">
      <c r="F234" s="86"/>
      <c r="G234" s="86"/>
      <c r="H234" s="86"/>
      <c r="I234" s="65"/>
      <c r="J234" s="65"/>
      <c r="K234" s="87"/>
      <c r="L234" s="88"/>
    </row>
    <row r="235" spans="6:12" ht="12.5">
      <c r="F235" s="86"/>
      <c r="G235" s="86"/>
      <c r="H235" s="86"/>
      <c r="I235" s="65"/>
      <c r="J235" s="65"/>
      <c r="K235" s="87"/>
      <c r="L235" s="88"/>
    </row>
    <row r="236" spans="6:12" ht="12.5">
      <c r="F236" s="86"/>
      <c r="G236" s="86"/>
      <c r="H236" s="86"/>
      <c r="I236" s="65"/>
      <c r="J236" s="65"/>
      <c r="K236" s="87"/>
      <c r="L236" s="88"/>
    </row>
    <row r="237" spans="6:12" ht="12.5">
      <c r="F237" s="86"/>
      <c r="G237" s="86"/>
      <c r="H237" s="86"/>
      <c r="I237" s="65"/>
      <c r="J237" s="65"/>
      <c r="K237" s="87"/>
      <c r="L237" s="88"/>
    </row>
    <row r="238" spans="6:12" ht="12.5">
      <c r="F238" s="86"/>
      <c r="G238" s="86"/>
      <c r="H238" s="86"/>
      <c r="I238" s="65"/>
      <c r="J238" s="65"/>
      <c r="K238" s="87"/>
      <c r="L238" s="88"/>
    </row>
    <row r="239" spans="6:12" ht="12.5">
      <c r="F239" s="86"/>
      <c r="G239" s="86"/>
      <c r="H239" s="86"/>
      <c r="I239" s="65"/>
      <c r="J239" s="65"/>
      <c r="K239" s="87"/>
      <c r="L239" s="88"/>
    </row>
    <row r="240" spans="6:12" ht="12.5">
      <c r="F240" s="86"/>
      <c r="G240" s="86"/>
      <c r="H240" s="86"/>
      <c r="I240" s="65"/>
      <c r="J240" s="65"/>
      <c r="K240" s="87"/>
      <c r="L240" s="88"/>
    </row>
    <row r="241" spans="6:12" ht="12.5">
      <c r="F241" s="86"/>
      <c r="G241" s="86"/>
      <c r="H241" s="86"/>
      <c r="I241" s="65"/>
      <c r="J241" s="65"/>
      <c r="K241" s="87"/>
      <c r="L241" s="88"/>
    </row>
    <row r="242" spans="6:12" ht="12.5">
      <c r="F242" s="86"/>
      <c r="G242" s="86"/>
      <c r="H242" s="86"/>
      <c r="I242" s="65"/>
      <c r="J242" s="65"/>
      <c r="K242" s="87"/>
      <c r="L242" s="88"/>
    </row>
    <row r="243" spans="6:12" ht="12.5">
      <c r="F243" s="86"/>
      <c r="G243" s="86"/>
      <c r="H243" s="86"/>
      <c r="I243" s="65"/>
      <c r="J243" s="65"/>
      <c r="K243" s="87"/>
      <c r="L243" s="88"/>
    </row>
    <row r="244" spans="6:12" ht="12.5">
      <c r="F244" s="86"/>
      <c r="G244" s="86"/>
      <c r="H244" s="86"/>
      <c r="I244" s="65"/>
      <c r="J244" s="65"/>
      <c r="K244" s="87"/>
      <c r="L244" s="88"/>
    </row>
    <row r="245" spans="6:12" ht="12.5">
      <c r="F245" s="86"/>
      <c r="G245" s="86"/>
      <c r="H245" s="86"/>
      <c r="I245" s="65"/>
      <c r="J245" s="65"/>
      <c r="K245" s="87"/>
      <c r="L245" s="88"/>
    </row>
    <row r="246" spans="6:12" ht="12.5">
      <c r="F246" s="86"/>
      <c r="G246" s="86"/>
      <c r="H246" s="86"/>
      <c r="I246" s="65"/>
      <c r="J246" s="65"/>
      <c r="K246" s="87"/>
      <c r="L246" s="88"/>
    </row>
    <row r="247" spans="6:12" ht="12.5">
      <c r="F247" s="86"/>
      <c r="G247" s="86"/>
      <c r="H247" s="86"/>
      <c r="I247" s="65"/>
      <c r="J247" s="65"/>
      <c r="K247" s="87"/>
      <c r="L247" s="88"/>
    </row>
    <row r="248" spans="6:12" ht="12.5">
      <c r="F248" s="86"/>
      <c r="G248" s="86"/>
      <c r="H248" s="86"/>
      <c r="I248" s="65"/>
      <c r="J248" s="65"/>
      <c r="K248" s="87"/>
      <c r="L248" s="88"/>
    </row>
    <row r="249" spans="6:12" ht="12.5">
      <c r="F249" s="86"/>
      <c r="G249" s="86"/>
      <c r="H249" s="86"/>
      <c r="I249" s="65"/>
      <c r="J249" s="65"/>
      <c r="K249" s="87"/>
      <c r="L249" s="88"/>
    </row>
    <row r="250" spans="6:12" ht="12.5">
      <c r="F250" s="86"/>
      <c r="G250" s="86"/>
      <c r="H250" s="86"/>
      <c r="I250" s="65"/>
      <c r="J250" s="65"/>
      <c r="K250" s="87"/>
      <c r="L250" s="88"/>
    </row>
    <row r="251" spans="6:12" ht="12.5">
      <c r="F251" s="86"/>
      <c r="G251" s="86"/>
      <c r="H251" s="86"/>
      <c r="I251" s="65"/>
      <c r="J251" s="65"/>
      <c r="K251" s="87"/>
      <c r="L251" s="88"/>
    </row>
    <row r="252" spans="6:12" ht="12.5">
      <c r="F252" s="86"/>
      <c r="G252" s="86"/>
      <c r="H252" s="86"/>
      <c r="I252" s="65"/>
      <c r="J252" s="65"/>
      <c r="K252" s="87"/>
      <c r="L252" s="88"/>
    </row>
    <row r="253" spans="6:12" ht="12.5">
      <c r="F253" s="86"/>
      <c r="G253" s="86"/>
      <c r="H253" s="86"/>
      <c r="I253" s="65"/>
      <c r="J253" s="65"/>
      <c r="K253" s="87"/>
      <c r="L253" s="88"/>
    </row>
    <row r="254" spans="6:12" ht="12.5">
      <c r="F254" s="86"/>
      <c r="G254" s="86"/>
      <c r="H254" s="86"/>
      <c r="I254" s="65"/>
      <c r="J254" s="65"/>
      <c r="K254" s="87"/>
      <c r="L254" s="88"/>
    </row>
    <row r="255" spans="6:12" ht="12.5">
      <c r="F255" s="86"/>
      <c r="G255" s="86"/>
      <c r="H255" s="86"/>
      <c r="I255" s="65"/>
      <c r="J255" s="65"/>
      <c r="K255" s="87"/>
      <c r="L255" s="88"/>
    </row>
    <row r="256" spans="6:12" ht="12.5">
      <c r="F256" s="86"/>
      <c r="G256" s="86"/>
      <c r="H256" s="86"/>
      <c r="I256" s="65"/>
      <c r="J256" s="65"/>
      <c r="K256" s="87"/>
      <c r="L256" s="88"/>
    </row>
    <row r="257" spans="6:12" ht="12.5">
      <c r="F257" s="86"/>
      <c r="G257" s="86"/>
      <c r="H257" s="86"/>
      <c r="I257" s="65"/>
      <c r="J257" s="65"/>
      <c r="K257" s="87"/>
      <c r="L257" s="88"/>
    </row>
    <row r="258" spans="6:12" ht="12.5">
      <c r="F258" s="86"/>
      <c r="G258" s="86"/>
      <c r="H258" s="86"/>
      <c r="I258" s="65"/>
      <c r="J258" s="65"/>
      <c r="K258" s="87"/>
      <c r="L258" s="88"/>
    </row>
    <row r="259" spans="6:12" ht="12.5">
      <c r="F259" s="86"/>
      <c r="G259" s="86"/>
      <c r="H259" s="86"/>
      <c r="I259" s="65"/>
      <c r="J259" s="65"/>
      <c r="K259" s="87"/>
      <c r="L259" s="88"/>
    </row>
    <row r="260" spans="6:12" ht="12.5">
      <c r="F260" s="86"/>
      <c r="G260" s="86"/>
      <c r="H260" s="86"/>
      <c r="I260" s="65"/>
      <c r="J260" s="65"/>
      <c r="K260" s="87"/>
      <c r="L260" s="88"/>
    </row>
    <row r="261" spans="6:12" ht="12.5">
      <c r="F261" s="86"/>
      <c r="G261" s="86"/>
      <c r="H261" s="86"/>
      <c r="I261" s="65"/>
      <c r="J261" s="65"/>
      <c r="K261" s="87"/>
      <c r="L261" s="88"/>
    </row>
    <row r="262" spans="6:12" ht="12.5">
      <c r="F262" s="86"/>
      <c r="G262" s="86"/>
      <c r="H262" s="86"/>
      <c r="I262" s="65"/>
      <c r="J262" s="65"/>
      <c r="K262" s="87"/>
      <c r="L262" s="88"/>
    </row>
    <row r="263" spans="6:12" ht="12.5">
      <c r="F263" s="86"/>
      <c r="G263" s="86"/>
      <c r="H263" s="86"/>
      <c r="I263" s="65"/>
      <c r="J263" s="65"/>
      <c r="K263" s="87"/>
      <c r="L263" s="88"/>
    </row>
    <row r="264" spans="6:12" ht="12.5">
      <c r="F264" s="86"/>
      <c r="G264" s="86"/>
      <c r="H264" s="86"/>
      <c r="I264" s="65"/>
      <c r="J264" s="65"/>
      <c r="K264" s="87"/>
      <c r="L264" s="88"/>
    </row>
    <row r="265" spans="6:12" ht="12.5">
      <c r="F265" s="86"/>
      <c r="G265" s="86"/>
      <c r="H265" s="86"/>
      <c r="I265" s="65"/>
      <c r="J265" s="65"/>
      <c r="K265" s="87"/>
      <c r="L265" s="88"/>
    </row>
    <row r="266" spans="6:12" ht="12.5">
      <c r="F266" s="86"/>
      <c r="G266" s="86"/>
      <c r="H266" s="86"/>
      <c r="I266" s="65"/>
      <c r="J266" s="65"/>
      <c r="K266" s="87"/>
      <c r="L266" s="88"/>
    </row>
    <row r="267" spans="6:12" ht="12.5">
      <c r="F267" s="86"/>
      <c r="G267" s="86"/>
      <c r="H267" s="86"/>
      <c r="I267" s="65"/>
      <c r="J267" s="65"/>
      <c r="K267" s="87"/>
      <c r="L267" s="88"/>
    </row>
    <row r="268" spans="6:12" ht="12.5">
      <c r="F268" s="86"/>
      <c r="G268" s="86"/>
      <c r="H268" s="86"/>
      <c r="I268" s="65"/>
      <c r="J268" s="65"/>
      <c r="K268" s="87"/>
      <c r="L268" s="88"/>
    </row>
    <row r="269" spans="6:12" ht="12.5">
      <c r="F269" s="86"/>
      <c r="G269" s="86"/>
      <c r="H269" s="86"/>
      <c r="I269" s="65"/>
      <c r="J269" s="65"/>
      <c r="K269" s="87"/>
      <c r="L269" s="88"/>
    </row>
    <row r="270" spans="6:12" ht="12.5">
      <c r="F270" s="86"/>
      <c r="G270" s="86"/>
      <c r="H270" s="86"/>
      <c r="I270" s="65"/>
      <c r="J270" s="65"/>
      <c r="K270" s="87"/>
      <c r="L270" s="88"/>
    </row>
    <row r="271" spans="6:12" ht="12.5">
      <c r="F271" s="86"/>
      <c r="G271" s="86"/>
      <c r="H271" s="86"/>
      <c r="I271" s="65"/>
      <c r="J271" s="65"/>
      <c r="K271" s="87"/>
      <c r="L271" s="88"/>
    </row>
    <row r="272" spans="6:12" ht="12.5">
      <c r="F272" s="86"/>
      <c r="G272" s="86"/>
      <c r="H272" s="86"/>
      <c r="I272" s="65"/>
      <c r="J272" s="65"/>
      <c r="K272" s="87"/>
      <c r="L272" s="88"/>
    </row>
    <row r="273" spans="6:12" ht="12.5">
      <c r="F273" s="86"/>
      <c r="G273" s="86"/>
      <c r="H273" s="86"/>
      <c r="I273" s="65"/>
      <c r="J273" s="65"/>
      <c r="K273" s="87"/>
      <c r="L273" s="88"/>
    </row>
    <row r="274" spans="6:12" ht="12.5">
      <c r="F274" s="86"/>
      <c r="G274" s="86"/>
      <c r="H274" s="86"/>
      <c r="I274" s="65"/>
      <c r="J274" s="65"/>
      <c r="K274" s="87"/>
      <c r="L274" s="88"/>
    </row>
    <row r="275" spans="6:12" ht="12.5">
      <c r="F275" s="86"/>
      <c r="G275" s="86"/>
      <c r="H275" s="86"/>
      <c r="I275" s="65"/>
      <c r="J275" s="65"/>
      <c r="K275" s="87"/>
      <c r="L275" s="88"/>
    </row>
    <row r="276" spans="6:12" ht="12.5">
      <c r="F276" s="86"/>
      <c r="G276" s="86"/>
      <c r="H276" s="86"/>
      <c r="I276" s="65"/>
      <c r="J276" s="65"/>
      <c r="K276" s="87"/>
      <c r="L276" s="88"/>
    </row>
    <row r="277" spans="6:12" ht="12.5">
      <c r="F277" s="86"/>
      <c r="G277" s="86"/>
      <c r="H277" s="86"/>
      <c r="I277" s="65"/>
      <c r="J277" s="65"/>
      <c r="K277" s="87"/>
      <c r="L277" s="88"/>
    </row>
    <row r="278" spans="6:12" ht="12.5">
      <c r="F278" s="86"/>
      <c r="G278" s="86"/>
      <c r="H278" s="86"/>
      <c r="I278" s="65"/>
      <c r="J278" s="65"/>
      <c r="K278" s="87"/>
      <c r="L278" s="88"/>
    </row>
    <row r="279" spans="6:12" ht="12.5">
      <c r="F279" s="86"/>
      <c r="G279" s="86"/>
      <c r="H279" s="86"/>
      <c r="I279" s="65"/>
      <c r="J279" s="65"/>
      <c r="K279" s="87"/>
      <c r="L279" s="88"/>
    </row>
    <row r="280" spans="6:12" ht="12.5">
      <c r="F280" s="86"/>
      <c r="G280" s="86"/>
      <c r="H280" s="86"/>
      <c r="I280" s="65"/>
      <c r="J280" s="65"/>
      <c r="K280" s="87"/>
      <c r="L280" s="88"/>
    </row>
    <row r="281" spans="6:12" ht="12.5">
      <c r="F281" s="86"/>
      <c r="G281" s="86"/>
      <c r="H281" s="86"/>
      <c r="I281" s="65"/>
      <c r="J281" s="65"/>
      <c r="K281" s="87"/>
      <c r="L281" s="88"/>
    </row>
    <row r="282" spans="6:12" ht="12.5">
      <c r="F282" s="86"/>
      <c r="G282" s="86"/>
      <c r="H282" s="86"/>
      <c r="I282" s="65"/>
      <c r="J282" s="65"/>
      <c r="K282" s="87"/>
      <c r="L282" s="88"/>
    </row>
    <row r="283" spans="6:12" ht="12.5">
      <c r="F283" s="86"/>
      <c r="G283" s="86"/>
      <c r="H283" s="86"/>
      <c r="I283" s="65"/>
      <c r="J283" s="65"/>
      <c r="K283" s="87"/>
      <c r="L283" s="88"/>
    </row>
    <row r="284" spans="6:12" ht="12.5">
      <c r="F284" s="86"/>
      <c r="G284" s="86"/>
      <c r="H284" s="86"/>
      <c r="I284" s="65"/>
      <c r="J284" s="65"/>
      <c r="K284" s="87"/>
      <c r="L284" s="88"/>
    </row>
    <row r="285" spans="6:12" ht="12.5">
      <c r="F285" s="86"/>
      <c r="G285" s="86"/>
      <c r="H285" s="86"/>
      <c r="I285" s="65"/>
      <c r="J285" s="65"/>
      <c r="K285" s="87"/>
      <c r="L285" s="88"/>
    </row>
    <row r="286" spans="6:12" ht="12.5">
      <c r="F286" s="86"/>
      <c r="G286" s="86"/>
      <c r="H286" s="86"/>
      <c r="I286" s="65"/>
      <c r="J286" s="65"/>
      <c r="K286" s="87"/>
      <c r="L286" s="88"/>
    </row>
    <row r="287" spans="6:12" ht="12.5">
      <c r="F287" s="86"/>
      <c r="G287" s="86"/>
      <c r="H287" s="86"/>
      <c r="I287" s="65"/>
      <c r="J287" s="65"/>
      <c r="K287" s="87"/>
      <c r="L287" s="88"/>
    </row>
    <row r="288" spans="6:12" ht="12.5">
      <c r="F288" s="86"/>
      <c r="G288" s="86"/>
      <c r="H288" s="86"/>
      <c r="I288" s="65"/>
      <c r="J288" s="65"/>
      <c r="K288" s="87"/>
      <c r="L288" s="88"/>
    </row>
    <row r="289" spans="6:12" ht="12.5">
      <c r="F289" s="86"/>
      <c r="G289" s="86"/>
      <c r="H289" s="86"/>
      <c r="I289" s="65"/>
      <c r="J289" s="65"/>
      <c r="K289" s="87"/>
      <c r="L289" s="88"/>
    </row>
    <row r="290" spans="6:12" ht="12.5">
      <c r="F290" s="86"/>
      <c r="G290" s="86"/>
      <c r="H290" s="86"/>
      <c r="I290" s="65"/>
      <c r="J290" s="65"/>
      <c r="K290" s="87"/>
      <c r="L290" s="88"/>
    </row>
    <row r="291" spans="6:12" ht="12.5">
      <c r="F291" s="86"/>
      <c r="G291" s="86"/>
      <c r="H291" s="86"/>
      <c r="I291" s="65"/>
      <c r="J291" s="65"/>
      <c r="K291" s="87"/>
      <c r="L291" s="88"/>
    </row>
    <row r="292" spans="6:12" ht="12.5">
      <c r="F292" s="86"/>
      <c r="G292" s="86"/>
      <c r="H292" s="86"/>
      <c r="I292" s="65"/>
      <c r="J292" s="65"/>
      <c r="K292" s="87"/>
      <c r="L292" s="88"/>
    </row>
    <row r="293" spans="6:12" ht="12.5">
      <c r="F293" s="86"/>
      <c r="G293" s="86"/>
      <c r="H293" s="86"/>
      <c r="I293" s="65"/>
      <c r="J293" s="65"/>
      <c r="K293" s="87"/>
      <c r="L293" s="88"/>
    </row>
    <row r="294" spans="6:12" ht="12.5">
      <c r="F294" s="86"/>
      <c r="G294" s="86"/>
      <c r="H294" s="86"/>
      <c r="I294" s="65"/>
      <c r="J294" s="65"/>
      <c r="K294" s="87"/>
      <c r="L294" s="88"/>
    </row>
    <row r="295" spans="6:12" ht="12.5">
      <c r="F295" s="86"/>
      <c r="G295" s="86"/>
      <c r="H295" s="86"/>
      <c r="I295" s="65"/>
      <c r="J295" s="65"/>
      <c r="K295" s="87"/>
      <c r="L295" s="88"/>
    </row>
    <row r="296" spans="6:12" ht="12.5">
      <c r="F296" s="86"/>
      <c r="G296" s="86"/>
      <c r="H296" s="86"/>
      <c r="I296" s="65"/>
      <c r="J296" s="65"/>
      <c r="K296" s="87"/>
      <c r="L296" s="88"/>
    </row>
    <row r="297" spans="6:12" ht="12.5">
      <c r="F297" s="86"/>
      <c r="G297" s="86"/>
      <c r="H297" s="86"/>
      <c r="I297" s="65"/>
      <c r="J297" s="65"/>
      <c r="K297" s="87"/>
      <c r="L297" s="88"/>
    </row>
    <row r="298" spans="6:12" ht="12.5">
      <c r="F298" s="86"/>
      <c r="G298" s="86"/>
      <c r="H298" s="86"/>
      <c r="I298" s="65"/>
      <c r="J298" s="65"/>
      <c r="K298" s="87"/>
      <c r="L298" s="88"/>
    </row>
    <row r="299" spans="6:12" ht="12.5">
      <c r="F299" s="86"/>
      <c r="G299" s="86"/>
      <c r="H299" s="86"/>
      <c r="I299" s="65"/>
      <c r="J299" s="65"/>
      <c r="K299" s="87"/>
      <c r="L299" s="88"/>
    </row>
    <row r="300" spans="6:12" ht="12.5">
      <c r="F300" s="86"/>
      <c r="G300" s="86"/>
      <c r="H300" s="86"/>
      <c r="I300" s="65"/>
      <c r="J300" s="65"/>
      <c r="K300" s="87"/>
      <c r="L300" s="88"/>
    </row>
    <row r="301" spans="6:12" ht="12.5">
      <c r="F301" s="86"/>
      <c r="G301" s="86"/>
      <c r="H301" s="86"/>
      <c r="I301" s="65"/>
      <c r="J301" s="65"/>
      <c r="K301" s="87"/>
      <c r="L301" s="88"/>
    </row>
    <row r="302" spans="6:12" ht="12.5">
      <c r="F302" s="86"/>
      <c r="G302" s="86"/>
      <c r="H302" s="86"/>
      <c r="I302" s="65"/>
      <c r="J302" s="65"/>
      <c r="K302" s="87"/>
      <c r="L302" s="88"/>
    </row>
    <row r="303" spans="6:12" ht="12.5">
      <c r="F303" s="86"/>
      <c r="G303" s="86"/>
      <c r="H303" s="86"/>
      <c r="I303" s="65"/>
      <c r="J303" s="65"/>
      <c r="K303" s="87"/>
      <c r="L303" s="88"/>
    </row>
    <row r="304" spans="6:12" ht="12.5">
      <c r="F304" s="86"/>
      <c r="G304" s="86"/>
      <c r="H304" s="86"/>
      <c r="I304" s="65"/>
      <c r="J304" s="65"/>
      <c r="K304" s="87"/>
      <c r="L304" s="88"/>
    </row>
    <row r="305" spans="6:12" ht="12.5">
      <c r="F305" s="86"/>
      <c r="G305" s="86"/>
      <c r="H305" s="86"/>
      <c r="I305" s="65"/>
      <c r="J305" s="65"/>
      <c r="K305" s="87"/>
      <c r="L305" s="88"/>
    </row>
    <row r="306" spans="6:12" ht="12.5">
      <c r="F306" s="86"/>
      <c r="G306" s="86"/>
      <c r="H306" s="86"/>
      <c r="I306" s="65"/>
      <c r="J306" s="65"/>
      <c r="K306" s="87"/>
      <c r="L306" s="88"/>
    </row>
    <row r="307" spans="6:12" ht="12.5">
      <c r="F307" s="86"/>
      <c r="G307" s="86"/>
      <c r="H307" s="86"/>
      <c r="I307" s="65"/>
      <c r="J307" s="65"/>
      <c r="K307" s="87"/>
      <c r="L307" s="88"/>
    </row>
    <row r="308" spans="6:12" ht="12.5">
      <c r="F308" s="86"/>
      <c r="G308" s="86"/>
      <c r="H308" s="86"/>
      <c r="I308" s="65"/>
      <c r="J308" s="65"/>
      <c r="K308" s="87"/>
      <c r="L308" s="88"/>
    </row>
    <row r="309" spans="6:12" ht="12.5">
      <c r="F309" s="86"/>
      <c r="G309" s="86"/>
      <c r="H309" s="86"/>
      <c r="I309" s="65"/>
      <c r="J309" s="65"/>
      <c r="K309" s="87"/>
      <c r="L309" s="88"/>
    </row>
    <row r="310" spans="6:12" ht="12.5">
      <c r="F310" s="86"/>
      <c r="G310" s="86"/>
      <c r="H310" s="86"/>
      <c r="I310" s="65"/>
      <c r="J310" s="65"/>
      <c r="K310" s="87"/>
      <c r="L310" s="88"/>
    </row>
    <row r="311" spans="6:12" ht="12.5">
      <c r="F311" s="86"/>
      <c r="G311" s="86"/>
      <c r="H311" s="86"/>
      <c r="I311" s="65"/>
      <c r="J311" s="65"/>
      <c r="K311" s="87"/>
      <c r="L311" s="88"/>
    </row>
    <row r="312" spans="6:12" ht="12.5">
      <c r="F312" s="86"/>
      <c r="G312" s="86"/>
      <c r="H312" s="86"/>
      <c r="I312" s="65"/>
      <c r="J312" s="65"/>
      <c r="K312" s="87"/>
      <c r="L312" s="88"/>
    </row>
    <row r="313" spans="6:12" ht="12.5">
      <c r="F313" s="86"/>
      <c r="G313" s="86"/>
      <c r="H313" s="86"/>
      <c r="I313" s="65"/>
      <c r="J313" s="65"/>
      <c r="K313" s="87"/>
      <c r="L313" s="88"/>
    </row>
    <row r="314" spans="6:12" ht="12.5">
      <c r="F314" s="86"/>
      <c r="G314" s="86"/>
      <c r="H314" s="86"/>
      <c r="I314" s="65"/>
      <c r="J314" s="65"/>
      <c r="K314" s="87"/>
      <c r="L314" s="88"/>
    </row>
    <row r="315" spans="6:12" ht="12.5">
      <c r="F315" s="86"/>
      <c r="G315" s="86"/>
      <c r="H315" s="86"/>
      <c r="I315" s="65"/>
      <c r="J315" s="65"/>
      <c r="K315" s="87"/>
      <c r="L315" s="88"/>
    </row>
    <row r="316" spans="6:12" ht="12.5">
      <c r="F316" s="86"/>
      <c r="G316" s="86"/>
      <c r="H316" s="86"/>
      <c r="I316" s="65"/>
      <c r="J316" s="65"/>
      <c r="K316" s="87"/>
      <c r="L316" s="88"/>
    </row>
    <row r="317" spans="6:12" ht="12.5">
      <c r="F317" s="86"/>
      <c r="G317" s="86"/>
      <c r="H317" s="86"/>
      <c r="I317" s="65"/>
      <c r="J317" s="65"/>
      <c r="K317" s="87"/>
      <c r="L317" s="88"/>
    </row>
    <row r="318" spans="6:12" ht="12.5">
      <c r="F318" s="86"/>
      <c r="G318" s="86"/>
      <c r="H318" s="86"/>
      <c r="I318" s="65"/>
      <c r="J318" s="65"/>
      <c r="K318" s="87"/>
      <c r="L318" s="88"/>
    </row>
    <row r="319" spans="6:12" ht="12.5">
      <c r="F319" s="86"/>
      <c r="G319" s="86"/>
      <c r="H319" s="86"/>
      <c r="I319" s="65"/>
      <c r="J319" s="65"/>
      <c r="K319" s="87"/>
      <c r="L319" s="88"/>
    </row>
    <row r="320" spans="6:12" ht="12.5">
      <c r="F320" s="86"/>
      <c r="G320" s="86"/>
      <c r="H320" s="86"/>
      <c r="I320" s="65"/>
      <c r="J320" s="65"/>
      <c r="K320" s="87"/>
      <c r="L320" s="88"/>
    </row>
    <row r="321" spans="6:12" ht="12.5">
      <c r="F321" s="86"/>
      <c r="G321" s="86"/>
      <c r="H321" s="86"/>
      <c r="I321" s="65"/>
      <c r="J321" s="65"/>
      <c r="K321" s="87"/>
      <c r="L321" s="88"/>
    </row>
    <row r="322" spans="6:12" ht="12.5">
      <c r="F322" s="86"/>
      <c r="G322" s="86"/>
      <c r="H322" s="86"/>
      <c r="I322" s="65"/>
      <c r="J322" s="65"/>
      <c r="K322" s="87"/>
      <c r="L322" s="88"/>
    </row>
    <row r="323" spans="6:12" ht="12.5">
      <c r="F323" s="86"/>
      <c r="G323" s="86"/>
      <c r="H323" s="86"/>
      <c r="I323" s="65"/>
      <c r="J323" s="65"/>
      <c r="K323" s="87"/>
      <c r="L323" s="88"/>
    </row>
    <row r="324" spans="6:12" ht="12.5">
      <c r="F324" s="86"/>
      <c r="G324" s="86"/>
      <c r="H324" s="86"/>
      <c r="I324" s="65"/>
      <c r="J324" s="65"/>
      <c r="K324" s="87"/>
      <c r="L324" s="88"/>
    </row>
    <row r="325" spans="6:12" ht="12.5">
      <c r="F325" s="86"/>
      <c r="G325" s="86"/>
      <c r="H325" s="86"/>
      <c r="I325" s="65"/>
      <c r="J325" s="65"/>
      <c r="K325" s="87"/>
      <c r="L325" s="88"/>
    </row>
    <row r="326" spans="6:12" ht="12.5">
      <c r="F326" s="86"/>
      <c r="G326" s="86"/>
      <c r="H326" s="86"/>
      <c r="I326" s="65"/>
      <c r="J326" s="65"/>
      <c r="K326" s="87"/>
      <c r="L326" s="88"/>
    </row>
    <row r="327" spans="6:12" ht="12.5">
      <c r="F327" s="86"/>
      <c r="G327" s="86"/>
      <c r="H327" s="86"/>
      <c r="I327" s="65"/>
      <c r="J327" s="65"/>
      <c r="K327" s="87"/>
      <c r="L327" s="88"/>
    </row>
    <row r="328" spans="6:12" ht="12.5">
      <c r="F328" s="86"/>
      <c r="G328" s="86"/>
      <c r="H328" s="86"/>
      <c r="I328" s="65"/>
      <c r="J328" s="65"/>
      <c r="K328" s="87"/>
      <c r="L328" s="88"/>
    </row>
    <row r="329" spans="6:12" ht="12.5">
      <c r="F329" s="86"/>
      <c r="G329" s="86"/>
      <c r="H329" s="86"/>
      <c r="I329" s="65"/>
      <c r="J329" s="65"/>
      <c r="K329" s="87"/>
      <c r="L329" s="88"/>
    </row>
    <row r="330" spans="6:12" ht="12.5">
      <c r="F330" s="86"/>
      <c r="G330" s="86"/>
      <c r="H330" s="86"/>
      <c r="I330" s="65"/>
      <c r="J330" s="65"/>
      <c r="K330" s="87"/>
      <c r="L330" s="88"/>
    </row>
    <row r="331" spans="6:12" ht="12.5">
      <c r="F331" s="86"/>
      <c r="G331" s="86"/>
      <c r="H331" s="86"/>
      <c r="I331" s="65"/>
      <c r="J331" s="65"/>
      <c r="K331" s="87"/>
      <c r="L331" s="88"/>
    </row>
    <row r="332" spans="6:12" ht="12.5">
      <c r="F332" s="86"/>
      <c r="G332" s="86"/>
      <c r="H332" s="86"/>
      <c r="I332" s="65"/>
      <c r="J332" s="65"/>
      <c r="K332" s="87"/>
      <c r="L332" s="88"/>
    </row>
    <row r="333" spans="6:12" ht="12.5">
      <c r="F333" s="86"/>
      <c r="G333" s="86"/>
      <c r="H333" s="86"/>
      <c r="I333" s="65"/>
      <c r="J333" s="65"/>
      <c r="K333" s="87"/>
      <c r="L333" s="88"/>
    </row>
    <row r="334" spans="6:12" ht="12.5">
      <c r="F334" s="86"/>
      <c r="G334" s="86"/>
      <c r="H334" s="86"/>
      <c r="I334" s="65"/>
      <c r="J334" s="65"/>
      <c r="K334" s="87"/>
      <c r="L334" s="88"/>
    </row>
    <row r="335" spans="6:12" ht="12.5">
      <c r="F335" s="86"/>
      <c r="G335" s="86"/>
      <c r="H335" s="86"/>
      <c r="I335" s="65"/>
      <c r="J335" s="65"/>
      <c r="K335" s="87"/>
      <c r="L335" s="88"/>
    </row>
    <row r="336" spans="6:12" ht="12.5">
      <c r="F336" s="86"/>
      <c r="G336" s="86"/>
      <c r="H336" s="86"/>
      <c r="I336" s="65"/>
      <c r="J336" s="65"/>
      <c r="K336" s="87"/>
      <c r="L336" s="88"/>
    </row>
    <row r="337" spans="6:12" ht="12.5">
      <c r="F337" s="86"/>
      <c r="G337" s="86"/>
      <c r="H337" s="86"/>
      <c r="I337" s="65"/>
      <c r="J337" s="65"/>
      <c r="K337" s="87"/>
      <c r="L337" s="88"/>
    </row>
    <row r="338" spans="6:12" ht="12.5">
      <c r="F338" s="86"/>
      <c r="G338" s="86"/>
      <c r="H338" s="86"/>
      <c r="I338" s="65"/>
      <c r="J338" s="65"/>
      <c r="K338" s="87"/>
      <c r="L338" s="88"/>
    </row>
    <row r="339" spans="6:12" ht="12.5">
      <c r="F339" s="86"/>
      <c r="G339" s="86"/>
      <c r="H339" s="86"/>
      <c r="I339" s="65"/>
      <c r="J339" s="65"/>
      <c r="K339" s="87"/>
      <c r="L339" s="88"/>
    </row>
    <row r="340" spans="6:12" ht="12.5">
      <c r="F340" s="86"/>
      <c r="G340" s="86"/>
      <c r="H340" s="86"/>
      <c r="I340" s="65"/>
      <c r="J340" s="65"/>
      <c r="K340" s="87"/>
      <c r="L340" s="88"/>
    </row>
    <row r="341" spans="6:12" ht="12.5">
      <c r="F341" s="86"/>
      <c r="G341" s="86"/>
      <c r="H341" s="86"/>
      <c r="I341" s="65"/>
      <c r="J341" s="65"/>
      <c r="K341" s="87"/>
      <c r="L341" s="88"/>
    </row>
    <row r="342" spans="6:12" ht="12.5">
      <c r="F342" s="86"/>
      <c r="G342" s="86"/>
      <c r="H342" s="86"/>
      <c r="I342" s="65"/>
      <c r="J342" s="65"/>
      <c r="K342" s="87"/>
      <c r="L342" s="88"/>
    </row>
    <row r="343" spans="6:12" ht="12.5">
      <c r="F343" s="86"/>
      <c r="G343" s="86"/>
      <c r="H343" s="86"/>
      <c r="I343" s="65"/>
      <c r="J343" s="65"/>
      <c r="K343" s="87"/>
      <c r="L343" s="88"/>
    </row>
    <row r="344" spans="6:12" ht="12.5">
      <c r="F344" s="86"/>
      <c r="G344" s="86"/>
      <c r="H344" s="86"/>
      <c r="I344" s="65"/>
      <c r="J344" s="65"/>
      <c r="K344" s="87"/>
      <c r="L344" s="88"/>
    </row>
    <row r="345" spans="6:12" ht="12.5">
      <c r="F345" s="86"/>
      <c r="G345" s="86"/>
      <c r="H345" s="86"/>
      <c r="I345" s="65"/>
      <c r="J345" s="65"/>
      <c r="K345" s="87"/>
      <c r="L345" s="88"/>
    </row>
    <row r="346" spans="6:12" ht="12.5">
      <c r="F346" s="86"/>
      <c r="G346" s="86"/>
      <c r="H346" s="86"/>
      <c r="I346" s="65"/>
      <c r="J346" s="65"/>
      <c r="K346" s="87"/>
      <c r="L346" s="88"/>
    </row>
    <row r="347" spans="6:12" ht="12.5">
      <c r="F347" s="86"/>
      <c r="G347" s="86"/>
      <c r="H347" s="86"/>
      <c r="I347" s="65"/>
      <c r="J347" s="65"/>
      <c r="K347" s="87"/>
      <c r="L347" s="88"/>
    </row>
    <row r="348" spans="6:12" ht="12.5">
      <c r="F348" s="86"/>
      <c r="G348" s="86"/>
      <c r="H348" s="86"/>
      <c r="I348" s="65"/>
      <c r="J348" s="65"/>
      <c r="K348" s="87"/>
      <c r="L348" s="88"/>
    </row>
    <row r="349" spans="6:12" ht="12.5">
      <c r="F349" s="86"/>
      <c r="G349" s="86"/>
      <c r="H349" s="86"/>
      <c r="I349" s="65"/>
      <c r="J349" s="65"/>
      <c r="K349" s="87"/>
      <c r="L349" s="88"/>
    </row>
    <row r="350" spans="6:12" ht="12.5">
      <c r="F350" s="86"/>
      <c r="G350" s="86"/>
      <c r="H350" s="86"/>
      <c r="I350" s="65"/>
      <c r="J350" s="65"/>
      <c r="K350" s="87"/>
      <c r="L350" s="88"/>
    </row>
    <row r="351" spans="6:12" ht="12.5">
      <c r="F351" s="86"/>
      <c r="G351" s="86"/>
      <c r="H351" s="86"/>
      <c r="I351" s="65"/>
      <c r="J351" s="65"/>
      <c r="K351" s="87"/>
      <c r="L351" s="88"/>
    </row>
    <row r="352" spans="6:12" ht="12.5">
      <c r="F352" s="86"/>
      <c r="G352" s="86"/>
      <c r="H352" s="86"/>
      <c r="I352" s="65"/>
      <c r="J352" s="65"/>
      <c r="K352" s="87"/>
      <c r="L352" s="88"/>
    </row>
    <row r="353" spans="6:12" ht="12.5">
      <c r="F353" s="86"/>
      <c r="G353" s="86"/>
      <c r="H353" s="86"/>
      <c r="I353" s="65"/>
      <c r="J353" s="65"/>
      <c r="K353" s="87"/>
      <c r="L353" s="88"/>
    </row>
    <row r="354" spans="6:12" ht="12.5">
      <c r="F354" s="86"/>
      <c r="G354" s="86"/>
      <c r="H354" s="86"/>
      <c r="I354" s="65"/>
      <c r="J354" s="65"/>
      <c r="K354" s="87"/>
      <c r="L354" s="88"/>
    </row>
    <row r="355" spans="6:12" ht="12.5">
      <c r="F355" s="86"/>
      <c r="G355" s="86"/>
      <c r="H355" s="86"/>
      <c r="I355" s="65"/>
      <c r="J355" s="65"/>
      <c r="K355" s="87"/>
      <c r="L355" s="88"/>
    </row>
    <row r="356" spans="6:12" ht="12.5">
      <c r="F356" s="86"/>
      <c r="G356" s="86"/>
      <c r="H356" s="86"/>
      <c r="I356" s="65"/>
      <c r="J356" s="65"/>
      <c r="K356" s="87"/>
      <c r="L356" s="88"/>
    </row>
    <row r="357" spans="6:12" ht="12.5">
      <c r="F357" s="86"/>
      <c r="G357" s="86"/>
      <c r="H357" s="86"/>
      <c r="I357" s="65"/>
      <c r="J357" s="65"/>
      <c r="K357" s="87"/>
      <c r="L357" s="88"/>
    </row>
    <row r="358" spans="6:12" ht="12.5">
      <c r="F358" s="86"/>
      <c r="G358" s="86"/>
      <c r="H358" s="86"/>
      <c r="I358" s="65"/>
      <c r="J358" s="65"/>
      <c r="K358" s="87"/>
      <c r="L358" s="88"/>
    </row>
    <row r="359" spans="6:12" ht="12.5">
      <c r="F359" s="86"/>
      <c r="G359" s="86"/>
      <c r="H359" s="86"/>
      <c r="I359" s="65"/>
      <c r="J359" s="65"/>
      <c r="K359" s="87"/>
      <c r="L359" s="88"/>
    </row>
    <row r="360" spans="6:12" ht="12.5">
      <c r="F360" s="86"/>
      <c r="G360" s="86"/>
      <c r="H360" s="86"/>
      <c r="I360" s="65"/>
      <c r="J360" s="65"/>
      <c r="K360" s="87"/>
      <c r="L360" s="88"/>
    </row>
    <row r="361" spans="6:12" ht="12.5">
      <c r="F361" s="86"/>
      <c r="G361" s="86"/>
      <c r="H361" s="86"/>
      <c r="I361" s="65"/>
      <c r="J361" s="65"/>
      <c r="K361" s="87"/>
      <c r="L361" s="88"/>
    </row>
    <row r="362" spans="6:12" ht="12.5">
      <c r="F362" s="86"/>
      <c r="G362" s="86"/>
      <c r="H362" s="86"/>
      <c r="I362" s="65"/>
      <c r="J362" s="65"/>
      <c r="K362" s="87"/>
      <c r="L362" s="88"/>
    </row>
    <row r="363" spans="6:12" ht="12.5">
      <c r="F363" s="86"/>
      <c r="G363" s="86"/>
      <c r="H363" s="86"/>
      <c r="I363" s="65"/>
      <c r="J363" s="65"/>
      <c r="K363" s="87"/>
      <c r="L363" s="88"/>
    </row>
    <row r="364" spans="6:12" ht="12.5">
      <c r="F364" s="86"/>
      <c r="G364" s="86"/>
      <c r="H364" s="86"/>
      <c r="I364" s="65"/>
      <c r="J364" s="65"/>
      <c r="K364" s="87"/>
      <c r="L364" s="88"/>
    </row>
    <row r="365" spans="6:12" ht="12.5">
      <c r="F365" s="86"/>
      <c r="G365" s="86"/>
      <c r="H365" s="86"/>
      <c r="I365" s="65"/>
      <c r="J365" s="65"/>
      <c r="K365" s="87"/>
      <c r="L365" s="88"/>
    </row>
    <row r="366" spans="6:12" ht="12.5">
      <c r="F366" s="86"/>
      <c r="G366" s="86"/>
      <c r="H366" s="86"/>
      <c r="I366" s="65"/>
      <c r="J366" s="65"/>
      <c r="K366" s="87"/>
      <c r="L366" s="88"/>
    </row>
    <row r="367" spans="6:12" ht="12.5">
      <c r="F367" s="86"/>
      <c r="G367" s="86"/>
      <c r="H367" s="86"/>
      <c r="I367" s="65"/>
      <c r="J367" s="65"/>
      <c r="K367" s="87"/>
      <c r="L367" s="88"/>
    </row>
    <row r="368" spans="6:12" ht="12.5">
      <c r="F368" s="86"/>
      <c r="G368" s="86"/>
      <c r="H368" s="86"/>
      <c r="I368" s="65"/>
      <c r="J368" s="65"/>
      <c r="K368" s="87"/>
      <c r="L368" s="88"/>
    </row>
    <row r="369" spans="6:12" ht="12.5">
      <c r="F369" s="86"/>
      <c r="G369" s="86"/>
      <c r="H369" s="86"/>
      <c r="I369" s="65"/>
      <c r="J369" s="65"/>
      <c r="K369" s="87"/>
      <c r="L369" s="88"/>
    </row>
    <row r="370" spans="6:12" ht="12.5">
      <c r="F370" s="86"/>
      <c r="G370" s="86"/>
      <c r="H370" s="86"/>
      <c r="I370" s="65"/>
      <c r="J370" s="65"/>
      <c r="K370" s="87"/>
      <c r="L370" s="88"/>
    </row>
    <row r="371" spans="6:12" ht="12.5">
      <c r="F371" s="86"/>
      <c r="G371" s="86"/>
      <c r="H371" s="86"/>
      <c r="I371" s="65"/>
      <c r="J371" s="65"/>
      <c r="K371" s="87"/>
      <c r="L371" s="88"/>
    </row>
    <row r="372" spans="6:12" ht="12.5">
      <c r="F372" s="86"/>
      <c r="G372" s="86"/>
      <c r="H372" s="86"/>
      <c r="I372" s="65"/>
      <c r="J372" s="65"/>
      <c r="K372" s="87"/>
      <c r="L372" s="88"/>
    </row>
    <row r="373" spans="6:12" ht="12.5">
      <c r="F373" s="86"/>
      <c r="G373" s="86"/>
      <c r="H373" s="86"/>
      <c r="I373" s="65"/>
      <c r="J373" s="65"/>
      <c r="K373" s="87"/>
      <c r="L373" s="88"/>
    </row>
    <row r="374" spans="6:12" ht="12.5">
      <c r="F374" s="86"/>
      <c r="G374" s="86"/>
      <c r="H374" s="86"/>
      <c r="I374" s="65"/>
      <c r="J374" s="65"/>
      <c r="K374" s="87"/>
      <c r="L374" s="88"/>
    </row>
    <row r="375" spans="6:12" ht="12.5">
      <c r="F375" s="86"/>
      <c r="G375" s="86"/>
      <c r="H375" s="86"/>
      <c r="I375" s="65"/>
      <c r="J375" s="65"/>
      <c r="K375" s="87"/>
      <c r="L375" s="88"/>
    </row>
    <row r="376" spans="6:12" ht="12.5">
      <c r="F376" s="86"/>
      <c r="G376" s="86"/>
      <c r="H376" s="86"/>
      <c r="I376" s="65"/>
      <c r="J376" s="65"/>
      <c r="K376" s="87"/>
      <c r="L376" s="88"/>
    </row>
    <row r="377" spans="6:12" ht="12.5">
      <c r="F377" s="86"/>
      <c r="G377" s="86"/>
      <c r="H377" s="86"/>
      <c r="I377" s="65"/>
      <c r="J377" s="65"/>
      <c r="K377" s="87"/>
      <c r="L377" s="88"/>
    </row>
    <row r="378" spans="6:12" ht="12.5">
      <c r="F378" s="86"/>
      <c r="G378" s="86"/>
      <c r="H378" s="86"/>
      <c r="I378" s="65"/>
      <c r="J378" s="65"/>
      <c r="K378" s="87"/>
      <c r="L378" s="88"/>
    </row>
    <row r="379" spans="6:12" ht="12.5">
      <c r="F379" s="86"/>
      <c r="G379" s="86"/>
      <c r="H379" s="86"/>
      <c r="I379" s="65"/>
      <c r="J379" s="65"/>
      <c r="K379" s="87"/>
      <c r="L379" s="88"/>
    </row>
    <row r="380" spans="6:12" ht="12.5">
      <c r="F380" s="86"/>
      <c r="G380" s="86"/>
      <c r="H380" s="86"/>
      <c r="I380" s="65"/>
      <c r="J380" s="65"/>
      <c r="K380" s="87"/>
      <c r="L380" s="88"/>
    </row>
    <row r="381" spans="6:12" ht="12.5">
      <c r="F381" s="86"/>
      <c r="G381" s="86"/>
      <c r="H381" s="86"/>
      <c r="I381" s="65"/>
      <c r="J381" s="65"/>
      <c r="K381" s="87"/>
      <c r="L381" s="88"/>
    </row>
    <row r="382" spans="6:12" ht="12.5">
      <c r="F382" s="86"/>
      <c r="G382" s="86"/>
      <c r="H382" s="86"/>
      <c r="I382" s="65"/>
      <c r="J382" s="65"/>
      <c r="K382" s="87"/>
      <c r="L382" s="88"/>
    </row>
    <row r="383" spans="6:12" ht="12.5">
      <c r="F383" s="86"/>
      <c r="G383" s="86"/>
      <c r="H383" s="86"/>
      <c r="I383" s="65"/>
      <c r="J383" s="65"/>
      <c r="K383" s="87"/>
      <c r="L383" s="88"/>
    </row>
    <row r="384" spans="6:12" ht="12.5">
      <c r="F384" s="86"/>
      <c r="G384" s="86"/>
      <c r="H384" s="86"/>
      <c r="I384" s="65"/>
      <c r="J384" s="65"/>
      <c r="K384" s="87"/>
      <c r="L384" s="88"/>
    </row>
    <row r="385" spans="6:12" ht="12.5">
      <c r="F385" s="86"/>
      <c r="G385" s="86"/>
      <c r="H385" s="86"/>
      <c r="I385" s="65"/>
      <c r="J385" s="65"/>
      <c r="K385" s="87"/>
      <c r="L385" s="88"/>
    </row>
    <row r="386" spans="6:12" ht="12.5">
      <c r="F386" s="86"/>
      <c r="G386" s="86"/>
      <c r="H386" s="86"/>
      <c r="I386" s="65"/>
      <c r="J386" s="65"/>
      <c r="K386" s="87"/>
      <c r="L386" s="88"/>
    </row>
    <row r="387" spans="6:12" ht="12.5">
      <c r="F387" s="86"/>
      <c r="G387" s="86"/>
      <c r="H387" s="86"/>
      <c r="I387" s="65"/>
      <c r="J387" s="65"/>
      <c r="K387" s="87"/>
      <c r="L387" s="88"/>
    </row>
    <row r="388" spans="6:12" ht="12.5">
      <c r="F388" s="86"/>
      <c r="G388" s="86"/>
      <c r="H388" s="86"/>
      <c r="I388" s="65"/>
      <c r="J388" s="65"/>
      <c r="K388" s="87"/>
      <c r="L388" s="88"/>
    </row>
    <row r="389" spans="6:12" ht="12.5">
      <c r="F389" s="86"/>
      <c r="G389" s="86"/>
      <c r="H389" s="86"/>
      <c r="I389" s="65"/>
      <c r="J389" s="65"/>
      <c r="K389" s="87"/>
      <c r="L389" s="88"/>
    </row>
    <row r="390" spans="6:12" ht="12.5">
      <c r="F390" s="86"/>
      <c r="G390" s="86"/>
      <c r="H390" s="86"/>
      <c r="I390" s="65"/>
      <c r="J390" s="65"/>
      <c r="K390" s="87"/>
      <c r="L390" s="88"/>
    </row>
    <row r="391" spans="6:12" ht="12.5">
      <c r="F391" s="86"/>
      <c r="G391" s="86"/>
      <c r="H391" s="86"/>
      <c r="I391" s="65"/>
      <c r="J391" s="65"/>
      <c r="K391" s="87"/>
      <c r="L391" s="88"/>
    </row>
    <row r="392" spans="6:12" ht="12.5">
      <c r="F392" s="86"/>
      <c r="G392" s="86"/>
      <c r="H392" s="86"/>
      <c r="I392" s="65"/>
      <c r="J392" s="65"/>
      <c r="K392" s="87"/>
      <c r="L392" s="88"/>
    </row>
    <row r="393" spans="6:12" ht="12.5">
      <c r="F393" s="86"/>
      <c r="G393" s="86"/>
      <c r="H393" s="86"/>
      <c r="I393" s="65"/>
      <c r="J393" s="65"/>
      <c r="K393" s="87"/>
      <c r="L393" s="88"/>
    </row>
    <row r="394" spans="6:12" ht="12.5">
      <c r="F394" s="86"/>
      <c r="G394" s="86"/>
      <c r="H394" s="86"/>
      <c r="I394" s="65"/>
      <c r="J394" s="65"/>
      <c r="K394" s="87"/>
      <c r="L394" s="88"/>
    </row>
    <row r="395" spans="6:12" ht="12.5">
      <c r="F395" s="86"/>
      <c r="G395" s="86"/>
      <c r="H395" s="86"/>
      <c r="I395" s="65"/>
      <c r="J395" s="65"/>
      <c r="K395" s="87"/>
      <c r="L395" s="88"/>
    </row>
    <row r="396" spans="6:12" ht="12.5">
      <c r="F396" s="86"/>
      <c r="G396" s="86"/>
      <c r="H396" s="86"/>
      <c r="I396" s="65"/>
      <c r="J396" s="65"/>
      <c r="K396" s="87"/>
      <c r="L396" s="88"/>
    </row>
    <row r="397" spans="6:12" ht="12.5">
      <c r="F397" s="86"/>
      <c r="G397" s="86"/>
      <c r="H397" s="86"/>
      <c r="I397" s="65"/>
      <c r="J397" s="65"/>
      <c r="K397" s="87"/>
      <c r="L397" s="88"/>
    </row>
    <row r="398" spans="6:12" ht="12.5">
      <c r="F398" s="86"/>
      <c r="G398" s="86"/>
      <c r="H398" s="86"/>
      <c r="I398" s="65"/>
      <c r="J398" s="65"/>
      <c r="K398" s="87"/>
      <c r="L398" s="88"/>
    </row>
    <row r="399" spans="6:12" ht="12.5">
      <c r="F399" s="86"/>
      <c r="G399" s="86"/>
      <c r="H399" s="86"/>
      <c r="I399" s="65"/>
      <c r="J399" s="65"/>
      <c r="K399" s="87"/>
      <c r="L399" s="88"/>
    </row>
    <row r="400" spans="6:12" ht="12.5">
      <c r="F400" s="86"/>
      <c r="G400" s="86"/>
      <c r="H400" s="86"/>
      <c r="I400" s="65"/>
      <c r="J400" s="65"/>
      <c r="K400" s="87"/>
      <c r="L400" s="88"/>
    </row>
    <row r="401" spans="6:12" ht="12.5">
      <c r="F401" s="86"/>
      <c r="G401" s="86"/>
      <c r="H401" s="86"/>
      <c r="I401" s="65"/>
      <c r="J401" s="65"/>
      <c r="K401" s="87"/>
      <c r="L401" s="88"/>
    </row>
    <row r="402" spans="6:12" ht="12.5">
      <c r="F402" s="86"/>
      <c r="G402" s="86"/>
      <c r="H402" s="86"/>
      <c r="I402" s="65"/>
      <c r="J402" s="65"/>
      <c r="K402" s="87"/>
      <c r="L402" s="88"/>
    </row>
    <row r="403" spans="6:12" ht="12.5">
      <c r="F403" s="86"/>
      <c r="G403" s="86"/>
      <c r="H403" s="86"/>
      <c r="I403" s="65"/>
      <c r="J403" s="65"/>
      <c r="K403" s="87"/>
      <c r="L403" s="88"/>
    </row>
    <row r="404" spans="6:12" ht="12.5">
      <c r="F404" s="86"/>
      <c r="G404" s="86"/>
      <c r="H404" s="86"/>
      <c r="I404" s="65"/>
      <c r="J404" s="65"/>
      <c r="K404" s="87"/>
      <c r="L404" s="88"/>
    </row>
    <row r="405" spans="6:12" ht="12.5">
      <c r="F405" s="86"/>
      <c r="G405" s="86"/>
      <c r="H405" s="86"/>
      <c r="I405" s="65"/>
      <c r="J405" s="65"/>
      <c r="K405" s="87"/>
      <c r="L405" s="88"/>
    </row>
    <row r="406" spans="6:12" ht="12.5">
      <c r="F406" s="86"/>
      <c r="G406" s="86"/>
      <c r="H406" s="86"/>
      <c r="I406" s="65"/>
      <c r="J406" s="65"/>
      <c r="K406" s="87"/>
      <c r="L406" s="88"/>
    </row>
    <row r="407" spans="6:12" ht="12.5">
      <c r="F407" s="86"/>
      <c r="G407" s="86"/>
      <c r="H407" s="86"/>
      <c r="I407" s="65"/>
      <c r="J407" s="65"/>
      <c r="K407" s="87"/>
      <c r="L407" s="88"/>
    </row>
    <row r="408" spans="6:12" ht="12.5">
      <c r="F408" s="86"/>
      <c r="G408" s="86"/>
      <c r="H408" s="86"/>
      <c r="I408" s="65"/>
      <c r="J408" s="65"/>
      <c r="K408" s="87"/>
      <c r="L408" s="88"/>
    </row>
    <row r="409" spans="6:12" ht="12.5">
      <c r="F409" s="86"/>
      <c r="G409" s="86"/>
      <c r="H409" s="86"/>
      <c r="I409" s="65"/>
      <c r="J409" s="65"/>
      <c r="K409" s="87"/>
      <c r="L409" s="88"/>
    </row>
    <row r="410" spans="6:12" ht="12.5">
      <c r="F410" s="86"/>
      <c r="G410" s="86"/>
      <c r="H410" s="86"/>
      <c r="I410" s="65"/>
      <c r="J410" s="65"/>
      <c r="K410" s="87"/>
      <c r="L410" s="88"/>
    </row>
    <row r="411" spans="6:12" ht="12.5">
      <c r="F411" s="86"/>
      <c r="G411" s="86"/>
      <c r="H411" s="86"/>
      <c r="I411" s="65"/>
      <c r="J411" s="65"/>
      <c r="K411" s="87"/>
      <c r="L411" s="88"/>
    </row>
    <row r="412" spans="6:12" ht="12.5">
      <c r="F412" s="86"/>
      <c r="G412" s="86"/>
      <c r="H412" s="86"/>
      <c r="I412" s="65"/>
      <c r="J412" s="65"/>
      <c r="K412" s="87"/>
      <c r="L412" s="88"/>
    </row>
    <row r="413" spans="6:12" ht="12.5">
      <c r="F413" s="86"/>
      <c r="G413" s="86"/>
      <c r="H413" s="86"/>
      <c r="I413" s="65"/>
      <c r="J413" s="65"/>
      <c r="K413" s="87"/>
      <c r="L413" s="88"/>
    </row>
    <row r="414" spans="6:12" ht="12.5">
      <c r="F414" s="86"/>
      <c r="G414" s="86"/>
      <c r="H414" s="86"/>
      <c r="I414" s="65"/>
      <c r="J414" s="65"/>
      <c r="K414" s="87"/>
      <c r="L414" s="88"/>
    </row>
    <row r="415" spans="6:12" ht="12.5">
      <c r="F415" s="86"/>
      <c r="G415" s="86"/>
      <c r="H415" s="86"/>
      <c r="I415" s="65"/>
      <c r="J415" s="65"/>
      <c r="K415" s="87"/>
      <c r="L415" s="88"/>
    </row>
    <row r="416" spans="6:12" ht="12.5">
      <c r="F416" s="86"/>
      <c r="G416" s="86"/>
      <c r="H416" s="86"/>
      <c r="I416" s="65"/>
      <c r="J416" s="65"/>
      <c r="K416" s="87"/>
      <c r="L416" s="88"/>
    </row>
    <row r="417" spans="6:12" ht="12.5">
      <c r="F417" s="86"/>
      <c r="G417" s="86"/>
      <c r="H417" s="86"/>
      <c r="I417" s="65"/>
      <c r="J417" s="65"/>
      <c r="K417" s="87"/>
      <c r="L417" s="88"/>
    </row>
    <row r="418" spans="6:12" ht="12.5">
      <c r="F418" s="86"/>
      <c r="G418" s="86"/>
      <c r="H418" s="86"/>
      <c r="I418" s="65"/>
      <c r="J418" s="65"/>
      <c r="K418" s="87"/>
      <c r="L418" s="88"/>
    </row>
    <row r="419" spans="6:12" ht="12.5">
      <c r="F419" s="86"/>
      <c r="G419" s="86"/>
      <c r="H419" s="86"/>
      <c r="I419" s="65"/>
      <c r="J419" s="65"/>
      <c r="K419" s="87"/>
      <c r="L419" s="88"/>
    </row>
    <row r="420" spans="6:12" ht="12.5">
      <c r="F420" s="86"/>
      <c r="G420" s="86"/>
      <c r="H420" s="86"/>
      <c r="I420" s="65"/>
      <c r="J420" s="65"/>
      <c r="K420" s="87"/>
      <c r="L420" s="88"/>
    </row>
    <row r="421" spans="6:12" ht="12.5">
      <c r="F421" s="86"/>
      <c r="G421" s="86"/>
      <c r="H421" s="86"/>
      <c r="I421" s="65"/>
      <c r="J421" s="65"/>
      <c r="K421" s="87"/>
      <c r="L421" s="88"/>
    </row>
    <row r="422" spans="6:12" ht="12.5">
      <c r="F422" s="86"/>
      <c r="G422" s="86"/>
      <c r="H422" s="86"/>
      <c r="I422" s="65"/>
      <c r="J422" s="65"/>
      <c r="K422" s="87"/>
      <c r="L422" s="88"/>
    </row>
    <row r="423" spans="6:12" ht="12.5">
      <c r="F423" s="86"/>
      <c r="G423" s="86"/>
      <c r="H423" s="86"/>
      <c r="I423" s="65"/>
      <c r="J423" s="65"/>
      <c r="K423" s="87"/>
      <c r="L423" s="88"/>
    </row>
    <row r="424" spans="6:12" ht="12.5">
      <c r="F424" s="86"/>
      <c r="G424" s="86"/>
      <c r="H424" s="86"/>
      <c r="I424" s="65"/>
      <c r="J424" s="65"/>
      <c r="K424" s="87"/>
      <c r="L424" s="88"/>
    </row>
    <row r="425" spans="6:12" ht="12.5">
      <c r="F425" s="86"/>
      <c r="G425" s="86"/>
      <c r="H425" s="86"/>
      <c r="I425" s="65"/>
      <c r="J425" s="65"/>
      <c r="K425" s="87"/>
      <c r="L425" s="88"/>
    </row>
    <row r="426" spans="6:12" ht="12.5">
      <c r="F426" s="86"/>
      <c r="G426" s="86"/>
      <c r="H426" s="86"/>
      <c r="I426" s="65"/>
      <c r="J426" s="65"/>
      <c r="K426" s="87"/>
      <c r="L426" s="88"/>
    </row>
    <row r="427" spans="6:12" ht="12.5">
      <c r="F427" s="86"/>
      <c r="G427" s="86"/>
      <c r="H427" s="86"/>
      <c r="I427" s="65"/>
      <c r="J427" s="65"/>
      <c r="K427" s="87"/>
      <c r="L427" s="88"/>
    </row>
    <row r="428" spans="6:12" ht="12.5">
      <c r="F428" s="86"/>
      <c r="G428" s="86"/>
      <c r="H428" s="86"/>
      <c r="I428" s="65"/>
      <c r="J428" s="65"/>
      <c r="K428" s="87"/>
      <c r="L428" s="88"/>
    </row>
    <row r="429" spans="6:12" ht="12.5">
      <c r="F429" s="86"/>
      <c r="G429" s="86"/>
      <c r="H429" s="86"/>
      <c r="I429" s="65"/>
      <c r="J429" s="65"/>
      <c r="K429" s="87"/>
      <c r="L429" s="88"/>
    </row>
    <row r="430" spans="6:12" ht="12.5">
      <c r="F430" s="86"/>
      <c r="G430" s="86"/>
      <c r="H430" s="86"/>
      <c r="I430" s="65"/>
      <c r="J430" s="65"/>
      <c r="K430" s="87"/>
      <c r="L430" s="88"/>
    </row>
    <row r="431" spans="6:12" ht="12.5">
      <c r="F431" s="86"/>
      <c r="G431" s="86"/>
      <c r="H431" s="86"/>
      <c r="I431" s="65"/>
      <c r="J431" s="65"/>
      <c r="K431" s="87"/>
      <c r="L431" s="88"/>
    </row>
    <row r="432" spans="6:12" ht="12.5">
      <c r="F432" s="86"/>
      <c r="G432" s="86"/>
      <c r="H432" s="86"/>
      <c r="I432" s="65"/>
      <c r="J432" s="65"/>
      <c r="K432" s="87"/>
      <c r="L432" s="88"/>
    </row>
    <row r="433" spans="6:12" ht="12.5">
      <c r="F433" s="86"/>
      <c r="G433" s="86"/>
      <c r="H433" s="86"/>
      <c r="I433" s="65"/>
      <c r="J433" s="65"/>
      <c r="K433" s="87"/>
      <c r="L433" s="88"/>
    </row>
    <row r="434" spans="6:12" ht="12.5">
      <c r="F434" s="86"/>
      <c r="G434" s="86"/>
      <c r="H434" s="86"/>
      <c r="I434" s="65"/>
      <c r="J434" s="65"/>
      <c r="K434" s="87"/>
      <c r="L434" s="88"/>
    </row>
    <row r="435" spans="6:12" ht="12.5">
      <c r="F435" s="86"/>
      <c r="G435" s="86"/>
      <c r="H435" s="86"/>
      <c r="I435" s="65"/>
      <c r="J435" s="65"/>
      <c r="K435" s="87"/>
      <c r="L435" s="88"/>
    </row>
    <row r="436" spans="6:12" ht="12.5">
      <c r="F436" s="86"/>
      <c r="G436" s="86"/>
      <c r="H436" s="86"/>
      <c r="I436" s="65"/>
      <c r="J436" s="65"/>
      <c r="K436" s="87"/>
      <c r="L436" s="88"/>
    </row>
    <row r="437" spans="6:12" ht="12.5">
      <c r="F437" s="86"/>
      <c r="G437" s="86"/>
      <c r="H437" s="86"/>
      <c r="I437" s="65"/>
      <c r="J437" s="65"/>
      <c r="K437" s="87"/>
      <c r="L437" s="88"/>
    </row>
    <row r="438" spans="6:12" ht="12.5">
      <c r="F438" s="86"/>
      <c r="G438" s="86"/>
      <c r="H438" s="86"/>
      <c r="I438" s="65"/>
      <c r="J438" s="65"/>
      <c r="K438" s="87"/>
      <c r="L438" s="88"/>
    </row>
    <row r="439" spans="6:12" ht="12.5">
      <c r="F439" s="86"/>
      <c r="G439" s="86"/>
      <c r="H439" s="86"/>
      <c r="I439" s="65"/>
      <c r="J439" s="65"/>
      <c r="K439" s="87"/>
      <c r="L439" s="88"/>
    </row>
    <row r="440" spans="6:12" ht="12.5">
      <c r="F440" s="86"/>
      <c r="G440" s="86"/>
      <c r="H440" s="86"/>
      <c r="I440" s="65"/>
      <c r="J440" s="65"/>
      <c r="K440" s="87"/>
      <c r="L440" s="88"/>
    </row>
    <row r="441" spans="6:12" ht="12.5">
      <c r="F441" s="86"/>
      <c r="G441" s="86"/>
      <c r="H441" s="86"/>
      <c r="I441" s="65"/>
      <c r="J441" s="65"/>
      <c r="K441" s="87"/>
      <c r="L441" s="88"/>
    </row>
    <row r="442" spans="6:12" ht="12.5">
      <c r="F442" s="86"/>
      <c r="G442" s="86"/>
      <c r="H442" s="86"/>
      <c r="I442" s="65"/>
      <c r="J442" s="65"/>
      <c r="K442" s="87"/>
      <c r="L442" s="88"/>
    </row>
    <row r="443" spans="6:12" ht="12.5">
      <c r="F443" s="86"/>
      <c r="G443" s="86"/>
      <c r="H443" s="86"/>
      <c r="I443" s="65"/>
      <c r="J443" s="65"/>
      <c r="K443" s="87"/>
      <c r="L443" s="88"/>
    </row>
    <row r="444" spans="6:12" ht="12.5">
      <c r="F444" s="86"/>
      <c r="G444" s="86"/>
      <c r="H444" s="86"/>
      <c r="I444" s="65"/>
      <c r="J444" s="65"/>
      <c r="K444" s="87"/>
      <c r="L444" s="88"/>
    </row>
    <row r="445" spans="6:12" ht="12.5">
      <c r="F445" s="86"/>
      <c r="G445" s="86"/>
      <c r="H445" s="86"/>
      <c r="I445" s="65"/>
      <c r="J445" s="65"/>
      <c r="K445" s="87"/>
      <c r="L445" s="88"/>
    </row>
    <row r="446" spans="6:12" ht="12.5">
      <c r="F446" s="86"/>
      <c r="G446" s="86"/>
      <c r="H446" s="86"/>
      <c r="I446" s="65"/>
      <c r="J446" s="65"/>
      <c r="K446" s="87"/>
      <c r="L446" s="88"/>
    </row>
    <row r="447" spans="6:12" ht="12.5">
      <c r="F447" s="86"/>
      <c r="G447" s="86"/>
      <c r="H447" s="86"/>
      <c r="I447" s="65"/>
      <c r="J447" s="65"/>
      <c r="K447" s="87"/>
      <c r="L447" s="88"/>
    </row>
    <row r="448" spans="6:12" ht="12.5">
      <c r="F448" s="86"/>
      <c r="G448" s="86"/>
      <c r="H448" s="86"/>
      <c r="I448" s="65"/>
      <c r="J448" s="65"/>
      <c r="K448" s="87"/>
      <c r="L448" s="88"/>
    </row>
    <row r="449" spans="6:12" ht="12.5">
      <c r="F449" s="86"/>
      <c r="G449" s="86"/>
      <c r="H449" s="86"/>
      <c r="I449" s="65"/>
      <c r="J449" s="65"/>
      <c r="K449" s="87"/>
      <c r="L449" s="88"/>
    </row>
    <row r="450" spans="6:12" ht="12.5">
      <c r="F450" s="86"/>
      <c r="G450" s="86"/>
      <c r="H450" s="86"/>
      <c r="I450" s="65"/>
      <c r="J450" s="65"/>
      <c r="K450" s="87"/>
      <c r="L450" s="88"/>
    </row>
    <row r="451" spans="6:12" ht="12.5">
      <c r="F451" s="86"/>
      <c r="G451" s="86"/>
      <c r="H451" s="86"/>
      <c r="I451" s="65"/>
      <c r="J451" s="65"/>
      <c r="K451" s="87"/>
      <c r="L451" s="88"/>
    </row>
    <row r="452" spans="6:12" ht="12.5">
      <c r="F452" s="86"/>
      <c r="G452" s="86"/>
      <c r="H452" s="86"/>
      <c r="I452" s="65"/>
      <c r="J452" s="65"/>
      <c r="K452" s="87"/>
      <c r="L452" s="88"/>
    </row>
    <row r="453" spans="6:12" ht="12.5">
      <c r="F453" s="86"/>
      <c r="G453" s="86"/>
      <c r="H453" s="86"/>
      <c r="I453" s="65"/>
      <c r="J453" s="65"/>
      <c r="K453" s="87"/>
      <c r="L453" s="88"/>
    </row>
    <row r="454" spans="6:12" ht="12.5">
      <c r="F454" s="86"/>
      <c r="G454" s="86"/>
      <c r="H454" s="86"/>
      <c r="I454" s="65"/>
      <c r="J454" s="65"/>
      <c r="K454" s="87"/>
      <c r="L454" s="88"/>
    </row>
    <row r="455" spans="6:12" ht="12.5">
      <c r="F455" s="86"/>
      <c r="G455" s="86"/>
      <c r="H455" s="86"/>
      <c r="I455" s="65"/>
      <c r="J455" s="65"/>
      <c r="K455" s="87"/>
      <c r="L455" s="88"/>
    </row>
    <row r="456" spans="6:12" ht="12.5">
      <c r="F456" s="86"/>
      <c r="G456" s="86"/>
      <c r="H456" s="86"/>
      <c r="I456" s="65"/>
      <c r="J456" s="65"/>
      <c r="K456" s="87"/>
      <c r="L456" s="88"/>
    </row>
    <row r="457" spans="6:12" ht="12.5">
      <c r="F457" s="86"/>
      <c r="G457" s="86"/>
      <c r="H457" s="86"/>
      <c r="I457" s="65"/>
      <c r="J457" s="65"/>
      <c r="K457" s="87"/>
      <c r="L457" s="88"/>
    </row>
    <row r="458" spans="6:12" ht="12.5">
      <c r="F458" s="86"/>
      <c r="G458" s="86"/>
      <c r="H458" s="86"/>
      <c r="I458" s="65"/>
      <c r="J458" s="65"/>
      <c r="K458" s="87"/>
      <c r="L458" s="88"/>
    </row>
    <row r="459" spans="6:12" ht="12.5">
      <c r="F459" s="86"/>
      <c r="G459" s="86"/>
      <c r="H459" s="86"/>
      <c r="I459" s="65"/>
      <c r="J459" s="65"/>
      <c r="K459" s="87"/>
      <c r="L459" s="88"/>
    </row>
    <row r="460" spans="6:12" ht="12.5">
      <c r="F460" s="86"/>
      <c r="G460" s="86"/>
      <c r="H460" s="86"/>
      <c r="I460" s="65"/>
      <c r="J460" s="65"/>
      <c r="K460" s="87"/>
      <c r="L460" s="88"/>
    </row>
    <row r="461" spans="6:12" ht="12.5">
      <c r="F461" s="86"/>
      <c r="G461" s="86"/>
      <c r="H461" s="86"/>
      <c r="I461" s="65"/>
      <c r="J461" s="65"/>
      <c r="K461" s="87"/>
      <c r="L461" s="88"/>
    </row>
    <row r="462" spans="6:12" ht="12.5">
      <c r="F462" s="86"/>
      <c r="G462" s="86"/>
      <c r="H462" s="86"/>
      <c r="I462" s="65"/>
      <c r="J462" s="65"/>
      <c r="K462" s="87"/>
      <c r="L462" s="88"/>
    </row>
    <row r="463" spans="6:12" ht="12.5">
      <c r="F463" s="86"/>
      <c r="G463" s="86"/>
      <c r="H463" s="86"/>
      <c r="I463" s="65"/>
      <c r="J463" s="65"/>
      <c r="K463" s="87"/>
      <c r="L463" s="88"/>
    </row>
    <row r="464" spans="6:12" ht="12.5">
      <c r="F464" s="86"/>
      <c r="G464" s="86"/>
      <c r="H464" s="86"/>
      <c r="I464" s="65"/>
      <c r="J464" s="65"/>
      <c r="K464" s="87"/>
      <c r="L464" s="88"/>
    </row>
    <row r="465" spans="6:12" ht="12.5">
      <c r="F465" s="86"/>
      <c r="G465" s="86"/>
      <c r="H465" s="86"/>
      <c r="I465" s="65"/>
      <c r="J465" s="65"/>
      <c r="K465" s="87"/>
      <c r="L465" s="88"/>
    </row>
    <row r="466" spans="6:12" ht="12.5">
      <c r="F466" s="86"/>
      <c r="G466" s="86"/>
      <c r="H466" s="86"/>
      <c r="I466" s="65"/>
      <c r="J466" s="65"/>
      <c r="K466" s="87"/>
      <c r="L466" s="88"/>
    </row>
    <row r="467" spans="6:12" ht="12.5">
      <c r="F467" s="86"/>
      <c r="G467" s="86"/>
      <c r="H467" s="86"/>
      <c r="I467" s="65"/>
      <c r="J467" s="65"/>
      <c r="K467" s="87"/>
      <c r="L467" s="88"/>
    </row>
    <row r="468" spans="6:12" ht="12.5">
      <c r="F468" s="86"/>
      <c r="G468" s="86"/>
      <c r="H468" s="86"/>
      <c r="I468" s="65"/>
      <c r="J468" s="65"/>
      <c r="K468" s="87"/>
      <c r="L468" s="88"/>
    </row>
    <row r="469" spans="6:12" ht="12.5">
      <c r="F469" s="86"/>
      <c r="G469" s="86"/>
      <c r="H469" s="86"/>
      <c r="I469" s="65"/>
      <c r="J469" s="65"/>
      <c r="K469" s="87"/>
      <c r="L469" s="88"/>
    </row>
    <row r="470" spans="6:12" ht="12.5">
      <c r="F470" s="86"/>
      <c r="G470" s="86"/>
      <c r="H470" s="86"/>
      <c r="I470" s="65"/>
      <c r="J470" s="65"/>
      <c r="K470" s="87"/>
      <c r="L470" s="88"/>
    </row>
    <row r="471" spans="6:12" ht="12.5">
      <c r="F471" s="86"/>
      <c r="G471" s="86"/>
      <c r="H471" s="86"/>
      <c r="I471" s="65"/>
      <c r="J471" s="65"/>
      <c r="K471" s="87"/>
      <c r="L471" s="88"/>
    </row>
    <row r="472" spans="6:12" ht="12.5">
      <c r="F472" s="86"/>
      <c r="G472" s="86"/>
      <c r="H472" s="86"/>
      <c r="I472" s="65"/>
      <c r="J472" s="65"/>
      <c r="K472" s="87"/>
      <c r="L472" s="88"/>
    </row>
    <row r="473" spans="6:12" ht="12.5">
      <c r="F473" s="86"/>
      <c r="G473" s="86"/>
      <c r="H473" s="86"/>
      <c r="I473" s="65"/>
      <c r="J473" s="65"/>
      <c r="K473" s="87"/>
      <c r="L473" s="88"/>
    </row>
    <row r="474" spans="6:12" ht="12.5">
      <c r="F474" s="86"/>
      <c r="G474" s="86"/>
      <c r="H474" s="86"/>
      <c r="I474" s="65"/>
      <c r="J474" s="65"/>
      <c r="K474" s="87"/>
      <c r="L474" s="88"/>
    </row>
    <row r="475" spans="6:12" ht="12.5">
      <c r="F475" s="86"/>
      <c r="G475" s="86"/>
      <c r="H475" s="86"/>
      <c r="I475" s="65"/>
      <c r="J475" s="65"/>
      <c r="K475" s="87"/>
      <c r="L475" s="88"/>
    </row>
    <row r="476" spans="6:12" ht="12.5">
      <c r="F476" s="86"/>
      <c r="G476" s="86"/>
      <c r="H476" s="86"/>
      <c r="I476" s="65"/>
      <c r="J476" s="65"/>
      <c r="K476" s="87"/>
      <c r="L476" s="88"/>
    </row>
    <row r="477" spans="6:12" ht="12.5">
      <c r="F477" s="86"/>
      <c r="G477" s="86"/>
      <c r="H477" s="86"/>
      <c r="I477" s="65"/>
      <c r="J477" s="65"/>
      <c r="K477" s="87"/>
      <c r="L477" s="88"/>
    </row>
    <row r="478" spans="6:12" ht="12.5">
      <c r="F478" s="86"/>
      <c r="G478" s="86"/>
      <c r="H478" s="86"/>
      <c r="I478" s="65"/>
      <c r="J478" s="65"/>
      <c r="K478" s="87"/>
      <c r="L478" s="88"/>
    </row>
    <row r="479" spans="6:12" ht="12.5">
      <c r="F479" s="86"/>
      <c r="G479" s="86"/>
      <c r="H479" s="86"/>
      <c r="I479" s="65"/>
      <c r="J479" s="65"/>
      <c r="K479" s="87"/>
      <c r="L479" s="88"/>
    </row>
    <row r="480" spans="6:12" ht="12.5">
      <c r="F480" s="86"/>
      <c r="G480" s="86"/>
      <c r="H480" s="86"/>
      <c r="I480" s="65"/>
      <c r="J480" s="65"/>
      <c r="K480" s="87"/>
      <c r="L480" s="88"/>
    </row>
    <row r="481" spans="6:12" ht="12.5">
      <c r="F481" s="86"/>
      <c r="G481" s="86"/>
      <c r="H481" s="86"/>
      <c r="I481" s="65"/>
      <c r="J481" s="65"/>
      <c r="K481" s="87"/>
      <c r="L481" s="88"/>
    </row>
    <row r="482" spans="6:12" ht="12.5">
      <c r="F482" s="86"/>
      <c r="G482" s="86"/>
      <c r="H482" s="86"/>
      <c r="I482" s="65"/>
      <c r="J482" s="65"/>
      <c r="K482" s="87"/>
      <c r="L482" s="88"/>
    </row>
    <row r="483" spans="6:12" ht="12.5">
      <c r="F483" s="86"/>
      <c r="G483" s="86"/>
      <c r="H483" s="86"/>
      <c r="I483" s="65"/>
      <c r="J483" s="65"/>
      <c r="K483" s="87"/>
      <c r="L483" s="88"/>
    </row>
    <row r="484" spans="6:12" ht="12.5">
      <c r="F484" s="86"/>
      <c r="G484" s="86"/>
      <c r="H484" s="86"/>
      <c r="I484" s="65"/>
      <c r="J484" s="65"/>
      <c r="K484" s="87"/>
      <c r="L484" s="88"/>
    </row>
    <row r="485" spans="6:12" ht="12.5">
      <c r="F485" s="86"/>
      <c r="G485" s="86"/>
      <c r="H485" s="86"/>
      <c r="I485" s="65"/>
      <c r="J485" s="65"/>
      <c r="K485" s="87"/>
      <c r="L485" s="88"/>
    </row>
    <row r="486" spans="6:12" ht="12.5">
      <c r="F486" s="86"/>
      <c r="G486" s="86"/>
      <c r="H486" s="86"/>
      <c r="I486" s="65"/>
      <c r="J486" s="65"/>
      <c r="K486" s="87"/>
      <c r="L486" s="88"/>
    </row>
    <row r="487" spans="6:12" ht="12.5">
      <c r="F487" s="86"/>
      <c r="G487" s="86"/>
      <c r="H487" s="86"/>
      <c r="I487" s="65"/>
      <c r="J487" s="65"/>
      <c r="K487" s="87"/>
      <c r="L487" s="88"/>
    </row>
    <row r="488" spans="6:12" ht="12.5">
      <c r="F488" s="86"/>
      <c r="G488" s="86"/>
      <c r="H488" s="86"/>
      <c r="I488" s="65"/>
      <c r="J488" s="65"/>
      <c r="K488" s="87"/>
      <c r="L488" s="88"/>
    </row>
    <row r="489" spans="6:12" ht="12.5">
      <c r="F489" s="86"/>
      <c r="G489" s="86"/>
      <c r="H489" s="86"/>
      <c r="I489" s="65"/>
      <c r="J489" s="65"/>
      <c r="K489" s="87"/>
      <c r="L489" s="88"/>
    </row>
    <row r="490" spans="6:12" ht="12.5">
      <c r="F490" s="86"/>
      <c r="G490" s="86"/>
      <c r="H490" s="86"/>
      <c r="I490" s="65"/>
      <c r="J490" s="65"/>
      <c r="K490" s="87"/>
      <c r="L490" s="88"/>
    </row>
    <row r="491" spans="6:12" ht="12.5">
      <c r="F491" s="86"/>
      <c r="G491" s="86"/>
      <c r="H491" s="86"/>
      <c r="I491" s="65"/>
      <c r="J491" s="65"/>
      <c r="K491" s="87"/>
      <c r="L491" s="88"/>
    </row>
    <row r="492" spans="6:12" ht="12.5">
      <c r="F492" s="86"/>
      <c r="G492" s="86"/>
      <c r="H492" s="86"/>
      <c r="I492" s="65"/>
      <c r="J492" s="65"/>
      <c r="K492" s="87"/>
      <c r="L492" s="88"/>
    </row>
    <row r="493" spans="6:12" ht="12.5">
      <c r="F493" s="86"/>
      <c r="G493" s="86"/>
      <c r="H493" s="86"/>
      <c r="I493" s="65"/>
      <c r="J493" s="65"/>
      <c r="K493" s="87"/>
      <c r="L493" s="88"/>
    </row>
    <row r="494" spans="6:12" ht="12.5">
      <c r="F494" s="86"/>
      <c r="G494" s="86"/>
      <c r="H494" s="86"/>
      <c r="I494" s="65"/>
      <c r="J494" s="65"/>
      <c r="K494" s="87"/>
      <c r="L494" s="88"/>
    </row>
    <row r="495" spans="6:12" ht="12.5">
      <c r="F495" s="86"/>
      <c r="G495" s="86"/>
      <c r="H495" s="86"/>
      <c r="I495" s="65"/>
      <c r="J495" s="65"/>
      <c r="K495" s="87"/>
      <c r="L495" s="88"/>
    </row>
    <row r="496" spans="6:12" ht="12.5">
      <c r="F496" s="86"/>
      <c r="G496" s="86"/>
      <c r="H496" s="86"/>
      <c r="I496" s="65"/>
      <c r="J496" s="65"/>
      <c r="K496" s="87"/>
      <c r="L496" s="88"/>
    </row>
    <row r="497" spans="6:12" ht="12.5">
      <c r="F497" s="86"/>
      <c r="G497" s="86"/>
      <c r="H497" s="86"/>
      <c r="I497" s="65"/>
      <c r="J497" s="65"/>
      <c r="K497" s="87"/>
      <c r="L497" s="88"/>
    </row>
    <row r="498" spans="6:12" ht="12.5">
      <c r="F498" s="86"/>
      <c r="G498" s="86"/>
      <c r="H498" s="86"/>
      <c r="I498" s="65"/>
      <c r="J498" s="65"/>
      <c r="K498" s="87"/>
      <c r="L498" s="88"/>
    </row>
    <row r="499" spans="6:12" ht="12.5">
      <c r="F499" s="86"/>
      <c r="G499" s="86"/>
      <c r="H499" s="86"/>
      <c r="I499" s="65"/>
      <c r="J499" s="65"/>
      <c r="K499" s="87"/>
      <c r="L499" s="88"/>
    </row>
    <row r="500" spans="6:12" ht="12.5">
      <c r="F500" s="86"/>
      <c r="G500" s="86"/>
      <c r="H500" s="86"/>
      <c r="I500" s="65"/>
      <c r="J500" s="65"/>
      <c r="K500" s="87"/>
      <c r="L500" s="88"/>
    </row>
    <row r="501" spans="6:12" ht="12.5">
      <c r="F501" s="86"/>
      <c r="G501" s="86"/>
      <c r="H501" s="86"/>
      <c r="I501" s="65"/>
      <c r="J501" s="65"/>
      <c r="K501" s="87"/>
      <c r="L501" s="88"/>
    </row>
    <row r="502" spans="6:12" ht="12.5">
      <c r="F502" s="86"/>
      <c r="G502" s="86"/>
      <c r="H502" s="86"/>
      <c r="I502" s="65"/>
      <c r="J502" s="65"/>
      <c r="K502" s="87"/>
      <c r="L502" s="88"/>
    </row>
    <row r="503" spans="6:12" ht="12.5">
      <c r="F503" s="86"/>
      <c r="G503" s="86"/>
      <c r="H503" s="86"/>
      <c r="I503" s="65"/>
      <c r="J503" s="65"/>
      <c r="K503" s="87"/>
      <c r="L503" s="88"/>
    </row>
    <row r="504" spans="6:12" ht="12.5">
      <c r="F504" s="86"/>
      <c r="G504" s="86"/>
      <c r="H504" s="86"/>
      <c r="I504" s="65"/>
      <c r="J504" s="65"/>
      <c r="K504" s="87"/>
      <c r="L504" s="88"/>
    </row>
    <row r="505" spans="6:12" ht="12.5">
      <c r="F505" s="86"/>
      <c r="G505" s="86"/>
      <c r="H505" s="86"/>
      <c r="I505" s="65"/>
      <c r="J505" s="65"/>
      <c r="K505" s="87"/>
      <c r="L505" s="88"/>
    </row>
    <row r="506" spans="6:12" ht="12.5">
      <c r="F506" s="86"/>
      <c r="G506" s="86"/>
      <c r="H506" s="86"/>
      <c r="I506" s="65"/>
      <c r="J506" s="65"/>
      <c r="K506" s="87"/>
      <c r="L506" s="88"/>
    </row>
    <row r="507" spans="6:12" ht="12.5">
      <c r="F507" s="86"/>
      <c r="G507" s="86"/>
      <c r="H507" s="86"/>
      <c r="I507" s="65"/>
      <c r="J507" s="65"/>
      <c r="K507" s="87"/>
      <c r="L507" s="88"/>
    </row>
    <row r="508" spans="6:12" ht="12.5">
      <c r="F508" s="86"/>
      <c r="G508" s="86"/>
      <c r="H508" s="86"/>
      <c r="I508" s="65"/>
      <c r="J508" s="65"/>
      <c r="K508" s="87"/>
      <c r="L508" s="88"/>
    </row>
    <row r="509" spans="6:12" ht="12.5">
      <c r="F509" s="86"/>
      <c r="G509" s="86"/>
      <c r="H509" s="86"/>
      <c r="I509" s="65"/>
      <c r="J509" s="65"/>
      <c r="K509" s="87"/>
      <c r="L509" s="88"/>
    </row>
    <row r="510" spans="6:12" ht="12.5">
      <c r="F510" s="86"/>
      <c r="G510" s="86"/>
      <c r="H510" s="86"/>
      <c r="I510" s="65"/>
      <c r="J510" s="65"/>
      <c r="K510" s="87"/>
      <c r="L510" s="88"/>
    </row>
    <row r="511" spans="6:12" ht="12.5">
      <c r="F511" s="86"/>
      <c r="G511" s="86"/>
      <c r="H511" s="86"/>
      <c r="I511" s="65"/>
      <c r="J511" s="65"/>
      <c r="K511" s="87"/>
      <c r="L511" s="88"/>
    </row>
    <row r="512" spans="6:12" ht="12.5">
      <c r="F512" s="86"/>
      <c r="G512" s="86"/>
      <c r="H512" s="86"/>
      <c r="I512" s="65"/>
      <c r="J512" s="65"/>
      <c r="K512" s="87"/>
      <c r="L512" s="88"/>
    </row>
    <row r="513" spans="6:12" ht="12.5">
      <c r="F513" s="86"/>
      <c r="G513" s="86"/>
      <c r="H513" s="86"/>
      <c r="I513" s="65"/>
      <c r="J513" s="65"/>
      <c r="K513" s="87"/>
      <c r="L513" s="88"/>
    </row>
    <row r="514" spans="6:12" ht="12.5">
      <c r="F514" s="86"/>
      <c r="G514" s="86"/>
      <c r="H514" s="86"/>
      <c r="I514" s="65"/>
      <c r="J514" s="65"/>
      <c r="K514" s="87"/>
      <c r="L514" s="88"/>
    </row>
    <row r="515" spans="6:12" ht="12.5">
      <c r="F515" s="86"/>
      <c r="G515" s="86"/>
      <c r="H515" s="86"/>
      <c r="I515" s="65"/>
      <c r="J515" s="65"/>
      <c r="K515" s="87"/>
      <c r="L515" s="88"/>
    </row>
    <row r="516" spans="6:12" ht="12.5">
      <c r="F516" s="86"/>
      <c r="G516" s="86"/>
      <c r="H516" s="86"/>
      <c r="I516" s="65"/>
      <c r="J516" s="65"/>
      <c r="K516" s="87"/>
      <c r="L516" s="88"/>
    </row>
    <row r="517" spans="6:12" ht="12.5">
      <c r="F517" s="86"/>
      <c r="G517" s="86"/>
      <c r="H517" s="86"/>
      <c r="I517" s="65"/>
      <c r="J517" s="65"/>
      <c r="K517" s="87"/>
      <c r="L517" s="88"/>
    </row>
    <row r="518" spans="6:12" ht="12.5">
      <c r="F518" s="86"/>
      <c r="G518" s="86"/>
      <c r="H518" s="86"/>
      <c r="I518" s="65"/>
      <c r="J518" s="65"/>
      <c r="K518" s="87"/>
      <c r="L518" s="88"/>
    </row>
    <row r="519" spans="6:12" ht="12.5">
      <c r="F519" s="86"/>
      <c r="G519" s="86"/>
      <c r="H519" s="86"/>
      <c r="I519" s="65"/>
      <c r="J519" s="65"/>
      <c r="K519" s="87"/>
      <c r="L519" s="88"/>
    </row>
    <row r="520" spans="6:12" ht="12.5">
      <c r="F520" s="86"/>
      <c r="G520" s="86"/>
      <c r="H520" s="86"/>
      <c r="I520" s="65"/>
      <c r="J520" s="65"/>
      <c r="K520" s="87"/>
      <c r="L520" s="88"/>
    </row>
    <row r="521" spans="6:12" ht="12.5">
      <c r="F521" s="86"/>
      <c r="G521" s="86"/>
      <c r="H521" s="86"/>
      <c r="I521" s="65"/>
      <c r="J521" s="65"/>
      <c r="K521" s="87"/>
      <c r="L521" s="88"/>
    </row>
    <row r="522" spans="6:12" ht="12.5">
      <c r="F522" s="86"/>
      <c r="G522" s="86"/>
      <c r="H522" s="86"/>
      <c r="I522" s="65"/>
      <c r="J522" s="65"/>
      <c r="K522" s="87"/>
      <c r="L522" s="88"/>
    </row>
    <row r="523" spans="6:12" ht="12.5">
      <c r="F523" s="86"/>
      <c r="G523" s="86"/>
      <c r="H523" s="86"/>
      <c r="I523" s="65"/>
      <c r="J523" s="65"/>
      <c r="K523" s="87"/>
      <c r="L523" s="88"/>
    </row>
    <row r="524" spans="6:12" ht="12.5">
      <c r="F524" s="86"/>
      <c r="G524" s="86"/>
      <c r="H524" s="86"/>
      <c r="I524" s="65"/>
      <c r="J524" s="65"/>
      <c r="K524" s="87"/>
      <c r="L524" s="88"/>
    </row>
    <row r="525" spans="6:12" ht="12.5">
      <c r="F525" s="86"/>
      <c r="G525" s="86"/>
      <c r="H525" s="86"/>
      <c r="I525" s="65"/>
      <c r="J525" s="65"/>
      <c r="K525" s="87"/>
      <c r="L525" s="88"/>
    </row>
    <row r="526" spans="6:12" ht="12.5">
      <c r="F526" s="86"/>
      <c r="G526" s="86"/>
      <c r="H526" s="86"/>
      <c r="I526" s="65"/>
      <c r="J526" s="65"/>
      <c r="K526" s="87"/>
      <c r="L526" s="88"/>
    </row>
    <row r="527" spans="6:12" ht="12.5">
      <c r="F527" s="86"/>
      <c r="G527" s="86"/>
      <c r="H527" s="86"/>
      <c r="I527" s="65"/>
      <c r="J527" s="65"/>
      <c r="K527" s="87"/>
      <c r="L527" s="88"/>
    </row>
    <row r="528" spans="6:12" ht="12.5">
      <c r="F528" s="86"/>
      <c r="G528" s="86"/>
      <c r="H528" s="86"/>
      <c r="I528" s="65"/>
      <c r="J528" s="65"/>
      <c r="K528" s="87"/>
      <c r="L528" s="88"/>
    </row>
    <row r="529" spans="6:12" ht="12.5">
      <c r="F529" s="86"/>
      <c r="G529" s="86"/>
      <c r="H529" s="86"/>
      <c r="I529" s="65"/>
      <c r="J529" s="65"/>
      <c r="K529" s="87"/>
      <c r="L529" s="88"/>
    </row>
    <row r="530" spans="6:12" ht="12.5">
      <c r="F530" s="86"/>
      <c r="G530" s="86"/>
      <c r="H530" s="86"/>
      <c r="I530" s="65"/>
      <c r="J530" s="65"/>
      <c r="K530" s="87"/>
      <c r="L530" s="88"/>
    </row>
    <row r="531" spans="6:12" ht="12.5">
      <c r="F531" s="86"/>
      <c r="G531" s="86"/>
      <c r="H531" s="86"/>
      <c r="I531" s="65"/>
      <c r="J531" s="65"/>
      <c r="K531" s="87"/>
      <c r="L531" s="88"/>
    </row>
    <row r="532" spans="6:12" ht="12.5">
      <c r="F532" s="86"/>
      <c r="G532" s="86"/>
      <c r="H532" s="86"/>
      <c r="I532" s="65"/>
      <c r="J532" s="65"/>
      <c r="K532" s="87"/>
      <c r="L532" s="88"/>
    </row>
    <row r="533" spans="6:12" ht="12.5">
      <c r="F533" s="86"/>
      <c r="G533" s="86"/>
      <c r="H533" s="86"/>
      <c r="I533" s="65"/>
      <c r="J533" s="65"/>
      <c r="K533" s="87"/>
      <c r="L533" s="88"/>
    </row>
    <row r="534" spans="6:12" ht="12.5">
      <c r="F534" s="86"/>
      <c r="G534" s="86"/>
      <c r="H534" s="86"/>
      <c r="I534" s="65"/>
      <c r="J534" s="65"/>
      <c r="K534" s="87"/>
      <c r="L534" s="88"/>
    </row>
    <row r="535" spans="6:12" ht="12.5">
      <c r="F535" s="86"/>
      <c r="G535" s="86"/>
      <c r="H535" s="86"/>
      <c r="I535" s="65"/>
      <c r="J535" s="65"/>
      <c r="K535" s="87"/>
      <c r="L535" s="88"/>
    </row>
    <row r="536" spans="6:12" ht="12.5">
      <c r="F536" s="86"/>
      <c r="G536" s="86"/>
      <c r="H536" s="86"/>
      <c r="I536" s="65"/>
      <c r="J536" s="65"/>
      <c r="K536" s="87"/>
      <c r="L536" s="88"/>
    </row>
    <row r="537" spans="6:12" ht="12.5">
      <c r="F537" s="86"/>
      <c r="G537" s="86"/>
      <c r="H537" s="86"/>
      <c r="I537" s="65"/>
      <c r="J537" s="65"/>
      <c r="K537" s="87"/>
      <c r="L537" s="88"/>
    </row>
    <row r="538" spans="6:12" ht="12.5">
      <c r="F538" s="86"/>
      <c r="G538" s="86"/>
      <c r="H538" s="86"/>
      <c r="I538" s="65"/>
      <c r="J538" s="65"/>
      <c r="K538" s="87"/>
      <c r="L538" s="88"/>
    </row>
    <row r="539" spans="6:12" ht="12.5">
      <c r="F539" s="86"/>
      <c r="G539" s="86"/>
      <c r="H539" s="86"/>
      <c r="I539" s="65"/>
      <c r="J539" s="65"/>
      <c r="K539" s="87"/>
      <c r="L539" s="88"/>
    </row>
    <row r="540" spans="6:12" ht="12.5">
      <c r="F540" s="86"/>
      <c r="G540" s="86"/>
      <c r="H540" s="86"/>
      <c r="I540" s="65"/>
      <c r="J540" s="65"/>
      <c r="K540" s="87"/>
      <c r="L540" s="88"/>
    </row>
    <row r="541" spans="6:12" ht="12.5">
      <c r="F541" s="86"/>
      <c r="G541" s="86"/>
      <c r="H541" s="86"/>
      <c r="I541" s="65"/>
      <c r="J541" s="65"/>
      <c r="K541" s="87"/>
      <c r="L541" s="88"/>
    </row>
    <row r="542" spans="6:12" ht="12.5">
      <c r="F542" s="86"/>
      <c r="G542" s="86"/>
      <c r="H542" s="86"/>
      <c r="I542" s="65"/>
      <c r="J542" s="65"/>
      <c r="K542" s="87"/>
      <c r="L542" s="88"/>
    </row>
    <row r="543" spans="6:12" ht="12.5">
      <c r="F543" s="86"/>
      <c r="G543" s="86"/>
      <c r="H543" s="86"/>
      <c r="I543" s="65"/>
      <c r="J543" s="65"/>
      <c r="K543" s="87"/>
      <c r="L543" s="88"/>
    </row>
    <row r="544" spans="6:12" ht="12.5">
      <c r="F544" s="86"/>
      <c r="G544" s="86"/>
      <c r="H544" s="86"/>
      <c r="I544" s="65"/>
      <c r="J544" s="65"/>
      <c r="K544" s="87"/>
      <c r="L544" s="88"/>
    </row>
    <row r="545" spans="6:12" ht="12.5">
      <c r="F545" s="86"/>
      <c r="G545" s="86"/>
      <c r="H545" s="86"/>
      <c r="I545" s="65"/>
      <c r="J545" s="65"/>
      <c r="K545" s="87"/>
      <c r="L545" s="88"/>
    </row>
    <row r="546" spans="6:12" ht="12.5">
      <c r="F546" s="86"/>
      <c r="G546" s="86"/>
      <c r="H546" s="86"/>
      <c r="I546" s="65"/>
      <c r="J546" s="65"/>
      <c r="K546" s="87"/>
      <c r="L546" s="88"/>
    </row>
    <row r="547" spans="6:12" ht="12.5">
      <c r="F547" s="86"/>
      <c r="G547" s="86"/>
      <c r="H547" s="86"/>
      <c r="I547" s="65"/>
      <c r="J547" s="65"/>
      <c r="K547" s="87"/>
      <c r="L547" s="88"/>
    </row>
    <row r="548" spans="6:12" ht="12.5">
      <c r="F548" s="86"/>
      <c r="G548" s="86"/>
      <c r="H548" s="86"/>
      <c r="I548" s="65"/>
      <c r="J548" s="65"/>
      <c r="K548" s="87"/>
      <c r="L548" s="88"/>
    </row>
    <row r="549" spans="6:12" ht="12.5">
      <c r="F549" s="86"/>
      <c r="G549" s="86"/>
      <c r="H549" s="86"/>
      <c r="I549" s="65"/>
      <c r="J549" s="65"/>
      <c r="K549" s="87"/>
      <c r="L549" s="88"/>
    </row>
    <row r="550" spans="6:12" ht="12.5">
      <c r="F550" s="86"/>
      <c r="G550" s="86"/>
      <c r="H550" s="86"/>
      <c r="I550" s="65"/>
      <c r="J550" s="65"/>
      <c r="K550" s="87"/>
      <c r="L550" s="88"/>
    </row>
    <row r="551" spans="6:12" ht="12.5">
      <c r="F551" s="86"/>
      <c r="G551" s="86"/>
      <c r="H551" s="86"/>
      <c r="I551" s="65"/>
      <c r="J551" s="65"/>
      <c r="K551" s="87"/>
      <c r="L551" s="88"/>
    </row>
    <row r="552" spans="6:12" ht="12.5">
      <c r="F552" s="86"/>
      <c r="G552" s="86"/>
      <c r="H552" s="86"/>
      <c r="I552" s="65"/>
      <c r="J552" s="65"/>
      <c r="K552" s="87"/>
      <c r="L552" s="88"/>
    </row>
    <row r="553" spans="6:12" ht="12.5">
      <c r="F553" s="86"/>
      <c r="G553" s="86"/>
      <c r="H553" s="86"/>
      <c r="I553" s="65"/>
      <c r="J553" s="65"/>
      <c r="K553" s="87"/>
      <c r="L553" s="88"/>
    </row>
    <row r="554" spans="6:12" ht="12.5">
      <c r="F554" s="86"/>
      <c r="G554" s="86"/>
      <c r="H554" s="86"/>
      <c r="I554" s="65"/>
      <c r="J554" s="65"/>
      <c r="K554" s="87"/>
      <c r="L554" s="88"/>
    </row>
    <row r="555" spans="6:12" ht="12.5">
      <c r="F555" s="86"/>
      <c r="G555" s="86"/>
      <c r="H555" s="86"/>
      <c r="I555" s="65"/>
      <c r="J555" s="65"/>
      <c r="K555" s="87"/>
      <c r="L555" s="88"/>
    </row>
    <row r="556" spans="6:12" ht="12.5">
      <c r="F556" s="86"/>
      <c r="G556" s="86"/>
      <c r="H556" s="86"/>
      <c r="I556" s="65"/>
      <c r="J556" s="65"/>
      <c r="K556" s="87"/>
      <c r="L556" s="88"/>
    </row>
    <row r="557" spans="6:12" ht="12.5">
      <c r="F557" s="86"/>
      <c r="G557" s="86"/>
      <c r="H557" s="86"/>
      <c r="I557" s="65"/>
      <c r="J557" s="65"/>
      <c r="K557" s="87"/>
      <c r="L557" s="88"/>
    </row>
    <row r="558" spans="6:12" ht="12.5">
      <c r="F558" s="86"/>
      <c r="G558" s="86"/>
      <c r="H558" s="86"/>
      <c r="I558" s="65"/>
      <c r="J558" s="65"/>
      <c r="K558" s="87"/>
      <c r="L558" s="88"/>
    </row>
    <row r="559" spans="6:12" ht="12.5">
      <c r="F559" s="86"/>
      <c r="G559" s="86"/>
      <c r="H559" s="86"/>
      <c r="I559" s="65"/>
      <c r="J559" s="65"/>
      <c r="K559" s="87"/>
      <c r="L559" s="88"/>
    </row>
    <row r="560" spans="6:12" ht="12.5">
      <c r="F560" s="86"/>
      <c r="G560" s="86"/>
      <c r="H560" s="86"/>
      <c r="I560" s="65"/>
      <c r="J560" s="65"/>
      <c r="K560" s="87"/>
      <c r="L560" s="88"/>
    </row>
    <row r="561" spans="6:12" ht="12.5">
      <c r="F561" s="86"/>
      <c r="G561" s="86"/>
      <c r="H561" s="86"/>
      <c r="I561" s="65"/>
      <c r="J561" s="65"/>
      <c r="K561" s="87"/>
      <c r="L561" s="88"/>
    </row>
    <row r="562" spans="6:12" ht="12.5">
      <c r="F562" s="86"/>
      <c r="G562" s="86"/>
      <c r="H562" s="86"/>
      <c r="I562" s="65"/>
      <c r="J562" s="65"/>
      <c r="K562" s="87"/>
      <c r="L562" s="88"/>
    </row>
    <row r="563" spans="6:12" ht="12.5">
      <c r="F563" s="86"/>
      <c r="G563" s="86"/>
      <c r="H563" s="86"/>
      <c r="I563" s="65"/>
      <c r="J563" s="65"/>
      <c r="K563" s="87"/>
      <c r="L563" s="88"/>
    </row>
    <row r="564" spans="6:12" ht="12.5">
      <c r="F564" s="86"/>
      <c r="G564" s="86"/>
      <c r="H564" s="86"/>
      <c r="I564" s="65"/>
      <c r="J564" s="65"/>
      <c r="K564" s="87"/>
      <c r="L564" s="88"/>
    </row>
    <row r="565" spans="6:12" ht="12.5">
      <c r="F565" s="86"/>
      <c r="G565" s="86"/>
      <c r="H565" s="86"/>
      <c r="I565" s="65"/>
      <c r="J565" s="65"/>
      <c r="K565" s="87"/>
      <c r="L565" s="88"/>
    </row>
    <row r="566" spans="6:12" ht="12.5">
      <c r="F566" s="86"/>
      <c r="G566" s="86"/>
      <c r="H566" s="86"/>
      <c r="I566" s="65"/>
      <c r="J566" s="65"/>
      <c r="K566" s="87"/>
      <c r="L566" s="88"/>
    </row>
    <row r="567" spans="6:12" ht="12.5">
      <c r="F567" s="86"/>
      <c r="G567" s="86"/>
      <c r="H567" s="86"/>
      <c r="I567" s="65"/>
      <c r="J567" s="65"/>
      <c r="K567" s="87"/>
      <c r="L567" s="88"/>
    </row>
    <row r="568" spans="6:12" ht="12.5">
      <c r="F568" s="86"/>
      <c r="G568" s="86"/>
      <c r="H568" s="86"/>
      <c r="I568" s="65"/>
      <c r="J568" s="65"/>
      <c r="K568" s="87"/>
      <c r="L568" s="88"/>
    </row>
    <row r="569" spans="6:12" ht="12.5">
      <c r="F569" s="86"/>
      <c r="G569" s="86"/>
      <c r="H569" s="86"/>
      <c r="I569" s="65"/>
      <c r="J569" s="65"/>
      <c r="K569" s="87"/>
      <c r="L569" s="88"/>
    </row>
    <row r="570" spans="6:12" ht="12.5">
      <c r="F570" s="86"/>
      <c r="G570" s="86"/>
      <c r="H570" s="86"/>
      <c r="I570" s="65"/>
      <c r="J570" s="65"/>
      <c r="K570" s="87"/>
      <c r="L570" s="88"/>
    </row>
    <row r="571" spans="6:12" ht="12.5">
      <c r="F571" s="86"/>
      <c r="G571" s="86"/>
      <c r="H571" s="86"/>
      <c r="I571" s="65"/>
      <c r="J571" s="65"/>
      <c r="K571" s="87"/>
      <c r="L571" s="88"/>
    </row>
    <row r="572" spans="6:12" ht="12.5">
      <c r="F572" s="86"/>
      <c r="G572" s="86"/>
      <c r="H572" s="86"/>
      <c r="I572" s="65"/>
      <c r="J572" s="65"/>
      <c r="K572" s="87"/>
      <c r="L572" s="88"/>
    </row>
    <row r="573" spans="6:12" ht="12.5">
      <c r="F573" s="86"/>
      <c r="G573" s="86"/>
      <c r="H573" s="86"/>
      <c r="I573" s="65"/>
      <c r="J573" s="65"/>
      <c r="K573" s="87"/>
      <c r="L573" s="88"/>
    </row>
    <row r="574" spans="6:12" ht="12.5">
      <c r="F574" s="86"/>
      <c r="G574" s="86"/>
      <c r="H574" s="86"/>
      <c r="I574" s="65"/>
      <c r="J574" s="65"/>
      <c r="K574" s="87"/>
      <c r="L574" s="88"/>
    </row>
    <row r="575" spans="6:12" ht="12.5">
      <c r="F575" s="86"/>
      <c r="G575" s="86"/>
      <c r="H575" s="86"/>
      <c r="I575" s="65"/>
      <c r="J575" s="65"/>
      <c r="K575" s="87"/>
      <c r="L575" s="88"/>
    </row>
    <row r="576" spans="6:12" ht="12.5">
      <c r="F576" s="86"/>
      <c r="G576" s="86"/>
      <c r="H576" s="86"/>
      <c r="I576" s="65"/>
      <c r="J576" s="65"/>
      <c r="K576" s="87"/>
      <c r="L576" s="88"/>
    </row>
    <row r="577" spans="6:12" ht="12.5">
      <c r="F577" s="86"/>
      <c r="G577" s="86"/>
      <c r="H577" s="86"/>
      <c r="I577" s="65"/>
      <c r="J577" s="65"/>
      <c r="K577" s="87"/>
      <c r="L577" s="88"/>
    </row>
    <row r="578" spans="6:12" ht="12.5">
      <c r="F578" s="86"/>
      <c r="G578" s="86"/>
      <c r="H578" s="86"/>
      <c r="I578" s="65"/>
      <c r="J578" s="65"/>
      <c r="K578" s="87"/>
      <c r="L578" s="88"/>
    </row>
    <row r="579" spans="6:12" ht="12.5">
      <c r="F579" s="86"/>
      <c r="G579" s="86"/>
      <c r="H579" s="86"/>
      <c r="I579" s="65"/>
      <c r="J579" s="65"/>
      <c r="K579" s="87"/>
      <c r="L579" s="88"/>
    </row>
    <row r="580" spans="6:12" ht="12.5">
      <c r="F580" s="86"/>
      <c r="G580" s="86"/>
      <c r="H580" s="86"/>
      <c r="I580" s="65"/>
      <c r="J580" s="65"/>
      <c r="K580" s="87"/>
      <c r="L580" s="88"/>
    </row>
    <row r="581" spans="6:12" ht="12.5">
      <c r="F581" s="86"/>
      <c r="G581" s="86"/>
      <c r="H581" s="86"/>
      <c r="I581" s="65"/>
      <c r="J581" s="65"/>
      <c r="K581" s="87"/>
      <c r="L581" s="88"/>
    </row>
    <row r="582" spans="6:12" ht="12.5">
      <c r="F582" s="86"/>
      <c r="G582" s="86"/>
      <c r="H582" s="86"/>
      <c r="I582" s="65"/>
      <c r="J582" s="65"/>
      <c r="K582" s="87"/>
      <c r="L582" s="88"/>
    </row>
    <row r="583" spans="6:12" ht="12.5">
      <c r="F583" s="86"/>
      <c r="G583" s="86"/>
      <c r="H583" s="86"/>
      <c r="I583" s="65"/>
      <c r="J583" s="65"/>
      <c r="K583" s="87"/>
      <c r="L583" s="88"/>
    </row>
    <row r="584" spans="6:12" ht="12.5">
      <c r="F584" s="86"/>
      <c r="G584" s="86"/>
      <c r="H584" s="86"/>
      <c r="I584" s="65"/>
      <c r="J584" s="65"/>
      <c r="K584" s="87"/>
      <c r="L584" s="88"/>
    </row>
    <row r="585" spans="6:12" ht="12.5">
      <c r="F585" s="86"/>
      <c r="G585" s="86"/>
      <c r="H585" s="86"/>
      <c r="I585" s="65"/>
      <c r="J585" s="65"/>
      <c r="K585" s="87"/>
      <c r="L585" s="88"/>
    </row>
    <row r="586" spans="6:12" ht="12.5">
      <c r="F586" s="86"/>
      <c r="G586" s="86"/>
      <c r="H586" s="86"/>
      <c r="I586" s="65"/>
      <c r="J586" s="65"/>
      <c r="K586" s="87"/>
      <c r="L586" s="88"/>
    </row>
    <row r="587" spans="6:12" ht="12.5">
      <c r="F587" s="86"/>
      <c r="G587" s="86"/>
      <c r="H587" s="86"/>
      <c r="I587" s="65"/>
      <c r="J587" s="65"/>
      <c r="K587" s="87"/>
      <c r="L587" s="88"/>
    </row>
    <row r="588" spans="6:12" ht="12.5">
      <c r="F588" s="86"/>
      <c r="G588" s="86"/>
      <c r="H588" s="86"/>
      <c r="I588" s="65"/>
      <c r="J588" s="65"/>
      <c r="K588" s="87"/>
      <c r="L588" s="88"/>
    </row>
    <row r="589" spans="6:12" ht="12.5">
      <c r="F589" s="86"/>
      <c r="G589" s="86"/>
      <c r="H589" s="86"/>
      <c r="I589" s="65"/>
      <c r="J589" s="65"/>
      <c r="K589" s="87"/>
      <c r="L589" s="88"/>
    </row>
    <row r="590" spans="6:12" ht="12.5">
      <c r="F590" s="86"/>
      <c r="G590" s="86"/>
      <c r="H590" s="86"/>
      <c r="I590" s="65"/>
      <c r="J590" s="65"/>
      <c r="K590" s="87"/>
      <c r="L590" s="88"/>
    </row>
    <row r="591" spans="6:12" ht="12.5">
      <c r="F591" s="86"/>
      <c r="G591" s="86"/>
      <c r="H591" s="86"/>
      <c r="I591" s="65"/>
      <c r="J591" s="65"/>
      <c r="K591" s="87"/>
      <c r="L591" s="88"/>
    </row>
    <row r="592" spans="6:12" ht="12.5">
      <c r="F592" s="86"/>
      <c r="G592" s="86"/>
      <c r="H592" s="86"/>
      <c r="I592" s="65"/>
      <c r="J592" s="65"/>
      <c r="K592" s="87"/>
      <c r="L592" s="88"/>
    </row>
    <row r="593" spans="6:12" ht="12.5">
      <c r="F593" s="86"/>
      <c r="G593" s="86"/>
      <c r="H593" s="86"/>
      <c r="I593" s="65"/>
      <c r="J593" s="65"/>
      <c r="K593" s="87"/>
      <c r="L593" s="88"/>
    </row>
    <row r="594" spans="6:12" ht="12.5">
      <c r="F594" s="86"/>
      <c r="G594" s="86"/>
      <c r="H594" s="86"/>
      <c r="I594" s="65"/>
      <c r="J594" s="65"/>
      <c r="K594" s="87"/>
      <c r="L594" s="88"/>
    </row>
    <row r="595" spans="6:12" ht="12.5">
      <c r="F595" s="86"/>
      <c r="G595" s="86"/>
      <c r="H595" s="86"/>
      <c r="I595" s="65"/>
      <c r="J595" s="65"/>
      <c r="K595" s="87"/>
      <c r="L595" s="88"/>
    </row>
    <row r="596" spans="6:12" ht="12.5">
      <c r="F596" s="86"/>
      <c r="G596" s="86"/>
      <c r="H596" s="86"/>
      <c r="I596" s="65"/>
      <c r="J596" s="65"/>
      <c r="K596" s="87"/>
      <c r="L596" s="88"/>
    </row>
    <row r="597" spans="6:12" ht="12.5">
      <c r="F597" s="86"/>
      <c r="G597" s="86"/>
      <c r="H597" s="86"/>
      <c r="I597" s="65"/>
      <c r="J597" s="65"/>
      <c r="K597" s="87"/>
      <c r="L597" s="88"/>
    </row>
    <row r="598" spans="6:12" ht="12.5">
      <c r="F598" s="86"/>
      <c r="G598" s="86"/>
      <c r="H598" s="86"/>
      <c r="I598" s="65"/>
      <c r="J598" s="65"/>
      <c r="K598" s="87"/>
      <c r="L598" s="88"/>
    </row>
    <row r="599" spans="6:12" ht="12.5">
      <c r="F599" s="86"/>
      <c r="G599" s="86"/>
      <c r="H599" s="86"/>
      <c r="I599" s="65"/>
      <c r="J599" s="65"/>
      <c r="K599" s="87"/>
      <c r="L599" s="88"/>
    </row>
    <row r="600" spans="6:12" ht="12.5">
      <c r="F600" s="86"/>
      <c r="G600" s="86"/>
      <c r="H600" s="86"/>
      <c r="I600" s="65"/>
      <c r="J600" s="65"/>
      <c r="K600" s="87"/>
      <c r="L600" s="88"/>
    </row>
    <row r="601" spans="6:12" ht="12.5">
      <c r="F601" s="86"/>
      <c r="G601" s="86"/>
      <c r="H601" s="86"/>
      <c r="I601" s="65"/>
      <c r="J601" s="65"/>
      <c r="K601" s="87"/>
      <c r="L601" s="88"/>
    </row>
    <row r="602" spans="6:12" ht="12.5">
      <c r="F602" s="86"/>
      <c r="G602" s="86"/>
      <c r="H602" s="86"/>
      <c r="I602" s="65"/>
      <c r="J602" s="65"/>
      <c r="K602" s="87"/>
      <c r="L602" s="88"/>
    </row>
    <row r="603" spans="6:12" ht="12.5">
      <c r="F603" s="86"/>
      <c r="G603" s="86"/>
      <c r="H603" s="86"/>
      <c r="I603" s="65"/>
      <c r="J603" s="65"/>
      <c r="K603" s="87"/>
      <c r="L603" s="88"/>
    </row>
    <row r="604" spans="6:12" ht="12.5">
      <c r="F604" s="86"/>
      <c r="G604" s="86"/>
      <c r="H604" s="86"/>
      <c r="I604" s="65"/>
      <c r="J604" s="65"/>
      <c r="K604" s="87"/>
      <c r="L604" s="88"/>
    </row>
    <row r="605" spans="6:12" ht="12.5">
      <c r="F605" s="86"/>
      <c r="G605" s="86"/>
      <c r="H605" s="86"/>
      <c r="I605" s="65"/>
      <c r="J605" s="65"/>
      <c r="K605" s="87"/>
      <c r="L605" s="88"/>
    </row>
    <row r="606" spans="6:12" ht="12.5">
      <c r="F606" s="86"/>
      <c r="G606" s="86"/>
      <c r="H606" s="86"/>
      <c r="I606" s="65"/>
      <c r="J606" s="65"/>
      <c r="K606" s="87"/>
      <c r="L606" s="88"/>
    </row>
    <row r="607" spans="6:12" ht="12.5">
      <c r="F607" s="86"/>
      <c r="G607" s="86"/>
      <c r="H607" s="86"/>
      <c r="I607" s="65"/>
      <c r="J607" s="65"/>
      <c r="K607" s="87"/>
      <c r="L607" s="88"/>
    </row>
    <row r="608" spans="6:12" ht="12.5">
      <c r="F608" s="86"/>
      <c r="G608" s="86"/>
      <c r="H608" s="86"/>
      <c r="I608" s="65"/>
      <c r="J608" s="65"/>
      <c r="K608" s="87"/>
      <c r="L608" s="88"/>
    </row>
    <row r="609" spans="6:12" ht="12.5">
      <c r="F609" s="86"/>
      <c r="G609" s="86"/>
      <c r="H609" s="86"/>
      <c r="I609" s="65"/>
      <c r="J609" s="65"/>
      <c r="K609" s="87"/>
      <c r="L609" s="88"/>
    </row>
    <row r="610" spans="6:12" ht="12.5">
      <c r="F610" s="86"/>
      <c r="G610" s="86"/>
      <c r="H610" s="86"/>
      <c r="I610" s="65"/>
      <c r="J610" s="65"/>
      <c r="K610" s="87"/>
      <c r="L610" s="88"/>
    </row>
    <row r="611" spans="6:12" ht="12.5">
      <c r="F611" s="86"/>
      <c r="G611" s="86"/>
      <c r="H611" s="86"/>
      <c r="I611" s="65"/>
      <c r="J611" s="65"/>
      <c r="K611" s="87"/>
      <c r="L611" s="88"/>
    </row>
    <row r="612" spans="6:12" ht="12.5">
      <c r="F612" s="86"/>
      <c r="G612" s="86"/>
      <c r="H612" s="86"/>
      <c r="I612" s="65"/>
      <c r="J612" s="65"/>
      <c r="K612" s="87"/>
      <c r="L612" s="88"/>
    </row>
    <row r="613" spans="6:12" ht="12.5">
      <c r="F613" s="86"/>
      <c r="G613" s="86"/>
      <c r="H613" s="86"/>
      <c r="I613" s="65"/>
      <c r="J613" s="65"/>
      <c r="K613" s="87"/>
      <c r="L613" s="88"/>
    </row>
    <row r="614" spans="6:12" ht="12.5">
      <c r="F614" s="86"/>
      <c r="G614" s="86"/>
      <c r="H614" s="86"/>
      <c r="I614" s="65"/>
      <c r="J614" s="65"/>
      <c r="K614" s="87"/>
      <c r="L614" s="88"/>
    </row>
    <row r="615" spans="6:12" ht="12.5">
      <c r="F615" s="86"/>
      <c r="G615" s="86"/>
      <c r="H615" s="86"/>
      <c r="I615" s="65"/>
      <c r="J615" s="65"/>
      <c r="K615" s="87"/>
      <c r="L615" s="88"/>
    </row>
    <row r="616" spans="6:12" ht="12.5">
      <c r="F616" s="86"/>
      <c r="G616" s="86"/>
      <c r="H616" s="86"/>
      <c r="I616" s="65"/>
      <c r="J616" s="65"/>
      <c r="K616" s="87"/>
      <c r="L616" s="88"/>
    </row>
    <row r="617" spans="6:12" ht="12.5">
      <c r="F617" s="86"/>
      <c r="G617" s="86"/>
      <c r="H617" s="86"/>
      <c r="I617" s="65"/>
      <c r="J617" s="65"/>
      <c r="K617" s="87"/>
      <c r="L617" s="88"/>
    </row>
    <row r="618" spans="6:12" ht="12.5">
      <c r="F618" s="86"/>
      <c r="G618" s="86"/>
      <c r="H618" s="86"/>
      <c r="I618" s="65"/>
      <c r="J618" s="65"/>
      <c r="K618" s="87"/>
      <c r="L618" s="88"/>
    </row>
    <row r="619" spans="6:12" ht="12.5">
      <c r="F619" s="86"/>
      <c r="G619" s="86"/>
      <c r="H619" s="86"/>
      <c r="I619" s="65"/>
      <c r="J619" s="65"/>
      <c r="K619" s="87"/>
      <c r="L619" s="88"/>
    </row>
    <row r="620" spans="6:12" ht="12.5">
      <c r="F620" s="86"/>
      <c r="G620" s="86"/>
      <c r="H620" s="86"/>
      <c r="I620" s="65"/>
      <c r="J620" s="65"/>
      <c r="K620" s="87"/>
      <c r="L620" s="88"/>
    </row>
    <row r="621" spans="6:12" ht="12.5">
      <c r="F621" s="86"/>
      <c r="G621" s="86"/>
      <c r="H621" s="86"/>
      <c r="I621" s="65"/>
      <c r="J621" s="65"/>
      <c r="K621" s="87"/>
      <c r="L621" s="88"/>
    </row>
    <row r="622" spans="6:12" ht="12.5">
      <c r="F622" s="86"/>
      <c r="G622" s="86"/>
      <c r="H622" s="86"/>
      <c r="I622" s="65"/>
      <c r="J622" s="65"/>
      <c r="K622" s="87"/>
      <c r="L622" s="88"/>
    </row>
    <row r="623" spans="6:12" ht="12.5">
      <c r="F623" s="86"/>
      <c r="G623" s="86"/>
      <c r="H623" s="86"/>
      <c r="I623" s="65"/>
      <c r="J623" s="65"/>
      <c r="K623" s="87"/>
      <c r="L623" s="88"/>
    </row>
    <row r="624" spans="6:12" ht="12.5">
      <c r="F624" s="86"/>
      <c r="G624" s="86"/>
      <c r="H624" s="86"/>
      <c r="I624" s="65"/>
      <c r="J624" s="65"/>
      <c r="K624" s="87"/>
      <c r="L624" s="88"/>
    </row>
    <row r="625" spans="6:12" ht="12.5">
      <c r="F625" s="86"/>
      <c r="G625" s="86"/>
      <c r="H625" s="86"/>
      <c r="I625" s="65"/>
      <c r="J625" s="65"/>
      <c r="K625" s="87"/>
      <c r="L625" s="88"/>
    </row>
    <row r="626" spans="6:12" ht="12.5">
      <c r="F626" s="86"/>
      <c r="G626" s="86"/>
      <c r="H626" s="86"/>
      <c r="I626" s="65"/>
      <c r="J626" s="65"/>
      <c r="K626" s="87"/>
      <c r="L626" s="88"/>
    </row>
    <row r="627" spans="6:12" ht="12.5">
      <c r="F627" s="86"/>
      <c r="G627" s="86"/>
      <c r="H627" s="86"/>
      <c r="I627" s="65"/>
      <c r="J627" s="65"/>
      <c r="K627" s="87"/>
      <c r="L627" s="88"/>
    </row>
    <row r="628" spans="6:12" ht="12.5">
      <c r="F628" s="86"/>
      <c r="G628" s="86"/>
      <c r="H628" s="86"/>
      <c r="I628" s="65"/>
      <c r="J628" s="65"/>
      <c r="K628" s="87"/>
      <c r="L628" s="88"/>
    </row>
    <row r="629" spans="6:12" ht="12.5">
      <c r="F629" s="86"/>
      <c r="G629" s="86"/>
      <c r="H629" s="86"/>
      <c r="I629" s="65"/>
      <c r="J629" s="65"/>
      <c r="K629" s="87"/>
      <c r="L629" s="88"/>
    </row>
    <row r="630" spans="6:12" ht="12.5">
      <c r="F630" s="86"/>
      <c r="G630" s="86"/>
      <c r="H630" s="86"/>
      <c r="I630" s="65"/>
      <c r="J630" s="65"/>
      <c r="K630" s="87"/>
      <c r="L630" s="88"/>
    </row>
    <row r="631" spans="6:12" ht="12.5">
      <c r="F631" s="86"/>
      <c r="G631" s="86"/>
      <c r="H631" s="86"/>
      <c r="I631" s="65"/>
      <c r="J631" s="65"/>
      <c r="K631" s="87"/>
      <c r="L631" s="88"/>
    </row>
    <row r="632" spans="6:12" ht="12.5">
      <c r="F632" s="86"/>
      <c r="G632" s="86"/>
      <c r="H632" s="86"/>
      <c r="I632" s="65"/>
      <c r="J632" s="65"/>
      <c r="K632" s="87"/>
      <c r="L632" s="88"/>
    </row>
    <row r="633" spans="6:12" ht="12.5">
      <c r="F633" s="86"/>
      <c r="G633" s="86"/>
      <c r="H633" s="86"/>
      <c r="I633" s="65"/>
      <c r="J633" s="65"/>
      <c r="K633" s="87"/>
      <c r="L633" s="88"/>
    </row>
    <row r="634" spans="6:12" ht="12.5">
      <c r="F634" s="86"/>
      <c r="G634" s="86"/>
      <c r="H634" s="86"/>
      <c r="I634" s="65"/>
      <c r="J634" s="65"/>
      <c r="K634" s="87"/>
      <c r="L634" s="88"/>
    </row>
    <row r="635" spans="6:12" ht="12.5">
      <c r="F635" s="86"/>
      <c r="G635" s="86"/>
      <c r="H635" s="86"/>
      <c r="I635" s="65"/>
      <c r="J635" s="65"/>
      <c r="K635" s="87"/>
      <c r="L635" s="88"/>
    </row>
    <row r="636" spans="6:12" ht="12.5">
      <c r="F636" s="86"/>
      <c r="G636" s="86"/>
      <c r="H636" s="86"/>
      <c r="I636" s="65"/>
      <c r="J636" s="65"/>
      <c r="K636" s="87"/>
      <c r="L636" s="88"/>
    </row>
    <row r="637" spans="6:12" ht="12.5">
      <c r="F637" s="86"/>
      <c r="G637" s="86"/>
      <c r="H637" s="86"/>
      <c r="I637" s="65"/>
      <c r="J637" s="65"/>
      <c r="K637" s="87"/>
      <c r="L637" s="88"/>
    </row>
    <row r="638" spans="6:12" ht="12.5">
      <c r="F638" s="86"/>
      <c r="G638" s="86"/>
      <c r="H638" s="86"/>
      <c r="I638" s="65"/>
      <c r="J638" s="65"/>
      <c r="K638" s="87"/>
      <c r="L638" s="88"/>
    </row>
    <row r="639" spans="6:12" ht="12.5">
      <c r="F639" s="86"/>
      <c r="G639" s="86"/>
      <c r="H639" s="86"/>
      <c r="I639" s="65"/>
      <c r="J639" s="65"/>
      <c r="K639" s="87"/>
      <c r="L639" s="88"/>
    </row>
    <row r="640" spans="6:12" ht="12.5">
      <c r="F640" s="86"/>
      <c r="G640" s="86"/>
      <c r="H640" s="86"/>
      <c r="I640" s="65"/>
      <c r="J640" s="65"/>
      <c r="K640" s="87"/>
      <c r="L640" s="88"/>
    </row>
    <row r="641" spans="6:12" ht="12.5">
      <c r="F641" s="86"/>
      <c r="G641" s="86"/>
      <c r="H641" s="86"/>
      <c r="I641" s="65"/>
      <c r="J641" s="65"/>
      <c r="K641" s="87"/>
      <c r="L641" s="88"/>
    </row>
    <row r="642" spans="6:12" ht="12.5">
      <c r="F642" s="86"/>
      <c r="G642" s="86"/>
      <c r="H642" s="86"/>
      <c r="I642" s="65"/>
      <c r="J642" s="65"/>
      <c r="K642" s="87"/>
      <c r="L642" s="88"/>
    </row>
    <row r="643" spans="6:12" ht="12.5">
      <c r="F643" s="86"/>
      <c r="G643" s="86"/>
      <c r="H643" s="86"/>
      <c r="I643" s="65"/>
      <c r="J643" s="65"/>
      <c r="K643" s="87"/>
      <c r="L643" s="88"/>
    </row>
    <row r="644" spans="6:12" ht="12.5">
      <c r="F644" s="86"/>
      <c r="G644" s="86"/>
      <c r="H644" s="86"/>
      <c r="I644" s="65"/>
      <c r="J644" s="65"/>
      <c r="K644" s="87"/>
      <c r="L644" s="88"/>
    </row>
    <row r="645" spans="6:12" ht="12.5">
      <c r="F645" s="86"/>
      <c r="G645" s="86"/>
      <c r="H645" s="86"/>
      <c r="I645" s="65"/>
      <c r="J645" s="65"/>
      <c r="K645" s="87"/>
      <c r="L645" s="88"/>
    </row>
    <row r="646" spans="6:12" ht="12.5">
      <c r="F646" s="86"/>
      <c r="G646" s="86"/>
      <c r="H646" s="86"/>
      <c r="I646" s="65"/>
      <c r="J646" s="65"/>
      <c r="K646" s="87"/>
      <c r="L646" s="88"/>
    </row>
    <row r="647" spans="6:12" ht="12.5">
      <c r="F647" s="86"/>
      <c r="G647" s="86"/>
      <c r="H647" s="86"/>
      <c r="I647" s="65"/>
      <c r="J647" s="65"/>
      <c r="K647" s="87"/>
      <c r="L647" s="88"/>
    </row>
    <row r="648" spans="6:12" ht="12.5">
      <c r="F648" s="86"/>
      <c r="G648" s="86"/>
      <c r="H648" s="86"/>
      <c r="I648" s="65"/>
      <c r="J648" s="65"/>
      <c r="K648" s="87"/>
      <c r="L648" s="88"/>
    </row>
    <row r="649" spans="6:12" ht="12.5">
      <c r="F649" s="86"/>
      <c r="G649" s="86"/>
      <c r="H649" s="86"/>
      <c r="I649" s="65"/>
      <c r="J649" s="65"/>
      <c r="K649" s="87"/>
      <c r="L649" s="88"/>
    </row>
    <row r="650" spans="6:12" ht="12.5">
      <c r="F650" s="86"/>
      <c r="G650" s="86"/>
      <c r="H650" s="86"/>
      <c r="I650" s="65"/>
      <c r="J650" s="65"/>
      <c r="K650" s="87"/>
      <c r="L650" s="88"/>
    </row>
    <row r="651" spans="6:12" ht="12.5">
      <c r="F651" s="86"/>
      <c r="G651" s="86"/>
      <c r="H651" s="86"/>
      <c r="I651" s="65"/>
      <c r="J651" s="65"/>
      <c r="K651" s="87"/>
      <c r="L651" s="88"/>
    </row>
    <row r="652" spans="6:12" ht="12.5">
      <c r="F652" s="86"/>
      <c r="G652" s="86"/>
      <c r="H652" s="86"/>
      <c r="I652" s="65"/>
      <c r="J652" s="65"/>
      <c r="K652" s="87"/>
      <c r="L652" s="88"/>
    </row>
    <row r="653" spans="6:12" ht="12.5">
      <c r="F653" s="86"/>
      <c r="G653" s="86"/>
      <c r="H653" s="86"/>
      <c r="I653" s="65"/>
      <c r="J653" s="65"/>
      <c r="K653" s="87"/>
      <c r="L653" s="88"/>
    </row>
    <row r="654" spans="6:12" ht="12.5">
      <c r="F654" s="86"/>
      <c r="G654" s="86"/>
      <c r="H654" s="86"/>
      <c r="I654" s="65"/>
      <c r="J654" s="65"/>
      <c r="K654" s="87"/>
      <c r="L654" s="88"/>
    </row>
    <row r="655" spans="6:12" ht="12.5">
      <c r="F655" s="86"/>
      <c r="G655" s="86"/>
      <c r="H655" s="86"/>
      <c r="I655" s="65"/>
      <c r="J655" s="65"/>
      <c r="K655" s="87"/>
      <c r="L655" s="88"/>
    </row>
    <row r="656" spans="6:12" ht="12.5">
      <c r="F656" s="86"/>
      <c r="G656" s="86"/>
      <c r="H656" s="86"/>
      <c r="I656" s="65"/>
      <c r="J656" s="65"/>
      <c r="K656" s="87"/>
      <c r="L656" s="88"/>
    </row>
    <row r="657" spans="6:12" ht="12.5">
      <c r="F657" s="86"/>
      <c r="G657" s="86"/>
      <c r="H657" s="86"/>
      <c r="I657" s="65"/>
      <c r="J657" s="65"/>
      <c r="K657" s="87"/>
      <c r="L657" s="88"/>
    </row>
    <row r="658" spans="6:12" ht="12.5">
      <c r="F658" s="86"/>
      <c r="G658" s="86"/>
      <c r="H658" s="86"/>
      <c r="I658" s="65"/>
      <c r="J658" s="65"/>
      <c r="K658" s="87"/>
      <c r="L658" s="88"/>
    </row>
    <row r="659" spans="6:12" ht="12.5">
      <c r="F659" s="86"/>
      <c r="G659" s="86"/>
      <c r="H659" s="86"/>
      <c r="I659" s="65"/>
      <c r="J659" s="65"/>
      <c r="K659" s="87"/>
      <c r="L659" s="88"/>
    </row>
    <row r="660" spans="6:12" ht="12.5">
      <c r="F660" s="86"/>
      <c r="G660" s="86"/>
      <c r="H660" s="86"/>
      <c r="I660" s="65"/>
      <c r="J660" s="65"/>
      <c r="K660" s="87"/>
      <c r="L660" s="88"/>
    </row>
    <row r="661" spans="6:12" ht="12.5">
      <c r="F661" s="86"/>
      <c r="G661" s="86"/>
      <c r="H661" s="86"/>
      <c r="I661" s="65"/>
      <c r="J661" s="65"/>
      <c r="K661" s="87"/>
      <c r="L661" s="88"/>
    </row>
    <row r="662" spans="6:12" ht="12.5">
      <c r="F662" s="86"/>
      <c r="G662" s="86"/>
      <c r="H662" s="86"/>
      <c r="I662" s="65"/>
      <c r="J662" s="65"/>
      <c r="K662" s="87"/>
      <c r="L662" s="88"/>
    </row>
    <row r="663" spans="6:12" ht="12.5">
      <c r="F663" s="86"/>
      <c r="G663" s="86"/>
      <c r="H663" s="86"/>
      <c r="I663" s="65"/>
      <c r="J663" s="65"/>
      <c r="K663" s="87"/>
      <c r="L663" s="88"/>
    </row>
    <row r="664" spans="6:12" ht="12.5">
      <c r="F664" s="86"/>
      <c r="G664" s="86"/>
      <c r="H664" s="86"/>
      <c r="I664" s="65"/>
      <c r="J664" s="65"/>
      <c r="K664" s="87"/>
      <c r="L664" s="88"/>
    </row>
    <row r="665" spans="6:12" ht="12.5">
      <c r="F665" s="86"/>
      <c r="G665" s="86"/>
      <c r="H665" s="86"/>
      <c r="I665" s="65"/>
      <c r="J665" s="65"/>
      <c r="K665" s="87"/>
      <c r="L665" s="88"/>
    </row>
    <row r="666" spans="6:12" ht="12.5">
      <c r="F666" s="86"/>
      <c r="G666" s="86"/>
      <c r="H666" s="86"/>
      <c r="I666" s="65"/>
      <c r="J666" s="65"/>
      <c r="K666" s="87"/>
      <c r="L666" s="88"/>
    </row>
    <row r="667" spans="6:12" ht="12.5">
      <c r="F667" s="86"/>
      <c r="G667" s="86"/>
      <c r="H667" s="86"/>
      <c r="I667" s="65"/>
      <c r="J667" s="65"/>
      <c r="K667" s="87"/>
      <c r="L667" s="88"/>
    </row>
    <row r="668" spans="6:12" ht="12.5">
      <c r="F668" s="86"/>
      <c r="G668" s="86"/>
      <c r="H668" s="86"/>
      <c r="I668" s="65"/>
      <c r="J668" s="65"/>
      <c r="K668" s="87"/>
      <c r="L668" s="88"/>
    </row>
    <row r="669" spans="6:12" ht="12.5">
      <c r="F669" s="86"/>
      <c r="G669" s="86"/>
      <c r="H669" s="86"/>
      <c r="I669" s="65"/>
      <c r="J669" s="65"/>
      <c r="K669" s="87"/>
      <c r="L669" s="88"/>
    </row>
    <row r="670" spans="6:12" ht="12.5">
      <c r="F670" s="86"/>
      <c r="G670" s="86"/>
      <c r="H670" s="86"/>
      <c r="I670" s="65"/>
      <c r="J670" s="65"/>
      <c r="K670" s="87"/>
      <c r="L670" s="88"/>
    </row>
    <row r="671" spans="6:12" ht="12.5">
      <c r="F671" s="86"/>
      <c r="G671" s="86"/>
      <c r="H671" s="86"/>
      <c r="I671" s="65"/>
      <c r="J671" s="65"/>
      <c r="K671" s="87"/>
      <c r="L671" s="88"/>
    </row>
    <row r="672" spans="6:12" ht="12.5">
      <c r="F672" s="86"/>
      <c r="G672" s="86"/>
      <c r="H672" s="86"/>
      <c r="I672" s="65"/>
      <c r="J672" s="65"/>
      <c r="K672" s="87"/>
      <c r="L672" s="88"/>
    </row>
    <row r="673" spans="6:12" ht="12.5">
      <c r="F673" s="86"/>
      <c r="G673" s="86"/>
      <c r="H673" s="86"/>
      <c r="I673" s="65"/>
      <c r="J673" s="65"/>
      <c r="K673" s="87"/>
      <c r="L673" s="88"/>
    </row>
    <row r="674" spans="6:12" ht="12.5">
      <c r="F674" s="86"/>
      <c r="G674" s="86"/>
      <c r="H674" s="86"/>
      <c r="I674" s="65"/>
      <c r="J674" s="65"/>
      <c r="K674" s="87"/>
      <c r="L674" s="88"/>
    </row>
    <row r="675" spans="6:12" ht="12.5">
      <c r="F675" s="86"/>
      <c r="G675" s="86"/>
      <c r="H675" s="86"/>
      <c r="I675" s="65"/>
      <c r="J675" s="65"/>
      <c r="K675" s="87"/>
      <c r="L675" s="88"/>
    </row>
    <row r="676" spans="6:12" ht="12.5">
      <c r="F676" s="86"/>
      <c r="G676" s="86"/>
      <c r="H676" s="86"/>
      <c r="I676" s="65"/>
      <c r="J676" s="65"/>
      <c r="K676" s="87"/>
      <c r="L676" s="88"/>
    </row>
    <row r="677" spans="6:12" ht="12.5">
      <c r="F677" s="86"/>
      <c r="G677" s="86"/>
      <c r="H677" s="86"/>
      <c r="I677" s="65"/>
      <c r="J677" s="65"/>
      <c r="K677" s="87"/>
      <c r="L677" s="88"/>
    </row>
    <row r="678" spans="6:12" ht="12.5">
      <c r="F678" s="86"/>
      <c r="G678" s="86"/>
      <c r="H678" s="86"/>
      <c r="I678" s="65"/>
      <c r="J678" s="65"/>
      <c r="K678" s="87"/>
      <c r="L678" s="88"/>
    </row>
    <row r="679" spans="6:12" ht="12.5">
      <c r="F679" s="86"/>
      <c r="G679" s="86"/>
      <c r="H679" s="86"/>
      <c r="I679" s="65"/>
      <c r="J679" s="65"/>
      <c r="K679" s="87"/>
      <c r="L679" s="88"/>
    </row>
    <row r="680" spans="6:12" ht="12.5">
      <c r="F680" s="86"/>
      <c r="G680" s="86"/>
      <c r="H680" s="86"/>
      <c r="I680" s="65"/>
      <c r="J680" s="65"/>
      <c r="K680" s="87"/>
      <c r="L680" s="88"/>
    </row>
    <row r="681" spans="6:12" ht="12.5">
      <c r="F681" s="86"/>
      <c r="G681" s="86"/>
      <c r="H681" s="86"/>
      <c r="I681" s="65"/>
      <c r="J681" s="65"/>
      <c r="K681" s="87"/>
      <c r="L681" s="88"/>
    </row>
    <row r="682" spans="6:12" ht="12.5">
      <c r="F682" s="86"/>
      <c r="G682" s="86"/>
      <c r="H682" s="86"/>
      <c r="I682" s="65"/>
      <c r="J682" s="65"/>
      <c r="K682" s="87"/>
      <c r="L682" s="88"/>
    </row>
    <row r="683" spans="6:12" ht="12.5">
      <c r="F683" s="86"/>
      <c r="G683" s="86"/>
      <c r="H683" s="86"/>
      <c r="I683" s="65"/>
      <c r="J683" s="65"/>
      <c r="K683" s="87"/>
      <c r="L683" s="88"/>
    </row>
    <row r="684" spans="6:12" ht="12.5">
      <c r="F684" s="86"/>
      <c r="G684" s="86"/>
      <c r="H684" s="86"/>
      <c r="I684" s="65"/>
      <c r="J684" s="65"/>
      <c r="K684" s="87"/>
      <c r="L684" s="88"/>
    </row>
    <row r="685" spans="6:12" ht="12.5">
      <c r="F685" s="86"/>
      <c r="G685" s="86"/>
      <c r="H685" s="86"/>
      <c r="I685" s="65"/>
      <c r="J685" s="65"/>
      <c r="K685" s="87"/>
      <c r="L685" s="88"/>
    </row>
    <row r="686" spans="6:12" ht="12.5">
      <c r="F686" s="86"/>
      <c r="G686" s="86"/>
      <c r="H686" s="86"/>
      <c r="I686" s="65"/>
      <c r="J686" s="65"/>
      <c r="K686" s="87"/>
      <c r="L686" s="88"/>
    </row>
    <row r="687" spans="6:12" ht="12.5">
      <c r="F687" s="86"/>
      <c r="G687" s="86"/>
      <c r="H687" s="86"/>
      <c r="I687" s="65"/>
      <c r="J687" s="65"/>
      <c r="K687" s="87"/>
      <c r="L687" s="88"/>
    </row>
    <row r="688" spans="6:12" ht="12.5">
      <c r="F688" s="86"/>
      <c r="G688" s="86"/>
      <c r="H688" s="86"/>
      <c r="I688" s="65"/>
      <c r="J688" s="65"/>
      <c r="K688" s="87"/>
      <c r="L688" s="88"/>
    </row>
    <row r="689" spans="6:12" ht="12.5">
      <c r="F689" s="86"/>
      <c r="G689" s="86"/>
      <c r="H689" s="86"/>
      <c r="I689" s="65"/>
      <c r="J689" s="65"/>
      <c r="K689" s="87"/>
      <c r="L689" s="88"/>
    </row>
    <row r="690" spans="6:12" ht="12.5">
      <c r="F690" s="86"/>
      <c r="G690" s="86"/>
      <c r="H690" s="86"/>
      <c r="I690" s="65"/>
      <c r="J690" s="65"/>
      <c r="K690" s="87"/>
      <c r="L690" s="88"/>
    </row>
    <row r="691" spans="6:12" ht="12.5">
      <c r="F691" s="86"/>
      <c r="G691" s="86"/>
      <c r="H691" s="86"/>
      <c r="I691" s="65"/>
      <c r="J691" s="65"/>
      <c r="K691" s="87"/>
      <c r="L691" s="88"/>
    </row>
    <row r="692" spans="6:12" ht="12.5">
      <c r="F692" s="86"/>
      <c r="G692" s="86"/>
      <c r="H692" s="86"/>
      <c r="I692" s="65"/>
      <c r="J692" s="65"/>
      <c r="K692" s="87"/>
      <c r="L692" s="88"/>
    </row>
    <row r="693" spans="6:12" ht="12.5">
      <c r="F693" s="86"/>
      <c r="G693" s="86"/>
      <c r="H693" s="86"/>
      <c r="I693" s="65"/>
      <c r="J693" s="65"/>
      <c r="K693" s="87"/>
      <c r="L693" s="88"/>
    </row>
    <row r="694" spans="6:12" ht="12.5">
      <c r="F694" s="86"/>
      <c r="G694" s="86"/>
      <c r="H694" s="86"/>
      <c r="I694" s="65"/>
      <c r="J694" s="65"/>
      <c r="K694" s="87"/>
      <c r="L694" s="88"/>
    </row>
    <row r="695" spans="6:12" ht="12.5">
      <c r="F695" s="86"/>
      <c r="G695" s="86"/>
      <c r="H695" s="86"/>
      <c r="I695" s="65"/>
      <c r="J695" s="65"/>
      <c r="K695" s="87"/>
      <c r="L695" s="88"/>
    </row>
    <row r="696" spans="6:12" ht="12.5">
      <c r="F696" s="86"/>
      <c r="G696" s="86"/>
      <c r="H696" s="86"/>
      <c r="I696" s="65"/>
      <c r="J696" s="65"/>
      <c r="K696" s="87"/>
      <c r="L696" s="88"/>
    </row>
    <row r="697" spans="6:12" ht="12.5">
      <c r="F697" s="86"/>
      <c r="G697" s="86"/>
      <c r="H697" s="86"/>
      <c r="I697" s="65"/>
      <c r="J697" s="65"/>
      <c r="K697" s="87"/>
      <c r="L697" s="88"/>
    </row>
    <row r="698" spans="6:12" ht="12.5">
      <c r="F698" s="86"/>
      <c r="G698" s="86"/>
      <c r="H698" s="86"/>
      <c r="I698" s="65"/>
      <c r="J698" s="65"/>
      <c r="K698" s="87"/>
      <c r="L698" s="88"/>
    </row>
    <row r="699" spans="6:12" ht="12.5">
      <c r="F699" s="86"/>
      <c r="G699" s="86"/>
      <c r="H699" s="86"/>
      <c r="I699" s="65"/>
      <c r="J699" s="65"/>
      <c r="K699" s="87"/>
      <c r="L699" s="88"/>
    </row>
    <row r="700" spans="6:12" ht="12.5">
      <c r="F700" s="86"/>
      <c r="G700" s="86"/>
      <c r="H700" s="86"/>
      <c r="I700" s="65"/>
      <c r="J700" s="65"/>
      <c r="K700" s="87"/>
      <c r="L700" s="88"/>
    </row>
    <row r="701" spans="6:12" ht="12.5">
      <c r="F701" s="86"/>
      <c r="G701" s="86"/>
      <c r="H701" s="86"/>
      <c r="I701" s="65"/>
      <c r="J701" s="65"/>
      <c r="K701" s="87"/>
      <c r="L701" s="88"/>
    </row>
    <row r="702" spans="6:12" ht="12.5">
      <c r="F702" s="86"/>
      <c r="G702" s="86"/>
      <c r="H702" s="86"/>
      <c r="I702" s="65"/>
      <c r="J702" s="65"/>
      <c r="K702" s="87"/>
      <c r="L702" s="88"/>
    </row>
    <row r="703" spans="6:12" ht="12.5">
      <c r="F703" s="86"/>
      <c r="G703" s="86"/>
      <c r="H703" s="86"/>
      <c r="I703" s="65"/>
      <c r="J703" s="65"/>
      <c r="K703" s="87"/>
      <c r="L703" s="88"/>
    </row>
    <row r="704" spans="6:12" ht="12.5">
      <c r="F704" s="86"/>
      <c r="G704" s="86"/>
      <c r="H704" s="86"/>
      <c r="I704" s="65"/>
      <c r="J704" s="65"/>
      <c r="K704" s="87"/>
      <c r="L704" s="88"/>
    </row>
    <row r="705" spans="6:12" ht="12.5">
      <c r="F705" s="86"/>
      <c r="G705" s="86"/>
      <c r="H705" s="86"/>
      <c r="I705" s="65"/>
      <c r="J705" s="65"/>
      <c r="K705" s="87"/>
      <c r="L705" s="88"/>
    </row>
    <row r="706" spans="6:12" ht="12.5">
      <c r="F706" s="86"/>
      <c r="G706" s="86"/>
      <c r="H706" s="86"/>
      <c r="I706" s="65"/>
      <c r="J706" s="65"/>
      <c r="K706" s="87"/>
      <c r="L706" s="88"/>
    </row>
    <row r="707" spans="6:12" ht="12.5">
      <c r="F707" s="86"/>
      <c r="G707" s="86"/>
      <c r="H707" s="86"/>
      <c r="I707" s="65"/>
      <c r="J707" s="65"/>
      <c r="K707" s="87"/>
      <c r="L707" s="88"/>
    </row>
    <row r="708" spans="6:12" ht="12.5">
      <c r="F708" s="86"/>
      <c r="G708" s="86"/>
      <c r="H708" s="86"/>
      <c r="I708" s="65"/>
      <c r="J708" s="65"/>
      <c r="K708" s="87"/>
      <c r="L708" s="88"/>
    </row>
    <row r="709" spans="6:12" ht="12.5">
      <c r="F709" s="86"/>
      <c r="G709" s="86"/>
      <c r="H709" s="86"/>
      <c r="I709" s="65"/>
      <c r="J709" s="65"/>
      <c r="K709" s="87"/>
      <c r="L709" s="88"/>
    </row>
    <row r="710" spans="6:12" ht="12.5">
      <c r="F710" s="86"/>
      <c r="G710" s="86"/>
      <c r="H710" s="86"/>
      <c r="I710" s="65"/>
      <c r="J710" s="65"/>
      <c r="K710" s="87"/>
      <c r="L710" s="88"/>
    </row>
    <row r="711" spans="6:12" ht="12.5">
      <c r="F711" s="86"/>
      <c r="G711" s="86"/>
      <c r="H711" s="86"/>
      <c r="I711" s="65"/>
      <c r="J711" s="65"/>
      <c r="K711" s="87"/>
      <c r="L711" s="88"/>
    </row>
    <row r="712" spans="6:12" ht="12.5">
      <c r="F712" s="86"/>
      <c r="G712" s="86"/>
      <c r="H712" s="86"/>
      <c r="I712" s="65"/>
      <c r="J712" s="65"/>
      <c r="K712" s="87"/>
      <c r="L712" s="88"/>
    </row>
    <row r="713" spans="6:12" ht="12.5">
      <c r="F713" s="86"/>
      <c r="G713" s="86"/>
      <c r="H713" s="86"/>
      <c r="I713" s="65"/>
      <c r="J713" s="65"/>
      <c r="K713" s="87"/>
      <c r="L713" s="88"/>
    </row>
    <row r="714" spans="6:12" ht="12.5">
      <c r="F714" s="86"/>
      <c r="G714" s="86"/>
      <c r="H714" s="86"/>
      <c r="I714" s="65"/>
      <c r="J714" s="65"/>
      <c r="K714" s="87"/>
      <c r="L714" s="88"/>
    </row>
    <row r="715" spans="6:12" ht="12.5">
      <c r="F715" s="86"/>
      <c r="G715" s="86"/>
      <c r="H715" s="86"/>
      <c r="I715" s="65"/>
      <c r="J715" s="65"/>
      <c r="K715" s="87"/>
      <c r="L715" s="88"/>
    </row>
    <row r="716" spans="6:12" ht="12.5">
      <c r="F716" s="86"/>
      <c r="G716" s="86"/>
      <c r="H716" s="86"/>
      <c r="I716" s="65"/>
      <c r="J716" s="65"/>
      <c r="K716" s="87"/>
      <c r="L716" s="88"/>
    </row>
    <row r="717" spans="6:12" ht="12.5">
      <c r="F717" s="86"/>
      <c r="G717" s="86"/>
      <c r="H717" s="86"/>
      <c r="I717" s="65"/>
      <c r="J717" s="65"/>
      <c r="K717" s="87"/>
      <c r="L717" s="88"/>
    </row>
    <row r="718" spans="6:12" ht="12.5">
      <c r="F718" s="86"/>
      <c r="G718" s="86"/>
      <c r="H718" s="86"/>
      <c r="I718" s="65"/>
      <c r="J718" s="65"/>
      <c r="K718" s="87"/>
      <c r="L718" s="88"/>
    </row>
    <row r="719" spans="6:12" ht="12.5">
      <c r="F719" s="86"/>
      <c r="G719" s="86"/>
      <c r="H719" s="86"/>
      <c r="I719" s="65"/>
      <c r="J719" s="65"/>
      <c r="K719" s="87"/>
      <c r="L719" s="88"/>
    </row>
    <row r="720" spans="6:12" ht="12.5">
      <c r="F720" s="86"/>
      <c r="G720" s="86"/>
      <c r="H720" s="86"/>
      <c r="I720" s="65"/>
      <c r="J720" s="65"/>
      <c r="K720" s="87"/>
      <c r="L720" s="88"/>
    </row>
    <row r="721" spans="6:12" ht="12.5">
      <c r="F721" s="86"/>
      <c r="G721" s="86"/>
      <c r="H721" s="86"/>
      <c r="I721" s="65"/>
      <c r="J721" s="65"/>
      <c r="K721" s="87"/>
      <c r="L721" s="88"/>
    </row>
    <row r="722" spans="6:12" ht="12.5">
      <c r="F722" s="86"/>
      <c r="G722" s="86"/>
      <c r="H722" s="86"/>
      <c r="I722" s="65"/>
      <c r="J722" s="65"/>
      <c r="K722" s="87"/>
      <c r="L722" s="88"/>
    </row>
    <row r="723" spans="6:12" ht="12.5">
      <c r="F723" s="86"/>
      <c r="G723" s="86"/>
      <c r="H723" s="86"/>
      <c r="I723" s="65"/>
      <c r="J723" s="65"/>
      <c r="K723" s="87"/>
      <c r="L723" s="88"/>
    </row>
    <row r="724" spans="6:12" ht="12.5">
      <c r="F724" s="86"/>
      <c r="G724" s="86"/>
      <c r="H724" s="86"/>
      <c r="I724" s="65"/>
      <c r="J724" s="65"/>
      <c r="K724" s="87"/>
      <c r="L724" s="88"/>
    </row>
    <row r="725" spans="6:12" ht="12.5">
      <c r="F725" s="86"/>
      <c r="G725" s="86"/>
      <c r="H725" s="86"/>
      <c r="I725" s="65"/>
      <c r="J725" s="65"/>
      <c r="K725" s="87"/>
      <c r="L725" s="88"/>
    </row>
    <row r="726" spans="6:12" ht="12.5">
      <c r="F726" s="86"/>
      <c r="G726" s="86"/>
      <c r="H726" s="86"/>
      <c r="I726" s="65"/>
      <c r="J726" s="65"/>
      <c r="K726" s="87"/>
      <c r="L726" s="88"/>
    </row>
    <row r="727" spans="6:12" ht="12.5">
      <c r="F727" s="86"/>
      <c r="G727" s="86"/>
      <c r="H727" s="86"/>
      <c r="I727" s="65"/>
      <c r="J727" s="65"/>
      <c r="K727" s="87"/>
      <c r="L727" s="88"/>
    </row>
    <row r="728" spans="6:12" ht="12.5">
      <c r="F728" s="86"/>
      <c r="G728" s="86"/>
      <c r="H728" s="86"/>
      <c r="I728" s="65"/>
      <c r="J728" s="65"/>
      <c r="K728" s="87"/>
      <c r="L728" s="88"/>
    </row>
    <row r="729" spans="6:12" ht="12.5">
      <c r="F729" s="86"/>
      <c r="G729" s="86"/>
      <c r="H729" s="86"/>
      <c r="I729" s="65"/>
      <c r="J729" s="65"/>
      <c r="K729" s="87"/>
      <c r="L729" s="88"/>
    </row>
    <row r="730" spans="6:12" ht="12.5">
      <c r="F730" s="86"/>
      <c r="G730" s="86"/>
      <c r="H730" s="86"/>
      <c r="I730" s="65"/>
      <c r="J730" s="65"/>
      <c r="K730" s="87"/>
      <c r="L730" s="88"/>
    </row>
    <row r="731" spans="6:12" ht="12.5">
      <c r="F731" s="86"/>
      <c r="G731" s="86"/>
      <c r="H731" s="86"/>
      <c r="I731" s="65"/>
      <c r="J731" s="65"/>
      <c r="K731" s="87"/>
      <c r="L731" s="88"/>
    </row>
    <row r="732" spans="6:12" ht="12.5">
      <c r="F732" s="86"/>
      <c r="G732" s="86"/>
      <c r="H732" s="86"/>
      <c r="I732" s="65"/>
      <c r="J732" s="65"/>
      <c r="K732" s="87"/>
      <c r="L732" s="88"/>
    </row>
    <row r="733" spans="6:12" ht="12.5">
      <c r="F733" s="86"/>
      <c r="G733" s="86"/>
      <c r="H733" s="86"/>
      <c r="I733" s="65"/>
      <c r="J733" s="65"/>
      <c r="K733" s="87"/>
      <c r="L733" s="88"/>
    </row>
    <row r="734" spans="6:12" ht="12.5">
      <c r="F734" s="86"/>
      <c r="G734" s="86"/>
      <c r="H734" s="86"/>
      <c r="I734" s="65"/>
      <c r="J734" s="65"/>
      <c r="K734" s="87"/>
      <c r="L734" s="88"/>
    </row>
    <row r="735" spans="6:12" ht="12.5">
      <c r="F735" s="86"/>
      <c r="G735" s="86"/>
      <c r="H735" s="86"/>
      <c r="I735" s="65"/>
      <c r="J735" s="65"/>
      <c r="K735" s="87"/>
      <c r="L735" s="88"/>
    </row>
    <row r="736" spans="6:12" ht="12.5">
      <c r="F736" s="86"/>
      <c r="G736" s="86"/>
      <c r="H736" s="86"/>
      <c r="I736" s="65"/>
      <c r="J736" s="65"/>
      <c r="K736" s="87"/>
      <c r="L736" s="88"/>
    </row>
    <row r="737" spans="6:12" ht="12.5">
      <c r="F737" s="86"/>
      <c r="G737" s="86"/>
      <c r="H737" s="86"/>
      <c r="I737" s="65"/>
      <c r="J737" s="65"/>
      <c r="K737" s="87"/>
      <c r="L737" s="88"/>
    </row>
    <row r="738" spans="6:12" ht="12.5">
      <c r="F738" s="86"/>
      <c r="G738" s="86"/>
      <c r="H738" s="86"/>
      <c r="I738" s="65"/>
      <c r="J738" s="65"/>
      <c r="K738" s="87"/>
      <c r="L738" s="88"/>
    </row>
    <row r="739" spans="6:12" ht="12.5">
      <c r="F739" s="86"/>
      <c r="G739" s="86"/>
      <c r="H739" s="86"/>
      <c r="I739" s="65"/>
      <c r="J739" s="65"/>
      <c r="K739" s="87"/>
      <c r="L739" s="88"/>
    </row>
    <row r="740" spans="6:12" ht="12.5">
      <c r="F740" s="86"/>
      <c r="G740" s="86"/>
      <c r="H740" s="86"/>
      <c r="I740" s="65"/>
      <c r="J740" s="65"/>
      <c r="K740" s="87"/>
      <c r="L740" s="88"/>
    </row>
    <row r="741" spans="6:12" ht="12.5">
      <c r="F741" s="86"/>
      <c r="G741" s="86"/>
      <c r="H741" s="86"/>
      <c r="I741" s="65"/>
      <c r="J741" s="65"/>
      <c r="K741" s="87"/>
      <c r="L741" s="88"/>
    </row>
    <row r="742" spans="6:12" ht="12.5">
      <c r="F742" s="86"/>
      <c r="G742" s="86"/>
      <c r="H742" s="86"/>
      <c r="I742" s="65"/>
      <c r="J742" s="65"/>
      <c r="K742" s="87"/>
      <c r="L742" s="88"/>
    </row>
    <row r="743" spans="6:12" ht="12.5">
      <c r="F743" s="86"/>
      <c r="G743" s="86"/>
      <c r="H743" s="86"/>
      <c r="I743" s="65"/>
      <c r="J743" s="65"/>
      <c r="K743" s="87"/>
      <c r="L743" s="88"/>
    </row>
    <row r="744" spans="6:12" ht="12.5">
      <c r="F744" s="86"/>
      <c r="G744" s="86"/>
      <c r="H744" s="86"/>
      <c r="I744" s="65"/>
      <c r="J744" s="65"/>
      <c r="K744" s="87"/>
      <c r="L744" s="88"/>
    </row>
    <row r="745" spans="6:12" ht="12.5">
      <c r="F745" s="86"/>
      <c r="G745" s="86"/>
      <c r="H745" s="86"/>
      <c r="I745" s="65"/>
      <c r="J745" s="65"/>
      <c r="K745" s="87"/>
      <c r="L745" s="88"/>
    </row>
    <row r="746" spans="6:12" ht="12.5">
      <c r="F746" s="86"/>
      <c r="G746" s="86"/>
      <c r="H746" s="86"/>
      <c r="I746" s="65"/>
      <c r="J746" s="65"/>
      <c r="K746" s="87"/>
      <c r="L746" s="88"/>
    </row>
    <row r="747" spans="6:12" ht="12.5">
      <c r="F747" s="86"/>
      <c r="G747" s="86"/>
      <c r="H747" s="86"/>
      <c r="I747" s="65"/>
      <c r="J747" s="65"/>
      <c r="K747" s="87"/>
      <c r="L747" s="88"/>
    </row>
    <row r="748" spans="6:12" ht="12.5">
      <c r="F748" s="86"/>
      <c r="G748" s="86"/>
      <c r="H748" s="86"/>
      <c r="I748" s="65"/>
      <c r="J748" s="65"/>
      <c r="K748" s="87"/>
      <c r="L748" s="88"/>
    </row>
    <row r="749" spans="6:12" ht="12.5">
      <c r="F749" s="86"/>
      <c r="G749" s="86"/>
      <c r="H749" s="86"/>
      <c r="I749" s="65"/>
      <c r="J749" s="65"/>
      <c r="K749" s="87"/>
      <c r="L749" s="88"/>
    </row>
    <row r="750" spans="6:12" ht="12.5">
      <c r="F750" s="86"/>
      <c r="G750" s="86"/>
      <c r="H750" s="86"/>
      <c r="I750" s="65"/>
      <c r="J750" s="65"/>
      <c r="K750" s="87"/>
      <c r="L750" s="88"/>
    </row>
    <row r="751" spans="6:12" ht="12.5">
      <c r="F751" s="86"/>
      <c r="G751" s="86"/>
      <c r="H751" s="86"/>
      <c r="I751" s="65"/>
      <c r="J751" s="65"/>
      <c r="K751" s="87"/>
      <c r="L751" s="88"/>
    </row>
    <row r="752" spans="6:12" ht="12.5">
      <c r="F752" s="86"/>
      <c r="G752" s="86"/>
      <c r="H752" s="86"/>
      <c r="I752" s="65"/>
      <c r="J752" s="65"/>
      <c r="K752" s="87"/>
      <c r="L752" s="88"/>
    </row>
    <row r="753" spans="6:12" ht="12.5">
      <c r="F753" s="86"/>
      <c r="G753" s="86"/>
      <c r="H753" s="86"/>
      <c r="I753" s="65"/>
      <c r="J753" s="65"/>
      <c r="K753" s="87"/>
      <c r="L753" s="88"/>
    </row>
    <row r="754" spans="6:12" ht="12.5">
      <c r="F754" s="86"/>
      <c r="G754" s="86"/>
      <c r="H754" s="86"/>
      <c r="I754" s="65"/>
      <c r="J754" s="65"/>
      <c r="K754" s="87"/>
      <c r="L754" s="88"/>
    </row>
    <row r="755" spans="6:12" ht="12.5">
      <c r="F755" s="86"/>
      <c r="G755" s="86"/>
      <c r="H755" s="86"/>
      <c r="I755" s="65"/>
      <c r="J755" s="65"/>
      <c r="K755" s="87"/>
      <c r="L755" s="88"/>
    </row>
    <row r="756" spans="6:12" ht="12.5">
      <c r="F756" s="86"/>
      <c r="G756" s="86"/>
      <c r="H756" s="86"/>
      <c r="I756" s="65"/>
      <c r="J756" s="65"/>
      <c r="K756" s="87"/>
      <c r="L756" s="88"/>
    </row>
    <row r="757" spans="6:12" ht="12.5">
      <c r="F757" s="86"/>
      <c r="G757" s="86"/>
      <c r="H757" s="86"/>
      <c r="I757" s="65"/>
      <c r="J757" s="65"/>
      <c r="K757" s="87"/>
      <c r="L757" s="88"/>
    </row>
    <row r="758" spans="6:12" ht="12.5">
      <c r="F758" s="86"/>
      <c r="G758" s="86"/>
      <c r="H758" s="86"/>
      <c r="I758" s="65"/>
      <c r="J758" s="65"/>
      <c r="K758" s="87"/>
      <c r="L758" s="88"/>
    </row>
    <row r="759" spans="6:12" ht="12.5">
      <c r="F759" s="86"/>
      <c r="G759" s="86"/>
      <c r="H759" s="86"/>
      <c r="I759" s="65"/>
      <c r="J759" s="65"/>
      <c r="K759" s="87"/>
      <c r="L759" s="88"/>
    </row>
    <row r="760" spans="6:12" ht="12.5">
      <c r="F760" s="86"/>
      <c r="G760" s="86"/>
      <c r="H760" s="86"/>
      <c r="I760" s="65"/>
      <c r="J760" s="65"/>
      <c r="K760" s="87"/>
      <c r="L760" s="88"/>
    </row>
    <row r="761" spans="6:12" ht="12.5">
      <c r="F761" s="86"/>
      <c r="G761" s="86"/>
      <c r="H761" s="86"/>
      <c r="I761" s="65"/>
      <c r="J761" s="65"/>
      <c r="K761" s="87"/>
      <c r="L761" s="88"/>
    </row>
    <row r="762" spans="6:12" ht="12.5">
      <c r="F762" s="86"/>
      <c r="G762" s="86"/>
      <c r="H762" s="86"/>
      <c r="I762" s="65"/>
      <c r="J762" s="65"/>
      <c r="K762" s="87"/>
      <c r="L762" s="88"/>
    </row>
    <row r="763" spans="6:12" ht="12.5">
      <c r="F763" s="86"/>
      <c r="G763" s="86"/>
      <c r="H763" s="86"/>
      <c r="I763" s="65"/>
      <c r="J763" s="65"/>
      <c r="K763" s="87"/>
      <c r="L763" s="88"/>
    </row>
    <row r="764" spans="6:12" ht="12.5">
      <c r="F764" s="86"/>
      <c r="G764" s="86"/>
      <c r="H764" s="86"/>
      <c r="I764" s="65"/>
      <c r="J764" s="65"/>
      <c r="K764" s="87"/>
      <c r="L764" s="88"/>
    </row>
    <row r="765" spans="6:12" ht="12.5">
      <c r="F765" s="86"/>
      <c r="G765" s="86"/>
      <c r="H765" s="86"/>
      <c r="I765" s="65"/>
      <c r="J765" s="65"/>
      <c r="K765" s="87"/>
      <c r="L765" s="88"/>
    </row>
    <row r="766" spans="6:12" ht="12.5">
      <c r="F766" s="86"/>
      <c r="G766" s="86"/>
      <c r="H766" s="86"/>
      <c r="I766" s="65"/>
      <c r="J766" s="65"/>
      <c r="K766" s="87"/>
      <c r="L766" s="88"/>
    </row>
    <row r="767" spans="6:12" ht="12.5">
      <c r="F767" s="86"/>
      <c r="G767" s="86"/>
      <c r="H767" s="86"/>
      <c r="I767" s="65"/>
      <c r="J767" s="65"/>
      <c r="K767" s="87"/>
      <c r="L767" s="88"/>
    </row>
    <row r="768" spans="6:12" ht="12.5">
      <c r="F768" s="86"/>
      <c r="G768" s="86"/>
      <c r="H768" s="86"/>
      <c r="I768" s="65"/>
      <c r="J768" s="65"/>
      <c r="K768" s="87"/>
      <c r="L768" s="88"/>
    </row>
    <row r="769" spans="6:12" ht="12.5">
      <c r="F769" s="86"/>
      <c r="G769" s="86"/>
      <c r="H769" s="86"/>
      <c r="I769" s="65"/>
      <c r="J769" s="65"/>
      <c r="K769" s="87"/>
      <c r="L769" s="88"/>
    </row>
    <row r="770" spans="6:12" ht="12.5">
      <c r="F770" s="86"/>
      <c r="G770" s="86"/>
      <c r="H770" s="86"/>
      <c r="I770" s="65"/>
      <c r="J770" s="65"/>
      <c r="K770" s="87"/>
      <c r="L770" s="88"/>
    </row>
    <row r="771" spans="6:12" ht="12.5">
      <c r="F771" s="86"/>
      <c r="G771" s="86"/>
      <c r="H771" s="86"/>
      <c r="I771" s="65"/>
      <c r="J771" s="65"/>
      <c r="K771" s="87"/>
      <c r="L771" s="88"/>
    </row>
    <row r="772" spans="6:12" ht="12.5">
      <c r="F772" s="86"/>
      <c r="G772" s="86"/>
      <c r="H772" s="86"/>
      <c r="I772" s="65"/>
      <c r="J772" s="65"/>
      <c r="K772" s="87"/>
      <c r="L772" s="88"/>
    </row>
    <row r="773" spans="6:12" ht="12.5">
      <c r="F773" s="86"/>
      <c r="G773" s="86"/>
      <c r="H773" s="86"/>
      <c r="I773" s="65"/>
      <c r="J773" s="65"/>
      <c r="K773" s="87"/>
      <c r="L773" s="88"/>
    </row>
    <row r="774" spans="6:12" ht="12.5">
      <c r="F774" s="86"/>
      <c r="G774" s="86"/>
      <c r="H774" s="86"/>
      <c r="I774" s="65"/>
      <c r="J774" s="65"/>
      <c r="K774" s="87"/>
      <c r="L774" s="88"/>
    </row>
    <row r="775" spans="6:12" ht="12.5">
      <c r="F775" s="86"/>
      <c r="G775" s="86"/>
      <c r="H775" s="86"/>
      <c r="I775" s="65"/>
      <c r="J775" s="65"/>
      <c r="K775" s="87"/>
      <c r="L775" s="88"/>
    </row>
    <row r="776" spans="6:12" ht="12.5">
      <c r="F776" s="86"/>
      <c r="G776" s="86"/>
      <c r="H776" s="86"/>
      <c r="I776" s="65"/>
      <c r="J776" s="65"/>
      <c r="K776" s="87"/>
      <c r="L776" s="88"/>
    </row>
    <row r="777" spans="6:12" ht="12.5">
      <c r="F777" s="86"/>
      <c r="G777" s="86"/>
      <c r="H777" s="86"/>
      <c r="I777" s="65"/>
      <c r="J777" s="65"/>
      <c r="K777" s="87"/>
      <c r="L777" s="88"/>
    </row>
    <row r="778" spans="6:12" ht="12.5">
      <c r="F778" s="86"/>
      <c r="G778" s="86"/>
      <c r="H778" s="86"/>
      <c r="I778" s="65"/>
      <c r="J778" s="65"/>
      <c r="K778" s="87"/>
      <c r="L778" s="88"/>
    </row>
    <row r="779" spans="6:12" ht="12.5">
      <c r="F779" s="86"/>
      <c r="G779" s="86"/>
      <c r="H779" s="86"/>
      <c r="I779" s="65"/>
      <c r="J779" s="65"/>
      <c r="K779" s="87"/>
      <c r="L779" s="88"/>
    </row>
    <row r="780" spans="6:12" ht="12.5">
      <c r="F780" s="86"/>
      <c r="G780" s="86"/>
      <c r="H780" s="86"/>
      <c r="I780" s="65"/>
      <c r="J780" s="65"/>
      <c r="K780" s="87"/>
      <c r="L780" s="88"/>
    </row>
    <row r="781" spans="6:12" ht="12.5">
      <c r="F781" s="86"/>
      <c r="G781" s="86"/>
      <c r="H781" s="86"/>
      <c r="I781" s="65"/>
      <c r="J781" s="65"/>
      <c r="K781" s="87"/>
      <c r="L781" s="88"/>
    </row>
    <row r="782" spans="6:12" ht="12.5">
      <c r="F782" s="86"/>
      <c r="G782" s="86"/>
      <c r="H782" s="86"/>
      <c r="I782" s="65"/>
      <c r="J782" s="65"/>
      <c r="K782" s="87"/>
      <c r="L782" s="88"/>
    </row>
    <row r="783" spans="6:12" ht="12.5">
      <c r="F783" s="86"/>
      <c r="G783" s="86"/>
      <c r="H783" s="86"/>
      <c r="I783" s="65"/>
      <c r="J783" s="65"/>
      <c r="K783" s="87"/>
      <c r="L783" s="88"/>
    </row>
    <row r="784" spans="6:12" ht="12.5">
      <c r="F784" s="86"/>
      <c r="G784" s="86"/>
      <c r="H784" s="86"/>
      <c r="I784" s="65"/>
      <c r="J784" s="65"/>
      <c r="K784" s="87"/>
      <c r="L784" s="88"/>
    </row>
    <row r="785" spans="6:12" ht="12.5">
      <c r="F785" s="86"/>
      <c r="G785" s="86"/>
      <c r="H785" s="86"/>
      <c r="I785" s="65"/>
      <c r="J785" s="65"/>
      <c r="K785" s="87"/>
      <c r="L785" s="88"/>
    </row>
    <row r="786" spans="6:12" ht="12.5">
      <c r="F786" s="86"/>
      <c r="G786" s="86"/>
      <c r="H786" s="86"/>
      <c r="I786" s="65"/>
      <c r="J786" s="65"/>
      <c r="K786" s="87"/>
      <c r="L786" s="88"/>
    </row>
    <row r="787" spans="6:12" ht="12.5">
      <c r="F787" s="86"/>
      <c r="G787" s="86"/>
      <c r="H787" s="86"/>
      <c r="I787" s="65"/>
      <c r="J787" s="65"/>
      <c r="K787" s="87"/>
      <c r="L787" s="88"/>
    </row>
    <row r="788" spans="6:12" ht="12.5">
      <c r="F788" s="86"/>
      <c r="G788" s="86"/>
      <c r="H788" s="86"/>
      <c r="I788" s="65"/>
      <c r="J788" s="65"/>
      <c r="K788" s="87"/>
      <c r="L788" s="88"/>
    </row>
    <row r="789" spans="6:12" ht="12.5">
      <c r="F789" s="86"/>
      <c r="G789" s="86"/>
      <c r="H789" s="86"/>
      <c r="I789" s="65"/>
      <c r="J789" s="65"/>
      <c r="K789" s="87"/>
      <c r="L789" s="88"/>
    </row>
    <row r="790" spans="6:12" ht="12.5">
      <c r="F790" s="86"/>
      <c r="G790" s="86"/>
      <c r="H790" s="86"/>
      <c r="I790" s="65"/>
      <c r="J790" s="65"/>
      <c r="K790" s="87"/>
      <c r="L790" s="88"/>
    </row>
    <row r="791" spans="6:12" ht="12.5">
      <c r="F791" s="86"/>
      <c r="G791" s="86"/>
      <c r="H791" s="86"/>
      <c r="I791" s="65"/>
      <c r="J791" s="65"/>
      <c r="K791" s="87"/>
      <c r="L791" s="88"/>
    </row>
    <row r="792" spans="6:12" ht="12.5">
      <c r="F792" s="86"/>
      <c r="G792" s="86"/>
      <c r="H792" s="86"/>
      <c r="I792" s="65"/>
      <c r="J792" s="65"/>
      <c r="K792" s="87"/>
      <c r="L792" s="88"/>
    </row>
    <row r="793" spans="6:12" ht="12.5">
      <c r="F793" s="86"/>
      <c r="G793" s="86"/>
      <c r="H793" s="86"/>
      <c r="I793" s="65"/>
      <c r="J793" s="65"/>
      <c r="K793" s="87"/>
      <c r="L793" s="88"/>
    </row>
    <row r="794" spans="6:12" ht="12.5">
      <c r="F794" s="86"/>
      <c r="G794" s="86"/>
      <c r="H794" s="86"/>
      <c r="I794" s="65"/>
      <c r="J794" s="65"/>
      <c r="K794" s="87"/>
      <c r="L794" s="88"/>
    </row>
    <row r="795" spans="6:12" ht="12.5">
      <c r="F795" s="86"/>
      <c r="G795" s="86"/>
      <c r="H795" s="86"/>
      <c r="I795" s="65"/>
      <c r="J795" s="65"/>
      <c r="K795" s="87"/>
      <c r="L795" s="88"/>
    </row>
    <row r="796" spans="6:12" ht="12.5">
      <c r="F796" s="86"/>
      <c r="G796" s="86"/>
      <c r="H796" s="86"/>
      <c r="I796" s="65"/>
      <c r="J796" s="65"/>
      <c r="K796" s="87"/>
      <c r="L796" s="88"/>
    </row>
    <row r="797" spans="6:12" ht="12.5">
      <c r="F797" s="86"/>
      <c r="G797" s="86"/>
      <c r="H797" s="86"/>
      <c r="I797" s="65"/>
      <c r="J797" s="65"/>
      <c r="K797" s="87"/>
      <c r="L797" s="88"/>
    </row>
    <row r="798" spans="6:12" ht="12.5">
      <c r="F798" s="86"/>
      <c r="G798" s="86"/>
      <c r="H798" s="86"/>
      <c r="I798" s="65"/>
      <c r="J798" s="65"/>
      <c r="K798" s="87"/>
      <c r="L798" s="88"/>
    </row>
    <row r="799" spans="6:12" ht="12.5">
      <c r="F799" s="86"/>
      <c r="G799" s="86"/>
      <c r="H799" s="86"/>
      <c r="I799" s="65"/>
      <c r="J799" s="65"/>
      <c r="K799" s="87"/>
      <c r="L799" s="88"/>
    </row>
    <row r="800" spans="6:12" ht="12.5">
      <c r="F800" s="86"/>
      <c r="G800" s="86"/>
      <c r="H800" s="86"/>
      <c r="I800" s="65"/>
      <c r="J800" s="65"/>
      <c r="K800" s="87"/>
      <c r="L800" s="88"/>
    </row>
    <row r="801" spans="6:12" ht="12.5">
      <c r="F801" s="86"/>
      <c r="G801" s="86"/>
      <c r="H801" s="86"/>
      <c r="I801" s="65"/>
      <c r="J801" s="65"/>
      <c r="K801" s="87"/>
      <c r="L801" s="88"/>
    </row>
    <row r="802" spans="6:12" ht="12.5">
      <c r="F802" s="86"/>
      <c r="G802" s="86"/>
      <c r="H802" s="86"/>
      <c r="I802" s="65"/>
      <c r="J802" s="65"/>
      <c r="K802" s="87"/>
      <c r="L802" s="88"/>
    </row>
    <row r="803" spans="6:12" ht="12.5">
      <c r="F803" s="86"/>
      <c r="G803" s="86"/>
      <c r="H803" s="86"/>
      <c r="I803" s="65"/>
      <c r="J803" s="65"/>
      <c r="K803" s="87"/>
      <c r="L803" s="88"/>
    </row>
    <row r="804" spans="6:12" ht="12.5">
      <c r="F804" s="86"/>
      <c r="G804" s="86"/>
      <c r="H804" s="86"/>
      <c r="I804" s="65"/>
      <c r="J804" s="65"/>
      <c r="K804" s="87"/>
      <c r="L804" s="88"/>
    </row>
    <row r="805" spans="6:12" ht="12.5">
      <c r="F805" s="86"/>
      <c r="G805" s="86"/>
      <c r="H805" s="86"/>
      <c r="I805" s="65"/>
      <c r="J805" s="65"/>
      <c r="K805" s="87"/>
      <c r="L805" s="88"/>
    </row>
    <row r="806" spans="6:12" ht="12.5">
      <c r="F806" s="86"/>
      <c r="G806" s="86"/>
      <c r="H806" s="86"/>
      <c r="I806" s="65"/>
      <c r="J806" s="65"/>
      <c r="K806" s="87"/>
      <c r="L806" s="88"/>
    </row>
    <row r="807" spans="6:12" ht="12.5">
      <c r="F807" s="86"/>
      <c r="G807" s="86"/>
      <c r="H807" s="86"/>
      <c r="I807" s="65"/>
      <c r="J807" s="65"/>
      <c r="K807" s="87"/>
      <c r="L807" s="88"/>
    </row>
    <row r="808" spans="6:12" ht="12.5">
      <c r="F808" s="86"/>
      <c r="G808" s="86"/>
      <c r="H808" s="86"/>
      <c r="I808" s="65"/>
      <c r="J808" s="65"/>
      <c r="K808" s="87"/>
      <c r="L808" s="88"/>
    </row>
    <row r="809" spans="6:12" ht="12.5">
      <c r="F809" s="86"/>
      <c r="G809" s="86"/>
      <c r="H809" s="86"/>
      <c r="I809" s="65"/>
      <c r="J809" s="65"/>
      <c r="K809" s="87"/>
      <c r="L809" s="88"/>
    </row>
    <row r="810" spans="6:12" ht="12.5">
      <c r="F810" s="86"/>
      <c r="G810" s="86"/>
      <c r="H810" s="86"/>
      <c r="I810" s="65"/>
      <c r="J810" s="65"/>
      <c r="K810" s="87"/>
      <c r="L810" s="88"/>
    </row>
    <row r="811" spans="6:12" ht="12.5">
      <c r="F811" s="86"/>
      <c r="G811" s="86"/>
      <c r="H811" s="86"/>
      <c r="I811" s="65"/>
      <c r="J811" s="65"/>
      <c r="K811" s="87"/>
      <c r="L811" s="88"/>
    </row>
    <row r="812" spans="6:12" ht="12.5">
      <c r="F812" s="86"/>
      <c r="G812" s="86"/>
      <c r="H812" s="86"/>
      <c r="I812" s="65"/>
      <c r="J812" s="65"/>
      <c r="K812" s="87"/>
      <c r="L812" s="88"/>
    </row>
    <row r="813" spans="6:12" ht="12.5">
      <c r="F813" s="86"/>
      <c r="G813" s="86"/>
      <c r="H813" s="86"/>
      <c r="I813" s="65"/>
      <c r="J813" s="65"/>
      <c r="K813" s="87"/>
      <c r="L813" s="88"/>
    </row>
    <row r="814" spans="6:12" ht="12.5">
      <c r="F814" s="86"/>
      <c r="G814" s="86"/>
      <c r="H814" s="86"/>
      <c r="I814" s="65"/>
      <c r="J814" s="65"/>
      <c r="K814" s="87"/>
      <c r="L814" s="88"/>
    </row>
    <row r="815" spans="6:12" ht="12.5">
      <c r="F815" s="86"/>
      <c r="G815" s="86"/>
      <c r="H815" s="86"/>
      <c r="I815" s="65"/>
      <c r="J815" s="65"/>
      <c r="K815" s="87"/>
      <c r="L815" s="88"/>
    </row>
    <row r="816" spans="6:12" ht="12.5">
      <c r="F816" s="86"/>
      <c r="G816" s="86"/>
      <c r="H816" s="86"/>
      <c r="I816" s="65"/>
      <c r="J816" s="65"/>
      <c r="K816" s="87"/>
      <c r="L816" s="88"/>
    </row>
    <row r="817" spans="6:12" ht="12.5">
      <c r="F817" s="86"/>
      <c r="G817" s="86"/>
      <c r="H817" s="86"/>
      <c r="I817" s="65"/>
      <c r="J817" s="65"/>
      <c r="K817" s="87"/>
      <c r="L817" s="88"/>
    </row>
    <row r="818" spans="6:12" ht="12.5">
      <c r="F818" s="86"/>
      <c r="G818" s="86"/>
      <c r="H818" s="86"/>
      <c r="I818" s="65"/>
      <c r="J818" s="65"/>
      <c r="K818" s="87"/>
      <c r="L818" s="88"/>
    </row>
    <row r="819" spans="6:12" ht="12.5">
      <c r="F819" s="86"/>
      <c r="G819" s="86"/>
      <c r="H819" s="86"/>
      <c r="I819" s="65"/>
      <c r="J819" s="65"/>
      <c r="K819" s="87"/>
      <c r="L819" s="88"/>
    </row>
    <row r="820" spans="6:12" ht="12.5">
      <c r="F820" s="86"/>
      <c r="G820" s="86"/>
      <c r="H820" s="86"/>
      <c r="I820" s="65"/>
      <c r="J820" s="65"/>
      <c r="K820" s="87"/>
      <c r="L820" s="88"/>
    </row>
    <row r="821" spans="6:12" ht="12.5">
      <c r="F821" s="86"/>
      <c r="G821" s="86"/>
      <c r="H821" s="86"/>
      <c r="I821" s="65"/>
      <c r="J821" s="65"/>
      <c r="K821" s="87"/>
      <c r="L821" s="88"/>
    </row>
    <row r="822" spans="6:12" ht="12.5">
      <c r="F822" s="86"/>
      <c r="G822" s="86"/>
      <c r="H822" s="86"/>
      <c r="I822" s="65"/>
      <c r="J822" s="65"/>
      <c r="K822" s="87"/>
      <c r="L822" s="88"/>
    </row>
    <row r="823" spans="6:12" ht="12.5">
      <c r="F823" s="86"/>
      <c r="G823" s="86"/>
      <c r="H823" s="86"/>
      <c r="I823" s="65"/>
      <c r="J823" s="65"/>
      <c r="K823" s="87"/>
      <c r="L823" s="88"/>
    </row>
    <row r="824" spans="6:12" ht="12.5">
      <c r="F824" s="86"/>
      <c r="G824" s="86"/>
      <c r="H824" s="86"/>
      <c r="I824" s="65"/>
      <c r="J824" s="65"/>
      <c r="K824" s="87"/>
      <c r="L824" s="88"/>
    </row>
    <row r="825" spans="6:12" ht="12.5">
      <c r="F825" s="86"/>
      <c r="G825" s="86"/>
      <c r="H825" s="86"/>
      <c r="I825" s="65"/>
      <c r="J825" s="65"/>
      <c r="K825" s="87"/>
      <c r="L825" s="88"/>
    </row>
    <row r="826" spans="6:12" ht="12.5">
      <c r="F826" s="86"/>
      <c r="G826" s="86"/>
      <c r="H826" s="86"/>
      <c r="I826" s="65"/>
      <c r="J826" s="65"/>
      <c r="K826" s="87"/>
      <c r="L826" s="88"/>
    </row>
    <row r="827" spans="6:12" ht="12.5">
      <c r="F827" s="86"/>
      <c r="G827" s="86"/>
      <c r="H827" s="86"/>
      <c r="I827" s="65"/>
      <c r="J827" s="65"/>
      <c r="K827" s="87"/>
      <c r="L827" s="88"/>
    </row>
    <row r="828" spans="6:12" ht="12.5">
      <c r="F828" s="86"/>
      <c r="G828" s="86"/>
      <c r="H828" s="86"/>
      <c r="I828" s="65"/>
      <c r="J828" s="65"/>
      <c r="K828" s="87"/>
      <c r="L828" s="88"/>
    </row>
    <row r="829" spans="6:12" ht="12.5">
      <c r="F829" s="86"/>
      <c r="G829" s="86"/>
      <c r="H829" s="86"/>
      <c r="I829" s="65"/>
      <c r="J829" s="65"/>
      <c r="K829" s="87"/>
      <c r="L829" s="88"/>
    </row>
    <row r="830" spans="6:12" ht="12.5">
      <c r="F830" s="86"/>
      <c r="G830" s="86"/>
      <c r="H830" s="86"/>
      <c r="I830" s="65"/>
      <c r="J830" s="65"/>
      <c r="K830" s="87"/>
      <c r="L830" s="88"/>
    </row>
    <row r="831" spans="6:12" ht="12.5">
      <c r="F831" s="86"/>
      <c r="G831" s="86"/>
      <c r="H831" s="86"/>
      <c r="I831" s="65"/>
      <c r="J831" s="65"/>
      <c r="K831" s="87"/>
      <c r="L831" s="88"/>
    </row>
    <row r="832" spans="6:12" ht="12.5">
      <c r="F832" s="86"/>
      <c r="G832" s="86"/>
      <c r="H832" s="86"/>
      <c r="I832" s="65"/>
      <c r="J832" s="65"/>
      <c r="K832" s="87"/>
      <c r="L832" s="88"/>
    </row>
    <row r="833" spans="6:12" ht="12.5">
      <c r="F833" s="86"/>
      <c r="G833" s="86"/>
      <c r="H833" s="86"/>
      <c r="I833" s="65"/>
      <c r="J833" s="65"/>
      <c r="K833" s="87"/>
      <c r="L833" s="88"/>
    </row>
    <row r="834" spans="6:12" ht="12.5">
      <c r="F834" s="86"/>
      <c r="G834" s="86"/>
      <c r="H834" s="86"/>
      <c r="I834" s="65"/>
      <c r="J834" s="65"/>
      <c r="K834" s="87"/>
      <c r="L834" s="88"/>
    </row>
    <row r="835" spans="6:12" ht="12.5">
      <c r="F835" s="86"/>
      <c r="G835" s="86"/>
      <c r="H835" s="86"/>
      <c r="I835" s="65"/>
      <c r="J835" s="65"/>
      <c r="K835" s="87"/>
      <c r="L835" s="88"/>
    </row>
    <row r="836" spans="6:12" ht="12.5">
      <c r="F836" s="86"/>
      <c r="G836" s="86"/>
      <c r="H836" s="86"/>
      <c r="I836" s="65"/>
      <c r="J836" s="65"/>
      <c r="K836" s="87"/>
      <c r="L836" s="88"/>
    </row>
    <row r="837" spans="6:12" ht="12.5">
      <c r="F837" s="86"/>
      <c r="G837" s="86"/>
      <c r="H837" s="86"/>
      <c r="I837" s="65"/>
      <c r="J837" s="65"/>
      <c r="K837" s="87"/>
      <c r="L837" s="88"/>
    </row>
    <row r="838" spans="6:12" ht="12.5">
      <c r="F838" s="86"/>
      <c r="G838" s="86"/>
      <c r="H838" s="86"/>
      <c r="I838" s="65"/>
      <c r="J838" s="65"/>
      <c r="K838" s="87"/>
      <c r="L838" s="88"/>
    </row>
    <row r="839" spans="6:12" ht="12.5">
      <c r="F839" s="86"/>
      <c r="G839" s="86"/>
      <c r="H839" s="86"/>
      <c r="I839" s="65"/>
      <c r="J839" s="65"/>
      <c r="K839" s="87"/>
      <c r="L839" s="88"/>
    </row>
    <row r="840" spans="6:12" ht="12.5">
      <c r="F840" s="86"/>
      <c r="G840" s="86"/>
      <c r="H840" s="86"/>
      <c r="I840" s="65"/>
      <c r="J840" s="65"/>
      <c r="K840" s="87"/>
      <c r="L840" s="88"/>
    </row>
    <row r="841" spans="6:12" ht="12.5">
      <c r="F841" s="86"/>
      <c r="G841" s="86"/>
      <c r="H841" s="86"/>
      <c r="I841" s="65"/>
      <c r="J841" s="65"/>
      <c r="K841" s="87"/>
      <c r="L841" s="88"/>
    </row>
    <row r="842" spans="6:12" ht="12.5">
      <c r="F842" s="86"/>
      <c r="G842" s="86"/>
      <c r="H842" s="86"/>
      <c r="I842" s="65"/>
      <c r="J842" s="65"/>
      <c r="K842" s="87"/>
      <c r="L842" s="88"/>
    </row>
    <row r="843" spans="6:12" ht="12.5">
      <c r="F843" s="86"/>
      <c r="G843" s="86"/>
      <c r="H843" s="86"/>
      <c r="I843" s="65"/>
      <c r="J843" s="65"/>
      <c r="K843" s="87"/>
      <c r="L843" s="88"/>
    </row>
    <row r="844" spans="6:12" ht="12.5">
      <c r="F844" s="86"/>
      <c r="G844" s="86"/>
      <c r="H844" s="86"/>
      <c r="I844" s="65"/>
      <c r="J844" s="65"/>
      <c r="K844" s="87"/>
      <c r="L844" s="88"/>
    </row>
    <row r="845" spans="6:12" ht="12.5">
      <c r="F845" s="86"/>
      <c r="G845" s="86"/>
      <c r="H845" s="86"/>
      <c r="I845" s="65"/>
      <c r="J845" s="65"/>
      <c r="K845" s="87"/>
      <c r="L845" s="88"/>
    </row>
    <row r="846" spans="6:12" ht="12.5">
      <c r="F846" s="86"/>
      <c r="G846" s="86"/>
      <c r="H846" s="86"/>
      <c r="I846" s="65"/>
      <c r="J846" s="65"/>
      <c r="K846" s="87"/>
      <c r="L846" s="88"/>
    </row>
    <row r="847" spans="6:12" ht="12.5">
      <c r="F847" s="86"/>
      <c r="G847" s="86"/>
      <c r="H847" s="86"/>
      <c r="I847" s="65"/>
      <c r="J847" s="65"/>
      <c r="K847" s="87"/>
      <c r="L847" s="88"/>
    </row>
    <row r="848" spans="6:12" ht="12.5">
      <c r="F848" s="86"/>
      <c r="G848" s="86"/>
      <c r="H848" s="86"/>
      <c r="I848" s="65"/>
      <c r="J848" s="65"/>
      <c r="K848" s="87"/>
      <c r="L848" s="88"/>
    </row>
    <row r="849" spans="6:12" ht="12.5">
      <c r="F849" s="86"/>
      <c r="G849" s="86"/>
      <c r="H849" s="86"/>
      <c r="I849" s="65"/>
      <c r="J849" s="65"/>
      <c r="K849" s="87"/>
      <c r="L849" s="88"/>
    </row>
    <row r="850" spans="6:12" ht="12.5">
      <c r="F850" s="86"/>
      <c r="G850" s="86"/>
      <c r="H850" s="86"/>
      <c r="I850" s="65"/>
      <c r="J850" s="65"/>
      <c r="K850" s="87"/>
      <c r="L850" s="88"/>
    </row>
    <row r="851" spans="6:12" ht="12.5">
      <c r="F851" s="86"/>
      <c r="G851" s="86"/>
      <c r="H851" s="86"/>
      <c r="I851" s="65"/>
      <c r="J851" s="65"/>
      <c r="K851" s="87"/>
      <c r="L851" s="88"/>
    </row>
    <row r="852" spans="6:12" ht="12.5">
      <c r="F852" s="86"/>
      <c r="G852" s="86"/>
      <c r="H852" s="86"/>
      <c r="I852" s="65"/>
      <c r="J852" s="65"/>
      <c r="K852" s="87"/>
      <c r="L852" s="88"/>
    </row>
    <row r="853" spans="6:12" ht="12.5">
      <c r="F853" s="86"/>
      <c r="G853" s="86"/>
      <c r="H853" s="86"/>
      <c r="I853" s="65"/>
      <c r="J853" s="65"/>
      <c r="K853" s="87"/>
      <c r="L853" s="88"/>
    </row>
    <row r="854" spans="6:12" ht="12.5">
      <c r="F854" s="86"/>
      <c r="G854" s="86"/>
      <c r="H854" s="86"/>
      <c r="I854" s="65"/>
      <c r="J854" s="65"/>
      <c r="K854" s="87"/>
      <c r="L854" s="88"/>
    </row>
    <row r="855" spans="6:12" ht="12.5">
      <c r="F855" s="86"/>
      <c r="G855" s="86"/>
      <c r="H855" s="86"/>
      <c r="I855" s="65"/>
      <c r="J855" s="65"/>
      <c r="K855" s="87"/>
      <c r="L855" s="88"/>
    </row>
    <row r="856" spans="6:12" ht="12.5">
      <c r="F856" s="86"/>
      <c r="G856" s="86"/>
      <c r="H856" s="86"/>
      <c r="I856" s="65"/>
      <c r="J856" s="65"/>
      <c r="K856" s="87"/>
      <c r="L856" s="88"/>
    </row>
    <row r="857" spans="6:12" ht="12.5">
      <c r="F857" s="86"/>
      <c r="G857" s="86"/>
      <c r="H857" s="86"/>
      <c r="I857" s="65"/>
      <c r="J857" s="65"/>
      <c r="K857" s="87"/>
      <c r="L857" s="88"/>
    </row>
    <row r="858" spans="6:12" ht="12.5">
      <c r="F858" s="86"/>
      <c r="G858" s="86"/>
      <c r="H858" s="86"/>
      <c r="I858" s="65"/>
      <c r="J858" s="65"/>
      <c r="K858" s="87"/>
      <c r="L858" s="88"/>
    </row>
    <row r="859" spans="6:12" ht="12.5">
      <c r="F859" s="86"/>
      <c r="G859" s="86"/>
      <c r="H859" s="86"/>
      <c r="I859" s="65"/>
      <c r="J859" s="65"/>
      <c r="K859" s="87"/>
      <c r="L859" s="88"/>
    </row>
    <row r="860" spans="6:12" ht="12.5">
      <c r="F860" s="86"/>
      <c r="G860" s="86"/>
      <c r="H860" s="86"/>
      <c r="I860" s="65"/>
      <c r="J860" s="65"/>
      <c r="K860" s="87"/>
      <c r="L860" s="88"/>
    </row>
    <row r="861" spans="6:12" ht="12.5">
      <c r="F861" s="86"/>
      <c r="G861" s="86"/>
      <c r="H861" s="86"/>
      <c r="I861" s="65"/>
      <c r="J861" s="65"/>
      <c r="K861" s="87"/>
      <c r="L861" s="88"/>
    </row>
    <row r="862" spans="6:12" ht="12.5">
      <c r="F862" s="86"/>
      <c r="G862" s="86"/>
      <c r="H862" s="86"/>
      <c r="I862" s="65"/>
      <c r="J862" s="65"/>
      <c r="K862" s="87"/>
      <c r="L862" s="88"/>
    </row>
    <row r="863" spans="6:12" ht="12.5">
      <c r="F863" s="86"/>
      <c r="G863" s="86"/>
      <c r="H863" s="86"/>
      <c r="I863" s="65"/>
      <c r="J863" s="65"/>
      <c r="K863" s="87"/>
      <c r="L863" s="88"/>
    </row>
    <row r="864" spans="6:12" ht="12.5">
      <c r="F864" s="86"/>
      <c r="G864" s="86"/>
      <c r="H864" s="86"/>
      <c r="I864" s="65"/>
      <c r="J864" s="65"/>
      <c r="K864" s="87"/>
      <c r="L864" s="88"/>
    </row>
    <row r="865" spans="6:12" ht="12.5">
      <c r="F865" s="86"/>
      <c r="G865" s="86"/>
      <c r="H865" s="86"/>
      <c r="I865" s="65"/>
      <c r="J865" s="65"/>
      <c r="K865" s="87"/>
      <c r="L865" s="88"/>
    </row>
    <row r="866" spans="6:12" ht="12.5">
      <c r="F866" s="86"/>
      <c r="G866" s="86"/>
      <c r="H866" s="86"/>
      <c r="I866" s="65"/>
      <c r="J866" s="65"/>
      <c r="K866" s="87"/>
      <c r="L866" s="88"/>
    </row>
    <row r="867" spans="6:12" ht="12.5">
      <c r="F867" s="86"/>
      <c r="G867" s="86"/>
      <c r="H867" s="86"/>
      <c r="I867" s="65"/>
      <c r="J867" s="65"/>
      <c r="K867" s="87"/>
      <c r="L867" s="88"/>
    </row>
    <row r="868" spans="6:12" ht="12.5">
      <c r="F868" s="86"/>
      <c r="G868" s="86"/>
      <c r="H868" s="86"/>
      <c r="I868" s="65"/>
      <c r="J868" s="65"/>
      <c r="K868" s="87"/>
      <c r="L868" s="88"/>
    </row>
    <row r="869" spans="6:12" ht="12.5">
      <c r="F869" s="86"/>
      <c r="G869" s="86"/>
      <c r="H869" s="86"/>
      <c r="I869" s="65"/>
      <c r="J869" s="65"/>
      <c r="K869" s="87"/>
      <c r="L869" s="88"/>
    </row>
    <row r="870" spans="6:12" ht="12.5">
      <c r="F870" s="86"/>
      <c r="G870" s="86"/>
      <c r="H870" s="86"/>
      <c r="I870" s="65"/>
      <c r="J870" s="65"/>
      <c r="K870" s="87"/>
      <c r="L870" s="88"/>
    </row>
    <row r="871" spans="6:12" ht="12.5">
      <c r="F871" s="86"/>
      <c r="G871" s="86"/>
      <c r="H871" s="86"/>
      <c r="I871" s="65"/>
      <c r="J871" s="65"/>
      <c r="K871" s="87"/>
      <c r="L871" s="88"/>
    </row>
    <row r="872" spans="6:12" ht="12.5">
      <c r="F872" s="86"/>
      <c r="G872" s="86"/>
      <c r="H872" s="86"/>
      <c r="I872" s="65"/>
      <c r="J872" s="65"/>
      <c r="K872" s="87"/>
      <c r="L872" s="88"/>
    </row>
    <row r="873" spans="6:12" ht="12.5">
      <c r="F873" s="86"/>
      <c r="G873" s="86"/>
      <c r="H873" s="86"/>
      <c r="I873" s="65"/>
      <c r="J873" s="65"/>
      <c r="K873" s="87"/>
      <c r="L873" s="88"/>
    </row>
    <row r="874" spans="6:12" ht="12.5">
      <c r="F874" s="86"/>
      <c r="G874" s="86"/>
      <c r="H874" s="86"/>
      <c r="I874" s="65"/>
      <c r="J874" s="65"/>
      <c r="K874" s="87"/>
      <c r="L874" s="88"/>
    </row>
    <row r="875" spans="6:12" ht="12.5">
      <c r="F875" s="86"/>
      <c r="G875" s="86"/>
      <c r="H875" s="86"/>
      <c r="I875" s="65"/>
      <c r="J875" s="65"/>
      <c r="K875" s="87"/>
      <c r="L875" s="88"/>
    </row>
    <row r="876" spans="6:12" ht="12.5">
      <c r="F876" s="86"/>
      <c r="G876" s="86"/>
      <c r="H876" s="86"/>
      <c r="I876" s="65"/>
      <c r="J876" s="65"/>
      <c r="K876" s="87"/>
      <c r="L876" s="88"/>
    </row>
    <row r="877" spans="6:12" ht="12.5">
      <c r="F877" s="86"/>
      <c r="G877" s="86"/>
      <c r="H877" s="86"/>
      <c r="I877" s="65"/>
      <c r="J877" s="65"/>
      <c r="K877" s="87"/>
      <c r="L877" s="88"/>
    </row>
    <row r="878" spans="6:12" ht="12.5">
      <c r="F878" s="86"/>
      <c r="G878" s="86"/>
      <c r="H878" s="86"/>
      <c r="I878" s="65"/>
      <c r="J878" s="65"/>
      <c r="K878" s="87"/>
      <c r="L878" s="88"/>
    </row>
    <row r="879" spans="6:12" ht="12.5">
      <c r="F879" s="86"/>
      <c r="G879" s="86"/>
      <c r="H879" s="86"/>
      <c r="I879" s="65"/>
      <c r="J879" s="65"/>
      <c r="K879" s="87"/>
      <c r="L879" s="88"/>
    </row>
    <row r="880" spans="6:12" ht="12.5">
      <c r="F880" s="86"/>
      <c r="G880" s="86"/>
      <c r="H880" s="86"/>
      <c r="I880" s="65"/>
      <c r="J880" s="65"/>
      <c r="K880" s="87"/>
      <c r="L880" s="88"/>
    </row>
    <row r="881" spans="6:12" ht="12.5">
      <c r="F881" s="86"/>
      <c r="G881" s="86"/>
      <c r="H881" s="86"/>
      <c r="I881" s="65"/>
      <c r="J881" s="65"/>
      <c r="K881" s="87"/>
      <c r="L881" s="88"/>
    </row>
    <row r="882" spans="6:12" ht="12.5">
      <c r="F882" s="86"/>
      <c r="G882" s="86"/>
      <c r="H882" s="86"/>
      <c r="I882" s="65"/>
      <c r="J882" s="65"/>
      <c r="K882" s="87"/>
      <c r="L882" s="88"/>
    </row>
    <row r="883" spans="6:12" ht="12.5">
      <c r="F883" s="86"/>
      <c r="G883" s="86"/>
      <c r="H883" s="86"/>
      <c r="I883" s="65"/>
      <c r="J883" s="65"/>
      <c r="K883" s="87"/>
      <c r="L883" s="88"/>
    </row>
    <row r="884" spans="6:12" ht="12.5">
      <c r="F884" s="86"/>
      <c r="G884" s="86"/>
      <c r="H884" s="86"/>
      <c r="I884" s="65"/>
      <c r="J884" s="65"/>
      <c r="K884" s="87"/>
      <c r="L884" s="88"/>
    </row>
    <row r="885" spans="6:12" ht="12.5">
      <c r="F885" s="86"/>
      <c r="G885" s="86"/>
      <c r="H885" s="86"/>
      <c r="I885" s="65"/>
      <c r="J885" s="65"/>
      <c r="K885" s="87"/>
      <c r="L885" s="88"/>
    </row>
    <row r="886" spans="6:12" ht="12.5">
      <c r="F886" s="86"/>
      <c r="G886" s="86"/>
      <c r="H886" s="86"/>
      <c r="I886" s="65"/>
      <c r="J886" s="65"/>
      <c r="K886" s="87"/>
      <c r="L886" s="88"/>
    </row>
    <row r="887" spans="6:12" ht="12.5">
      <c r="F887" s="86"/>
      <c r="G887" s="86"/>
      <c r="H887" s="86"/>
      <c r="I887" s="65"/>
      <c r="J887" s="65"/>
      <c r="K887" s="87"/>
      <c r="L887" s="88"/>
    </row>
    <row r="888" spans="6:12" ht="12.5">
      <c r="F888" s="86"/>
      <c r="G888" s="86"/>
      <c r="H888" s="86"/>
      <c r="I888" s="65"/>
      <c r="J888" s="65"/>
      <c r="K888" s="87"/>
      <c r="L888" s="88"/>
    </row>
    <row r="889" spans="6:12" ht="12.5">
      <c r="F889" s="86"/>
      <c r="G889" s="86"/>
      <c r="H889" s="86"/>
      <c r="I889" s="65"/>
      <c r="J889" s="65"/>
      <c r="K889" s="87"/>
      <c r="L889" s="88"/>
    </row>
    <row r="890" spans="6:12" ht="12.5">
      <c r="F890" s="86"/>
      <c r="G890" s="86"/>
      <c r="H890" s="86"/>
      <c r="I890" s="65"/>
      <c r="J890" s="65"/>
      <c r="K890" s="87"/>
      <c r="L890" s="88"/>
    </row>
    <row r="891" spans="6:12" ht="12.5">
      <c r="F891" s="86"/>
      <c r="G891" s="86"/>
      <c r="H891" s="86"/>
      <c r="I891" s="65"/>
      <c r="J891" s="65"/>
      <c r="K891" s="87"/>
      <c r="L891" s="88"/>
    </row>
    <row r="892" spans="6:12" ht="12.5">
      <c r="F892" s="86"/>
      <c r="G892" s="86"/>
      <c r="H892" s="86"/>
      <c r="I892" s="65"/>
      <c r="J892" s="65"/>
      <c r="K892" s="87"/>
      <c r="L892" s="88"/>
    </row>
    <row r="893" spans="6:12" ht="12.5">
      <c r="F893" s="86"/>
      <c r="G893" s="86"/>
      <c r="H893" s="86"/>
      <c r="I893" s="65"/>
      <c r="J893" s="65"/>
      <c r="K893" s="87"/>
      <c r="L893" s="88"/>
    </row>
    <row r="894" spans="6:12" ht="12.5">
      <c r="F894" s="86"/>
      <c r="G894" s="86"/>
      <c r="H894" s="86"/>
      <c r="I894" s="65"/>
      <c r="J894" s="65"/>
      <c r="K894" s="87"/>
      <c r="L894" s="88"/>
    </row>
    <row r="895" spans="6:12" ht="12.5">
      <c r="F895" s="86"/>
      <c r="G895" s="86"/>
      <c r="H895" s="86"/>
      <c r="I895" s="65"/>
      <c r="J895" s="65"/>
      <c r="K895" s="87"/>
      <c r="L895" s="88"/>
    </row>
    <row r="896" spans="6:12" ht="12.5">
      <c r="F896" s="86"/>
      <c r="G896" s="86"/>
      <c r="H896" s="86"/>
      <c r="I896" s="65"/>
      <c r="J896" s="65"/>
      <c r="K896" s="87"/>
      <c r="L896" s="88"/>
    </row>
    <row r="897" spans="6:12" ht="12.5">
      <c r="F897" s="86"/>
      <c r="G897" s="86"/>
      <c r="H897" s="86"/>
      <c r="I897" s="65"/>
      <c r="J897" s="65"/>
      <c r="K897" s="87"/>
      <c r="L897" s="88"/>
    </row>
    <row r="898" spans="6:12" ht="12.5">
      <c r="F898" s="86"/>
      <c r="G898" s="86"/>
      <c r="H898" s="86"/>
      <c r="I898" s="65"/>
      <c r="J898" s="65"/>
      <c r="K898" s="87"/>
      <c r="L898" s="88"/>
    </row>
    <row r="899" spans="6:12" ht="12.5">
      <c r="F899" s="86"/>
      <c r="G899" s="86"/>
      <c r="H899" s="86"/>
      <c r="I899" s="65"/>
      <c r="J899" s="65"/>
      <c r="K899" s="87"/>
      <c r="L899" s="88"/>
    </row>
    <row r="900" spans="6:12" ht="12.5">
      <c r="F900" s="86"/>
      <c r="G900" s="86"/>
      <c r="H900" s="86"/>
      <c r="I900" s="65"/>
      <c r="J900" s="65"/>
      <c r="K900" s="87"/>
      <c r="L900" s="88"/>
    </row>
    <row r="901" spans="6:12" ht="12.5">
      <c r="F901" s="86"/>
      <c r="G901" s="86"/>
      <c r="H901" s="86"/>
      <c r="I901" s="65"/>
      <c r="J901" s="65"/>
      <c r="K901" s="87"/>
      <c r="L901" s="88"/>
    </row>
    <row r="902" spans="6:12" ht="12.5">
      <c r="F902" s="86"/>
      <c r="G902" s="86"/>
      <c r="H902" s="86"/>
      <c r="I902" s="65"/>
      <c r="J902" s="65"/>
      <c r="K902" s="87"/>
      <c r="L902" s="88"/>
    </row>
    <row r="903" spans="6:12" ht="12.5">
      <c r="F903" s="86"/>
      <c r="G903" s="86"/>
      <c r="H903" s="86"/>
      <c r="I903" s="65"/>
      <c r="J903" s="65"/>
      <c r="K903" s="87"/>
      <c r="L903" s="88"/>
    </row>
    <row r="904" spans="6:12" ht="12.5">
      <c r="F904" s="86"/>
      <c r="G904" s="86"/>
      <c r="H904" s="86"/>
      <c r="I904" s="65"/>
      <c r="J904" s="65"/>
      <c r="K904" s="87"/>
      <c r="L904" s="88"/>
    </row>
    <row r="905" spans="6:12" ht="12.5">
      <c r="F905" s="86"/>
      <c r="G905" s="86"/>
      <c r="H905" s="86"/>
      <c r="I905" s="65"/>
      <c r="J905" s="65"/>
      <c r="K905" s="87"/>
      <c r="L905" s="88"/>
    </row>
    <row r="906" spans="6:12" ht="12.5">
      <c r="F906" s="86"/>
      <c r="G906" s="86"/>
      <c r="H906" s="86"/>
      <c r="I906" s="65"/>
      <c r="J906" s="65"/>
      <c r="K906" s="87"/>
      <c r="L906" s="88"/>
    </row>
    <row r="907" spans="6:12" ht="12.5">
      <c r="F907" s="86"/>
      <c r="G907" s="86"/>
      <c r="H907" s="86"/>
      <c r="I907" s="65"/>
      <c r="J907" s="65"/>
      <c r="K907" s="87"/>
      <c r="L907" s="88"/>
    </row>
    <row r="908" spans="6:12" ht="12.5">
      <c r="F908" s="86"/>
      <c r="G908" s="86"/>
      <c r="H908" s="86"/>
      <c r="I908" s="65"/>
      <c r="J908" s="65"/>
      <c r="K908" s="87"/>
      <c r="L908" s="88"/>
    </row>
    <row r="909" spans="6:12" ht="12.5">
      <c r="F909" s="86"/>
      <c r="G909" s="86"/>
      <c r="H909" s="86"/>
      <c r="I909" s="65"/>
      <c r="J909" s="65"/>
      <c r="K909" s="87"/>
      <c r="L909" s="88"/>
    </row>
    <row r="910" spans="6:12" ht="12.5">
      <c r="F910" s="86"/>
      <c r="G910" s="86"/>
      <c r="H910" s="86"/>
      <c r="I910" s="65"/>
      <c r="J910" s="65"/>
      <c r="K910" s="87"/>
      <c r="L910" s="88"/>
    </row>
    <row r="911" spans="6:12" ht="12.5">
      <c r="F911" s="86"/>
      <c r="G911" s="86"/>
      <c r="H911" s="86"/>
      <c r="I911" s="65"/>
      <c r="J911" s="65"/>
      <c r="K911" s="87"/>
      <c r="L911" s="88"/>
    </row>
    <row r="912" spans="6:12" ht="12.5">
      <c r="F912" s="86"/>
      <c r="G912" s="86"/>
      <c r="H912" s="86"/>
      <c r="I912" s="65"/>
      <c r="J912" s="65"/>
      <c r="K912" s="87"/>
      <c r="L912" s="88"/>
    </row>
    <row r="913" spans="6:12" ht="12.5">
      <c r="F913" s="86"/>
      <c r="G913" s="86"/>
      <c r="H913" s="86"/>
      <c r="I913" s="65"/>
      <c r="J913" s="65"/>
      <c r="K913" s="87"/>
      <c r="L913" s="88"/>
    </row>
    <row r="914" spans="6:12" ht="12.5">
      <c r="F914" s="86"/>
      <c r="G914" s="86"/>
      <c r="H914" s="86"/>
      <c r="I914" s="65"/>
      <c r="J914" s="65"/>
      <c r="K914" s="87"/>
      <c r="L914" s="88"/>
    </row>
    <row r="915" spans="6:12" ht="12.5">
      <c r="F915" s="86"/>
      <c r="G915" s="86"/>
      <c r="H915" s="86"/>
      <c r="I915" s="65"/>
      <c r="J915" s="65"/>
      <c r="K915" s="87"/>
      <c r="L915" s="88"/>
    </row>
    <row r="916" spans="6:12" ht="12.5">
      <c r="F916" s="86"/>
      <c r="G916" s="86"/>
      <c r="H916" s="86"/>
      <c r="I916" s="65"/>
      <c r="J916" s="65"/>
      <c r="K916" s="87"/>
      <c r="L916" s="88"/>
    </row>
    <row r="917" spans="6:12" ht="12.5">
      <c r="F917" s="86"/>
      <c r="G917" s="86"/>
      <c r="H917" s="86"/>
      <c r="I917" s="65"/>
      <c r="J917" s="65"/>
      <c r="K917" s="87"/>
      <c r="L917" s="88"/>
    </row>
    <row r="918" spans="6:12" ht="12.5">
      <c r="F918" s="86"/>
      <c r="G918" s="86"/>
      <c r="H918" s="86"/>
      <c r="I918" s="65"/>
      <c r="J918" s="65"/>
      <c r="K918" s="87"/>
      <c r="L918" s="88"/>
    </row>
    <row r="919" spans="6:12" ht="12.5">
      <c r="F919" s="86"/>
      <c r="G919" s="86"/>
      <c r="H919" s="86"/>
      <c r="I919" s="65"/>
      <c r="J919" s="65"/>
      <c r="K919" s="87"/>
      <c r="L919" s="88"/>
    </row>
    <row r="920" spans="6:12" ht="12.5">
      <c r="F920" s="86"/>
      <c r="G920" s="86"/>
      <c r="H920" s="86"/>
      <c r="I920" s="65"/>
      <c r="J920" s="65"/>
      <c r="K920" s="87"/>
      <c r="L920" s="88"/>
    </row>
    <row r="921" spans="6:12" ht="12.5">
      <c r="F921" s="86"/>
      <c r="G921" s="86"/>
      <c r="H921" s="86"/>
      <c r="I921" s="65"/>
      <c r="J921" s="65"/>
      <c r="K921" s="87"/>
      <c r="L921" s="88"/>
    </row>
    <row r="922" spans="6:12" ht="12.5">
      <c r="F922" s="86"/>
      <c r="G922" s="86"/>
      <c r="H922" s="86"/>
      <c r="I922" s="65"/>
      <c r="J922" s="65"/>
      <c r="K922" s="87"/>
      <c r="L922" s="88"/>
    </row>
    <row r="923" spans="6:12" ht="12.5">
      <c r="F923" s="86"/>
      <c r="G923" s="86"/>
      <c r="H923" s="86"/>
      <c r="I923" s="65"/>
      <c r="J923" s="65"/>
      <c r="K923" s="87"/>
      <c r="L923" s="88"/>
    </row>
    <row r="924" spans="6:12" ht="12.5">
      <c r="F924" s="86"/>
      <c r="G924" s="86"/>
      <c r="H924" s="86"/>
      <c r="I924" s="65"/>
      <c r="J924" s="65"/>
      <c r="K924" s="87"/>
      <c r="L924" s="88"/>
    </row>
    <row r="925" spans="6:12" ht="12.5">
      <c r="F925" s="86"/>
      <c r="G925" s="86"/>
      <c r="H925" s="86"/>
      <c r="I925" s="65"/>
      <c r="J925" s="65"/>
      <c r="K925" s="87"/>
      <c r="L925" s="88"/>
    </row>
    <row r="926" spans="6:12" ht="12.5">
      <c r="F926" s="86"/>
      <c r="G926" s="86"/>
      <c r="H926" s="86"/>
      <c r="I926" s="65"/>
      <c r="J926" s="65"/>
      <c r="K926" s="87"/>
      <c r="L926" s="88"/>
    </row>
    <row r="927" spans="6:12" ht="12.5">
      <c r="F927" s="86"/>
      <c r="G927" s="86"/>
      <c r="H927" s="86"/>
      <c r="I927" s="65"/>
      <c r="J927" s="65"/>
      <c r="K927" s="87"/>
      <c r="L927" s="88"/>
    </row>
    <row r="928" spans="6:12" ht="12.5">
      <c r="F928" s="86"/>
      <c r="G928" s="86"/>
      <c r="H928" s="86"/>
      <c r="I928" s="65"/>
      <c r="J928" s="65"/>
      <c r="K928" s="87"/>
      <c r="L928" s="88"/>
    </row>
    <row r="929" spans="6:12" ht="12.5">
      <c r="F929" s="86"/>
      <c r="G929" s="86"/>
      <c r="H929" s="86"/>
      <c r="I929" s="65"/>
      <c r="J929" s="65"/>
      <c r="K929" s="87"/>
      <c r="L929" s="88"/>
    </row>
    <row r="930" spans="6:12" ht="12.5">
      <c r="F930" s="86"/>
      <c r="G930" s="86"/>
      <c r="H930" s="86"/>
      <c r="I930" s="65"/>
      <c r="J930" s="65"/>
      <c r="K930" s="87"/>
      <c r="L930" s="88"/>
    </row>
    <row r="931" spans="6:12" ht="12.5">
      <c r="F931" s="86"/>
      <c r="G931" s="86"/>
      <c r="H931" s="86"/>
      <c r="I931" s="65"/>
      <c r="J931" s="65"/>
      <c r="K931" s="87"/>
      <c r="L931" s="88"/>
    </row>
    <row r="932" spans="6:12" ht="12.5">
      <c r="F932" s="86"/>
      <c r="G932" s="86"/>
      <c r="H932" s="86"/>
      <c r="I932" s="65"/>
      <c r="J932" s="65"/>
      <c r="K932" s="87"/>
      <c r="L932" s="88"/>
    </row>
    <row r="933" spans="6:12" ht="12.5">
      <c r="F933" s="86"/>
      <c r="G933" s="86"/>
      <c r="H933" s="86"/>
      <c r="I933" s="65"/>
      <c r="J933" s="65"/>
      <c r="K933" s="87"/>
      <c r="L933" s="88"/>
    </row>
    <row r="934" spans="6:12" ht="12.5">
      <c r="F934" s="86"/>
      <c r="G934" s="86"/>
      <c r="H934" s="86"/>
      <c r="I934" s="65"/>
      <c r="J934" s="65"/>
      <c r="K934" s="87"/>
      <c r="L934" s="88"/>
    </row>
    <row r="935" spans="6:12" ht="12.5">
      <c r="F935" s="86"/>
      <c r="G935" s="86"/>
      <c r="H935" s="86"/>
      <c r="I935" s="65"/>
      <c r="J935" s="65"/>
      <c r="K935" s="87"/>
      <c r="L935" s="88"/>
    </row>
    <row r="936" spans="6:12" ht="12.5">
      <c r="F936" s="86"/>
      <c r="G936" s="86"/>
      <c r="H936" s="86"/>
      <c r="I936" s="65"/>
      <c r="J936" s="65"/>
      <c r="K936" s="87"/>
      <c r="L936" s="88"/>
    </row>
    <row r="937" spans="6:12" ht="12.5">
      <c r="F937" s="86"/>
      <c r="G937" s="86"/>
      <c r="H937" s="86"/>
      <c r="I937" s="65"/>
      <c r="J937" s="65"/>
      <c r="K937" s="87"/>
      <c r="L937" s="88"/>
    </row>
    <row r="938" spans="6:12" ht="12.5">
      <c r="F938" s="86"/>
      <c r="G938" s="86"/>
      <c r="H938" s="86"/>
      <c r="I938" s="65"/>
      <c r="J938" s="65"/>
      <c r="K938" s="87"/>
      <c r="L938" s="88"/>
    </row>
    <row r="939" spans="6:12" ht="12.5">
      <c r="F939" s="86"/>
      <c r="G939" s="86"/>
      <c r="H939" s="86"/>
      <c r="I939" s="65"/>
      <c r="J939" s="65"/>
      <c r="K939" s="87"/>
      <c r="L939" s="88"/>
    </row>
    <row r="940" spans="6:12" ht="12.5">
      <c r="F940" s="86"/>
      <c r="G940" s="86"/>
      <c r="H940" s="86"/>
      <c r="I940" s="65"/>
      <c r="J940" s="65"/>
      <c r="K940" s="87"/>
      <c r="L940" s="88"/>
    </row>
    <row r="941" spans="6:12" ht="12.5">
      <c r="F941" s="86"/>
      <c r="G941" s="86"/>
      <c r="H941" s="86"/>
      <c r="I941" s="65"/>
      <c r="J941" s="65"/>
      <c r="K941" s="87"/>
      <c r="L941" s="88"/>
    </row>
    <row r="942" spans="6:12" ht="12.5">
      <c r="F942" s="86"/>
      <c r="G942" s="86"/>
      <c r="H942" s="86"/>
      <c r="I942" s="65"/>
      <c r="J942" s="65"/>
      <c r="K942" s="87"/>
      <c r="L942" s="88"/>
    </row>
    <row r="943" spans="6:12" ht="12.5">
      <c r="F943" s="86"/>
      <c r="G943" s="86"/>
      <c r="H943" s="86"/>
      <c r="I943" s="65"/>
      <c r="J943" s="65"/>
      <c r="K943" s="87"/>
      <c r="L943" s="88"/>
    </row>
    <row r="944" spans="6:12" ht="12.5">
      <c r="F944" s="86"/>
      <c r="G944" s="86"/>
      <c r="H944" s="86"/>
      <c r="I944" s="65"/>
      <c r="J944" s="65"/>
      <c r="K944" s="87"/>
      <c r="L944" s="88"/>
    </row>
    <row r="945" spans="6:12" ht="12.5">
      <c r="F945" s="86"/>
      <c r="G945" s="86"/>
      <c r="H945" s="86"/>
      <c r="I945" s="65"/>
      <c r="J945" s="65"/>
      <c r="K945" s="87"/>
      <c r="L945" s="88"/>
    </row>
    <row r="946" spans="6:12" ht="12.5">
      <c r="F946" s="86"/>
      <c r="G946" s="86"/>
      <c r="H946" s="86"/>
      <c r="I946" s="65"/>
      <c r="J946" s="65"/>
      <c r="K946" s="87"/>
      <c r="L946" s="88"/>
    </row>
    <row r="947" spans="6:12" ht="12.5">
      <c r="F947" s="86"/>
      <c r="G947" s="86"/>
      <c r="H947" s="86"/>
      <c r="I947" s="65"/>
      <c r="J947" s="65"/>
      <c r="K947" s="87"/>
      <c r="L947" s="88"/>
    </row>
    <row r="948" spans="6:12" ht="12.5">
      <c r="F948" s="86"/>
      <c r="G948" s="86"/>
      <c r="H948" s="86"/>
      <c r="I948" s="65"/>
      <c r="J948" s="65"/>
      <c r="K948" s="87"/>
      <c r="L948" s="88"/>
    </row>
    <row r="949" spans="6:12" ht="12.5">
      <c r="F949" s="86"/>
      <c r="G949" s="86"/>
      <c r="H949" s="86"/>
      <c r="I949" s="65"/>
      <c r="J949" s="65"/>
      <c r="K949" s="87"/>
      <c r="L949" s="88"/>
    </row>
    <row r="950" spans="6:12" ht="12.5">
      <c r="F950" s="86"/>
      <c r="G950" s="86"/>
      <c r="H950" s="86"/>
      <c r="I950" s="65"/>
      <c r="J950" s="65"/>
      <c r="K950" s="87"/>
      <c r="L950" s="88"/>
    </row>
    <row r="951" spans="6:12" ht="12.5">
      <c r="F951" s="86"/>
      <c r="G951" s="86"/>
      <c r="H951" s="86"/>
      <c r="I951" s="65"/>
      <c r="J951" s="65"/>
      <c r="K951" s="87"/>
      <c r="L951" s="88"/>
    </row>
    <row r="952" spans="6:12" ht="12.5">
      <c r="F952" s="86"/>
      <c r="G952" s="86"/>
      <c r="H952" s="86"/>
      <c r="I952" s="65"/>
      <c r="J952" s="65"/>
      <c r="K952" s="87"/>
      <c r="L952" s="88"/>
    </row>
    <row r="953" spans="6:12" ht="12.5">
      <c r="F953" s="86"/>
      <c r="G953" s="86"/>
      <c r="H953" s="86"/>
      <c r="I953" s="65"/>
      <c r="J953" s="65"/>
      <c r="K953" s="87"/>
      <c r="L953" s="88"/>
    </row>
    <row r="954" spans="6:12" ht="12.5">
      <c r="F954" s="86"/>
      <c r="G954" s="86"/>
      <c r="H954" s="86"/>
      <c r="I954" s="65"/>
      <c r="J954" s="65"/>
      <c r="K954" s="87"/>
      <c r="L954" s="88"/>
    </row>
    <row r="955" spans="6:12" ht="12.5">
      <c r="F955" s="86"/>
      <c r="G955" s="86"/>
      <c r="H955" s="86"/>
      <c r="I955" s="65"/>
      <c r="J955" s="65"/>
      <c r="K955" s="87"/>
      <c r="L955" s="88"/>
    </row>
    <row r="956" spans="6:12" ht="12.5">
      <c r="F956" s="86"/>
      <c r="G956" s="86"/>
      <c r="H956" s="86"/>
      <c r="I956" s="65"/>
      <c r="J956" s="65"/>
      <c r="K956" s="87"/>
      <c r="L956" s="88"/>
    </row>
    <row r="957" spans="6:12" ht="12.5">
      <c r="F957" s="86"/>
      <c r="G957" s="86"/>
      <c r="H957" s="86"/>
      <c r="I957" s="65"/>
      <c r="J957" s="65"/>
      <c r="K957" s="87"/>
      <c r="L957" s="88"/>
    </row>
    <row r="958" spans="6:12" ht="12.5">
      <c r="F958" s="86"/>
      <c r="G958" s="86"/>
      <c r="H958" s="86"/>
      <c r="I958" s="65"/>
      <c r="J958" s="65"/>
      <c r="K958" s="87"/>
      <c r="L958" s="88"/>
    </row>
    <row r="959" spans="6:12" ht="12.5">
      <c r="F959" s="86"/>
      <c r="G959" s="86"/>
      <c r="H959" s="86"/>
      <c r="I959" s="65"/>
      <c r="J959" s="65"/>
      <c r="K959" s="87"/>
      <c r="L959" s="88"/>
    </row>
    <row r="960" spans="6:12" ht="12.5">
      <c r="F960" s="86"/>
      <c r="G960" s="86"/>
      <c r="H960" s="86"/>
      <c r="I960" s="65"/>
      <c r="J960" s="65"/>
      <c r="K960" s="87"/>
      <c r="L960" s="88"/>
    </row>
    <row r="961" spans="6:12" ht="12.5">
      <c r="F961" s="86"/>
      <c r="G961" s="86"/>
      <c r="H961" s="86"/>
      <c r="I961" s="65"/>
      <c r="J961" s="65"/>
      <c r="K961" s="87"/>
      <c r="L961" s="88"/>
    </row>
    <row r="962" spans="6:12" ht="12.5">
      <c r="F962" s="86"/>
      <c r="G962" s="86"/>
      <c r="H962" s="86"/>
      <c r="I962" s="65"/>
      <c r="J962" s="65"/>
      <c r="K962" s="87"/>
      <c r="L962" s="88"/>
    </row>
    <row r="963" spans="6:12" ht="12.5">
      <c r="F963" s="86"/>
      <c r="G963" s="86"/>
      <c r="H963" s="86"/>
      <c r="I963" s="65"/>
      <c r="J963" s="65"/>
      <c r="K963" s="87"/>
      <c r="L963" s="88"/>
    </row>
    <row r="964" spans="6:12" ht="12.5">
      <c r="F964" s="86"/>
      <c r="G964" s="86"/>
      <c r="H964" s="86"/>
      <c r="I964" s="65"/>
      <c r="J964" s="65"/>
      <c r="K964" s="87"/>
      <c r="L964" s="88"/>
    </row>
    <row r="965" spans="6:12" ht="12.5">
      <c r="F965" s="86"/>
      <c r="G965" s="86"/>
      <c r="H965" s="86"/>
      <c r="I965" s="65"/>
      <c r="J965" s="65"/>
      <c r="K965" s="87"/>
      <c r="L965" s="88"/>
    </row>
    <row r="966" spans="6:12" ht="12.5">
      <c r="F966" s="86"/>
      <c r="G966" s="86"/>
      <c r="H966" s="86"/>
      <c r="I966" s="65"/>
      <c r="J966" s="65"/>
      <c r="K966" s="87"/>
      <c r="L966" s="88"/>
    </row>
    <row r="967" spans="6:12" ht="12.5">
      <c r="F967" s="86"/>
      <c r="G967" s="86"/>
      <c r="H967" s="86"/>
      <c r="I967" s="65"/>
      <c r="J967" s="65"/>
      <c r="K967" s="87"/>
      <c r="L967" s="88"/>
    </row>
    <row r="968" spans="6:12" ht="12.5">
      <c r="F968" s="86"/>
      <c r="G968" s="86"/>
      <c r="H968" s="86"/>
      <c r="I968" s="65"/>
      <c r="J968" s="65"/>
      <c r="K968" s="87"/>
      <c r="L968" s="88"/>
    </row>
    <row r="969" spans="6:12" ht="12.5">
      <c r="F969" s="86"/>
      <c r="G969" s="86"/>
      <c r="H969" s="86"/>
      <c r="I969" s="65"/>
      <c r="J969" s="65"/>
      <c r="K969" s="87"/>
      <c r="L969" s="88"/>
    </row>
    <row r="970" spans="6:12" ht="12.5">
      <c r="F970" s="86"/>
      <c r="G970" s="86"/>
      <c r="H970" s="86"/>
      <c r="I970" s="65"/>
      <c r="J970" s="65"/>
      <c r="K970" s="87"/>
      <c r="L970" s="88"/>
    </row>
    <row r="971" spans="6:12" ht="12.5">
      <c r="F971" s="86"/>
      <c r="G971" s="86"/>
      <c r="H971" s="86"/>
      <c r="I971" s="65"/>
      <c r="J971" s="65"/>
      <c r="K971" s="87"/>
      <c r="L971" s="88"/>
    </row>
    <row r="972" spans="6:12" ht="12.5">
      <c r="F972" s="86"/>
      <c r="G972" s="86"/>
      <c r="H972" s="86"/>
      <c r="I972" s="65"/>
      <c r="J972" s="65"/>
      <c r="K972" s="87"/>
      <c r="L972" s="88"/>
    </row>
    <row r="973" spans="6:12" ht="12.5">
      <c r="F973" s="86"/>
      <c r="G973" s="86"/>
      <c r="H973" s="86"/>
      <c r="I973" s="65"/>
      <c r="J973" s="65"/>
      <c r="K973" s="87"/>
      <c r="L973" s="88"/>
    </row>
    <row r="974" spans="6:12" ht="12.5">
      <c r="F974" s="86"/>
      <c r="G974" s="86"/>
      <c r="H974" s="86"/>
      <c r="I974" s="65"/>
      <c r="J974" s="65"/>
      <c r="K974" s="87"/>
      <c r="L974" s="88"/>
    </row>
    <row r="975" spans="6:12" ht="12.5">
      <c r="F975" s="86"/>
      <c r="G975" s="86"/>
      <c r="H975" s="86"/>
      <c r="I975" s="65"/>
      <c r="J975" s="65"/>
      <c r="K975" s="87"/>
      <c r="L975" s="88"/>
    </row>
    <row r="976" spans="6:12" ht="12.5">
      <c r="F976" s="86"/>
      <c r="G976" s="86"/>
      <c r="H976" s="86"/>
      <c r="I976" s="65"/>
      <c r="J976" s="65"/>
      <c r="K976" s="87"/>
      <c r="L976" s="88"/>
    </row>
    <row r="977" spans="6:12" ht="12.5">
      <c r="F977" s="86"/>
      <c r="G977" s="86"/>
      <c r="H977" s="86"/>
      <c r="I977" s="65"/>
      <c r="J977" s="65"/>
      <c r="K977" s="87"/>
      <c r="L977" s="88"/>
    </row>
    <row r="978" spans="6:12" ht="12.5">
      <c r="F978" s="86"/>
      <c r="G978" s="86"/>
      <c r="H978" s="86"/>
      <c r="I978" s="65"/>
      <c r="J978" s="65"/>
      <c r="K978" s="87"/>
      <c r="L978" s="88"/>
    </row>
    <row r="979" spans="6:12" ht="12.5">
      <c r="F979" s="86"/>
      <c r="G979" s="86"/>
      <c r="H979" s="86"/>
      <c r="I979" s="65"/>
      <c r="J979" s="65"/>
      <c r="K979" s="87"/>
      <c r="L979" s="88"/>
    </row>
    <row r="980" spans="6:12" ht="12.5">
      <c r="F980" s="86"/>
      <c r="G980" s="86"/>
      <c r="H980" s="86"/>
      <c r="I980" s="65"/>
      <c r="J980" s="65"/>
      <c r="K980" s="87"/>
      <c r="L980" s="88"/>
    </row>
    <row r="981" spans="6:12" ht="12.5">
      <c r="F981" s="86"/>
      <c r="G981" s="86"/>
      <c r="H981" s="86"/>
      <c r="I981" s="65"/>
      <c r="J981" s="65"/>
      <c r="K981" s="87"/>
      <c r="L981" s="88"/>
    </row>
    <row r="982" spans="6:12" ht="12.5">
      <c r="F982" s="86"/>
      <c r="G982" s="86"/>
      <c r="H982" s="86"/>
      <c r="I982" s="65"/>
      <c r="J982" s="65"/>
      <c r="K982" s="87"/>
      <c r="L982" s="88"/>
    </row>
    <row r="983" spans="6:12" ht="12.5">
      <c r="F983" s="86"/>
      <c r="G983" s="86"/>
      <c r="H983" s="86"/>
      <c r="I983" s="65"/>
      <c r="J983" s="65"/>
      <c r="K983" s="87"/>
      <c r="L983" s="88"/>
    </row>
    <row r="984" spans="6:12" ht="12.5">
      <c r="F984" s="86"/>
      <c r="G984" s="86"/>
      <c r="H984" s="86"/>
      <c r="I984" s="65"/>
      <c r="J984" s="65"/>
      <c r="K984" s="87"/>
      <c r="L984" s="88"/>
    </row>
    <row r="985" spans="6:12" ht="12.5">
      <c r="F985" s="86"/>
      <c r="G985" s="86"/>
      <c r="H985" s="86"/>
      <c r="I985" s="65"/>
      <c r="J985" s="65"/>
      <c r="K985" s="87"/>
      <c r="L985" s="88"/>
    </row>
    <row r="986" spans="6:12" ht="12.5">
      <c r="F986" s="86"/>
      <c r="G986" s="86"/>
      <c r="H986" s="86"/>
      <c r="I986" s="65"/>
      <c r="J986" s="65"/>
      <c r="K986" s="87"/>
      <c r="L986" s="88"/>
    </row>
    <row r="987" spans="6:12" ht="12.5">
      <c r="F987" s="86"/>
      <c r="G987" s="86"/>
      <c r="H987" s="86"/>
      <c r="I987" s="65"/>
      <c r="J987" s="65"/>
      <c r="K987" s="87"/>
      <c r="L987" s="88"/>
    </row>
    <row r="988" spans="6:12" ht="12.5">
      <c r="F988" s="86"/>
      <c r="G988" s="86"/>
      <c r="H988" s="86"/>
      <c r="I988" s="65"/>
      <c r="J988" s="65"/>
      <c r="K988" s="87"/>
      <c r="L988" s="88"/>
    </row>
    <row r="989" spans="6:12" ht="12.5">
      <c r="F989" s="86"/>
      <c r="G989" s="86"/>
      <c r="H989" s="86"/>
      <c r="I989" s="65"/>
      <c r="J989" s="65"/>
      <c r="K989" s="87"/>
      <c r="L989" s="88"/>
    </row>
    <row r="990" spans="6:12" ht="12.5">
      <c r="F990" s="86"/>
      <c r="G990" s="86"/>
      <c r="H990" s="86"/>
      <c r="I990" s="65"/>
      <c r="J990" s="65"/>
      <c r="K990" s="87"/>
      <c r="L990" s="88"/>
    </row>
    <row r="991" spans="6:12" ht="12.5">
      <c r="F991" s="86"/>
      <c r="G991" s="86"/>
      <c r="H991" s="86"/>
      <c r="I991" s="65"/>
      <c r="J991" s="65"/>
      <c r="K991" s="87"/>
      <c r="L991" s="88"/>
    </row>
    <row r="992" spans="6:12" ht="12.5">
      <c r="F992" s="86"/>
      <c r="G992" s="86"/>
      <c r="H992" s="86"/>
      <c r="I992" s="65"/>
      <c r="J992" s="65"/>
      <c r="K992" s="87"/>
      <c r="L992" s="88"/>
    </row>
    <row r="993" spans="6:12" ht="12.5">
      <c r="F993" s="86"/>
      <c r="G993" s="86"/>
      <c r="H993" s="86"/>
      <c r="I993" s="65"/>
      <c r="J993" s="65"/>
      <c r="K993" s="87"/>
      <c r="L993" s="88"/>
    </row>
    <row r="994" spans="6:12" ht="12.5">
      <c r="F994" s="86"/>
      <c r="G994" s="86"/>
      <c r="H994" s="86"/>
      <c r="I994" s="65"/>
      <c r="J994" s="65"/>
      <c r="K994" s="87"/>
      <c r="L994" s="88"/>
    </row>
    <row r="995" spans="6:12" ht="12.5">
      <c r="F995" s="86"/>
      <c r="G995" s="86"/>
      <c r="H995" s="86"/>
      <c r="I995" s="65"/>
      <c r="J995" s="65"/>
      <c r="K995" s="87"/>
      <c r="L995" s="88"/>
    </row>
    <row r="996" spans="6:12" ht="12.5">
      <c r="F996" s="86"/>
      <c r="G996" s="86"/>
      <c r="H996" s="86"/>
      <c r="I996" s="65"/>
      <c r="J996" s="65"/>
      <c r="K996" s="87"/>
      <c r="L996" s="88"/>
    </row>
    <row r="997" spans="6:12" ht="12.5">
      <c r="F997" s="86"/>
      <c r="G997" s="86"/>
      <c r="H997" s="86"/>
      <c r="I997" s="65"/>
      <c r="J997" s="65"/>
      <c r="K997" s="87"/>
      <c r="L997" s="88"/>
    </row>
    <row r="998" spans="6:12" ht="12.5">
      <c r="F998" s="86"/>
      <c r="G998" s="86"/>
      <c r="H998" s="86"/>
      <c r="I998" s="65"/>
      <c r="J998" s="65"/>
      <c r="K998" s="87"/>
      <c r="L998" s="88"/>
    </row>
    <row r="999" spans="6:12" ht="12.5">
      <c r="F999" s="86"/>
      <c r="G999" s="86"/>
      <c r="H999" s="86"/>
      <c r="I999" s="65"/>
      <c r="J999" s="65"/>
      <c r="K999" s="87"/>
      <c r="L999" s="88"/>
    </row>
    <row r="1000" spans="6:12" ht="12.5">
      <c r="F1000" s="89"/>
      <c r="G1000" s="89"/>
      <c r="H1000" s="89"/>
      <c r="I1000" s="90"/>
      <c r="J1000" s="65"/>
      <c r="K1000" s="91"/>
      <c r="L1000" s="50"/>
    </row>
    <row r="1001" spans="6:12" ht="12.5">
      <c r="F1001" s="89"/>
      <c r="G1001" s="89"/>
      <c r="H1001" s="89"/>
      <c r="I1001" s="90"/>
      <c r="J1001" s="92"/>
    </row>
    <row r="1002" spans="6:12" ht="12.5">
      <c r="F1002" s="89"/>
      <c r="G1002" s="89"/>
      <c r="H1002" s="89"/>
      <c r="I1002" s="90"/>
      <c r="J1002" s="9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Z1002"/>
  <sheetViews>
    <sheetView workbookViewId="0"/>
  </sheetViews>
  <sheetFormatPr defaultColWidth="12.54296875" defaultRowHeight="15" customHeight="1"/>
  <cols>
    <col min="2" max="2" width="15" customWidth="1"/>
    <col min="3" max="3" width="16.453125" customWidth="1"/>
  </cols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44418</v>
      </c>
      <c r="B2" s="61">
        <v>1</v>
      </c>
      <c r="C2" s="61" t="s">
        <v>271</v>
      </c>
      <c r="D2" s="62">
        <v>210</v>
      </c>
      <c r="E2" s="62">
        <v>250000</v>
      </c>
      <c r="F2" s="63">
        <f>I2-0</f>
        <v>210</v>
      </c>
      <c r="G2" s="63">
        <f t="shared" ref="G2:G64" si="0">$B$58/$I$58*(F2)</f>
        <v>0.13486260238629066</v>
      </c>
      <c r="H2" s="63">
        <f>$B$58/SQRT($I$58)*(SQRT(I2)-SQRT(0))</f>
        <v>2.772574315689043</v>
      </c>
      <c r="I2" s="76">
        <f t="shared" ref="I2:I33" si="1">D2</f>
        <v>210</v>
      </c>
      <c r="J2" s="76">
        <f t="shared" ref="J2:J33" si="2">E2</f>
        <v>250000</v>
      </c>
      <c r="K2" s="77">
        <f>J2*'Inflation Rates by Year'!$C$2</f>
        <v>282690</v>
      </c>
      <c r="L2" s="78">
        <f t="shared" ref="L2:L64" si="3">K2/I2</f>
        <v>1346.1428571428571</v>
      </c>
    </row>
    <row r="3" spans="1:12" ht="15" customHeight="1">
      <c r="A3" s="81">
        <v>44419</v>
      </c>
      <c r="B3" s="61">
        <v>2</v>
      </c>
      <c r="C3" s="61" t="s">
        <v>271</v>
      </c>
      <c r="D3" s="62">
        <v>225</v>
      </c>
      <c r="E3" s="62">
        <v>255000</v>
      </c>
      <c r="F3" s="63">
        <f t="shared" ref="F3:F64" si="4">I3-I2</f>
        <v>15</v>
      </c>
      <c r="G3" s="63">
        <f t="shared" si="0"/>
        <v>9.6330430275921898E-3</v>
      </c>
      <c r="H3" s="63">
        <f t="shared" ref="H3:H64" si="5">$B$58/SQRT($I$58)*(SQRT(I3)-SQRT(I2))</f>
        <v>9.7312753272263769E-2</v>
      </c>
      <c r="I3" s="76">
        <f t="shared" si="1"/>
        <v>225</v>
      </c>
      <c r="J3" s="76">
        <f t="shared" si="2"/>
        <v>255000</v>
      </c>
      <c r="K3" s="77">
        <f>J3*'Inflation Rates by Year'!$C$2</f>
        <v>288343.8</v>
      </c>
      <c r="L3" s="78">
        <f t="shared" si="3"/>
        <v>1281.528</v>
      </c>
    </row>
    <row r="4" spans="1:12" ht="15" customHeight="1">
      <c r="A4" s="81">
        <v>44421</v>
      </c>
      <c r="B4" s="61">
        <v>3</v>
      </c>
      <c r="C4" s="61" t="s">
        <v>271</v>
      </c>
      <c r="D4" s="62">
        <v>235</v>
      </c>
      <c r="E4" s="62">
        <v>295000</v>
      </c>
      <c r="F4" s="63">
        <f t="shared" si="4"/>
        <v>10</v>
      </c>
      <c r="G4" s="63">
        <f t="shared" si="0"/>
        <v>6.4220286850614604E-3</v>
      </c>
      <c r="H4" s="63">
        <f t="shared" si="5"/>
        <v>6.3081976841908513E-2</v>
      </c>
      <c r="I4" s="76">
        <f t="shared" si="1"/>
        <v>235</v>
      </c>
      <c r="J4" s="76">
        <f t="shared" si="2"/>
        <v>295000</v>
      </c>
      <c r="K4" s="77">
        <f>J4*'Inflation Rates by Year'!$C$2</f>
        <v>333574.2</v>
      </c>
      <c r="L4" s="78">
        <f t="shared" si="3"/>
        <v>1419.4646808510638</v>
      </c>
    </row>
    <row r="5" spans="1:12" ht="15" customHeight="1">
      <c r="A5" s="81">
        <v>44422</v>
      </c>
      <c r="B5" s="61">
        <v>4</v>
      </c>
      <c r="C5" s="61" t="s">
        <v>271</v>
      </c>
      <c r="D5" s="62">
        <v>245</v>
      </c>
      <c r="E5" s="62">
        <v>800000</v>
      </c>
      <c r="F5" s="63">
        <f t="shared" si="4"/>
        <v>10</v>
      </c>
      <c r="G5" s="63">
        <f t="shared" si="0"/>
        <v>6.4220286850614604E-3</v>
      </c>
      <c r="H5" s="63">
        <f t="shared" si="5"/>
        <v>6.1753488704502264E-2</v>
      </c>
      <c r="I5" s="76">
        <f t="shared" si="1"/>
        <v>245</v>
      </c>
      <c r="J5" s="76">
        <f t="shared" si="2"/>
        <v>800000</v>
      </c>
      <c r="K5" s="77">
        <f>J5*'Inflation Rates by Year'!$C$2</f>
        <v>904608</v>
      </c>
      <c r="L5" s="78">
        <f t="shared" si="3"/>
        <v>3692.2775510204083</v>
      </c>
    </row>
    <row r="6" spans="1:12" ht="15" customHeight="1">
      <c r="A6" s="81">
        <v>44423</v>
      </c>
      <c r="B6" s="61">
        <v>5</v>
      </c>
      <c r="C6" s="61" t="s">
        <v>271</v>
      </c>
      <c r="D6" s="62">
        <v>309</v>
      </c>
      <c r="E6" s="62">
        <v>1000000</v>
      </c>
      <c r="F6" s="63">
        <f t="shared" si="4"/>
        <v>64</v>
      </c>
      <c r="G6" s="63">
        <f t="shared" si="0"/>
        <v>4.1100983584393347E-2</v>
      </c>
      <c r="H6" s="63">
        <f t="shared" si="5"/>
        <v>0.36847819143754618</v>
      </c>
      <c r="I6" s="76">
        <f t="shared" si="1"/>
        <v>309</v>
      </c>
      <c r="J6" s="76">
        <f t="shared" si="2"/>
        <v>1000000</v>
      </c>
      <c r="K6" s="77">
        <f>J6*'Inflation Rates by Year'!$C$2</f>
        <v>1130760</v>
      </c>
      <c r="L6" s="78">
        <f t="shared" si="3"/>
        <v>3659.4174757281553</v>
      </c>
    </row>
    <row r="7" spans="1:12" ht="15" customHeight="1">
      <c r="A7" s="81">
        <v>44424</v>
      </c>
      <c r="B7" s="61">
        <v>6</v>
      </c>
      <c r="C7" s="61" t="s">
        <v>271</v>
      </c>
      <c r="D7" s="62">
        <v>320</v>
      </c>
      <c r="E7" s="62">
        <v>1050000</v>
      </c>
      <c r="F7" s="63">
        <f t="shared" si="4"/>
        <v>11</v>
      </c>
      <c r="G7" s="63">
        <f t="shared" si="0"/>
        <v>7.0642315535676065E-3</v>
      </c>
      <c r="H7" s="63">
        <f t="shared" si="5"/>
        <v>5.9339313492127801E-2</v>
      </c>
      <c r="I7" s="76">
        <f t="shared" si="1"/>
        <v>320</v>
      </c>
      <c r="J7" s="76">
        <f t="shared" si="2"/>
        <v>1050000</v>
      </c>
      <c r="K7" s="77">
        <f>J7*'Inflation Rates by Year'!$C$2</f>
        <v>1187298</v>
      </c>
      <c r="L7" s="78">
        <f t="shared" si="3"/>
        <v>3710.3062500000001</v>
      </c>
    </row>
    <row r="8" spans="1:12" ht="15" customHeight="1">
      <c r="A8" s="81">
        <v>44425</v>
      </c>
      <c r="B8" s="61">
        <v>7</v>
      </c>
      <c r="C8" s="61" t="s">
        <v>271</v>
      </c>
      <c r="D8" s="62">
        <v>330</v>
      </c>
      <c r="E8" s="62">
        <v>1100000</v>
      </c>
      <c r="F8" s="63">
        <f t="shared" si="4"/>
        <v>10</v>
      </c>
      <c r="G8" s="63">
        <f t="shared" si="0"/>
        <v>6.4220286850614604E-3</v>
      </c>
      <c r="H8" s="63">
        <f t="shared" si="5"/>
        <v>5.3065800786813597E-2</v>
      </c>
      <c r="I8" s="76">
        <f t="shared" si="1"/>
        <v>330</v>
      </c>
      <c r="J8" s="76">
        <f t="shared" si="2"/>
        <v>1100000</v>
      </c>
      <c r="K8" s="77">
        <f>J8*'Inflation Rates by Year'!$C$2</f>
        <v>1243836</v>
      </c>
      <c r="L8" s="78">
        <f t="shared" si="3"/>
        <v>3769.2</v>
      </c>
    </row>
    <row r="9" spans="1:12" ht="15" customHeight="1">
      <c r="A9" s="81">
        <v>44426</v>
      </c>
      <c r="B9" s="61">
        <v>8</v>
      </c>
      <c r="C9" s="61" t="s">
        <v>271</v>
      </c>
      <c r="D9" s="62">
        <v>550</v>
      </c>
      <c r="E9" s="62">
        <v>1105000</v>
      </c>
      <c r="F9" s="63">
        <f t="shared" si="4"/>
        <v>220</v>
      </c>
      <c r="G9" s="63">
        <f t="shared" si="0"/>
        <v>0.14128463107135214</v>
      </c>
      <c r="H9" s="63">
        <f t="shared" si="5"/>
        <v>1.0113820054989897</v>
      </c>
      <c r="I9" s="76">
        <f t="shared" si="1"/>
        <v>550</v>
      </c>
      <c r="J9" s="76">
        <f t="shared" si="2"/>
        <v>1105000</v>
      </c>
      <c r="K9" s="77">
        <f>J9*'Inflation Rates by Year'!$C$2</f>
        <v>1249489.8</v>
      </c>
      <c r="L9" s="78">
        <f t="shared" si="3"/>
        <v>2271.7996363636366</v>
      </c>
    </row>
    <row r="10" spans="1:12" ht="15" customHeight="1">
      <c r="A10" s="81">
        <v>44427</v>
      </c>
      <c r="B10" s="61">
        <v>9</v>
      </c>
      <c r="C10" s="61" t="s">
        <v>271</v>
      </c>
      <c r="D10" s="62">
        <v>850</v>
      </c>
      <c r="E10" s="62">
        <v>1200000</v>
      </c>
      <c r="F10" s="63">
        <f t="shared" si="4"/>
        <v>300</v>
      </c>
      <c r="G10" s="63">
        <f t="shared" si="0"/>
        <v>0.19266086055184381</v>
      </c>
      <c r="H10" s="63">
        <f t="shared" si="5"/>
        <v>1.0910699685274579</v>
      </c>
      <c r="I10" s="76">
        <f t="shared" si="1"/>
        <v>850</v>
      </c>
      <c r="J10" s="76">
        <f t="shared" si="2"/>
        <v>1200000</v>
      </c>
      <c r="K10" s="77">
        <f>J10*'Inflation Rates by Year'!$C$2</f>
        <v>1356912</v>
      </c>
      <c r="L10" s="78">
        <f t="shared" si="3"/>
        <v>1596.3670588235293</v>
      </c>
    </row>
    <row r="11" spans="1:12" ht="15" customHeight="1">
      <c r="A11" s="81">
        <v>44428</v>
      </c>
      <c r="B11" s="61">
        <v>10</v>
      </c>
      <c r="C11" s="61" t="s">
        <v>271</v>
      </c>
      <c r="D11" s="62">
        <v>873</v>
      </c>
      <c r="E11" s="62">
        <v>1125000</v>
      </c>
      <c r="F11" s="63">
        <f t="shared" si="4"/>
        <v>23</v>
      </c>
      <c r="G11" s="63">
        <f t="shared" si="0"/>
        <v>1.4770665975641358E-2</v>
      </c>
      <c r="H11" s="63">
        <f t="shared" si="5"/>
        <v>7.496411563201226E-2</v>
      </c>
      <c r="I11" s="76">
        <f t="shared" si="1"/>
        <v>873</v>
      </c>
      <c r="J11" s="76">
        <f t="shared" si="2"/>
        <v>1125000</v>
      </c>
      <c r="K11" s="77">
        <f>J11*'Inflation Rates by Year'!$C$2</f>
        <v>1272105</v>
      </c>
      <c r="L11" s="78">
        <f t="shared" si="3"/>
        <v>1457.1649484536083</v>
      </c>
    </row>
    <row r="12" spans="1:12" ht="15" customHeight="1">
      <c r="A12" s="81">
        <v>44429</v>
      </c>
      <c r="B12" s="61">
        <v>11</v>
      </c>
      <c r="C12" s="61" t="s">
        <v>271</v>
      </c>
      <c r="D12" s="62">
        <v>878</v>
      </c>
      <c r="E12" s="62">
        <v>1200000</v>
      </c>
      <c r="F12" s="63">
        <f t="shared" si="4"/>
        <v>5</v>
      </c>
      <c r="G12" s="63">
        <f t="shared" si="0"/>
        <v>3.2110143425307302E-3</v>
      </c>
      <c r="H12" s="63">
        <f t="shared" si="5"/>
        <v>1.6165380240240057E-2</v>
      </c>
      <c r="I12" s="76">
        <f t="shared" si="1"/>
        <v>878</v>
      </c>
      <c r="J12" s="76">
        <f t="shared" si="2"/>
        <v>1200000</v>
      </c>
      <c r="K12" s="77">
        <f>J12*'Inflation Rates by Year'!$C$2</f>
        <v>1356912</v>
      </c>
      <c r="L12" s="78">
        <f t="shared" si="3"/>
        <v>1545.4578587699316</v>
      </c>
    </row>
    <row r="13" spans="1:12" ht="15" customHeight="1">
      <c r="A13" s="81">
        <v>44430</v>
      </c>
      <c r="B13" s="61">
        <v>12</v>
      </c>
      <c r="C13" s="61" t="s">
        <v>271</v>
      </c>
      <c r="D13" s="62">
        <v>899</v>
      </c>
      <c r="E13" s="62">
        <v>1300000</v>
      </c>
      <c r="F13" s="63">
        <f t="shared" si="4"/>
        <v>21</v>
      </c>
      <c r="G13" s="63">
        <f t="shared" si="0"/>
        <v>1.3486260238629068E-2</v>
      </c>
      <c r="H13" s="63">
        <f t="shared" si="5"/>
        <v>6.7397178129702806E-2</v>
      </c>
      <c r="I13" s="76">
        <f t="shared" si="1"/>
        <v>899</v>
      </c>
      <c r="J13" s="76">
        <f t="shared" si="2"/>
        <v>1300000</v>
      </c>
      <c r="K13" s="77">
        <f>J13*'Inflation Rates by Year'!$C$2</f>
        <v>1469988</v>
      </c>
      <c r="L13" s="78">
        <f t="shared" si="3"/>
        <v>1635.1368186874304</v>
      </c>
    </row>
    <row r="14" spans="1:12" ht="15" customHeight="1">
      <c r="A14" s="81">
        <v>44431</v>
      </c>
      <c r="B14" s="61">
        <v>13</v>
      </c>
      <c r="C14" s="61" t="s">
        <v>271</v>
      </c>
      <c r="D14" s="62">
        <v>899</v>
      </c>
      <c r="E14" s="62">
        <v>1200000</v>
      </c>
      <c r="F14" s="63">
        <f t="shared" si="4"/>
        <v>0</v>
      </c>
      <c r="G14" s="63">
        <f t="shared" si="0"/>
        <v>0</v>
      </c>
      <c r="H14" s="63">
        <f t="shared" si="5"/>
        <v>0</v>
      </c>
      <c r="I14" s="76">
        <f t="shared" si="1"/>
        <v>899</v>
      </c>
      <c r="J14" s="76">
        <f t="shared" si="2"/>
        <v>1200000</v>
      </c>
      <c r="K14" s="77">
        <f>J14*'Inflation Rates by Year'!$C$2</f>
        <v>1356912</v>
      </c>
      <c r="L14" s="78">
        <f t="shared" si="3"/>
        <v>1509.3570634037819</v>
      </c>
    </row>
    <row r="15" spans="1:12" ht="15" customHeight="1">
      <c r="A15" s="81">
        <v>44432</v>
      </c>
      <c r="B15" s="61">
        <v>14</v>
      </c>
      <c r="C15" s="61" t="s">
        <v>271</v>
      </c>
      <c r="D15" s="62">
        <v>948</v>
      </c>
      <c r="E15" s="62">
        <v>1325000</v>
      </c>
      <c r="F15" s="63">
        <f t="shared" si="4"/>
        <v>49</v>
      </c>
      <c r="G15" s="63">
        <f t="shared" si="0"/>
        <v>3.1467940556801154E-2</v>
      </c>
      <c r="H15" s="63">
        <f t="shared" si="5"/>
        <v>0.15426215740012891</v>
      </c>
      <c r="I15" s="76">
        <f t="shared" si="1"/>
        <v>948</v>
      </c>
      <c r="J15" s="76">
        <f t="shared" si="2"/>
        <v>1325000</v>
      </c>
      <c r="K15" s="77">
        <f>J15*'Inflation Rates by Year'!$C$2</f>
        <v>1498257</v>
      </c>
      <c r="L15" s="78">
        <f t="shared" si="3"/>
        <v>1580.4398734177216</v>
      </c>
    </row>
    <row r="16" spans="1:12" ht="15" customHeight="1">
      <c r="A16" s="81">
        <v>44433</v>
      </c>
      <c r="B16" s="61">
        <v>15</v>
      </c>
      <c r="C16" s="61" t="s">
        <v>271</v>
      </c>
      <c r="D16" s="62">
        <v>1039</v>
      </c>
      <c r="E16" s="62">
        <v>1330000</v>
      </c>
      <c r="F16" s="63">
        <f t="shared" si="4"/>
        <v>91</v>
      </c>
      <c r="G16" s="63">
        <f t="shared" si="0"/>
        <v>5.8440461034059289E-2</v>
      </c>
      <c r="H16" s="63">
        <f t="shared" si="5"/>
        <v>0.27625806251782326</v>
      </c>
      <c r="I16" s="76">
        <f t="shared" si="1"/>
        <v>1039</v>
      </c>
      <c r="J16" s="76">
        <f t="shared" si="2"/>
        <v>1330000</v>
      </c>
      <c r="K16" s="77">
        <f>J16*'Inflation Rates by Year'!$C$2</f>
        <v>1503910.8</v>
      </c>
      <c r="L16" s="78">
        <f t="shared" si="3"/>
        <v>1447.459865255053</v>
      </c>
    </row>
    <row r="17" spans="1:12" ht="15" customHeight="1">
      <c r="A17" s="81">
        <v>44434</v>
      </c>
      <c r="B17" s="61">
        <v>16</v>
      </c>
      <c r="C17" s="61" t="s">
        <v>271</v>
      </c>
      <c r="D17" s="62">
        <v>1038</v>
      </c>
      <c r="E17" s="62">
        <v>1335000</v>
      </c>
      <c r="F17" s="63">
        <f t="shared" si="4"/>
        <v>-1</v>
      </c>
      <c r="G17" s="63">
        <f t="shared" si="0"/>
        <v>-6.4220286850614604E-4</v>
      </c>
      <c r="H17" s="63">
        <f t="shared" si="5"/>
        <v>-2.9685222938532017E-3</v>
      </c>
      <c r="I17" s="76">
        <f t="shared" si="1"/>
        <v>1038</v>
      </c>
      <c r="J17" s="76">
        <f t="shared" si="2"/>
        <v>1335000</v>
      </c>
      <c r="K17" s="77">
        <f>J17*'Inflation Rates by Year'!$C$2</f>
        <v>1509564.6</v>
      </c>
      <c r="L17" s="78">
        <f t="shared" si="3"/>
        <v>1454.3011560693642</v>
      </c>
    </row>
    <row r="18" spans="1:12" ht="15" customHeight="1">
      <c r="A18" s="81">
        <v>44435</v>
      </c>
      <c r="B18" s="61">
        <v>17</v>
      </c>
      <c r="C18" s="61" t="s">
        <v>271</v>
      </c>
      <c r="D18" s="62">
        <v>1342</v>
      </c>
      <c r="E18" s="62">
        <v>1340000</v>
      </c>
      <c r="F18" s="63">
        <f t="shared" si="4"/>
        <v>304</v>
      </c>
      <c r="G18" s="63">
        <f t="shared" si="0"/>
        <v>0.19522967202586838</v>
      </c>
      <c r="H18" s="63">
        <f t="shared" si="5"/>
        <v>0.84476288769462837</v>
      </c>
      <c r="I18" s="76">
        <f t="shared" si="1"/>
        <v>1342</v>
      </c>
      <c r="J18" s="76">
        <f t="shared" si="2"/>
        <v>1340000</v>
      </c>
      <c r="K18" s="77">
        <f>J18*'Inflation Rates by Year'!$C$2</f>
        <v>1515218.4</v>
      </c>
      <c r="L18" s="78">
        <f t="shared" si="3"/>
        <v>1129.0748137108792</v>
      </c>
    </row>
    <row r="19" spans="1:12" ht="15" customHeight="1">
      <c r="A19" s="81">
        <v>44436</v>
      </c>
      <c r="B19" s="61">
        <v>18</v>
      </c>
      <c r="C19" s="61" t="s">
        <v>271</v>
      </c>
      <c r="D19" s="62">
        <v>4450</v>
      </c>
      <c r="E19" s="62">
        <v>1400000</v>
      </c>
      <c r="F19" s="63">
        <f t="shared" si="4"/>
        <v>3108</v>
      </c>
      <c r="G19" s="63">
        <f t="shared" si="0"/>
        <v>1.995966515317102</v>
      </c>
      <c r="H19" s="63">
        <f t="shared" si="5"/>
        <v>5.7541239851159727</v>
      </c>
      <c r="I19" s="76">
        <f t="shared" si="1"/>
        <v>4450</v>
      </c>
      <c r="J19" s="76">
        <f t="shared" si="2"/>
        <v>1400000</v>
      </c>
      <c r="K19" s="77">
        <f>J19*'Inflation Rates by Year'!$C$2</f>
        <v>1583064</v>
      </c>
      <c r="L19" s="78">
        <f t="shared" si="3"/>
        <v>355.74471910112362</v>
      </c>
    </row>
    <row r="20" spans="1:12" ht="15" customHeight="1">
      <c r="A20" s="81">
        <v>44437</v>
      </c>
      <c r="B20" s="61">
        <v>19</v>
      </c>
      <c r="C20" s="61" t="s">
        <v>271</v>
      </c>
      <c r="D20" s="62">
        <v>4300</v>
      </c>
      <c r="E20" s="62">
        <v>1450000</v>
      </c>
      <c r="F20" s="63">
        <f t="shared" si="4"/>
        <v>-150</v>
      </c>
      <c r="G20" s="63">
        <f t="shared" si="0"/>
        <v>-9.6330430275921905E-2</v>
      </c>
      <c r="H20" s="63">
        <f t="shared" si="5"/>
        <v>-0.2169510410852907</v>
      </c>
      <c r="I20" s="76">
        <f t="shared" si="1"/>
        <v>4300</v>
      </c>
      <c r="J20" s="76">
        <f t="shared" si="2"/>
        <v>1450000</v>
      </c>
      <c r="K20" s="77">
        <f>J20*'Inflation Rates by Year'!$C$2</f>
        <v>1639602</v>
      </c>
      <c r="L20" s="78">
        <f t="shared" si="3"/>
        <v>381.30279069767442</v>
      </c>
    </row>
    <row r="21" spans="1:12" ht="14.5">
      <c r="A21" s="81">
        <v>44438</v>
      </c>
      <c r="B21" s="61">
        <v>20</v>
      </c>
      <c r="C21" s="61" t="s">
        <v>271</v>
      </c>
      <c r="D21" s="62">
        <v>5000</v>
      </c>
      <c r="E21" s="62">
        <v>1455000</v>
      </c>
      <c r="F21" s="63">
        <f t="shared" si="4"/>
        <v>700</v>
      </c>
      <c r="G21" s="63">
        <f t="shared" si="0"/>
        <v>0.44954200795430221</v>
      </c>
      <c r="H21" s="63">
        <f t="shared" si="5"/>
        <v>0.98270536707881728</v>
      </c>
      <c r="I21" s="76">
        <f t="shared" si="1"/>
        <v>5000</v>
      </c>
      <c r="J21" s="76">
        <f t="shared" si="2"/>
        <v>1455000</v>
      </c>
      <c r="K21" s="77">
        <f>J21*'Inflation Rates by Year'!$C$2</f>
        <v>1645255.8</v>
      </c>
      <c r="L21" s="78">
        <f t="shared" si="3"/>
        <v>329.05115999999998</v>
      </c>
    </row>
    <row r="22" spans="1:12" ht="14.5">
      <c r="A22" s="81">
        <v>44439</v>
      </c>
      <c r="B22" s="61">
        <v>21</v>
      </c>
      <c r="C22" s="61" t="s">
        <v>271</v>
      </c>
      <c r="D22" s="62">
        <v>6000</v>
      </c>
      <c r="E22" s="62">
        <v>1500000</v>
      </c>
      <c r="F22" s="63">
        <f t="shared" si="4"/>
        <v>1000</v>
      </c>
      <c r="G22" s="63">
        <f t="shared" si="0"/>
        <v>0.64220286850614605</v>
      </c>
      <c r="H22" s="63">
        <f t="shared" si="5"/>
        <v>1.2912557134300431</v>
      </c>
      <c r="I22" s="76">
        <f t="shared" si="1"/>
        <v>6000</v>
      </c>
      <c r="J22" s="76">
        <f t="shared" si="2"/>
        <v>1500000</v>
      </c>
      <c r="K22" s="77">
        <f>J22*'Inflation Rates by Year'!$C$2</f>
        <v>1696140</v>
      </c>
      <c r="L22" s="78">
        <f t="shared" si="3"/>
        <v>282.69</v>
      </c>
    </row>
    <row r="23" spans="1:12" ht="14.5">
      <c r="A23" s="81">
        <v>44440</v>
      </c>
      <c r="B23" s="61">
        <v>22</v>
      </c>
      <c r="C23" s="61" t="s">
        <v>271</v>
      </c>
      <c r="D23" s="62">
        <v>13876</v>
      </c>
      <c r="E23" s="62">
        <v>1505000</v>
      </c>
      <c r="F23" s="63">
        <f t="shared" si="4"/>
        <v>7876</v>
      </c>
      <c r="G23" s="63">
        <f t="shared" si="0"/>
        <v>5.0579897923544062</v>
      </c>
      <c r="H23" s="63">
        <f t="shared" si="5"/>
        <v>7.7174645268097519</v>
      </c>
      <c r="I23" s="76">
        <f t="shared" si="1"/>
        <v>13876</v>
      </c>
      <c r="J23" s="76">
        <f t="shared" si="2"/>
        <v>1505000</v>
      </c>
      <c r="K23" s="77">
        <f>J23*'Inflation Rates by Year'!$C$2</f>
        <v>1701793.8</v>
      </c>
      <c r="L23" s="78">
        <f t="shared" si="3"/>
        <v>122.64296627270107</v>
      </c>
    </row>
    <row r="24" spans="1:12" ht="14.5">
      <c r="A24" s="81">
        <v>44441</v>
      </c>
      <c r="B24" s="61">
        <v>23</v>
      </c>
      <c r="C24" s="61" t="s">
        <v>271</v>
      </c>
      <c r="D24" s="62">
        <v>14386</v>
      </c>
      <c r="E24" s="62">
        <v>1525000</v>
      </c>
      <c r="F24" s="63">
        <f t="shared" si="4"/>
        <v>510</v>
      </c>
      <c r="G24" s="63">
        <f t="shared" si="0"/>
        <v>0.3275234629381345</v>
      </c>
      <c r="H24" s="63">
        <f t="shared" si="5"/>
        <v>0.41043554085220019</v>
      </c>
      <c r="I24" s="76">
        <f t="shared" si="1"/>
        <v>14386</v>
      </c>
      <c r="J24" s="76">
        <f t="shared" si="2"/>
        <v>1525000</v>
      </c>
      <c r="K24" s="77">
        <f>J24*'Inflation Rates by Year'!$C$2</f>
        <v>1724409</v>
      </c>
      <c r="L24" s="78">
        <f t="shared" si="3"/>
        <v>119.86716251911581</v>
      </c>
    </row>
    <row r="25" spans="1:12" ht="14.5">
      <c r="A25" s="81">
        <v>44442</v>
      </c>
      <c r="B25" s="61">
        <v>24</v>
      </c>
      <c r="C25" s="61" t="s">
        <v>271</v>
      </c>
      <c r="D25" s="62">
        <v>21283</v>
      </c>
      <c r="E25" s="62">
        <v>1525000</v>
      </c>
      <c r="F25" s="63">
        <f t="shared" si="4"/>
        <v>6897</v>
      </c>
      <c r="G25" s="63">
        <f t="shared" si="0"/>
        <v>4.4292731840868891</v>
      </c>
      <c r="H25" s="63">
        <f t="shared" si="5"/>
        <v>4.9640034935442632</v>
      </c>
      <c r="I25" s="76">
        <f t="shared" si="1"/>
        <v>21283</v>
      </c>
      <c r="J25" s="76">
        <f t="shared" si="2"/>
        <v>1525000</v>
      </c>
      <c r="K25" s="77">
        <f>J25*'Inflation Rates by Year'!$C$2</f>
        <v>1724409</v>
      </c>
      <c r="L25" s="78">
        <f t="shared" si="3"/>
        <v>81.022835126626887</v>
      </c>
    </row>
    <row r="26" spans="1:12" ht="14.5">
      <c r="A26" s="81">
        <v>44443</v>
      </c>
      <c r="B26" s="61">
        <v>25</v>
      </c>
      <c r="C26" s="61" t="s">
        <v>271</v>
      </c>
      <c r="D26" s="62">
        <v>23334</v>
      </c>
      <c r="E26" s="62">
        <v>2220000</v>
      </c>
      <c r="F26" s="63">
        <f t="shared" si="4"/>
        <v>2051</v>
      </c>
      <c r="G26" s="63">
        <f t="shared" si="0"/>
        <v>1.3171580833061056</v>
      </c>
      <c r="H26" s="63">
        <f t="shared" si="5"/>
        <v>1.3139802437020025</v>
      </c>
      <c r="I26" s="76">
        <f t="shared" si="1"/>
        <v>23334</v>
      </c>
      <c r="J26" s="76">
        <f t="shared" si="2"/>
        <v>2220000</v>
      </c>
      <c r="K26" s="77">
        <f>J26*'Inflation Rates by Year'!$C$2</f>
        <v>2510287.2000000002</v>
      </c>
      <c r="L26" s="78">
        <f t="shared" si="3"/>
        <v>107.58066340961688</v>
      </c>
    </row>
    <row r="27" spans="1:12" ht="14.5">
      <c r="A27" s="81">
        <v>44444</v>
      </c>
      <c r="B27" s="61">
        <v>26</v>
      </c>
      <c r="C27" s="61" t="s">
        <v>271</v>
      </c>
      <c r="D27" s="62">
        <v>26589</v>
      </c>
      <c r="E27" s="62">
        <v>2224000</v>
      </c>
      <c r="F27" s="63">
        <f t="shared" si="4"/>
        <v>3255</v>
      </c>
      <c r="G27" s="63">
        <f t="shared" si="0"/>
        <v>2.0903703369875055</v>
      </c>
      <c r="H27" s="63">
        <f t="shared" si="5"/>
        <v>1.9719248176907687</v>
      </c>
      <c r="I27" s="76">
        <f t="shared" si="1"/>
        <v>26589</v>
      </c>
      <c r="J27" s="76">
        <f t="shared" si="2"/>
        <v>2224000</v>
      </c>
      <c r="K27" s="77">
        <f>J27*'Inflation Rates by Year'!$C$2</f>
        <v>2514810.2399999998</v>
      </c>
      <c r="L27" s="78">
        <f t="shared" si="3"/>
        <v>94.580850727744547</v>
      </c>
    </row>
    <row r="28" spans="1:12" ht="14.5">
      <c r="A28" s="81">
        <v>44445</v>
      </c>
      <c r="B28" s="61">
        <v>27</v>
      </c>
      <c r="C28" s="61" t="s">
        <v>271</v>
      </c>
      <c r="D28" s="62">
        <v>29771</v>
      </c>
      <c r="E28" s="62">
        <v>2340000</v>
      </c>
      <c r="F28" s="63">
        <f t="shared" si="4"/>
        <v>3182</v>
      </c>
      <c r="G28" s="63">
        <f t="shared" si="0"/>
        <v>2.0434895275865568</v>
      </c>
      <c r="H28" s="63">
        <f t="shared" si="5"/>
        <v>1.8140384302736432</v>
      </c>
      <c r="I28" s="76">
        <f t="shared" si="1"/>
        <v>29771</v>
      </c>
      <c r="J28" s="76">
        <f t="shared" si="2"/>
        <v>2340000</v>
      </c>
      <c r="K28" s="77">
        <f>J28*'Inflation Rates by Year'!$C$2</f>
        <v>2645978.4</v>
      </c>
      <c r="L28" s="78">
        <f t="shared" si="3"/>
        <v>88.877713210842757</v>
      </c>
    </row>
    <row r="29" spans="1:12" ht="14.5">
      <c r="A29" s="81">
        <v>44446</v>
      </c>
      <c r="B29" s="61">
        <v>28</v>
      </c>
      <c r="C29" s="61" t="s">
        <v>271</v>
      </c>
      <c r="D29" s="62">
        <v>38000</v>
      </c>
      <c r="E29" s="62">
        <v>2549000</v>
      </c>
      <c r="F29" s="63">
        <f t="shared" si="4"/>
        <v>8229</v>
      </c>
      <c r="G29" s="63">
        <f t="shared" si="0"/>
        <v>5.2846874049370758</v>
      </c>
      <c r="H29" s="63">
        <f t="shared" si="5"/>
        <v>4.284385254339746</v>
      </c>
      <c r="I29" s="76">
        <f t="shared" si="1"/>
        <v>38000</v>
      </c>
      <c r="J29" s="76">
        <f t="shared" si="2"/>
        <v>2549000</v>
      </c>
      <c r="K29" s="77">
        <f>J29*'Inflation Rates by Year'!$C$2</f>
        <v>2882307.2399999998</v>
      </c>
      <c r="L29" s="78">
        <f t="shared" si="3"/>
        <v>75.850190526315785</v>
      </c>
    </row>
    <row r="30" spans="1:12" ht="14.5">
      <c r="A30" s="81">
        <v>44447</v>
      </c>
      <c r="B30" s="61">
        <v>29</v>
      </c>
      <c r="C30" s="61" t="s">
        <v>271</v>
      </c>
      <c r="D30" s="62">
        <v>43204</v>
      </c>
      <c r="E30" s="62">
        <v>2709000</v>
      </c>
      <c r="F30" s="63">
        <f t="shared" si="4"/>
        <v>5204</v>
      </c>
      <c r="G30" s="63">
        <f t="shared" si="0"/>
        <v>3.3420237277059841</v>
      </c>
      <c r="H30" s="63">
        <f t="shared" si="5"/>
        <v>2.4718973088826068</v>
      </c>
      <c r="I30" s="76">
        <f t="shared" si="1"/>
        <v>43204</v>
      </c>
      <c r="J30" s="76">
        <f t="shared" si="2"/>
        <v>2709000</v>
      </c>
      <c r="K30" s="77">
        <f>J30*'Inflation Rates by Year'!$C$2</f>
        <v>3063228.84</v>
      </c>
      <c r="L30" s="78">
        <f t="shared" si="3"/>
        <v>70.901510045366166</v>
      </c>
    </row>
    <row r="31" spans="1:12" ht="14.5">
      <c r="A31" s="81">
        <v>44448</v>
      </c>
      <c r="B31" s="61">
        <v>30</v>
      </c>
      <c r="C31" s="61" t="s">
        <v>271</v>
      </c>
      <c r="D31" s="62">
        <v>49784</v>
      </c>
      <c r="E31" s="62">
        <v>2790000</v>
      </c>
      <c r="F31" s="63">
        <f t="shared" si="4"/>
        <v>6580</v>
      </c>
      <c r="G31" s="63">
        <f t="shared" si="0"/>
        <v>4.2256948747704408</v>
      </c>
      <c r="H31" s="63">
        <f t="shared" si="5"/>
        <v>2.9210791802746288</v>
      </c>
      <c r="I31" s="76">
        <f t="shared" si="1"/>
        <v>49784</v>
      </c>
      <c r="J31" s="76">
        <f t="shared" si="2"/>
        <v>2790000</v>
      </c>
      <c r="K31" s="77">
        <f>J31*'Inflation Rates by Year'!$C$2</f>
        <v>3154820.4</v>
      </c>
      <c r="L31" s="78">
        <f t="shared" si="3"/>
        <v>63.370167121966894</v>
      </c>
    </row>
    <row r="32" spans="1:12" ht="14.5">
      <c r="A32" s="81">
        <v>44449</v>
      </c>
      <c r="B32" s="61">
        <v>31</v>
      </c>
      <c r="C32" s="61" t="s">
        <v>271</v>
      </c>
      <c r="D32" s="62">
        <v>49784</v>
      </c>
      <c r="E32" s="62">
        <v>2853000</v>
      </c>
      <c r="F32" s="63">
        <f t="shared" si="4"/>
        <v>0</v>
      </c>
      <c r="G32" s="63">
        <f t="shared" si="0"/>
        <v>0</v>
      </c>
      <c r="H32" s="63">
        <f t="shared" si="5"/>
        <v>0</v>
      </c>
      <c r="I32" s="76">
        <f t="shared" si="1"/>
        <v>49784</v>
      </c>
      <c r="J32" s="76">
        <f t="shared" si="2"/>
        <v>2853000</v>
      </c>
      <c r="K32" s="77">
        <f>J32*'Inflation Rates by Year'!$C$2</f>
        <v>3226058.28</v>
      </c>
      <c r="L32" s="78">
        <f t="shared" si="3"/>
        <v>64.801106379559698</v>
      </c>
    </row>
    <row r="33" spans="1:12" ht="14.5">
      <c r="A33" s="81">
        <v>44450</v>
      </c>
      <c r="B33" s="61">
        <v>32</v>
      </c>
      <c r="C33" s="61" t="s">
        <v>271</v>
      </c>
      <c r="D33" s="62">
        <v>50963</v>
      </c>
      <c r="E33" s="62">
        <v>2998000</v>
      </c>
      <c r="F33" s="63">
        <f t="shared" si="4"/>
        <v>1179</v>
      </c>
      <c r="G33" s="63">
        <f t="shared" si="0"/>
        <v>0.75715718196874615</v>
      </c>
      <c r="H33" s="63">
        <f t="shared" si="5"/>
        <v>0.50253200863313141</v>
      </c>
      <c r="I33" s="76">
        <f t="shared" si="1"/>
        <v>50963</v>
      </c>
      <c r="J33" s="76">
        <f t="shared" si="2"/>
        <v>2998000</v>
      </c>
      <c r="K33" s="77">
        <f>J33*'Inflation Rates by Year'!$C$2</f>
        <v>3390018.48</v>
      </c>
      <c r="L33" s="78">
        <f t="shared" si="3"/>
        <v>66.519209622667418</v>
      </c>
    </row>
    <row r="34" spans="1:12" ht="14.5">
      <c r="A34" s="81">
        <v>44451</v>
      </c>
      <c r="B34" s="61">
        <v>33</v>
      </c>
      <c r="C34" s="61" t="s">
        <v>271</v>
      </c>
      <c r="D34" s="62">
        <v>50963</v>
      </c>
      <c r="E34" s="62">
        <v>3124469</v>
      </c>
      <c r="F34" s="63">
        <f t="shared" si="4"/>
        <v>0</v>
      </c>
      <c r="G34" s="63">
        <f t="shared" si="0"/>
        <v>0</v>
      </c>
      <c r="H34" s="63">
        <f t="shared" si="5"/>
        <v>0</v>
      </c>
      <c r="I34" s="76">
        <f t="shared" ref="I34:I64" si="6">D34</f>
        <v>50963</v>
      </c>
      <c r="J34" s="76">
        <f t="shared" ref="J34:J64" si="7">E34</f>
        <v>3124469</v>
      </c>
      <c r="K34" s="77">
        <f>J34*'Inflation Rates by Year'!$C$2</f>
        <v>3533024.5664399997</v>
      </c>
      <c r="L34" s="78">
        <f t="shared" si="3"/>
        <v>69.32528631438494</v>
      </c>
    </row>
    <row r="35" spans="1:12" ht="14.5">
      <c r="A35" s="81">
        <v>44452</v>
      </c>
      <c r="B35" s="61">
        <v>34</v>
      </c>
      <c r="C35" s="61" t="s">
        <v>271</v>
      </c>
      <c r="D35" s="62">
        <v>60979</v>
      </c>
      <c r="E35" s="62">
        <v>3580000</v>
      </c>
      <c r="F35" s="63">
        <f t="shared" si="4"/>
        <v>10016</v>
      </c>
      <c r="G35" s="63">
        <f t="shared" si="0"/>
        <v>6.4323039309575591</v>
      </c>
      <c r="H35" s="63">
        <f t="shared" si="5"/>
        <v>4.0540794277583672</v>
      </c>
      <c r="I35" s="76">
        <f t="shared" si="6"/>
        <v>60979</v>
      </c>
      <c r="J35" s="76">
        <f t="shared" si="7"/>
        <v>3580000</v>
      </c>
      <c r="K35" s="77">
        <f>J35*'Inflation Rates by Year'!$C$2</f>
        <v>4048120.8</v>
      </c>
      <c r="L35" s="78">
        <f t="shared" si="3"/>
        <v>66.385490086751176</v>
      </c>
    </row>
    <row r="36" spans="1:12" ht="14.5">
      <c r="A36" s="81">
        <v>44453</v>
      </c>
      <c r="B36" s="61">
        <v>35</v>
      </c>
      <c r="C36" s="61" t="s">
        <v>271</v>
      </c>
      <c r="D36" s="62">
        <v>60979</v>
      </c>
      <c r="E36" s="62">
        <v>3700000</v>
      </c>
      <c r="F36" s="63">
        <f t="shared" si="4"/>
        <v>0</v>
      </c>
      <c r="G36" s="63">
        <f t="shared" si="0"/>
        <v>0</v>
      </c>
      <c r="H36" s="63">
        <f t="shared" si="5"/>
        <v>0</v>
      </c>
      <c r="I36" s="76">
        <f t="shared" si="6"/>
        <v>60979</v>
      </c>
      <c r="J36" s="76">
        <f t="shared" si="7"/>
        <v>3700000</v>
      </c>
      <c r="K36" s="77">
        <f>J36*'Inflation Rates by Year'!$C$2</f>
        <v>4183812</v>
      </c>
      <c r="L36" s="78">
        <f t="shared" si="3"/>
        <v>68.610702044966303</v>
      </c>
    </row>
    <row r="37" spans="1:12" ht="14.5">
      <c r="A37" s="81">
        <v>44454</v>
      </c>
      <c r="B37" s="61">
        <v>36</v>
      </c>
      <c r="C37" s="61" t="s">
        <v>271</v>
      </c>
      <c r="D37" s="62">
        <v>64670</v>
      </c>
      <c r="E37" s="62">
        <v>4457000</v>
      </c>
      <c r="F37" s="63">
        <f t="shared" si="4"/>
        <v>3691</v>
      </c>
      <c r="G37" s="63">
        <f t="shared" si="0"/>
        <v>2.370370787656185</v>
      </c>
      <c r="H37" s="63">
        <f t="shared" si="5"/>
        <v>1.4088668086855913</v>
      </c>
      <c r="I37" s="76">
        <f t="shared" si="6"/>
        <v>64670</v>
      </c>
      <c r="J37" s="76">
        <f t="shared" si="7"/>
        <v>4457000</v>
      </c>
      <c r="K37" s="77">
        <f>J37*'Inflation Rates by Year'!$C$2</f>
        <v>5039797.32</v>
      </c>
      <c r="L37" s="78">
        <f t="shared" si="3"/>
        <v>77.930993041595798</v>
      </c>
    </row>
    <row r="38" spans="1:12" ht="14.5">
      <c r="A38" s="81">
        <v>44455</v>
      </c>
      <c r="B38" s="61">
        <v>37</v>
      </c>
      <c r="C38" s="61" t="s">
        <v>271</v>
      </c>
      <c r="D38" s="62">
        <v>67079</v>
      </c>
      <c r="E38" s="62">
        <v>4800000</v>
      </c>
      <c r="F38" s="63">
        <f t="shared" si="4"/>
        <v>2409</v>
      </c>
      <c r="G38" s="63">
        <f t="shared" si="0"/>
        <v>1.5470667102313058</v>
      </c>
      <c r="H38" s="63">
        <f t="shared" si="5"/>
        <v>0.89792453599787903</v>
      </c>
      <c r="I38" s="76">
        <f t="shared" si="6"/>
        <v>67079</v>
      </c>
      <c r="J38" s="76">
        <f t="shared" si="7"/>
        <v>4800000</v>
      </c>
      <c r="K38" s="77">
        <f>J38*'Inflation Rates by Year'!$C$2</f>
        <v>5427648</v>
      </c>
      <c r="L38" s="78">
        <f t="shared" si="3"/>
        <v>80.914265269309325</v>
      </c>
    </row>
    <row r="39" spans="1:12" ht="14.5">
      <c r="A39" s="81">
        <v>44456</v>
      </c>
      <c r="B39" s="61">
        <v>38</v>
      </c>
      <c r="C39" s="61" t="s">
        <v>271</v>
      </c>
      <c r="D39" s="62">
        <v>73620</v>
      </c>
      <c r="E39" s="62">
        <v>5319000</v>
      </c>
      <c r="F39" s="63">
        <f t="shared" si="4"/>
        <v>6541</v>
      </c>
      <c r="G39" s="63">
        <f t="shared" si="0"/>
        <v>4.2006489628987014</v>
      </c>
      <c r="H39" s="63">
        <f t="shared" si="5"/>
        <v>2.3597968507981308</v>
      </c>
      <c r="I39" s="76">
        <f t="shared" si="6"/>
        <v>73620</v>
      </c>
      <c r="J39" s="76">
        <f t="shared" si="7"/>
        <v>5319000</v>
      </c>
      <c r="K39" s="77">
        <f>J39*'Inflation Rates by Year'!$C$2</f>
        <v>6014512.4399999995</v>
      </c>
      <c r="L39" s="78">
        <f t="shared" si="3"/>
        <v>81.696718826405856</v>
      </c>
    </row>
    <row r="40" spans="1:12" ht="14.5">
      <c r="A40" s="81">
        <v>44457</v>
      </c>
      <c r="B40" s="61">
        <v>39</v>
      </c>
      <c r="C40" s="61" t="s">
        <v>271</v>
      </c>
      <c r="D40" s="62">
        <v>73620</v>
      </c>
      <c r="E40" s="62">
        <v>5400000</v>
      </c>
      <c r="F40" s="63">
        <f t="shared" si="4"/>
        <v>0</v>
      </c>
      <c r="G40" s="63">
        <f t="shared" si="0"/>
        <v>0</v>
      </c>
      <c r="H40" s="63">
        <f t="shared" si="5"/>
        <v>0</v>
      </c>
      <c r="I40" s="76">
        <f t="shared" si="6"/>
        <v>73620</v>
      </c>
      <c r="J40" s="76">
        <f t="shared" si="7"/>
        <v>5400000</v>
      </c>
      <c r="K40" s="77">
        <f>J40*'Inflation Rates by Year'!$C$2</f>
        <v>6106104</v>
      </c>
      <c r="L40" s="78">
        <f t="shared" si="3"/>
        <v>82.940831295843523</v>
      </c>
    </row>
    <row r="41" spans="1:12" ht="14.5">
      <c r="A41" s="81">
        <v>44458</v>
      </c>
      <c r="B41" s="61">
        <v>40</v>
      </c>
      <c r="C41" s="61" t="s">
        <v>271</v>
      </c>
      <c r="D41" s="62">
        <v>73620</v>
      </c>
      <c r="E41" s="62">
        <v>5800000</v>
      </c>
      <c r="F41" s="63">
        <f t="shared" si="4"/>
        <v>0</v>
      </c>
      <c r="G41" s="63">
        <f t="shared" si="0"/>
        <v>0</v>
      </c>
      <c r="H41" s="63">
        <f t="shared" si="5"/>
        <v>0</v>
      </c>
      <c r="I41" s="76">
        <f t="shared" si="6"/>
        <v>73620</v>
      </c>
      <c r="J41" s="76">
        <f t="shared" si="7"/>
        <v>5800000</v>
      </c>
      <c r="K41" s="77">
        <f>J41*'Inflation Rates by Year'!$C$2</f>
        <v>6558408</v>
      </c>
      <c r="L41" s="78">
        <f t="shared" si="3"/>
        <v>89.084596577017109</v>
      </c>
    </row>
    <row r="42" spans="1:12" ht="14.5">
      <c r="A42" s="81">
        <v>44459</v>
      </c>
      <c r="B42" s="61">
        <v>41</v>
      </c>
      <c r="C42" s="61" t="s">
        <v>271</v>
      </c>
      <c r="D42" s="62">
        <v>79707</v>
      </c>
      <c r="E42" s="62">
        <v>6200000</v>
      </c>
      <c r="F42" s="63">
        <f t="shared" si="4"/>
        <v>6087</v>
      </c>
      <c r="G42" s="63">
        <f t="shared" si="0"/>
        <v>3.9090888605969112</v>
      </c>
      <c r="H42" s="63">
        <f t="shared" si="5"/>
        <v>2.1034788146079708</v>
      </c>
      <c r="I42" s="76">
        <f t="shared" si="6"/>
        <v>79707</v>
      </c>
      <c r="J42" s="76">
        <f t="shared" si="7"/>
        <v>6200000</v>
      </c>
      <c r="K42" s="77">
        <f>J42*'Inflation Rates by Year'!$C$2</f>
        <v>7010712</v>
      </c>
      <c r="L42" s="78">
        <f t="shared" si="3"/>
        <v>87.956038992811173</v>
      </c>
    </row>
    <row r="43" spans="1:12" ht="14.5">
      <c r="A43" s="81">
        <v>44460</v>
      </c>
      <c r="B43" s="61">
        <v>42</v>
      </c>
      <c r="C43" s="61" t="s">
        <v>271</v>
      </c>
      <c r="D43" s="62">
        <v>79707</v>
      </c>
      <c r="E43" s="62">
        <v>6545000</v>
      </c>
      <c r="F43" s="63">
        <f t="shared" si="4"/>
        <v>0</v>
      </c>
      <c r="G43" s="63">
        <f t="shared" si="0"/>
        <v>0</v>
      </c>
      <c r="H43" s="63">
        <f t="shared" si="5"/>
        <v>0</v>
      </c>
      <c r="I43" s="76">
        <f t="shared" si="6"/>
        <v>79707</v>
      </c>
      <c r="J43" s="76">
        <f t="shared" si="7"/>
        <v>6545000</v>
      </c>
      <c r="K43" s="77">
        <f>J43*'Inflation Rates by Year'!$C$2</f>
        <v>7400824.2000000002</v>
      </c>
      <c r="L43" s="78">
        <f t="shared" si="3"/>
        <v>92.850366969024051</v>
      </c>
    </row>
    <row r="44" spans="1:12" ht="14.5">
      <c r="A44" s="81">
        <v>44461</v>
      </c>
      <c r="B44" s="61">
        <v>43</v>
      </c>
      <c r="C44" s="61" t="s">
        <v>271</v>
      </c>
      <c r="D44" s="62">
        <v>79856</v>
      </c>
      <c r="E44" s="62">
        <v>6950000</v>
      </c>
      <c r="F44" s="63">
        <f t="shared" si="4"/>
        <v>149</v>
      </c>
      <c r="G44" s="63">
        <f t="shared" si="0"/>
        <v>9.5688227407415755E-2</v>
      </c>
      <c r="H44" s="63">
        <f t="shared" si="5"/>
        <v>5.0463662810381393E-2</v>
      </c>
      <c r="I44" s="76">
        <f t="shared" si="6"/>
        <v>79856</v>
      </c>
      <c r="J44" s="76">
        <f t="shared" si="7"/>
        <v>6950000</v>
      </c>
      <c r="K44" s="77">
        <f>J44*'Inflation Rates by Year'!$C$2</f>
        <v>7858782</v>
      </c>
      <c r="L44" s="78">
        <f t="shared" si="3"/>
        <v>98.411916449609294</v>
      </c>
    </row>
    <row r="45" spans="1:12" ht="14.5">
      <c r="A45" s="81">
        <v>44462</v>
      </c>
      <c r="B45" s="61">
        <v>44</v>
      </c>
      <c r="C45" s="61" t="s">
        <v>271</v>
      </c>
      <c r="D45" s="62">
        <v>80053</v>
      </c>
      <c r="E45" s="62">
        <v>7400000</v>
      </c>
      <c r="F45" s="63">
        <f t="shared" si="4"/>
        <v>197</v>
      </c>
      <c r="G45" s="63">
        <f t="shared" si="0"/>
        <v>0.12651396509571078</v>
      </c>
      <c r="H45" s="63">
        <f t="shared" si="5"/>
        <v>6.6648197036670354E-2</v>
      </c>
      <c r="I45" s="76">
        <f t="shared" si="6"/>
        <v>80053</v>
      </c>
      <c r="J45" s="76">
        <f t="shared" si="7"/>
        <v>7400000</v>
      </c>
      <c r="K45" s="77">
        <f>J45*'Inflation Rates by Year'!$C$2</f>
        <v>8367624</v>
      </c>
      <c r="L45" s="78">
        <f t="shared" si="3"/>
        <v>104.52605149088728</v>
      </c>
    </row>
    <row r="46" spans="1:12" ht="14.5">
      <c r="A46" s="81">
        <v>44463</v>
      </c>
      <c r="B46" s="61">
        <v>45</v>
      </c>
      <c r="C46" s="61" t="s">
        <v>271</v>
      </c>
      <c r="D46" s="62">
        <v>80299</v>
      </c>
      <c r="E46" s="62">
        <v>7717000</v>
      </c>
      <c r="F46" s="63">
        <f t="shared" si="4"/>
        <v>246</v>
      </c>
      <c r="G46" s="63">
        <f t="shared" si="0"/>
        <v>0.15798190565251194</v>
      </c>
      <c r="H46" s="63">
        <f t="shared" si="5"/>
        <v>8.3110633922595142E-2</v>
      </c>
      <c r="I46" s="76">
        <f t="shared" si="6"/>
        <v>80299</v>
      </c>
      <c r="J46" s="76">
        <f t="shared" si="7"/>
        <v>7717000</v>
      </c>
      <c r="K46" s="77">
        <f>J46*'Inflation Rates by Year'!$C$2</f>
        <v>8726074.9199999999</v>
      </c>
      <c r="L46" s="78">
        <f t="shared" si="3"/>
        <v>108.66978318534477</v>
      </c>
    </row>
    <row r="47" spans="1:12" ht="14.5">
      <c r="A47" s="81">
        <v>44464</v>
      </c>
      <c r="B47" s="61">
        <v>46</v>
      </c>
      <c r="C47" s="61" t="s">
        <v>271</v>
      </c>
      <c r="D47" s="62">
        <v>80518</v>
      </c>
      <c r="E47" s="62">
        <v>9869000</v>
      </c>
      <c r="F47" s="63">
        <f t="shared" si="4"/>
        <v>219</v>
      </c>
      <c r="G47" s="63">
        <f t="shared" si="0"/>
        <v>0.14064242820284598</v>
      </c>
      <c r="H47" s="63">
        <f t="shared" si="5"/>
        <v>7.3881684360128763E-2</v>
      </c>
      <c r="I47" s="76">
        <f t="shared" si="6"/>
        <v>80518</v>
      </c>
      <c r="J47" s="76">
        <f t="shared" si="7"/>
        <v>9869000</v>
      </c>
      <c r="K47" s="77">
        <f>J47*'Inflation Rates by Year'!$C$2</f>
        <v>11159470.439999999</v>
      </c>
      <c r="L47" s="78">
        <f t="shared" si="3"/>
        <v>138.59597158399365</v>
      </c>
    </row>
    <row r="48" spans="1:12" ht="14.5">
      <c r="A48" s="81">
        <v>44465</v>
      </c>
      <c r="B48" s="61">
        <v>47</v>
      </c>
      <c r="C48" s="61" t="s">
        <v>271</v>
      </c>
      <c r="D48" s="62">
        <v>81607</v>
      </c>
      <c r="E48" s="62">
        <v>10120000</v>
      </c>
      <c r="F48" s="63">
        <f t="shared" si="4"/>
        <v>1089</v>
      </c>
      <c r="G48" s="63">
        <f t="shared" si="0"/>
        <v>0.69935892380319309</v>
      </c>
      <c r="H48" s="63">
        <f t="shared" si="5"/>
        <v>0.36590124326603374</v>
      </c>
      <c r="I48" s="76">
        <f t="shared" si="6"/>
        <v>81607</v>
      </c>
      <c r="J48" s="76">
        <f t="shared" si="7"/>
        <v>10120000</v>
      </c>
      <c r="K48" s="77">
        <f>J48*'Inflation Rates by Year'!$C$2</f>
        <v>11443291.199999999</v>
      </c>
      <c r="L48" s="78">
        <f t="shared" si="3"/>
        <v>140.22438271226733</v>
      </c>
    </row>
    <row r="49" spans="1:26" ht="14.5">
      <c r="A49" s="81">
        <v>44466</v>
      </c>
      <c r="B49" s="61">
        <v>48</v>
      </c>
      <c r="C49" s="61" t="s">
        <v>271</v>
      </c>
      <c r="D49" s="62">
        <v>84138</v>
      </c>
      <c r="E49" s="62">
        <v>10620000</v>
      </c>
      <c r="F49" s="63">
        <f t="shared" si="4"/>
        <v>2531</v>
      </c>
      <c r="G49" s="63">
        <f t="shared" si="0"/>
        <v>1.6254154601890556</v>
      </c>
      <c r="H49" s="63">
        <f t="shared" si="5"/>
        <v>0.84109129415744333</v>
      </c>
      <c r="I49" s="76">
        <f t="shared" si="6"/>
        <v>84138</v>
      </c>
      <c r="J49" s="76">
        <f t="shared" si="7"/>
        <v>10620000</v>
      </c>
      <c r="K49" s="77">
        <f>J49*'Inflation Rates by Year'!$C$2</f>
        <v>12008671.199999999</v>
      </c>
      <c r="L49" s="78">
        <f t="shared" si="3"/>
        <v>142.72589317549739</v>
      </c>
    </row>
    <row r="50" spans="1:26" ht="14.5">
      <c r="A50" s="81">
        <v>44467</v>
      </c>
      <c r="B50" s="61">
        <v>49</v>
      </c>
      <c r="C50" s="61" t="s">
        <v>271</v>
      </c>
      <c r="D50" s="62">
        <v>84212</v>
      </c>
      <c r="E50" s="62">
        <v>10700000</v>
      </c>
      <c r="F50" s="63">
        <f t="shared" si="4"/>
        <v>74</v>
      </c>
      <c r="G50" s="63">
        <f t="shared" si="0"/>
        <v>4.7523012269454809E-2</v>
      </c>
      <c r="H50" s="63">
        <f t="shared" si="5"/>
        <v>2.4399656952209133E-2</v>
      </c>
      <c r="I50" s="76">
        <f t="shared" si="6"/>
        <v>84212</v>
      </c>
      <c r="J50" s="76">
        <f t="shared" si="7"/>
        <v>10700000</v>
      </c>
      <c r="K50" s="77">
        <f>J50*'Inflation Rates by Year'!$C$2</f>
        <v>12099132</v>
      </c>
      <c r="L50" s="78">
        <f t="shared" si="3"/>
        <v>143.67467819313163</v>
      </c>
    </row>
    <row r="51" spans="1:26" ht="14.5">
      <c r="A51" s="81">
        <v>44468</v>
      </c>
      <c r="B51" s="61">
        <v>50</v>
      </c>
      <c r="C51" s="61" t="s">
        <v>271</v>
      </c>
      <c r="D51" s="62">
        <v>84535</v>
      </c>
      <c r="E51" s="62">
        <v>11000000</v>
      </c>
      <c r="F51" s="63">
        <f t="shared" si="4"/>
        <v>323</v>
      </c>
      <c r="G51" s="63">
        <f t="shared" si="0"/>
        <v>0.20743152652748517</v>
      </c>
      <c r="H51" s="63">
        <f t="shared" si="5"/>
        <v>0.10637589852254627</v>
      </c>
      <c r="I51" s="76">
        <f t="shared" si="6"/>
        <v>84535</v>
      </c>
      <c r="J51" s="76">
        <f t="shared" si="7"/>
        <v>11000000</v>
      </c>
      <c r="K51" s="77">
        <f>J51*'Inflation Rates by Year'!$C$2</f>
        <v>12438360</v>
      </c>
      <c r="L51" s="78">
        <f t="shared" si="3"/>
        <v>147.13858165256994</v>
      </c>
    </row>
    <row r="52" spans="1:26" ht="14.5">
      <c r="A52" s="81">
        <v>44469</v>
      </c>
      <c r="B52" s="61">
        <v>51</v>
      </c>
      <c r="C52" s="61" t="s">
        <v>271</v>
      </c>
      <c r="D52" s="62">
        <v>84756</v>
      </c>
      <c r="E52" s="62">
        <v>11150000</v>
      </c>
      <c r="F52" s="63">
        <f t="shared" si="4"/>
        <v>221</v>
      </c>
      <c r="G52" s="63">
        <f t="shared" si="0"/>
        <v>0.14192683393985828</v>
      </c>
      <c r="H52" s="63">
        <f t="shared" si="5"/>
        <v>7.2666456290057066E-2</v>
      </c>
      <c r="I52" s="76">
        <f t="shared" si="6"/>
        <v>84756</v>
      </c>
      <c r="J52" s="76">
        <f t="shared" si="7"/>
        <v>11150000</v>
      </c>
      <c r="K52" s="77">
        <f>J52*'Inflation Rates by Year'!$C$2</f>
        <v>12607974</v>
      </c>
      <c r="L52" s="78">
        <f t="shared" si="3"/>
        <v>148.75612346028601</v>
      </c>
    </row>
    <row r="53" spans="1:26" ht="14.5">
      <c r="A53" s="81">
        <v>44470</v>
      </c>
      <c r="B53" s="61">
        <v>52</v>
      </c>
      <c r="C53" s="61" t="s">
        <v>271</v>
      </c>
      <c r="D53" s="62">
        <v>85120</v>
      </c>
      <c r="E53" s="62">
        <v>11217000</v>
      </c>
      <c r="F53" s="63">
        <f t="shared" si="4"/>
        <v>364</v>
      </c>
      <c r="G53" s="63">
        <f t="shared" si="0"/>
        <v>0.23376184413623716</v>
      </c>
      <c r="H53" s="63">
        <f t="shared" si="5"/>
        <v>0.11947971288404209</v>
      </c>
      <c r="I53" s="76">
        <f t="shared" si="6"/>
        <v>85120</v>
      </c>
      <c r="J53" s="76">
        <f t="shared" si="7"/>
        <v>11217000</v>
      </c>
      <c r="K53" s="77">
        <f>J53*'Inflation Rates by Year'!$C$2</f>
        <v>12683734.92</v>
      </c>
      <c r="L53" s="78">
        <f t="shared" si="3"/>
        <v>149.01004370300751</v>
      </c>
    </row>
    <row r="54" spans="1:26" ht="14.5">
      <c r="A54" s="81">
        <v>44471</v>
      </c>
      <c r="B54" s="61">
        <v>53</v>
      </c>
      <c r="C54" s="61" t="s">
        <v>271</v>
      </c>
      <c r="D54" s="62">
        <v>85405</v>
      </c>
      <c r="E54" s="62">
        <v>11381212.380000001</v>
      </c>
      <c r="F54" s="63">
        <f t="shared" si="4"/>
        <v>285</v>
      </c>
      <c r="G54" s="63">
        <f t="shared" si="0"/>
        <v>0.18302781752425162</v>
      </c>
      <c r="H54" s="63">
        <f t="shared" si="5"/>
        <v>9.3370467455680839E-2</v>
      </c>
      <c r="I54" s="76">
        <f t="shared" si="6"/>
        <v>85405</v>
      </c>
      <c r="J54" s="76">
        <f t="shared" si="7"/>
        <v>11381212.380000001</v>
      </c>
      <c r="K54" s="77">
        <f>J54*'Inflation Rates by Year'!$C$2</f>
        <v>12869419.710808801</v>
      </c>
      <c r="L54" s="78">
        <f t="shared" si="3"/>
        <v>150.68695873554009</v>
      </c>
    </row>
    <row r="55" spans="1:26" ht="14.5">
      <c r="A55" s="81">
        <v>44472</v>
      </c>
      <c r="B55" s="61">
        <v>54</v>
      </c>
      <c r="C55" s="61" t="s">
        <v>271</v>
      </c>
      <c r="D55" s="62">
        <v>85937</v>
      </c>
      <c r="E55" s="62">
        <v>11564000</v>
      </c>
      <c r="F55" s="63">
        <f t="shared" si="4"/>
        <v>532</v>
      </c>
      <c r="G55" s="63">
        <f t="shared" si="0"/>
        <v>0.34165192604526967</v>
      </c>
      <c r="H55" s="63">
        <f t="shared" si="5"/>
        <v>0.1738756594888648</v>
      </c>
      <c r="I55" s="76">
        <f t="shared" si="6"/>
        <v>85937</v>
      </c>
      <c r="J55" s="76">
        <f t="shared" si="7"/>
        <v>11564000</v>
      </c>
      <c r="K55" s="77">
        <f>J55*'Inflation Rates by Year'!$C$2</f>
        <v>13076108.640000001</v>
      </c>
      <c r="L55" s="78">
        <f t="shared" si="3"/>
        <v>152.15924037376217</v>
      </c>
    </row>
    <row r="56" spans="1:26" ht="14.5">
      <c r="A56" s="81">
        <v>44473</v>
      </c>
      <c r="B56" s="61">
        <v>55</v>
      </c>
      <c r="C56" s="61" t="s">
        <v>271</v>
      </c>
      <c r="D56" s="62">
        <v>87314</v>
      </c>
      <c r="E56" s="62">
        <v>11572000</v>
      </c>
      <c r="F56" s="63">
        <f t="shared" si="4"/>
        <v>1377</v>
      </c>
      <c r="G56" s="63">
        <f t="shared" si="0"/>
        <v>0.88431334993296307</v>
      </c>
      <c r="H56" s="63">
        <f t="shared" si="5"/>
        <v>0.44756698718624383</v>
      </c>
      <c r="I56" s="76">
        <f t="shared" si="6"/>
        <v>87314</v>
      </c>
      <c r="J56" s="76">
        <f t="shared" si="7"/>
        <v>11572000</v>
      </c>
      <c r="K56" s="77">
        <f>J56*'Inflation Rates by Year'!$C$2</f>
        <v>13085154.720000001</v>
      </c>
      <c r="L56" s="78">
        <f t="shared" si="3"/>
        <v>149.86319169892573</v>
      </c>
    </row>
    <row r="57" spans="1:26" ht="14.5">
      <c r="A57" s="81">
        <v>44474</v>
      </c>
      <c r="B57" s="61">
        <v>56</v>
      </c>
      <c r="C57" s="61" t="s">
        <v>271</v>
      </c>
      <c r="D57" s="62">
        <v>87788</v>
      </c>
      <c r="E57" s="62">
        <v>11700000</v>
      </c>
      <c r="F57" s="63">
        <f t="shared" si="4"/>
        <v>474</v>
      </c>
      <c r="G57" s="63">
        <f t="shared" si="0"/>
        <v>0.3044041596719132</v>
      </c>
      <c r="H57" s="63">
        <f t="shared" si="5"/>
        <v>0.15324691365803814</v>
      </c>
      <c r="I57" s="76">
        <f t="shared" si="6"/>
        <v>87788</v>
      </c>
      <c r="J57" s="76">
        <f t="shared" si="7"/>
        <v>11700000</v>
      </c>
      <c r="K57" s="77">
        <f>J57*'Inflation Rates by Year'!$C$2</f>
        <v>13229892</v>
      </c>
      <c r="L57" s="78">
        <f t="shared" si="3"/>
        <v>150.70273841527316</v>
      </c>
    </row>
    <row r="58" spans="1:26" ht="14.5">
      <c r="A58" s="82">
        <v>44475</v>
      </c>
      <c r="B58" s="83">
        <v>57</v>
      </c>
      <c r="C58" s="83" t="s">
        <v>271</v>
      </c>
      <c r="D58" s="72">
        <v>88757</v>
      </c>
      <c r="E58" s="72">
        <v>11750000</v>
      </c>
      <c r="F58" s="63">
        <f t="shared" si="4"/>
        <v>969</v>
      </c>
      <c r="G58" s="63">
        <f t="shared" si="0"/>
        <v>0.62229457958245549</v>
      </c>
      <c r="H58" s="63">
        <f t="shared" si="5"/>
        <v>0.31200119104750257</v>
      </c>
      <c r="I58" s="72">
        <f t="shared" si="6"/>
        <v>88757</v>
      </c>
      <c r="J58" s="72">
        <f t="shared" si="7"/>
        <v>11750000</v>
      </c>
      <c r="K58" s="73">
        <f>J58*'Inflation Rates by Year'!$C$2</f>
        <v>13286430</v>
      </c>
      <c r="L58" s="73">
        <f t="shared" si="3"/>
        <v>149.69444663519496</v>
      </c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4.5">
      <c r="A59" s="81">
        <v>44476</v>
      </c>
      <c r="B59" s="61">
        <v>58</v>
      </c>
      <c r="C59" s="61" t="s">
        <v>271</v>
      </c>
      <c r="D59" s="62">
        <v>88757</v>
      </c>
      <c r="E59" s="62">
        <v>11810000</v>
      </c>
      <c r="F59" s="63">
        <f t="shared" si="4"/>
        <v>0</v>
      </c>
      <c r="G59" s="63">
        <f t="shared" si="0"/>
        <v>0</v>
      </c>
      <c r="H59" s="63">
        <f t="shared" si="5"/>
        <v>0</v>
      </c>
      <c r="I59" s="76">
        <f t="shared" si="6"/>
        <v>88757</v>
      </c>
      <c r="J59" s="72">
        <f t="shared" si="7"/>
        <v>11810000</v>
      </c>
      <c r="K59" s="73">
        <f>J59*'Inflation Rates by Year'!$C$2</f>
        <v>13354275.6</v>
      </c>
      <c r="L59" s="73">
        <f t="shared" si="3"/>
        <v>150.45884380950235</v>
      </c>
    </row>
    <row r="60" spans="1:26" ht="14.5">
      <c r="A60" s="81">
        <v>44477</v>
      </c>
      <c r="B60" s="61">
        <v>59</v>
      </c>
      <c r="C60" s="61" t="s">
        <v>271</v>
      </c>
      <c r="D60" s="62">
        <v>88757</v>
      </c>
      <c r="E60" s="62">
        <v>12000000</v>
      </c>
      <c r="F60" s="63">
        <f t="shared" si="4"/>
        <v>0</v>
      </c>
      <c r="G60" s="63">
        <f t="shared" si="0"/>
        <v>0</v>
      </c>
      <c r="H60" s="63">
        <f t="shared" si="5"/>
        <v>0</v>
      </c>
      <c r="I60" s="76">
        <f t="shared" si="6"/>
        <v>88757</v>
      </c>
      <c r="J60" s="76">
        <f t="shared" si="7"/>
        <v>12000000</v>
      </c>
      <c r="K60" s="77">
        <f>J60*'Inflation Rates by Year'!$C$2</f>
        <v>13569120</v>
      </c>
      <c r="L60" s="78">
        <f t="shared" si="3"/>
        <v>152.87943486147572</v>
      </c>
    </row>
    <row r="61" spans="1:26" ht="14.5">
      <c r="A61" s="81">
        <v>44478</v>
      </c>
      <c r="B61" s="61">
        <v>60</v>
      </c>
      <c r="C61" s="61" t="s">
        <v>271</v>
      </c>
      <c r="D61" s="62">
        <v>88757</v>
      </c>
      <c r="E61" s="62">
        <v>12001000</v>
      </c>
      <c r="F61" s="63">
        <f t="shared" si="4"/>
        <v>0</v>
      </c>
      <c r="G61" s="63">
        <f t="shared" si="0"/>
        <v>0</v>
      </c>
      <c r="H61" s="63">
        <f t="shared" si="5"/>
        <v>0</v>
      </c>
      <c r="I61" s="76">
        <f t="shared" si="6"/>
        <v>88757</v>
      </c>
      <c r="J61" s="76">
        <f t="shared" si="7"/>
        <v>12001000</v>
      </c>
      <c r="K61" s="77">
        <f>J61*'Inflation Rates by Year'!$C$2</f>
        <v>13570250.76</v>
      </c>
      <c r="L61" s="78">
        <f t="shared" si="3"/>
        <v>152.89217481438084</v>
      </c>
    </row>
    <row r="62" spans="1:26" ht="14.5">
      <c r="A62" s="81">
        <v>44479</v>
      </c>
      <c r="B62" s="61">
        <v>61</v>
      </c>
      <c r="C62" s="61" t="s">
        <v>271</v>
      </c>
      <c r="D62" s="62">
        <v>88757</v>
      </c>
      <c r="E62" s="62">
        <v>12001100</v>
      </c>
      <c r="F62" s="63">
        <f t="shared" si="4"/>
        <v>0</v>
      </c>
      <c r="G62" s="63">
        <f t="shared" si="0"/>
        <v>0</v>
      </c>
      <c r="H62" s="63">
        <f t="shared" si="5"/>
        <v>0</v>
      </c>
      <c r="I62" s="76">
        <f t="shared" si="6"/>
        <v>88757</v>
      </c>
      <c r="J62" s="76">
        <f t="shared" si="7"/>
        <v>12001100</v>
      </c>
      <c r="K62" s="77">
        <f>J62*'Inflation Rates by Year'!$C$2</f>
        <v>13570363.835999999</v>
      </c>
      <c r="L62" s="78">
        <f t="shared" si="3"/>
        <v>152.89344880967133</v>
      </c>
    </row>
    <row r="63" spans="1:26" ht="14.5">
      <c r="A63" s="81">
        <v>44483</v>
      </c>
      <c r="B63" s="61">
        <v>62</v>
      </c>
      <c r="C63" s="61" t="s">
        <v>271</v>
      </c>
      <c r="D63" s="62">
        <v>88757</v>
      </c>
      <c r="E63" s="62">
        <v>12002000</v>
      </c>
      <c r="F63" s="63">
        <f t="shared" si="4"/>
        <v>0</v>
      </c>
      <c r="G63" s="63">
        <f t="shared" si="0"/>
        <v>0</v>
      </c>
      <c r="H63" s="63">
        <f t="shared" si="5"/>
        <v>0</v>
      </c>
      <c r="I63" s="76">
        <f t="shared" si="6"/>
        <v>88757</v>
      </c>
      <c r="J63" s="76">
        <f t="shared" si="7"/>
        <v>12002000</v>
      </c>
      <c r="K63" s="77">
        <f>J63*'Inflation Rates by Year'!$C$2</f>
        <v>13571381.52</v>
      </c>
      <c r="L63" s="78">
        <f t="shared" si="3"/>
        <v>152.90491476728596</v>
      </c>
    </row>
    <row r="64" spans="1:26" ht="14.5">
      <c r="A64" s="81">
        <v>44490</v>
      </c>
      <c r="B64" s="61">
        <v>63</v>
      </c>
      <c r="C64" s="61" t="s">
        <v>271</v>
      </c>
      <c r="D64" s="62">
        <v>88757</v>
      </c>
      <c r="E64" s="62">
        <v>12002000</v>
      </c>
      <c r="F64" s="63">
        <f t="shared" si="4"/>
        <v>0</v>
      </c>
      <c r="G64" s="63">
        <f t="shared" si="0"/>
        <v>0</v>
      </c>
      <c r="H64" s="63">
        <f t="shared" si="5"/>
        <v>0</v>
      </c>
      <c r="I64" s="76">
        <f t="shared" si="6"/>
        <v>88757</v>
      </c>
      <c r="J64" s="76">
        <f t="shared" si="7"/>
        <v>12002000</v>
      </c>
      <c r="K64" s="77">
        <f>J64*'Inflation Rates by Year'!$C$2</f>
        <v>13571381.52</v>
      </c>
      <c r="L64" s="78">
        <f t="shared" si="3"/>
        <v>152.90491476728596</v>
      </c>
    </row>
    <row r="65" spans="1:12" ht="14.5">
      <c r="A65" s="81"/>
      <c r="B65" s="61"/>
      <c r="C65" s="61"/>
      <c r="D65" s="62"/>
      <c r="E65" s="62"/>
      <c r="F65" s="63"/>
      <c r="G65" s="63"/>
      <c r="H65" s="63"/>
      <c r="I65" s="76"/>
      <c r="J65" s="76"/>
      <c r="K65" s="77"/>
      <c r="L65" s="78"/>
    </row>
    <row r="66" spans="1:12" ht="14.5">
      <c r="A66" s="81"/>
      <c r="B66" s="61"/>
      <c r="C66" s="61"/>
      <c r="D66" s="62"/>
      <c r="E66" s="62"/>
      <c r="F66" s="63"/>
      <c r="G66" s="63"/>
      <c r="H66" s="63"/>
      <c r="I66" s="76"/>
      <c r="J66" s="76"/>
      <c r="K66" s="77"/>
      <c r="L66" s="78"/>
    </row>
    <row r="67" spans="1:12" ht="14.5">
      <c r="A67" s="81"/>
      <c r="B67" s="61"/>
      <c r="C67" s="61"/>
      <c r="D67" s="62"/>
      <c r="E67" s="62"/>
      <c r="F67" s="63"/>
      <c r="G67" s="63"/>
      <c r="H67" s="63"/>
      <c r="I67" s="76"/>
      <c r="J67" s="76"/>
      <c r="K67" s="77"/>
      <c r="L67" s="78"/>
    </row>
    <row r="68" spans="1:12" ht="14.5">
      <c r="A68" s="81"/>
      <c r="B68" s="61"/>
      <c r="C68" s="61"/>
      <c r="D68" s="62"/>
      <c r="E68" s="62"/>
      <c r="F68" s="63"/>
      <c r="G68" s="63"/>
      <c r="H68" s="63"/>
      <c r="I68" s="76"/>
      <c r="J68" s="76"/>
      <c r="K68" s="77"/>
      <c r="L68" s="78"/>
    </row>
    <row r="69" spans="1:12" ht="14.5">
      <c r="A69" s="84"/>
      <c r="B69" s="61"/>
      <c r="C69" s="61"/>
      <c r="D69" s="62"/>
      <c r="E69" s="62"/>
      <c r="F69" s="63"/>
      <c r="G69" s="63"/>
      <c r="H69" s="63"/>
      <c r="I69" s="76"/>
      <c r="J69" s="76"/>
      <c r="K69" s="77"/>
      <c r="L69" s="78"/>
    </row>
    <row r="70" spans="1:12" ht="14.5">
      <c r="A70" s="84"/>
      <c r="B70" s="61"/>
      <c r="C70" s="61"/>
      <c r="D70" s="62"/>
      <c r="E70" s="62"/>
      <c r="F70" s="63"/>
      <c r="G70" s="63"/>
      <c r="H70" s="63"/>
      <c r="I70" s="76"/>
      <c r="J70" s="76"/>
      <c r="K70" s="77"/>
      <c r="L70" s="78"/>
    </row>
    <row r="71" spans="1:12" ht="14.5">
      <c r="F71" s="86"/>
      <c r="G71" s="86"/>
      <c r="H71" s="86"/>
      <c r="I71" s="65"/>
      <c r="J71" s="76">
        <f>E71</f>
        <v>0</v>
      </c>
      <c r="K71" s="66"/>
      <c r="L71" s="67"/>
    </row>
    <row r="72" spans="1:12" ht="12.5">
      <c r="F72" s="86"/>
      <c r="G72" s="86"/>
      <c r="H72" s="86"/>
      <c r="I72" s="65"/>
      <c r="J72" s="65"/>
      <c r="K72" s="66"/>
      <c r="L72" s="67"/>
    </row>
    <row r="73" spans="1:12" ht="12.5">
      <c r="F73" s="86"/>
      <c r="G73" s="86"/>
      <c r="H73" s="86"/>
      <c r="I73" s="65"/>
      <c r="J73" s="65"/>
      <c r="K73" s="66"/>
      <c r="L73" s="67"/>
    </row>
    <row r="74" spans="1:12" ht="12.5">
      <c r="F74" s="86"/>
      <c r="G74" s="86"/>
      <c r="H74" s="86"/>
      <c r="I74" s="65"/>
      <c r="J74" s="65"/>
      <c r="K74" s="66"/>
      <c r="L74" s="67"/>
    </row>
    <row r="75" spans="1:12" ht="12.5">
      <c r="F75" s="86"/>
      <c r="G75" s="86"/>
      <c r="H75" s="86"/>
      <c r="I75" s="65"/>
      <c r="J75" s="65"/>
      <c r="K75" s="66"/>
      <c r="L75" s="67"/>
    </row>
    <row r="76" spans="1:12" ht="12.5">
      <c r="F76" s="86"/>
      <c r="G76" s="86"/>
      <c r="H76" s="86"/>
      <c r="I76" s="65"/>
      <c r="J76" s="65"/>
      <c r="K76" s="66"/>
      <c r="L76" s="67"/>
    </row>
    <row r="77" spans="1:12" ht="12.5">
      <c r="F77" s="86"/>
      <c r="G77" s="86"/>
      <c r="H77" s="86"/>
      <c r="I77" s="65"/>
      <c r="J77" s="65"/>
      <c r="K77" s="66"/>
      <c r="L77" s="67"/>
    </row>
    <row r="78" spans="1:12" ht="12.5">
      <c r="F78" s="86"/>
      <c r="G78" s="86"/>
      <c r="H78" s="86"/>
      <c r="I78" s="65"/>
      <c r="J78" s="65"/>
      <c r="K78" s="66"/>
      <c r="L78" s="67"/>
    </row>
    <row r="79" spans="1:12" ht="12.5">
      <c r="F79" s="86"/>
      <c r="G79" s="86"/>
      <c r="H79" s="86"/>
      <c r="I79" s="65"/>
      <c r="J79" s="65"/>
      <c r="K79" s="66"/>
      <c r="L79" s="67"/>
    </row>
    <row r="80" spans="1:12" ht="12.5">
      <c r="F80" s="86"/>
      <c r="G80" s="86"/>
      <c r="H80" s="86"/>
      <c r="I80" s="65"/>
      <c r="J80" s="65"/>
      <c r="K80" s="66"/>
      <c r="L80" s="67"/>
    </row>
    <row r="81" spans="6:12" ht="12.5">
      <c r="F81" s="86"/>
      <c r="G81" s="86"/>
      <c r="H81" s="86"/>
      <c r="I81" s="65"/>
      <c r="J81" s="65"/>
      <c r="K81" s="66"/>
      <c r="L81" s="67"/>
    </row>
    <row r="82" spans="6:12" ht="12.5">
      <c r="F82" s="86"/>
      <c r="G82" s="86"/>
      <c r="H82" s="86"/>
      <c r="I82" s="65"/>
      <c r="J82" s="65"/>
      <c r="K82" s="66"/>
      <c r="L82" s="67"/>
    </row>
    <row r="83" spans="6:12" ht="12.5">
      <c r="F83" s="86"/>
      <c r="G83" s="86"/>
      <c r="H83" s="86"/>
      <c r="I83" s="65"/>
      <c r="J83" s="65"/>
      <c r="K83" s="66"/>
      <c r="L83" s="67"/>
    </row>
    <row r="84" spans="6:12" ht="12.5">
      <c r="F84" s="86"/>
      <c r="G84" s="86"/>
      <c r="H84" s="86"/>
      <c r="I84" s="65"/>
      <c r="J84" s="65"/>
      <c r="K84" s="66"/>
      <c r="L84" s="67"/>
    </row>
    <row r="85" spans="6:12" ht="12.5">
      <c r="F85" s="86"/>
      <c r="G85" s="86"/>
      <c r="H85" s="86"/>
      <c r="I85" s="65"/>
      <c r="J85" s="65"/>
      <c r="K85" s="66"/>
      <c r="L85" s="67"/>
    </row>
    <row r="86" spans="6:12" ht="12.5">
      <c r="F86" s="86"/>
      <c r="G86" s="86"/>
      <c r="H86" s="86"/>
      <c r="I86" s="65"/>
      <c r="J86" s="65"/>
      <c r="K86" s="66"/>
      <c r="L86" s="67"/>
    </row>
    <row r="87" spans="6:12" ht="12.5">
      <c r="F87" s="86"/>
      <c r="G87" s="86"/>
      <c r="H87" s="86"/>
      <c r="I87" s="65"/>
      <c r="J87" s="65"/>
      <c r="K87" s="66"/>
      <c r="L87" s="67"/>
    </row>
    <row r="88" spans="6:12" ht="12.5">
      <c r="F88" s="86"/>
      <c r="G88" s="86"/>
      <c r="H88" s="86"/>
      <c r="I88" s="65"/>
      <c r="J88" s="65"/>
      <c r="K88" s="66"/>
      <c r="L88" s="67"/>
    </row>
    <row r="89" spans="6:12" ht="12.5">
      <c r="F89" s="86"/>
      <c r="G89" s="86"/>
      <c r="H89" s="86"/>
      <c r="I89" s="65"/>
      <c r="J89" s="65"/>
      <c r="K89" s="66"/>
      <c r="L89" s="67"/>
    </row>
    <row r="90" spans="6:12" ht="12.5">
      <c r="F90" s="86"/>
      <c r="G90" s="86"/>
      <c r="H90" s="86"/>
      <c r="I90" s="65"/>
      <c r="J90" s="65"/>
      <c r="K90" s="66"/>
      <c r="L90" s="67"/>
    </row>
    <row r="91" spans="6:12" ht="12.5">
      <c r="F91" s="86"/>
      <c r="G91" s="86"/>
      <c r="H91" s="86"/>
      <c r="I91" s="65"/>
      <c r="J91" s="65"/>
      <c r="K91" s="66"/>
      <c r="L91" s="67"/>
    </row>
    <row r="92" spans="6:12" ht="12.5">
      <c r="F92" s="86"/>
      <c r="G92" s="86"/>
      <c r="H92" s="86"/>
      <c r="I92" s="65"/>
      <c r="J92" s="65"/>
      <c r="K92" s="66"/>
      <c r="L92" s="67"/>
    </row>
    <row r="93" spans="6:12" ht="12.5">
      <c r="F93" s="86"/>
      <c r="G93" s="86"/>
      <c r="H93" s="86"/>
      <c r="I93" s="65"/>
      <c r="J93" s="65"/>
      <c r="K93" s="66"/>
      <c r="L93" s="67"/>
    </row>
    <row r="94" spans="6:12" ht="12.5">
      <c r="F94" s="86"/>
      <c r="G94" s="86"/>
      <c r="H94" s="86"/>
      <c r="I94" s="65"/>
      <c r="J94" s="65"/>
      <c r="K94" s="66"/>
      <c r="L94" s="67"/>
    </row>
    <row r="95" spans="6:12" ht="12.5">
      <c r="F95" s="86"/>
      <c r="G95" s="86"/>
      <c r="H95" s="86"/>
      <c r="I95" s="65"/>
      <c r="J95" s="65"/>
      <c r="K95" s="66"/>
      <c r="L95" s="67"/>
    </row>
    <row r="96" spans="6:12" ht="12.5">
      <c r="F96" s="86"/>
      <c r="G96" s="86"/>
      <c r="H96" s="86"/>
      <c r="I96" s="65"/>
      <c r="J96" s="65"/>
      <c r="K96" s="66"/>
      <c r="L96" s="67"/>
    </row>
    <row r="97" spans="6:12" ht="12.5">
      <c r="F97" s="86"/>
      <c r="G97" s="86"/>
      <c r="H97" s="86"/>
      <c r="I97" s="65"/>
      <c r="J97" s="65"/>
      <c r="K97" s="66"/>
      <c r="L97" s="67"/>
    </row>
    <row r="98" spans="6:12" ht="12.5">
      <c r="F98" s="86"/>
      <c r="G98" s="86"/>
      <c r="H98" s="86"/>
      <c r="I98" s="65"/>
      <c r="J98" s="65"/>
      <c r="K98" s="66"/>
      <c r="L98" s="67"/>
    </row>
    <row r="99" spans="6:12" ht="12.5">
      <c r="F99" s="86"/>
      <c r="G99" s="86"/>
      <c r="H99" s="86"/>
      <c r="I99" s="65"/>
      <c r="J99" s="65"/>
      <c r="K99" s="66"/>
      <c r="L99" s="67"/>
    </row>
    <row r="100" spans="6:12" ht="12.5">
      <c r="F100" s="86"/>
      <c r="G100" s="86"/>
      <c r="H100" s="86"/>
      <c r="I100" s="65"/>
      <c r="J100" s="65"/>
      <c r="K100" s="66"/>
      <c r="L100" s="67"/>
    </row>
    <row r="101" spans="6:12" ht="12.5">
      <c r="F101" s="86"/>
      <c r="G101" s="86"/>
      <c r="H101" s="86"/>
      <c r="I101" s="65"/>
      <c r="J101" s="65"/>
      <c r="K101" s="66"/>
      <c r="L101" s="67"/>
    </row>
    <row r="102" spans="6:12" ht="12.5">
      <c r="F102" s="86"/>
      <c r="G102" s="86"/>
      <c r="H102" s="86"/>
      <c r="I102" s="65"/>
      <c r="J102" s="65"/>
      <c r="K102" s="66"/>
      <c r="L102" s="67"/>
    </row>
    <row r="103" spans="6:12" ht="12.5">
      <c r="F103" s="86"/>
      <c r="G103" s="86"/>
      <c r="H103" s="86"/>
      <c r="I103" s="65"/>
      <c r="J103" s="65"/>
      <c r="K103" s="66"/>
      <c r="L103" s="67"/>
    </row>
    <row r="104" spans="6:12" ht="12.5">
      <c r="F104" s="86"/>
      <c r="G104" s="86"/>
      <c r="H104" s="86"/>
      <c r="I104" s="65"/>
      <c r="J104" s="65"/>
      <c r="K104" s="66"/>
      <c r="L104" s="67"/>
    </row>
    <row r="105" spans="6:12" ht="12.5">
      <c r="F105" s="86"/>
      <c r="G105" s="86"/>
      <c r="H105" s="86"/>
      <c r="I105" s="65"/>
      <c r="J105" s="65"/>
      <c r="K105" s="66"/>
      <c r="L105" s="67"/>
    </row>
    <row r="106" spans="6:12" ht="12.5">
      <c r="F106" s="86"/>
      <c r="G106" s="86"/>
      <c r="H106" s="86"/>
      <c r="I106" s="65"/>
      <c r="J106" s="65"/>
      <c r="K106" s="66"/>
      <c r="L106" s="67"/>
    </row>
    <row r="107" spans="6:12" ht="12.5">
      <c r="F107" s="86"/>
      <c r="G107" s="86"/>
      <c r="H107" s="86"/>
      <c r="I107" s="65"/>
      <c r="J107" s="65"/>
      <c r="K107" s="66"/>
      <c r="L107" s="67"/>
    </row>
    <row r="108" spans="6:12" ht="12.5">
      <c r="F108" s="86"/>
      <c r="G108" s="86"/>
      <c r="H108" s="86"/>
      <c r="I108" s="65"/>
      <c r="J108" s="65"/>
      <c r="K108" s="66"/>
      <c r="L108" s="67"/>
    </row>
    <row r="109" spans="6:12" ht="12.5">
      <c r="F109" s="86"/>
      <c r="G109" s="86"/>
      <c r="H109" s="86"/>
      <c r="I109" s="65"/>
      <c r="J109" s="65"/>
      <c r="K109" s="66"/>
      <c r="L109" s="67"/>
    </row>
    <row r="110" spans="6:12" ht="12.5">
      <c r="F110" s="86"/>
      <c r="G110" s="86"/>
      <c r="H110" s="86"/>
      <c r="I110" s="65"/>
      <c r="J110" s="65"/>
      <c r="K110" s="66"/>
      <c r="L110" s="67"/>
    </row>
    <row r="111" spans="6:12" ht="12.5">
      <c r="F111" s="86"/>
      <c r="G111" s="86"/>
      <c r="H111" s="86"/>
      <c r="I111" s="65"/>
      <c r="J111" s="65"/>
      <c r="K111" s="66"/>
      <c r="L111" s="67"/>
    </row>
    <row r="112" spans="6:12" ht="12.5">
      <c r="F112" s="86"/>
      <c r="G112" s="86"/>
      <c r="H112" s="86"/>
      <c r="I112" s="65"/>
      <c r="J112" s="65"/>
      <c r="K112" s="66"/>
      <c r="L112" s="67"/>
    </row>
    <row r="113" spans="6:12" ht="12.5">
      <c r="F113" s="86"/>
      <c r="G113" s="86"/>
      <c r="H113" s="86"/>
      <c r="I113" s="65"/>
      <c r="J113" s="65"/>
      <c r="K113" s="66"/>
      <c r="L113" s="67"/>
    </row>
    <row r="114" spans="6:12" ht="12.5">
      <c r="F114" s="86"/>
      <c r="G114" s="86"/>
      <c r="H114" s="86"/>
      <c r="I114" s="65"/>
      <c r="J114" s="65"/>
      <c r="K114" s="66"/>
      <c r="L114" s="67"/>
    </row>
    <row r="115" spans="6:12" ht="12.5">
      <c r="F115" s="86"/>
      <c r="G115" s="86"/>
      <c r="H115" s="86"/>
      <c r="I115" s="65"/>
      <c r="J115" s="65"/>
      <c r="K115" s="66"/>
      <c r="L115" s="67"/>
    </row>
    <row r="116" spans="6:12" ht="12.5">
      <c r="F116" s="86"/>
      <c r="G116" s="86"/>
      <c r="H116" s="86"/>
      <c r="I116" s="65"/>
      <c r="J116" s="65"/>
      <c r="K116" s="87"/>
      <c r="L116" s="88"/>
    </row>
    <row r="117" spans="6:12" ht="12.5">
      <c r="F117" s="86"/>
      <c r="G117" s="86"/>
      <c r="H117" s="86"/>
      <c r="I117" s="65"/>
      <c r="J117" s="65"/>
      <c r="K117" s="87"/>
      <c r="L117" s="88"/>
    </row>
    <row r="118" spans="6:12" ht="12.5">
      <c r="F118" s="86"/>
      <c r="G118" s="86"/>
      <c r="H118" s="86"/>
      <c r="I118" s="65"/>
      <c r="J118" s="65"/>
      <c r="K118" s="87"/>
      <c r="L118" s="88"/>
    </row>
    <row r="119" spans="6:12" ht="12.5">
      <c r="F119" s="86"/>
      <c r="G119" s="86"/>
      <c r="H119" s="86"/>
      <c r="I119" s="65"/>
      <c r="J119" s="65"/>
      <c r="K119" s="87"/>
      <c r="L119" s="88"/>
    </row>
    <row r="120" spans="6:12" ht="12.5">
      <c r="F120" s="86"/>
      <c r="G120" s="86"/>
      <c r="H120" s="86"/>
      <c r="I120" s="65"/>
      <c r="J120" s="65"/>
      <c r="K120" s="87"/>
      <c r="L120" s="88"/>
    </row>
    <row r="121" spans="6:12" ht="12.5">
      <c r="F121" s="86"/>
      <c r="G121" s="86"/>
      <c r="H121" s="86"/>
      <c r="I121" s="65"/>
      <c r="J121" s="65"/>
      <c r="K121" s="87"/>
      <c r="L121" s="88"/>
    </row>
    <row r="122" spans="6:12" ht="12.5">
      <c r="F122" s="86"/>
      <c r="G122" s="86"/>
      <c r="H122" s="86"/>
      <c r="I122" s="65"/>
      <c r="J122" s="65"/>
      <c r="K122" s="87"/>
      <c r="L122" s="88"/>
    </row>
    <row r="123" spans="6:12" ht="12.5">
      <c r="F123" s="86"/>
      <c r="G123" s="86"/>
      <c r="H123" s="86"/>
      <c r="I123" s="65"/>
      <c r="J123" s="65"/>
      <c r="K123" s="87"/>
      <c r="L123" s="88"/>
    </row>
    <row r="124" spans="6:12" ht="12.5">
      <c r="F124" s="86"/>
      <c r="G124" s="86"/>
      <c r="H124" s="86"/>
      <c r="I124" s="65"/>
      <c r="J124" s="65"/>
      <c r="K124" s="87"/>
      <c r="L124" s="88"/>
    </row>
    <row r="125" spans="6:12" ht="12.5">
      <c r="F125" s="86"/>
      <c r="G125" s="86"/>
      <c r="H125" s="86"/>
      <c r="I125" s="65"/>
      <c r="J125" s="65"/>
      <c r="K125" s="87"/>
      <c r="L125" s="88"/>
    </row>
    <row r="126" spans="6:12" ht="12.5">
      <c r="F126" s="86"/>
      <c r="G126" s="86"/>
      <c r="H126" s="86"/>
      <c r="I126" s="65"/>
      <c r="J126" s="65"/>
      <c r="K126" s="87"/>
      <c r="L126" s="88"/>
    </row>
    <row r="127" spans="6:12" ht="12.5">
      <c r="F127" s="86"/>
      <c r="G127" s="86"/>
      <c r="H127" s="86"/>
      <c r="I127" s="65"/>
      <c r="J127" s="65"/>
      <c r="K127" s="87"/>
      <c r="L127" s="88"/>
    </row>
    <row r="128" spans="6:12" ht="12.5">
      <c r="F128" s="86"/>
      <c r="G128" s="86"/>
      <c r="H128" s="86"/>
      <c r="I128" s="65"/>
      <c r="J128" s="65"/>
      <c r="K128" s="87"/>
      <c r="L128" s="88"/>
    </row>
    <row r="129" spans="6:12" ht="12.5">
      <c r="F129" s="86"/>
      <c r="G129" s="86"/>
      <c r="H129" s="86"/>
      <c r="I129" s="65"/>
      <c r="J129" s="65"/>
      <c r="K129" s="87"/>
      <c r="L129" s="88"/>
    </row>
    <row r="130" spans="6:12" ht="12.5">
      <c r="F130" s="86"/>
      <c r="G130" s="86"/>
      <c r="H130" s="86"/>
      <c r="I130" s="65"/>
      <c r="J130" s="65"/>
      <c r="K130" s="87"/>
      <c r="L130" s="88"/>
    </row>
    <row r="131" spans="6:12" ht="12.5">
      <c r="F131" s="86"/>
      <c r="G131" s="86"/>
      <c r="H131" s="86"/>
      <c r="I131" s="65"/>
      <c r="J131" s="65"/>
      <c r="K131" s="87"/>
      <c r="L131" s="88"/>
    </row>
    <row r="132" spans="6:12" ht="12.5">
      <c r="F132" s="86"/>
      <c r="G132" s="86"/>
      <c r="H132" s="86"/>
      <c r="I132" s="65"/>
      <c r="J132" s="65"/>
      <c r="K132" s="87"/>
      <c r="L132" s="88"/>
    </row>
    <row r="133" spans="6:12" ht="12.5">
      <c r="F133" s="86"/>
      <c r="G133" s="86"/>
      <c r="H133" s="86"/>
      <c r="I133" s="65"/>
      <c r="J133" s="65"/>
      <c r="K133" s="87"/>
      <c r="L133" s="88"/>
    </row>
    <row r="134" spans="6:12" ht="12.5">
      <c r="F134" s="86"/>
      <c r="G134" s="86"/>
      <c r="H134" s="86"/>
      <c r="I134" s="65"/>
      <c r="J134" s="65"/>
      <c r="K134" s="87"/>
      <c r="L134" s="88"/>
    </row>
    <row r="135" spans="6:12" ht="12.5">
      <c r="F135" s="86"/>
      <c r="G135" s="86"/>
      <c r="H135" s="86"/>
      <c r="I135" s="65"/>
      <c r="J135" s="65"/>
      <c r="K135" s="87"/>
      <c r="L135" s="88"/>
    </row>
    <row r="136" spans="6:12" ht="12.5">
      <c r="F136" s="86"/>
      <c r="G136" s="86"/>
      <c r="H136" s="86"/>
      <c r="I136" s="65"/>
      <c r="J136" s="65"/>
      <c r="K136" s="87"/>
      <c r="L136" s="88"/>
    </row>
    <row r="137" spans="6:12" ht="12.5">
      <c r="F137" s="86"/>
      <c r="G137" s="86"/>
      <c r="H137" s="86"/>
      <c r="I137" s="65"/>
      <c r="J137" s="65"/>
      <c r="K137" s="87"/>
      <c r="L137" s="88"/>
    </row>
    <row r="138" spans="6:12" ht="12.5">
      <c r="F138" s="86"/>
      <c r="G138" s="86"/>
      <c r="H138" s="86"/>
      <c r="I138" s="65"/>
      <c r="J138" s="65"/>
      <c r="K138" s="87"/>
      <c r="L138" s="88"/>
    </row>
    <row r="139" spans="6:12" ht="12.5">
      <c r="F139" s="86"/>
      <c r="G139" s="86"/>
      <c r="H139" s="86"/>
      <c r="I139" s="65"/>
      <c r="J139" s="65"/>
      <c r="K139" s="87"/>
      <c r="L139" s="88"/>
    </row>
    <row r="140" spans="6:12" ht="12.5">
      <c r="F140" s="86"/>
      <c r="G140" s="86"/>
      <c r="H140" s="86"/>
      <c r="I140" s="65"/>
      <c r="J140" s="65"/>
      <c r="K140" s="87"/>
      <c r="L140" s="88"/>
    </row>
    <row r="141" spans="6:12" ht="12.5">
      <c r="F141" s="86"/>
      <c r="G141" s="86"/>
      <c r="H141" s="86"/>
      <c r="I141" s="65"/>
      <c r="J141" s="65"/>
      <c r="K141" s="87"/>
      <c r="L141" s="88"/>
    </row>
    <row r="142" spans="6:12" ht="12.5">
      <c r="F142" s="86"/>
      <c r="G142" s="86"/>
      <c r="H142" s="86"/>
      <c r="I142" s="65"/>
      <c r="J142" s="65"/>
      <c r="K142" s="87"/>
      <c r="L142" s="88"/>
    </row>
    <row r="143" spans="6:12" ht="12.5">
      <c r="F143" s="86"/>
      <c r="G143" s="86"/>
      <c r="H143" s="86"/>
      <c r="I143" s="65"/>
      <c r="J143" s="65"/>
      <c r="K143" s="87"/>
      <c r="L143" s="88"/>
    </row>
    <row r="144" spans="6:12" ht="12.5">
      <c r="F144" s="86"/>
      <c r="G144" s="86"/>
      <c r="H144" s="86"/>
      <c r="I144" s="65"/>
      <c r="J144" s="65"/>
      <c r="K144" s="87"/>
      <c r="L144" s="88"/>
    </row>
    <row r="145" spans="6:12" ht="12.5">
      <c r="F145" s="86"/>
      <c r="G145" s="86"/>
      <c r="H145" s="86"/>
      <c r="I145" s="65"/>
      <c r="J145" s="65"/>
      <c r="K145" s="87"/>
      <c r="L145" s="88"/>
    </row>
    <row r="146" spans="6:12" ht="12.5">
      <c r="F146" s="86"/>
      <c r="G146" s="86"/>
      <c r="H146" s="86"/>
      <c r="I146" s="65"/>
      <c r="J146" s="65"/>
      <c r="K146" s="87"/>
      <c r="L146" s="88"/>
    </row>
    <row r="147" spans="6:12" ht="12.5">
      <c r="F147" s="86"/>
      <c r="G147" s="86"/>
      <c r="H147" s="86"/>
      <c r="I147" s="65"/>
      <c r="J147" s="65"/>
      <c r="K147" s="87"/>
      <c r="L147" s="88"/>
    </row>
    <row r="148" spans="6:12" ht="12.5">
      <c r="F148" s="86"/>
      <c r="G148" s="86"/>
      <c r="H148" s="86"/>
      <c r="I148" s="65"/>
      <c r="J148" s="65"/>
      <c r="K148" s="87"/>
      <c r="L148" s="88"/>
    </row>
    <row r="149" spans="6:12" ht="12.5">
      <c r="F149" s="86"/>
      <c r="G149" s="86"/>
      <c r="H149" s="86"/>
      <c r="I149" s="65"/>
      <c r="J149" s="65"/>
      <c r="K149" s="87"/>
      <c r="L149" s="88"/>
    </row>
    <row r="150" spans="6:12" ht="12.5">
      <c r="F150" s="86"/>
      <c r="G150" s="86"/>
      <c r="H150" s="86"/>
      <c r="I150" s="65"/>
      <c r="J150" s="65"/>
      <c r="K150" s="87"/>
      <c r="L150" s="88"/>
    </row>
    <row r="151" spans="6:12" ht="12.5">
      <c r="F151" s="86"/>
      <c r="G151" s="86"/>
      <c r="H151" s="86"/>
      <c r="I151" s="65"/>
      <c r="J151" s="65"/>
      <c r="K151" s="87"/>
      <c r="L151" s="88"/>
    </row>
    <row r="152" spans="6:12" ht="12.5">
      <c r="F152" s="86"/>
      <c r="G152" s="86"/>
      <c r="H152" s="86"/>
      <c r="I152" s="65"/>
      <c r="J152" s="65"/>
      <c r="K152" s="87"/>
      <c r="L152" s="88"/>
    </row>
    <row r="153" spans="6:12" ht="12.5">
      <c r="F153" s="86"/>
      <c r="G153" s="86"/>
      <c r="H153" s="86"/>
      <c r="I153" s="65"/>
      <c r="J153" s="65"/>
      <c r="K153" s="87"/>
      <c r="L153" s="88"/>
    </row>
    <row r="154" spans="6:12" ht="12.5">
      <c r="F154" s="86"/>
      <c r="G154" s="86"/>
      <c r="H154" s="86"/>
      <c r="I154" s="65"/>
      <c r="J154" s="65"/>
      <c r="K154" s="87"/>
      <c r="L154" s="88"/>
    </row>
    <row r="155" spans="6:12" ht="12.5">
      <c r="F155" s="86"/>
      <c r="G155" s="86"/>
      <c r="H155" s="86"/>
      <c r="I155" s="65"/>
      <c r="J155" s="65"/>
      <c r="K155" s="87"/>
      <c r="L155" s="88"/>
    </row>
    <row r="156" spans="6:12" ht="12.5">
      <c r="F156" s="86"/>
      <c r="G156" s="86"/>
      <c r="H156" s="86"/>
      <c r="I156" s="65"/>
      <c r="J156" s="65"/>
      <c r="K156" s="87"/>
      <c r="L156" s="88"/>
    </row>
    <row r="157" spans="6:12" ht="12.5">
      <c r="F157" s="86"/>
      <c r="G157" s="86"/>
      <c r="H157" s="86"/>
      <c r="I157" s="65"/>
      <c r="J157" s="65"/>
      <c r="K157" s="87"/>
      <c r="L157" s="88"/>
    </row>
    <row r="158" spans="6:12" ht="12.5">
      <c r="F158" s="86"/>
      <c r="G158" s="86"/>
      <c r="H158" s="86"/>
      <c r="I158" s="65"/>
      <c r="J158" s="65"/>
      <c r="K158" s="87"/>
      <c r="L158" s="88"/>
    </row>
    <row r="159" spans="6:12" ht="12.5">
      <c r="F159" s="86"/>
      <c r="G159" s="86"/>
      <c r="H159" s="86"/>
      <c r="I159" s="65"/>
      <c r="J159" s="65"/>
      <c r="K159" s="87"/>
      <c r="L159" s="88"/>
    </row>
    <row r="160" spans="6:12" ht="12.5">
      <c r="F160" s="86"/>
      <c r="G160" s="86"/>
      <c r="H160" s="86"/>
      <c r="I160" s="65"/>
      <c r="J160" s="65"/>
      <c r="K160" s="87"/>
      <c r="L160" s="88"/>
    </row>
    <row r="161" spans="6:12" ht="12.5">
      <c r="F161" s="86"/>
      <c r="G161" s="86"/>
      <c r="H161" s="86"/>
      <c r="I161" s="65"/>
      <c r="J161" s="65"/>
      <c r="K161" s="87"/>
      <c r="L161" s="88"/>
    </row>
    <row r="162" spans="6:12" ht="12.5">
      <c r="F162" s="86"/>
      <c r="G162" s="86"/>
      <c r="H162" s="86"/>
      <c r="I162" s="65"/>
      <c r="J162" s="65"/>
      <c r="K162" s="87"/>
      <c r="L162" s="88"/>
    </row>
    <row r="163" spans="6:12" ht="12.5">
      <c r="F163" s="86"/>
      <c r="G163" s="86"/>
      <c r="H163" s="86"/>
      <c r="I163" s="65"/>
      <c r="J163" s="65"/>
      <c r="K163" s="87"/>
      <c r="L163" s="88"/>
    </row>
    <row r="164" spans="6:12" ht="12.5">
      <c r="F164" s="86"/>
      <c r="G164" s="86"/>
      <c r="H164" s="86"/>
      <c r="I164" s="65"/>
      <c r="J164" s="65"/>
      <c r="K164" s="87"/>
      <c r="L164" s="88"/>
    </row>
    <row r="165" spans="6:12" ht="12.5">
      <c r="F165" s="86"/>
      <c r="G165" s="86"/>
      <c r="H165" s="86"/>
      <c r="I165" s="65"/>
      <c r="J165" s="65"/>
      <c r="K165" s="87"/>
      <c r="L165" s="88"/>
    </row>
    <row r="166" spans="6:12" ht="12.5">
      <c r="F166" s="86"/>
      <c r="G166" s="86"/>
      <c r="H166" s="86"/>
      <c r="I166" s="65"/>
      <c r="J166" s="65"/>
      <c r="K166" s="87"/>
      <c r="L166" s="88"/>
    </row>
    <row r="167" spans="6:12" ht="12.5">
      <c r="F167" s="86"/>
      <c r="G167" s="86"/>
      <c r="H167" s="86"/>
      <c r="I167" s="65"/>
      <c r="J167" s="65"/>
      <c r="K167" s="87"/>
      <c r="L167" s="88"/>
    </row>
    <row r="168" spans="6:12" ht="12.5">
      <c r="F168" s="86"/>
      <c r="G168" s="86"/>
      <c r="H168" s="86"/>
      <c r="I168" s="65"/>
      <c r="J168" s="65"/>
      <c r="K168" s="87"/>
      <c r="L168" s="88"/>
    </row>
    <row r="169" spans="6:12" ht="12.5">
      <c r="F169" s="86"/>
      <c r="G169" s="86"/>
      <c r="H169" s="86"/>
      <c r="I169" s="65"/>
      <c r="J169" s="65"/>
      <c r="K169" s="87"/>
      <c r="L169" s="88"/>
    </row>
    <row r="170" spans="6:12" ht="12.5">
      <c r="F170" s="86"/>
      <c r="G170" s="86"/>
      <c r="H170" s="86"/>
      <c r="I170" s="65"/>
      <c r="J170" s="65"/>
      <c r="K170" s="87"/>
      <c r="L170" s="88"/>
    </row>
    <row r="171" spans="6:12" ht="12.5">
      <c r="F171" s="86"/>
      <c r="G171" s="86"/>
      <c r="H171" s="86"/>
      <c r="I171" s="65"/>
      <c r="J171" s="65"/>
      <c r="K171" s="87"/>
      <c r="L171" s="88"/>
    </row>
    <row r="172" spans="6:12" ht="12.5">
      <c r="F172" s="86"/>
      <c r="G172" s="86"/>
      <c r="H172" s="86"/>
      <c r="I172" s="65"/>
      <c r="J172" s="65"/>
      <c r="K172" s="87"/>
      <c r="L172" s="88"/>
    </row>
    <row r="173" spans="6:12" ht="12.5">
      <c r="F173" s="86"/>
      <c r="G173" s="86"/>
      <c r="H173" s="86"/>
      <c r="I173" s="65"/>
      <c r="J173" s="65"/>
      <c r="K173" s="87"/>
      <c r="L173" s="88"/>
    </row>
    <row r="174" spans="6:12" ht="12.5">
      <c r="F174" s="86"/>
      <c r="G174" s="86"/>
      <c r="H174" s="86"/>
      <c r="I174" s="65"/>
      <c r="J174" s="65"/>
      <c r="K174" s="87"/>
      <c r="L174" s="88"/>
    </row>
    <row r="175" spans="6:12" ht="12.5">
      <c r="F175" s="86"/>
      <c r="G175" s="86"/>
      <c r="H175" s="86"/>
      <c r="I175" s="65"/>
      <c r="J175" s="65"/>
      <c r="K175" s="87"/>
      <c r="L175" s="88"/>
    </row>
    <row r="176" spans="6:12" ht="12.5">
      <c r="F176" s="86"/>
      <c r="G176" s="86"/>
      <c r="H176" s="86"/>
      <c r="I176" s="65"/>
      <c r="J176" s="65"/>
      <c r="K176" s="87"/>
      <c r="L176" s="88"/>
    </row>
    <row r="177" spans="6:12" ht="12.5">
      <c r="F177" s="86"/>
      <c r="G177" s="86"/>
      <c r="H177" s="86"/>
      <c r="I177" s="65"/>
      <c r="J177" s="65"/>
      <c r="K177" s="87"/>
      <c r="L177" s="88"/>
    </row>
    <row r="178" spans="6:12" ht="12.5">
      <c r="F178" s="86"/>
      <c r="G178" s="86"/>
      <c r="H178" s="86"/>
      <c r="I178" s="65"/>
      <c r="J178" s="65"/>
      <c r="K178" s="87"/>
      <c r="L178" s="88"/>
    </row>
    <row r="179" spans="6:12" ht="12.5">
      <c r="F179" s="86"/>
      <c r="G179" s="86"/>
      <c r="H179" s="86"/>
      <c r="I179" s="65"/>
      <c r="J179" s="65"/>
      <c r="K179" s="87"/>
      <c r="L179" s="88"/>
    </row>
    <row r="180" spans="6:12" ht="12.5">
      <c r="F180" s="86"/>
      <c r="G180" s="86"/>
      <c r="H180" s="86"/>
      <c r="I180" s="65"/>
      <c r="J180" s="65"/>
      <c r="K180" s="87"/>
      <c r="L180" s="88"/>
    </row>
    <row r="181" spans="6:12" ht="12.5">
      <c r="F181" s="86"/>
      <c r="G181" s="86"/>
      <c r="H181" s="86"/>
      <c r="I181" s="65"/>
      <c r="J181" s="65"/>
      <c r="K181" s="87"/>
      <c r="L181" s="88"/>
    </row>
    <row r="182" spans="6:12" ht="12.5">
      <c r="F182" s="86"/>
      <c r="G182" s="86"/>
      <c r="H182" s="86"/>
      <c r="I182" s="65"/>
      <c r="J182" s="65"/>
      <c r="K182" s="87"/>
      <c r="L182" s="88"/>
    </row>
    <row r="183" spans="6:12" ht="12.5">
      <c r="F183" s="86"/>
      <c r="G183" s="86"/>
      <c r="H183" s="86"/>
      <c r="I183" s="65"/>
      <c r="J183" s="65"/>
      <c r="K183" s="87"/>
      <c r="L183" s="88"/>
    </row>
    <row r="184" spans="6:12" ht="12.5">
      <c r="F184" s="86"/>
      <c r="G184" s="86"/>
      <c r="H184" s="86"/>
      <c r="I184" s="65"/>
      <c r="J184" s="65"/>
      <c r="K184" s="87"/>
      <c r="L184" s="88"/>
    </row>
    <row r="185" spans="6:12" ht="12.5">
      <c r="F185" s="86"/>
      <c r="G185" s="86"/>
      <c r="H185" s="86"/>
      <c r="I185" s="65"/>
      <c r="J185" s="65"/>
      <c r="K185" s="87"/>
      <c r="L185" s="88"/>
    </row>
    <row r="186" spans="6:12" ht="12.5">
      <c r="F186" s="86"/>
      <c r="G186" s="86"/>
      <c r="H186" s="86"/>
      <c r="I186" s="65"/>
      <c r="J186" s="65"/>
      <c r="K186" s="87"/>
      <c r="L186" s="88"/>
    </row>
    <row r="187" spans="6:12" ht="12.5">
      <c r="F187" s="86"/>
      <c r="G187" s="86"/>
      <c r="H187" s="86"/>
      <c r="I187" s="65"/>
      <c r="J187" s="65"/>
      <c r="K187" s="87"/>
      <c r="L187" s="88"/>
    </row>
    <row r="188" spans="6:12" ht="12.5">
      <c r="F188" s="86"/>
      <c r="G188" s="86"/>
      <c r="H188" s="86"/>
      <c r="I188" s="65"/>
      <c r="J188" s="65"/>
      <c r="K188" s="87"/>
      <c r="L188" s="88"/>
    </row>
    <row r="189" spans="6:12" ht="12.5">
      <c r="F189" s="86"/>
      <c r="G189" s="86"/>
      <c r="H189" s="86"/>
      <c r="I189" s="65"/>
      <c r="J189" s="65"/>
      <c r="K189" s="87"/>
      <c r="L189" s="88"/>
    </row>
    <row r="190" spans="6:12" ht="12.5">
      <c r="F190" s="86"/>
      <c r="G190" s="86"/>
      <c r="H190" s="86"/>
      <c r="I190" s="65"/>
      <c r="J190" s="65"/>
      <c r="K190" s="87"/>
      <c r="L190" s="88"/>
    </row>
    <row r="191" spans="6:12" ht="12.5">
      <c r="F191" s="86"/>
      <c r="G191" s="86"/>
      <c r="H191" s="86"/>
      <c r="I191" s="65"/>
      <c r="J191" s="65"/>
      <c r="K191" s="87"/>
      <c r="L191" s="88"/>
    </row>
    <row r="192" spans="6:12" ht="12.5">
      <c r="F192" s="86"/>
      <c r="G192" s="86"/>
      <c r="H192" s="86"/>
      <c r="I192" s="65"/>
      <c r="J192" s="65"/>
      <c r="K192" s="87"/>
      <c r="L192" s="88"/>
    </row>
    <row r="193" spans="6:12" ht="12.5">
      <c r="F193" s="86"/>
      <c r="G193" s="86"/>
      <c r="H193" s="86"/>
      <c r="I193" s="65"/>
      <c r="J193" s="65"/>
      <c r="K193" s="87"/>
      <c r="L193" s="88"/>
    </row>
    <row r="194" spans="6:12" ht="12.5">
      <c r="F194" s="86"/>
      <c r="G194" s="86"/>
      <c r="H194" s="86"/>
      <c r="I194" s="65"/>
      <c r="J194" s="65"/>
      <c r="K194" s="87"/>
      <c r="L194" s="88"/>
    </row>
    <row r="195" spans="6:12" ht="12.5">
      <c r="F195" s="86"/>
      <c r="G195" s="86"/>
      <c r="H195" s="86"/>
      <c r="I195" s="65"/>
      <c r="J195" s="65"/>
      <c r="K195" s="87"/>
      <c r="L195" s="88"/>
    </row>
    <row r="196" spans="6:12" ht="12.5">
      <c r="F196" s="86"/>
      <c r="G196" s="86"/>
      <c r="H196" s="86"/>
      <c r="I196" s="65"/>
      <c r="J196" s="65"/>
      <c r="K196" s="87"/>
      <c r="L196" s="88"/>
    </row>
    <row r="197" spans="6:12" ht="12.5">
      <c r="F197" s="86"/>
      <c r="G197" s="86"/>
      <c r="H197" s="86"/>
      <c r="I197" s="65"/>
      <c r="J197" s="65"/>
      <c r="K197" s="87"/>
      <c r="L197" s="88"/>
    </row>
    <row r="198" spans="6:12" ht="12.5">
      <c r="F198" s="86"/>
      <c r="G198" s="86"/>
      <c r="H198" s="86"/>
      <c r="I198" s="65"/>
      <c r="J198" s="65"/>
      <c r="K198" s="87"/>
      <c r="L198" s="88"/>
    </row>
    <row r="199" spans="6:12" ht="12.5">
      <c r="F199" s="86"/>
      <c r="G199" s="86"/>
      <c r="H199" s="86"/>
      <c r="I199" s="65"/>
      <c r="J199" s="65"/>
      <c r="K199" s="87"/>
      <c r="L199" s="88"/>
    </row>
    <row r="200" spans="6:12" ht="12.5">
      <c r="F200" s="86"/>
      <c r="G200" s="86"/>
      <c r="H200" s="86"/>
      <c r="I200" s="65"/>
      <c r="J200" s="65"/>
      <c r="K200" s="87"/>
      <c r="L200" s="88"/>
    </row>
    <row r="201" spans="6:12" ht="12.5">
      <c r="F201" s="86"/>
      <c r="G201" s="86"/>
      <c r="H201" s="86"/>
      <c r="I201" s="65"/>
      <c r="J201" s="65"/>
      <c r="K201" s="87"/>
      <c r="L201" s="88"/>
    </row>
    <row r="202" spans="6:12" ht="12.5">
      <c r="F202" s="86"/>
      <c r="G202" s="86"/>
      <c r="H202" s="86"/>
      <c r="I202" s="65"/>
      <c r="J202" s="65"/>
      <c r="K202" s="87"/>
      <c r="L202" s="88"/>
    </row>
    <row r="203" spans="6:12" ht="12.5">
      <c r="F203" s="86"/>
      <c r="G203" s="86"/>
      <c r="H203" s="86"/>
      <c r="I203" s="65"/>
      <c r="J203" s="65"/>
      <c r="K203" s="87"/>
      <c r="L203" s="88"/>
    </row>
    <row r="204" spans="6:12" ht="12.5">
      <c r="F204" s="86"/>
      <c r="G204" s="86"/>
      <c r="H204" s="86"/>
      <c r="I204" s="65"/>
      <c r="J204" s="65"/>
      <c r="K204" s="87"/>
      <c r="L204" s="88"/>
    </row>
    <row r="205" spans="6:12" ht="12.5">
      <c r="F205" s="86"/>
      <c r="G205" s="86"/>
      <c r="H205" s="86"/>
      <c r="I205" s="65"/>
      <c r="J205" s="65"/>
      <c r="K205" s="87"/>
      <c r="L205" s="88"/>
    </row>
    <row r="206" spans="6:12" ht="12.5">
      <c r="F206" s="86"/>
      <c r="G206" s="86"/>
      <c r="H206" s="86"/>
      <c r="I206" s="65"/>
      <c r="J206" s="65"/>
      <c r="K206" s="87"/>
      <c r="L206" s="88"/>
    </row>
    <row r="207" spans="6:12" ht="12.5">
      <c r="F207" s="86"/>
      <c r="G207" s="86"/>
      <c r="H207" s="86"/>
      <c r="I207" s="65"/>
      <c r="J207" s="65"/>
      <c r="K207" s="87"/>
      <c r="L207" s="88"/>
    </row>
    <row r="208" spans="6:12" ht="12.5">
      <c r="F208" s="86"/>
      <c r="G208" s="86"/>
      <c r="H208" s="86"/>
      <c r="I208" s="65"/>
      <c r="J208" s="65"/>
      <c r="K208" s="87"/>
      <c r="L208" s="88"/>
    </row>
    <row r="209" spans="6:12" ht="12.5">
      <c r="F209" s="86"/>
      <c r="G209" s="86"/>
      <c r="H209" s="86"/>
      <c r="I209" s="65"/>
      <c r="J209" s="65"/>
      <c r="K209" s="87"/>
      <c r="L209" s="88"/>
    </row>
    <row r="210" spans="6:12" ht="12.5">
      <c r="F210" s="86"/>
      <c r="G210" s="86"/>
      <c r="H210" s="86"/>
      <c r="I210" s="65"/>
      <c r="J210" s="65"/>
      <c r="K210" s="87"/>
      <c r="L210" s="88"/>
    </row>
    <row r="211" spans="6:12" ht="12.5">
      <c r="F211" s="86"/>
      <c r="G211" s="86"/>
      <c r="H211" s="86"/>
      <c r="I211" s="65"/>
      <c r="J211" s="65"/>
      <c r="K211" s="87"/>
      <c r="L211" s="88"/>
    </row>
    <row r="212" spans="6:12" ht="12.5">
      <c r="F212" s="86"/>
      <c r="G212" s="86"/>
      <c r="H212" s="86"/>
      <c r="I212" s="65"/>
      <c r="J212" s="65"/>
      <c r="K212" s="87"/>
      <c r="L212" s="88"/>
    </row>
    <row r="213" spans="6:12" ht="12.5">
      <c r="F213" s="86"/>
      <c r="G213" s="86"/>
      <c r="H213" s="86"/>
      <c r="I213" s="65"/>
      <c r="J213" s="65"/>
      <c r="K213" s="87"/>
      <c r="L213" s="88"/>
    </row>
    <row r="214" spans="6:12" ht="12.5">
      <c r="F214" s="86"/>
      <c r="G214" s="86"/>
      <c r="H214" s="86"/>
      <c r="I214" s="65"/>
      <c r="J214" s="65"/>
      <c r="K214" s="87"/>
      <c r="L214" s="88"/>
    </row>
    <row r="215" spans="6:12" ht="12.5">
      <c r="F215" s="86"/>
      <c r="G215" s="86"/>
      <c r="H215" s="86"/>
      <c r="I215" s="65"/>
      <c r="J215" s="65"/>
      <c r="K215" s="87"/>
      <c r="L215" s="88"/>
    </row>
    <row r="216" spans="6:12" ht="12.5">
      <c r="F216" s="86"/>
      <c r="G216" s="86"/>
      <c r="H216" s="86"/>
      <c r="I216" s="65"/>
      <c r="J216" s="65"/>
      <c r="K216" s="87"/>
      <c r="L216" s="88"/>
    </row>
    <row r="217" spans="6:12" ht="12.5">
      <c r="F217" s="86"/>
      <c r="G217" s="86"/>
      <c r="H217" s="86"/>
      <c r="I217" s="65"/>
      <c r="J217" s="65"/>
      <c r="K217" s="87"/>
      <c r="L217" s="88"/>
    </row>
    <row r="218" spans="6:12" ht="12.5">
      <c r="F218" s="86"/>
      <c r="G218" s="86"/>
      <c r="H218" s="86"/>
      <c r="I218" s="65"/>
      <c r="J218" s="65"/>
      <c r="K218" s="87"/>
      <c r="L218" s="88"/>
    </row>
    <row r="219" spans="6:12" ht="12.5">
      <c r="F219" s="86"/>
      <c r="G219" s="86"/>
      <c r="H219" s="86"/>
      <c r="I219" s="65"/>
      <c r="J219" s="65"/>
      <c r="K219" s="87"/>
      <c r="L219" s="88"/>
    </row>
    <row r="220" spans="6:12" ht="12.5">
      <c r="F220" s="86"/>
      <c r="G220" s="86"/>
      <c r="H220" s="86"/>
      <c r="I220" s="65"/>
      <c r="J220" s="65"/>
      <c r="K220" s="87"/>
      <c r="L220" s="88"/>
    </row>
    <row r="221" spans="6:12" ht="12.5">
      <c r="F221" s="86"/>
      <c r="G221" s="86"/>
      <c r="H221" s="86"/>
      <c r="I221" s="65"/>
      <c r="J221" s="65"/>
      <c r="K221" s="87"/>
      <c r="L221" s="88"/>
    </row>
    <row r="222" spans="6:12" ht="12.5">
      <c r="F222" s="86"/>
      <c r="G222" s="86"/>
      <c r="H222" s="86"/>
      <c r="I222" s="65"/>
      <c r="J222" s="65"/>
      <c r="K222" s="87"/>
      <c r="L222" s="88"/>
    </row>
    <row r="223" spans="6:12" ht="12.5">
      <c r="F223" s="86"/>
      <c r="G223" s="86"/>
      <c r="H223" s="86"/>
      <c r="I223" s="65"/>
      <c r="J223" s="65"/>
      <c r="K223" s="87"/>
      <c r="L223" s="88"/>
    </row>
    <row r="224" spans="6:12" ht="12.5">
      <c r="F224" s="86"/>
      <c r="G224" s="86"/>
      <c r="H224" s="86"/>
      <c r="I224" s="65"/>
      <c r="J224" s="65"/>
      <c r="K224" s="87"/>
      <c r="L224" s="88"/>
    </row>
    <row r="225" spans="6:12" ht="12.5">
      <c r="F225" s="86"/>
      <c r="G225" s="86"/>
      <c r="H225" s="86"/>
      <c r="I225" s="65"/>
      <c r="J225" s="65"/>
      <c r="K225" s="87"/>
      <c r="L225" s="88"/>
    </row>
    <row r="226" spans="6:12" ht="12.5">
      <c r="F226" s="86"/>
      <c r="G226" s="86"/>
      <c r="H226" s="86"/>
      <c r="I226" s="65"/>
      <c r="J226" s="65"/>
      <c r="K226" s="87"/>
      <c r="L226" s="88"/>
    </row>
    <row r="227" spans="6:12" ht="12.5">
      <c r="F227" s="86"/>
      <c r="G227" s="86"/>
      <c r="H227" s="86"/>
      <c r="I227" s="65"/>
      <c r="J227" s="65"/>
      <c r="K227" s="87"/>
      <c r="L227" s="88"/>
    </row>
    <row r="228" spans="6:12" ht="12.5">
      <c r="F228" s="86"/>
      <c r="G228" s="86"/>
      <c r="H228" s="86"/>
      <c r="I228" s="65"/>
      <c r="J228" s="65"/>
      <c r="K228" s="87"/>
      <c r="L228" s="88"/>
    </row>
    <row r="229" spans="6:12" ht="12.5">
      <c r="F229" s="86"/>
      <c r="G229" s="86"/>
      <c r="H229" s="86"/>
      <c r="I229" s="65"/>
      <c r="J229" s="65"/>
      <c r="K229" s="87"/>
      <c r="L229" s="88"/>
    </row>
    <row r="230" spans="6:12" ht="12.5">
      <c r="F230" s="86"/>
      <c r="G230" s="86"/>
      <c r="H230" s="86"/>
      <c r="I230" s="65"/>
      <c r="J230" s="65"/>
      <c r="K230" s="87"/>
      <c r="L230" s="88"/>
    </row>
    <row r="231" spans="6:12" ht="12.5">
      <c r="F231" s="86"/>
      <c r="G231" s="86"/>
      <c r="H231" s="86"/>
      <c r="I231" s="65"/>
      <c r="J231" s="65"/>
      <c r="K231" s="87"/>
      <c r="L231" s="88"/>
    </row>
    <row r="232" spans="6:12" ht="12.5">
      <c r="F232" s="86"/>
      <c r="G232" s="86"/>
      <c r="H232" s="86"/>
      <c r="I232" s="65"/>
      <c r="J232" s="65"/>
      <c r="K232" s="87"/>
      <c r="L232" s="88"/>
    </row>
    <row r="233" spans="6:12" ht="12.5">
      <c r="F233" s="86"/>
      <c r="G233" s="86"/>
      <c r="H233" s="86"/>
      <c r="I233" s="65"/>
      <c r="J233" s="65"/>
      <c r="K233" s="87"/>
      <c r="L233" s="88"/>
    </row>
    <row r="234" spans="6:12" ht="12.5">
      <c r="F234" s="86"/>
      <c r="G234" s="86"/>
      <c r="H234" s="86"/>
      <c r="I234" s="65"/>
      <c r="J234" s="65"/>
      <c r="K234" s="87"/>
      <c r="L234" s="88"/>
    </row>
    <row r="235" spans="6:12" ht="12.5">
      <c r="F235" s="86"/>
      <c r="G235" s="86"/>
      <c r="H235" s="86"/>
      <c r="I235" s="65"/>
      <c r="J235" s="65"/>
      <c r="K235" s="87"/>
      <c r="L235" s="88"/>
    </row>
    <row r="236" spans="6:12" ht="12.5">
      <c r="F236" s="86"/>
      <c r="G236" s="86"/>
      <c r="H236" s="86"/>
      <c r="I236" s="65"/>
      <c r="J236" s="65"/>
      <c r="K236" s="87"/>
      <c r="L236" s="88"/>
    </row>
    <row r="237" spans="6:12" ht="12.5">
      <c r="F237" s="86"/>
      <c r="G237" s="86"/>
      <c r="H237" s="86"/>
      <c r="I237" s="65"/>
      <c r="J237" s="65"/>
      <c r="K237" s="87"/>
      <c r="L237" s="88"/>
    </row>
    <row r="238" spans="6:12" ht="12.5">
      <c r="F238" s="86"/>
      <c r="G238" s="86"/>
      <c r="H238" s="86"/>
      <c r="I238" s="65"/>
      <c r="J238" s="65"/>
      <c r="K238" s="87"/>
      <c r="L238" s="88"/>
    </row>
    <row r="239" spans="6:12" ht="12.5">
      <c r="F239" s="86"/>
      <c r="G239" s="86"/>
      <c r="H239" s="86"/>
      <c r="I239" s="65"/>
      <c r="J239" s="65"/>
      <c r="K239" s="87"/>
      <c r="L239" s="88"/>
    </row>
    <row r="240" spans="6:12" ht="12.5">
      <c r="F240" s="86"/>
      <c r="G240" s="86"/>
      <c r="H240" s="86"/>
      <c r="I240" s="65"/>
      <c r="J240" s="65"/>
      <c r="K240" s="87"/>
      <c r="L240" s="88"/>
    </row>
    <row r="241" spans="6:12" ht="12.5">
      <c r="F241" s="86"/>
      <c r="G241" s="86"/>
      <c r="H241" s="86"/>
      <c r="I241" s="65"/>
      <c r="J241" s="65"/>
      <c r="K241" s="87"/>
      <c r="L241" s="88"/>
    </row>
    <row r="242" spans="6:12" ht="12.5">
      <c r="F242" s="86"/>
      <c r="G242" s="86"/>
      <c r="H242" s="86"/>
      <c r="I242" s="65"/>
      <c r="J242" s="65"/>
      <c r="K242" s="87"/>
      <c r="L242" s="88"/>
    </row>
    <row r="243" spans="6:12" ht="12.5">
      <c r="F243" s="86"/>
      <c r="G243" s="86"/>
      <c r="H243" s="86"/>
      <c r="I243" s="65"/>
      <c r="J243" s="65"/>
      <c r="K243" s="87"/>
      <c r="L243" s="88"/>
    </row>
    <row r="244" spans="6:12" ht="12.5">
      <c r="F244" s="86"/>
      <c r="G244" s="86"/>
      <c r="H244" s="86"/>
      <c r="I244" s="65"/>
      <c r="J244" s="65"/>
      <c r="K244" s="87"/>
      <c r="L244" s="88"/>
    </row>
    <row r="245" spans="6:12" ht="12.5">
      <c r="F245" s="86"/>
      <c r="G245" s="86"/>
      <c r="H245" s="86"/>
      <c r="I245" s="65"/>
      <c r="J245" s="65"/>
      <c r="K245" s="87"/>
      <c r="L245" s="88"/>
    </row>
    <row r="246" spans="6:12" ht="12.5">
      <c r="F246" s="86"/>
      <c r="G246" s="86"/>
      <c r="H246" s="86"/>
      <c r="I246" s="65"/>
      <c r="J246" s="65"/>
      <c r="K246" s="87"/>
      <c r="L246" s="88"/>
    </row>
    <row r="247" spans="6:12" ht="12.5">
      <c r="F247" s="86"/>
      <c r="G247" s="86"/>
      <c r="H247" s="86"/>
      <c r="I247" s="65"/>
      <c r="J247" s="65"/>
      <c r="K247" s="87"/>
      <c r="L247" s="88"/>
    </row>
    <row r="248" spans="6:12" ht="12.5">
      <c r="F248" s="86"/>
      <c r="G248" s="86"/>
      <c r="H248" s="86"/>
      <c r="I248" s="65"/>
      <c r="J248" s="65"/>
      <c r="K248" s="87"/>
      <c r="L248" s="88"/>
    </row>
    <row r="249" spans="6:12" ht="12.5">
      <c r="F249" s="86"/>
      <c r="G249" s="86"/>
      <c r="H249" s="86"/>
      <c r="I249" s="65"/>
      <c r="J249" s="65"/>
      <c r="K249" s="87"/>
      <c r="L249" s="88"/>
    </row>
    <row r="250" spans="6:12" ht="12.5">
      <c r="F250" s="86"/>
      <c r="G250" s="86"/>
      <c r="H250" s="86"/>
      <c r="I250" s="65"/>
      <c r="J250" s="65"/>
      <c r="K250" s="87"/>
      <c r="L250" s="88"/>
    </row>
    <row r="251" spans="6:12" ht="12.5">
      <c r="F251" s="86"/>
      <c r="G251" s="86"/>
      <c r="H251" s="86"/>
      <c r="I251" s="65"/>
      <c r="J251" s="65"/>
      <c r="K251" s="87"/>
      <c r="L251" s="88"/>
    </row>
    <row r="252" spans="6:12" ht="12.5">
      <c r="F252" s="86"/>
      <c r="G252" s="86"/>
      <c r="H252" s="86"/>
      <c r="I252" s="65"/>
      <c r="J252" s="65"/>
      <c r="K252" s="87"/>
      <c r="L252" s="88"/>
    </row>
    <row r="253" spans="6:12" ht="12.5">
      <c r="F253" s="86"/>
      <c r="G253" s="86"/>
      <c r="H253" s="86"/>
      <c r="I253" s="65"/>
      <c r="J253" s="65"/>
      <c r="K253" s="87"/>
      <c r="L253" s="88"/>
    </row>
    <row r="254" spans="6:12" ht="12.5">
      <c r="F254" s="86"/>
      <c r="G254" s="86"/>
      <c r="H254" s="86"/>
      <c r="I254" s="65"/>
      <c r="J254" s="65"/>
      <c r="K254" s="87"/>
      <c r="L254" s="88"/>
    </row>
    <row r="255" spans="6:12" ht="12.5">
      <c r="F255" s="86"/>
      <c r="G255" s="86"/>
      <c r="H255" s="86"/>
      <c r="I255" s="65"/>
      <c r="J255" s="65"/>
      <c r="K255" s="87"/>
      <c r="L255" s="88"/>
    </row>
    <row r="256" spans="6:12" ht="12.5">
      <c r="F256" s="86"/>
      <c r="G256" s="86"/>
      <c r="H256" s="86"/>
      <c r="I256" s="65"/>
      <c r="J256" s="65"/>
      <c r="K256" s="87"/>
      <c r="L256" s="88"/>
    </row>
    <row r="257" spans="6:12" ht="12.5">
      <c r="F257" s="86"/>
      <c r="G257" s="86"/>
      <c r="H257" s="86"/>
      <c r="I257" s="65"/>
      <c r="J257" s="65"/>
      <c r="K257" s="87"/>
      <c r="L257" s="88"/>
    </row>
    <row r="258" spans="6:12" ht="12.5">
      <c r="F258" s="86"/>
      <c r="G258" s="86"/>
      <c r="H258" s="86"/>
      <c r="I258" s="65"/>
      <c r="J258" s="65"/>
      <c r="K258" s="87"/>
      <c r="L258" s="88"/>
    </row>
    <row r="259" spans="6:12" ht="12.5">
      <c r="F259" s="86"/>
      <c r="G259" s="86"/>
      <c r="H259" s="86"/>
      <c r="I259" s="65"/>
      <c r="J259" s="65"/>
      <c r="K259" s="87"/>
      <c r="L259" s="88"/>
    </row>
    <row r="260" spans="6:12" ht="12.5">
      <c r="F260" s="86"/>
      <c r="G260" s="86"/>
      <c r="H260" s="86"/>
      <c r="I260" s="65"/>
      <c r="J260" s="65"/>
      <c r="K260" s="87"/>
      <c r="L260" s="88"/>
    </row>
    <row r="261" spans="6:12" ht="12.5">
      <c r="F261" s="86"/>
      <c r="G261" s="86"/>
      <c r="H261" s="86"/>
      <c r="I261" s="65"/>
      <c r="J261" s="65"/>
      <c r="K261" s="87"/>
      <c r="L261" s="88"/>
    </row>
    <row r="262" spans="6:12" ht="12.5">
      <c r="F262" s="86"/>
      <c r="G262" s="86"/>
      <c r="H262" s="86"/>
      <c r="I262" s="65"/>
      <c r="J262" s="65"/>
      <c r="K262" s="87"/>
      <c r="L262" s="88"/>
    </row>
    <row r="263" spans="6:12" ht="12.5">
      <c r="F263" s="86"/>
      <c r="G263" s="86"/>
      <c r="H263" s="86"/>
      <c r="I263" s="65"/>
      <c r="J263" s="65"/>
      <c r="K263" s="87"/>
      <c r="L263" s="88"/>
    </row>
    <row r="264" spans="6:12" ht="12.5">
      <c r="F264" s="86"/>
      <c r="G264" s="86"/>
      <c r="H264" s="86"/>
      <c r="I264" s="65"/>
      <c r="J264" s="65"/>
      <c r="K264" s="87"/>
      <c r="L264" s="88"/>
    </row>
    <row r="265" spans="6:12" ht="12.5">
      <c r="F265" s="86"/>
      <c r="G265" s="86"/>
      <c r="H265" s="86"/>
      <c r="I265" s="65"/>
      <c r="J265" s="65"/>
      <c r="K265" s="87"/>
      <c r="L265" s="88"/>
    </row>
    <row r="266" spans="6:12" ht="12.5">
      <c r="F266" s="86"/>
      <c r="G266" s="86"/>
      <c r="H266" s="86"/>
      <c r="I266" s="65"/>
      <c r="J266" s="65"/>
      <c r="K266" s="87"/>
      <c r="L266" s="88"/>
    </row>
    <row r="267" spans="6:12" ht="12.5">
      <c r="F267" s="86"/>
      <c r="G267" s="86"/>
      <c r="H267" s="86"/>
      <c r="I267" s="65"/>
      <c r="J267" s="65"/>
      <c r="K267" s="87"/>
      <c r="L267" s="88"/>
    </row>
    <row r="268" spans="6:12" ht="12.5">
      <c r="F268" s="86"/>
      <c r="G268" s="86"/>
      <c r="H268" s="86"/>
      <c r="I268" s="65"/>
      <c r="J268" s="65"/>
      <c r="K268" s="87"/>
      <c r="L268" s="88"/>
    </row>
    <row r="269" spans="6:12" ht="12.5">
      <c r="F269" s="86"/>
      <c r="G269" s="86"/>
      <c r="H269" s="86"/>
      <c r="I269" s="65"/>
      <c r="J269" s="65"/>
      <c r="K269" s="87"/>
      <c r="L269" s="88"/>
    </row>
    <row r="270" spans="6:12" ht="12.5">
      <c r="F270" s="86"/>
      <c r="G270" s="86"/>
      <c r="H270" s="86"/>
      <c r="I270" s="65"/>
      <c r="J270" s="65"/>
      <c r="K270" s="87"/>
      <c r="L270" s="88"/>
    </row>
    <row r="271" spans="6:12" ht="12.5">
      <c r="F271" s="86"/>
      <c r="G271" s="86"/>
      <c r="H271" s="86"/>
      <c r="I271" s="65"/>
      <c r="J271" s="65"/>
      <c r="K271" s="87"/>
      <c r="L271" s="88"/>
    </row>
    <row r="272" spans="6:12" ht="12.5">
      <c r="F272" s="86"/>
      <c r="G272" s="86"/>
      <c r="H272" s="86"/>
      <c r="I272" s="65"/>
      <c r="J272" s="65"/>
      <c r="K272" s="87"/>
      <c r="L272" s="88"/>
    </row>
    <row r="273" spans="6:12" ht="12.5">
      <c r="F273" s="86"/>
      <c r="G273" s="86"/>
      <c r="H273" s="86"/>
      <c r="I273" s="65"/>
      <c r="J273" s="65"/>
      <c r="K273" s="87"/>
      <c r="L273" s="88"/>
    </row>
    <row r="274" spans="6:12" ht="12.5">
      <c r="F274" s="86"/>
      <c r="G274" s="86"/>
      <c r="H274" s="86"/>
      <c r="I274" s="65"/>
      <c r="J274" s="65"/>
      <c r="K274" s="87"/>
      <c r="L274" s="88"/>
    </row>
    <row r="275" spans="6:12" ht="12.5">
      <c r="F275" s="86"/>
      <c r="G275" s="86"/>
      <c r="H275" s="86"/>
      <c r="I275" s="65"/>
      <c r="J275" s="65"/>
      <c r="K275" s="87"/>
      <c r="L275" s="88"/>
    </row>
    <row r="276" spans="6:12" ht="12.5">
      <c r="F276" s="86"/>
      <c r="G276" s="86"/>
      <c r="H276" s="86"/>
      <c r="I276" s="65"/>
      <c r="J276" s="65"/>
      <c r="K276" s="87"/>
      <c r="L276" s="88"/>
    </row>
    <row r="277" spans="6:12" ht="12.5">
      <c r="F277" s="86"/>
      <c r="G277" s="86"/>
      <c r="H277" s="86"/>
      <c r="I277" s="65"/>
      <c r="J277" s="65"/>
      <c r="K277" s="87"/>
      <c r="L277" s="88"/>
    </row>
    <row r="278" spans="6:12" ht="12.5">
      <c r="F278" s="86"/>
      <c r="G278" s="86"/>
      <c r="H278" s="86"/>
      <c r="I278" s="65"/>
      <c r="J278" s="65"/>
      <c r="K278" s="87"/>
      <c r="L278" s="88"/>
    </row>
    <row r="279" spans="6:12" ht="12.5">
      <c r="F279" s="86"/>
      <c r="G279" s="86"/>
      <c r="H279" s="86"/>
      <c r="I279" s="65"/>
      <c r="J279" s="65"/>
      <c r="K279" s="87"/>
      <c r="L279" s="88"/>
    </row>
    <row r="280" spans="6:12" ht="12.5">
      <c r="F280" s="86"/>
      <c r="G280" s="86"/>
      <c r="H280" s="86"/>
      <c r="I280" s="65"/>
      <c r="J280" s="65"/>
      <c r="K280" s="87"/>
      <c r="L280" s="88"/>
    </row>
    <row r="281" spans="6:12" ht="12.5">
      <c r="F281" s="86"/>
      <c r="G281" s="86"/>
      <c r="H281" s="86"/>
      <c r="I281" s="65"/>
      <c r="J281" s="65"/>
      <c r="K281" s="87"/>
      <c r="L281" s="88"/>
    </row>
    <row r="282" spans="6:12" ht="12.5">
      <c r="F282" s="86"/>
      <c r="G282" s="86"/>
      <c r="H282" s="86"/>
      <c r="I282" s="65"/>
      <c r="J282" s="65"/>
      <c r="K282" s="87"/>
      <c r="L282" s="88"/>
    </row>
    <row r="283" spans="6:12" ht="12.5">
      <c r="F283" s="86"/>
      <c r="G283" s="86"/>
      <c r="H283" s="86"/>
      <c r="I283" s="65"/>
      <c r="J283" s="65"/>
      <c r="K283" s="87"/>
      <c r="L283" s="88"/>
    </row>
    <row r="284" spans="6:12" ht="12.5">
      <c r="F284" s="86"/>
      <c r="G284" s="86"/>
      <c r="H284" s="86"/>
      <c r="I284" s="65"/>
      <c r="J284" s="65"/>
      <c r="K284" s="87"/>
      <c r="L284" s="88"/>
    </row>
    <row r="285" spans="6:12" ht="12.5">
      <c r="F285" s="86"/>
      <c r="G285" s="86"/>
      <c r="H285" s="86"/>
      <c r="I285" s="65"/>
      <c r="J285" s="65"/>
      <c r="K285" s="87"/>
      <c r="L285" s="88"/>
    </row>
    <row r="286" spans="6:12" ht="12.5">
      <c r="F286" s="86"/>
      <c r="G286" s="86"/>
      <c r="H286" s="86"/>
      <c r="I286" s="65"/>
      <c r="J286" s="65"/>
      <c r="K286" s="87"/>
      <c r="L286" s="88"/>
    </row>
    <row r="287" spans="6:12" ht="12.5">
      <c r="F287" s="86"/>
      <c r="G287" s="86"/>
      <c r="H287" s="86"/>
      <c r="I287" s="65"/>
      <c r="J287" s="65"/>
      <c r="K287" s="87"/>
      <c r="L287" s="88"/>
    </row>
    <row r="288" spans="6:12" ht="12.5">
      <c r="F288" s="86"/>
      <c r="G288" s="86"/>
      <c r="H288" s="86"/>
      <c r="I288" s="65"/>
      <c r="J288" s="65"/>
      <c r="K288" s="87"/>
      <c r="L288" s="88"/>
    </row>
    <row r="289" spans="6:12" ht="12.5">
      <c r="F289" s="86"/>
      <c r="G289" s="86"/>
      <c r="H289" s="86"/>
      <c r="I289" s="65"/>
      <c r="J289" s="65"/>
      <c r="K289" s="87"/>
      <c r="L289" s="88"/>
    </row>
    <row r="290" spans="6:12" ht="12.5">
      <c r="F290" s="86"/>
      <c r="G290" s="86"/>
      <c r="H290" s="86"/>
      <c r="I290" s="65"/>
      <c r="J290" s="65"/>
      <c r="K290" s="87"/>
      <c r="L290" s="88"/>
    </row>
    <row r="291" spans="6:12" ht="12.5">
      <c r="F291" s="86"/>
      <c r="G291" s="86"/>
      <c r="H291" s="86"/>
      <c r="I291" s="65"/>
      <c r="J291" s="65"/>
      <c r="K291" s="87"/>
      <c r="L291" s="88"/>
    </row>
    <row r="292" spans="6:12" ht="12.5">
      <c r="F292" s="86"/>
      <c r="G292" s="86"/>
      <c r="H292" s="86"/>
      <c r="I292" s="65"/>
      <c r="J292" s="65"/>
      <c r="K292" s="87"/>
      <c r="L292" s="88"/>
    </row>
    <row r="293" spans="6:12" ht="12.5">
      <c r="F293" s="86"/>
      <c r="G293" s="86"/>
      <c r="H293" s="86"/>
      <c r="I293" s="65"/>
      <c r="J293" s="65"/>
      <c r="K293" s="87"/>
      <c r="L293" s="88"/>
    </row>
    <row r="294" spans="6:12" ht="12.5">
      <c r="F294" s="86"/>
      <c r="G294" s="86"/>
      <c r="H294" s="86"/>
      <c r="I294" s="65"/>
      <c r="J294" s="65"/>
      <c r="K294" s="87"/>
      <c r="L294" s="88"/>
    </row>
    <row r="295" spans="6:12" ht="12.5">
      <c r="F295" s="86"/>
      <c r="G295" s="86"/>
      <c r="H295" s="86"/>
      <c r="I295" s="65"/>
      <c r="J295" s="65"/>
      <c r="K295" s="87"/>
      <c r="L295" s="88"/>
    </row>
    <row r="296" spans="6:12" ht="12.5">
      <c r="F296" s="86"/>
      <c r="G296" s="86"/>
      <c r="H296" s="86"/>
      <c r="I296" s="65"/>
      <c r="J296" s="65"/>
      <c r="K296" s="87"/>
      <c r="L296" s="88"/>
    </row>
    <row r="297" spans="6:12" ht="12.5">
      <c r="F297" s="86"/>
      <c r="G297" s="86"/>
      <c r="H297" s="86"/>
      <c r="I297" s="65"/>
      <c r="J297" s="65"/>
      <c r="K297" s="87"/>
      <c r="L297" s="88"/>
    </row>
    <row r="298" spans="6:12" ht="12.5">
      <c r="F298" s="86"/>
      <c r="G298" s="86"/>
      <c r="H298" s="86"/>
      <c r="I298" s="65"/>
      <c r="J298" s="65"/>
      <c r="K298" s="87"/>
      <c r="L298" s="88"/>
    </row>
    <row r="299" spans="6:12" ht="12.5">
      <c r="F299" s="86"/>
      <c r="G299" s="86"/>
      <c r="H299" s="86"/>
      <c r="I299" s="65"/>
      <c r="J299" s="65"/>
      <c r="K299" s="87"/>
      <c r="L299" s="88"/>
    </row>
    <row r="300" spans="6:12" ht="12.5">
      <c r="F300" s="86"/>
      <c r="G300" s="86"/>
      <c r="H300" s="86"/>
      <c r="I300" s="65"/>
      <c r="J300" s="65"/>
      <c r="K300" s="87"/>
      <c r="L300" s="88"/>
    </row>
    <row r="301" spans="6:12" ht="12.5">
      <c r="F301" s="86"/>
      <c r="G301" s="86"/>
      <c r="H301" s="86"/>
      <c r="I301" s="65"/>
      <c r="J301" s="65"/>
      <c r="K301" s="87"/>
      <c r="L301" s="88"/>
    </row>
    <row r="302" spans="6:12" ht="12.5">
      <c r="F302" s="86"/>
      <c r="G302" s="86"/>
      <c r="H302" s="86"/>
      <c r="I302" s="65"/>
      <c r="J302" s="65"/>
      <c r="K302" s="87"/>
      <c r="L302" s="88"/>
    </row>
    <row r="303" spans="6:12" ht="12.5">
      <c r="F303" s="86"/>
      <c r="G303" s="86"/>
      <c r="H303" s="86"/>
      <c r="I303" s="65"/>
      <c r="J303" s="65"/>
      <c r="K303" s="87"/>
      <c r="L303" s="88"/>
    </row>
    <row r="304" spans="6:12" ht="12.5">
      <c r="F304" s="86"/>
      <c r="G304" s="86"/>
      <c r="H304" s="86"/>
      <c r="I304" s="65"/>
      <c r="J304" s="65"/>
      <c r="K304" s="87"/>
      <c r="L304" s="88"/>
    </row>
    <row r="305" spans="6:12" ht="12.5">
      <c r="F305" s="86"/>
      <c r="G305" s="86"/>
      <c r="H305" s="86"/>
      <c r="I305" s="65"/>
      <c r="J305" s="65"/>
      <c r="K305" s="87"/>
      <c r="L305" s="88"/>
    </row>
    <row r="306" spans="6:12" ht="12.5">
      <c r="F306" s="86"/>
      <c r="G306" s="86"/>
      <c r="H306" s="86"/>
      <c r="I306" s="65"/>
      <c r="J306" s="65"/>
      <c r="K306" s="87"/>
      <c r="L306" s="88"/>
    </row>
    <row r="307" spans="6:12" ht="12.5">
      <c r="F307" s="86"/>
      <c r="G307" s="86"/>
      <c r="H307" s="86"/>
      <c r="I307" s="65"/>
      <c r="J307" s="65"/>
      <c r="K307" s="87"/>
      <c r="L307" s="88"/>
    </row>
    <row r="308" spans="6:12" ht="12.5">
      <c r="F308" s="86"/>
      <c r="G308" s="86"/>
      <c r="H308" s="86"/>
      <c r="I308" s="65"/>
      <c r="J308" s="65"/>
      <c r="K308" s="87"/>
      <c r="L308" s="88"/>
    </row>
    <row r="309" spans="6:12" ht="12.5">
      <c r="F309" s="86"/>
      <c r="G309" s="86"/>
      <c r="H309" s="86"/>
      <c r="I309" s="65"/>
      <c r="J309" s="65"/>
      <c r="K309" s="87"/>
      <c r="L309" s="88"/>
    </row>
    <row r="310" spans="6:12" ht="12.5">
      <c r="F310" s="86"/>
      <c r="G310" s="86"/>
      <c r="H310" s="86"/>
      <c r="I310" s="65"/>
      <c r="J310" s="65"/>
      <c r="K310" s="87"/>
      <c r="L310" s="88"/>
    </row>
    <row r="311" spans="6:12" ht="12.5">
      <c r="F311" s="86"/>
      <c r="G311" s="86"/>
      <c r="H311" s="86"/>
      <c r="I311" s="65"/>
      <c r="J311" s="65"/>
      <c r="K311" s="87"/>
      <c r="L311" s="88"/>
    </row>
    <row r="312" spans="6:12" ht="12.5">
      <c r="F312" s="86"/>
      <c r="G312" s="86"/>
      <c r="H312" s="86"/>
      <c r="I312" s="65"/>
      <c r="J312" s="65"/>
      <c r="K312" s="87"/>
      <c r="L312" s="88"/>
    </row>
    <row r="313" spans="6:12" ht="12.5">
      <c r="F313" s="86"/>
      <c r="G313" s="86"/>
      <c r="H313" s="86"/>
      <c r="I313" s="65"/>
      <c r="J313" s="65"/>
      <c r="K313" s="87"/>
      <c r="L313" s="88"/>
    </row>
    <row r="314" spans="6:12" ht="12.5">
      <c r="F314" s="86"/>
      <c r="G314" s="86"/>
      <c r="H314" s="86"/>
      <c r="I314" s="65"/>
      <c r="J314" s="65"/>
      <c r="K314" s="87"/>
      <c r="L314" s="88"/>
    </row>
    <row r="315" spans="6:12" ht="12.5">
      <c r="F315" s="86"/>
      <c r="G315" s="86"/>
      <c r="H315" s="86"/>
      <c r="I315" s="65"/>
      <c r="J315" s="65"/>
      <c r="K315" s="87"/>
      <c r="L315" s="88"/>
    </row>
    <row r="316" spans="6:12" ht="12.5">
      <c r="F316" s="86"/>
      <c r="G316" s="86"/>
      <c r="H316" s="86"/>
      <c r="I316" s="65"/>
      <c r="J316" s="65"/>
      <c r="K316" s="87"/>
      <c r="L316" s="88"/>
    </row>
    <row r="317" spans="6:12" ht="12.5">
      <c r="F317" s="86"/>
      <c r="G317" s="86"/>
      <c r="H317" s="86"/>
      <c r="I317" s="65"/>
      <c r="J317" s="65"/>
      <c r="K317" s="87"/>
      <c r="L317" s="88"/>
    </row>
    <row r="318" spans="6:12" ht="12.5">
      <c r="F318" s="86"/>
      <c r="G318" s="86"/>
      <c r="H318" s="86"/>
      <c r="I318" s="65"/>
      <c r="J318" s="65"/>
      <c r="K318" s="87"/>
      <c r="L318" s="88"/>
    </row>
    <row r="319" spans="6:12" ht="12.5">
      <c r="F319" s="86"/>
      <c r="G319" s="86"/>
      <c r="H319" s="86"/>
      <c r="I319" s="65"/>
      <c r="J319" s="65"/>
      <c r="K319" s="87"/>
      <c r="L319" s="88"/>
    </row>
    <row r="320" spans="6:12" ht="12.5">
      <c r="F320" s="86"/>
      <c r="G320" s="86"/>
      <c r="H320" s="86"/>
      <c r="I320" s="65"/>
      <c r="J320" s="65"/>
      <c r="K320" s="87"/>
      <c r="L320" s="88"/>
    </row>
    <row r="321" spans="6:12" ht="12.5">
      <c r="F321" s="86"/>
      <c r="G321" s="86"/>
      <c r="H321" s="86"/>
      <c r="I321" s="65"/>
      <c r="J321" s="65"/>
      <c r="K321" s="87"/>
      <c r="L321" s="88"/>
    </row>
    <row r="322" spans="6:12" ht="12.5">
      <c r="F322" s="86"/>
      <c r="G322" s="86"/>
      <c r="H322" s="86"/>
      <c r="I322" s="65"/>
      <c r="J322" s="65"/>
      <c r="K322" s="87"/>
      <c r="L322" s="88"/>
    </row>
    <row r="323" spans="6:12" ht="12.5">
      <c r="F323" s="86"/>
      <c r="G323" s="86"/>
      <c r="H323" s="86"/>
      <c r="I323" s="65"/>
      <c r="J323" s="65"/>
      <c r="K323" s="87"/>
      <c r="L323" s="88"/>
    </row>
    <row r="324" spans="6:12" ht="12.5">
      <c r="F324" s="86"/>
      <c r="G324" s="86"/>
      <c r="H324" s="86"/>
      <c r="I324" s="65"/>
      <c r="J324" s="65"/>
      <c r="K324" s="87"/>
      <c r="L324" s="88"/>
    </row>
    <row r="325" spans="6:12" ht="12.5">
      <c r="F325" s="86"/>
      <c r="G325" s="86"/>
      <c r="H325" s="86"/>
      <c r="I325" s="65"/>
      <c r="J325" s="65"/>
      <c r="K325" s="87"/>
      <c r="L325" s="88"/>
    </row>
    <row r="326" spans="6:12" ht="12.5">
      <c r="F326" s="86"/>
      <c r="G326" s="86"/>
      <c r="H326" s="86"/>
      <c r="I326" s="65"/>
      <c r="J326" s="65"/>
      <c r="K326" s="87"/>
      <c r="L326" s="88"/>
    </row>
    <row r="327" spans="6:12" ht="12.5">
      <c r="F327" s="86"/>
      <c r="G327" s="86"/>
      <c r="H327" s="86"/>
      <c r="I327" s="65"/>
      <c r="J327" s="65"/>
      <c r="K327" s="87"/>
      <c r="L327" s="88"/>
    </row>
    <row r="328" spans="6:12" ht="12.5">
      <c r="F328" s="86"/>
      <c r="G328" s="86"/>
      <c r="H328" s="86"/>
      <c r="I328" s="65"/>
      <c r="J328" s="65"/>
      <c r="K328" s="87"/>
      <c r="L328" s="88"/>
    </row>
    <row r="329" spans="6:12" ht="12.5">
      <c r="F329" s="86"/>
      <c r="G329" s="86"/>
      <c r="H329" s="86"/>
      <c r="I329" s="65"/>
      <c r="J329" s="65"/>
      <c r="K329" s="87"/>
      <c r="L329" s="88"/>
    </row>
    <row r="330" spans="6:12" ht="12.5">
      <c r="F330" s="86"/>
      <c r="G330" s="86"/>
      <c r="H330" s="86"/>
      <c r="I330" s="65"/>
      <c r="J330" s="65"/>
      <c r="K330" s="87"/>
      <c r="L330" s="88"/>
    </row>
    <row r="331" spans="6:12" ht="12.5">
      <c r="F331" s="86"/>
      <c r="G331" s="86"/>
      <c r="H331" s="86"/>
      <c r="I331" s="65"/>
      <c r="J331" s="65"/>
      <c r="K331" s="87"/>
      <c r="L331" s="88"/>
    </row>
    <row r="332" spans="6:12" ht="12.5">
      <c r="F332" s="86"/>
      <c r="G332" s="86"/>
      <c r="H332" s="86"/>
      <c r="I332" s="65"/>
      <c r="J332" s="65"/>
      <c r="K332" s="87"/>
      <c r="L332" s="88"/>
    </row>
    <row r="333" spans="6:12" ht="12.5">
      <c r="F333" s="86"/>
      <c r="G333" s="86"/>
      <c r="H333" s="86"/>
      <c r="I333" s="65"/>
      <c r="J333" s="65"/>
      <c r="K333" s="87"/>
      <c r="L333" s="88"/>
    </row>
    <row r="334" spans="6:12" ht="12.5">
      <c r="F334" s="86"/>
      <c r="G334" s="86"/>
      <c r="H334" s="86"/>
      <c r="I334" s="65"/>
      <c r="J334" s="65"/>
      <c r="K334" s="87"/>
      <c r="L334" s="88"/>
    </row>
    <row r="335" spans="6:12" ht="12.5">
      <c r="F335" s="86"/>
      <c r="G335" s="86"/>
      <c r="H335" s="86"/>
      <c r="I335" s="65"/>
      <c r="J335" s="65"/>
      <c r="K335" s="87"/>
      <c r="L335" s="88"/>
    </row>
    <row r="336" spans="6:12" ht="12.5">
      <c r="F336" s="86"/>
      <c r="G336" s="86"/>
      <c r="H336" s="86"/>
      <c r="I336" s="65"/>
      <c r="J336" s="65"/>
      <c r="K336" s="87"/>
      <c r="L336" s="88"/>
    </row>
    <row r="337" spans="6:12" ht="12.5">
      <c r="F337" s="86"/>
      <c r="G337" s="86"/>
      <c r="H337" s="86"/>
      <c r="I337" s="65"/>
      <c r="J337" s="65"/>
      <c r="K337" s="87"/>
      <c r="L337" s="88"/>
    </row>
    <row r="338" spans="6:12" ht="12.5">
      <c r="F338" s="86"/>
      <c r="G338" s="86"/>
      <c r="H338" s="86"/>
      <c r="I338" s="65"/>
      <c r="J338" s="65"/>
      <c r="K338" s="87"/>
      <c r="L338" s="88"/>
    </row>
    <row r="339" spans="6:12" ht="12.5">
      <c r="F339" s="86"/>
      <c r="G339" s="86"/>
      <c r="H339" s="86"/>
      <c r="I339" s="65"/>
      <c r="J339" s="65"/>
      <c r="K339" s="87"/>
      <c r="L339" s="88"/>
    </row>
    <row r="340" spans="6:12" ht="12.5">
      <c r="F340" s="86"/>
      <c r="G340" s="86"/>
      <c r="H340" s="86"/>
      <c r="I340" s="65"/>
      <c r="J340" s="65"/>
      <c r="K340" s="87"/>
      <c r="L340" s="88"/>
    </row>
    <row r="341" spans="6:12" ht="12.5">
      <c r="F341" s="86"/>
      <c r="G341" s="86"/>
      <c r="H341" s="86"/>
      <c r="I341" s="65"/>
      <c r="J341" s="65"/>
      <c r="K341" s="87"/>
      <c r="L341" s="88"/>
    </row>
    <row r="342" spans="6:12" ht="12.5">
      <c r="F342" s="86"/>
      <c r="G342" s="86"/>
      <c r="H342" s="86"/>
      <c r="I342" s="65"/>
      <c r="J342" s="65"/>
      <c r="K342" s="87"/>
      <c r="L342" s="88"/>
    </row>
    <row r="343" spans="6:12" ht="12.5">
      <c r="F343" s="86"/>
      <c r="G343" s="86"/>
      <c r="H343" s="86"/>
      <c r="I343" s="65"/>
      <c r="J343" s="65"/>
      <c r="K343" s="87"/>
      <c r="L343" s="88"/>
    </row>
    <row r="344" spans="6:12" ht="12.5">
      <c r="F344" s="86"/>
      <c r="G344" s="86"/>
      <c r="H344" s="86"/>
      <c r="I344" s="65"/>
      <c r="J344" s="65"/>
      <c r="K344" s="87"/>
      <c r="L344" s="88"/>
    </row>
    <row r="345" spans="6:12" ht="12.5">
      <c r="F345" s="86"/>
      <c r="G345" s="86"/>
      <c r="H345" s="86"/>
      <c r="I345" s="65"/>
      <c r="J345" s="65"/>
      <c r="K345" s="87"/>
      <c r="L345" s="88"/>
    </row>
    <row r="346" spans="6:12" ht="12.5">
      <c r="F346" s="86"/>
      <c r="G346" s="86"/>
      <c r="H346" s="86"/>
      <c r="I346" s="65"/>
      <c r="J346" s="65"/>
      <c r="K346" s="87"/>
      <c r="L346" s="88"/>
    </row>
    <row r="347" spans="6:12" ht="12.5">
      <c r="F347" s="86"/>
      <c r="G347" s="86"/>
      <c r="H347" s="86"/>
      <c r="I347" s="65"/>
      <c r="J347" s="65"/>
      <c r="K347" s="87"/>
      <c r="L347" s="88"/>
    </row>
    <row r="348" spans="6:12" ht="12.5">
      <c r="F348" s="86"/>
      <c r="G348" s="86"/>
      <c r="H348" s="86"/>
      <c r="I348" s="65"/>
      <c r="J348" s="65"/>
      <c r="K348" s="87"/>
      <c r="L348" s="88"/>
    </row>
    <row r="349" spans="6:12" ht="12.5">
      <c r="F349" s="86"/>
      <c r="G349" s="86"/>
      <c r="H349" s="86"/>
      <c r="I349" s="65"/>
      <c r="J349" s="65"/>
      <c r="K349" s="87"/>
      <c r="L349" s="88"/>
    </row>
    <row r="350" spans="6:12" ht="12.5">
      <c r="F350" s="86"/>
      <c r="G350" s="86"/>
      <c r="H350" s="86"/>
      <c r="I350" s="65"/>
      <c r="J350" s="65"/>
      <c r="K350" s="87"/>
      <c r="L350" s="88"/>
    </row>
    <row r="351" spans="6:12" ht="12.5">
      <c r="F351" s="86"/>
      <c r="G351" s="86"/>
      <c r="H351" s="86"/>
      <c r="I351" s="65"/>
      <c r="J351" s="65"/>
      <c r="K351" s="87"/>
      <c r="L351" s="88"/>
    </row>
    <row r="352" spans="6:12" ht="12.5">
      <c r="F352" s="86"/>
      <c r="G352" s="86"/>
      <c r="H352" s="86"/>
      <c r="I352" s="65"/>
      <c r="J352" s="65"/>
      <c r="K352" s="87"/>
      <c r="L352" s="88"/>
    </row>
    <row r="353" spans="6:12" ht="12.5">
      <c r="F353" s="86"/>
      <c r="G353" s="86"/>
      <c r="H353" s="86"/>
      <c r="I353" s="65"/>
      <c r="J353" s="65"/>
      <c r="K353" s="87"/>
      <c r="L353" s="88"/>
    </row>
    <row r="354" spans="6:12" ht="12.5">
      <c r="F354" s="86"/>
      <c r="G354" s="86"/>
      <c r="H354" s="86"/>
      <c r="I354" s="65"/>
      <c r="J354" s="65"/>
      <c r="K354" s="87"/>
      <c r="L354" s="88"/>
    </row>
    <row r="355" spans="6:12" ht="12.5">
      <c r="F355" s="86"/>
      <c r="G355" s="86"/>
      <c r="H355" s="86"/>
      <c r="I355" s="65"/>
      <c r="J355" s="65"/>
      <c r="K355" s="87"/>
      <c r="L355" s="88"/>
    </row>
    <row r="356" spans="6:12" ht="12.5">
      <c r="F356" s="86"/>
      <c r="G356" s="86"/>
      <c r="H356" s="86"/>
      <c r="I356" s="65"/>
      <c r="J356" s="65"/>
      <c r="K356" s="87"/>
      <c r="L356" s="88"/>
    </row>
    <row r="357" spans="6:12" ht="12.5">
      <c r="F357" s="86"/>
      <c r="G357" s="86"/>
      <c r="H357" s="86"/>
      <c r="I357" s="65"/>
      <c r="J357" s="65"/>
      <c r="K357" s="87"/>
      <c r="L357" s="88"/>
    </row>
    <row r="358" spans="6:12" ht="12.5">
      <c r="F358" s="86"/>
      <c r="G358" s="86"/>
      <c r="H358" s="86"/>
      <c r="I358" s="65"/>
      <c r="J358" s="65"/>
      <c r="K358" s="87"/>
      <c r="L358" s="88"/>
    </row>
    <row r="359" spans="6:12" ht="12.5">
      <c r="F359" s="86"/>
      <c r="G359" s="86"/>
      <c r="H359" s="86"/>
      <c r="I359" s="65"/>
      <c r="J359" s="65"/>
      <c r="K359" s="87"/>
      <c r="L359" s="88"/>
    </row>
    <row r="360" spans="6:12" ht="12.5">
      <c r="F360" s="86"/>
      <c r="G360" s="86"/>
      <c r="H360" s="86"/>
      <c r="I360" s="65"/>
      <c r="J360" s="65"/>
      <c r="K360" s="87"/>
      <c r="L360" s="88"/>
    </row>
    <row r="361" spans="6:12" ht="12.5">
      <c r="F361" s="86"/>
      <c r="G361" s="86"/>
      <c r="H361" s="86"/>
      <c r="I361" s="65"/>
      <c r="J361" s="65"/>
      <c r="K361" s="87"/>
      <c r="L361" s="88"/>
    </row>
    <row r="362" spans="6:12" ht="12.5">
      <c r="F362" s="86"/>
      <c r="G362" s="86"/>
      <c r="H362" s="86"/>
      <c r="I362" s="65"/>
      <c r="J362" s="65"/>
      <c r="K362" s="87"/>
      <c r="L362" s="88"/>
    </row>
    <row r="363" spans="6:12" ht="12.5">
      <c r="F363" s="86"/>
      <c r="G363" s="86"/>
      <c r="H363" s="86"/>
      <c r="I363" s="65"/>
      <c r="J363" s="65"/>
      <c r="K363" s="87"/>
      <c r="L363" s="88"/>
    </row>
    <row r="364" spans="6:12" ht="12.5">
      <c r="F364" s="86"/>
      <c r="G364" s="86"/>
      <c r="H364" s="86"/>
      <c r="I364" s="65"/>
      <c r="J364" s="65"/>
      <c r="K364" s="87"/>
      <c r="L364" s="88"/>
    </row>
    <row r="365" spans="6:12" ht="12.5">
      <c r="F365" s="86"/>
      <c r="G365" s="86"/>
      <c r="H365" s="86"/>
      <c r="I365" s="65"/>
      <c r="J365" s="65"/>
      <c r="K365" s="87"/>
      <c r="L365" s="88"/>
    </row>
    <row r="366" spans="6:12" ht="12.5">
      <c r="F366" s="86"/>
      <c r="G366" s="86"/>
      <c r="H366" s="86"/>
      <c r="I366" s="65"/>
      <c r="J366" s="65"/>
      <c r="K366" s="87"/>
      <c r="L366" s="88"/>
    </row>
    <row r="367" spans="6:12" ht="12.5">
      <c r="F367" s="86"/>
      <c r="G367" s="86"/>
      <c r="H367" s="86"/>
      <c r="I367" s="65"/>
      <c r="J367" s="65"/>
      <c r="K367" s="87"/>
      <c r="L367" s="88"/>
    </row>
    <row r="368" spans="6:12" ht="12.5">
      <c r="F368" s="86"/>
      <c r="G368" s="86"/>
      <c r="H368" s="86"/>
      <c r="I368" s="65"/>
      <c r="J368" s="65"/>
      <c r="K368" s="87"/>
      <c r="L368" s="88"/>
    </row>
    <row r="369" spans="6:12" ht="12.5">
      <c r="F369" s="86"/>
      <c r="G369" s="86"/>
      <c r="H369" s="86"/>
      <c r="I369" s="65"/>
      <c r="J369" s="65"/>
      <c r="K369" s="87"/>
      <c r="L369" s="88"/>
    </row>
    <row r="370" spans="6:12" ht="12.5">
      <c r="F370" s="86"/>
      <c r="G370" s="86"/>
      <c r="H370" s="86"/>
      <c r="I370" s="65"/>
      <c r="J370" s="65"/>
      <c r="K370" s="87"/>
      <c r="L370" s="88"/>
    </row>
    <row r="371" spans="6:12" ht="12.5">
      <c r="F371" s="86"/>
      <c r="G371" s="86"/>
      <c r="H371" s="86"/>
      <c r="I371" s="65"/>
      <c r="J371" s="65"/>
      <c r="K371" s="87"/>
      <c r="L371" s="88"/>
    </row>
    <row r="372" spans="6:12" ht="12.5">
      <c r="F372" s="86"/>
      <c r="G372" s="86"/>
      <c r="H372" s="86"/>
      <c r="I372" s="65"/>
      <c r="J372" s="65"/>
      <c r="K372" s="87"/>
      <c r="L372" s="88"/>
    </row>
    <row r="373" spans="6:12" ht="12.5">
      <c r="F373" s="86"/>
      <c r="G373" s="86"/>
      <c r="H373" s="86"/>
      <c r="I373" s="65"/>
      <c r="J373" s="65"/>
      <c r="K373" s="87"/>
      <c r="L373" s="88"/>
    </row>
    <row r="374" spans="6:12" ht="12.5">
      <c r="F374" s="86"/>
      <c r="G374" s="86"/>
      <c r="H374" s="86"/>
      <c r="I374" s="65"/>
      <c r="J374" s="65"/>
      <c r="K374" s="87"/>
      <c r="L374" s="88"/>
    </row>
    <row r="375" spans="6:12" ht="12.5">
      <c r="F375" s="86"/>
      <c r="G375" s="86"/>
      <c r="H375" s="86"/>
      <c r="I375" s="65"/>
      <c r="J375" s="65"/>
      <c r="K375" s="87"/>
      <c r="L375" s="88"/>
    </row>
    <row r="376" spans="6:12" ht="12.5">
      <c r="F376" s="86"/>
      <c r="G376" s="86"/>
      <c r="H376" s="86"/>
      <c r="I376" s="65"/>
      <c r="J376" s="65"/>
      <c r="K376" s="87"/>
      <c r="L376" s="88"/>
    </row>
    <row r="377" spans="6:12" ht="12.5">
      <c r="F377" s="86"/>
      <c r="G377" s="86"/>
      <c r="H377" s="86"/>
      <c r="I377" s="65"/>
      <c r="J377" s="65"/>
      <c r="K377" s="87"/>
      <c r="L377" s="88"/>
    </row>
    <row r="378" spans="6:12" ht="12.5">
      <c r="F378" s="86"/>
      <c r="G378" s="86"/>
      <c r="H378" s="86"/>
      <c r="I378" s="65"/>
      <c r="J378" s="65"/>
      <c r="K378" s="87"/>
      <c r="L378" s="88"/>
    </row>
    <row r="379" spans="6:12" ht="12.5">
      <c r="F379" s="86"/>
      <c r="G379" s="86"/>
      <c r="H379" s="86"/>
      <c r="I379" s="65"/>
      <c r="J379" s="65"/>
      <c r="K379" s="87"/>
      <c r="L379" s="88"/>
    </row>
    <row r="380" spans="6:12" ht="12.5">
      <c r="F380" s="86"/>
      <c r="G380" s="86"/>
      <c r="H380" s="86"/>
      <c r="I380" s="65"/>
      <c r="J380" s="65"/>
      <c r="K380" s="87"/>
      <c r="L380" s="88"/>
    </row>
    <row r="381" spans="6:12" ht="12.5">
      <c r="F381" s="86"/>
      <c r="G381" s="86"/>
      <c r="H381" s="86"/>
      <c r="I381" s="65"/>
      <c r="J381" s="65"/>
      <c r="K381" s="87"/>
      <c r="L381" s="88"/>
    </row>
    <row r="382" spans="6:12" ht="12.5">
      <c r="F382" s="86"/>
      <c r="G382" s="86"/>
      <c r="H382" s="86"/>
      <c r="I382" s="65"/>
      <c r="J382" s="65"/>
      <c r="K382" s="87"/>
      <c r="L382" s="88"/>
    </row>
    <row r="383" spans="6:12" ht="12.5">
      <c r="F383" s="86"/>
      <c r="G383" s="86"/>
      <c r="H383" s="86"/>
      <c r="I383" s="65"/>
      <c r="J383" s="65"/>
      <c r="K383" s="87"/>
      <c r="L383" s="88"/>
    </row>
    <row r="384" spans="6:12" ht="12.5">
      <c r="F384" s="86"/>
      <c r="G384" s="86"/>
      <c r="H384" s="86"/>
      <c r="I384" s="65"/>
      <c r="J384" s="65"/>
      <c r="K384" s="87"/>
      <c r="L384" s="88"/>
    </row>
    <row r="385" spans="6:12" ht="12.5">
      <c r="F385" s="86"/>
      <c r="G385" s="86"/>
      <c r="H385" s="86"/>
      <c r="I385" s="65"/>
      <c r="J385" s="65"/>
      <c r="K385" s="87"/>
      <c r="L385" s="88"/>
    </row>
    <row r="386" spans="6:12" ht="12.5">
      <c r="F386" s="86"/>
      <c r="G386" s="86"/>
      <c r="H386" s="86"/>
      <c r="I386" s="65"/>
      <c r="J386" s="65"/>
      <c r="K386" s="87"/>
      <c r="L386" s="88"/>
    </row>
    <row r="387" spans="6:12" ht="12.5">
      <c r="F387" s="86"/>
      <c r="G387" s="86"/>
      <c r="H387" s="86"/>
      <c r="I387" s="65"/>
      <c r="J387" s="65"/>
      <c r="K387" s="87"/>
      <c r="L387" s="88"/>
    </row>
    <row r="388" spans="6:12" ht="12.5">
      <c r="F388" s="86"/>
      <c r="G388" s="86"/>
      <c r="H388" s="86"/>
      <c r="I388" s="65"/>
      <c r="J388" s="65"/>
      <c r="K388" s="87"/>
      <c r="L388" s="88"/>
    </row>
    <row r="389" spans="6:12" ht="12.5">
      <c r="F389" s="86"/>
      <c r="G389" s="86"/>
      <c r="H389" s="86"/>
      <c r="I389" s="65"/>
      <c r="J389" s="65"/>
      <c r="K389" s="87"/>
      <c r="L389" s="88"/>
    </row>
    <row r="390" spans="6:12" ht="12.5">
      <c r="F390" s="86"/>
      <c r="G390" s="86"/>
      <c r="H390" s="86"/>
      <c r="I390" s="65"/>
      <c r="J390" s="65"/>
      <c r="K390" s="87"/>
      <c r="L390" s="88"/>
    </row>
    <row r="391" spans="6:12" ht="12.5">
      <c r="F391" s="86"/>
      <c r="G391" s="86"/>
      <c r="H391" s="86"/>
      <c r="I391" s="65"/>
      <c r="J391" s="65"/>
      <c r="K391" s="87"/>
      <c r="L391" s="88"/>
    </row>
    <row r="392" spans="6:12" ht="12.5">
      <c r="F392" s="86"/>
      <c r="G392" s="86"/>
      <c r="H392" s="86"/>
      <c r="I392" s="65"/>
      <c r="J392" s="65"/>
      <c r="K392" s="87"/>
      <c r="L392" s="88"/>
    </row>
    <row r="393" spans="6:12" ht="12.5">
      <c r="F393" s="86"/>
      <c r="G393" s="86"/>
      <c r="H393" s="86"/>
      <c r="I393" s="65"/>
      <c r="J393" s="65"/>
      <c r="K393" s="87"/>
      <c r="L393" s="88"/>
    </row>
    <row r="394" spans="6:12" ht="12.5">
      <c r="F394" s="86"/>
      <c r="G394" s="86"/>
      <c r="H394" s="86"/>
      <c r="I394" s="65"/>
      <c r="J394" s="65"/>
      <c r="K394" s="87"/>
      <c r="L394" s="88"/>
    </row>
    <row r="395" spans="6:12" ht="12.5">
      <c r="F395" s="86"/>
      <c r="G395" s="86"/>
      <c r="H395" s="86"/>
      <c r="I395" s="65"/>
      <c r="J395" s="65"/>
      <c r="K395" s="87"/>
      <c r="L395" s="88"/>
    </row>
    <row r="396" spans="6:12" ht="12.5">
      <c r="F396" s="86"/>
      <c r="G396" s="86"/>
      <c r="H396" s="86"/>
      <c r="I396" s="65"/>
      <c r="J396" s="65"/>
      <c r="K396" s="87"/>
      <c r="L396" s="88"/>
    </row>
    <row r="397" spans="6:12" ht="12.5">
      <c r="F397" s="86"/>
      <c r="G397" s="86"/>
      <c r="H397" s="86"/>
      <c r="I397" s="65"/>
      <c r="J397" s="65"/>
      <c r="K397" s="87"/>
      <c r="L397" s="88"/>
    </row>
    <row r="398" spans="6:12" ht="12.5">
      <c r="F398" s="86"/>
      <c r="G398" s="86"/>
      <c r="H398" s="86"/>
      <c r="I398" s="65"/>
      <c r="J398" s="65"/>
      <c r="K398" s="87"/>
      <c r="L398" s="88"/>
    </row>
    <row r="399" spans="6:12" ht="12.5">
      <c r="F399" s="86"/>
      <c r="G399" s="86"/>
      <c r="H399" s="86"/>
      <c r="I399" s="65"/>
      <c r="J399" s="65"/>
      <c r="K399" s="87"/>
      <c r="L399" s="88"/>
    </row>
    <row r="400" spans="6:12" ht="12.5">
      <c r="F400" s="86"/>
      <c r="G400" s="86"/>
      <c r="H400" s="86"/>
      <c r="I400" s="65"/>
      <c r="J400" s="65"/>
      <c r="K400" s="87"/>
      <c r="L400" s="88"/>
    </row>
    <row r="401" spans="6:12" ht="12.5">
      <c r="F401" s="86"/>
      <c r="G401" s="86"/>
      <c r="H401" s="86"/>
      <c r="I401" s="65"/>
      <c r="J401" s="65"/>
      <c r="K401" s="87"/>
      <c r="L401" s="88"/>
    </row>
    <row r="402" spans="6:12" ht="12.5">
      <c r="F402" s="86"/>
      <c r="G402" s="86"/>
      <c r="H402" s="86"/>
      <c r="I402" s="65"/>
      <c r="J402" s="65"/>
      <c r="K402" s="87"/>
      <c r="L402" s="88"/>
    </row>
    <row r="403" spans="6:12" ht="12.5">
      <c r="F403" s="86"/>
      <c r="G403" s="86"/>
      <c r="H403" s="86"/>
      <c r="I403" s="65"/>
      <c r="J403" s="65"/>
      <c r="K403" s="87"/>
      <c r="L403" s="88"/>
    </row>
    <row r="404" spans="6:12" ht="12.5">
      <c r="F404" s="86"/>
      <c r="G404" s="86"/>
      <c r="H404" s="86"/>
      <c r="I404" s="65"/>
      <c r="J404" s="65"/>
      <c r="K404" s="87"/>
      <c r="L404" s="88"/>
    </row>
    <row r="405" spans="6:12" ht="12.5">
      <c r="F405" s="86"/>
      <c r="G405" s="86"/>
      <c r="H405" s="86"/>
      <c r="I405" s="65"/>
      <c r="J405" s="65"/>
      <c r="K405" s="87"/>
      <c r="L405" s="88"/>
    </row>
    <row r="406" spans="6:12" ht="12.5">
      <c r="F406" s="86"/>
      <c r="G406" s="86"/>
      <c r="H406" s="86"/>
      <c r="I406" s="65"/>
      <c r="J406" s="65"/>
      <c r="K406" s="87"/>
      <c r="L406" s="88"/>
    </row>
    <row r="407" spans="6:12" ht="12.5">
      <c r="F407" s="86"/>
      <c r="G407" s="86"/>
      <c r="H407" s="86"/>
      <c r="I407" s="65"/>
      <c r="J407" s="65"/>
      <c r="K407" s="87"/>
      <c r="L407" s="88"/>
    </row>
    <row r="408" spans="6:12" ht="12.5">
      <c r="F408" s="86"/>
      <c r="G408" s="86"/>
      <c r="H408" s="86"/>
      <c r="I408" s="65"/>
      <c r="J408" s="65"/>
      <c r="K408" s="87"/>
      <c r="L408" s="88"/>
    </row>
    <row r="409" spans="6:12" ht="12.5">
      <c r="F409" s="86"/>
      <c r="G409" s="86"/>
      <c r="H409" s="86"/>
      <c r="I409" s="65"/>
      <c r="J409" s="65"/>
      <c r="K409" s="87"/>
      <c r="L409" s="88"/>
    </row>
    <row r="410" spans="6:12" ht="12.5">
      <c r="F410" s="86"/>
      <c r="G410" s="86"/>
      <c r="H410" s="86"/>
      <c r="I410" s="65"/>
      <c r="J410" s="65"/>
      <c r="K410" s="87"/>
      <c r="L410" s="88"/>
    </row>
    <row r="411" spans="6:12" ht="12.5">
      <c r="F411" s="86"/>
      <c r="G411" s="86"/>
      <c r="H411" s="86"/>
      <c r="I411" s="65"/>
      <c r="J411" s="65"/>
      <c r="K411" s="87"/>
      <c r="L411" s="88"/>
    </row>
    <row r="412" spans="6:12" ht="12.5">
      <c r="F412" s="86"/>
      <c r="G412" s="86"/>
      <c r="H412" s="86"/>
      <c r="I412" s="65"/>
      <c r="J412" s="65"/>
      <c r="K412" s="87"/>
      <c r="L412" s="88"/>
    </row>
    <row r="413" spans="6:12" ht="12.5">
      <c r="F413" s="86"/>
      <c r="G413" s="86"/>
      <c r="H413" s="86"/>
      <c r="I413" s="65"/>
      <c r="J413" s="65"/>
      <c r="K413" s="87"/>
      <c r="L413" s="88"/>
    </row>
    <row r="414" spans="6:12" ht="12.5">
      <c r="F414" s="86"/>
      <c r="G414" s="86"/>
      <c r="H414" s="86"/>
      <c r="I414" s="65"/>
      <c r="J414" s="65"/>
      <c r="K414" s="87"/>
      <c r="L414" s="88"/>
    </row>
    <row r="415" spans="6:12" ht="12.5">
      <c r="F415" s="86"/>
      <c r="G415" s="86"/>
      <c r="H415" s="86"/>
      <c r="I415" s="65"/>
      <c r="J415" s="65"/>
      <c r="K415" s="87"/>
      <c r="L415" s="88"/>
    </row>
    <row r="416" spans="6:12" ht="12.5">
      <c r="F416" s="86"/>
      <c r="G416" s="86"/>
      <c r="H416" s="86"/>
      <c r="I416" s="65"/>
      <c r="J416" s="65"/>
      <c r="K416" s="87"/>
      <c r="L416" s="88"/>
    </row>
    <row r="417" spans="6:12" ht="12.5">
      <c r="F417" s="86"/>
      <c r="G417" s="86"/>
      <c r="H417" s="86"/>
      <c r="I417" s="65"/>
      <c r="J417" s="65"/>
      <c r="K417" s="87"/>
      <c r="L417" s="88"/>
    </row>
    <row r="418" spans="6:12" ht="12.5">
      <c r="F418" s="86"/>
      <c r="G418" s="86"/>
      <c r="H418" s="86"/>
      <c r="I418" s="65"/>
      <c r="J418" s="65"/>
      <c r="K418" s="87"/>
      <c r="L418" s="88"/>
    </row>
    <row r="419" spans="6:12" ht="12.5">
      <c r="F419" s="86"/>
      <c r="G419" s="86"/>
      <c r="H419" s="86"/>
      <c r="I419" s="65"/>
      <c r="J419" s="65"/>
      <c r="K419" s="87"/>
      <c r="L419" s="88"/>
    </row>
    <row r="420" spans="6:12" ht="12.5">
      <c r="F420" s="86"/>
      <c r="G420" s="86"/>
      <c r="H420" s="86"/>
      <c r="I420" s="65"/>
      <c r="J420" s="65"/>
      <c r="K420" s="87"/>
      <c r="L420" s="88"/>
    </row>
    <row r="421" spans="6:12" ht="12.5">
      <c r="F421" s="86"/>
      <c r="G421" s="86"/>
      <c r="H421" s="86"/>
      <c r="I421" s="65"/>
      <c r="J421" s="65"/>
      <c r="K421" s="87"/>
      <c r="L421" s="88"/>
    </row>
    <row r="422" spans="6:12" ht="12.5">
      <c r="F422" s="86"/>
      <c r="G422" s="86"/>
      <c r="H422" s="86"/>
      <c r="I422" s="65"/>
      <c r="J422" s="65"/>
      <c r="K422" s="87"/>
      <c r="L422" s="88"/>
    </row>
    <row r="423" spans="6:12" ht="12.5">
      <c r="F423" s="86"/>
      <c r="G423" s="86"/>
      <c r="H423" s="86"/>
      <c r="I423" s="65"/>
      <c r="J423" s="65"/>
      <c r="K423" s="87"/>
      <c r="L423" s="88"/>
    </row>
    <row r="424" spans="6:12" ht="12.5">
      <c r="F424" s="86"/>
      <c r="G424" s="86"/>
      <c r="H424" s="86"/>
      <c r="I424" s="65"/>
      <c r="J424" s="65"/>
      <c r="K424" s="87"/>
      <c r="L424" s="88"/>
    </row>
    <row r="425" spans="6:12" ht="12.5">
      <c r="F425" s="86"/>
      <c r="G425" s="86"/>
      <c r="H425" s="86"/>
      <c r="I425" s="65"/>
      <c r="J425" s="65"/>
      <c r="K425" s="87"/>
      <c r="L425" s="88"/>
    </row>
    <row r="426" spans="6:12" ht="12.5">
      <c r="F426" s="86"/>
      <c r="G426" s="86"/>
      <c r="H426" s="86"/>
      <c r="I426" s="65"/>
      <c r="J426" s="65"/>
      <c r="K426" s="87"/>
      <c r="L426" s="88"/>
    </row>
    <row r="427" spans="6:12" ht="12.5">
      <c r="F427" s="86"/>
      <c r="G427" s="86"/>
      <c r="H427" s="86"/>
      <c r="I427" s="65"/>
      <c r="J427" s="65"/>
      <c r="K427" s="87"/>
      <c r="L427" s="88"/>
    </row>
    <row r="428" spans="6:12" ht="12.5">
      <c r="F428" s="86"/>
      <c r="G428" s="86"/>
      <c r="H428" s="86"/>
      <c r="I428" s="65"/>
      <c r="J428" s="65"/>
      <c r="K428" s="87"/>
      <c r="L428" s="88"/>
    </row>
    <row r="429" spans="6:12" ht="12.5">
      <c r="F429" s="86"/>
      <c r="G429" s="86"/>
      <c r="H429" s="86"/>
      <c r="I429" s="65"/>
      <c r="J429" s="65"/>
      <c r="K429" s="87"/>
      <c r="L429" s="88"/>
    </row>
    <row r="430" spans="6:12" ht="12.5">
      <c r="F430" s="86"/>
      <c r="G430" s="86"/>
      <c r="H430" s="86"/>
      <c r="I430" s="65"/>
      <c r="J430" s="65"/>
      <c r="K430" s="87"/>
      <c r="L430" s="88"/>
    </row>
    <row r="431" spans="6:12" ht="12.5">
      <c r="F431" s="86"/>
      <c r="G431" s="86"/>
      <c r="H431" s="86"/>
      <c r="I431" s="65"/>
      <c r="J431" s="65"/>
      <c r="K431" s="87"/>
      <c r="L431" s="88"/>
    </row>
    <row r="432" spans="6:12" ht="12.5">
      <c r="F432" s="86"/>
      <c r="G432" s="86"/>
      <c r="H432" s="86"/>
      <c r="I432" s="65"/>
      <c r="J432" s="65"/>
      <c r="K432" s="87"/>
      <c r="L432" s="88"/>
    </row>
    <row r="433" spans="6:12" ht="12.5">
      <c r="F433" s="86"/>
      <c r="G433" s="86"/>
      <c r="H433" s="86"/>
      <c r="I433" s="65"/>
      <c r="J433" s="65"/>
      <c r="K433" s="87"/>
      <c r="L433" s="88"/>
    </row>
    <row r="434" spans="6:12" ht="12.5">
      <c r="F434" s="86"/>
      <c r="G434" s="86"/>
      <c r="H434" s="86"/>
      <c r="I434" s="65"/>
      <c r="J434" s="65"/>
      <c r="K434" s="87"/>
      <c r="L434" s="88"/>
    </row>
    <row r="435" spans="6:12" ht="12.5">
      <c r="F435" s="86"/>
      <c r="G435" s="86"/>
      <c r="H435" s="86"/>
      <c r="I435" s="65"/>
      <c r="J435" s="65"/>
      <c r="K435" s="87"/>
      <c r="L435" s="88"/>
    </row>
    <row r="436" spans="6:12" ht="12.5">
      <c r="F436" s="86"/>
      <c r="G436" s="86"/>
      <c r="H436" s="86"/>
      <c r="I436" s="65"/>
      <c r="J436" s="65"/>
      <c r="K436" s="87"/>
      <c r="L436" s="88"/>
    </row>
    <row r="437" spans="6:12" ht="12.5">
      <c r="F437" s="86"/>
      <c r="G437" s="86"/>
      <c r="H437" s="86"/>
      <c r="I437" s="65"/>
      <c r="J437" s="65"/>
      <c r="K437" s="87"/>
      <c r="L437" s="88"/>
    </row>
    <row r="438" spans="6:12" ht="12.5">
      <c r="F438" s="86"/>
      <c r="G438" s="86"/>
      <c r="H438" s="86"/>
      <c r="I438" s="65"/>
      <c r="J438" s="65"/>
      <c r="K438" s="87"/>
      <c r="L438" s="88"/>
    </row>
    <row r="439" spans="6:12" ht="12.5">
      <c r="F439" s="86"/>
      <c r="G439" s="86"/>
      <c r="H439" s="86"/>
      <c r="I439" s="65"/>
      <c r="J439" s="65"/>
      <c r="K439" s="87"/>
      <c r="L439" s="88"/>
    </row>
    <row r="440" spans="6:12" ht="12.5">
      <c r="F440" s="86"/>
      <c r="G440" s="86"/>
      <c r="H440" s="86"/>
      <c r="I440" s="65"/>
      <c r="J440" s="65"/>
      <c r="K440" s="87"/>
      <c r="L440" s="88"/>
    </row>
    <row r="441" spans="6:12" ht="12.5">
      <c r="F441" s="86"/>
      <c r="G441" s="86"/>
      <c r="H441" s="86"/>
      <c r="I441" s="65"/>
      <c r="J441" s="65"/>
      <c r="K441" s="87"/>
      <c r="L441" s="88"/>
    </row>
    <row r="442" spans="6:12" ht="12.5">
      <c r="F442" s="86"/>
      <c r="G442" s="86"/>
      <c r="H442" s="86"/>
      <c r="I442" s="65"/>
      <c r="J442" s="65"/>
      <c r="K442" s="87"/>
      <c r="L442" s="88"/>
    </row>
    <row r="443" spans="6:12" ht="12.5">
      <c r="F443" s="86"/>
      <c r="G443" s="86"/>
      <c r="H443" s="86"/>
      <c r="I443" s="65"/>
      <c r="J443" s="65"/>
      <c r="K443" s="87"/>
      <c r="L443" s="88"/>
    </row>
    <row r="444" spans="6:12" ht="12.5">
      <c r="F444" s="86"/>
      <c r="G444" s="86"/>
      <c r="H444" s="86"/>
      <c r="I444" s="65"/>
      <c r="J444" s="65"/>
      <c r="K444" s="87"/>
      <c r="L444" s="88"/>
    </row>
    <row r="445" spans="6:12" ht="12.5">
      <c r="F445" s="86"/>
      <c r="G445" s="86"/>
      <c r="H445" s="86"/>
      <c r="I445" s="65"/>
      <c r="J445" s="65"/>
      <c r="K445" s="87"/>
      <c r="L445" s="88"/>
    </row>
    <row r="446" spans="6:12" ht="12.5">
      <c r="F446" s="86"/>
      <c r="G446" s="86"/>
      <c r="H446" s="86"/>
      <c r="I446" s="65"/>
      <c r="J446" s="65"/>
      <c r="K446" s="87"/>
      <c r="L446" s="88"/>
    </row>
    <row r="447" spans="6:12" ht="12.5">
      <c r="F447" s="86"/>
      <c r="G447" s="86"/>
      <c r="H447" s="86"/>
      <c r="I447" s="65"/>
      <c r="J447" s="65"/>
      <c r="K447" s="87"/>
      <c r="L447" s="88"/>
    </row>
    <row r="448" spans="6:12" ht="12.5">
      <c r="F448" s="86"/>
      <c r="G448" s="86"/>
      <c r="H448" s="86"/>
      <c r="I448" s="65"/>
      <c r="J448" s="65"/>
      <c r="K448" s="87"/>
      <c r="L448" s="88"/>
    </row>
    <row r="449" spans="6:12" ht="12.5">
      <c r="F449" s="86"/>
      <c r="G449" s="86"/>
      <c r="H449" s="86"/>
      <c r="I449" s="65"/>
      <c r="J449" s="65"/>
      <c r="K449" s="87"/>
      <c r="L449" s="88"/>
    </row>
    <row r="450" spans="6:12" ht="12.5">
      <c r="F450" s="86"/>
      <c r="G450" s="86"/>
      <c r="H450" s="86"/>
      <c r="I450" s="65"/>
      <c r="J450" s="65"/>
      <c r="K450" s="87"/>
      <c r="L450" s="88"/>
    </row>
    <row r="451" spans="6:12" ht="12.5">
      <c r="F451" s="86"/>
      <c r="G451" s="86"/>
      <c r="H451" s="86"/>
      <c r="I451" s="65"/>
      <c r="J451" s="65"/>
      <c r="K451" s="87"/>
      <c r="L451" s="88"/>
    </row>
    <row r="452" spans="6:12" ht="12.5">
      <c r="F452" s="86"/>
      <c r="G452" s="86"/>
      <c r="H452" s="86"/>
      <c r="I452" s="65"/>
      <c r="J452" s="65"/>
      <c r="K452" s="87"/>
      <c r="L452" s="88"/>
    </row>
    <row r="453" spans="6:12" ht="12.5">
      <c r="F453" s="86"/>
      <c r="G453" s="86"/>
      <c r="H453" s="86"/>
      <c r="I453" s="65"/>
      <c r="J453" s="65"/>
      <c r="K453" s="87"/>
      <c r="L453" s="88"/>
    </row>
    <row r="454" spans="6:12" ht="12.5">
      <c r="F454" s="86"/>
      <c r="G454" s="86"/>
      <c r="H454" s="86"/>
      <c r="I454" s="65"/>
      <c r="J454" s="65"/>
      <c r="K454" s="87"/>
      <c r="L454" s="88"/>
    </row>
    <row r="455" spans="6:12" ht="12.5">
      <c r="F455" s="86"/>
      <c r="G455" s="86"/>
      <c r="H455" s="86"/>
      <c r="I455" s="65"/>
      <c r="J455" s="65"/>
      <c r="K455" s="87"/>
      <c r="L455" s="88"/>
    </row>
    <row r="456" spans="6:12" ht="12.5">
      <c r="F456" s="86"/>
      <c r="G456" s="86"/>
      <c r="H456" s="86"/>
      <c r="I456" s="65"/>
      <c r="J456" s="65"/>
      <c r="K456" s="87"/>
      <c r="L456" s="88"/>
    </row>
    <row r="457" spans="6:12" ht="12.5">
      <c r="F457" s="86"/>
      <c r="G457" s="86"/>
      <c r="H457" s="86"/>
      <c r="I457" s="65"/>
      <c r="J457" s="65"/>
      <c r="K457" s="87"/>
      <c r="L457" s="88"/>
    </row>
    <row r="458" spans="6:12" ht="12.5">
      <c r="F458" s="86"/>
      <c r="G458" s="86"/>
      <c r="H458" s="86"/>
      <c r="I458" s="65"/>
      <c r="J458" s="65"/>
      <c r="K458" s="87"/>
      <c r="L458" s="88"/>
    </row>
    <row r="459" spans="6:12" ht="12.5">
      <c r="F459" s="86"/>
      <c r="G459" s="86"/>
      <c r="H459" s="86"/>
      <c r="I459" s="65"/>
      <c r="J459" s="65"/>
      <c r="K459" s="87"/>
      <c r="L459" s="88"/>
    </row>
    <row r="460" spans="6:12" ht="12.5">
      <c r="F460" s="86"/>
      <c r="G460" s="86"/>
      <c r="H460" s="86"/>
      <c r="I460" s="65"/>
      <c r="J460" s="65"/>
      <c r="K460" s="87"/>
      <c r="L460" s="88"/>
    </row>
    <row r="461" spans="6:12" ht="12.5">
      <c r="F461" s="86"/>
      <c r="G461" s="86"/>
      <c r="H461" s="86"/>
      <c r="I461" s="65"/>
      <c r="J461" s="65"/>
      <c r="K461" s="87"/>
      <c r="L461" s="88"/>
    </row>
    <row r="462" spans="6:12" ht="12.5">
      <c r="F462" s="86"/>
      <c r="G462" s="86"/>
      <c r="H462" s="86"/>
      <c r="I462" s="65"/>
      <c r="J462" s="65"/>
      <c r="K462" s="87"/>
      <c r="L462" s="88"/>
    </row>
    <row r="463" spans="6:12" ht="12.5">
      <c r="F463" s="86"/>
      <c r="G463" s="86"/>
      <c r="H463" s="86"/>
      <c r="I463" s="65"/>
      <c r="J463" s="65"/>
      <c r="K463" s="87"/>
      <c r="L463" s="88"/>
    </row>
    <row r="464" spans="6:12" ht="12.5">
      <c r="F464" s="86"/>
      <c r="G464" s="86"/>
      <c r="H464" s="86"/>
      <c r="I464" s="65"/>
      <c r="J464" s="65"/>
      <c r="K464" s="87"/>
      <c r="L464" s="88"/>
    </row>
    <row r="465" spans="6:12" ht="12.5">
      <c r="F465" s="86"/>
      <c r="G465" s="86"/>
      <c r="H465" s="86"/>
      <c r="I465" s="65"/>
      <c r="J465" s="65"/>
      <c r="K465" s="87"/>
      <c r="L465" s="88"/>
    </row>
    <row r="466" spans="6:12" ht="12.5">
      <c r="F466" s="86"/>
      <c r="G466" s="86"/>
      <c r="H466" s="86"/>
      <c r="I466" s="65"/>
      <c r="J466" s="65"/>
      <c r="K466" s="87"/>
      <c r="L466" s="88"/>
    </row>
    <row r="467" spans="6:12" ht="12.5">
      <c r="F467" s="86"/>
      <c r="G467" s="86"/>
      <c r="H467" s="86"/>
      <c r="I467" s="65"/>
      <c r="J467" s="65"/>
      <c r="K467" s="87"/>
      <c r="L467" s="88"/>
    </row>
    <row r="468" spans="6:12" ht="12.5">
      <c r="F468" s="86"/>
      <c r="G468" s="86"/>
      <c r="H468" s="86"/>
      <c r="I468" s="65"/>
      <c r="J468" s="65"/>
      <c r="K468" s="87"/>
      <c r="L468" s="88"/>
    </row>
    <row r="469" spans="6:12" ht="12.5">
      <c r="F469" s="86"/>
      <c r="G469" s="86"/>
      <c r="H469" s="86"/>
      <c r="I469" s="65"/>
      <c r="J469" s="65"/>
      <c r="K469" s="87"/>
      <c r="L469" s="88"/>
    </row>
    <row r="470" spans="6:12" ht="12.5">
      <c r="F470" s="86"/>
      <c r="G470" s="86"/>
      <c r="H470" s="86"/>
      <c r="I470" s="65"/>
      <c r="J470" s="65"/>
      <c r="K470" s="87"/>
      <c r="L470" s="88"/>
    </row>
    <row r="471" spans="6:12" ht="12.5">
      <c r="F471" s="86"/>
      <c r="G471" s="86"/>
      <c r="H471" s="86"/>
      <c r="I471" s="65"/>
      <c r="J471" s="65"/>
      <c r="K471" s="87"/>
      <c r="L471" s="88"/>
    </row>
    <row r="472" spans="6:12" ht="12.5">
      <c r="F472" s="86"/>
      <c r="G472" s="86"/>
      <c r="H472" s="86"/>
      <c r="I472" s="65"/>
      <c r="J472" s="65"/>
      <c r="K472" s="87"/>
      <c r="L472" s="88"/>
    </row>
    <row r="473" spans="6:12" ht="12.5">
      <c r="F473" s="86"/>
      <c r="G473" s="86"/>
      <c r="H473" s="86"/>
      <c r="I473" s="65"/>
      <c r="J473" s="65"/>
      <c r="K473" s="87"/>
      <c r="L473" s="88"/>
    </row>
    <row r="474" spans="6:12" ht="12.5">
      <c r="F474" s="86"/>
      <c r="G474" s="86"/>
      <c r="H474" s="86"/>
      <c r="I474" s="65"/>
      <c r="J474" s="65"/>
      <c r="K474" s="87"/>
      <c r="L474" s="88"/>
    </row>
    <row r="475" spans="6:12" ht="12.5">
      <c r="F475" s="86"/>
      <c r="G475" s="86"/>
      <c r="H475" s="86"/>
      <c r="I475" s="65"/>
      <c r="J475" s="65"/>
      <c r="K475" s="87"/>
      <c r="L475" s="88"/>
    </row>
    <row r="476" spans="6:12" ht="12.5">
      <c r="F476" s="86"/>
      <c r="G476" s="86"/>
      <c r="H476" s="86"/>
      <c r="I476" s="65"/>
      <c r="J476" s="65"/>
      <c r="K476" s="87"/>
      <c r="L476" s="88"/>
    </row>
    <row r="477" spans="6:12" ht="12.5">
      <c r="F477" s="86"/>
      <c r="G477" s="86"/>
      <c r="H477" s="86"/>
      <c r="I477" s="65"/>
      <c r="J477" s="65"/>
      <c r="K477" s="87"/>
      <c r="L477" s="88"/>
    </row>
    <row r="478" spans="6:12" ht="12.5">
      <c r="F478" s="86"/>
      <c r="G478" s="86"/>
      <c r="H478" s="86"/>
      <c r="I478" s="65"/>
      <c r="J478" s="65"/>
      <c r="K478" s="87"/>
      <c r="L478" s="88"/>
    </row>
    <row r="479" spans="6:12" ht="12.5">
      <c r="F479" s="86"/>
      <c r="G479" s="86"/>
      <c r="H479" s="86"/>
      <c r="I479" s="65"/>
      <c r="J479" s="65"/>
      <c r="K479" s="87"/>
      <c r="L479" s="88"/>
    </row>
    <row r="480" spans="6:12" ht="12.5">
      <c r="F480" s="86"/>
      <c r="G480" s="86"/>
      <c r="H480" s="86"/>
      <c r="I480" s="65"/>
      <c r="J480" s="65"/>
      <c r="K480" s="87"/>
      <c r="L480" s="88"/>
    </row>
    <row r="481" spans="6:12" ht="12.5">
      <c r="F481" s="86"/>
      <c r="G481" s="86"/>
      <c r="H481" s="86"/>
      <c r="I481" s="65"/>
      <c r="J481" s="65"/>
      <c r="K481" s="87"/>
      <c r="L481" s="88"/>
    </row>
    <row r="482" spans="6:12" ht="12.5">
      <c r="F482" s="86"/>
      <c r="G482" s="86"/>
      <c r="H482" s="86"/>
      <c r="I482" s="65"/>
      <c r="J482" s="65"/>
      <c r="K482" s="87"/>
      <c r="L482" s="88"/>
    </row>
    <row r="483" spans="6:12" ht="12.5">
      <c r="F483" s="86"/>
      <c r="G483" s="86"/>
      <c r="H483" s="86"/>
      <c r="I483" s="65"/>
      <c r="J483" s="65"/>
      <c r="K483" s="87"/>
      <c r="L483" s="88"/>
    </row>
    <row r="484" spans="6:12" ht="12.5">
      <c r="F484" s="86"/>
      <c r="G484" s="86"/>
      <c r="H484" s="86"/>
      <c r="I484" s="65"/>
      <c r="J484" s="65"/>
      <c r="K484" s="87"/>
      <c r="L484" s="88"/>
    </row>
    <row r="485" spans="6:12" ht="12.5">
      <c r="F485" s="86"/>
      <c r="G485" s="86"/>
      <c r="H485" s="86"/>
      <c r="I485" s="65"/>
      <c r="J485" s="65"/>
      <c r="K485" s="87"/>
      <c r="L485" s="88"/>
    </row>
    <row r="486" spans="6:12" ht="12.5">
      <c r="F486" s="86"/>
      <c r="G486" s="86"/>
      <c r="H486" s="86"/>
      <c r="I486" s="65"/>
      <c r="J486" s="65"/>
      <c r="K486" s="87"/>
      <c r="L486" s="88"/>
    </row>
    <row r="487" spans="6:12" ht="12.5">
      <c r="F487" s="86"/>
      <c r="G487" s="86"/>
      <c r="H487" s="86"/>
      <c r="I487" s="65"/>
      <c r="J487" s="65"/>
      <c r="K487" s="87"/>
      <c r="L487" s="88"/>
    </row>
    <row r="488" spans="6:12" ht="12.5">
      <c r="F488" s="86"/>
      <c r="G488" s="86"/>
      <c r="H488" s="86"/>
      <c r="I488" s="65"/>
      <c r="J488" s="65"/>
      <c r="K488" s="87"/>
      <c r="L488" s="88"/>
    </row>
    <row r="489" spans="6:12" ht="12.5">
      <c r="F489" s="86"/>
      <c r="G489" s="86"/>
      <c r="H489" s="86"/>
      <c r="I489" s="65"/>
      <c r="J489" s="65"/>
      <c r="K489" s="87"/>
      <c r="L489" s="88"/>
    </row>
    <row r="490" spans="6:12" ht="12.5">
      <c r="F490" s="86"/>
      <c r="G490" s="86"/>
      <c r="H490" s="86"/>
      <c r="I490" s="65"/>
      <c r="J490" s="65"/>
      <c r="K490" s="87"/>
      <c r="L490" s="88"/>
    </row>
    <row r="491" spans="6:12" ht="12.5">
      <c r="F491" s="86"/>
      <c r="G491" s="86"/>
      <c r="H491" s="86"/>
      <c r="I491" s="65"/>
      <c r="J491" s="65"/>
      <c r="K491" s="87"/>
      <c r="L491" s="88"/>
    </row>
    <row r="492" spans="6:12" ht="12.5">
      <c r="F492" s="86"/>
      <c r="G492" s="86"/>
      <c r="H492" s="86"/>
      <c r="I492" s="65"/>
      <c r="J492" s="65"/>
      <c r="K492" s="87"/>
      <c r="L492" s="88"/>
    </row>
    <row r="493" spans="6:12" ht="12.5">
      <c r="F493" s="86"/>
      <c r="G493" s="86"/>
      <c r="H493" s="86"/>
      <c r="I493" s="65"/>
      <c r="J493" s="65"/>
      <c r="K493" s="87"/>
      <c r="L493" s="88"/>
    </row>
    <row r="494" spans="6:12" ht="12.5">
      <c r="F494" s="86"/>
      <c r="G494" s="86"/>
      <c r="H494" s="86"/>
      <c r="I494" s="65"/>
      <c r="J494" s="65"/>
      <c r="K494" s="87"/>
      <c r="L494" s="88"/>
    </row>
    <row r="495" spans="6:12" ht="12.5">
      <c r="F495" s="86"/>
      <c r="G495" s="86"/>
      <c r="H495" s="86"/>
      <c r="I495" s="65"/>
      <c r="J495" s="65"/>
      <c r="K495" s="87"/>
      <c r="L495" s="88"/>
    </row>
    <row r="496" spans="6:12" ht="12.5">
      <c r="F496" s="86"/>
      <c r="G496" s="86"/>
      <c r="H496" s="86"/>
      <c r="I496" s="65"/>
      <c r="J496" s="65"/>
      <c r="K496" s="87"/>
      <c r="L496" s="88"/>
    </row>
    <row r="497" spans="6:12" ht="12.5">
      <c r="F497" s="86"/>
      <c r="G497" s="86"/>
      <c r="H497" s="86"/>
      <c r="I497" s="65"/>
      <c r="J497" s="65"/>
      <c r="K497" s="87"/>
      <c r="L497" s="88"/>
    </row>
    <row r="498" spans="6:12" ht="12.5">
      <c r="F498" s="86"/>
      <c r="G498" s="86"/>
      <c r="H498" s="86"/>
      <c r="I498" s="65"/>
      <c r="J498" s="65"/>
      <c r="K498" s="87"/>
      <c r="L498" s="88"/>
    </row>
    <row r="499" spans="6:12" ht="12.5">
      <c r="F499" s="86"/>
      <c r="G499" s="86"/>
      <c r="H499" s="86"/>
      <c r="I499" s="65"/>
      <c r="J499" s="65"/>
      <c r="K499" s="87"/>
      <c r="L499" s="88"/>
    </row>
    <row r="500" spans="6:12" ht="12.5">
      <c r="F500" s="86"/>
      <c r="G500" s="86"/>
      <c r="H500" s="86"/>
      <c r="I500" s="65"/>
      <c r="J500" s="65"/>
      <c r="K500" s="87"/>
      <c r="L500" s="88"/>
    </row>
    <row r="501" spans="6:12" ht="12.5">
      <c r="F501" s="86"/>
      <c r="G501" s="86"/>
      <c r="H501" s="86"/>
      <c r="I501" s="65"/>
      <c r="J501" s="65"/>
      <c r="K501" s="87"/>
      <c r="L501" s="88"/>
    </row>
    <row r="502" spans="6:12" ht="12.5">
      <c r="F502" s="86"/>
      <c r="G502" s="86"/>
      <c r="H502" s="86"/>
      <c r="I502" s="65"/>
      <c r="J502" s="65"/>
      <c r="K502" s="87"/>
      <c r="L502" s="88"/>
    </row>
    <row r="503" spans="6:12" ht="12.5">
      <c r="F503" s="86"/>
      <c r="G503" s="86"/>
      <c r="H503" s="86"/>
      <c r="I503" s="65"/>
      <c r="J503" s="65"/>
      <c r="K503" s="87"/>
      <c r="L503" s="88"/>
    </row>
    <row r="504" spans="6:12" ht="12.5">
      <c r="F504" s="86"/>
      <c r="G504" s="86"/>
      <c r="H504" s="86"/>
      <c r="I504" s="65"/>
      <c r="J504" s="65"/>
      <c r="K504" s="87"/>
      <c r="L504" s="88"/>
    </row>
    <row r="505" spans="6:12" ht="12.5">
      <c r="F505" s="86"/>
      <c r="G505" s="86"/>
      <c r="H505" s="86"/>
      <c r="I505" s="65"/>
      <c r="J505" s="65"/>
      <c r="K505" s="87"/>
      <c r="L505" s="88"/>
    </row>
    <row r="506" spans="6:12" ht="12.5">
      <c r="F506" s="86"/>
      <c r="G506" s="86"/>
      <c r="H506" s="86"/>
      <c r="I506" s="65"/>
      <c r="J506" s="65"/>
      <c r="K506" s="87"/>
      <c r="L506" s="88"/>
    </row>
    <row r="507" spans="6:12" ht="12.5">
      <c r="F507" s="86"/>
      <c r="G507" s="86"/>
      <c r="H507" s="86"/>
      <c r="I507" s="65"/>
      <c r="J507" s="65"/>
      <c r="K507" s="87"/>
      <c r="L507" s="88"/>
    </row>
    <row r="508" spans="6:12" ht="12.5">
      <c r="F508" s="86"/>
      <c r="G508" s="86"/>
      <c r="H508" s="86"/>
      <c r="I508" s="65"/>
      <c r="J508" s="65"/>
      <c r="K508" s="87"/>
      <c r="L508" s="88"/>
    </row>
    <row r="509" spans="6:12" ht="12.5">
      <c r="F509" s="86"/>
      <c r="G509" s="86"/>
      <c r="H509" s="86"/>
      <c r="I509" s="65"/>
      <c r="J509" s="65"/>
      <c r="K509" s="87"/>
      <c r="L509" s="88"/>
    </row>
    <row r="510" spans="6:12" ht="12.5">
      <c r="F510" s="86"/>
      <c r="G510" s="86"/>
      <c r="H510" s="86"/>
      <c r="I510" s="65"/>
      <c r="J510" s="65"/>
      <c r="K510" s="87"/>
      <c r="L510" s="88"/>
    </row>
    <row r="511" spans="6:12" ht="12.5">
      <c r="F511" s="86"/>
      <c r="G511" s="86"/>
      <c r="H511" s="86"/>
      <c r="I511" s="65"/>
      <c r="J511" s="65"/>
      <c r="K511" s="87"/>
      <c r="L511" s="88"/>
    </row>
    <row r="512" spans="6:12" ht="12.5">
      <c r="F512" s="86"/>
      <c r="G512" s="86"/>
      <c r="H512" s="86"/>
      <c r="I512" s="65"/>
      <c r="J512" s="65"/>
      <c r="K512" s="87"/>
      <c r="L512" s="88"/>
    </row>
    <row r="513" spans="6:12" ht="12.5">
      <c r="F513" s="86"/>
      <c r="G513" s="86"/>
      <c r="H513" s="86"/>
      <c r="I513" s="65"/>
      <c r="J513" s="65"/>
      <c r="K513" s="87"/>
      <c r="L513" s="88"/>
    </row>
    <row r="514" spans="6:12" ht="12.5">
      <c r="F514" s="86"/>
      <c r="G514" s="86"/>
      <c r="H514" s="86"/>
      <c r="I514" s="65"/>
      <c r="J514" s="65"/>
      <c r="K514" s="87"/>
      <c r="L514" s="88"/>
    </row>
    <row r="515" spans="6:12" ht="12.5">
      <c r="F515" s="86"/>
      <c r="G515" s="86"/>
      <c r="H515" s="86"/>
      <c r="I515" s="65"/>
      <c r="J515" s="65"/>
      <c r="K515" s="87"/>
      <c r="L515" s="88"/>
    </row>
    <row r="516" spans="6:12" ht="12.5">
      <c r="F516" s="86"/>
      <c r="G516" s="86"/>
      <c r="H516" s="86"/>
      <c r="I516" s="65"/>
      <c r="J516" s="65"/>
      <c r="K516" s="87"/>
      <c r="L516" s="88"/>
    </row>
    <row r="517" spans="6:12" ht="12.5">
      <c r="F517" s="86"/>
      <c r="G517" s="86"/>
      <c r="H517" s="86"/>
      <c r="I517" s="65"/>
      <c r="J517" s="65"/>
      <c r="K517" s="87"/>
      <c r="L517" s="88"/>
    </row>
    <row r="518" spans="6:12" ht="12.5">
      <c r="F518" s="86"/>
      <c r="G518" s="86"/>
      <c r="H518" s="86"/>
      <c r="I518" s="65"/>
      <c r="J518" s="65"/>
      <c r="K518" s="87"/>
      <c r="L518" s="88"/>
    </row>
    <row r="519" spans="6:12" ht="12.5">
      <c r="F519" s="86"/>
      <c r="G519" s="86"/>
      <c r="H519" s="86"/>
      <c r="I519" s="65"/>
      <c r="J519" s="65"/>
      <c r="K519" s="87"/>
      <c r="L519" s="88"/>
    </row>
    <row r="520" spans="6:12" ht="12.5">
      <c r="F520" s="86"/>
      <c r="G520" s="86"/>
      <c r="H520" s="86"/>
      <c r="I520" s="65"/>
      <c r="J520" s="65"/>
      <c r="K520" s="87"/>
      <c r="L520" s="88"/>
    </row>
    <row r="521" spans="6:12" ht="12.5">
      <c r="F521" s="86"/>
      <c r="G521" s="86"/>
      <c r="H521" s="86"/>
      <c r="I521" s="65"/>
      <c r="J521" s="65"/>
      <c r="K521" s="87"/>
      <c r="L521" s="88"/>
    </row>
    <row r="522" spans="6:12" ht="12.5">
      <c r="F522" s="86"/>
      <c r="G522" s="86"/>
      <c r="H522" s="86"/>
      <c r="I522" s="65"/>
      <c r="J522" s="65"/>
      <c r="K522" s="87"/>
      <c r="L522" s="88"/>
    </row>
    <row r="523" spans="6:12" ht="12.5">
      <c r="F523" s="86"/>
      <c r="G523" s="86"/>
      <c r="H523" s="86"/>
      <c r="I523" s="65"/>
      <c r="J523" s="65"/>
      <c r="K523" s="87"/>
      <c r="L523" s="88"/>
    </row>
    <row r="524" spans="6:12" ht="12.5">
      <c r="F524" s="86"/>
      <c r="G524" s="86"/>
      <c r="H524" s="86"/>
      <c r="I524" s="65"/>
      <c r="J524" s="65"/>
      <c r="K524" s="87"/>
      <c r="L524" s="88"/>
    </row>
    <row r="525" spans="6:12" ht="12.5">
      <c r="F525" s="86"/>
      <c r="G525" s="86"/>
      <c r="H525" s="86"/>
      <c r="I525" s="65"/>
      <c r="J525" s="65"/>
      <c r="K525" s="87"/>
      <c r="L525" s="88"/>
    </row>
    <row r="526" spans="6:12" ht="12.5">
      <c r="F526" s="86"/>
      <c r="G526" s="86"/>
      <c r="H526" s="86"/>
      <c r="I526" s="65"/>
      <c r="J526" s="65"/>
      <c r="K526" s="87"/>
      <c r="L526" s="88"/>
    </row>
    <row r="527" spans="6:12" ht="12.5">
      <c r="F527" s="86"/>
      <c r="G527" s="86"/>
      <c r="H527" s="86"/>
      <c r="I527" s="65"/>
      <c r="J527" s="65"/>
      <c r="K527" s="87"/>
      <c r="L527" s="88"/>
    </row>
    <row r="528" spans="6:12" ht="12.5">
      <c r="F528" s="86"/>
      <c r="G528" s="86"/>
      <c r="H528" s="86"/>
      <c r="I528" s="65"/>
      <c r="J528" s="65"/>
      <c r="K528" s="87"/>
      <c r="L528" s="88"/>
    </row>
    <row r="529" spans="6:12" ht="12.5">
      <c r="F529" s="86"/>
      <c r="G529" s="86"/>
      <c r="H529" s="86"/>
      <c r="I529" s="65"/>
      <c r="J529" s="65"/>
      <c r="K529" s="87"/>
      <c r="L529" s="88"/>
    </row>
    <row r="530" spans="6:12" ht="12.5">
      <c r="F530" s="86"/>
      <c r="G530" s="86"/>
      <c r="H530" s="86"/>
      <c r="I530" s="65"/>
      <c r="J530" s="65"/>
      <c r="K530" s="87"/>
      <c r="L530" s="88"/>
    </row>
    <row r="531" spans="6:12" ht="12.5">
      <c r="F531" s="86"/>
      <c r="G531" s="86"/>
      <c r="H531" s="86"/>
      <c r="I531" s="65"/>
      <c r="J531" s="65"/>
      <c r="K531" s="87"/>
      <c r="L531" s="88"/>
    </row>
    <row r="532" spans="6:12" ht="12.5">
      <c r="F532" s="86"/>
      <c r="G532" s="86"/>
      <c r="H532" s="86"/>
      <c r="I532" s="65"/>
      <c r="J532" s="65"/>
      <c r="K532" s="87"/>
      <c r="L532" s="88"/>
    </row>
    <row r="533" spans="6:12" ht="12.5">
      <c r="F533" s="86"/>
      <c r="G533" s="86"/>
      <c r="H533" s="86"/>
      <c r="I533" s="65"/>
      <c r="J533" s="65"/>
      <c r="K533" s="87"/>
      <c r="L533" s="88"/>
    </row>
    <row r="534" spans="6:12" ht="12.5">
      <c r="F534" s="86"/>
      <c r="G534" s="86"/>
      <c r="H534" s="86"/>
      <c r="I534" s="65"/>
      <c r="J534" s="65"/>
      <c r="K534" s="87"/>
      <c r="L534" s="88"/>
    </row>
    <row r="535" spans="6:12" ht="12.5">
      <c r="F535" s="86"/>
      <c r="G535" s="86"/>
      <c r="H535" s="86"/>
      <c r="I535" s="65"/>
      <c r="J535" s="65"/>
      <c r="K535" s="87"/>
      <c r="L535" s="88"/>
    </row>
    <row r="536" spans="6:12" ht="12.5">
      <c r="F536" s="86"/>
      <c r="G536" s="86"/>
      <c r="H536" s="86"/>
      <c r="I536" s="65"/>
      <c r="J536" s="65"/>
      <c r="K536" s="87"/>
      <c r="L536" s="88"/>
    </row>
    <row r="537" spans="6:12" ht="12.5">
      <c r="F537" s="86"/>
      <c r="G537" s="86"/>
      <c r="H537" s="86"/>
      <c r="I537" s="65"/>
      <c r="J537" s="65"/>
      <c r="K537" s="87"/>
      <c r="L537" s="88"/>
    </row>
    <row r="538" spans="6:12" ht="12.5">
      <c r="F538" s="86"/>
      <c r="G538" s="86"/>
      <c r="H538" s="86"/>
      <c r="I538" s="65"/>
      <c r="J538" s="65"/>
      <c r="K538" s="87"/>
      <c r="L538" s="88"/>
    </row>
    <row r="539" spans="6:12" ht="12.5">
      <c r="F539" s="86"/>
      <c r="G539" s="86"/>
      <c r="H539" s="86"/>
      <c r="I539" s="65"/>
      <c r="J539" s="65"/>
      <c r="K539" s="87"/>
      <c r="L539" s="88"/>
    </row>
    <row r="540" spans="6:12" ht="12.5">
      <c r="F540" s="86"/>
      <c r="G540" s="86"/>
      <c r="H540" s="86"/>
      <c r="I540" s="65"/>
      <c r="J540" s="65"/>
      <c r="K540" s="87"/>
      <c r="L540" s="88"/>
    </row>
    <row r="541" spans="6:12" ht="12.5">
      <c r="F541" s="86"/>
      <c r="G541" s="86"/>
      <c r="H541" s="86"/>
      <c r="I541" s="65"/>
      <c r="J541" s="65"/>
      <c r="K541" s="87"/>
      <c r="L541" s="88"/>
    </row>
    <row r="542" spans="6:12" ht="12.5">
      <c r="F542" s="86"/>
      <c r="G542" s="86"/>
      <c r="H542" s="86"/>
      <c r="I542" s="65"/>
      <c r="J542" s="65"/>
      <c r="K542" s="87"/>
      <c r="L542" s="88"/>
    </row>
    <row r="543" spans="6:12" ht="12.5">
      <c r="F543" s="86"/>
      <c r="G543" s="86"/>
      <c r="H543" s="86"/>
      <c r="I543" s="65"/>
      <c r="J543" s="65"/>
      <c r="K543" s="87"/>
      <c r="L543" s="88"/>
    </row>
    <row r="544" spans="6:12" ht="12.5">
      <c r="F544" s="86"/>
      <c r="G544" s="86"/>
      <c r="H544" s="86"/>
      <c r="I544" s="65"/>
      <c r="J544" s="65"/>
      <c r="K544" s="87"/>
      <c r="L544" s="88"/>
    </row>
    <row r="545" spans="6:12" ht="12.5">
      <c r="F545" s="86"/>
      <c r="G545" s="86"/>
      <c r="H545" s="86"/>
      <c r="I545" s="65"/>
      <c r="J545" s="65"/>
      <c r="K545" s="87"/>
      <c r="L545" s="88"/>
    </row>
    <row r="546" spans="6:12" ht="12.5">
      <c r="F546" s="86"/>
      <c r="G546" s="86"/>
      <c r="H546" s="86"/>
      <c r="I546" s="65"/>
      <c r="J546" s="65"/>
      <c r="K546" s="87"/>
      <c r="L546" s="88"/>
    </row>
    <row r="547" spans="6:12" ht="12.5">
      <c r="F547" s="86"/>
      <c r="G547" s="86"/>
      <c r="H547" s="86"/>
      <c r="I547" s="65"/>
      <c r="J547" s="65"/>
      <c r="K547" s="87"/>
      <c r="L547" s="88"/>
    </row>
    <row r="548" spans="6:12" ht="12.5">
      <c r="F548" s="86"/>
      <c r="G548" s="86"/>
      <c r="H548" s="86"/>
      <c r="I548" s="65"/>
      <c r="J548" s="65"/>
      <c r="K548" s="87"/>
      <c r="L548" s="88"/>
    </row>
    <row r="549" spans="6:12" ht="12.5">
      <c r="F549" s="86"/>
      <c r="G549" s="86"/>
      <c r="H549" s="86"/>
      <c r="I549" s="65"/>
      <c r="J549" s="65"/>
      <c r="K549" s="87"/>
      <c r="L549" s="88"/>
    </row>
    <row r="550" spans="6:12" ht="12.5">
      <c r="F550" s="86"/>
      <c r="G550" s="86"/>
      <c r="H550" s="86"/>
      <c r="I550" s="65"/>
      <c r="J550" s="65"/>
      <c r="K550" s="87"/>
      <c r="L550" s="88"/>
    </row>
    <row r="551" spans="6:12" ht="12.5">
      <c r="F551" s="86"/>
      <c r="G551" s="86"/>
      <c r="H551" s="86"/>
      <c r="I551" s="65"/>
      <c r="J551" s="65"/>
      <c r="K551" s="87"/>
      <c r="L551" s="88"/>
    </row>
    <row r="552" spans="6:12" ht="12.5">
      <c r="F552" s="86"/>
      <c r="G552" s="86"/>
      <c r="H552" s="86"/>
      <c r="I552" s="65"/>
      <c r="J552" s="65"/>
      <c r="K552" s="87"/>
      <c r="L552" s="88"/>
    </row>
    <row r="553" spans="6:12" ht="12.5">
      <c r="F553" s="86"/>
      <c r="G553" s="86"/>
      <c r="H553" s="86"/>
      <c r="I553" s="65"/>
      <c r="J553" s="65"/>
      <c r="K553" s="87"/>
      <c r="L553" s="88"/>
    </row>
    <row r="554" spans="6:12" ht="12.5">
      <c r="F554" s="86"/>
      <c r="G554" s="86"/>
      <c r="H554" s="86"/>
      <c r="I554" s="65"/>
      <c r="J554" s="65"/>
      <c r="K554" s="87"/>
      <c r="L554" s="88"/>
    </row>
    <row r="555" spans="6:12" ht="12.5">
      <c r="F555" s="86"/>
      <c r="G555" s="86"/>
      <c r="H555" s="86"/>
      <c r="I555" s="65"/>
      <c r="J555" s="65"/>
      <c r="K555" s="87"/>
      <c r="L555" s="88"/>
    </row>
    <row r="556" spans="6:12" ht="12.5">
      <c r="F556" s="86"/>
      <c r="G556" s="86"/>
      <c r="H556" s="86"/>
      <c r="I556" s="65"/>
      <c r="J556" s="65"/>
      <c r="K556" s="87"/>
      <c r="L556" s="88"/>
    </row>
    <row r="557" spans="6:12" ht="12.5">
      <c r="F557" s="86"/>
      <c r="G557" s="86"/>
      <c r="H557" s="86"/>
      <c r="I557" s="65"/>
      <c r="J557" s="65"/>
      <c r="K557" s="87"/>
      <c r="L557" s="88"/>
    </row>
    <row r="558" spans="6:12" ht="12.5">
      <c r="F558" s="86"/>
      <c r="G558" s="86"/>
      <c r="H558" s="86"/>
      <c r="I558" s="65"/>
      <c r="J558" s="65"/>
      <c r="K558" s="87"/>
      <c r="L558" s="88"/>
    </row>
    <row r="559" spans="6:12" ht="12.5">
      <c r="F559" s="86"/>
      <c r="G559" s="86"/>
      <c r="H559" s="86"/>
      <c r="I559" s="65"/>
      <c r="J559" s="65"/>
      <c r="K559" s="87"/>
      <c r="L559" s="88"/>
    </row>
    <row r="560" spans="6:12" ht="12.5">
      <c r="F560" s="86"/>
      <c r="G560" s="86"/>
      <c r="H560" s="86"/>
      <c r="I560" s="65"/>
      <c r="J560" s="65"/>
      <c r="K560" s="87"/>
      <c r="L560" s="88"/>
    </row>
    <row r="561" spans="6:12" ht="12.5">
      <c r="F561" s="86"/>
      <c r="G561" s="86"/>
      <c r="H561" s="86"/>
      <c r="I561" s="65"/>
      <c r="J561" s="65"/>
      <c r="K561" s="87"/>
      <c r="L561" s="88"/>
    </row>
    <row r="562" spans="6:12" ht="12.5">
      <c r="F562" s="86"/>
      <c r="G562" s="86"/>
      <c r="H562" s="86"/>
      <c r="I562" s="65"/>
      <c r="J562" s="65"/>
      <c r="K562" s="87"/>
      <c r="L562" s="88"/>
    </row>
    <row r="563" spans="6:12" ht="12.5">
      <c r="F563" s="86"/>
      <c r="G563" s="86"/>
      <c r="H563" s="86"/>
      <c r="I563" s="65"/>
      <c r="J563" s="65"/>
      <c r="K563" s="87"/>
      <c r="L563" s="88"/>
    </row>
    <row r="564" spans="6:12" ht="12.5">
      <c r="F564" s="86"/>
      <c r="G564" s="86"/>
      <c r="H564" s="86"/>
      <c r="I564" s="65"/>
      <c r="J564" s="65"/>
      <c r="K564" s="87"/>
      <c r="L564" s="88"/>
    </row>
    <row r="565" spans="6:12" ht="12.5">
      <c r="F565" s="86"/>
      <c r="G565" s="86"/>
      <c r="H565" s="86"/>
      <c r="I565" s="65"/>
      <c r="J565" s="65"/>
      <c r="K565" s="87"/>
      <c r="L565" s="88"/>
    </row>
    <row r="566" spans="6:12" ht="12.5">
      <c r="F566" s="86"/>
      <c r="G566" s="86"/>
      <c r="H566" s="86"/>
      <c r="I566" s="65"/>
      <c r="J566" s="65"/>
      <c r="K566" s="87"/>
      <c r="L566" s="88"/>
    </row>
    <row r="567" spans="6:12" ht="12.5">
      <c r="F567" s="86"/>
      <c r="G567" s="86"/>
      <c r="H567" s="86"/>
      <c r="I567" s="65"/>
      <c r="J567" s="65"/>
      <c r="K567" s="87"/>
      <c r="L567" s="88"/>
    </row>
    <row r="568" spans="6:12" ht="12.5">
      <c r="F568" s="86"/>
      <c r="G568" s="86"/>
      <c r="H568" s="86"/>
      <c r="I568" s="65"/>
      <c r="J568" s="65"/>
      <c r="K568" s="87"/>
      <c r="L568" s="88"/>
    </row>
    <row r="569" spans="6:12" ht="12.5">
      <c r="F569" s="86"/>
      <c r="G569" s="86"/>
      <c r="H569" s="86"/>
      <c r="I569" s="65"/>
      <c r="J569" s="65"/>
      <c r="K569" s="87"/>
      <c r="L569" s="88"/>
    </row>
    <row r="570" spans="6:12" ht="12.5">
      <c r="F570" s="86"/>
      <c r="G570" s="86"/>
      <c r="H570" s="86"/>
      <c r="I570" s="65"/>
      <c r="J570" s="65"/>
      <c r="K570" s="87"/>
      <c r="L570" s="88"/>
    </row>
    <row r="571" spans="6:12" ht="12.5">
      <c r="F571" s="86"/>
      <c r="G571" s="86"/>
      <c r="H571" s="86"/>
      <c r="I571" s="65"/>
      <c r="J571" s="65"/>
      <c r="K571" s="87"/>
      <c r="L571" s="88"/>
    </row>
    <row r="572" spans="6:12" ht="12.5">
      <c r="F572" s="86"/>
      <c r="G572" s="86"/>
      <c r="H572" s="86"/>
      <c r="I572" s="65"/>
      <c r="J572" s="65"/>
      <c r="K572" s="87"/>
      <c r="L572" s="88"/>
    </row>
    <row r="573" spans="6:12" ht="12.5">
      <c r="F573" s="86"/>
      <c r="G573" s="86"/>
      <c r="H573" s="86"/>
      <c r="I573" s="65"/>
      <c r="J573" s="65"/>
      <c r="K573" s="87"/>
      <c r="L573" s="88"/>
    </row>
    <row r="574" spans="6:12" ht="12.5">
      <c r="F574" s="86"/>
      <c r="G574" s="86"/>
      <c r="H574" s="86"/>
      <c r="I574" s="65"/>
      <c r="J574" s="65"/>
      <c r="K574" s="87"/>
      <c r="L574" s="88"/>
    </row>
    <row r="575" spans="6:12" ht="12.5">
      <c r="F575" s="86"/>
      <c r="G575" s="86"/>
      <c r="H575" s="86"/>
      <c r="I575" s="65"/>
      <c r="J575" s="65"/>
      <c r="K575" s="87"/>
      <c r="L575" s="88"/>
    </row>
    <row r="576" spans="6:12" ht="12.5">
      <c r="F576" s="86"/>
      <c r="G576" s="86"/>
      <c r="H576" s="86"/>
      <c r="I576" s="65"/>
      <c r="J576" s="65"/>
      <c r="K576" s="87"/>
      <c r="L576" s="88"/>
    </row>
    <row r="577" spans="6:12" ht="12.5">
      <c r="F577" s="86"/>
      <c r="G577" s="86"/>
      <c r="H577" s="86"/>
      <c r="I577" s="65"/>
      <c r="J577" s="65"/>
      <c r="K577" s="87"/>
      <c r="L577" s="88"/>
    </row>
    <row r="578" spans="6:12" ht="12.5">
      <c r="F578" s="86"/>
      <c r="G578" s="86"/>
      <c r="H578" s="86"/>
      <c r="I578" s="65"/>
      <c r="J578" s="65"/>
      <c r="K578" s="87"/>
      <c r="L578" s="88"/>
    </row>
    <row r="579" spans="6:12" ht="12.5">
      <c r="F579" s="86"/>
      <c r="G579" s="86"/>
      <c r="H579" s="86"/>
      <c r="I579" s="65"/>
      <c r="J579" s="65"/>
      <c r="K579" s="87"/>
      <c r="L579" s="88"/>
    </row>
    <row r="580" spans="6:12" ht="12.5">
      <c r="F580" s="86"/>
      <c r="G580" s="86"/>
      <c r="H580" s="86"/>
      <c r="I580" s="65"/>
      <c r="J580" s="65"/>
      <c r="K580" s="87"/>
      <c r="L580" s="88"/>
    </row>
    <row r="581" spans="6:12" ht="12.5">
      <c r="F581" s="86"/>
      <c r="G581" s="86"/>
      <c r="H581" s="86"/>
      <c r="I581" s="65"/>
      <c r="J581" s="65"/>
      <c r="K581" s="87"/>
      <c r="L581" s="88"/>
    </row>
    <row r="582" spans="6:12" ht="12.5">
      <c r="F582" s="86"/>
      <c r="G582" s="86"/>
      <c r="H582" s="86"/>
      <c r="I582" s="65"/>
      <c r="J582" s="65"/>
      <c r="K582" s="87"/>
      <c r="L582" s="88"/>
    </row>
    <row r="583" spans="6:12" ht="12.5">
      <c r="F583" s="86"/>
      <c r="G583" s="86"/>
      <c r="H583" s="86"/>
      <c r="I583" s="65"/>
      <c r="J583" s="65"/>
      <c r="K583" s="87"/>
      <c r="L583" s="88"/>
    </row>
    <row r="584" spans="6:12" ht="12.5">
      <c r="F584" s="86"/>
      <c r="G584" s="86"/>
      <c r="H584" s="86"/>
      <c r="I584" s="65"/>
      <c r="J584" s="65"/>
      <c r="K584" s="87"/>
      <c r="L584" s="88"/>
    </row>
    <row r="585" spans="6:12" ht="12.5">
      <c r="F585" s="86"/>
      <c r="G585" s="86"/>
      <c r="H585" s="86"/>
      <c r="I585" s="65"/>
      <c r="J585" s="65"/>
      <c r="K585" s="87"/>
      <c r="L585" s="88"/>
    </row>
    <row r="586" spans="6:12" ht="12.5">
      <c r="F586" s="86"/>
      <c r="G586" s="86"/>
      <c r="H586" s="86"/>
      <c r="I586" s="65"/>
      <c r="J586" s="65"/>
      <c r="K586" s="87"/>
      <c r="L586" s="88"/>
    </row>
    <row r="587" spans="6:12" ht="12.5">
      <c r="F587" s="86"/>
      <c r="G587" s="86"/>
      <c r="H587" s="86"/>
      <c r="I587" s="65"/>
      <c r="J587" s="65"/>
      <c r="K587" s="87"/>
      <c r="L587" s="88"/>
    </row>
    <row r="588" spans="6:12" ht="12.5">
      <c r="F588" s="86"/>
      <c r="G588" s="86"/>
      <c r="H588" s="86"/>
      <c r="I588" s="65"/>
      <c r="J588" s="65"/>
      <c r="K588" s="87"/>
      <c r="L588" s="88"/>
    </row>
    <row r="589" spans="6:12" ht="12.5">
      <c r="F589" s="86"/>
      <c r="G589" s="86"/>
      <c r="H589" s="86"/>
      <c r="I589" s="65"/>
      <c r="J589" s="65"/>
      <c r="K589" s="87"/>
      <c r="L589" s="88"/>
    </row>
    <row r="590" spans="6:12" ht="12.5">
      <c r="F590" s="86"/>
      <c r="G590" s="86"/>
      <c r="H590" s="86"/>
      <c r="I590" s="65"/>
      <c r="J590" s="65"/>
      <c r="K590" s="87"/>
      <c r="L590" s="88"/>
    </row>
    <row r="591" spans="6:12" ht="12.5">
      <c r="F591" s="86"/>
      <c r="G591" s="86"/>
      <c r="H591" s="86"/>
      <c r="I591" s="65"/>
      <c r="J591" s="65"/>
      <c r="K591" s="87"/>
      <c r="L591" s="88"/>
    </row>
    <row r="592" spans="6:12" ht="12.5">
      <c r="F592" s="86"/>
      <c r="G592" s="86"/>
      <c r="H592" s="86"/>
      <c r="I592" s="65"/>
      <c r="J592" s="65"/>
      <c r="K592" s="87"/>
      <c r="L592" s="88"/>
    </row>
    <row r="593" spans="6:12" ht="12.5">
      <c r="F593" s="86"/>
      <c r="G593" s="86"/>
      <c r="H593" s="86"/>
      <c r="I593" s="65"/>
      <c r="J593" s="65"/>
      <c r="K593" s="87"/>
      <c r="L593" s="88"/>
    </row>
    <row r="594" spans="6:12" ht="12.5">
      <c r="F594" s="86"/>
      <c r="G594" s="86"/>
      <c r="H594" s="86"/>
      <c r="I594" s="65"/>
      <c r="J594" s="65"/>
      <c r="K594" s="87"/>
      <c r="L594" s="88"/>
    </row>
    <row r="595" spans="6:12" ht="12.5">
      <c r="F595" s="86"/>
      <c r="G595" s="86"/>
      <c r="H595" s="86"/>
      <c r="I595" s="65"/>
      <c r="J595" s="65"/>
      <c r="K595" s="87"/>
      <c r="L595" s="88"/>
    </row>
    <row r="596" spans="6:12" ht="12.5">
      <c r="F596" s="86"/>
      <c r="G596" s="86"/>
      <c r="H596" s="86"/>
      <c r="I596" s="65"/>
      <c r="J596" s="65"/>
      <c r="K596" s="87"/>
      <c r="L596" s="88"/>
    </row>
    <row r="597" spans="6:12" ht="12.5">
      <c r="F597" s="86"/>
      <c r="G597" s="86"/>
      <c r="H597" s="86"/>
      <c r="I597" s="65"/>
      <c r="J597" s="65"/>
      <c r="K597" s="87"/>
      <c r="L597" s="88"/>
    </row>
    <row r="598" spans="6:12" ht="12.5">
      <c r="F598" s="86"/>
      <c r="G598" s="86"/>
      <c r="H598" s="86"/>
      <c r="I598" s="65"/>
      <c r="J598" s="65"/>
      <c r="K598" s="87"/>
      <c r="L598" s="88"/>
    </row>
    <row r="599" spans="6:12" ht="12.5">
      <c r="F599" s="86"/>
      <c r="G599" s="86"/>
      <c r="H599" s="86"/>
      <c r="I599" s="65"/>
      <c r="J599" s="65"/>
      <c r="K599" s="87"/>
      <c r="L599" s="88"/>
    </row>
    <row r="600" spans="6:12" ht="12.5">
      <c r="F600" s="86"/>
      <c r="G600" s="86"/>
      <c r="H600" s="86"/>
      <c r="I600" s="65"/>
      <c r="J600" s="65"/>
      <c r="K600" s="87"/>
      <c r="L600" s="88"/>
    </row>
    <row r="601" spans="6:12" ht="12.5">
      <c r="F601" s="86"/>
      <c r="G601" s="86"/>
      <c r="H601" s="86"/>
      <c r="I601" s="65"/>
      <c r="J601" s="65"/>
      <c r="K601" s="87"/>
      <c r="L601" s="88"/>
    </row>
    <row r="602" spans="6:12" ht="12.5">
      <c r="F602" s="86"/>
      <c r="G602" s="86"/>
      <c r="H602" s="86"/>
      <c r="I602" s="65"/>
      <c r="J602" s="65"/>
      <c r="K602" s="87"/>
      <c r="L602" s="88"/>
    </row>
    <row r="603" spans="6:12" ht="12.5">
      <c r="F603" s="86"/>
      <c r="G603" s="86"/>
      <c r="H603" s="86"/>
      <c r="I603" s="65"/>
      <c r="J603" s="65"/>
      <c r="K603" s="87"/>
      <c r="L603" s="88"/>
    </row>
    <row r="604" spans="6:12" ht="12.5">
      <c r="F604" s="86"/>
      <c r="G604" s="86"/>
      <c r="H604" s="86"/>
      <c r="I604" s="65"/>
      <c r="J604" s="65"/>
      <c r="K604" s="87"/>
      <c r="L604" s="88"/>
    </row>
    <row r="605" spans="6:12" ht="12.5">
      <c r="F605" s="86"/>
      <c r="G605" s="86"/>
      <c r="H605" s="86"/>
      <c r="I605" s="65"/>
      <c r="J605" s="65"/>
      <c r="K605" s="87"/>
      <c r="L605" s="88"/>
    </row>
    <row r="606" spans="6:12" ht="12.5">
      <c r="F606" s="86"/>
      <c r="G606" s="86"/>
      <c r="H606" s="86"/>
      <c r="I606" s="65"/>
      <c r="J606" s="65"/>
      <c r="K606" s="87"/>
      <c r="L606" s="88"/>
    </row>
    <row r="607" spans="6:12" ht="12.5">
      <c r="F607" s="86"/>
      <c r="G607" s="86"/>
      <c r="H607" s="86"/>
      <c r="I607" s="65"/>
      <c r="J607" s="65"/>
      <c r="K607" s="87"/>
      <c r="L607" s="88"/>
    </row>
    <row r="608" spans="6:12" ht="12.5">
      <c r="F608" s="86"/>
      <c r="G608" s="86"/>
      <c r="H608" s="86"/>
      <c r="I608" s="65"/>
      <c r="J608" s="65"/>
      <c r="K608" s="87"/>
      <c r="L608" s="88"/>
    </row>
    <row r="609" spans="6:12" ht="12.5">
      <c r="F609" s="86"/>
      <c r="G609" s="86"/>
      <c r="H609" s="86"/>
      <c r="I609" s="65"/>
      <c r="J609" s="65"/>
      <c r="K609" s="87"/>
      <c r="L609" s="88"/>
    </row>
    <row r="610" spans="6:12" ht="12.5">
      <c r="F610" s="86"/>
      <c r="G610" s="86"/>
      <c r="H610" s="86"/>
      <c r="I610" s="65"/>
      <c r="J610" s="65"/>
      <c r="K610" s="87"/>
      <c r="L610" s="88"/>
    </row>
    <row r="611" spans="6:12" ht="12.5">
      <c r="F611" s="86"/>
      <c r="G611" s="86"/>
      <c r="H611" s="86"/>
      <c r="I611" s="65"/>
      <c r="J611" s="65"/>
      <c r="K611" s="87"/>
      <c r="L611" s="88"/>
    </row>
    <row r="612" spans="6:12" ht="12.5">
      <c r="F612" s="86"/>
      <c r="G612" s="86"/>
      <c r="H612" s="86"/>
      <c r="I612" s="65"/>
      <c r="J612" s="65"/>
      <c r="K612" s="87"/>
      <c r="L612" s="88"/>
    </row>
    <row r="613" spans="6:12" ht="12.5">
      <c r="F613" s="86"/>
      <c r="G613" s="86"/>
      <c r="H613" s="86"/>
      <c r="I613" s="65"/>
      <c r="J613" s="65"/>
      <c r="K613" s="87"/>
      <c r="L613" s="88"/>
    </row>
    <row r="614" spans="6:12" ht="12.5">
      <c r="F614" s="86"/>
      <c r="G614" s="86"/>
      <c r="H614" s="86"/>
      <c r="I614" s="65"/>
      <c r="J614" s="65"/>
      <c r="K614" s="87"/>
      <c r="L614" s="88"/>
    </row>
    <row r="615" spans="6:12" ht="12.5">
      <c r="F615" s="86"/>
      <c r="G615" s="86"/>
      <c r="H615" s="86"/>
      <c r="I615" s="65"/>
      <c r="J615" s="65"/>
      <c r="K615" s="87"/>
      <c r="L615" s="88"/>
    </row>
    <row r="616" spans="6:12" ht="12.5">
      <c r="F616" s="86"/>
      <c r="G616" s="86"/>
      <c r="H616" s="86"/>
      <c r="I616" s="65"/>
      <c r="J616" s="65"/>
      <c r="K616" s="87"/>
      <c r="L616" s="88"/>
    </row>
    <row r="617" spans="6:12" ht="12.5">
      <c r="F617" s="86"/>
      <c r="G617" s="86"/>
      <c r="H617" s="86"/>
      <c r="I617" s="65"/>
      <c r="J617" s="65"/>
      <c r="K617" s="87"/>
      <c r="L617" s="88"/>
    </row>
    <row r="618" spans="6:12" ht="12.5">
      <c r="F618" s="86"/>
      <c r="G618" s="86"/>
      <c r="H618" s="86"/>
      <c r="I618" s="65"/>
      <c r="J618" s="65"/>
      <c r="K618" s="87"/>
      <c r="L618" s="88"/>
    </row>
    <row r="619" spans="6:12" ht="12.5">
      <c r="F619" s="86"/>
      <c r="G619" s="86"/>
      <c r="H619" s="86"/>
      <c r="I619" s="65"/>
      <c r="J619" s="65"/>
      <c r="K619" s="87"/>
      <c r="L619" s="88"/>
    </row>
    <row r="620" spans="6:12" ht="12.5">
      <c r="F620" s="86"/>
      <c r="G620" s="86"/>
      <c r="H620" s="86"/>
      <c r="I620" s="65"/>
      <c r="J620" s="65"/>
      <c r="K620" s="87"/>
      <c r="L620" s="88"/>
    </row>
    <row r="621" spans="6:12" ht="12.5">
      <c r="F621" s="86"/>
      <c r="G621" s="86"/>
      <c r="H621" s="86"/>
      <c r="I621" s="65"/>
      <c r="J621" s="65"/>
      <c r="K621" s="87"/>
      <c r="L621" s="88"/>
    </row>
    <row r="622" spans="6:12" ht="12.5">
      <c r="F622" s="86"/>
      <c r="G622" s="86"/>
      <c r="H622" s="86"/>
      <c r="I622" s="65"/>
      <c r="J622" s="65"/>
      <c r="K622" s="87"/>
      <c r="L622" s="88"/>
    </row>
    <row r="623" spans="6:12" ht="12.5">
      <c r="F623" s="86"/>
      <c r="G623" s="86"/>
      <c r="H623" s="86"/>
      <c r="I623" s="65"/>
      <c r="J623" s="65"/>
      <c r="K623" s="87"/>
      <c r="L623" s="88"/>
    </row>
    <row r="624" spans="6:12" ht="12.5">
      <c r="F624" s="86"/>
      <c r="G624" s="86"/>
      <c r="H624" s="86"/>
      <c r="I624" s="65"/>
      <c r="J624" s="65"/>
      <c r="K624" s="87"/>
      <c r="L624" s="88"/>
    </row>
    <row r="625" spans="6:12" ht="12.5">
      <c r="F625" s="86"/>
      <c r="G625" s="86"/>
      <c r="H625" s="86"/>
      <c r="I625" s="65"/>
      <c r="J625" s="65"/>
      <c r="K625" s="87"/>
      <c r="L625" s="88"/>
    </row>
    <row r="626" spans="6:12" ht="12.5">
      <c r="F626" s="86"/>
      <c r="G626" s="86"/>
      <c r="H626" s="86"/>
      <c r="I626" s="65"/>
      <c r="J626" s="65"/>
      <c r="K626" s="87"/>
      <c r="L626" s="88"/>
    </row>
    <row r="627" spans="6:12" ht="12.5">
      <c r="F627" s="86"/>
      <c r="G627" s="86"/>
      <c r="H627" s="86"/>
      <c r="I627" s="65"/>
      <c r="J627" s="65"/>
      <c r="K627" s="87"/>
      <c r="L627" s="88"/>
    </row>
    <row r="628" spans="6:12" ht="12.5">
      <c r="F628" s="86"/>
      <c r="G628" s="86"/>
      <c r="H628" s="86"/>
      <c r="I628" s="65"/>
      <c r="J628" s="65"/>
      <c r="K628" s="87"/>
      <c r="L628" s="88"/>
    </row>
    <row r="629" spans="6:12" ht="12.5">
      <c r="F629" s="86"/>
      <c r="G629" s="86"/>
      <c r="H629" s="86"/>
      <c r="I629" s="65"/>
      <c r="J629" s="65"/>
      <c r="K629" s="87"/>
      <c r="L629" s="88"/>
    </row>
    <row r="630" spans="6:12" ht="12.5">
      <c r="F630" s="86"/>
      <c r="G630" s="86"/>
      <c r="H630" s="86"/>
      <c r="I630" s="65"/>
      <c r="J630" s="65"/>
      <c r="K630" s="87"/>
      <c r="L630" s="88"/>
    </row>
    <row r="631" spans="6:12" ht="12.5">
      <c r="F631" s="86"/>
      <c r="G631" s="86"/>
      <c r="H631" s="86"/>
      <c r="I631" s="65"/>
      <c r="J631" s="65"/>
      <c r="K631" s="87"/>
      <c r="L631" s="88"/>
    </row>
    <row r="632" spans="6:12" ht="12.5">
      <c r="F632" s="86"/>
      <c r="G632" s="86"/>
      <c r="H632" s="86"/>
      <c r="I632" s="65"/>
      <c r="J632" s="65"/>
      <c r="K632" s="87"/>
      <c r="L632" s="88"/>
    </row>
    <row r="633" spans="6:12" ht="12.5">
      <c r="F633" s="86"/>
      <c r="G633" s="86"/>
      <c r="H633" s="86"/>
      <c r="I633" s="65"/>
      <c r="J633" s="65"/>
      <c r="K633" s="87"/>
      <c r="L633" s="88"/>
    </row>
    <row r="634" spans="6:12" ht="12.5">
      <c r="F634" s="86"/>
      <c r="G634" s="86"/>
      <c r="H634" s="86"/>
      <c r="I634" s="65"/>
      <c r="J634" s="65"/>
      <c r="K634" s="87"/>
      <c r="L634" s="88"/>
    </row>
    <row r="635" spans="6:12" ht="12.5">
      <c r="F635" s="86"/>
      <c r="G635" s="86"/>
      <c r="H635" s="86"/>
      <c r="I635" s="65"/>
      <c r="J635" s="65"/>
      <c r="K635" s="87"/>
      <c r="L635" s="88"/>
    </row>
    <row r="636" spans="6:12" ht="12.5">
      <c r="F636" s="86"/>
      <c r="G636" s="86"/>
      <c r="H636" s="86"/>
      <c r="I636" s="65"/>
      <c r="J636" s="65"/>
      <c r="K636" s="87"/>
      <c r="L636" s="88"/>
    </row>
    <row r="637" spans="6:12" ht="12.5">
      <c r="F637" s="86"/>
      <c r="G637" s="86"/>
      <c r="H637" s="86"/>
      <c r="I637" s="65"/>
      <c r="J637" s="65"/>
      <c r="K637" s="87"/>
      <c r="L637" s="88"/>
    </row>
    <row r="638" spans="6:12" ht="12.5">
      <c r="F638" s="86"/>
      <c r="G638" s="86"/>
      <c r="H638" s="86"/>
      <c r="I638" s="65"/>
      <c r="J638" s="65"/>
      <c r="K638" s="87"/>
      <c r="L638" s="88"/>
    </row>
    <row r="639" spans="6:12" ht="12.5">
      <c r="F639" s="86"/>
      <c r="G639" s="86"/>
      <c r="H639" s="86"/>
      <c r="I639" s="65"/>
      <c r="J639" s="65"/>
      <c r="K639" s="87"/>
      <c r="L639" s="88"/>
    </row>
    <row r="640" spans="6:12" ht="12.5">
      <c r="F640" s="86"/>
      <c r="G640" s="86"/>
      <c r="H640" s="86"/>
      <c r="I640" s="65"/>
      <c r="J640" s="65"/>
      <c r="K640" s="87"/>
      <c r="L640" s="88"/>
    </row>
    <row r="641" spans="6:12" ht="12.5">
      <c r="F641" s="86"/>
      <c r="G641" s="86"/>
      <c r="H641" s="86"/>
      <c r="I641" s="65"/>
      <c r="J641" s="65"/>
      <c r="K641" s="87"/>
      <c r="L641" s="88"/>
    </row>
    <row r="642" spans="6:12" ht="12.5">
      <c r="F642" s="86"/>
      <c r="G642" s="86"/>
      <c r="H642" s="86"/>
      <c r="I642" s="65"/>
      <c r="J642" s="65"/>
      <c r="K642" s="87"/>
      <c r="L642" s="88"/>
    </row>
    <row r="643" spans="6:12" ht="12.5">
      <c r="F643" s="86"/>
      <c r="G643" s="86"/>
      <c r="H643" s="86"/>
      <c r="I643" s="65"/>
      <c r="J643" s="65"/>
      <c r="K643" s="87"/>
      <c r="L643" s="88"/>
    </row>
    <row r="644" spans="6:12" ht="12.5">
      <c r="F644" s="86"/>
      <c r="G644" s="86"/>
      <c r="H644" s="86"/>
      <c r="I644" s="65"/>
      <c r="J644" s="65"/>
      <c r="K644" s="87"/>
      <c r="L644" s="88"/>
    </row>
    <row r="645" spans="6:12" ht="12.5">
      <c r="F645" s="86"/>
      <c r="G645" s="86"/>
      <c r="H645" s="86"/>
      <c r="I645" s="65"/>
      <c r="J645" s="65"/>
      <c r="K645" s="87"/>
      <c r="L645" s="88"/>
    </row>
    <row r="646" spans="6:12" ht="12.5">
      <c r="F646" s="86"/>
      <c r="G646" s="86"/>
      <c r="H646" s="86"/>
      <c r="I646" s="65"/>
      <c r="J646" s="65"/>
      <c r="K646" s="87"/>
      <c r="L646" s="88"/>
    </row>
    <row r="647" spans="6:12" ht="12.5">
      <c r="F647" s="86"/>
      <c r="G647" s="86"/>
      <c r="H647" s="86"/>
      <c r="I647" s="65"/>
      <c r="J647" s="65"/>
      <c r="K647" s="87"/>
      <c r="L647" s="88"/>
    </row>
    <row r="648" spans="6:12" ht="12.5">
      <c r="F648" s="86"/>
      <c r="G648" s="86"/>
      <c r="H648" s="86"/>
      <c r="I648" s="65"/>
      <c r="J648" s="65"/>
      <c r="K648" s="87"/>
      <c r="L648" s="88"/>
    </row>
    <row r="649" spans="6:12" ht="12.5">
      <c r="F649" s="86"/>
      <c r="G649" s="86"/>
      <c r="H649" s="86"/>
      <c r="I649" s="65"/>
      <c r="J649" s="65"/>
      <c r="K649" s="87"/>
      <c r="L649" s="88"/>
    </row>
    <row r="650" spans="6:12" ht="12.5">
      <c r="F650" s="86"/>
      <c r="G650" s="86"/>
      <c r="H650" s="86"/>
      <c r="I650" s="65"/>
      <c r="J650" s="65"/>
      <c r="K650" s="87"/>
      <c r="L650" s="88"/>
    </row>
    <row r="651" spans="6:12" ht="12.5">
      <c r="F651" s="86"/>
      <c r="G651" s="86"/>
      <c r="H651" s="86"/>
      <c r="I651" s="65"/>
      <c r="J651" s="65"/>
      <c r="K651" s="87"/>
      <c r="L651" s="88"/>
    </row>
    <row r="652" spans="6:12" ht="12.5">
      <c r="F652" s="86"/>
      <c r="G652" s="86"/>
      <c r="H652" s="86"/>
      <c r="I652" s="65"/>
      <c r="J652" s="65"/>
      <c r="K652" s="87"/>
      <c r="L652" s="88"/>
    </row>
    <row r="653" spans="6:12" ht="12.5">
      <c r="F653" s="86"/>
      <c r="G653" s="86"/>
      <c r="H653" s="86"/>
      <c r="I653" s="65"/>
      <c r="J653" s="65"/>
      <c r="K653" s="87"/>
      <c r="L653" s="88"/>
    </row>
    <row r="654" spans="6:12" ht="12.5">
      <c r="F654" s="86"/>
      <c r="G654" s="86"/>
      <c r="H654" s="86"/>
      <c r="I654" s="65"/>
      <c r="J654" s="65"/>
      <c r="K654" s="87"/>
      <c r="L654" s="88"/>
    </row>
    <row r="655" spans="6:12" ht="12.5">
      <c r="F655" s="86"/>
      <c r="G655" s="86"/>
      <c r="H655" s="86"/>
      <c r="I655" s="65"/>
      <c r="J655" s="65"/>
      <c r="K655" s="87"/>
      <c r="L655" s="88"/>
    </row>
    <row r="656" spans="6:12" ht="12.5">
      <c r="F656" s="86"/>
      <c r="G656" s="86"/>
      <c r="H656" s="86"/>
      <c r="I656" s="65"/>
      <c r="J656" s="65"/>
      <c r="K656" s="87"/>
      <c r="L656" s="88"/>
    </row>
    <row r="657" spans="6:12" ht="12.5">
      <c r="F657" s="86"/>
      <c r="G657" s="86"/>
      <c r="H657" s="86"/>
      <c r="I657" s="65"/>
      <c r="J657" s="65"/>
      <c r="K657" s="87"/>
      <c r="L657" s="88"/>
    </row>
    <row r="658" spans="6:12" ht="12.5">
      <c r="F658" s="86"/>
      <c r="G658" s="86"/>
      <c r="H658" s="86"/>
      <c r="I658" s="65"/>
      <c r="J658" s="65"/>
      <c r="K658" s="87"/>
      <c r="L658" s="88"/>
    </row>
    <row r="659" spans="6:12" ht="12.5">
      <c r="F659" s="86"/>
      <c r="G659" s="86"/>
      <c r="H659" s="86"/>
      <c r="I659" s="65"/>
      <c r="J659" s="65"/>
      <c r="K659" s="87"/>
      <c r="L659" s="88"/>
    </row>
    <row r="660" spans="6:12" ht="12.5">
      <c r="F660" s="86"/>
      <c r="G660" s="86"/>
      <c r="H660" s="86"/>
      <c r="I660" s="65"/>
      <c r="J660" s="65"/>
      <c r="K660" s="87"/>
      <c r="L660" s="88"/>
    </row>
    <row r="661" spans="6:12" ht="12.5">
      <c r="F661" s="86"/>
      <c r="G661" s="86"/>
      <c r="H661" s="86"/>
      <c r="I661" s="65"/>
      <c r="J661" s="65"/>
      <c r="K661" s="87"/>
      <c r="L661" s="88"/>
    </row>
    <row r="662" spans="6:12" ht="12.5">
      <c r="F662" s="86"/>
      <c r="G662" s="86"/>
      <c r="H662" s="86"/>
      <c r="I662" s="65"/>
      <c r="J662" s="65"/>
      <c r="K662" s="87"/>
      <c r="L662" s="88"/>
    </row>
    <row r="663" spans="6:12" ht="12.5">
      <c r="F663" s="86"/>
      <c r="G663" s="86"/>
      <c r="H663" s="86"/>
      <c r="I663" s="65"/>
      <c r="J663" s="65"/>
      <c r="K663" s="87"/>
      <c r="L663" s="88"/>
    </row>
    <row r="664" spans="6:12" ht="12.5">
      <c r="F664" s="86"/>
      <c r="G664" s="86"/>
      <c r="H664" s="86"/>
      <c r="I664" s="65"/>
      <c r="J664" s="65"/>
      <c r="K664" s="87"/>
      <c r="L664" s="88"/>
    </row>
    <row r="665" spans="6:12" ht="12.5">
      <c r="F665" s="86"/>
      <c r="G665" s="86"/>
      <c r="H665" s="86"/>
      <c r="I665" s="65"/>
      <c r="J665" s="65"/>
      <c r="K665" s="87"/>
      <c r="L665" s="88"/>
    </row>
    <row r="666" spans="6:12" ht="12.5">
      <c r="F666" s="86"/>
      <c r="G666" s="86"/>
      <c r="H666" s="86"/>
      <c r="I666" s="65"/>
      <c r="J666" s="65"/>
      <c r="K666" s="87"/>
      <c r="L666" s="88"/>
    </row>
    <row r="667" spans="6:12" ht="12.5">
      <c r="F667" s="86"/>
      <c r="G667" s="86"/>
      <c r="H667" s="86"/>
      <c r="I667" s="65"/>
      <c r="J667" s="65"/>
      <c r="K667" s="87"/>
      <c r="L667" s="88"/>
    </row>
    <row r="668" spans="6:12" ht="12.5">
      <c r="F668" s="86"/>
      <c r="G668" s="86"/>
      <c r="H668" s="86"/>
      <c r="I668" s="65"/>
      <c r="J668" s="65"/>
      <c r="K668" s="87"/>
      <c r="L668" s="88"/>
    </row>
    <row r="669" spans="6:12" ht="12.5">
      <c r="F669" s="86"/>
      <c r="G669" s="86"/>
      <c r="H669" s="86"/>
      <c r="I669" s="65"/>
      <c r="J669" s="65"/>
      <c r="K669" s="87"/>
      <c r="L669" s="88"/>
    </row>
    <row r="670" spans="6:12" ht="12.5">
      <c r="F670" s="86"/>
      <c r="G670" s="86"/>
      <c r="H670" s="86"/>
      <c r="I670" s="65"/>
      <c r="J670" s="65"/>
      <c r="K670" s="87"/>
      <c r="L670" s="88"/>
    </row>
    <row r="671" spans="6:12" ht="12.5">
      <c r="F671" s="86"/>
      <c r="G671" s="86"/>
      <c r="H671" s="86"/>
      <c r="I671" s="65"/>
      <c r="J671" s="65"/>
      <c r="K671" s="87"/>
      <c r="L671" s="88"/>
    </row>
    <row r="672" spans="6:12" ht="12.5">
      <c r="F672" s="86"/>
      <c r="G672" s="86"/>
      <c r="H672" s="86"/>
      <c r="I672" s="65"/>
      <c r="J672" s="65"/>
      <c r="K672" s="87"/>
      <c r="L672" s="88"/>
    </row>
    <row r="673" spans="6:12" ht="12.5">
      <c r="F673" s="86"/>
      <c r="G673" s="86"/>
      <c r="H673" s="86"/>
      <c r="I673" s="65"/>
      <c r="J673" s="65"/>
      <c r="K673" s="87"/>
      <c r="L673" s="88"/>
    </row>
    <row r="674" spans="6:12" ht="12.5">
      <c r="F674" s="86"/>
      <c r="G674" s="86"/>
      <c r="H674" s="86"/>
      <c r="I674" s="65"/>
      <c r="J674" s="65"/>
      <c r="K674" s="87"/>
      <c r="L674" s="88"/>
    </row>
    <row r="675" spans="6:12" ht="12.5">
      <c r="F675" s="86"/>
      <c r="G675" s="86"/>
      <c r="H675" s="86"/>
      <c r="I675" s="65"/>
      <c r="J675" s="65"/>
      <c r="K675" s="87"/>
      <c r="L675" s="88"/>
    </row>
    <row r="676" spans="6:12" ht="12.5">
      <c r="F676" s="86"/>
      <c r="G676" s="86"/>
      <c r="H676" s="86"/>
      <c r="I676" s="65"/>
      <c r="J676" s="65"/>
      <c r="K676" s="87"/>
      <c r="L676" s="88"/>
    </row>
    <row r="677" spans="6:12" ht="12.5">
      <c r="F677" s="86"/>
      <c r="G677" s="86"/>
      <c r="H677" s="86"/>
      <c r="I677" s="65"/>
      <c r="J677" s="65"/>
      <c r="K677" s="87"/>
      <c r="L677" s="88"/>
    </row>
    <row r="678" spans="6:12" ht="12.5">
      <c r="F678" s="86"/>
      <c r="G678" s="86"/>
      <c r="H678" s="86"/>
      <c r="I678" s="65"/>
      <c r="J678" s="65"/>
      <c r="K678" s="87"/>
      <c r="L678" s="88"/>
    </row>
    <row r="679" spans="6:12" ht="12.5">
      <c r="F679" s="86"/>
      <c r="G679" s="86"/>
      <c r="H679" s="86"/>
      <c r="I679" s="65"/>
      <c r="J679" s="65"/>
      <c r="K679" s="87"/>
      <c r="L679" s="88"/>
    </row>
    <row r="680" spans="6:12" ht="12.5">
      <c r="F680" s="86"/>
      <c r="G680" s="86"/>
      <c r="H680" s="86"/>
      <c r="I680" s="65"/>
      <c r="J680" s="65"/>
      <c r="K680" s="87"/>
      <c r="L680" s="88"/>
    </row>
    <row r="681" spans="6:12" ht="12.5">
      <c r="F681" s="86"/>
      <c r="G681" s="86"/>
      <c r="H681" s="86"/>
      <c r="I681" s="65"/>
      <c r="J681" s="65"/>
      <c r="K681" s="87"/>
      <c r="L681" s="88"/>
    </row>
    <row r="682" spans="6:12" ht="12.5">
      <c r="F682" s="86"/>
      <c r="G682" s="86"/>
      <c r="H682" s="86"/>
      <c r="I682" s="65"/>
      <c r="J682" s="65"/>
      <c r="K682" s="87"/>
      <c r="L682" s="88"/>
    </row>
    <row r="683" spans="6:12" ht="12.5">
      <c r="F683" s="86"/>
      <c r="G683" s="86"/>
      <c r="H683" s="86"/>
      <c r="I683" s="65"/>
      <c r="J683" s="65"/>
      <c r="K683" s="87"/>
      <c r="L683" s="88"/>
    </row>
    <row r="684" spans="6:12" ht="12.5">
      <c r="F684" s="86"/>
      <c r="G684" s="86"/>
      <c r="H684" s="86"/>
      <c r="I684" s="65"/>
      <c r="J684" s="65"/>
      <c r="K684" s="87"/>
      <c r="L684" s="88"/>
    </row>
    <row r="685" spans="6:12" ht="12.5">
      <c r="F685" s="86"/>
      <c r="G685" s="86"/>
      <c r="H685" s="86"/>
      <c r="I685" s="65"/>
      <c r="J685" s="65"/>
      <c r="K685" s="87"/>
      <c r="L685" s="88"/>
    </row>
    <row r="686" spans="6:12" ht="12.5">
      <c r="F686" s="86"/>
      <c r="G686" s="86"/>
      <c r="H686" s="86"/>
      <c r="I686" s="65"/>
      <c r="J686" s="65"/>
      <c r="K686" s="87"/>
      <c r="L686" s="88"/>
    </row>
    <row r="687" spans="6:12" ht="12.5">
      <c r="F687" s="86"/>
      <c r="G687" s="86"/>
      <c r="H687" s="86"/>
      <c r="I687" s="65"/>
      <c r="J687" s="65"/>
      <c r="K687" s="87"/>
      <c r="L687" s="88"/>
    </row>
    <row r="688" spans="6:12" ht="12.5">
      <c r="F688" s="86"/>
      <c r="G688" s="86"/>
      <c r="H688" s="86"/>
      <c r="I688" s="65"/>
      <c r="J688" s="65"/>
      <c r="K688" s="87"/>
      <c r="L688" s="88"/>
    </row>
    <row r="689" spans="6:12" ht="12.5">
      <c r="F689" s="86"/>
      <c r="G689" s="86"/>
      <c r="H689" s="86"/>
      <c r="I689" s="65"/>
      <c r="J689" s="65"/>
      <c r="K689" s="87"/>
      <c r="L689" s="88"/>
    </row>
    <row r="690" spans="6:12" ht="12.5">
      <c r="F690" s="86"/>
      <c r="G690" s="86"/>
      <c r="H690" s="86"/>
      <c r="I690" s="65"/>
      <c r="J690" s="65"/>
      <c r="K690" s="87"/>
      <c r="L690" s="88"/>
    </row>
    <row r="691" spans="6:12" ht="12.5">
      <c r="F691" s="86"/>
      <c r="G691" s="86"/>
      <c r="H691" s="86"/>
      <c r="I691" s="65"/>
      <c r="J691" s="65"/>
      <c r="K691" s="87"/>
      <c r="L691" s="88"/>
    </row>
    <row r="692" spans="6:12" ht="12.5">
      <c r="F692" s="86"/>
      <c r="G692" s="86"/>
      <c r="H692" s="86"/>
      <c r="I692" s="65"/>
      <c r="J692" s="65"/>
      <c r="K692" s="87"/>
      <c r="L692" s="88"/>
    </row>
    <row r="693" spans="6:12" ht="12.5">
      <c r="F693" s="86"/>
      <c r="G693" s="86"/>
      <c r="H693" s="86"/>
      <c r="I693" s="65"/>
      <c r="J693" s="65"/>
      <c r="K693" s="87"/>
      <c r="L693" s="88"/>
    </row>
    <row r="694" spans="6:12" ht="12.5">
      <c r="F694" s="86"/>
      <c r="G694" s="86"/>
      <c r="H694" s="86"/>
      <c r="I694" s="65"/>
      <c r="J694" s="65"/>
      <c r="K694" s="87"/>
      <c r="L694" s="88"/>
    </row>
    <row r="695" spans="6:12" ht="12.5">
      <c r="F695" s="86"/>
      <c r="G695" s="86"/>
      <c r="H695" s="86"/>
      <c r="I695" s="65"/>
      <c r="J695" s="65"/>
      <c r="K695" s="87"/>
      <c r="L695" s="88"/>
    </row>
    <row r="696" spans="6:12" ht="12.5">
      <c r="F696" s="86"/>
      <c r="G696" s="86"/>
      <c r="H696" s="86"/>
      <c r="I696" s="65"/>
      <c r="J696" s="65"/>
      <c r="K696" s="87"/>
      <c r="L696" s="88"/>
    </row>
    <row r="697" spans="6:12" ht="12.5">
      <c r="F697" s="86"/>
      <c r="G697" s="86"/>
      <c r="H697" s="86"/>
      <c r="I697" s="65"/>
      <c r="J697" s="65"/>
      <c r="K697" s="87"/>
      <c r="L697" s="88"/>
    </row>
    <row r="698" spans="6:12" ht="12.5">
      <c r="F698" s="86"/>
      <c r="G698" s="86"/>
      <c r="H698" s="86"/>
      <c r="I698" s="65"/>
      <c r="J698" s="65"/>
      <c r="K698" s="87"/>
      <c r="L698" s="88"/>
    </row>
    <row r="699" spans="6:12" ht="12.5">
      <c r="F699" s="86"/>
      <c r="G699" s="86"/>
      <c r="H699" s="86"/>
      <c r="I699" s="65"/>
      <c r="J699" s="65"/>
      <c r="K699" s="87"/>
      <c r="L699" s="88"/>
    </row>
    <row r="700" spans="6:12" ht="12.5">
      <c r="F700" s="86"/>
      <c r="G700" s="86"/>
      <c r="H700" s="86"/>
      <c r="I700" s="65"/>
      <c r="J700" s="65"/>
      <c r="K700" s="87"/>
      <c r="L700" s="88"/>
    </row>
    <row r="701" spans="6:12" ht="12.5">
      <c r="F701" s="86"/>
      <c r="G701" s="86"/>
      <c r="H701" s="86"/>
      <c r="I701" s="65"/>
      <c r="J701" s="65"/>
      <c r="K701" s="87"/>
      <c r="L701" s="88"/>
    </row>
    <row r="702" spans="6:12" ht="12.5">
      <c r="F702" s="86"/>
      <c r="G702" s="86"/>
      <c r="H702" s="86"/>
      <c r="I702" s="65"/>
      <c r="J702" s="65"/>
      <c r="K702" s="87"/>
      <c r="L702" s="88"/>
    </row>
    <row r="703" spans="6:12" ht="12.5">
      <c r="F703" s="86"/>
      <c r="G703" s="86"/>
      <c r="H703" s="86"/>
      <c r="I703" s="65"/>
      <c r="J703" s="65"/>
      <c r="K703" s="87"/>
      <c r="L703" s="88"/>
    </row>
    <row r="704" spans="6:12" ht="12.5">
      <c r="F704" s="86"/>
      <c r="G704" s="86"/>
      <c r="H704" s="86"/>
      <c r="I704" s="65"/>
      <c r="J704" s="65"/>
      <c r="K704" s="87"/>
      <c r="L704" s="88"/>
    </row>
    <row r="705" spans="6:12" ht="12.5">
      <c r="F705" s="86"/>
      <c r="G705" s="86"/>
      <c r="H705" s="86"/>
      <c r="I705" s="65"/>
      <c r="J705" s="65"/>
      <c r="K705" s="87"/>
      <c r="L705" s="88"/>
    </row>
    <row r="706" spans="6:12" ht="12.5">
      <c r="F706" s="86"/>
      <c r="G706" s="86"/>
      <c r="H706" s="86"/>
      <c r="I706" s="65"/>
      <c r="J706" s="65"/>
      <c r="K706" s="87"/>
      <c r="L706" s="88"/>
    </row>
    <row r="707" spans="6:12" ht="12.5">
      <c r="F707" s="86"/>
      <c r="G707" s="86"/>
      <c r="H707" s="86"/>
      <c r="I707" s="65"/>
      <c r="J707" s="65"/>
      <c r="K707" s="87"/>
      <c r="L707" s="88"/>
    </row>
    <row r="708" spans="6:12" ht="12.5">
      <c r="F708" s="86"/>
      <c r="G708" s="86"/>
      <c r="H708" s="86"/>
      <c r="I708" s="65"/>
      <c r="J708" s="65"/>
      <c r="K708" s="87"/>
      <c r="L708" s="88"/>
    </row>
    <row r="709" spans="6:12" ht="12.5">
      <c r="F709" s="86"/>
      <c r="G709" s="86"/>
      <c r="H709" s="86"/>
      <c r="I709" s="65"/>
      <c r="J709" s="65"/>
      <c r="K709" s="87"/>
      <c r="L709" s="88"/>
    </row>
    <row r="710" spans="6:12" ht="12.5">
      <c r="F710" s="86"/>
      <c r="G710" s="86"/>
      <c r="H710" s="86"/>
      <c r="I710" s="65"/>
      <c r="J710" s="65"/>
      <c r="K710" s="87"/>
      <c r="L710" s="88"/>
    </row>
    <row r="711" spans="6:12" ht="12.5">
      <c r="F711" s="86"/>
      <c r="G711" s="86"/>
      <c r="H711" s="86"/>
      <c r="I711" s="65"/>
      <c r="J711" s="65"/>
      <c r="K711" s="87"/>
      <c r="L711" s="88"/>
    </row>
    <row r="712" spans="6:12" ht="12.5">
      <c r="F712" s="86"/>
      <c r="G712" s="86"/>
      <c r="H712" s="86"/>
      <c r="I712" s="65"/>
      <c r="J712" s="65"/>
      <c r="K712" s="87"/>
      <c r="L712" s="88"/>
    </row>
    <row r="713" spans="6:12" ht="12.5">
      <c r="F713" s="86"/>
      <c r="G713" s="86"/>
      <c r="H713" s="86"/>
      <c r="I713" s="65"/>
      <c r="J713" s="65"/>
      <c r="K713" s="87"/>
      <c r="L713" s="88"/>
    </row>
    <row r="714" spans="6:12" ht="12.5">
      <c r="F714" s="86"/>
      <c r="G714" s="86"/>
      <c r="H714" s="86"/>
      <c r="I714" s="65"/>
      <c r="J714" s="65"/>
      <c r="K714" s="87"/>
      <c r="L714" s="88"/>
    </row>
    <row r="715" spans="6:12" ht="12.5">
      <c r="F715" s="86"/>
      <c r="G715" s="86"/>
      <c r="H715" s="86"/>
      <c r="I715" s="65"/>
      <c r="J715" s="65"/>
      <c r="K715" s="87"/>
      <c r="L715" s="88"/>
    </row>
    <row r="716" spans="6:12" ht="12.5">
      <c r="F716" s="86"/>
      <c r="G716" s="86"/>
      <c r="H716" s="86"/>
      <c r="I716" s="65"/>
      <c r="J716" s="65"/>
      <c r="K716" s="87"/>
      <c r="L716" s="88"/>
    </row>
    <row r="717" spans="6:12" ht="12.5">
      <c r="F717" s="86"/>
      <c r="G717" s="86"/>
      <c r="H717" s="86"/>
      <c r="I717" s="65"/>
      <c r="J717" s="65"/>
      <c r="K717" s="87"/>
      <c r="L717" s="88"/>
    </row>
    <row r="718" spans="6:12" ht="12.5">
      <c r="F718" s="86"/>
      <c r="G718" s="86"/>
      <c r="H718" s="86"/>
      <c r="I718" s="65"/>
      <c r="J718" s="65"/>
      <c r="K718" s="87"/>
      <c r="L718" s="88"/>
    </row>
    <row r="719" spans="6:12" ht="12.5">
      <c r="F719" s="86"/>
      <c r="G719" s="86"/>
      <c r="H719" s="86"/>
      <c r="I719" s="65"/>
      <c r="J719" s="65"/>
      <c r="K719" s="87"/>
      <c r="L719" s="88"/>
    </row>
    <row r="720" spans="6:12" ht="12.5">
      <c r="F720" s="86"/>
      <c r="G720" s="86"/>
      <c r="H720" s="86"/>
      <c r="I720" s="65"/>
      <c r="J720" s="65"/>
      <c r="K720" s="87"/>
      <c r="L720" s="88"/>
    </row>
    <row r="721" spans="6:12" ht="12.5">
      <c r="F721" s="86"/>
      <c r="G721" s="86"/>
      <c r="H721" s="86"/>
      <c r="I721" s="65"/>
      <c r="J721" s="65"/>
      <c r="K721" s="87"/>
      <c r="L721" s="88"/>
    </row>
    <row r="722" spans="6:12" ht="12.5">
      <c r="F722" s="86"/>
      <c r="G722" s="86"/>
      <c r="H722" s="86"/>
      <c r="I722" s="65"/>
      <c r="J722" s="65"/>
      <c r="K722" s="87"/>
      <c r="L722" s="88"/>
    </row>
    <row r="723" spans="6:12" ht="12.5">
      <c r="F723" s="86"/>
      <c r="G723" s="86"/>
      <c r="H723" s="86"/>
      <c r="I723" s="65"/>
      <c r="J723" s="65"/>
      <c r="K723" s="87"/>
      <c r="L723" s="88"/>
    </row>
    <row r="724" spans="6:12" ht="12.5">
      <c r="F724" s="86"/>
      <c r="G724" s="86"/>
      <c r="H724" s="86"/>
      <c r="I724" s="65"/>
      <c r="J724" s="65"/>
      <c r="K724" s="87"/>
      <c r="L724" s="88"/>
    </row>
    <row r="725" spans="6:12" ht="12.5">
      <c r="F725" s="86"/>
      <c r="G725" s="86"/>
      <c r="H725" s="86"/>
      <c r="I725" s="65"/>
      <c r="J725" s="65"/>
      <c r="K725" s="87"/>
      <c r="L725" s="88"/>
    </row>
    <row r="726" spans="6:12" ht="12.5">
      <c r="F726" s="86"/>
      <c r="G726" s="86"/>
      <c r="H726" s="86"/>
      <c r="I726" s="65"/>
      <c r="J726" s="65"/>
      <c r="K726" s="87"/>
      <c r="L726" s="88"/>
    </row>
    <row r="727" spans="6:12" ht="12.5">
      <c r="F727" s="86"/>
      <c r="G727" s="86"/>
      <c r="H727" s="86"/>
      <c r="I727" s="65"/>
      <c r="J727" s="65"/>
      <c r="K727" s="87"/>
      <c r="L727" s="88"/>
    </row>
    <row r="728" spans="6:12" ht="12.5">
      <c r="F728" s="86"/>
      <c r="G728" s="86"/>
      <c r="H728" s="86"/>
      <c r="I728" s="65"/>
      <c r="J728" s="65"/>
      <c r="K728" s="87"/>
      <c r="L728" s="88"/>
    </row>
    <row r="729" spans="6:12" ht="12.5">
      <c r="F729" s="86"/>
      <c r="G729" s="86"/>
      <c r="H729" s="86"/>
      <c r="I729" s="65"/>
      <c r="J729" s="65"/>
      <c r="K729" s="87"/>
      <c r="L729" s="88"/>
    </row>
    <row r="730" spans="6:12" ht="12.5">
      <c r="F730" s="86"/>
      <c r="G730" s="86"/>
      <c r="H730" s="86"/>
      <c r="I730" s="65"/>
      <c r="J730" s="65"/>
      <c r="K730" s="87"/>
      <c r="L730" s="88"/>
    </row>
    <row r="731" spans="6:12" ht="12.5">
      <c r="F731" s="86"/>
      <c r="G731" s="86"/>
      <c r="H731" s="86"/>
      <c r="I731" s="65"/>
      <c r="J731" s="65"/>
      <c r="K731" s="87"/>
      <c r="L731" s="88"/>
    </row>
    <row r="732" spans="6:12" ht="12.5">
      <c r="F732" s="86"/>
      <c r="G732" s="86"/>
      <c r="H732" s="86"/>
      <c r="I732" s="65"/>
      <c r="J732" s="65"/>
      <c r="K732" s="87"/>
      <c r="L732" s="88"/>
    </row>
    <row r="733" spans="6:12" ht="12.5">
      <c r="F733" s="86"/>
      <c r="G733" s="86"/>
      <c r="H733" s="86"/>
      <c r="I733" s="65"/>
      <c r="J733" s="65"/>
      <c r="K733" s="87"/>
      <c r="L733" s="88"/>
    </row>
    <row r="734" spans="6:12" ht="12.5">
      <c r="F734" s="86"/>
      <c r="G734" s="86"/>
      <c r="H734" s="86"/>
      <c r="I734" s="65"/>
      <c r="J734" s="65"/>
      <c r="K734" s="87"/>
      <c r="L734" s="88"/>
    </row>
    <row r="735" spans="6:12" ht="12.5">
      <c r="F735" s="86"/>
      <c r="G735" s="86"/>
      <c r="H735" s="86"/>
      <c r="I735" s="65"/>
      <c r="J735" s="65"/>
      <c r="K735" s="87"/>
      <c r="L735" s="88"/>
    </row>
    <row r="736" spans="6:12" ht="12.5">
      <c r="F736" s="86"/>
      <c r="G736" s="86"/>
      <c r="H736" s="86"/>
      <c r="I736" s="65"/>
      <c r="J736" s="65"/>
      <c r="K736" s="87"/>
      <c r="L736" s="88"/>
    </row>
    <row r="737" spans="6:12" ht="12.5">
      <c r="F737" s="86"/>
      <c r="G737" s="86"/>
      <c r="H737" s="86"/>
      <c r="I737" s="65"/>
      <c r="J737" s="65"/>
      <c r="K737" s="87"/>
      <c r="L737" s="88"/>
    </row>
    <row r="738" spans="6:12" ht="12.5">
      <c r="F738" s="86"/>
      <c r="G738" s="86"/>
      <c r="H738" s="86"/>
      <c r="I738" s="65"/>
      <c r="J738" s="65"/>
      <c r="K738" s="87"/>
      <c r="L738" s="88"/>
    </row>
    <row r="739" spans="6:12" ht="12.5">
      <c r="F739" s="86"/>
      <c r="G739" s="86"/>
      <c r="H739" s="86"/>
      <c r="I739" s="65"/>
      <c r="J739" s="65"/>
      <c r="K739" s="87"/>
      <c r="L739" s="88"/>
    </row>
    <row r="740" spans="6:12" ht="12.5">
      <c r="F740" s="86"/>
      <c r="G740" s="86"/>
      <c r="H740" s="86"/>
      <c r="I740" s="65"/>
      <c r="J740" s="65"/>
      <c r="K740" s="87"/>
      <c r="L740" s="88"/>
    </row>
    <row r="741" spans="6:12" ht="12.5">
      <c r="F741" s="86"/>
      <c r="G741" s="86"/>
      <c r="H741" s="86"/>
      <c r="I741" s="65"/>
      <c r="J741" s="65"/>
      <c r="K741" s="87"/>
      <c r="L741" s="88"/>
    </row>
    <row r="742" spans="6:12" ht="12.5">
      <c r="F742" s="86"/>
      <c r="G742" s="86"/>
      <c r="H742" s="86"/>
      <c r="I742" s="65"/>
      <c r="J742" s="65"/>
      <c r="K742" s="87"/>
      <c r="L742" s="88"/>
    </row>
    <row r="743" spans="6:12" ht="12.5">
      <c r="F743" s="86"/>
      <c r="G743" s="86"/>
      <c r="H743" s="86"/>
      <c r="I743" s="65"/>
      <c r="J743" s="65"/>
      <c r="K743" s="87"/>
      <c r="L743" s="88"/>
    </row>
    <row r="744" spans="6:12" ht="12.5">
      <c r="F744" s="86"/>
      <c r="G744" s="86"/>
      <c r="H744" s="86"/>
      <c r="I744" s="65"/>
      <c r="J744" s="65"/>
      <c r="K744" s="87"/>
      <c r="L744" s="88"/>
    </row>
    <row r="745" spans="6:12" ht="12.5">
      <c r="F745" s="86"/>
      <c r="G745" s="86"/>
      <c r="H745" s="86"/>
      <c r="I745" s="65"/>
      <c r="J745" s="65"/>
      <c r="K745" s="87"/>
      <c r="L745" s="88"/>
    </row>
    <row r="746" spans="6:12" ht="12.5">
      <c r="F746" s="86"/>
      <c r="G746" s="86"/>
      <c r="H746" s="86"/>
      <c r="I746" s="65"/>
      <c r="J746" s="65"/>
      <c r="K746" s="87"/>
      <c r="L746" s="88"/>
    </row>
    <row r="747" spans="6:12" ht="12.5">
      <c r="F747" s="86"/>
      <c r="G747" s="86"/>
      <c r="H747" s="86"/>
      <c r="I747" s="65"/>
      <c r="J747" s="65"/>
      <c r="K747" s="87"/>
      <c r="L747" s="88"/>
    </row>
    <row r="748" spans="6:12" ht="12.5">
      <c r="F748" s="86"/>
      <c r="G748" s="86"/>
      <c r="H748" s="86"/>
      <c r="I748" s="65"/>
      <c r="J748" s="65"/>
      <c r="K748" s="87"/>
      <c r="L748" s="88"/>
    </row>
    <row r="749" spans="6:12" ht="12.5">
      <c r="F749" s="86"/>
      <c r="G749" s="86"/>
      <c r="H749" s="86"/>
      <c r="I749" s="65"/>
      <c r="J749" s="65"/>
      <c r="K749" s="87"/>
      <c r="L749" s="88"/>
    </row>
    <row r="750" spans="6:12" ht="12.5">
      <c r="F750" s="86"/>
      <c r="G750" s="86"/>
      <c r="H750" s="86"/>
      <c r="I750" s="65"/>
      <c r="J750" s="65"/>
      <c r="K750" s="87"/>
      <c r="L750" s="88"/>
    </row>
    <row r="751" spans="6:12" ht="12.5">
      <c r="F751" s="86"/>
      <c r="G751" s="86"/>
      <c r="H751" s="86"/>
      <c r="I751" s="65"/>
      <c r="J751" s="65"/>
      <c r="K751" s="87"/>
      <c r="L751" s="88"/>
    </row>
    <row r="752" spans="6:12" ht="12.5">
      <c r="F752" s="86"/>
      <c r="G752" s="86"/>
      <c r="H752" s="86"/>
      <c r="I752" s="65"/>
      <c r="J752" s="65"/>
      <c r="K752" s="87"/>
      <c r="L752" s="88"/>
    </row>
    <row r="753" spans="6:12" ht="12.5">
      <c r="F753" s="86"/>
      <c r="G753" s="86"/>
      <c r="H753" s="86"/>
      <c r="I753" s="65"/>
      <c r="J753" s="65"/>
      <c r="K753" s="87"/>
      <c r="L753" s="88"/>
    </row>
    <row r="754" spans="6:12" ht="12.5">
      <c r="F754" s="86"/>
      <c r="G754" s="86"/>
      <c r="H754" s="86"/>
      <c r="I754" s="65"/>
      <c r="J754" s="65"/>
      <c r="K754" s="87"/>
      <c r="L754" s="88"/>
    </row>
    <row r="755" spans="6:12" ht="12.5">
      <c r="F755" s="86"/>
      <c r="G755" s="86"/>
      <c r="H755" s="86"/>
      <c r="I755" s="65"/>
      <c r="J755" s="65"/>
      <c r="K755" s="87"/>
      <c r="L755" s="88"/>
    </row>
    <row r="756" spans="6:12" ht="12.5">
      <c r="F756" s="86"/>
      <c r="G756" s="86"/>
      <c r="H756" s="86"/>
      <c r="I756" s="65"/>
      <c r="J756" s="65"/>
      <c r="K756" s="87"/>
      <c r="L756" s="88"/>
    </row>
    <row r="757" spans="6:12" ht="12.5">
      <c r="F757" s="86"/>
      <c r="G757" s="86"/>
      <c r="H757" s="86"/>
      <c r="I757" s="65"/>
      <c r="J757" s="65"/>
      <c r="K757" s="87"/>
      <c r="L757" s="88"/>
    </row>
    <row r="758" spans="6:12" ht="12.5">
      <c r="F758" s="86"/>
      <c r="G758" s="86"/>
      <c r="H758" s="86"/>
      <c r="I758" s="65"/>
      <c r="J758" s="65"/>
      <c r="K758" s="87"/>
      <c r="L758" s="88"/>
    </row>
    <row r="759" spans="6:12" ht="12.5">
      <c r="F759" s="86"/>
      <c r="G759" s="86"/>
      <c r="H759" s="86"/>
      <c r="I759" s="65"/>
      <c r="J759" s="65"/>
      <c r="K759" s="87"/>
      <c r="L759" s="88"/>
    </row>
    <row r="760" spans="6:12" ht="12.5">
      <c r="F760" s="86"/>
      <c r="G760" s="86"/>
      <c r="H760" s="86"/>
      <c r="I760" s="65"/>
      <c r="J760" s="65"/>
      <c r="K760" s="87"/>
      <c r="L760" s="88"/>
    </row>
    <row r="761" spans="6:12" ht="12.5">
      <c r="F761" s="86"/>
      <c r="G761" s="86"/>
      <c r="H761" s="86"/>
      <c r="I761" s="65"/>
      <c r="J761" s="65"/>
      <c r="K761" s="87"/>
      <c r="L761" s="88"/>
    </row>
    <row r="762" spans="6:12" ht="12.5">
      <c r="F762" s="86"/>
      <c r="G762" s="86"/>
      <c r="H762" s="86"/>
      <c r="I762" s="65"/>
      <c r="J762" s="65"/>
      <c r="K762" s="87"/>
      <c r="L762" s="88"/>
    </row>
    <row r="763" spans="6:12" ht="12.5">
      <c r="F763" s="86"/>
      <c r="G763" s="86"/>
      <c r="H763" s="86"/>
      <c r="I763" s="65"/>
      <c r="J763" s="65"/>
      <c r="K763" s="87"/>
      <c r="L763" s="88"/>
    </row>
    <row r="764" spans="6:12" ht="12.5">
      <c r="F764" s="86"/>
      <c r="G764" s="86"/>
      <c r="H764" s="86"/>
      <c r="I764" s="65"/>
      <c r="J764" s="65"/>
      <c r="K764" s="87"/>
      <c r="L764" s="88"/>
    </row>
    <row r="765" spans="6:12" ht="12.5">
      <c r="F765" s="86"/>
      <c r="G765" s="86"/>
      <c r="H765" s="86"/>
      <c r="I765" s="65"/>
      <c r="J765" s="65"/>
      <c r="K765" s="87"/>
      <c r="L765" s="88"/>
    </row>
    <row r="766" spans="6:12" ht="12.5">
      <c r="F766" s="86"/>
      <c r="G766" s="86"/>
      <c r="H766" s="86"/>
      <c r="I766" s="65"/>
      <c r="J766" s="65"/>
      <c r="K766" s="87"/>
      <c r="L766" s="88"/>
    </row>
    <row r="767" spans="6:12" ht="12.5">
      <c r="F767" s="86"/>
      <c r="G767" s="86"/>
      <c r="H767" s="86"/>
      <c r="I767" s="65"/>
      <c r="J767" s="65"/>
      <c r="K767" s="87"/>
      <c r="L767" s="88"/>
    </row>
    <row r="768" spans="6:12" ht="12.5">
      <c r="F768" s="86"/>
      <c r="G768" s="86"/>
      <c r="H768" s="86"/>
      <c r="I768" s="65"/>
      <c r="J768" s="65"/>
      <c r="K768" s="87"/>
      <c r="L768" s="88"/>
    </row>
    <row r="769" spans="6:12" ht="12.5">
      <c r="F769" s="86"/>
      <c r="G769" s="86"/>
      <c r="H769" s="86"/>
      <c r="I769" s="65"/>
      <c r="J769" s="65"/>
      <c r="K769" s="87"/>
      <c r="L769" s="88"/>
    </row>
    <row r="770" spans="6:12" ht="12.5">
      <c r="F770" s="86"/>
      <c r="G770" s="86"/>
      <c r="H770" s="86"/>
      <c r="I770" s="65"/>
      <c r="J770" s="65"/>
      <c r="K770" s="87"/>
      <c r="L770" s="88"/>
    </row>
    <row r="771" spans="6:12" ht="12.5">
      <c r="F771" s="86"/>
      <c r="G771" s="86"/>
      <c r="H771" s="86"/>
      <c r="I771" s="65"/>
      <c r="J771" s="65"/>
      <c r="K771" s="87"/>
      <c r="L771" s="88"/>
    </row>
    <row r="772" spans="6:12" ht="12.5">
      <c r="F772" s="86"/>
      <c r="G772" s="86"/>
      <c r="H772" s="86"/>
      <c r="I772" s="65"/>
      <c r="J772" s="65"/>
      <c r="K772" s="87"/>
      <c r="L772" s="88"/>
    </row>
    <row r="773" spans="6:12" ht="12.5">
      <c r="F773" s="86"/>
      <c r="G773" s="86"/>
      <c r="H773" s="86"/>
      <c r="I773" s="65"/>
      <c r="J773" s="65"/>
      <c r="K773" s="87"/>
      <c r="L773" s="88"/>
    </row>
    <row r="774" spans="6:12" ht="12.5">
      <c r="F774" s="86"/>
      <c r="G774" s="86"/>
      <c r="H774" s="86"/>
      <c r="I774" s="65"/>
      <c r="J774" s="65"/>
      <c r="K774" s="87"/>
      <c r="L774" s="88"/>
    </row>
    <row r="775" spans="6:12" ht="12.5">
      <c r="F775" s="86"/>
      <c r="G775" s="86"/>
      <c r="H775" s="86"/>
      <c r="I775" s="65"/>
      <c r="J775" s="65"/>
      <c r="K775" s="87"/>
      <c r="L775" s="88"/>
    </row>
    <row r="776" spans="6:12" ht="12.5">
      <c r="F776" s="86"/>
      <c r="G776" s="86"/>
      <c r="H776" s="86"/>
      <c r="I776" s="65"/>
      <c r="J776" s="65"/>
      <c r="K776" s="87"/>
      <c r="L776" s="88"/>
    </row>
    <row r="777" spans="6:12" ht="12.5">
      <c r="F777" s="86"/>
      <c r="G777" s="86"/>
      <c r="H777" s="86"/>
      <c r="I777" s="65"/>
      <c r="J777" s="65"/>
      <c r="K777" s="87"/>
      <c r="L777" s="88"/>
    </row>
    <row r="778" spans="6:12" ht="12.5">
      <c r="F778" s="86"/>
      <c r="G778" s="86"/>
      <c r="H778" s="86"/>
      <c r="I778" s="65"/>
      <c r="J778" s="65"/>
      <c r="K778" s="87"/>
      <c r="L778" s="88"/>
    </row>
    <row r="779" spans="6:12" ht="12.5">
      <c r="F779" s="86"/>
      <c r="G779" s="86"/>
      <c r="H779" s="86"/>
      <c r="I779" s="65"/>
      <c r="J779" s="65"/>
      <c r="K779" s="87"/>
      <c r="L779" s="88"/>
    </row>
    <row r="780" spans="6:12" ht="12.5">
      <c r="F780" s="86"/>
      <c r="G780" s="86"/>
      <c r="H780" s="86"/>
      <c r="I780" s="65"/>
      <c r="J780" s="65"/>
      <c r="K780" s="87"/>
      <c r="L780" s="88"/>
    </row>
    <row r="781" spans="6:12" ht="12.5">
      <c r="F781" s="86"/>
      <c r="G781" s="86"/>
      <c r="H781" s="86"/>
      <c r="I781" s="65"/>
      <c r="J781" s="65"/>
      <c r="K781" s="87"/>
      <c r="L781" s="88"/>
    </row>
    <row r="782" spans="6:12" ht="12.5">
      <c r="F782" s="86"/>
      <c r="G782" s="86"/>
      <c r="H782" s="86"/>
      <c r="I782" s="65"/>
      <c r="J782" s="65"/>
      <c r="K782" s="87"/>
      <c r="L782" s="88"/>
    </row>
    <row r="783" spans="6:12" ht="12.5">
      <c r="F783" s="86"/>
      <c r="G783" s="86"/>
      <c r="H783" s="86"/>
      <c r="I783" s="65"/>
      <c r="J783" s="65"/>
      <c r="K783" s="87"/>
      <c r="L783" s="88"/>
    </row>
    <row r="784" spans="6:12" ht="12.5">
      <c r="F784" s="86"/>
      <c r="G784" s="86"/>
      <c r="H784" s="86"/>
      <c r="I784" s="65"/>
      <c r="J784" s="65"/>
      <c r="K784" s="87"/>
      <c r="L784" s="88"/>
    </row>
    <row r="785" spans="6:12" ht="12.5">
      <c r="F785" s="86"/>
      <c r="G785" s="86"/>
      <c r="H785" s="86"/>
      <c r="I785" s="65"/>
      <c r="J785" s="65"/>
      <c r="K785" s="87"/>
      <c r="L785" s="88"/>
    </row>
    <row r="786" spans="6:12" ht="12.5">
      <c r="F786" s="86"/>
      <c r="G786" s="86"/>
      <c r="H786" s="86"/>
      <c r="I786" s="65"/>
      <c r="J786" s="65"/>
      <c r="K786" s="87"/>
      <c r="L786" s="88"/>
    </row>
    <row r="787" spans="6:12" ht="12.5">
      <c r="F787" s="86"/>
      <c r="G787" s="86"/>
      <c r="H787" s="86"/>
      <c r="I787" s="65"/>
      <c r="J787" s="65"/>
      <c r="K787" s="87"/>
      <c r="L787" s="88"/>
    </row>
    <row r="788" spans="6:12" ht="12.5">
      <c r="F788" s="86"/>
      <c r="G788" s="86"/>
      <c r="H788" s="86"/>
      <c r="I788" s="65"/>
      <c r="J788" s="65"/>
      <c r="K788" s="87"/>
      <c r="L788" s="88"/>
    </row>
    <row r="789" spans="6:12" ht="12.5">
      <c r="F789" s="86"/>
      <c r="G789" s="86"/>
      <c r="H789" s="86"/>
      <c r="I789" s="65"/>
      <c r="J789" s="65"/>
      <c r="K789" s="87"/>
      <c r="L789" s="88"/>
    </row>
    <row r="790" spans="6:12" ht="12.5">
      <c r="F790" s="86"/>
      <c r="G790" s="86"/>
      <c r="H790" s="86"/>
      <c r="I790" s="65"/>
      <c r="J790" s="65"/>
      <c r="K790" s="87"/>
      <c r="L790" s="88"/>
    </row>
    <row r="791" spans="6:12" ht="12.5">
      <c r="F791" s="86"/>
      <c r="G791" s="86"/>
      <c r="H791" s="86"/>
      <c r="I791" s="65"/>
      <c r="J791" s="65"/>
      <c r="K791" s="87"/>
      <c r="L791" s="88"/>
    </row>
    <row r="792" spans="6:12" ht="12.5">
      <c r="F792" s="86"/>
      <c r="G792" s="86"/>
      <c r="H792" s="86"/>
      <c r="I792" s="65"/>
      <c r="J792" s="65"/>
      <c r="K792" s="87"/>
      <c r="L792" s="88"/>
    </row>
    <row r="793" spans="6:12" ht="12.5">
      <c r="F793" s="86"/>
      <c r="G793" s="86"/>
      <c r="H793" s="86"/>
      <c r="I793" s="65"/>
      <c r="J793" s="65"/>
      <c r="K793" s="87"/>
      <c r="L793" s="88"/>
    </row>
    <row r="794" spans="6:12" ht="12.5">
      <c r="F794" s="86"/>
      <c r="G794" s="86"/>
      <c r="H794" s="86"/>
      <c r="I794" s="65"/>
      <c r="J794" s="65"/>
      <c r="K794" s="87"/>
      <c r="L794" s="88"/>
    </row>
    <row r="795" spans="6:12" ht="12.5">
      <c r="F795" s="86"/>
      <c r="G795" s="86"/>
      <c r="H795" s="86"/>
      <c r="I795" s="65"/>
      <c r="J795" s="65"/>
      <c r="K795" s="87"/>
      <c r="L795" s="88"/>
    </row>
    <row r="796" spans="6:12" ht="12.5">
      <c r="F796" s="86"/>
      <c r="G796" s="86"/>
      <c r="H796" s="86"/>
      <c r="I796" s="65"/>
      <c r="J796" s="65"/>
      <c r="K796" s="87"/>
      <c r="L796" s="88"/>
    </row>
    <row r="797" spans="6:12" ht="12.5">
      <c r="F797" s="86"/>
      <c r="G797" s="86"/>
      <c r="H797" s="86"/>
      <c r="I797" s="65"/>
      <c r="J797" s="65"/>
      <c r="K797" s="87"/>
      <c r="L797" s="88"/>
    </row>
    <row r="798" spans="6:12" ht="12.5">
      <c r="F798" s="86"/>
      <c r="G798" s="86"/>
      <c r="H798" s="86"/>
      <c r="I798" s="65"/>
      <c r="J798" s="65"/>
      <c r="K798" s="87"/>
      <c r="L798" s="88"/>
    </row>
    <row r="799" spans="6:12" ht="12.5">
      <c r="F799" s="86"/>
      <c r="G799" s="86"/>
      <c r="H799" s="86"/>
      <c r="I799" s="65"/>
      <c r="J799" s="65"/>
      <c r="K799" s="87"/>
      <c r="L799" s="88"/>
    </row>
    <row r="800" spans="6:12" ht="12.5">
      <c r="F800" s="86"/>
      <c r="G800" s="86"/>
      <c r="H800" s="86"/>
      <c r="I800" s="65"/>
      <c r="J800" s="65"/>
      <c r="K800" s="87"/>
      <c r="L800" s="88"/>
    </row>
    <row r="801" spans="6:12" ht="12.5">
      <c r="F801" s="86"/>
      <c r="G801" s="86"/>
      <c r="H801" s="86"/>
      <c r="I801" s="65"/>
      <c r="J801" s="65"/>
      <c r="K801" s="87"/>
      <c r="L801" s="88"/>
    </row>
    <row r="802" spans="6:12" ht="12.5">
      <c r="F802" s="86"/>
      <c r="G802" s="86"/>
      <c r="H802" s="86"/>
      <c r="I802" s="65"/>
      <c r="J802" s="65"/>
      <c r="K802" s="87"/>
      <c r="L802" s="88"/>
    </row>
    <row r="803" spans="6:12" ht="12.5">
      <c r="F803" s="86"/>
      <c r="G803" s="86"/>
      <c r="H803" s="86"/>
      <c r="I803" s="65"/>
      <c r="J803" s="65"/>
      <c r="K803" s="87"/>
      <c r="L803" s="88"/>
    </row>
    <row r="804" spans="6:12" ht="12.5">
      <c r="F804" s="86"/>
      <c r="G804" s="86"/>
      <c r="H804" s="86"/>
      <c r="I804" s="65"/>
      <c r="J804" s="65"/>
      <c r="K804" s="87"/>
      <c r="L804" s="88"/>
    </row>
    <row r="805" spans="6:12" ht="12.5">
      <c r="F805" s="86"/>
      <c r="G805" s="86"/>
      <c r="H805" s="86"/>
      <c r="I805" s="65"/>
      <c r="J805" s="65"/>
      <c r="K805" s="87"/>
      <c r="L805" s="88"/>
    </row>
    <row r="806" spans="6:12" ht="12.5">
      <c r="F806" s="86"/>
      <c r="G806" s="86"/>
      <c r="H806" s="86"/>
      <c r="I806" s="65"/>
      <c r="J806" s="65"/>
      <c r="K806" s="87"/>
      <c r="L806" s="88"/>
    </row>
    <row r="807" spans="6:12" ht="12.5">
      <c r="F807" s="86"/>
      <c r="G807" s="86"/>
      <c r="H807" s="86"/>
      <c r="I807" s="65"/>
      <c r="J807" s="65"/>
      <c r="K807" s="87"/>
      <c r="L807" s="88"/>
    </row>
    <row r="808" spans="6:12" ht="12.5">
      <c r="F808" s="86"/>
      <c r="G808" s="86"/>
      <c r="H808" s="86"/>
      <c r="I808" s="65"/>
      <c r="J808" s="65"/>
      <c r="K808" s="87"/>
      <c r="L808" s="88"/>
    </row>
    <row r="809" spans="6:12" ht="12.5">
      <c r="F809" s="86"/>
      <c r="G809" s="86"/>
      <c r="H809" s="86"/>
      <c r="I809" s="65"/>
      <c r="J809" s="65"/>
      <c r="K809" s="87"/>
      <c r="L809" s="88"/>
    </row>
    <row r="810" spans="6:12" ht="12.5">
      <c r="F810" s="86"/>
      <c r="G810" s="86"/>
      <c r="H810" s="86"/>
      <c r="I810" s="65"/>
      <c r="J810" s="65"/>
      <c r="K810" s="87"/>
      <c r="L810" s="88"/>
    </row>
    <row r="811" spans="6:12" ht="12.5">
      <c r="F811" s="86"/>
      <c r="G811" s="86"/>
      <c r="H811" s="86"/>
      <c r="I811" s="65"/>
      <c r="J811" s="65"/>
      <c r="K811" s="87"/>
      <c r="L811" s="88"/>
    </row>
    <row r="812" spans="6:12" ht="12.5">
      <c r="F812" s="86"/>
      <c r="G812" s="86"/>
      <c r="H812" s="86"/>
      <c r="I812" s="65"/>
      <c r="J812" s="65"/>
      <c r="K812" s="87"/>
      <c r="L812" s="88"/>
    </row>
    <row r="813" spans="6:12" ht="12.5">
      <c r="F813" s="86"/>
      <c r="G813" s="86"/>
      <c r="H813" s="86"/>
      <c r="I813" s="65"/>
      <c r="J813" s="65"/>
      <c r="K813" s="87"/>
      <c r="L813" s="88"/>
    </row>
    <row r="814" spans="6:12" ht="12.5">
      <c r="F814" s="86"/>
      <c r="G814" s="86"/>
      <c r="H814" s="86"/>
      <c r="I814" s="65"/>
      <c r="J814" s="65"/>
      <c r="K814" s="87"/>
      <c r="L814" s="88"/>
    </row>
    <row r="815" spans="6:12" ht="12.5">
      <c r="F815" s="86"/>
      <c r="G815" s="86"/>
      <c r="H815" s="86"/>
      <c r="I815" s="65"/>
      <c r="J815" s="65"/>
      <c r="K815" s="87"/>
      <c r="L815" s="88"/>
    </row>
    <row r="816" spans="6:12" ht="12.5">
      <c r="F816" s="86"/>
      <c r="G816" s="86"/>
      <c r="H816" s="86"/>
      <c r="I816" s="65"/>
      <c r="J816" s="65"/>
      <c r="K816" s="87"/>
      <c r="L816" s="88"/>
    </row>
    <row r="817" spans="6:12" ht="12.5">
      <c r="F817" s="86"/>
      <c r="G817" s="86"/>
      <c r="H817" s="86"/>
      <c r="I817" s="65"/>
      <c r="J817" s="65"/>
      <c r="K817" s="87"/>
      <c r="L817" s="88"/>
    </row>
    <row r="818" spans="6:12" ht="12.5">
      <c r="F818" s="86"/>
      <c r="G818" s="86"/>
      <c r="H818" s="86"/>
      <c r="I818" s="65"/>
      <c r="J818" s="65"/>
      <c r="K818" s="87"/>
      <c r="L818" s="88"/>
    </row>
    <row r="819" spans="6:12" ht="12.5">
      <c r="F819" s="86"/>
      <c r="G819" s="86"/>
      <c r="H819" s="86"/>
      <c r="I819" s="65"/>
      <c r="J819" s="65"/>
      <c r="K819" s="87"/>
      <c r="L819" s="88"/>
    </row>
    <row r="820" spans="6:12" ht="12.5">
      <c r="F820" s="86"/>
      <c r="G820" s="86"/>
      <c r="H820" s="86"/>
      <c r="I820" s="65"/>
      <c r="J820" s="65"/>
      <c r="K820" s="87"/>
      <c r="L820" s="88"/>
    </row>
    <row r="821" spans="6:12" ht="12.5">
      <c r="F821" s="86"/>
      <c r="G821" s="86"/>
      <c r="H821" s="86"/>
      <c r="I821" s="65"/>
      <c r="J821" s="65"/>
      <c r="K821" s="87"/>
      <c r="L821" s="88"/>
    </row>
    <row r="822" spans="6:12" ht="12.5">
      <c r="F822" s="86"/>
      <c r="G822" s="86"/>
      <c r="H822" s="86"/>
      <c r="I822" s="65"/>
      <c r="J822" s="65"/>
      <c r="K822" s="87"/>
      <c r="L822" s="88"/>
    </row>
    <row r="823" spans="6:12" ht="12.5">
      <c r="F823" s="86"/>
      <c r="G823" s="86"/>
      <c r="H823" s="86"/>
      <c r="I823" s="65"/>
      <c r="J823" s="65"/>
      <c r="K823" s="87"/>
      <c r="L823" s="88"/>
    </row>
    <row r="824" spans="6:12" ht="12.5">
      <c r="F824" s="86"/>
      <c r="G824" s="86"/>
      <c r="H824" s="86"/>
      <c r="I824" s="65"/>
      <c r="J824" s="65"/>
      <c r="K824" s="87"/>
      <c r="L824" s="88"/>
    </row>
    <row r="825" spans="6:12" ht="12.5">
      <c r="F825" s="86"/>
      <c r="G825" s="86"/>
      <c r="H825" s="86"/>
      <c r="I825" s="65"/>
      <c r="J825" s="65"/>
      <c r="K825" s="87"/>
      <c r="L825" s="88"/>
    </row>
    <row r="826" spans="6:12" ht="12.5">
      <c r="F826" s="86"/>
      <c r="G826" s="86"/>
      <c r="H826" s="86"/>
      <c r="I826" s="65"/>
      <c r="J826" s="65"/>
      <c r="K826" s="87"/>
      <c r="L826" s="88"/>
    </row>
    <row r="827" spans="6:12" ht="12.5">
      <c r="F827" s="86"/>
      <c r="G827" s="86"/>
      <c r="H827" s="86"/>
      <c r="I827" s="65"/>
      <c r="J827" s="65"/>
      <c r="K827" s="87"/>
      <c r="L827" s="88"/>
    </row>
    <row r="828" spans="6:12" ht="12.5">
      <c r="F828" s="86"/>
      <c r="G828" s="86"/>
      <c r="H828" s="86"/>
      <c r="I828" s="65"/>
      <c r="J828" s="65"/>
      <c r="K828" s="87"/>
      <c r="L828" s="88"/>
    </row>
    <row r="829" spans="6:12" ht="12.5">
      <c r="F829" s="86"/>
      <c r="G829" s="86"/>
      <c r="H829" s="86"/>
      <c r="I829" s="65"/>
      <c r="J829" s="65"/>
      <c r="K829" s="87"/>
      <c r="L829" s="88"/>
    </row>
    <row r="830" spans="6:12" ht="12.5">
      <c r="F830" s="86"/>
      <c r="G830" s="86"/>
      <c r="H830" s="86"/>
      <c r="I830" s="65"/>
      <c r="J830" s="65"/>
      <c r="K830" s="87"/>
      <c r="L830" s="88"/>
    </row>
    <row r="831" spans="6:12" ht="12.5">
      <c r="F831" s="86"/>
      <c r="G831" s="86"/>
      <c r="H831" s="86"/>
      <c r="I831" s="65"/>
      <c r="J831" s="65"/>
      <c r="K831" s="87"/>
      <c r="L831" s="88"/>
    </row>
    <row r="832" spans="6:12" ht="12.5">
      <c r="F832" s="86"/>
      <c r="G832" s="86"/>
      <c r="H832" s="86"/>
      <c r="I832" s="65"/>
      <c r="J832" s="65"/>
      <c r="K832" s="87"/>
      <c r="L832" s="88"/>
    </row>
    <row r="833" spans="6:12" ht="12.5">
      <c r="F833" s="86"/>
      <c r="G833" s="86"/>
      <c r="H833" s="86"/>
      <c r="I833" s="65"/>
      <c r="J833" s="65"/>
      <c r="K833" s="87"/>
      <c r="L833" s="88"/>
    </row>
    <row r="834" spans="6:12" ht="12.5">
      <c r="F834" s="86"/>
      <c r="G834" s="86"/>
      <c r="H834" s="86"/>
      <c r="I834" s="65"/>
      <c r="J834" s="65"/>
      <c r="K834" s="87"/>
      <c r="L834" s="88"/>
    </row>
    <row r="835" spans="6:12" ht="12.5">
      <c r="F835" s="86"/>
      <c r="G835" s="86"/>
      <c r="H835" s="86"/>
      <c r="I835" s="65"/>
      <c r="J835" s="65"/>
      <c r="K835" s="87"/>
      <c r="L835" s="88"/>
    </row>
    <row r="836" spans="6:12" ht="12.5">
      <c r="F836" s="86"/>
      <c r="G836" s="86"/>
      <c r="H836" s="86"/>
      <c r="I836" s="65"/>
      <c r="J836" s="65"/>
      <c r="K836" s="87"/>
      <c r="L836" s="88"/>
    </row>
    <row r="837" spans="6:12" ht="12.5">
      <c r="F837" s="86"/>
      <c r="G837" s="86"/>
      <c r="H837" s="86"/>
      <c r="I837" s="65"/>
      <c r="J837" s="65"/>
      <c r="K837" s="87"/>
      <c r="L837" s="88"/>
    </row>
    <row r="838" spans="6:12" ht="12.5">
      <c r="F838" s="86"/>
      <c r="G838" s="86"/>
      <c r="H838" s="86"/>
      <c r="I838" s="65"/>
      <c r="J838" s="65"/>
      <c r="K838" s="87"/>
      <c r="L838" s="88"/>
    </row>
    <row r="839" spans="6:12" ht="12.5">
      <c r="F839" s="86"/>
      <c r="G839" s="86"/>
      <c r="H839" s="86"/>
      <c r="I839" s="65"/>
      <c r="J839" s="65"/>
      <c r="K839" s="87"/>
      <c r="L839" s="88"/>
    </row>
    <row r="840" spans="6:12" ht="12.5">
      <c r="F840" s="86"/>
      <c r="G840" s="86"/>
      <c r="H840" s="86"/>
      <c r="I840" s="65"/>
      <c r="J840" s="65"/>
      <c r="K840" s="87"/>
      <c r="L840" s="88"/>
    </row>
    <row r="841" spans="6:12" ht="12.5">
      <c r="F841" s="86"/>
      <c r="G841" s="86"/>
      <c r="H841" s="86"/>
      <c r="I841" s="65"/>
      <c r="J841" s="65"/>
      <c r="K841" s="87"/>
      <c r="L841" s="88"/>
    </row>
    <row r="842" spans="6:12" ht="12.5">
      <c r="F842" s="86"/>
      <c r="G842" s="86"/>
      <c r="H842" s="86"/>
      <c r="I842" s="65"/>
      <c r="J842" s="65"/>
      <c r="K842" s="87"/>
      <c r="L842" s="88"/>
    </row>
    <row r="843" spans="6:12" ht="12.5">
      <c r="F843" s="86"/>
      <c r="G843" s="86"/>
      <c r="H843" s="86"/>
      <c r="I843" s="65"/>
      <c r="J843" s="65"/>
      <c r="K843" s="87"/>
      <c r="L843" s="88"/>
    </row>
    <row r="844" spans="6:12" ht="12.5">
      <c r="F844" s="86"/>
      <c r="G844" s="86"/>
      <c r="H844" s="86"/>
      <c r="I844" s="65"/>
      <c r="J844" s="65"/>
      <c r="K844" s="87"/>
      <c r="L844" s="88"/>
    </row>
    <row r="845" spans="6:12" ht="12.5">
      <c r="F845" s="86"/>
      <c r="G845" s="86"/>
      <c r="H845" s="86"/>
      <c r="I845" s="65"/>
      <c r="J845" s="65"/>
      <c r="K845" s="87"/>
      <c r="L845" s="88"/>
    </row>
    <row r="846" spans="6:12" ht="12.5">
      <c r="F846" s="86"/>
      <c r="G846" s="86"/>
      <c r="H846" s="86"/>
      <c r="I846" s="65"/>
      <c r="J846" s="65"/>
      <c r="K846" s="87"/>
      <c r="L846" s="88"/>
    </row>
    <row r="847" spans="6:12" ht="12.5">
      <c r="F847" s="86"/>
      <c r="G847" s="86"/>
      <c r="H847" s="86"/>
      <c r="I847" s="65"/>
      <c r="J847" s="65"/>
      <c r="K847" s="87"/>
      <c r="L847" s="88"/>
    </row>
    <row r="848" spans="6:12" ht="12.5">
      <c r="F848" s="86"/>
      <c r="G848" s="86"/>
      <c r="H848" s="86"/>
      <c r="I848" s="65"/>
      <c r="J848" s="65"/>
      <c r="K848" s="87"/>
      <c r="L848" s="88"/>
    </row>
    <row r="849" spans="6:12" ht="12.5">
      <c r="F849" s="86"/>
      <c r="G849" s="86"/>
      <c r="H849" s="86"/>
      <c r="I849" s="65"/>
      <c r="J849" s="65"/>
      <c r="K849" s="87"/>
      <c r="L849" s="88"/>
    </row>
    <row r="850" spans="6:12" ht="12.5">
      <c r="F850" s="86"/>
      <c r="G850" s="86"/>
      <c r="H850" s="86"/>
      <c r="I850" s="65"/>
      <c r="J850" s="65"/>
      <c r="K850" s="87"/>
      <c r="L850" s="88"/>
    </row>
    <row r="851" spans="6:12" ht="12.5">
      <c r="F851" s="86"/>
      <c r="G851" s="86"/>
      <c r="H851" s="86"/>
      <c r="I851" s="65"/>
      <c r="J851" s="65"/>
      <c r="K851" s="87"/>
      <c r="L851" s="88"/>
    </row>
    <row r="852" spans="6:12" ht="12.5">
      <c r="F852" s="86"/>
      <c r="G852" s="86"/>
      <c r="H852" s="86"/>
      <c r="I852" s="65"/>
      <c r="J852" s="65"/>
      <c r="K852" s="87"/>
      <c r="L852" s="88"/>
    </row>
    <row r="853" spans="6:12" ht="12.5">
      <c r="F853" s="86"/>
      <c r="G853" s="86"/>
      <c r="H853" s="86"/>
      <c r="I853" s="65"/>
      <c r="J853" s="65"/>
      <c r="K853" s="87"/>
      <c r="L853" s="88"/>
    </row>
    <row r="854" spans="6:12" ht="12.5">
      <c r="F854" s="86"/>
      <c r="G854" s="86"/>
      <c r="H854" s="86"/>
      <c r="I854" s="65"/>
      <c r="J854" s="65"/>
      <c r="K854" s="87"/>
      <c r="L854" s="88"/>
    </row>
    <row r="855" spans="6:12" ht="12.5">
      <c r="F855" s="86"/>
      <c r="G855" s="86"/>
      <c r="H855" s="86"/>
      <c r="I855" s="65"/>
      <c r="J855" s="65"/>
      <c r="K855" s="87"/>
      <c r="L855" s="88"/>
    </row>
    <row r="856" spans="6:12" ht="12.5">
      <c r="F856" s="86"/>
      <c r="G856" s="86"/>
      <c r="H856" s="86"/>
      <c r="I856" s="65"/>
      <c r="J856" s="65"/>
      <c r="K856" s="87"/>
      <c r="L856" s="88"/>
    </row>
    <row r="857" spans="6:12" ht="12.5">
      <c r="F857" s="86"/>
      <c r="G857" s="86"/>
      <c r="H857" s="86"/>
      <c r="I857" s="65"/>
      <c r="J857" s="65"/>
      <c r="K857" s="87"/>
      <c r="L857" s="88"/>
    </row>
    <row r="858" spans="6:12" ht="12.5">
      <c r="F858" s="86"/>
      <c r="G858" s="86"/>
      <c r="H858" s="86"/>
      <c r="I858" s="65"/>
      <c r="J858" s="65"/>
      <c r="K858" s="87"/>
      <c r="L858" s="88"/>
    </row>
    <row r="859" spans="6:12" ht="12.5">
      <c r="F859" s="86"/>
      <c r="G859" s="86"/>
      <c r="H859" s="86"/>
      <c r="I859" s="65"/>
      <c r="J859" s="65"/>
      <c r="K859" s="87"/>
      <c r="L859" s="88"/>
    </row>
    <row r="860" spans="6:12" ht="12.5">
      <c r="F860" s="86"/>
      <c r="G860" s="86"/>
      <c r="H860" s="86"/>
      <c r="I860" s="65"/>
      <c r="J860" s="65"/>
      <c r="K860" s="87"/>
      <c r="L860" s="88"/>
    </row>
    <row r="861" spans="6:12" ht="12.5">
      <c r="F861" s="86"/>
      <c r="G861" s="86"/>
      <c r="H861" s="86"/>
      <c r="I861" s="65"/>
      <c r="J861" s="65"/>
      <c r="K861" s="87"/>
      <c r="L861" s="88"/>
    </row>
    <row r="862" spans="6:12" ht="12.5">
      <c r="F862" s="86"/>
      <c r="G862" s="86"/>
      <c r="H862" s="86"/>
      <c r="I862" s="65"/>
      <c r="J862" s="65"/>
      <c r="K862" s="87"/>
      <c r="L862" s="88"/>
    </row>
    <row r="863" spans="6:12" ht="12.5">
      <c r="F863" s="86"/>
      <c r="G863" s="86"/>
      <c r="H863" s="86"/>
      <c r="I863" s="65"/>
      <c r="J863" s="65"/>
      <c r="K863" s="87"/>
      <c r="L863" s="88"/>
    </row>
    <row r="864" spans="6:12" ht="12.5">
      <c r="F864" s="86"/>
      <c r="G864" s="86"/>
      <c r="H864" s="86"/>
      <c r="I864" s="65"/>
      <c r="J864" s="65"/>
      <c r="K864" s="87"/>
      <c r="L864" s="88"/>
    </row>
    <row r="865" spans="6:12" ht="12.5">
      <c r="F865" s="86"/>
      <c r="G865" s="86"/>
      <c r="H865" s="86"/>
      <c r="I865" s="65"/>
      <c r="J865" s="65"/>
      <c r="K865" s="87"/>
      <c r="L865" s="88"/>
    </row>
    <row r="866" spans="6:12" ht="12.5">
      <c r="F866" s="86"/>
      <c r="G866" s="86"/>
      <c r="H866" s="86"/>
      <c r="I866" s="65"/>
      <c r="J866" s="65"/>
      <c r="K866" s="87"/>
      <c r="L866" s="88"/>
    </row>
    <row r="867" spans="6:12" ht="12.5">
      <c r="F867" s="86"/>
      <c r="G867" s="86"/>
      <c r="H867" s="86"/>
      <c r="I867" s="65"/>
      <c r="J867" s="65"/>
      <c r="K867" s="87"/>
      <c r="L867" s="88"/>
    </row>
    <row r="868" spans="6:12" ht="12.5">
      <c r="F868" s="86"/>
      <c r="G868" s="86"/>
      <c r="H868" s="86"/>
      <c r="I868" s="65"/>
      <c r="J868" s="65"/>
      <c r="K868" s="87"/>
      <c r="L868" s="88"/>
    </row>
    <row r="869" spans="6:12" ht="12.5">
      <c r="F869" s="86"/>
      <c r="G869" s="86"/>
      <c r="H869" s="86"/>
      <c r="I869" s="65"/>
      <c r="J869" s="65"/>
      <c r="K869" s="87"/>
      <c r="L869" s="88"/>
    </row>
    <row r="870" spans="6:12" ht="12.5">
      <c r="F870" s="86"/>
      <c r="G870" s="86"/>
      <c r="H870" s="86"/>
      <c r="I870" s="65"/>
      <c r="J870" s="65"/>
      <c r="K870" s="87"/>
      <c r="L870" s="88"/>
    </row>
    <row r="871" spans="6:12" ht="12.5">
      <c r="F871" s="86"/>
      <c r="G871" s="86"/>
      <c r="H871" s="86"/>
      <c r="I871" s="65"/>
      <c r="J871" s="65"/>
      <c r="K871" s="87"/>
      <c r="L871" s="88"/>
    </row>
    <row r="872" spans="6:12" ht="12.5">
      <c r="F872" s="86"/>
      <c r="G872" s="86"/>
      <c r="H872" s="86"/>
      <c r="I872" s="65"/>
      <c r="J872" s="65"/>
      <c r="K872" s="87"/>
      <c r="L872" s="88"/>
    </row>
    <row r="873" spans="6:12" ht="12.5">
      <c r="F873" s="86"/>
      <c r="G873" s="86"/>
      <c r="H873" s="86"/>
      <c r="I873" s="65"/>
      <c r="J873" s="65"/>
      <c r="K873" s="87"/>
      <c r="L873" s="88"/>
    </row>
    <row r="874" spans="6:12" ht="12.5">
      <c r="F874" s="86"/>
      <c r="G874" s="86"/>
      <c r="H874" s="86"/>
      <c r="I874" s="65"/>
      <c r="J874" s="65"/>
      <c r="K874" s="87"/>
      <c r="L874" s="88"/>
    </row>
    <row r="875" spans="6:12" ht="12.5">
      <c r="F875" s="86"/>
      <c r="G875" s="86"/>
      <c r="H875" s="86"/>
      <c r="I875" s="65"/>
      <c r="J875" s="65"/>
      <c r="K875" s="87"/>
      <c r="L875" s="88"/>
    </row>
    <row r="876" spans="6:12" ht="12.5">
      <c r="F876" s="86"/>
      <c r="G876" s="86"/>
      <c r="H876" s="86"/>
      <c r="I876" s="65"/>
      <c r="J876" s="65"/>
      <c r="K876" s="87"/>
      <c r="L876" s="88"/>
    </row>
    <row r="877" spans="6:12" ht="12.5">
      <c r="F877" s="86"/>
      <c r="G877" s="86"/>
      <c r="H877" s="86"/>
      <c r="I877" s="65"/>
      <c r="J877" s="65"/>
      <c r="K877" s="87"/>
      <c r="L877" s="88"/>
    </row>
    <row r="878" spans="6:12" ht="12.5">
      <c r="F878" s="86"/>
      <c r="G878" s="86"/>
      <c r="H878" s="86"/>
      <c r="I878" s="65"/>
      <c r="J878" s="65"/>
      <c r="K878" s="87"/>
      <c r="L878" s="88"/>
    </row>
    <row r="879" spans="6:12" ht="12.5">
      <c r="F879" s="86"/>
      <c r="G879" s="86"/>
      <c r="H879" s="86"/>
      <c r="I879" s="65"/>
      <c r="J879" s="65"/>
      <c r="K879" s="87"/>
      <c r="L879" s="88"/>
    </row>
    <row r="880" spans="6:12" ht="12.5">
      <c r="F880" s="86"/>
      <c r="G880" s="86"/>
      <c r="H880" s="86"/>
      <c r="I880" s="65"/>
      <c r="J880" s="65"/>
      <c r="K880" s="87"/>
      <c r="L880" s="88"/>
    </row>
    <row r="881" spans="6:12" ht="12.5">
      <c r="F881" s="86"/>
      <c r="G881" s="86"/>
      <c r="H881" s="86"/>
      <c r="I881" s="65"/>
      <c r="J881" s="65"/>
      <c r="K881" s="87"/>
      <c r="L881" s="88"/>
    </row>
    <row r="882" spans="6:12" ht="12.5">
      <c r="F882" s="86"/>
      <c r="G882" s="86"/>
      <c r="H882" s="86"/>
      <c r="I882" s="65"/>
      <c r="J882" s="65"/>
      <c r="K882" s="87"/>
      <c r="L882" s="88"/>
    </row>
    <row r="883" spans="6:12" ht="12.5">
      <c r="F883" s="86"/>
      <c r="G883" s="86"/>
      <c r="H883" s="86"/>
      <c r="I883" s="65"/>
      <c r="J883" s="65"/>
      <c r="K883" s="87"/>
      <c r="L883" s="88"/>
    </row>
    <row r="884" spans="6:12" ht="12.5">
      <c r="F884" s="86"/>
      <c r="G884" s="86"/>
      <c r="H884" s="86"/>
      <c r="I884" s="65"/>
      <c r="J884" s="65"/>
      <c r="K884" s="87"/>
      <c r="L884" s="88"/>
    </row>
    <row r="885" spans="6:12" ht="12.5">
      <c r="F885" s="86"/>
      <c r="G885" s="86"/>
      <c r="H885" s="86"/>
      <c r="I885" s="65"/>
      <c r="J885" s="65"/>
      <c r="K885" s="87"/>
      <c r="L885" s="88"/>
    </row>
    <row r="886" spans="6:12" ht="12.5">
      <c r="F886" s="86"/>
      <c r="G886" s="86"/>
      <c r="H886" s="86"/>
      <c r="I886" s="65"/>
      <c r="J886" s="65"/>
      <c r="K886" s="87"/>
      <c r="L886" s="88"/>
    </row>
    <row r="887" spans="6:12" ht="12.5">
      <c r="F887" s="86"/>
      <c r="G887" s="86"/>
      <c r="H887" s="86"/>
      <c r="I887" s="65"/>
      <c r="J887" s="65"/>
      <c r="K887" s="87"/>
      <c r="L887" s="88"/>
    </row>
    <row r="888" spans="6:12" ht="12.5">
      <c r="F888" s="86"/>
      <c r="G888" s="86"/>
      <c r="H888" s="86"/>
      <c r="I888" s="65"/>
      <c r="J888" s="65"/>
      <c r="K888" s="87"/>
      <c r="L888" s="88"/>
    </row>
    <row r="889" spans="6:12" ht="12.5">
      <c r="F889" s="86"/>
      <c r="G889" s="86"/>
      <c r="H889" s="86"/>
      <c r="I889" s="65"/>
      <c r="J889" s="65"/>
      <c r="K889" s="87"/>
      <c r="L889" s="88"/>
    </row>
    <row r="890" spans="6:12" ht="12.5">
      <c r="F890" s="86"/>
      <c r="G890" s="86"/>
      <c r="H890" s="86"/>
      <c r="I890" s="65"/>
      <c r="J890" s="65"/>
      <c r="K890" s="87"/>
      <c r="L890" s="88"/>
    </row>
    <row r="891" spans="6:12" ht="12.5">
      <c r="F891" s="86"/>
      <c r="G891" s="86"/>
      <c r="H891" s="86"/>
      <c r="I891" s="65"/>
      <c r="J891" s="65"/>
      <c r="K891" s="87"/>
      <c r="L891" s="88"/>
    </row>
    <row r="892" spans="6:12" ht="12.5">
      <c r="F892" s="86"/>
      <c r="G892" s="86"/>
      <c r="H892" s="86"/>
      <c r="I892" s="65"/>
      <c r="J892" s="65"/>
      <c r="K892" s="87"/>
      <c r="L892" s="88"/>
    </row>
    <row r="893" spans="6:12" ht="12.5">
      <c r="F893" s="86"/>
      <c r="G893" s="86"/>
      <c r="H893" s="86"/>
      <c r="I893" s="65"/>
      <c r="J893" s="65"/>
      <c r="K893" s="87"/>
      <c r="L893" s="88"/>
    </row>
    <row r="894" spans="6:12" ht="12.5">
      <c r="F894" s="86"/>
      <c r="G894" s="86"/>
      <c r="H894" s="86"/>
      <c r="I894" s="65"/>
      <c r="J894" s="65"/>
      <c r="K894" s="87"/>
      <c r="L894" s="88"/>
    </row>
    <row r="895" spans="6:12" ht="12.5">
      <c r="F895" s="86"/>
      <c r="G895" s="86"/>
      <c r="H895" s="86"/>
      <c r="I895" s="65"/>
      <c r="J895" s="65"/>
      <c r="K895" s="87"/>
      <c r="L895" s="88"/>
    </row>
    <row r="896" spans="6:12" ht="12.5">
      <c r="F896" s="86"/>
      <c r="G896" s="86"/>
      <c r="H896" s="86"/>
      <c r="I896" s="65"/>
      <c r="J896" s="65"/>
      <c r="K896" s="87"/>
      <c r="L896" s="88"/>
    </row>
    <row r="897" spans="6:12" ht="12.5">
      <c r="F897" s="86"/>
      <c r="G897" s="86"/>
      <c r="H897" s="86"/>
      <c r="I897" s="65"/>
      <c r="J897" s="65"/>
      <c r="K897" s="87"/>
      <c r="L897" s="88"/>
    </row>
    <row r="898" spans="6:12" ht="12.5">
      <c r="F898" s="86"/>
      <c r="G898" s="86"/>
      <c r="H898" s="86"/>
      <c r="I898" s="65"/>
      <c r="J898" s="65"/>
      <c r="K898" s="87"/>
      <c r="L898" s="88"/>
    </row>
    <row r="899" spans="6:12" ht="12.5">
      <c r="F899" s="86"/>
      <c r="G899" s="86"/>
      <c r="H899" s="86"/>
      <c r="I899" s="65"/>
      <c r="J899" s="65"/>
      <c r="K899" s="87"/>
      <c r="L899" s="88"/>
    </row>
    <row r="900" spans="6:12" ht="12.5">
      <c r="F900" s="86"/>
      <c r="G900" s="86"/>
      <c r="H900" s="86"/>
      <c r="I900" s="65"/>
      <c r="J900" s="65"/>
      <c r="K900" s="87"/>
      <c r="L900" s="88"/>
    </row>
    <row r="901" spans="6:12" ht="12.5">
      <c r="F901" s="86"/>
      <c r="G901" s="86"/>
      <c r="H901" s="86"/>
      <c r="I901" s="65"/>
      <c r="J901" s="65"/>
      <c r="K901" s="87"/>
      <c r="L901" s="88"/>
    </row>
    <row r="902" spans="6:12" ht="12.5">
      <c r="F902" s="86"/>
      <c r="G902" s="86"/>
      <c r="H902" s="86"/>
      <c r="I902" s="65"/>
      <c r="J902" s="65"/>
      <c r="K902" s="87"/>
      <c r="L902" s="88"/>
    </row>
    <row r="903" spans="6:12" ht="12.5">
      <c r="F903" s="86"/>
      <c r="G903" s="86"/>
      <c r="H903" s="86"/>
      <c r="I903" s="65"/>
      <c r="J903" s="65"/>
      <c r="K903" s="87"/>
      <c r="L903" s="88"/>
    </row>
    <row r="904" spans="6:12" ht="12.5">
      <c r="F904" s="86"/>
      <c r="G904" s="86"/>
      <c r="H904" s="86"/>
      <c r="I904" s="65"/>
      <c r="J904" s="65"/>
      <c r="K904" s="87"/>
      <c r="L904" s="88"/>
    </row>
    <row r="905" spans="6:12" ht="12.5">
      <c r="F905" s="86"/>
      <c r="G905" s="86"/>
      <c r="H905" s="86"/>
      <c r="I905" s="65"/>
      <c r="J905" s="65"/>
      <c r="K905" s="87"/>
      <c r="L905" s="88"/>
    </row>
    <row r="906" spans="6:12" ht="12.5">
      <c r="F906" s="86"/>
      <c r="G906" s="86"/>
      <c r="H906" s="86"/>
      <c r="I906" s="65"/>
      <c r="J906" s="65"/>
      <c r="K906" s="87"/>
      <c r="L906" s="88"/>
    </row>
    <row r="907" spans="6:12" ht="12.5">
      <c r="F907" s="86"/>
      <c r="G907" s="86"/>
      <c r="H907" s="86"/>
      <c r="I907" s="65"/>
      <c r="J907" s="65"/>
      <c r="K907" s="87"/>
      <c r="L907" s="88"/>
    </row>
    <row r="908" spans="6:12" ht="12.5">
      <c r="F908" s="86"/>
      <c r="G908" s="86"/>
      <c r="H908" s="86"/>
      <c r="I908" s="65"/>
      <c r="J908" s="65"/>
      <c r="K908" s="87"/>
      <c r="L908" s="88"/>
    </row>
    <row r="909" spans="6:12" ht="12.5">
      <c r="F909" s="86"/>
      <c r="G909" s="86"/>
      <c r="H909" s="86"/>
      <c r="I909" s="65"/>
      <c r="J909" s="65"/>
      <c r="K909" s="87"/>
      <c r="L909" s="88"/>
    </row>
    <row r="910" spans="6:12" ht="12.5">
      <c r="F910" s="86"/>
      <c r="G910" s="86"/>
      <c r="H910" s="86"/>
      <c r="I910" s="65"/>
      <c r="J910" s="65"/>
      <c r="K910" s="87"/>
      <c r="L910" s="88"/>
    </row>
    <row r="911" spans="6:12" ht="12.5">
      <c r="F911" s="86"/>
      <c r="G911" s="86"/>
      <c r="H911" s="86"/>
      <c r="I911" s="65"/>
      <c r="J911" s="65"/>
      <c r="K911" s="87"/>
      <c r="L911" s="88"/>
    </row>
    <row r="912" spans="6:12" ht="12.5">
      <c r="F912" s="86"/>
      <c r="G912" s="86"/>
      <c r="H912" s="86"/>
      <c r="I912" s="65"/>
      <c r="J912" s="65"/>
      <c r="K912" s="87"/>
      <c r="L912" s="88"/>
    </row>
    <row r="913" spans="6:12" ht="12.5">
      <c r="F913" s="86"/>
      <c r="G913" s="86"/>
      <c r="H913" s="86"/>
      <c r="I913" s="65"/>
      <c r="J913" s="65"/>
      <c r="K913" s="87"/>
      <c r="L913" s="88"/>
    </row>
    <row r="914" spans="6:12" ht="12.5">
      <c r="F914" s="86"/>
      <c r="G914" s="86"/>
      <c r="H914" s="86"/>
      <c r="I914" s="65"/>
      <c r="J914" s="65"/>
      <c r="K914" s="87"/>
      <c r="L914" s="88"/>
    </row>
    <row r="915" spans="6:12" ht="12.5">
      <c r="F915" s="86"/>
      <c r="G915" s="86"/>
      <c r="H915" s="86"/>
      <c r="I915" s="65"/>
      <c r="J915" s="65"/>
      <c r="K915" s="87"/>
      <c r="L915" s="88"/>
    </row>
    <row r="916" spans="6:12" ht="12.5">
      <c r="F916" s="86"/>
      <c r="G916" s="86"/>
      <c r="H916" s="86"/>
      <c r="I916" s="65"/>
      <c r="J916" s="65"/>
      <c r="K916" s="87"/>
      <c r="L916" s="88"/>
    </row>
    <row r="917" spans="6:12" ht="12.5">
      <c r="F917" s="86"/>
      <c r="G917" s="86"/>
      <c r="H917" s="86"/>
      <c r="I917" s="65"/>
      <c r="J917" s="65"/>
      <c r="K917" s="87"/>
      <c r="L917" s="88"/>
    </row>
    <row r="918" spans="6:12" ht="12.5">
      <c r="F918" s="86"/>
      <c r="G918" s="86"/>
      <c r="H918" s="86"/>
      <c r="I918" s="65"/>
      <c r="J918" s="65"/>
      <c r="K918" s="87"/>
      <c r="L918" s="88"/>
    </row>
    <row r="919" spans="6:12" ht="12.5">
      <c r="F919" s="86"/>
      <c r="G919" s="86"/>
      <c r="H919" s="86"/>
      <c r="I919" s="65"/>
      <c r="J919" s="65"/>
      <c r="K919" s="87"/>
      <c r="L919" s="88"/>
    </row>
    <row r="920" spans="6:12" ht="12.5">
      <c r="F920" s="86"/>
      <c r="G920" s="86"/>
      <c r="H920" s="86"/>
      <c r="I920" s="65"/>
      <c r="J920" s="65"/>
      <c r="K920" s="87"/>
      <c r="L920" s="88"/>
    </row>
    <row r="921" spans="6:12" ht="12.5">
      <c r="F921" s="86"/>
      <c r="G921" s="86"/>
      <c r="H921" s="86"/>
      <c r="I921" s="65"/>
      <c r="J921" s="65"/>
      <c r="K921" s="87"/>
      <c r="L921" s="88"/>
    </row>
    <row r="922" spans="6:12" ht="12.5">
      <c r="F922" s="86"/>
      <c r="G922" s="86"/>
      <c r="H922" s="86"/>
      <c r="I922" s="65"/>
      <c r="J922" s="65"/>
      <c r="K922" s="87"/>
      <c r="L922" s="88"/>
    </row>
    <row r="923" spans="6:12" ht="12.5">
      <c r="F923" s="86"/>
      <c r="G923" s="86"/>
      <c r="H923" s="86"/>
      <c r="I923" s="65"/>
      <c r="J923" s="65"/>
      <c r="K923" s="87"/>
      <c r="L923" s="88"/>
    </row>
    <row r="924" spans="6:12" ht="12.5">
      <c r="F924" s="86"/>
      <c r="G924" s="86"/>
      <c r="H924" s="86"/>
      <c r="I924" s="65"/>
      <c r="J924" s="65"/>
      <c r="K924" s="87"/>
      <c r="L924" s="88"/>
    </row>
    <row r="925" spans="6:12" ht="12.5">
      <c r="F925" s="86"/>
      <c r="G925" s="86"/>
      <c r="H925" s="86"/>
      <c r="I925" s="65"/>
      <c r="J925" s="65"/>
      <c r="K925" s="87"/>
      <c r="L925" s="88"/>
    </row>
    <row r="926" spans="6:12" ht="12.5">
      <c r="F926" s="86"/>
      <c r="G926" s="86"/>
      <c r="H926" s="86"/>
      <c r="I926" s="65"/>
      <c r="J926" s="65"/>
      <c r="K926" s="87"/>
      <c r="L926" s="88"/>
    </row>
    <row r="927" spans="6:12" ht="12.5">
      <c r="F927" s="86"/>
      <c r="G927" s="86"/>
      <c r="H927" s="86"/>
      <c r="I927" s="65"/>
      <c r="J927" s="65"/>
      <c r="K927" s="87"/>
      <c r="L927" s="88"/>
    </row>
    <row r="928" spans="6:12" ht="12.5">
      <c r="F928" s="86"/>
      <c r="G928" s="86"/>
      <c r="H928" s="86"/>
      <c r="I928" s="65"/>
      <c r="J928" s="65"/>
      <c r="K928" s="87"/>
      <c r="L928" s="88"/>
    </row>
    <row r="929" spans="6:12" ht="12.5">
      <c r="F929" s="86"/>
      <c r="G929" s="86"/>
      <c r="H929" s="86"/>
      <c r="I929" s="65"/>
      <c r="J929" s="65"/>
      <c r="K929" s="87"/>
      <c r="L929" s="88"/>
    </row>
    <row r="930" spans="6:12" ht="12.5">
      <c r="F930" s="86"/>
      <c r="G930" s="86"/>
      <c r="H930" s="86"/>
      <c r="I930" s="65"/>
      <c r="J930" s="65"/>
      <c r="K930" s="87"/>
      <c r="L930" s="88"/>
    </row>
    <row r="931" spans="6:12" ht="12.5">
      <c r="F931" s="86"/>
      <c r="G931" s="86"/>
      <c r="H931" s="86"/>
      <c r="I931" s="65"/>
      <c r="J931" s="65"/>
      <c r="K931" s="87"/>
      <c r="L931" s="88"/>
    </row>
    <row r="932" spans="6:12" ht="12.5">
      <c r="F932" s="86"/>
      <c r="G932" s="86"/>
      <c r="H932" s="86"/>
      <c r="I932" s="65"/>
      <c r="J932" s="65"/>
      <c r="K932" s="87"/>
      <c r="L932" s="88"/>
    </row>
    <row r="933" spans="6:12" ht="12.5">
      <c r="F933" s="86"/>
      <c r="G933" s="86"/>
      <c r="H933" s="86"/>
      <c r="I933" s="65"/>
      <c r="J933" s="65"/>
      <c r="K933" s="87"/>
      <c r="L933" s="88"/>
    </row>
    <row r="934" spans="6:12" ht="12.5">
      <c r="F934" s="86"/>
      <c r="G934" s="86"/>
      <c r="H934" s="86"/>
      <c r="I934" s="65"/>
      <c r="J934" s="65"/>
      <c r="K934" s="87"/>
      <c r="L934" s="88"/>
    </row>
    <row r="935" spans="6:12" ht="12.5">
      <c r="F935" s="86"/>
      <c r="G935" s="86"/>
      <c r="H935" s="86"/>
      <c r="I935" s="65"/>
      <c r="J935" s="65"/>
      <c r="K935" s="87"/>
      <c r="L935" s="88"/>
    </row>
    <row r="936" spans="6:12" ht="12.5">
      <c r="F936" s="86"/>
      <c r="G936" s="86"/>
      <c r="H936" s="86"/>
      <c r="I936" s="65"/>
      <c r="J936" s="65"/>
      <c r="K936" s="87"/>
      <c r="L936" s="88"/>
    </row>
    <row r="937" spans="6:12" ht="12.5">
      <c r="F937" s="86"/>
      <c r="G937" s="86"/>
      <c r="H937" s="86"/>
      <c r="I937" s="65"/>
      <c r="J937" s="65"/>
      <c r="K937" s="87"/>
      <c r="L937" s="88"/>
    </row>
    <row r="938" spans="6:12" ht="12.5">
      <c r="F938" s="86"/>
      <c r="G938" s="86"/>
      <c r="H938" s="86"/>
      <c r="I938" s="65"/>
      <c r="J938" s="65"/>
      <c r="K938" s="87"/>
      <c r="L938" s="88"/>
    </row>
    <row r="939" spans="6:12" ht="12.5">
      <c r="F939" s="86"/>
      <c r="G939" s="86"/>
      <c r="H939" s="86"/>
      <c r="I939" s="65"/>
      <c r="J939" s="65"/>
      <c r="K939" s="87"/>
      <c r="L939" s="88"/>
    </row>
    <row r="940" spans="6:12" ht="12.5">
      <c r="F940" s="86"/>
      <c r="G940" s="86"/>
      <c r="H940" s="86"/>
      <c r="I940" s="65"/>
      <c r="J940" s="65"/>
      <c r="K940" s="87"/>
      <c r="L940" s="88"/>
    </row>
    <row r="941" spans="6:12" ht="12.5">
      <c r="F941" s="86"/>
      <c r="G941" s="86"/>
      <c r="H941" s="86"/>
      <c r="I941" s="65"/>
      <c r="J941" s="65"/>
      <c r="K941" s="87"/>
      <c r="L941" s="88"/>
    </row>
    <row r="942" spans="6:12" ht="12.5">
      <c r="F942" s="86"/>
      <c r="G942" s="86"/>
      <c r="H942" s="86"/>
      <c r="I942" s="65"/>
      <c r="J942" s="65"/>
      <c r="K942" s="87"/>
      <c r="L942" s="88"/>
    </row>
    <row r="943" spans="6:12" ht="12.5">
      <c r="F943" s="86"/>
      <c r="G943" s="86"/>
      <c r="H943" s="86"/>
      <c r="I943" s="65"/>
      <c r="J943" s="65"/>
      <c r="K943" s="87"/>
      <c r="L943" s="88"/>
    </row>
    <row r="944" spans="6:12" ht="12.5">
      <c r="F944" s="86"/>
      <c r="G944" s="86"/>
      <c r="H944" s="86"/>
      <c r="I944" s="65"/>
      <c r="J944" s="65"/>
      <c r="K944" s="87"/>
      <c r="L944" s="88"/>
    </row>
    <row r="945" spans="6:12" ht="12.5">
      <c r="F945" s="86"/>
      <c r="G945" s="86"/>
      <c r="H945" s="86"/>
      <c r="I945" s="65"/>
      <c r="J945" s="65"/>
      <c r="K945" s="87"/>
      <c r="L945" s="88"/>
    </row>
    <row r="946" spans="6:12" ht="12.5">
      <c r="F946" s="86"/>
      <c r="G946" s="86"/>
      <c r="H946" s="86"/>
      <c r="I946" s="65"/>
      <c r="J946" s="65"/>
      <c r="K946" s="87"/>
      <c r="L946" s="88"/>
    </row>
    <row r="947" spans="6:12" ht="12.5">
      <c r="F947" s="86"/>
      <c r="G947" s="86"/>
      <c r="H947" s="86"/>
      <c r="I947" s="65"/>
      <c r="J947" s="65"/>
      <c r="K947" s="87"/>
      <c r="L947" s="88"/>
    </row>
    <row r="948" spans="6:12" ht="12.5">
      <c r="F948" s="86"/>
      <c r="G948" s="86"/>
      <c r="H948" s="86"/>
      <c r="I948" s="65"/>
      <c r="J948" s="65"/>
      <c r="K948" s="87"/>
      <c r="L948" s="88"/>
    </row>
    <row r="949" spans="6:12" ht="12.5">
      <c r="F949" s="86"/>
      <c r="G949" s="86"/>
      <c r="H949" s="86"/>
      <c r="I949" s="65"/>
      <c r="J949" s="65"/>
      <c r="K949" s="87"/>
      <c r="L949" s="88"/>
    </row>
    <row r="950" spans="6:12" ht="12.5">
      <c r="F950" s="86"/>
      <c r="G950" s="86"/>
      <c r="H950" s="86"/>
      <c r="I950" s="65"/>
      <c r="J950" s="65"/>
      <c r="K950" s="87"/>
      <c r="L950" s="88"/>
    </row>
    <row r="951" spans="6:12" ht="12.5">
      <c r="F951" s="86"/>
      <c r="G951" s="86"/>
      <c r="H951" s="86"/>
      <c r="I951" s="65"/>
      <c r="J951" s="65"/>
      <c r="K951" s="87"/>
      <c r="L951" s="88"/>
    </row>
    <row r="952" spans="6:12" ht="12.5">
      <c r="F952" s="86"/>
      <c r="G952" s="86"/>
      <c r="H952" s="86"/>
      <c r="I952" s="65"/>
      <c r="J952" s="65"/>
      <c r="K952" s="87"/>
      <c r="L952" s="88"/>
    </row>
    <row r="953" spans="6:12" ht="12.5">
      <c r="F953" s="86"/>
      <c r="G953" s="86"/>
      <c r="H953" s="86"/>
      <c r="I953" s="65"/>
      <c r="J953" s="65"/>
      <c r="K953" s="87"/>
      <c r="L953" s="88"/>
    </row>
    <row r="954" spans="6:12" ht="12.5">
      <c r="F954" s="86"/>
      <c r="G954" s="86"/>
      <c r="H954" s="86"/>
      <c r="I954" s="65"/>
      <c r="J954" s="65"/>
      <c r="K954" s="87"/>
      <c r="L954" s="88"/>
    </row>
    <row r="955" spans="6:12" ht="12.5">
      <c r="F955" s="86"/>
      <c r="G955" s="86"/>
      <c r="H955" s="86"/>
      <c r="I955" s="65"/>
      <c r="J955" s="65"/>
      <c r="K955" s="87"/>
      <c r="L955" s="88"/>
    </row>
    <row r="956" spans="6:12" ht="12.5">
      <c r="F956" s="86"/>
      <c r="G956" s="86"/>
      <c r="H956" s="86"/>
      <c r="I956" s="65"/>
      <c r="J956" s="65"/>
      <c r="K956" s="87"/>
      <c r="L956" s="88"/>
    </row>
    <row r="957" spans="6:12" ht="12.5">
      <c r="F957" s="86"/>
      <c r="G957" s="86"/>
      <c r="H957" s="86"/>
      <c r="I957" s="65"/>
      <c r="J957" s="65"/>
      <c r="K957" s="87"/>
      <c r="L957" s="88"/>
    </row>
    <row r="958" spans="6:12" ht="12.5">
      <c r="F958" s="86"/>
      <c r="G958" s="86"/>
      <c r="H958" s="86"/>
      <c r="I958" s="65"/>
      <c r="J958" s="65"/>
      <c r="K958" s="87"/>
      <c r="L958" s="88"/>
    </row>
    <row r="959" spans="6:12" ht="12.5">
      <c r="F959" s="86"/>
      <c r="G959" s="86"/>
      <c r="H959" s="86"/>
      <c r="I959" s="65"/>
      <c r="J959" s="65"/>
      <c r="K959" s="87"/>
      <c r="L959" s="88"/>
    </row>
    <row r="960" spans="6:12" ht="12.5">
      <c r="F960" s="86"/>
      <c r="G960" s="86"/>
      <c r="H960" s="86"/>
      <c r="I960" s="65"/>
      <c r="J960" s="65"/>
      <c r="K960" s="87"/>
      <c r="L960" s="88"/>
    </row>
    <row r="961" spans="6:12" ht="12.5">
      <c r="F961" s="86"/>
      <c r="G961" s="86"/>
      <c r="H961" s="86"/>
      <c r="I961" s="65"/>
      <c r="J961" s="65"/>
      <c r="K961" s="87"/>
      <c r="L961" s="88"/>
    </row>
    <row r="962" spans="6:12" ht="12.5">
      <c r="F962" s="86"/>
      <c r="G962" s="86"/>
      <c r="H962" s="86"/>
      <c r="I962" s="65"/>
      <c r="J962" s="65"/>
      <c r="K962" s="87"/>
      <c r="L962" s="88"/>
    </row>
    <row r="963" spans="6:12" ht="12.5">
      <c r="F963" s="86"/>
      <c r="G963" s="86"/>
      <c r="H963" s="86"/>
      <c r="I963" s="65"/>
      <c r="J963" s="65"/>
      <c r="K963" s="87"/>
      <c r="L963" s="88"/>
    </row>
    <row r="964" spans="6:12" ht="12.5">
      <c r="F964" s="86"/>
      <c r="G964" s="86"/>
      <c r="H964" s="86"/>
      <c r="I964" s="65"/>
      <c r="J964" s="65"/>
      <c r="K964" s="87"/>
      <c r="L964" s="88"/>
    </row>
    <row r="965" spans="6:12" ht="12.5">
      <c r="F965" s="86"/>
      <c r="G965" s="86"/>
      <c r="H965" s="86"/>
      <c r="I965" s="65"/>
      <c r="J965" s="65"/>
      <c r="K965" s="87"/>
      <c r="L965" s="88"/>
    </row>
    <row r="966" spans="6:12" ht="12.5">
      <c r="F966" s="86"/>
      <c r="G966" s="86"/>
      <c r="H966" s="86"/>
      <c r="I966" s="65"/>
      <c r="J966" s="65"/>
      <c r="K966" s="87"/>
      <c r="L966" s="88"/>
    </row>
    <row r="967" spans="6:12" ht="12.5">
      <c r="F967" s="86"/>
      <c r="G967" s="86"/>
      <c r="H967" s="86"/>
      <c r="I967" s="65"/>
      <c r="J967" s="65"/>
      <c r="K967" s="87"/>
      <c r="L967" s="88"/>
    </row>
    <row r="968" spans="6:12" ht="12.5">
      <c r="F968" s="86"/>
      <c r="G968" s="86"/>
      <c r="H968" s="86"/>
      <c r="I968" s="65"/>
      <c r="J968" s="65"/>
      <c r="K968" s="87"/>
      <c r="L968" s="88"/>
    </row>
    <row r="969" spans="6:12" ht="12.5">
      <c r="F969" s="86"/>
      <c r="G969" s="86"/>
      <c r="H969" s="86"/>
      <c r="I969" s="65"/>
      <c r="J969" s="65"/>
      <c r="K969" s="87"/>
      <c r="L969" s="88"/>
    </row>
    <row r="970" spans="6:12" ht="12.5">
      <c r="F970" s="86"/>
      <c r="G970" s="86"/>
      <c r="H970" s="86"/>
      <c r="I970" s="65"/>
      <c r="J970" s="65"/>
      <c r="K970" s="87"/>
      <c r="L970" s="88"/>
    </row>
    <row r="971" spans="6:12" ht="12.5">
      <c r="F971" s="86"/>
      <c r="G971" s="86"/>
      <c r="H971" s="86"/>
      <c r="I971" s="65"/>
      <c r="J971" s="65"/>
      <c r="K971" s="87"/>
      <c r="L971" s="88"/>
    </row>
    <row r="972" spans="6:12" ht="12.5">
      <c r="F972" s="86"/>
      <c r="G972" s="86"/>
      <c r="H972" s="86"/>
      <c r="I972" s="65"/>
      <c r="J972" s="65"/>
      <c r="K972" s="87"/>
      <c r="L972" s="88"/>
    </row>
    <row r="973" spans="6:12" ht="12.5">
      <c r="F973" s="86"/>
      <c r="G973" s="86"/>
      <c r="H973" s="86"/>
      <c r="I973" s="65"/>
      <c r="J973" s="65"/>
      <c r="K973" s="87"/>
      <c r="L973" s="88"/>
    </row>
    <row r="974" spans="6:12" ht="12.5">
      <c r="F974" s="86"/>
      <c r="G974" s="86"/>
      <c r="H974" s="86"/>
      <c r="I974" s="65"/>
      <c r="J974" s="65"/>
      <c r="K974" s="87"/>
      <c r="L974" s="88"/>
    </row>
    <row r="975" spans="6:12" ht="12.5">
      <c r="F975" s="86"/>
      <c r="G975" s="86"/>
      <c r="H975" s="86"/>
      <c r="I975" s="65"/>
      <c r="J975" s="65"/>
      <c r="K975" s="87"/>
      <c r="L975" s="88"/>
    </row>
    <row r="976" spans="6:12" ht="12.5">
      <c r="F976" s="86"/>
      <c r="G976" s="86"/>
      <c r="H976" s="86"/>
      <c r="I976" s="65"/>
      <c r="J976" s="65"/>
      <c r="K976" s="87"/>
      <c r="L976" s="88"/>
    </row>
    <row r="977" spans="6:12" ht="12.5">
      <c r="F977" s="86"/>
      <c r="G977" s="86"/>
      <c r="H977" s="86"/>
      <c r="I977" s="65"/>
      <c r="J977" s="65"/>
      <c r="K977" s="87"/>
      <c r="L977" s="88"/>
    </row>
    <row r="978" spans="6:12" ht="12.5">
      <c r="F978" s="86"/>
      <c r="G978" s="86"/>
      <c r="H978" s="86"/>
      <c r="I978" s="65"/>
      <c r="J978" s="65"/>
      <c r="K978" s="87"/>
      <c r="L978" s="88"/>
    </row>
    <row r="979" spans="6:12" ht="12.5">
      <c r="F979" s="86"/>
      <c r="G979" s="86"/>
      <c r="H979" s="86"/>
      <c r="I979" s="65"/>
      <c r="J979" s="65"/>
      <c r="K979" s="87"/>
      <c r="L979" s="88"/>
    </row>
    <row r="980" spans="6:12" ht="12.5">
      <c r="F980" s="86"/>
      <c r="G980" s="86"/>
      <c r="H980" s="86"/>
      <c r="I980" s="65"/>
      <c r="J980" s="65"/>
      <c r="K980" s="87"/>
      <c r="L980" s="88"/>
    </row>
    <row r="981" spans="6:12" ht="12.5">
      <c r="F981" s="86"/>
      <c r="G981" s="86"/>
      <c r="H981" s="86"/>
      <c r="I981" s="65"/>
      <c r="J981" s="65"/>
      <c r="K981" s="87"/>
      <c r="L981" s="88"/>
    </row>
    <row r="982" spans="6:12" ht="12.5">
      <c r="F982" s="86"/>
      <c r="G982" s="86"/>
      <c r="H982" s="86"/>
      <c r="I982" s="65"/>
      <c r="J982" s="65"/>
      <c r="K982" s="87"/>
      <c r="L982" s="88"/>
    </row>
    <row r="983" spans="6:12" ht="12.5">
      <c r="F983" s="86"/>
      <c r="G983" s="86"/>
      <c r="H983" s="86"/>
      <c r="I983" s="65"/>
      <c r="J983" s="65"/>
      <c r="K983" s="87"/>
      <c r="L983" s="88"/>
    </row>
    <row r="984" spans="6:12" ht="12.5">
      <c r="F984" s="86"/>
      <c r="G984" s="86"/>
      <c r="H984" s="86"/>
      <c r="I984" s="65"/>
      <c r="J984" s="65"/>
      <c r="K984" s="87"/>
      <c r="L984" s="88"/>
    </row>
    <row r="985" spans="6:12" ht="12.5">
      <c r="F985" s="86"/>
      <c r="G985" s="86"/>
      <c r="H985" s="86"/>
      <c r="I985" s="65"/>
      <c r="J985" s="65"/>
      <c r="K985" s="87"/>
      <c r="L985" s="88"/>
    </row>
    <row r="986" spans="6:12" ht="12.5">
      <c r="F986" s="86"/>
      <c r="G986" s="86"/>
      <c r="H986" s="86"/>
      <c r="I986" s="65"/>
      <c r="J986" s="65"/>
      <c r="K986" s="87"/>
      <c r="L986" s="88"/>
    </row>
    <row r="987" spans="6:12" ht="12.5">
      <c r="F987" s="86"/>
      <c r="G987" s="86"/>
      <c r="H987" s="86"/>
      <c r="I987" s="65"/>
      <c r="J987" s="65"/>
      <c r="K987" s="87"/>
      <c r="L987" s="88"/>
    </row>
    <row r="988" spans="6:12" ht="12.5">
      <c r="F988" s="86"/>
      <c r="G988" s="86"/>
      <c r="H988" s="86"/>
      <c r="I988" s="65"/>
      <c r="J988" s="65"/>
      <c r="K988" s="87"/>
      <c r="L988" s="88"/>
    </row>
    <row r="989" spans="6:12" ht="12.5">
      <c r="F989" s="86"/>
      <c r="G989" s="86"/>
      <c r="H989" s="86"/>
      <c r="I989" s="65"/>
      <c r="J989" s="65"/>
      <c r="K989" s="87"/>
      <c r="L989" s="88"/>
    </row>
    <row r="990" spans="6:12" ht="12.5">
      <c r="F990" s="86"/>
      <c r="G990" s="86"/>
      <c r="H990" s="86"/>
      <c r="I990" s="65"/>
      <c r="J990" s="65"/>
      <c r="K990" s="87"/>
      <c r="L990" s="88"/>
    </row>
    <row r="991" spans="6:12" ht="12.5">
      <c r="F991" s="86"/>
      <c r="G991" s="86"/>
      <c r="H991" s="86"/>
      <c r="I991" s="65"/>
      <c r="J991" s="65"/>
      <c r="K991" s="87"/>
      <c r="L991" s="88"/>
    </row>
    <row r="992" spans="6:12" ht="12.5">
      <c r="F992" s="86"/>
      <c r="G992" s="86"/>
      <c r="H992" s="86"/>
      <c r="I992" s="65"/>
      <c r="J992" s="65"/>
      <c r="K992" s="87"/>
      <c r="L992" s="88"/>
    </row>
    <row r="993" spans="6:12" ht="12.5">
      <c r="F993" s="86"/>
      <c r="G993" s="86"/>
      <c r="H993" s="86"/>
      <c r="I993" s="65"/>
      <c r="J993" s="65"/>
      <c r="K993" s="87"/>
      <c r="L993" s="88"/>
    </row>
    <row r="994" spans="6:12" ht="12.5">
      <c r="F994" s="86"/>
      <c r="G994" s="86"/>
      <c r="H994" s="86"/>
      <c r="I994" s="65"/>
      <c r="J994" s="65"/>
      <c r="K994" s="87"/>
      <c r="L994" s="88"/>
    </row>
    <row r="995" spans="6:12" ht="12.5">
      <c r="F995" s="86"/>
      <c r="G995" s="86"/>
      <c r="H995" s="86"/>
      <c r="I995" s="65"/>
      <c r="J995" s="65"/>
      <c r="K995" s="87"/>
      <c r="L995" s="88"/>
    </row>
    <row r="996" spans="6:12" ht="12.5">
      <c r="F996" s="86"/>
      <c r="G996" s="86"/>
      <c r="H996" s="86"/>
      <c r="I996" s="65"/>
      <c r="J996" s="65"/>
      <c r="K996" s="87"/>
      <c r="L996" s="88"/>
    </row>
    <row r="997" spans="6:12" ht="12.5">
      <c r="F997" s="86"/>
      <c r="G997" s="86"/>
      <c r="H997" s="86"/>
      <c r="I997" s="65"/>
      <c r="J997" s="65"/>
      <c r="K997" s="87"/>
      <c r="L997" s="88"/>
    </row>
    <row r="998" spans="6:12" ht="12.5">
      <c r="F998" s="86"/>
      <c r="G998" s="86"/>
      <c r="H998" s="86"/>
      <c r="I998" s="65"/>
      <c r="J998" s="65"/>
      <c r="K998" s="87"/>
      <c r="L998" s="88"/>
    </row>
    <row r="999" spans="6:12" ht="12.5">
      <c r="F999" s="86"/>
      <c r="G999" s="86"/>
      <c r="H999" s="86"/>
      <c r="I999" s="65"/>
      <c r="J999" s="65"/>
      <c r="K999" s="87"/>
      <c r="L999" s="88"/>
    </row>
    <row r="1000" spans="6:12" ht="12.5">
      <c r="F1000" s="89"/>
      <c r="G1000" s="89"/>
      <c r="H1000" s="89"/>
      <c r="I1000" s="90"/>
      <c r="J1000" s="65"/>
      <c r="K1000" s="91"/>
      <c r="L1000" s="50"/>
    </row>
    <row r="1001" spans="6:12" ht="12.5">
      <c r="F1001" s="89"/>
      <c r="G1001" s="89"/>
      <c r="H1001" s="89"/>
      <c r="I1001" s="90"/>
      <c r="J1001" s="92"/>
    </row>
    <row r="1002" spans="6:12" ht="12.5">
      <c r="F1002" s="89"/>
      <c r="G1002" s="89"/>
      <c r="H1002" s="89"/>
      <c r="I1002" s="90"/>
      <c r="J1002" s="9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Z1002"/>
  <sheetViews>
    <sheetView workbookViewId="0"/>
  </sheetViews>
  <sheetFormatPr defaultColWidth="12.54296875" defaultRowHeight="15" customHeight="1"/>
  <cols>
    <col min="2" max="2" width="15" customWidth="1"/>
    <col min="3" max="3" width="16.453125" customWidth="1"/>
  </cols>
  <sheetData>
    <row r="1" spans="1:26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26" ht="15" customHeight="1">
      <c r="A2" s="81">
        <v>43412</v>
      </c>
      <c r="B2" s="61">
        <v>1</v>
      </c>
      <c r="C2" s="61" t="s">
        <v>160</v>
      </c>
      <c r="D2" s="62">
        <v>16000</v>
      </c>
      <c r="E2" s="62">
        <v>1500000</v>
      </c>
      <c r="F2" s="63">
        <f>I2-0</f>
        <v>16000</v>
      </c>
      <c r="G2" s="63">
        <f t="shared" ref="G2:G19" si="0">$B$14/$I$14*(F2)</f>
        <v>1.3661740558292284</v>
      </c>
      <c r="H2" s="63">
        <f>$B$14/SQRT($I$14)*(SQRT(I2)-SQRT(0))</f>
        <v>4.2142926720601599</v>
      </c>
      <c r="I2" s="76">
        <f t="shared" ref="I2:I19" si="1">D2</f>
        <v>16000</v>
      </c>
      <c r="J2" s="76">
        <f t="shared" ref="J2:J19" si="2">E2</f>
        <v>1500000</v>
      </c>
      <c r="K2" s="77">
        <f>J2*'Inflation Rates by Year'!$F$2</f>
        <v>1789327.9398297602</v>
      </c>
      <c r="L2" s="78">
        <f t="shared" ref="L2:L19" si="3">K2/I2</f>
        <v>111.83299623936001</v>
      </c>
    </row>
    <row r="3" spans="1:26" ht="15" customHeight="1">
      <c r="A3" s="81">
        <v>43413</v>
      </c>
      <c r="B3" s="61">
        <v>2</v>
      </c>
      <c r="C3" s="61" t="s">
        <v>160</v>
      </c>
      <c r="D3" s="62">
        <v>100000</v>
      </c>
      <c r="E3" s="62">
        <v>2766414</v>
      </c>
      <c r="F3" s="63">
        <f t="shared" ref="F3:F19" si="4">I3-I2</f>
        <v>84000</v>
      </c>
      <c r="G3" s="63">
        <f t="shared" si="0"/>
        <v>7.1724137931034484</v>
      </c>
      <c r="H3" s="63">
        <f t="shared" ref="H3:H19" si="5">$B$14/SQRT($I$14)*(SQRT(I3)-SQRT(I2))</f>
        <v>6.3214390080902403</v>
      </c>
      <c r="I3" s="76">
        <f t="shared" si="1"/>
        <v>100000</v>
      </c>
      <c r="J3" s="76">
        <f t="shared" si="2"/>
        <v>2766414</v>
      </c>
      <c r="K3" s="77">
        <f>J3*'Inflation Rates by Year'!$F$2</f>
        <v>3300014.5755574708</v>
      </c>
      <c r="L3" s="78">
        <f t="shared" si="3"/>
        <v>33.000145755574707</v>
      </c>
    </row>
    <row r="4" spans="1:26" ht="15" customHeight="1">
      <c r="A4" s="81">
        <v>43414</v>
      </c>
      <c r="B4" s="61">
        <v>3</v>
      </c>
      <c r="C4" s="61" t="s">
        <v>160</v>
      </c>
      <c r="D4" s="62">
        <v>109000</v>
      </c>
      <c r="E4" s="62">
        <v>11190962</v>
      </c>
      <c r="F4" s="63">
        <f t="shared" si="4"/>
        <v>9000</v>
      </c>
      <c r="G4" s="63">
        <f t="shared" si="0"/>
        <v>0.76847290640394095</v>
      </c>
      <c r="H4" s="63">
        <f t="shared" si="5"/>
        <v>0.46389512349052953</v>
      </c>
      <c r="I4" s="76">
        <f t="shared" si="1"/>
        <v>109000</v>
      </c>
      <c r="J4" s="76">
        <f t="shared" si="2"/>
        <v>11190962</v>
      </c>
      <c r="K4" s="77">
        <f>J4*'Inflation Rates by Year'!$F$2</f>
        <v>13349533.986782089</v>
      </c>
      <c r="L4" s="78">
        <f t="shared" si="3"/>
        <v>122.47278886956045</v>
      </c>
    </row>
    <row r="5" spans="1:26" ht="15" customHeight="1">
      <c r="A5" s="81">
        <v>43415</v>
      </c>
      <c r="B5" s="61">
        <v>4</v>
      </c>
      <c r="C5" s="61" t="s">
        <v>160</v>
      </c>
      <c r="D5" s="62">
        <v>113000</v>
      </c>
      <c r="E5" s="62">
        <v>19514419</v>
      </c>
      <c r="F5" s="63">
        <f t="shared" si="4"/>
        <v>4000</v>
      </c>
      <c r="G5" s="63">
        <f t="shared" si="0"/>
        <v>0.34154351395730709</v>
      </c>
      <c r="H5" s="63">
        <f t="shared" si="5"/>
        <v>0.20000959674372634</v>
      </c>
      <c r="I5" s="76">
        <f t="shared" si="1"/>
        <v>113000</v>
      </c>
      <c r="J5" s="76">
        <f t="shared" si="2"/>
        <v>19514419</v>
      </c>
      <c r="K5" s="77">
        <f>J5*'Inflation Rates by Year'!$F$2</f>
        <v>23278463.430829819</v>
      </c>
      <c r="L5" s="78">
        <f t="shared" si="3"/>
        <v>206.00410115778601</v>
      </c>
    </row>
    <row r="6" spans="1:26" ht="15" customHeight="1">
      <c r="A6" s="81">
        <v>43416</v>
      </c>
      <c r="B6" s="61">
        <v>5</v>
      </c>
      <c r="C6" s="61" t="s">
        <v>160</v>
      </c>
      <c r="D6" s="62">
        <v>117000</v>
      </c>
      <c r="E6" s="62">
        <v>24616561</v>
      </c>
      <c r="F6" s="63">
        <f t="shared" si="4"/>
        <v>4000</v>
      </c>
      <c r="G6" s="63">
        <f t="shared" si="0"/>
        <v>0.34154351395730709</v>
      </c>
      <c r="H6" s="63">
        <f t="shared" si="5"/>
        <v>0.19649983880913396</v>
      </c>
      <c r="I6" s="76">
        <f t="shared" si="1"/>
        <v>117000</v>
      </c>
      <c r="J6" s="76">
        <f t="shared" si="2"/>
        <v>24616561</v>
      </c>
      <c r="K6" s="77">
        <f>J6*'Inflation Rates by Year'!$F$2</f>
        <v>29364733.586549081</v>
      </c>
      <c r="L6" s="78">
        <f t="shared" si="3"/>
        <v>250.98062894486395</v>
      </c>
    </row>
    <row r="7" spans="1:26" ht="15" customHeight="1">
      <c r="A7" s="81">
        <v>43417</v>
      </c>
      <c r="B7" s="61">
        <v>6</v>
      </c>
      <c r="C7" s="61" t="s">
        <v>160</v>
      </c>
      <c r="D7" s="62">
        <v>135000</v>
      </c>
      <c r="E7" s="62">
        <v>37504302</v>
      </c>
      <c r="F7" s="63">
        <f t="shared" si="4"/>
        <v>18000</v>
      </c>
      <c r="G7" s="63">
        <f t="shared" si="0"/>
        <v>1.5369458128078819</v>
      </c>
      <c r="H7" s="63">
        <f t="shared" si="5"/>
        <v>0.8452777620059243</v>
      </c>
      <c r="I7" s="76">
        <f t="shared" si="1"/>
        <v>135000</v>
      </c>
      <c r="J7" s="76">
        <f t="shared" si="2"/>
        <v>37504302</v>
      </c>
      <c r="K7" s="77">
        <f>J7*'Inflation Rates by Year'!$F$2</f>
        <v>44738330.288275436</v>
      </c>
      <c r="L7" s="78">
        <f t="shared" si="3"/>
        <v>331.39503917241063</v>
      </c>
    </row>
    <row r="8" spans="1:26" ht="15" customHeight="1">
      <c r="A8" s="81">
        <v>43418</v>
      </c>
      <c r="B8" s="61">
        <v>7</v>
      </c>
      <c r="C8" s="61" t="s">
        <v>160</v>
      </c>
      <c r="D8" s="62">
        <v>138000</v>
      </c>
      <c r="E8" s="62">
        <v>41928650</v>
      </c>
      <c r="F8" s="63">
        <f t="shared" si="4"/>
        <v>3000</v>
      </c>
      <c r="G8" s="63">
        <f t="shared" si="0"/>
        <v>0.25615763546798032</v>
      </c>
      <c r="H8" s="63">
        <f t="shared" si="5"/>
        <v>0.13526834948910749</v>
      </c>
      <c r="I8" s="76">
        <f t="shared" si="1"/>
        <v>138000</v>
      </c>
      <c r="J8" s="76">
        <f t="shared" si="2"/>
        <v>41928650</v>
      </c>
      <c r="K8" s="77">
        <f>J8*'Inflation Rates by Year'!$F$2</f>
        <v>50016069.94956205</v>
      </c>
      <c r="L8" s="78">
        <f t="shared" si="3"/>
        <v>362.4352894895801</v>
      </c>
    </row>
    <row r="9" spans="1:26" ht="15" customHeight="1">
      <c r="A9" s="81">
        <v>43419</v>
      </c>
      <c r="B9" s="61">
        <v>8</v>
      </c>
      <c r="C9" s="61" t="s">
        <v>160</v>
      </c>
      <c r="D9" s="62">
        <v>141000</v>
      </c>
      <c r="E9" s="62">
        <v>50049105</v>
      </c>
      <c r="F9" s="63">
        <f t="shared" si="4"/>
        <v>3000</v>
      </c>
      <c r="G9" s="63">
        <f t="shared" si="0"/>
        <v>0.25615763546798032</v>
      </c>
      <c r="H9" s="63">
        <f t="shared" si="5"/>
        <v>0.13380586004603853</v>
      </c>
      <c r="I9" s="76">
        <f t="shared" si="1"/>
        <v>141000</v>
      </c>
      <c r="J9" s="76">
        <f t="shared" si="2"/>
        <v>50049105</v>
      </c>
      <c r="K9" s="77">
        <f>J9*'Inflation Rates by Year'!$F$2</f>
        <v>59702841.293315567</v>
      </c>
      <c r="L9" s="78">
        <f t="shared" si="3"/>
        <v>423.4244063355714</v>
      </c>
    </row>
    <row r="10" spans="1:26" ht="15" customHeight="1">
      <c r="A10" s="81">
        <v>43420</v>
      </c>
      <c r="B10" s="61">
        <v>9</v>
      </c>
      <c r="C10" s="61" t="s">
        <v>160</v>
      </c>
      <c r="D10" s="62">
        <v>148000</v>
      </c>
      <c r="E10" s="62">
        <v>62187258</v>
      </c>
      <c r="F10" s="63">
        <f t="shared" si="4"/>
        <v>7000</v>
      </c>
      <c r="G10" s="63">
        <f t="shared" si="0"/>
        <v>0.5977011494252874</v>
      </c>
      <c r="H10" s="63">
        <f t="shared" si="5"/>
        <v>0.30678256792409153</v>
      </c>
      <c r="I10" s="76">
        <f t="shared" si="1"/>
        <v>148000</v>
      </c>
      <c r="J10" s="76">
        <f t="shared" si="2"/>
        <v>62187258</v>
      </c>
      <c r="K10" s="77">
        <f>J10*'Inflation Rates by Year'!$F$2</f>
        <v>74182265.493867844</v>
      </c>
      <c r="L10" s="78">
        <f t="shared" si="3"/>
        <v>501.23152360721514</v>
      </c>
    </row>
    <row r="11" spans="1:26" ht="15" customHeight="1">
      <c r="A11" s="81">
        <v>43421</v>
      </c>
      <c r="B11" s="61">
        <v>10</v>
      </c>
      <c r="C11" s="61" t="s">
        <v>160</v>
      </c>
      <c r="D11" s="62">
        <v>149500</v>
      </c>
      <c r="E11" s="62">
        <v>70485659</v>
      </c>
      <c r="F11" s="63">
        <f t="shared" si="4"/>
        <v>1500</v>
      </c>
      <c r="G11" s="63">
        <f t="shared" si="0"/>
        <v>0.12807881773399016</v>
      </c>
      <c r="H11" s="63">
        <f t="shared" si="5"/>
        <v>6.4788639151792934E-2</v>
      </c>
      <c r="I11" s="76">
        <f t="shared" si="1"/>
        <v>149500</v>
      </c>
      <c r="J11" s="76">
        <f t="shared" si="2"/>
        <v>70485659</v>
      </c>
      <c r="K11" s="77">
        <f>J11*'Inflation Rates by Year'!$F$2</f>
        <v>84081306.004008666</v>
      </c>
      <c r="L11" s="78">
        <f t="shared" si="3"/>
        <v>562.41676256861979</v>
      </c>
    </row>
    <row r="12" spans="1:26" ht="15" customHeight="1">
      <c r="A12" s="81">
        <v>43422</v>
      </c>
      <c r="B12" s="61">
        <v>11</v>
      </c>
      <c r="C12" s="61" t="s">
        <v>160</v>
      </c>
      <c r="D12" s="62">
        <v>151000</v>
      </c>
      <c r="E12" s="62">
        <v>78766882</v>
      </c>
      <c r="F12" s="63">
        <f t="shared" si="4"/>
        <v>1500</v>
      </c>
      <c r="G12" s="63">
        <f t="shared" si="0"/>
        <v>0.12807881773399016</v>
      </c>
      <c r="H12" s="63">
        <f t="shared" si="5"/>
        <v>6.4464419673523468E-2</v>
      </c>
      <c r="I12" s="76">
        <f t="shared" si="1"/>
        <v>151000</v>
      </c>
      <c r="J12" s="76">
        <f t="shared" si="2"/>
        <v>78766882</v>
      </c>
      <c r="K12" s="77">
        <f>J12*'Inflation Rates by Year'!$F$2</f>
        <v>93959855.130582556</v>
      </c>
      <c r="L12" s="78">
        <f t="shared" si="3"/>
        <v>622.25069622902356</v>
      </c>
    </row>
    <row r="13" spans="1:26" ht="15" customHeight="1">
      <c r="A13" s="81">
        <v>43423</v>
      </c>
      <c r="B13" s="61">
        <v>12</v>
      </c>
      <c r="C13" s="61" t="s">
        <v>160</v>
      </c>
      <c r="D13" s="62">
        <v>151373</v>
      </c>
      <c r="E13" s="62">
        <v>85967903</v>
      </c>
      <c r="F13" s="63">
        <f t="shared" si="4"/>
        <v>373</v>
      </c>
      <c r="G13" s="63">
        <f t="shared" si="0"/>
        <v>3.1848932676518886E-2</v>
      </c>
      <c r="H13" s="63">
        <f t="shared" si="5"/>
        <v>1.5980380426062261E-2</v>
      </c>
      <c r="I13" s="76">
        <f t="shared" si="1"/>
        <v>151373</v>
      </c>
      <c r="J13" s="76">
        <f t="shared" si="2"/>
        <v>85967903</v>
      </c>
      <c r="K13" s="77">
        <f>J13*'Inflation Rates by Year'!$F$2</f>
        <v>102549847.17764978</v>
      </c>
      <c r="L13" s="78">
        <f t="shared" si="3"/>
        <v>677.46458864955957</v>
      </c>
    </row>
    <row r="14" spans="1:26" ht="15" customHeight="1">
      <c r="A14" s="81">
        <v>43424</v>
      </c>
      <c r="B14" s="61">
        <v>13</v>
      </c>
      <c r="C14" s="61" t="s">
        <v>160</v>
      </c>
      <c r="D14" s="62">
        <v>152250</v>
      </c>
      <c r="E14" s="62">
        <v>88520724</v>
      </c>
      <c r="F14" s="63">
        <f t="shared" si="4"/>
        <v>877</v>
      </c>
      <c r="G14" s="63">
        <f t="shared" si="0"/>
        <v>7.4883415435139572E-2</v>
      </c>
      <c r="H14" s="63">
        <f t="shared" si="5"/>
        <v>3.7495782089667896E-2</v>
      </c>
      <c r="I14" s="76">
        <f t="shared" si="1"/>
        <v>152250</v>
      </c>
      <c r="J14" s="76">
        <f t="shared" si="2"/>
        <v>88520724</v>
      </c>
      <c r="K14" s="77">
        <f>J14*'Inflation Rates by Year'!$F$2</f>
        <v>105595069.80477254</v>
      </c>
      <c r="L14" s="78">
        <f t="shared" si="3"/>
        <v>693.56367687863735</v>
      </c>
    </row>
    <row r="15" spans="1:26" ht="15" customHeight="1">
      <c r="A15" s="82">
        <v>43425</v>
      </c>
      <c r="B15" s="61">
        <v>14</v>
      </c>
      <c r="C15" s="83" t="s">
        <v>160</v>
      </c>
      <c r="D15" s="72">
        <v>153336</v>
      </c>
      <c r="E15" s="72">
        <v>93651992</v>
      </c>
      <c r="F15" s="63">
        <f t="shared" si="4"/>
        <v>1086</v>
      </c>
      <c r="G15" s="63">
        <f t="shared" si="0"/>
        <v>9.2729064039408879E-2</v>
      </c>
      <c r="H15" s="63">
        <f t="shared" si="5"/>
        <v>4.6282145979838998E-2</v>
      </c>
      <c r="I15" s="72">
        <f t="shared" si="1"/>
        <v>153336</v>
      </c>
      <c r="J15" s="72">
        <f t="shared" si="2"/>
        <v>93651992</v>
      </c>
      <c r="K15" s="77">
        <f>J15*'Inflation Rates by Year'!$F$2</f>
        <v>111716083.93754213</v>
      </c>
      <c r="L15" s="73">
        <f t="shared" si="3"/>
        <v>728.57048532335602</v>
      </c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5" customHeight="1">
      <c r="A16" s="81">
        <v>43426</v>
      </c>
      <c r="B16" s="61">
        <v>15</v>
      </c>
      <c r="C16" s="61" t="s">
        <v>160</v>
      </c>
      <c r="D16" s="62">
        <v>153336</v>
      </c>
      <c r="E16" s="62">
        <v>96897356</v>
      </c>
      <c r="F16" s="63">
        <f t="shared" si="4"/>
        <v>0</v>
      </c>
      <c r="G16" s="63">
        <f t="shared" si="0"/>
        <v>0</v>
      </c>
      <c r="H16" s="63">
        <f t="shared" si="5"/>
        <v>0</v>
      </c>
      <c r="I16" s="76">
        <f t="shared" si="1"/>
        <v>153336</v>
      </c>
      <c r="J16" s="76">
        <f t="shared" si="2"/>
        <v>96897356</v>
      </c>
      <c r="K16" s="77">
        <f>J16*'Inflation Rates by Year'!$F$2</f>
        <v>115587430.92428724</v>
      </c>
      <c r="L16" s="78">
        <f t="shared" si="3"/>
        <v>753.81796136776256</v>
      </c>
    </row>
    <row r="17" spans="1:12" ht="15" customHeight="1">
      <c r="A17" s="81">
        <v>43427</v>
      </c>
      <c r="B17" s="61">
        <v>16</v>
      </c>
      <c r="C17" s="61" t="s">
        <v>160</v>
      </c>
      <c r="D17" s="62">
        <v>153336</v>
      </c>
      <c r="E17" s="62">
        <v>99693283</v>
      </c>
      <c r="F17" s="63">
        <f t="shared" si="4"/>
        <v>0</v>
      </c>
      <c r="G17" s="63">
        <f t="shared" si="0"/>
        <v>0</v>
      </c>
      <c r="H17" s="63">
        <f t="shared" si="5"/>
        <v>0</v>
      </c>
      <c r="I17" s="76">
        <f t="shared" si="1"/>
        <v>153336</v>
      </c>
      <c r="J17" s="76">
        <f t="shared" si="2"/>
        <v>99693283</v>
      </c>
      <c r="K17" s="77">
        <f>J17*'Inflation Rates by Year'!$F$2</f>
        <v>118922651.12350351</v>
      </c>
      <c r="L17" s="78">
        <f t="shared" si="3"/>
        <v>775.56901917034168</v>
      </c>
    </row>
    <row r="18" spans="1:12" ht="15" customHeight="1">
      <c r="A18" s="81">
        <v>43428</v>
      </c>
      <c r="B18" s="61">
        <v>17</v>
      </c>
      <c r="C18" s="61" t="s">
        <v>160</v>
      </c>
      <c r="D18" s="62">
        <v>153336</v>
      </c>
      <c r="E18" s="62">
        <v>100508355</v>
      </c>
      <c r="F18" s="63">
        <f t="shared" si="4"/>
        <v>0</v>
      </c>
      <c r="G18" s="63">
        <f t="shared" si="0"/>
        <v>0</v>
      </c>
      <c r="H18" s="63">
        <f t="shared" si="5"/>
        <v>0</v>
      </c>
      <c r="I18" s="76">
        <f t="shared" si="1"/>
        <v>153336</v>
      </c>
      <c r="J18" s="76">
        <f t="shared" si="2"/>
        <v>100508355</v>
      </c>
      <c r="K18" s="77">
        <f>J18*'Inflation Rates by Year'!$F$2</f>
        <v>119894938.52521878</v>
      </c>
      <c r="L18" s="78">
        <f t="shared" si="3"/>
        <v>781.90991368771051</v>
      </c>
    </row>
    <row r="19" spans="1:12" ht="15" customHeight="1">
      <c r="A19" s="81">
        <v>43429</v>
      </c>
      <c r="B19" s="61">
        <v>18</v>
      </c>
      <c r="C19" s="61" t="s">
        <v>160</v>
      </c>
      <c r="D19" s="62">
        <v>153336</v>
      </c>
      <c r="E19" s="62">
        <v>102843527</v>
      </c>
      <c r="F19" s="63">
        <f t="shared" si="4"/>
        <v>0</v>
      </c>
      <c r="G19" s="63">
        <f t="shared" si="0"/>
        <v>0</v>
      </c>
      <c r="H19" s="63">
        <f t="shared" si="5"/>
        <v>0</v>
      </c>
      <c r="I19" s="76">
        <f t="shared" si="1"/>
        <v>153336</v>
      </c>
      <c r="J19" s="76">
        <f t="shared" si="2"/>
        <v>102843527</v>
      </c>
      <c r="K19" s="77">
        <f>J19*'Inflation Rates by Year'!$F$2</f>
        <v>122680530.86115755</v>
      </c>
      <c r="L19" s="78">
        <f t="shared" si="3"/>
        <v>800.07650428573561</v>
      </c>
    </row>
    <row r="20" spans="1:12" ht="15" customHeight="1">
      <c r="A20" s="81"/>
      <c r="C20" s="61"/>
      <c r="D20" s="62"/>
      <c r="E20" s="62"/>
      <c r="F20" s="63"/>
      <c r="G20" s="63"/>
      <c r="H20" s="63"/>
      <c r="I20" s="76"/>
      <c r="J20" s="76"/>
      <c r="K20" s="77"/>
      <c r="L20" s="78"/>
    </row>
    <row r="21" spans="1:12" ht="14.5">
      <c r="A21" s="81"/>
      <c r="C21" s="61"/>
      <c r="D21" s="62"/>
      <c r="E21" s="62"/>
      <c r="F21" s="63"/>
      <c r="G21" s="63"/>
      <c r="H21" s="63"/>
      <c r="I21" s="76"/>
      <c r="J21" s="76"/>
      <c r="K21" s="77"/>
      <c r="L21" s="78"/>
    </row>
    <row r="22" spans="1:12" ht="14.5">
      <c r="A22" s="81"/>
      <c r="C22" s="61"/>
      <c r="D22" s="62"/>
      <c r="E22" s="62"/>
      <c r="F22" s="63"/>
      <c r="G22" s="63"/>
      <c r="H22" s="63"/>
      <c r="I22" s="76"/>
      <c r="J22" s="76"/>
      <c r="K22" s="77"/>
      <c r="L22" s="78"/>
    </row>
    <row r="23" spans="1:12" ht="14.5">
      <c r="A23" s="81"/>
      <c r="C23" s="61"/>
      <c r="D23" s="62"/>
      <c r="E23" s="62"/>
      <c r="F23" s="63"/>
      <c r="G23" s="63"/>
      <c r="H23" s="63"/>
      <c r="I23" s="76"/>
      <c r="J23" s="76"/>
      <c r="K23" s="77"/>
      <c r="L23" s="78"/>
    </row>
    <row r="24" spans="1:12" ht="14.5">
      <c r="A24" s="81"/>
      <c r="C24" s="61"/>
      <c r="D24" s="62"/>
      <c r="E24" s="62"/>
      <c r="F24" s="63"/>
      <c r="G24" s="63"/>
      <c r="H24" s="63"/>
      <c r="I24" s="76"/>
      <c r="J24" s="76"/>
      <c r="K24" s="77"/>
      <c r="L24" s="78"/>
    </row>
    <row r="25" spans="1:12" ht="14.5">
      <c r="A25" s="81"/>
      <c r="C25" s="61"/>
      <c r="D25" s="62"/>
      <c r="E25" s="62"/>
      <c r="F25" s="63"/>
      <c r="G25" s="63"/>
      <c r="H25" s="63"/>
      <c r="I25" s="76"/>
      <c r="J25" s="76"/>
      <c r="K25" s="77"/>
      <c r="L25" s="78"/>
    </row>
    <row r="26" spans="1:12" ht="14.5">
      <c r="A26" s="81"/>
      <c r="C26" s="61"/>
      <c r="D26" s="62"/>
      <c r="E26" s="62"/>
      <c r="F26" s="63"/>
      <c r="G26" s="63"/>
      <c r="H26" s="63"/>
      <c r="I26" s="76"/>
      <c r="J26" s="76"/>
      <c r="K26" s="77"/>
      <c r="L26" s="78"/>
    </row>
    <row r="27" spans="1:12" ht="14.5">
      <c r="A27" s="81"/>
      <c r="C27" s="61"/>
      <c r="D27" s="62"/>
      <c r="E27" s="62"/>
      <c r="F27" s="63"/>
      <c r="G27" s="63"/>
      <c r="H27" s="63"/>
      <c r="I27" s="76"/>
      <c r="J27" s="76"/>
      <c r="K27" s="77"/>
      <c r="L27" s="78"/>
    </row>
    <row r="28" spans="1:12" ht="14.5">
      <c r="A28" s="81"/>
      <c r="C28" s="61"/>
      <c r="D28" s="62"/>
      <c r="E28" s="62"/>
      <c r="F28" s="63"/>
      <c r="G28" s="63"/>
      <c r="H28" s="63"/>
      <c r="I28" s="76"/>
      <c r="J28" s="76"/>
      <c r="K28" s="77"/>
      <c r="L28" s="78"/>
    </row>
    <row r="29" spans="1:12" ht="14.5">
      <c r="A29" s="81"/>
      <c r="C29" s="61"/>
      <c r="D29" s="62"/>
      <c r="E29" s="62"/>
      <c r="F29" s="63"/>
      <c r="G29" s="63"/>
      <c r="H29" s="63"/>
      <c r="I29" s="76"/>
      <c r="J29" s="76"/>
      <c r="K29" s="77"/>
      <c r="L29" s="78"/>
    </row>
    <row r="30" spans="1:12" ht="14.5">
      <c r="A30" s="81"/>
      <c r="C30" s="61"/>
      <c r="D30" s="62"/>
      <c r="E30" s="62"/>
      <c r="F30" s="63"/>
      <c r="G30" s="63"/>
      <c r="H30" s="63"/>
      <c r="I30" s="76"/>
      <c r="J30" s="76"/>
      <c r="K30" s="77"/>
      <c r="L30" s="78"/>
    </row>
    <row r="31" spans="1:12" ht="14.5">
      <c r="A31" s="81"/>
      <c r="C31" s="61"/>
      <c r="D31" s="62"/>
      <c r="E31" s="62"/>
      <c r="F31" s="63"/>
      <c r="G31" s="63"/>
      <c r="H31" s="63"/>
      <c r="I31" s="76"/>
      <c r="J31" s="76"/>
      <c r="K31" s="77"/>
      <c r="L31" s="78"/>
    </row>
    <row r="32" spans="1:12" ht="14.5">
      <c r="A32" s="81"/>
      <c r="C32" s="61"/>
      <c r="D32" s="62"/>
      <c r="E32" s="62"/>
      <c r="F32" s="63"/>
      <c r="G32" s="63"/>
      <c r="H32" s="63"/>
      <c r="I32" s="76"/>
      <c r="J32" s="76"/>
      <c r="K32" s="77"/>
      <c r="L32" s="78"/>
    </row>
    <row r="33" spans="1:12" ht="14.5">
      <c r="A33" s="81"/>
      <c r="C33" s="61"/>
      <c r="D33" s="62"/>
      <c r="E33" s="62"/>
      <c r="F33" s="63"/>
      <c r="G33" s="63"/>
      <c r="H33" s="63"/>
      <c r="I33" s="76"/>
      <c r="J33" s="76"/>
      <c r="K33" s="77"/>
      <c r="L33" s="78"/>
    </row>
    <row r="34" spans="1:12" ht="14.5">
      <c r="A34" s="81"/>
      <c r="C34" s="61"/>
      <c r="D34" s="62"/>
      <c r="E34" s="62"/>
      <c r="F34" s="63"/>
      <c r="G34" s="63"/>
      <c r="H34" s="63"/>
      <c r="I34" s="76"/>
      <c r="J34" s="76"/>
      <c r="K34" s="77"/>
      <c r="L34" s="78"/>
    </row>
    <row r="35" spans="1:12" ht="14.5">
      <c r="A35" s="81"/>
      <c r="C35" s="61"/>
      <c r="D35" s="62"/>
      <c r="E35" s="62"/>
      <c r="F35" s="63"/>
      <c r="G35" s="63"/>
      <c r="H35" s="63"/>
      <c r="I35" s="76"/>
      <c r="J35" s="76"/>
      <c r="K35" s="77"/>
      <c r="L35" s="78"/>
    </row>
    <row r="36" spans="1:12" ht="14.5">
      <c r="A36" s="81"/>
      <c r="C36" s="61"/>
      <c r="D36" s="62"/>
      <c r="E36" s="62"/>
      <c r="F36" s="63"/>
      <c r="G36" s="63"/>
      <c r="H36" s="63"/>
      <c r="I36" s="76"/>
      <c r="J36" s="76"/>
      <c r="K36" s="77"/>
      <c r="L36" s="78"/>
    </row>
    <row r="37" spans="1:12" ht="14.5">
      <c r="A37" s="81"/>
      <c r="C37" s="61"/>
      <c r="D37" s="62"/>
      <c r="E37" s="62"/>
      <c r="F37" s="63"/>
      <c r="G37" s="63"/>
      <c r="H37" s="63"/>
      <c r="I37" s="76"/>
      <c r="J37" s="76"/>
      <c r="K37" s="77"/>
      <c r="L37" s="78"/>
    </row>
    <row r="38" spans="1:12" ht="14.5">
      <c r="A38" s="81"/>
      <c r="C38" s="61"/>
      <c r="D38" s="62"/>
      <c r="E38" s="62"/>
      <c r="F38" s="63"/>
      <c r="G38" s="63"/>
      <c r="H38" s="63"/>
      <c r="I38" s="76"/>
      <c r="J38" s="76"/>
      <c r="K38" s="77"/>
      <c r="L38" s="78"/>
    </row>
    <row r="39" spans="1:12" ht="14.5">
      <c r="A39" s="81"/>
      <c r="C39" s="61"/>
      <c r="D39" s="62"/>
      <c r="E39" s="62"/>
      <c r="F39" s="63"/>
      <c r="G39" s="63"/>
      <c r="H39" s="63"/>
      <c r="I39" s="76"/>
      <c r="J39" s="76"/>
      <c r="K39" s="77"/>
      <c r="L39" s="78"/>
    </row>
    <row r="40" spans="1:12" ht="14.5">
      <c r="A40" s="81"/>
      <c r="C40" s="61"/>
      <c r="D40" s="62"/>
      <c r="E40" s="62"/>
      <c r="F40" s="63"/>
      <c r="G40" s="63"/>
      <c r="H40" s="63"/>
      <c r="I40" s="76"/>
      <c r="J40" s="76"/>
      <c r="K40" s="77"/>
      <c r="L40" s="78"/>
    </row>
    <row r="41" spans="1:12" ht="14.5">
      <c r="A41" s="81"/>
      <c r="C41" s="61"/>
      <c r="D41" s="62"/>
      <c r="E41" s="62"/>
      <c r="F41" s="63"/>
      <c r="G41" s="63"/>
      <c r="H41" s="63"/>
      <c r="I41" s="76"/>
      <c r="J41" s="76"/>
      <c r="K41" s="77"/>
      <c r="L41" s="78"/>
    </row>
    <row r="42" spans="1:12" ht="14.5">
      <c r="A42" s="81"/>
      <c r="C42" s="61"/>
      <c r="D42" s="62"/>
      <c r="E42" s="62"/>
      <c r="F42" s="63"/>
      <c r="G42" s="63"/>
      <c r="H42" s="63"/>
      <c r="I42" s="76"/>
      <c r="J42" s="76"/>
      <c r="K42" s="77"/>
      <c r="L42" s="78"/>
    </row>
    <row r="43" spans="1:12" ht="14.5">
      <c r="A43" s="81"/>
      <c r="C43" s="61"/>
      <c r="D43" s="62"/>
      <c r="E43" s="62"/>
      <c r="F43" s="63"/>
      <c r="G43" s="63"/>
      <c r="H43" s="63"/>
      <c r="I43" s="76"/>
      <c r="J43" s="76"/>
      <c r="K43" s="77"/>
      <c r="L43" s="78"/>
    </row>
    <row r="44" spans="1:12" ht="14.5">
      <c r="A44" s="81"/>
      <c r="C44" s="61"/>
      <c r="D44" s="62"/>
      <c r="E44" s="62"/>
      <c r="F44" s="63"/>
      <c r="G44" s="63"/>
      <c r="H44" s="63"/>
      <c r="I44" s="76"/>
      <c r="J44" s="76"/>
      <c r="K44" s="77"/>
      <c r="L44" s="78"/>
    </row>
    <row r="45" spans="1:12" ht="14.5">
      <c r="A45" s="81"/>
      <c r="C45" s="61"/>
      <c r="D45" s="62"/>
      <c r="E45" s="62"/>
      <c r="F45" s="63"/>
      <c r="G45" s="63"/>
      <c r="H45" s="63"/>
      <c r="I45" s="76"/>
      <c r="J45" s="76"/>
      <c r="K45" s="77"/>
      <c r="L45" s="78"/>
    </row>
    <row r="46" spans="1:12" ht="14.5">
      <c r="A46" s="81"/>
      <c r="C46" s="61"/>
      <c r="D46" s="62"/>
      <c r="E46" s="62"/>
      <c r="F46" s="63"/>
      <c r="G46" s="63"/>
      <c r="H46" s="63"/>
      <c r="I46" s="76"/>
      <c r="J46" s="76"/>
      <c r="K46" s="77"/>
      <c r="L46" s="78"/>
    </row>
    <row r="47" spans="1:12" ht="14.5">
      <c r="A47" s="81"/>
      <c r="C47" s="61"/>
      <c r="D47" s="62"/>
      <c r="E47" s="62"/>
      <c r="F47" s="63"/>
      <c r="G47" s="63"/>
      <c r="H47" s="63"/>
      <c r="I47" s="76"/>
      <c r="J47" s="76"/>
      <c r="K47" s="77"/>
      <c r="L47" s="78"/>
    </row>
    <row r="48" spans="1:12" ht="14.5">
      <c r="A48" s="81"/>
      <c r="C48" s="61"/>
      <c r="D48" s="62"/>
      <c r="E48" s="62"/>
      <c r="F48" s="63"/>
      <c r="G48" s="63"/>
      <c r="H48" s="63"/>
      <c r="I48" s="76"/>
      <c r="J48" s="76"/>
      <c r="K48" s="77"/>
      <c r="L48" s="78"/>
    </row>
    <row r="49" spans="1:12" ht="14.5">
      <c r="A49" s="81"/>
      <c r="C49" s="61"/>
      <c r="D49" s="62"/>
      <c r="E49" s="62"/>
      <c r="F49" s="63"/>
      <c r="G49" s="63"/>
      <c r="H49" s="63"/>
      <c r="I49" s="76"/>
      <c r="J49" s="76"/>
      <c r="K49" s="77"/>
      <c r="L49" s="78"/>
    </row>
    <row r="50" spans="1:12" ht="14.5">
      <c r="A50" s="81"/>
      <c r="C50" s="61"/>
      <c r="D50" s="62"/>
      <c r="E50" s="62"/>
      <c r="F50" s="63"/>
      <c r="G50" s="63"/>
      <c r="H50" s="63"/>
      <c r="I50" s="76"/>
      <c r="J50" s="76"/>
      <c r="K50" s="77"/>
      <c r="L50" s="78"/>
    </row>
    <row r="51" spans="1:12" ht="14.5">
      <c r="A51" s="81"/>
      <c r="C51" s="61"/>
      <c r="D51" s="62"/>
      <c r="E51" s="62"/>
      <c r="F51" s="63"/>
      <c r="G51" s="63"/>
      <c r="H51" s="63"/>
      <c r="I51" s="76"/>
      <c r="J51" s="76"/>
      <c r="K51" s="77"/>
      <c r="L51" s="78"/>
    </row>
    <row r="52" spans="1:12" ht="14.5">
      <c r="A52" s="81"/>
      <c r="C52" s="61"/>
      <c r="D52" s="62"/>
      <c r="E52" s="62"/>
      <c r="F52" s="63"/>
      <c r="G52" s="63"/>
      <c r="H52" s="63"/>
      <c r="I52" s="76"/>
      <c r="J52" s="76"/>
      <c r="K52" s="77"/>
      <c r="L52" s="78"/>
    </row>
    <row r="53" spans="1:12" ht="14.5">
      <c r="A53" s="81"/>
      <c r="C53" s="61"/>
      <c r="D53" s="62"/>
      <c r="E53" s="62"/>
      <c r="F53" s="63"/>
      <c r="G53" s="63"/>
      <c r="H53" s="63"/>
      <c r="I53" s="76"/>
      <c r="J53" s="76"/>
      <c r="K53" s="77"/>
      <c r="L53" s="78"/>
    </row>
    <row r="54" spans="1:12" ht="14.5">
      <c r="A54" s="81"/>
      <c r="C54" s="61"/>
      <c r="D54" s="62"/>
      <c r="E54" s="62"/>
      <c r="F54" s="63"/>
      <c r="G54" s="63"/>
      <c r="H54" s="63"/>
      <c r="I54" s="76"/>
      <c r="J54" s="76"/>
      <c r="K54" s="77"/>
      <c r="L54" s="78"/>
    </row>
    <row r="55" spans="1:12" ht="14.5">
      <c r="A55" s="81"/>
      <c r="C55" s="61"/>
      <c r="D55" s="62"/>
      <c r="E55" s="62"/>
      <c r="F55" s="63"/>
      <c r="G55" s="63"/>
      <c r="H55" s="63"/>
      <c r="I55" s="76"/>
      <c r="J55" s="76"/>
      <c r="K55" s="77"/>
      <c r="L55" s="78"/>
    </row>
    <row r="56" spans="1:12" ht="14.5">
      <c r="A56" s="81"/>
      <c r="C56" s="61"/>
      <c r="D56" s="62"/>
      <c r="E56" s="62"/>
      <c r="F56" s="63"/>
      <c r="G56" s="63"/>
      <c r="H56" s="63"/>
      <c r="I56" s="76"/>
      <c r="J56" s="76"/>
      <c r="K56" s="77"/>
      <c r="L56" s="78"/>
    </row>
    <row r="57" spans="1:12" ht="14.5">
      <c r="A57" s="81"/>
      <c r="C57" s="61"/>
      <c r="D57" s="62"/>
      <c r="E57" s="62"/>
      <c r="F57" s="63"/>
      <c r="G57" s="63"/>
      <c r="H57" s="63"/>
      <c r="I57" s="76"/>
      <c r="J57" s="76"/>
      <c r="K57" s="77"/>
      <c r="L57" s="78"/>
    </row>
    <row r="58" spans="1:12" ht="14.5">
      <c r="A58" s="81"/>
      <c r="C58" s="61"/>
      <c r="D58" s="62"/>
      <c r="E58" s="62"/>
      <c r="F58" s="63"/>
      <c r="G58" s="63"/>
      <c r="H58" s="63"/>
      <c r="I58" s="76"/>
      <c r="J58" s="76"/>
      <c r="K58" s="77"/>
      <c r="L58" s="78"/>
    </row>
    <row r="59" spans="1:12" ht="14.5">
      <c r="A59" s="82"/>
      <c r="B59" s="69"/>
      <c r="C59" s="83"/>
      <c r="D59" s="72"/>
      <c r="E59" s="72"/>
      <c r="F59" s="71"/>
      <c r="G59" s="63"/>
      <c r="H59" s="63"/>
      <c r="I59" s="72"/>
      <c r="J59" s="72"/>
      <c r="K59" s="73"/>
      <c r="L59" s="73"/>
    </row>
    <row r="60" spans="1:12" ht="14.5">
      <c r="A60" s="81"/>
      <c r="C60" s="61"/>
      <c r="D60" s="62"/>
      <c r="E60" s="62"/>
      <c r="F60" s="63"/>
      <c r="G60" s="63"/>
      <c r="H60" s="63"/>
      <c r="I60" s="76"/>
      <c r="J60" s="76"/>
      <c r="K60" s="77"/>
      <c r="L60" s="78"/>
    </row>
    <row r="61" spans="1:12" ht="14.5">
      <c r="A61" s="81"/>
      <c r="C61" s="61"/>
      <c r="D61" s="62"/>
      <c r="E61" s="62"/>
      <c r="F61" s="63"/>
      <c r="G61" s="63"/>
      <c r="H61" s="63"/>
      <c r="I61" s="76"/>
      <c r="J61" s="76"/>
      <c r="K61" s="77"/>
      <c r="L61" s="78"/>
    </row>
    <row r="62" spans="1:12" ht="14.5">
      <c r="A62" s="81"/>
      <c r="C62" s="61"/>
      <c r="D62" s="62"/>
      <c r="E62" s="62"/>
      <c r="F62" s="63"/>
      <c r="G62" s="63"/>
      <c r="H62" s="63"/>
      <c r="I62" s="76"/>
      <c r="J62" s="76"/>
      <c r="K62" s="77"/>
      <c r="L62" s="78"/>
    </row>
    <row r="63" spans="1:12" ht="14.5">
      <c r="A63" s="81"/>
      <c r="C63" s="61"/>
      <c r="D63" s="62"/>
      <c r="E63" s="62"/>
      <c r="F63" s="63"/>
      <c r="G63" s="63"/>
      <c r="H63" s="63"/>
      <c r="I63" s="76"/>
      <c r="J63" s="76"/>
      <c r="K63" s="77"/>
      <c r="L63" s="78"/>
    </row>
    <row r="64" spans="1:12" ht="14.5">
      <c r="A64" s="81"/>
      <c r="C64" s="61"/>
      <c r="D64" s="62"/>
      <c r="E64" s="62"/>
      <c r="F64" s="63"/>
      <c r="G64" s="63"/>
      <c r="H64" s="63"/>
      <c r="I64" s="76"/>
      <c r="J64" s="76"/>
      <c r="K64" s="77"/>
      <c r="L64" s="78"/>
    </row>
    <row r="65" spans="1:12" ht="14.5">
      <c r="A65" s="81"/>
      <c r="C65" s="61"/>
      <c r="D65" s="62"/>
      <c r="E65" s="62"/>
      <c r="F65" s="63"/>
      <c r="G65" s="63"/>
      <c r="H65" s="63"/>
      <c r="I65" s="76"/>
      <c r="J65" s="76"/>
      <c r="K65" s="77"/>
      <c r="L65" s="78"/>
    </row>
    <row r="66" spans="1:12" ht="14.5">
      <c r="A66" s="81"/>
      <c r="C66" s="61"/>
      <c r="D66" s="62"/>
      <c r="E66" s="62"/>
      <c r="F66" s="63"/>
      <c r="G66" s="63"/>
      <c r="H66" s="63"/>
      <c r="I66" s="76"/>
      <c r="J66" s="76"/>
      <c r="K66" s="77"/>
      <c r="L66" s="78"/>
    </row>
    <row r="67" spans="1:12" ht="14.5">
      <c r="A67" s="81"/>
      <c r="C67" s="61"/>
      <c r="D67" s="62"/>
      <c r="E67" s="62"/>
      <c r="F67" s="63"/>
      <c r="G67" s="63"/>
      <c r="H67" s="63"/>
      <c r="I67" s="76"/>
      <c r="J67" s="76"/>
      <c r="K67" s="77"/>
      <c r="L67" s="78"/>
    </row>
    <row r="68" spans="1:12" ht="14.5">
      <c r="A68" s="81"/>
      <c r="C68" s="61"/>
      <c r="D68" s="62"/>
      <c r="E68" s="62"/>
      <c r="F68" s="63"/>
      <c r="G68" s="63"/>
      <c r="H68" s="63"/>
      <c r="I68" s="76"/>
      <c r="J68" s="76"/>
      <c r="K68" s="77"/>
      <c r="L68" s="78"/>
    </row>
    <row r="69" spans="1:12" ht="14.5">
      <c r="A69" s="84"/>
      <c r="C69" s="61"/>
      <c r="D69" s="62"/>
      <c r="E69" s="62"/>
      <c r="F69" s="63"/>
      <c r="G69" s="63"/>
      <c r="H69" s="63"/>
      <c r="I69" s="76"/>
      <c r="J69" s="76"/>
      <c r="K69" s="77"/>
      <c r="L69" s="78"/>
    </row>
    <row r="70" spans="1:12" ht="14.5">
      <c r="A70" s="84"/>
      <c r="C70" s="61"/>
      <c r="D70" s="62"/>
      <c r="E70" s="62"/>
      <c r="F70" s="63"/>
      <c r="G70" s="63"/>
      <c r="H70" s="63"/>
      <c r="I70" s="76"/>
      <c r="J70" s="76"/>
      <c r="K70" s="77"/>
      <c r="L70" s="78"/>
    </row>
    <row r="71" spans="1:12" ht="14.5">
      <c r="F71" s="86"/>
      <c r="G71" s="86"/>
      <c r="H71" s="86"/>
      <c r="I71" s="65"/>
      <c r="J71" s="76"/>
      <c r="K71" s="66"/>
      <c r="L71" s="67"/>
    </row>
    <row r="72" spans="1:12" ht="12.5">
      <c r="F72" s="86"/>
      <c r="G72" s="86"/>
      <c r="H72" s="86"/>
      <c r="I72" s="65"/>
      <c r="J72" s="65"/>
      <c r="K72" s="66"/>
      <c r="L72" s="67"/>
    </row>
    <row r="73" spans="1:12" ht="12.5">
      <c r="F73" s="86"/>
      <c r="G73" s="86"/>
      <c r="H73" s="86"/>
      <c r="I73" s="65"/>
      <c r="J73" s="65"/>
      <c r="K73" s="66"/>
      <c r="L73" s="67"/>
    </row>
    <row r="74" spans="1:12" ht="12.5">
      <c r="F74" s="86"/>
      <c r="G74" s="86"/>
      <c r="H74" s="86"/>
      <c r="I74" s="65"/>
      <c r="J74" s="65"/>
      <c r="K74" s="66"/>
      <c r="L74" s="67"/>
    </row>
    <row r="75" spans="1:12" ht="12.5">
      <c r="F75" s="86"/>
      <c r="G75" s="86"/>
      <c r="H75" s="86"/>
      <c r="I75" s="65"/>
      <c r="J75" s="65"/>
      <c r="K75" s="66"/>
      <c r="L75" s="67"/>
    </row>
    <row r="76" spans="1:12" ht="12.5">
      <c r="F76" s="86"/>
      <c r="G76" s="86"/>
      <c r="H76" s="86"/>
      <c r="I76" s="65"/>
      <c r="J76" s="65"/>
      <c r="K76" s="66"/>
      <c r="L76" s="67"/>
    </row>
    <row r="77" spans="1:12" ht="12.5">
      <c r="F77" s="86"/>
      <c r="G77" s="86"/>
      <c r="H77" s="86"/>
      <c r="I77" s="65"/>
      <c r="J77" s="65"/>
      <c r="K77" s="66"/>
      <c r="L77" s="67"/>
    </row>
    <row r="78" spans="1:12" ht="12.5">
      <c r="F78" s="86"/>
      <c r="G78" s="86"/>
      <c r="H78" s="86"/>
      <c r="I78" s="65"/>
      <c r="J78" s="65"/>
      <c r="K78" s="66"/>
      <c r="L78" s="67"/>
    </row>
    <row r="79" spans="1:12" ht="12.5">
      <c r="F79" s="86"/>
      <c r="G79" s="86"/>
      <c r="H79" s="86"/>
      <c r="I79" s="65"/>
      <c r="J79" s="65"/>
      <c r="K79" s="66"/>
      <c r="L79" s="67"/>
    </row>
    <row r="80" spans="1:12" ht="12.5">
      <c r="F80" s="86"/>
      <c r="G80" s="86"/>
      <c r="H80" s="86"/>
      <c r="I80" s="65"/>
      <c r="J80" s="65"/>
      <c r="K80" s="66"/>
      <c r="L80" s="67"/>
    </row>
    <row r="81" spans="6:12" ht="12.5">
      <c r="F81" s="86"/>
      <c r="G81" s="86"/>
      <c r="H81" s="86"/>
      <c r="I81" s="65"/>
      <c r="J81" s="65"/>
      <c r="K81" s="66"/>
      <c r="L81" s="67"/>
    </row>
    <row r="82" spans="6:12" ht="12.5">
      <c r="F82" s="86"/>
      <c r="G82" s="86"/>
      <c r="H82" s="86"/>
      <c r="I82" s="65"/>
      <c r="J82" s="65"/>
      <c r="K82" s="66"/>
      <c r="L82" s="67"/>
    </row>
    <row r="83" spans="6:12" ht="12.5">
      <c r="F83" s="86"/>
      <c r="G83" s="86"/>
      <c r="H83" s="86"/>
      <c r="I83" s="65"/>
      <c r="J83" s="65"/>
      <c r="K83" s="66"/>
      <c r="L83" s="67"/>
    </row>
    <row r="84" spans="6:12" ht="12.5">
      <c r="F84" s="86"/>
      <c r="G84" s="86"/>
      <c r="H84" s="86"/>
      <c r="I84" s="65"/>
      <c r="J84" s="65"/>
      <c r="K84" s="66"/>
      <c r="L84" s="67"/>
    </row>
    <row r="85" spans="6:12" ht="12.5">
      <c r="F85" s="86"/>
      <c r="G85" s="86"/>
      <c r="H85" s="86"/>
      <c r="I85" s="65"/>
      <c r="J85" s="65"/>
      <c r="K85" s="66"/>
      <c r="L85" s="67"/>
    </row>
    <row r="86" spans="6:12" ht="12.5">
      <c r="F86" s="86"/>
      <c r="G86" s="86"/>
      <c r="H86" s="86"/>
      <c r="I86" s="65"/>
      <c r="J86" s="65"/>
      <c r="K86" s="66"/>
      <c r="L86" s="67"/>
    </row>
    <row r="87" spans="6:12" ht="12.5">
      <c r="F87" s="86"/>
      <c r="G87" s="86"/>
      <c r="H87" s="86"/>
      <c r="I87" s="65"/>
      <c r="J87" s="65"/>
      <c r="K87" s="66"/>
      <c r="L87" s="67"/>
    </row>
    <row r="88" spans="6:12" ht="12.5">
      <c r="F88" s="86"/>
      <c r="G88" s="86"/>
      <c r="H88" s="86"/>
      <c r="I88" s="65"/>
      <c r="J88" s="65"/>
      <c r="K88" s="66"/>
      <c r="L88" s="67"/>
    </row>
    <row r="89" spans="6:12" ht="12.5">
      <c r="F89" s="86"/>
      <c r="G89" s="86"/>
      <c r="H89" s="86"/>
      <c r="I89" s="65"/>
      <c r="J89" s="65"/>
      <c r="K89" s="66"/>
      <c r="L89" s="67"/>
    </row>
    <row r="90" spans="6:12" ht="12.5">
      <c r="F90" s="86"/>
      <c r="G90" s="86"/>
      <c r="H90" s="86"/>
      <c r="I90" s="65"/>
      <c r="J90" s="65"/>
      <c r="K90" s="66"/>
      <c r="L90" s="67"/>
    </row>
    <row r="91" spans="6:12" ht="12.5">
      <c r="F91" s="86"/>
      <c r="G91" s="86"/>
      <c r="H91" s="86"/>
      <c r="I91" s="65"/>
      <c r="J91" s="65"/>
      <c r="K91" s="66"/>
      <c r="L91" s="67"/>
    </row>
    <row r="92" spans="6:12" ht="12.5">
      <c r="F92" s="86"/>
      <c r="G92" s="86"/>
      <c r="H92" s="86"/>
      <c r="I92" s="65"/>
      <c r="J92" s="65"/>
      <c r="K92" s="66"/>
      <c r="L92" s="67"/>
    </row>
    <row r="93" spans="6:12" ht="12.5">
      <c r="F93" s="86"/>
      <c r="G93" s="86"/>
      <c r="H93" s="86"/>
      <c r="I93" s="65"/>
      <c r="J93" s="65"/>
      <c r="K93" s="66"/>
      <c r="L93" s="67"/>
    </row>
    <row r="94" spans="6:12" ht="12.5">
      <c r="F94" s="86"/>
      <c r="G94" s="86"/>
      <c r="H94" s="86"/>
      <c r="I94" s="65"/>
      <c r="J94" s="65"/>
      <c r="K94" s="66"/>
      <c r="L94" s="67"/>
    </row>
    <row r="95" spans="6:12" ht="12.5">
      <c r="F95" s="86"/>
      <c r="G95" s="86"/>
      <c r="H95" s="86"/>
      <c r="I95" s="65"/>
      <c r="J95" s="65"/>
      <c r="K95" s="66"/>
      <c r="L95" s="67"/>
    </row>
    <row r="96" spans="6:12" ht="12.5">
      <c r="F96" s="86"/>
      <c r="G96" s="86"/>
      <c r="H96" s="86"/>
      <c r="I96" s="65"/>
      <c r="J96" s="65"/>
      <c r="K96" s="66"/>
      <c r="L96" s="67"/>
    </row>
    <row r="97" spans="6:12" ht="12.5">
      <c r="F97" s="86"/>
      <c r="G97" s="86"/>
      <c r="H97" s="86"/>
      <c r="I97" s="65"/>
      <c r="J97" s="65"/>
      <c r="K97" s="66"/>
      <c r="L97" s="67"/>
    </row>
    <row r="98" spans="6:12" ht="12.5">
      <c r="F98" s="86"/>
      <c r="G98" s="86"/>
      <c r="H98" s="86"/>
      <c r="I98" s="65"/>
      <c r="J98" s="65"/>
      <c r="K98" s="66"/>
      <c r="L98" s="67"/>
    </row>
    <row r="99" spans="6:12" ht="12.5">
      <c r="F99" s="86"/>
      <c r="G99" s="86"/>
      <c r="H99" s="86"/>
      <c r="I99" s="65"/>
      <c r="J99" s="65"/>
      <c r="K99" s="66"/>
      <c r="L99" s="67"/>
    </row>
    <row r="100" spans="6:12" ht="12.5">
      <c r="F100" s="86"/>
      <c r="G100" s="86"/>
      <c r="H100" s="86"/>
      <c r="I100" s="65"/>
      <c r="J100" s="65"/>
      <c r="K100" s="66"/>
      <c r="L100" s="67"/>
    </row>
    <row r="101" spans="6:12" ht="12.5">
      <c r="F101" s="86"/>
      <c r="G101" s="86"/>
      <c r="H101" s="86"/>
      <c r="I101" s="65"/>
      <c r="J101" s="65"/>
      <c r="K101" s="66"/>
      <c r="L101" s="67"/>
    </row>
    <row r="102" spans="6:12" ht="12.5">
      <c r="F102" s="86"/>
      <c r="G102" s="86"/>
      <c r="H102" s="86"/>
      <c r="I102" s="65"/>
      <c r="J102" s="65"/>
      <c r="K102" s="66"/>
      <c r="L102" s="67"/>
    </row>
    <row r="103" spans="6:12" ht="12.5">
      <c r="F103" s="86"/>
      <c r="G103" s="86"/>
      <c r="H103" s="86"/>
      <c r="I103" s="65"/>
      <c r="J103" s="65"/>
      <c r="K103" s="66"/>
      <c r="L103" s="67"/>
    </row>
    <row r="104" spans="6:12" ht="12.5">
      <c r="F104" s="86"/>
      <c r="G104" s="86"/>
      <c r="H104" s="86"/>
      <c r="I104" s="65"/>
      <c r="J104" s="65"/>
      <c r="K104" s="66"/>
      <c r="L104" s="67"/>
    </row>
    <row r="105" spans="6:12" ht="12.5">
      <c r="F105" s="86"/>
      <c r="G105" s="86"/>
      <c r="H105" s="86"/>
      <c r="I105" s="65"/>
      <c r="J105" s="65"/>
      <c r="K105" s="66"/>
      <c r="L105" s="67"/>
    </row>
    <row r="106" spans="6:12" ht="12.5">
      <c r="F106" s="86"/>
      <c r="G106" s="86"/>
      <c r="H106" s="86"/>
      <c r="I106" s="65"/>
      <c r="J106" s="65"/>
      <c r="K106" s="66"/>
      <c r="L106" s="67"/>
    </row>
    <row r="107" spans="6:12" ht="12.5">
      <c r="F107" s="86"/>
      <c r="G107" s="86"/>
      <c r="H107" s="86"/>
      <c r="I107" s="65"/>
      <c r="J107" s="65"/>
      <c r="K107" s="66"/>
      <c r="L107" s="67"/>
    </row>
    <row r="108" spans="6:12" ht="12.5">
      <c r="F108" s="86"/>
      <c r="G108" s="86"/>
      <c r="H108" s="86"/>
      <c r="I108" s="65"/>
      <c r="J108" s="65"/>
      <c r="K108" s="66"/>
      <c r="L108" s="67"/>
    </row>
    <row r="109" spans="6:12" ht="12.5">
      <c r="F109" s="86"/>
      <c r="G109" s="86"/>
      <c r="H109" s="86"/>
      <c r="I109" s="65"/>
      <c r="J109" s="65"/>
      <c r="K109" s="66"/>
      <c r="L109" s="67"/>
    </row>
    <row r="110" spans="6:12" ht="12.5">
      <c r="F110" s="86"/>
      <c r="G110" s="86"/>
      <c r="H110" s="86"/>
      <c r="I110" s="65"/>
      <c r="J110" s="65"/>
      <c r="K110" s="66"/>
      <c r="L110" s="67"/>
    </row>
    <row r="111" spans="6:12" ht="12.5">
      <c r="F111" s="86"/>
      <c r="G111" s="86"/>
      <c r="H111" s="86"/>
      <c r="I111" s="65"/>
      <c r="J111" s="65"/>
      <c r="K111" s="66"/>
      <c r="L111" s="67"/>
    </row>
    <row r="112" spans="6:12" ht="12.5">
      <c r="F112" s="86"/>
      <c r="G112" s="86"/>
      <c r="H112" s="86"/>
      <c r="I112" s="65"/>
      <c r="J112" s="65"/>
      <c r="K112" s="66"/>
      <c r="L112" s="67"/>
    </row>
    <row r="113" spans="6:12" ht="12.5">
      <c r="F113" s="86"/>
      <c r="G113" s="86"/>
      <c r="H113" s="86"/>
      <c r="I113" s="65"/>
      <c r="J113" s="65"/>
      <c r="K113" s="66"/>
      <c r="L113" s="67"/>
    </row>
    <row r="114" spans="6:12" ht="12.5">
      <c r="F114" s="86"/>
      <c r="G114" s="86"/>
      <c r="H114" s="86"/>
      <c r="I114" s="65"/>
      <c r="J114" s="65"/>
      <c r="K114" s="66"/>
      <c r="L114" s="67"/>
    </row>
    <row r="115" spans="6:12" ht="12.5">
      <c r="F115" s="86"/>
      <c r="G115" s="86"/>
      <c r="H115" s="86"/>
      <c r="I115" s="65"/>
      <c r="J115" s="65"/>
      <c r="K115" s="66"/>
      <c r="L115" s="67"/>
    </row>
    <row r="116" spans="6:12" ht="12.5">
      <c r="F116" s="86"/>
      <c r="G116" s="86"/>
      <c r="H116" s="86"/>
      <c r="I116" s="65"/>
      <c r="J116" s="65"/>
      <c r="K116" s="87"/>
      <c r="L116" s="88"/>
    </row>
    <row r="117" spans="6:12" ht="12.5">
      <c r="F117" s="86"/>
      <c r="G117" s="86"/>
      <c r="H117" s="86"/>
      <c r="I117" s="65"/>
      <c r="J117" s="65"/>
      <c r="K117" s="87"/>
      <c r="L117" s="88"/>
    </row>
    <row r="118" spans="6:12" ht="12.5">
      <c r="F118" s="86"/>
      <c r="G118" s="86"/>
      <c r="H118" s="86"/>
      <c r="I118" s="65"/>
      <c r="J118" s="65"/>
      <c r="K118" s="87"/>
      <c r="L118" s="88"/>
    </row>
    <row r="119" spans="6:12" ht="12.5">
      <c r="F119" s="86"/>
      <c r="G119" s="86"/>
      <c r="H119" s="86"/>
      <c r="I119" s="65"/>
      <c r="J119" s="65"/>
      <c r="K119" s="87"/>
      <c r="L119" s="88"/>
    </row>
    <row r="120" spans="6:12" ht="12.5">
      <c r="F120" s="86"/>
      <c r="G120" s="86"/>
      <c r="H120" s="86"/>
      <c r="I120" s="65"/>
      <c r="J120" s="65"/>
      <c r="K120" s="87"/>
      <c r="L120" s="88"/>
    </row>
    <row r="121" spans="6:12" ht="12.5">
      <c r="F121" s="86"/>
      <c r="G121" s="86"/>
      <c r="H121" s="86"/>
      <c r="I121" s="65"/>
      <c r="J121" s="65"/>
      <c r="K121" s="87"/>
      <c r="L121" s="88"/>
    </row>
    <row r="122" spans="6:12" ht="12.5">
      <c r="F122" s="86"/>
      <c r="G122" s="86"/>
      <c r="H122" s="86"/>
      <c r="I122" s="65"/>
      <c r="J122" s="65"/>
      <c r="K122" s="87"/>
      <c r="L122" s="88"/>
    </row>
    <row r="123" spans="6:12" ht="12.5">
      <c r="F123" s="86"/>
      <c r="G123" s="86"/>
      <c r="H123" s="86"/>
      <c r="I123" s="65"/>
      <c r="J123" s="65"/>
      <c r="K123" s="87"/>
      <c r="L123" s="88"/>
    </row>
    <row r="124" spans="6:12" ht="12.5">
      <c r="F124" s="86"/>
      <c r="G124" s="86"/>
      <c r="H124" s="86"/>
      <c r="I124" s="65"/>
      <c r="J124" s="65"/>
      <c r="K124" s="87"/>
      <c r="L124" s="88"/>
    </row>
    <row r="125" spans="6:12" ht="12.5">
      <c r="F125" s="86"/>
      <c r="G125" s="86"/>
      <c r="H125" s="86"/>
      <c r="I125" s="65"/>
      <c r="J125" s="65"/>
      <c r="K125" s="87"/>
      <c r="L125" s="88"/>
    </row>
    <row r="126" spans="6:12" ht="12.5">
      <c r="F126" s="86"/>
      <c r="G126" s="86"/>
      <c r="H126" s="86"/>
      <c r="I126" s="65"/>
      <c r="J126" s="65"/>
      <c r="K126" s="87"/>
      <c r="L126" s="88"/>
    </row>
    <row r="127" spans="6:12" ht="12.5">
      <c r="F127" s="86"/>
      <c r="G127" s="86"/>
      <c r="H127" s="86"/>
      <c r="I127" s="65"/>
      <c r="J127" s="65"/>
      <c r="K127" s="87"/>
      <c r="L127" s="88"/>
    </row>
    <row r="128" spans="6:12" ht="12.5">
      <c r="F128" s="86"/>
      <c r="G128" s="86"/>
      <c r="H128" s="86"/>
      <c r="I128" s="65"/>
      <c r="J128" s="65"/>
      <c r="K128" s="87"/>
      <c r="L128" s="88"/>
    </row>
    <row r="129" spans="6:12" ht="12.5">
      <c r="F129" s="86"/>
      <c r="G129" s="86"/>
      <c r="H129" s="86"/>
      <c r="I129" s="65"/>
      <c r="J129" s="65"/>
      <c r="K129" s="87"/>
      <c r="L129" s="88"/>
    </row>
    <row r="130" spans="6:12" ht="12.5">
      <c r="F130" s="86"/>
      <c r="G130" s="86"/>
      <c r="H130" s="86"/>
      <c r="I130" s="65"/>
      <c r="J130" s="65"/>
      <c r="K130" s="87"/>
      <c r="L130" s="88"/>
    </row>
    <row r="131" spans="6:12" ht="12.5">
      <c r="F131" s="86"/>
      <c r="G131" s="86"/>
      <c r="H131" s="86"/>
      <c r="I131" s="65"/>
      <c r="J131" s="65"/>
      <c r="K131" s="87"/>
      <c r="L131" s="88"/>
    </row>
    <row r="132" spans="6:12" ht="12.5">
      <c r="F132" s="86"/>
      <c r="G132" s="86"/>
      <c r="H132" s="86"/>
      <c r="I132" s="65"/>
      <c r="J132" s="65"/>
      <c r="K132" s="87"/>
      <c r="L132" s="88"/>
    </row>
    <row r="133" spans="6:12" ht="12.5">
      <c r="F133" s="86"/>
      <c r="G133" s="86"/>
      <c r="H133" s="86"/>
      <c r="I133" s="65"/>
      <c r="J133" s="65"/>
      <c r="K133" s="87"/>
      <c r="L133" s="88"/>
    </row>
    <row r="134" spans="6:12" ht="12.5">
      <c r="F134" s="86"/>
      <c r="G134" s="86"/>
      <c r="H134" s="86"/>
      <c r="I134" s="65"/>
      <c r="J134" s="65"/>
      <c r="K134" s="87"/>
      <c r="L134" s="88"/>
    </row>
    <row r="135" spans="6:12" ht="12.5">
      <c r="F135" s="86"/>
      <c r="G135" s="86"/>
      <c r="H135" s="86"/>
      <c r="I135" s="65"/>
      <c r="J135" s="65"/>
      <c r="K135" s="87"/>
      <c r="L135" s="88"/>
    </row>
    <row r="136" spans="6:12" ht="12.5">
      <c r="F136" s="86"/>
      <c r="G136" s="86"/>
      <c r="H136" s="86"/>
      <c r="I136" s="65"/>
      <c r="J136" s="65"/>
      <c r="K136" s="87"/>
      <c r="L136" s="88"/>
    </row>
    <row r="137" spans="6:12" ht="12.5">
      <c r="F137" s="86"/>
      <c r="G137" s="86"/>
      <c r="H137" s="86"/>
      <c r="I137" s="65"/>
      <c r="J137" s="65"/>
      <c r="K137" s="87"/>
      <c r="L137" s="88"/>
    </row>
    <row r="138" spans="6:12" ht="12.5">
      <c r="F138" s="86"/>
      <c r="G138" s="86"/>
      <c r="H138" s="86"/>
      <c r="I138" s="65"/>
      <c r="J138" s="65"/>
      <c r="K138" s="87"/>
      <c r="L138" s="88"/>
    </row>
    <row r="139" spans="6:12" ht="12.5">
      <c r="F139" s="86"/>
      <c r="G139" s="86"/>
      <c r="H139" s="86"/>
      <c r="I139" s="65"/>
      <c r="J139" s="65"/>
      <c r="K139" s="87"/>
      <c r="L139" s="88"/>
    </row>
    <row r="140" spans="6:12" ht="12.5">
      <c r="F140" s="86"/>
      <c r="G140" s="86"/>
      <c r="H140" s="86"/>
      <c r="I140" s="65"/>
      <c r="J140" s="65"/>
      <c r="K140" s="87"/>
      <c r="L140" s="88"/>
    </row>
    <row r="141" spans="6:12" ht="12.5">
      <c r="F141" s="86"/>
      <c r="G141" s="86"/>
      <c r="H141" s="86"/>
      <c r="I141" s="65"/>
      <c r="J141" s="65"/>
      <c r="K141" s="87"/>
      <c r="L141" s="88"/>
    </row>
    <row r="142" spans="6:12" ht="12.5">
      <c r="F142" s="86"/>
      <c r="G142" s="86"/>
      <c r="H142" s="86"/>
      <c r="I142" s="65"/>
      <c r="J142" s="65"/>
      <c r="K142" s="87"/>
      <c r="L142" s="88"/>
    </row>
    <row r="143" spans="6:12" ht="12.5">
      <c r="F143" s="86"/>
      <c r="G143" s="86"/>
      <c r="H143" s="86"/>
      <c r="I143" s="65"/>
      <c r="J143" s="65"/>
      <c r="K143" s="87"/>
      <c r="L143" s="88"/>
    </row>
    <row r="144" spans="6:12" ht="12.5">
      <c r="F144" s="86"/>
      <c r="G144" s="86"/>
      <c r="H144" s="86"/>
      <c r="I144" s="65"/>
      <c r="J144" s="65"/>
      <c r="K144" s="87"/>
      <c r="L144" s="88"/>
    </row>
    <row r="145" spans="6:12" ht="12.5">
      <c r="F145" s="86"/>
      <c r="G145" s="86"/>
      <c r="H145" s="86"/>
      <c r="I145" s="65"/>
      <c r="J145" s="65"/>
      <c r="K145" s="87"/>
      <c r="L145" s="88"/>
    </row>
    <row r="146" spans="6:12" ht="12.5">
      <c r="F146" s="86"/>
      <c r="G146" s="86"/>
      <c r="H146" s="86"/>
      <c r="I146" s="65"/>
      <c r="J146" s="65"/>
      <c r="K146" s="87"/>
      <c r="L146" s="88"/>
    </row>
    <row r="147" spans="6:12" ht="12.5">
      <c r="F147" s="86"/>
      <c r="G147" s="86"/>
      <c r="H147" s="86"/>
      <c r="I147" s="65"/>
      <c r="J147" s="65"/>
      <c r="K147" s="87"/>
      <c r="L147" s="88"/>
    </row>
    <row r="148" spans="6:12" ht="12.5">
      <c r="F148" s="86"/>
      <c r="G148" s="86"/>
      <c r="H148" s="86"/>
      <c r="I148" s="65"/>
      <c r="J148" s="65"/>
      <c r="K148" s="87"/>
      <c r="L148" s="88"/>
    </row>
    <row r="149" spans="6:12" ht="12.5">
      <c r="F149" s="86"/>
      <c r="G149" s="86"/>
      <c r="H149" s="86"/>
      <c r="I149" s="65"/>
      <c r="J149" s="65"/>
      <c r="K149" s="87"/>
      <c r="L149" s="88"/>
    </row>
    <row r="150" spans="6:12" ht="12.5">
      <c r="F150" s="86"/>
      <c r="G150" s="86"/>
      <c r="H150" s="86"/>
      <c r="I150" s="65"/>
      <c r="J150" s="65"/>
      <c r="K150" s="87"/>
      <c r="L150" s="88"/>
    </row>
    <row r="151" spans="6:12" ht="12.5">
      <c r="F151" s="86"/>
      <c r="G151" s="86"/>
      <c r="H151" s="86"/>
      <c r="I151" s="65"/>
      <c r="J151" s="65"/>
      <c r="K151" s="87"/>
      <c r="L151" s="88"/>
    </row>
    <row r="152" spans="6:12" ht="12.5">
      <c r="F152" s="86"/>
      <c r="G152" s="86"/>
      <c r="H152" s="86"/>
      <c r="I152" s="65"/>
      <c r="J152" s="65"/>
      <c r="K152" s="87"/>
      <c r="L152" s="88"/>
    </row>
    <row r="153" spans="6:12" ht="12.5">
      <c r="F153" s="86"/>
      <c r="G153" s="86"/>
      <c r="H153" s="86"/>
      <c r="I153" s="65"/>
      <c r="J153" s="65"/>
      <c r="K153" s="87"/>
      <c r="L153" s="88"/>
    </row>
    <row r="154" spans="6:12" ht="12.5">
      <c r="F154" s="86"/>
      <c r="G154" s="86"/>
      <c r="H154" s="86"/>
      <c r="I154" s="65"/>
      <c r="J154" s="65"/>
      <c r="K154" s="87"/>
      <c r="L154" s="88"/>
    </row>
    <row r="155" spans="6:12" ht="12.5">
      <c r="F155" s="86"/>
      <c r="G155" s="86"/>
      <c r="H155" s="86"/>
      <c r="I155" s="65"/>
      <c r="J155" s="65"/>
      <c r="K155" s="87"/>
      <c r="L155" s="88"/>
    </row>
    <row r="156" spans="6:12" ht="12.5">
      <c r="F156" s="86"/>
      <c r="G156" s="86"/>
      <c r="H156" s="86"/>
      <c r="I156" s="65"/>
      <c r="J156" s="65"/>
      <c r="K156" s="87"/>
      <c r="L156" s="88"/>
    </row>
    <row r="157" spans="6:12" ht="12.5">
      <c r="F157" s="86"/>
      <c r="G157" s="86"/>
      <c r="H157" s="86"/>
      <c r="I157" s="65"/>
      <c r="J157" s="65"/>
      <c r="K157" s="87"/>
      <c r="L157" s="88"/>
    </row>
    <row r="158" spans="6:12" ht="12.5">
      <c r="F158" s="86"/>
      <c r="G158" s="86"/>
      <c r="H158" s="86"/>
      <c r="I158" s="65"/>
      <c r="J158" s="65"/>
      <c r="K158" s="87"/>
      <c r="L158" s="88"/>
    </row>
    <row r="159" spans="6:12" ht="12.5">
      <c r="F159" s="86"/>
      <c r="G159" s="86"/>
      <c r="H159" s="86"/>
      <c r="I159" s="65"/>
      <c r="J159" s="65"/>
      <c r="K159" s="87"/>
      <c r="L159" s="88"/>
    </row>
    <row r="160" spans="6:12" ht="12.5">
      <c r="F160" s="86"/>
      <c r="G160" s="86"/>
      <c r="H160" s="86"/>
      <c r="I160" s="65"/>
      <c r="J160" s="65"/>
      <c r="K160" s="87"/>
      <c r="L160" s="88"/>
    </row>
    <row r="161" spans="6:12" ht="12.5">
      <c r="F161" s="86"/>
      <c r="G161" s="86"/>
      <c r="H161" s="86"/>
      <c r="I161" s="65"/>
      <c r="J161" s="65"/>
      <c r="K161" s="87"/>
      <c r="L161" s="88"/>
    </row>
    <row r="162" spans="6:12" ht="12.5">
      <c r="F162" s="86"/>
      <c r="G162" s="86"/>
      <c r="H162" s="86"/>
      <c r="I162" s="65"/>
      <c r="J162" s="65"/>
      <c r="K162" s="87"/>
      <c r="L162" s="88"/>
    </row>
    <row r="163" spans="6:12" ht="12.5">
      <c r="F163" s="86"/>
      <c r="G163" s="86"/>
      <c r="H163" s="86"/>
      <c r="I163" s="65"/>
      <c r="J163" s="65"/>
      <c r="K163" s="87"/>
      <c r="L163" s="88"/>
    </row>
    <row r="164" spans="6:12" ht="12.5">
      <c r="F164" s="86"/>
      <c r="G164" s="86"/>
      <c r="H164" s="86"/>
      <c r="I164" s="65"/>
      <c r="J164" s="65"/>
      <c r="K164" s="87"/>
      <c r="L164" s="88"/>
    </row>
    <row r="165" spans="6:12" ht="12.5">
      <c r="F165" s="86"/>
      <c r="G165" s="86"/>
      <c r="H165" s="86"/>
      <c r="I165" s="65"/>
      <c r="J165" s="65"/>
      <c r="K165" s="87"/>
      <c r="L165" s="88"/>
    </row>
    <row r="166" spans="6:12" ht="12.5">
      <c r="F166" s="86"/>
      <c r="G166" s="86"/>
      <c r="H166" s="86"/>
      <c r="I166" s="65"/>
      <c r="J166" s="65"/>
      <c r="K166" s="87"/>
      <c r="L166" s="88"/>
    </row>
    <row r="167" spans="6:12" ht="12.5">
      <c r="F167" s="86"/>
      <c r="G167" s="86"/>
      <c r="H167" s="86"/>
      <c r="I167" s="65"/>
      <c r="J167" s="65"/>
      <c r="K167" s="87"/>
      <c r="L167" s="88"/>
    </row>
    <row r="168" spans="6:12" ht="12.5">
      <c r="F168" s="86"/>
      <c r="G168" s="86"/>
      <c r="H168" s="86"/>
      <c r="I168" s="65"/>
      <c r="J168" s="65"/>
      <c r="K168" s="87"/>
      <c r="L168" s="88"/>
    </row>
    <row r="169" spans="6:12" ht="12.5">
      <c r="F169" s="86"/>
      <c r="G169" s="86"/>
      <c r="H169" s="86"/>
      <c r="I169" s="65"/>
      <c r="J169" s="65"/>
      <c r="K169" s="87"/>
      <c r="L169" s="88"/>
    </row>
    <row r="170" spans="6:12" ht="12.5">
      <c r="F170" s="86"/>
      <c r="G170" s="86"/>
      <c r="H170" s="86"/>
      <c r="I170" s="65"/>
      <c r="J170" s="65"/>
      <c r="K170" s="87"/>
      <c r="L170" s="88"/>
    </row>
    <row r="171" spans="6:12" ht="12.5">
      <c r="F171" s="86"/>
      <c r="G171" s="86"/>
      <c r="H171" s="86"/>
      <c r="I171" s="65"/>
      <c r="J171" s="65"/>
      <c r="K171" s="87"/>
      <c r="L171" s="88"/>
    </row>
    <row r="172" spans="6:12" ht="12.5">
      <c r="F172" s="86"/>
      <c r="G172" s="86"/>
      <c r="H172" s="86"/>
      <c r="I172" s="65"/>
      <c r="J172" s="65"/>
      <c r="K172" s="87"/>
      <c r="L172" s="88"/>
    </row>
    <row r="173" spans="6:12" ht="12.5">
      <c r="F173" s="86"/>
      <c r="G173" s="86"/>
      <c r="H173" s="86"/>
      <c r="I173" s="65"/>
      <c r="J173" s="65"/>
      <c r="K173" s="87"/>
      <c r="L173" s="88"/>
    </row>
    <row r="174" spans="6:12" ht="12.5">
      <c r="F174" s="86"/>
      <c r="G174" s="86"/>
      <c r="H174" s="86"/>
      <c r="I174" s="65"/>
      <c r="J174" s="65"/>
      <c r="K174" s="87"/>
      <c r="L174" s="88"/>
    </row>
    <row r="175" spans="6:12" ht="12.5">
      <c r="F175" s="86"/>
      <c r="G175" s="86"/>
      <c r="H175" s="86"/>
      <c r="I175" s="65"/>
      <c r="J175" s="65"/>
      <c r="K175" s="87"/>
      <c r="L175" s="88"/>
    </row>
    <row r="176" spans="6:12" ht="12.5">
      <c r="F176" s="86"/>
      <c r="G176" s="86"/>
      <c r="H176" s="86"/>
      <c r="I176" s="65"/>
      <c r="J176" s="65"/>
      <c r="K176" s="87"/>
      <c r="L176" s="88"/>
    </row>
    <row r="177" spans="6:12" ht="12.5">
      <c r="F177" s="86"/>
      <c r="G177" s="86"/>
      <c r="H177" s="86"/>
      <c r="I177" s="65"/>
      <c r="J177" s="65"/>
      <c r="K177" s="87"/>
      <c r="L177" s="88"/>
    </row>
    <row r="178" spans="6:12" ht="12.5">
      <c r="F178" s="86"/>
      <c r="G178" s="86"/>
      <c r="H178" s="86"/>
      <c r="I178" s="65"/>
      <c r="J178" s="65"/>
      <c r="K178" s="87"/>
      <c r="L178" s="88"/>
    </row>
    <row r="179" spans="6:12" ht="12.5">
      <c r="F179" s="86"/>
      <c r="G179" s="86"/>
      <c r="H179" s="86"/>
      <c r="I179" s="65"/>
      <c r="J179" s="65"/>
      <c r="K179" s="87"/>
      <c r="L179" s="88"/>
    </row>
    <row r="180" spans="6:12" ht="12.5">
      <c r="F180" s="86"/>
      <c r="G180" s="86"/>
      <c r="H180" s="86"/>
      <c r="I180" s="65"/>
      <c r="J180" s="65"/>
      <c r="K180" s="87"/>
      <c r="L180" s="88"/>
    </row>
    <row r="181" spans="6:12" ht="12.5">
      <c r="F181" s="86"/>
      <c r="G181" s="86"/>
      <c r="H181" s="86"/>
      <c r="I181" s="65"/>
      <c r="J181" s="65"/>
      <c r="K181" s="87"/>
      <c r="L181" s="88"/>
    </row>
    <row r="182" spans="6:12" ht="12.5">
      <c r="F182" s="86"/>
      <c r="G182" s="86"/>
      <c r="H182" s="86"/>
      <c r="I182" s="65"/>
      <c r="J182" s="65"/>
      <c r="K182" s="87"/>
      <c r="L182" s="88"/>
    </row>
    <row r="183" spans="6:12" ht="12.5">
      <c r="F183" s="86"/>
      <c r="G183" s="86"/>
      <c r="H183" s="86"/>
      <c r="I183" s="65"/>
      <c r="J183" s="65"/>
      <c r="K183" s="87"/>
      <c r="L183" s="88"/>
    </row>
    <row r="184" spans="6:12" ht="12.5">
      <c r="F184" s="86"/>
      <c r="G184" s="86"/>
      <c r="H184" s="86"/>
      <c r="I184" s="65"/>
      <c r="J184" s="65"/>
      <c r="K184" s="87"/>
      <c r="L184" s="88"/>
    </row>
    <row r="185" spans="6:12" ht="12.5">
      <c r="F185" s="86"/>
      <c r="G185" s="86"/>
      <c r="H185" s="86"/>
      <c r="I185" s="65"/>
      <c r="J185" s="65"/>
      <c r="K185" s="87"/>
      <c r="L185" s="88"/>
    </row>
    <row r="186" spans="6:12" ht="12.5">
      <c r="F186" s="86"/>
      <c r="G186" s="86"/>
      <c r="H186" s="86"/>
      <c r="I186" s="65"/>
      <c r="J186" s="65"/>
      <c r="K186" s="87"/>
      <c r="L186" s="88"/>
    </row>
    <row r="187" spans="6:12" ht="12.5">
      <c r="F187" s="86"/>
      <c r="G187" s="86"/>
      <c r="H187" s="86"/>
      <c r="I187" s="65"/>
      <c r="J187" s="65"/>
      <c r="K187" s="87"/>
      <c r="L187" s="88"/>
    </row>
    <row r="188" spans="6:12" ht="12.5">
      <c r="F188" s="86"/>
      <c r="G188" s="86"/>
      <c r="H188" s="86"/>
      <c r="I188" s="65"/>
      <c r="J188" s="65"/>
      <c r="K188" s="87"/>
      <c r="L188" s="88"/>
    </row>
    <row r="189" spans="6:12" ht="12.5">
      <c r="F189" s="86"/>
      <c r="G189" s="86"/>
      <c r="H189" s="86"/>
      <c r="I189" s="65"/>
      <c r="J189" s="65"/>
      <c r="K189" s="87"/>
      <c r="L189" s="88"/>
    </row>
    <row r="190" spans="6:12" ht="12.5">
      <c r="F190" s="86"/>
      <c r="G190" s="86"/>
      <c r="H190" s="86"/>
      <c r="I190" s="65"/>
      <c r="J190" s="65"/>
      <c r="K190" s="87"/>
      <c r="L190" s="88"/>
    </row>
    <row r="191" spans="6:12" ht="12.5">
      <c r="F191" s="86"/>
      <c r="G191" s="86"/>
      <c r="H191" s="86"/>
      <c r="I191" s="65"/>
      <c r="J191" s="65"/>
      <c r="K191" s="87"/>
      <c r="L191" s="88"/>
    </row>
    <row r="192" spans="6:12" ht="12.5">
      <c r="F192" s="86"/>
      <c r="G192" s="86"/>
      <c r="H192" s="86"/>
      <c r="I192" s="65"/>
      <c r="J192" s="65"/>
      <c r="K192" s="87"/>
      <c r="L192" s="88"/>
    </row>
    <row r="193" spans="6:12" ht="12.5">
      <c r="F193" s="86"/>
      <c r="G193" s="86"/>
      <c r="H193" s="86"/>
      <c r="I193" s="65"/>
      <c r="J193" s="65"/>
      <c r="K193" s="87"/>
      <c r="L193" s="88"/>
    </row>
    <row r="194" spans="6:12" ht="12.5">
      <c r="F194" s="86"/>
      <c r="G194" s="86"/>
      <c r="H194" s="86"/>
      <c r="I194" s="65"/>
      <c r="J194" s="65"/>
      <c r="K194" s="87"/>
      <c r="L194" s="88"/>
    </row>
    <row r="195" spans="6:12" ht="12.5">
      <c r="F195" s="86"/>
      <c r="G195" s="86"/>
      <c r="H195" s="86"/>
      <c r="I195" s="65"/>
      <c r="J195" s="65"/>
      <c r="K195" s="87"/>
      <c r="L195" s="88"/>
    </row>
    <row r="196" spans="6:12" ht="12.5">
      <c r="F196" s="86"/>
      <c r="G196" s="86"/>
      <c r="H196" s="86"/>
      <c r="I196" s="65"/>
      <c r="J196" s="65"/>
      <c r="K196" s="87"/>
      <c r="L196" s="88"/>
    </row>
    <row r="197" spans="6:12" ht="12.5">
      <c r="F197" s="86"/>
      <c r="G197" s="86"/>
      <c r="H197" s="86"/>
      <c r="I197" s="65"/>
      <c r="J197" s="65"/>
      <c r="K197" s="87"/>
      <c r="L197" s="88"/>
    </row>
    <row r="198" spans="6:12" ht="12.5">
      <c r="F198" s="86"/>
      <c r="G198" s="86"/>
      <c r="H198" s="86"/>
      <c r="I198" s="65"/>
      <c r="J198" s="65"/>
      <c r="K198" s="87"/>
      <c r="L198" s="88"/>
    </row>
    <row r="199" spans="6:12" ht="12.5">
      <c r="F199" s="86"/>
      <c r="G199" s="86"/>
      <c r="H199" s="86"/>
      <c r="I199" s="65"/>
      <c r="J199" s="65"/>
      <c r="K199" s="87"/>
      <c r="L199" s="88"/>
    </row>
    <row r="200" spans="6:12" ht="12.5">
      <c r="F200" s="86"/>
      <c r="G200" s="86"/>
      <c r="H200" s="86"/>
      <c r="I200" s="65"/>
      <c r="J200" s="65"/>
      <c r="K200" s="87"/>
      <c r="L200" s="88"/>
    </row>
    <row r="201" spans="6:12" ht="12.5">
      <c r="F201" s="86"/>
      <c r="G201" s="86"/>
      <c r="H201" s="86"/>
      <c r="I201" s="65"/>
      <c r="J201" s="65"/>
      <c r="K201" s="87"/>
      <c r="L201" s="88"/>
    </row>
    <row r="202" spans="6:12" ht="12.5">
      <c r="F202" s="86"/>
      <c r="G202" s="86"/>
      <c r="H202" s="86"/>
      <c r="I202" s="65"/>
      <c r="J202" s="65"/>
      <c r="K202" s="87"/>
      <c r="L202" s="88"/>
    </row>
    <row r="203" spans="6:12" ht="12.5">
      <c r="F203" s="86"/>
      <c r="G203" s="86"/>
      <c r="H203" s="86"/>
      <c r="I203" s="65"/>
      <c r="J203" s="65"/>
      <c r="K203" s="87"/>
      <c r="L203" s="88"/>
    </row>
    <row r="204" spans="6:12" ht="12.5">
      <c r="F204" s="86"/>
      <c r="G204" s="86"/>
      <c r="H204" s="86"/>
      <c r="I204" s="65"/>
      <c r="J204" s="65"/>
      <c r="K204" s="87"/>
      <c r="L204" s="88"/>
    </row>
    <row r="205" spans="6:12" ht="12.5">
      <c r="F205" s="86"/>
      <c r="G205" s="86"/>
      <c r="H205" s="86"/>
      <c r="I205" s="65"/>
      <c r="J205" s="65"/>
      <c r="K205" s="87"/>
      <c r="L205" s="88"/>
    </row>
    <row r="206" spans="6:12" ht="12.5">
      <c r="F206" s="86"/>
      <c r="G206" s="86"/>
      <c r="H206" s="86"/>
      <c r="I206" s="65"/>
      <c r="J206" s="65"/>
      <c r="K206" s="87"/>
      <c r="L206" s="88"/>
    </row>
    <row r="207" spans="6:12" ht="12.5">
      <c r="F207" s="86"/>
      <c r="G207" s="86"/>
      <c r="H207" s="86"/>
      <c r="I207" s="65"/>
      <c r="J207" s="65"/>
      <c r="K207" s="87"/>
      <c r="L207" s="88"/>
    </row>
    <row r="208" spans="6:12" ht="12.5">
      <c r="F208" s="86"/>
      <c r="G208" s="86"/>
      <c r="H208" s="86"/>
      <c r="I208" s="65"/>
      <c r="J208" s="65"/>
      <c r="K208" s="87"/>
      <c r="L208" s="88"/>
    </row>
    <row r="209" spans="6:12" ht="12.5">
      <c r="F209" s="86"/>
      <c r="G209" s="86"/>
      <c r="H209" s="86"/>
      <c r="I209" s="65"/>
      <c r="J209" s="65"/>
      <c r="K209" s="87"/>
      <c r="L209" s="88"/>
    </row>
    <row r="210" spans="6:12" ht="12.5">
      <c r="F210" s="86"/>
      <c r="G210" s="86"/>
      <c r="H210" s="86"/>
      <c r="I210" s="65"/>
      <c r="J210" s="65"/>
      <c r="K210" s="87"/>
      <c r="L210" s="88"/>
    </row>
    <row r="211" spans="6:12" ht="12.5">
      <c r="F211" s="86"/>
      <c r="G211" s="86"/>
      <c r="H211" s="86"/>
      <c r="I211" s="65"/>
      <c r="J211" s="65"/>
      <c r="K211" s="87"/>
      <c r="L211" s="88"/>
    </row>
    <row r="212" spans="6:12" ht="12.5">
      <c r="F212" s="86"/>
      <c r="G212" s="86"/>
      <c r="H212" s="86"/>
      <c r="I212" s="65"/>
      <c r="J212" s="65"/>
      <c r="K212" s="87"/>
      <c r="L212" s="88"/>
    </row>
    <row r="213" spans="6:12" ht="12.5">
      <c r="F213" s="86"/>
      <c r="G213" s="86"/>
      <c r="H213" s="86"/>
      <c r="I213" s="65"/>
      <c r="J213" s="65"/>
      <c r="K213" s="87"/>
      <c r="L213" s="88"/>
    </row>
    <row r="214" spans="6:12" ht="12.5">
      <c r="F214" s="86"/>
      <c r="G214" s="86"/>
      <c r="H214" s="86"/>
      <c r="I214" s="65"/>
      <c r="J214" s="65"/>
      <c r="K214" s="87"/>
      <c r="L214" s="88"/>
    </row>
    <row r="215" spans="6:12" ht="12.5">
      <c r="F215" s="86"/>
      <c r="G215" s="86"/>
      <c r="H215" s="86"/>
      <c r="I215" s="65"/>
      <c r="J215" s="65"/>
      <c r="K215" s="87"/>
      <c r="L215" s="88"/>
    </row>
    <row r="216" spans="6:12" ht="12.5">
      <c r="F216" s="86"/>
      <c r="G216" s="86"/>
      <c r="H216" s="86"/>
      <c r="I216" s="65"/>
      <c r="J216" s="65"/>
      <c r="K216" s="87"/>
      <c r="L216" s="88"/>
    </row>
    <row r="217" spans="6:12" ht="12.5">
      <c r="F217" s="86"/>
      <c r="G217" s="86"/>
      <c r="H217" s="86"/>
      <c r="I217" s="65"/>
      <c r="J217" s="65"/>
      <c r="K217" s="87"/>
      <c r="L217" s="88"/>
    </row>
    <row r="218" spans="6:12" ht="12.5">
      <c r="F218" s="86"/>
      <c r="G218" s="86"/>
      <c r="H218" s="86"/>
      <c r="I218" s="65"/>
      <c r="J218" s="65"/>
      <c r="K218" s="87"/>
      <c r="L218" s="88"/>
    </row>
    <row r="219" spans="6:12" ht="12.5">
      <c r="F219" s="86"/>
      <c r="G219" s="86"/>
      <c r="H219" s="86"/>
      <c r="I219" s="65"/>
      <c r="J219" s="65"/>
      <c r="K219" s="87"/>
      <c r="L219" s="88"/>
    </row>
    <row r="220" spans="6:12" ht="12.5">
      <c r="F220" s="86"/>
      <c r="G220" s="86"/>
      <c r="H220" s="86"/>
      <c r="I220" s="65"/>
      <c r="J220" s="65"/>
      <c r="K220" s="87"/>
      <c r="L220" s="88"/>
    </row>
    <row r="221" spans="6:12" ht="12.5">
      <c r="F221" s="86"/>
      <c r="G221" s="86"/>
      <c r="H221" s="86"/>
      <c r="I221" s="65"/>
      <c r="J221" s="65"/>
      <c r="K221" s="87"/>
      <c r="L221" s="88"/>
    </row>
    <row r="222" spans="6:12" ht="12.5">
      <c r="F222" s="86"/>
      <c r="G222" s="86"/>
      <c r="H222" s="86"/>
      <c r="I222" s="65"/>
      <c r="J222" s="65"/>
      <c r="K222" s="87"/>
      <c r="L222" s="88"/>
    </row>
    <row r="223" spans="6:12" ht="12.5">
      <c r="F223" s="86"/>
      <c r="G223" s="86"/>
      <c r="H223" s="86"/>
      <c r="I223" s="65"/>
      <c r="J223" s="65"/>
      <c r="K223" s="87"/>
      <c r="L223" s="88"/>
    </row>
    <row r="224" spans="6:12" ht="12.5">
      <c r="F224" s="86"/>
      <c r="G224" s="86"/>
      <c r="H224" s="86"/>
      <c r="I224" s="65"/>
      <c r="J224" s="65"/>
      <c r="K224" s="87"/>
      <c r="L224" s="88"/>
    </row>
    <row r="225" spans="6:12" ht="12.5">
      <c r="F225" s="86"/>
      <c r="G225" s="86"/>
      <c r="H225" s="86"/>
      <c r="I225" s="65"/>
      <c r="J225" s="65"/>
      <c r="K225" s="87"/>
      <c r="L225" s="88"/>
    </row>
    <row r="226" spans="6:12" ht="12.5">
      <c r="F226" s="86"/>
      <c r="G226" s="86"/>
      <c r="H226" s="86"/>
      <c r="I226" s="65"/>
      <c r="J226" s="65"/>
      <c r="K226" s="87"/>
      <c r="L226" s="88"/>
    </row>
    <row r="227" spans="6:12" ht="12.5">
      <c r="F227" s="86"/>
      <c r="G227" s="86"/>
      <c r="H227" s="86"/>
      <c r="I227" s="65"/>
      <c r="J227" s="65"/>
      <c r="K227" s="87"/>
      <c r="L227" s="88"/>
    </row>
    <row r="228" spans="6:12" ht="12.5">
      <c r="F228" s="86"/>
      <c r="G228" s="86"/>
      <c r="H228" s="86"/>
      <c r="I228" s="65"/>
      <c r="J228" s="65"/>
      <c r="K228" s="87"/>
      <c r="L228" s="88"/>
    </row>
    <row r="229" spans="6:12" ht="12.5">
      <c r="F229" s="86"/>
      <c r="G229" s="86"/>
      <c r="H229" s="86"/>
      <c r="I229" s="65"/>
      <c r="J229" s="65"/>
      <c r="K229" s="87"/>
      <c r="L229" s="88"/>
    </row>
    <row r="230" spans="6:12" ht="12.5">
      <c r="F230" s="86"/>
      <c r="G230" s="86"/>
      <c r="H230" s="86"/>
      <c r="I230" s="65"/>
      <c r="J230" s="65"/>
      <c r="K230" s="87"/>
      <c r="L230" s="88"/>
    </row>
    <row r="231" spans="6:12" ht="12.5">
      <c r="F231" s="86"/>
      <c r="G231" s="86"/>
      <c r="H231" s="86"/>
      <c r="I231" s="65"/>
      <c r="J231" s="65"/>
      <c r="K231" s="87"/>
      <c r="L231" s="88"/>
    </row>
    <row r="232" spans="6:12" ht="12.5">
      <c r="F232" s="86"/>
      <c r="G232" s="86"/>
      <c r="H232" s="86"/>
      <c r="I232" s="65"/>
      <c r="J232" s="65"/>
      <c r="K232" s="87"/>
      <c r="L232" s="88"/>
    </row>
    <row r="233" spans="6:12" ht="12.5">
      <c r="F233" s="86"/>
      <c r="G233" s="86"/>
      <c r="H233" s="86"/>
      <c r="I233" s="65"/>
      <c r="J233" s="65"/>
      <c r="K233" s="87"/>
      <c r="L233" s="88"/>
    </row>
    <row r="234" spans="6:12" ht="12.5">
      <c r="F234" s="86"/>
      <c r="G234" s="86"/>
      <c r="H234" s="86"/>
      <c r="I234" s="65"/>
      <c r="J234" s="65"/>
      <c r="K234" s="87"/>
      <c r="L234" s="88"/>
    </row>
    <row r="235" spans="6:12" ht="12.5">
      <c r="F235" s="86"/>
      <c r="G235" s="86"/>
      <c r="H235" s="86"/>
      <c r="I235" s="65"/>
      <c r="J235" s="65"/>
      <c r="K235" s="87"/>
      <c r="L235" s="88"/>
    </row>
    <row r="236" spans="6:12" ht="12.5">
      <c r="F236" s="86"/>
      <c r="G236" s="86"/>
      <c r="H236" s="86"/>
      <c r="I236" s="65"/>
      <c r="J236" s="65"/>
      <c r="K236" s="87"/>
      <c r="L236" s="88"/>
    </row>
    <row r="237" spans="6:12" ht="12.5">
      <c r="F237" s="86"/>
      <c r="G237" s="86"/>
      <c r="H237" s="86"/>
      <c r="I237" s="65"/>
      <c r="J237" s="65"/>
      <c r="K237" s="87"/>
      <c r="L237" s="88"/>
    </row>
    <row r="238" spans="6:12" ht="12.5">
      <c r="F238" s="86"/>
      <c r="G238" s="86"/>
      <c r="H238" s="86"/>
      <c r="I238" s="65"/>
      <c r="J238" s="65"/>
      <c r="K238" s="87"/>
      <c r="L238" s="88"/>
    </row>
    <row r="239" spans="6:12" ht="12.5">
      <c r="F239" s="86"/>
      <c r="G239" s="86"/>
      <c r="H239" s="86"/>
      <c r="I239" s="65"/>
      <c r="J239" s="65"/>
      <c r="K239" s="87"/>
      <c r="L239" s="88"/>
    </row>
    <row r="240" spans="6:12" ht="12.5">
      <c r="F240" s="86"/>
      <c r="G240" s="86"/>
      <c r="H240" s="86"/>
      <c r="I240" s="65"/>
      <c r="J240" s="65"/>
      <c r="K240" s="87"/>
      <c r="L240" s="88"/>
    </row>
    <row r="241" spans="6:12" ht="12.5">
      <c r="F241" s="86"/>
      <c r="G241" s="86"/>
      <c r="H241" s="86"/>
      <c r="I241" s="65"/>
      <c r="J241" s="65"/>
      <c r="K241" s="87"/>
      <c r="L241" s="88"/>
    </row>
    <row r="242" spans="6:12" ht="12.5">
      <c r="F242" s="86"/>
      <c r="G242" s="86"/>
      <c r="H242" s="86"/>
      <c r="I242" s="65"/>
      <c r="J242" s="65"/>
      <c r="K242" s="87"/>
      <c r="L242" s="88"/>
    </row>
    <row r="243" spans="6:12" ht="12.5">
      <c r="F243" s="86"/>
      <c r="G243" s="86"/>
      <c r="H243" s="86"/>
      <c r="I243" s="65"/>
      <c r="J243" s="65"/>
      <c r="K243" s="87"/>
      <c r="L243" s="88"/>
    </row>
    <row r="244" spans="6:12" ht="12.5">
      <c r="F244" s="86"/>
      <c r="G244" s="86"/>
      <c r="H244" s="86"/>
      <c r="I244" s="65"/>
      <c r="J244" s="65"/>
      <c r="K244" s="87"/>
      <c r="L244" s="88"/>
    </row>
    <row r="245" spans="6:12" ht="12.5">
      <c r="F245" s="86"/>
      <c r="G245" s="86"/>
      <c r="H245" s="86"/>
      <c r="I245" s="65"/>
      <c r="J245" s="65"/>
      <c r="K245" s="87"/>
      <c r="L245" s="88"/>
    </row>
    <row r="246" spans="6:12" ht="12.5">
      <c r="F246" s="86"/>
      <c r="G246" s="86"/>
      <c r="H246" s="86"/>
      <c r="I246" s="65"/>
      <c r="J246" s="65"/>
      <c r="K246" s="87"/>
      <c r="L246" s="88"/>
    </row>
    <row r="247" spans="6:12" ht="12.5">
      <c r="F247" s="86"/>
      <c r="G247" s="86"/>
      <c r="H247" s="86"/>
      <c r="I247" s="65"/>
      <c r="J247" s="65"/>
      <c r="K247" s="87"/>
      <c r="L247" s="88"/>
    </row>
    <row r="248" spans="6:12" ht="12.5">
      <c r="F248" s="86"/>
      <c r="G248" s="86"/>
      <c r="H248" s="86"/>
      <c r="I248" s="65"/>
      <c r="J248" s="65"/>
      <c r="K248" s="87"/>
      <c r="L248" s="88"/>
    </row>
    <row r="249" spans="6:12" ht="12.5">
      <c r="F249" s="86"/>
      <c r="G249" s="86"/>
      <c r="H249" s="86"/>
      <c r="I249" s="65"/>
      <c r="J249" s="65"/>
      <c r="K249" s="87"/>
      <c r="L249" s="88"/>
    </row>
    <row r="250" spans="6:12" ht="12.5">
      <c r="F250" s="86"/>
      <c r="G250" s="86"/>
      <c r="H250" s="86"/>
      <c r="I250" s="65"/>
      <c r="J250" s="65"/>
      <c r="K250" s="87"/>
      <c r="L250" s="88"/>
    </row>
    <row r="251" spans="6:12" ht="12.5">
      <c r="F251" s="86"/>
      <c r="G251" s="86"/>
      <c r="H251" s="86"/>
      <c r="I251" s="65"/>
      <c r="J251" s="65"/>
      <c r="K251" s="87"/>
      <c r="L251" s="88"/>
    </row>
    <row r="252" spans="6:12" ht="12.5">
      <c r="F252" s="86"/>
      <c r="G252" s="86"/>
      <c r="H252" s="86"/>
      <c r="I252" s="65"/>
      <c r="J252" s="65"/>
      <c r="K252" s="87"/>
      <c r="L252" s="88"/>
    </row>
    <row r="253" spans="6:12" ht="12.5">
      <c r="F253" s="86"/>
      <c r="G253" s="86"/>
      <c r="H253" s="86"/>
      <c r="I253" s="65"/>
      <c r="J253" s="65"/>
      <c r="K253" s="87"/>
      <c r="L253" s="88"/>
    </row>
    <row r="254" spans="6:12" ht="12.5">
      <c r="F254" s="86"/>
      <c r="G254" s="86"/>
      <c r="H254" s="86"/>
      <c r="I254" s="65"/>
      <c r="J254" s="65"/>
      <c r="K254" s="87"/>
      <c r="L254" s="88"/>
    </row>
    <row r="255" spans="6:12" ht="12.5">
      <c r="F255" s="86"/>
      <c r="G255" s="86"/>
      <c r="H255" s="86"/>
      <c r="I255" s="65"/>
      <c r="J255" s="65"/>
      <c r="K255" s="87"/>
      <c r="L255" s="88"/>
    </row>
    <row r="256" spans="6:12" ht="12.5">
      <c r="F256" s="86"/>
      <c r="G256" s="86"/>
      <c r="H256" s="86"/>
      <c r="I256" s="65"/>
      <c r="J256" s="65"/>
      <c r="K256" s="87"/>
      <c r="L256" s="88"/>
    </row>
    <row r="257" spans="6:12" ht="12.5">
      <c r="F257" s="86"/>
      <c r="G257" s="86"/>
      <c r="H257" s="86"/>
      <c r="I257" s="65"/>
      <c r="J257" s="65"/>
      <c r="K257" s="87"/>
      <c r="L257" s="88"/>
    </row>
    <row r="258" spans="6:12" ht="12.5">
      <c r="F258" s="86"/>
      <c r="G258" s="86"/>
      <c r="H258" s="86"/>
      <c r="I258" s="65"/>
      <c r="J258" s="65"/>
      <c r="K258" s="87"/>
      <c r="L258" s="88"/>
    </row>
    <row r="259" spans="6:12" ht="12.5">
      <c r="F259" s="86"/>
      <c r="G259" s="86"/>
      <c r="H259" s="86"/>
      <c r="I259" s="65"/>
      <c r="J259" s="65"/>
      <c r="K259" s="87"/>
      <c r="L259" s="88"/>
    </row>
    <row r="260" spans="6:12" ht="12.5">
      <c r="F260" s="86"/>
      <c r="G260" s="86"/>
      <c r="H260" s="86"/>
      <c r="I260" s="65"/>
      <c r="J260" s="65"/>
      <c r="K260" s="87"/>
      <c r="L260" s="88"/>
    </row>
    <row r="261" spans="6:12" ht="12.5">
      <c r="F261" s="86"/>
      <c r="G261" s="86"/>
      <c r="H261" s="86"/>
      <c r="I261" s="65"/>
      <c r="J261" s="65"/>
      <c r="K261" s="87"/>
      <c r="L261" s="88"/>
    </row>
    <row r="262" spans="6:12" ht="12.5">
      <c r="F262" s="86"/>
      <c r="G262" s="86"/>
      <c r="H262" s="86"/>
      <c r="I262" s="65"/>
      <c r="J262" s="65"/>
      <c r="K262" s="87"/>
      <c r="L262" s="88"/>
    </row>
    <row r="263" spans="6:12" ht="12.5">
      <c r="F263" s="86"/>
      <c r="G263" s="86"/>
      <c r="H263" s="86"/>
      <c r="I263" s="65"/>
      <c r="J263" s="65"/>
      <c r="K263" s="87"/>
      <c r="L263" s="88"/>
    </row>
    <row r="264" spans="6:12" ht="12.5">
      <c r="F264" s="86"/>
      <c r="G264" s="86"/>
      <c r="H264" s="86"/>
      <c r="I264" s="65"/>
      <c r="J264" s="65"/>
      <c r="K264" s="87"/>
      <c r="L264" s="88"/>
    </row>
    <row r="265" spans="6:12" ht="12.5">
      <c r="F265" s="86"/>
      <c r="G265" s="86"/>
      <c r="H265" s="86"/>
      <c r="I265" s="65"/>
      <c r="J265" s="65"/>
      <c r="K265" s="87"/>
      <c r="L265" s="88"/>
    </row>
    <row r="266" spans="6:12" ht="12.5">
      <c r="F266" s="86"/>
      <c r="G266" s="86"/>
      <c r="H266" s="86"/>
      <c r="I266" s="65"/>
      <c r="J266" s="65"/>
      <c r="K266" s="87"/>
      <c r="L266" s="88"/>
    </row>
    <row r="267" spans="6:12" ht="12.5">
      <c r="F267" s="86"/>
      <c r="G267" s="86"/>
      <c r="H267" s="86"/>
      <c r="I267" s="65"/>
      <c r="J267" s="65"/>
      <c r="K267" s="87"/>
      <c r="L267" s="88"/>
    </row>
    <row r="268" spans="6:12" ht="12.5">
      <c r="F268" s="86"/>
      <c r="G268" s="86"/>
      <c r="H268" s="86"/>
      <c r="I268" s="65"/>
      <c r="J268" s="65"/>
      <c r="K268" s="87"/>
      <c r="L268" s="88"/>
    </row>
    <row r="269" spans="6:12" ht="12.5">
      <c r="F269" s="86"/>
      <c r="G269" s="86"/>
      <c r="H269" s="86"/>
      <c r="I269" s="65"/>
      <c r="J269" s="65"/>
      <c r="K269" s="87"/>
      <c r="L269" s="88"/>
    </row>
    <row r="270" spans="6:12" ht="12.5">
      <c r="F270" s="86"/>
      <c r="G270" s="86"/>
      <c r="H270" s="86"/>
      <c r="I270" s="65"/>
      <c r="J270" s="65"/>
      <c r="K270" s="87"/>
      <c r="L270" s="88"/>
    </row>
    <row r="271" spans="6:12" ht="12.5">
      <c r="F271" s="86"/>
      <c r="G271" s="86"/>
      <c r="H271" s="86"/>
      <c r="I271" s="65"/>
      <c r="J271" s="65"/>
      <c r="K271" s="87"/>
      <c r="L271" s="88"/>
    </row>
    <row r="272" spans="6:12" ht="12.5">
      <c r="F272" s="86"/>
      <c r="G272" s="86"/>
      <c r="H272" s="86"/>
      <c r="I272" s="65"/>
      <c r="J272" s="65"/>
      <c r="K272" s="87"/>
      <c r="L272" s="88"/>
    </row>
    <row r="273" spans="6:12" ht="12.5">
      <c r="F273" s="86"/>
      <c r="G273" s="86"/>
      <c r="H273" s="86"/>
      <c r="I273" s="65"/>
      <c r="J273" s="65"/>
      <c r="K273" s="87"/>
      <c r="L273" s="88"/>
    </row>
    <row r="274" spans="6:12" ht="12.5">
      <c r="F274" s="86"/>
      <c r="G274" s="86"/>
      <c r="H274" s="86"/>
      <c r="I274" s="65"/>
      <c r="J274" s="65"/>
      <c r="K274" s="87"/>
      <c r="L274" s="88"/>
    </row>
    <row r="275" spans="6:12" ht="12.5">
      <c r="F275" s="86"/>
      <c r="G275" s="86"/>
      <c r="H275" s="86"/>
      <c r="I275" s="65"/>
      <c r="J275" s="65"/>
      <c r="K275" s="87"/>
      <c r="L275" s="88"/>
    </row>
    <row r="276" spans="6:12" ht="12.5">
      <c r="F276" s="86"/>
      <c r="G276" s="86"/>
      <c r="H276" s="86"/>
      <c r="I276" s="65"/>
      <c r="J276" s="65"/>
      <c r="K276" s="87"/>
      <c r="L276" s="88"/>
    </row>
    <row r="277" spans="6:12" ht="12.5">
      <c r="F277" s="86"/>
      <c r="G277" s="86"/>
      <c r="H277" s="86"/>
      <c r="I277" s="65"/>
      <c r="J277" s="65"/>
      <c r="K277" s="87"/>
      <c r="L277" s="88"/>
    </row>
    <row r="278" spans="6:12" ht="12.5">
      <c r="F278" s="86"/>
      <c r="G278" s="86"/>
      <c r="H278" s="86"/>
      <c r="I278" s="65"/>
      <c r="J278" s="65"/>
      <c r="K278" s="87"/>
      <c r="L278" s="88"/>
    </row>
    <row r="279" spans="6:12" ht="12.5">
      <c r="F279" s="86"/>
      <c r="G279" s="86"/>
      <c r="H279" s="86"/>
      <c r="I279" s="65"/>
      <c r="J279" s="65"/>
      <c r="K279" s="87"/>
      <c r="L279" s="88"/>
    </row>
    <row r="280" spans="6:12" ht="12.5">
      <c r="F280" s="86"/>
      <c r="G280" s="86"/>
      <c r="H280" s="86"/>
      <c r="I280" s="65"/>
      <c r="J280" s="65"/>
      <c r="K280" s="87"/>
      <c r="L280" s="88"/>
    </row>
    <row r="281" spans="6:12" ht="12.5">
      <c r="F281" s="86"/>
      <c r="G281" s="86"/>
      <c r="H281" s="86"/>
      <c r="I281" s="65"/>
      <c r="J281" s="65"/>
      <c r="K281" s="87"/>
      <c r="L281" s="88"/>
    </row>
    <row r="282" spans="6:12" ht="12.5">
      <c r="F282" s="86"/>
      <c r="G282" s="86"/>
      <c r="H282" s="86"/>
      <c r="I282" s="65"/>
      <c r="J282" s="65"/>
      <c r="K282" s="87"/>
      <c r="L282" s="88"/>
    </row>
    <row r="283" spans="6:12" ht="12.5">
      <c r="F283" s="86"/>
      <c r="G283" s="86"/>
      <c r="H283" s="86"/>
      <c r="I283" s="65"/>
      <c r="J283" s="65"/>
      <c r="K283" s="87"/>
      <c r="L283" s="88"/>
    </row>
    <row r="284" spans="6:12" ht="12.5">
      <c r="F284" s="86"/>
      <c r="G284" s="86"/>
      <c r="H284" s="86"/>
      <c r="I284" s="65"/>
      <c r="J284" s="65"/>
      <c r="K284" s="87"/>
      <c r="L284" s="88"/>
    </row>
    <row r="285" spans="6:12" ht="12.5">
      <c r="F285" s="86"/>
      <c r="G285" s="86"/>
      <c r="H285" s="86"/>
      <c r="I285" s="65"/>
      <c r="J285" s="65"/>
      <c r="K285" s="87"/>
      <c r="L285" s="88"/>
    </row>
    <row r="286" spans="6:12" ht="12.5">
      <c r="F286" s="86"/>
      <c r="G286" s="86"/>
      <c r="H286" s="86"/>
      <c r="I286" s="65"/>
      <c r="J286" s="65"/>
      <c r="K286" s="87"/>
      <c r="L286" s="88"/>
    </row>
    <row r="287" spans="6:12" ht="12.5">
      <c r="F287" s="86"/>
      <c r="G287" s="86"/>
      <c r="H287" s="86"/>
      <c r="I287" s="65"/>
      <c r="J287" s="65"/>
      <c r="K287" s="87"/>
      <c r="L287" s="88"/>
    </row>
    <row r="288" spans="6:12" ht="12.5">
      <c r="F288" s="86"/>
      <c r="G288" s="86"/>
      <c r="H288" s="86"/>
      <c r="I288" s="65"/>
      <c r="J288" s="65"/>
      <c r="K288" s="87"/>
      <c r="L288" s="88"/>
    </row>
    <row r="289" spans="6:12" ht="12.5">
      <c r="F289" s="86"/>
      <c r="G289" s="86"/>
      <c r="H289" s="86"/>
      <c r="I289" s="65"/>
      <c r="J289" s="65"/>
      <c r="K289" s="87"/>
      <c r="L289" s="88"/>
    </row>
    <row r="290" spans="6:12" ht="12.5">
      <c r="F290" s="86"/>
      <c r="G290" s="86"/>
      <c r="H290" s="86"/>
      <c r="I290" s="65"/>
      <c r="J290" s="65"/>
      <c r="K290" s="87"/>
      <c r="L290" s="88"/>
    </row>
    <row r="291" spans="6:12" ht="12.5">
      <c r="F291" s="86"/>
      <c r="G291" s="86"/>
      <c r="H291" s="86"/>
      <c r="I291" s="65"/>
      <c r="J291" s="65"/>
      <c r="K291" s="87"/>
      <c r="L291" s="88"/>
    </row>
    <row r="292" spans="6:12" ht="12.5">
      <c r="F292" s="86"/>
      <c r="G292" s="86"/>
      <c r="H292" s="86"/>
      <c r="I292" s="65"/>
      <c r="J292" s="65"/>
      <c r="K292" s="87"/>
      <c r="L292" s="88"/>
    </row>
    <row r="293" spans="6:12" ht="12.5">
      <c r="F293" s="86"/>
      <c r="G293" s="86"/>
      <c r="H293" s="86"/>
      <c r="I293" s="65"/>
      <c r="J293" s="65"/>
      <c r="K293" s="87"/>
      <c r="L293" s="88"/>
    </row>
    <row r="294" spans="6:12" ht="12.5">
      <c r="F294" s="86"/>
      <c r="G294" s="86"/>
      <c r="H294" s="86"/>
      <c r="I294" s="65"/>
      <c r="J294" s="65"/>
      <c r="K294" s="87"/>
      <c r="L294" s="88"/>
    </row>
    <row r="295" spans="6:12" ht="12.5">
      <c r="F295" s="86"/>
      <c r="G295" s="86"/>
      <c r="H295" s="86"/>
      <c r="I295" s="65"/>
      <c r="J295" s="65"/>
      <c r="K295" s="87"/>
      <c r="L295" s="88"/>
    </row>
    <row r="296" spans="6:12" ht="12.5">
      <c r="F296" s="86"/>
      <c r="G296" s="86"/>
      <c r="H296" s="86"/>
      <c r="I296" s="65"/>
      <c r="J296" s="65"/>
      <c r="K296" s="87"/>
      <c r="L296" s="88"/>
    </row>
    <row r="297" spans="6:12" ht="12.5">
      <c r="F297" s="86"/>
      <c r="G297" s="86"/>
      <c r="H297" s="86"/>
      <c r="I297" s="65"/>
      <c r="J297" s="65"/>
      <c r="K297" s="87"/>
      <c r="L297" s="88"/>
    </row>
    <row r="298" spans="6:12" ht="12.5">
      <c r="F298" s="86"/>
      <c r="G298" s="86"/>
      <c r="H298" s="86"/>
      <c r="I298" s="65"/>
      <c r="J298" s="65"/>
      <c r="K298" s="87"/>
      <c r="L298" s="88"/>
    </row>
    <row r="299" spans="6:12" ht="12.5">
      <c r="F299" s="86"/>
      <c r="G299" s="86"/>
      <c r="H299" s="86"/>
      <c r="I299" s="65"/>
      <c r="J299" s="65"/>
      <c r="K299" s="87"/>
      <c r="L299" s="88"/>
    </row>
    <row r="300" spans="6:12" ht="12.5">
      <c r="F300" s="86"/>
      <c r="G300" s="86"/>
      <c r="H300" s="86"/>
      <c r="I300" s="65"/>
      <c r="J300" s="65"/>
      <c r="K300" s="87"/>
      <c r="L300" s="88"/>
    </row>
    <row r="301" spans="6:12" ht="12.5">
      <c r="F301" s="86"/>
      <c r="G301" s="86"/>
      <c r="H301" s="86"/>
      <c r="I301" s="65"/>
      <c r="J301" s="65"/>
      <c r="K301" s="87"/>
      <c r="L301" s="88"/>
    </row>
    <row r="302" spans="6:12" ht="12.5">
      <c r="F302" s="86"/>
      <c r="G302" s="86"/>
      <c r="H302" s="86"/>
      <c r="I302" s="65"/>
      <c r="J302" s="65"/>
      <c r="K302" s="87"/>
      <c r="L302" s="88"/>
    </row>
    <row r="303" spans="6:12" ht="12.5">
      <c r="F303" s="86"/>
      <c r="G303" s="86"/>
      <c r="H303" s="86"/>
      <c r="I303" s="65"/>
      <c r="J303" s="65"/>
      <c r="K303" s="87"/>
      <c r="L303" s="88"/>
    </row>
    <row r="304" spans="6:12" ht="12.5">
      <c r="F304" s="86"/>
      <c r="G304" s="86"/>
      <c r="H304" s="86"/>
      <c r="I304" s="65"/>
      <c r="J304" s="65"/>
      <c r="K304" s="87"/>
      <c r="L304" s="88"/>
    </row>
    <row r="305" spans="6:12" ht="12.5">
      <c r="F305" s="86"/>
      <c r="G305" s="86"/>
      <c r="H305" s="86"/>
      <c r="I305" s="65"/>
      <c r="J305" s="65"/>
      <c r="K305" s="87"/>
      <c r="L305" s="88"/>
    </row>
    <row r="306" spans="6:12" ht="12.5">
      <c r="F306" s="86"/>
      <c r="G306" s="86"/>
      <c r="H306" s="86"/>
      <c r="I306" s="65"/>
      <c r="J306" s="65"/>
      <c r="K306" s="87"/>
      <c r="L306" s="88"/>
    </row>
    <row r="307" spans="6:12" ht="12.5">
      <c r="F307" s="86"/>
      <c r="G307" s="86"/>
      <c r="H307" s="86"/>
      <c r="I307" s="65"/>
      <c r="J307" s="65"/>
      <c r="K307" s="87"/>
      <c r="L307" s="88"/>
    </row>
    <row r="308" spans="6:12" ht="12.5">
      <c r="F308" s="86"/>
      <c r="G308" s="86"/>
      <c r="H308" s="86"/>
      <c r="I308" s="65"/>
      <c r="J308" s="65"/>
      <c r="K308" s="87"/>
      <c r="L308" s="88"/>
    </row>
    <row r="309" spans="6:12" ht="12.5">
      <c r="F309" s="86"/>
      <c r="G309" s="86"/>
      <c r="H309" s="86"/>
      <c r="I309" s="65"/>
      <c r="J309" s="65"/>
      <c r="K309" s="87"/>
      <c r="L309" s="88"/>
    </row>
    <row r="310" spans="6:12" ht="12.5">
      <c r="F310" s="86"/>
      <c r="G310" s="86"/>
      <c r="H310" s="86"/>
      <c r="I310" s="65"/>
      <c r="J310" s="65"/>
      <c r="K310" s="87"/>
      <c r="L310" s="88"/>
    </row>
    <row r="311" spans="6:12" ht="12.5">
      <c r="F311" s="86"/>
      <c r="G311" s="86"/>
      <c r="H311" s="86"/>
      <c r="I311" s="65"/>
      <c r="J311" s="65"/>
      <c r="K311" s="87"/>
      <c r="L311" s="88"/>
    </row>
    <row r="312" spans="6:12" ht="12.5">
      <c r="F312" s="86"/>
      <c r="G312" s="86"/>
      <c r="H312" s="86"/>
      <c r="I312" s="65"/>
      <c r="J312" s="65"/>
      <c r="K312" s="87"/>
      <c r="L312" s="88"/>
    </row>
    <row r="313" spans="6:12" ht="12.5">
      <c r="F313" s="86"/>
      <c r="G313" s="86"/>
      <c r="H313" s="86"/>
      <c r="I313" s="65"/>
      <c r="J313" s="65"/>
      <c r="K313" s="87"/>
      <c r="L313" s="88"/>
    </row>
    <row r="314" spans="6:12" ht="12.5">
      <c r="F314" s="86"/>
      <c r="G314" s="86"/>
      <c r="H314" s="86"/>
      <c r="I314" s="65"/>
      <c r="J314" s="65"/>
      <c r="K314" s="87"/>
      <c r="L314" s="88"/>
    </row>
    <row r="315" spans="6:12" ht="12.5">
      <c r="F315" s="86"/>
      <c r="G315" s="86"/>
      <c r="H315" s="86"/>
      <c r="I315" s="65"/>
      <c r="J315" s="65"/>
      <c r="K315" s="87"/>
      <c r="L315" s="88"/>
    </row>
    <row r="316" spans="6:12" ht="12.5">
      <c r="F316" s="86"/>
      <c r="G316" s="86"/>
      <c r="H316" s="86"/>
      <c r="I316" s="65"/>
      <c r="J316" s="65"/>
      <c r="K316" s="87"/>
      <c r="L316" s="88"/>
    </row>
    <row r="317" spans="6:12" ht="12.5">
      <c r="F317" s="86"/>
      <c r="G317" s="86"/>
      <c r="H317" s="86"/>
      <c r="I317" s="65"/>
      <c r="J317" s="65"/>
      <c r="K317" s="87"/>
      <c r="L317" s="88"/>
    </row>
    <row r="318" spans="6:12" ht="12.5">
      <c r="F318" s="86"/>
      <c r="G318" s="86"/>
      <c r="H318" s="86"/>
      <c r="I318" s="65"/>
      <c r="J318" s="65"/>
      <c r="K318" s="87"/>
      <c r="L318" s="88"/>
    </row>
    <row r="319" spans="6:12" ht="12.5">
      <c r="F319" s="86"/>
      <c r="G319" s="86"/>
      <c r="H319" s="86"/>
      <c r="I319" s="65"/>
      <c r="J319" s="65"/>
      <c r="K319" s="87"/>
      <c r="L319" s="88"/>
    </row>
    <row r="320" spans="6:12" ht="12.5">
      <c r="F320" s="86"/>
      <c r="G320" s="86"/>
      <c r="H320" s="86"/>
      <c r="I320" s="65"/>
      <c r="J320" s="65"/>
      <c r="K320" s="87"/>
      <c r="L320" s="88"/>
    </row>
    <row r="321" spans="6:12" ht="12.5">
      <c r="F321" s="86"/>
      <c r="G321" s="86"/>
      <c r="H321" s="86"/>
      <c r="I321" s="65"/>
      <c r="J321" s="65"/>
      <c r="K321" s="87"/>
      <c r="L321" s="88"/>
    </row>
    <row r="322" spans="6:12" ht="12.5">
      <c r="F322" s="86"/>
      <c r="G322" s="86"/>
      <c r="H322" s="86"/>
      <c r="I322" s="65"/>
      <c r="J322" s="65"/>
      <c r="K322" s="87"/>
      <c r="L322" s="88"/>
    </row>
    <row r="323" spans="6:12" ht="12.5">
      <c r="F323" s="86"/>
      <c r="G323" s="86"/>
      <c r="H323" s="86"/>
      <c r="I323" s="65"/>
      <c r="J323" s="65"/>
      <c r="K323" s="87"/>
      <c r="L323" s="88"/>
    </row>
    <row r="324" spans="6:12" ht="12.5">
      <c r="F324" s="86"/>
      <c r="G324" s="86"/>
      <c r="H324" s="86"/>
      <c r="I324" s="65"/>
      <c r="J324" s="65"/>
      <c r="K324" s="87"/>
      <c r="L324" s="88"/>
    </row>
    <row r="325" spans="6:12" ht="12.5">
      <c r="F325" s="86"/>
      <c r="G325" s="86"/>
      <c r="H325" s="86"/>
      <c r="I325" s="65"/>
      <c r="J325" s="65"/>
      <c r="K325" s="87"/>
      <c r="L325" s="88"/>
    </row>
    <row r="326" spans="6:12" ht="12.5">
      <c r="F326" s="86"/>
      <c r="G326" s="86"/>
      <c r="H326" s="86"/>
      <c r="I326" s="65"/>
      <c r="J326" s="65"/>
      <c r="K326" s="87"/>
      <c r="L326" s="88"/>
    </row>
    <row r="327" spans="6:12" ht="12.5">
      <c r="F327" s="86"/>
      <c r="G327" s="86"/>
      <c r="H327" s="86"/>
      <c r="I327" s="65"/>
      <c r="J327" s="65"/>
      <c r="K327" s="87"/>
      <c r="L327" s="88"/>
    </row>
    <row r="328" spans="6:12" ht="12.5">
      <c r="F328" s="86"/>
      <c r="G328" s="86"/>
      <c r="H328" s="86"/>
      <c r="I328" s="65"/>
      <c r="J328" s="65"/>
      <c r="K328" s="87"/>
      <c r="L328" s="88"/>
    </row>
    <row r="329" spans="6:12" ht="12.5">
      <c r="F329" s="86"/>
      <c r="G329" s="86"/>
      <c r="H329" s="86"/>
      <c r="I329" s="65"/>
      <c r="J329" s="65"/>
      <c r="K329" s="87"/>
      <c r="L329" s="88"/>
    </row>
    <row r="330" spans="6:12" ht="12.5">
      <c r="F330" s="86"/>
      <c r="G330" s="86"/>
      <c r="H330" s="86"/>
      <c r="I330" s="65"/>
      <c r="J330" s="65"/>
      <c r="K330" s="87"/>
      <c r="L330" s="88"/>
    </row>
    <row r="331" spans="6:12" ht="12.5">
      <c r="F331" s="86"/>
      <c r="G331" s="86"/>
      <c r="H331" s="86"/>
      <c r="I331" s="65"/>
      <c r="J331" s="65"/>
      <c r="K331" s="87"/>
      <c r="L331" s="88"/>
    </row>
    <row r="332" spans="6:12" ht="12.5">
      <c r="F332" s="86"/>
      <c r="G332" s="86"/>
      <c r="H332" s="86"/>
      <c r="I332" s="65"/>
      <c r="J332" s="65"/>
      <c r="K332" s="87"/>
      <c r="L332" s="88"/>
    </row>
    <row r="333" spans="6:12" ht="12.5">
      <c r="F333" s="86"/>
      <c r="G333" s="86"/>
      <c r="H333" s="86"/>
      <c r="I333" s="65"/>
      <c r="J333" s="65"/>
      <c r="K333" s="87"/>
      <c r="L333" s="88"/>
    </row>
    <row r="334" spans="6:12" ht="12.5">
      <c r="F334" s="86"/>
      <c r="G334" s="86"/>
      <c r="H334" s="86"/>
      <c r="I334" s="65"/>
      <c r="J334" s="65"/>
      <c r="K334" s="87"/>
      <c r="L334" s="88"/>
    </row>
    <row r="335" spans="6:12" ht="12.5">
      <c r="F335" s="86"/>
      <c r="G335" s="86"/>
      <c r="H335" s="86"/>
      <c r="I335" s="65"/>
      <c r="J335" s="65"/>
      <c r="K335" s="87"/>
      <c r="L335" s="88"/>
    </row>
    <row r="336" spans="6:12" ht="12.5">
      <c r="F336" s="86"/>
      <c r="G336" s="86"/>
      <c r="H336" s="86"/>
      <c r="I336" s="65"/>
      <c r="J336" s="65"/>
      <c r="K336" s="87"/>
      <c r="L336" s="88"/>
    </row>
    <row r="337" spans="6:12" ht="12.5">
      <c r="F337" s="86"/>
      <c r="G337" s="86"/>
      <c r="H337" s="86"/>
      <c r="I337" s="65"/>
      <c r="J337" s="65"/>
      <c r="K337" s="87"/>
      <c r="L337" s="88"/>
    </row>
    <row r="338" spans="6:12" ht="12.5">
      <c r="F338" s="86"/>
      <c r="G338" s="86"/>
      <c r="H338" s="86"/>
      <c r="I338" s="65"/>
      <c r="J338" s="65"/>
      <c r="K338" s="87"/>
      <c r="L338" s="88"/>
    </row>
    <row r="339" spans="6:12" ht="12.5">
      <c r="F339" s="86"/>
      <c r="G339" s="86"/>
      <c r="H339" s="86"/>
      <c r="I339" s="65"/>
      <c r="J339" s="65"/>
      <c r="K339" s="87"/>
      <c r="L339" s="88"/>
    </row>
    <row r="340" spans="6:12" ht="12.5">
      <c r="F340" s="86"/>
      <c r="G340" s="86"/>
      <c r="H340" s="86"/>
      <c r="I340" s="65"/>
      <c r="J340" s="65"/>
      <c r="K340" s="87"/>
      <c r="L340" s="88"/>
    </row>
    <row r="341" spans="6:12" ht="12.5">
      <c r="F341" s="86"/>
      <c r="G341" s="86"/>
      <c r="H341" s="86"/>
      <c r="I341" s="65"/>
      <c r="J341" s="65"/>
      <c r="K341" s="87"/>
      <c r="L341" s="88"/>
    </row>
    <row r="342" spans="6:12" ht="12.5">
      <c r="F342" s="86"/>
      <c r="G342" s="86"/>
      <c r="H342" s="86"/>
      <c r="I342" s="65"/>
      <c r="J342" s="65"/>
      <c r="K342" s="87"/>
      <c r="L342" s="88"/>
    </row>
    <row r="343" spans="6:12" ht="12.5">
      <c r="F343" s="86"/>
      <c r="G343" s="86"/>
      <c r="H343" s="86"/>
      <c r="I343" s="65"/>
      <c r="J343" s="65"/>
      <c r="K343" s="87"/>
      <c r="L343" s="88"/>
    </row>
    <row r="344" spans="6:12" ht="12.5">
      <c r="F344" s="86"/>
      <c r="G344" s="86"/>
      <c r="H344" s="86"/>
      <c r="I344" s="65"/>
      <c r="J344" s="65"/>
      <c r="K344" s="87"/>
      <c r="L344" s="88"/>
    </row>
    <row r="345" spans="6:12" ht="12.5">
      <c r="F345" s="86"/>
      <c r="G345" s="86"/>
      <c r="H345" s="86"/>
      <c r="I345" s="65"/>
      <c r="J345" s="65"/>
      <c r="K345" s="87"/>
      <c r="L345" s="88"/>
    </row>
    <row r="346" spans="6:12" ht="12.5">
      <c r="F346" s="86"/>
      <c r="G346" s="86"/>
      <c r="H346" s="86"/>
      <c r="I346" s="65"/>
      <c r="J346" s="65"/>
      <c r="K346" s="87"/>
      <c r="L346" s="88"/>
    </row>
    <row r="347" spans="6:12" ht="12.5">
      <c r="F347" s="86"/>
      <c r="G347" s="86"/>
      <c r="H347" s="86"/>
      <c r="I347" s="65"/>
      <c r="J347" s="65"/>
      <c r="K347" s="87"/>
      <c r="L347" s="88"/>
    </row>
    <row r="348" spans="6:12" ht="12.5">
      <c r="F348" s="86"/>
      <c r="G348" s="86"/>
      <c r="H348" s="86"/>
      <c r="I348" s="65"/>
      <c r="J348" s="65"/>
      <c r="K348" s="87"/>
      <c r="L348" s="88"/>
    </row>
    <row r="349" spans="6:12" ht="12.5">
      <c r="F349" s="86"/>
      <c r="G349" s="86"/>
      <c r="H349" s="86"/>
      <c r="I349" s="65"/>
      <c r="J349" s="65"/>
      <c r="K349" s="87"/>
      <c r="L349" s="88"/>
    </row>
    <row r="350" spans="6:12" ht="12.5">
      <c r="F350" s="86"/>
      <c r="G350" s="86"/>
      <c r="H350" s="86"/>
      <c r="I350" s="65"/>
      <c r="J350" s="65"/>
      <c r="K350" s="87"/>
      <c r="L350" s="88"/>
    </row>
    <row r="351" spans="6:12" ht="12.5">
      <c r="F351" s="86"/>
      <c r="G351" s="86"/>
      <c r="H351" s="86"/>
      <c r="I351" s="65"/>
      <c r="J351" s="65"/>
      <c r="K351" s="87"/>
      <c r="L351" s="88"/>
    </row>
    <row r="352" spans="6:12" ht="12.5">
      <c r="F352" s="86"/>
      <c r="G352" s="86"/>
      <c r="H352" s="86"/>
      <c r="I352" s="65"/>
      <c r="J352" s="65"/>
      <c r="K352" s="87"/>
      <c r="L352" s="88"/>
    </row>
    <row r="353" spans="6:12" ht="12.5">
      <c r="F353" s="86"/>
      <c r="G353" s="86"/>
      <c r="H353" s="86"/>
      <c r="I353" s="65"/>
      <c r="J353" s="65"/>
      <c r="K353" s="87"/>
      <c r="L353" s="88"/>
    </row>
    <row r="354" spans="6:12" ht="12.5">
      <c r="F354" s="86"/>
      <c r="G354" s="86"/>
      <c r="H354" s="86"/>
      <c r="I354" s="65"/>
      <c r="J354" s="65"/>
      <c r="K354" s="87"/>
      <c r="L354" s="88"/>
    </row>
    <row r="355" spans="6:12" ht="12.5">
      <c r="F355" s="86"/>
      <c r="G355" s="86"/>
      <c r="H355" s="86"/>
      <c r="I355" s="65"/>
      <c r="J355" s="65"/>
      <c r="K355" s="87"/>
      <c r="L355" s="88"/>
    </row>
    <row r="356" spans="6:12" ht="12.5">
      <c r="F356" s="86"/>
      <c r="G356" s="86"/>
      <c r="H356" s="86"/>
      <c r="I356" s="65"/>
      <c r="J356" s="65"/>
      <c r="K356" s="87"/>
      <c r="L356" s="88"/>
    </row>
    <row r="357" spans="6:12" ht="12.5">
      <c r="F357" s="86"/>
      <c r="G357" s="86"/>
      <c r="H357" s="86"/>
      <c r="I357" s="65"/>
      <c r="J357" s="65"/>
      <c r="K357" s="87"/>
      <c r="L357" s="88"/>
    </row>
    <row r="358" spans="6:12" ht="12.5">
      <c r="F358" s="86"/>
      <c r="G358" s="86"/>
      <c r="H358" s="86"/>
      <c r="I358" s="65"/>
      <c r="J358" s="65"/>
      <c r="K358" s="87"/>
      <c r="L358" s="88"/>
    </row>
    <row r="359" spans="6:12" ht="12.5">
      <c r="F359" s="86"/>
      <c r="G359" s="86"/>
      <c r="H359" s="86"/>
      <c r="I359" s="65"/>
      <c r="J359" s="65"/>
      <c r="K359" s="87"/>
      <c r="L359" s="88"/>
    </row>
    <row r="360" spans="6:12" ht="12.5">
      <c r="F360" s="86"/>
      <c r="G360" s="86"/>
      <c r="H360" s="86"/>
      <c r="I360" s="65"/>
      <c r="J360" s="65"/>
      <c r="K360" s="87"/>
      <c r="L360" s="88"/>
    </row>
    <row r="361" spans="6:12" ht="12.5">
      <c r="F361" s="86"/>
      <c r="G361" s="86"/>
      <c r="H361" s="86"/>
      <c r="I361" s="65"/>
      <c r="J361" s="65"/>
      <c r="K361" s="87"/>
      <c r="L361" s="88"/>
    </row>
    <row r="362" spans="6:12" ht="12.5">
      <c r="F362" s="86"/>
      <c r="G362" s="86"/>
      <c r="H362" s="86"/>
      <c r="I362" s="65"/>
      <c r="J362" s="65"/>
      <c r="K362" s="87"/>
      <c r="L362" s="88"/>
    </row>
    <row r="363" spans="6:12" ht="12.5">
      <c r="F363" s="86"/>
      <c r="G363" s="86"/>
      <c r="H363" s="86"/>
      <c r="I363" s="65"/>
      <c r="J363" s="65"/>
      <c r="K363" s="87"/>
      <c r="L363" s="88"/>
    </row>
    <row r="364" spans="6:12" ht="12.5">
      <c r="F364" s="86"/>
      <c r="G364" s="86"/>
      <c r="H364" s="86"/>
      <c r="I364" s="65"/>
      <c r="J364" s="65"/>
      <c r="K364" s="87"/>
      <c r="L364" s="88"/>
    </row>
    <row r="365" spans="6:12" ht="12.5">
      <c r="F365" s="86"/>
      <c r="G365" s="86"/>
      <c r="H365" s="86"/>
      <c r="I365" s="65"/>
      <c r="J365" s="65"/>
      <c r="K365" s="87"/>
      <c r="L365" s="88"/>
    </row>
    <row r="366" spans="6:12" ht="12.5">
      <c r="F366" s="86"/>
      <c r="G366" s="86"/>
      <c r="H366" s="86"/>
      <c r="I366" s="65"/>
      <c r="J366" s="65"/>
      <c r="K366" s="87"/>
      <c r="L366" s="88"/>
    </row>
    <row r="367" spans="6:12" ht="12.5">
      <c r="F367" s="86"/>
      <c r="G367" s="86"/>
      <c r="H367" s="86"/>
      <c r="I367" s="65"/>
      <c r="J367" s="65"/>
      <c r="K367" s="87"/>
      <c r="L367" s="88"/>
    </row>
    <row r="368" spans="6:12" ht="12.5">
      <c r="F368" s="86"/>
      <c r="G368" s="86"/>
      <c r="H368" s="86"/>
      <c r="I368" s="65"/>
      <c r="J368" s="65"/>
      <c r="K368" s="87"/>
      <c r="L368" s="88"/>
    </row>
    <row r="369" spans="6:12" ht="12.5">
      <c r="F369" s="86"/>
      <c r="G369" s="86"/>
      <c r="H369" s="86"/>
      <c r="I369" s="65"/>
      <c r="J369" s="65"/>
      <c r="K369" s="87"/>
      <c r="L369" s="88"/>
    </row>
    <row r="370" spans="6:12" ht="12.5">
      <c r="F370" s="86"/>
      <c r="G370" s="86"/>
      <c r="H370" s="86"/>
      <c r="I370" s="65"/>
      <c r="J370" s="65"/>
      <c r="K370" s="87"/>
      <c r="L370" s="88"/>
    </row>
    <row r="371" spans="6:12" ht="12.5">
      <c r="F371" s="86"/>
      <c r="G371" s="86"/>
      <c r="H371" s="86"/>
      <c r="I371" s="65"/>
      <c r="J371" s="65"/>
      <c r="K371" s="87"/>
      <c r="L371" s="88"/>
    </row>
    <row r="372" spans="6:12" ht="12.5">
      <c r="F372" s="86"/>
      <c r="G372" s="86"/>
      <c r="H372" s="86"/>
      <c r="I372" s="65"/>
      <c r="J372" s="65"/>
      <c r="K372" s="87"/>
      <c r="L372" s="88"/>
    </row>
    <row r="373" spans="6:12" ht="12.5">
      <c r="F373" s="86"/>
      <c r="G373" s="86"/>
      <c r="H373" s="86"/>
      <c r="I373" s="65"/>
      <c r="J373" s="65"/>
      <c r="K373" s="87"/>
      <c r="L373" s="88"/>
    </row>
    <row r="374" spans="6:12" ht="12.5">
      <c r="F374" s="86"/>
      <c r="G374" s="86"/>
      <c r="H374" s="86"/>
      <c r="I374" s="65"/>
      <c r="J374" s="65"/>
      <c r="K374" s="87"/>
      <c r="L374" s="88"/>
    </row>
    <row r="375" spans="6:12" ht="12.5">
      <c r="F375" s="86"/>
      <c r="G375" s="86"/>
      <c r="H375" s="86"/>
      <c r="I375" s="65"/>
      <c r="J375" s="65"/>
      <c r="K375" s="87"/>
      <c r="L375" s="88"/>
    </row>
    <row r="376" spans="6:12" ht="12.5">
      <c r="F376" s="86"/>
      <c r="G376" s="86"/>
      <c r="H376" s="86"/>
      <c r="I376" s="65"/>
      <c r="J376" s="65"/>
      <c r="K376" s="87"/>
      <c r="L376" s="88"/>
    </row>
    <row r="377" spans="6:12" ht="12.5">
      <c r="F377" s="86"/>
      <c r="G377" s="86"/>
      <c r="H377" s="86"/>
      <c r="I377" s="65"/>
      <c r="J377" s="65"/>
      <c r="K377" s="87"/>
      <c r="L377" s="88"/>
    </row>
    <row r="378" spans="6:12" ht="12.5">
      <c r="F378" s="86"/>
      <c r="G378" s="86"/>
      <c r="H378" s="86"/>
      <c r="I378" s="65"/>
      <c r="J378" s="65"/>
      <c r="K378" s="87"/>
      <c r="L378" s="88"/>
    </row>
    <row r="379" spans="6:12" ht="12.5">
      <c r="F379" s="86"/>
      <c r="G379" s="86"/>
      <c r="H379" s="86"/>
      <c r="I379" s="65"/>
      <c r="J379" s="65"/>
      <c r="K379" s="87"/>
      <c r="L379" s="88"/>
    </row>
    <row r="380" spans="6:12" ht="12.5">
      <c r="F380" s="86"/>
      <c r="G380" s="86"/>
      <c r="H380" s="86"/>
      <c r="I380" s="65"/>
      <c r="J380" s="65"/>
      <c r="K380" s="87"/>
      <c r="L380" s="88"/>
    </row>
    <row r="381" spans="6:12" ht="12.5">
      <c r="F381" s="86"/>
      <c r="G381" s="86"/>
      <c r="H381" s="86"/>
      <c r="I381" s="65"/>
      <c r="J381" s="65"/>
      <c r="K381" s="87"/>
      <c r="L381" s="88"/>
    </row>
    <row r="382" spans="6:12" ht="12.5">
      <c r="F382" s="86"/>
      <c r="G382" s="86"/>
      <c r="H382" s="86"/>
      <c r="I382" s="65"/>
      <c r="J382" s="65"/>
      <c r="K382" s="87"/>
      <c r="L382" s="88"/>
    </row>
    <row r="383" spans="6:12" ht="12.5">
      <c r="F383" s="86"/>
      <c r="G383" s="86"/>
      <c r="H383" s="86"/>
      <c r="I383" s="65"/>
      <c r="J383" s="65"/>
      <c r="K383" s="87"/>
      <c r="L383" s="88"/>
    </row>
    <row r="384" spans="6:12" ht="12.5">
      <c r="F384" s="86"/>
      <c r="G384" s="86"/>
      <c r="H384" s="86"/>
      <c r="I384" s="65"/>
      <c r="J384" s="65"/>
      <c r="K384" s="87"/>
      <c r="L384" s="88"/>
    </row>
    <row r="385" spans="6:12" ht="12.5">
      <c r="F385" s="86"/>
      <c r="G385" s="86"/>
      <c r="H385" s="86"/>
      <c r="I385" s="65"/>
      <c r="J385" s="65"/>
      <c r="K385" s="87"/>
      <c r="L385" s="88"/>
    </row>
    <row r="386" spans="6:12" ht="12.5">
      <c r="F386" s="86"/>
      <c r="G386" s="86"/>
      <c r="H386" s="86"/>
      <c r="I386" s="65"/>
      <c r="J386" s="65"/>
      <c r="K386" s="87"/>
      <c r="L386" s="88"/>
    </row>
    <row r="387" spans="6:12" ht="12.5">
      <c r="F387" s="86"/>
      <c r="G387" s="86"/>
      <c r="H387" s="86"/>
      <c r="I387" s="65"/>
      <c r="J387" s="65"/>
      <c r="K387" s="87"/>
      <c r="L387" s="88"/>
    </row>
    <row r="388" spans="6:12" ht="12.5">
      <c r="F388" s="86"/>
      <c r="G388" s="86"/>
      <c r="H388" s="86"/>
      <c r="I388" s="65"/>
      <c r="J388" s="65"/>
      <c r="K388" s="87"/>
      <c r="L388" s="88"/>
    </row>
    <row r="389" spans="6:12" ht="12.5">
      <c r="F389" s="86"/>
      <c r="G389" s="86"/>
      <c r="H389" s="86"/>
      <c r="I389" s="65"/>
      <c r="J389" s="65"/>
      <c r="K389" s="87"/>
      <c r="L389" s="88"/>
    </row>
    <row r="390" spans="6:12" ht="12.5">
      <c r="F390" s="86"/>
      <c r="G390" s="86"/>
      <c r="H390" s="86"/>
      <c r="I390" s="65"/>
      <c r="J390" s="65"/>
      <c r="K390" s="87"/>
      <c r="L390" s="88"/>
    </row>
    <row r="391" spans="6:12" ht="12.5">
      <c r="F391" s="86"/>
      <c r="G391" s="86"/>
      <c r="H391" s="86"/>
      <c r="I391" s="65"/>
      <c r="J391" s="65"/>
      <c r="K391" s="87"/>
      <c r="L391" s="88"/>
    </row>
    <row r="392" spans="6:12" ht="12.5">
      <c r="F392" s="86"/>
      <c r="G392" s="86"/>
      <c r="H392" s="86"/>
      <c r="I392" s="65"/>
      <c r="J392" s="65"/>
      <c r="K392" s="87"/>
      <c r="L392" s="88"/>
    </row>
    <row r="393" spans="6:12" ht="12.5">
      <c r="F393" s="86"/>
      <c r="G393" s="86"/>
      <c r="H393" s="86"/>
      <c r="I393" s="65"/>
      <c r="J393" s="65"/>
      <c r="K393" s="87"/>
      <c r="L393" s="88"/>
    </row>
    <row r="394" spans="6:12" ht="12.5">
      <c r="F394" s="86"/>
      <c r="G394" s="86"/>
      <c r="H394" s="86"/>
      <c r="I394" s="65"/>
      <c r="J394" s="65"/>
      <c r="K394" s="87"/>
      <c r="L394" s="88"/>
    </row>
    <row r="395" spans="6:12" ht="12.5">
      <c r="F395" s="86"/>
      <c r="G395" s="86"/>
      <c r="H395" s="86"/>
      <c r="I395" s="65"/>
      <c r="J395" s="65"/>
      <c r="K395" s="87"/>
      <c r="L395" s="88"/>
    </row>
    <row r="396" spans="6:12" ht="12.5">
      <c r="F396" s="86"/>
      <c r="G396" s="86"/>
      <c r="H396" s="86"/>
      <c r="I396" s="65"/>
      <c r="J396" s="65"/>
      <c r="K396" s="87"/>
      <c r="L396" s="88"/>
    </row>
    <row r="397" spans="6:12" ht="12.5">
      <c r="F397" s="86"/>
      <c r="G397" s="86"/>
      <c r="H397" s="86"/>
      <c r="I397" s="65"/>
      <c r="J397" s="65"/>
      <c r="K397" s="87"/>
      <c r="L397" s="88"/>
    </row>
    <row r="398" spans="6:12" ht="12.5">
      <c r="F398" s="86"/>
      <c r="G398" s="86"/>
      <c r="H398" s="86"/>
      <c r="I398" s="65"/>
      <c r="J398" s="65"/>
      <c r="K398" s="87"/>
      <c r="L398" s="88"/>
    </row>
    <row r="399" spans="6:12" ht="12.5">
      <c r="F399" s="86"/>
      <c r="G399" s="86"/>
      <c r="H399" s="86"/>
      <c r="I399" s="65"/>
      <c r="J399" s="65"/>
      <c r="K399" s="87"/>
      <c r="L399" s="88"/>
    </row>
    <row r="400" spans="6:12" ht="12.5">
      <c r="F400" s="86"/>
      <c r="G400" s="86"/>
      <c r="H400" s="86"/>
      <c r="I400" s="65"/>
      <c r="J400" s="65"/>
      <c r="K400" s="87"/>
      <c r="L400" s="88"/>
    </row>
    <row r="401" spans="6:12" ht="12.5">
      <c r="F401" s="86"/>
      <c r="G401" s="86"/>
      <c r="H401" s="86"/>
      <c r="I401" s="65"/>
      <c r="J401" s="65"/>
      <c r="K401" s="87"/>
      <c r="L401" s="88"/>
    </row>
    <row r="402" spans="6:12" ht="12.5">
      <c r="F402" s="86"/>
      <c r="G402" s="86"/>
      <c r="H402" s="86"/>
      <c r="I402" s="65"/>
      <c r="J402" s="65"/>
      <c r="K402" s="87"/>
      <c r="L402" s="88"/>
    </row>
    <row r="403" spans="6:12" ht="12.5">
      <c r="F403" s="86"/>
      <c r="G403" s="86"/>
      <c r="H403" s="86"/>
      <c r="I403" s="65"/>
      <c r="J403" s="65"/>
      <c r="K403" s="87"/>
      <c r="L403" s="88"/>
    </row>
    <row r="404" spans="6:12" ht="12.5">
      <c r="F404" s="86"/>
      <c r="G404" s="86"/>
      <c r="H404" s="86"/>
      <c r="I404" s="65"/>
      <c r="J404" s="65"/>
      <c r="K404" s="87"/>
      <c r="L404" s="88"/>
    </row>
    <row r="405" spans="6:12" ht="12.5">
      <c r="F405" s="86"/>
      <c r="G405" s="86"/>
      <c r="H405" s="86"/>
      <c r="I405" s="65"/>
      <c r="J405" s="65"/>
      <c r="K405" s="87"/>
      <c r="L405" s="88"/>
    </row>
    <row r="406" spans="6:12" ht="12.5">
      <c r="F406" s="86"/>
      <c r="G406" s="86"/>
      <c r="H406" s="86"/>
      <c r="I406" s="65"/>
      <c r="J406" s="65"/>
      <c r="K406" s="87"/>
      <c r="L406" s="88"/>
    </row>
    <row r="407" spans="6:12" ht="12.5">
      <c r="F407" s="86"/>
      <c r="G407" s="86"/>
      <c r="H407" s="86"/>
      <c r="I407" s="65"/>
      <c r="J407" s="65"/>
      <c r="K407" s="87"/>
      <c r="L407" s="88"/>
    </row>
    <row r="408" spans="6:12" ht="12.5">
      <c r="F408" s="86"/>
      <c r="G408" s="86"/>
      <c r="H408" s="86"/>
      <c r="I408" s="65"/>
      <c r="J408" s="65"/>
      <c r="K408" s="87"/>
      <c r="L408" s="88"/>
    </row>
    <row r="409" spans="6:12" ht="12.5">
      <c r="F409" s="86"/>
      <c r="G409" s="86"/>
      <c r="H409" s="86"/>
      <c r="I409" s="65"/>
      <c r="J409" s="65"/>
      <c r="K409" s="87"/>
      <c r="L409" s="88"/>
    </row>
    <row r="410" spans="6:12" ht="12.5">
      <c r="F410" s="86"/>
      <c r="G410" s="86"/>
      <c r="H410" s="86"/>
      <c r="I410" s="65"/>
      <c r="J410" s="65"/>
      <c r="K410" s="87"/>
      <c r="L410" s="88"/>
    </row>
    <row r="411" spans="6:12" ht="12.5">
      <c r="F411" s="86"/>
      <c r="G411" s="86"/>
      <c r="H411" s="86"/>
      <c r="I411" s="65"/>
      <c r="J411" s="65"/>
      <c r="K411" s="87"/>
      <c r="L411" s="88"/>
    </row>
    <row r="412" spans="6:12" ht="12.5">
      <c r="F412" s="86"/>
      <c r="G412" s="86"/>
      <c r="H412" s="86"/>
      <c r="I412" s="65"/>
      <c r="J412" s="65"/>
      <c r="K412" s="87"/>
      <c r="L412" s="88"/>
    </row>
    <row r="413" spans="6:12" ht="12.5">
      <c r="F413" s="86"/>
      <c r="G413" s="86"/>
      <c r="H413" s="86"/>
      <c r="I413" s="65"/>
      <c r="J413" s="65"/>
      <c r="K413" s="87"/>
      <c r="L413" s="88"/>
    </row>
    <row r="414" spans="6:12" ht="12.5">
      <c r="F414" s="86"/>
      <c r="G414" s="86"/>
      <c r="H414" s="86"/>
      <c r="I414" s="65"/>
      <c r="J414" s="65"/>
      <c r="K414" s="87"/>
      <c r="L414" s="88"/>
    </row>
    <row r="415" spans="6:12" ht="12.5">
      <c r="F415" s="86"/>
      <c r="G415" s="86"/>
      <c r="H415" s="86"/>
      <c r="I415" s="65"/>
      <c r="J415" s="65"/>
      <c r="K415" s="87"/>
      <c r="L415" s="88"/>
    </row>
    <row r="416" spans="6:12" ht="12.5">
      <c r="F416" s="86"/>
      <c r="G416" s="86"/>
      <c r="H416" s="86"/>
      <c r="I416" s="65"/>
      <c r="J416" s="65"/>
      <c r="K416" s="87"/>
      <c r="L416" s="88"/>
    </row>
    <row r="417" spans="6:12" ht="12.5">
      <c r="F417" s="86"/>
      <c r="G417" s="86"/>
      <c r="H417" s="86"/>
      <c r="I417" s="65"/>
      <c r="J417" s="65"/>
      <c r="K417" s="87"/>
      <c r="L417" s="88"/>
    </row>
    <row r="418" spans="6:12" ht="12.5">
      <c r="F418" s="86"/>
      <c r="G418" s="86"/>
      <c r="H418" s="86"/>
      <c r="I418" s="65"/>
      <c r="J418" s="65"/>
      <c r="K418" s="87"/>
      <c r="L418" s="88"/>
    </row>
    <row r="419" spans="6:12" ht="12.5">
      <c r="F419" s="86"/>
      <c r="G419" s="86"/>
      <c r="H419" s="86"/>
      <c r="I419" s="65"/>
      <c r="J419" s="65"/>
      <c r="K419" s="87"/>
      <c r="L419" s="88"/>
    </row>
    <row r="420" spans="6:12" ht="12.5">
      <c r="F420" s="86"/>
      <c r="G420" s="86"/>
      <c r="H420" s="86"/>
      <c r="I420" s="65"/>
      <c r="J420" s="65"/>
      <c r="K420" s="87"/>
      <c r="L420" s="88"/>
    </row>
    <row r="421" spans="6:12" ht="12.5">
      <c r="F421" s="86"/>
      <c r="G421" s="86"/>
      <c r="H421" s="86"/>
      <c r="I421" s="65"/>
      <c r="J421" s="65"/>
      <c r="K421" s="87"/>
      <c r="L421" s="88"/>
    </row>
    <row r="422" spans="6:12" ht="12.5">
      <c r="F422" s="86"/>
      <c r="G422" s="86"/>
      <c r="H422" s="86"/>
      <c r="I422" s="65"/>
      <c r="J422" s="65"/>
      <c r="K422" s="87"/>
      <c r="L422" s="88"/>
    </row>
    <row r="423" spans="6:12" ht="12.5">
      <c r="F423" s="86"/>
      <c r="G423" s="86"/>
      <c r="H423" s="86"/>
      <c r="I423" s="65"/>
      <c r="J423" s="65"/>
      <c r="K423" s="87"/>
      <c r="L423" s="88"/>
    </row>
    <row r="424" spans="6:12" ht="12.5">
      <c r="F424" s="86"/>
      <c r="G424" s="86"/>
      <c r="H424" s="86"/>
      <c r="I424" s="65"/>
      <c r="J424" s="65"/>
      <c r="K424" s="87"/>
      <c r="L424" s="88"/>
    </row>
    <row r="425" spans="6:12" ht="12.5">
      <c r="F425" s="86"/>
      <c r="G425" s="86"/>
      <c r="H425" s="86"/>
      <c r="I425" s="65"/>
      <c r="J425" s="65"/>
      <c r="K425" s="87"/>
      <c r="L425" s="88"/>
    </row>
    <row r="426" spans="6:12" ht="12.5">
      <c r="F426" s="86"/>
      <c r="G426" s="86"/>
      <c r="H426" s="86"/>
      <c r="I426" s="65"/>
      <c r="J426" s="65"/>
      <c r="K426" s="87"/>
      <c r="L426" s="88"/>
    </row>
    <row r="427" spans="6:12" ht="12.5">
      <c r="F427" s="86"/>
      <c r="G427" s="86"/>
      <c r="H427" s="86"/>
      <c r="I427" s="65"/>
      <c r="J427" s="65"/>
      <c r="K427" s="87"/>
      <c r="L427" s="88"/>
    </row>
    <row r="428" spans="6:12" ht="12.5">
      <c r="F428" s="86"/>
      <c r="G428" s="86"/>
      <c r="H428" s="86"/>
      <c r="I428" s="65"/>
      <c r="J428" s="65"/>
      <c r="K428" s="87"/>
      <c r="L428" s="88"/>
    </row>
    <row r="429" spans="6:12" ht="12.5">
      <c r="F429" s="86"/>
      <c r="G429" s="86"/>
      <c r="H429" s="86"/>
      <c r="I429" s="65"/>
      <c r="J429" s="65"/>
      <c r="K429" s="87"/>
      <c r="L429" s="88"/>
    </row>
    <row r="430" spans="6:12" ht="12.5">
      <c r="F430" s="86"/>
      <c r="G430" s="86"/>
      <c r="H430" s="86"/>
      <c r="I430" s="65"/>
      <c r="J430" s="65"/>
      <c r="K430" s="87"/>
      <c r="L430" s="88"/>
    </row>
    <row r="431" spans="6:12" ht="12.5">
      <c r="F431" s="86"/>
      <c r="G431" s="86"/>
      <c r="H431" s="86"/>
      <c r="I431" s="65"/>
      <c r="J431" s="65"/>
      <c r="K431" s="87"/>
      <c r="L431" s="88"/>
    </row>
    <row r="432" spans="6:12" ht="12.5">
      <c r="F432" s="86"/>
      <c r="G432" s="86"/>
      <c r="H432" s="86"/>
      <c r="I432" s="65"/>
      <c r="J432" s="65"/>
      <c r="K432" s="87"/>
      <c r="L432" s="88"/>
    </row>
    <row r="433" spans="6:12" ht="12.5">
      <c r="F433" s="86"/>
      <c r="G433" s="86"/>
      <c r="H433" s="86"/>
      <c r="I433" s="65"/>
      <c r="J433" s="65"/>
      <c r="K433" s="87"/>
      <c r="L433" s="88"/>
    </row>
    <row r="434" spans="6:12" ht="12.5">
      <c r="F434" s="86"/>
      <c r="G434" s="86"/>
      <c r="H434" s="86"/>
      <c r="I434" s="65"/>
      <c r="J434" s="65"/>
      <c r="K434" s="87"/>
      <c r="L434" s="88"/>
    </row>
    <row r="435" spans="6:12" ht="12.5">
      <c r="F435" s="86"/>
      <c r="G435" s="86"/>
      <c r="H435" s="86"/>
      <c r="I435" s="65"/>
      <c r="J435" s="65"/>
      <c r="K435" s="87"/>
      <c r="L435" s="88"/>
    </row>
    <row r="436" spans="6:12" ht="12.5">
      <c r="F436" s="86"/>
      <c r="G436" s="86"/>
      <c r="H436" s="86"/>
      <c r="I436" s="65"/>
      <c r="J436" s="65"/>
      <c r="K436" s="87"/>
      <c r="L436" s="88"/>
    </row>
    <row r="437" spans="6:12" ht="12.5">
      <c r="F437" s="86"/>
      <c r="G437" s="86"/>
      <c r="H437" s="86"/>
      <c r="I437" s="65"/>
      <c r="J437" s="65"/>
      <c r="K437" s="87"/>
      <c r="L437" s="88"/>
    </row>
    <row r="438" spans="6:12" ht="12.5">
      <c r="F438" s="86"/>
      <c r="G438" s="86"/>
      <c r="H438" s="86"/>
      <c r="I438" s="65"/>
      <c r="J438" s="65"/>
      <c r="K438" s="87"/>
      <c r="L438" s="88"/>
    </row>
    <row r="439" spans="6:12" ht="12.5">
      <c r="F439" s="86"/>
      <c r="G439" s="86"/>
      <c r="H439" s="86"/>
      <c r="I439" s="65"/>
      <c r="J439" s="65"/>
      <c r="K439" s="87"/>
      <c r="L439" s="88"/>
    </row>
    <row r="440" spans="6:12" ht="12.5">
      <c r="F440" s="86"/>
      <c r="G440" s="86"/>
      <c r="H440" s="86"/>
      <c r="I440" s="65"/>
      <c r="J440" s="65"/>
      <c r="K440" s="87"/>
      <c r="L440" s="88"/>
    </row>
    <row r="441" spans="6:12" ht="12.5">
      <c r="F441" s="86"/>
      <c r="G441" s="86"/>
      <c r="H441" s="86"/>
      <c r="I441" s="65"/>
      <c r="J441" s="65"/>
      <c r="K441" s="87"/>
      <c r="L441" s="88"/>
    </row>
    <row r="442" spans="6:12" ht="12.5">
      <c r="F442" s="86"/>
      <c r="G442" s="86"/>
      <c r="H442" s="86"/>
      <c r="I442" s="65"/>
      <c r="J442" s="65"/>
      <c r="K442" s="87"/>
      <c r="L442" s="88"/>
    </row>
    <row r="443" spans="6:12" ht="12.5">
      <c r="F443" s="86"/>
      <c r="G443" s="86"/>
      <c r="H443" s="86"/>
      <c r="I443" s="65"/>
      <c r="J443" s="65"/>
      <c r="K443" s="87"/>
      <c r="L443" s="88"/>
    </row>
    <row r="444" spans="6:12" ht="12.5">
      <c r="F444" s="86"/>
      <c r="G444" s="86"/>
      <c r="H444" s="86"/>
      <c r="I444" s="65"/>
      <c r="J444" s="65"/>
      <c r="K444" s="87"/>
      <c r="L444" s="88"/>
    </row>
    <row r="445" spans="6:12" ht="12.5">
      <c r="F445" s="86"/>
      <c r="G445" s="86"/>
      <c r="H445" s="86"/>
      <c r="I445" s="65"/>
      <c r="J445" s="65"/>
      <c r="K445" s="87"/>
      <c r="L445" s="88"/>
    </row>
    <row r="446" spans="6:12" ht="12.5">
      <c r="F446" s="86"/>
      <c r="G446" s="86"/>
      <c r="H446" s="86"/>
      <c r="I446" s="65"/>
      <c r="J446" s="65"/>
      <c r="K446" s="87"/>
      <c r="L446" s="88"/>
    </row>
    <row r="447" spans="6:12" ht="12.5">
      <c r="F447" s="86"/>
      <c r="G447" s="86"/>
      <c r="H447" s="86"/>
      <c r="I447" s="65"/>
      <c r="J447" s="65"/>
      <c r="K447" s="87"/>
      <c r="L447" s="88"/>
    </row>
    <row r="448" spans="6:12" ht="12.5">
      <c r="F448" s="86"/>
      <c r="G448" s="86"/>
      <c r="H448" s="86"/>
      <c r="I448" s="65"/>
      <c r="J448" s="65"/>
      <c r="K448" s="87"/>
      <c r="L448" s="88"/>
    </row>
    <row r="449" spans="6:12" ht="12.5">
      <c r="F449" s="86"/>
      <c r="G449" s="86"/>
      <c r="H449" s="86"/>
      <c r="I449" s="65"/>
      <c r="J449" s="65"/>
      <c r="K449" s="87"/>
      <c r="L449" s="88"/>
    </row>
    <row r="450" spans="6:12" ht="12.5">
      <c r="F450" s="86"/>
      <c r="G450" s="86"/>
      <c r="H450" s="86"/>
      <c r="I450" s="65"/>
      <c r="J450" s="65"/>
      <c r="K450" s="87"/>
      <c r="L450" s="88"/>
    </row>
    <row r="451" spans="6:12" ht="12.5">
      <c r="F451" s="86"/>
      <c r="G451" s="86"/>
      <c r="H451" s="86"/>
      <c r="I451" s="65"/>
      <c r="J451" s="65"/>
      <c r="K451" s="87"/>
      <c r="L451" s="88"/>
    </row>
    <row r="452" spans="6:12" ht="12.5">
      <c r="F452" s="86"/>
      <c r="G452" s="86"/>
      <c r="H452" s="86"/>
      <c r="I452" s="65"/>
      <c r="J452" s="65"/>
      <c r="K452" s="87"/>
      <c r="L452" s="88"/>
    </row>
    <row r="453" spans="6:12" ht="12.5">
      <c r="F453" s="86"/>
      <c r="G453" s="86"/>
      <c r="H453" s="86"/>
      <c r="I453" s="65"/>
      <c r="J453" s="65"/>
      <c r="K453" s="87"/>
      <c r="L453" s="88"/>
    </row>
    <row r="454" spans="6:12" ht="12.5">
      <c r="F454" s="86"/>
      <c r="G454" s="86"/>
      <c r="H454" s="86"/>
      <c r="I454" s="65"/>
      <c r="J454" s="65"/>
      <c r="K454" s="87"/>
      <c r="L454" s="88"/>
    </row>
    <row r="455" spans="6:12" ht="12.5">
      <c r="F455" s="86"/>
      <c r="G455" s="86"/>
      <c r="H455" s="86"/>
      <c r="I455" s="65"/>
      <c r="J455" s="65"/>
      <c r="K455" s="87"/>
      <c r="L455" s="88"/>
    </row>
    <row r="456" spans="6:12" ht="12.5">
      <c r="F456" s="86"/>
      <c r="G456" s="86"/>
      <c r="H456" s="86"/>
      <c r="I456" s="65"/>
      <c r="J456" s="65"/>
      <c r="K456" s="87"/>
      <c r="L456" s="88"/>
    </row>
    <row r="457" spans="6:12" ht="12.5">
      <c r="F457" s="86"/>
      <c r="G457" s="86"/>
      <c r="H457" s="86"/>
      <c r="I457" s="65"/>
      <c r="J457" s="65"/>
      <c r="K457" s="87"/>
      <c r="L457" s="88"/>
    </row>
    <row r="458" spans="6:12" ht="12.5">
      <c r="F458" s="86"/>
      <c r="G458" s="86"/>
      <c r="H458" s="86"/>
      <c r="I458" s="65"/>
      <c r="J458" s="65"/>
      <c r="K458" s="87"/>
      <c r="L458" s="88"/>
    </row>
    <row r="459" spans="6:12" ht="12.5">
      <c r="F459" s="86"/>
      <c r="G459" s="86"/>
      <c r="H459" s="86"/>
      <c r="I459" s="65"/>
      <c r="J459" s="65"/>
      <c r="K459" s="87"/>
      <c r="L459" s="88"/>
    </row>
    <row r="460" spans="6:12" ht="12.5">
      <c r="F460" s="86"/>
      <c r="G460" s="86"/>
      <c r="H460" s="86"/>
      <c r="I460" s="65"/>
      <c r="J460" s="65"/>
      <c r="K460" s="87"/>
      <c r="L460" s="88"/>
    </row>
    <row r="461" spans="6:12" ht="12.5">
      <c r="F461" s="86"/>
      <c r="G461" s="86"/>
      <c r="H461" s="86"/>
      <c r="I461" s="65"/>
      <c r="J461" s="65"/>
      <c r="K461" s="87"/>
      <c r="L461" s="88"/>
    </row>
    <row r="462" spans="6:12" ht="12.5">
      <c r="F462" s="86"/>
      <c r="G462" s="86"/>
      <c r="H462" s="86"/>
      <c r="I462" s="65"/>
      <c r="J462" s="65"/>
      <c r="K462" s="87"/>
      <c r="L462" s="88"/>
    </row>
    <row r="463" spans="6:12" ht="12.5">
      <c r="F463" s="86"/>
      <c r="G463" s="86"/>
      <c r="H463" s="86"/>
      <c r="I463" s="65"/>
      <c r="J463" s="65"/>
      <c r="K463" s="87"/>
      <c r="L463" s="88"/>
    </row>
    <row r="464" spans="6:12" ht="12.5">
      <c r="F464" s="86"/>
      <c r="G464" s="86"/>
      <c r="H464" s="86"/>
      <c r="I464" s="65"/>
      <c r="J464" s="65"/>
      <c r="K464" s="87"/>
      <c r="L464" s="88"/>
    </row>
    <row r="465" spans="6:12" ht="12.5">
      <c r="F465" s="86"/>
      <c r="G465" s="86"/>
      <c r="H465" s="86"/>
      <c r="I465" s="65"/>
      <c r="J465" s="65"/>
      <c r="K465" s="87"/>
      <c r="L465" s="88"/>
    </row>
    <row r="466" spans="6:12" ht="12.5">
      <c r="F466" s="86"/>
      <c r="G466" s="86"/>
      <c r="H466" s="86"/>
      <c r="I466" s="65"/>
      <c r="J466" s="65"/>
      <c r="K466" s="87"/>
      <c r="L466" s="88"/>
    </row>
    <row r="467" spans="6:12" ht="12.5">
      <c r="F467" s="86"/>
      <c r="G467" s="86"/>
      <c r="H467" s="86"/>
      <c r="I467" s="65"/>
      <c r="J467" s="65"/>
      <c r="K467" s="87"/>
      <c r="L467" s="88"/>
    </row>
    <row r="468" spans="6:12" ht="12.5">
      <c r="F468" s="86"/>
      <c r="G468" s="86"/>
      <c r="H468" s="86"/>
      <c r="I468" s="65"/>
      <c r="J468" s="65"/>
      <c r="K468" s="87"/>
      <c r="L468" s="88"/>
    </row>
    <row r="469" spans="6:12" ht="12.5">
      <c r="F469" s="86"/>
      <c r="G469" s="86"/>
      <c r="H469" s="86"/>
      <c r="I469" s="65"/>
      <c r="J469" s="65"/>
      <c r="K469" s="87"/>
      <c r="L469" s="88"/>
    </row>
    <row r="470" spans="6:12" ht="12.5">
      <c r="F470" s="86"/>
      <c r="G470" s="86"/>
      <c r="H470" s="86"/>
      <c r="I470" s="65"/>
      <c r="J470" s="65"/>
      <c r="K470" s="87"/>
      <c r="L470" s="88"/>
    </row>
    <row r="471" spans="6:12" ht="12.5">
      <c r="F471" s="86"/>
      <c r="G471" s="86"/>
      <c r="H471" s="86"/>
      <c r="I471" s="65"/>
      <c r="J471" s="65"/>
      <c r="K471" s="87"/>
      <c r="L471" s="88"/>
    </row>
    <row r="472" spans="6:12" ht="12.5">
      <c r="F472" s="86"/>
      <c r="G472" s="86"/>
      <c r="H472" s="86"/>
      <c r="I472" s="65"/>
      <c r="J472" s="65"/>
      <c r="K472" s="87"/>
      <c r="L472" s="88"/>
    </row>
    <row r="473" spans="6:12" ht="12.5">
      <c r="F473" s="86"/>
      <c r="G473" s="86"/>
      <c r="H473" s="86"/>
      <c r="I473" s="65"/>
      <c r="J473" s="65"/>
      <c r="K473" s="87"/>
      <c r="L473" s="88"/>
    </row>
    <row r="474" spans="6:12" ht="12.5">
      <c r="F474" s="86"/>
      <c r="G474" s="86"/>
      <c r="H474" s="86"/>
      <c r="I474" s="65"/>
      <c r="J474" s="65"/>
      <c r="K474" s="87"/>
      <c r="L474" s="88"/>
    </row>
    <row r="475" spans="6:12" ht="12.5">
      <c r="F475" s="86"/>
      <c r="G475" s="86"/>
      <c r="H475" s="86"/>
      <c r="I475" s="65"/>
      <c r="J475" s="65"/>
      <c r="K475" s="87"/>
      <c r="L475" s="88"/>
    </row>
    <row r="476" spans="6:12" ht="12.5">
      <c r="F476" s="86"/>
      <c r="G476" s="86"/>
      <c r="H476" s="86"/>
      <c r="I476" s="65"/>
      <c r="J476" s="65"/>
      <c r="K476" s="87"/>
      <c r="L476" s="88"/>
    </row>
    <row r="477" spans="6:12" ht="12.5">
      <c r="F477" s="86"/>
      <c r="G477" s="86"/>
      <c r="H477" s="86"/>
      <c r="I477" s="65"/>
      <c r="J477" s="65"/>
      <c r="K477" s="87"/>
      <c r="L477" s="88"/>
    </row>
    <row r="478" spans="6:12" ht="12.5">
      <c r="F478" s="86"/>
      <c r="G478" s="86"/>
      <c r="H478" s="86"/>
      <c r="I478" s="65"/>
      <c r="J478" s="65"/>
      <c r="K478" s="87"/>
      <c r="L478" s="88"/>
    </row>
    <row r="479" spans="6:12" ht="12.5">
      <c r="F479" s="86"/>
      <c r="G479" s="86"/>
      <c r="H479" s="86"/>
      <c r="I479" s="65"/>
      <c r="J479" s="65"/>
      <c r="K479" s="87"/>
      <c r="L479" s="88"/>
    </row>
    <row r="480" spans="6:12" ht="12.5">
      <c r="F480" s="86"/>
      <c r="G480" s="86"/>
      <c r="H480" s="86"/>
      <c r="I480" s="65"/>
      <c r="J480" s="65"/>
      <c r="K480" s="87"/>
      <c r="L480" s="88"/>
    </row>
    <row r="481" spans="6:12" ht="12.5">
      <c r="F481" s="86"/>
      <c r="G481" s="86"/>
      <c r="H481" s="86"/>
      <c r="I481" s="65"/>
      <c r="J481" s="65"/>
      <c r="K481" s="87"/>
      <c r="L481" s="88"/>
    </row>
    <row r="482" spans="6:12" ht="12.5">
      <c r="F482" s="86"/>
      <c r="G482" s="86"/>
      <c r="H482" s="86"/>
      <c r="I482" s="65"/>
      <c r="J482" s="65"/>
      <c r="K482" s="87"/>
      <c r="L482" s="88"/>
    </row>
    <row r="483" spans="6:12" ht="12.5">
      <c r="F483" s="86"/>
      <c r="G483" s="86"/>
      <c r="H483" s="86"/>
      <c r="I483" s="65"/>
      <c r="J483" s="65"/>
      <c r="K483" s="87"/>
      <c r="L483" s="88"/>
    </row>
    <row r="484" spans="6:12" ht="12.5">
      <c r="F484" s="86"/>
      <c r="G484" s="86"/>
      <c r="H484" s="86"/>
      <c r="I484" s="65"/>
      <c r="J484" s="65"/>
      <c r="K484" s="87"/>
      <c r="L484" s="88"/>
    </row>
    <row r="485" spans="6:12" ht="12.5">
      <c r="F485" s="86"/>
      <c r="G485" s="86"/>
      <c r="H485" s="86"/>
      <c r="I485" s="65"/>
      <c r="J485" s="65"/>
      <c r="K485" s="87"/>
      <c r="L485" s="88"/>
    </row>
    <row r="486" spans="6:12" ht="12.5">
      <c r="F486" s="86"/>
      <c r="G486" s="86"/>
      <c r="H486" s="86"/>
      <c r="I486" s="65"/>
      <c r="J486" s="65"/>
      <c r="K486" s="87"/>
      <c r="L486" s="88"/>
    </row>
    <row r="487" spans="6:12" ht="12.5">
      <c r="F487" s="86"/>
      <c r="G487" s="86"/>
      <c r="H487" s="86"/>
      <c r="I487" s="65"/>
      <c r="J487" s="65"/>
      <c r="K487" s="87"/>
      <c r="L487" s="88"/>
    </row>
    <row r="488" spans="6:12" ht="12.5">
      <c r="F488" s="86"/>
      <c r="G488" s="86"/>
      <c r="H488" s="86"/>
      <c r="I488" s="65"/>
      <c r="J488" s="65"/>
      <c r="K488" s="87"/>
      <c r="L488" s="88"/>
    </row>
    <row r="489" spans="6:12" ht="12.5">
      <c r="F489" s="86"/>
      <c r="G489" s="86"/>
      <c r="H489" s="86"/>
      <c r="I489" s="65"/>
      <c r="J489" s="65"/>
      <c r="K489" s="87"/>
      <c r="L489" s="88"/>
    </row>
    <row r="490" spans="6:12" ht="12.5">
      <c r="F490" s="86"/>
      <c r="G490" s="86"/>
      <c r="H490" s="86"/>
      <c r="I490" s="65"/>
      <c r="J490" s="65"/>
      <c r="K490" s="87"/>
      <c r="L490" s="88"/>
    </row>
    <row r="491" spans="6:12" ht="12.5">
      <c r="F491" s="86"/>
      <c r="G491" s="86"/>
      <c r="H491" s="86"/>
      <c r="I491" s="65"/>
      <c r="J491" s="65"/>
      <c r="K491" s="87"/>
      <c r="L491" s="88"/>
    </row>
    <row r="492" spans="6:12" ht="12.5">
      <c r="F492" s="86"/>
      <c r="G492" s="86"/>
      <c r="H492" s="86"/>
      <c r="I492" s="65"/>
      <c r="J492" s="65"/>
      <c r="K492" s="87"/>
      <c r="L492" s="88"/>
    </row>
    <row r="493" spans="6:12" ht="12.5">
      <c r="F493" s="86"/>
      <c r="G493" s="86"/>
      <c r="H493" s="86"/>
      <c r="I493" s="65"/>
      <c r="J493" s="65"/>
      <c r="K493" s="87"/>
      <c r="L493" s="88"/>
    </row>
    <row r="494" spans="6:12" ht="12.5">
      <c r="F494" s="86"/>
      <c r="G494" s="86"/>
      <c r="H494" s="86"/>
      <c r="I494" s="65"/>
      <c r="J494" s="65"/>
      <c r="K494" s="87"/>
      <c r="L494" s="88"/>
    </row>
    <row r="495" spans="6:12" ht="12.5">
      <c r="F495" s="86"/>
      <c r="G495" s="86"/>
      <c r="H495" s="86"/>
      <c r="I495" s="65"/>
      <c r="J495" s="65"/>
      <c r="K495" s="87"/>
      <c r="L495" s="88"/>
    </row>
    <row r="496" spans="6:12" ht="12.5">
      <c r="F496" s="86"/>
      <c r="G496" s="86"/>
      <c r="H496" s="86"/>
      <c r="I496" s="65"/>
      <c r="J496" s="65"/>
      <c r="K496" s="87"/>
      <c r="L496" s="88"/>
    </row>
    <row r="497" spans="6:12" ht="12.5">
      <c r="F497" s="86"/>
      <c r="G497" s="86"/>
      <c r="H497" s="86"/>
      <c r="I497" s="65"/>
      <c r="J497" s="65"/>
      <c r="K497" s="87"/>
      <c r="L497" s="88"/>
    </row>
    <row r="498" spans="6:12" ht="12.5">
      <c r="F498" s="86"/>
      <c r="G498" s="86"/>
      <c r="H498" s="86"/>
      <c r="I498" s="65"/>
      <c r="J498" s="65"/>
      <c r="K498" s="87"/>
      <c r="L498" s="88"/>
    </row>
    <row r="499" spans="6:12" ht="12.5">
      <c r="F499" s="86"/>
      <c r="G499" s="86"/>
      <c r="H499" s="86"/>
      <c r="I499" s="65"/>
      <c r="J499" s="65"/>
      <c r="K499" s="87"/>
      <c r="L499" s="88"/>
    </row>
    <row r="500" spans="6:12" ht="12.5">
      <c r="F500" s="86"/>
      <c r="G500" s="86"/>
      <c r="H500" s="86"/>
      <c r="I500" s="65"/>
      <c r="J500" s="65"/>
      <c r="K500" s="87"/>
      <c r="L500" s="88"/>
    </row>
    <row r="501" spans="6:12" ht="12.5">
      <c r="F501" s="86"/>
      <c r="G501" s="86"/>
      <c r="H501" s="86"/>
      <c r="I501" s="65"/>
      <c r="J501" s="65"/>
      <c r="K501" s="87"/>
      <c r="L501" s="88"/>
    </row>
    <row r="502" spans="6:12" ht="12.5">
      <c r="F502" s="86"/>
      <c r="G502" s="86"/>
      <c r="H502" s="86"/>
      <c r="I502" s="65"/>
      <c r="J502" s="65"/>
      <c r="K502" s="87"/>
      <c r="L502" s="88"/>
    </row>
    <row r="503" spans="6:12" ht="12.5">
      <c r="F503" s="86"/>
      <c r="G503" s="86"/>
      <c r="H503" s="86"/>
      <c r="I503" s="65"/>
      <c r="J503" s="65"/>
      <c r="K503" s="87"/>
      <c r="L503" s="88"/>
    </row>
    <row r="504" spans="6:12" ht="12.5">
      <c r="F504" s="86"/>
      <c r="G504" s="86"/>
      <c r="H504" s="86"/>
      <c r="I504" s="65"/>
      <c r="J504" s="65"/>
      <c r="K504" s="87"/>
      <c r="L504" s="88"/>
    </row>
    <row r="505" spans="6:12" ht="12.5">
      <c r="F505" s="86"/>
      <c r="G505" s="86"/>
      <c r="H505" s="86"/>
      <c r="I505" s="65"/>
      <c r="J505" s="65"/>
      <c r="K505" s="87"/>
      <c r="L505" s="88"/>
    </row>
    <row r="506" spans="6:12" ht="12.5">
      <c r="F506" s="86"/>
      <c r="G506" s="86"/>
      <c r="H506" s="86"/>
      <c r="I506" s="65"/>
      <c r="J506" s="65"/>
      <c r="K506" s="87"/>
      <c r="L506" s="88"/>
    </row>
    <row r="507" spans="6:12" ht="12.5">
      <c r="F507" s="86"/>
      <c r="G507" s="86"/>
      <c r="H507" s="86"/>
      <c r="I507" s="65"/>
      <c r="J507" s="65"/>
      <c r="K507" s="87"/>
      <c r="L507" s="88"/>
    </row>
    <row r="508" spans="6:12" ht="12.5">
      <c r="F508" s="86"/>
      <c r="G508" s="86"/>
      <c r="H508" s="86"/>
      <c r="I508" s="65"/>
      <c r="J508" s="65"/>
      <c r="K508" s="87"/>
      <c r="L508" s="88"/>
    </row>
    <row r="509" spans="6:12" ht="12.5">
      <c r="F509" s="86"/>
      <c r="G509" s="86"/>
      <c r="H509" s="86"/>
      <c r="I509" s="65"/>
      <c r="J509" s="65"/>
      <c r="K509" s="87"/>
      <c r="L509" s="88"/>
    </row>
    <row r="510" spans="6:12" ht="12.5">
      <c r="F510" s="86"/>
      <c r="G510" s="86"/>
      <c r="H510" s="86"/>
      <c r="I510" s="65"/>
      <c r="J510" s="65"/>
      <c r="K510" s="87"/>
      <c r="L510" s="88"/>
    </row>
    <row r="511" spans="6:12" ht="12.5">
      <c r="F511" s="86"/>
      <c r="G511" s="86"/>
      <c r="H511" s="86"/>
      <c r="I511" s="65"/>
      <c r="J511" s="65"/>
      <c r="K511" s="87"/>
      <c r="L511" s="88"/>
    </row>
    <row r="512" spans="6:12" ht="12.5">
      <c r="F512" s="86"/>
      <c r="G512" s="86"/>
      <c r="H512" s="86"/>
      <c r="I512" s="65"/>
      <c r="J512" s="65"/>
      <c r="K512" s="87"/>
      <c r="L512" s="88"/>
    </row>
    <row r="513" spans="6:12" ht="12.5">
      <c r="F513" s="86"/>
      <c r="G513" s="86"/>
      <c r="H513" s="86"/>
      <c r="I513" s="65"/>
      <c r="J513" s="65"/>
      <c r="K513" s="87"/>
      <c r="L513" s="88"/>
    </row>
    <row r="514" spans="6:12" ht="12.5">
      <c r="F514" s="86"/>
      <c r="G514" s="86"/>
      <c r="H514" s="86"/>
      <c r="I514" s="65"/>
      <c r="J514" s="65"/>
      <c r="K514" s="87"/>
      <c r="L514" s="88"/>
    </row>
    <row r="515" spans="6:12" ht="12.5">
      <c r="F515" s="86"/>
      <c r="G515" s="86"/>
      <c r="H515" s="86"/>
      <c r="I515" s="65"/>
      <c r="J515" s="65"/>
      <c r="K515" s="87"/>
      <c r="L515" s="88"/>
    </row>
    <row r="516" spans="6:12" ht="12.5">
      <c r="F516" s="86"/>
      <c r="G516" s="86"/>
      <c r="H516" s="86"/>
      <c r="I516" s="65"/>
      <c r="J516" s="65"/>
      <c r="K516" s="87"/>
      <c r="L516" s="88"/>
    </row>
    <row r="517" spans="6:12" ht="12.5">
      <c r="F517" s="86"/>
      <c r="G517" s="86"/>
      <c r="H517" s="86"/>
      <c r="I517" s="65"/>
      <c r="J517" s="65"/>
      <c r="K517" s="87"/>
      <c r="L517" s="88"/>
    </row>
    <row r="518" spans="6:12" ht="12.5">
      <c r="F518" s="86"/>
      <c r="G518" s="86"/>
      <c r="H518" s="86"/>
      <c r="I518" s="65"/>
      <c r="J518" s="65"/>
      <c r="K518" s="87"/>
      <c r="L518" s="88"/>
    </row>
    <row r="519" spans="6:12" ht="12.5">
      <c r="F519" s="86"/>
      <c r="G519" s="86"/>
      <c r="H519" s="86"/>
      <c r="I519" s="65"/>
      <c r="J519" s="65"/>
      <c r="K519" s="87"/>
      <c r="L519" s="88"/>
    </row>
    <row r="520" spans="6:12" ht="12.5">
      <c r="F520" s="86"/>
      <c r="G520" s="86"/>
      <c r="H520" s="86"/>
      <c r="I520" s="65"/>
      <c r="J520" s="65"/>
      <c r="K520" s="87"/>
      <c r="L520" s="88"/>
    </row>
    <row r="521" spans="6:12" ht="12.5">
      <c r="F521" s="86"/>
      <c r="G521" s="86"/>
      <c r="H521" s="86"/>
      <c r="I521" s="65"/>
      <c r="J521" s="65"/>
      <c r="K521" s="87"/>
      <c r="L521" s="88"/>
    </row>
    <row r="522" spans="6:12" ht="12.5">
      <c r="F522" s="86"/>
      <c r="G522" s="86"/>
      <c r="H522" s="86"/>
      <c r="I522" s="65"/>
      <c r="J522" s="65"/>
      <c r="K522" s="87"/>
      <c r="L522" s="88"/>
    </row>
    <row r="523" spans="6:12" ht="12.5">
      <c r="F523" s="86"/>
      <c r="G523" s="86"/>
      <c r="H523" s="86"/>
      <c r="I523" s="65"/>
      <c r="J523" s="65"/>
      <c r="K523" s="87"/>
      <c r="L523" s="88"/>
    </row>
    <row r="524" spans="6:12" ht="12.5">
      <c r="F524" s="86"/>
      <c r="G524" s="86"/>
      <c r="H524" s="86"/>
      <c r="I524" s="65"/>
      <c r="J524" s="65"/>
      <c r="K524" s="87"/>
      <c r="L524" s="88"/>
    </row>
    <row r="525" spans="6:12" ht="12.5">
      <c r="F525" s="86"/>
      <c r="G525" s="86"/>
      <c r="H525" s="86"/>
      <c r="I525" s="65"/>
      <c r="J525" s="65"/>
      <c r="K525" s="87"/>
      <c r="L525" s="88"/>
    </row>
    <row r="526" spans="6:12" ht="12.5">
      <c r="F526" s="86"/>
      <c r="G526" s="86"/>
      <c r="H526" s="86"/>
      <c r="I526" s="65"/>
      <c r="J526" s="65"/>
      <c r="K526" s="87"/>
      <c r="L526" s="88"/>
    </row>
    <row r="527" spans="6:12" ht="12.5">
      <c r="F527" s="86"/>
      <c r="G527" s="86"/>
      <c r="H527" s="86"/>
      <c r="I527" s="65"/>
      <c r="J527" s="65"/>
      <c r="K527" s="87"/>
      <c r="L527" s="88"/>
    </row>
    <row r="528" spans="6:12" ht="12.5">
      <c r="F528" s="86"/>
      <c r="G528" s="86"/>
      <c r="H528" s="86"/>
      <c r="I528" s="65"/>
      <c r="J528" s="65"/>
      <c r="K528" s="87"/>
      <c r="L528" s="88"/>
    </row>
    <row r="529" spans="6:12" ht="12.5">
      <c r="F529" s="86"/>
      <c r="G529" s="86"/>
      <c r="H529" s="86"/>
      <c r="I529" s="65"/>
      <c r="J529" s="65"/>
      <c r="K529" s="87"/>
      <c r="L529" s="88"/>
    </row>
    <row r="530" spans="6:12" ht="12.5">
      <c r="F530" s="86"/>
      <c r="G530" s="86"/>
      <c r="H530" s="86"/>
      <c r="I530" s="65"/>
      <c r="J530" s="65"/>
      <c r="K530" s="87"/>
      <c r="L530" s="88"/>
    </row>
    <row r="531" spans="6:12" ht="12.5">
      <c r="F531" s="86"/>
      <c r="G531" s="86"/>
      <c r="H531" s="86"/>
      <c r="I531" s="65"/>
      <c r="J531" s="65"/>
      <c r="K531" s="87"/>
      <c r="L531" s="88"/>
    </row>
    <row r="532" spans="6:12" ht="12.5">
      <c r="F532" s="86"/>
      <c r="G532" s="86"/>
      <c r="H532" s="86"/>
      <c r="I532" s="65"/>
      <c r="J532" s="65"/>
      <c r="K532" s="87"/>
      <c r="L532" s="88"/>
    </row>
    <row r="533" spans="6:12" ht="12.5">
      <c r="F533" s="86"/>
      <c r="G533" s="86"/>
      <c r="H533" s="86"/>
      <c r="I533" s="65"/>
      <c r="J533" s="65"/>
      <c r="K533" s="87"/>
      <c r="L533" s="88"/>
    </row>
    <row r="534" spans="6:12" ht="12.5">
      <c r="F534" s="86"/>
      <c r="G534" s="86"/>
      <c r="H534" s="86"/>
      <c r="I534" s="65"/>
      <c r="J534" s="65"/>
      <c r="K534" s="87"/>
      <c r="L534" s="88"/>
    </row>
    <row r="535" spans="6:12" ht="12.5">
      <c r="F535" s="86"/>
      <c r="G535" s="86"/>
      <c r="H535" s="86"/>
      <c r="I535" s="65"/>
      <c r="J535" s="65"/>
      <c r="K535" s="87"/>
      <c r="L535" s="88"/>
    </row>
    <row r="536" spans="6:12" ht="12.5">
      <c r="F536" s="86"/>
      <c r="G536" s="86"/>
      <c r="H536" s="86"/>
      <c r="I536" s="65"/>
      <c r="J536" s="65"/>
      <c r="K536" s="87"/>
      <c r="L536" s="88"/>
    </row>
    <row r="537" spans="6:12" ht="12.5">
      <c r="F537" s="86"/>
      <c r="G537" s="86"/>
      <c r="H537" s="86"/>
      <c r="I537" s="65"/>
      <c r="J537" s="65"/>
      <c r="K537" s="87"/>
      <c r="L537" s="88"/>
    </row>
    <row r="538" spans="6:12" ht="12.5">
      <c r="F538" s="86"/>
      <c r="G538" s="86"/>
      <c r="H538" s="86"/>
      <c r="I538" s="65"/>
      <c r="J538" s="65"/>
      <c r="K538" s="87"/>
      <c r="L538" s="88"/>
    </row>
    <row r="539" spans="6:12" ht="12.5">
      <c r="F539" s="86"/>
      <c r="G539" s="86"/>
      <c r="H539" s="86"/>
      <c r="I539" s="65"/>
      <c r="J539" s="65"/>
      <c r="K539" s="87"/>
      <c r="L539" s="88"/>
    </row>
    <row r="540" spans="6:12" ht="12.5">
      <c r="F540" s="86"/>
      <c r="G540" s="86"/>
      <c r="H540" s="86"/>
      <c r="I540" s="65"/>
      <c r="J540" s="65"/>
      <c r="K540" s="87"/>
      <c r="L540" s="88"/>
    </row>
    <row r="541" spans="6:12" ht="12.5">
      <c r="F541" s="86"/>
      <c r="G541" s="86"/>
      <c r="H541" s="86"/>
      <c r="I541" s="65"/>
      <c r="J541" s="65"/>
      <c r="K541" s="87"/>
      <c r="L541" s="88"/>
    </row>
    <row r="542" spans="6:12" ht="12.5">
      <c r="F542" s="86"/>
      <c r="G542" s="86"/>
      <c r="H542" s="86"/>
      <c r="I542" s="65"/>
      <c r="J542" s="65"/>
      <c r="K542" s="87"/>
      <c r="L542" s="88"/>
    </row>
    <row r="543" spans="6:12" ht="12.5">
      <c r="F543" s="86"/>
      <c r="G543" s="86"/>
      <c r="H543" s="86"/>
      <c r="I543" s="65"/>
      <c r="J543" s="65"/>
      <c r="K543" s="87"/>
      <c r="L543" s="88"/>
    </row>
    <row r="544" spans="6:12" ht="12.5">
      <c r="F544" s="86"/>
      <c r="G544" s="86"/>
      <c r="H544" s="86"/>
      <c r="I544" s="65"/>
      <c r="J544" s="65"/>
      <c r="K544" s="87"/>
      <c r="L544" s="88"/>
    </row>
    <row r="545" spans="6:12" ht="12.5">
      <c r="F545" s="86"/>
      <c r="G545" s="86"/>
      <c r="H545" s="86"/>
      <c r="I545" s="65"/>
      <c r="J545" s="65"/>
      <c r="K545" s="87"/>
      <c r="L545" s="88"/>
    </row>
    <row r="546" spans="6:12" ht="12.5">
      <c r="F546" s="86"/>
      <c r="G546" s="86"/>
      <c r="H546" s="86"/>
      <c r="I546" s="65"/>
      <c r="J546" s="65"/>
      <c r="K546" s="87"/>
      <c r="L546" s="88"/>
    </row>
    <row r="547" spans="6:12" ht="12.5">
      <c r="F547" s="86"/>
      <c r="G547" s="86"/>
      <c r="H547" s="86"/>
      <c r="I547" s="65"/>
      <c r="J547" s="65"/>
      <c r="K547" s="87"/>
      <c r="L547" s="88"/>
    </row>
    <row r="548" spans="6:12" ht="12.5">
      <c r="F548" s="86"/>
      <c r="G548" s="86"/>
      <c r="H548" s="86"/>
      <c r="I548" s="65"/>
      <c r="J548" s="65"/>
      <c r="K548" s="87"/>
      <c r="L548" s="88"/>
    </row>
    <row r="549" spans="6:12" ht="12.5">
      <c r="F549" s="86"/>
      <c r="G549" s="86"/>
      <c r="H549" s="86"/>
      <c r="I549" s="65"/>
      <c r="J549" s="65"/>
      <c r="K549" s="87"/>
      <c r="L549" s="88"/>
    </row>
    <row r="550" spans="6:12" ht="12.5">
      <c r="F550" s="86"/>
      <c r="G550" s="86"/>
      <c r="H550" s="86"/>
      <c r="I550" s="65"/>
      <c r="J550" s="65"/>
      <c r="K550" s="87"/>
      <c r="L550" s="88"/>
    </row>
    <row r="551" spans="6:12" ht="12.5">
      <c r="F551" s="86"/>
      <c r="G551" s="86"/>
      <c r="H551" s="86"/>
      <c r="I551" s="65"/>
      <c r="J551" s="65"/>
      <c r="K551" s="87"/>
      <c r="L551" s="88"/>
    </row>
    <row r="552" spans="6:12" ht="12.5">
      <c r="F552" s="86"/>
      <c r="G552" s="86"/>
      <c r="H552" s="86"/>
      <c r="I552" s="65"/>
      <c r="J552" s="65"/>
      <c r="K552" s="87"/>
      <c r="L552" s="88"/>
    </row>
    <row r="553" spans="6:12" ht="12.5">
      <c r="F553" s="86"/>
      <c r="G553" s="86"/>
      <c r="H553" s="86"/>
      <c r="I553" s="65"/>
      <c r="J553" s="65"/>
      <c r="K553" s="87"/>
      <c r="L553" s="88"/>
    </row>
    <row r="554" spans="6:12" ht="12.5">
      <c r="F554" s="86"/>
      <c r="G554" s="86"/>
      <c r="H554" s="86"/>
      <c r="I554" s="65"/>
      <c r="J554" s="65"/>
      <c r="K554" s="87"/>
      <c r="L554" s="88"/>
    </row>
    <row r="555" spans="6:12" ht="12.5">
      <c r="F555" s="86"/>
      <c r="G555" s="86"/>
      <c r="H555" s="86"/>
      <c r="I555" s="65"/>
      <c r="J555" s="65"/>
      <c r="K555" s="87"/>
      <c r="L555" s="88"/>
    </row>
    <row r="556" spans="6:12" ht="12.5">
      <c r="F556" s="86"/>
      <c r="G556" s="86"/>
      <c r="H556" s="86"/>
      <c r="I556" s="65"/>
      <c r="J556" s="65"/>
      <c r="K556" s="87"/>
      <c r="L556" s="88"/>
    </row>
    <row r="557" spans="6:12" ht="12.5">
      <c r="F557" s="86"/>
      <c r="G557" s="86"/>
      <c r="H557" s="86"/>
      <c r="I557" s="65"/>
      <c r="J557" s="65"/>
      <c r="K557" s="87"/>
      <c r="L557" s="88"/>
    </row>
    <row r="558" spans="6:12" ht="12.5">
      <c r="F558" s="86"/>
      <c r="G558" s="86"/>
      <c r="H558" s="86"/>
      <c r="I558" s="65"/>
      <c r="J558" s="65"/>
      <c r="K558" s="87"/>
      <c r="L558" s="88"/>
    </row>
    <row r="559" spans="6:12" ht="12.5">
      <c r="F559" s="86"/>
      <c r="G559" s="86"/>
      <c r="H559" s="86"/>
      <c r="I559" s="65"/>
      <c r="J559" s="65"/>
      <c r="K559" s="87"/>
      <c r="L559" s="88"/>
    </row>
    <row r="560" spans="6:12" ht="12.5">
      <c r="F560" s="86"/>
      <c r="G560" s="86"/>
      <c r="H560" s="86"/>
      <c r="I560" s="65"/>
      <c r="J560" s="65"/>
      <c r="K560" s="87"/>
      <c r="L560" s="88"/>
    </row>
    <row r="561" spans="6:12" ht="12.5">
      <c r="F561" s="86"/>
      <c r="G561" s="86"/>
      <c r="H561" s="86"/>
      <c r="I561" s="65"/>
      <c r="J561" s="65"/>
      <c r="K561" s="87"/>
      <c r="L561" s="88"/>
    </row>
    <row r="562" spans="6:12" ht="12.5">
      <c r="F562" s="86"/>
      <c r="G562" s="86"/>
      <c r="H562" s="86"/>
      <c r="I562" s="65"/>
      <c r="J562" s="65"/>
      <c r="K562" s="87"/>
      <c r="L562" s="88"/>
    </row>
    <row r="563" spans="6:12" ht="12.5">
      <c r="F563" s="86"/>
      <c r="G563" s="86"/>
      <c r="H563" s="86"/>
      <c r="I563" s="65"/>
      <c r="J563" s="65"/>
      <c r="K563" s="87"/>
      <c r="L563" s="88"/>
    </row>
    <row r="564" spans="6:12" ht="12.5">
      <c r="F564" s="86"/>
      <c r="G564" s="86"/>
      <c r="H564" s="86"/>
      <c r="I564" s="65"/>
      <c r="J564" s="65"/>
      <c r="K564" s="87"/>
      <c r="L564" s="88"/>
    </row>
    <row r="565" spans="6:12" ht="12.5">
      <c r="F565" s="86"/>
      <c r="G565" s="86"/>
      <c r="H565" s="86"/>
      <c r="I565" s="65"/>
      <c r="J565" s="65"/>
      <c r="K565" s="87"/>
      <c r="L565" s="88"/>
    </row>
    <row r="566" spans="6:12" ht="12.5">
      <c r="F566" s="86"/>
      <c r="G566" s="86"/>
      <c r="H566" s="86"/>
      <c r="I566" s="65"/>
      <c r="J566" s="65"/>
      <c r="K566" s="87"/>
      <c r="L566" s="88"/>
    </row>
    <row r="567" spans="6:12" ht="12.5">
      <c r="F567" s="86"/>
      <c r="G567" s="86"/>
      <c r="H567" s="86"/>
      <c r="I567" s="65"/>
      <c r="J567" s="65"/>
      <c r="K567" s="87"/>
      <c r="L567" s="88"/>
    </row>
    <row r="568" spans="6:12" ht="12.5">
      <c r="F568" s="86"/>
      <c r="G568" s="86"/>
      <c r="H568" s="86"/>
      <c r="I568" s="65"/>
      <c r="J568" s="65"/>
      <c r="K568" s="87"/>
      <c r="L568" s="88"/>
    </row>
    <row r="569" spans="6:12" ht="12.5">
      <c r="F569" s="86"/>
      <c r="G569" s="86"/>
      <c r="H569" s="86"/>
      <c r="I569" s="65"/>
      <c r="J569" s="65"/>
      <c r="K569" s="87"/>
      <c r="L569" s="88"/>
    </row>
    <row r="570" spans="6:12" ht="12.5">
      <c r="F570" s="86"/>
      <c r="G570" s="86"/>
      <c r="H570" s="86"/>
      <c r="I570" s="65"/>
      <c r="J570" s="65"/>
      <c r="K570" s="87"/>
      <c r="L570" s="88"/>
    </row>
    <row r="571" spans="6:12" ht="12.5">
      <c r="F571" s="86"/>
      <c r="G571" s="86"/>
      <c r="H571" s="86"/>
      <c r="I571" s="65"/>
      <c r="J571" s="65"/>
      <c r="K571" s="87"/>
      <c r="L571" s="88"/>
    </row>
    <row r="572" spans="6:12" ht="12.5">
      <c r="F572" s="86"/>
      <c r="G572" s="86"/>
      <c r="H572" s="86"/>
      <c r="I572" s="65"/>
      <c r="J572" s="65"/>
      <c r="K572" s="87"/>
      <c r="L572" s="88"/>
    </row>
    <row r="573" spans="6:12" ht="12.5">
      <c r="F573" s="86"/>
      <c r="G573" s="86"/>
      <c r="H573" s="86"/>
      <c r="I573" s="65"/>
      <c r="J573" s="65"/>
      <c r="K573" s="87"/>
      <c r="L573" s="88"/>
    </row>
    <row r="574" spans="6:12" ht="12.5">
      <c r="F574" s="86"/>
      <c r="G574" s="86"/>
      <c r="H574" s="86"/>
      <c r="I574" s="65"/>
      <c r="J574" s="65"/>
      <c r="K574" s="87"/>
      <c r="L574" s="88"/>
    </row>
    <row r="575" spans="6:12" ht="12.5">
      <c r="F575" s="86"/>
      <c r="G575" s="86"/>
      <c r="H575" s="86"/>
      <c r="I575" s="65"/>
      <c r="J575" s="65"/>
      <c r="K575" s="87"/>
      <c r="L575" s="88"/>
    </row>
    <row r="576" spans="6:12" ht="12.5">
      <c r="F576" s="86"/>
      <c r="G576" s="86"/>
      <c r="H576" s="86"/>
      <c r="I576" s="65"/>
      <c r="J576" s="65"/>
      <c r="K576" s="87"/>
      <c r="L576" s="88"/>
    </row>
    <row r="577" spans="6:12" ht="12.5">
      <c r="F577" s="86"/>
      <c r="G577" s="86"/>
      <c r="H577" s="86"/>
      <c r="I577" s="65"/>
      <c r="J577" s="65"/>
      <c r="K577" s="87"/>
      <c r="L577" s="88"/>
    </row>
    <row r="578" spans="6:12" ht="12.5">
      <c r="F578" s="86"/>
      <c r="G578" s="86"/>
      <c r="H578" s="86"/>
      <c r="I578" s="65"/>
      <c r="J578" s="65"/>
      <c r="K578" s="87"/>
      <c r="L578" s="88"/>
    </row>
    <row r="579" spans="6:12" ht="12.5">
      <c r="F579" s="86"/>
      <c r="G579" s="86"/>
      <c r="H579" s="86"/>
      <c r="I579" s="65"/>
      <c r="J579" s="65"/>
      <c r="K579" s="87"/>
      <c r="L579" s="88"/>
    </row>
    <row r="580" spans="6:12" ht="12.5">
      <c r="F580" s="86"/>
      <c r="G580" s="86"/>
      <c r="H580" s="86"/>
      <c r="I580" s="65"/>
      <c r="J580" s="65"/>
      <c r="K580" s="87"/>
      <c r="L580" s="88"/>
    </row>
    <row r="581" spans="6:12" ht="12.5">
      <c r="F581" s="86"/>
      <c r="G581" s="86"/>
      <c r="H581" s="86"/>
      <c r="I581" s="65"/>
      <c r="J581" s="65"/>
      <c r="K581" s="87"/>
      <c r="L581" s="88"/>
    </row>
    <row r="582" spans="6:12" ht="12.5">
      <c r="F582" s="86"/>
      <c r="G582" s="86"/>
      <c r="H582" s="86"/>
      <c r="I582" s="65"/>
      <c r="J582" s="65"/>
      <c r="K582" s="87"/>
      <c r="L582" s="88"/>
    </row>
    <row r="583" spans="6:12" ht="12.5">
      <c r="F583" s="86"/>
      <c r="G583" s="86"/>
      <c r="H583" s="86"/>
      <c r="I583" s="65"/>
      <c r="J583" s="65"/>
      <c r="K583" s="87"/>
      <c r="L583" s="88"/>
    </row>
    <row r="584" spans="6:12" ht="12.5">
      <c r="F584" s="86"/>
      <c r="G584" s="86"/>
      <c r="H584" s="86"/>
      <c r="I584" s="65"/>
      <c r="J584" s="65"/>
      <c r="K584" s="87"/>
      <c r="L584" s="88"/>
    </row>
    <row r="585" spans="6:12" ht="12.5">
      <c r="F585" s="86"/>
      <c r="G585" s="86"/>
      <c r="H585" s="86"/>
      <c r="I585" s="65"/>
      <c r="J585" s="65"/>
      <c r="K585" s="87"/>
      <c r="L585" s="88"/>
    </row>
    <row r="586" spans="6:12" ht="12.5">
      <c r="F586" s="86"/>
      <c r="G586" s="86"/>
      <c r="H586" s="86"/>
      <c r="I586" s="65"/>
      <c r="J586" s="65"/>
      <c r="K586" s="87"/>
      <c r="L586" s="88"/>
    </row>
    <row r="587" spans="6:12" ht="12.5">
      <c r="F587" s="86"/>
      <c r="G587" s="86"/>
      <c r="H587" s="86"/>
      <c r="I587" s="65"/>
      <c r="J587" s="65"/>
      <c r="K587" s="87"/>
      <c r="L587" s="88"/>
    </row>
    <row r="588" spans="6:12" ht="12.5">
      <c r="F588" s="86"/>
      <c r="G588" s="86"/>
      <c r="H588" s="86"/>
      <c r="I588" s="65"/>
      <c r="J588" s="65"/>
      <c r="K588" s="87"/>
      <c r="L588" s="88"/>
    </row>
    <row r="589" spans="6:12" ht="12.5">
      <c r="F589" s="86"/>
      <c r="G589" s="86"/>
      <c r="H589" s="86"/>
      <c r="I589" s="65"/>
      <c r="J589" s="65"/>
      <c r="K589" s="87"/>
      <c r="L589" s="88"/>
    </row>
    <row r="590" spans="6:12" ht="12.5">
      <c r="F590" s="86"/>
      <c r="G590" s="86"/>
      <c r="H590" s="86"/>
      <c r="I590" s="65"/>
      <c r="J590" s="65"/>
      <c r="K590" s="87"/>
      <c r="L590" s="88"/>
    </row>
    <row r="591" spans="6:12" ht="12.5">
      <c r="F591" s="86"/>
      <c r="G591" s="86"/>
      <c r="H591" s="86"/>
      <c r="I591" s="65"/>
      <c r="J591" s="65"/>
      <c r="K591" s="87"/>
      <c r="L591" s="88"/>
    </row>
    <row r="592" spans="6:12" ht="12.5">
      <c r="F592" s="86"/>
      <c r="G592" s="86"/>
      <c r="H592" s="86"/>
      <c r="I592" s="65"/>
      <c r="J592" s="65"/>
      <c r="K592" s="87"/>
      <c r="L592" s="88"/>
    </row>
    <row r="593" spans="6:12" ht="12.5">
      <c r="F593" s="86"/>
      <c r="G593" s="86"/>
      <c r="H593" s="86"/>
      <c r="I593" s="65"/>
      <c r="J593" s="65"/>
      <c r="K593" s="87"/>
      <c r="L593" s="88"/>
    </row>
    <row r="594" spans="6:12" ht="12.5">
      <c r="F594" s="86"/>
      <c r="G594" s="86"/>
      <c r="H594" s="86"/>
      <c r="I594" s="65"/>
      <c r="J594" s="65"/>
      <c r="K594" s="87"/>
      <c r="L594" s="88"/>
    </row>
    <row r="595" spans="6:12" ht="12.5">
      <c r="F595" s="86"/>
      <c r="G595" s="86"/>
      <c r="H595" s="86"/>
      <c r="I595" s="65"/>
      <c r="J595" s="65"/>
      <c r="K595" s="87"/>
      <c r="L595" s="88"/>
    </row>
    <row r="596" spans="6:12" ht="12.5">
      <c r="F596" s="86"/>
      <c r="G596" s="86"/>
      <c r="H596" s="86"/>
      <c r="I596" s="65"/>
      <c r="J596" s="65"/>
      <c r="K596" s="87"/>
      <c r="L596" s="88"/>
    </row>
    <row r="597" spans="6:12" ht="12.5">
      <c r="F597" s="86"/>
      <c r="G597" s="86"/>
      <c r="H597" s="86"/>
      <c r="I597" s="65"/>
      <c r="J597" s="65"/>
      <c r="K597" s="87"/>
      <c r="L597" s="88"/>
    </row>
    <row r="598" spans="6:12" ht="12.5">
      <c r="F598" s="86"/>
      <c r="G598" s="86"/>
      <c r="H598" s="86"/>
      <c r="I598" s="65"/>
      <c r="J598" s="65"/>
      <c r="K598" s="87"/>
      <c r="L598" s="88"/>
    </row>
    <row r="599" spans="6:12" ht="12.5">
      <c r="F599" s="86"/>
      <c r="G599" s="86"/>
      <c r="H599" s="86"/>
      <c r="I599" s="65"/>
      <c r="J599" s="65"/>
      <c r="K599" s="87"/>
      <c r="L599" s="88"/>
    </row>
    <row r="600" spans="6:12" ht="12.5">
      <c r="F600" s="86"/>
      <c r="G600" s="86"/>
      <c r="H600" s="86"/>
      <c r="I600" s="65"/>
      <c r="J600" s="65"/>
      <c r="K600" s="87"/>
      <c r="L600" s="88"/>
    </row>
    <row r="601" spans="6:12" ht="12.5">
      <c r="F601" s="86"/>
      <c r="G601" s="86"/>
      <c r="H601" s="86"/>
      <c r="I601" s="65"/>
      <c r="J601" s="65"/>
      <c r="K601" s="87"/>
      <c r="L601" s="88"/>
    </row>
    <row r="602" spans="6:12" ht="12.5">
      <c r="F602" s="86"/>
      <c r="G602" s="86"/>
      <c r="H602" s="86"/>
      <c r="I602" s="65"/>
      <c r="J602" s="65"/>
      <c r="K602" s="87"/>
      <c r="L602" s="88"/>
    </row>
    <row r="603" spans="6:12" ht="12.5">
      <c r="F603" s="86"/>
      <c r="G603" s="86"/>
      <c r="H603" s="86"/>
      <c r="I603" s="65"/>
      <c r="J603" s="65"/>
      <c r="K603" s="87"/>
      <c r="L603" s="88"/>
    </row>
    <row r="604" spans="6:12" ht="12.5">
      <c r="F604" s="86"/>
      <c r="G604" s="86"/>
      <c r="H604" s="86"/>
      <c r="I604" s="65"/>
      <c r="J604" s="65"/>
      <c r="K604" s="87"/>
      <c r="L604" s="88"/>
    </row>
    <row r="605" spans="6:12" ht="12.5">
      <c r="F605" s="86"/>
      <c r="G605" s="86"/>
      <c r="H605" s="86"/>
      <c r="I605" s="65"/>
      <c r="J605" s="65"/>
      <c r="K605" s="87"/>
      <c r="L605" s="88"/>
    </row>
    <row r="606" spans="6:12" ht="12.5">
      <c r="F606" s="86"/>
      <c r="G606" s="86"/>
      <c r="H606" s="86"/>
      <c r="I606" s="65"/>
      <c r="J606" s="65"/>
      <c r="K606" s="87"/>
      <c r="L606" s="88"/>
    </row>
    <row r="607" spans="6:12" ht="12.5">
      <c r="F607" s="86"/>
      <c r="G607" s="86"/>
      <c r="H607" s="86"/>
      <c r="I607" s="65"/>
      <c r="J607" s="65"/>
      <c r="K607" s="87"/>
      <c r="L607" s="88"/>
    </row>
    <row r="608" spans="6:12" ht="12.5">
      <c r="F608" s="86"/>
      <c r="G608" s="86"/>
      <c r="H608" s="86"/>
      <c r="I608" s="65"/>
      <c r="J608" s="65"/>
      <c r="K608" s="87"/>
      <c r="L608" s="88"/>
    </row>
    <row r="609" spans="6:12" ht="12.5">
      <c r="F609" s="86"/>
      <c r="G609" s="86"/>
      <c r="H609" s="86"/>
      <c r="I609" s="65"/>
      <c r="J609" s="65"/>
      <c r="K609" s="87"/>
      <c r="L609" s="88"/>
    </row>
    <row r="610" spans="6:12" ht="12.5">
      <c r="F610" s="86"/>
      <c r="G610" s="86"/>
      <c r="H610" s="86"/>
      <c r="I610" s="65"/>
      <c r="J610" s="65"/>
      <c r="K610" s="87"/>
      <c r="L610" s="88"/>
    </row>
    <row r="611" spans="6:12" ht="12.5">
      <c r="F611" s="86"/>
      <c r="G611" s="86"/>
      <c r="H611" s="86"/>
      <c r="I611" s="65"/>
      <c r="J611" s="65"/>
      <c r="K611" s="87"/>
      <c r="L611" s="88"/>
    </row>
    <row r="612" spans="6:12" ht="12.5">
      <c r="F612" s="86"/>
      <c r="G612" s="86"/>
      <c r="H612" s="86"/>
      <c r="I612" s="65"/>
      <c r="J612" s="65"/>
      <c r="K612" s="87"/>
      <c r="L612" s="88"/>
    </row>
    <row r="613" spans="6:12" ht="12.5">
      <c r="F613" s="86"/>
      <c r="G613" s="86"/>
      <c r="H613" s="86"/>
      <c r="I613" s="65"/>
      <c r="J613" s="65"/>
      <c r="K613" s="87"/>
      <c r="L613" s="88"/>
    </row>
    <row r="614" spans="6:12" ht="12.5">
      <c r="F614" s="86"/>
      <c r="G614" s="86"/>
      <c r="H614" s="86"/>
      <c r="I614" s="65"/>
      <c r="J614" s="65"/>
      <c r="K614" s="87"/>
      <c r="L614" s="88"/>
    </row>
    <row r="615" spans="6:12" ht="12.5">
      <c r="F615" s="86"/>
      <c r="G615" s="86"/>
      <c r="H615" s="86"/>
      <c r="I615" s="65"/>
      <c r="J615" s="65"/>
      <c r="K615" s="87"/>
      <c r="L615" s="88"/>
    </row>
    <row r="616" spans="6:12" ht="12.5">
      <c r="F616" s="86"/>
      <c r="G616" s="86"/>
      <c r="H616" s="86"/>
      <c r="I616" s="65"/>
      <c r="J616" s="65"/>
      <c r="K616" s="87"/>
      <c r="L616" s="88"/>
    </row>
    <row r="617" spans="6:12" ht="12.5">
      <c r="F617" s="86"/>
      <c r="G617" s="86"/>
      <c r="H617" s="86"/>
      <c r="I617" s="65"/>
      <c r="J617" s="65"/>
      <c r="K617" s="87"/>
      <c r="L617" s="88"/>
    </row>
    <row r="618" spans="6:12" ht="12.5">
      <c r="F618" s="86"/>
      <c r="G618" s="86"/>
      <c r="H618" s="86"/>
      <c r="I618" s="65"/>
      <c r="J618" s="65"/>
      <c r="K618" s="87"/>
      <c r="L618" s="88"/>
    </row>
    <row r="619" spans="6:12" ht="12.5">
      <c r="F619" s="86"/>
      <c r="G619" s="86"/>
      <c r="H619" s="86"/>
      <c r="I619" s="65"/>
      <c r="J619" s="65"/>
      <c r="K619" s="87"/>
      <c r="L619" s="88"/>
    </row>
    <row r="620" spans="6:12" ht="12.5">
      <c r="F620" s="86"/>
      <c r="G620" s="86"/>
      <c r="H620" s="86"/>
      <c r="I620" s="65"/>
      <c r="J620" s="65"/>
      <c r="K620" s="87"/>
      <c r="L620" s="88"/>
    </row>
    <row r="621" spans="6:12" ht="12.5">
      <c r="F621" s="86"/>
      <c r="G621" s="86"/>
      <c r="H621" s="86"/>
      <c r="I621" s="65"/>
      <c r="J621" s="65"/>
      <c r="K621" s="87"/>
      <c r="L621" s="88"/>
    </row>
    <row r="622" spans="6:12" ht="12.5">
      <c r="F622" s="86"/>
      <c r="G622" s="86"/>
      <c r="H622" s="86"/>
      <c r="I622" s="65"/>
      <c r="J622" s="65"/>
      <c r="K622" s="87"/>
      <c r="L622" s="88"/>
    </row>
    <row r="623" spans="6:12" ht="12.5">
      <c r="F623" s="86"/>
      <c r="G623" s="86"/>
      <c r="H623" s="86"/>
      <c r="I623" s="65"/>
      <c r="J623" s="65"/>
      <c r="K623" s="87"/>
      <c r="L623" s="88"/>
    </row>
    <row r="624" spans="6:12" ht="12.5">
      <c r="F624" s="86"/>
      <c r="G624" s="86"/>
      <c r="H624" s="86"/>
      <c r="I624" s="65"/>
      <c r="J624" s="65"/>
      <c r="K624" s="87"/>
      <c r="L624" s="88"/>
    </row>
    <row r="625" spans="6:12" ht="12.5">
      <c r="F625" s="86"/>
      <c r="G625" s="86"/>
      <c r="H625" s="86"/>
      <c r="I625" s="65"/>
      <c r="J625" s="65"/>
      <c r="K625" s="87"/>
      <c r="L625" s="88"/>
    </row>
    <row r="626" spans="6:12" ht="12.5">
      <c r="F626" s="86"/>
      <c r="G626" s="86"/>
      <c r="H626" s="86"/>
      <c r="I626" s="65"/>
      <c r="J626" s="65"/>
      <c r="K626" s="87"/>
      <c r="L626" s="88"/>
    </row>
    <row r="627" spans="6:12" ht="12.5">
      <c r="F627" s="86"/>
      <c r="G627" s="86"/>
      <c r="H627" s="86"/>
      <c r="I627" s="65"/>
      <c r="J627" s="65"/>
      <c r="K627" s="87"/>
      <c r="L627" s="88"/>
    </row>
    <row r="628" spans="6:12" ht="12.5">
      <c r="F628" s="86"/>
      <c r="G628" s="86"/>
      <c r="H628" s="86"/>
      <c r="I628" s="65"/>
      <c r="J628" s="65"/>
      <c r="K628" s="87"/>
      <c r="L628" s="88"/>
    </row>
    <row r="629" spans="6:12" ht="12.5">
      <c r="F629" s="86"/>
      <c r="G629" s="86"/>
      <c r="H629" s="86"/>
      <c r="I629" s="65"/>
      <c r="J629" s="65"/>
      <c r="K629" s="87"/>
      <c r="L629" s="88"/>
    </row>
    <row r="630" spans="6:12" ht="12.5">
      <c r="F630" s="86"/>
      <c r="G630" s="86"/>
      <c r="H630" s="86"/>
      <c r="I630" s="65"/>
      <c r="J630" s="65"/>
      <c r="K630" s="87"/>
      <c r="L630" s="88"/>
    </row>
    <row r="631" spans="6:12" ht="12.5">
      <c r="F631" s="86"/>
      <c r="G631" s="86"/>
      <c r="H631" s="86"/>
      <c r="I631" s="65"/>
      <c r="J631" s="65"/>
      <c r="K631" s="87"/>
      <c r="L631" s="88"/>
    </row>
    <row r="632" spans="6:12" ht="12.5">
      <c r="F632" s="86"/>
      <c r="G632" s="86"/>
      <c r="H632" s="86"/>
      <c r="I632" s="65"/>
      <c r="J632" s="65"/>
      <c r="K632" s="87"/>
      <c r="L632" s="88"/>
    </row>
    <row r="633" spans="6:12" ht="12.5">
      <c r="F633" s="86"/>
      <c r="G633" s="86"/>
      <c r="H633" s="86"/>
      <c r="I633" s="65"/>
      <c r="J633" s="65"/>
      <c r="K633" s="87"/>
      <c r="L633" s="88"/>
    </row>
    <row r="634" spans="6:12" ht="12.5">
      <c r="F634" s="86"/>
      <c r="G634" s="86"/>
      <c r="H634" s="86"/>
      <c r="I634" s="65"/>
      <c r="J634" s="65"/>
      <c r="K634" s="87"/>
      <c r="L634" s="88"/>
    </row>
    <row r="635" spans="6:12" ht="12.5">
      <c r="F635" s="86"/>
      <c r="G635" s="86"/>
      <c r="H635" s="86"/>
      <c r="I635" s="65"/>
      <c r="J635" s="65"/>
      <c r="K635" s="87"/>
      <c r="L635" s="88"/>
    </row>
    <row r="636" spans="6:12" ht="12.5">
      <c r="F636" s="86"/>
      <c r="G636" s="86"/>
      <c r="H636" s="86"/>
      <c r="I636" s="65"/>
      <c r="J636" s="65"/>
      <c r="K636" s="87"/>
      <c r="L636" s="88"/>
    </row>
    <row r="637" spans="6:12" ht="12.5">
      <c r="F637" s="86"/>
      <c r="G637" s="86"/>
      <c r="H637" s="86"/>
      <c r="I637" s="65"/>
      <c r="J637" s="65"/>
      <c r="K637" s="87"/>
      <c r="L637" s="88"/>
    </row>
    <row r="638" spans="6:12" ht="12.5">
      <c r="F638" s="86"/>
      <c r="G638" s="86"/>
      <c r="H638" s="86"/>
      <c r="I638" s="65"/>
      <c r="J638" s="65"/>
      <c r="K638" s="87"/>
      <c r="L638" s="88"/>
    </row>
    <row r="639" spans="6:12" ht="12.5">
      <c r="F639" s="86"/>
      <c r="G639" s="86"/>
      <c r="H639" s="86"/>
      <c r="I639" s="65"/>
      <c r="J639" s="65"/>
      <c r="K639" s="87"/>
      <c r="L639" s="88"/>
    </row>
    <row r="640" spans="6:12" ht="12.5">
      <c r="F640" s="86"/>
      <c r="G640" s="86"/>
      <c r="H640" s="86"/>
      <c r="I640" s="65"/>
      <c r="J640" s="65"/>
      <c r="K640" s="87"/>
      <c r="L640" s="88"/>
    </row>
    <row r="641" spans="6:12" ht="12.5">
      <c r="F641" s="86"/>
      <c r="G641" s="86"/>
      <c r="H641" s="86"/>
      <c r="I641" s="65"/>
      <c r="J641" s="65"/>
      <c r="K641" s="87"/>
      <c r="L641" s="88"/>
    </row>
    <row r="642" spans="6:12" ht="12.5">
      <c r="F642" s="86"/>
      <c r="G642" s="86"/>
      <c r="H642" s="86"/>
      <c r="I642" s="65"/>
      <c r="J642" s="65"/>
      <c r="K642" s="87"/>
      <c r="L642" s="88"/>
    </row>
    <row r="643" spans="6:12" ht="12.5">
      <c r="F643" s="86"/>
      <c r="G643" s="86"/>
      <c r="H643" s="86"/>
      <c r="I643" s="65"/>
      <c r="J643" s="65"/>
      <c r="K643" s="87"/>
      <c r="L643" s="88"/>
    </row>
    <row r="644" spans="6:12" ht="12.5">
      <c r="F644" s="86"/>
      <c r="G644" s="86"/>
      <c r="H644" s="86"/>
      <c r="I644" s="65"/>
      <c r="J644" s="65"/>
      <c r="K644" s="87"/>
      <c r="L644" s="88"/>
    </row>
    <row r="645" spans="6:12" ht="12.5">
      <c r="F645" s="86"/>
      <c r="G645" s="86"/>
      <c r="H645" s="86"/>
      <c r="I645" s="65"/>
      <c r="J645" s="65"/>
      <c r="K645" s="87"/>
      <c r="L645" s="88"/>
    </row>
    <row r="646" spans="6:12" ht="12.5">
      <c r="F646" s="86"/>
      <c r="G646" s="86"/>
      <c r="H646" s="86"/>
      <c r="I646" s="65"/>
      <c r="J646" s="65"/>
      <c r="K646" s="87"/>
      <c r="L646" s="88"/>
    </row>
    <row r="647" spans="6:12" ht="12.5">
      <c r="F647" s="86"/>
      <c r="G647" s="86"/>
      <c r="H647" s="86"/>
      <c r="I647" s="65"/>
      <c r="J647" s="65"/>
      <c r="K647" s="87"/>
      <c r="L647" s="88"/>
    </row>
    <row r="648" spans="6:12" ht="12.5">
      <c r="F648" s="86"/>
      <c r="G648" s="86"/>
      <c r="H648" s="86"/>
      <c r="I648" s="65"/>
      <c r="J648" s="65"/>
      <c r="K648" s="87"/>
      <c r="L648" s="88"/>
    </row>
    <row r="649" spans="6:12" ht="12.5">
      <c r="F649" s="86"/>
      <c r="G649" s="86"/>
      <c r="H649" s="86"/>
      <c r="I649" s="65"/>
      <c r="J649" s="65"/>
      <c r="K649" s="87"/>
      <c r="L649" s="88"/>
    </row>
    <row r="650" spans="6:12" ht="12.5">
      <c r="F650" s="86"/>
      <c r="G650" s="86"/>
      <c r="H650" s="86"/>
      <c r="I650" s="65"/>
      <c r="J650" s="65"/>
      <c r="K650" s="87"/>
      <c r="L650" s="88"/>
    </row>
    <row r="651" spans="6:12" ht="12.5">
      <c r="F651" s="86"/>
      <c r="G651" s="86"/>
      <c r="H651" s="86"/>
      <c r="I651" s="65"/>
      <c r="J651" s="65"/>
      <c r="K651" s="87"/>
      <c r="L651" s="88"/>
    </row>
    <row r="652" spans="6:12" ht="12.5">
      <c r="F652" s="86"/>
      <c r="G652" s="86"/>
      <c r="H652" s="86"/>
      <c r="I652" s="65"/>
      <c r="J652" s="65"/>
      <c r="K652" s="87"/>
      <c r="L652" s="88"/>
    </row>
    <row r="653" spans="6:12" ht="12.5">
      <c r="F653" s="86"/>
      <c r="G653" s="86"/>
      <c r="H653" s="86"/>
      <c r="I653" s="65"/>
      <c r="J653" s="65"/>
      <c r="K653" s="87"/>
      <c r="L653" s="88"/>
    </row>
    <row r="654" spans="6:12" ht="12.5">
      <c r="F654" s="86"/>
      <c r="G654" s="86"/>
      <c r="H654" s="86"/>
      <c r="I654" s="65"/>
      <c r="J654" s="65"/>
      <c r="K654" s="87"/>
      <c r="L654" s="88"/>
    </row>
    <row r="655" spans="6:12" ht="12.5">
      <c r="F655" s="86"/>
      <c r="G655" s="86"/>
      <c r="H655" s="86"/>
      <c r="I655" s="65"/>
      <c r="J655" s="65"/>
      <c r="K655" s="87"/>
      <c r="L655" s="88"/>
    </row>
    <row r="656" spans="6:12" ht="12.5">
      <c r="F656" s="86"/>
      <c r="G656" s="86"/>
      <c r="H656" s="86"/>
      <c r="I656" s="65"/>
      <c r="J656" s="65"/>
      <c r="K656" s="87"/>
      <c r="L656" s="88"/>
    </row>
    <row r="657" spans="6:12" ht="12.5">
      <c r="F657" s="86"/>
      <c r="G657" s="86"/>
      <c r="H657" s="86"/>
      <c r="I657" s="65"/>
      <c r="J657" s="65"/>
      <c r="K657" s="87"/>
      <c r="L657" s="88"/>
    </row>
    <row r="658" spans="6:12" ht="12.5">
      <c r="F658" s="86"/>
      <c r="G658" s="86"/>
      <c r="H658" s="86"/>
      <c r="I658" s="65"/>
      <c r="J658" s="65"/>
      <c r="K658" s="87"/>
      <c r="L658" s="88"/>
    </row>
    <row r="659" spans="6:12" ht="12.5">
      <c r="F659" s="86"/>
      <c r="G659" s="86"/>
      <c r="H659" s="86"/>
      <c r="I659" s="65"/>
      <c r="J659" s="65"/>
      <c r="K659" s="87"/>
      <c r="L659" s="88"/>
    </row>
    <row r="660" spans="6:12" ht="12.5">
      <c r="F660" s="86"/>
      <c r="G660" s="86"/>
      <c r="H660" s="86"/>
      <c r="I660" s="65"/>
      <c r="J660" s="65"/>
      <c r="K660" s="87"/>
      <c r="L660" s="88"/>
    </row>
    <row r="661" spans="6:12" ht="12.5">
      <c r="F661" s="86"/>
      <c r="G661" s="86"/>
      <c r="H661" s="86"/>
      <c r="I661" s="65"/>
      <c r="J661" s="65"/>
      <c r="K661" s="87"/>
      <c r="L661" s="88"/>
    </row>
    <row r="662" spans="6:12" ht="12.5">
      <c r="F662" s="86"/>
      <c r="G662" s="86"/>
      <c r="H662" s="86"/>
      <c r="I662" s="65"/>
      <c r="J662" s="65"/>
      <c r="K662" s="87"/>
      <c r="L662" s="88"/>
    </row>
    <row r="663" spans="6:12" ht="12.5">
      <c r="F663" s="86"/>
      <c r="G663" s="86"/>
      <c r="H663" s="86"/>
      <c r="I663" s="65"/>
      <c r="J663" s="65"/>
      <c r="K663" s="87"/>
      <c r="L663" s="88"/>
    </row>
    <row r="664" spans="6:12" ht="12.5">
      <c r="F664" s="86"/>
      <c r="G664" s="86"/>
      <c r="H664" s="86"/>
      <c r="I664" s="65"/>
      <c r="J664" s="65"/>
      <c r="K664" s="87"/>
      <c r="L664" s="88"/>
    </row>
    <row r="665" spans="6:12" ht="12.5">
      <c r="F665" s="86"/>
      <c r="G665" s="86"/>
      <c r="H665" s="86"/>
      <c r="I665" s="65"/>
      <c r="J665" s="65"/>
      <c r="K665" s="87"/>
      <c r="L665" s="88"/>
    </row>
    <row r="666" spans="6:12" ht="12.5">
      <c r="F666" s="86"/>
      <c r="G666" s="86"/>
      <c r="H666" s="86"/>
      <c r="I666" s="65"/>
      <c r="J666" s="65"/>
      <c r="K666" s="87"/>
      <c r="L666" s="88"/>
    </row>
    <row r="667" spans="6:12" ht="12.5">
      <c r="F667" s="86"/>
      <c r="G667" s="86"/>
      <c r="H667" s="86"/>
      <c r="I667" s="65"/>
      <c r="J667" s="65"/>
      <c r="K667" s="87"/>
      <c r="L667" s="88"/>
    </row>
    <row r="668" spans="6:12" ht="12.5">
      <c r="F668" s="86"/>
      <c r="G668" s="86"/>
      <c r="H668" s="86"/>
      <c r="I668" s="65"/>
      <c r="J668" s="65"/>
      <c r="K668" s="87"/>
      <c r="L668" s="88"/>
    </row>
    <row r="669" spans="6:12" ht="12.5">
      <c r="F669" s="86"/>
      <c r="G669" s="86"/>
      <c r="H669" s="86"/>
      <c r="I669" s="65"/>
      <c r="J669" s="65"/>
      <c r="K669" s="87"/>
      <c r="L669" s="88"/>
    </row>
    <row r="670" spans="6:12" ht="12.5">
      <c r="F670" s="86"/>
      <c r="G670" s="86"/>
      <c r="H670" s="86"/>
      <c r="I670" s="65"/>
      <c r="J670" s="65"/>
      <c r="K670" s="87"/>
      <c r="L670" s="88"/>
    </row>
    <row r="671" spans="6:12" ht="12.5">
      <c r="F671" s="86"/>
      <c r="G671" s="86"/>
      <c r="H671" s="86"/>
      <c r="I671" s="65"/>
      <c r="J671" s="65"/>
      <c r="K671" s="87"/>
      <c r="L671" s="88"/>
    </row>
    <row r="672" spans="6:12" ht="12.5">
      <c r="F672" s="86"/>
      <c r="G672" s="86"/>
      <c r="H672" s="86"/>
      <c r="I672" s="65"/>
      <c r="J672" s="65"/>
      <c r="K672" s="87"/>
      <c r="L672" s="88"/>
    </row>
    <row r="673" spans="6:12" ht="12.5">
      <c r="F673" s="86"/>
      <c r="G673" s="86"/>
      <c r="H673" s="86"/>
      <c r="I673" s="65"/>
      <c r="J673" s="65"/>
      <c r="K673" s="87"/>
      <c r="L673" s="88"/>
    </row>
    <row r="674" spans="6:12" ht="12.5">
      <c r="F674" s="86"/>
      <c r="G674" s="86"/>
      <c r="H674" s="86"/>
      <c r="I674" s="65"/>
      <c r="J674" s="65"/>
      <c r="K674" s="87"/>
      <c r="L674" s="88"/>
    </row>
    <row r="675" spans="6:12" ht="12.5">
      <c r="F675" s="86"/>
      <c r="G675" s="86"/>
      <c r="H675" s="86"/>
      <c r="I675" s="65"/>
      <c r="J675" s="65"/>
      <c r="K675" s="87"/>
      <c r="L675" s="88"/>
    </row>
    <row r="676" spans="6:12" ht="12.5">
      <c r="F676" s="86"/>
      <c r="G676" s="86"/>
      <c r="H676" s="86"/>
      <c r="I676" s="65"/>
      <c r="J676" s="65"/>
      <c r="K676" s="87"/>
      <c r="L676" s="88"/>
    </row>
    <row r="677" spans="6:12" ht="12.5">
      <c r="F677" s="86"/>
      <c r="G677" s="86"/>
      <c r="H677" s="86"/>
      <c r="I677" s="65"/>
      <c r="J677" s="65"/>
      <c r="K677" s="87"/>
      <c r="L677" s="88"/>
    </row>
    <row r="678" spans="6:12" ht="12.5">
      <c r="F678" s="86"/>
      <c r="G678" s="86"/>
      <c r="H678" s="86"/>
      <c r="I678" s="65"/>
      <c r="J678" s="65"/>
      <c r="K678" s="87"/>
      <c r="L678" s="88"/>
    </row>
    <row r="679" spans="6:12" ht="12.5">
      <c r="F679" s="86"/>
      <c r="G679" s="86"/>
      <c r="H679" s="86"/>
      <c r="I679" s="65"/>
      <c r="J679" s="65"/>
      <c r="K679" s="87"/>
      <c r="L679" s="88"/>
    </row>
    <row r="680" spans="6:12" ht="12.5">
      <c r="F680" s="86"/>
      <c r="G680" s="86"/>
      <c r="H680" s="86"/>
      <c r="I680" s="65"/>
      <c r="J680" s="65"/>
      <c r="K680" s="87"/>
      <c r="L680" s="88"/>
    </row>
    <row r="681" spans="6:12" ht="12.5">
      <c r="F681" s="86"/>
      <c r="G681" s="86"/>
      <c r="H681" s="86"/>
      <c r="I681" s="65"/>
      <c r="J681" s="65"/>
      <c r="K681" s="87"/>
      <c r="L681" s="88"/>
    </row>
    <row r="682" spans="6:12" ht="12.5">
      <c r="F682" s="86"/>
      <c r="G682" s="86"/>
      <c r="H682" s="86"/>
      <c r="I682" s="65"/>
      <c r="J682" s="65"/>
      <c r="K682" s="87"/>
      <c r="L682" s="88"/>
    </row>
    <row r="683" spans="6:12" ht="12.5">
      <c r="F683" s="86"/>
      <c r="G683" s="86"/>
      <c r="H683" s="86"/>
      <c r="I683" s="65"/>
      <c r="J683" s="65"/>
      <c r="K683" s="87"/>
      <c r="L683" s="88"/>
    </row>
    <row r="684" spans="6:12" ht="12.5">
      <c r="F684" s="86"/>
      <c r="G684" s="86"/>
      <c r="H684" s="86"/>
      <c r="I684" s="65"/>
      <c r="J684" s="65"/>
      <c r="K684" s="87"/>
      <c r="L684" s="88"/>
    </row>
    <row r="685" spans="6:12" ht="12.5">
      <c r="F685" s="86"/>
      <c r="G685" s="86"/>
      <c r="H685" s="86"/>
      <c r="I685" s="65"/>
      <c r="J685" s="65"/>
      <c r="K685" s="87"/>
      <c r="L685" s="88"/>
    </row>
    <row r="686" spans="6:12" ht="12.5">
      <c r="F686" s="86"/>
      <c r="G686" s="86"/>
      <c r="H686" s="86"/>
      <c r="I686" s="65"/>
      <c r="J686" s="65"/>
      <c r="K686" s="87"/>
      <c r="L686" s="88"/>
    </row>
    <row r="687" spans="6:12" ht="12.5">
      <c r="F687" s="86"/>
      <c r="G687" s="86"/>
      <c r="H687" s="86"/>
      <c r="I687" s="65"/>
      <c r="J687" s="65"/>
      <c r="K687" s="87"/>
      <c r="L687" s="88"/>
    </row>
    <row r="688" spans="6:12" ht="12.5">
      <c r="F688" s="86"/>
      <c r="G688" s="86"/>
      <c r="H688" s="86"/>
      <c r="I688" s="65"/>
      <c r="J688" s="65"/>
      <c r="K688" s="87"/>
      <c r="L688" s="88"/>
    </row>
    <row r="689" spans="6:12" ht="12.5">
      <c r="F689" s="86"/>
      <c r="G689" s="86"/>
      <c r="H689" s="86"/>
      <c r="I689" s="65"/>
      <c r="J689" s="65"/>
      <c r="K689" s="87"/>
      <c r="L689" s="88"/>
    </row>
    <row r="690" spans="6:12" ht="12.5">
      <c r="F690" s="86"/>
      <c r="G690" s="86"/>
      <c r="H690" s="86"/>
      <c r="I690" s="65"/>
      <c r="J690" s="65"/>
      <c r="K690" s="87"/>
      <c r="L690" s="88"/>
    </row>
    <row r="691" spans="6:12" ht="12.5">
      <c r="F691" s="86"/>
      <c r="G691" s="86"/>
      <c r="H691" s="86"/>
      <c r="I691" s="65"/>
      <c r="J691" s="65"/>
      <c r="K691" s="87"/>
      <c r="L691" s="88"/>
    </row>
    <row r="692" spans="6:12" ht="12.5">
      <c r="F692" s="86"/>
      <c r="G692" s="86"/>
      <c r="H692" s="86"/>
      <c r="I692" s="65"/>
      <c r="J692" s="65"/>
      <c r="K692" s="87"/>
      <c r="L692" s="88"/>
    </row>
    <row r="693" spans="6:12" ht="12.5">
      <c r="F693" s="86"/>
      <c r="G693" s="86"/>
      <c r="H693" s="86"/>
      <c r="I693" s="65"/>
      <c r="J693" s="65"/>
      <c r="K693" s="87"/>
      <c r="L693" s="88"/>
    </row>
    <row r="694" spans="6:12" ht="12.5">
      <c r="F694" s="86"/>
      <c r="G694" s="86"/>
      <c r="H694" s="86"/>
      <c r="I694" s="65"/>
      <c r="J694" s="65"/>
      <c r="K694" s="87"/>
      <c r="L694" s="88"/>
    </row>
    <row r="695" spans="6:12" ht="12.5">
      <c r="F695" s="86"/>
      <c r="G695" s="86"/>
      <c r="H695" s="86"/>
      <c r="I695" s="65"/>
      <c r="J695" s="65"/>
      <c r="K695" s="87"/>
      <c r="L695" s="88"/>
    </row>
    <row r="696" spans="6:12" ht="12.5">
      <c r="F696" s="86"/>
      <c r="G696" s="86"/>
      <c r="H696" s="86"/>
      <c r="I696" s="65"/>
      <c r="J696" s="65"/>
      <c r="K696" s="87"/>
      <c r="L696" s="88"/>
    </row>
    <row r="697" spans="6:12" ht="12.5">
      <c r="F697" s="86"/>
      <c r="G697" s="86"/>
      <c r="H697" s="86"/>
      <c r="I697" s="65"/>
      <c r="J697" s="65"/>
      <c r="K697" s="87"/>
      <c r="L697" s="88"/>
    </row>
    <row r="698" spans="6:12" ht="12.5">
      <c r="F698" s="86"/>
      <c r="G698" s="86"/>
      <c r="H698" s="86"/>
      <c r="I698" s="65"/>
      <c r="J698" s="65"/>
      <c r="K698" s="87"/>
      <c r="L698" s="88"/>
    </row>
    <row r="699" spans="6:12" ht="12.5">
      <c r="F699" s="86"/>
      <c r="G699" s="86"/>
      <c r="H699" s="86"/>
      <c r="I699" s="65"/>
      <c r="J699" s="65"/>
      <c r="K699" s="87"/>
      <c r="L699" s="88"/>
    </row>
    <row r="700" spans="6:12" ht="12.5">
      <c r="F700" s="86"/>
      <c r="G700" s="86"/>
      <c r="H700" s="86"/>
      <c r="I700" s="65"/>
      <c r="J700" s="65"/>
      <c r="K700" s="87"/>
      <c r="L700" s="88"/>
    </row>
    <row r="701" spans="6:12" ht="12.5">
      <c r="F701" s="86"/>
      <c r="G701" s="86"/>
      <c r="H701" s="86"/>
      <c r="I701" s="65"/>
      <c r="J701" s="65"/>
      <c r="K701" s="87"/>
      <c r="L701" s="88"/>
    </row>
    <row r="702" spans="6:12" ht="12.5">
      <c r="F702" s="86"/>
      <c r="G702" s="86"/>
      <c r="H702" s="86"/>
      <c r="I702" s="65"/>
      <c r="J702" s="65"/>
      <c r="K702" s="87"/>
      <c r="L702" s="88"/>
    </row>
    <row r="703" spans="6:12" ht="12.5">
      <c r="F703" s="86"/>
      <c r="G703" s="86"/>
      <c r="H703" s="86"/>
      <c r="I703" s="65"/>
      <c r="J703" s="65"/>
      <c r="K703" s="87"/>
      <c r="L703" s="88"/>
    </row>
    <row r="704" spans="6:12" ht="12.5">
      <c r="F704" s="86"/>
      <c r="G704" s="86"/>
      <c r="H704" s="86"/>
      <c r="I704" s="65"/>
      <c r="J704" s="65"/>
      <c r="K704" s="87"/>
      <c r="L704" s="88"/>
    </row>
    <row r="705" spans="6:12" ht="12.5">
      <c r="F705" s="86"/>
      <c r="G705" s="86"/>
      <c r="H705" s="86"/>
      <c r="I705" s="65"/>
      <c r="J705" s="65"/>
      <c r="K705" s="87"/>
      <c r="L705" s="88"/>
    </row>
    <row r="706" spans="6:12" ht="12.5">
      <c r="F706" s="86"/>
      <c r="G706" s="86"/>
      <c r="H706" s="86"/>
      <c r="I706" s="65"/>
      <c r="J706" s="65"/>
      <c r="K706" s="87"/>
      <c r="L706" s="88"/>
    </row>
    <row r="707" spans="6:12" ht="12.5">
      <c r="F707" s="86"/>
      <c r="G707" s="86"/>
      <c r="H707" s="86"/>
      <c r="I707" s="65"/>
      <c r="J707" s="65"/>
      <c r="K707" s="87"/>
      <c r="L707" s="88"/>
    </row>
    <row r="708" spans="6:12" ht="12.5">
      <c r="F708" s="86"/>
      <c r="G708" s="86"/>
      <c r="H708" s="86"/>
      <c r="I708" s="65"/>
      <c r="J708" s="65"/>
      <c r="K708" s="87"/>
      <c r="L708" s="88"/>
    </row>
    <row r="709" spans="6:12" ht="12.5">
      <c r="F709" s="86"/>
      <c r="G709" s="86"/>
      <c r="H709" s="86"/>
      <c r="I709" s="65"/>
      <c r="J709" s="65"/>
      <c r="K709" s="87"/>
      <c r="L709" s="88"/>
    </row>
    <row r="710" spans="6:12" ht="12.5">
      <c r="F710" s="86"/>
      <c r="G710" s="86"/>
      <c r="H710" s="86"/>
      <c r="I710" s="65"/>
      <c r="J710" s="65"/>
      <c r="K710" s="87"/>
      <c r="L710" s="88"/>
    </row>
    <row r="711" spans="6:12" ht="12.5">
      <c r="F711" s="86"/>
      <c r="G711" s="86"/>
      <c r="H711" s="86"/>
      <c r="I711" s="65"/>
      <c r="J711" s="65"/>
      <c r="K711" s="87"/>
      <c r="L711" s="88"/>
    </row>
    <row r="712" spans="6:12" ht="12.5">
      <c r="F712" s="86"/>
      <c r="G712" s="86"/>
      <c r="H712" s="86"/>
      <c r="I712" s="65"/>
      <c r="J712" s="65"/>
      <c r="K712" s="87"/>
      <c r="L712" s="88"/>
    </row>
    <row r="713" spans="6:12" ht="12.5">
      <c r="F713" s="86"/>
      <c r="G713" s="86"/>
      <c r="H713" s="86"/>
      <c r="I713" s="65"/>
      <c r="J713" s="65"/>
      <c r="K713" s="87"/>
      <c r="L713" s="88"/>
    </row>
    <row r="714" spans="6:12" ht="12.5">
      <c r="F714" s="86"/>
      <c r="G714" s="86"/>
      <c r="H714" s="86"/>
      <c r="I714" s="65"/>
      <c r="J714" s="65"/>
      <c r="K714" s="87"/>
      <c r="L714" s="88"/>
    </row>
    <row r="715" spans="6:12" ht="12.5">
      <c r="F715" s="86"/>
      <c r="G715" s="86"/>
      <c r="H715" s="86"/>
      <c r="I715" s="65"/>
      <c r="J715" s="65"/>
      <c r="K715" s="87"/>
      <c r="L715" s="88"/>
    </row>
    <row r="716" spans="6:12" ht="12.5">
      <c r="F716" s="86"/>
      <c r="G716" s="86"/>
      <c r="H716" s="86"/>
      <c r="I716" s="65"/>
      <c r="J716" s="65"/>
      <c r="K716" s="87"/>
      <c r="L716" s="88"/>
    </row>
    <row r="717" spans="6:12" ht="12.5">
      <c r="F717" s="86"/>
      <c r="G717" s="86"/>
      <c r="H717" s="86"/>
      <c r="I717" s="65"/>
      <c r="J717" s="65"/>
      <c r="K717" s="87"/>
      <c r="L717" s="88"/>
    </row>
    <row r="718" spans="6:12" ht="12.5">
      <c r="F718" s="86"/>
      <c r="G718" s="86"/>
      <c r="H718" s="86"/>
      <c r="I718" s="65"/>
      <c r="J718" s="65"/>
      <c r="K718" s="87"/>
      <c r="L718" s="88"/>
    </row>
    <row r="719" spans="6:12" ht="12.5">
      <c r="F719" s="86"/>
      <c r="G719" s="86"/>
      <c r="H719" s="86"/>
      <c r="I719" s="65"/>
      <c r="J719" s="65"/>
      <c r="K719" s="87"/>
      <c r="L719" s="88"/>
    </row>
    <row r="720" spans="6:12" ht="12.5">
      <c r="F720" s="86"/>
      <c r="G720" s="86"/>
      <c r="H720" s="86"/>
      <c r="I720" s="65"/>
      <c r="J720" s="65"/>
      <c r="K720" s="87"/>
      <c r="L720" s="88"/>
    </row>
    <row r="721" spans="6:12" ht="12.5">
      <c r="F721" s="86"/>
      <c r="G721" s="86"/>
      <c r="H721" s="86"/>
      <c r="I721" s="65"/>
      <c r="J721" s="65"/>
      <c r="K721" s="87"/>
      <c r="L721" s="88"/>
    </row>
    <row r="722" spans="6:12" ht="12.5">
      <c r="F722" s="86"/>
      <c r="G722" s="86"/>
      <c r="H722" s="86"/>
      <c r="I722" s="65"/>
      <c r="J722" s="65"/>
      <c r="K722" s="87"/>
      <c r="L722" s="88"/>
    </row>
    <row r="723" spans="6:12" ht="12.5">
      <c r="F723" s="86"/>
      <c r="G723" s="86"/>
      <c r="H723" s="86"/>
      <c r="I723" s="65"/>
      <c r="J723" s="65"/>
      <c r="K723" s="87"/>
      <c r="L723" s="88"/>
    </row>
    <row r="724" spans="6:12" ht="12.5">
      <c r="F724" s="86"/>
      <c r="G724" s="86"/>
      <c r="H724" s="86"/>
      <c r="I724" s="65"/>
      <c r="J724" s="65"/>
      <c r="K724" s="87"/>
      <c r="L724" s="88"/>
    </row>
    <row r="725" spans="6:12" ht="12.5">
      <c r="F725" s="86"/>
      <c r="G725" s="86"/>
      <c r="H725" s="86"/>
      <c r="I725" s="65"/>
      <c r="J725" s="65"/>
      <c r="K725" s="87"/>
      <c r="L725" s="88"/>
    </row>
    <row r="726" spans="6:12" ht="12.5">
      <c r="F726" s="86"/>
      <c r="G726" s="86"/>
      <c r="H726" s="86"/>
      <c r="I726" s="65"/>
      <c r="J726" s="65"/>
      <c r="K726" s="87"/>
      <c r="L726" s="88"/>
    </row>
    <row r="727" spans="6:12" ht="12.5">
      <c r="F727" s="86"/>
      <c r="G727" s="86"/>
      <c r="H727" s="86"/>
      <c r="I727" s="65"/>
      <c r="J727" s="65"/>
      <c r="K727" s="87"/>
      <c r="L727" s="88"/>
    </row>
    <row r="728" spans="6:12" ht="12.5">
      <c r="F728" s="86"/>
      <c r="G728" s="86"/>
      <c r="H728" s="86"/>
      <c r="I728" s="65"/>
      <c r="J728" s="65"/>
      <c r="K728" s="87"/>
      <c r="L728" s="88"/>
    </row>
    <row r="729" spans="6:12" ht="12.5">
      <c r="F729" s="86"/>
      <c r="G729" s="86"/>
      <c r="H729" s="86"/>
      <c r="I729" s="65"/>
      <c r="J729" s="65"/>
      <c r="K729" s="87"/>
      <c r="L729" s="88"/>
    </row>
    <row r="730" spans="6:12" ht="12.5">
      <c r="F730" s="86"/>
      <c r="G730" s="86"/>
      <c r="H730" s="86"/>
      <c r="I730" s="65"/>
      <c r="J730" s="65"/>
      <c r="K730" s="87"/>
      <c r="L730" s="88"/>
    </row>
    <row r="731" spans="6:12" ht="12.5">
      <c r="F731" s="86"/>
      <c r="G731" s="86"/>
      <c r="H731" s="86"/>
      <c r="I731" s="65"/>
      <c r="J731" s="65"/>
      <c r="K731" s="87"/>
      <c r="L731" s="88"/>
    </row>
    <row r="732" spans="6:12" ht="12.5">
      <c r="F732" s="86"/>
      <c r="G732" s="86"/>
      <c r="H732" s="86"/>
      <c r="I732" s="65"/>
      <c r="J732" s="65"/>
      <c r="K732" s="87"/>
      <c r="L732" s="88"/>
    </row>
    <row r="733" spans="6:12" ht="12.5">
      <c r="F733" s="86"/>
      <c r="G733" s="86"/>
      <c r="H733" s="86"/>
      <c r="I733" s="65"/>
      <c r="J733" s="65"/>
      <c r="K733" s="87"/>
      <c r="L733" s="88"/>
    </row>
    <row r="734" spans="6:12" ht="12.5">
      <c r="F734" s="86"/>
      <c r="G734" s="86"/>
      <c r="H734" s="86"/>
      <c r="I734" s="65"/>
      <c r="J734" s="65"/>
      <c r="K734" s="87"/>
      <c r="L734" s="88"/>
    </row>
    <row r="735" spans="6:12" ht="12.5">
      <c r="F735" s="86"/>
      <c r="G735" s="86"/>
      <c r="H735" s="86"/>
      <c r="I735" s="65"/>
      <c r="J735" s="65"/>
      <c r="K735" s="87"/>
      <c r="L735" s="88"/>
    </row>
    <row r="736" spans="6:12" ht="12.5">
      <c r="F736" s="86"/>
      <c r="G736" s="86"/>
      <c r="H736" s="86"/>
      <c r="I736" s="65"/>
      <c r="J736" s="65"/>
      <c r="K736" s="87"/>
      <c r="L736" s="88"/>
    </row>
    <row r="737" spans="6:12" ht="12.5">
      <c r="F737" s="86"/>
      <c r="G737" s="86"/>
      <c r="H737" s="86"/>
      <c r="I737" s="65"/>
      <c r="J737" s="65"/>
      <c r="K737" s="87"/>
      <c r="L737" s="88"/>
    </row>
    <row r="738" spans="6:12" ht="12.5">
      <c r="F738" s="86"/>
      <c r="G738" s="86"/>
      <c r="H738" s="86"/>
      <c r="I738" s="65"/>
      <c r="J738" s="65"/>
      <c r="K738" s="87"/>
      <c r="L738" s="88"/>
    </row>
    <row r="739" spans="6:12" ht="12.5">
      <c r="F739" s="86"/>
      <c r="G739" s="86"/>
      <c r="H739" s="86"/>
      <c r="I739" s="65"/>
      <c r="J739" s="65"/>
      <c r="K739" s="87"/>
      <c r="L739" s="88"/>
    </row>
    <row r="740" spans="6:12" ht="12.5">
      <c r="F740" s="86"/>
      <c r="G740" s="86"/>
      <c r="H740" s="86"/>
      <c r="I740" s="65"/>
      <c r="J740" s="65"/>
      <c r="K740" s="87"/>
      <c r="L740" s="88"/>
    </row>
    <row r="741" spans="6:12" ht="12.5">
      <c r="F741" s="86"/>
      <c r="G741" s="86"/>
      <c r="H741" s="86"/>
      <c r="I741" s="65"/>
      <c r="J741" s="65"/>
      <c r="K741" s="87"/>
      <c r="L741" s="88"/>
    </row>
    <row r="742" spans="6:12" ht="12.5">
      <c r="F742" s="86"/>
      <c r="G742" s="86"/>
      <c r="H742" s="86"/>
      <c r="I742" s="65"/>
      <c r="J742" s="65"/>
      <c r="K742" s="87"/>
      <c r="L742" s="88"/>
    </row>
    <row r="743" spans="6:12" ht="12.5">
      <c r="F743" s="86"/>
      <c r="G743" s="86"/>
      <c r="H743" s="86"/>
      <c r="I743" s="65"/>
      <c r="J743" s="65"/>
      <c r="K743" s="87"/>
      <c r="L743" s="88"/>
    </row>
    <row r="744" spans="6:12" ht="12.5">
      <c r="F744" s="86"/>
      <c r="G744" s="86"/>
      <c r="H744" s="86"/>
      <c r="I744" s="65"/>
      <c r="J744" s="65"/>
      <c r="K744" s="87"/>
      <c r="L744" s="88"/>
    </row>
    <row r="745" spans="6:12" ht="12.5">
      <c r="F745" s="86"/>
      <c r="G745" s="86"/>
      <c r="H745" s="86"/>
      <c r="I745" s="65"/>
      <c r="J745" s="65"/>
      <c r="K745" s="87"/>
      <c r="L745" s="88"/>
    </row>
    <row r="746" spans="6:12" ht="12.5">
      <c r="F746" s="86"/>
      <c r="G746" s="86"/>
      <c r="H746" s="86"/>
      <c r="I746" s="65"/>
      <c r="J746" s="65"/>
      <c r="K746" s="87"/>
      <c r="L746" s="88"/>
    </row>
    <row r="747" spans="6:12" ht="12.5">
      <c r="F747" s="86"/>
      <c r="G747" s="86"/>
      <c r="H747" s="86"/>
      <c r="I747" s="65"/>
      <c r="J747" s="65"/>
      <c r="K747" s="87"/>
      <c r="L747" s="88"/>
    </row>
    <row r="748" spans="6:12" ht="12.5">
      <c r="F748" s="86"/>
      <c r="G748" s="86"/>
      <c r="H748" s="86"/>
      <c r="I748" s="65"/>
      <c r="J748" s="65"/>
      <c r="K748" s="87"/>
      <c r="L748" s="88"/>
    </row>
    <row r="749" spans="6:12" ht="12.5">
      <c r="F749" s="86"/>
      <c r="G749" s="86"/>
      <c r="H749" s="86"/>
      <c r="I749" s="65"/>
      <c r="J749" s="65"/>
      <c r="K749" s="87"/>
      <c r="L749" s="88"/>
    </row>
    <row r="750" spans="6:12" ht="12.5">
      <c r="F750" s="86"/>
      <c r="G750" s="86"/>
      <c r="H750" s="86"/>
      <c r="I750" s="65"/>
      <c r="J750" s="65"/>
      <c r="K750" s="87"/>
      <c r="L750" s="88"/>
    </row>
    <row r="751" spans="6:12" ht="12.5">
      <c r="F751" s="86"/>
      <c r="G751" s="86"/>
      <c r="H751" s="86"/>
      <c r="I751" s="65"/>
      <c r="J751" s="65"/>
      <c r="K751" s="87"/>
      <c r="L751" s="88"/>
    </row>
    <row r="752" spans="6:12" ht="12.5">
      <c r="F752" s="86"/>
      <c r="G752" s="86"/>
      <c r="H752" s="86"/>
      <c r="I752" s="65"/>
      <c r="J752" s="65"/>
      <c r="K752" s="87"/>
      <c r="L752" s="88"/>
    </row>
    <row r="753" spans="6:12" ht="12.5">
      <c r="F753" s="86"/>
      <c r="G753" s="86"/>
      <c r="H753" s="86"/>
      <c r="I753" s="65"/>
      <c r="J753" s="65"/>
      <c r="K753" s="87"/>
      <c r="L753" s="88"/>
    </row>
    <row r="754" spans="6:12" ht="12.5">
      <c r="F754" s="86"/>
      <c r="G754" s="86"/>
      <c r="H754" s="86"/>
      <c r="I754" s="65"/>
      <c r="J754" s="65"/>
      <c r="K754" s="87"/>
      <c r="L754" s="88"/>
    </row>
    <row r="755" spans="6:12" ht="12.5">
      <c r="F755" s="86"/>
      <c r="G755" s="86"/>
      <c r="H755" s="86"/>
      <c r="I755" s="65"/>
      <c r="J755" s="65"/>
      <c r="K755" s="87"/>
      <c r="L755" s="88"/>
    </row>
    <row r="756" spans="6:12" ht="12.5">
      <c r="F756" s="86"/>
      <c r="G756" s="86"/>
      <c r="H756" s="86"/>
      <c r="I756" s="65"/>
      <c r="J756" s="65"/>
      <c r="K756" s="87"/>
      <c r="L756" s="88"/>
    </row>
    <row r="757" spans="6:12" ht="12.5">
      <c r="F757" s="86"/>
      <c r="G757" s="86"/>
      <c r="H757" s="86"/>
      <c r="I757" s="65"/>
      <c r="J757" s="65"/>
      <c r="K757" s="87"/>
      <c r="L757" s="88"/>
    </row>
    <row r="758" spans="6:12" ht="12.5">
      <c r="F758" s="86"/>
      <c r="G758" s="86"/>
      <c r="H758" s="86"/>
      <c r="I758" s="65"/>
      <c r="J758" s="65"/>
      <c r="K758" s="87"/>
      <c r="L758" s="88"/>
    </row>
    <row r="759" spans="6:12" ht="12.5">
      <c r="F759" s="86"/>
      <c r="G759" s="86"/>
      <c r="H759" s="86"/>
      <c r="I759" s="65"/>
      <c r="J759" s="65"/>
      <c r="K759" s="87"/>
      <c r="L759" s="88"/>
    </row>
    <row r="760" spans="6:12" ht="12.5">
      <c r="F760" s="86"/>
      <c r="G760" s="86"/>
      <c r="H760" s="86"/>
      <c r="I760" s="65"/>
      <c r="J760" s="65"/>
      <c r="K760" s="87"/>
      <c r="L760" s="88"/>
    </row>
    <row r="761" spans="6:12" ht="12.5">
      <c r="F761" s="86"/>
      <c r="G761" s="86"/>
      <c r="H761" s="86"/>
      <c r="I761" s="65"/>
      <c r="J761" s="65"/>
      <c r="K761" s="87"/>
      <c r="L761" s="88"/>
    </row>
    <row r="762" spans="6:12" ht="12.5">
      <c r="F762" s="86"/>
      <c r="G762" s="86"/>
      <c r="H762" s="86"/>
      <c r="I762" s="65"/>
      <c r="J762" s="65"/>
      <c r="K762" s="87"/>
      <c r="L762" s="88"/>
    </row>
    <row r="763" spans="6:12" ht="12.5">
      <c r="F763" s="86"/>
      <c r="G763" s="86"/>
      <c r="H763" s="86"/>
      <c r="I763" s="65"/>
      <c r="J763" s="65"/>
      <c r="K763" s="87"/>
      <c r="L763" s="88"/>
    </row>
    <row r="764" spans="6:12" ht="12.5">
      <c r="F764" s="86"/>
      <c r="G764" s="86"/>
      <c r="H764" s="86"/>
      <c r="I764" s="65"/>
      <c r="J764" s="65"/>
      <c r="K764" s="87"/>
      <c r="L764" s="88"/>
    </row>
    <row r="765" spans="6:12" ht="12.5">
      <c r="F765" s="86"/>
      <c r="G765" s="86"/>
      <c r="H765" s="86"/>
      <c r="I765" s="65"/>
      <c r="J765" s="65"/>
      <c r="K765" s="87"/>
      <c r="L765" s="88"/>
    </row>
    <row r="766" spans="6:12" ht="12.5">
      <c r="F766" s="86"/>
      <c r="G766" s="86"/>
      <c r="H766" s="86"/>
      <c r="I766" s="65"/>
      <c r="J766" s="65"/>
      <c r="K766" s="87"/>
      <c r="L766" s="88"/>
    </row>
    <row r="767" spans="6:12" ht="12.5">
      <c r="F767" s="86"/>
      <c r="G767" s="86"/>
      <c r="H767" s="86"/>
      <c r="I767" s="65"/>
      <c r="J767" s="65"/>
      <c r="K767" s="87"/>
      <c r="L767" s="88"/>
    </row>
    <row r="768" spans="6:12" ht="12.5">
      <c r="F768" s="86"/>
      <c r="G768" s="86"/>
      <c r="H768" s="86"/>
      <c r="I768" s="65"/>
      <c r="J768" s="65"/>
      <c r="K768" s="87"/>
      <c r="L768" s="88"/>
    </row>
    <row r="769" spans="6:12" ht="12.5">
      <c r="F769" s="86"/>
      <c r="G769" s="86"/>
      <c r="H769" s="86"/>
      <c r="I769" s="65"/>
      <c r="J769" s="65"/>
      <c r="K769" s="87"/>
      <c r="L769" s="88"/>
    </row>
    <row r="770" spans="6:12" ht="12.5">
      <c r="F770" s="86"/>
      <c r="G770" s="86"/>
      <c r="H770" s="86"/>
      <c r="I770" s="65"/>
      <c r="J770" s="65"/>
      <c r="K770" s="87"/>
      <c r="L770" s="88"/>
    </row>
    <row r="771" spans="6:12" ht="12.5">
      <c r="F771" s="86"/>
      <c r="G771" s="86"/>
      <c r="H771" s="86"/>
      <c r="I771" s="65"/>
      <c r="J771" s="65"/>
      <c r="K771" s="87"/>
      <c r="L771" s="88"/>
    </row>
    <row r="772" spans="6:12" ht="12.5">
      <c r="F772" s="86"/>
      <c r="G772" s="86"/>
      <c r="H772" s="86"/>
      <c r="I772" s="65"/>
      <c r="J772" s="65"/>
      <c r="K772" s="87"/>
      <c r="L772" s="88"/>
    </row>
    <row r="773" spans="6:12" ht="12.5">
      <c r="F773" s="86"/>
      <c r="G773" s="86"/>
      <c r="H773" s="86"/>
      <c r="I773" s="65"/>
      <c r="J773" s="65"/>
      <c r="K773" s="87"/>
      <c r="L773" s="88"/>
    </row>
    <row r="774" spans="6:12" ht="12.5">
      <c r="F774" s="86"/>
      <c r="G774" s="86"/>
      <c r="H774" s="86"/>
      <c r="I774" s="65"/>
      <c r="J774" s="65"/>
      <c r="K774" s="87"/>
      <c r="L774" s="88"/>
    </row>
    <row r="775" spans="6:12" ht="12.5">
      <c r="F775" s="86"/>
      <c r="G775" s="86"/>
      <c r="H775" s="86"/>
      <c r="I775" s="65"/>
      <c r="J775" s="65"/>
      <c r="K775" s="87"/>
      <c r="L775" s="88"/>
    </row>
    <row r="776" spans="6:12" ht="12.5">
      <c r="F776" s="86"/>
      <c r="G776" s="86"/>
      <c r="H776" s="86"/>
      <c r="I776" s="65"/>
      <c r="J776" s="65"/>
      <c r="K776" s="87"/>
      <c r="L776" s="88"/>
    </row>
    <row r="777" spans="6:12" ht="12.5">
      <c r="F777" s="86"/>
      <c r="G777" s="86"/>
      <c r="H777" s="86"/>
      <c r="I777" s="65"/>
      <c r="J777" s="65"/>
      <c r="K777" s="87"/>
      <c r="L777" s="88"/>
    </row>
    <row r="778" spans="6:12" ht="12.5">
      <c r="F778" s="86"/>
      <c r="G778" s="86"/>
      <c r="H778" s="86"/>
      <c r="I778" s="65"/>
      <c r="J778" s="65"/>
      <c r="K778" s="87"/>
      <c r="L778" s="88"/>
    </row>
    <row r="779" spans="6:12" ht="12.5">
      <c r="F779" s="86"/>
      <c r="G779" s="86"/>
      <c r="H779" s="86"/>
      <c r="I779" s="65"/>
      <c r="J779" s="65"/>
      <c r="K779" s="87"/>
      <c r="L779" s="88"/>
    </row>
    <row r="780" spans="6:12" ht="12.5">
      <c r="F780" s="86"/>
      <c r="G780" s="86"/>
      <c r="H780" s="86"/>
      <c r="I780" s="65"/>
      <c r="J780" s="65"/>
      <c r="K780" s="87"/>
      <c r="L780" s="88"/>
    </row>
    <row r="781" spans="6:12" ht="12.5">
      <c r="F781" s="86"/>
      <c r="G781" s="86"/>
      <c r="H781" s="86"/>
      <c r="I781" s="65"/>
      <c r="J781" s="65"/>
      <c r="K781" s="87"/>
      <c r="L781" s="88"/>
    </row>
    <row r="782" spans="6:12" ht="12.5">
      <c r="F782" s="86"/>
      <c r="G782" s="86"/>
      <c r="H782" s="86"/>
      <c r="I782" s="65"/>
      <c r="J782" s="65"/>
      <c r="K782" s="87"/>
      <c r="L782" s="88"/>
    </row>
    <row r="783" spans="6:12" ht="12.5">
      <c r="F783" s="86"/>
      <c r="G783" s="86"/>
      <c r="H783" s="86"/>
      <c r="I783" s="65"/>
      <c r="J783" s="65"/>
      <c r="K783" s="87"/>
      <c r="L783" s="88"/>
    </row>
    <row r="784" spans="6:12" ht="12.5">
      <c r="F784" s="86"/>
      <c r="G784" s="86"/>
      <c r="H784" s="86"/>
      <c r="I784" s="65"/>
      <c r="J784" s="65"/>
      <c r="K784" s="87"/>
      <c r="L784" s="88"/>
    </row>
    <row r="785" spans="6:12" ht="12.5">
      <c r="F785" s="86"/>
      <c r="G785" s="86"/>
      <c r="H785" s="86"/>
      <c r="I785" s="65"/>
      <c r="J785" s="65"/>
      <c r="K785" s="87"/>
      <c r="L785" s="88"/>
    </row>
    <row r="786" spans="6:12" ht="12.5">
      <c r="F786" s="86"/>
      <c r="G786" s="86"/>
      <c r="H786" s="86"/>
      <c r="I786" s="65"/>
      <c r="J786" s="65"/>
      <c r="K786" s="87"/>
      <c r="L786" s="88"/>
    </row>
    <row r="787" spans="6:12" ht="12.5">
      <c r="F787" s="86"/>
      <c r="G787" s="86"/>
      <c r="H787" s="86"/>
      <c r="I787" s="65"/>
      <c r="J787" s="65"/>
      <c r="K787" s="87"/>
      <c r="L787" s="88"/>
    </row>
    <row r="788" spans="6:12" ht="12.5">
      <c r="F788" s="86"/>
      <c r="G788" s="86"/>
      <c r="H788" s="86"/>
      <c r="I788" s="65"/>
      <c r="J788" s="65"/>
      <c r="K788" s="87"/>
      <c r="L788" s="88"/>
    </row>
    <row r="789" spans="6:12" ht="12.5">
      <c r="F789" s="86"/>
      <c r="G789" s="86"/>
      <c r="H789" s="86"/>
      <c r="I789" s="65"/>
      <c r="J789" s="65"/>
      <c r="K789" s="87"/>
      <c r="L789" s="88"/>
    </row>
    <row r="790" spans="6:12" ht="12.5">
      <c r="F790" s="86"/>
      <c r="G790" s="86"/>
      <c r="H790" s="86"/>
      <c r="I790" s="65"/>
      <c r="J790" s="65"/>
      <c r="K790" s="87"/>
      <c r="L790" s="88"/>
    </row>
    <row r="791" spans="6:12" ht="12.5">
      <c r="F791" s="86"/>
      <c r="G791" s="86"/>
      <c r="H791" s="86"/>
      <c r="I791" s="65"/>
      <c r="J791" s="65"/>
      <c r="K791" s="87"/>
      <c r="L791" s="88"/>
    </row>
    <row r="792" spans="6:12" ht="12.5">
      <c r="F792" s="86"/>
      <c r="G792" s="86"/>
      <c r="H792" s="86"/>
      <c r="I792" s="65"/>
      <c r="J792" s="65"/>
      <c r="K792" s="87"/>
      <c r="L792" s="88"/>
    </row>
    <row r="793" spans="6:12" ht="12.5">
      <c r="F793" s="86"/>
      <c r="G793" s="86"/>
      <c r="H793" s="86"/>
      <c r="I793" s="65"/>
      <c r="J793" s="65"/>
      <c r="K793" s="87"/>
      <c r="L793" s="88"/>
    </row>
    <row r="794" spans="6:12" ht="12.5">
      <c r="F794" s="86"/>
      <c r="G794" s="86"/>
      <c r="H794" s="86"/>
      <c r="I794" s="65"/>
      <c r="J794" s="65"/>
      <c r="K794" s="87"/>
      <c r="L794" s="88"/>
    </row>
    <row r="795" spans="6:12" ht="12.5">
      <c r="F795" s="86"/>
      <c r="G795" s="86"/>
      <c r="H795" s="86"/>
      <c r="I795" s="65"/>
      <c r="J795" s="65"/>
      <c r="K795" s="87"/>
      <c r="L795" s="88"/>
    </row>
    <row r="796" spans="6:12" ht="12.5">
      <c r="F796" s="86"/>
      <c r="G796" s="86"/>
      <c r="H796" s="86"/>
      <c r="I796" s="65"/>
      <c r="J796" s="65"/>
      <c r="K796" s="87"/>
      <c r="L796" s="88"/>
    </row>
    <row r="797" spans="6:12" ht="12.5">
      <c r="F797" s="86"/>
      <c r="G797" s="86"/>
      <c r="H797" s="86"/>
      <c r="I797" s="65"/>
      <c r="J797" s="65"/>
      <c r="K797" s="87"/>
      <c r="L797" s="88"/>
    </row>
    <row r="798" spans="6:12" ht="12.5">
      <c r="F798" s="86"/>
      <c r="G798" s="86"/>
      <c r="H798" s="86"/>
      <c r="I798" s="65"/>
      <c r="J798" s="65"/>
      <c r="K798" s="87"/>
      <c r="L798" s="88"/>
    </row>
    <row r="799" spans="6:12" ht="12.5">
      <c r="F799" s="86"/>
      <c r="G799" s="86"/>
      <c r="H799" s="86"/>
      <c r="I799" s="65"/>
      <c r="J799" s="65"/>
      <c r="K799" s="87"/>
      <c r="L799" s="88"/>
    </row>
    <row r="800" spans="6:12" ht="12.5">
      <c r="F800" s="86"/>
      <c r="G800" s="86"/>
      <c r="H800" s="86"/>
      <c r="I800" s="65"/>
      <c r="J800" s="65"/>
      <c r="K800" s="87"/>
      <c r="L800" s="88"/>
    </row>
    <row r="801" spans="6:12" ht="12.5">
      <c r="F801" s="86"/>
      <c r="G801" s="86"/>
      <c r="H801" s="86"/>
      <c r="I801" s="65"/>
      <c r="J801" s="65"/>
      <c r="K801" s="87"/>
      <c r="L801" s="88"/>
    </row>
    <row r="802" spans="6:12" ht="12.5">
      <c r="F802" s="86"/>
      <c r="G802" s="86"/>
      <c r="H802" s="86"/>
      <c r="I802" s="65"/>
      <c r="J802" s="65"/>
      <c r="K802" s="87"/>
      <c r="L802" s="88"/>
    </row>
    <row r="803" spans="6:12" ht="12.5">
      <c r="F803" s="86"/>
      <c r="G803" s="86"/>
      <c r="H803" s="86"/>
      <c r="I803" s="65"/>
      <c r="J803" s="65"/>
      <c r="K803" s="87"/>
      <c r="L803" s="88"/>
    </row>
    <row r="804" spans="6:12" ht="12.5">
      <c r="F804" s="86"/>
      <c r="G804" s="86"/>
      <c r="H804" s="86"/>
      <c r="I804" s="65"/>
      <c r="J804" s="65"/>
      <c r="K804" s="87"/>
      <c r="L804" s="88"/>
    </row>
    <row r="805" spans="6:12" ht="12.5">
      <c r="F805" s="86"/>
      <c r="G805" s="86"/>
      <c r="H805" s="86"/>
      <c r="I805" s="65"/>
      <c r="J805" s="65"/>
      <c r="K805" s="87"/>
      <c r="L805" s="88"/>
    </row>
    <row r="806" spans="6:12" ht="12.5">
      <c r="F806" s="86"/>
      <c r="G806" s="86"/>
      <c r="H806" s="86"/>
      <c r="I806" s="65"/>
      <c r="J806" s="65"/>
      <c r="K806" s="87"/>
      <c r="L806" s="88"/>
    </row>
    <row r="807" spans="6:12" ht="12.5">
      <c r="F807" s="86"/>
      <c r="G807" s="86"/>
      <c r="H807" s="86"/>
      <c r="I807" s="65"/>
      <c r="J807" s="65"/>
      <c r="K807" s="87"/>
      <c r="L807" s="88"/>
    </row>
    <row r="808" spans="6:12" ht="12.5">
      <c r="F808" s="86"/>
      <c r="G808" s="86"/>
      <c r="H808" s="86"/>
      <c r="I808" s="65"/>
      <c r="J808" s="65"/>
      <c r="K808" s="87"/>
      <c r="L808" s="88"/>
    </row>
    <row r="809" spans="6:12" ht="12.5">
      <c r="F809" s="86"/>
      <c r="G809" s="86"/>
      <c r="H809" s="86"/>
      <c r="I809" s="65"/>
      <c r="J809" s="65"/>
      <c r="K809" s="87"/>
      <c r="L809" s="88"/>
    </row>
    <row r="810" spans="6:12" ht="12.5">
      <c r="F810" s="86"/>
      <c r="G810" s="86"/>
      <c r="H810" s="86"/>
      <c r="I810" s="65"/>
      <c r="J810" s="65"/>
      <c r="K810" s="87"/>
      <c r="L810" s="88"/>
    </row>
    <row r="811" spans="6:12" ht="12.5">
      <c r="F811" s="86"/>
      <c r="G811" s="86"/>
      <c r="H811" s="86"/>
      <c r="I811" s="65"/>
      <c r="J811" s="65"/>
      <c r="K811" s="87"/>
      <c r="L811" s="88"/>
    </row>
    <row r="812" spans="6:12" ht="12.5">
      <c r="F812" s="86"/>
      <c r="G812" s="86"/>
      <c r="H812" s="86"/>
      <c r="I812" s="65"/>
      <c r="J812" s="65"/>
      <c r="K812" s="87"/>
      <c r="L812" s="88"/>
    </row>
    <row r="813" spans="6:12" ht="12.5">
      <c r="F813" s="86"/>
      <c r="G813" s="86"/>
      <c r="H813" s="86"/>
      <c r="I813" s="65"/>
      <c r="J813" s="65"/>
      <c r="K813" s="87"/>
      <c r="L813" s="88"/>
    </row>
    <row r="814" spans="6:12" ht="12.5">
      <c r="F814" s="86"/>
      <c r="G814" s="86"/>
      <c r="H814" s="86"/>
      <c r="I814" s="65"/>
      <c r="J814" s="65"/>
      <c r="K814" s="87"/>
      <c r="L814" s="88"/>
    </row>
    <row r="815" spans="6:12" ht="12.5">
      <c r="F815" s="86"/>
      <c r="G815" s="86"/>
      <c r="H815" s="86"/>
      <c r="I815" s="65"/>
      <c r="J815" s="65"/>
      <c r="K815" s="87"/>
      <c r="L815" s="88"/>
    </row>
    <row r="816" spans="6:12" ht="12.5">
      <c r="F816" s="86"/>
      <c r="G816" s="86"/>
      <c r="H816" s="86"/>
      <c r="I816" s="65"/>
      <c r="J816" s="65"/>
      <c r="K816" s="87"/>
      <c r="L816" s="88"/>
    </row>
    <row r="817" spans="6:12" ht="12.5">
      <c r="F817" s="86"/>
      <c r="G817" s="86"/>
      <c r="H817" s="86"/>
      <c r="I817" s="65"/>
      <c r="J817" s="65"/>
      <c r="K817" s="87"/>
      <c r="L817" s="88"/>
    </row>
    <row r="818" spans="6:12" ht="12.5">
      <c r="F818" s="86"/>
      <c r="G818" s="86"/>
      <c r="H818" s="86"/>
      <c r="I818" s="65"/>
      <c r="J818" s="65"/>
      <c r="K818" s="87"/>
      <c r="L818" s="88"/>
    </row>
    <row r="819" spans="6:12" ht="12.5">
      <c r="F819" s="86"/>
      <c r="G819" s="86"/>
      <c r="H819" s="86"/>
      <c r="I819" s="65"/>
      <c r="J819" s="65"/>
      <c r="K819" s="87"/>
      <c r="L819" s="88"/>
    </row>
    <row r="820" spans="6:12" ht="12.5">
      <c r="F820" s="86"/>
      <c r="G820" s="86"/>
      <c r="H820" s="86"/>
      <c r="I820" s="65"/>
      <c r="J820" s="65"/>
      <c r="K820" s="87"/>
      <c r="L820" s="88"/>
    </row>
    <row r="821" spans="6:12" ht="12.5">
      <c r="F821" s="86"/>
      <c r="G821" s="86"/>
      <c r="H821" s="86"/>
      <c r="I821" s="65"/>
      <c r="J821" s="65"/>
      <c r="K821" s="87"/>
      <c r="L821" s="88"/>
    </row>
    <row r="822" spans="6:12" ht="12.5">
      <c r="F822" s="86"/>
      <c r="G822" s="86"/>
      <c r="H822" s="86"/>
      <c r="I822" s="65"/>
      <c r="J822" s="65"/>
      <c r="K822" s="87"/>
      <c r="L822" s="88"/>
    </row>
    <row r="823" spans="6:12" ht="12.5">
      <c r="F823" s="86"/>
      <c r="G823" s="86"/>
      <c r="H823" s="86"/>
      <c r="I823" s="65"/>
      <c r="J823" s="65"/>
      <c r="K823" s="87"/>
      <c r="L823" s="88"/>
    </row>
    <row r="824" spans="6:12" ht="12.5">
      <c r="F824" s="86"/>
      <c r="G824" s="86"/>
      <c r="H824" s="86"/>
      <c r="I824" s="65"/>
      <c r="J824" s="65"/>
      <c r="K824" s="87"/>
      <c r="L824" s="88"/>
    </row>
    <row r="825" spans="6:12" ht="12.5">
      <c r="F825" s="86"/>
      <c r="G825" s="86"/>
      <c r="H825" s="86"/>
      <c r="I825" s="65"/>
      <c r="J825" s="65"/>
      <c r="K825" s="87"/>
      <c r="L825" s="88"/>
    </row>
    <row r="826" spans="6:12" ht="12.5">
      <c r="F826" s="86"/>
      <c r="G826" s="86"/>
      <c r="H826" s="86"/>
      <c r="I826" s="65"/>
      <c r="J826" s="65"/>
      <c r="K826" s="87"/>
      <c r="L826" s="88"/>
    </row>
    <row r="827" spans="6:12" ht="12.5">
      <c r="F827" s="86"/>
      <c r="G827" s="86"/>
      <c r="H827" s="86"/>
      <c r="I827" s="65"/>
      <c r="J827" s="65"/>
      <c r="K827" s="87"/>
      <c r="L827" s="88"/>
    </row>
    <row r="828" spans="6:12" ht="12.5">
      <c r="F828" s="86"/>
      <c r="G828" s="86"/>
      <c r="H828" s="86"/>
      <c r="I828" s="65"/>
      <c r="J828" s="65"/>
      <c r="K828" s="87"/>
      <c r="L828" s="88"/>
    </row>
    <row r="829" spans="6:12" ht="12.5">
      <c r="F829" s="86"/>
      <c r="G829" s="86"/>
      <c r="H829" s="86"/>
      <c r="I829" s="65"/>
      <c r="J829" s="65"/>
      <c r="K829" s="87"/>
      <c r="L829" s="88"/>
    </row>
    <row r="830" spans="6:12" ht="12.5">
      <c r="F830" s="86"/>
      <c r="G830" s="86"/>
      <c r="H830" s="86"/>
      <c r="I830" s="65"/>
      <c r="J830" s="65"/>
      <c r="K830" s="87"/>
      <c r="L830" s="88"/>
    </row>
    <row r="831" spans="6:12" ht="12.5">
      <c r="F831" s="86"/>
      <c r="G831" s="86"/>
      <c r="H831" s="86"/>
      <c r="I831" s="65"/>
      <c r="J831" s="65"/>
      <c r="K831" s="87"/>
      <c r="L831" s="88"/>
    </row>
    <row r="832" spans="6:12" ht="12.5">
      <c r="F832" s="86"/>
      <c r="G832" s="86"/>
      <c r="H832" s="86"/>
      <c r="I832" s="65"/>
      <c r="J832" s="65"/>
      <c r="K832" s="87"/>
      <c r="L832" s="88"/>
    </row>
    <row r="833" spans="6:12" ht="12.5">
      <c r="F833" s="86"/>
      <c r="G833" s="86"/>
      <c r="H833" s="86"/>
      <c r="I833" s="65"/>
      <c r="J833" s="65"/>
      <c r="K833" s="87"/>
      <c r="L833" s="88"/>
    </row>
    <row r="834" spans="6:12" ht="12.5">
      <c r="F834" s="86"/>
      <c r="G834" s="86"/>
      <c r="H834" s="86"/>
      <c r="I834" s="65"/>
      <c r="J834" s="65"/>
      <c r="K834" s="87"/>
      <c r="L834" s="88"/>
    </row>
    <row r="835" spans="6:12" ht="12.5">
      <c r="F835" s="86"/>
      <c r="G835" s="86"/>
      <c r="H835" s="86"/>
      <c r="I835" s="65"/>
      <c r="J835" s="65"/>
      <c r="K835" s="87"/>
      <c r="L835" s="88"/>
    </row>
    <row r="836" spans="6:12" ht="12.5">
      <c r="F836" s="86"/>
      <c r="G836" s="86"/>
      <c r="H836" s="86"/>
      <c r="I836" s="65"/>
      <c r="J836" s="65"/>
      <c r="K836" s="87"/>
      <c r="L836" s="88"/>
    </row>
    <row r="837" spans="6:12" ht="12.5">
      <c r="F837" s="86"/>
      <c r="G837" s="86"/>
      <c r="H837" s="86"/>
      <c r="I837" s="65"/>
      <c r="J837" s="65"/>
      <c r="K837" s="87"/>
      <c r="L837" s="88"/>
    </row>
    <row r="838" spans="6:12" ht="12.5">
      <c r="F838" s="86"/>
      <c r="G838" s="86"/>
      <c r="H838" s="86"/>
      <c r="I838" s="65"/>
      <c r="J838" s="65"/>
      <c r="K838" s="87"/>
      <c r="L838" s="88"/>
    </row>
    <row r="839" spans="6:12" ht="12.5">
      <c r="F839" s="86"/>
      <c r="G839" s="86"/>
      <c r="H839" s="86"/>
      <c r="I839" s="65"/>
      <c r="J839" s="65"/>
      <c r="K839" s="87"/>
      <c r="L839" s="88"/>
    </row>
    <row r="840" spans="6:12" ht="12.5">
      <c r="F840" s="86"/>
      <c r="G840" s="86"/>
      <c r="H840" s="86"/>
      <c r="I840" s="65"/>
      <c r="J840" s="65"/>
      <c r="K840" s="87"/>
      <c r="L840" s="88"/>
    </row>
    <row r="841" spans="6:12" ht="12.5">
      <c r="F841" s="86"/>
      <c r="G841" s="86"/>
      <c r="H841" s="86"/>
      <c r="I841" s="65"/>
      <c r="J841" s="65"/>
      <c r="K841" s="87"/>
      <c r="L841" s="88"/>
    </row>
    <row r="842" spans="6:12" ht="12.5">
      <c r="F842" s="86"/>
      <c r="G842" s="86"/>
      <c r="H842" s="86"/>
      <c r="I842" s="65"/>
      <c r="J842" s="65"/>
      <c r="K842" s="87"/>
      <c r="L842" s="88"/>
    </row>
    <row r="843" spans="6:12" ht="12.5">
      <c r="F843" s="86"/>
      <c r="G843" s="86"/>
      <c r="H843" s="86"/>
      <c r="I843" s="65"/>
      <c r="J843" s="65"/>
      <c r="K843" s="87"/>
      <c r="L843" s="88"/>
    </row>
    <row r="844" spans="6:12" ht="12.5">
      <c r="F844" s="86"/>
      <c r="G844" s="86"/>
      <c r="H844" s="86"/>
      <c r="I844" s="65"/>
      <c r="J844" s="65"/>
      <c r="K844" s="87"/>
      <c r="L844" s="88"/>
    </row>
    <row r="845" spans="6:12" ht="12.5">
      <c r="F845" s="86"/>
      <c r="G845" s="86"/>
      <c r="H845" s="86"/>
      <c r="I845" s="65"/>
      <c r="J845" s="65"/>
      <c r="K845" s="87"/>
      <c r="L845" s="88"/>
    </row>
    <row r="846" spans="6:12" ht="12.5">
      <c r="F846" s="86"/>
      <c r="G846" s="86"/>
      <c r="H846" s="86"/>
      <c r="I846" s="65"/>
      <c r="J846" s="65"/>
      <c r="K846" s="87"/>
      <c r="L846" s="88"/>
    </row>
    <row r="847" spans="6:12" ht="12.5">
      <c r="F847" s="86"/>
      <c r="G847" s="86"/>
      <c r="H847" s="86"/>
      <c r="I847" s="65"/>
      <c r="J847" s="65"/>
      <c r="K847" s="87"/>
      <c r="L847" s="88"/>
    </row>
    <row r="848" spans="6:12" ht="12.5">
      <c r="F848" s="86"/>
      <c r="G848" s="86"/>
      <c r="H848" s="86"/>
      <c r="I848" s="65"/>
      <c r="J848" s="65"/>
      <c r="K848" s="87"/>
      <c r="L848" s="88"/>
    </row>
    <row r="849" spans="6:12" ht="12.5">
      <c r="F849" s="86"/>
      <c r="G849" s="86"/>
      <c r="H849" s="86"/>
      <c r="I849" s="65"/>
      <c r="J849" s="65"/>
      <c r="K849" s="87"/>
      <c r="L849" s="88"/>
    </row>
    <row r="850" spans="6:12" ht="12.5">
      <c r="F850" s="86"/>
      <c r="G850" s="86"/>
      <c r="H850" s="86"/>
      <c r="I850" s="65"/>
      <c r="J850" s="65"/>
      <c r="K850" s="87"/>
      <c r="L850" s="88"/>
    </row>
    <row r="851" spans="6:12" ht="12.5">
      <c r="F851" s="86"/>
      <c r="G851" s="86"/>
      <c r="H851" s="86"/>
      <c r="I851" s="65"/>
      <c r="J851" s="65"/>
      <c r="K851" s="87"/>
      <c r="L851" s="88"/>
    </row>
    <row r="852" spans="6:12" ht="12.5">
      <c r="F852" s="86"/>
      <c r="G852" s="86"/>
      <c r="H852" s="86"/>
      <c r="I852" s="65"/>
      <c r="J852" s="65"/>
      <c r="K852" s="87"/>
      <c r="L852" s="88"/>
    </row>
    <row r="853" spans="6:12" ht="12.5">
      <c r="F853" s="86"/>
      <c r="G853" s="86"/>
      <c r="H853" s="86"/>
      <c r="I853" s="65"/>
      <c r="J853" s="65"/>
      <c r="K853" s="87"/>
      <c r="L853" s="88"/>
    </row>
    <row r="854" spans="6:12" ht="12.5">
      <c r="F854" s="86"/>
      <c r="G854" s="86"/>
      <c r="H854" s="86"/>
      <c r="I854" s="65"/>
      <c r="J854" s="65"/>
      <c r="K854" s="87"/>
      <c r="L854" s="88"/>
    </row>
    <row r="855" spans="6:12" ht="12.5">
      <c r="F855" s="86"/>
      <c r="G855" s="86"/>
      <c r="H855" s="86"/>
      <c r="I855" s="65"/>
      <c r="J855" s="65"/>
      <c r="K855" s="87"/>
      <c r="L855" s="88"/>
    </row>
    <row r="856" spans="6:12" ht="12.5">
      <c r="F856" s="86"/>
      <c r="G856" s="86"/>
      <c r="H856" s="86"/>
      <c r="I856" s="65"/>
      <c r="J856" s="65"/>
      <c r="K856" s="87"/>
      <c r="L856" s="88"/>
    </row>
    <row r="857" spans="6:12" ht="12.5">
      <c r="F857" s="86"/>
      <c r="G857" s="86"/>
      <c r="H857" s="86"/>
      <c r="I857" s="65"/>
      <c r="J857" s="65"/>
      <c r="K857" s="87"/>
      <c r="L857" s="88"/>
    </row>
    <row r="858" spans="6:12" ht="12.5">
      <c r="F858" s="86"/>
      <c r="G858" s="86"/>
      <c r="H858" s="86"/>
      <c r="I858" s="65"/>
      <c r="J858" s="65"/>
      <c r="K858" s="87"/>
      <c r="L858" s="88"/>
    </row>
    <row r="859" spans="6:12" ht="12.5">
      <c r="F859" s="86"/>
      <c r="G859" s="86"/>
      <c r="H859" s="86"/>
      <c r="I859" s="65"/>
      <c r="J859" s="65"/>
      <c r="K859" s="87"/>
      <c r="L859" s="88"/>
    </row>
    <row r="860" spans="6:12" ht="12.5">
      <c r="F860" s="86"/>
      <c r="G860" s="86"/>
      <c r="H860" s="86"/>
      <c r="I860" s="65"/>
      <c r="J860" s="65"/>
      <c r="K860" s="87"/>
      <c r="L860" s="88"/>
    </row>
    <row r="861" spans="6:12" ht="12.5">
      <c r="F861" s="86"/>
      <c r="G861" s="86"/>
      <c r="H861" s="86"/>
      <c r="I861" s="65"/>
      <c r="J861" s="65"/>
      <c r="K861" s="87"/>
      <c r="L861" s="88"/>
    </row>
    <row r="862" spans="6:12" ht="12.5">
      <c r="F862" s="86"/>
      <c r="G862" s="86"/>
      <c r="H862" s="86"/>
      <c r="I862" s="65"/>
      <c r="J862" s="65"/>
      <c r="K862" s="87"/>
      <c r="L862" s="88"/>
    </row>
    <row r="863" spans="6:12" ht="12.5">
      <c r="F863" s="86"/>
      <c r="G863" s="86"/>
      <c r="H863" s="86"/>
      <c r="I863" s="65"/>
      <c r="J863" s="65"/>
      <c r="K863" s="87"/>
      <c r="L863" s="88"/>
    </row>
    <row r="864" spans="6:12" ht="12.5">
      <c r="F864" s="86"/>
      <c r="G864" s="86"/>
      <c r="H864" s="86"/>
      <c r="I864" s="65"/>
      <c r="J864" s="65"/>
      <c r="K864" s="87"/>
      <c r="L864" s="88"/>
    </row>
    <row r="865" spans="6:12" ht="12.5">
      <c r="F865" s="86"/>
      <c r="G865" s="86"/>
      <c r="H865" s="86"/>
      <c r="I865" s="65"/>
      <c r="J865" s="65"/>
      <c r="K865" s="87"/>
      <c r="L865" s="88"/>
    </row>
    <row r="866" spans="6:12" ht="12.5">
      <c r="F866" s="86"/>
      <c r="G866" s="86"/>
      <c r="H866" s="86"/>
      <c r="I866" s="65"/>
      <c r="J866" s="65"/>
      <c r="K866" s="87"/>
      <c r="L866" s="88"/>
    </row>
    <row r="867" spans="6:12" ht="12.5">
      <c r="F867" s="86"/>
      <c r="G867" s="86"/>
      <c r="H867" s="86"/>
      <c r="I867" s="65"/>
      <c r="J867" s="65"/>
      <c r="K867" s="87"/>
      <c r="L867" s="88"/>
    </row>
    <row r="868" spans="6:12" ht="12.5">
      <c r="F868" s="86"/>
      <c r="G868" s="86"/>
      <c r="H868" s="86"/>
      <c r="I868" s="65"/>
      <c r="J868" s="65"/>
      <c r="K868" s="87"/>
      <c r="L868" s="88"/>
    </row>
    <row r="869" spans="6:12" ht="12.5">
      <c r="F869" s="86"/>
      <c r="G869" s="86"/>
      <c r="H869" s="86"/>
      <c r="I869" s="65"/>
      <c r="J869" s="65"/>
      <c r="K869" s="87"/>
      <c r="L869" s="88"/>
    </row>
    <row r="870" spans="6:12" ht="12.5">
      <c r="F870" s="86"/>
      <c r="G870" s="86"/>
      <c r="H870" s="86"/>
      <c r="I870" s="65"/>
      <c r="J870" s="65"/>
      <c r="K870" s="87"/>
      <c r="L870" s="88"/>
    </row>
    <row r="871" spans="6:12" ht="12.5">
      <c r="F871" s="86"/>
      <c r="G871" s="86"/>
      <c r="H871" s="86"/>
      <c r="I871" s="65"/>
      <c r="J871" s="65"/>
      <c r="K871" s="87"/>
      <c r="L871" s="88"/>
    </row>
    <row r="872" spans="6:12" ht="12.5">
      <c r="F872" s="86"/>
      <c r="G872" s="86"/>
      <c r="H872" s="86"/>
      <c r="I872" s="65"/>
      <c r="J872" s="65"/>
      <c r="K872" s="87"/>
      <c r="L872" s="88"/>
    </row>
    <row r="873" spans="6:12" ht="12.5">
      <c r="F873" s="86"/>
      <c r="G873" s="86"/>
      <c r="H873" s="86"/>
      <c r="I873" s="65"/>
      <c r="J873" s="65"/>
      <c r="K873" s="87"/>
      <c r="L873" s="88"/>
    </row>
    <row r="874" spans="6:12" ht="12.5">
      <c r="F874" s="86"/>
      <c r="G874" s="86"/>
      <c r="H874" s="86"/>
      <c r="I874" s="65"/>
      <c r="J874" s="65"/>
      <c r="K874" s="87"/>
      <c r="L874" s="88"/>
    </row>
    <row r="875" spans="6:12" ht="12.5">
      <c r="F875" s="86"/>
      <c r="G875" s="86"/>
      <c r="H875" s="86"/>
      <c r="I875" s="65"/>
      <c r="J875" s="65"/>
      <c r="K875" s="87"/>
      <c r="L875" s="88"/>
    </row>
    <row r="876" spans="6:12" ht="12.5">
      <c r="F876" s="86"/>
      <c r="G876" s="86"/>
      <c r="H876" s="86"/>
      <c r="I876" s="65"/>
      <c r="J876" s="65"/>
      <c r="K876" s="87"/>
      <c r="L876" s="88"/>
    </row>
    <row r="877" spans="6:12" ht="12.5">
      <c r="F877" s="86"/>
      <c r="G877" s="86"/>
      <c r="H877" s="86"/>
      <c r="I877" s="65"/>
      <c r="J877" s="65"/>
      <c r="K877" s="87"/>
      <c r="L877" s="88"/>
    </row>
    <row r="878" spans="6:12" ht="12.5">
      <c r="F878" s="86"/>
      <c r="G878" s="86"/>
      <c r="H878" s="86"/>
      <c r="I878" s="65"/>
      <c r="J878" s="65"/>
      <c r="K878" s="87"/>
      <c r="L878" s="88"/>
    </row>
    <row r="879" spans="6:12" ht="12.5">
      <c r="F879" s="86"/>
      <c r="G879" s="86"/>
      <c r="H879" s="86"/>
      <c r="I879" s="65"/>
      <c r="J879" s="65"/>
      <c r="K879" s="87"/>
      <c r="L879" s="88"/>
    </row>
    <row r="880" spans="6:12" ht="12.5">
      <c r="F880" s="86"/>
      <c r="G880" s="86"/>
      <c r="H880" s="86"/>
      <c r="I880" s="65"/>
      <c r="J880" s="65"/>
      <c r="K880" s="87"/>
      <c r="L880" s="88"/>
    </row>
    <row r="881" spans="6:12" ht="12.5">
      <c r="F881" s="86"/>
      <c r="G881" s="86"/>
      <c r="H881" s="86"/>
      <c r="I881" s="65"/>
      <c r="J881" s="65"/>
      <c r="K881" s="87"/>
      <c r="L881" s="88"/>
    </row>
    <row r="882" spans="6:12" ht="12.5">
      <c r="F882" s="86"/>
      <c r="G882" s="86"/>
      <c r="H882" s="86"/>
      <c r="I882" s="65"/>
      <c r="J882" s="65"/>
      <c r="K882" s="87"/>
      <c r="L882" s="88"/>
    </row>
    <row r="883" spans="6:12" ht="12.5">
      <c r="F883" s="86"/>
      <c r="G883" s="86"/>
      <c r="H883" s="86"/>
      <c r="I883" s="65"/>
      <c r="J883" s="65"/>
      <c r="K883" s="87"/>
      <c r="L883" s="88"/>
    </row>
    <row r="884" spans="6:12" ht="12.5">
      <c r="F884" s="86"/>
      <c r="G884" s="86"/>
      <c r="H884" s="86"/>
      <c r="I884" s="65"/>
      <c r="J884" s="65"/>
      <c r="K884" s="87"/>
      <c r="L884" s="88"/>
    </row>
    <row r="885" spans="6:12" ht="12.5">
      <c r="F885" s="86"/>
      <c r="G885" s="86"/>
      <c r="H885" s="86"/>
      <c r="I885" s="65"/>
      <c r="J885" s="65"/>
      <c r="K885" s="87"/>
      <c r="L885" s="88"/>
    </row>
    <row r="886" spans="6:12" ht="12.5">
      <c r="F886" s="86"/>
      <c r="G886" s="86"/>
      <c r="H886" s="86"/>
      <c r="I886" s="65"/>
      <c r="J886" s="65"/>
      <c r="K886" s="87"/>
      <c r="L886" s="88"/>
    </row>
    <row r="887" spans="6:12" ht="12.5">
      <c r="F887" s="86"/>
      <c r="G887" s="86"/>
      <c r="H887" s="86"/>
      <c r="I887" s="65"/>
      <c r="J887" s="65"/>
      <c r="K887" s="87"/>
      <c r="L887" s="88"/>
    </row>
    <row r="888" spans="6:12" ht="12.5">
      <c r="F888" s="86"/>
      <c r="G888" s="86"/>
      <c r="H888" s="86"/>
      <c r="I888" s="65"/>
      <c r="J888" s="65"/>
      <c r="K888" s="87"/>
      <c r="L888" s="88"/>
    </row>
    <row r="889" spans="6:12" ht="12.5">
      <c r="F889" s="86"/>
      <c r="G889" s="86"/>
      <c r="H889" s="86"/>
      <c r="I889" s="65"/>
      <c r="J889" s="65"/>
      <c r="K889" s="87"/>
      <c r="L889" s="88"/>
    </row>
    <row r="890" spans="6:12" ht="12.5">
      <c r="F890" s="86"/>
      <c r="G890" s="86"/>
      <c r="H890" s="86"/>
      <c r="I890" s="65"/>
      <c r="J890" s="65"/>
      <c r="K890" s="87"/>
      <c r="L890" s="88"/>
    </row>
    <row r="891" spans="6:12" ht="12.5">
      <c r="F891" s="86"/>
      <c r="G891" s="86"/>
      <c r="H891" s="86"/>
      <c r="I891" s="65"/>
      <c r="J891" s="65"/>
      <c r="K891" s="87"/>
      <c r="L891" s="88"/>
    </row>
    <row r="892" spans="6:12" ht="12.5">
      <c r="F892" s="86"/>
      <c r="G892" s="86"/>
      <c r="H892" s="86"/>
      <c r="I892" s="65"/>
      <c r="J892" s="65"/>
      <c r="K892" s="87"/>
      <c r="L892" s="88"/>
    </row>
    <row r="893" spans="6:12" ht="12.5">
      <c r="F893" s="86"/>
      <c r="G893" s="86"/>
      <c r="H893" s="86"/>
      <c r="I893" s="65"/>
      <c r="J893" s="65"/>
      <c r="K893" s="87"/>
      <c r="L893" s="88"/>
    </row>
    <row r="894" spans="6:12" ht="12.5">
      <c r="F894" s="86"/>
      <c r="G894" s="86"/>
      <c r="H894" s="86"/>
      <c r="I894" s="65"/>
      <c r="J894" s="65"/>
      <c r="K894" s="87"/>
      <c r="L894" s="88"/>
    </row>
    <row r="895" spans="6:12" ht="12.5">
      <c r="F895" s="86"/>
      <c r="G895" s="86"/>
      <c r="H895" s="86"/>
      <c r="I895" s="65"/>
      <c r="J895" s="65"/>
      <c r="K895" s="87"/>
      <c r="L895" s="88"/>
    </row>
    <row r="896" spans="6:12" ht="12.5">
      <c r="F896" s="86"/>
      <c r="G896" s="86"/>
      <c r="H896" s="86"/>
      <c r="I896" s="65"/>
      <c r="J896" s="65"/>
      <c r="K896" s="87"/>
      <c r="L896" s="88"/>
    </row>
    <row r="897" spans="6:12" ht="12.5">
      <c r="F897" s="86"/>
      <c r="G897" s="86"/>
      <c r="H897" s="86"/>
      <c r="I897" s="65"/>
      <c r="J897" s="65"/>
      <c r="K897" s="87"/>
      <c r="L897" s="88"/>
    </row>
    <row r="898" spans="6:12" ht="12.5">
      <c r="F898" s="86"/>
      <c r="G898" s="86"/>
      <c r="H898" s="86"/>
      <c r="I898" s="65"/>
      <c r="J898" s="65"/>
      <c r="K898" s="87"/>
      <c r="L898" s="88"/>
    </row>
    <row r="899" spans="6:12" ht="12.5">
      <c r="F899" s="86"/>
      <c r="G899" s="86"/>
      <c r="H899" s="86"/>
      <c r="I899" s="65"/>
      <c r="J899" s="65"/>
      <c r="K899" s="87"/>
      <c r="L899" s="88"/>
    </row>
    <row r="900" spans="6:12" ht="12.5">
      <c r="F900" s="86"/>
      <c r="G900" s="86"/>
      <c r="H900" s="86"/>
      <c r="I900" s="65"/>
      <c r="J900" s="65"/>
      <c r="K900" s="87"/>
      <c r="L900" s="88"/>
    </row>
    <row r="901" spans="6:12" ht="12.5">
      <c r="F901" s="86"/>
      <c r="G901" s="86"/>
      <c r="H901" s="86"/>
      <c r="I901" s="65"/>
      <c r="J901" s="65"/>
      <c r="K901" s="87"/>
      <c r="L901" s="88"/>
    </row>
    <row r="902" spans="6:12" ht="12.5">
      <c r="F902" s="86"/>
      <c r="G902" s="86"/>
      <c r="H902" s="86"/>
      <c r="I902" s="65"/>
      <c r="J902" s="65"/>
      <c r="K902" s="87"/>
      <c r="L902" s="88"/>
    </row>
    <row r="903" spans="6:12" ht="12.5">
      <c r="F903" s="86"/>
      <c r="G903" s="86"/>
      <c r="H903" s="86"/>
      <c r="I903" s="65"/>
      <c r="J903" s="65"/>
      <c r="K903" s="87"/>
      <c r="L903" s="88"/>
    </row>
    <row r="904" spans="6:12" ht="12.5">
      <c r="F904" s="86"/>
      <c r="G904" s="86"/>
      <c r="H904" s="86"/>
      <c r="I904" s="65"/>
      <c r="J904" s="65"/>
      <c r="K904" s="87"/>
      <c r="L904" s="88"/>
    </row>
    <row r="905" spans="6:12" ht="12.5">
      <c r="F905" s="86"/>
      <c r="G905" s="86"/>
      <c r="H905" s="86"/>
      <c r="I905" s="65"/>
      <c r="J905" s="65"/>
      <c r="K905" s="87"/>
      <c r="L905" s="88"/>
    </row>
    <row r="906" spans="6:12" ht="12.5">
      <c r="F906" s="86"/>
      <c r="G906" s="86"/>
      <c r="H906" s="86"/>
      <c r="I906" s="65"/>
      <c r="J906" s="65"/>
      <c r="K906" s="87"/>
      <c r="L906" s="88"/>
    </row>
    <row r="907" spans="6:12" ht="12.5">
      <c r="F907" s="86"/>
      <c r="G907" s="86"/>
      <c r="H907" s="86"/>
      <c r="I907" s="65"/>
      <c r="J907" s="65"/>
      <c r="K907" s="87"/>
      <c r="L907" s="88"/>
    </row>
    <row r="908" spans="6:12" ht="12.5">
      <c r="F908" s="86"/>
      <c r="G908" s="86"/>
      <c r="H908" s="86"/>
      <c r="I908" s="65"/>
      <c r="J908" s="65"/>
      <c r="K908" s="87"/>
      <c r="L908" s="88"/>
    </row>
    <row r="909" spans="6:12" ht="12.5">
      <c r="F909" s="86"/>
      <c r="G909" s="86"/>
      <c r="H909" s="86"/>
      <c r="I909" s="65"/>
      <c r="J909" s="65"/>
      <c r="K909" s="87"/>
      <c r="L909" s="88"/>
    </row>
    <row r="910" spans="6:12" ht="12.5">
      <c r="F910" s="86"/>
      <c r="G910" s="86"/>
      <c r="H910" s="86"/>
      <c r="I910" s="65"/>
      <c r="J910" s="65"/>
      <c r="K910" s="87"/>
      <c r="L910" s="88"/>
    </row>
    <row r="911" spans="6:12" ht="12.5">
      <c r="F911" s="86"/>
      <c r="G911" s="86"/>
      <c r="H911" s="86"/>
      <c r="I911" s="65"/>
      <c r="J911" s="65"/>
      <c r="K911" s="87"/>
      <c r="L911" s="88"/>
    </row>
    <row r="912" spans="6:12" ht="12.5">
      <c r="F912" s="86"/>
      <c r="G912" s="86"/>
      <c r="H912" s="86"/>
      <c r="I912" s="65"/>
      <c r="J912" s="65"/>
      <c r="K912" s="87"/>
      <c r="L912" s="88"/>
    </row>
    <row r="913" spans="6:12" ht="12.5">
      <c r="F913" s="86"/>
      <c r="G913" s="86"/>
      <c r="H913" s="86"/>
      <c r="I913" s="65"/>
      <c r="J913" s="65"/>
      <c r="K913" s="87"/>
      <c r="L913" s="88"/>
    </row>
    <row r="914" spans="6:12" ht="12.5">
      <c r="F914" s="86"/>
      <c r="G914" s="86"/>
      <c r="H914" s="86"/>
      <c r="I914" s="65"/>
      <c r="J914" s="65"/>
      <c r="K914" s="87"/>
      <c r="L914" s="88"/>
    </row>
    <row r="915" spans="6:12" ht="12.5">
      <c r="F915" s="86"/>
      <c r="G915" s="86"/>
      <c r="H915" s="86"/>
      <c r="I915" s="65"/>
      <c r="J915" s="65"/>
      <c r="K915" s="87"/>
      <c r="L915" s="88"/>
    </row>
    <row r="916" spans="6:12" ht="12.5">
      <c r="F916" s="86"/>
      <c r="G916" s="86"/>
      <c r="H916" s="86"/>
      <c r="I916" s="65"/>
      <c r="J916" s="65"/>
      <c r="K916" s="87"/>
      <c r="L916" s="88"/>
    </row>
    <row r="917" spans="6:12" ht="12.5">
      <c r="F917" s="86"/>
      <c r="G917" s="86"/>
      <c r="H917" s="86"/>
      <c r="I917" s="65"/>
      <c r="J917" s="65"/>
      <c r="K917" s="87"/>
      <c r="L917" s="88"/>
    </row>
    <row r="918" spans="6:12" ht="12.5">
      <c r="F918" s="86"/>
      <c r="G918" s="86"/>
      <c r="H918" s="86"/>
      <c r="I918" s="65"/>
      <c r="J918" s="65"/>
      <c r="K918" s="87"/>
      <c r="L918" s="88"/>
    </row>
    <row r="919" spans="6:12" ht="12.5">
      <c r="F919" s="86"/>
      <c r="G919" s="86"/>
      <c r="H919" s="86"/>
      <c r="I919" s="65"/>
      <c r="J919" s="65"/>
      <c r="K919" s="87"/>
      <c r="L919" s="88"/>
    </row>
    <row r="920" spans="6:12" ht="12.5">
      <c r="F920" s="86"/>
      <c r="G920" s="86"/>
      <c r="H920" s="86"/>
      <c r="I920" s="65"/>
      <c r="J920" s="65"/>
      <c r="K920" s="87"/>
      <c r="L920" s="88"/>
    </row>
    <row r="921" spans="6:12" ht="12.5">
      <c r="F921" s="86"/>
      <c r="G921" s="86"/>
      <c r="H921" s="86"/>
      <c r="I921" s="65"/>
      <c r="J921" s="65"/>
      <c r="K921" s="87"/>
      <c r="L921" s="88"/>
    </row>
    <row r="922" spans="6:12" ht="12.5">
      <c r="F922" s="86"/>
      <c r="G922" s="86"/>
      <c r="H922" s="86"/>
      <c r="I922" s="65"/>
      <c r="J922" s="65"/>
      <c r="K922" s="87"/>
      <c r="L922" s="88"/>
    </row>
    <row r="923" spans="6:12" ht="12.5">
      <c r="F923" s="86"/>
      <c r="G923" s="86"/>
      <c r="H923" s="86"/>
      <c r="I923" s="65"/>
      <c r="J923" s="65"/>
      <c r="K923" s="87"/>
      <c r="L923" s="88"/>
    </row>
    <row r="924" spans="6:12" ht="12.5">
      <c r="F924" s="86"/>
      <c r="G924" s="86"/>
      <c r="H924" s="86"/>
      <c r="I924" s="65"/>
      <c r="J924" s="65"/>
      <c r="K924" s="87"/>
      <c r="L924" s="88"/>
    </row>
    <row r="925" spans="6:12" ht="12.5">
      <c r="F925" s="86"/>
      <c r="G925" s="86"/>
      <c r="H925" s="86"/>
      <c r="I925" s="65"/>
      <c r="J925" s="65"/>
      <c r="K925" s="87"/>
      <c r="L925" s="88"/>
    </row>
    <row r="926" spans="6:12" ht="12.5">
      <c r="F926" s="86"/>
      <c r="G926" s="86"/>
      <c r="H926" s="86"/>
      <c r="I926" s="65"/>
      <c r="J926" s="65"/>
      <c r="K926" s="87"/>
      <c r="L926" s="88"/>
    </row>
    <row r="927" spans="6:12" ht="12.5">
      <c r="F927" s="86"/>
      <c r="G927" s="86"/>
      <c r="H927" s="86"/>
      <c r="I927" s="65"/>
      <c r="J927" s="65"/>
      <c r="K927" s="87"/>
      <c r="L927" s="88"/>
    </row>
    <row r="928" spans="6:12" ht="12.5">
      <c r="F928" s="86"/>
      <c r="G928" s="86"/>
      <c r="H928" s="86"/>
      <c r="I928" s="65"/>
      <c r="J928" s="65"/>
      <c r="K928" s="87"/>
      <c r="L928" s="88"/>
    </row>
    <row r="929" spans="6:12" ht="12.5">
      <c r="F929" s="86"/>
      <c r="G929" s="86"/>
      <c r="H929" s="86"/>
      <c r="I929" s="65"/>
      <c r="J929" s="65"/>
      <c r="K929" s="87"/>
      <c r="L929" s="88"/>
    </row>
    <row r="930" spans="6:12" ht="12.5">
      <c r="F930" s="86"/>
      <c r="G930" s="86"/>
      <c r="H930" s="86"/>
      <c r="I930" s="65"/>
      <c r="J930" s="65"/>
      <c r="K930" s="87"/>
      <c r="L930" s="88"/>
    </row>
    <row r="931" spans="6:12" ht="12.5">
      <c r="F931" s="86"/>
      <c r="G931" s="86"/>
      <c r="H931" s="86"/>
      <c r="I931" s="65"/>
      <c r="J931" s="65"/>
      <c r="K931" s="87"/>
      <c r="L931" s="88"/>
    </row>
    <row r="932" spans="6:12" ht="12.5">
      <c r="F932" s="86"/>
      <c r="G932" s="86"/>
      <c r="H932" s="86"/>
      <c r="I932" s="65"/>
      <c r="J932" s="65"/>
      <c r="K932" s="87"/>
      <c r="L932" s="88"/>
    </row>
    <row r="933" spans="6:12" ht="12.5">
      <c r="F933" s="86"/>
      <c r="G933" s="86"/>
      <c r="H933" s="86"/>
      <c r="I933" s="65"/>
      <c r="J933" s="65"/>
      <c r="K933" s="87"/>
      <c r="L933" s="88"/>
    </row>
    <row r="934" spans="6:12" ht="12.5">
      <c r="F934" s="86"/>
      <c r="G934" s="86"/>
      <c r="H934" s="86"/>
      <c r="I934" s="65"/>
      <c r="J934" s="65"/>
      <c r="K934" s="87"/>
      <c r="L934" s="88"/>
    </row>
    <row r="935" spans="6:12" ht="12.5">
      <c r="F935" s="86"/>
      <c r="G935" s="86"/>
      <c r="H935" s="86"/>
      <c r="I935" s="65"/>
      <c r="J935" s="65"/>
      <c r="K935" s="87"/>
      <c r="L935" s="88"/>
    </row>
    <row r="936" spans="6:12" ht="12.5">
      <c r="F936" s="86"/>
      <c r="G936" s="86"/>
      <c r="H936" s="86"/>
      <c r="I936" s="65"/>
      <c r="J936" s="65"/>
      <c r="K936" s="87"/>
      <c r="L936" s="88"/>
    </row>
    <row r="937" spans="6:12" ht="12.5">
      <c r="F937" s="86"/>
      <c r="G937" s="86"/>
      <c r="H937" s="86"/>
      <c r="I937" s="65"/>
      <c r="J937" s="65"/>
      <c r="K937" s="87"/>
      <c r="L937" s="88"/>
    </row>
    <row r="938" spans="6:12" ht="12.5">
      <c r="F938" s="86"/>
      <c r="G938" s="86"/>
      <c r="H938" s="86"/>
      <c r="I938" s="65"/>
      <c r="J938" s="65"/>
      <c r="K938" s="87"/>
      <c r="L938" s="88"/>
    </row>
    <row r="939" spans="6:12" ht="12.5">
      <c r="F939" s="86"/>
      <c r="G939" s="86"/>
      <c r="H939" s="86"/>
      <c r="I939" s="65"/>
      <c r="J939" s="65"/>
      <c r="K939" s="87"/>
      <c r="L939" s="88"/>
    </row>
    <row r="940" spans="6:12" ht="12.5">
      <c r="F940" s="86"/>
      <c r="G940" s="86"/>
      <c r="H940" s="86"/>
      <c r="I940" s="65"/>
      <c r="J940" s="65"/>
      <c r="K940" s="87"/>
      <c r="L940" s="88"/>
    </row>
    <row r="941" spans="6:12" ht="12.5">
      <c r="F941" s="86"/>
      <c r="G941" s="86"/>
      <c r="H941" s="86"/>
      <c r="I941" s="65"/>
      <c r="J941" s="65"/>
      <c r="K941" s="87"/>
      <c r="L941" s="88"/>
    </row>
    <row r="942" spans="6:12" ht="12.5">
      <c r="F942" s="86"/>
      <c r="G942" s="86"/>
      <c r="H942" s="86"/>
      <c r="I942" s="65"/>
      <c r="J942" s="65"/>
      <c r="K942" s="87"/>
      <c r="L942" s="88"/>
    </row>
    <row r="943" spans="6:12" ht="12.5">
      <c r="F943" s="86"/>
      <c r="G943" s="86"/>
      <c r="H943" s="86"/>
      <c r="I943" s="65"/>
      <c r="J943" s="65"/>
      <c r="K943" s="87"/>
      <c r="L943" s="88"/>
    </row>
    <row r="944" spans="6:12" ht="12.5">
      <c r="F944" s="86"/>
      <c r="G944" s="86"/>
      <c r="H944" s="86"/>
      <c r="I944" s="65"/>
      <c r="J944" s="65"/>
      <c r="K944" s="87"/>
      <c r="L944" s="88"/>
    </row>
    <row r="945" spans="6:12" ht="12.5">
      <c r="F945" s="86"/>
      <c r="G945" s="86"/>
      <c r="H945" s="86"/>
      <c r="I945" s="65"/>
      <c r="J945" s="65"/>
      <c r="K945" s="87"/>
      <c r="L945" s="88"/>
    </row>
    <row r="946" spans="6:12" ht="12.5">
      <c r="F946" s="86"/>
      <c r="G946" s="86"/>
      <c r="H946" s="86"/>
      <c r="I946" s="65"/>
      <c r="J946" s="65"/>
      <c r="K946" s="87"/>
      <c r="L946" s="88"/>
    </row>
    <row r="947" spans="6:12" ht="12.5">
      <c r="F947" s="86"/>
      <c r="G947" s="86"/>
      <c r="H947" s="86"/>
      <c r="I947" s="65"/>
      <c r="J947" s="65"/>
      <c r="K947" s="87"/>
      <c r="L947" s="88"/>
    </row>
    <row r="948" spans="6:12" ht="12.5">
      <c r="F948" s="86"/>
      <c r="G948" s="86"/>
      <c r="H948" s="86"/>
      <c r="I948" s="65"/>
      <c r="J948" s="65"/>
      <c r="K948" s="87"/>
      <c r="L948" s="88"/>
    </row>
    <row r="949" spans="6:12" ht="12.5">
      <c r="F949" s="86"/>
      <c r="G949" s="86"/>
      <c r="H949" s="86"/>
      <c r="I949" s="65"/>
      <c r="J949" s="65"/>
      <c r="K949" s="87"/>
      <c r="L949" s="88"/>
    </row>
    <row r="950" spans="6:12" ht="12.5">
      <c r="F950" s="86"/>
      <c r="G950" s="86"/>
      <c r="H950" s="86"/>
      <c r="I950" s="65"/>
      <c r="J950" s="65"/>
      <c r="K950" s="87"/>
      <c r="L950" s="88"/>
    </row>
    <row r="951" spans="6:12" ht="12.5">
      <c r="F951" s="86"/>
      <c r="G951" s="86"/>
      <c r="H951" s="86"/>
      <c r="I951" s="65"/>
      <c r="J951" s="65"/>
      <c r="K951" s="87"/>
      <c r="L951" s="88"/>
    </row>
    <row r="952" spans="6:12" ht="12.5">
      <c r="F952" s="86"/>
      <c r="G952" s="86"/>
      <c r="H952" s="86"/>
      <c r="I952" s="65"/>
      <c r="J952" s="65"/>
      <c r="K952" s="87"/>
      <c r="L952" s="88"/>
    </row>
    <row r="953" spans="6:12" ht="12.5">
      <c r="F953" s="86"/>
      <c r="G953" s="86"/>
      <c r="H953" s="86"/>
      <c r="I953" s="65"/>
      <c r="J953" s="65"/>
      <c r="K953" s="87"/>
      <c r="L953" s="88"/>
    </row>
    <row r="954" spans="6:12" ht="12.5">
      <c r="F954" s="86"/>
      <c r="G954" s="86"/>
      <c r="H954" s="86"/>
      <c r="I954" s="65"/>
      <c r="J954" s="65"/>
      <c r="K954" s="87"/>
      <c r="L954" s="88"/>
    </row>
    <row r="955" spans="6:12" ht="12.5">
      <c r="F955" s="86"/>
      <c r="G955" s="86"/>
      <c r="H955" s="86"/>
      <c r="I955" s="65"/>
      <c r="J955" s="65"/>
      <c r="K955" s="87"/>
      <c r="L955" s="88"/>
    </row>
    <row r="956" spans="6:12" ht="12.5">
      <c r="F956" s="86"/>
      <c r="G956" s="86"/>
      <c r="H956" s="86"/>
      <c r="I956" s="65"/>
      <c r="J956" s="65"/>
      <c r="K956" s="87"/>
      <c r="L956" s="88"/>
    </row>
    <row r="957" spans="6:12" ht="12.5">
      <c r="F957" s="86"/>
      <c r="G957" s="86"/>
      <c r="H957" s="86"/>
      <c r="I957" s="65"/>
      <c r="J957" s="65"/>
      <c r="K957" s="87"/>
      <c r="L957" s="88"/>
    </row>
    <row r="958" spans="6:12" ht="12.5">
      <c r="F958" s="86"/>
      <c r="G958" s="86"/>
      <c r="H958" s="86"/>
      <c r="I958" s="65"/>
      <c r="J958" s="65"/>
      <c r="K958" s="87"/>
      <c r="L958" s="88"/>
    </row>
    <row r="959" spans="6:12" ht="12.5">
      <c r="F959" s="86"/>
      <c r="G959" s="86"/>
      <c r="H959" s="86"/>
      <c r="I959" s="65"/>
      <c r="J959" s="65"/>
      <c r="K959" s="87"/>
      <c r="L959" s="88"/>
    </row>
    <row r="960" spans="6:12" ht="12.5">
      <c r="F960" s="86"/>
      <c r="G960" s="86"/>
      <c r="H960" s="86"/>
      <c r="I960" s="65"/>
      <c r="J960" s="65"/>
      <c r="K960" s="87"/>
      <c r="L960" s="88"/>
    </row>
    <row r="961" spans="6:12" ht="12.5">
      <c r="F961" s="86"/>
      <c r="G961" s="86"/>
      <c r="H961" s="86"/>
      <c r="I961" s="65"/>
      <c r="J961" s="65"/>
      <c r="K961" s="87"/>
      <c r="L961" s="88"/>
    </row>
    <row r="962" spans="6:12" ht="12.5">
      <c r="F962" s="86"/>
      <c r="G962" s="86"/>
      <c r="H962" s="86"/>
      <c r="I962" s="65"/>
      <c r="J962" s="65"/>
      <c r="K962" s="87"/>
      <c r="L962" s="88"/>
    </row>
    <row r="963" spans="6:12" ht="12.5">
      <c r="F963" s="86"/>
      <c r="G963" s="86"/>
      <c r="H963" s="86"/>
      <c r="I963" s="65"/>
      <c r="J963" s="65"/>
      <c r="K963" s="87"/>
      <c r="L963" s="88"/>
    </row>
    <row r="964" spans="6:12" ht="12.5">
      <c r="F964" s="86"/>
      <c r="G964" s="86"/>
      <c r="H964" s="86"/>
      <c r="I964" s="65"/>
      <c r="J964" s="65"/>
      <c r="K964" s="87"/>
      <c r="L964" s="88"/>
    </row>
    <row r="965" spans="6:12" ht="12.5">
      <c r="F965" s="86"/>
      <c r="G965" s="86"/>
      <c r="H965" s="86"/>
      <c r="I965" s="65"/>
      <c r="J965" s="65"/>
      <c r="K965" s="87"/>
      <c r="L965" s="88"/>
    </row>
    <row r="966" spans="6:12" ht="12.5">
      <c r="F966" s="86"/>
      <c r="G966" s="86"/>
      <c r="H966" s="86"/>
      <c r="I966" s="65"/>
      <c r="J966" s="65"/>
      <c r="K966" s="87"/>
      <c r="L966" s="88"/>
    </row>
    <row r="967" spans="6:12" ht="12.5">
      <c r="F967" s="86"/>
      <c r="G967" s="86"/>
      <c r="H967" s="86"/>
      <c r="I967" s="65"/>
      <c r="J967" s="65"/>
      <c r="K967" s="87"/>
      <c r="L967" s="88"/>
    </row>
    <row r="968" spans="6:12" ht="12.5">
      <c r="F968" s="86"/>
      <c r="G968" s="86"/>
      <c r="H968" s="86"/>
      <c r="I968" s="65"/>
      <c r="J968" s="65"/>
      <c r="K968" s="87"/>
      <c r="L968" s="88"/>
    </row>
    <row r="969" spans="6:12" ht="12.5">
      <c r="F969" s="86"/>
      <c r="G969" s="86"/>
      <c r="H969" s="86"/>
      <c r="I969" s="65"/>
      <c r="J969" s="65"/>
      <c r="K969" s="87"/>
      <c r="L969" s="88"/>
    </row>
    <row r="970" spans="6:12" ht="12.5">
      <c r="F970" s="86"/>
      <c r="G970" s="86"/>
      <c r="H970" s="86"/>
      <c r="I970" s="65"/>
      <c r="J970" s="65"/>
      <c r="K970" s="87"/>
      <c r="L970" s="88"/>
    </row>
    <row r="971" spans="6:12" ht="12.5">
      <c r="F971" s="86"/>
      <c r="G971" s="86"/>
      <c r="H971" s="86"/>
      <c r="I971" s="65"/>
      <c r="J971" s="65"/>
      <c r="K971" s="87"/>
      <c r="L971" s="88"/>
    </row>
    <row r="972" spans="6:12" ht="12.5">
      <c r="F972" s="86"/>
      <c r="G972" s="86"/>
      <c r="H972" s="86"/>
      <c r="I972" s="65"/>
      <c r="J972" s="65"/>
      <c r="K972" s="87"/>
      <c r="L972" s="88"/>
    </row>
    <row r="973" spans="6:12" ht="12.5">
      <c r="F973" s="86"/>
      <c r="G973" s="86"/>
      <c r="H973" s="86"/>
      <c r="I973" s="65"/>
      <c r="J973" s="65"/>
      <c r="K973" s="87"/>
      <c r="L973" s="88"/>
    </row>
    <row r="974" spans="6:12" ht="12.5">
      <c r="F974" s="86"/>
      <c r="G974" s="86"/>
      <c r="H974" s="86"/>
      <c r="I974" s="65"/>
      <c r="J974" s="65"/>
      <c r="K974" s="87"/>
      <c r="L974" s="88"/>
    </row>
    <row r="975" spans="6:12" ht="12.5">
      <c r="F975" s="86"/>
      <c r="G975" s="86"/>
      <c r="H975" s="86"/>
      <c r="I975" s="65"/>
      <c r="J975" s="65"/>
      <c r="K975" s="87"/>
      <c r="L975" s="88"/>
    </row>
    <row r="976" spans="6:12" ht="12.5">
      <c r="F976" s="86"/>
      <c r="G976" s="86"/>
      <c r="H976" s="86"/>
      <c r="I976" s="65"/>
      <c r="J976" s="65"/>
      <c r="K976" s="87"/>
      <c r="L976" s="88"/>
    </row>
    <row r="977" spans="6:12" ht="12.5">
      <c r="F977" s="86"/>
      <c r="G977" s="86"/>
      <c r="H977" s="86"/>
      <c r="I977" s="65"/>
      <c r="J977" s="65"/>
      <c r="K977" s="87"/>
      <c r="L977" s="88"/>
    </row>
    <row r="978" spans="6:12" ht="12.5">
      <c r="F978" s="86"/>
      <c r="G978" s="86"/>
      <c r="H978" s="86"/>
      <c r="I978" s="65"/>
      <c r="J978" s="65"/>
      <c r="K978" s="87"/>
      <c r="L978" s="88"/>
    </row>
    <row r="979" spans="6:12" ht="12.5">
      <c r="F979" s="86"/>
      <c r="G979" s="86"/>
      <c r="H979" s="86"/>
      <c r="I979" s="65"/>
      <c r="J979" s="65"/>
      <c r="K979" s="87"/>
      <c r="L979" s="88"/>
    </row>
    <row r="980" spans="6:12" ht="12.5">
      <c r="F980" s="86"/>
      <c r="G980" s="86"/>
      <c r="H980" s="86"/>
      <c r="I980" s="65"/>
      <c r="J980" s="65"/>
      <c r="K980" s="87"/>
      <c r="L980" s="88"/>
    </row>
    <row r="981" spans="6:12" ht="12.5">
      <c r="F981" s="86"/>
      <c r="G981" s="86"/>
      <c r="H981" s="86"/>
      <c r="I981" s="65"/>
      <c r="J981" s="65"/>
      <c r="K981" s="87"/>
      <c r="L981" s="88"/>
    </row>
    <row r="982" spans="6:12" ht="12.5">
      <c r="F982" s="86"/>
      <c r="G982" s="86"/>
      <c r="H982" s="86"/>
      <c r="I982" s="65"/>
      <c r="J982" s="65"/>
      <c r="K982" s="87"/>
      <c r="L982" s="88"/>
    </row>
    <row r="983" spans="6:12" ht="12.5">
      <c r="F983" s="86"/>
      <c r="G983" s="86"/>
      <c r="H983" s="86"/>
      <c r="I983" s="65"/>
      <c r="J983" s="65"/>
      <c r="K983" s="87"/>
      <c r="L983" s="88"/>
    </row>
    <row r="984" spans="6:12" ht="12.5">
      <c r="F984" s="86"/>
      <c r="G984" s="86"/>
      <c r="H984" s="86"/>
      <c r="I984" s="65"/>
      <c r="J984" s="65"/>
      <c r="K984" s="87"/>
      <c r="L984" s="88"/>
    </row>
    <row r="985" spans="6:12" ht="12.5">
      <c r="F985" s="86"/>
      <c r="G985" s="86"/>
      <c r="H985" s="86"/>
      <c r="I985" s="65"/>
      <c r="J985" s="65"/>
      <c r="K985" s="87"/>
      <c r="L985" s="88"/>
    </row>
    <row r="986" spans="6:12" ht="12.5">
      <c r="F986" s="86"/>
      <c r="G986" s="86"/>
      <c r="H986" s="86"/>
      <c r="I986" s="65"/>
      <c r="J986" s="65"/>
      <c r="K986" s="87"/>
      <c r="L986" s="88"/>
    </row>
    <row r="987" spans="6:12" ht="12.5">
      <c r="F987" s="86"/>
      <c r="G987" s="86"/>
      <c r="H987" s="86"/>
      <c r="I987" s="65"/>
      <c r="J987" s="65"/>
      <c r="K987" s="87"/>
      <c r="L987" s="88"/>
    </row>
    <row r="988" spans="6:12" ht="12.5">
      <c r="F988" s="86"/>
      <c r="G988" s="86"/>
      <c r="H988" s="86"/>
      <c r="I988" s="65"/>
      <c r="J988" s="65"/>
      <c r="K988" s="87"/>
      <c r="L988" s="88"/>
    </row>
    <row r="989" spans="6:12" ht="12.5">
      <c r="F989" s="86"/>
      <c r="G989" s="86"/>
      <c r="H989" s="86"/>
      <c r="I989" s="65"/>
      <c r="J989" s="65"/>
      <c r="K989" s="87"/>
      <c r="L989" s="88"/>
    </row>
    <row r="990" spans="6:12" ht="12.5">
      <c r="F990" s="86"/>
      <c r="G990" s="86"/>
      <c r="H990" s="86"/>
      <c r="I990" s="65"/>
      <c r="J990" s="65"/>
      <c r="K990" s="87"/>
      <c r="L990" s="88"/>
    </row>
    <row r="991" spans="6:12" ht="12.5">
      <c r="F991" s="86"/>
      <c r="G991" s="86"/>
      <c r="H991" s="86"/>
      <c r="I991" s="65"/>
      <c r="J991" s="65"/>
      <c r="K991" s="87"/>
      <c r="L991" s="88"/>
    </row>
    <row r="992" spans="6:12" ht="12.5">
      <c r="F992" s="86"/>
      <c r="G992" s="86"/>
      <c r="H992" s="86"/>
      <c r="I992" s="65"/>
      <c r="J992" s="65"/>
      <c r="K992" s="87"/>
      <c r="L992" s="88"/>
    </row>
    <row r="993" spans="6:12" ht="12.5">
      <c r="F993" s="86"/>
      <c r="G993" s="86"/>
      <c r="H993" s="86"/>
      <c r="I993" s="65"/>
      <c r="J993" s="65"/>
      <c r="K993" s="87"/>
      <c r="L993" s="88"/>
    </row>
    <row r="994" spans="6:12" ht="12.5">
      <c r="F994" s="86"/>
      <c r="G994" s="86"/>
      <c r="H994" s="86"/>
      <c r="I994" s="65"/>
      <c r="J994" s="65"/>
      <c r="K994" s="87"/>
      <c r="L994" s="88"/>
    </row>
    <row r="995" spans="6:12" ht="12.5">
      <c r="F995" s="86"/>
      <c r="G995" s="86"/>
      <c r="H995" s="86"/>
      <c r="I995" s="65"/>
      <c r="J995" s="65"/>
      <c r="K995" s="87"/>
      <c r="L995" s="88"/>
    </row>
    <row r="996" spans="6:12" ht="12.5">
      <c r="F996" s="86"/>
      <c r="G996" s="86"/>
      <c r="H996" s="86"/>
      <c r="I996" s="65"/>
      <c r="J996" s="65"/>
      <c r="K996" s="87"/>
      <c r="L996" s="88"/>
    </row>
    <row r="997" spans="6:12" ht="12.5">
      <c r="F997" s="86"/>
      <c r="G997" s="86"/>
      <c r="H997" s="86"/>
      <c r="I997" s="65"/>
      <c r="J997" s="65"/>
      <c r="K997" s="87"/>
      <c r="L997" s="88"/>
    </row>
    <row r="998" spans="6:12" ht="12.5">
      <c r="F998" s="86"/>
      <c r="G998" s="86"/>
      <c r="H998" s="86"/>
      <c r="I998" s="65"/>
      <c r="J998" s="65"/>
      <c r="K998" s="87"/>
      <c r="L998" s="88"/>
    </row>
    <row r="999" spans="6:12" ht="12.5">
      <c r="F999" s="86"/>
      <c r="G999" s="86"/>
      <c r="H999" s="86"/>
      <c r="I999" s="65"/>
      <c r="J999" s="65"/>
      <c r="K999" s="87"/>
      <c r="L999" s="88"/>
    </row>
    <row r="1000" spans="6:12" ht="12.5">
      <c r="F1000" s="89"/>
      <c r="G1000" s="89"/>
      <c r="H1000" s="89"/>
      <c r="I1000" s="90"/>
      <c r="J1000" s="65"/>
      <c r="K1000" s="91"/>
      <c r="L1000" s="50"/>
    </row>
    <row r="1001" spans="6:12" ht="12.5">
      <c r="F1001" s="89"/>
      <c r="G1001" s="89"/>
      <c r="H1001" s="89"/>
      <c r="I1001" s="90"/>
      <c r="J1001" s="92"/>
    </row>
    <row r="1002" spans="6:12" ht="12.5">
      <c r="F1002" s="89"/>
      <c r="G1002" s="89"/>
      <c r="H1002" s="89"/>
      <c r="I1002" s="90"/>
      <c r="J1002" s="9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L1002"/>
  <sheetViews>
    <sheetView workbookViewId="0"/>
  </sheetViews>
  <sheetFormatPr defaultColWidth="12.54296875" defaultRowHeight="15" customHeight="1"/>
  <cols>
    <col min="2" max="2" width="15" customWidth="1"/>
    <col min="3" max="3" width="16.453125" customWidth="1"/>
  </cols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43323</v>
      </c>
      <c r="B2" s="61">
        <v>1</v>
      </c>
      <c r="C2" s="61" t="s">
        <v>160</v>
      </c>
      <c r="D2" s="62">
        <v>45000</v>
      </c>
      <c r="E2" s="62">
        <v>80000</v>
      </c>
      <c r="F2" s="63">
        <f>I2-0</f>
        <v>45000</v>
      </c>
      <c r="G2" s="63">
        <f>$B$5/$I$5*(F2)</f>
        <v>2.3818030248898414</v>
      </c>
      <c r="H2" s="63">
        <f>$B$5/SQRT($I$5)*(SQRT(I2)-SQRT(0))</f>
        <v>3.0866182302901293</v>
      </c>
      <c r="I2" s="76">
        <f t="shared" ref="I2:J5" si="0">D2</f>
        <v>45000</v>
      </c>
      <c r="J2" s="76">
        <f t="shared" si="0"/>
        <v>80000</v>
      </c>
      <c r="K2" s="77">
        <f>J2*'Inflation Rates by Year'!$F$2</f>
        <v>95430.823457587219</v>
      </c>
      <c r="L2" s="78">
        <f>K2/I2</f>
        <v>2.1206849657241604</v>
      </c>
    </row>
    <row r="3" spans="1:12" ht="15" customHeight="1">
      <c r="A3" s="81">
        <v>43324</v>
      </c>
      <c r="B3" s="61">
        <v>2</v>
      </c>
      <c r="C3" s="61" t="s">
        <v>160</v>
      </c>
      <c r="D3" s="62">
        <v>74835</v>
      </c>
      <c r="E3" s="62">
        <v>353445</v>
      </c>
      <c r="F3" s="63">
        <f>I3-I2</f>
        <v>29835</v>
      </c>
      <c r="G3" s="63">
        <f>$B$5/$I$5*(F3)</f>
        <v>1.5791354055019651</v>
      </c>
      <c r="H3" s="63">
        <f>$B$5/SQRT($I$5)*(SQRT(I3)-SQRT(I2))</f>
        <v>0.89380306921664932</v>
      </c>
      <c r="I3" s="76">
        <f t="shared" si="0"/>
        <v>74835</v>
      </c>
      <c r="J3" s="76">
        <f t="shared" si="0"/>
        <v>353445</v>
      </c>
      <c r="K3" s="77">
        <f>J3*'Inflation Rates by Year'!$F$2</f>
        <v>421619.34246208641</v>
      </c>
      <c r="L3" s="78">
        <f>K3/I3</f>
        <v>5.6339860020322901</v>
      </c>
    </row>
    <row r="4" spans="1:12" ht="15" customHeight="1">
      <c r="A4" s="81">
        <v>43325</v>
      </c>
      <c r="B4" s="61">
        <v>3</v>
      </c>
      <c r="C4" s="61" t="s">
        <v>160</v>
      </c>
      <c r="D4" s="62">
        <v>75573</v>
      </c>
      <c r="E4" s="62">
        <v>733333</v>
      </c>
      <c r="F4" s="63">
        <f>I4-I3</f>
        <v>738</v>
      </c>
      <c r="G4" s="63">
        <f>$B$5/$I$5*(F4)</f>
        <v>3.9061569608193403E-2</v>
      </c>
      <c r="H4" s="63">
        <f>$B$5/SQRT($I$5)*(SQRT(I4)-SQRT(I3))</f>
        <v>1.957870049322142E-2</v>
      </c>
      <c r="I4" s="76">
        <f t="shared" si="0"/>
        <v>75573</v>
      </c>
      <c r="J4" s="76">
        <f t="shared" si="0"/>
        <v>733333</v>
      </c>
      <c r="K4" s="77">
        <f>J4*'Inflation Rates by Year'!$F$2</f>
        <v>874782.150732785</v>
      </c>
      <c r="L4" s="78">
        <f>K4/I4</f>
        <v>11.575326515194382</v>
      </c>
    </row>
    <row r="5" spans="1:12" ht="15" customHeight="1">
      <c r="A5" s="81">
        <v>43326</v>
      </c>
      <c r="B5" s="61">
        <v>4</v>
      </c>
      <c r="C5" s="61" t="s">
        <v>160</v>
      </c>
      <c r="D5" s="62">
        <v>75573</v>
      </c>
      <c r="E5" s="62">
        <v>864121</v>
      </c>
      <c r="F5" s="63">
        <f>I5-I4</f>
        <v>0</v>
      </c>
      <c r="G5" s="63">
        <f>$B$5/$I$5*(F5)</f>
        <v>0</v>
      </c>
      <c r="H5" s="63">
        <f>$B$5/SQRT($I$5)*(SQRT(I5)-SQRT(I4))</f>
        <v>0</v>
      </c>
      <c r="I5" s="76">
        <f t="shared" si="0"/>
        <v>75573</v>
      </c>
      <c r="J5" s="76">
        <f t="shared" si="0"/>
        <v>864121</v>
      </c>
      <c r="K5" s="77">
        <f>J5*'Inflation Rates by Year'!$F$2</f>
        <v>1030797.2324624215</v>
      </c>
      <c r="L5" s="78">
        <f>K5/I5</f>
        <v>13.639755368483739</v>
      </c>
    </row>
    <row r="6" spans="1:12" ht="15" customHeight="1">
      <c r="A6" s="81"/>
      <c r="C6" s="61"/>
      <c r="D6" s="62"/>
      <c r="E6" s="62"/>
      <c r="F6" s="63"/>
      <c r="G6" s="63"/>
      <c r="H6" s="63"/>
      <c r="I6" s="76"/>
      <c r="J6" s="76"/>
      <c r="K6" s="77"/>
      <c r="L6" s="78"/>
    </row>
    <row r="7" spans="1:12" ht="15" customHeight="1">
      <c r="A7" s="81"/>
      <c r="C7" s="61"/>
      <c r="D7" s="62"/>
      <c r="E7" s="62"/>
      <c r="F7" s="63"/>
      <c r="G7" s="63"/>
      <c r="H7" s="63"/>
      <c r="I7" s="76"/>
      <c r="J7" s="76"/>
      <c r="K7" s="77"/>
      <c r="L7" s="78"/>
    </row>
    <row r="8" spans="1:12" ht="15" customHeight="1">
      <c r="A8" s="81"/>
      <c r="C8" s="61"/>
      <c r="D8" s="62"/>
      <c r="E8" s="62"/>
      <c r="F8" s="63"/>
      <c r="G8" s="63"/>
      <c r="H8" s="63"/>
      <c r="I8" s="76"/>
      <c r="J8" s="76"/>
      <c r="K8" s="77"/>
      <c r="L8" s="78"/>
    </row>
    <row r="9" spans="1:12" ht="15" customHeight="1">
      <c r="A9" s="81"/>
      <c r="C9" s="61"/>
      <c r="D9" s="62"/>
      <c r="E9" s="62"/>
      <c r="F9" s="63"/>
      <c r="G9" s="63"/>
      <c r="H9" s="63"/>
      <c r="I9" s="76"/>
      <c r="J9" s="76"/>
      <c r="K9" s="77"/>
      <c r="L9" s="78"/>
    </row>
    <row r="10" spans="1:12" ht="15" customHeight="1">
      <c r="A10" s="81"/>
      <c r="C10" s="61"/>
      <c r="D10" s="62"/>
      <c r="E10" s="62"/>
      <c r="F10" s="63"/>
      <c r="G10" s="63"/>
      <c r="H10" s="63"/>
      <c r="I10" s="76"/>
      <c r="J10" s="76"/>
      <c r="K10" s="77"/>
      <c r="L10" s="78"/>
    </row>
    <row r="11" spans="1:12" ht="15" customHeight="1">
      <c r="A11" s="81"/>
      <c r="C11" s="61"/>
      <c r="D11" s="62"/>
      <c r="E11" s="62"/>
      <c r="F11" s="63"/>
      <c r="G11" s="63"/>
      <c r="H11" s="63"/>
      <c r="I11" s="76"/>
      <c r="J11" s="76"/>
      <c r="K11" s="77"/>
      <c r="L11" s="78"/>
    </row>
    <row r="12" spans="1:12" ht="15" customHeight="1">
      <c r="A12" s="81"/>
      <c r="C12" s="61"/>
      <c r="D12" s="62"/>
      <c r="E12" s="62"/>
      <c r="F12" s="63"/>
      <c r="G12" s="63"/>
      <c r="H12" s="63"/>
      <c r="I12" s="76"/>
      <c r="J12" s="76"/>
      <c r="K12" s="77"/>
      <c r="L12" s="78"/>
    </row>
    <row r="13" spans="1:12" ht="15" customHeight="1">
      <c r="A13" s="81"/>
      <c r="C13" s="61"/>
      <c r="D13" s="62"/>
      <c r="E13" s="62"/>
      <c r="F13" s="63"/>
      <c r="G13" s="63"/>
      <c r="H13" s="63"/>
      <c r="I13" s="76"/>
      <c r="J13" s="76"/>
      <c r="K13" s="77"/>
      <c r="L13" s="78"/>
    </row>
    <row r="14" spans="1:12" ht="15" customHeight="1">
      <c r="A14" s="81"/>
      <c r="C14" s="61"/>
      <c r="D14" s="62"/>
      <c r="E14" s="62"/>
      <c r="F14" s="63"/>
      <c r="G14" s="63"/>
      <c r="H14" s="63"/>
      <c r="I14" s="76"/>
      <c r="J14" s="76"/>
      <c r="K14" s="77"/>
      <c r="L14" s="78"/>
    </row>
    <row r="15" spans="1:12" ht="15" customHeight="1">
      <c r="A15" s="81"/>
      <c r="C15" s="61"/>
      <c r="D15" s="62"/>
      <c r="E15" s="62"/>
      <c r="F15" s="63"/>
      <c r="G15" s="63"/>
      <c r="H15" s="63"/>
      <c r="I15" s="76"/>
      <c r="J15" s="76"/>
      <c r="K15" s="77"/>
      <c r="L15" s="78"/>
    </row>
    <row r="16" spans="1:12" ht="15" customHeight="1">
      <c r="A16" s="81"/>
      <c r="C16" s="61"/>
      <c r="D16" s="62"/>
      <c r="E16" s="62"/>
      <c r="F16" s="63"/>
      <c r="G16" s="63"/>
      <c r="H16" s="63"/>
      <c r="I16" s="76"/>
      <c r="J16" s="76"/>
      <c r="K16" s="77"/>
      <c r="L16" s="78"/>
    </row>
    <row r="17" spans="1:12" ht="15" customHeight="1">
      <c r="A17" s="81"/>
      <c r="C17" s="61"/>
      <c r="D17" s="62"/>
      <c r="E17" s="62"/>
      <c r="F17" s="63"/>
      <c r="G17" s="63"/>
      <c r="H17" s="63"/>
      <c r="I17" s="76"/>
      <c r="J17" s="76"/>
      <c r="K17" s="77"/>
      <c r="L17" s="78"/>
    </row>
    <row r="18" spans="1:12" ht="15" customHeight="1">
      <c r="A18" s="81"/>
      <c r="C18" s="61"/>
      <c r="D18" s="62"/>
      <c r="E18" s="62"/>
      <c r="F18" s="63"/>
      <c r="G18" s="63"/>
      <c r="H18" s="63"/>
      <c r="I18" s="76"/>
      <c r="J18" s="76"/>
      <c r="K18" s="77"/>
      <c r="L18" s="78"/>
    </row>
    <row r="19" spans="1:12" ht="15" customHeight="1">
      <c r="A19" s="81"/>
      <c r="C19" s="61"/>
      <c r="D19" s="62"/>
      <c r="E19" s="62"/>
      <c r="F19" s="63"/>
      <c r="G19" s="63"/>
      <c r="H19" s="63"/>
      <c r="I19" s="76"/>
      <c r="J19" s="76"/>
      <c r="K19" s="77"/>
      <c r="L19" s="78"/>
    </row>
    <row r="20" spans="1:12" ht="15" customHeight="1">
      <c r="A20" s="81"/>
      <c r="C20" s="61"/>
      <c r="D20" s="62"/>
      <c r="E20" s="62"/>
      <c r="F20" s="63"/>
      <c r="G20" s="63"/>
      <c r="H20" s="63"/>
      <c r="I20" s="76"/>
      <c r="J20" s="76"/>
      <c r="K20" s="77"/>
      <c r="L20" s="78"/>
    </row>
    <row r="21" spans="1:12" ht="14.5">
      <c r="A21" s="81"/>
      <c r="C21" s="61"/>
      <c r="D21" s="62"/>
      <c r="E21" s="62"/>
      <c r="F21" s="63"/>
      <c r="G21" s="63"/>
      <c r="H21" s="63"/>
      <c r="I21" s="76"/>
      <c r="J21" s="76"/>
      <c r="K21" s="77"/>
      <c r="L21" s="78"/>
    </row>
    <row r="22" spans="1:12" ht="14.5">
      <c r="A22" s="81"/>
      <c r="C22" s="61"/>
      <c r="D22" s="62"/>
      <c r="E22" s="62"/>
      <c r="F22" s="63"/>
      <c r="G22" s="63"/>
      <c r="H22" s="63"/>
      <c r="I22" s="76"/>
      <c r="J22" s="76"/>
      <c r="K22" s="77"/>
      <c r="L22" s="78"/>
    </row>
    <row r="23" spans="1:12" ht="14.5">
      <c r="A23" s="81"/>
      <c r="C23" s="61"/>
      <c r="D23" s="62"/>
      <c r="E23" s="62"/>
      <c r="F23" s="63"/>
      <c r="G23" s="63"/>
      <c r="H23" s="63"/>
      <c r="I23" s="76"/>
      <c r="J23" s="76"/>
      <c r="K23" s="77"/>
      <c r="L23" s="78"/>
    </row>
    <row r="24" spans="1:12" ht="14.5">
      <c r="A24" s="81"/>
      <c r="C24" s="61"/>
      <c r="D24" s="62"/>
      <c r="E24" s="62"/>
      <c r="F24" s="63"/>
      <c r="G24" s="63"/>
      <c r="H24" s="63"/>
      <c r="I24" s="76"/>
      <c r="J24" s="76"/>
      <c r="K24" s="77"/>
      <c r="L24" s="78"/>
    </row>
    <row r="25" spans="1:12" ht="14.5">
      <c r="A25" s="81"/>
      <c r="C25" s="61"/>
      <c r="D25" s="62"/>
      <c r="E25" s="62"/>
      <c r="F25" s="63"/>
      <c r="G25" s="63"/>
      <c r="H25" s="63"/>
      <c r="I25" s="76"/>
      <c r="J25" s="76"/>
      <c r="K25" s="77"/>
      <c r="L25" s="78"/>
    </row>
    <row r="26" spans="1:12" ht="14.5">
      <c r="A26" s="81"/>
      <c r="C26" s="61"/>
      <c r="D26" s="62"/>
      <c r="E26" s="62"/>
      <c r="F26" s="63"/>
      <c r="G26" s="63"/>
      <c r="H26" s="63"/>
      <c r="I26" s="76"/>
      <c r="J26" s="76"/>
      <c r="K26" s="77"/>
      <c r="L26" s="78"/>
    </row>
    <row r="27" spans="1:12" ht="14.5">
      <c r="A27" s="81"/>
      <c r="C27" s="61"/>
      <c r="D27" s="62"/>
      <c r="E27" s="62"/>
      <c r="F27" s="63"/>
      <c r="G27" s="63"/>
      <c r="H27" s="63"/>
      <c r="I27" s="76"/>
      <c r="J27" s="76"/>
      <c r="K27" s="77"/>
      <c r="L27" s="78"/>
    </row>
    <row r="28" spans="1:12" ht="14.5">
      <c r="A28" s="81"/>
      <c r="C28" s="61"/>
      <c r="D28" s="62"/>
      <c r="E28" s="62"/>
      <c r="F28" s="63"/>
      <c r="G28" s="63"/>
      <c r="H28" s="63"/>
      <c r="I28" s="76"/>
      <c r="J28" s="76"/>
      <c r="K28" s="77"/>
      <c r="L28" s="78"/>
    </row>
    <row r="29" spans="1:12" ht="14.5">
      <c r="A29" s="81"/>
      <c r="C29" s="61"/>
      <c r="D29" s="62"/>
      <c r="E29" s="62"/>
      <c r="F29" s="63"/>
      <c r="G29" s="63"/>
      <c r="H29" s="63"/>
      <c r="I29" s="76"/>
      <c r="J29" s="76"/>
      <c r="K29" s="77"/>
      <c r="L29" s="78"/>
    </row>
    <row r="30" spans="1:12" ht="14.5">
      <c r="A30" s="81"/>
      <c r="C30" s="61"/>
      <c r="D30" s="62"/>
      <c r="E30" s="62"/>
      <c r="F30" s="63"/>
      <c r="G30" s="63"/>
      <c r="H30" s="63"/>
      <c r="I30" s="76"/>
      <c r="J30" s="76"/>
      <c r="K30" s="77"/>
      <c r="L30" s="78"/>
    </row>
    <row r="31" spans="1:12" ht="14.5">
      <c r="A31" s="81"/>
      <c r="C31" s="61"/>
      <c r="D31" s="62"/>
      <c r="E31" s="62"/>
      <c r="F31" s="63"/>
      <c r="G31" s="63"/>
      <c r="H31" s="63"/>
      <c r="I31" s="76"/>
      <c r="J31" s="76"/>
      <c r="K31" s="77"/>
      <c r="L31" s="78"/>
    </row>
    <row r="32" spans="1:12" ht="14.5">
      <c r="A32" s="81"/>
      <c r="C32" s="61"/>
      <c r="D32" s="62"/>
      <c r="E32" s="62"/>
      <c r="F32" s="63"/>
      <c r="G32" s="63"/>
      <c r="H32" s="63"/>
      <c r="I32" s="76"/>
      <c r="J32" s="76"/>
      <c r="K32" s="77"/>
      <c r="L32" s="78"/>
    </row>
    <row r="33" spans="1:12" ht="14.5">
      <c r="A33" s="81"/>
      <c r="C33" s="61"/>
      <c r="D33" s="62"/>
      <c r="E33" s="62"/>
      <c r="F33" s="63"/>
      <c r="G33" s="63"/>
      <c r="H33" s="63"/>
      <c r="I33" s="76"/>
      <c r="J33" s="76"/>
      <c r="K33" s="77"/>
      <c r="L33" s="78"/>
    </row>
    <row r="34" spans="1:12" ht="14.5">
      <c r="A34" s="81"/>
      <c r="C34" s="61"/>
      <c r="D34" s="62"/>
      <c r="E34" s="62"/>
      <c r="F34" s="63"/>
      <c r="G34" s="63"/>
      <c r="H34" s="63"/>
      <c r="I34" s="76"/>
      <c r="J34" s="76"/>
      <c r="K34" s="77"/>
      <c r="L34" s="78"/>
    </row>
    <row r="35" spans="1:12" ht="14.5">
      <c r="A35" s="81"/>
      <c r="C35" s="61"/>
      <c r="D35" s="62"/>
      <c r="E35" s="62"/>
      <c r="F35" s="63"/>
      <c r="G35" s="63"/>
      <c r="H35" s="63"/>
      <c r="I35" s="76"/>
      <c r="J35" s="76"/>
      <c r="K35" s="77"/>
      <c r="L35" s="78"/>
    </row>
    <row r="36" spans="1:12" ht="14.5">
      <c r="A36" s="81"/>
      <c r="C36" s="61"/>
      <c r="D36" s="62"/>
      <c r="E36" s="62"/>
      <c r="F36" s="63"/>
      <c r="G36" s="63"/>
      <c r="H36" s="63"/>
      <c r="I36" s="76"/>
      <c r="J36" s="76"/>
      <c r="K36" s="77"/>
      <c r="L36" s="78"/>
    </row>
    <row r="37" spans="1:12" ht="14.5">
      <c r="A37" s="81"/>
      <c r="C37" s="61"/>
      <c r="D37" s="62"/>
      <c r="E37" s="62"/>
      <c r="F37" s="63"/>
      <c r="G37" s="63"/>
      <c r="H37" s="63"/>
      <c r="I37" s="76"/>
      <c r="J37" s="76"/>
      <c r="K37" s="77"/>
      <c r="L37" s="78"/>
    </row>
    <row r="38" spans="1:12" ht="14.5">
      <c r="A38" s="81"/>
      <c r="C38" s="61"/>
      <c r="D38" s="62"/>
      <c r="E38" s="62"/>
      <c r="F38" s="63"/>
      <c r="G38" s="63"/>
      <c r="H38" s="63"/>
      <c r="I38" s="76"/>
      <c r="J38" s="76"/>
      <c r="K38" s="77"/>
      <c r="L38" s="78"/>
    </row>
    <row r="39" spans="1:12" ht="14.5">
      <c r="A39" s="81"/>
      <c r="C39" s="61"/>
      <c r="D39" s="62"/>
      <c r="E39" s="62"/>
      <c r="F39" s="63"/>
      <c r="G39" s="63"/>
      <c r="H39" s="63"/>
      <c r="I39" s="76"/>
      <c r="J39" s="76"/>
      <c r="K39" s="77"/>
      <c r="L39" s="78"/>
    </row>
    <row r="40" spans="1:12" ht="14.5">
      <c r="A40" s="81"/>
      <c r="C40" s="61"/>
      <c r="D40" s="62"/>
      <c r="E40" s="62"/>
      <c r="F40" s="63"/>
      <c r="G40" s="63"/>
      <c r="H40" s="63"/>
      <c r="I40" s="76"/>
      <c r="J40" s="76"/>
      <c r="K40" s="77"/>
      <c r="L40" s="78"/>
    </row>
    <row r="41" spans="1:12" ht="14.5">
      <c r="A41" s="81"/>
      <c r="C41" s="61"/>
      <c r="D41" s="62"/>
      <c r="E41" s="62"/>
      <c r="F41" s="63"/>
      <c r="G41" s="63"/>
      <c r="H41" s="63"/>
      <c r="I41" s="76"/>
      <c r="J41" s="76"/>
      <c r="K41" s="77"/>
      <c r="L41" s="78"/>
    </row>
    <row r="42" spans="1:12" ht="14.5">
      <c r="A42" s="81"/>
      <c r="C42" s="61"/>
      <c r="D42" s="62"/>
      <c r="E42" s="62"/>
      <c r="F42" s="63"/>
      <c r="G42" s="63"/>
      <c r="H42" s="63"/>
      <c r="I42" s="76"/>
      <c r="J42" s="76"/>
      <c r="K42" s="77"/>
      <c r="L42" s="78"/>
    </row>
    <row r="43" spans="1:12" ht="14.5">
      <c r="A43" s="81"/>
      <c r="C43" s="61"/>
      <c r="D43" s="62"/>
      <c r="E43" s="62"/>
      <c r="F43" s="63"/>
      <c r="G43" s="63"/>
      <c r="H43" s="63"/>
      <c r="I43" s="76"/>
      <c r="J43" s="76"/>
      <c r="K43" s="77"/>
      <c r="L43" s="78"/>
    </row>
    <row r="44" spans="1:12" ht="14.5">
      <c r="A44" s="81"/>
      <c r="C44" s="61"/>
      <c r="D44" s="62"/>
      <c r="E44" s="62"/>
      <c r="F44" s="63"/>
      <c r="G44" s="63"/>
      <c r="H44" s="63"/>
      <c r="I44" s="76"/>
      <c r="J44" s="76"/>
      <c r="K44" s="77"/>
      <c r="L44" s="78"/>
    </row>
    <row r="45" spans="1:12" ht="14.5">
      <c r="A45" s="81"/>
      <c r="C45" s="61"/>
      <c r="D45" s="62"/>
      <c r="E45" s="62"/>
      <c r="F45" s="63"/>
      <c r="G45" s="63"/>
      <c r="H45" s="63"/>
      <c r="I45" s="76"/>
      <c r="J45" s="76"/>
      <c r="K45" s="77"/>
      <c r="L45" s="78"/>
    </row>
    <row r="46" spans="1:12" ht="14.5">
      <c r="A46" s="81"/>
      <c r="C46" s="61"/>
      <c r="D46" s="62"/>
      <c r="E46" s="62"/>
      <c r="F46" s="63"/>
      <c r="G46" s="63"/>
      <c r="H46" s="63"/>
      <c r="I46" s="76"/>
      <c r="J46" s="76"/>
      <c r="K46" s="77"/>
      <c r="L46" s="78"/>
    </row>
    <row r="47" spans="1:12" ht="14.5">
      <c r="A47" s="81"/>
      <c r="C47" s="61"/>
      <c r="D47" s="62"/>
      <c r="E47" s="62"/>
      <c r="F47" s="63"/>
      <c r="G47" s="63"/>
      <c r="H47" s="63"/>
      <c r="I47" s="76"/>
      <c r="J47" s="76"/>
      <c r="K47" s="77"/>
      <c r="L47" s="78"/>
    </row>
    <row r="48" spans="1:12" ht="14.5">
      <c r="A48" s="81"/>
      <c r="C48" s="61"/>
      <c r="D48" s="62"/>
      <c r="E48" s="62"/>
      <c r="F48" s="63"/>
      <c r="G48" s="63"/>
      <c r="H48" s="63"/>
      <c r="I48" s="76"/>
      <c r="J48" s="76"/>
      <c r="K48" s="77"/>
      <c r="L48" s="78"/>
    </row>
    <row r="49" spans="1:12" ht="14.5">
      <c r="A49" s="81"/>
      <c r="C49" s="61"/>
      <c r="D49" s="62"/>
      <c r="E49" s="62"/>
      <c r="F49" s="63"/>
      <c r="G49" s="63"/>
      <c r="H49" s="63"/>
      <c r="I49" s="76"/>
      <c r="J49" s="76"/>
      <c r="K49" s="77"/>
      <c r="L49" s="78"/>
    </row>
    <row r="50" spans="1:12" ht="14.5">
      <c r="A50" s="81"/>
      <c r="C50" s="61"/>
      <c r="D50" s="62"/>
      <c r="E50" s="62"/>
      <c r="F50" s="63"/>
      <c r="G50" s="63"/>
      <c r="H50" s="63"/>
      <c r="I50" s="76"/>
      <c r="J50" s="76"/>
      <c r="K50" s="77"/>
      <c r="L50" s="78"/>
    </row>
    <row r="51" spans="1:12" ht="14.5">
      <c r="A51" s="81"/>
      <c r="C51" s="61"/>
      <c r="D51" s="62"/>
      <c r="E51" s="62"/>
      <c r="F51" s="63"/>
      <c r="G51" s="63"/>
      <c r="H51" s="63"/>
      <c r="I51" s="76"/>
      <c r="J51" s="76"/>
      <c r="K51" s="77"/>
      <c r="L51" s="78"/>
    </row>
    <row r="52" spans="1:12" ht="14.5">
      <c r="A52" s="81"/>
      <c r="C52" s="61"/>
      <c r="D52" s="62"/>
      <c r="E52" s="62"/>
      <c r="F52" s="63"/>
      <c r="G52" s="63"/>
      <c r="H52" s="63"/>
      <c r="I52" s="76"/>
      <c r="J52" s="76"/>
      <c r="K52" s="77"/>
      <c r="L52" s="78"/>
    </row>
    <row r="53" spans="1:12" ht="14.5">
      <c r="A53" s="81"/>
      <c r="C53" s="61"/>
      <c r="D53" s="62"/>
      <c r="E53" s="62"/>
      <c r="F53" s="63"/>
      <c r="G53" s="63"/>
      <c r="H53" s="63"/>
      <c r="I53" s="76"/>
      <c r="J53" s="76"/>
      <c r="K53" s="77"/>
      <c r="L53" s="78"/>
    </row>
    <row r="54" spans="1:12" ht="14.5">
      <c r="A54" s="81"/>
      <c r="C54" s="61"/>
      <c r="D54" s="62"/>
      <c r="E54" s="62"/>
      <c r="F54" s="63"/>
      <c r="G54" s="63"/>
      <c r="H54" s="63"/>
      <c r="I54" s="76"/>
      <c r="J54" s="76"/>
      <c r="K54" s="77"/>
      <c r="L54" s="78"/>
    </row>
    <row r="55" spans="1:12" ht="14.5">
      <c r="A55" s="81"/>
      <c r="C55" s="61"/>
      <c r="D55" s="62"/>
      <c r="E55" s="62"/>
      <c r="F55" s="63"/>
      <c r="G55" s="63"/>
      <c r="H55" s="63"/>
      <c r="I55" s="76"/>
      <c r="J55" s="76"/>
      <c r="K55" s="77"/>
      <c r="L55" s="78"/>
    </row>
    <row r="56" spans="1:12" ht="14.5">
      <c r="A56" s="81"/>
      <c r="C56" s="61"/>
      <c r="D56" s="62"/>
      <c r="E56" s="62"/>
      <c r="F56" s="63"/>
      <c r="G56" s="63"/>
      <c r="H56" s="63"/>
      <c r="I56" s="76"/>
      <c r="J56" s="76"/>
      <c r="K56" s="77"/>
      <c r="L56" s="78"/>
    </row>
    <row r="57" spans="1:12" ht="14.5">
      <c r="A57" s="81"/>
      <c r="C57" s="61"/>
      <c r="D57" s="62"/>
      <c r="E57" s="62"/>
      <c r="F57" s="63"/>
      <c r="G57" s="63"/>
      <c r="H57" s="63"/>
      <c r="I57" s="76"/>
      <c r="J57" s="76"/>
      <c r="K57" s="77"/>
      <c r="L57" s="78"/>
    </row>
    <row r="58" spans="1:12" ht="14.5">
      <c r="A58" s="81"/>
      <c r="C58" s="61"/>
      <c r="D58" s="62"/>
      <c r="E58" s="62"/>
      <c r="F58" s="63"/>
      <c r="G58" s="63"/>
      <c r="H58" s="63"/>
      <c r="I58" s="76"/>
      <c r="J58" s="76"/>
      <c r="K58" s="77"/>
      <c r="L58" s="78"/>
    </row>
    <row r="59" spans="1:12" ht="14.5">
      <c r="A59" s="81"/>
      <c r="C59" s="61"/>
      <c r="D59" s="62"/>
      <c r="E59" s="62"/>
      <c r="F59" s="63"/>
      <c r="G59" s="63"/>
      <c r="H59" s="63"/>
      <c r="I59" s="76"/>
      <c r="J59" s="76"/>
      <c r="K59" s="77"/>
      <c r="L59" s="78"/>
    </row>
    <row r="60" spans="1:12" ht="14.5">
      <c r="A60" s="81"/>
      <c r="C60" s="61"/>
      <c r="D60" s="62"/>
      <c r="E60" s="62"/>
      <c r="F60" s="63"/>
      <c r="G60" s="63"/>
      <c r="H60" s="63"/>
      <c r="I60" s="76"/>
      <c r="J60" s="76"/>
      <c r="K60" s="77"/>
      <c r="L60" s="78"/>
    </row>
    <row r="61" spans="1:12" ht="14.5">
      <c r="A61" s="81"/>
      <c r="C61" s="61"/>
      <c r="D61" s="62"/>
      <c r="E61" s="62"/>
      <c r="F61" s="63"/>
      <c r="G61" s="63"/>
      <c r="H61" s="63"/>
      <c r="I61" s="76"/>
      <c r="J61" s="76"/>
      <c r="K61" s="77"/>
      <c r="L61" s="78"/>
    </row>
    <row r="62" spans="1:12" ht="14.5">
      <c r="A62" s="81"/>
      <c r="C62" s="61"/>
      <c r="D62" s="62"/>
      <c r="E62" s="62"/>
      <c r="F62" s="63"/>
      <c r="G62" s="63"/>
      <c r="H62" s="63"/>
      <c r="I62" s="76"/>
      <c r="J62" s="76"/>
      <c r="K62" s="77"/>
      <c r="L62" s="78"/>
    </row>
    <row r="63" spans="1:12" ht="14.5">
      <c r="A63" s="81"/>
      <c r="C63" s="61"/>
      <c r="D63" s="62"/>
      <c r="E63" s="62"/>
      <c r="F63" s="63"/>
      <c r="G63" s="63"/>
      <c r="H63" s="63"/>
      <c r="I63" s="76"/>
      <c r="J63" s="76"/>
      <c r="K63" s="77"/>
      <c r="L63" s="78"/>
    </row>
    <row r="64" spans="1:12" ht="14.5">
      <c r="A64" s="81"/>
      <c r="C64" s="61"/>
      <c r="D64" s="62"/>
      <c r="E64" s="62"/>
      <c r="F64" s="63"/>
      <c r="G64" s="63"/>
      <c r="H64" s="63"/>
      <c r="I64" s="76"/>
      <c r="J64" s="76"/>
      <c r="K64" s="77"/>
      <c r="L64" s="78"/>
    </row>
    <row r="65" spans="1:12" ht="14.5">
      <c r="A65" s="81"/>
      <c r="C65" s="61"/>
      <c r="D65" s="62"/>
      <c r="E65" s="62"/>
      <c r="F65" s="63"/>
      <c r="G65" s="63"/>
      <c r="H65" s="63"/>
      <c r="I65" s="76"/>
      <c r="J65" s="76"/>
      <c r="K65" s="77"/>
      <c r="L65" s="78"/>
    </row>
    <row r="66" spans="1:12" ht="14.5">
      <c r="A66" s="81"/>
      <c r="C66" s="61"/>
      <c r="D66" s="62"/>
      <c r="E66" s="62"/>
      <c r="F66" s="63"/>
      <c r="G66" s="63"/>
      <c r="H66" s="63"/>
      <c r="I66" s="76"/>
      <c r="J66" s="76"/>
      <c r="K66" s="77"/>
      <c r="L66" s="78"/>
    </row>
    <row r="67" spans="1:12" ht="14.5">
      <c r="A67" s="81"/>
      <c r="C67" s="61"/>
      <c r="D67" s="62"/>
      <c r="E67" s="62"/>
      <c r="F67" s="63"/>
      <c r="G67" s="63"/>
      <c r="H67" s="63"/>
      <c r="I67" s="76"/>
      <c r="J67" s="76"/>
      <c r="K67" s="77"/>
      <c r="L67" s="78"/>
    </row>
    <row r="68" spans="1:12" ht="14.5">
      <c r="A68" s="81"/>
      <c r="C68" s="61"/>
      <c r="D68" s="62"/>
      <c r="E68" s="62"/>
      <c r="F68" s="63"/>
      <c r="G68" s="63"/>
      <c r="H68" s="63"/>
      <c r="I68" s="76"/>
      <c r="J68" s="76"/>
      <c r="K68" s="77"/>
      <c r="L68" s="78"/>
    </row>
    <row r="69" spans="1:12" ht="14.5">
      <c r="A69" s="84"/>
      <c r="C69" s="61"/>
      <c r="D69" s="62"/>
      <c r="E69" s="62"/>
      <c r="F69" s="63"/>
      <c r="G69" s="63"/>
      <c r="H69" s="63"/>
      <c r="I69" s="76"/>
      <c r="J69" s="76"/>
      <c r="K69" s="77"/>
      <c r="L69" s="78"/>
    </row>
    <row r="70" spans="1:12" ht="14.5">
      <c r="A70" s="84"/>
      <c r="C70" s="61"/>
      <c r="D70" s="62"/>
      <c r="E70" s="62"/>
      <c r="F70" s="63"/>
      <c r="G70" s="63"/>
      <c r="H70" s="63"/>
      <c r="I70" s="76"/>
      <c r="J70" s="76"/>
      <c r="K70" s="77"/>
      <c r="L70" s="78"/>
    </row>
    <row r="71" spans="1:12" ht="14.5">
      <c r="F71" s="86"/>
      <c r="G71" s="86"/>
      <c r="H71" s="86"/>
      <c r="I71" s="65"/>
      <c r="J71" s="76">
        <f>E71</f>
        <v>0</v>
      </c>
      <c r="K71" s="66"/>
      <c r="L71" s="67"/>
    </row>
    <row r="72" spans="1:12" ht="12.5">
      <c r="F72" s="86"/>
      <c r="G72" s="86"/>
      <c r="H72" s="86"/>
      <c r="I72" s="65"/>
      <c r="J72" s="65"/>
      <c r="K72" s="66"/>
      <c r="L72" s="67"/>
    </row>
    <row r="73" spans="1:12" ht="12.5">
      <c r="F73" s="86"/>
      <c r="G73" s="86"/>
      <c r="H73" s="86"/>
      <c r="I73" s="65"/>
      <c r="J73" s="65"/>
      <c r="K73" s="66"/>
      <c r="L73" s="67"/>
    </row>
    <row r="74" spans="1:12" ht="12.5">
      <c r="F74" s="86"/>
      <c r="G74" s="86"/>
      <c r="H74" s="86"/>
      <c r="I74" s="65"/>
      <c r="J74" s="65"/>
      <c r="K74" s="66"/>
      <c r="L74" s="67"/>
    </row>
    <row r="75" spans="1:12" ht="12.5">
      <c r="F75" s="86"/>
      <c r="G75" s="86"/>
      <c r="H75" s="86"/>
      <c r="I75" s="65"/>
      <c r="J75" s="65"/>
      <c r="K75" s="66"/>
      <c r="L75" s="67"/>
    </row>
    <row r="76" spans="1:12" ht="12.5">
      <c r="F76" s="86"/>
      <c r="G76" s="86"/>
      <c r="H76" s="86"/>
      <c r="I76" s="65"/>
      <c r="J76" s="65"/>
      <c r="K76" s="66"/>
      <c r="L76" s="67"/>
    </row>
    <row r="77" spans="1:12" ht="12.5">
      <c r="F77" s="86"/>
      <c r="G77" s="86"/>
      <c r="H77" s="86"/>
      <c r="I77" s="65"/>
      <c r="J77" s="65"/>
      <c r="K77" s="66"/>
      <c r="L77" s="67"/>
    </row>
    <row r="78" spans="1:12" ht="12.5">
      <c r="F78" s="86"/>
      <c r="G78" s="86"/>
      <c r="H78" s="86"/>
      <c r="I78" s="65"/>
      <c r="J78" s="65"/>
      <c r="K78" s="66"/>
      <c r="L78" s="67"/>
    </row>
    <row r="79" spans="1:12" ht="12.5">
      <c r="F79" s="86"/>
      <c r="G79" s="86"/>
      <c r="H79" s="86"/>
      <c r="I79" s="65"/>
      <c r="J79" s="65"/>
      <c r="K79" s="66"/>
      <c r="L79" s="67"/>
    </row>
    <row r="80" spans="1:12" ht="12.5">
      <c r="F80" s="86"/>
      <c r="G80" s="86"/>
      <c r="H80" s="86"/>
      <c r="I80" s="65"/>
      <c r="J80" s="65"/>
      <c r="K80" s="66"/>
      <c r="L80" s="67"/>
    </row>
    <row r="81" spans="6:12" ht="12.5">
      <c r="F81" s="86"/>
      <c r="G81" s="86"/>
      <c r="H81" s="86"/>
      <c r="I81" s="65"/>
      <c r="J81" s="65"/>
      <c r="K81" s="66"/>
      <c r="L81" s="67"/>
    </row>
    <row r="82" spans="6:12" ht="12.5">
      <c r="F82" s="86"/>
      <c r="G82" s="86"/>
      <c r="H82" s="86"/>
      <c r="I82" s="65"/>
      <c r="J82" s="65"/>
      <c r="K82" s="66"/>
      <c r="L82" s="67"/>
    </row>
    <row r="83" spans="6:12" ht="12.5">
      <c r="F83" s="86"/>
      <c r="G83" s="86"/>
      <c r="H83" s="86"/>
      <c r="I83" s="65"/>
      <c r="J83" s="65"/>
      <c r="K83" s="66"/>
      <c r="L83" s="67"/>
    </row>
    <row r="84" spans="6:12" ht="12.5">
      <c r="F84" s="86"/>
      <c r="G84" s="86"/>
      <c r="H84" s="86"/>
      <c r="I84" s="65"/>
      <c r="J84" s="65"/>
      <c r="K84" s="66"/>
      <c r="L84" s="67"/>
    </row>
    <row r="85" spans="6:12" ht="12.5">
      <c r="F85" s="86"/>
      <c r="G85" s="86"/>
      <c r="H85" s="86"/>
      <c r="I85" s="65"/>
      <c r="J85" s="65"/>
      <c r="K85" s="66"/>
      <c r="L85" s="67"/>
    </row>
    <row r="86" spans="6:12" ht="12.5">
      <c r="F86" s="86"/>
      <c r="G86" s="86"/>
      <c r="H86" s="86"/>
      <c r="I86" s="65"/>
      <c r="J86" s="65"/>
      <c r="K86" s="66"/>
      <c r="L86" s="67"/>
    </row>
    <row r="87" spans="6:12" ht="12.5">
      <c r="F87" s="86"/>
      <c r="G87" s="86"/>
      <c r="H87" s="86"/>
      <c r="I87" s="65"/>
      <c r="J87" s="65"/>
      <c r="K87" s="66"/>
      <c r="L87" s="67"/>
    </row>
    <row r="88" spans="6:12" ht="12.5">
      <c r="F88" s="86"/>
      <c r="G88" s="86"/>
      <c r="H88" s="86"/>
      <c r="I88" s="65"/>
      <c r="J88" s="65"/>
      <c r="K88" s="66"/>
      <c r="L88" s="67"/>
    </row>
    <row r="89" spans="6:12" ht="12.5">
      <c r="F89" s="86"/>
      <c r="G89" s="86"/>
      <c r="H89" s="86"/>
      <c r="I89" s="65"/>
      <c r="J89" s="65"/>
      <c r="K89" s="66"/>
      <c r="L89" s="67"/>
    </row>
    <row r="90" spans="6:12" ht="12.5">
      <c r="F90" s="86"/>
      <c r="G90" s="86"/>
      <c r="H90" s="86"/>
      <c r="I90" s="65"/>
      <c r="J90" s="65"/>
      <c r="K90" s="66"/>
      <c r="L90" s="67"/>
    </row>
    <row r="91" spans="6:12" ht="12.5">
      <c r="F91" s="86"/>
      <c r="G91" s="86"/>
      <c r="H91" s="86"/>
      <c r="I91" s="65"/>
      <c r="J91" s="65"/>
      <c r="K91" s="66"/>
      <c r="L91" s="67"/>
    </row>
    <row r="92" spans="6:12" ht="12.5">
      <c r="F92" s="86"/>
      <c r="G92" s="86"/>
      <c r="H92" s="86"/>
      <c r="I92" s="65"/>
      <c r="J92" s="65"/>
      <c r="K92" s="66"/>
      <c r="L92" s="67"/>
    </row>
    <row r="93" spans="6:12" ht="12.5">
      <c r="F93" s="86"/>
      <c r="G93" s="86"/>
      <c r="H93" s="86"/>
      <c r="I93" s="65"/>
      <c r="J93" s="65"/>
      <c r="K93" s="66"/>
      <c r="L93" s="67"/>
    </row>
    <row r="94" spans="6:12" ht="12.5">
      <c r="F94" s="86"/>
      <c r="G94" s="86"/>
      <c r="H94" s="86"/>
      <c r="I94" s="65"/>
      <c r="J94" s="65"/>
      <c r="K94" s="66"/>
      <c r="L94" s="67"/>
    </row>
    <row r="95" spans="6:12" ht="12.5">
      <c r="F95" s="86"/>
      <c r="G95" s="86"/>
      <c r="H95" s="86"/>
      <c r="I95" s="65"/>
      <c r="J95" s="65"/>
      <c r="K95" s="66"/>
      <c r="L95" s="67"/>
    </row>
    <row r="96" spans="6:12" ht="12.5">
      <c r="F96" s="86"/>
      <c r="G96" s="86"/>
      <c r="H96" s="86"/>
      <c r="I96" s="65"/>
      <c r="J96" s="65"/>
      <c r="K96" s="66"/>
      <c r="L96" s="67"/>
    </row>
    <row r="97" spans="6:12" ht="12.5">
      <c r="F97" s="86"/>
      <c r="G97" s="86"/>
      <c r="H97" s="86"/>
      <c r="I97" s="65"/>
      <c r="J97" s="65"/>
      <c r="K97" s="66"/>
      <c r="L97" s="67"/>
    </row>
    <row r="98" spans="6:12" ht="12.5">
      <c r="F98" s="86"/>
      <c r="G98" s="86"/>
      <c r="H98" s="86"/>
      <c r="I98" s="65"/>
      <c r="J98" s="65"/>
      <c r="K98" s="66"/>
      <c r="L98" s="67"/>
    </row>
    <row r="99" spans="6:12" ht="12.5">
      <c r="F99" s="86"/>
      <c r="G99" s="86"/>
      <c r="H99" s="86"/>
      <c r="I99" s="65"/>
      <c r="J99" s="65"/>
      <c r="K99" s="66"/>
      <c r="L99" s="67"/>
    </row>
    <row r="100" spans="6:12" ht="12.5">
      <c r="F100" s="86"/>
      <c r="G100" s="86"/>
      <c r="H100" s="86"/>
      <c r="I100" s="65"/>
      <c r="J100" s="65"/>
      <c r="K100" s="66"/>
      <c r="L100" s="67"/>
    </row>
    <row r="101" spans="6:12" ht="12.5">
      <c r="F101" s="86"/>
      <c r="G101" s="86"/>
      <c r="H101" s="86"/>
      <c r="I101" s="65"/>
      <c r="J101" s="65"/>
      <c r="K101" s="66"/>
      <c r="L101" s="67"/>
    </row>
    <row r="102" spans="6:12" ht="12.5">
      <c r="F102" s="86"/>
      <c r="G102" s="86"/>
      <c r="H102" s="86"/>
      <c r="I102" s="65"/>
      <c r="J102" s="65"/>
      <c r="K102" s="66"/>
      <c r="L102" s="67"/>
    </row>
    <row r="103" spans="6:12" ht="12.5">
      <c r="F103" s="86"/>
      <c r="G103" s="86"/>
      <c r="H103" s="86"/>
      <c r="I103" s="65"/>
      <c r="J103" s="65"/>
      <c r="K103" s="66"/>
      <c r="L103" s="67"/>
    </row>
    <row r="104" spans="6:12" ht="12.5">
      <c r="F104" s="86"/>
      <c r="G104" s="86"/>
      <c r="H104" s="86"/>
      <c r="I104" s="65"/>
      <c r="J104" s="65"/>
      <c r="K104" s="66"/>
      <c r="L104" s="67"/>
    </row>
    <row r="105" spans="6:12" ht="12.5">
      <c r="F105" s="86"/>
      <c r="G105" s="86"/>
      <c r="H105" s="86"/>
      <c r="I105" s="65"/>
      <c r="J105" s="65"/>
      <c r="K105" s="66"/>
      <c r="L105" s="67"/>
    </row>
    <row r="106" spans="6:12" ht="12.5">
      <c r="F106" s="86"/>
      <c r="G106" s="86"/>
      <c r="H106" s="86"/>
      <c r="I106" s="65"/>
      <c r="J106" s="65"/>
      <c r="K106" s="66"/>
      <c r="L106" s="67"/>
    </row>
    <row r="107" spans="6:12" ht="12.5">
      <c r="F107" s="86"/>
      <c r="G107" s="86"/>
      <c r="H107" s="86"/>
      <c r="I107" s="65"/>
      <c r="J107" s="65"/>
      <c r="K107" s="66"/>
      <c r="L107" s="67"/>
    </row>
    <row r="108" spans="6:12" ht="12.5">
      <c r="F108" s="86"/>
      <c r="G108" s="86"/>
      <c r="H108" s="86"/>
      <c r="I108" s="65"/>
      <c r="J108" s="65"/>
      <c r="K108" s="66"/>
      <c r="L108" s="67"/>
    </row>
    <row r="109" spans="6:12" ht="12.5">
      <c r="F109" s="86"/>
      <c r="G109" s="86"/>
      <c r="H109" s="86"/>
      <c r="I109" s="65"/>
      <c r="J109" s="65"/>
      <c r="K109" s="66"/>
      <c r="L109" s="67"/>
    </row>
    <row r="110" spans="6:12" ht="12.5">
      <c r="F110" s="86"/>
      <c r="G110" s="86"/>
      <c r="H110" s="86"/>
      <c r="I110" s="65"/>
      <c r="J110" s="65"/>
      <c r="K110" s="66"/>
      <c r="L110" s="67"/>
    </row>
    <row r="111" spans="6:12" ht="12.5">
      <c r="F111" s="86"/>
      <c r="G111" s="86"/>
      <c r="H111" s="86"/>
      <c r="I111" s="65"/>
      <c r="J111" s="65"/>
      <c r="K111" s="66"/>
      <c r="L111" s="67"/>
    </row>
    <row r="112" spans="6:12" ht="12.5">
      <c r="F112" s="86"/>
      <c r="G112" s="86"/>
      <c r="H112" s="86"/>
      <c r="I112" s="65"/>
      <c r="J112" s="65"/>
      <c r="K112" s="66"/>
      <c r="L112" s="67"/>
    </row>
    <row r="113" spans="6:12" ht="12.5">
      <c r="F113" s="86"/>
      <c r="G113" s="86"/>
      <c r="H113" s="86"/>
      <c r="I113" s="65"/>
      <c r="J113" s="65"/>
      <c r="K113" s="66"/>
      <c r="L113" s="67"/>
    </row>
    <row r="114" spans="6:12" ht="12.5">
      <c r="F114" s="86"/>
      <c r="G114" s="86"/>
      <c r="H114" s="86"/>
      <c r="I114" s="65"/>
      <c r="J114" s="65"/>
      <c r="K114" s="66"/>
      <c r="L114" s="67"/>
    </row>
    <row r="115" spans="6:12" ht="12.5">
      <c r="F115" s="86"/>
      <c r="G115" s="86"/>
      <c r="H115" s="86"/>
      <c r="I115" s="65"/>
      <c r="J115" s="65"/>
      <c r="K115" s="66"/>
      <c r="L115" s="67"/>
    </row>
    <row r="116" spans="6:12" ht="12.5">
      <c r="F116" s="86"/>
      <c r="G116" s="86"/>
      <c r="H116" s="86"/>
      <c r="I116" s="65"/>
      <c r="J116" s="65"/>
      <c r="K116" s="87"/>
      <c r="L116" s="88"/>
    </row>
    <row r="117" spans="6:12" ht="12.5">
      <c r="F117" s="86"/>
      <c r="G117" s="86"/>
      <c r="H117" s="86"/>
      <c r="I117" s="65"/>
      <c r="J117" s="65"/>
      <c r="K117" s="87"/>
      <c r="L117" s="88"/>
    </row>
    <row r="118" spans="6:12" ht="12.5">
      <c r="F118" s="86"/>
      <c r="G118" s="86"/>
      <c r="H118" s="86"/>
      <c r="I118" s="65"/>
      <c r="J118" s="65"/>
      <c r="K118" s="87"/>
      <c r="L118" s="88"/>
    </row>
    <row r="119" spans="6:12" ht="12.5">
      <c r="F119" s="86"/>
      <c r="G119" s="86"/>
      <c r="H119" s="86"/>
      <c r="I119" s="65"/>
      <c r="J119" s="65"/>
      <c r="K119" s="87"/>
      <c r="L119" s="88"/>
    </row>
    <row r="120" spans="6:12" ht="12.5">
      <c r="F120" s="86"/>
      <c r="G120" s="86"/>
      <c r="H120" s="86"/>
      <c r="I120" s="65"/>
      <c r="J120" s="65"/>
      <c r="K120" s="87"/>
      <c r="L120" s="88"/>
    </row>
    <row r="121" spans="6:12" ht="12.5">
      <c r="F121" s="86"/>
      <c r="G121" s="86"/>
      <c r="H121" s="86"/>
      <c r="I121" s="65"/>
      <c r="J121" s="65"/>
      <c r="K121" s="87"/>
      <c r="L121" s="88"/>
    </row>
    <row r="122" spans="6:12" ht="12.5">
      <c r="F122" s="86"/>
      <c r="G122" s="86"/>
      <c r="H122" s="86"/>
      <c r="I122" s="65"/>
      <c r="J122" s="65"/>
      <c r="K122" s="87"/>
      <c r="L122" s="88"/>
    </row>
    <row r="123" spans="6:12" ht="12.5">
      <c r="F123" s="86"/>
      <c r="G123" s="86"/>
      <c r="H123" s="86"/>
      <c r="I123" s="65"/>
      <c r="J123" s="65"/>
      <c r="K123" s="87"/>
      <c r="L123" s="88"/>
    </row>
    <row r="124" spans="6:12" ht="12.5">
      <c r="F124" s="86"/>
      <c r="G124" s="86"/>
      <c r="H124" s="86"/>
      <c r="I124" s="65"/>
      <c r="J124" s="65"/>
      <c r="K124" s="87"/>
      <c r="L124" s="88"/>
    </row>
    <row r="125" spans="6:12" ht="12.5">
      <c r="F125" s="86"/>
      <c r="G125" s="86"/>
      <c r="H125" s="86"/>
      <c r="I125" s="65"/>
      <c r="J125" s="65"/>
      <c r="K125" s="87"/>
      <c r="L125" s="88"/>
    </row>
    <row r="126" spans="6:12" ht="12.5">
      <c r="F126" s="86"/>
      <c r="G126" s="86"/>
      <c r="H126" s="86"/>
      <c r="I126" s="65"/>
      <c r="J126" s="65"/>
      <c r="K126" s="87"/>
      <c r="L126" s="88"/>
    </row>
    <row r="127" spans="6:12" ht="12.5">
      <c r="F127" s="86"/>
      <c r="G127" s="86"/>
      <c r="H127" s="86"/>
      <c r="I127" s="65"/>
      <c r="J127" s="65"/>
      <c r="K127" s="87"/>
      <c r="L127" s="88"/>
    </row>
    <row r="128" spans="6:12" ht="12.5">
      <c r="F128" s="86"/>
      <c r="G128" s="86"/>
      <c r="H128" s="86"/>
      <c r="I128" s="65"/>
      <c r="J128" s="65"/>
      <c r="K128" s="87"/>
      <c r="L128" s="88"/>
    </row>
    <row r="129" spans="6:12" ht="12.5">
      <c r="F129" s="86"/>
      <c r="G129" s="86"/>
      <c r="H129" s="86"/>
      <c r="I129" s="65"/>
      <c r="J129" s="65"/>
      <c r="K129" s="87"/>
      <c r="L129" s="88"/>
    </row>
    <row r="130" spans="6:12" ht="12.5">
      <c r="F130" s="86"/>
      <c r="G130" s="86"/>
      <c r="H130" s="86"/>
      <c r="I130" s="65"/>
      <c r="J130" s="65"/>
      <c r="K130" s="87"/>
      <c r="L130" s="88"/>
    </row>
    <row r="131" spans="6:12" ht="12.5">
      <c r="F131" s="86"/>
      <c r="G131" s="86"/>
      <c r="H131" s="86"/>
      <c r="I131" s="65"/>
      <c r="J131" s="65"/>
      <c r="K131" s="87"/>
      <c r="L131" s="88"/>
    </row>
    <row r="132" spans="6:12" ht="12.5">
      <c r="F132" s="86"/>
      <c r="G132" s="86"/>
      <c r="H132" s="86"/>
      <c r="I132" s="65"/>
      <c r="J132" s="65"/>
      <c r="K132" s="87"/>
      <c r="L132" s="88"/>
    </row>
    <row r="133" spans="6:12" ht="12.5">
      <c r="F133" s="86"/>
      <c r="G133" s="86"/>
      <c r="H133" s="86"/>
      <c r="I133" s="65"/>
      <c r="J133" s="65"/>
      <c r="K133" s="87"/>
      <c r="L133" s="88"/>
    </row>
    <row r="134" spans="6:12" ht="12.5">
      <c r="F134" s="86"/>
      <c r="G134" s="86"/>
      <c r="H134" s="86"/>
      <c r="I134" s="65"/>
      <c r="J134" s="65"/>
      <c r="K134" s="87"/>
      <c r="L134" s="88"/>
    </row>
    <row r="135" spans="6:12" ht="12.5">
      <c r="F135" s="86"/>
      <c r="G135" s="86"/>
      <c r="H135" s="86"/>
      <c r="I135" s="65"/>
      <c r="J135" s="65"/>
      <c r="K135" s="87"/>
      <c r="L135" s="88"/>
    </row>
    <row r="136" spans="6:12" ht="12.5">
      <c r="F136" s="86"/>
      <c r="G136" s="86"/>
      <c r="H136" s="86"/>
      <c r="I136" s="65"/>
      <c r="J136" s="65"/>
      <c r="K136" s="87"/>
      <c r="L136" s="88"/>
    </row>
    <row r="137" spans="6:12" ht="12.5">
      <c r="F137" s="86"/>
      <c r="G137" s="86"/>
      <c r="H137" s="86"/>
      <c r="I137" s="65"/>
      <c r="J137" s="65"/>
      <c r="K137" s="87"/>
      <c r="L137" s="88"/>
    </row>
    <row r="138" spans="6:12" ht="12.5">
      <c r="F138" s="86"/>
      <c r="G138" s="86"/>
      <c r="H138" s="86"/>
      <c r="I138" s="65"/>
      <c r="J138" s="65"/>
      <c r="K138" s="87"/>
      <c r="L138" s="88"/>
    </row>
    <row r="139" spans="6:12" ht="12.5">
      <c r="F139" s="86"/>
      <c r="G139" s="86"/>
      <c r="H139" s="86"/>
      <c r="I139" s="65"/>
      <c r="J139" s="65"/>
      <c r="K139" s="87"/>
      <c r="L139" s="88"/>
    </row>
    <row r="140" spans="6:12" ht="12.5">
      <c r="F140" s="86"/>
      <c r="G140" s="86"/>
      <c r="H140" s="86"/>
      <c r="I140" s="65"/>
      <c r="J140" s="65"/>
      <c r="K140" s="87"/>
      <c r="L140" s="88"/>
    </row>
    <row r="141" spans="6:12" ht="12.5">
      <c r="F141" s="86"/>
      <c r="G141" s="86"/>
      <c r="H141" s="86"/>
      <c r="I141" s="65"/>
      <c r="J141" s="65"/>
      <c r="K141" s="87"/>
      <c r="L141" s="88"/>
    </row>
    <row r="142" spans="6:12" ht="12.5">
      <c r="F142" s="86"/>
      <c r="G142" s="86"/>
      <c r="H142" s="86"/>
      <c r="I142" s="65"/>
      <c r="J142" s="65"/>
      <c r="K142" s="87"/>
      <c r="L142" s="88"/>
    </row>
    <row r="143" spans="6:12" ht="12.5">
      <c r="F143" s="86"/>
      <c r="G143" s="86"/>
      <c r="H143" s="86"/>
      <c r="I143" s="65"/>
      <c r="J143" s="65"/>
      <c r="K143" s="87"/>
      <c r="L143" s="88"/>
    </row>
    <row r="144" spans="6:12" ht="12.5">
      <c r="F144" s="86"/>
      <c r="G144" s="86"/>
      <c r="H144" s="86"/>
      <c r="I144" s="65"/>
      <c r="J144" s="65"/>
      <c r="K144" s="87"/>
      <c r="L144" s="88"/>
    </row>
    <row r="145" spans="6:12" ht="12.5">
      <c r="F145" s="86"/>
      <c r="G145" s="86"/>
      <c r="H145" s="86"/>
      <c r="I145" s="65"/>
      <c r="J145" s="65"/>
      <c r="K145" s="87"/>
      <c r="L145" s="88"/>
    </row>
    <row r="146" spans="6:12" ht="12.5">
      <c r="F146" s="86"/>
      <c r="G146" s="86"/>
      <c r="H146" s="86"/>
      <c r="I146" s="65"/>
      <c r="J146" s="65"/>
      <c r="K146" s="87"/>
      <c r="L146" s="88"/>
    </row>
    <row r="147" spans="6:12" ht="12.5">
      <c r="F147" s="86"/>
      <c r="G147" s="86"/>
      <c r="H147" s="86"/>
      <c r="I147" s="65"/>
      <c r="J147" s="65"/>
      <c r="K147" s="87"/>
      <c r="L147" s="88"/>
    </row>
    <row r="148" spans="6:12" ht="12.5">
      <c r="F148" s="86"/>
      <c r="G148" s="86"/>
      <c r="H148" s="86"/>
      <c r="I148" s="65"/>
      <c r="J148" s="65"/>
      <c r="K148" s="87"/>
      <c r="L148" s="88"/>
    </row>
    <row r="149" spans="6:12" ht="12.5">
      <c r="F149" s="86"/>
      <c r="G149" s="86"/>
      <c r="H149" s="86"/>
      <c r="I149" s="65"/>
      <c r="J149" s="65"/>
      <c r="K149" s="87"/>
      <c r="L149" s="88"/>
    </row>
    <row r="150" spans="6:12" ht="12.5">
      <c r="F150" s="86"/>
      <c r="G150" s="86"/>
      <c r="H150" s="86"/>
      <c r="I150" s="65"/>
      <c r="J150" s="65"/>
      <c r="K150" s="87"/>
      <c r="L150" s="88"/>
    </row>
    <row r="151" spans="6:12" ht="12.5">
      <c r="F151" s="86"/>
      <c r="G151" s="86"/>
      <c r="H151" s="86"/>
      <c r="I151" s="65"/>
      <c r="J151" s="65"/>
      <c r="K151" s="87"/>
      <c r="L151" s="88"/>
    </row>
    <row r="152" spans="6:12" ht="12.5">
      <c r="F152" s="86"/>
      <c r="G152" s="86"/>
      <c r="H152" s="86"/>
      <c r="I152" s="65"/>
      <c r="J152" s="65"/>
      <c r="K152" s="87"/>
      <c r="L152" s="88"/>
    </row>
    <row r="153" spans="6:12" ht="12.5">
      <c r="F153" s="86"/>
      <c r="G153" s="86"/>
      <c r="H153" s="86"/>
      <c r="I153" s="65"/>
      <c r="J153" s="65"/>
      <c r="K153" s="87"/>
      <c r="L153" s="88"/>
    </row>
    <row r="154" spans="6:12" ht="12.5">
      <c r="F154" s="86"/>
      <c r="G154" s="86"/>
      <c r="H154" s="86"/>
      <c r="I154" s="65"/>
      <c r="J154" s="65"/>
      <c r="K154" s="87"/>
      <c r="L154" s="88"/>
    </row>
    <row r="155" spans="6:12" ht="12.5">
      <c r="F155" s="86"/>
      <c r="G155" s="86"/>
      <c r="H155" s="86"/>
      <c r="I155" s="65"/>
      <c r="J155" s="65"/>
      <c r="K155" s="87"/>
      <c r="L155" s="88"/>
    </row>
    <row r="156" spans="6:12" ht="12.5">
      <c r="F156" s="86"/>
      <c r="G156" s="86"/>
      <c r="H156" s="86"/>
      <c r="I156" s="65"/>
      <c r="J156" s="65"/>
      <c r="K156" s="87"/>
      <c r="L156" s="88"/>
    </row>
    <row r="157" spans="6:12" ht="12.5">
      <c r="F157" s="86"/>
      <c r="G157" s="86"/>
      <c r="H157" s="86"/>
      <c r="I157" s="65"/>
      <c r="J157" s="65"/>
      <c r="K157" s="87"/>
      <c r="L157" s="88"/>
    </row>
    <row r="158" spans="6:12" ht="12.5">
      <c r="F158" s="86"/>
      <c r="G158" s="86"/>
      <c r="H158" s="86"/>
      <c r="I158" s="65"/>
      <c r="J158" s="65"/>
      <c r="K158" s="87"/>
      <c r="L158" s="88"/>
    </row>
    <row r="159" spans="6:12" ht="12.5">
      <c r="F159" s="86"/>
      <c r="G159" s="86"/>
      <c r="H159" s="86"/>
      <c r="I159" s="65"/>
      <c r="J159" s="65"/>
      <c r="K159" s="87"/>
      <c r="L159" s="88"/>
    </row>
    <row r="160" spans="6:12" ht="12.5">
      <c r="F160" s="86"/>
      <c r="G160" s="86"/>
      <c r="H160" s="86"/>
      <c r="I160" s="65"/>
      <c r="J160" s="65"/>
      <c r="K160" s="87"/>
      <c r="L160" s="88"/>
    </row>
    <row r="161" spans="6:12" ht="12.5">
      <c r="F161" s="86"/>
      <c r="G161" s="86"/>
      <c r="H161" s="86"/>
      <c r="I161" s="65"/>
      <c r="J161" s="65"/>
      <c r="K161" s="87"/>
      <c r="L161" s="88"/>
    </row>
    <row r="162" spans="6:12" ht="12.5">
      <c r="F162" s="86"/>
      <c r="G162" s="86"/>
      <c r="H162" s="86"/>
      <c r="I162" s="65"/>
      <c r="J162" s="65"/>
      <c r="K162" s="87"/>
      <c r="L162" s="88"/>
    </row>
    <row r="163" spans="6:12" ht="12.5">
      <c r="F163" s="86"/>
      <c r="G163" s="86"/>
      <c r="H163" s="86"/>
      <c r="I163" s="65"/>
      <c r="J163" s="65"/>
      <c r="K163" s="87"/>
      <c r="L163" s="88"/>
    </row>
    <row r="164" spans="6:12" ht="12.5">
      <c r="F164" s="86"/>
      <c r="G164" s="86"/>
      <c r="H164" s="86"/>
      <c r="I164" s="65"/>
      <c r="J164" s="65"/>
      <c r="K164" s="87"/>
      <c r="L164" s="88"/>
    </row>
    <row r="165" spans="6:12" ht="12.5">
      <c r="F165" s="86"/>
      <c r="G165" s="86"/>
      <c r="H165" s="86"/>
      <c r="I165" s="65"/>
      <c r="J165" s="65"/>
      <c r="K165" s="87"/>
      <c r="L165" s="88"/>
    </row>
    <row r="166" spans="6:12" ht="12.5">
      <c r="F166" s="86"/>
      <c r="G166" s="86"/>
      <c r="H166" s="86"/>
      <c r="I166" s="65"/>
      <c r="J166" s="65"/>
      <c r="K166" s="87"/>
      <c r="L166" s="88"/>
    </row>
    <row r="167" spans="6:12" ht="12.5">
      <c r="F167" s="86"/>
      <c r="G167" s="86"/>
      <c r="H167" s="86"/>
      <c r="I167" s="65"/>
      <c r="J167" s="65"/>
      <c r="K167" s="87"/>
      <c r="L167" s="88"/>
    </row>
    <row r="168" spans="6:12" ht="12.5">
      <c r="F168" s="86"/>
      <c r="G168" s="86"/>
      <c r="H168" s="86"/>
      <c r="I168" s="65"/>
      <c r="J168" s="65"/>
      <c r="K168" s="87"/>
      <c r="L168" s="88"/>
    </row>
    <row r="169" spans="6:12" ht="12.5">
      <c r="F169" s="86"/>
      <c r="G169" s="86"/>
      <c r="H169" s="86"/>
      <c r="I169" s="65"/>
      <c r="J169" s="65"/>
      <c r="K169" s="87"/>
      <c r="L169" s="88"/>
    </row>
    <row r="170" spans="6:12" ht="12.5">
      <c r="F170" s="86"/>
      <c r="G170" s="86"/>
      <c r="H170" s="86"/>
      <c r="I170" s="65"/>
      <c r="J170" s="65"/>
      <c r="K170" s="87"/>
      <c r="L170" s="88"/>
    </row>
    <row r="171" spans="6:12" ht="12.5">
      <c r="F171" s="86"/>
      <c r="G171" s="86"/>
      <c r="H171" s="86"/>
      <c r="I171" s="65"/>
      <c r="J171" s="65"/>
      <c r="K171" s="87"/>
      <c r="L171" s="88"/>
    </row>
    <row r="172" spans="6:12" ht="12.5">
      <c r="F172" s="86"/>
      <c r="G172" s="86"/>
      <c r="H172" s="86"/>
      <c r="I172" s="65"/>
      <c r="J172" s="65"/>
      <c r="K172" s="87"/>
      <c r="L172" s="88"/>
    </row>
    <row r="173" spans="6:12" ht="12.5">
      <c r="F173" s="86"/>
      <c r="G173" s="86"/>
      <c r="H173" s="86"/>
      <c r="I173" s="65"/>
      <c r="J173" s="65"/>
      <c r="K173" s="87"/>
      <c r="L173" s="88"/>
    </row>
    <row r="174" spans="6:12" ht="12.5">
      <c r="F174" s="86"/>
      <c r="G174" s="86"/>
      <c r="H174" s="86"/>
      <c r="I174" s="65"/>
      <c r="J174" s="65"/>
      <c r="K174" s="87"/>
      <c r="L174" s="88"/>
    </row>
    <row r="175" spans="6:12" ht="12.5">
      <c r="F175" s="86"/>
      <c r="G175" s="86"/>
      <c r="H175" s="86"/>
      <c r="I175" s="65"/>
      <c r="J175" s="65"/>
      <c r="K175" s="87"/>
      <c r="L175" s="88"/>
    </row>
    <row r="176" spans="6:12" ht="12.5">
      <c r="F176" s="86"/>
      <c r="G176" s="86"/>
      <c r="H176" s="86"/>
      <c r="I176" s="65"/>
      <c r="J176" s="65"/>
      <c r="K176" s="87"/>
      <c r="L176" s="88"/>
    </row>
    <row r="177" spans="6:12" ht="12.5">
      <c r="F177" s="86"/>
      <c r="G177" s="86"/>
      <c r="H177" s="86"/>
      <c r="I177" s="65"/>
      <c r="J177" s="65"/>
      <c r="K177" s="87"/>
      <c r="L177" s="88"/>
    </row>
    <row r="178" spans="6:12" ht="12.5">
      <c r="F178" s="86"/>
      <c r="G178" s="86"/>
      <c r="H178" s="86"/>
      <c r="I178" s="65"/>
      <c r="J178" s="65"/>
      <c r="K178" s="87"/>
      <c r="L178" s="88"/>
    </row>
    <row r="179" spans="6:12" ht="12.5">
      <c r="F179" s="86"/>
      <c r="G179" s="86"/>
      <c r="H179" s="86"/>
      <c r="I179" s="65"/>
      <c r="J179" s="65"/>
      <c r="K179" s="87"/>
      <c r="L179" s="88"/>
    </row>
    <row r="180" spans="6:12" ht="12.5">
      <c r="F180" s="86"/>
      <c r="G180" s="86"/>
      <c r="H180" s="86"/>
      <c r="I180" s="65"/>
      <c r="J180" s="65"/>
      <c r="K180" s="87"/>
      <c r="L180" s="88"/>
    </row>
    <row r="181" spans="6:12" ht="12.5">
      <c r="F181" s="86"/>
      <c r="G181" s="86"/>
      <c r="H181" s="86"/>
      <c r="I181" s="65"/>
      <c r="J181" s="65"/>
      <c r="K181" s="87"/>
      <c r="L181" s="88"/>
    </row>
    <row r="182" spans="6:12" ht="12.5">
      <c r="F182" s="86"/>
      <c r="G182" s="86"/>
      <c r="H182" s="86"/>
      <c r="I182" s="65"/>
      <c r="J182" s="65"/>
      <c r="K182" s="87"/>
      <c r="L182" s="88"/>
    </row>
    <row r="183" spans="6:12" ht="12.5">
      <c r="F183" s="86"/>
      <c r="G183" s="86"/>
      <c r="H183" s="86"/>
      <c r="I183" s="65"/>
      <c r="J183" s="65"/>
      <c r="K183" s="87"/>
      <c r="L183" s="88"/>
    </row>
    <row r="184" spans="6:12" ht="12.5">
      <c r="F184" s="86"/>
      <c r="G184" s="86"/>
      <c r="H184" s="86"/>
      <c r="I184" s="65"/>
      <c r="J184" s="65"/>
      <c r="K184" s="87"/>
      <c r="L184" s="88"/>
    </row>
    <row r="185" spans="6:12" ht="12.5">
      <c r="F185" s="86"/>
      <c r="G185" s="86"/>
      <c r="H185" s="86"/>
      <c r="I185" s="65"/>
      <c r="J185" s="65"/>
      <c r="K185" s="87"/>
      <c r="L185" s="88"/>
    </row>
    <row r="186" spans="6:12" ht="12.5">
      <c r="F186" s="86"/>
      <c r="G186" s="86"/>
      <c r="H186" s="86"/>
      <c r="I186" s="65"/>
      <c r="J186" s="65"/>
      <c r="K186" s="87"/>
      <c r="L186" s="88"/>
    </row>
    <row r="187" spans="6:12" ht="12.5">
      <c r="F187" s="86"/>
      <c r="G187" s="86"/>
      <c r="H187" s="86"/>
      <c r="I187" s="65"/>
      <c r="J187" s="65"/>
      <c r="K187" s="87"/>
      <c r="L187" s="88"/>
    </row>
    <row r="188" spans="6:12" ht="12.5">
      <c r="F188" s="86"/>
      <c r="G188" s="86"/>
      <c r="H188" s="86"/>
      <c r="I188" s="65"/>
      <c r="J188" s="65"/>
      <c r="K188" s="87"/>
      <c r="L188" s="88"/>
    </row>
    <row r="189" spans="6:12" ht="12.5">
      <c r="F189" s="86"/>
      <c r="G189" s="86"/>
      <c r="H189" s="86"/>
      <c r="I189" s="65"/>
      <c r="J189" s="65"/>
      <c r="K189" s="87"/>
      <c r="L189" s="88"/>
    </row>
    <row r="190" spans="6:12" ht="12.5">
      <c r="F190" s="86"/>
      <c r="G190" s="86"/>
      <c r="H190" s="86"/>
      <c r="I190" s="65"/>
      <c r="J190" s="65"/>
      <c r="K190" s="87"/>
      <c r="L190" s="88"/>
    </row>
    <row r="191" spans="6:12" ht="12.5">
      <c r="F191" s="86"/>
      <c r="G191" s="86"/>
      <c r="H191" s="86"/>
      <c r="I191" s="65"/>
      <c r="J191" s="65"/>
      <c r="K191" s="87"/>
      <c r="L191" s="88"/>
    </row>
    <row r="192" spans="6:12" ht="12.5">
      <c r="F192" s="86"/>
      <c r="G192" s="86"/>
      <c r="H192" s="86"/>
      <c r="I192" s="65"/>
      <c r="J192" s="65"/>
      <c r="K192" s="87"/>
      <c r="L192" s="88"/>
    </row>
    <row r="193" spans="6:12" ht="12.5">
      <c r="F193" s="86"/>
      <c r="G193" s="86"/>
      <c r="H193" s="86"/>
      <c r="I193" s="65"/>
      <c r="J193" s="65"/>
      <c r="K193" s="87"/>
      <c r="L193" s="88"/>
    </row>
    <row r="194" spans="6:12" ht="12.5">
      <c r="F194" s="86"/>
      <c r="G194" s="86"/>
      <c r="H194" s="86"/>
      <c r="I194" s="65"/>
      <c r="J194" s="65"/>
      <c r="K194" s="87"/>
      <c r="L194" s="88"/>
    </row>
    <row r="195" spans="6:12" ht="12.5">
      <c r="F195" s="86"/>
      <c r="G195" s="86"/>
      <c r="H195" s="86"/>
      <c r="I195" s="65"/>
      <c r="J195" s="65"/>
      <c r="K195" s="87"/>
      <c r="L195" s="88"/>
    </row>
    <row r="196" spans="6:12" ht="12.5">
      <c r="F196" s="86"/>
      <c r="G196" s="86"/>
      <c r="H196" s="86"/>
      <c r="I196" s="65"/>
      <c r="J196" s="65"/>
      <c r="K196" s="87"/>
      <c r="L196" s="88"/>
    </row>
    <row r="197" spans="6:12" ht="12.5">
      <c r="F197" s="86"/>
      <c r="G197" s="86"/>
      <c r="H197" s="86"/>
      <c r="I197" s="65"/>
      <c r="J197" s="65"/>
      <c r="K197" s="87"/>
      <c r="L197" s="88"/>
    </row>
    <row r="198" spans="6:12" ht="12.5">
      <c r="F198" s="86"/>
      <c r="G198" s="86"/>
      <c r="H198" s="86"/>
      <c r="I198" s="65"/>
      <c r="J198" s="65"/>
      <c r="K198" s="87"/>
      <c r="L198" s="88"/>
    </row>
    <row r="199" spans="6:12" ht="12.5">
      <c r="F199" s="86"/>
      <c r="G199" s="86"/>
      <c r="H199" s="86"/>
      <c r="I199" s="65"/>
      <c r="J199" s="65"/>
      <c r="K199" s="87"/>
      <c r="L199" s="88"/>
    </row>
    <row r="200" spans="6:12" ht="12.5">
      <c r="F200" s="86"/>
      <c r="G200" s="86"/>
      <c r="H200" s="86"/>
      <c r="I200" s="65"/>
      <c r="J200" s="65"/>
      <c r="K200" s="87"/>
      <c r="L200" s="88"/>
    </row>
    <row r="201" spans="6:12" ht="12.5">
      <c r="F201" s="86"/>
      <c r="G201" s="86"/>
      <c r="H201" s="86"/>
      <c r="I201" s="65"/>
      <c r="J201" s="65"/>
      <c r="K201" s="87"/>
      <c r="L201" s="88"/>
    </row>
    <row r="202" spans="6:12" ht="12.5">
      <c r="F202" s="86"/>
      <c r="G202" s="86"/>
      <c r="H202" s="86"/>
      <c r="I202" s="65"/>
      <c r="J202" s="65"/>
      <c r="K202" s="87"/>
      <c r="L202" s="88"/>
    </row>
    <row r="203" spans="6:12" ht="12.5">
      <c r="F203" s="86"/>
      <c r="G203" s="86"/>
      <c r="H203" s="86"/>
      <c r="I203" s="65"/>
      <c r="J203" s="65"/>
      <c r="K203" s="87"/>
      <c r="L203" s="88"/>
    </row>
    <row r="204" spans="6:12" ht="12.5">
      <c r="F204" s="86"/>
      <c r="G204" s="86"/>
      <c r="H204" s="86"/>
      <c r="I204" s="65"/>
      <c r="J204" s="65"/>
      <c r="K204" s="87"/>
      <c r="L204" s="88"/>
    </row>
    <row r="205" spans="6:12" ht="12.5">
      <c r="F205" s="86"/>
      <c r="G205" s="86"/>
      <c r="H205" s="86"/>
      <c r="I205" s="65"/>
      <c r="J205" s="65"/>
      <c r="K205" s="87"/>
      <c r="L205" s="88"/>
    </row>
    <row r="206" spans="6:12" ht="12.5">
      <c r="F206" s="86"/>
      <c r="G206" s="86"/>
      <c r="H206" s="86"/>
      <c r="I206" s="65"/>
      <c r="J206" s="65"/>
      <c r="K206" s="87"/>
      <c r="L206" s="88"/>
    </row>
    <row r="207" spans="6:12" ht="12.5">
      <c r="F207" s="86"/>
      <c r="G207" s="86"/>
      <c r="H207" s="86"/>
      <c r="I207" s="65"/>
      <c r="J207" s="65"/>
      <c r="K207" s="87"/>
      <c r="L207" s="88"/>
    </row>
    <row r="208" spans="6:12" ht="12.5">
      <c r="F208" s="86"/>
      <c r="G208" s="86"/>
      <c r="H208" s="86"/>
      <c r="I208" s="65"/>
      <c r="J208" s="65"/>
      <c r="K208" s="87"/>
      <c r="L208" s="88"/>
    </row>
    <row r="209" spans="6:12" ht="12.5">
      <c r="F209" s="86"/>
      <c r="G209" s="86"/>
      <c r="H209" s="86"/>
      <c r="I209" s="65"/>
      <c r="J209" s="65"/>
      <c r="K209" s="87"/>
      <c r="L209" s="88"/>
    </row>
    <row r="210" spans="6:12" ht="12.5">
      <c r="F210" s="86"/>
      <c r="G210" s="86"/>
      <c r="H210" s="86"/>
      <c r="I210" s="65"/>
      <c r="J210" s="65"/>
      <c r="K210" s="87"/>
      <c r="L210" s="88"/>
    </row>
    <row r="211" spans="6:12" ht="12.5">
      <c r="F211" s="86"/>
      <c r="G211" s="86"/>
      <c r="H211" s="86"/>
      <c r="I211" s="65"/>
      <c r="J211" s="65"/>
      <c r="K211" s="87"/>
      <c r="L211" s="88"/>
    </row>
    <row r="212" spans="6:12" ht="12.5">
      <c r="F212" s="86"/>
      <c r="G212" s="86"/>
      <c r="H212" s="86"/>
      <c r="I212" s="65"/>
      <c r="J212" s="65"/>
      <c r="K212" s="87"/>
      <c r="L212" s="88"/>
    </row>
    <row r="213" spans="6:12" ht="12.5">
      <c r="F213" s="86"/>
      <c r="G213" s="86"/>
      <c r="H213" s="86"/>
      <c r="I213" s="65"/>
      <c r="J213" s="65"/>
      <c r="K213" s="87"/>
      <c r="L213" s="88"/>
    </row>
    <row r="214" spans="6:12" ht="12.5">
      <c r="F214" s="86"/>
      <c r="G214" s="86"/>
      <c r="H214" s="86"/>
      <c r="I214" s="65"/>
      <c r="J214" s="65"/>
      <c r="K214" s="87"/>
      <c r="L214" s="88"/>
    </row>
    <row r="215" spans="6:12" ht="12.5">
      <c r="F215" s="86"/>
      <c r="G215" s="86"/>
      <c r="H215" s="86"/>
      <c r="I215" s="65"/>
      <c r="J215" s="65"/>
      <c r="K215" s="87"/>
      <c r="L215" s="88"/>
    </row>
    <row r="216" spans="6:12" ht="12.5">
      <c r="F216" s="86"/>
      <c r="G216" s="86"/>
      <c r="H216" s="86"/>
      <c r="I216" s="65"/>
      <c r="J216" s="65"/>
      <c r="K216" s="87"/>
      <c r="L216" s="88"/>
    </row>
    <row r="217" spans="6:12" ht="12.5">
      <c r="F217" s="86"/>
      <c r="G217" s="86"/>
      <c r="H217" s="86"/>
      <c r="I217" s="65"/>
      <c r="J217" s="65"/>
      <c r="K217" s="87"/>
      <c r="L217" s="88"/>
    </row>
    <row r="218" spans="6:12" ht="12.5">
      <c r="F218" s="86"/>
      <c r="G218" s="86"/>
      <c r="H218" s="86"/>
      <c r="I218" s="65"/>
      <c r="J218" s="65"/>
      <c r="K218" s="87"/>
      <c r="L218" s="88"/>
    </row>
    <row r="219" spans="6:12" ht="12.5">
      <c r="F219" s="86"/>
      <c r="G219" s="86"/>
      <c r="H219" s="86"/>
      <c r="I219" s="65"/>
      <c r="J219" s="65"/>
      <c r="K219" s="87"/>
      <c r="L219" s="88"/>
    </row>
    <row r="220" spans="6:12" ht="12.5">
      <c r="F220" s="86"/>
      <c r="G220" s="86"/>
      <c r="H220" s="86"/>
      <c r="I220" s="65"/>
      <c r="J220" s="65"/>
      <c r="K220" s="87"/>
      <c r="L220" s="88"/>
    </row>
    <row r="221" spans="6:12" ht="12.5">
      <c r="F221" s="86"/>
      <c r="G221" s="86"/>
      <c r="H221" s="86"/>
      <c r="I221" s="65"/>
      <c r="J221" s="65"/>
      <c r="K221" s="87"/>
      <c r="L221" s="88"/>
    </row>
    <row r="222" spans="6:12" ht="12.5">
      <c r="F222" s="86"/>
      <c r="G222" s="86"/>
      <c r="H222" s="86"/>
      <c r="I222" s="65"/>
      <c r="J222" s="65"/>
      <c r="K222" s="87"/>
      <c r="L222" s="88"/>
    </row>
    <row r="223" spans="6:12" ht="12.5">
      <c r="F223" s="86"/>
      <c r="G223" s="86"/>
      <c r="H223" s="86"/>
      <c r="I223" s="65"/>
      <c r="J223" s="65"/>
      <c r="K223" s="87"/>
      <c r="L223" s="88"/>
    </row>
    <row r="224" spans="6:12" ht="12.5">
      <c r="F224" s="86"/>
      <c r="G224" s="86"/>
      <c r="H224" s="86"/>
      <c r="I224" s="65"/>
      <c r="J224" s="65"/>
      <c r="K224" s="87"/>
      <c r="L224" s="88"/>
    </row>
    <row r="225" spans="6:12" ht="12.5">
      <c r="F225" s="86"/>
      <c r="G225" s="86"/>
      <c r="H225" s="86"/>
      <c r="I225" s="65"/>
      <c r="J225" s="65"/>
      <c r="K225" s="87"/>
      <c r="L225" s="88"/>
    </row>
    <row r="226" spans="6:12" ht="12.5">
      <c r="F226" s="86"/>
      <c r="G226" s="86"/>
      <c r="H226" s="86"/>
      <c r="I226" s="65"/>
      <c r="J226" s="65"/>
      <c r="K226" s="87"/>
      <c r="L226" s="88"/>
    </row>
    <row r="227" spans="6:12" ht="12.5">
      <c r="F227" s="86"/>
      <c r="G227" s="86"/>
      <c r="H227" s="86"/>
      <c r="I227" s="65"/>
      <c r="J227" s="65"/>
      <c r="K227" s="87"/>
      <c r="L227" s="88"/>
    </row>
    <row r="228" spans="6:12" ht="12.5">
      <c r="F228" s="86"/>
      <c r="G228" s="86"/>
      <c r="H228" s="86"/>
      <c r="I228" s="65"/>
      <c r="J228" s="65"/>
      <c r="K228" s="87"/>
      <c r="L228" s="88"/>
    </row>
    <row r="229" spans="6:12" ht="12.5">
      <c r="F229" s="86"/>
      <c r="G229" s="86"/>
      <c r="H229" s="86"/>
      <c r="I229" s="65"/>
      <c r="J229" s="65"/>
      <c r="K229" s="87"/>
      <c r="L229" s="88"/>
    </row>
    <row r="230" spans="6:12" ht="12.5">
      <c r="F230" s="86"/>
      <c r="G230" s="86"/>
      <c r="H230" s="86"/>
      <c r="I230" s="65"/>
      <c r="J230" s="65"/>
      <c r="K230" s="87"/>
      <c r="L230" s="88"/>
    </row>
    <row r="231" spans="6:12" ht="12.5">
      <c r="F231" s="86"/>
      <c r="G231" s="86"/>
      <c r="H231" s="86"/>
      <c r="I231" s="65"/>
      <c r="J231" s="65"/>
      <c r="K231" s="87"/>
      <c r="L231" s="88"/>
    </row>
    <row r="232" spans="6:12" ht="12.5">
      <c r="F232" s="86"/>
      <c r="G232" s="86"/>
      <c r="H232" s="86"/>
      <c r="I232" s="65"/>
      <c r="J232" s="65"/>
      <c r="K232" s="87"/>
      <c r="L232" s="88"/>
    </row>
    <row r="233" spans="6:12" ht="12.5">
      <c r="F233" s="86"/>
      <c r="G233" s="86"/>
      <c r="H233" s="86"/>
      <c r="I233" s="65"/>
      <c r="J233" s="65"/>
      <c r="K233" s="87"/>
      <c r="L233" s="88"/>
    </row>
    <row r="234" spans="6:12" ht="12.5">
      <c r="F234" s="86"/>
      <c r="G234" s="86"/>
      <c r="H234" s="86"/>
      <c r="I234" s="65"/>
      <c r="J234" s="65"/>
      <c r="K234" s="87"/>
      <c r="L234" s="88"/>
    </row>
    <row r="235" spans="6:12" ht="12.5">
      <c r="F235" s="86"/>
      <c r="G235" s="86"/>
      <c r="H235" s="86"/>
      <c r="I235" s="65"/>
      <c r="J235" s="65"/>
      <c r="K235" s="87"/>
      <c r="L235" s="88"/>
    </row>
    <row r="236" spans="6:12" ht="12.5">
      <c r="F236" s="86"/>
      <c r="G236" s="86"/>
      <c r="H236" s="86"/>
      <c r="I236" s="65"/>
      <c r="J236" s="65"/>
      <c r="K236" s="87"/>
      <c r="L236" s="88"/>
    </row>
    <row r="237" spans="6:12" ht="12.5">
      <c r="F237" s="86"/>
      <c r="G237" s="86"/>
      <c r="H237" s="86"/>
      <c r="I237" s="65"/>
      <c r="J237" s="65"/>
      <c r="K237" s="87"/>
      <c r="L237" s="88"/>
    </row>
    <row r="238" spans="6:12" ht="12.5">
      <c r="F238" s="86"/>
      <c r="G238" s="86"/>
      <c r="H238" s="86"/>
      <c r="I238" s="65"/>
      <c r="J238" s="65"/>
      <c r="K238" s="87"/>
      <c r="L238" s="88"/>
    </row>
    <row r="239" spans="6:12" ht="12.5">
      <c r="F239" s="86"/>
      <c r="G239" s="86"/>
      <c r="H239" s="86"/>
      <c r="I239" s="65"/>
      <c r="J239" s="65"/>
      <c r="K239" s="87"/>
      <c r="L239" s="88"/>
    </row>
    <row r="240" spans="6:12" ht="12.5">
      <c r="F240" s="86"/>
      <c r="G240" s="86"/>
      <c r="H240" s="86"/>
      <c r="I240" s="65"/>
      <c r="J240" s="65"/>
      <c r="K240" s="87"/>
      <c r="L240" s="88"/>
    </row>
    <row r="241" spans="6:12" ht="12.5">
      <c r="F241" s="86"/>
      <c r="G241" s="86"/>
      <c r="H241" s="86"/>
      <c r="I241" s="65"/>
      <c r="J241" s="65"/>
      <c r="K241" s="87"/>
      <c r="L241" s="88"/>
    </row>
    <row r="242" spans="6:12" ht="12.5">
      <c r="F242" s="86"/>
      <c r="G242" s="86"/>
      <c r="H242" s="86"/>
      <c r="I242" s="65"/>
      <c r="J242" s="65"/>
      <c r="K242" s="87"/>
      <c r="L242" s="88"/>
    </row>
    <row r="243" spans="6:12" ht="12.5">
      <c r="F243" s="86"/>
      <c r="G243" s="86"/>
      <c r="H243" s="86"/>
      <c r="I243" s="65"/>
      <c r="J243" s="65"/>
      <c r="K243" s="87"/>
      <c r="L243" s="88"/>
    </row>
    <row r="244" spans="6:12" ht="12.5">
      <c r="F244" s="86"/>
      <c r="G244" s="86"/>
      <c r="H244" s="86"/>
      <c r="I244" s="65"/>
      <c r="J244" s="65"/>
      <c r="K244" s="87"/>
      <c r="L244" s="88"/>
    </row>
    <row r="245" spans="6:12" ht="12.5">
      <c r="F245" s="86"/>
      <c r="G245" s="86"/>
      <c r="H245" s="86"/>
      <c r="I245" s="65"/>
      <c r="J245" s="65"/>
      <c r="K245" s="87"/>
      <c r="L245" s="88"/>
    </row>
    <row r="246" spans="6:12" ht="12.5">
      <c r="F246" s="86"/>
      <c r="G246" s="86"/>
      <c r="H246" s="86"/>
      <c r="I246" s="65"/>
      <c r="J246" s="65"/>
      <c r="K246" s="87"/>
      <c r="L246" s="88"/>
    </row>
    <row r="247" spans="6:12" ht="12.5">
      <c r="F247" s="86"/>
      <c r="G247" s="86"/>
      <c r="H247" s="86"/>
      <c r="I247" s="65"/>
      <c r="J247" s="65"/>
      <c r="K247" s="87"/>
      <c r="L247" s="88"/>
    </row>
    <row r="248" spans="6:12" ht="12.5">
      <c r="F248" s="86"/>
      <c r="G248" s="86"/>
      <c r="H248" s="86"/>
      <c r="I248" s="65"/>
      <c r="J248" s="65"/>
      <c r="K248" s="87"/>
      <c r="L248" s="88"/>
    </row>
    <row r="249" spans="6:12" ht="12.5">
      <c r="F249" s="86"/>
      <c r="G249" s="86"/>
      <c r="H249" s="86"/>
      <c r="I249" s="65"/>
      <c r="J249" s="65"/>
      <c r="K249" s="87"/>
      <c r="L249" s="88"/>
    </row>
    <row r="250" spans="6:12" ht="12.5">
      <c r="F250" s="86"/>
      <c r="G250" s="86"/>
      <c r="H250" s="86"/>
      <c r="I250" s="65"/>
      <c r="J250" s="65"/>
      <c r="K250" s="87"/>
      <c r="L250" s="88"/>
    </row>
    <row r="251" spans="6:12" ht="12.5">
      <c r="F251" s="86"/>
      <c r="G251" s="86"/>
      <c r="H251" s="86"/>
      <c r="I251" s="65"/>
      <c r="J251" s="65"/>
      <c r="K251" s="87"/>
      <c r="L251" s="88"/>
    </row>
    <row r="252" spans="6:12" ht="12.5">
      <c r="F252" s="86"/>
      <c r="G252" s="86"/>
      <c r="H252" s="86"/>
      <c r="I252" s="65"/>
      <c r="J252" s="65"/>
      <c r="K252" s="87"/>
      <c r="L252" s="88"/>
    </row>
    <row r="253" spans="6:12" ht="12.5">
      <c r="F253" s="86"/>
      <c r="G253" s="86"/>
      <c r="H253" s="86"/>
      <c r="I253" s="65"/>
      <c r="J253" s="65"/>
      <c r="K253" s="87"/>
      <c r="L253" s="88"/>
    </row>
    <row r="254" spans="6:12" ht="12.5">
      <c r="F254" s="86"/>
      <c r="G254" s="86"/>
      <c r="H254" s="86"/>
      <c r="I254" s="65"/>
      <c r="J254" s="65"/>
      <c r="K254" s="87"/>
      <c r="L254" s="88"/>
    </row>
    <row r="255" spans="6:12" ht="12.5">
      <c r="F255" s="86"/>
      <c r="G255" s="86"/>
      <c r="H255" s="86"/>
      <c r="I255" s="65"/>
      <c r="J255" s="65"/>
      <c r="K255" s="87"/>
      <c r="L255" s="88"/>
    </row>
    <row r="256" spans="6:12" ht="12.5">
      <c r="F256" s="86"/>
      <c r="G256" s="86"/>
      <c r="H256" s="86"/>
      <c r="I256" s="65"/>
      <c r="J256" s="65"/>
      <c r="K256" s="87"/>
      <c r="L256" s="88"/>
    </row>
    <row r="257" spans="6:12" ht="12.5">
      <c r="F257" s="86"/>
      <c r="G257" s="86"/>
      <c r="H257" s="86"/>
      <c r="I257" s="65"/>
      <c r="J257" s="65"/>
      <c r="K257" s="87"/>
      <c r="L257" s="88"/>
    </row>
    <row r="258" spans="6:12" ht="12.5">
      <c r="F258" s="86"/>
      <c r="G258" s="86"/>
      <c r="H258" s="86"/>
      <c r="I258" s="65"/>
      <c r="J258" s="65"/>
      <c r="K258" s="87"/>
      <c r="L258" s="88"/>
    </row>
    <row r="259" spans="6:12" ht="12.5">
      <c r="F259" s="86"/>
      <c r="G259" s="86"/>
      <c r="H259" s="86"/>
      <c r="I259" s="65"/>
      <c r="J259" s="65"/>
      <c r="K259" s="87"/>
      <c r="L259" s="88"/>
    </row>
    <row r="260" spans="6:12" ht="12.5">
      <c r="F260" s="86"/>
      <c r="G260" s="86"/>
      <c r="H260" s="86"/>
      <c r="I260" s="65"/>
      <c r="J260" s="65"/>
      <c r="K260" s="87"/>
      <c r="L260" s="88"/>
    </row>
    <row r="261" spans="6:12" ht="12.5">
      <c r="F261" s="86"/>
      <c r="G261" s="86"/>
      <c r="H261" s="86"/>
      <c r="I261" s="65"/>
      <c r="J261" s="65"/>
      <c r="K261" s="87"/>
      <c r="L261" s="88"/>
    </row>
    <row r="262" spans="6:12" ht="12.5">
      <c r="F262" s="86"/>
      <c r="G262" s="86"/>
      <c r="H262" s="86"/>
      <c r="I262" s="65"/>
      <c r="J262" s="65"/>
      <c r="K262" s="87"/>
      <c r="L262" s="88"/>
    </row>
    <row r="263" spans="6:12" ht="12.5">
      <c r="F263" s="86"/>
      <c r="G263" s="86"/>
      <c r="H263" s="86"/>
      <c r="I263" s="65"/>
      <c r="J263" s="65"/>
      <c r="K263" s="87"/>
      <c r="L263" s="88"/>
    </row>
    <row r="264" spans="6:12" ht="12.5">
      <c r="F264" s="86"/>
      <c r="G264" s="86"/>
      <c r="H264" s="86"/>
      <c r="I264" s="65"/>
      <c r="J264" s="65"/>
      <c r="K264" s="87"/>
      <c r="L264" s="88"/>
    </row>
    <row r="265" spans="6:12" ht="12.5">
      <c r="F265" s="86"/>
      <c r="G265" s="86"/>
      <c r="H265" s="86"/>
      <c r="I265" s="65"/>
      <c r="J265" s="65"/>
      <c r="K265" s="87"/>
      <c r="L265" s="88"/>
    </row>
    <row r="266" spans="6:12" ht="12.5">
      <c r="F266" s="86"/>
      <c r="G266" s="86"/>
      <c r="H266" s="86"/>
      <c r="I266" s="65"/>
      <c r="J266" s="65"/>
      <c r="K266" s="87"/>
      <c r="L266" s="88"/>
    </row>
    <row r="267" spans="6:12" ht="12.5">
      <c r="F267" s="86"/>
      <c r="G267" s="86"/>
      <c r="H267" s="86"/>
      <c r="I267" s="65"/>
      <c r="J267" s="65"/>
      <c r="K267" s="87"/>
      <c r="L267" s="88"/>
    </row>
    <row r="268" spans="6:12" ht="12.5">
      <c r="F268" s="86"/>
      <c r="G268" s="86"/>
      <c r="H268" s="86"/>
      <c r="I268" s="65"/>
      <c r="J268" s="65"/>
      <c r="K268" s="87"/>
      <c r="L268" s="88"/>
    </row>
    <row r="269" spans="6:12" ht="12.5">
      <c r="F269" s="86"/>
      <c r="G269" s="86"/>
      <c r="H269" s="86"/>
      <c r="I269" s="65"/>
      <c r="J269" s="65"/>
      <c r="K269" s="87"/>
      <c r="L269" s="88"/>
    </row>
    <row r="270" spans="6:12" ht="12.5">
      <c r="F270" s="86"/>
      <c r="G270" s="86"/>
      <c r="H270" s="86"/>
      <c r="I270" s="65"/>
      <c r="J270" s="65"/>
      <c r="K270" s="87"/>
      <c r="L270" s="88"/>
    </row>
    <row r="271" spans="6:12" ht="12.5">
      <c r="F271" s="86"/>
      <c r="G271" s="86"/>
      <c r="H271" s="86"/>
      <c r="I271" s="65"/>
      <c r="J271" s="65"/>
      <c r="K271" s="87"/>
      <c r="L271" s="88"/>
    </row>
    <row r="272" spans="6:12" ht="12.5">
      <c r="F272" s="86"/>
      <c r="G272" s="86"/>
      <c r="H272" s="86"/>
      <c r="I272" s="65"/>
      <c r="J272" s="65"/>
      <c r="K272" s="87"/>
      <c r="L272" s="88"/>
    </row>
    <row r="273" spans="6:12" ht="12.5">
      <c r="F273" s="86"/>
      <c r="G273" s="86"/>
      <c r="H273" s="86"/>
      <c r="I273" s="65"/>
      <c r="J273" s="65"/>
      <c r="K273" s="87"/>
      <c r="L273" s="88"/>
    </row>
    <row r="274" spans="6:12" ht="12.5">
      <c r="F274" s="86"/>
      <c r="G274" s="86"/>
      <c r="H274" s="86"/>
      <c r="I274" s="65"/>
      <c r="J274" s="65"/>
      <c r="K274" s="87"/>
      <c r="L274" s="88"/>
    </row>
    <row r="275" spans="6:12" ht="12.5">
      <c r="F275" s="86"/>
      <c r="G275" s="86"/>
      <c r="H275" s="86"/>
      <c r="I275" s="65"/>
      <c r="J275" s="65"/>
      <c r="K275" s="87"/>
      <c r="L275" s="88"/>
    </row>
    <row r="276" spans="6:12" ht="12.5">
      <c r="F276" s="86"/>
      <c r="G276" s="86"/>
      <c r="H276" s="86"/>
      <c r="I276" s="65"/>
      <c r="J276" s="65"/>
      <c r="K276" s="87"/>
      <c r="L276" s="88"/>
    </row>
    <row r="277" spans="6:12" ht="12.5">
      <c r="F277" s="86"/>
      <c r="G277" s="86"/>
      <c r="H277" s="86"/>
      <c r="I277" s="65"/>
      <c r="J277" s="65"/>
      <c r="K277" s="87"/>
      <c r="L277" s="88"/>
    </row>
    <row r="278" spans="6:12" ht="12.5">
      <c r="F278" s="86"/>
      <c r="G278" s="86"/>
      <c r="H278" s="86"/>
      <c r="I278" s="65"/>
      <c r="J278" s="65"/>
      <c r="K278" s="87"/>
      <c r="L278" s="88"/>
    </row>
    <row r="279" spans="6:12" ht="12.5">
      <c r="F279" s="86"/>
      <c r="G279" s="86"/>
      <c r="H279" s="86"/>
      <c r="I279" s="65"/>
      <c r="J279" s="65"/>
      <c r="K279" s="87"/>
      <c r="L279" s="88"/>
    </row>
    <row r="280" spans="6:12" ht="12.5">
      <c r="F280" s="86"/>
      <c r="G280" s="86"/>
      <c r="H280" s="86"/>
      <c r="I280" s="65"/>
      <c r="J280" s="65"/>
      <c r="K280" s="87"/>
      <c r="L280" s="88"/>
    </row>
    <row r="281" spans="6:12" ht="12.5">
      <c r="F281" s="86"/>
      <c r="G281" s="86"/>
      <c r="H281" s="86"/>
      <c r="I281" s="65"/>
      <c r="J281" s="65"/>
      <c r="K281" s="87"/>
      <c r="L281" s="88"/>
    </row>
    <row r="282" spans="6:12" ht="12.5">
      <c r="F282" s="86"/>
      <c r="G282" s="86"/>
      <c r="H282" s="86"/>
      <c r="I282" s="65"/>
      <c r="J282" s="65"/>
      <c r="K282" s="87"/>
      <c r="L282" s="88"/>
    </row>
    <row r="283" spans="6:12" ht="12.5">
      <c r="F283" s="86"/>
      <c r="G283" s="86"/>
      <c r="H283" s="86"/>
      <c r="I283" s="65"/>
      <c r="J283" s="65"/>
      <c r="K283" s="87"/>
      <c r="L283" s="88"/>
    </row>
    <row r="284" spans="6:12" ht="12.5">
      <c r="F284" s="86"/>
      <c r="G284" s="86"/>
      <c r="H284" s="86"/>
      <c r="I284" s="65"/>
      <c r="J284" s="65"/>
      <c r="K284" s="87"/>
      <c r="L284" s="88"/>
    </row>
    <row r="285" spans="6:12" ht="12.5">
      <c r="F285" s="86"/>
      <c r="G285" s="86"/>
      <c r="H285" s="86"/>
      <c r="I285" s="65"/>
      <c r="J285" s="65"/>
      <c r="K285" s="87"/>
      <c r="L285" s="88"/>
    </row>
    <row r="286" spans="6:12" ht="12.5">
      <c r="F286" s="86"/>
      <c r="G286" s="86"/>
      <c r="H286" s="86"/>
      <c r="I286" s="65"/>
      <c r="J286" s="65"/>
      <c r="K286" s="87"/>
      <c r="L286" s="88"/>
    </row>
    <row r="287" spans="6:12" ht="12.5">
      <c r="F287" s="86"/>
      <c r="G287" s="86"/>
      <c r="H287" s="86"/>
      <c r="I287" s="65"/>
      <c r="J287" s="65"/>
      <c r="K287" s="87"/>
      <c r="L287" s="88"/>
    </row>
    <row r="288" spans="6:12" ht="12.5">
      <c r="F288" s="86"/>
      <c r="G288" s="86"/>
      <c r="H288" s="86"/>
      <c r="I288" s="65"/>
      <c r="J288" s="65"/>
      <c r="K288" s="87"/>
      <c r="L288" s="88"/>
    </row>
    <row r="289" spans="6:12" ht="12.5">
      <c r="F289" s="86"/>
      <c r="G289" s="86"/>
      <c r="H289" s="86"/>
      <c r="I289" s="65"/>
      <c r="J289" s="65"/>
      <c r="K289" s="87"/>
      <c r="L289" s="88"/>
    </row>
    <row r="290" spans="6:12" ht="12.5">
      <c r="F290" s="86"/>
      <c r="G290" s="86"/>
      <c r="H290" s="86"/>
      <c r="I290" s="65"/>
      <c r="J290" s="65"/>
      <c r="K290" s="87"/>
      <c r="L290" s="88"/>
    </row>
    <row r="291" spans="6:12" ht="12.5">
      <c r="F291" s="86"/>
      <c r="G291" s="86"/>
      <c r="H291" s="86"/>
      <c r="I291" s="65"/>
      <c r="J291" s="65"/>
      <c r="K291" s="87"/>
      <c r="L291" s="88"/>
    </row>
    <row r="292" spans="6:12" ht="12.5">
      <c r="F292" s="86"/>
      <c r="G292" s="86"/>
      <c r="H292" s="86"/>
      <c r="I292" s="65"/>
      <c r="J292" s="65"/>
      <c r="K292" s="87"/>
      <c r="L292" s="88"/>
    </row>
    <row r="293" spans="6:12" ht="12.5">
      <c r="F293" s="86"/>
      <c r="G293" s="86"/>
      <c r="H293" s="86"/>
      <c r="I293" s="65"/>
      <c r="J293" s="65"/>
      <c r="K293" s="87"/>
      <c r="L293" s="88"/>
    </row>
    <row r="294" spans="6:12" ht="12.5">
      <c r="F294" s="86"/>
      <c r="G294" s="86"/>
      <c r="H294" s="86"/>
      <c r="I294" s="65"/>
      <c r="J294" s="65"/>
      <c r="K294" s="87"/>
      <c r="L294" s="88"/>
    </row>
    <row r="295" spans="6:12" ht="12.5">
      <c r="F295" s="86"/>
      <c r="G295" s="86"/>
      <c r="H295" s="86"/>
      <c r="I295" s="65"/>
      <c r="J295" s="65"/>
      <c r="K295" s="87"/>
      <c r="L295" s="88"/>
    </row>
    <row r="296" spans="6:12" ht="12.5">
      <c r="F296" s="86"/>
      <c r="G296" s="86"/>
      <c r="H296" s="86"/>
      <c r="I296" s="65"/>
      <c r="J296" s="65"/>
      <c r="K296" s="87"/>
      <c r="L296" s="88"/>
    </row>
    <row r="297" spans="6:12" ht="12.5">
      <c r="F297" s="86"/>
      <c r="G297" s="86"/>
      <c r="H297" s="86"/>
      <c r="I297" s="65"/>
      <c r="J297" s="65"/>
      <c r="K297" s="87"/>
      <c r="L297" s="88"/>
    </row>
    <row r="298" spans="6:12" ht="12.5">
      <c r="F298" s="86"/>
      <c r="G298" s="86"/>
      <c r="H298" s="86"/>
      <c r="I298" s="65"/>
      <c r="J298" s="65"/>
      <c r="K298" s="87"/>
      <c r="L298" s="88"/>
    </row>
    <row r="299" spans="6:12" ht="12.5">
      <c r="F299" s="86"/>
      <c r="G299" s="86"/>
      <c r="H299" s="86"/>
      <c r="I299" s="65"/>
      <c r="J299" s="65"/>
      <c r="K299" s="87"/>
      <c r="L299" s="88"/>
    </row>
    <row r="300" spans="6:12" ht="12.5">
      <c r="F300" s="86"/>
      <c r="G300" s="86"/>
      <c r="H300" s="86"/>
      <c r="I300" s="65"/>
      <c r="J300" s="65"/>
      <c r="K300" s="87"/>
      <c r="L300" s="88"/>
    </row>
    <row r="301" spans="6:12" ht="12.5">
      <c r="F301" s="86"/>
      <c r="G301" s="86"/>
      <c r="H301" s="86"/>
      <c r="I301" s="65"/>
      <c r="J301" s="65"/>
      <c r="K301" s="87"/>
      <c r="L301" s="88"/>
    </row>
    <row r="302" spans="6:12" ht="12.5">
      <c r="F302" s="86"/>
      <c r="G302" s="86"/>
      <c r="H302" s="86"/>
      <c r="I302" s="65"/>
      <c r="J302" s="65"/>
      <c r="K302" s="87"/>
      <c r="L302" s="88"/>
    </row>
    <row r="303" spans="6:12" ht="12.5">
      <c r="F303" s="86"/>
      <c r="G303" s="86"/>
      <c r="H303" s="86"/>
      <c r="I303" s="65"/>
      <c r="J303" s="65"/>
      <c r="K303" s="87"/>
      <c r="L303" s="88"/>
    </row>
    <row r="304" spans="6:12" ht="12.5">
      <c r="F304" s="86"/>
      <c r="G304" s="86"/>
      <c r="H304" s="86"/>
      <c r="I304" s="65"/>
      <c r="J304" s="65"/>
      <c r="K304" s="87"/>
      <c r="L304" s="88"/>
    </row>
    <row r="305" spans="6:12" ht="12.5">
      <c r="F305" s="86"/>
      <c r="G305" s="86"/>
      <c r="H305" s="86"/>
      <c r="I305" s="65"/>
      <c r="J305" s="65"/>
      <c r="K305" s="87"/>
      <c r="L305" s="88"/>
    </row>
    <row r="306" spans="6:12" ht="12.5">
      <c r="F306" s="86"/>
      <c r="G306" s="86"/>
      <c r="H306" s="86"/>
      <c r="I306" s="65"/>
      <c r="J306" s="65"/>
      <c r="K306" s="87"/>
      <c r="L306" s="88"/>
    </row>
    <row r="307" spans="6:12" ht="12.5">
      <c r="F307" s="86"/>
      <c r="G307" s="86"/>
      <c r="H307" s="86"/>
      <c r="I307" s="65"/>
      <c r="J307" s="65"/>
      <c r="K307" s="87"/>
      <c r="L307" s="88"/>
    </row>
    <row r="308" spans="6:12" ht="12.5">
      <c r="F308" s="86"/>
      <c r="G308" s="86"/>
      <c r="H308" s="86"/>
      <c r="I308" s="65"/>
      <c r="J308" s="65"/>
      <c r="K308" s="87"/>
      <c r="L308" s="88"/>
    </row>
    <row r="309" spans="6:12" ht="12.5">
      <c r="F309" s="86"/>
      <c r="G309" s="86"/>
      <c r="H309" s="86"/>
      <c r="I309" s="65"/>
      <c r="J309" s="65"/>
      <c r="K309" s="87"/>
      <c r="L309" s="88"/>
    </row>
    <row r="310" spans="6:12" ht="12.5">
      <c r="F310" s="86"/>
      <c r="G310" s="86"/>
      <c r="H310" s="86"/>
      <c r="I310" s="65"/>
      <c r="J310" s="65"/>
      <c r="K310" s="87"/>
      <c r="L310" s="88"/>
    </row>
    <row r="311" spans="6:12" ht="12.5">
      <c r="F311" s="86"/>
      <c r="G311" s="86"/>
      <c r="H311" s="86"/>
      <c r="I311" s="65"/>
      <c r="J311" s="65"/>
      <c r="K311" s="87"/>
      <c r="L311" s="88"/>
    </row>
    <row r="312" spans="6:12" ht="12.5">
      <c r="F312" s="86"/>
      <c r="G312" s="86"/>
      <c r="H312" s="86"/>
      <c r="I312" s="65"/>
      <c r="J312" s="65"/>
      <c r="K312" s="87"/>
      <c r="L312" s="88"/>
    </row>
    <row r="313" spans="6:12" ht="12.5">
      <c r="F313" s="86"/>
      <c r="G313" s="86"/>
      <c r="H313" s="86"/>
      <c r="I313" s="65"/>
      <c r="J313" s="65"/>
      <c r="K313" s="87"/>
      <c r="L313" s="88"/>
    </row>
    <row r="314" spans="6:12" ht="12.5">
      <c r="F314" s="86"/>
      <c r="G314" s="86"/>
      <c r="H314" s="86"/>
      <c r="I314" s="65"/>
      <c r="J314" s="65"/>
      <c r="K314" s="87"/>
      <c r="L314" s="88"/>
    </row>
    <row r="315" spans="6:12" ht="12.5">
      <c r="F315" s="86"/>
      <c r="G315" s="86"/>
      <c r="H315" s="86"/>
      <c r="I315" s="65"/>
      <c r="J315" s="65"/>
      <c r="K315" s="87"/>
      <c r="L315" s="88"/>
    </row>
    <row r="316" spans="6:12" ht="12.5">
      <c r="F316" s="86"/>
      <c r="G316" s="86"/>
      <c r="H316" s="86"/>
      <c r="I316" s="65"/>
      <c r="J316" s="65"/>
      <c r="K316" s="87"/>
      <c r="L316" s="88"/>
    </row>
    <row r="317" spans="6:12" ht="12.5">
      <c r="F317" s="86"/>
      <c r="G317" s="86"/>
      <c r="H317" s="86"/>
      <c r="I317" s="65"/>
      <c r="J317" s="65"/>
      <c r="K317" s="87"/>
      <c r="L317" s="88"/>
    </row>
    <row r="318" spans="6:12" ht="12.5">
      <c r="F318" s="86"/>
      <c r="G318" s="86"/>
      <c r="H318" s="86"/>
      <c r="I318" s="65"/>
      <c r="J318" s="65"/>
      <c r="K318" s="87"/>
      <c r="L318" s="88"/>
    </row>
    <row r="319" spans="6:12" ht="12.5">
      <c r="F319" s="86"/>
      <c r="G319" s="86"/>
      <c r="H319" s="86"/>
      <c r="I319" s="65"/>
      <c r="J319" s="65"/>
      <c r="K319" s="87"/>
      <c r="L319" s="88"/>
    </row>
    <row r="320" spans="6:12" ht="12.5">
      <c r="F320" s="86"/>
      <c r="G320" s="86"/>
      <c r="H320" s="86"/>
      <c r="I320" s="65"/>
      <c r="J320" s="65"/>
      <c r="K320" s="87"/>
      <c r="L320" s="88"/>
    </row>
    <row r="321" spans="6:12" ht="12.5">
      <c r="F321" s="86"/>
      <c r="G321" s="86"/>
      <c r="H321" s="86"/>
      <c r="I321" s="65"/>
      <c r="J321" s="65"/>
      <c r="K321" s="87"/>
      <c r="L321" s="88"/>
    </row>
    <row r="322" spans="6:12" ht="12.5">
      <c r="F322" s="86"/>
      <c r="G322" s="86"/>
      <c r="H322" s="86"/>
      <c r="I322" s="65"/>
      <c r="J322" s="65"/>
      <c r="K322" s="87"/>
      <c r="L322" s="88"/>
    </row>
    <row r="323" spans="6:12" ht="12.5">
      <c r="F323" s="86"/>
      <c r="G323" s="86"/>
      <c r="H323" s="86"/>
      <c r="I323" s="65"/>
      <c r="J323" s="65"/>
      <c r="K323" s="87"/>
      <c r="L323" s="88"/>
    </row>
    <row r="324" spans="6:12" ht="12.5">
      <c r="F324" s="86"/>
      <c r="G324" s="86"/>
      <c r="H324" s="86"/>
      <c r="I324" s="65"/>
      <c r="J324" s="65"/>
      <c r="K324" s="87"/>
      <c r="L324" s="88"/>
    </row>
    <row r="325" spans="6:12" ht="12.5">
      <c r="F325" s="86"/>
      <c r="G325" s="86"/>
      <c r="H325" s="86"/>
      <c r="I325" s="65"/>
      <c r="J325" s="65"/>
      <c r="K325" s="87"/>
      <c r="L325" s="88"/>
    </row>
    <row r="326" spans="6:12" ht="12.5">
      <c r="F326" s="86"/>
      <c r="G326" s="86"/>
      <c r="H326" s="86"/>
      <c r="I326" s="65"/>
      <c r="J326" s="65"/>
      <c r="K326" s="87"/>
      <c r="L326" s="88"/>
    </row>
    <row r="327" spans="6:12" ht="12.5">
      <c r="F327" s="86"/>
      <c r="G327" s="86"/>
      <c r="H327" s="86"/>
      <c r="I327" s="65"/>
      <c r="J327" s="65"/>
      <c r="K327" s="87"/>
      <c r="L327" s="88"/>
    </row>
    <row r="328" spans="6:12" ht="12.5">
      <c r="F328" s="86"/>
      <c r="G328" s="86"/>
      <c r="H328" s="86"/>
      <c r="I328" s="65"/>
      <c r="J328" s="65"/>
      <c r="K328" s="87"/>
      <c r="L328" s="88"/>
    </row>
    <row r="329" spans="6:12" ht="12.5">
      <c r="F329" s="86"/>
      <c r="G329" s="86"/>
      <c r="H329" s="86"/>
      <c r="I329" s="65"/>
      <c r="J329" s="65"/>
      <c r="K329" s="87"/>
      <c r="L329" s="88"/>
    </row>
    <row r="330" spans="6:12" ht="12.5">
      <c r="F330" s="86"/>
      <c r="G330" s="86"/>
      <c r="H330" s="86"/>
      <c r="I330" s="65"/>
      <c r="J330" s="65"/>
      <c r="K330" s="87"/>
      <c r="L330" s="88"/>
    </row>
    <row r="331" spans="6:12" ht="12.5">
      <c r="F331" s="86"/>
      <c r="G331" s="86"/>
      <c r="H331" s="86"/>
      <c r="I331" s="65"/>
      <c r="J331" s="65"/>
      <c r="K331" s="87"/>
      <c r="L331" s="88"/>
    </row>
    <row r="332" spans="6:12" ht="12.5">
      <c r="F332" s="86"/>
      <c r="G332" s="86"/>
      <c r="H332" s="86"/>
      <c r="I332" s="65"/>
      <c r="J332" s="65"/>
      <c r="K332" s="87"/>
      <c r="L332" s="88"/>
    </row>
    <row r="333" spans="6:12" ht="12.5">
      <c r="F333" s="86"/>
      <c r="G333" s="86"/>
      <c r="H333" s="86"/>
      <c r="I333" s="65"/>
      <c r="J333" s="65"/>
      <c r="K333" s="87"/>
      <c r="L333" s="88"/>
    </row>
    <row r="334" spans="6:12" ht="12.5">
      <c r="F334" s="86"/>
      <c r="G334" s="86"/>
      <c r="H334" s="86"/>
      <c r="I334" s="65"/>
      <c r="J334" s="65"/>
      <c r="K334" s="87"/>
      <c r="L334" s="88"/>
    </row>
    <row r="335" spans="6:12" ht="12.5">
      <c r="F335" s="86"/>
      <c r="G335" s="86"/>
      <c r="H335" s="86"/>
      <c r="I335" s="65"/>
      <c r="J335" s="65"/>
      <c r="K335" s="87"/>
      <c r="L335" s="88"/>
    </row>
    <row r="336" spans="6:12" ht="12.5">
      <c r="F336" s="86"/>
      <c r="G336" s="86"/>
      <c r="H336" s="86"/>
      <c r="I336" s="65"/>
      <c r="J336" s="65"/>
      <c r="K336" s="87"/>
      <c r="L336" s="88"/>
    </row>
    <row r="337" spans="6:12" ht="12.5">
      <c r="F337" s="86"/>
      <c r="G337" s="86"/>
      <c r="H337" s="86"/>
      <c r="I337" s="65"/>
      <c r="J337" s="65"/>
      <c r="K337" s="87"/>
      <c r="L337" s="88"/>
    </row>
    <row r="338" spans="6:12" ht="12.5">
      <c r="F338" s="86"/>
      <c r="G338" s="86"/>
      <c r="H338" s="86"/>
      <c r="I338" s="65"/>
      <c r="J338" s="65"/>
      <c r="K338" s="87"/>
      <c r="L338" s="88"/>
    </row>
    <row r="339" spans="6:12" ht="12.5">
      <c r="F339" s="86"/>
      <c r="G339" s="86"/>
      <c r="H339" s="86"/>
      <c r="I339" s="65"/>
      <c r="J339" s="65"/>
      <c r="K339" s="87"/>
      <c r="L339" s="88"/>
    </row>
    <row r="340" spans="6:12" ht="12.5">
      <c r="F340" s="86"/>
      <c r="G340" s="86"/>
      <c r="H340" s="86"/>
      <c r="I340" s="65"/>
      <c r="J340" s="65"/>
      <c r="K340" s="87"/>
      <c r="L340" s="88"/>
    </row>
    <row r="341" spans="6:12" ht="12.5">
      <c r="F341" s="86"/>
      <c r="G341" s="86"/>
      <c r="H341" s="86"/>
      <c r="I341" s="65"/>
      <c r="J341" s="65"/>
      <c r="K341" s="87"/>
      <c r="L341" s="88"/>
    </row>
    <row r="342" spans="6:12" ht="12.5">
      <c r="F342" s="86"/>
      <c r="G342" s="86"/>
      <c r="H342" s="86"/>
      <c r="I342" s="65"/>
      <c r="J342" s="65"/>
      <c r="K342" s="87"/>
      <c r="L342" s="88"/>
    </row>
    <row r="343" spans="6:12" ht="12.5">
      <c r="F343" s="86"/>
      <c r="G343" s="86"/>
      <c r="H343" s="86"/>
      <c r="I343" s="65"/>
      <c r="J343" s="65"/>
      <c r="K343" s="87"/>
      <c r="L343" s="88"/>
    </row>
    <row r="344" spans="6:12" ht="12.5">
      <c r="F344" s="86"/>
      <c r="G344" s="86"/>
      <c r="H344" s="86"/>
      <c r="I344" s="65"/>
      <c r="J344" s="65"/>
      <c r="K344" s="87"/>
      <c r="L344" s="88"/>
    </row>
    <row r="345" spans="6:12" ht="12.5">
      <c r="F345" s="86"/>
      <c r="G345" s="86"/>
      <c r="H345" s="86"/>
      <c r="I345" s="65"/>
      <c r="J345" s="65"/>
      <c r="K345" s="87"/>
      <c r="L345" s="88"/>
    </row>
    <row r="346" spans="6:12" ht="12.5">
      <c r="F346" s="86"/>
      <c r="G346" s="86"/>
      <c r="H346" s="86"/>
      <c r="I346" s="65"/>
      <c r="J346" s="65"/>
      <c r="K346" s="87"/>
      <c r="L346" s="88"/>
    </row>
    <row r="347" spans="6:12" ht="12.5">
      <c r="F347" s="86"/>
      <c r="G347" s="86"/>
      <c r="H347" s="86"/>
      <c r="I347" s="65"/>
      <c r="J347" s="65"/>
      <c r="K347" s="87"/>
      <c r="L347" s="88"/>
    </row>
    <row r="348" spans="6:12" ht="12.5">
      <c r="F348" s="86"/>
      <c r="G348" s="86"/>
      <c r="H348" s="86"/>
      <c r="I348" s="65"/>
      <c r="J348" s="65"/>
      <c r="K348" s="87"/>
      <c r="L348" s="88"/>
    </row>
    <row r="349" spans="6:12" ht="12.5">
      <c r="F349" s="86"/>
      <c r="G349" s="86"/>
      <c r="H349" s="86"/>
      <c r="I349" s="65"/>
      <c r="J349" s="65"/>
      <c r="K349" s="87"/>
      <c r="L349" s="88"/>
    </row>
    <row r="350" spans="6:12" ht="12.5">
      <c r="F350" s="86"/>
      <c r="G350" s="86"/>
      <c r="H350" s="86"/>
      <c r="I350" s="65"/>
      <c r="J350" s="65"/>
      <c r="K350" s="87"/>
      <c r="L350" s="88"/>
    </row>
    <row r="351" spans="6:12" ht="12.5">
      <c r="F351" s="86"/>
      <c r="G351" s="86"/>
      <c r="H351" s="86"/>
      <c r="I351" s="65"/>
      <c r="J351" s="65"/>
      <c r="K351" s="87"/>
      <c r="L351" s="88"/>
    </row>
    <row r="352" spans="6:12" ht="12.5">
      <c r="F352" s="86"/>
      <c r="G352" s="86"/>
      <c r="H352" s="86"/>
      <c r="I352" s="65"/>
      <c r="J352" s="65"/>
      <c r="K352" s="87"/>
      <c r="L352" s="88"/>
    </row>
    <row r="353" spans="6:12" ht="12.5">
      <c r="F353" s="86"/>
      <c r="G353" s="86"/>
      <c r="H353" s="86"/>
      <c r="I353" s="65"/>
      <c r="J353" s="65"/>
      <c r="K353" s="87"/>
      <c r="L353" s="88"/>
    </row>
    <row r="354" spans="6:12" ht="12.5">
      <c r="F354" s="86"/>
      <c r="G354" s="86"/>
      <c r="H354" s="86"/>
      <c r="I354" s="65"/>
      <c r="J354" s="65"/>
      <c r="K354" s="87"/>
      <c r="L354" s="88"/>
    </row>
    <row r="355" spans="6:12" ht="12.5">
      <c r="F355" s="86"/>
      <c r="G355" s="86"/>
      <c r="H355" s="86"/>
      <c r="I355" s="65"/>
      <c r="J355" s="65"/>
      <c r="K355" s="87"/>
      <c r="L355" s="88"/>
    </row>
    <row r="356" spans="6:12" ht="12.5">
      <c r="F356" s="86"/>
      <c r="G356" s="86"/>
      <c r="H356" s="86"/>
      <c r="I356" s="65"/>
      <c r="J356" s="65"/>
      <c r="K356" s="87"/>
      <c r="L356" s="88"/>
    </row>
    <row r="357" spans="6:12" ht="12.5">
      <c r="F357" s="86"/>
      <c r="G357" s="86"/>
      <c r="H357" s="86"/>
      <c r="I357" s="65"/>
      <c r="J357" s="65"/>
      <c r="K357" s="87"/>
      <c r="L357" s="88"/>
    </row>
    <row r="358" spans="6:12" ht="12.5">
      <c r="F358" s="86"/>
      <c r="G358" s="86"/>
      <c r="H358" s="86"/>
      <c r="I358" s="65"/>
      <c r="J358" s="65"/>
      <c r="K358" s="87"/>
      <c r="L358" s="88"/>
    </row>
    <row r="359" spans="6:12" ht="12.5">
      <c r="F359" s="86"/>
      <c r="G359" s="86"/>
      <c r="H359" s="86"/>
      <c r="I359" s="65"/>
      <c r="J359" s="65"/>
      <c r="K359" s="87"/>
      <c r="L359" s="88"/>
    </row>
    <row r="360" spans="6:12" ht="12.5">
      <c r="F360" s="86"/>
      <c r="G360" s="86"/>
      <c r="H360" s="86"/>
      <c r="I360" s="65"/>
      <c r="J360" s="65"/>
      <c r="K360" s="87"/>
      <c r="L360" s="88"/>
    </row>
    <row r="361" spans="6:12" ht="12.5">
      <c r="F361" s="86"/>
      <c r="G361" s="86"/>
      <c r="H361" s="86"/>
      <c r="I361" s="65"/>
      <c r="J361" s="65"/>
      <c r="K361" s="87"/>
      <c r="L361" s="88"/>
    </row>
    <row r="362" spans="6:12" ht="12.5">
      <c r="F362" s="86"/>
      <c r="G362" s="86"/>
      <c r="H362" s="86"/>
      <c r="I362" s="65"/>
      <c r="J362" s="65"/>
      <c r="K362" s="87"/>
      <c r="L362" s="88"/>
    </row>
    <row r="363" spans="6:12" ht="12.5">
      <c r="F363" s="86"/>
      <c r="G363" s="86"/>
      <c r="H363" s="86"/>
      <c r="I363" s="65"/>
      <c r="J363" s="65"/>
      <c r="K363" s="87"/>
      <c r="L363" s="88"/>
    </row>
    <row r="364" spans="6:12" ht="12.5">
      <c r="F364" s="86"/>
      <c r="G364" s="86"/>
      <c r="H364" s="86"/>
      <c r="I364" s="65"/>
      <c r="J364" s="65"/>
      <c r="K364" s="87"/>
      <c r="L364" s="88"/>
    </row>
    <row r="365" spans="6:12" ht="12.5">
      <c r="F365" s="86"/>
      <c r="G365" s="86"/>
      <c r="H365" s="86"/>
      <c r="I365" s="65"/>
      <c r="J365" s="65"/>
      <c r="K365" s="87"/>
      <c r="L365" s="88"/>
    </row>
    <row r="366" spans="6:12" ht="12.5">
      <c r="F366" s="86"/>
      <c r="G366" s="86"/>
      <c r="H366" s="86"/>
      <c r="I366" s="65"/>
      <c r="J366" s="65"/>
      <c r="K366" s="87"/>
      <c r="L366" s="88"/>
    </row>
    <row r="367" spans="6:12" ht="12.5">
      <c r="F367" s="86"/>
      <c r="G367" s="86"/>
      <c r="H367" s="86"/>
      <c r="I367" s="65"/>
      <c r="J367" s="65"/>
      <c r="K367" s="87"/>
      <c r="L367" s="88"/>
    </row>
    <row r="368" spans="6:12" ht="12.5">
      <c r="F368" s="86"/>
      <c r="G368" s="86"/>
      <c r="H368" s="86"/>
      <c r="I368" s="65"/>
      <c r="J368" s="65"/>
      <c r="K368" s="87"/>
      <c r="L368" s="88"/>
    </row>
    <row r="369" spans="6:12" ht="12.5">
      <c r="F369" s="86"/>
      <c r="G369" s="86"/>
      <c r="H369" s="86"/>
      <c r="I369" s="65"/>
      <c r="J369" s="65"/>
      <c r="K369" s="87"/>
      <c r="L369" s="88"/>
    </row>
    <row r="370" spans="6:12" ht="12.5">
      <c r="F370" s="86"/>
      <c r="G370" s="86"/>
      <c r="H370" s="86"/>
      <c r="I370" s="65"/>
      <c r="J370" s="65"/>
      <c r="K370" s="87"/>
      <c r="L370" s="88"/>
    </row>
    <row r="371" spans="6:12" ht="12.5">
      <c r="F371" s="86"/>
      <c r="G371" s="86"/>
      <c r="H371" s="86"/>
      <c r="I371" s="65"/>
      <c r="J371" s="65"/>
      <c r="K371" s="87"/>
      <c r="L371" s="88"/>
    </row>
    <row r="372" spans="6:12" ht="12.5">
      <c r="F372" s="86"/>
      <c r="G372" s="86"/>
      <c r="H372" s="86"/>
      <c r="I372" s="65"/>
      <c r="J372" s="65"/>
      <c r="K372" s="87"/>
      <c r="L372" s="88"/>
    </row>
    <row r="373" spans="6:12" ht="12.5">
      <c r="F373" s="86"/>
      <c r="G373" s="86"/>
      <c r="H373" s="86"/>
      <c r="I373" s="65"/>
      <c r="J373" s="65"/>
      <c r="K373" s="87"/>
      <c r="L373" s="88"/>
    </row>
    <row r="374" spans="6:12" ht="12.5">
      <c r="F374" s="86"/>
      <c r="G374" s="86"/>
      <c r="H374" s="86"/>
      <c r="I374" s="65"/>
      <c r="J374" s="65"/>
      <c r="K374" s="87"/>
      <c r="L374" s="88"/>
    </row>
    <row r="375" spans="6:12" ht="12.5">
      <c r="F375" s="86"/>
      <c r="G375" s="86"/>
      <c r="H375" s="86"/>
      <c r="I375" s="65"/>
      <c r="J375" s="65"/>
      <c r="K375" s="87"/>
      <c r="L375" s="88"/>
    </row>
    <row r="376" spans="6:12" ht="12.5">
      <c r="F376" s="86"/>
      <c r="G376" s="86"/>
      <c r="H376" s="86"/>
      <c r="I376" s="65"/>
      <c r="J376" s="65"/>
      <c r="K376" s="87"/>
      <c r="L376" s="88"/>
    </row>
    <row r="377" spans="6:12" ht="12.5">
      <c r="F377" s="86"/>
      <c r="G377" s="86"/>
      <c r="H377" s="86"/>
      <c r="I377" s="65"/>
      <c r="J377" s="65"/>
      <c r="K377" s="87"/>
      <c r="L377" s="88"/>
    </row>
    <row r="378" spans="6:12" ht="12.5">
      <c r="F378" s="86"/>
      <c r="G378" s="86"/>
      <c r="H378" s="86"/>
      <c r="I378" s="65"/>
      <c r="J378" s="65"/>
      <c r="K378" s="87"/>
      <c r="L378" s="88"/>
    </row>
    <row r="379" spans="6:12" ht="12.5">
      <c r="F379" s="86"/>
      <c r="G379" s="86"/>
      <c r="H379" s="86"/>
      <c r="I379" s="65"/>
      <c r="J379" s="65"/>
      <c r="K379" s="87"/>
      <c r="L379" s="88"/>
    </row>
    <row r="380" spans="6:12" ht="12.5">
      <c r="F380" s="86"/>
      <c r="G380" s="86"/>
      <c r="H380" s="86"/>
      <c r="I380" s="65"/>
      <c r="J380" s="65"/>
      <c r="K380" s="87"/>
      <c r="L380" s="88"/>
    </row>
    <row r="381" spans="6:12" ht="12.5">
      <c r="F381" s="86"/>
      <c r="G381" s="86"/>
      <c r="H381" s="86"/>
      <c r="I381" s="65"/>
      <c r="J381" s="65"/>
      <c r="K381" s="87"/>
      <c r="L381" s="88"/>
    </row>
    <row r="382" spans="6:12" ht="12.5">
      <c r="F382" s="86"/>
      <c r="G382" s="86"/>
      <c r="H382" s="86"/>
      <c r="I382" s="65"/>
      <c r="J382" s="65"/>
      <c r="K382" s="87"/>
      <c r="L382" s="88"/>
    </row>
    <row r="383" spans="6:12" ht="12.5">
      <c r="F383" s="86"/>
      <c r="G383" s="86"/>
      <c r="H383" s="86"/>
      <c r="I383" s="65"/>
      <c r="J383" s="65"/>
      <c r="K383" s="87"/>
      <c r="L383" s="88"/>
    </row>
    <row r="384" spans="6:12" ht="12.5">
      <c r="F384" s="86"/>
      <c r="G384" s="86"/>
      <c r="H384" s="86"/>
      <c r="I384" s="65"/>
      <c r="J384" s="65"/>
      <c r="K384" s="87"/>
      <c r="L384" s="88"/>
    </row>
    <row r="385" spans="6:12" ht="12.5">
      <c r="F385" s="86"/>
      <c r="G385" s="86"/>
      <c r="H385" s="86"/>
      <c r="I385" s="65"/>
      <c r="J385" s="65"/>
      <c r="K385" s="87"/>
      <c r="L385" s="88"/>
    </row>
    <row r="386" spans="6:12" ht="12.5">
      <c r="F386" s="86"/>
      <c r="G386" s="86"/>
      <c r="H386" s="86"/>
      <c r="I386" s="65"/>
      <c r="J386" s="65"/>
      <c r="K386" s="87"/>
      <c r="L386" s="88"/>
    </row>
    <row r="387" spans="6:12" ht="12.5">
      <c r="F387" s="86"/>
      <c r="G387" s="86"/>
      <c r="H387" s="86"/>
      <c r="I387" s="65"/>
      <c r="J387" s="65"/>
      <c r="K387" s="87"/>
      <c r="L387" s="88"/>
    </row>
    <row r="388" spans="6:12" ht="12.5">
      <c r="F388" s="86"/>
      <c r="G388" s="86"/>
      <c r="H388" s="86"/>
      <c r="I388" s="65"/>
      <c r="J388" s="65"/>
      <c r="K388" s="87"/>
      <c r="L388" s="88"/>
    </row>
    <row r="389" spans="6:12" ht="12.5">
      <c r="F389" s="86"/>
      <c r="G389" s="86"/>
      <c r="H389" s="86"/>
      <c r="I389" s="65"/>
      <c r="J389" s="65"/>
      <c r="K389" s="87"/>
      <c r="L389" s="88"/>
    </row>
    <row r="390" spans="6:12" ht="12.5">
      <c r="F390" s="86"/>
      <c r="G390" s="86"/>
      <c r="H390" s="86"/>
      <c r="I390" s="65"/>
      <c r="J390" s="65"/>
      <c r="K390" s="87"/>
      <c r="L390" s="88"/>
    </row>
    <row r="391" spans="6:12" ht="12.5">
      <c r="F391" s="86"/>
      <c r="G391" s="86"/>
      <c r="H391" s="86"/>
      <c r="I391" s="65"/>
      <c r="J391" s="65"/>
      <c r="K391" s="87"/>
      <c r="L391" s="88"/>
    </row>
    <row r="392" spans="6:12" ht="12.5">
      <c r="F392" s="86"/>
      <c r="G392" s="86"/>
      <c r="H392" s="86"/>
      <c r="I392" s="65"/>
      <c r="J392" s="65"/>
      <c r="K392" s="87"/>
      <c r="L392" s="88"/>
    </row>
    <row r="393" spans="6:12" ht="12.5">
      <c r="F393" s="86"/>
      <c r="G393" s="86"/>
      <c r="H393" s="86"/>
      <c r="I393" s="65"/>
      <c r="J393" s="65"/>
      <c r="K393" s="87"/>
      <c r="L393" s="88"/>
    </row>
    <row r="394" spans="6:12" ht="12.5">
      <c r="F394" s="86"/>
      <c r="G394" s="86"/>
      <c r="H394" s="86"/>
      <c r="I394" s="65"/>
      <c r="J394" s="65"/>
      <c r="K394" s="87"/>
      <c r="L394" s="88"/>
    </row>
    <row r="395" spans="6:12" ht="12.5">
      <c r="F395" s="86"/>
      <c r="G395" s="86"/>
      <c r="H395" s="86"/>
      <c r="I395" s="65"/>
      <c r="J395" s="65"/>
      <c r="K395" s="87"/>
      <c r="L395" s="88"/>
    </row>
    <row r="396" spans="6:12" ht="12.5">
      <c r="F396" s="86"/>
      <c r="G396" s="86"/>
      <c r="H396" s="86"/>
      <c r="I396" s="65"/>
      <c r="J396" s="65"/>
      <c r="K396" s="87"/>
      <c r="L396" s="88"/>
    </row>
    <row r="397" spans="6:12" ht="12.5">
      <c r="F397" s="86"/>
      <c r="G397" s="86"/>
      <c r="H397" s="86"/>
      <c r="I397" s="65"/>
      <c r="J397" s="65"/>
      <c r="K397" s="87"/>
      <c r="L397" s="88"/>
    </row>
    <row r="398" spans="6:12" ht="12.5">
      <c r="F398" s="86"/>
      <c r="G398" s="86"/>
      <c r="H398" s="86"/>
      <c r="I398" s="65"/>
      <c r="J398" s="65"/>
      <c r="K398" s="87"/>
      <c r="L398" s="88"/>
    </row>
    <row r="399" spans="6:12" ht="12.5">
      <c r="F399" s="86"/>
      <c r="G399" s="86"/>
      <c r="H399" s="86"/>
      <c r="I399" s="65"/>
      <c r="J399" s="65"/>
      <c r="K399" s="87"/>
      <c r="L399" s="88"/>
    </row>
    <row r="400" spans="6:12" ht="12.5">
      <c r="F400" s="86"/>
      <c r="G400" s="86"/>
      <c r="H400" s="86"/>
      <c r="I400" s="65"/>
      <c r="J400" s="65"/>
      <c r="K400" s="87"/>
      <c r="L400" s="88"/>
    </row>
    <row r="401" spans="6:12" ht="12.5">
      <c r="F401" s="86"/>
      <c r="G401" s="86"/>
      <c r="H401" s="86"/>
      <c r="I401" s="65"/>
      <c r="J401" s="65"/>
      <c r="K401" s="87"/>
      <c r="L401" s="88"/>
    </row>
    <row r="402" spans="6:12" ht="12.5">
      <c r="F402" s="86"/>
      <c r="G402" s="86"/>
      <c r="H402" s="86"/>
      <c r="I402" s="65"/>
      <c r="J402" s="65"/>
      <c r="K402" s="87"/>
      <c r="L402" s="88"/>
    </row>
    <row r="403" spans="6:12" ht="12.5">
      <c r="F403" s="86"/>
      <c r="G403" s="86"/>
      <c r="H403" s="86"/>
      <c r="I403" s="65"/>
      <c r="J403" s="65"/>
      <c r="K403" s="87"/>
      <c r="L403" s="88"/>
    </row>
    <row r="404" spans="6:12" ht="12.5">
      <c r="F404" s="86"/>
      <c r="G404" s="86"/>
      <c r="H404" s="86"/>
      <c r="I404" s="65"/>
      <c r="J404" s="65"/>
      <c r="K404" s="87"/>
      <c r="L404" s="88"/>
    </row>
    <row r="405" spans="6:12" ht="12.5">
      <c r="F405" s="86"/>
      <c r="G405" s="86"/>
      <c r="H405" s="86"/>
      <c r="I405" s="65"/>
      <c r="J405" s="65"/>
      <c r="K405" s="87"/>
      <c r="L405" s="88"/>
    </row>
    <row r="406" spans="6:12" ht="12.5">
      <c r="F406" s="86"/>
      <c r="G406" s="86"/>
      <c r="H406" s="86"/>
      <c r="I406" s="65"/>
      <c r="J406" s="65"/>
      <c r="K406" s="87"/>
      <c r="L406" s="88"/>
    </row>
    <row r="407" spans="6:12" ht="12.5">
      <c r="F407" s="86"/>
      <c r="G407" s="86"/>
      <c r="H407" s="86"/>
      <c r="I407" s="65"/>
      <c r="J407" s="65"/>
      <c r="K407" s="87"/>
      <c r="L407" s="88"/>
    </row>
    <row r="408" spans="6:12" ht="12.5">
      <c r="F408" s="86"/>
      <c r="G408" s="86"/>
      <c r="H408" s="86"/>
      <c r="I408" s="65"/>
      <c r="J408" s="65"/>
      <c r="K408" s="87"/>
      <c r="L408" s="88"/>
    </row>
    <row r="409" spans="6:12" ht="12.5">
      <c r="F409" s="86"/>
      <c r="G409" s="86"/>
      <c r="H409" s="86"/>
      <c r="I409" s="65"/>
      <c r="J409" s="65"/>
      <c r="K409" s="87"/>
      <c r="L409" s="88"/>
    </row>
    <row r="410" spans="6:12" ht="12.5">
      <c r="F410" s="86"/>
      <c r="G410" s="86"/>
      <c r="H410" s="86"/>
      <c r="I410" s="65"/>
      <c r="J410" s="65"/>
      <c r="K410" s="87"/>
      <c r="L410" s="88"/>
    </row>
    <row r="411" spans="6:12" ht="12.5">
      <c r="F411" s="86"/>
      <c r="G411" s="86"/>
      <c r="H411" s="86"/>
      <c r="I411" s="65"/>
      <c r="J411" s="65"/>
      <c r="K411" s="87"/>
      <c r="L411" s="88"/>
    </row>
    <row r="412" spans="6:12" ht="12.5">
      <c r="F412" s="86"/>
      <c r="G412" s="86"/>
      <c r="H412" s="86"/>
      <c r="I412" s="65"/>
      <c r="J412" s="65"/>
      <c r="K412" s="87"/>
      <c r="L412" s="88"/>
    </row>
    <row r="413" spans="6:12" ht="12.5">
      <c r="F413" s="86"/>
      <c r="G413" s="86"/>
      <c r="H413" s="86"/>
      <c r="I413" s="65"/>
      <c r="J413" s="65"/>
      <c r="K413" s="87"/>
      <c r="L413" s="88"/>
    </row>
    <row r="414" spans="6:12" ht="12.5">
      <c r="F414" s="86"/>
      <c r="G414" s="86"/>
      <c r="H414" s="86"/>
      <c r="I414" s="65"/>
      <c r="J414" s="65"/>
      <c r="K414" s="87"/>
      <c r="L414" s="88"/>
    </row>
    <row r="415" spans="6:12" ht="12.5">
      <c r="F415" s="86"/>
      <c r="G415" s="86"/>
      <c r="H415" s="86"/>
      <c r="I415" s="65"/>
      <c r="J415" s="65"/>
      <c r="K415" s="87"/>
      <c r="L415" s="88"/>
    </row>
    <row r="416" spans="6:12" ht="12.5">
      <c r="F416" s="86"/>
      <c r="G416" s="86"/>
      <c r="H416" s="86"/>
      <c r="I416" s="65"/>
      <c r="J416" s="65"/>
      <c r="K416" s="87"/>
      <c r="L416" s="88"/>
    </row>
    <row r="417" spans="6:12" ht="12.5">
      <c r="F417" s="86"/>
      <c r="G417" s="86"/>
      <c r="H417" s="86"/>
      <c r="I417" s="65"/>
      <c r="J417" s="65"/>
      <c r="K417" s="87"/>
      <c r="L417" s="88"/>
    </row>
    <row r="418" spans="6:12" ht="12.5">
      <c r="F418" s="86"/>
      <c r="G418" s="86"/>
      <c r="H418" s="86"/>
      <c r="I418" s="65"/>
      <c r="J418" s="65"/>
      <c r="K418" s="87"/>
      <c r="L418" s="88"/>
    </row>
    <row r="419" spans="6:12" ht="12.5">
      <c r="F419" s="86"/>
      <c r="G419" s="86"/>
      <c r="H419" s="86"/>
      <c r="I419" s="65"/>
      <c r="J419" s="65"/>
      <c r="K419" s="87"/>
      <c r="L419" s="88"/>
    </row>
    <row r="420" spans="6:12" ht="12.5">
      <c r="F420" s="86"/>
      <c r="G420" s="86"/>
      <c r="H420" s="86"/>
      <c r="I420" s="65"/>
      <c r="J420" s="65"/>
      <c r="K420" s="87"/>
      <c r="L420" s="88"/>
    </row>
    <row r="421" spans="6:12" ht="12.5">
      <c r="F421" s="86"/>
      <c r="G421" s="86"/>
      <c r="H421" s="86"/>
      <c r="I421" s="65"/>
      <c r="J421" s="65"/>
      <c r="K421" s="87"/>
      <c r="L421" s="88"/>
    </row>
    <row r="422" spans="6:12" ht="12.5">
      <c r="F422" s="86"/>
      <c r="G422" s="86"/>
      <c r="H422" s="86"/>
      <c r="I422" s="65"/>
      <c r="J422" s="65"/>
      <c r="K422" s="87"/>
      <c r="L422" s="88"/>
    </row>
    <row r="423" spans="6:12" ht="12.5">
      <c r="F423" s="86"/>
      <c r="G423" s="86"/>
      <c r="H423" s="86"/>
      <c r="I423" s="65"/>
      <c r="J423" s="65"/>
      <c r="K423" s="87"/>
      <c r="L423" s="88"/>
    </row>
    <row r="424" spans="6:12" ht="12.5">
      <c r="F424" s="86"/>
      <c r="G424" s="86"/>
      <c r="H424" s="86"/>
      <c r="I424" s="65"/>
      <c r="J424" s="65"/>
      <c r="K424" s="87"/>
      <c r="L424" s="88"/>
    </row>
    <row r="425" spans="6:12" ht="12.5">
      <c r="F425" s="86"/>
      <c r="G425" s="86"/>
      <c r="H425" s="86"/>
      <c r="I425" s="65"/>
      <c r="J425" s="65"/>
      <c r="K425" s="87"/>
      <c r="L425" s="88"/>
    </row>
    <row r="426" spans="6:12" ht="12.5">
      <c r="F426" s="86"/>
      <c r="G426" s="86"/>
      <c r="H426" s="86"/>
      <c r="I426" s="65"/>
      <c r="J426" s="65"/>
      <c r="K426" s="87"/>
      <c r="L426" s="88"/>
    </row>
    <row r="427" spans="6:12" ht="12.5">
      <c r="F427" s="86"/>
      <c r="G427" s="86"/>
      <c r="H427" s="86"/>
      <c r="I427" s="65"/>
      <c r="J427" s="65"/>
      <c r="K427" s="87"/>
      <c r="L427" s="88"/>
    </row>
    <row r="428" spans="6:12" ht="12.5">
      <c r="F428" s="86"/>
      <c r="G428" s="86"/>
      <c r="H428" s="86"/>
      <c r="I428" s="65"/>
      <c r="J428" s="65"/>
      <c r="K428" s="87"/>
      <c r="L428" s="88"/>
    </row>
    <row r="429" spans="6:12" ht="12.5">
      <c r="F429" s="86"/>
      <c r="G429" s="86"/>
      <c r="H429" s="86"/>
      <c r="I429" s="65"/>
      <c r="J429" s="65"/>
      <c r="K429" s="87"/>
      <c r="L429" s="88"/>
    </row>
    <row r="430" spans="6:12" ht="12.5">
      <c r="F430" s="86"/>
      <c r="G430" s="86"/>
      <c r="H430" s="86"/>
      <c r="I430" s="65"/>
      <c r="J430" s="65"/>
      <c r="K430" s="87"/>
      <c r="L430" s="88"/>
    </row>
    <row r="431" spans="6:12" ht="12.5">
      <c r="F431" s="86"/>
      <c r="G431" s="86"/>
      <c r="H431" s="86"/>
      <c r="I431" s="65"/>
      <c r="J431" s="65"/>
      <c r="K431" s="87"/>
      <c r="L431" s="88"/>
    </row>
    <row r="432" spans="6:12" ht="12.5">
      <c r="F432" s="86"/>
      <c r="G432" s="86"/>
      <c r="H432" s="86"/>
      <c r="I432" s="65"/>
      <c r="J432" s="65"/>
      <c r="K432" s="87"/>
      <c r="L432" s="88"/>
    </row>
    <row r="433" spans="6:12" ht="12.5">
      <c r="F433" s="86"/>
      <c r="G433" s="86"/>
      <c r="H433" s="86"/>
      <c r="I433" s="65"/>
      <c r="J433" s="65"/>
      <c r="K433" s="87"/>
      <c r="L433" s="88"/>
    </row>
    <row r="434" spans="6:12" ht="12.5">
      <c r="F434" s="86"/>
      <c r="G434" s="86"/>
      <c r="H434" s="86"/>
      <c r="I434" s="65"/>
      <c r="J434" s="65"/>
      <c r="K434" s="87"/>
      <c r="L434" s="88"/>
    </row>
    <row r="435" spans="6:12" ht="12.5">
      <c r="F435" s="86"/>
      <c r="G435" s="86"/>
      <c r="H435" s="86"/>
      <c r="I435" s="65"/>
      <c r="J435" s="65"/>
      <c r="K435" s="87"/>
      <c r="L435" s="88"/>
    </row>
    <row r="436" spans="6:12" ht="12.5">
      <c r="F436" s="86"/>
      <c r="G436" s="86"/>
      <c r="H436" s="86"/>
      <c r="I436" s="65"/>
      <c r="J436" s="65"/>
      <c r="K436" s="87"/>
      <c r="L436" s="88"/>
    </row>
    <row r="437" spans="6:12" ht="12.5">
      <c r="F437" s="86"/>
      <c r="G437" s="86"/>
      <c r="H437" s="86"/>
      <c r="I437" s="65"/>
      <c r="J437" s="65"/>
      <c r="K437" s="87"/>
      <c r="L437" s="88"/>
    </row>
    <row r="438" spans="6:12" ht="12.5">
      <c r="F438" s="86"/>
      <c r="G438" s="86"/>
      <c r="H438" s="86"/>
      <c r="I438" s="65"/>
      <c r="J438" s="65"/>
      <c r="K438" s="87"/>
      <c r="L438" s="88"/>
    </row>
    <row r="439" spans="6:12" ht="12.5">
      <c r="F439" s="86"/>
      <c r="G439" s="86"/>
      <c r="H439" s="86"/>
      <c r="I439" s="65"/>
      <c r="J439" s="65"/>
      <c r="K439" s="87"/>
      <c r="L439" s="88"/>
    </row>
    <row r="440" spans="6:12" ht="12.5">
      <c r="F440" s="86"/>
      <c r="G440" s="86"/>
      <c r="H440" s="86"/>
      <c r="I440" s="65"/>
      <c r="J440" s="65"/>
      <c r="K440" s="87"/>
      <c r="L440" s="88"/>
    </row>
    <row r="441" spans="6:12" ht="12.5">
      <c r="F441" s="86"/>
      <c r="G441" s="86"/>
      <c r="H441" s="86"/>
      <c r="I441" s="65"/>
      <c r="J441" s="65"/>
      <c r="K441" s="87"/>
      <c r="L441" s="88"/>
    </row>
    <row r="442" spans="6:12" ht="12.5">
      <c r="F442" s="86"/>
      <c r="G442" s="86"/>
      <c r="H442" s="86"/>
      <c r="I442" s="65"/>
      <c r="J442" s="65"/>
      <c r="K442" s="87"/>
      <c r="L442" s="88"/>
    </row>
    <row r="443" spans="6:12" ht="12.5">
      <c r="F443" s="86"/>
      <c r="G443" s="86"/>
      <c r="H443" s="86"/>
      <c r="I443" s="65"/>
      <c r="J443" s="65"/>
      <c r="K443" s="87"/>
      <c r="L443" s="88"/>
    </row>
    <row r="444" spans="6:12" ht="12.5">
      <c r="F444" s="86"/>
      <c r="G444" s="86"/>
      <c r="H444" s="86"/>
      <c r="I444" s="65"/>
      <c r="J444" s="65"/>
      <c r="K444" s="87"/>
      <c r="L444" s="88"/>
    </row>
    <row r="445" spans="6:12" ht="12.5">
      <c r="F445" s="86"/>
      <c r="G445" s="86"/>
      <c r="H445" s="86"/>
      <c r="I445" s="65"/>
      <c r="J445" s="65"/>
      <c r="K445" s="87"/>
      <c r="L445" s="88"/>
    </row>
    <row r="446" spans="6:12" ht="12.5">
      <c r="F446" s="86"/>
      <c r="G446" s="86"/>
      <c r="H446" s="86"/>
      <c r="I446" s="65"/>
      <c r="J446" s="65"/>
      <c r="K446" s="87"/>
      <c r="L446" s="88"/>
    </row>
    <row r="447" spans="6:12" ht="12.5">
      <c r="F447" s="86"/>
      <c r="G447" s="86"/>
      <c r="H447" s="86"/>
      <c r="I447" s="65"/>
      <c r="J447" s="65"/>
      <c r="K447" s="87"/>
      <c r="L447" s="88"/>
    </row>
    <row r="448" spans="6:12" ht="12.5">
      <c r="F448" s="86"/>
      <c r="G448" s="86"/>
      <c r="H448" s="86"/>
      <c r="I448" s="65"/>
      <c r="J448" s="65"/>
      <c r="K448" s="87"/>
      <c r="L448" s="88"/>
    </row>
    <row r="449" spans="6:12" ht="12.5">
      <c r="F449" s="86"/>
      <c r="G449" s="86"/>
      <c r="H449" s="86"/>
      <c r="I449" s="65"/>
      <c r="J449" s="65"/>
      <c r="K449" s="87"/>
      <c r="L449" s="88"/>
    </row>
    <row r="450" spans="6:12" ht="12.5">
      <c r="F450" s="86"/>
      <c r="G450" s="86"/>
      <c r="H450" s="86"/>
      <c r="I450" s="65"/>
      <c r="J450" s="65"/>
      <c r="K450" s="87"/>
      <c r="L450" s="88"/>
    </row>
    <row r="451" spans="6:12" ht="12.5">
      <c r="F451" s="86"/>
      <c r="G451" s="86"/>
      <c r="H451" s="86"/>
      <c r="I451" s="65"/>
      <c r="J451" s="65"/>
      <c r="K451" s="87"/>
      <c r="L451" s="88"/>
    </row>
    <row r="452" spans="6:12" ht="12.5">
      <c r="F452" s="86"/>
      <c r="G452" s="86"/>
      <c r="H452" s="86"/>
      <c r="I452" s="65"/>
      <c r="J452" s="65"/>
      <c r="K452" s="87"/>
      <c r="L452" s="88"/>
    </row>
    <row r="453" spans="6:12" ht="12.5">
      <c r="F453" s="86"/>
      <c r="G453" s="86"/>
      <c r="H453" s="86"/>
      <c r="I453" s="65"/>
      <c r="J453" s="65"/>
      <c r="K453" s="87"/>
      <c r="L453" s="88"/>
    </row>
    <row r="454" spans="6:12" ht="12.5">
      <c r="F454" s="86"/>
      <c r="G454" s="86"/>
      <c r="H454" s="86"/>
      <c r="I454" s="65"/>
      <c r="J454" s="65"/>
      <c r="K454" s="87"/>
      <c r="L454" s="88"/>
    </row>
    <row r="455" spans="6:12" ht="12.5">
      <c r="F455" s="86"/>
      <c r="G455" s="86"/>
      <c r="H455" s="86"/>
      <c r="I455" s="65"/>
      <c r="J455" s="65"/>
      <c r="K455" s="87"/>
      <c r="L455" s="88"/>
    </row>
    <row r="456" spans="6:12" ht="12.5">
      <c r="F456" s="86"/>
      <c r="G456" s="86"/>
      <c r="H456" s="86"/>
      <c r="I456" s="65"/>
      <c r="J456" s="65"/>
      <c r="K456" s="87"/>
      <c r="L456" s="88"/>
    </row>
    <row r="457" spans="6:12" ht="12.5">
      <c r="F457" s="86"/>
      <c r="G457" s="86"/>
      <c r="H457" s="86"/>
      <c r="I457" s="65"/>
      <c r="J457" s="65"/>
      <c r="K457" s="87"/>
      <c r="L457" s="88"/>
    </row>
    <row r="458" spans="6:12" ht="12.5">
      <c r="F458" s="86"/>
      <c r="G458" s="86"/>
      <c r="H458" s="86"/>
      <c r="I458" s="65"/>
      <c r="J458" s="65"/>
      <c r="K458" s="87"/>
      <c r="L458" s="88"/>
    </row>
    <row r="459" spans="6:12" ht="12.5">
      <c r="F459" s="86"/>
      <c r="G459" s="86"/>
      <c r="H459" s="86"/>
      <c r="I459" s="65"/>
      <c r="J459" s="65"/>
      <c r="K459" s="87"/>
      <c r="L459" s="88"/>
    </row>
    <row r="460" spans="6:12" ht="12.5">
      <c r="F460" s="86"/>
      <c r="G460" s="86"/>
      <c r="H460" s="86"/>
      <c r="I460" s="65"/>
      <c r="J460" s="65"/>
      <c r="K460" s="87"/>
      <c r="L460" s="88"/>
    </row>
    <row r="461" spans="6:12" ht="12.5">
      <c r="F461" s="86"/>
      <c r="G461" s="86"/>
      <c r="H461" s="86"/>
      <c r="I461" s="65"/>
      <c r="J461" s="65"/>
      <c r="K461" s="87"/>
      <c r="L461" s="88"/>
    </row>
    <row r="462" spans="6:12" ht="12.5">
      <c r="F462" s="86"/>
      <c r="G462" s="86"/>
      <c r="H462" s="86"/>
      <c r="I462" s="65"/>
      <c r="J462" s="65"/>
      <c r="K462" s="87"/>
      <c r="L462" s="88"/>
    </row>
    <row r="463" spans="6:12" ht="12.5">
      <c r="F463" s="86"/>
      <c r="G463" s="86"/>
      <c r="H463" s="86"/>
      <c r="I463" s="65"/>
      <c r="J463" s="65"/>
      <c r="K463" s="87"/>
      <c r="L463" s="88"/>
    </row>
    <row r="464" spans="6:12" ht="12.5">
      <c r="F464" s="86"/>
      <c r="G464" s="86"/>
      <c r="H464" s="86"/>
      <c r="I464" s="65"/>
      <c r="J464" s="65"/>
      <c r="K464" s="87"/>
      <c r="L464" s="88"/>
    </row>
    <row r="465" spans="6:12" ht="12.5">
      <c r="F465" s="86"/>
      <c r="G465" s="86"/>
      <c r="H465" s="86"/>
      <c r="I465" s="65"/>
      <c r="J465" s="65"/>
      <c r="K465" s="87"/>
      <c r="L465" s="88"/>
    </row>
    <row r="466" spans="6:12" ht="12.5">
      <c r="F466" s="86"/>
      <c r="G466" s="86"/>
      <c r="H466" s="86"/>
      <c r="I466" s="65"/>
      <c r="J466" s="65"/>
      <c r="K466" s="87"/>
      <c r="L466" s="88"/>
    </row>
    <row r="467" spans="6:12" ht="12.5">
      <c r="F467" s="86"/>
      <c r="G467" s="86"/>
      <c r="H467" s="86"/>
      <c r="I467" s="65"/>
      <c r="J467" s="65"/>
      <c r="K467" s="87"/>
      <c r="L467" s="88"/>
    </row>
    <row r="468" spans="6:12" ht="12.5">
      <c r="F468" s="86"/>
      <c r="G468" s="86"/>
      <c r="H468" s="86"/>
      <c r="I468" s="65"/>
      <c r="J468" s="65"/>
      <c r="K468" s="87"/>
      <c r="L468" s="88"/>
    </row>
    <row r="469" spans="6:12" ht="12.5">
      <c r="F469" s="86"/>
      <c r="G469" s="86"/>
      <c r="H469" s="86"/>
      <c r="I469" s="65"/>
      <c r="J469" s="65"/>
      <c r="K469" s="87"/>
      <c r="L469" s="88"/>
    </row>
    <row r="470" spans="6:12" ht="12.5">
      <c r="F470" s="86"/>
      <c r="G470" s="86"/>
      <c r="H470" s="86"/>
      <c r="I470" s="65"/>
      <c r="J470" s="65"/>
      <c r="K470" s="87"/>
      <c r="L470" s="88"/>
    </row>
    <row r="471" spans="6:12" ht="12.5">
      <c r="F471" s="86"/>
      <c r="G471" s="86"/>
      <c r="H471" s="86"/>
      <c r="I471" s="65"/>
      <c r="J471" s="65"/>
      <c r="K471" s="87"/>
      <c r="L471" s="88"/>
    </row>
    <row r="472" spans="6:12" ht="12.5">
      <c r="F472" s="86"/>
      <c r="G472" s="86"/>
      <c r="H472" s="86"/>
      <c r="I472" s="65"/>
      <c r="J472" s="65"/>
      <c r="K472" s="87"/>
      <c r="L472" s="88"/>
    </row>
    <row r="473" spans="6:12" ht="12.5">
      <c r="F473" s="86"/>
      <c r="G473" s="86"/>
      <c r="H473" s="86"/>
      <c r="I473" s="65"/>
      <c r="J473" s="65"/>
      <c r="K473" s="87"/>
      <c r="L473" s="88"/>
    </row>
    <row r="474" spans="6:12" ht="12.5">
      <c r="F474" s="86"/>
      <c r="G474" s="86"/>
      <c r="H474" s="86"/>
      <c r="I474" s="65"/>
      <c r="J474" s="65"/>
      <c r="K474" s="87"/>
      <c r="L474" s="88"/>
    </row>
    <row r="475" spans="6:12" ht="12.5">
      <c r="F475" s="86"/>
      <c r="G475" s="86"/>
      <c r="H475" s="86"/>
      <c r="I475" s="65"/>
      <c r="J475" s="65"/>
      <c r="K475" s="87"/>
      <c r="L475" s="88"/>
    </row>
    <row r="476" spans="6:12" ht="12.5">
      <c r="F476" s="86"/>
      <c r="G476" s="86"/>
      <c r="H476" s="86"/>
      <c r="I476" s="65"/>
      <c r="J476" s="65"/>
      <c r="K476" s="87"/>
      <c r="L476" s="88"/>
    </row>
    <row r="477" spans="6:12" ht="12.5">
      <c r="F477" s="86"/>
      <c r="G477" s="86"/>
      <c r="H477" s="86"/>
      <c r="I477" s="65"/>
      <c r="J477" s="65"/>
      <c r="K477" s="87"/>
      <c r="L477" s="88"/>
    </row>
    <row r="478" spans="6:12" ht="12.5">
      <c r="F478" s="86"/>
      <c r="G478" s="86"/>
      <c r="H478" s="86"/>
      <c r="I478" s="65"/>
      <c r="J478" s="65"/>
      <c r="K478" s="87"/>
      <c r="L478" s="88"/>
    </row>
    <row r="479" spans="6:12" ht="12.5">
      <c r="F479" s="86"/>
      <c r="G479" s="86"/>
      <c r="H479" s="86"/>
      <c r="I479" s="65"/>
      <c r="J479" s="65"/>
      <c r="K479" s="87"/>
      <c r="L479" s="88"/>
    </row>
    <row r="480" spans="6:12" ht="12.5">
      <c r="F480" s="86"/>
      <c r="G480" s="86"/>
      <c r="H480" s="86"/>
      <c r="I480" s="65"/>
      <c r="J480" s="65"/>
      <c r="K480" s="87"/>
      <c r="L480" s="88"/>
    </row>
    <row r="481" spans="6:12" ht="12.5">
      <c r="F481" s="86"/>
      <c r="G481" s="86"/>
      <c r="H481" s="86"/>
      <c r="I481" s="65"/>
      <c r="J481" s="65"/>
      <c r="K481" s="87"/>
      <c r="L481" s="88"/>
    </row>
    <row r="482" spans="6:12" ht="12.5">
      <c r="F482" s="86"/>
      <c r="G482" s="86"/>
      <c r="H482" s="86"/>
      <c r="I482" s="65"/>
      <c r="J482" s="65"/>
      <c r="K482" s="87"/>
      <c r="L482" s="88"/>
    </row>
    <row r="483" spans="6:12" ht="12.5">
      <c r="F483" s="86"/>
      <c r="G483" s="86"/>
      <c r="H483" s="86"/>
      <c r="I483" s="65"/>
      <c r="J483" s="65"/>
      <c r="K483" s="87"/>
      <c r="L483" s="88"/>
    </row>
    <row r="484" spans="6:12" ht="12.5">
      <c r="F484" s="86"/>
      <c r="G484" s="86"/>
      <c r="H484" s="86"/>
      <c r="I484" s="65"/>
      <c r="J484" s="65"/>
      <c r="K484" s="87"/>
      <c r="L484" s="88"/>
    </row>
    <row r="485" spans="6:12" ht="12.5">
      <c r="F485" s="86"/>
      <c r="G485" s="86"/>
      <c r="H485" s="86"/>
      <c r="I485" s="65"/>
      <c r="J485" s="65"/>
      <c r="K485" s="87"/>
      <c r="L485" s="88"/>
    </row>
    <row r="486" spans="6:12" ht="12.5">
      <c r="F486" s="86"/>
      <c r="G486" s="86"/>
      <c r="H486" s="86"/>
      <c r="I486" s="65"/>
      <c r="J486" s="65"/>
      <c r="K486" s="87"/>
      <c r="L486" s="88"/>
    </row>
    <row r="487" spans="6:12" ht="12.5">
      <c r="F487" s="86"/>
      <c r="G487" s="86"/>
      <c r="H487" s="86"/>
      <c r="I487" s="65"/>
      <c r="J487" s="65"/>
      <c r="K487" s="87"/>
      <c r="L487" s="88"/>
    </row>
    <row r="488" spans="6:12" ht="12.5">
      <c r="F488" s="86"/>
      <c r="G488" s="86"/>
      <c r="H488" s="86"/>
      <c r="I488" s="65"/>
      <c r="J488" s="65"/>
      <c r="K488" s="87"/>
      <c r="L488" s="88"/>
    </row>
    <row r="489" spans="6:12" ht="12.5">
      <c r="F489" s="86"/>
      <c r="G489" s="86"/>
      <c r="H489" s="86"/>
      <c r="I489" s="65"/>
      <c r="J489" s="65"/>
      <c r="K489" s="87"/>
      <c r="L489" s="88"/>
    </row>
    <row r="490" spans="6:12" ht="12.5">
      <c r="F490" s="86"/>
      <c r="G490" s="86"/>
      <c r="H490" s="86"/>
      <c r="I490" s="65"/>
      <c r="J490" s="65"/>
      <c r="K490" s="87"/>
      <c r="L490" s="88"/>
    </row>
    <row r="491" spans="6:12" ht="12.5">
      <c r="F491" s="86"/>
      <c r="G491" s="86"/>
      <c r="H491" s="86"/>
      <c r="I491" s="65"/>
      <c r="J491" s="65"/>
      <c r="K491" s="87"/>
      <c r="L491" s="88"/>
    </row>
    <row r="492" spans="6:12" ht="12.5">
      <c r="F492" s="86"/>
      <c r="G492" s="86"/>
      <c r="H492" s="86"/>
      <c r="I492" s="65"/>
      <c r="J492" s="65"/>
      <c r="K492" s="87"/>
      <c r="L492" s="88"/>
    </row>
    <row r="493" spans="6:12" ht="12.5">
      <c r="F493" s="86"/>
      <c r="G493" s="86"/>
      <c r="H493" s="86"/>
      <c r="I493" s="65"/>
      <c r="J493" s="65"/>
      <c r="K493" s="87"/>
      <c r="L493" s="88"/>
    </row>
    <row r="494" spans="6:12" ht="12.5">
      <c r="F494" s="86"/>
      <c r="G494" s="86"/>
      <c r="H494" s="86"/>
      <c r="I494" s="65"/>
      <c r="J494" s="65"/>
      <c r="K494" s="87"/>
      <c r="L494" s="88"/>
    </row>
    <row r="495" spans="6:12" ht="12.5">
      <c r="F495" s="86"/>
      <c r="G495" s="86"/>
      <c r="H495" s="86"/>
      <c r="I495" s="65"/>
      <c r="J495" s="65"/>
      <c r="K495" s="87"/>
      <c r="L495" s="88"/>
    </row>
    <row r="496" spans="6:12" ht="12.5">
      <c r="F496" s="86"/>
      <c r="G496" s="86"/>
      <c r="H496" s="86"/>
      <c r="I496" s="65"/>
      <c r="J496" s="65"/>
      <c r="K496" s="87"/>
      <c r="L496" s="88"/>
    </row>
    <row r="497" spans="6:12" ht="12.5">
      <c r="F497" s="86"/>
      <c r="G497" s="86"/>
      <c r="H497" s="86"/>
      <c r="I497" s="65"/>
      <c r="J497" s="65"/>
      <c r="K497" s="87"/>
      <c r="L497" s="88"/>
    </row>
    <row r="498" spans="6:12" ht="12.5">
      <c r="F498" s="86"/>
      <c r="G498" s="86"/>
      <c r="H498" s="86"/>
      <c r="I498" s="65"/>
      <c r="J498" s="65"/>
      <c r="K498" s="87"/>
      <c r="L498" s="88"/>
    </row>
    <row r="499" spans="6:12" ht="12.5">
      <c r="F499" s="86"/>
      <c r="G499" s="86"/>
      <c r="H499" s="86"/>
      <c r="I499" s="65"/>
      <c r="J499" s="65"/>
      <c r="K499" s="87"/>
      <c r="L499" s="88"/>
    </row>
    <row r="500" spans="6:12" ht="12.5">
      <c r="F500" s="86"/>
      <c r="G500" s="86"/>
      <c r="H500" s="86"/>
      <c r="I500" s="65"/>
      <c r="J500" s="65"/>
      <c r="K500" s="87"/>
      <c r="L500" s="88"/>
    </row>
    <row r="501" spans="6:12" ht="12.5">
      <c r="F501" s="86"/>
      <c r="G501" s="86"/>
      <c r="H501" s="86"/>
      <c r="I501" s="65"/>
      <c r="J501" s="65"/>
      <c r="K501" s="87"/>
      <c r="L501" s="88"/>
    </row>
    <row r="502" spans="6:12" ht="12.5">
      <c r="F502" s="86"/>
      <c r="G502" s="86"/>
      <c r="H502" s="86"/>
      <c r="I502" s="65"/>
      <c r="J502" s="65"/>
      <c r="K502" s="87"/>
      <c r="L502" s="88"/>
    </row>
    <row r="503" spans="6:12" ht="12.5">
      <c r="F503" s="86"/>
      <c r="G503" s="86"/>
      <c r="H503" s="86"/>
      <c r="I503" s="65"/>
      <c r="J503" s="65"/>
      <c r="K503" s="87"/>
      <c r="L503" s="88"/>
    </row>
    <row r="504" spans="6:12" ht="12.5">
      <c r="F504" s="86"/>
      <c r="G504" s="86"/>
      <c r="H504" s="86"/>
      <c r="I504" s="65"/>
      <c r="J504" s="65"/>
      <c r="K504" s="87"/>
      <c r="L504" s="88"/>
    </row>
    <row r="505" spans="6:12" ht="12.5">
      <c r="F505" s="86"/>
      <c r="G505" s="86"/>
      <c r="H505" s="86"/>
      <c r="I505" s="65"/>
      <c r="J505" s="65"/>
      <c r="K505" s="87"/>
      <c r="L505" s="88"/>
    </row>
    <row r="506" spans="6:12" ht="12.5">
      <c r="F506" s="86"/>
      <c r="G506" s="86"/>
      <c r="H506" s="86"/>
      <c r="I506" s="65"/>
      <c r="J506" s="65"/>
      <c r="K506" s="87"/>
      <c r="L506" s="88"/>
    </row>
    <row r="507" spans="6:12" ht="12.5">
      <c r="F507" s="86"/>
      <c r="G507" s="86"/>
      <c r="H507" s="86"/>
      <c r="I507" s="65"/>
      <c r="J507" s="65"/>
      <c r="K507" s="87"/>
      <c r="L507" s="88"/>
    </row>
    <row r="508" spans="6:12" ht="12.5">
      <c r="F508" s="86"/>
      <c r="G508" s="86"/>
      <c r="H508" s="86"/>
      <c r="I508" s="65"/>
      <c r="J508" s="65"/>
      <c r="K508" s="87"/>
      <c r="L508" s="88"/>
    </row>
    <row r="509" spans="6:12" ht="12.5">
      <c r="F509" s="86"/>
      <c r="G509" s="86"/>
      <c r="H509" s="86"/>
      <c r="I509" s="65"/>
      <c r="J509" s="65"/>
      <c r="K509" s="87"/>
      <c r="L509" s="88"/>
    </row>
    <row r="510" spans="6:12" ht="12.5">
      <c r="F510" s="86"/>
      <c r="G510" s="86"/>
      <c r="H510" s="86"/>
      <c r="I510" s="65"/>
      <c r="J510" s="65"/>
      <c r="K510" s="87"/>
      <c r="L510" s="88"/>
    </row>
    <row r="511" spans="6:12" ht="12.5">
      <c r="F511" s="86"/>
      <c r="G511" s="86"/>
      <c r="H511" s="86"/>
      <c r="I511" s="65"/>
      <c r="J511" s="65"/>
      <c r="K511" s="87"/>
      <c r="L511" s="88"/>
    </row>
    <row r="512" spans="6:12" ht="12.5">
      <c r="F512" s="86"/>
      <c r="G512" s="86"/>
      <c r="H512" s="86"/>
      <c r="I512" s="65"/>
      <c r="J512" s="65"/>
      <c r="K512" s="87"/>
      <c r="L512" s="88"/>
    </row>
    <row r="513" spans="6:12" ht="12.5">
      <c r="F513" s="86"/>
      <c r="G513" s="86"/>
      <c r="H513" s="86"/>
      <c r="I513" s="65"/>
      <c r="J513" s="65"/>
      <c r="K513" s="87"/>
      <c r="L513" s="88"/>
    </row>
    <row r="514" spans="6:12" ht="12.5">
      <c r="F514" s="86"/>
      <c r="G514" s="86"/>
      <c r="H514" s="86"/>
      <c r="I514" s="65"/>
      <c r="J514" s="65"/>
      <c r="K514" s="87"/>
      <c r="L514" s="88"/>
    </row>
    <row r="515" spans="6:12" ht="12.5">
      <c r="F515" s="86"/>
      <c r="G515" s="86"/>
      <c r="H515" s="86"/>
      <c r="I515" s="65"/>
      <c r="J515" s="65"/>
      <c r="K515" s="87"/>
      <c r="L515" s="88"/>
    </row>
    <row r="516" spans="6:12" ht="12.5">
      <c r="F516" s="86"/>
      <c r="G516" s="86"/>
      <c r="H516" s="86"/>
      <c r="I516" s="65"/>
      <c r="J516" s="65"/>
      <c r="K516" s="87"/>
      <c r="L516" s="88"/>
    </row>
    <row r="517" spans="6:12" ht="12.5">
      <c r="F517" s="86"/>
      <c r="G517" s="86"/>
      <c r="H517" s="86"/>
      <c r="I517" s="65"/>
      <c r="J517" s="65"/>
      <c r="K517" s="87"/>
      <c r="L517" s="88"/>
    </row>
    <row r="518" spans="6:12" ht="12.5">
      <c r="F518" s="86"/>
      <c r="G518" s="86"/>
      <c r="H518" s="86"/>
      <c r="I518" s="65"/>
      <c r="J518" s="65"/>
      <c r="K518" s="87"/>
      <c r="L518" s="88"/>
    </row>
    <row r="519" spans="6:12" ht="12.5">
      <c r="F519" s="86"/>
      <c r="G519" s="86"/>
      <c r="H519" s="86"/>
      <c r="I519" s="65"/>
      <c r="J519" s="65"/>
      <c r="K519" s="87"/>
      <c r="L519" s="88"/>
    </row>
    <row r="520" spans="6:12" ht="12.5">
      <c r="F520" s="86"/>
      <c r="G520" s="86"/>
      <c r="H520" s="86"/>
      <c r="I520" s="65"/>
      <c r="J520" s="65"/>
      <c r="K520" s="87"/>
      <c r="L520" s="88"/>
    </row>
    <row r="521" spans="6:12" ht="12.5">
      <c r="F521" s="86"/>
      <c r="G521" s="86"/>
      <c r="H521" s="86"/>
      <c r="I521" s="65"/>
      <c r="J521" s="65"/>
      <c r="K521" s="87"/>
      <c r="L521" s="88"/>
    </row>
    <row r="522" spans="6:12" ht="12.5">
      <c r="F522" s="86"/>
      <c r="G522" s="86"/>
      <c r="H522" s="86"/>
      <c r="I522" s="65"/>
      <c r="J522" s="65"/>
      <c r="K522" s="87"/>
      <c r="L522" s="88"/>
    </row>
    <row r="523" spans="6:12" ht="12.5">
      <c r="F523" s="86"/>
      <c r="G523" s="86"/>
      <c r="H523" s="86"/>
      <c r="I523" s="65"/>
      <c r="J523" s="65"/>
      <c r="K523" s="87"/>
      <c r="L523" s="88"/>
    </row>
    <row r="524" spans="6:12" ht="12.5">
      <c r="F524" s="86"/>
      <c r="G524" s="86"/>
      <c r="H524" s="86"/>
      <c r="I524" s="65"/>
      <c r="J524" s="65"/>
      <c r="K524" s="87"/>
      <c r="L524" s="88"/>
    </row>
    <row r="525" spans="6:12" ht="12.5">
      <c r="F525" s="86"/>
      <c r="G525" s="86"/>
      <c r="H525" s="86"/>
      <c r="I525" s="65"/>
      <c r="J525" s="65"/>
      <c r="K525" s="87"/>
      <c r="L525" s="88"/>
    </row>
    <row r="526" spans="6:12" ht="12.5">
      <c r="F526" s="86"/>
      <c r="G526" s="86"/>
      <c r="H526" s="86"/>
      <c r="I526" s="65"/>
      <c r="J526" s="65"/>
      <c r="K526" s="87"/>
      <c r="L526" s="88"/>
    </row>
    <row r="527" spans="6:12" ht="12.5">
      <c r="F527" s="86"/>
      <c r="G527" s="86"/>
      <c r="H527" s="86"/>
      <c r="I527" s="65"/>
      <c r="J527" s="65"/>
      <c r="K527" s="87"/>
      <c r="L527" s="88"/>
    </row>
    <row r="528" spans="6:12" ht="12.5">
      <c r="F528" s="86"/>
      <c r="G528" s="86"/>
      <c r="H528" s="86"/>
      <c r="I528" s="65"/>
      <c r="J528" s="65"/>
      <c r="K528" s="87"/>
      <c r="L528" s="88"/>
    </row>
    <row r="529" spans="6:12" ht="12.5">
      <c r="F529" s="86"/>
      <c r="G529" s="86"/>
      <c r="H529" s="86"/>
      <c r="I529" s="65"/>
      <c r="J529" s="65"/>
      <c r="K529" s="87"/>
      <c r="L529" s="88"/>
    </row>
    <row r="530" spans="6:12" ht="12.5">
      <c r="F530" s="86"/>
      <c r="G530" s="86"/>
      <c r="H530" s="86"/>
      <c r="I530" s="65"/>
      <c r="J530" s="65"/>
      <c r="K530" s="87"/>
      <c r="L530" s="88"/>
    </row>
    <row r="531" spans="6:12" ht="12.5">
      <c r="F531" s="86"/>
      <c r="G531" s="86"/>
      <c r="H531" s="86"/>
      <c r="I531" s="65"/>
      <c r="J531" s="65"/>
      <c r="K531" s="87"/>
      <c r="L531" s="88"/>
    </row>
    <row r="532" spans="6:12" ht="12.5">
      <c r="F532" s="86"/>
      <c r="G532" s="86"/>
      <c r="H532" s="86"/>
      <c r="I532" s="65"/>
      <c r="J532" s="65"/>
      <c r="K532" s="87"/>
      <c r="L532" s="88"/>
    </row>
    <row r="533" spans="6:12" ht="12.5">
      <c r="F533" s="86"/>
      <c r="G533" s="86"/>
      <c r="H533" s="86"/>
      <c r="I533" s="65"/>
      <c r="J533" s="65"/>
      <c r="K533" s="87"/>
      <c r="L533" s="88"/>
    </row>
    <row r="534" spans="6:12" ht="12.5">
      <c r="F534" s="86"/>
      <c r="G534" s="86"/>
      <c r="H534" s="86"/>
      <c r="I534" s="65"/>
      <c r="J534" s="65"/>
      <c r="K534" s="87"/>
      <c r="L534" s="88"/>
    </row>
    <row r="535" spans="6:12" ht="12.5">
      <c r="F535" s="86"/>
      <c r="G535" s="86"/>
      <c r="H535" s="86"/>
      <c r="I535" s="65"/>
      <c r="J535" s="65"/>
      <c r="K535" s="87"/>
      <c r="L535" s="88"/>
    </row>
    <row r="536" spans="6:12" ht="12.5">
      <c r="F536" s="86"/>
      <c r="G536" s="86"/>
      <c r="H536" s="86"/>
      <c r="I536" s="65"/>
      <c r="J536" s="65"/>
      <c r="K536" s="87"/>
      <c r="L536" s="88"/>
    </row>
    <row r="537" spans="6:12" ht="12.5">
      <c r="F537" s="86"/>
      <c r="G537" s="86"/>
      <c r="H537" s="86"/>
      <c r="I537" s="65"/>
      <c r="J537" s="65"/>
      <c r="K537" s="87"/>
      <c r="L537" s="88"/>
    </row>
    <row r="538" spans="6:12" ht="12.5">
      <c r="F538" s="86"/>
      <c r="G538" s="86"/>
      <c r="H538" s="86"/>
      <c r="I538" s="65"/>
      <c r="J538" s="65"/>
      <c r="K538" s="87"/>
      <c r="L538" s="88"/>
    </row>
    <row r="539" spans="6:12" ht="12.5">
      <c r="F539" s="86"/>
      <c r="G539" s="86"/>
      <c r="H539" s="86"/>
      <c r="I539" s="65"/>
      <c r="J539" s="65"/>
      <c r="K539" s="87"/>
      <c r="L539" s="88"/>
    </row>
    <row r="540" spans="6:12" ht="12.5">
      <c r="F540" s="86"/>
      <c r="G540" s="86"/>
      <c r="H540" s="86"/>
      <c r="I540" s="65"/>
      <c r="J540" s="65"/>
      <c r="K540" s="87"/>
      <c r="L540" s="88"/>
    </row>
    <row r="541" spans="6:12" ht="12.5">
      <c r="F541" s="86"/>
      <c r="G541" s="86"/>
      <c r="H541" s="86"/>
      <c r="I541" s="65"/>
      <c r="J541" s="65"/>
      <c r="K541" s="87"/>
      <c r="L541" s="88"/>
    </row>
    <row r="542" spans="6:12" ht="12.5">
      <c r="F542" s="86"/>
      <c r="G542" s="86"/>
      <c r="H542" s="86"/>
      <c r="I542" s="65"/>
      <c r="J542" s="65"/>
      <c r="K542" s="87"/>
      <c r="L542" s="88"/>
    </row>
    <row r="543" spans="6:12" ht="12.5">
      <c r="F543" s="86"/>
      <c r="G543" s="86"/>
      <c r="H543" s="86"/>
      <c r="I543" s="65"/>
      <c r="J543" s="65"/>
      <c r="K543" s="87"/>
      <c r="L543" s="88"/>
    </row>
    <row r="544" spans="6:12" ht="12.5">
      <c r="F544" s="86"/>
      <c r="G544" s="86"/>
      <c r="H544" s="86"/>
      <c r="I544" s="65"/>
      <c r="J544" s="65"/>
      <c r="K544" s="87"/>
      <c r="L544" s="88"/>
    </row>
    <row r="545" spans="6:12" ht="12.5">
      <c r="F545" s="86"/>
      <c r="G545" s="86"/>
      <c r="H545" s="86"/>
      <c r="I545" s="65"/>
      <c r="J545" s="65"/>
      <c r="K545" s="87"/>
      <c r="L545" s="88"/>
    </row>
    <row r="546" spans="6:12" ht="12.5">
      <c r="F546" s="86"/>
      <c r="G546" s="86"/>
      <c r="H546" s="86"/>
      <c r="I546" s="65"/>
      <c r="J546" s="65"/>
      <c r="K546" s="87"/>
      <c r="L546" s="88"/>
    </row>
    <row r="547" spans="6:12" ht="12.5">
      <c r="F547" s="86"/>
      <c r="G547" s="86"/>
      <c r="H547" s="86"/>
      <c r="I547" s="65"/>
      <c r="J547" s="65"/>
      <c r="K547" s="87"/>
      <c r="L547" s="88"/>
    </row>
    <row r="548" spans="6:12" ht="12.5">
      <c r="F548" s="86"/>
      <c r="G548" s="86"/>
      <c r="H548" s="86"/>
      <c r="I548" s="65"/>
      <c r="J548" s="65"/>
      <c r="K548" s="87"/>
      <c r="L548" s="88"/>
    </row>
    <row r="549" spans="6:12" ht="12.5">
      <c r="F549" s="86"/>
      <c r="G549" s="86"/>
      <c r="H549" s="86"/>
      <c r="I549" s="65"/>
      <c r="J549" s="65"/>
      <c r="K549" s="87"/>
      <c r="L549" s="88"/>
    </row>
    <row r="550" spans="6:12" ht="12.5">
      <c r="F550" s="86"/>
      <c r="G550" s="86"/>
      <c r="H550" s="86"/>
      <c r="I550" s="65"/>
      <c r="J550" s="65"/>
      <c r="K550" s="87"/>
      <c r="L550" s="88"/>
    </row>
    <row r="551" spans="6:12" ht="12.5">
      <c r="F551" s="86"/>
      <c r="G551" s="86"/>
      <c r="H551" s="86"/>
      <c r="I551" s="65"/>
      <c r="J551" s="65"/>
      <c r="K551" s="87"/>
      <c r="L551" s="88"/>
    </row>
    <row r="552" spans="6:12" ht="12.5">
      <c r="F552" s="86"/>
      <c r="G552" s="86"/>
      <c r="H552" s="86"/>
      <c r="I552" s="65"/>
      <c r="J552" s="65"/>
      <c r="K552" s="87"/>
      <c r="L552" s="88"/>
    </row>
    <row r="553" spans="6:12" ht="12.5">
      <c r="F553" s="86"/>
      <c r="G553" s="86"/>
      <c r="H553" s="86"/>
      <c r="I553" s="65"/>
      <c r="J553" s="65"/>
      <c r="K553" s="87"/>
      <c r="L553" s="88"/>
    </row>
    <row r="554" spans="6:12" ht="12.5">
      <c r="F554" s="86"/>
      <c r="G554" s="86"/>
      <c r="H554" s="86"/>
      <c r="I554" s="65"/>
      <c r="J554" s="65"/>
      <c r="K554" s="87"/>
      <c r="L554" s="88"/>
    </row>
    <row r="555" spans="6:12" ht="12.5">
      <c r="F555" s="86"/>
      <c r="G555" s="86"/>
      <c r="H555" s="86"/>
      <c r="I555" s="65"/>
      <c r="J555" s="65"/>
      <c r="K555" s="87"/>
      <c r="L555" s="88"/>
    </row>
    <row r="556" spans="6:12" ht="12.5">
      <c r="F556" s="86"/>
      <c r="G556" s="86"/>
      <c r="H556" s="86"/>
      <c r="I556" s="65"/>
      <c r="J556" s="65"/>
      <c r="K556" s="87"/>
      <c r="L556" s="88"/>
    </row>
    <row r="557" spans="6:12" ht="12.5">
      <c r="F557" s="86"/>
      <c r="G557" s="86"/>
      <c r="H557" s="86"/>
      <c r="I557" s="65"/>
      <c r="J557" s="65"/>
      <c r="K557" s="87"/>
      <c r="L557" s="88"/>
    </row>
    <row r="558" spans="6:12" ht="12.5">
      <c r="F558" s="86"/>
      <c r="G558" s="86"/>
      <c r="H558" s="86"/>
      <c r="I558" s="65"/>
      <c r="J558" s="65"/>
      <c r="K558" s="87"/>
      <c r="L558" s="88"/>
    </row>
    <row r="559" spans="6:12" ht="12.5">
      <c r="F559" s="86"/>
      <c r="G559" s="86"/>
      <c r="H559" s="86"/>
      <c r="I559" s="65"/>
      <c r="J559" s="65"/>
      <c r="K559" s="87"/>
      <c r="L559" s="88"/>
    </row>
    <row r="560" spans="6:12" ht="12.5">
      <c r="F560" s="86"/>
      <c r="G560" s="86"/>
      <c r="H560" s="86"/>
      <c r="I560" s="65"/>
      <c r="J560" s="65"/>
      <c r="K560" s="87"/>
      <c r="L560" s="88"/>
    </row>
    <row r="561" spans="6:12" ht="12.5">
      <c r="F561" s="86"/>
      <c r="G561" s="86"/>
      <c r="H561" s="86"/>
      <c r="I561" s="65"/>
      <c r="J561" s="65"/>
      <c r="K561" s="87"/>
      <c r="L561" s="88"/>
    </row>
    <row r="562" spans="6:12" ht="12.5">
      <c r="F562" s="86"/>
      <c r="G562" s="86"/>
      <c r="H562" s="86"/>
      <c r="I562" s="65"/>
      <c r="J562" s="65"/>
      <c r="K562" s="87"/>
      <c r="L562" s="88"/>
    </row>
    <row r="563" spans="6:12" ht="12.5">
      <c r="F563" s="86"/>
      <c r="G563" s="86"/>
      <c r="H563" s="86"/>
      <c r="I563" s="65"/>
      <c r="J563" s="65"/>
      <c r="K563" s="87"/>
      <c r="L563" s="88"/>
    </row>
    <row r="564" spans="6:12" ht="12.5">
      <c r="F564" s="86"/>
      <c r="G564" s="86"/>
      <c r="H564" s="86"/>
      <c r="I564" s="65"/>
      <c r="J564" s="65"/>
      <c r="K564" s="87"/>
      <c r="L564" s="88"/>
    </row>
    <row r="565" spans="6:12" ht="12.5">
      <c r="F565" s="86"/>
      <c r="G565" s="86"/>
      <c r="H565" s="86"/>
      <c r="I565" s="65"/>
      <c r="J565" s="65"/>
      <c r="K565" s="87"/>
      <c r="L565" s="88"/>
    </row>
    <row r="566" spans="6:12" ht="12.5">
      <c r="F566" s="86"/>
      <c r="G566" s="86"/>
      <c r="H566" s="86"/>
      <c r="I566" s="65"/>
      <c r="J566" s="65"/>
      <c r="K566" s="87"/>
      <c r="L566" s="88"/>
    </row>
    <row r="567" spans="6:12" ht="12.5">
      <c r="F567" s="86"/>
      <c r="G567" s="86"/>
      <c r="H567" s="86"/>
      <c r="I567" s="65"/>
      <c r="J567" s="65"/>
      <c r="K567" s="87"/>
      <c r="L567" s="88"/>
    </row>
    <row r="568" spans="6:12" ht="12.5">
      <c r="F568" s="86"/>
      <c r="G568" s="86"/>
      <c r="H568" s="86"/>
      <c r="I568" s="65"/>
      <c r="J568" s="65"/>
      <c r="K568" s="87"/>
      <c r="L568" s="88"/>
    </row>
    <row r="569" spans="6:12" ht="12.5">
      <c r="F569" s="86"/>
      <c r="G569" s="86"/>
      <c r="H569" s="86"/>
      <c r="I569" s="65"/>
      <c r="J569" s="65"/>
      <c r="K569" s="87"/>
      <c r="L569" s="88"/>
    </row>
    <row r="570" spans="6:12" ht="12.5">
      <c r="F570" s="86"/>
      <c r="G570" s="86"/>
      <c r="H570" s="86"/>
      <c r="I570" s="65"/>
      <c r="J570" s="65"/>
      <c r="K570" s="87"/>
      <c r="L570" s="88"/>
    </row>
    <row r="571" spans="6:12" ht="12.5">
      <c r="F571" s="86"/>
      <c r="G571" s="86"/>
      <c r="H571" s="86"/>
      <c r="I571" s="65"/>
      <c r="J571" s="65"/>
      <c r="K571" s="87"/>
      <c r="L571" s="88"/>
    </row>
    <row r="572" spans="6:12" ht="12.5">
      <c r="F572" s="86"/>
      <c r="G572" s="86"/>
      <c r="H572" s="86"/>
      <c r="I572" s="65"/>
      <c r="J572" s="65"/>
      <c r="K572" s="87"/>
      <c r="L572" s="88"/>
    </row>
    <row r="573" spans="6:12" ht="12.5">
      <c r="F573" s="86"/>
      <c r="G573" s="86"/>
      <c r="H573" s="86"/>
      <c r="I573" s="65"/>
      <c r="J573" s="65"/>
      <c r="K573" s="87"/>
      <c r="L573" s="88"/>
    </row>
    <row r="574" spans="6:12" ht="12.5">
      <c r="F574" s="86"/>
      <c r="G574" s="86"/>
      <c r="H574" s="86"/>
      <c r="I574" s="65"/>
      <c r="J574" s="65"/>
      <c r="K574" s="87"/>
      <c r="L574" s="88"/>
    </row>
    <row r="575" spans="6:12" ht="12.5">
      <c r="F575" s="86"/>
      <c r="G575" s="86"/>
      <c r="H575" s="86"/>
      <c r="I575" s="65"/>
      <c r="J575" s="65"/>
      <c r="K575" s="87"/>
      <c r="L575" s="88"/>
    </row>
    <row r="576" spans="6:12" ht="12.5">
      <c r="F576" s="86"/>
      <c r="G576" s="86"/>
      <c r="H576" s="86"/>
      <c r="I576" s="65"/>
      <c r="J576" s="65"/>
      <c r="K576" s="87"/>
      <c r="L576" s="88"/>
    </row>
    <row r="577" spans="6:12" ht="12.5">
      <c r="F577" s="86"/>
      <c r="G577" s="86"/>
      <c r="H577" s="86"/>
      <c r="I577" s="65"/>
      <c r="J577" s="65"/>
      <c r="K577" s="87"/>
      <c r="L577" s="88"/>
    </row>
    <row r="578" spans="6:12" ht="12.5">
      <c r="F578" s="86"/>
      <c r="G578" s="86"/>
      <c r="H578" s="86"/>
      <c r="I578" s="65"/>
      <c r="J578" s="65"/>
      <c r="K578" s="87"/>
      <c r="L578" s="88"/>
    </row>
    <row r="579" spans="6:12" ht="12.5">
      <c r="F579" s="86"/>
      <c r="G579" s="86"/>
      <c r="H579" s="86"/>
      <c r="I579" s="65"/>
      <c r="J579" s="65"/>
      <c r="K579" s="87"/>
      <c r="L579" s="88"/>
    </row>
    <row r="580" spans="6:12" ht="12.5">
      <c r="F580" s="86"/>
      <c r="G580" s="86"/>
      <c r="H580" s="86"/>
      <c r="I580" s="65"/>
      <c r="J580" s="65"/>
      <c r="K580" s="87"/>
      <c r="L580" s="88"/>
    </row>
    <row r="581" spans="6:12" ht="12.5">
      <c r="F581" s="86"/>
      <c r="G581" s="86"/>
      <c r="H581" s="86"/>
      <c r="I581" s="65"/>
      <c r="J581" s="65"/>
      <c r="K581" s="87"/>
      <c r="L581" s="88"/>
    </row>
    <row r="582" spans="6:12" ht="12.5">
      <c r="F582" s="86"/>
      <c r="G582" s="86"/>
      <c r="H582" s="86"/>
      <c r="I582" s="65"/>
      <c r="J582" s="65"/>
      <c r="K582" s="87"/>
      <c r="L582" s="88"/>
    </row>
    <row r="583" spans="6:12" ht="12.5">
      <c r="F583" s="86"/>
      <c r="G583" s="86"/>
      <c r="H583" s="86"/>
      <c r="I583" s="65"/>
      <c r="J583" s="65"/>
      <c r="K583" s="87"/>
      <c r="L583" s="88"/>
    </row>
    <row r="584" spans="6:12" ht="12.5">
      <c r="F584" s="86"/>
      <c r="G584" s="86"/>
      <c r="H584" s="86"/>
      <c r="I584" s="65"/>
      <c r="J584" s="65"/>
      <c r="K584" s="87"/>
      <c r="L584" s="88"/>
    </row>
    <row r="585" spans="6:12" ht="12.5">
      <c r="F585" s="86"/>
      <c r="G585" s="86"/>
      <c r="H585" s="86"/>
      <c r="I585" s="65"/>
      <c r="J585" s="65"/>
      <c r="K585" s="87"/>
      <c r="L585" s="88"/>
    </row>
    <row r="586" spans="6:12" ht="12.5">
      <c r="F586" s="86"/>
      <c r="G586" s="86"/>
      <c r="H586" s="86"/>
      <c r="I586" s="65"/>
      <c r="J586" s="65"/>
      <c r="K586" s="87"/>
      <c r="L586" s="88"/>
    </row>
    <row r="587" spans="6:12" ht="12.5">
      <c r="F587" s="86"/>
      <c r="G587" s="86"/>
      <c r="H587" s="86"/>
      <c r="I587" s="65"/>
      <c r="J587" s="65"/>
      <c r="K587" s="87"/>
      <c r="L587" s="88"/>
    </row>
    <row r="588" spans="6:12" ht="12.5">
      <c r="F588" s="86"/>
      <c r="G588" s="86"/>
      <c r="H588" s="86"/>
      <c r="I588" s="65"/>
      <c r="J588" s="65"/>
      <c r="K588" s="87"/>
      <c r="L588" s="88"/>
    </row>
    <row r="589" spans="6:12" ht="12.5">
      <c r="F589" s="86"/>
      <c r="G589" s="86"/>
      <c r="H589" s="86"/>
      <c r="I589" s="65"/>
      <c r="J589" s="65"/>
      <c r="K589" s="87"/>
      <c r="L589" s="88"/>
    </row>
    <row r="590" spans="6:12" ht="12.5">
      <c r="F590" s="86"/>
      <c r="G590" s="86"/>
      <c r="H590" s="86"/>
      <c r="I590" s="65"/>
      <c r="J590" s="65"/>
      <c r="K590" s="87"/>
      <c r="L590" s="88"/>
    </row>
    <row r="591" spans="6:12" ht="12.5">
      <c r="F591" s="86"/>
      <c r="G591" s="86"/>
      <c r="H591" s="86"/>
      <c r="I591" s="65"/>
      <c r="J591" s="65"/>
      <c r="K591" s="87"/>
      <c r="L591" s="88"/>
    </row>
    <row r="592" spans="6:12" ht="12.5">
      <c r="F592" s="86"/>
      <c r="G592" s="86"/>
      <c r="H592" s="86"/>
      <c r="I592" s="65"/>
      <c r="J592" s="65"/>
      <c r="K592" s="87"/>
      <c r="L592" s="88"/>
    </row>
    <row r="593" spans="6:12" ht="12.5">
      <c r="F593" s="86"/>
      <c r="G593" s="86"/>
      <c r="H593" s="86"/>
      <c r="I593" s="65"/>
      <c r="J593" s="65"/>
      <c r="K593" s="87"/>
      <c r="L593" s="88"/>
    </row>
    <row r="594" spans="6:12" ht="12.5">
      <c r="F594" s="86"/>
      <c r="G594" s="86"/>
      <c r="H594" s="86"/>
      <c r="I594" s="65"/>
      <c r="J594" s="65"/>
      <c r="K594" s="87"/>
      <c r="L594" s="88"/>
    </row>
    <row r="595" spans="6:12" ht="12.5">
      <c r="F595" s="86"/>
      <c r="G595" s="86"/>
      <c r="H595" s="86"/>
      <c r="I595" s="65"/>
      <c r="J595" s="65"/>
      <c r="K595" s="87"/>
      <c r="L595" s="88"/>
    </row>
    <row r="596" spans="6:12" ht="12.5">
      <c r="F596" s="86"/>
      <c r="G596" s="86"/>
      <c r="H596" s="86"/>
      <c r="I596" s="65"/>
      <c r="J596" s="65"/>
      <c r="K596" s="87"/>
      <c r="L596" s="88"/>
    </row>
    <row r="597" spans="6:12" ht="12.5">
      <c r="F597" s="86"/>
      <c r="G597" s="86"/>
      <c r="H597" s="86"/>
      <c r="I597" s="65"/>
      <c r="J597" s="65"/>
      <c r="K597" s="87"/>
      <c r="L597" s="88"/>
    </row>
    <row r="598" spans="6:12" ht="12.5">
      <c r="F598" s="86"/>
      <c r="G598" s="86"/>
      <c r="H598" s="86"/>
      <c r="I598" s="65"/>
      <c r="J598" s="65"/>
      <c r="K598" s="87"/>
      <c r="L598" s="88"/>
    </row>
    <row r="599" spans="6:12" ht="12.5">
      <c r="F599" s="86"/>
      <c r="G599" s="86"/>
      <c r="H599" s="86"/>
      <c r="I599" s="65"/>
      <c r="J599" s="65"/>
      <c r="K599" s="87"/>
      <c r="L599" s="88"/>
    </row>
    <row r="600" spans="6:12" ht="12.5">
      <c r="F600" s="86"/>
      <c r="G600" s="86"/>
      <c r="H600" s="86"/>
      <c r="I600" s="65"/>
      <c r="J600" s="65"/>
      <c r="K600" s="87"/>
      <c r="L600" s="88"/>
    </row>
    <row r="601" spans="6:12" ht="12.5">
      <c r="F601" s="86"/>
      <c r="G601" s="86"/>
      <c r="H601" s="86"/>
      <c r="I601" s="65"/>
      <c r="J601" s="65"/>
      <c r="K601" s="87"/>
      <c r="L601" s="88"/>
    </row>
    <row r="602" spans="6:12" ht="12.5">
      <c r="F602" s="86"/>
      <c r="G602" s="86"/>
      <c r="H602" s="86"/>
      <c r="I602" s="65"/>
      <c r="J602" s="65"/>
      <c r="K602" s="87"/>
      <c r="L602" s="88"/>
    </row>
    <row r="603" spans="6:12" ht="12.5">
      <c r="F603" s="86"/>
      <c r="G603" s="86"/>
      <c r="H603" s="86"/>
      <c r="I603" s="65"/>
      <c r="J603" s="65"/>
      <c r="K603" s="87"/>
      <c r="L603" s="88"/>
    </row>
    <row r="604" spans="6:12" ht="12.5">
      <c r="F604" s="86"/>
      <c r="G604" s="86"/>
      <c r="H604" s="86"/>
      <c r="I604" s="65"/>
      <c r="J604" s="65"/>
      <c r="K604" s="87"/>
      <c r="L604" s="88"/>
    </row>
    <row r="605" spans="6:12" ht="12.5">
      <c r="F605" s="86"/>
      <c r="G605" s="86"/>
      <c r="H605" s="86"/>
      <c r="I605" s="65"/>
      <c r="J605" s="65"/>
      <c r="K605" s="87"/>
      <c r="L605" s="88"/>
    </row>
    <row r="606" spans="6:12" ht="12.5">
      <c r="F606" s="86"/>
      <c r="G606" s="86"/>
      <c r="H606" s="86"/>
      <c r="I606" s="65"/>
      <c r="J606" s="65"/>
      <c r="K606" s="87"/>
      <c r="L606" s="88"/>
    </row>
    <row r="607" spans="6:12" ht="12.5">
      <c r="F607" s="86"/>
      <c r="G607" s="86"/>
      <c r="H607" s="86"/>
      <c r="I607" s="65"/>
      <c r="J607" s="65"/>
      <c r="K607" s="87"/>
      <c r="L607" s="88"/>
    </row>
    <row r="608" spans="6:12" ht="12.5">
      <c r="F608" s="86"/>
      <c r="G608" s="86"/>
      <c r="H608" s="86"/>
      <c r="I608" s="65"/>
      <c r="J608" s="65"/>
      <c r="K608" s="87"/>
      <c r="L608" s="88"/>
    </row>
    <row r="609" spans="6:12" ht="12.5">
      <c r="F609" s="86"/>
      <c r="G609" s="86"/>
      <c r="H609" s="86"/>
      <c r="I609" s="65"/>
      <c r="J609" s="65"/>
      <c r="K609" s="87"/>
      <c r="L609" s="88"/>
    </row>
    <row r="610" spans="6:12" ht="12.5">
      <c r="F610" s="86"/>
      <c r="G610" s="86"/>
      <c r="H610" s="86"/>
      <c r="I610" s="65"/>
      <c r="J610" s="65"/>
      <c r="K610" s="87"/>
      <c r="L610" s="88"/>
    </row>
    <row r="611" spans="6:12" ht="12.5">
      <c r="F611" s="86"/>
      <c r="G611" s="86"/>
      <c r="H611" s="86"/>
      <c r="I611" s="65"/>
      <c r="J611" s="65"/>
      <c r="K611" s="87"/>
      <c r="L611" s="88"/>
    </row>
    <row r="612" spans="6:12" ht="12.5">
      <c r="F612" s="86"/>
      <c r="G612" s="86"/>
      <c r="H612" s="86"/>
      <c r="I612" s="65"/>
      <c r="J612" s="65"/>
      <c r="K612" s="87"/>
      <c r="L612" s="88"/>
    </row>
    <row r="613" spans="6:12" ht="12.5">
      <c r="F613" s="86"/>
      <c r="G613" s="86"/>
      <c r="H613" s="86"/>
      <c r="I613" s="65"/>
      <c r="J613" s="65"/>
      <c r="K613" s="87"/>
      <c r="L613" s="88"/>
    </row>
    <row r="614" spans="6:12" ht="12.5">
      <c r="F614" s="86"/>
      <c r="G614" s="86"/>
      <c r="H614" s="86"/>
      <c r="I614" s="65"/>
      <c r="J614" s="65"/>
      <c r="K614" s="87"/>
      <c r="L614" s="88"/>
    </row>
    <row r="615" spans="6:12" ht="12.5">
      <c r="F615" s="86"/>
      <c r="G615" s="86"/>
      <c r="H615" s="86"/>
      <c r="I615" s="65"/>
      <c r="J615" s="65"/>
      <c r="K615" s="87"/>
      <c r="L615" s="88"/>
    </row>
    <row r="616" spans="6:12" ht="12.5">
      <c r="F616" s="86"/>
      <c r="G616" s="86"/>
      <c r="H616" s="86"/>
      <c r="I616" s="65"/>
      <c r="J616" s="65"/>
      <c r="K616" s="87"/>
      <c r="L616" s="88"/>
    </row>
    <row r="617" spans="6:12" ht="12.5">
      <c r="F617" s="86"/>
      <c r="G617" s="86"/>
      <c r="H617" s="86"/>
      <c r="I617" s="65"/>
      <c r="J617" s="65"/>
      <c r="K617" s="87"/>
      <c r="L617" s="88"/>
    </row>
    <row r="618" spans="6:12" ht="12.5">
      <c r="F618" s="86"/>
      <c r="G618" s="86"/>
      <c r="H618" s="86"/>
      <c r="I618" s="65"/>
      <c r="J618" s="65"/>
      <c r="K618" s="87"/>
      <c r="L618" s="88"/>
    </row>
    <row r="619" spans="6:12" ht="12.5">
      <c r="F619" s="86"/>
      <c r="G619" s="86"/>
      <c r="H619" s="86"/>
      <c r="I619" s="65"/>
      <c r="J619" s="65"/>
      <c r="K619" s="87"/>
      <c r="L619" s="88"/>
    </row>
    <row r="620" spans="6:12" ht="12.5">
      <c r="F620" s="86"/>
      <c r="G620" s="86"/>
      <c r="H620" s="86"/>
      <c r="I620" s="65"/>
      <c r="J620" s="65"/>
      <c r="K620" s="87"/>
      <c r="L620" s="88"/>
    </row>
    <row r="621" spans="6:12" ht="12.5">
      <c r="F621" s="86"/>
      <c r="G621" s="86"/>
      <c r="H621" s="86"/>
      <c r="I621" s="65"/>
      <c r="J621" s="65"/>
      <c r="K621" s="87"/>
      <c r="L621" s="88"/>
    </row>
    <row r="622" spans="6:12" ht="12.5">
      <c r="F622" s="86"/>
      <c r="G622" s="86"/>
      <c r="H622" s="86"/>
      <c r="I622" s="65"/>
      <c r="J622" s="65"/>
      <c r="K622" s="87"/>
      <c r="L622" s="88"/>
    </row>
    <row r="623" spans="6:12" ht="12.5">
      <c r="F623" s="86"/>
      <c r="G623" s="86"/>
      <c r="H623" s="86"/>
      <c r="I623" s="65"/>
      <c r="J623" s="65"/>
      <c r="K623" s="87"/>
      <c r="L623" s="88"/>
    </row>
    <row r="624" spans="6:12" ht="12.5">
      <c r="F624" s="86"/>
      <c r="G624" s="86"/>
      <c r="H624" s="86"/>
      <c r="I624" s="65"/>
      <c r="J624" s="65"/>
      <c r="K624" s="87"/>
      <c r="L624" s="88"/>
    </row>
    <row r="625" spans="6:12" ht="12.5">
      <c r="F625" s="86"/>
      <c r="G625" s="86"/>
      <c r="H625" s="86"/>
      <c r="I625" s="65"/>
      <c r="J625" s="65"/>
      <c r="K625" s="87"/>
      <c r="L625" s="88"/>
    </row>
    <row r="626" spans="6:12" ht="12.5">
      <c r="F626" s="86"/>
      <c r="G626" s="86"/>
      <c r="H626" s="86"/>
      <c r="I626" s="65"/>
      <c r="J626" s="65"/>
      <c r="K626" s="87"/>
      <c r="L626" s="88"/>
    </row>
    <row r="627" spans="6:12" ht="12.5">
      <c r="F627" s="86"/>
      <c r="G627" s="86"/>
      <c r="H627" s="86"/>
      <c r="I627" s="65"/>
      <c r="J627" s="65"/>
      <c r="K627" s="87"/>
      <c r="L627" s="88"/>
    </row>
    <row r="628" spans="6:12" ht="12.5">
      <c r="F628" s="86"/>
      <c r="G628" s="86"/>
      <c r="H628" s="86"/>
      <c r="I628" s="65"/>
      <c r="J628" s="65"/>
      <c r="K628" s="87"/>
      <c r="L628" s="88"/>
    </row>
    <row r="629" spans="6:12" ht="12.5">
      <c r="F629" s="86"/>
      <c r="G629" s="86"/>
      <c r="H629" s="86"/>
      <c r="I629" s="65"/>
      <c r="J629" s="65"/>
      <c r="K629" s="87"/>
      <c r="L629" s="88"/>
    </row>
    <row r="630" spans="6:12" ht="12.5">
      <c r="F630" s="86"/>
      <c r="G630" s="86"/>
      <c r="H630" s="86"/>
      <c r="I630" s="65"/>
      <c r="J630" s="65"/>
      <c r="K630" s="87"/>
      <c r="L630" s="88"/>
    </row>
    <row r="631" spans="6:12" ht="12.5">
      <c r="F631" s="86"/>
      <c r="G631" s="86"/>
      <c r="H631" s="86"/>
      <c r="I631" s="65"/>
      <c r="J631" s="65"/>
      <c r="K631" s="87"/>
      <c r="L631" s="88"/>
    </row>
    <row r="632" spans="6:12" ht="12.5">
      <c r="F632" s="86"/>
      <c r="G632" s="86"/>
      <c r="H632" s="86"/>
      <c r="I632" s="65"/>
      <c r="J632" s="65"/>
      <c r="K632" s="87"/>
      <c r="L632" s="88"/>
    </row>
    <row r="633" spans="6:12" ht="12.5">
      <c r="F633" s="86"/>
      <c r="G633" s="86"/>
      <c r="H633" s="86"/>
      <c r="I633" s="65"/>
      <c r="J633" s="65"/>
      <c r="K633" s="87"/>
      <c r="L633" s="88"/>
    </row>
    <row r="634" spans="6:12" ht="12.5">
      <c r="F634" s="86"/>
      <c r="G634" s="86"/>
      <c r="H634" s="86"/>
      <c r="I634" s="65"/>
      <c r="J634" s="65"/>
      <c r="K634" s="87"/>
      <c r="L634" s="88"/>
    </row>
    <row r="635" spans="6:12" ht="12.5">
      <c r="F635" s="86"/>
      <c r="G635" s="86"/>
      <c r="H635" s="86"/>
      <c r="I635" s="65"/>
      <c r="J635" s="65"/>
      <c r="K635" s="87"/>
      <c r="L635" s="88"/>
    </row>
    <row r="636" spans="6:12" ht="12.5">
      <c r="F636" s="86"/>
      <c r="G636" s="86"/>
      <c r="H636" s="86"/>
      <c r="I636" s="65"/>
      <c r="J636" s="65"/>
      <c r="K636" s="87"/>
      <c r="L636" s="88"/>
    </row>
    <row r="637" spans="6:12" ht="12.5">
      <c r="F637" s="86"/>
      <c r="G637" s="86"/>
      <c r="H637" s="86"/>
      <c r="I637" s="65"/>
      <c r="J637" s="65"/>
      <c r="K637" s="87"/>
      <c r="L637" s="88"/>
    </row>
    <row r="638" spans="6:12" ht="12.5">
      <c r="F638" s="86"/>
      <c r="G638" s="86"/>
      <c r="H638" s="86"/>
      <c r="I638" s="65"/>
      <c r="J638" s="65"/>
      <c r="K638" s="87"/>
      <c r="L638" s="88"/>
    </row>
    <row r="639" spans="6:12" ht="12.5">
      <c r="F639" s="86"/>
      <c r="G639" s="86"/>
      <c r="H639" s="86"/>
      <c r="I639" s="65"/>
      <c r="J639" s="65"/>
      <c r="K639" s="87"/>
      <c r="L639" s="88"/>
    </row>
    <row r="640" spans="6:12" ht="12.5">
      <c r="F640" s="86"/>
      <c r="G640" s="86"/>
      <c r="H640" s="86"/>
      <c r="I640" s="65"/>
      <c r="J640" s="65"/>
      <c r="K640" s="87"/>
      <c r="L640" s="88"/>
    </row>
    <row r="641" spans="6:12" ht="12.5">
      <c r="F641" s="86"/>
      <c r="G641" s="86"/>
      <c r="H641" s="86"/>
      <c r="I641" s="65"/>
      <c r="J641" s="65"/>
      <c r="K641" s="87"/>
      <c r="L641" s="88"/>
    </row>
    <row r="642" spans="6:12" ht="12.5">
      <c r="F642" s="86"/>
      <c r="G642" s="86"/>
      <c r="H642" s="86"/>
      <c r="I642" s="65"/>
      <c r="J642" s="65"/>
      <c r="K642" s="87"/>
      <c r="L642" s="88"/>
    </row>
    <row r="643" spans="6:12" ht="12.5">
      <c r="F643" s="86"/>
      <c r="G643" s="86"/>
      <c r="H643" s="86"/>
      <c r="I643" s="65"/>
      <c r="J643" s="65"/>
      <c r="K643" s="87"/>
      <c r="L643" s="88"/>
    </row>
    <row r="644" spans="6:12" ht="12.5">
      <c r="F644" s="86"/>
      <c r="G644" s="86"/>
      <c r="H644" s="86"/>
      <c r="I644" s="65"/>
      <c r="J644" s="65"/>
      <c r="K644" s="87"/>
      <c r="L644" s="88"/>
    </row>
    <row r="645" spans="6:12" ht="12.5">
      <c r="F645" s="86"/>
      <c r="G645" s="86"/>
      <c r="H645" s="86"/>
      <c r="I645" s="65"/>
      <c r="J645" s="65"/>
      <c r="K645" s="87"/>
      <c r="L645" s="88"/>
    </row>
    <row r="646" spans="6:12" ht="12.5">
      <c r="F646" s="86"/>
      <c r="G646" s="86"/>
      <c r="H646" s="86"/>
      <c r="I646" s="65"/>
      <c r="J646" s="65"/>
      <c r="K646" s="87"/>
      <c r="L646" s="88"/>
    </row>
    <row r="647" spans="6:12" ht="12.5">
      <c r="F647" s="86"/>
      <c r="G647" s="86"/>
      <c r="H647" s="86"/>
      <c r="I647" s="65"/>
      <c r="J647" s="65"/>
      <c r="K647" s="87"/>
      <c r="L647" s="88"/>
    </row>
    <row r="648" spans="6:12" ht="12.5">
      <c r="F648" s="86"/>
      <c r="G648" s="86"/>
      <c r="H648" s="86"/>
      <c r="I648" s="65"/>
      <c r="J648" s="65"/>
      <c r="K648" s="87"/>
      <c r="L648" s="88"/>
    </row>
    <row r="649" spans="6:12" ht="12.5">
      <c r="F649" s="86"/>
      <c r="G649" s="86"/>
      <c r="H649" s="86"/>
      <c r="I649" s="65"/>
      <c r="J649" s="65"/>
      <c r="K649" s="87"/>
      <c r="L649" s="88"/>
    </row>
    <row r="650" spans="6:12" ht="12.5">
      <c r="F650" s="86"/>
      <c r="G650" s="86"/>
      <c r="H650" s="86"/>
      <c r="I650" s="65"/>
      <c r="J650" s="65"/>
      <c r="K650" s="87"/>
      <c r="L650" s="88"/>
    </row>
    <row r="651" spans="6:12" ht="12.5">
      <c r="F651" s="86"/>
      <c r="G651" s="86"/>
      <c r="H651" s="86"/>
      <c r="I651" s="65"/>
      <c r="J651" s="65"/>
      <c r="K651" s="87"/>
      <c r="L651" s="88"/>
    </row>
    <row r="652" spans="6:12" ht="12.5">
      <c r="F652" s="86"/>
      <c r="G652" s="86"/>
      <c r="H652" s="86"/>
      <c r="I652" s="65"/>
      <c r="J652" s="65"/>
      <c r="K652" s="87"/>
      <c r="L652" s="88"/>
    </row>
    <row r="653" spans="6:12" ht="12.5">
      <c r="F653" s="86"/>
      <c r="G653" s="86"/>
      <c r="H653" s="86"/>
      <c r="I653" s="65"/>
      <c r="J653" s="65"/>
      <c r="K653" s="87"/>
      <c r="L653" s="88"/>
    </row>
    <row r="654" spans="6:12" ht="12.5">
      <c r="F654" s="86"/>
      <c r="G654" s="86"/>
      <c r="H654" s="86"/>
      <c r="I654" s="65"/>
      <c r="J654" s="65"/>
      <c r="K654" s="87"/>
      <c r="L654" s="88"/>
    </row>
    <row r="655" spans="6:12" ht="12.5">
      <c r="F655" s="86"/>
      <c r="G655" s="86"/>
      <c r="H655" s="86"/>
      <c r="I655" s="65"/>
      <c r="J655" s="65"/>
      <c r="K655" s="87"/>
      <c r="L655" s="88"/>
    </row>
    <row r="656" spans="6:12" ht="12.5">
      <c r="F656" s="86"/>
      <c r="G656" s="86"/>
      <c r="H656" s="86"/>
      <c r="I656" s="65"/>
      <c r="J656" s="65"/>
      <c r="K656" s="87"/>
      <c r="L656" s="88"/>
    </row>
    <row r="657" spans="6:12" ht="12.5">
      <c r="F657" s="86"/>
      <c r="G657" s="86"/>
      <c r="H657" s="86"/>
      <c r="I657" s="65"/>
      <c r="J657" s="65"/>
      <c r="K657" s="87"/>
      <c r="L657" s="88"/>
    </row>
    <row r="658" spans="6:12" ht="12.5">
      <c r="F658" s="86"/>
      <c r="G658" s="86"/>
      <c r="H658" s="86"/>
      <c r="I658" s="65"/>
      <c r="J658" s="65"/>
      <c r="K658" s="87"/>
      <c r="L658" s="88"/>
    </row>
    <row r="659" spans="6:12" ht="12.5">
      <c r="F659" s="86"/>
      <c r="G659" s="86"/>
      <c r="H659" s="86"/>
      <c r="I659" s="65"/>
      <c r="J659" s="65"/>
      <c r="K659" s="87"/>
      <c r="L659" s="88"/>
    </row>
    <row r="660" spans="6:12" ht="12.5">
      <c r="F660" s="86"/>
      <c r="G660" s="86"/>
      <c r="H660" s="86"/>
      <c r="I660" s="65"/>
      <c r="J660" s="65"/>
      <c r="K660" s="87"/>
      <c r="L660" s="88"/>
    </row>
    <row r="661" spans="6:12" ht="12.5">
      <c r="F661" s="86"/>
      <c r="G661" s="86"/>
      <c r="H661" s="86"/>
      <c r="I661" s="65"/>
      <c r="J661" s="65"/>
      <c r="K661" s="87"/>
      <c r="L661" s="88"/>
    </row>
    <row r="662" spans="6:12" ht="12.5">
      <c r="F662" s="86"/>
      <c r="G662" s="86"/>
      <c r="H662" s="86"/>
      <c r="I662" s="65"/>
      <c r="J662" s="65"/>
      <c r="K662" s="87"/>
      <c r="L662" s="88"/>
    </row>
    <row r="663" spans="6:12" ht="12.5">
      <c r="F663" s="86"/>
      <c r="G663" s="86"/>
      <c r="H663" s="86"/>
      <c r="I663" s="65"/>
      <c r="J663" s="65"/>
      <c r="K663" s="87"/>
      <c r="L663" s="88"/>
    </row>
    <row r="664" spans="6:12" ht="12.5">
      <c r="F664" s="86"/>
      <c r="G664" s="86"/>
      <c r="H664" s="86"/>
      <c r="I664" s="65"/>
      <c r="J664" s="65"/>
      <c r="K664" s="87"/>
      <c r="L664" s="88"/>
    </row>
    <row r="665" spans="6:12" ht="12.5">
      <c r="F665" s="86"/>
      <c r="G665" s="86"/>
      <c r="H665" s="86"/>
      <c r="I665" s="65"/>
      <c r="J665" s="65"/>
      <c r="K665" s="87"/>
      <c r="L665" s="88"/>
    </row>
    <row r="666" spans="6:12" ht="12.5">
      <c r="F666" s="86"/>
      <c r="G666" s="86"/>
      <c r="H666" s="86"/>
      <c r="I666" s="65"/>
      <c r="J666" s="65"/>
      <c r="K666" s="87"/>
      <c r="L666" s="88"/>
    </row>
    <row r="667" spans="6:12" ht="12.5">
      <c r="F667" s="86"/>
      <c r="G667" s="86"/>
      <c r="H667" s="86"/>
      <c r="I667" s="65"/>
      <c r="J667" s="65"/>
      <c r="K667" s="87"/>
      <c r="L667" s="88"/>
    </row>
    <row r="668" spans="6:12" ht="12.5">
      <c r="F668" s="86"/>
      <c r="G668" s="86"/>
      <c r="H668" s="86"/>
      <c r="I668" s="65"/>
      <c r="J668" s="65"/>
      <c r="K668" s="87"/>
      <c r="L668" s="88"/>
    </row>
    <row r="669" spans="6:12" ht="12.5">
      <c r="F669" s="86"/>
      <c r="G669" s="86"/>
      <c r="H669" s="86"/>
      <c r="I669" s="65"/>
      <c r="J669" s="65"/>
      <c r="K669" s="87"/>
      <c r="L669" s="88"/>
    </row>
    <row r="670" spans="6:12" ht="12.5">
      <c r="F670" s="86"/>
      <c r="G670" s="86"/>
      <c r="H670" s="86"/>
      <c r="I670" s="65"/>
      <c r="J670" s="65"/>
      <c r="K670" s="87"/>
      <c r="L670" s="88"/>
    </row>
    <row r="671" spans="6:12" ht="12.5">
      <c r="F671" s="86"/>
      <c r="G671" s="86"/>
      <c r="H671" s="86"/>
      <c r="I671" s="65"/>
      <c r="J671" s="65"/>
      <c r="K671" s="87"/>
      <c r="L671" s="88"/>
    </row>
    <row r="672" spans="6:12" ht="12.5">
      <c r="F672" s="86"/>
      <c r="G672" s="86"/>
      <c r="H672" s="86"/>
      <c r="I672" s="65"/>
      <c r="J672" s="65"/>
      <c r="K672" s="87"/>
      <c r="L672" s="88"/>
    </row>
    <row r="673" spans="6:12" ht="12.5">
      <c r="F673" s="86"/>
      <c r="G673" s="86"/>
      <c r="H673" s="86"/>
      <c r="I673" s="65"/>
      <c r="J673" s="65"/>
      <c r="K673" s="87"/>
      <c r="L673" s="88"/>
    </row>
    <row r="674" spans="6:12" ht="12.5">
      <c r="F674" s="86"/>
      <c r="G674" s="86"/>
      <c r="H674" s="86"/>
      <c r="I674" s="65"/>
      <c r="J674" s="65"/>
      <c r="K674" s="87"/>
      <c r="L674" s="88"/>
    </row>
    <row r="675" spans="6:12" ht="12.5">
      <c r="F675" s="86"/>
      <c r="G675" s="86"/>
      <c r="H675" s="86"/>
      <c r="I675" s="65"/>
      <c r="J675" s="65"/>
      <c r="K675" s="87"/>
      <c r="L675" s="88"/>
    </row>
    <row r="676" spans="6:12" ht="12.5">
      <c r="F676" s="86"/>
      <c r="G676" s="86"/>
      <c r="H676" s="86"/>
      <c r="I676" s="65"/>
      <c r="J676" s="65"/>
      <c r="K676" s="87"/>
      <c r="L676" s="88"/>
    </row>
    <row r="677" spans="6:12" ht="12.5">
      <c r="F677" s="86"/>
      <c r="G677" s="86"/>
      <c r="H677" s="86"/>
      <c r="I677" s="65"/>
      <c r="J677" s="65"/>
      <c r="K677" s="87"/>
      <c r="L677" s="88"/>
    </row>
    <row r="678" spans="6:12" ht="12.5">
      <c r="F678" s="86"/>
      <c r="G678" s="86"/>
      <c r="H678" s="86"/>
      <c r="I678" s="65"/>
      <c r="J678" s="65"/>
      <c r="K678" s="87"/>
      <c r="L678" s="88"/>
    </row>
    <row r="679" spans="6:12" ht="12.5">
      <c r="F679" s="86"/>
      <c r="G679" s="86"/>
      <c r="H679" s="86"/>
      <c r="I679" s="65"/>
      <c r="J679" s="65"/>
      <c r="K679" s="87"/>
      <c r="L679" s="88"/>
    </row>
    <row r="680" spans="6:12" ht="12.5">
      <c r="F680" s="86"/>
      <c r="G680" s="86"/>
      <c r="H680" s="86"/>
      <c r="I680" s="65"/>
      <c r="J680" s="65"/>
      <c r="K680" s="87"/>
      <c r="L680" s="88"/>
    </row>
    <row r="681" spans="6:12" ht="12.5">
      <c r="F681" s="86"/>
      <c r="G681" s="86"/>
      <c r="H681" s="86"/>
      <c r="I681" s="65"/>
      <c r="J681" s="65"/>
      <c r="K681" s="87"/>
      <c r="L681" s="88"/>
    </row>
    <row r="682" spans="6:12" ht="12.5">
      <c r="F682" s="86"/>
      <c r="G682" s="86"/>
      <c r="H682" s="86"/>
      <c r="I682" s="65"/>
      <c r="J682" s="65"/>
      <c r="K682" s="87"/>
      <c r="L682" s="88"/>
    </row>
    <row r="683" spans="6:12" ht="12.5">
      <c r="F683" s="86"/>
      <c r="G683" s="86"/>
      <c r="H683" s="86"/>
      <c r="I683" s="65"/>
      <c r="J683" s="65"/>
      <c r="K683" s="87"/>
      <c r="L683" s="88"/>
    </row>
    <row r="684" spans="6:12" ht="12.5">
      <c r="F684" s="86"/>
      <c r="G684" s="86"/>
      <c r="H684" s="86"/>
      <c r="I684" s="65"/>
      <c r="J684" s="65"/>
      <c r="K684" s="87"/>
      <c r="L684" s="88"/>
    </row>
    <row r="685" spans="6:12" ht="12.5">
      <c r="F685" s="86"/>
      <c r="G685" s="86"/>
      <c r="H685" s="86"/>
      <c r="I685" s="65"/>
      <c r="J685" s="65"/>
      <c r="K685" s="87"/>
      <c r="L685" s="88"/>
    </row>
    <row r="686" spans="6:12" ht="12.5">
      <c r="F686" s="86"/>
      <c r="G686" s="86"/>
      <c r="H686" s="86"/>
      <c r="I686" s="65"/>
      <c r="J686" s="65"/>
      <c r="K686" s="87"/>
      <c r="L686" s="88"/>
    </row>
    <row r="687" spans="6:12" ht="12.5">
      <c r="F687" s="86"/>
      <c r="G687" s="86"/>
      <c r="H687" s="86"/>
      <c r="I687" s="65"/>
      <c r="J687" s="65"/>
      <c r="K687" s="87"/>
      <c r="L687" s="88"/>
    </row>
    <row r="688" spans="6:12" ht="12.5">
      <c r="F688" s="86"/>
      <c r="G688" s="86"/>
      <c r="H688" s="86"/>
      <c r="I688" s="65"/>
      <c r="J688" s="65"/>
      <c r="K688" s="87"/>
      <c r="L688" s="88"/>
    </row>
    <row r="689" spans="6:12" ht="12.5">
      <c r="F689" s="86"/>
      <c r="G689" s="86"/>
      <c r="H689" s="86"/>
      <c r="I689" s="65"/>
      <c r="J689" s="65"/>
      <c r="K689" s="87"/>
      <c r="L689" s="88"/>
    </row>
    <row r="690" spans="6:12" ht="12.5">
      <c r="F690" s="86"/>
      <c r="G690" s="86"/>
      <c r="H690" s="86"/>
      <c r="I690" s="65"/>
      <c r="J690" s="65"/>
      <c r="K690" s="87"/>
      <c r="L690" s="88"/>
    </row>
    <row r="691" spans="6:12" ht="12.5">
      <c r="F691" s="86"/>
      <c r="G691" s="86"/>
      <c r="H691" s="86"/>
      <c r="I691" s="65"/>
      <c r="J691" s="65"/>
      <c r="K691" s="87"/>
      <c r="L691" s="88"/>
    </row>
    <row r="692" spans="6:12" ht="12.5">
      <c r="F692" s="86"/>
      <c r="G692" s="86"/>
      <c r="H692" s="86"/>
      <c r="I692" s="65"/>
      <c r="J692" s="65"/>
      <c r="K692" s="87"/>
      <c r="L692" s="88"/>
    </row>
    <row r="693" spans="6:12" ht="12.5">
      <c r="F693" s="86"/>
      <c r="G693" s="86"/>
      <c r="H693" s="86"/>
      <c r="I693" s="65"/>
      <c r="J693" s="65"/>
      <c r="K693" s="87"/>
      <c r="L693" s="88"/>
    </row>
    <row r="694" spans="6:12" ht="12.5">
      <c r="F694" s="86"/>
      <c r="G694" s="86"/>
      <c r="H694" s="86"/>
      <c r="I694" s="65"/>
      <c r="J694" s="65"/>
      <c r="K694" s="87"/>
      <c r="L694" s="88"/>
    </row>
    <row r="695" spans="6:12" ht="12.5">
      <c r="F695" s="86"/>
      <c r="G695" s="86"/>
      <c r="H695" s="86"/>
      <c r="I695" s="65"/>
      <c r="J695" s="65"/>
      <c r="K695" s="87"/>
      <c r="L695" s="88"/>
    </row>
    <row r="696" spans="6:12" ht="12.5">
      <c r="F696" s="86"/>
      <c r="G696" s="86"/>
      <c r="H696" s="86"/>
      <c r="I696" s="65"/>
      <c r="J696" s="65"/>
      <c r="K696" s="87"/>
      <c r="L696" s="88"/>
    </row>
    <row r="697" spans="6:12" ht="12.5">
      <c r="F697" s="86"/>
      <c r="G697" s="86"/>
      <c r="H697" s="86"/>
      <c r="I697" s="65"/>
      <c r="J697" s="65"/>
      <c r="K697" s="87"/>
      <c r="L697" s="88"/>
    </row>
    <row r="698" spans="6:12" ht="12.5">
      <c r="F698" s="86"/>
      <c r="G698" s="86"/>
      <c r="H698" s="86"/>
      <c r="I698" s="65"/>
      <c r="J698" s="65"/>
      <c r="K698" s="87"/>
      <c r="L698" s="88"/>
    </row>
    <row r="699" spans="6:12" ht="12.5">
      <c r="F699" s="86"/>
      <c r="G699" s="86"/>
      <c r="H699" s="86"/>
      <c r="I699" s="65"/>
      <c r="J699" s="65"/>
      <c r="K699" s="87"/>
      <c r="L699" s="88"/>
    </row>
    <row r="700" spans="6:12" ht="12.5">
      <c r="F700" s="86"/>
      <c r="G700" s="86"/>
      <c r="H700" s="86"/>
      <c r="I700" s="65"/>
      <c r="J700" s="65"/>
      <c r="K700" s="87"/>
      <c r="L700" s="88"/>
    </row>
    <row r="701" spans="6:12" ht="12.5">
      <c r="F701" s="86"/>
      <c r="G701" s="86"/>
      <c r="H701" s="86"/>
      <c r="I701" s="65"/>
      <c r="J701" s="65"/>
      <c r="K701" s="87"/>
      <c r="L701" s="88"/>
    </row>
    <row r="702" spans="6:12" ht="12.5">
      <c r="F702" s="86"/>
      <c r="G702" s="86"/>
      <c r="H702" s="86"/>
      <c r="I702" s="65"/>
      <c r="J702" s="65"/>
      <c r="K702" s="87"/>
      <c r="L702" s="88"/>
    </row>
    <row r="703" spans="6:12" ht="12.5">
      <c r="F703" s="86"/>
      <c r="G703" s="86"/>
      <c r="H703" s="86"/>
      <c r="I703" s="65"/>
      <c r="J703" s="65"/>
      <c r="K703" s="87"/>
      <c r="L703" s="88"/>
    </row>
    <row r="704" spans="6:12" ht="12.5">
      <c r="F704" s="86"/>
      <c r="G704" s="86"/>
      <c r="H704" s="86"/>
      <c r="I704" s="65"/>
      <c r="J704" s="65"/>
      <c r="K704" s="87"/>
      <c r="L704" s="88"/>
    </row>
    <row r="705" spans="6:12" ht="12.5">
      <c r="F705" s="86"/>
      <c r="G705" s="86"/>
      <c r="H705" s="86"/>
      <c r="I705" s="65"/>
      <c r="J705" s="65"/>
      <c r="K705" s="87"/>
      <c r="L705" s="88"/>
    </row>
    <row r="706" spans="6:12" ht="12.5">
      <c r="F706" s="86"/>
      <c r="G706" s="86"/>
      <c r="H706" s="86"/>
      <c r="I706" s="65"/>
      <c r="J706" s="65"/>
      <c r="K706" s="87"/>
      <c r="L706" s="88"/>
    </row>
    <row r="707" spans="6:12" ht="12.5">
      <c r="F707" s="86"/>
      <c r="G707" s="86"/>
      <c r="H707" s="86"/>
      <c r="I707" s="65"/>
      <c r="J707" s="65"/>
      <c r="K707" s="87"/>
      <c r="L707" s="88"/>
    </row>
    <row r="708" spans="6:12" ht="12.5">
      <c r="F708" s="86"/>
      <c r="G708" s="86"/>
      <c r="H708" s="86"/>
      <c r="I708" s="65"/>
      <c r="J708" s="65"/>
      <c r="K708" s="87"/>
      <c r="L708" s="88"/>
    </row>
    <row r="709" spans="6:12" ht="12.5">
      <c r="F709" s="86"/>
      <c r="G709" s="86"/>
      <c r="H709" s="86"/>
      <c r="I709" s="65"/>
      <c r="J709" s="65"/>
      <c r="K709" s="87"/>
      <c r="L709" s="88"/>
    </row>
    <row r="710" spans="6:12" ht="12.5">
      <c r="F710" s="86"/>
      <c r="G710" s="86"/>
      <c r="H710" s="86"/>
      <c r="I710" s="65"/>
      <c r="J710" s="65"/>
      <c r="K710" s="87"/>
      <c r="L710" s="88"/>
    </row>
    <row r="711" spans="6:12" ht="12.5">
      <c r="F711" s="86"/>
      <c r="G711" s="86"/>
      <c r="H711" s="86"/>
      <c r="I711" s="65"/>
      <c r="J711" s="65"/>
      <c r="K711" s="87"/>
      <c r="L711" s="88"/>
    </row>
    <row r="712" spans="6:12" ht="12.5">
      <c r="F712" s="86"/>
      <c r="G712" s="86"/>
      <c r="H712" s="86"/>
      <c r="I712" s="65"/>
      <c r="J712" s="65"/>
      <c r="K712" s="87"/>
      <c r="L712" s="88"/>
    </row>
    <row r="713" spans="6:12" ht="12.5">
      <c r="F713" s="86"/>
      <c r="G713" s="86"/>
      <c r="H713" s="86"/>
      <c r="I713" s="65"/>
      <c r="J713" s="65"/>
      <c r="K713" s="87"/>
      <c r="L713" s="88"/>
    </row>
    <row r="714" spans="6:12" ht="12.5">
      <c r="F714" s="86"/>
      <c r="G714" s="86"/>
      <c r="H714" s="86"/>
      <c r="I714" s="65"/>
      <c r="J714" s="65"/>
      <c r="K714" s="87"/>
      <c r="L714" s="88"/>
    </row>
    <row r="715" spans="6:12" ht="12.5">
      <c r="F715" s="86"/>
      <c r="G715" s="86"/>
      <c r="H715" s="86"/>
      <c r="I715" s="65"/>
      <c r="J715" s="65"/>
      <c r="K715" s="87"/>
      <c r="L715" s="88"/>
    </row>
    <row r="716" spans="6:12" ht="12.5">
      <c r="F716" s="86"/>
      <c r="G716" s="86"/>
      <c r="H716" s="86"/>
      <c r="I716" s="65"/>
      <c r="J716" s="65"/>
      <c r="K716" s="87"/>
      <c r="L716" s="88"/>
    </row>
    <row r="717" spans="6:12" ht="12.5">
      <c r="F717" s="86"/>
      <c r="G717" s="86"/>
      <c r="H717" s="86"/>
      <c r="I717" s="65"/>
      <c r="J717" s="65"/>
      <c r="K717" s="87"/>
      <c r="L717" s="88"/>
    </row>
    <row r="718" spans="6:12" ht="12.5">
      <c r="F718" s="86"/>
      <c r="G718" s="86"/>
      <c r="H718" s="86"/>
      <c r="I718" s="65"/>
      <c r="J718" s="65"/>
      <c r="K718" s="87"/>
      <c r="L718" s="88"/>
    </row>
    <row r="719" spans="6:12" ht="12.5">
      <c r="F719" s="86"/>
      <c r="G719" s="86"/>
      <c r="H719" s="86"/>
      <c r="I719" s="65"/>
      <c r="J719" s="65"/>
      <c r="K719" s="87"/>
      <c r="L719" s="88"/>
    </row>
    <row r="720" spans="6:12" ht="12.5">
      <c r="F720" s="86"/>
      <c r="G720" s="86"/>
      <c r="H720" s="86"/>
      <c r="I720" s="65"/>
      <c r="J720" s="65"/>
      <c r="K720" s="87"/>
      <c r="L720" s="88"/>
    </row>
    <row r="721" spans="6:12" ht="12.5">
      <c r="F721" s="86"/>
      <c r="G721" s="86"/>
      <c r="H721" s="86"/>
      <c r="I721" s="65"/>
      <c r="J721" s="65"/>
      <c r="K721" s="87"/>
      <c r="L721" s="88"/>
    </row>
    <row r="722" spans="6:12" ht="12.5">
      <c r="F722" s="86"/>
      <c r="G722" s="86"/>
      <c r="H722" s="86"/>
      <c r="I722" s="65"/>
      <c r="J722" s="65"/>
      <c r="K722" s="87"/>
      <c r="L722" s="88"/>
    </row>
    <row r="723" spans="6:12" ht="12.5">
      <c r="F723" s="86"/>
      <c r="G723" s="86"/>
      <c r="H723" s="86"/>
      <c r="I723" s="65"/>
      <c r="J723" s="65"/>
      <c r="K723" s="87"/>
      <c r="L723" s="88"/>
    </row>
    <row r="724" spans="6:12" ht="12.5">
      <c r="F724" s="86"/>
      <c r="G724" s="86"/>
      <c r="H724" s="86"/>
      <c r="I724" s="65"/>
      <c r="J724" s="65"/>
      <c r="K724" s="87"/>
      <c r="L724" s="88"/>
    </row>
    <row r="725" spans="6:12" ht="12.5">
      <c r="F725" s="86"/>
      <c r="G725" s="86"/>
      <c r="H725" s="86"/>
      <c r="I725" s="65"/>
      <c r="J725" s="65"/>
      <c r="K725" s="87"/>
      <c r="L725" s="88"/>
    </row>
    <row r="726" spans="6:12" ht="12.5">
      <c r="F726" s="86"/>
      <c r="G726" s="86"/>
      <c r="H726" s="86"/>
      <c r="I726" s="65"/>
      <c r="J726" s="65"/>
      <c r="K726" s="87"/>
      <c r="L726" s="88"/>
    </row>
    <row r="727" spans="6:12" ht="12.5">
      <c r="F727" s="86"/>
      <c r="G727" s="86"/>
      <c r="H727" s="86"/>
      <c r="I727" s="65"/>
      <c r="J727" s="65"/>
      <c r="K727" s="87"/>
      <c r="L727" s="88"/>
    </row>
    <row r="728" spans="6:12" ht="12.5">
      <c r="F728" s="86"/>
      <c r="G728" s="86"/>
      <c r="H728" s="86"/>
      <c r="I728" s="65"/>
      <c r="J728" s="65"/>
      <c r="K728" s="87"/>
      <c r="L728" s="88"/>
    </row>
    <row r="729" spans="6:12" ht="12.5">
      <c r="F729" s="86"/>
      <c r="G729" s="86"/>
      <c r="H729" s="86"/>
      <c r="I729" s="65"/>
      <c r="J729" s="65"/>
      <c r="K729" s="87"/>
      <c r="L729" s="88"/>
    </row>
    <row r="730" spans="6:12" ht="12.5">
      <c r="F730" s="86"/>
      <c r="G730" s="86"/>
      <c r="H730" s="86"/>
      <c r="I730" s="65"/>
      <c r="J730" s="65"/>
      <c r="K730" s="87"/>
      <c r="L730" s="88"/>
    </row>
    <row r="731" spans="6:12" ht="12.5">
      <c r="F731" s="86"/>
      <c r="G731" s="86"/>
      <c r="H731" s="86"/>
      <c r="I731" s="65"/>
      <c r="J731" s="65"/>
      <c r="K731" s="87"/>
      <c r="L731" s="88"/>
    </row>
    <row r="732" spans="6:12" ht="12.5">
      <c r="F732" s="86"/>
      <c r="G732" s="86"/>
      <c r="H732" s="86"/>
      <c r="I732" s="65"/>
      <c r="J732" s="65"/>
      <c r="K732" s="87"/>
      <c r="L732" s="88"/>
    </row>
    <row r="733" spans="6:12" ht="12.5">
      <c r="F733" s="86"/>
      <c r="G733" s="86"/>
      <c r="H733" s="86"/>
      <c r="I733" s="65"/>
      <c r="J733" s="65"/>
      <c r="K733" s="87"/>
      <c r="L733" s="88"/>
    </row>
    <row r="734" spans="6:12" ht="12.5">
      <c r="F734" s="86"/>
      <c r="G734" s="86"/>
      <c r="H734" s="86"/>
      <c r="I734" s="65"/>
      <c r="J734" s="65"/>
      <c r="K734" s="87"/>
      <c r="L734" s="88"/>
    </row>
    <row r="735" spans="6:12" ht="12.5">
      <c r="F735" s="86"/>
      <c r="G735" s="86"/>
      <c r="H735" s="86"/>
      <c r="I735" s="65"/>
      <c r="J735" s="65"/>
      <c r="K735" s="87"/>
      <c r="L735" s="88"/>
    </row>
    <row r="736" spans="6:12" ht="12.5">
      <c r="F736" s="86"/>
      <c r="G736" s="86"/>
      <c r="H736" s="86"/>
      <c r="I736" s="65"/>
      <c r="J736" s="65"/>
      <c r="K736" s="87"/>
      <c r="L736" s="88"/>
    </row>
    <row r="737" spans="6:12" ht="12.5">
      <c r="F737" s="86"/>
      <c r="G737" s="86"/>
      <c r="H737" s="86"/>
      <c r="I737" s="65"/>
      <c r="J737" s="65"/>
      <c r="K737" s="87"/>
      <c r="L737" s="88"/>
    </row>
    <row r="738" spans="6:12" ht="12.5">
      <c r="F738" s="86"/>
      <c r="G738" s="86"/>
      <c r="H738" s="86"/>
      <c r="I738" s="65"/>
      <c r="J738" s="65"/>
      <c r="K738" s="87"/>
      <c r="L738" s="88"/>
    </row>
    <row r="739" spans="6:12" ht="12.5">
      <c r="F739" s="86"/>
      <c r="G739" s="86"/>
      <c r="H739" s="86"/>
      <c r="I739" s="65"/>
      <c r="J739" s="65"/>
      <c r="K739" s="87"/>
      <c r="L739" s="88"/>
    </row>
    <row r="740" spans="6:12" ht="12.5">
      <c r="F740" s="86"/>
      <c r="G740" s="86"/>
      <c r="H740" s="86"/>
      <c r="I740" s="65"/>
      <c r="J740" s="65"/>
      <c r="K740" s="87"/>
      <c r="L740" s="88"/>
    </row>
    <row r="741" spans="6:12" ht="12.5">
      <c r="F741" s="86"/>
      <c r="G741" s="86"/>
      <c r="H741" s="86"/>
      <c r="I741" s="65"/>
      <c r="J741" s="65"/>
      <c r="K741" s="87"/>
      <c r="L741" s="88"/>
    </row>
    <row r="742" spans="6:12" ht="12.5">
      <c r="F742" s="86"/>
      <c r="G742" s="86"/>
      <c r="H742" s="86"/>
      <c r="I742" s="65"/>
      <c r="J742" s="65"/>
      <c r="K742" s="87"/>
      <c r="L742" s="88"/>
    </row>
    <row r="743" spans="6:12" ht="12.5">
      <c r="F743" s="86"/>
      <c r="G743" s="86"/>
      <c r="H743" s="86"/>
      <c r="I743" s="65"/>
      <c r="J743" s="65"/>
      <c r="K743" s="87"/>
      <c r="L743" s="88"/>
    </row>
    <row r="744" spans="6:12" ht="12.5">
      <c r="F744" s="86"/>
      <c r="G744" s="86"/>
      <c r="H744" s="86"/>
      <c r="I744" s="65"/>
      <c r="J744" s="65"/>
      <c r="K744" s="87"/>
      <c r="L744" s="88"/>
    </row>
    <row r="745" spans="6:12" ht="12.5">
      <c r="F745" s="86"/>
      <c r="G745" s="86"/>
      <c r="H745" s="86"/>
      <c r="I745" s="65"/>
      <c r="J745" s="65"/>
      <c r="K745" s="87"/>
      <c r="L745" s="88"/>
    </row>
    <row r="746" spans="6:12" ht="12.5">
      <c r="F746" s="86"/>
      <c r="G746" s="86"/>
      <c r="H746" s="86"/>
      <c r="I746" s="65"/>
      <c r="J746" s="65"/>
      <c r="K746" s="87"/>
      <c r="L746" s="88"/>
    </row>
    <row r="747" spans="6:12" ht="12.5">
      <c r="F747" s="86"/>
      <c r="G747" s="86"/>
      <c r="H747" s="86"/>
      <c r="I747" s="65"/>
      <c r="J747" s="65"/>
      <c r="K747" s="87"/>
      <c r="L747" s="88"/>
    </row>
    <row r="748" spans="6:12" ht="12.5">
      <c r="F748" s="86"/>
      <c r="G748" s="86"/>
      <c r="H748" s="86"/>
      <c r="I748" s="65"/>
      <c r="J748" s="65"/>
      <c r="K748" s="87"/>
      <c r="L748" s="88"/>
    </row>
    <row r="749" spans="6:12" ht="12.5">
      <c r="F749" s="86"/>
      <c r="G749" s="86"/>
      <c r="H749" s="86"/>
      <c r="I749" s="65"/>
      <c r="J749" s="65"/>
      <c r="K749" s="87"/>
      <c r="L749" s="88"/>
    </row>
    <row r="750" spans="6:12" ht="12.5">
      <c r="F750" s="86"/>
      <c r="G750" s="86"/>
      <c r="H750" s="86"/>
      <c r="I750" s="65"/>
      <c r="J750" s="65"/>
      <c r="K750" s="87"/>
      <c r="L750" s="88"/>
    </row>
    <row r="751" spans="6:12" ht="12.5">
      <c r="F751" s="86"/>
      <c r="G751" s="86"/>
      <c r="H751" s="86"/>
      <c r="I751" s="65"/>
      <c r="J751" s="65"/>
      <c r="K751" s="87"/>
      <c r="L751" s="88"/>
    </row>
    <row r="752" spans="6:12" ht="12.5">
      <c r="F752" s="86"/>
      <c r="G752" s="86"/>
      <c r="H752" s="86"/>
      <c r="I752" s="65"/>
      <c r="J752" s="65"/>
      <c r="K752" s="87"/>
      <c r="L752" s="88"/>
    </row>
    <row r="753" spans="6:12" ht="12.5">
      <c r="F753" s="86"/>
      <c r="G753" s="86"/>
      <c r="H753" s="86"/>
      <c r="I753" s="65"/>
      <c r="J753" s="65"/>
      <c r="K753" s="87"/>
      <c r="L753" s="88"/>
    </row>
    <row r="754" spans="6:12" ht="12.5">
      <c r="F754" s="86"/>
      <c r="G754" s="86"/>
      <c r="H754" s="86"/>
      <c r="I754" s="65"/>
      <c r="J754" s="65"/>
      <c r="K754" s="87"/>
      <c r="L754" s="88"/>
    </row>
    <row r="755" spans="6:12" ht="12.5">
      <c r="F755" s="86"/>
      <c r="G755" s="86"/>
      <c r="H755" s="86"/>
      <c r="I755" s="65"/>
      <c r="J755" s="65"/>
      <c r="K755" s="87"/>
      <c r="L755" s="88"/>
    </row>
    <row r="756" spans="6:12" ht="12.5">
      <c r="F756" s="86"/>
      <c r="G756" s="86"/>
      <c r="H756" s="86"/>
      <c r="I756" s="65"/>
      <c r="J756" s="65"/>
      <c r="K756" s="87"/>
      <c r="L756" s="88"/>
    </row>
    <row r="757" spans="6:12" ht="12.5">
      <c r="F757" s="86"/>
      <c r="G757" s="86"/>
      <c r="H757" s="86"/>
      <c r="I757" s="65"/>
      <c r="J757" s="65"/>
      <c r="K757" s="87"/>
      <c r="L757" s="88"/>
    </row>
    <row r="758" spans="6:12" ht="12.5">
      <c r="F758" s="86"/>
      <c r="G758" s="86"/>
      <c r="H758" s="86"/>
      <c r="I758" s="65"/>
      <c r="J758" s="65"/>
      <c r="K758" s="87"/>
      <c r="L758" s="88"/>
    </row>
    <row r="759" spans="6:12" ht="12.5">
      <c r="F759" s="86"/>
      <c r="G759" s="86"/>
      <c r="H759" s="86"/>
      <c r="I759" s="65"/>
      <c r="J759" s="65"/>
      <c r="K759" s="87"/>
      <c r="L759" s="88"/>
    </row>
    <row r="760" spans="6:12" ht="12.5">
      <c r="F760" s="86"/>
      <c r="G760" s="86"/>
      <c r="H760" s="86"/>
      <c r="I760" s="65"/>
      <c r="J760" s="65"/>
      <c r="K760" s="87"/>
      <c r="L760" s="88"/>
    </row>
    <row r="761" spans="6:12" ht="12.5">
      <c r="F761" s="86"/>
      <c r="G761" s="86"/>
      <c r="H761" s="86"/>
      <c r="I761" s="65"/>
      <c r="J761" s="65"/>
      <c r="K761" s="87"/>
      <c r="L761" s="88"/>
    </row>
    <row r="762" spans="6:12" ht="12.5">
      <c r="F762" s="86"/>
      <c r="G762" s="86"/>
      <c r="H762" s="86"/>
      <c r="I762" s="65"/>
      <c r="J762" s="65"/>
      <c r="K762" s="87"/>
      <c r="L762" s="88"/>
    </row>
    <row r="763" spans="6:12" ht="12.5">
      <c r="F763" s="86"/>
      <c r="G763" s="86"/>
      <c r="H763" s="86"/>
      <c r="I763" s="65"/>
      <c r="J763" s="65"/>
      <c r="K763" s="87"/>
      <c r="L763" s="88"/>
    </row>
    <row r="764" spans="6:12" ht="12.5">
      <c r="F764" s="86"/>
      <c r="G764" s="86"/>
      <c r="H764" s="86"/>
      <c r="I764" s="65"/>
      <c r="J764" s="65"/>
      <c r="K764" s="87"/>
      <c r="L764" s="88"/>
    </row>
    <row r="765" spans="6:12" ht="12.5">
      <c r="F765" s="86"/>
      <c r="G765" s="86"/>
      <c r="H765" s="86"/>
      <c r="I765" s="65"/>
      <c r="J765" s="65"/>
      <c r="K765" s="87"/>
      <c r="L765" s="88"/>
    </row>
    <row r="766" spans="6:12" ht="12.5">
      <c r="F766" s="86"/>
      <c r="G766" s="86"/>
      <c r="H766" s="86"/>
      <c r="I766" s="65"/>
      <c r="J766" s="65"/>
      <c r="K766" s="87"/>
      <c r="L766" s="88"/>
    </row>
    <row r="767" spans="6:12" ht="12.5">
      <c r="F767" s="86"/>
      <c r="G767" s="86"/>
      <c r="H767" s="86"/>
      <c r="I767" s="65"/>
      <c r="J767" s="65"/>
      <c r="K767" s="87"/>
      <c r="L767" s="88"/>
    </row>
    <row r="768" spans="6:12" ht="12.5">
      <c r="F768" s="86"/>
      <c r="G768" s="86"/>
      <c r="H768" s="86"/>
      <c r="I768" s="65"/>
      <c r="J768" s="65"/>
      <c r="K768" s="87"/>
      <c r="L768" s="88"/>
    </row>
    <row r="769" spans="6:12" ht="12.5">
      <c r="F769" s="86"/>
      <c r="G769" s="86"/>
      <c r="H769" s="86"/>
      <c r="I769" s="65"/>
      <c r="J769" s="65"/>
      <c r="K769" s="87"/>
      <c r="L769" s="88"/>
    </row>
    <row r="770" spans="6:12" ht="12.5">
      <c r="F770" s="86"/>
      <c r="G770" s="86"/>
      <c r="H770" s="86"/>
      <c r="I770" s="65"/>
      <c r="J770" s="65"/>
      <c r="K770" s="87"/>
      <c r="L770" s="88"/>
    </row>
    <row r="771" spans="6:12" ht="12.5">
      <c r="F771" s="86"/>
      <c r="G771" s="86"/>
      <c r="H771" s="86"/>
      <c r="I771" s="65"/>
      <c r="J771" s="65"/>
      <c r="K771" s="87"/>
      <c r="L771" s="88"/>
    </row>
    <row r="772" spans="6:12" ht="12.5">
      <c r="F772" s="86"/>
      <c r="G772" s="86"/>
      <c r="H772" s="86"/>
      <c r="I772" s="65"/>
      <c r="J772" s="65"/>
      <c r="K772" s="87"/>
      <c r="L772" s="88"/>
    </row>
    <row r="773" spans="6:12" ht="12.5">
      <c r="F773" s="86"/>
      <c r="G773" s="86"/>
      <c r="H773" s="86"/>
      <c r="I773" s="65"/>
      <c r="J773" s="65"/>
      <c r="K773" s="87"/>
      <c r="L773" s="88"/>
    </row>
    <row r="774" spans="6:12" ht="12.5">
      <c r="F774" s="86"/>
      <c r="G774" s="86"/>
      <c r="H774" s="86"/>
      <c r="I774" s="65"/>
      <c r="J774" s="65"/>
      <c r="K774" s="87"/>
      <c r="L774" s="88"/>
    </row>
    <row r="775" spans="6:12" ht="12.5">
      <c r="F775" s="86"/>
      <c r="G775" s="86"/>
      <c r="H775" s="86"/>
      <c r="I775" s="65"/>
      <c r="J775" s="65"/>
      <c r="K775" s="87"/>
      <c r="L775" s="88"/>
    </row>
    <row r="776" spans="6:12" ht="12.5">
      <c r="F776" s="86"/>
      <c r="G776" s="86"/>
      <c r="H776" s="86"/>
      <c r="I776" s="65"/>
      <c r="J776" s="65"/>
      <c r="K776" s="87"/>
      <c r="L776" s="88"/>
    </row>
    <row r="777" spans="6:12" ht="12.5">
      <c r="F777" s="86"/>
      <c r="G777" s="86"/>
      <c r="H777" s="86"/>
      <c r="I777" s="65"/>
      <c r="J777" s="65"/>
      <c r="K777" s="87"/>
      <c r="L777" s="88"/>
    </row>
    <row r="778" spans="6:12" ht="12.5">
      <c r="F778" s="86"/>
      <c r="G778" s="86"/>
      <c r="H778" s="86"/>
      <c r="I778" s="65"/>
      <c r="J778" s="65"/>
      <c r="K778" s="87"/>
      <c r="L778" s="88"/>
    </row>
    <row r="779" spans="6:12" ht="12.5">
      <c r="F779" s="86"/>
      <c r="G779" s="86"/>
      <c r="H779" s="86"/>
      <c r="I779" s="65"/>
      <c r="J779" s="65"/>
      <c r="K779" s="87"/>
      <c r="L779" s="88"/>
    </row>
    <row r="780" spans="6:12" ht="12.5">
      <c r="F780" s="86"/>
      <c r="G780" s="86"/>
      <c r="H780" s="86"/>
      <c r="I780" s="65"/>
      <c r="J780" s="65"/>
      <c r="K780" s="87"/>
      <c r="L780" s="88"/>
    </row>
    <row r="781" spans="6:12" ht="12.5">
      <c r="F781" s="86"/>
      <c r="G781" s="86"/>
      <c r="H781" s="86"/>
      <c r="I781" s="65"/>
      <c r="J781" s="65"/>
      <c r="K781" s="87"/>
      <c r="L781" s="88"/>
    </row>
    <row r="782" spans="6:12" ht="12.5">
      <c r="F782" s="86"/>
      <c r="G782" s="86"/>
      <c r="H782" s="86"/>
      <c r="I782" s="65"/>
      <c r="J782" s="65"/>
      <c r="K782" s="87"/>
      <c r="L782" s="88"/>
    </row>
    <row r="783" spans="6:12" ht="12.5">
      <c r="F783" s="86"/>
      <c r="G783" s="86"/>
      <c r="H783" s="86"/>
      <c r="I783" s="65"/>
      <c r="J783" s="65"/>
      <c r="K783" s="87"/>
      <c r="L783" s="88"/>
    </row>
    <row r="784" spans="6:12" ht="12.5">
      <c r="F784" s="86"/>
      <c r="G784" s="86"/>
      <c r="H784" s="86"/>
      <c r="I784" s="65"/>
      <c r="J784" s="65"/>
      <c r="K784" s="87"/>
      <c r="L784" s="88"/>
    </row>
    <row r="785" spans="6:12" ht="12.5">
      <c r="F785" s="86"/>
      <c r="G785" s="86"/>
      <c r="H785" s="86"/>
      <c r="I785" s="65"/>
      <c r="J785" s="65"/>
      <c r="K785" s="87"/>
      <c r="L785" s="88"/>
    </row>
    <row r="786" spans="6:12" ht="12.5">
      <c r="F786" s="86"/>
      <c r="G786" s="86"/>
      <c r="H786" s="86"/>
      <c r="I786" s="65"/>
      <c r="J786" s="65"/>
      <c r="K786" s="87"/>
      <c r="L786" s="88"/>
    </row>
    <row r="787" spans="6:12" ht="12.5">
      <c r="F787" s="86"/>
      <c r="G787" s="86"/>
      <c r="H787" s="86"/>
      <c r="I787" s="65"/>
      <c r="J787" s="65"/>
      <c r="K787" s="87"/>
      <c r="L787" s="88"/>
    </row>
    <row r="788" spans="6:12" ht="12.5">
      <c r="F788" s="86"/>
      <c r="G788" s="86"/>
      <c r="H788" s="86"/>
      <c r="I788" s="65"/>
      <c r="J788" s="65"/>
      <c r="K788" s="87"/>
      <c r="L788" s="88"/>
    </row>
    <row r="789" spans="6:12" ht="12.5">
      <c r="F789" s="86"/>
      <c r="G789" s="86"/>
      <c r="H789" s="86"/>
      <c r="I789" s="65"/>
      <c r="J789" s="65"/>
      <c r="K789" s="87"/>
      <c r="L789" s="88"/>
    </row>
    <row r="790" spans="6:12" ht="12.5">
      <c r="F790" s="86"/>
      <c r="G790" s="86"/>
      <c r="H790" s="86"/>
      <c r="I790" s="65"/>
      <c r="J790" s="65"/>
      <c r="K790" s="87"/>
      <c r="L790" s="88"/>
    </row>
    <row r="791" spans="6:12" ht="12.5">
      <c r="F791" s="86"/>
      <c r="G791" s="86"/>
      <c r="H791" s="86"/>
      <c r="I791" s="65"/>
      <c r="J791" s="65"/>
      <c r="K791" s="87"/>
      <c r="L791" s="88"/>
    </row>
    <row r="792" spans="6:12" ht="12.5">
      <c r="F792" s="86"/>
      <c r="G792" s="86"/>
      <c r="H792" s="86"/>
      <c r="I792" s="65"/>
      <c r="J792" s="65"/>
      <c r="K792" s="87"/>
      <c r="L792" s="88"/>
    </row>
    <row r="793" spans="6:12" ht="12.5">
      <c r="F793" s="86"/>
      <c r="G793" s="86"/>
      <c r="H793" s="86"/>
      <c r="I793" s="65"/>
      <c r="J793" s="65"/>
      <c r="K793" s="87"/>
      <c r="L793" s="88"/>
    </row>
    <row r="794" spans="6:12" ht="12.5">
      <c r="F794" s="86"/>
      <c r="G794" s="86"/>
      <c r="H794" s="86"/>
      <c r="I794" s="65"/>
      <c r="J794" s="65"/>
      <c r="K794" s="87"/>
      <c r="L794" s="88"/>
    </row>
    <row r="795" spans="6:12" ht="12.5">
      <c r="F795" s="86"/>
      <c r="G795" s="86"/>
      <c r="H795" s="86"/>
      <c r="I795" s="65"/>
      <c r="J795" s="65"/>
      <c r="K795" s="87"/>
      <c r="L795" s="88"/>
    </row>
    <row r="796" spans="6:12" ht="12.5">
      <c r="F796" s="86"/>
      <c r="G796" s="86"/>
      <c r="H796" s="86"/>
      <c r="I796" s="65"/>
      <c r="J796" s="65"/>
      <c r="K796" s="87"/>
      <c r="L796" s="88"/>
    </row>
    <row r="797" spans="6:12" ht="12.5">
      <c r="F797" s="86"/>
      <c r="G797" s="86"/>
      <c r="H797" s="86"/>
      <c r="I797" s="65"/>
      <c r="J797" s="65"/>
      <c r="K797" s="87"/>
      <c r="L797" s="88"/>
    </row>
    <row r="798" spans="6:12" ht="12.5">
      <c r="F798" s="86"/>
      <c r="G798" s="86"/>
      <c r="H798" s="86"/>
      <c r="I798" s="65"/>
      <c r="J798" s="65"/>
      <c r="K798" s="87"/>
      <c r="L798" s="88"/>
    </row>
    <row r="799" spans="6:12" ht="12.5">
      <c r="F799" s="86"/>
      <c r="G799" s="86"/>
      <c r="H799" s="86"/>
      <c r="I799" s="65"/>
      <c r="J799" s="65"/>
      <c r="K799" s="87"/>
      <c r="L799" s="88"/>
    </row>
    <row r="800" spans="6:12" ht="12.5">
      <c r="F800" s="86"/>
      <c r="G800" s="86"/>
      <c r="H800" s="86"/>
      <c r="I800" s="65"/>
      <c r="J800" s="65"/>
      <c r="K800" s="87"/>
      <c r="L800" s="88"/>
    </row>
    <row r="801" spans="6:12" ht="12.5">
      <c r="F801" s="86"/>
      <c r="G801" s="86"/>
      <c r="H801" s="86"/>
      <c r="I801" s="65"/>
      <c r="J801" s="65"/>
      <c r="K801" s="87"/>
      <c r="L801" s="88"/>
    </row>
    <row r="802" spans="6:12" ht="12.5">
      <c r="F802" s="86"/>
      <c r="G802" s="86"/>
      <c r="H802" s="86"/>
      <c r="I802" s="65"/>
      <c r="J802" s="65"/>
      <c r="K802" s="87"/>
      <c r="L802" s="88"/>
    </row>
    <row r="803" spans="6:12" ht="12.5">
      <c r="F803" s="86"/>
      <c r="G803" s="86"/>
      <c r="H803" s="86"/>
      <c r="I803" s="65"/>
      <c r="J803" s="65"/>
      <c r="K803" s="87"/>
      <c r="L803" s="88"/>
    </row>
    <row r="804" spans="6:12" ht="12.5">
      <c r="F804" s="86"/>
      <c r="G804" s="86"/>
      <c r="H804" s="86"/>
      <c r="I804" s="65"/>
      <c r="J804" s="65"/>
      <c r="K804" s="87"/>
      <c r="L804" s="88"/>
    </row>
    <row r="805" spans="6:12" ht="12.5">
      <c r="F805" s="86"/>
      <c r="G805" s="86"/>
      <c r="H805" s="86"/>
      <c r="I805" s="65"/>
      <c r="J805" s="65"/>
      <c r="K805" s="87"/>
      <c r="L805" s="88"/>
    </row>
    <row r="806" spans="6:12" ht="12.5">
      <c r="F806" s="86"/>
      <c r="G806" s="86"/>
      <c r="H806" s="86"/>
      <c r="I806" s="65"/>
      <c r="J806" s="65"/>
      <c r="K806" s="87"/>
      <c r="L806" s="88"/>
    </row>
    <row r="807" spans="6:12" ht="12.5">
      <c r="F807" s="86"/>
      <c r="G807" s="86"/>
      <c r="H807" s="86"/>
      <c r="I807" s="65"/>
      <c r="J807" s="65"/>
      <c r="K807" s="87"/>
      <c r="L807" s="88"/>
    </row>
    <row r="808" spans="6:12" ht="12.5">
      <c r="F808" s="86"/>
      <c r="G808" s="86"/>
      <c r="H808" s="86"/>
      <c r="I808" s="65"/>
      <c r="J808" s="65"/>
      <c r="K808" s="87"/>
      <c r="L808" s="88"/>
    </row>
    <row r="809" spans="6:12" ht="12.5">
      <c r="F809" s="86"/>
      <c r="G809" s="86"/>
      <c r="H809" s="86"/>
      <c r="I809" s="65"/>
      <c r="J809" s="65"/>
      <c r="K809" s="87"/>
      <c r="L809" s="88"/>
    </row>
    <row r="810" spans="6:12" ht="12.5">
      <c r="F810" s="86"/>
      <c r="G810" s="86"/>
      <c r="H810" s="86"/>
      <c r="I810" s="65"/>
      <c r="J810" s="65"/>
      <c r="K810" s="87"/>
      <c r="L810" s="88"/>
    </row>
    <row r="811" spans="6:12" ht="12.5">
      <c r="F811" s="86"/>
      <c r="G811" s="86"/>
      <c r="H811" s="86"/>
      <c r="I811" s="65"/>
      <c r="J811" s="65"/>
      <c r="K811" s="87"/>
      <c r="L811" s="88"/>
    </row>
    <row r="812" spans="6:12" ht="12.5">
      <c r="F812" s="86"/>
      <c r="G812" s="86"/>
      <c r="H812" s="86"/>
      <c r="I812" s="65"/>
      <c r="J812" s="65"/>
      <c r="K812" s="87"/>
      <c r="L812" s="88"/>
    </row>
    <row r="813" spans="6:12" ht="12.5">
      <c r="F813" s="86"/>
      <c r="G813" s="86"/>
      <c r="H813" s="86"/>
      <c r="I813" s="65"/>
      <c r="J813" s="65"/>
      <c r="K813" s="87"/>
      <c r="L813" s="88"/>
    </row>
    <row r="814" spans="6:12" ht="12.5">
      <c r="F814" s="86"/>
      <c r="G814" s="86"/>
      <c r="H814" s="86"/>
      <c r="I814" s="65"/>
      <c r="J814" s="65"/>
      <c r="K814" s="87"/>
      <c r="L814" s="88"/>
    </row>
    <row r="815" spans="6:12" ht="12.5">
      <c r="F815" s="86"/>
      <c r="G815" s="86"/>
      <c r="H815" s="86"/>
      <c r="I815" s="65"/>
      <c r="J815" s="65"/>
      <c r="K815" s="87"/>
      <c r="L815" s="88"/>
    </row>
    <row r="816" spans="6:12" ht="12.5">
      <c r="F816" s="86"/>
      <c r="G816" s="86"/>
      <c r="H816" s="86"/>
      <c r="I816" s="65"/>
      <c r="J816" s="65"/>
      <c r="K816" s="87"/>
      <c r="L816" s="88"/>
    </row>
    <row r="817" spans="6:12" ht="12.5">
      <c r="F817" s="86"/>
      <c r="G817" s="86"/>
      <c r="H817" s="86"/>
      <c r="I817" s="65"/>
      <c r="J817" s="65"/>
      <c r="K817" s="87"/>
      <c r="L817" s="88"/>
    </row>
    <row r="818" spans="6:12" ht="12.5">
      <c r="F818" s="86"/>
      <c r="G818" s="86"/>
      <c r="H818" s="86"/>
      <c r="I818" s="65"/>
      <c r="J818" s="65"/>
      <c r="K818" s="87"/>
      <c r="L818" s="88"/>
    </row>
    <row r="819" spans="6:12" ht="12.5">
      <c r="F819" s="86"/>
      <c r="G819" s="86"/>
      <c r="H819" s="86"/>
      <c r="I819" s="65"/>
      <c r="J819" s="65"/>
      <c r="K819" s="87"/>
      <c r="L819" s="88"/>
    </row>
    <row r="820" spans="6:12" ht="12.5">
      <c r="F820" s="86"/>
      <c r="G820" s="86"/>
      <c r="H820" s="86"/>
      <c r="I820" s="65"/>
      <c r="J820" s="65"/>
      <c r="K820" s="87"/>
      <c r="L820" s="88"/>
    </row>
    <row r="821" spans="6:12" ht="12.5">
      <c r="F821" s="86"/>
      <c r="G821" s="86"/>
      <c r="H821" s="86"/>
      <c r="I821" s="65"/>
      <c r="J821" s="65"/>
      <c r="K821" s="87"/>
      <c r="L821" s="88"/>
    </row>
    <row r="822" spans="6:12" ht="12.5">
      <c r="F822" s="86"/>
      <c r="G822" s="86"/>
      <c r="H822" s="86"/>
      <c r="I822" s="65"/>
      <c r="J822" s="65"/>
      <c r="K822" s="87"/>
      <c r="L822" s="88"/>
    </row>
    <row r="823" spans="6:12" ht="12.5">
      <c r="F823" s="86"/>
      <c r="G823" s="86"/>
      <c r="H823" s="86"/>
      <c r="I823" s="65"/>
      <c r="J823" s="65"/>
      <c r="K823" s="87"/>
      <c r="L823" s="88"/>
    </row>
    <row r="824" spans="6:12" ht="12.5">
      <c r="F824" s="86"/>
      <c r="G824" s="86"/>
      <c r="H824" s="86"/>
      <c r="I824" s="65"/>
      <c r="J824" s="65"/>
      <c r="K824" s="87"/>
      <c r="L824" s="88"/>
    </row>
    <row r="825" spans="6:12" ht="12.5">
      <c r="F825" s="86"/>
      <c r="G825" s="86"/>
      <c r="H825" s="86"/>
      <c r="I825" s="65"/>
      <c r="J825" s="65"/>
      <c r="K825" s="87"/>
      <c r="L825" s="88"/>
    </row>
    <row r="826" spans="6:12" ht="12.5">
      <c r="F826" s="86"/>
      <c r="G826" s="86"/>
      <c r="H826" s="86"/>
      <c r="I826" s="65"/>
      <c r="J826" s="65"/>
      <c r="K826" s="87"/>
      <c r="L826" s="88"/>
    </row>
    <row r="827" spans="6:12" ht="12.5">
      <c r="F827" s="86"/>
      <c r="G827" s="86"/>
      <c r="H827" s="86"/>
      <c r="I827" s="65"/>
      <c r="J827" s="65"/>
      <c r="K827" s="87"/>
      <c r="L827" s="88"/>
    </row>
    <row r="828" spans="6:12" ht="12.5">
      <c r="F828" s="86"/>
      <c r="G828" s="86"/>
      <c r="H828" s="86"/>
      <c r="I828" s="65"/>
      <c r="J828" s="65"/>
      <c r="K828" s="87"/>
      <c r="L828" s="88"/>
    </row>
    <row r="829" spans="6:12" ht="12.5">
      <c r="F829" s="86"/>
      <c r="G829" s="86"/>
      <c r="H829" s="86"/>
      <c r="I829" s="65"/>
      <c r="J829" s="65"/>
      <c r="K829" s="87"/>
      <c r="L829" s="88"/>
    </row>
    <row r="830" spans="6:12" ht="12.5">
      <c r="F830" s="86"/>
      <c r="G830" s="86"/>
      <c r="H830" s="86"/>
      <c r="I830" s="65"/>
      <c r="J830" s="65"/>
      <c r="K830" s="87"/>
      <c r="L830" s="88"/>
    </row>
    <row r="831" spans="6:12" ht="12.5">
      <c r="F831" s="86"/>
      <c r="G831" s="86"/>
      <c r="H831" s="86"/>
      <c r="I831" s="65"/>
      <c r="J831" s="65"/>
      <c r="K831" s="87"/>
      <c r="L831" s="88"/>
    </row>
    <row r="832" spans="6:12" ht="12.5">
      <c r="F832" s="86"/>
      <c r="G832" s="86"/>
      <c r="H832" s="86"/>
      <c r="I832" s="65"/>
      <c r="J832" s="65"/>
      <c r="K832" s="87"/>
      <c r="L832" s="88"/>
    </row>
    <row r="833" spans="6:12" ht="12.5">
      <c r="F833" s="86"/>
      <c r="G833" s="86"/>
      <c r="H833" s="86"/>
      <c r="I833" s="65"/>
      <c r="J833" s="65"/>
      <c r="K833" s="87"/>
      <c r="L833" s="88"/>
    </row>
    <row r="834" spans="6:12" ht="12.5">
      <c r="F834" s="86"/>
      <c r="G834" s="86"/>
      <c r="H834" s="86"/>
      <c r="I834" s="65"/>
      <c r="J834" s="65"/>
      <c r="K834" s="87"/>
      <c r="L834" s="88"/>
    </row>
    <row r="835" spans="6:12" ht="12.5">
      <c r="F835" s="86"/>
      <c r="G835" s="86"/>
      <c r="H835" s="86"/>
      <c r="I835" s="65"/>
      <c r="J835" s="65"/>
      <c r="K835" s="87"/>
      <c r="L835" s="88"/>
    </row>
    <row r="836" spans="6:12" ht="12.5">
      <c r="F836" s="86"/>
      <c r="G836" s="86"/>
      <c r="H836" s="86"/>
      <c r="I836" s="65"/>
      <c r="J836" s="65"/>
      <c r="K836" s="87"/>
      <c r="L836" s="88"/>
    </row>
    <row r="837" spans="6:12" ht="12.5">
      <c r="F837" s="86"/>
      <c r="G837" s="86"/>
      <c r="H837" s="86"/>
      <c r="I837" s="65"/>
      <c r="J837" s="65"/>
      <c r="K837" s="87"/>
      <c r="L837" s="88"/>
    </row>
    <row r="838" spans="6:12" ht="12.5">
      <c r="F838" s="86"/>
      <c r="G838" s="86"/>
      <c r="H838" s="86"/>
      <c r="I838" s="65"/>
      <c r="J838" s="65"/>
      <c r="K838" s="87"/>
      <c r="L838" s="88"/>
    </row>
    <row r="839" spans="6:12" ht="12.5">
      <c r="F839" s="86"/>
      <c r="G839" s="86"/>
      <c r="H839" s="86"/>
      <c r="I839" s="65"/>
      <c r="J839" s="65"/>
      <c r="K839" s="87"/>
      <c r="L839" s="88"/>
    </row>
    <row r="840" spans="6:12" ht="12.5">
      <c r="F840" s="86"/>
      <c r="G840" s="86"/>
      <c r="H840" s="86"/>
      <c r="I840" s="65"/>
      <c r="J840" s="65"/>
      <c r="K840" s="87"/>
      <c r="L840" s="88"/>
    </row>
    <row r="841" spans="6:12" ht="12.5">
      <c r="F841" s="86"/>
      <c r="G841" s="86"/>
      <c r="H841" s="86"/>
      <c r="I841" s="65"/>
      <c r="J841" s="65"/>
      <c r="K841" s="87"/>
      <c r="L841" s="88"/>
    </row>
    <row r="842" spans="6:12" ht="12.5">
      <c r="F842" s="86"/>
      <c r="G842" s="86"/>
      <c r="H842" s="86"/>
      <c r="I842" s="65"/>
      <c r="J842" s="65"/>
      <c r="K842" s="87"/>
      <c r="L842" s="88"/>
    </row>
    <row r="843" spans="6:12" ht="12.5">
      <c r="F843" s="86"/>
      <c r="G843" s="86"/>
      <c r="H843" s="86"/>
      <c r="I843" s="65"/>
      <c r="J843" s="65"/>
      <c r="K843" s="87"/>
      <c r="L843" s="88"/>
    </row>
    <row r="844" spans="6:12" ht="12.5">
      <c r="F844" s="86"/>
      <c r="G844" s="86"/>
      <c r="H844" s="86"/>
      <c r="I844" s="65"/>
      <c r="J844" s="65"/>
      <c r="K844" s="87"/>
      <c r="L844" s="88"/>
    </row>
    <row r="845" spans="6:12" ht="12.5">
      <c r="F845" s="86"/>
      <c r="G845" s="86"/>
      <c r="H845" s="86"/>
      <c r="I845" s="65"/>
      <c r="J845" s="65"/>
      <c r="K845" s="87"/>
      <c r="L845" s="88"/>
    </row>
    <row r="846" spans="6:12" ht="12.5">
      <c r="F846" s="86"/>
      <c r="G846" s="86"/>
      <c r="H846" s="86"/>
      <c r="I846" s="65"/>
      <c r="J846" s="65"/>
      <c r="K846" s="87"/>
      <c r="L846" s="88"/>
    </row>
    <row r="847" spans="6:12" ht="12.5">
      <c r="F847" s="86"/>
      <c r="G847" s="86"/>
      <c r="H847" s="86"/>
      <c r="I847" s="65"/>
      <c r="J847" s="65"/>
      <c r="K847" s="87"/>
      <c r="L847" s="88"/>
    </row>
    <row r="848" spans="6:12" ht="12.5">
      <c r="F848" s="86"/>
      <c r="G848" s="86"/>
      <c r="H848" s="86"/>
      <c r="I848" s="65"/>
      <c r="J848" s="65"/>
      <c r="K848" s="87"/>
      <c r="L848" s="88"/>
    </row>
    <row r="849" spans="6:12" ht="12.5">
      <c r="F849" s="86"/>
      <c r="G849" s="86"/>
      <c r="H849" s="86"/>
      <c r="I849" s="65"/>
      <c r="J849" s="65"/>
      <c r="K849" s="87"/>
      <c r="L849" s="88"/>
    </row>
    <row r="850" spans="6:12" ht="12.5">
      <c r="F850" s="86"/>
      <c r="G850" s="86"/>
      <c r="H850" s="86"/>
      <c r="I850" s="65"/>
      <c r="J850" s="65"/>
      <c r="K850" s="87"/>
      <c r="L850" s="88"/>
    </row>
    <row r="851" spans="6:12" ht="12.5">
      <c r="F851" s="86"/>
      <c r="G851" s="86"/>
      <c r="H851" s="86"/>
      <c r="I851" s="65"/>
      <c r="J851" s="65"/>
      <c r="K851" s="87"/>
      <c r="L851" s="88"/>
    </row>
    <row r="852" spans="6:12" ht="12.5">
      <c r="F852" s="86"/>
      <c r="G852" s="86"/>
      <c r="H852" s="86"/>
      <c r="I852" s="65"/>
      <c r="J852" s="65"/>
      <c r="K852" s="87"/>
      <c r="L852" s="88"/>
    </row>
    <row r="853" spans="6:12" ht="12.5">
      <c r="F853" s="86"/>
      <c r="G853" s="86"/>
      <c r="H853" s="86"/>
      <c r="I853" s="65"/>
      <c r="J853" s="65"/>
      <c r="K853" s="87"/>
      <c r="L853" s="88"/>
    </row>
    <row r="854" spans="6:12" ht="12.5">
      <c r="F854" s="86"/>
      <c r="G854" s="86"/>
      <c r="H854" s="86"/>
      <c r="I854" s="65"/>
      <c r="J854" s="65"/>
      <c r="K854" s="87"/>
      <c r="L854" s="88"/>
    </row>
    <row r="855" spans="6:12" ht="12.5">
      <c r="F855" s="86"/>
      <c r="G855" s="86"/>
      <c r="H855" s="86"/>
      <c r="I855" s="65"/>
      <c r="J855" s="65"/>
      <c r="K855" s="87"/>
      <c r="L855" s="88"/>
    </row>
    <row r="856" spans="6:12" ht="12.5">
      <c r="F856" s="86"/>
      <c r="G856" s="86"/>
      <c r="H856" s="86"/>
      <c r="I856" s="65"/>
      <c r="J856" s="65"/>
      <c r="K856" s="87"/>
      <c r="L856" s="88"/>
    </row>
    <row r="857" spans="6:12" ht="12.5">
      <c r="F857" s="86"/>
      <c r="G857" s="86"/>
      <c r="H857" s="86"/>
      <c r="I857" s="65"/>
      <c r="J857" s="65"/>
      <c r="K857" s="87"/>
      <c r="L857" s="88"/>
    </row>
    <row r="858" spans="6:12" ht="12.5">
      <c r="F858" s="86"/>
      <c r="G858" s="86"/>
      <c r="H858" s="86"/>
      <c r="I858" s="65"/>
      <c r="J858" s="65"/>
      <c r="K858" s="87"/>
      <c r="L858" s="88"/>
    </row>
    <row r="859" spans="6:12" ht="12.5">
      <c r="F859" s="86"/>
      <c r="G859" s="86"/>
      <c r="H859" s="86"/>
      <c r="I859" s="65"/>
      <c r="J859" s="65"/>
      <c r="K859" s="87"/>
      <c r="L859" s="88"/>
    </row>
    <row r="860" spans="6:12" ht="12.5">
      <c r="F860" s="86"/>
      <c r="G860" s="86"/>
      <c r="H860" s="86"/>
      <c r="I860" s="65"/>
      <c r="J860" s="65"/>
      <c r="K860" s="87"/>
      <c r="L860" s="88"/>
    </row>
    <row r="861" spans="6:12" ht="12.5">
      <c r="F861" s="86"/>
      <c r="G861" s="86"/>
      <c r="H861" s="86"/>
      <c r="I861" s="65"/>
      <c r="J861" s="65"/>
      <c r="K861" s="87"/>
      <c r="L861" s="88"/>
    </row>
    <row r="862" spans="6:12" ht="12.5">
      <c r="F862" s="86"/>
      <c r="G862" s="86"/>
      <c r="H862" s="86"/>
      <c r="I862" s="65"/>
      <c r="J862" s="65"/>
      <c r="K862" s="87"/>
      <c r="L862" s="88"/>
    </row>
    <row r="863" spans="6:12" ht="12.5">
      <c r="F863" s="86"/>
      <c r="G863" s="86"/>
      <c r="H863" s="86"/>
      <c r="I863" s="65"/>
      <c r="J863" s="65"/>
      <c r="K863" s="87"/>
      <c r="L863" s="88"/>
    </row>
    <row r="864" spans="6:12" ht="12.5">
      <c r="F864" s="86"/>
      <c r="G864" s="86"/>
      <c r="H864" s="86"/>
      <c r="I864" s="65"/>
      <c r="J864" s="65"/>
      <c r="K864" s="87"/>
      <c r="L864" s="88"/>
    </row>
    <row r="865" spans="6:12" ht="12.5">
      <c r="F865" s="86"/>
      <c r="G865" s="86"/>
      <c r="H865" s="86"/>
      <c r="I865" s="65"/>
      <c r="J865" s="65"/>
      <c r="K865" s="87"/>
      <c r="L865" s="88"/>
    </row>
    <row r="866" spans="6:12" ht="12.5">
      <c r="F866" s="86"/>
      <c r="G866" s="86"/>
      <c r="H866" s="86"/>
      <c r="I866" s="65"/>
      <c r="J866" s="65"/>
      <c r="K866" s="87"/>
      <c r="L866" s="88"/>
    </row>
    <row r="867" spans="6:12" ht="12.5">
      <c r="F867" s="86"/>
      <c r="G867" s="86"/>
      <c r="H867" s="86"/>
      <c r="I867" s="65"/>
      <c r="J867" s="65"/>
      <c r="K867" s="87"/>
      <c r="L867" s="88"/>
    </row>
    <row r="868" spans="6:12" ht="12.5">
      <c r="F868" s="86"/>
      <c r="G868" s="86"/>
      <c r="H868" s="86"/>
      <c r="I868" s="65"/>
      <c r="J868" s="65"/>
      <c r="K868" s="87"/>
      <c r="L868" s="88"/>
    </row>
    <row r="869" spans="6:12" ht="12.5">
      <c r="F869" s="86"/>
      <c r="G869" s="86"/>
      <c r="H869" s="86"/>
      <c r="I869" s="65"/>
      <c r="J869" s="65"/>
      <c r="K869" s="87"/>
      <c r="L869" s="88"/>
    </row>
    <row r="870" spans="6:12" ht="12.5">
      <c r="F870" s="86"/>
      <c r="G870" s="86"/>
      <c r="H870" s="86"/>
      <c r="I870" s="65"/>
      <c r="J870" s="65"/>
      <c r="K870" s="87"/>
      <c r="L870" s="88"/>
    </row>
    <row r="871" spans="6:12" ht="12.5">
      <c r="F871" s="86"/>
      <c r="G871" s="86"/>
      <c r="H871" s="86"/>
      <c r="I871" s="65"/>
      <c r="J871" s="65"/>
      <c r="K871" s="87"/>
      <c r="L871" s="88"/>
    </row>
    <row r="872" spans="6:12" ht="12.5">
      <c r="F872" s="86"/>
      <c r="G872" s="86"/>
      <c r="H872" s="86"/>
      <c r="I872" s="65"/>
      <c r="J872" s="65"/>
      <c r="K872" s="87"/>
      <c r="L872" s="88"/>
    </row>
    <row r="873" spans="6:12" ht="12.5">
      <c r="F873" s="86"/>
      <c r="G873" s="86"/>
      <c r="H873" s="86"/>
      <c r="I873" s="65"/>
      <c r="J873" s="65"/>
      <c r="K873" s="87"/>
      <c r="L873" s="88"/>
    </row>
    <row r="874" spans="6:12" ht="12.5">
      <c r="F874" s="86"/>
      <c r="G874" s="86"/>
      <c r="H874" s="86"/>
      <c r="I874" s="65"/>
      <c r="J874" s="65"/>
      <c r="K874" s="87"/>
      <c r="L874" s="88"/>
    </row>
    <row r="875" spans="6:12" ht="12.5">
      <c r="F875" s="86"/>
      <c r="G875" s="86"/>
      <c r="H875" s="86"/>
      <c r="I875" s="65"/>
      <c r="J875" s="65"/>
      <c r="K875" s="87"/>
      <c r="L875" s="88"/>
    </row>
    <row r="876" spans="6:12" ht="12.5">
      <c r="F876" s="86"/>
      <c r="G876" s="86"/>
      <c r="H876" s="86"/>
      <c r="I876" s="65"/>
      <c r="J876" s="65"/>
      <c r="K876" s="87"/>
      <c r="L876" s="88"/>
    </row>
    <row r="877" spans="6:12" ht="12.5">
      <c r="F877" s="86"/>
      <c r="G877" s="86"/>
      <c r="H877" s="86"/>
      <c r="I877" s="65"/>
      <c r="J877" s="65"/>
      <c r="K877" s="87"/>
      <c r="L877" s="88"/>
    </row>
    <row r="878" spans="6:12" ht="12.5">
      <c r="F878" s="86"/>
      <c r="G878" s="86"/>
      <c r="H878" s="86"/>
      <c r="I878" s="65"/>
      <c r="J878" s="65"/>
      <c r="K878" s="87"/>
      <c r="L878" s="88"/>
    </row>
    <row r="879" spans="6:12" ht="12.5">
      <c r="F879" s="86"/>
      <c r="G879" s="86"/>
      <c r="H879" s="86"/>
      <c r="I879" s="65"/>
      <c r="J879" s="65"/>
      <c r="K879" s="87"/>
      <c r="L879" s="88"/>
    </row>
    <row r="880" spans="6:12" ht="12.5">
      <c r="F880" s="86"/>
      <c r="G880" s="86"/>
      <c r="H880" s="86"/>
      <c r="I880" s="65"/>
      <c r="J880" s="65"/>
      <c r="K880" s="87"/>
      <c r="L880" s="88"/>
    </row>
    <row r="881" spans="6:12" ht="12.5">
      <c r="F881" s="86"/>
      <c r="G881" s="86"/>
      <c r="H881" s="86"/>
      <c r="I881" s="65"/>
      <c r="J881" s="65"/>
      <c r="K881" s="87"/>
      <c r="L881" s="88"/>
    </row>
    <row r="882" spans="6:12" ht="12.5">
      <c r="F882" s="86"/>
      <c r="G882" s="86"/>
      <c r="H882" s="86"/>
      <c r="I882" s="65"/>
      <c r="J882" s="65"/>
      <c r="K882" s="87"/>
      <c r="L882" s="88"/>
    </row>
    <row r="883" spans="6:12" ht="12.5">
      <c r="F883" s="86"/>
      <c r="G883" s="86"/>
      <c r="H883" s="86"/>
      <c r="I883" s="65"/>
      <c r="J883" s="65"/>
      <c r="K883" s="87"/>
      <c r="L883" s="88"/>
    </row>
    <row r="884" spans="6:12" ht="12.5">
      <c r="F884" s="86"/>
      <c r="G884" s="86"/>
      <c r="H884" s="86"/>
      <c r="I884" s="65"/>
      <c r="J884" s="65"/>
      <c r="K884" s="87"/>
      <c r="L884" s="88"/>
    </row>
    <row r="885" spans="6:12" ht="12.5">
      <c r="F885" s="86"/>
      <c r="G885" s="86"/>
      <c r="H885" s="86"/>
      <c r="I885" s="65"/>
      <c r="J885" s="65"/>
      <c r="K885" s="87"/>
      <c r="L885" s="88"/>
    </row>
    <row r="886" spans="6:12" ht="12.5">
      <c r="F886" s="86"/>
      <c r="G886" s="86"/>
      <c r="H886" s="86"/>
      <c r="I886" s="65"/>
      <c r="J886" s="65"/>
      <c r="K886" s="87"/>
      <c r="L886" s="88"/>
    </row>
    <row r="887" spans="6:12" ht="12.5">
      <c r="F887" s="86"/>
      <c r="G887" s="86"/>
      <c r="H887" s="86"/>
      <c r="I887" s="65"/>
      <c r="J887" s="65"/>
      <c r="K887" s="87"/>
      <c r="L887" s="88"/>
    </row>
    <row r="888" spans="6:12" ht="12.5">
      <c r="F888" s="86"/>
      <c r="G888" s="86"/>
      <c r="H888" s="86"/>
      <c r="I888" s="65"/>
      <c r="J888" s="65"/>
      <c r="K888" s="87"/>
      <c r="L888" s="88"/>
    </row>
    <row r="889" spans="6:12" ht="12.5">
      <c r="F889" s="86"/>
      <c r="G889" s="86"/>
      <c r="H889" s="86"/>
      <c r="I889" s="65"/>
      <c r="J889" s="65"/>
      <c r="K889" s="87"/>
      <c r="L889" s="88"/>
    </row>
    <row r="890" spans="6:12" ht="12.5">
      <c r="F890" s="86"/>
      <c r="G890" s="86"/>
      <c r="H890" s="86"/>
      <c r="I890" s="65"/>
      <c r="J890" s="65"/>
      <c r="K890" s="87"/>
      <c r="L890" s="88"/>
    </row>
    <row r="891" spans="6:12" ht="12.5">
      <c r="F891" s="86"/>
      <c r="G891" s="86"/>
      <c r="H891" s="86"/>
      <c r="I891" s="65"/>
      <c r="J891" s="65"/>
      <c r="K891" s="87"/>
      <c r="L891" s="88"/>
    </row>
    <row r="892" spans="6:12" ht="12.5">
      <c r="F892" s="86"/>
      <c r="G892" s="86"/>
      <c r="H892" s="86"/>
      <c r="I892" s="65"/>
      <c r="J892" s="65"/>
      <c r="K892" s="87"/>
      <c r="L892" s="88"/>
    </row>
    <row r="893" spans="6:12" ht="12.5">
      <c r="F893" s="86"/>
      <c r="G893" s="86"/>
      <c r="H893" s="86"/>
      <c r="I893" s="65"/>
      <c r="J893" s="65"/>
      <c r="K893" s="87"/>
      <c r="L893" s="88"/>
    </row>
    <row r="894" spans="6:12" ht="12.5">
      <c r="F894" s="86"/>
      <c r="G894" s="86"/>
      <c r="H894" s="86"/>
      <c r="I894" s="65"/>
      <c r="J894" s="65"/>
      <c r="K894" s="87"/>
      <c r="L894" s="88"/>
    </row>
    <row r="895" spans="6:12" ht="12.5">
      <c r="F895" s="86"/>
      <c r="G895" s="86"/>
      <c r="H895" s="86"/>
      <c r="I895" s="65"/>
      <c r="J895" s="65"/>
      <c r="K895" s="87"/>
      <c r="L895" s="88"/>
    </row>
    <row r="896" spans="6:12" ht="12.5">
      <c r="F896" s="86"/>
      <c r="G896" s="86"/>
      <c r="H896" s="86"/>
      <c r="I896" s="65"/>
      <c r="J896" s="65"/>
      <c r="K896" s="87"/>
      <c r="L896" s="88"/>
    </row>
    <row r="897" spans="6:12" ht="12.5">
      <c r="F897" s="86"/>
      <c r="G897" s="86"/>
      <c r="H897" s="86"/>
      <c r="I897" s="65"/>
      <c r="J897" s="65"/>
      <c r="K897" s="87"/>
      <c r="L897" s="88"/>
    </row>
    <row r="898" spans="6:12" ht="12.5">
      <c r="F898" s="86"/>
      <c r="G898" s="86"/>
      <c r="H898" s="86"/>
      <c r="I898" s="65"/>
      <c r="J898" s="65"/>
      <c r="K898" s="87"/>
      <c r="L898" s="88"/>
    </row>
    <row r="899" spans="6:12" ht="12.5">
      <c r="F899" s="86"/>
      <c r="G899" s="86"/>
      <c r="H899" s="86"/>
      <c r="I899" s="65"/>
      <c r="J899" s="65"/>
      <c r="K899" s="87"/>
      <c r="L899" s="88"/>
    </row>
    <row r="900" spans="6:12" ht="12.5">
      <c r="F900" s="86"/>
      <c r="G900" s="86"/>
      <c r="H900" s="86"/>
      <c r="I900" s="65"/>
      <c r="J900" s="65"/>
      <c r="K900" s="87"/>
      <c r="L900" s="88"/>
    </row>
    <row r="901" spans="6:12" ht="12.5">
      <c r="F901" s="86"/>
      <c r="G901" s="86"/>
      <c r="H901" s="86"/>
      <c r="I901" s="65"/>
      <c r="J901" s="65"/>
      <c r="K901" s="87"/>
      <c r="L901" s="88"/>
    </row>
    <row r="902" spans="6:12" ht="12.5">
      <c r="F902" s="86"/>
      <c r="G902" s="86"/>
      <c r="H902" s="86"/>
      <c r="I902" s="65"/>
      <c r="J902" s="65"/>
      <c r="K902" s="87"/>
      <c r="L902" s="88"/>
    </row>
    <row r="903" spans="6:12" ht="12.5">
      <c r="F903" s="86"/>
      <c r="G903" s="86"/>
      <c r="H903" s="86"/>
      <c r="I903" s="65"/>
      <c r="J903" s="65"/>
      <c r="K903" s="87"/>
      <c r="L903" s="88"/>
    </row>
    <row r="904" spans="6:12" ht="12.5">
      <c r="F904" s="86"/>
      <c r="G904" s="86"/>
      <c r="H904" s="86"/>
      <c r="I904" s="65"/>
      <c r="J904" s="65"/>
      <c r="K904" s="87"/>
      <c r="L904" s="88"/>
    </row>
    <row r="905" spans="6:12" ht="12.5">
      <c r="F905" s="86"/>
      <c r="G905" s="86"/>
      <c r="H905" s="86"/>
      <c r="I905" s="65"/>
      <c r="J905" s="65"/>
      <c r="K905" s="87"/>
      <c r="L905" s="88"/>
    </row>
    <row r="906" spans="6:12" ht="12.5">
      <c r="F906" s="86"/>
      <c r="G906" s="86"/>
      <c r="H906" s="86"/>
      <c r="I906" s="65"/>
      <c r="J906" s="65"/>
      <c r="K906" s="87"/>
      <c r="L906" s="88"/>
    </row>
    <row r="907" spans="6:12" ht="12.5">
      <c r="F907" s="86"/>
      <c r="G907" s="86"/>
      <c r="H907" s="86"/>
      <c r="I907" s="65"/>
      <c r="J907" s="65"/>
      <c r="K907" s="87"/>
      <c r="L907" s="88"/>
    </row>
    <row r="908" spans="6:12" ht="12.5">
      <c r="F908" s="86"/>
      <c r="G908" s="86"/>
      <c r="H908" s="86"/>
      <c r="I908" s="65"/>
      <c r="J908" s="65"/>
      <c r="K908" s="87"/>
      <c r="L908" s="88"/>
    </row>
    <row r="909" spans="6:12" ht="12.5">
      <c r="F909" s="86"/>
      <c r="G909" s="86"/>
      <c r="H909" s="86"/>
      <c r="I909" s="65"/>
      <c r="J909" s="65"/>
      <c r="K909" s="87"/>
      <c r="L909" s="88"/>
    </row>
    <row r="910" spans="6:12" ht="12.5">
      <c r="F910" s="86"/>
      <c r="G910" s="86"/>
      <c r="H910" s="86"/>
      <c r="I910" s="65"/>
      <c r="J910" s="65"/>
      <c r="K910" s="87"/>
      <c r="L910" s="88"/>
    </row>
    <row r="911" spans="6:12" ht="12.5">
      <c r="F911" s="86"/>
      <c r="G911" s="86"/>
      <c r="H911" s="86"/>
      <c r="I911" s="65"/>
      <c r="J911" s="65"/>
      <c r="K911" s="87"/>
      <c r="L911" s="88"/>
    </row>
    <row r="912" spans="6:12" ht="12.5">
      <c r="F912" s="86"/>
      <c r="G912" s="86"/>
      <c r="H912" s="86"/>
      <c r="I912" s="65"/>
      <c r="J912" s="65"/>
      <c r="K912" s="87"/>
      <c r="L912" s="88"/>
    </row>
    <row r="913" spans="6:12" ht="12.5">
      <c r="F913" s="86"/>
      <c r="G913" s="86"/>
      <c r="H913" s="86"/>
      <c r="I913" s="65"/>
      <c r="J913" s="65"/>
      <c r="K913" s="87"/>
      <c r="L913" s="88"/>
    </row>
    <row r="914" spans="6:12" ht="12.5">
      <c r="F914" s="86"/>
      <c r="G914" s="86"/>
      <c r="H914" s="86"/>
      <c r="I914" s="65"/>
      <c r="J914" s="65"/>
      <c r="K914" s="87"/>
      <c r="L914" s="88"/>
    </row>
    <row r="915" spans="6:12" ht="12.5">
      <c r="F915" s="86"/>
      <c r="G915" s="86"/>
      <c r="H915" s="86"/>
      <c r="I915" s="65"/>
      <c r="J915" s="65"/>
      <c r="K915" s="87"/>
      <c r="L915" s="88"/>
    </row>
    <row r="916" spans="6:12" ht="12.5">
      <c r="F916" s="86"/>
      <c r="G916" s="86"/>
      <c r="H916" s="86"/>
      <c r="I916" s="65"/>
      <c r="J916" s="65"/>
      <c r="K916" s="87"/>
      <c r="L916" s="88"/>
    </row>
    <row r="917" spans="6:12" ht="12.5">
      <c r="F917" s="86"/>
      <c r="G917" s="86"/>
      <c r="H917" s="86"/>
      <c r="I917" s="65"/>
      <c r="J917" s="65"/>
      <c r="K917" s="87"/>
      <c r="L917" s="88"/>
    </row>
    <row r="918" spans="6:12" ht="12.5">
      <c r="F918" s="86"/>
      <c r="G918" s="86"/>
      <c r="H918" s="86"/>
      <c r="I918" s="65"/>
      <c r="J918" s="65"/>
      <c r="K918" s="87"/>
      <c r="L918" s="88"/>
    </row>
    <row r="919" spans="6:12" ht="12.5">
      <c r="F919" s="86"/>
      <c r="G919" s="86"/>
      <c r="H919" s="86"/>
      <c r="I919" s="65"/>
      <c r="J919" s="65"/>
      <c r="K919" s="87"/>
      <c r="L919" s="88"/>
    </row>
    <row r="920" spans="6:12" ht="12.5">
      <c r="F920" s="86"/>
      <c r="G920" s="86"/>
      <c r="H920" s="86"/>
      <c r="I920" s="65"/>
      <c r="J920" s="65"/>
      <c r="K920" s="87"/>
      <c r="L920" s="88"/>
    </row>
    <row r="921" spans="6:12" ht="12.5">
      <c r="F921" s="86"/>
      <c r="G921" s="86"/>
      <c r="H921" s="86"/>
      <c r="I921" s="65"/>
      <c r="J921" s="65"/>
      <c r="K921" s="87"/>
      <c r="L921" s="88"/>
    </row>
    <row r="922" spans="6:12" ht="12.5">
      <c r="F922" s="86"/>
      <c r="G922" s="86"/>
      <c r="H922" s="86"/>
      <c r="I922" s="65"/>
      <c r="J922" s="65"/>
      <c r="K922" s="87"/>
      <c r="L922" s="88"/>
    </row>
    <row r="923" spans="6:12" ht="12.5">
      <c r="F923" s="86"/>
      <c r="G923" s="86"/>
      <c r="H923" s="86"/>
      <c r="I923" s="65"/>
      <c r="J923" s="65"/>
      <c r="K923" s="87"/>
      <c r="L923" s="88"/>
    </row>
    <row r="924" spans="6:12" ht="12.5">
      <c r="F924" s="86"/>
      <c r="G924" s="86"/>
      <c r="H924" s="86"/>
      <c r="I924" s="65"/>
      <c r="J924" s="65"/>
      <c r="K924" s="87"/>
      <c r="L924" s="88"/>
    </row>
    <row r="925" spans="6:12" ht="12.5">
      <c r="F925" s="86"/>
      <c r="G925" s="86"/>
      <c r="H925" s="86"/>
      <c r="I925" s="65"/>
      <c r="J925" s="65"/>
      <c r="K925" s="87"/>
      <c r="L925" s="88"/>
    </row>
    <row r="926" spans="6:12" ht="12.5">
      <c r="F926" s="86"/>
      <c r="G926" s="86"/>
      <c r="H926" s="86"/>
      <c r="I926" s="65"/>
      <c r="J926" s="65"/>
      <c r="K926" s="87"/>
      <c r="L926" s="88"/>
    </row>
    <row r="927" spans="6:12" ht="12.5">
      <c r="F927" s="86"/>
      <c r="G927" s="86"/>
      <c r="H927" s="86"/>
      <c r="I927" s="65"/>
      <c r="J927" s="65"/>
      <c r="K927" s="87"/>
      <c r="L927" s="88"/>
    </row>
    <row r="928" spans="6:12" ht="12.5">
      <c r="F928" s="86"/>
      <c r="G928" s="86"/>
      <c r="H928" s="86"/>
      <c r="I928" s="65"/>
      <c r="J928" s="65"/>
      <c r="K928" s="87"/>
      <c r="L928" s="88"/>
    </row>
    <row r="929" spans="6:12" ht="12.5">
      <c r="F929" s="86"/>
      <c r="G929" s="86"/>
      <c r="H929" s="86"/>
      <c r="I929" s="65"/>
      <c r="J929" s="65"/>
      <c r="K929" s="87"/>
      <c r="L929" s="88"/>
    </row>
    <row r="930" spans="6:12" ht="12.5">
      <c r="F930" s="86"/>
      <c r="G930" s="86"/>
      <c r="H930" s="86"/>
      <c r="I930" s="65"/>
      <c r="J930" s="65"/>
      <c r="K930" s="87"/>
      <c r="L930" s="88"/>
    </row>
    <row r="931" spans="6:12" ht="12.5">
      <c r="F931" s="86"/>
      <c r="G931" s="86"/>
      <c r="H931" s="86"/>
      <c r="I931" s="65"/>
      <c r="J931" s="65"/>
      <c r="K931" s="87"/>
      <c r="L931" s="88"/>
    </row>
    <row r="932" spans="6:12" ht="12.5">
      <c r="F932" s="86"/>
      <c r="G932" s="86"/>
      <c r="H932" s="86"/>
      <c r="I932" s="65"/>
      <c r="J932" s="65"/>
      <c r="K932" s="87"/>
      <c r="L932" s="88"/>
    </row>
    <row r="933" spans="6:12" ht="12.5">
      <c r="F933" s="86"/>
      <c r="G933" s="86"/>
      <c r="H933" s="86"/>
      <c r="I933" s="65"/>
      <c r="J933" s="65"/>
      <c r="K933" s="87"/>
      <c r="L933" s="88"/>
    </row>
    <row r="934" spans="6:12" ht="12.5">
      <c r="F934" s="86"/>
      <c r="G934" s="86"/>
      <c r="H934" s="86"/>
      <c r="I934" s="65"/>
      <c r="J934" s="65"/>
      <c r="K934" s="87"/>
      <c r="L934" s="88"/>
    </row>
    <row r="935" spans="6:12" ht="12.5">
      <c r="F935" s="86"/>
      <c r="G935" s="86"/>
      <c r="H935" s="86"/>
      <c r="I935" s="65"/>
      <c r="J935" s="65"/>
      <c r="K935" s="87"/>
      <c r="L935" s="88"/>
    </row>
    <row r="936" spans="6:12" ht="12.5">
      <c r="F936" s="86"/>
      <c r="G936" s="86"/>
      <c r="H936" s="86"/>
      <c r="I936" s="65"/>
      <c r="J936" s="65"/>
      <c r="K936" s="87"/>
      <c r="L936" s="88"/>
    </row>
    <row r="937" spans="6:12" ht="12.5">
      <c r="F937" s="86"/>
      <c r="G937" s="86"/>
      <c r="H937" s="86"/>
      <c r="I937" s="65"/>
      <c r="J937" s="65"/>
      <c r="K937" s="87"/>
      <c r="L937" s="88"/>
    </row>
    <row r="938" spans="6:12" ht="12.5">
      <c r="F938" s="86"/>
      <c r="G938" s="86"/>
      <c r="H938" s="86"/>
      <c r="I938" s="65"/>
      <c r="J938" s="65"/>
      <c r="K938" s="87"/>
      <c r="L938" s="88"/>
    </row>
    <row r="939" spans="6:12" ht="12.5">
      <c r="F939" s="86"/>
      <c r="G939" s="86"/>
      <c r="H939" s="86"/>
      <c r="I939" s="65"/>
      <c r="J939" s="65"/>
      <c r="K939" s="87"/>
      <c r="L939" s="88"/>
    </row>
    <row r="940" spans="6:12" ht="12.5">
      <c r="F940" s="86"/>
      <c r="G940" s="86"/>
      <c r="H940" s="86"/>
      <c r="I940" s="65"/>
      <c r="J940" s="65"/>
      <c r="K940" s="87"/>
      <c r="L940" s="88"/>
    </row>
    <row r="941" spans="6:12" ht="12.5">
      <c r="F941" s="86"/>
      <c r="G941" s="86"/>
      <c r="H941" s="86"/>
      <c r="I941" s="65"/>
      <c r="J941" s="65"/>
      <c r="K941" s="87"/>
      <c r="L941" s="88"/>
    </row>
    <row r="942" spans="6:12" ht="12.5">
      <c r="F942" s="86"/>
      <c r="G942" s="86"/>
      <c r="H942" s="86"/>
      <c r="I942" s="65"/>
      <c r="J942" s="65"/>
      <c r="K942" s="87"/>
      <c r="L942" s="88"/>
    </row>
    <row r="943" spans="6:12" ht="12.5">
      <c r="F943" s="86"/>
      <c r="G943" s="86"/>
      <c r="H943" s="86"/>
      <c r="I943" s="65"/>
      <c r="J943" s="65"/>
      <c r="K943" s="87"/>
      <c r="L943" s="88"/>
    </row>
    <row r="944" spans="6:12" ht="12.5">
      <c r="F944" s="86"/>
      <c r="G944" s="86"/>
      <c r="H944" s="86"/>
      <c r="I944" s="65"/>
      <c r="J944" s="65"/>
      <c r="K944" s="87"/>
      <c r="L944" s="88"/>
    </row>
    <row r="945" spans="6:12" ht="12.5">
      <c r="F945" s="86"/>
      <c r="G945" s="86"/>
      <c r="H945" s="86"/>
      <c r="I945" s="65"/>
      <c r="J945" s="65"/>
      <c r="K945" s="87"/>
      <c r="L945" s="88"/>
    </row>
    <row r="946" spans="6:12" ht="12.5">
      <c r="F946" s="86"/>
      <c r="G946" s="86"/>
      <c r="H946" s="86"/>
      <c r="I946" s="65"/>
      <c r="J946" s="65"/>
      <c r="K946" s="87"/>
      <c r="L946" s="88"/>
    </row>
    <row r="947" spans="6:12" ht="12.5">
      <c r="F947" s="86"/>
      <c r="G947" s="86"/>
      <c r="H947" s="86"/>
      <c r="I947" s="65"/>
      <c r="J947" s="65"/>
      <c r="K947" s="87"/>
      <c r="L947" s="88"/>
    </row>
    <row r="948" spans="6:12" ht="12.5">
      <c r="F948" s="86"/>
      <c r="G948" s="86"/>
      <c r="H948" s="86"/>
      <c r="I948" s="65"/>
      <c r="J948" s="65"/>
      <c r="K948" s="87"/>
      <c r="L948" s="88"/>
    </row>
    <row r="949" spans="6:12" ht="12.5">
      <c r="F949" s="86"/>
      <c r="G949" s="86"/>
      <c r="H949" s="86"/>
      <c r="I949" s="65"/>
      <c r="J949" s="65"/>
      <c r="K949" s="87"/>
      <c r="L949" s="88"/>
    </row>
    <row r="950" spans="6:12" ht="12.5">
      <c r="F950" s="86"/>
      <c r="G950" s="86"/>
      <c r="H950" s="86"/>
      <c r="I950" s="65"/>
      <c r="J950" s="65"/>
      <c r="K950" s="87"/>
      <c r="L950" s="88"/>
    </row>
    <row r="951" spans="6:12" ht="12.5">
      <c r="F951" s="86"/>
      <c r="G951" s="86"/>
      <c r="H951" s="86"/>
      <c r="I951" s="65"/>
      <c r="J951" s="65"/>
      <c r="K951" s="87"/>
      <c r="L951" s="88"/>
    </row>
    <row r="952" spans="6:12" ht="12.5">
      <c r="F952" s="86"/>
      <c r="G952" s="86"/>
      <c r="H952" s="86"/>
      <c r="I952" s="65"/>
      <c r="J952" s="65"/>
      <c r="K952" s="87"/>
      <c r="L952" s="88"/>
    </row>
    <row r="953" spans="6:12" ht="12.5">
      <c r="F953" s="86"/>
      <c r="G953" s="86"/>
      <c r="H953" s="86"/>
      <c r="I953" s="65"/>
      <c r="J953" s="65"/>
      <c r="K953" s="87"/>
      <c r="L953" s="88"/>
    </row>
    <row r="954" spans="6:12" ht="12.5">
      <c r="F954" s="86"/>
      <c r="G954" s="86"/>
      <c r="H954" s="86"/>
      <c r="I954" s="65"/>
      <c r="J954" s="65"/>
      <c r="K954" s="87"/>
      <c r="L954" s="88"/>
    </row>
    <row r="955" spans="6:12" ht="12.5">
      <c r="F955" s="86"/>
      <c r="G955" s="86"/>
      <c r="H955" s="86"/>
      <c r="I955" s="65"/>
      <c r="J955" s="65"/>
      <c r="K955" s="87"/>
      <c r="L955" s="88"/>
    </row>
    <row r="956" spans="6:12" ht="12.5">
      <c r="F956" s="86"/>
      <c r="G956" s="86"/>
      <c r="H956" s="86"/>
      <c r="I956" s="65"/>
      <c r="J956" s="65"/>
      <c r="K956" s="87"/>
      <c r="L956" s="88"/>
    </row>
    <row r="957" spans="6:12" ht="12.5">
      <c r="F957" s="86"/>
      <c r="G957" s="86"/>
      <c r="H957" s="86"/>
      <c r="I957" s="65"/>
      <c r="J957" s="65"/>
      <c r="K957" s="87"/>
      <c r="L957" s="88"/>
    </row>
    <row r="958" spans="6:12" ht="12.5">
      <c r="F958" s="86"/>
      <c r="G958" s="86"/>
      <c r="H958" s="86"/>
      <c r="I958" s="65"/>
      <c r="J958" s="65"/>
      <c r="K958" s="87"/>
      <c r="L958" s="88"/>
    </row>
    <row r="959" spans="6:12" ht="12.5">
      <c r="F959" s="86"/>
      <c r="G959" s="86"/>
      <c r="H959" s="86"/>
      <c r="I959" s="65"/>
      <c r="J959" s="65"/>
      <c r="K959" s="87"/>
      <c r="L959" s="88"/>
    </row>
    <row r="960" spans="6:12" ht="12.5">
      <c r="F960" s="86"/>
      <c r="G960" s="86"/>
      <c r="H960" s="86"/>
      <c r="I960" s="65"/>
      <c r="J960" s="65"/>
      <c r="K960" s="87"/>
      <c r="L960" s="88"/>
    </row>
    <row r="961" spans="6:12" ht="12.5">
      <c r="F961" s="86"/>
      <c r="G961" s="86"/>
      <c r="H961" s="86"/>
      <c r="I961" s="65"/>
      <c r="J961" s="65"/>
      <c r="K961" s="87"/>
      <c r="L961" s="88"/>
    </row>
    <row r="962" spans="6:12" ht="12.5">
      <c r="F962" s="86"/>
      <c r="G962" s="86"/>
      <c r="H962" s="86"/>
      <c r="I962" s="65"/>
      <c r="J962" s="65"/>
      <c r="K962" s="87"/>
      <c r="L962" s="88"/>
    </row>
    <row r="963" spans="6:12" ht="12.5">
      <c r="F963" s="86"/>
      <c r="G963" s="86"/>
      <c r="H963" s="86"/>
      <c r="I963" s="65"/>
      <c r="J963" s="65"/>
      <c r="K963" s="87"/>
      <c r="L963" s="88"/>
    </row>
    <row r="964" spans="6:12" ht="12.5">
      <c r="F964" s="86"/>
      <c r="G964" s="86"/>
      <c r="H964" s="86"/>
      <c r="I964" s="65"/>
      <c r="J964" s="65"/>
      <c r="K964" s="87"/>
      <c r="L964" s="88"/>
    </row>
    <row r="965" spans="6:12" ht="12.5">
      <c r="F965" s="86"/>
      <c r="G965" s="86"/>
      <c r="H965" s="86"/>
      <c r="I965" s="65"/>
      <c r="J965" s="65"/>
      <c r="K965" s="87"/>
      <c r="L965" s="88"/>
    </row>
    <row r="966" spans="6:12" ht="12.5">
      <c r="F966" s="86"/>
      <c r="G966" s="86"/>
      <c r="H966" s="86"/>
      <c r="I966" s="65"/>
      <c r="J966" s="65"/>
      <c r="K966" s="87"/>
      <c r="L966" s="88"/>
    </row>
    <row r="967" spans="6:12" ht="12.5">
      <c r="F967" s="86"/>
      <c r="G967" s="86"/>
      <c r="H967" s="86"/>
      <c r="I967" s="65"/>
      <c r="J967" s="65"/>
      <c r="K967" s="87"/>
      <c r="L967" s="88"/>
    </row>
    <row r="968" spans="6:12" ht="12.5">
      <c r="F968" s="86"/>
      <c r="G968" s="86"/>
      <c r="H968" s="86"/>
      <c r="I968" s="65"/>
      <c r="J968" s="65"/>
      <c r="K968" s="87"/>
      <c r="L968" s="88"/>
    </row>
    <row r="969" spans="6:12" ht="12.5">
      <c r="F969" s="86"/>
      <c r="G969" s="86"/>
      <c r="H969" s="86"/>
      <c r="I969" s="65"/>
      <c r="J969" s="65"/>
      <c r="K969" s="87"/>
      <c r="L969" s="88"/>
    </row>
    <row r="970" spans="6:12" ht="12.5">
      <c r="F970" s="86"/>
      <c r="G970" s="86"/>
      <c r="H970" s="86"/>
      <c r="I970" s="65"/>
      <c r="J970" s="65"/>
      <c r="K970" s="87"/>
      <c r="L970" s="88"/>
    </row>
    <row r="971" spans="6:12" ht="12.5">
      <c r="F971" s="86"/>
      <c r="G971" s="86"/>
      <c r="H971" s="86"/>
      <c r="I971" s="65"/>
      <c r="J971" s="65"/>
      <c r="K971" s="87"/>
      <c r="L971" s="88"/>
    </row>
    <row r="972" spans="6:12" ht="12.5">
      <c r="F972" s="86"/>
      <c r="G972" s="86"/>
      <c r="H972" s="86"/>
      <c r="I972" s="65"/>
      <c r="J972" s="65"/>
      <c r="K972" s="87"/>
      <c r="L972" s="88"/>
    </row>
    <row r="973" spans="6:12" ht="12.5">
      <c r="F973" s="86"/>
      <c r="G973" s="86"/>
      <c r="H973" s="86"/>
      <c r="I973" s="65"/>
      <c r="J973" s="65"/>
      <c r="K973" s="87"/>
      <c r="L973" s="88"/>
    </row>
    <row r="974" spans="6:12" ht="12.5">
      <c r="F974" s="86"/>
      <c r="G974" s="86"/>
      <c r="H974" s="86"/>
      <c r="I974" s="65"/>
      <c r="J974" s="65"/>
      <c r="K974" s="87"/>
      <c r="L974" s="88"/>
    </row>
    <row r="975" spans="6:12" ht="12.5">
      <c r="F975" s="86"/>
      <c r="G975" s="86"/>
      <c r="H975" s="86"/>
      <c r="I975" s="65"/>
      <c r="J975" s="65"/>
      <c r="K975" s="87"/>
      <c r="L975" s="88"/>
    </row>
    <row r="976" spans="6:12" ht="12.5">
      <c r="F976" s="86"/>
      <c r="G976" s="86"/>
      <c r="H976" s="86"/>
      <c r="I976" s="65"/>
      <c r="J976" s="65"/>
      <c r="K976" s="87"/>
      <c r="L976" s="88"/>
    </row>
    <row r="977" spans="6:12" ht="12.5">
      <c r="F977" s="86"/>
      <c r="G977" s="86"/>
      <c r="H977" s="86"/>
      <c r="I977" s="65"/>
      <c r="J977" s="65"/>
      <c r="K977" s="87"/>
      <c r="L977" s="88"/>
    </row>
    <row r="978" spans="6:12" ht="12.5">
      <c r="F978" s="86"/>
      <c r="G978" s="86"/>
      <c r="H978" s="86"/>
      <c r="I978" s="65"/>
      <c r="J978" s="65"/>
      <c r="K978" s="87"/>
      <c r="L978" s="88"/>
    </row>
    <row r="979" spans="6:12" ht="12.5">
      <c r="F979" s="86"/>
      <c r="G979" s="86"/>
      <c r="H979" s="86"/>
      <c r="I979" s="65"/>
      <c r="J979" s="65"/>
      <c r="K979" s="87"/>
      <c r="L979" s="88"/>
    </row>
    <row r="980" spans="6:12" ht="12.5">
      <c r="F980" s="86"/>
      <c r="G980" s="86"/>
      <c r="H980" s="86"/>
      <c r="I980" s="65"/>
      <c r="J980" s="65"/>
      <c r="K980" s="87"/>
      <c r="L980" s="88"/>
    </row>
    <row r="981" spans="6:12" ht="12.5">
      <c r="F981" s="86"/>
      <c r="G981" s="86"/>
      <c r="H981" s="86"/>
      <c r="I981" s="65"/>
      <c r="J981" s="65"/>
      <c r="K981" s="87"/>
      <c r="L981" s="88"/>
    </row>
    <row r="982" spans="6:12" ht="12.5">
      <c r="F982" s="86"/>
      <c r="G982" s="86"/>
      <c r="H982" s="86"/>
      <c r="I982" s="65"/>
      <c r="J982" s="65"/>
      <c r="K982" s="87"/>
      <c r="L982" s="88"/>
    </row>
    <row r="983" spans="6:12" ht="12.5">
      <c r="F983" s="86"/>
      <c r="G983" s="86"/>
      <c r="H983" s="86"/>
      <c r="I983" s="65"/>
      <c r="J983" s="65"/>
      <c r="K983" s="87"/>
      <c r="L983" s="88"/>
    </row>
    <row r="984" spans="6:12" ht="12.5">
      <c r="F984" s="86"/>
      <c r="G984" s="86"/>
      <c r="H984" s="86"/>
      <c r="I984" s="65"/>
      <c r="J984" s="65"/>
      <c r="K984" s="87"/>
      <c r="L984" s="88"/>
    </row>
    <row r="985" spans="6:12" ht="12.5">
      <c r="F985" s="86"/>
      <c r="G985" s="86"/>
      <c r="H985" s="86"/>
      <c r="I985" s="65"/>
      <c r="J985" s="65"/>
      <c r="K985" s="87"/>
      <c r="L985" s="88"/>
    </row>
    <row r="986" spans="6:12" ht="12.5">
      <c r="F986" s="86"/>
      <c r="G986" s="86"/>
      <c r="H986" s="86"/>
      <c r="I986" s="65"/>
      <c r="J986" s="65"/>
      <c r="K986" s="87"/>
      <c r="L986" s="88"/>
    </row>
    <row r="987" spans="6:12" ht="12.5">
      <c r="F987" s="86"/>
      <c r="G987" s="86"/>
      <c r="H987" s="86"/>
      <c r="I987" s="65"/>
      <c r="J987" s="65"/>
      <c r="K987" s="87"/>
      <c r="L987" s="88"/>
    </row>
    <row r="988" spans="6:12" ht="12.5">
      <c r="F988" s="86"/>
      <c r="G988" s="86"/>
      <c r="H988" s="86"/>
      <c r="I988" s="65"/>
      <c r="J988" s="65"/>
      <c r="K988" s="87"/>
      <c r="L988" s="88"/>
    </row>
    <row r="989" spans="6:12" ht="12.5">
      <c r="F989" s="86"/>
      <c r="G989" s="86"/>
      <c r="H989" s="86"/>
      <c r="I989" s="65"/>
      <c r="J989" s="65"/>
      <c r="K989" s="87"/>
      <c r="L989" s="88"/>
    </row>
    <row r="990" spans="6:12" ht="12.5">
      <c r="F990" s="86"/>
      <c r="G990" s="86"/>
      <c r="H990" s="86"/>
      <c r="I990" s="65"/>
      <c r="J990" s="65"/>
      <c r="K990" s="87"/>
      <c r="L990" s="88"/>
    </row>
    <row r="991" spans="6:12" ht="12.5">
      <c r="F991" s="86"/>
      <c r="G991" s="86"/>
      <c r="H991" s="86"/>
      <c r="I991" s="65"/>
      <c r="J991" s="65"/>
      <c r="K991" s="87"/>
      <c r="L991" s="88"/>
    </row>
    <row r="992" spans="6:12" ht="12.5">
      <c r="F992" s="86"/>
      <c r="G992" s="86"/>
      <c r="H992" s="86"/>
      <c r="I992" s="65"/>
      <c r="J992" s="65"/>
      <c r="K992" s="87"/>
      <c r="L992" s="88"/>
    </row>
    <row r="993" spans="6:12" ht="12.5">
      <c r="F993" s="86"/>
      <c r="G993" s="86"/>
      <c r="H993" s="86"/>
      <c r="I993" s="65"/>
      <c r="J993" s="65"/>
      <c r="K993" s="87"/>
      <c r="L993" s="88"/>
    </row>
    <row r="994" spans="6:12" ht="12.5">
      <c r="F994" s="86"/>
      <c r="G994" s="86"/>
      <c r="H994" s="86"/>
      <c r="I994" s="65"/>
      <c r="J994" s="65"/>
      <c r="K994" s="87"/>
      <c r="L994" s="88"/>
    </row>
    <row r="995" spans="6:12" ht="12.5">
      <c r="F995" s="86"/>
      <c r="G995" s="86"/>
      <c r="H995" s="86"/>
      <c r="I995" s="65"/>
      <c r="J995" s="65"/>
      <c r="K995" s="87"/>
      <c r="L995" s="88"/>
    </row>
    <row r="996" spans="6:12" ht="12.5">
      <c r="F996" s="86"/>
      <c r="G996" s="86"/>
      <c r="H996" s="86"/>
      <c r="I996" s="65"/>
      <c r="J996" s="65"/>
      <c r="K996" s="87"/>
      <c r="L996" s="88"/>
    </row>
    <row r="997" spans="6:12" ht="12.5">
      <c r="F997" s="86"/>
      <c r="G997" s="86"/>
      <c r="H997" s="86"/>
      <c r="I997" s="65"/>
      <c r="J997" s="65"/>
      <c r="K997" s="87"/>
      <c r="L997" s="88"/>
    </row>
    <row r="998" spans="6:12" ht="12.5">
      <c r="F998" s="86"/>
      <c r="G998" s="86"/>
      <c r="H998" s="86"/>
      <c r="I998" s="65"/>
      <c r="J998" s="65"/>
      <c r="K998" s="87"/>
      <c r="L998" s="88"/>
    </row>
    <row r="999" spans="6:12" ht="12.5">
      <c r="F999" s="86"/>
      <c r="G999" s="86"/>
      <c r="H999" s="86"/>
      <c r="I999" s="65"/>
      <c r="J999" s="65"/>
      <c r="K999" s="87"/>
      <c r="L999" s="88"/>
    </row>
    <row r="1000" spans="6:12" ht="12.5">
      <c r="F1000" s="89"/>
      <c r="G1000" s="89"/>
      <c r="H1000" s="89"/>
      <c r="I1000" s="90"/>
      <c r="J1000" s="65"/>
      <c r="K1000" s="91"/>
      <c r="L1000" s="50"/>
    </row>
    <row r="1001" spans="6:12" ht="12.5">
      <c r="F1001" s="89"/>
      <c r="G1001" s="89"/>
      <c r="H1001" s="89"/>
      <c r="I1001" s="90"/>
      <c r="J1001" s="92"/>
    </row>
    <row r="1002" spans="6:12" ht="12.5">
      <c r="F1002" s="89"/>
      <c r="G1002" s="89"/>
      <c r="H1002" s="89"/>
      <c r="I1002" s="90"/>
      <c r="J1002" s="9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Z1002"/>
  <sheetViews>
    <sheetView workbookViewId="0"/>
  </sheetViews>
  <sheetFormatPr defaultColWidth="12.54296875" defaultRowHeight="15" customHeight="1"/>
  <cols>
    <col min="2" max="2" width="15" customWidth="1"/>
    <col min="3" max="3" width="16.453125" customWidth="1"/>
  </cols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42230</v>
      </c>
      <c r="B2" s="61">
        <v>1</v>
      </c>
      <c r="C2" s="61" t="s">
        <v>331</v>
      </c>
      <c r="D2" s="62">
        <v>1200</v>
      </c>
      <c r="E2" s="62">
        <v>30000</v>
      </c>
      <c r="F2" s="63">
        <f>I2-0</f>
        <v>1200</v>
      </c>
      <c r="G2" s="63">
        <f t="shared" ref="G2:G41" si="0">$B$40/$I$36*(F2)</f>
        <v>0.2150596928506438</v>
      </c>
      <c r="H2" s="63">
        <f>$B$40/SQRT($I$36)*(SQRT(I2)-SQRT(0))</f>
        <v>2.8960884000967768</v>
      </c>
      <c r="I2" s="76">
        <f t="shared" ref="I2:I48" si="1">D2</f>
        <v>1200</v>
      </c>
      <c r="J2" s="76">
        <f t="shared" ref="J2:J48" si="2">E2</f>
        <v>30000</v>
      </c>
      <c r="K2" s="77">
        <f>J2*'Inflation Rates by Year'!$I$2</f>
        <v>37383.202241493214</v>
      </c>
      <c r="L2" s="78">
        <f t="shared" ref="L2:L48" si="3">K2/I2</f>
        <v>31.152668534577678</v>
      </c>
    </row>
    <row r="3" spans="1:12" ht="15" customHeight="1">
      <c r="A3" s="81">
        <v>42231</v>
      </c>
      <c r="B3" s="61">
        <v>2</v>
      </c>
      <c r="C3" s="61" t="s">
        <v>331</v>
      </c>
      <c r="D3" s="62">
        <v>10000</v>
      </c>
      <c r="E3" s="62">
        <v>120000</v>
      </c>
      <c r="F3" s="63">
        <f t="shared" ref="F3:F48" si="4">I3-I2</f>
        <v>8800</v>
      </c>
      <c r="G3" s="63">
        <f t="shared" si="0"/>
        <v>1.5771044142380546</v>
      </c>
      <c r="H3" s="63">
        <f t="shared" ref="H3:H41" si="5">$B$40/SQRT($I$36)*(SQRT(I3)-SQRT(I2))</f>
        <v>5.4641986868673555</v>
      </c>
      <c r="I3" s="76">
        <f t="shared" si="1"/>
        <v>10000</v>
      </c>
      <c r="J3" s="76">
        <f t="shared" si="2"/>
        <v>120000</v>
      </c>
      <c r="K3" s="77">
        <f>J3*'Inflation Rates by Year'!$I$2</f>
        <v>149532.80896597286</v>
      </c>
      <c r="L3" s="78">
        <f t="shared" si="3"/>
        <v>14.953280896597287</v>
      </c>
    </row>
    <row r="4" spans="1:12" ht="15" customHeight="1">
      <c r="A4" s="81">
        <v>42232</v>
      </c>
      <c r="B4" s="61">
        <v>3</v>
      </c>
      <c r="C4" s="61" t="s">
        <v>331</v>
      </c>
      <c r="D4" s="62">
        <v>22000</v>
      </c>
      <c r="E4" s="62">
        <v>125000</v>
      </c>
      <c r="F4" s="63">
        <f t="shared" si="4"/>
        <v>12000</v>
      </c>
      <c r="G4" s="63">
        <f t="shared" si="0"/>
        <v>2.1505969285064381</v>
      </c>
      <c r="H4" s="63">
        <f t="shared" si="5"/>
        <v>4.0400226022416286</v>
      </c>
      <c r="I4" s="76">
        <f t="shared" si="1"/>
        <v>22000</v>
      </c>
      <c r="J4" s="76">
        <f t="shared" si="2"/>
        <v>125000</v>
      </c>
      <c r="K4" s="77">
        <f>J4*'Inflation Rates by Year'!$I$2</f>
        <v>155763.34267288839</v>
      </c>
      <c r="L4" s="78">
        <f t="shared" si="3"/>
        <v>7.0801519396767452</v>
      </c>
    </row>
    <row r="5" spans="1:12" ht="15" customHeight="1">
      <c r="A5" s="81">
        <v>42233</v>
      </c>
      <c r="B5" s="61">
        <v>4</v>
      </c>
      <c r="C5" s="61" t="s">
        <v>331</v>
      </c>
      <c r="D5" s="62">
        <v>25000</v>
      </c>
      <c r="E5" s="62">
        <v>200000</v>
      </c>
      <c r="F5" s="63">
        <f t="shared" si="4"/>
        <v>3000</v>
      </c>
      <c r="G5" s="63">
        <f t="shared" si="0"/>
        <v>0.53764923212660953</v>
      </c>
      <c r="H5" s="63">
        <f t="shared" si="5"/>
        <v>0.81846485464466634</v>
      </c>
      <c r="I5" s="76">
        <f t="shared" si="1"/>
        <v>25000</v>
      </c>
      <c r="J5" s="76">
        <f t="shared" si="2"/>
        <v>200000</v>
      </c>
      <c r="K5" s="77">
        <f>J5*'Inflation Rates by Year'!$I$2</f>
        <v>249221.3482766214</v>
      </c>
      <c r="L5" s="78">
        <f t="shared" si="3"/>
        <v>9.9688539310648565</v>
      </c>
    </row>
    <row r="6" spans="1:12" ht="15" customHeight="1">
      <c r="A6" s="81">
        <v>42233</v>
      </c>
      <c r="B6" s="61">
        <v>5</v>
      </c>
      <c r="C6" s="61" t="s">
        <v>331</v>
      </c>
      <c r="D6" s="62">
        <v>25000</v>
      </c>
      <c r="E6" s="62">
        <v>250000</v>
      </c>
      <c r="F6" s="63">
        <f t="shared" si="4"/>
        <v>0</v>
      </c>
      <c r="G6" s="63">
        <f t="shared" si="0"/>
        <v>0</v>
      </c>
      <c r="H6" s="63">
        <f t="shared" si="5"/>
        <v>0</v>
      </c>
      <c r="I6" s="76">
        <f t="shared" si="1"/>
        <v>25000</v>
      </c>
      <c r="J6" s="76">
        <f t="shared" si="2"/>
        <v>250000</v>
      </c>
      <c r="K6" s="77">
        <f>J6*'Inflation Rates by Year'!$I$2</f>
        <v>311526.68534577679</v>
      </c>
      <c r="L6" s="78">
        <f t="shared" si="3"/>
        <v>12.461067413831071</v>
      </c>
    </row>
    <row r="7" spans="1:12" ht="15" customHeight="1">
      <c r="A7" s="81">
        <v>42235</v>
      </c>
      <c r="B7" s="61">
        <v>6</v>
      </c>
      <c r="C7" s="61" t="s">
        <v>331</v>
      </c>
      <c r="D7" s="62">
        <v>55000</v>
      </c>
      <c r="E7" s="62">
        <v>800000</v>
      </c>
      <c r="F7" s="63">
        <f t="shared" si="4"/>
        <v>30000</v>
      </c>
      <c r="G7" s="63">
        <f t="shared" si="0"/>
        <v>5.3764923212660944</v>
      </c>
      <c r="H7" s="63">
        <f t="shared" si="5"/>
        <v>6.3878366108220126</v>
      </c>
      <c r="I7" s="76">
        <f t="shared" si="1"/>
        <v>55000</v>
      </c>
      <c r="J7" s="76">
        <f t="shared" si="2"/>
        <v>800000</v>
      </c>
      <c r="K7" s="77">
        <f>J7*'Inflation Rates by Year'!$I$2</f>
        <v>996885.3931064856</v>
      </c>
      <c r="L7" s="78">
        <f t="shared" si="3"/>
        <v>18.125188965572466</v>
      </c>
    </row>
    <row r="8" spans="1:12" ht="15" customHeight="1">
      <c r="A8" s="81">
        <v>42236</v>
      </c>
      <c r="B8" s="61">
        <v>7</v>
      </c>
      <c r="C8" s="61" t="s">
        <v>331</v>
      </c>
      <c r="D8" s="62">
        <v>88000</v>
      </c>
      <c r="E8" s="62">
        <v>1140000</v>
      </c>
      <c r="F8" s="63">
        <f t="shared" si="4"/>
        <v>33000</v>
      </c>
      <c r="G8" s="63">
        <f t="shared" si="0"/>
        <v>5.914141553392704</v>
      </c>
      <c r="H8" s="63">
        <f t="shared" si="5"/>
        <v>5.1940082237390826</v>
      </c>
      <c r="I8" s="76">
        <f t="shared" si="1"/>
        <v>88000</v>
      </c>
      <c r="J8" s="76">
        <f t="shared" si="2"/>
        <v>1140000</v>
      </c>
      <c r="K8" s="77">
        <f>J8*'Inflation Rates by Year'!$I$2</f>
        <v>1420561.685176742</v>
      </c>
      <c r="L8" s="78">
        <f t="shared" si="3"/>
        <v>16.142746422462977</v>
      </c>
    </row>
    <row r="9" spans="1:12" ht="15" customHeight="1">
      <c r="A9" s="81">
        <v>42237</v>
      </c>
      <c r="B9" s="61">
        <v>8</v>
      </c>
      <c r="C9" s="61" t="s">
        <v>331</v>
      </c>
      <c r="D9" s="62">
        <v>108000</v>
      </c>
      <c r="E9" s="62">
        <v>1400000</v>
      </c>
      <c r="F9" s="63">
        <f t="shared" si="4"/>
        <v>20000</v>
      </c>
      <c r="G9" s="63">
        <f t="shared" si="0"/>
        <v>3.5843282141773964</v>
      </c>
      <c r="H9" s="63">
        <f t="shared" si="5"/>
        <v>2.6740875700849358</v>
      </c>
      <c r="I9" s="76">
        <f t="shared" si="1"/>
        <v>108000</v>
      </c>
      <c r="J9" s="76">
        <f t="shared" si="2"/>
        <v>1400000</v>
      </c>
      <c r="K9" s="77">
        <f>J9*'Inflation Rates by Year'!$I$2</f>
        <v>1744549.43793635</v>
      </c>
      <c r="L9" s="78">
        <f t="shared" si="3"/>
        <v>16.153235536447685</v>
      </c>
    </row>
    <row r="10" spans="1:12" ht="15" customHeight="1">
      <c r="A10" s="81">
        <v>42238</v>
      </c>
      <c r="B10" s="61">
        <v>9</v>
      </c>
      <c r="C10" s="61" t="s">
        <v>331</v>
      </c>
      <c r="D10" s="62">
        <v>132000</v>
      </c>
      <c r="E10" s="62">
        <v>1700000</v>
      </c>
      <c r="F10" s="63">
        <f t="shared" si="4"/>
        <v>24000</v>
      </c>
      <c r="G10" s="63">
        <f t="shared" si="0"/>
        <v>4.3011938570128763</v>
      </c>
      <c r="H10" s="63">
        <f t="shared" si="5"/>
        <v>2.8997244425479107</v>
      </c>
      <c r="I10" s="76">
        <f t="shared" si="1"/>
        <v>132000</v>
      </c>
      <c r="J10" s="76">
        <f t="shared" si="2"/>
        <v>1700000</v>
      </c>
      <c r="K10" s="77">
        <f>J10*'Inflation Rates by Year'!$I$2</f>
        <v>2118381.4603512818</v>
      </c>
      <c r="L10" s="78">
        <f t="shared" si="3"/>
        <v>16.048344396600619</v>
      </c>
    </row>
    <row r="11" spans="1:12" ht="15" customHeight="1">
      <c r="A11" s="81">
        <v>42239</v>
      </c>
      <c r="B11" s="61">
        <v>10</v>
      </c>
      <c r="C11" s="61" t="s">
        <v>331</v>
      </c>
      <c r="D11" s="62">
        <v>147000</v>
      </c>
      <c r="E11" s="62">
        <v>2400000</v>
      </c>
      <c r="F11" s="63">
        <f t="shared" si="4"/>
        <v>15000</v>
      </c>
      <c r="G11" s="63">
        <f t="shared" si="0"/>
        <v>2.6882461606330472</v>
      </c>
      <c r="H11" s="63">
        <f t="shared" si="5"/>
        <v>1.6793933822014973</v>
      </c>
      <c r="I11" s="76">
        <f t="shared" si="1"/>
        <v>147000</v>
      </c>
      <c r="J11" s="76">
        <f t="shared" si="2"/>
        <v>2400000</v>
      </c>
      <c r="K11" s="77">
        <f>J11*'Inflation Rates by Year'!$I$2</f>
        <v>2990656.1793194572</v>
      </c>
      <c r="L11" s="78">
        <f t="shared" si="3"/>
        <v>20.344599859316034</v>
      </c>
    </row>
    <row r="12" spans="1:12" ht="15" customHeight="1">
      <c r="A12" s="81">
        <v>42240</v>
      </c>
      <c r="B12" s="61">
        <v>11</v>
      </c>
      <c r="C12" s="61" t="s">
        <v>331</v>
      </c>
      <c r="D12" s="62">
        <v>150000</v>
      </c>
      <c r="E12" s="62">
        <v>3200000</v>
      </c>
      <c r="F12" s="63">
        <f t="shared" si="4"/>
        <v>3000</v>
      </c>
      <c r="G12" s="63">
        <f t="shared" si="0"/>
        <v>0.53764923212660953</v>
      </c>
      <c r="H12" s="63">
        <f t="shared" si="5"/>
        <v>0.32542788407913659</v>
      </c>
      <c r="I12" s="76">
        <f t="shared" si="1"/>
        <v>150000</v>
      </c>
      <c r="J12" s="76">
        <f t="shared" si="2"/>
        <v>3200000</v>
      </c>
      <c r="K12" s="77">
        <f>J12*'Inflation Rates by Year'!$I$2</f>
        <v>3987541.5724259424</v>
      </c>
      <c r="L12" s="78">
        <f t="shared" si="3"/>
        <v>26.583610482839617</v>
      </c>
    </row>
    <row r="13" spans="1:12" ht="15" customHeight="1">
      <c r="A13" s="81">
        <v>42241</v>
      </c>
      <c r="B13" s="61">
        <v>12</v>
      </c>
      <c r="C13" s="61" t="s">
        <v>331</v>
      </c>
      <c r="D13" s="62">
        <v>155000</v>
      </c>
      <c r="E13" s="62">
        <v>4000000</v>
      </c>
      <c r="F13" s="63">
        <f t="shared" si="4"/>
        <v>5000</v>
      </c>
      <c r="G13" s="63">
        <f t="shared" si="0"/>
        <v>0.89608205354434911</v>
      </c>
      <c r="H13" s="63">
        <f t="shared" si="5"/>
        <v>0.53523051855241977</v>
      </c>
      <c r="I13" s="76">
        <f t="shared" si="1"/>
        <v>155000</v>
      </c>
      <c r="J13" s="76">
        <f t="shared" si="2"/>
        <v>4000000</v>
      </c>
      <c r="K13" s="77">
        <f>J13*'Inflation Rates by Year'!$I$2</f>
        <v>4984426.9655324286</v>
      </c>
      <c r="L13" s="78">
        <f t="shared" si="3"/>
        <v>32.157593326015672</v>
      </c>
    </row>
    <row r="14" spans="1:12" ht="15" customHeight="1">
      <c r="A14" s="81">
        <v>42242</v>
      </c>
      <c r="B14" s="61">
        <v>13</v>
      </c>
      <c r="C14" s="61" t="s">
        <v>331</v>
      </c>
      <c r="D14" s="62">
        <v>170000</v>
      </c>
      <c r="E14" s="62">
        <v>5004569</v>
      </c>
      <c r="F14" s="63">
        <f t="shared" si="4"/>
        <v>15000</v>
      </c>
      <c r="G14" s="63">
        <f t="shared" si="0"/>
        <v>2.6882461606330472</v>
      </c>
      <c r="H14" s="63">
        <f t="shared" si="5"/>
        <v>1.5558635441630762</v>
      </c>
      <c r="I14" s="76">
        <f t="shared" si="1"/>
        <v>170000</v>
      </c>
      <c r="J14" s="76">
        <f t="shared" si="2"/>
        <v>5004569</v>
      </c>
      <c r="K14" s="77">
        <f>J14*'Inflation Rates by Year'!$I$2</f>
        <v>6236227.1686169151</v>
      </c>
      <c r="L14" s="78">
        <f t="shared" si="3"/>
        <v>36.683689227158325</v>
      </c>
    </row>
    <row r="15" spans="1:12" ht="15" customHeight="1">
      <c r="A15" s="81">
        <v>42243</v>
      </c>
      <c r="B15" s="61">
        <v>14</v>
      </c>
      <c r="C15" s="61" t="s">
        <v>331</v>
      </c>
      <c r="D15" s="62">
        <v>179834</v>
      </c>
      <c r="E15" s="62">
        <v>5647615</v>
      </c>
      <c r="F15" s="63">
        <f t="shared" si="4"/>
        <v>9834</v>
      </c>
      <c r="G15" s="63">
        <f t="shared" si="0"/>
        <v>1.7624141829110258</v>
      </c>
      <c r="H15" s="63">
        <f t="shared" si="5"/>
        <v>0.98298818844641611</v>
      </c>
      <c r="I15" s="76">
        <f t="shared" si="1"/>
        <v>179834</v>
      </c>
      <c r="J15" s="76">
        <f t="shared" si="2"/>
        <v>5647615</v>
      </c>
      <c r="K15" s="77">
        <f>J15*'Inflation Rates by Year'!$I$2</f>
        <v>7037531.1242363565</v>
      </c>
      <c r="L15" s="78">
        <f t="shared" si="3"/>
        <v>39.133484904057944</v>
      </c>
    </row>
    <row r="16" spans="1:12" ht="15" customHeight="1">
      <c r="A16" s="81">
        <v>42244</v>
      </c>
      <c r="B16" s="61">
        <v>15</v>
      </c>
      <c r="C16" s="61" t="s">
        <v>331</v>
      </c>
      <c r="D16" s="62">
        <v>192900</v>
      </c>
      <c r="E16" s="62">
        <v>7179379</v>
      </c>
      <c r="F16" s="63">
        <f t="shared" si="4"/>
        <v>13066</v>
      </c>
      <c r="G16" s="63">
        <f t="shared" si="0"/>
        <v>2.3416416223220931</v>
      </c>
      <c r="H16" s="63">
        <f t="shared" si="5"/>
        <v>1.2653657684692101</v>
      </c>
      <c r="I16" s="76">
        <f t="shared" si="1"/>
        <v>192900</v>
      </c>
      <c r="J16" s="76">
        <f t="shared" si="2"/>
        <v>7179379</v>
      </c>
      <c r="K16" s="77">
        <f>J16*'Inflation Rates by Year'!$I$2</f>
        <v>8946272.5708443094</v>
      </c>
      <c r="L16" s="78">
        <f t="shared" si="3"/>
        <v>46.377773825009378</v>
      </c>
    </row>
    <row r="17" spans="1:12" ht="15" customHeight="1">
      <c r="A17" s="81">
        <v>42245</v>
      </c>
      <c r="B17" s="61">
        <v>16</v>
      </c>
      <c r="C17" s="61" t="s">
        <v>331</v>
      </c>
      <c r="D17" s="62">
        <v>200593</v>
      </c>
      <c r="E17" s="62">
        <v>8098174</v>
      </c>
      <c r="F17" s="63">
        <f t="shared" si="4"/>
        <v>7693</v>
      </c>
      <c r="G17" s="63">
        <f t="shared" si="0"/>
        <v>1.3787118475833355</v>
      </c>
      <c r="H17" s="63">
        <f t="shared" si="5"/>
        <v>0.72502698816355104</v>
      </c>
      <c r="I17" s="76">
        <f t="shared" si="1"/>
        <v>200593</v>
      </c>
      <c r="J17" s="76">
        <f t="shared" si="2"/>
        <v>8098174</v>
      </c>
      <c r="K17" s="77">
        <f>J17*'Inflation Rates by Year'!$I$2</f>
        <v>10091189.214293402</v>
      </c>
      <c r="L17" s="78">
        <f t="shared" si="3"/>
        <v>50.306786449643816</v>
      </c>
    </row>
    <row r="18" spans="1:12" ht="15" customHeight="1">
      <c r="A18" s="81">
        <v>42246</v>
      </c>
      <c r="B18" s="61">
        <v>17</v>
      </c>
      <c r="C18" s="61" t="s">
        <v>331</v>
      </c>
      <c r="D18" s="62">
        <v>200593</v>
      </c>
      <c r="E18" s="62">
        <v>9300000</v>
      </c>
      <c r="F18" s="63">
        <f t="shared" si="4"/>
        <v>0</v>
      </c>
      <c r="G18" s="63">
        <f t="shared" si="0"/>
        <v>0</v>
      </c>
      <c r="H18" s="63">
        <f t="shared" si="5"/>
        <v>0</v>
      </c>
      <c r="I18" s="76">
        <f t="shared" si="1"/>
        <v>200593</v>
      </c>
      <c r="J18" s="76">
        <f t="shared" si="2"/>
        <v>9300000</v>
      </c>
      <c r="K18" s="77">
        <f>J18*'Inflation Rates by Year'!$I$2</f>
        <v>11588792.694862897</v>
      </c>
      <c r="L18" s="78">
        <f t="shared" si="3"/>
        <v>57.772667515132113</v>
      </c>
    </row>
    <row r="19" spans="1:12" ht="15" customHeight="1">
      <c r="A19" s="81">
        <v>42247</v>
      </c>
      <c r="B19" s="61">
        <v>18</v>
      </c>
      <c r="C19" s="61" t="s">
        <v>331</v>
      </c>
      <c r="D19" s="62">
        <v>205331</v>
      </c>
      <c r="E19" s="62">
        <v>10200000</v>
      </c>
      <c r="F19" s="63">
        <f t="shared" si="4"/>
        <v>4738</v>
      </c>
      <c r="G19" s="63">
        <f t="shared" si="0"/>
        <v>0.84912735393862526</v>
      </c>
      <c r="H19" s="63">
        <f t="shared" si="5"/>
        <v>0.43962894782124845</v>
      </c>
      <c r="I19" s="76">
        <f t="shared" si="1"/>
        <v>205331</v>
      </c>
      <c r="J19" s="76">
        <f t="shared" si="2"/>
        <v>10200000</v>
      </c>
      <c r="K19" s="77">
        <f>J19*'Inflation Rates by Year'!$I$2</f>
        <v>12710288.762107693</v>
      </c>
      <c r="L19" s="78">
        <f t="shared" si="3"/>
        <v>61.901460384002867</v>
      </c>
    </row>
    <row r="20" spans="1:12" ht="15" customHeight="1">
      <c r="A20" s="81">
        <v>42248</v>
      </c>
      <c r="B20" s="61">
        <v>19</v>
      </c>
      <c r="C20" s="61" t="s">
        <v>331</v>
      </c>
      <c r="D20" s="62">
        <v>205331</v>
      </c>
      <c r="E20" s="62">
        <v>10900000</v>
      </c>
      <c r="F20" s="63">
        <f t="shared" si="4"/>
        <v>0</v>
      </c>
      <c r="G20" s="63">
        <f t="shared" si="0"/>
        <v>0</v>
      </c>
      <c r="H20" s="63">
        <f t="shared" si="5"/>
        <v>0</v>
      </c>
      <c r="I20" s="76">
        <f t="shared" si="1"/>
        <v>205331</v>
      </c>
      <c r="J20" s="76">
        <f t="shared" si="2"/>
        <v>10900000</v>
      </c>
      <c r="K20" s="77">
        <f>J20*'Inflation Rates by Year'!$I$2</f>
        <v>13582563.481075866</v>
      </c>
      <c r="L20" s="78">
        <f t="shared" si="3"/>
        <v>66.149599822120706</v>
      </c>
    </row>
    <row r="21" spans="1:12" ht="14.5">
      <c r="A21" s="81">
        <v>42249</v>
      </c>
      <c r="B21" s="61">
        <v>20</v>
      </c>
      <c r="C21" s="61" t="s">
        <v>331</v>
      </c>
      <c r="D21" s="62">
        <v>205605</v>
      </c>
      <c r="E21" s="62">
        <v>12342440</v>
      </c>
      <c r="F21" s="63">
        <f t="shared" si="4"/>
        <v>274</v>
      </c>
      <c r="G21" s="63">
        <f t="shared" si="0"/>
        <v>4.9105296534230333E-2</v>
      </c>
      <c r="H21" s="63">
        <f t="shared" si="5"/>
        <v>2.526793119269434E-2</v>
      </c>
      <c r="I21" s="76">
        <f t="shared" si="1"/>
        <v>205605</v>
      </c>
      <c r="J21" s="76">
        <f t="shared" si="2"/>
        <v>12342440</v>
      </c>
      <c r="K21" s="77">
        <f>J21*'Inflation Rates by Year'!$I$2</f>
        <v>15379997.689116515</v>
      </c>
      <c r="L21" s="78">
        <f t="shared" si="3"/>
        <v>74.803617076999657</v>
      </c>
    </row>
    <row r="22" spans="1:12" ht="14.5">
      <c r="A22" s="81">
        <v>42250</v>
      </c>
      <c r="B22" s="61">
        <v>21</v>
      </c>
      <c r="C22" s="61" t="s">
        <v>331</v>
      </c>
      <c r="D22" s="62">
        <v>205605</v>
      </c>
      <c r="E22" s="62">
        <v>13638432</v>
      </c>
      <c r="F22" s="63">
        <f t="shared" si="4"/>
        <v>0</v>
      </c>
      <c r="G22" s="63">
        <f t="shared" si="0"/>
        <v>0</v>
      </c>
      <c r="H22" s="63">
        <f t="shared" si="5"/>
        <v>0</v>
      </c>
      <c r="I22" s="76">
        <f t="shared" si="1"/>
        <v>205605</v>
      </c>
      <c r="J22" s="76">
        <f t="shared" si="2"/>
        <v>13638432</v>
      </c>
      <c r="K22" s="77">
        <f>J22*'Inflation Rates by Year'!$I$2</f>
        <v>16994942.057095092</v>
      </c>
      <c r="L22" s="78">
        <f t="shared" si="3"/>
        <v>82.658213842538316</v>
      </c>
    </row>
    <row r="23" spans="1:12" ht="14.5">
      <c r="A23" s="81">
        <v>42251</v>
      </c>
      <c r="B23" s="61">
        <v>22</v>
      </c>
      <c r="C23" s="61" t="s">
        <v>331</v>
      </c>
      <c r="D23" s="62">
        <v>207641</v>
      </c>
      <c r="E23" s="62">
        <v>14800000</v>
      </c>
      <c r="F23" s="63">
        <f t="shared" si="4"/>
        <v>2036</v>
      </c>
      <c r="G23" s="63">
        <f t="shared" si="0"/>
        <v>0.36488461220325896</v>
      </c>
      <c r="H23" s="63">
        <f t="shared" si="5"/>
        <v>0.18723237894945735</v>
      </c>
      <c r="I23" s="76">
        <f t="shared" si="1"/>
        <v>207641</v>
      </c>
      <c r="J23" s="76">
        <f t="shared" si="2"/>
        <v>14800000</v>
      </c>
      <c r="K23" s="77">
        <f>J23*'Inflation Rates by Year'!$I$2</f>
        <v>18442379.772469986</v>
      </c>
      <c r="L23" s="78">
        <f t="shared" si="3"/>
        <v>88.81858482895953</v>
      </c>
    </row>
    <row r="24" spans="1:12" ht="14.5">
      <c r="A24" s="81">
        <v>42252</v>
      </c>
      <c r="B24" s="61">
        <v>23</v>
      </c>
      <c r="C24" s="61" t="s">
        <v>331</v>
      </c>
      <c r="D24" s="62">
        <v>208145</v>
      </c>
      <c r="E24" s="62">
        <v>16680713</v>
      </c>
      <c r="F24" s="63">
        <f t="shared" si="4"/>
        <v>504</v>
      </c>
      <c r="G24" s="63">
        <f t="shared" si="0"/>
        <v>9.0325070997270399E-2</v>
      </c>
      <c r="H24" s="63">
        <f t="shared" si="5"/>
        <v>4.6206372875500688E-2</v>
      </c>
      <c r="I24" s="76">
        <f t="shared" si="1"/>
        <v>208145</v>
      </c>
      <c r="J24" s="76">
        <f t="shared" si="2"/>
        <v>16680713</v>
      </c>
      <c r="K24" s="77">
        <f>J24*'Inflation Rates by Year'!$I$2</f>
        <v>20785948.920376834</v>
      </c>
      <c r="L24" s="78">
        <f t="shared" si="3"/>
        <v>99.862830816867245</v>
      </c>
    </row>
    <row r="25" spans="1:12" ht="14.5">
      <c r="A25" s="81">
        <v>42253</v>
      </c>
      <c r="B25" s="61">
        <v>24</v>
      </c>
      <c r="C25" s="61" t="s">
        <v>331</v>
      </c>
      <c r="D25" s="62">
        <v>209504</v>
      </c>
      <c r="E25" s="62">
        <v>18132355</v>
      </c>
      <c r="F25" s="63">
        <f t="shared" si="4"/>
        <v>1359</v>
      </c>
      <c r="G25" s="63">
        <f t="shared" si="0"/>
        <v>0.2435551021533541</v>
      </c>
      <c r="H25" s="63">
        <f t="shared" si="5"/>
        <v>0.12431413197273802</v>
      </c>
      <c r="I25" s="76">
        <f t="shared" si="1"/>
        <v>209504</v>
      </c>
      <c r="J25" s="76">
        <f t="shared" si="2"/>
        <v>18132355</v>
      </c>
      <c r="K25" s="77">
        <f>J25*'Inflation Rates by Year'!$I$2</f>
        <v>22594849.802651688</v>
      </c>
      <c r="L25" s="78">
        <f t="shared" si="3"/>
        <v>107.84925253289526</v>
      </c>
    </row>
    <row r="26" spans="1:12" ht="14.5">
      <c r="A26" s="81">
        <v>42254</v>
      </c>
      <c r="B26" s="61">
        <v>25</v>
      </c>
      <c r="C26" s="61" t="s">
        <v>331</v>
      </c>
      <c r="D26" s="62">
        <v>209537</v>
      </c>
      <c r="E26" s="62">
        <v>19200493</v>
      </c>
      <c r="F26" s="63">
        <f t="shared" si="4"/>
        <v>33</v>
      </c>
      <c r="G26" s="63">
        <f t="shared" si="0"/>
        <v>5.9141415533927044E-3</v>
      </c>
      <c r="H26" s="63">
        <f t="shared" si="5"/>
        <v>3.0136434912051628E-3</v>
      </c>
      <c r="I26" s="76">
        <f t="shared" si="1"/>
        <v>209537</v>
      </c>
      <c r="J26" s="76">
        <f t="shared" si="2"/>
        <v>19200493</v>
      </c>
      <c r="K26" s="77">
        <f>J26*'Inflation Rates by Year'!$I$2</f>
        <v>23925863.765179157</v>
      </c>
      <c r="L26" s="78">
        <f t="shared" si="3"/>
        <v>114.1844340864819</v>
      </c>
    </row>
    <row r="27" spans="1:12" ht="14.5">
      <c r="A27" s="81">
        <v>42255</v>
      </c>
      <c r="B27" s="61">
        <v>26</v>
      </c>
      <c r="C27" s="61" t="s">
        <v>331</v>
      </c>
      <c r="D27" s="62">
        <v>210027</v>
      </c>
      <c r="E27" s="62">
        <v>20999977</v>
      </c>
      <c r="F27" s="63">
        <f t="shared" si="4"/>
        <v>490</v>
      </c>
      <c r="G27" s="63">
        <f t="shared" si="0"/>
        <v>8.781604124734621E-2</v>
      </c>
      <c r="H27" s="63">
        <f t="shared" si="5"/>
        <v>4.4720148676532012E-2</v>
      </c>
      <c r="I27" s="76">
        <f t="shared" si="1"/>
        <v>210027</v>
      </c>
      <c r="J27" s="76">
        <f t="shared" si="2"/>
        <v>20999977</v>
      </c>
      <c r="K27" s="77">
        <f>J27*'Inflation Rates by Year'!$I$2</f>
        <v>26168212.908590198</v>
      </c>
      <c r="L27" s="78">
        <f t="shared" si="3"/>
        <v>124.59451836473499</v>
      </c>
    </row>
    <row r="28" spans="1:12" ht="14.5">
      <c r="A28" s="81">
        <v>42256</v>
      </c>
      <c r="B28" s="61">
        <v>27</v>
      </c>
      <c r="C28" s="61" t="s">
        <v>331</v>
      </c>
      <c r="D28" s="62">
        <v>210115</v>
      </c>
      <c r="E28" s="62">
        <v>21122030</v>
      </c>
      <c r="F28" s="63">
        <f t="shared" si="4"/>
        <v>88</v>
      </c>
      <c r="G28" s="63">
        <f t="shared" si="0"/>
        <v>1.5771044142380546E-2</v>
      </c>
      <c r="H28" s="63">
        <f t="shared" si="5"/>
        <v>8.025845932023044E-3</v>
      </c>
      <c r="I28" s="76">
        <f t="shared" si="1"/>
        <v>210115</v>
      </c>
      <c r="J28" s="76">
        <f t="shared" si="2"/>
        <v>21122030</v>
      </c>
      <c r="K28" s="77">
        <f>J28*'Inflation Rates by Year'!$I$2</f>
        <v>26320303.97469623</v>
      </c>
      <c r="L28" s="78">
        <f t="shared" si="3"/>
        <v>125.26618268422639</v>
      </c>
    </row>
    <row r="29" spans="1:12" ht="14.5">
      <c r="A29" s="81">
        <v>42257</v>
      </c>
      <c r="B29" s="61">
        <v>28</v>
      </c>
      <c r="C29" s="61" t="s">
        <v>331</v>
      </c>
      <c r="D29" s="62">
        <v>211356</v>
      </c>
      <c r="E29" s="62">
        <v>22222030</v>
      </c>
      <c r="F29" s="63">
        <f t="shared" si="4"/>
        <v>1241</v>
      </c>
      <c r="G29" s="63">
        <f t="shared" si="0"/>
        <v>0.22240756568970746</v>
      </c>
      <c r="H29" s="63">
        <f t="shared" si="5"/>
        <v>0.11300420298953613</v>
      </c>
      <c r="I29" s="76">
        <f t="shared" si="1"/>
        <v>211356</v>
      </c>
      <c r="J29" s="76">
        <f t="shared" si="2"/>
        <v>22222030</v>
      </c>
      <c r="K29" s="77">
        <f>J29*'Inflation Rates by Year'!$I$2</f>
        <v>27691021.390217647</v>
      </c>
      <c r="L29" s="78">
        <f t="shared" si="3"/>
        <v>131.01601747865047</v>
      </c>
    </row>
    <row r="30" spans="1:12" ht="14.5">
      <c r="A30" s="81">
        <v>42258</v>
      </c>
      <c r="B30" s="61">
        <v>29</v>
      </c>
      <c r="C30" s="61" t="s">
        <v>331</v>
      </c>
      <c r="D30" s="62">
        <v>211356</v>
      </c>
      <c r="E30" s="62">
        <v>24900000</v>
      </c>
      <c r="F30" s="63">
        <f t="shared" si="4"/>
        <v>0</v>
      </c>
      <c r="G30" s="63">
        <f t="shared" si="0"/>
        <v>0</v>
      </c>
      <c r="H30" s="63">
        <f t="shared" si="5"/>
        <v>0</v>
      </c>
      <c r="I30" s="76">
        <f t="shared" si="1"/>
        <v>211356</v>
      </c>
      <c r="J30" s="76">
        <f t="shared" si="2"/>
        <v>24900000</v>
      </c>
      <c r="K30" s="77">
        <f>J30*'Inflation Rates by Year'!$I$2</f>
        <v>31028057.860439368</v>
      </c>
      <c r="L30" s="78">
        <f t="shared" si="3"/>
        <v>146.80471744563374</v>
      </c>
    </row>
    <row r="31" spans="1:12" ht="14.5">
      <c r="A31" s="81">
        <v>42259</v>
      </c>
      <c r="B31" s="61">
        <v>30</v>
      </c>
      <c r="C31" s="61" t="s">
        <v>331</v>
      </c>
      <c r="D31" s="62">
        <v>212648</v>
      </c>
      <c r="E31" s="62">
        <v>26400000</v>
      </c>
      <c r="F31" s="63">
        <f t="shared" si="4"/>
        <v>1292</v>
      </c>
      <c r="G31" s="63">
        <f t="shared" si="0"/>
        <v>0.23154760263585983</v>
      </c>
      <c r="H31" s="63">
        <f t="shared" si="5"/>
        <v>0.11729627871909301</v>
      </c>
      <c r="I31" s="76">
        <f t="shared" si="1"/>
        <v>212648</v>
      </c>
      <c r="J31" s="76">
        <f t="shared" si="2"/>
        <v>26400000</v>
      </c>
      <c r="K31" s="77">
        <f>J31*'Inflation Rates by Year'!$I$2</f>
        <v>32897217.972514026</v>
      </c>
      <c r="L31" s="78">
        <f t="shared" si="3"/>
        <v>154.70269164306285</v>
      </c>
    </row>
    <row r="32" spans="1:12" ht="14.5">
      <c r="A32" s="81">
        <v>42260</v>
      </c>
      <c r="B32" s="61">
        <v>31</v>
      </c>
      <c r="C32" s="61" t="s">
        <v>331</v>
      </c>
      <c r="D32" s="62">
        <v>214975</v>
      </c>
      <c r="E32" s="62">
        <v>28900000</v>
      </c>
      <c r="F32" s="63">
        <f t="shared" si="4"/>
        <v>2327</v>
      </c>
      <c r="G32" s="63">
        <f t="shared" si="0"/>
        <v>0.41703658771954011</v>
      </c>
      <c r="H32" s="63">
        <f t="shared" si="5"/>
        <v>0.21036508304838605</v>
      </c>
      <c r="I32" s="76">
        <f t="shared" si="1"/>
        <v>214975</v>
      </c>
      <c r="J32" s="76">
        <f t="shared" si="2"/>
        <v>28900000</v>
      </c>
      <c r="K32" s="77">
        <f>J32*'Inflation Rates by Year'!$I$2</f>
        <v>36012484.825971797</v>
      </c>
      <c r="L32" s="78">
        <f t="shared" si="3"/>
        <v>167.51940842410417</v>
      </c>
    </row>
    <row r="33" spans="1:26" ht="14.5">
      <c r="A33" s="81">
        <v>42261</v>
      </c>
      <c r="B33" s="61">
        <v>32</v>
      </c>
      <c r="C33" s="61" t="s">
        <v>331</v>
      </c>
      <c r="D33" s="62">
        <v>215406</v>
      </c>
      <c r="E33" s="62">
        <v>30500000</v>
      </c>
      <c r="F33" s="63">
        <f t="shared" si="4"/>
        <v>431</v>
      </c>
      <c r="G33" s="63">
        <f t="shared" si="0"/>
        <v>7.7242273015522889E-2</v>
      </c>
      <c r="H33" s="63">
        <f t="shared" si="5"/>
        <v>3.88380103115794E-2</v>
      </c>
      <c r="I33" s="76">
        <f t="shared" si="1"/>
        <v>215406</v>
      </c>
      <c r="J33" s="76">
        <f t="shared" si="2"/>
        <v>30500000</v>
      </c>
      <c r="K33" s="77">
        <f>J33*'Inflation Rates by Year'!$I$2</f>
        <v>38006255.612184763</v>
      </c>
      <c r="L33" s="78">
        <f t="shared" si="3"/>
        <v>176.44009736119125</v>
      </c>
    </row>
    <row r="34" spans="1:26" ht="14.5">
      <c r="A34" s="81">
        <v>42262</v>
      </c>
      <c r="B34" s="61">
        <v>33</v>
      </c>
      <c r="C34" s="61" t="s">
        <v>331</v>
      </c>
      <c r="D34" s="62">
        <v>217558</v>
      </c>
      <c r="E34" s="62">
        <v>32100000</v>
      </c>
      <c r="F34" s="63">
        <f t="shared" si="4"/>
        <v>2152</v>
      </c>
      <c r="G34" s="63">
        <f t="shared" si="0"/>
        <v>0.38567371584548787</v>
      </c>
      <c r="H34" s="63">
        <f t="shared" si="5"/>
        <v>0.19334097652660925</v>
      </c>
      <c r="I34" s="76">
        <f t="shared" si="1"/>
        <v>217558</v>
      </c>
      <c r="J34" s="76">
        <f t="shared" si="2"/>
        <v>32100000</v>
      </c>
      <c r="K34" s="77">
        <f>J34*'Inflation Rates by Year'!$I$2</f>
        <v>40000026.398397736</v>
      </c>
      <c r="L34" s="78">
        <f t="shared" si="3"/>
        <v>183.859138245423</v>
      </c>
    </row>
    <row r="35" spans="1:26" ht="14.5">
      <c r="A35" s="81">
        <v>42263</v>
      </c>
      <c r="B35" s="61">
        <v>34</v>
      </c>
      <c r="C35" s="61" t="s">
        <v>331</v>
      </c>
      <c r="D35" s="62">
        <v>217601</v>
      </c>
      <c r="E35" s="62">
        <v>32800000</v>
      </c>
      <c r="F35" s="63">
        <f t="shared" si="4"/>
        <v>43</v>
      </c>
      <c r="G35" s="63">
        <f t="shared" si="0"/>
        <v>7.7063056604814023E-3</v>
      </c>
      <c r="H35" s="63">
        <f t="shared" si="5"/>
        <v>3.8534583060561112E-3</v>
      </c>
      <c r="I35" s="76">
        <f t="shared" si="1"/>
        <v>217601</v>
      </c>
      <c r="J35" s="76">
        <f t="shared" si="2"/>
        <v>32800000</v>
      </c>
      <c r="K35" s="77">
        <f>J35*'Inflation Rates by Year'!$I$2</f>
        <v>40872301.117365912</v>
      </c>
      <c r="L35" s="78">
        <f t="shared" si="3"/>
        <v>187.83140296857971</v>
      </c>
    </row>
    <row r="36" spans="1:26" ht="14.5">
      <c r="A36" s="81">
        <v>42264</v>
      </c>
      <c r="B36" s="61">
        <v>35</v>
      </c>
      <c r="C36" s="61" t="s">
        <v>331</v>
      </c>
      <c r="D36" s="62">
        <v>217614</v>
      </c>
      <c r="E36" s="62">
        <v>34000000</v>
      </c>
      <c r="F36" s="63">
        <f t="shared" si="4"/>
        <v>13</v>
      </c>
      <c r="G36" s="63">
        <f t="shared" si="0"/>
        <v>2.3298133392153078E-3</v>
      </c>
      <c r="H36" s="63">
        <f t="shared" si="5"/>
        <v>1.1649240676616932E-3</v>
      </c>
      <c r="I36" s="76">
        <f t="shared" si="1"/>
        <v>217614</v>
      </c>
      <c r="J36" s="76">
        <f t="shared" si="2"/>
        <v>34000000</v>
      </c>
      <c r="K36" s="77">
        <f>J36*'Inflation Rates by Year'!$I$2</f>
        <v>42367629.20702564</v>
      </c>
      <c r="L36" s="78">
        <f t="shared" si="3"/>
        <v>194.6916522237799</v>
      </c>
    </row>
    <row r="37" spans="1:26" ht="14.5">
      <c r="A37" s="81">
        <v>42265</v>
      </c>
      <c r="B37" s="61">
        <v>36</v>
      </c>
      <c r="C37" s="61" t="s">
        <v>331</v>
      </c>
      <c r="D37" s="62">
        <v>217619</v>
      </c>
      <c r="E37" s="62">
        <v>35900000</v>
      </c>
      <c r="F37" s="63">
        <f t="shared" si="4"/>
        <v>5</v>
      </c>
      <c r="G37" s="63">
        <f t="shared" si="0"/>
        <v>8.9608205354434916E-4</v>
      </c>
      <c r="H37" s="63">
        <f t="shared" si="5"/>
        <v>4.4803845320163084E-4</v>
      </c>
      <c r="I37" s="76">
        <f t="shared" si="1"/>
        <v>217619</v>
      </c>
      <c r="J37" s="76">
        <f t="shared" si="2"/>
        <v>35900000</v>
      </c>
      <c r="K37" s="77">
        <f>J37*'Inflation Rates by Year'!$I$2</f>
        <v>44735232.015653543</v>
      </c>
      <c r="L37" s="78">
        <f t="shared" si="3"/>
        <v>205.56675665108995</v>
      </c>
    </row>
    <row r="38" spans="1:26" ht="14.5">
      <c r="A38" s="81">
        <v>42266</v>
      </c>
      <c r="B38" s="61">
        <v>37</v>
      </c>
      <c r="C38" s="61" t="s">
        <v>331</v>
      </c>
      <c r="D38" s="62">
        <v>217619</v>
      </c>
      <c r="E38" s="62">
        <v>36700000</v>
      </c>
      <c r="F38" s="63">
        <f t="shared" si="4"/>
        <v>0</v>
      </c>
      <c r="G38" s="63">
        <f t="shared" si="0"/>
        <v>0</v>
      </c>
      <c r="H38" s="63">
        <f t="shared" si="5"/>
        <v>0</v>
      </c>
      <c r="I38" s="76">
        <f t="shared" si="1"/>
        <v>217619</v>
      </c>
      <c r="J38" s="76">
        <f t="shared" si="2"/>
        <v>36700000</v>
      </c>
      <c r="K38" s="77">
        <f>J38*'Inflation Rates by Year'!$I$2</f>
        <v>45732117.408760026</v>
      </c>
      <c r="L38" s="78">
        <f t="shared" si="3"/>
        <v>210.14763145111422</v>
      </c>
    </row>
    <row r="39" spans="1:26" ht="14.5">
      <c r="A39" s="81">
        <v>42267</v>
      </c>
      <c r="B39" s="61">
        <v>38</v>
      </c>
      <c r="C39" s="61" t="s">
        <v>331</v>
      </c>
      <c r="D39" s="62">
        <v>217982</v>
      </c>
      <c r="E39" s="62">
        <v>38100000</v>
      </c>
      <c r="F39" s="63">
        <f t="shared" si="4"/>
        <v>363</v>
      </c>
      <c r="G39" s="63">
        <f t="shared" si="0"/>
        <v>6.5055557087319749E-2</v>
      </c>
      <c r="H39" s="63">
        <f t="shared" si="5"/>
        <v>3.2513851806852165E-2</v>
      </c>
      <c r="I39" s="76">
        <f t="shared" si="1"/>
        <v>217982</v>
      </c>
      <c r="J39" s="76">
        <f t="shared" si="2"/>
        <v>38100000</v>
      </c>
      <c r="K39" s="77">
        <f>J39*'Inflation Rates by Year'!$I$2</f>
        <v>47476666.846696377</v>
      </c>
      <c r="L39" s="78">
        <f t="shared" si="3"/>
        <v>217.80085900072655</v>
      </c>
    </row>
    <row r="40" spans="1:26" ht="14.5">
      <c r="A40" s="81">
        <v>42268</v>
      </c>
      <c r="B40" s="61">
        <v>39</v>
      </c>
      <c r="C40" s="61" t="s">
        <v>331</v>
      </c>
      <c r="D40" s="62">
        <v>218098</v>
      </c>
      <c r="E40" s="62">
        <v>39500000</v>
      </c>
      <c r="F40" s="63">
        <f t="shared" si="4"/>
        <v>116</v>
      </c>
      <c r="G40" s="63">
        <f t="shared" si="0"/>
        <v>2.0789103642228898E-2</v>
      </c>
      <c r="H40" s="63">
        <f t="shared" si="5"/>
        <v>1.0384392666832385E-2</v>
      </c>
      <c r="I40" s="76">
        <f t="shared" si="1"/>
        <v>218098</v>
      </c>
      <c r="J40" s="76">
        <f t="shared" si="2"/>
        <v>39500000</v>
      </c>
      <c r="K40" s="77">
        <f>J40*'Inflation Rates by Year'!$I$2</f>
        <v>49221216.284632728</v>
      </c>
      <c r="L40" s="78">
        <f t="shared" si="3"/>
        <v>225.68394155211294</v>
      </c>
    </row>
    <row r="41" spans="1:26" ht="14.5">
      <c r="A41" s="82">
        <v>42269</v>
      </c>
      <c r="B41" s="83">
        <v>40</v>
      </c>
      <c r="C41" s="83" t="s">
        <v>331</v>
      </c>
      <c r="D41" s="72">
        <v>218142</v>
      </c>
      <c r="E41" s="72">
        <v>40900000</v>
      </c>
      <c r="F41" s="71">
        <f t="shared" si="4"/>
        <v>44</v>
      </c>
      <c r="G41" s="63">
        <f t="shared" si="0"/>
        <v>7.8855220711902731E-3</v>
      </c>
      <c r="H41" s="63">
        <f t="shared" si="5"/>
        <v>3.9381851294945204E-3</v>
      </c>
      <c r="I41" s="72">
        <f t="shared" si="1"/>
        <v>218142</v>
      </c>
      <c r="J41" s="72">
        <f t="shared" si="2"/>
        <v>40900000</v>
      </c>
      <c r="K41" s="77">
        <f>J41*'Inflation Rates by Year'!$I$2</f>
        <v>50965765.722569078</v>
      </c>
      <c r="L41" s="73">
        <f t="shared" si="3"/>
        <v>233.63573141609172</v>
      </c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4.5">
      <c r="A42" s="81">
        <v>42270</v>
      </c>
      <c r="B42" s="61">
        <v>41</v>
      </c>
      <c r="C42" s="61" t="s">
        <v>331</v>
      </c>
      <c r="D42" s="62">
        <v>218138</v>
      </c>
      <c r="E42" s="62">
        <v>41630000</v>
      </c>
      <c r="F42" s="63">
        <f t="shared" si="4"/>
        <v>-4</v>
      </c>
      <c r="G42" s="63">
        <f t="shared" ref="G42:G48" si="6">$B$69/$I$36*(F42)</f>
        <v>0</v>
      </c>
      <c r="H42" s="63">
        <f t="shared" ref="H42:H48" si="7">$B$69/SQRT($I$36)*(SQRT(I42)-SQRT(I41))</f>
        <v>0</v>
      </c>
      <c r="I42" s="76">
        <f t="shared" si="1"/>
        <v>218138</v>
      </c>
      <c r="J42" s="76">
        <f t="shared" si="2"/>
        <v>41630000</v>
      </c>
      <c r="K42" s="77">
        <f>J42*'Inflation Rates by Year'!$I$2</f>
        <v>51875423.643778749</v>
      </c>
      <c r="L42" s="78">
        <f t="shared" si="3"/>
        <v>237.81011856613131</v>
      </c>
    </row>
    <row r="43" spans="1:26" ht="14.5">
      <c r="A43" s="81">
        <v>42271</v>
      </c>
      <c r="B43" s="61">
        <v>42</v>
      </c>
      <c r="C43" s="61" t="s">
        <v>331</v>
      </c>
      <c r="D43" s="62">
        <v>218138</v>
      </c>
      <c r="E43" s="62">
        <v>42350000</v>
      </c>
      <c r="F43" s="63">
        <f t="shared" si="4"/>
        <v>0</v>
      </c>
      <c r="G43" s="63">
        <f t="shared" si="6"/>
        <v>0</v>
      </c>
      <c r="H43" s="63">
        <f t="shared" si="7"/>
        <v>0</v>
      </c>
      <c r="I43" s="76">
        <f t="shared" si="1"/>
        <v>218138</v>
      </c>
      <c r="J43" s="76">
        <f t="shared" si="2"/>
        <v>42350000</v>
      </c>
      <c r="K43" s="77">
        <f>J43*'Inflation Rates by Year'!$I$2</f>
        <v>52772620.497574583</v>
      </c>
      <c r="L43" s="78">
        <f t="shared" si="3"/>
        <v>241.92309683583136</v>
      </c>
    </row>
    <row r="44" spans="1:26" ht="14.5">
      <c r="A44" s="81">
        <v>42273</v>
      </c>
      <c r="B44" s="61">
        <v>43</v>
      </c>
      <c r="C44" s="61" t="s">
        <v>331</v>
      </c>
      <c r="D44" s="62">
        <v>218138</v>
      </c>
      <c r="E44" s="62">
        <v>43700000</v>
      </c>
      <c r="F44" s="63">
        <f t="shared" si="4"/>
        <v>0</v>
      </c>
      <c r="G44" s="63">
        <f t="shared" si="6"/>
        <v>0</v>
      </c>
      <c r="H44" s="63">
        <f t="shared" si="7"/>
        <v>0</v>
      </c>
      <c r="I44" s="76">
        <f t="shared" si="1"/>
        <v>218138</v>
      </c>
      <c r="J44" s="76">
        <f t="shared" si="2"/>
        <v>43700000</v>
      </c>
      <c r="K44" s="77">
        <f>J44*'Inflation Rates by Year'!$I$2</f>
        <v>54454864.59844178</v>
      </c>
      <c r="L44" s="78">
        <f t="shared" si="3"/>
        <v>249.63493109151904</v>
      </c>
    </row>
    <row r="45" spans="1:26" ht="14.5">
      <c r="A45" s="81">
        <v>42274</v>
      </c>
      <c r="B45" s="61">
        <v>44</v>
      </c>
      <c r="C45" s="61" t="s">
        <v>331</v>
      </c>
      <c r="D45" s="62">
        <v>218138</v>
      </c>
      <c r="E45" s="62">
        <v>44220625</v>
      </c>
      <c r="F45" s="63">
        <f t="shared" si="4"/>
        <v>0</v>
      </c>
      <c r="G45" s="63">
        <f t="shared" si="6"/>
        <v>0</v>
      </c>
      <c r="H45" s="63">
        <f t="shared" si="7"/>
        <v>0</v>
      </c>
      <c r="I45" s="76">
        <f t="shared" si="1"/>
        <v>218138</v>
      </c>
      <c r="J45" s="76">
        <f t="shared" si="2"/>
        <v>44220625</v>
      </c>
      <c r="K45" s="77">
        <f>J45*'Inflation Rates by Year'!$I$2</f>
        <v>55103618.920674361</v>
      </c>
      <c r="L45" s="78">
        <f t="shared" si="3"/>
        <v>252.60898569105044</v>
      </c>
    </row>
    <row r="46" spans="1:26" ht="14.5">
      <c r="A46" s="81">
        <v>42275</v>
      </c>
      <c r="B46" s="61">
        <v>45</v>
      </c>
      <c r="C46" s="61" t="s">
        <v>331</v>
      </c>
      <c r="D46" s="62">
        <v>218138</v>
      </c>
      <c r="E46" s="62">
        <v>44360625</v>
      </c>
      <c r="F46" s="63">
        <f t="shared" si="4"/>
        <v>0</v>
      </c>
      <c r="G46" s="63">
        <f t="shared" si="6"/>
        <v>0</v>
      </c>
      <c r="H46" s="63">
        <f t="shared" si="7"/>
        <v>0</v>
      </c>
      <c r="I46" s="76">
        <f t="shared" si="1"/>
        <v>218138</v>
      </c>
      <c r="J46" s="76">
        <f t="shared" si="2"/>
        <v>44360625</v>
      </c>
      <c r="K46" s="77">
        <f>J46*'Inflation Rates by Year'!$I$2</f>
        <v>55278073.864467993</v>
      </c>
      <c r="L46" s="78">
        <f t="shared" si="3"/>
        <v>253.40873146571434</v>
      </c>
    </row>
    <row r="47" spans="1:26" ht="14.5">
      <c r="A47" s="81">
        <v>42276</v>
      </c>
      <c r="B47" s="61">
        <v>46</v>
      </c>
      <c r="C47" s="61" t="s">
        <v>331</v>
      </c>
      <c r="D47" s="62">
        <v>218138</v>
      </c>
      <c r="E47" s="62">
        <v>44500625</v>
      </c>
      <c r="F47" s="63">
        <f t="shared" si="4"/>
        <v>0</v>
      </c>
      <c r="G47" s="63">
        <f t="shared" si="6"/>
        <v>0</v>
      </c>
      <c r="H47" s="63">
        <f t="shared" si="7"/>
        <v>0</v>
      </c>
      <c r="I47" s="76">
        <f t="shared" si="1"/>
        <v>218138</v>
      </c>
      <c r="J47" s="76">
        <f t="shared" si="2"/>
        <v>44500625</v>
      </c>
      <c r="K47" s="77">
        <f>J47*'Inflation Rates by Year'!$I$2</f>
        <v>55452528.808261625</v>
      </c>
      <c r="L47" s="78">
        <f t="shared" si="3"/>
        <v>254.20847724037822</v>
      </c>
    </row>
    <row r="48" spans="1:26" ht="14.5">
      <c r="A48" s="81">
        <v>42339</v>
      </c>
      <c r="B48" s="61">
        <v>47</v>
      </c>
      <c r="C48" s="61" t="s">
        <v>331</v>
      </c>
      <c r="D48" s="62">
        <v>218138</v>
      </c>
      <c r="E48" s="62">
        <v>45000000</v>
      </c>
      <c r="F48" s="63">
        <f t="shared" si="4"/>
        <v>0</v>
      </c>
      <c r="G48" s="63">
        <f t="shared" si="6"/>
        <v>0</v>
      </c>
      <c r="H48" s="63">
        <f t="shared" si="7"/>
        <v>0</v>
      </c>
      <c r="I48" s="76">
        <f t="shared" si="1"/>
        <v>218138</v>
      </c>
      <c r="J48" s="76">
        <f t="shared" si="2"/>
        <v>45000000</v>
      </c>
      <c r="K48" s="77">
        <f>J48*'Inflation Rates by Year'!$I$2</f>
        <v>56074803.362239815</v>
      </c>
      <c r="L48" s="78">
        <f t="shared" si="3"/>
        <v>257.06114185625529</v>
      </c>
    </row>
    <row r="49" spans="1:12" ht="14.5">
      <c r="A49" s="81"/>
      <c r="C49" s="61"/>
      <c r="D49" s="62"/>
      <c r="E49" s="62"/>
      <c r="F49" s="63"/>
      <c r="G49" s="63"/>
      <c r="H49" s="63"/>
      <c r="I49" s="76"/>
      <c r="J49" s="76"/>
      <c r="K49" s="77"/>
      <c r="L49" s="78"/>
    </row>
    <row r="50" spans="1:12" ht="14.5">
      <c r="A50" s="81"/>
      <c r="C50" s="61"/>
      <c r="D50" s="62"/>
      <c r="E50" s="62"/>
      <c r="F50" s="63"/>
      <c r="G50" s="63"/>
      <c r="H50" s="63"/>
      <c r="I50" s="76"/>
      <c r="J50" s="76"/>
      <c r="K50" s="77"/>
      <c r="L50" s="78"/>
    </row>
    <row r="51" spans="1:12" ht="14.5">
      <c r="A51" s="81"/>
      <c r="C51" s="61"/>
      <c r="D51" s="62"/>
      <c r="E51" s="62"/>
      <c r="F51" s="63"/>
      <c r="G51" s="63"/>
      <c r="H51" s="63"/>
      <c r="I51" s="76"/>
      <c r="J51" s="76"/>
      <c r="K51" s="77"/>
      <c r="L51" s="78"/>
    </row>
    <row r="52" spans="1:12" ht="14.5">
      <c r="A52" s="81"/>
      <c r="C52" s="61"/>
      <c r="D52" s="62"/>
      <c r="E52" s="62"/>
      <c r="F52" s="63"/>
      <c r="G52" s="63"/>
      <c r="H52" s="63"/>
      <c r="I52" s="76"/>
      <c r="J52" s="76"/>
      <c r="K52" s="77"/>
      <c r="L52" s="78"/>
    </row>
    <row r="53" spans="1:12" ht="14.5">
      <c r="A53" s="81"/>
      <c r="C53" s="61"/>
      <c r="D53" s="62"/>
      <c r="E53" s="62"/>
      <c r="F53" s="63"/>
      <c r="G53" s="63"/>
      <c r="H53" s="63"/>
      <c r="I53" s="76"/>
      <c r="J53" s="76"/>
      <c r="K53" s="77"/>
      <c r="L53" s="78"/>
    </row>
    <row r="54" spans="1:12" ht="14.5">
      <c r="A54" s="81"/>
      <c r="C54" s="61"/>
      <c r="D54" s="62"/>
      <c r="E54" s="62"/>
      <c r="F54" s="63"/>
      <c r="G54" s="63"/>
      <c r="H54" s="63"/>
      <c r="I54" s="76"/>
      <c r="J54" s="76"/>
      <c r="K54" s="77"/>
      <c r="L54" s="78"/>
    </row>
    <row r="55" spans="1:12" ht="14.5">
      <c r="A55" s="81"/>
      <c r="C55" s="61"/>
      <c r="D55" s="62"/>
      <c r="E55" s="62"/>
      <c r="F55" s="63"/>
      <c r="G55" s="63"/>
      <c r="H55" s="63"/>
      <c r="I55" s="76"/>
      <c r="J55" s="76"/>
      <c r="K55" s="77"/>
      <c r="L55" s="78"/>
    </row>
    <row r="56" spans="1:12" ht="14.5">
      <c r="A56" s="81"/>
      <c r="C56" s="61"/>
      <c r="D56" s="62"/>
      <c r="E56" s="62"/>
      <c r="F56" s="63"/>
      <c r="G56" s="63"/>
      <c r="H56" s="63"/>
      <c r="I56" s="76"/>
      <c r="J56" s="76"/>
      <c r="K56" s="77"/>
      <c r="L56" s="78"/>
    </row>
    <row r="57" spans="1:12" ht="14.5">
      <c r="A57" s="81"/>
      <c r="C57" s="61"/>
      <c r="D57" s="62"/>
      <c r="E57" s="62"/>
      <c r="F57" s="63"/>
      <c r="G57" s="63"/>
      <c r="H57" s="63"/>
      <c r="I57" s="76"/>
      <c r="J57" s="76"/>
      <c r="K57" s="77"/>
      <c r="L57" s="78"/>
    </row>
    <row r="58" spans="1:12" ht="14.5">
      <c r="A58" s="81"/>
      <c r="C58" s="61"/>
      <c r="D58" s="62"/>
      <c r="E58" s="62"/>
      <c r="F58" s="63"/>
      <c r="G58" s="63"/>
      <c r="H58" s="63"/>
      <c r="I58" s="76"/>
      <c r="J58" s="76"/>
      <c r="K58" s="77"/>
      <c r="L58" s="78"/>
    </row>
    <row r="59" spans="1:12" ht="14.5">
      <c r="A59" s="81"/>
      <c r="C59" s="61"/>
      <c r="D59" s="62"/>
      <c r="E59" s="62"/>
      <c r="F59" s="63"/>
      <c r="G59" s="63"/>
      <c r="H59" s="63"/>
      <c r="I59" s="76"/>
      <c r="J59" s="76"/>
      <c r="K59" s="77"/>
      <c r="L59" s="78"/>
    </row>
    <row r="60" spans="1:12" ht="14.5">
      <c r="A60" s="81"/>
      <c r="C60" s="61"/>
      <c r="D60" s="62"/>
      <c r="E60" s="62"/>
      <c r="F60" s="63"/>
      <c r="G60" s="63"/>
      <c r="H60" s="63"/>
      <c r="I60" s="76"/>
      <c r="J60" s="76"/>
      <c r="K60" s="77"/>
      <c r="L60" s="78"/>
    </row>
    <row r="61" spans="1:12" ht="14.5">
      <c r="A61" s="81"/>
      <c r="C61" s="61"/>
      <c r="D61" s="62"/>
      <c r="E61" s="62"/>
      <c r="F61" s="63"/>
      <c r="G61" s="63"/>
      <c r="H61" s="63"/>
      <c r="I61" s="76"/>
      <c r="J61" s="76"/>
      <c r="K61" s="77"/>
      <c r="L61" s="78"/>
    </row>
    <row r="62" spans="1:12" ht="14.5">
      <c r="A62" s="81"/>
      <c r="C62" s="61"/>
      <c r="D62" s="62"/>
      <c r="E62" s="62"/>
      <c r="F62" s="63"/>
      <c r="G62" s="63"/>
      <c r="H62" s="63"/>
      <c r="I62" s="76"/>
      <c r="J62" s="76"/>
      <c r="K62" s="77"/>
      <c r="L62" s="78"/>
    </row>
    <row r="63" spans="1:12" ht="14.5">
      <c r="A63" s="81"/>
      <c r="C63" s="61"/>
      <c r="D63" s="62"/>
      <c r="E63" s="62"/>
      <c r="F63" s="63"/>
      <c r="G63" s="63"/>
      <c r="H63" s="63"/>
      <c r="I63" s="76"/>
      <c r="J63" s="76"/>
      <c r="K63" s="77"/>
      <c r="L63" s="78"/>
    </row>
    <row r="64" spans="1:12" ht="14.5">
      <c r="A64" s="81"/>
      <c r="C64" s="61"/>
      <c r="D64" s="62"/>
      <c r="E64" s="62"/>
      <c r="F64" s="63"/>
      <c r="G64" s="63"/>
      <c r="H64" s="63"/>
      <c r="I64" s="76"/>
      <c r="J64" s="76"/>
      <c r="K64" s="77"/>
      <c r="L64" s="78"/>
    </row>
    <row r="65" spans="1:12" ht="14.5">
      <c r="A65" s="81"/>
      <c r="C65" s="61"/>
      <c r="D65" s="62"/>
      <c r="E65" s="62"/>
      <c r="F65" s="63"/>
      <c r="G65" s="63"/>
      <c r="H65" s="63"/>
      <c r="I65" s="76"/>
      <c r="J65" s="76"/>
      <c r="K65" s="77"/>
      <c r="L65" s="78"/>
    </row>
    <row r="66" spans="1:12" ht="14.5">
      <c r="A66" s="81"/>
      <c r="C66" s="61"/>
      <c r="D66" s="62"/>
      <c r="E66" s="62"/>
      <c r="F66" s="63"/>
      <c r="G66" s="63"/>
      <c r="H66" s="63"/>
      <c r="I66" s="76"/>
      <c r="J66" s="76"/>
      <c r="K66" s="77"/>
      <c r="L66" s="78"/>
    </row>
    <row r="67" spans="1:12" ht="14.5">
      <c r="A67" s="81"/>
      <c r="C67" s="61"/>
      <c r="D67" s="62"/>
      <c r="E67" s="62"/>
      <c r="F67" s="63"/>
      <c r="G67" s="63"/>
      <c r="H67" s="63"/>
      <c r="I67" s="76"/>
      <c r="J67" s="76"/>
      <c r="K67" s="77"/>
      <c r="L67" s="78"/>
    </row>
    <row r="68" spans="1:12" ht="14.5">
      <c r="A68" s="84"/>
      <c r="C68" s="61"/>
      <c r="D68" s="62"/>
      <c r="E68" s="62"/>
      <c r="F68" s="63"/>
      <c r="G68" s="63"/>
      <c r="H68" s="63"/>
      <c r="I68" s="76"/>
      <c r="J68" s="76"/>
      <c r="K68" s="77"/>
      <c r="L68" s="78"/>
    </row>
    <row r="69" spans="1:12" ht="14.5">
      <c r="A69" s="84"/>
      <c r="C69" s="61"/>
      <c r="D69" s="62"/>
      <c r="E69" s="62"/>
      <c r="F69" s="63"/>
      <c r="G69" s="63"/>
      <c r="H69" s="63"/>
      <c r="I69" s="76"/>
      <c r="J69" s="76"/>
      <c r="K69" s="77"/>
      <c r="L69" s="78"/>
    </row>
    <row r="70" spans="1:12" ht="14.5">
      <c r="F70" s="86"/>
      <c r="G70" s="86"/>
      <c r="H70" s="86"/>
      <c r="I70" s="65"/>
      <c r="J70" s="76"/>
      <c r="K70" s="66"/>
      <c r="L70" s="67"/>
    </row>
    <row r="71" spans="1:12" ht="12.5">
      <c r="F71" s="86"/>
      <c r="G71" s="86"/>
      <c r="H71" s="86"/>
      <c r="I71" s="65"/>
      <c r="J71" s="65"/>
      <c r="K71" s="66"/>
      <c r="L71" s="67"/>
    </row>
    <row r="72" spans="1:12" ht="12.5">
      <c r="F72" s="86"/>
      <c r="G72" s="86"/>
      <c r="H72" s="86"/>
      <c r="I72" s="65"/>
      <c r="J72" s="65"/>
      <c r="K72" s="66"/>
      <c r="L72" s="67"/>
    </row>
    <row r="73" spans="1:12" ht="12.5">
      <c r="F73" s="86"/>
      <c r="G73" s="86"/>
      <c r="H73" s="86"/>
      <c r="I73" s="65"/>
      <c r="J73" s="65"/>
      <c r="K73" s="66"/>
      <c r="L73" s="67"/>
    </row>
    <row r="74" spans="1:12" ht="12.5">
      <c r="F74" s="86"/>
      <c r="G74" s="86"/>
      <c r="H74" s="86"/>
      <c r="I74" s="65"/>
      <c r="J74" s="65"/>
      <c r="K74" s="66"/>
      <c r="L74" s="67"/>
    </row>
    <row r="75" spans="1:12" ht="12.5">
      <c r="F75" s="86"/>
      <c r="G75" s="86"/>
      <c r="H75" s="86"/>
      <c r="I75" s="65"/>
      <c r="J75" s="65"/>
      <c r="K75" s="66"/>
      <c r="L75" s="67"/>
    </row>
    <row r="76" spans="1:12" ht="12.5">
      <c r="F76" s="86"/>
      <c r="G76" s="86"/>
      <c r="H76" s="86"/>
      <c r="I76" s="65"/>
      <c r="J76" s="65"/>
      <c r="K76" s="66"/>
      <c r="L76" s="67"/>
    </row>
    <row r="77" spans="1:12" ht="12.5">
      <c r="F77" s="86"/>
      <c r="G77" s="86"/>
      <c r="H77" s="86"/>
      <c r="I77" s="65"/>
      <c r="J77" s="65"/>
      <c r="K77" s="66"/>
      <c r="L77" s="67"/>
    </row>
    <row r="78" spans="1:12" ht="12.5">
      <c r="F78" s="86"/>
      <c r="G78" s="86"/>
      <c r="H78" s="86"/>
      <c r="I78" s="65"/>
      <c r="J78" s="65"/>
      <c r="K78" s="66"/>
      <c r="L78" s="67"/>
    </row>
    <row r="79" spans="1:12" ht="12.5">
      <c r="F79" s="86"/>
      <c r="G79" s="86"/>
      <c r="H79" s="86"/>
      <c r="I79" s="65"/>
      <c r="J79" s="65"/>
      <c r="K79" s="66"/>
      <c r="L79" s="67"/>
    </row>
    <row r="80" spans="1:12" ht="12.5">
      <c r="F80" s="86"/>
      <c r="G80" s="86"/>
      <c r="H80" s="86"/>
      <c r="I80" s="65"/>
      <c r="J80" s="65"/>
      <c r="K80" s="66"/>
      <c r="L80" s="67"/>
    </row>
    <row r="81" spans="1:12" ht="12.5">
      <c r="F81" s="86"/>
      <c r="G81" s="86"/>
      <c r="H81" s="86"/>
      <c r="I81" s="65"/>
      <c r="J81" s="65"/>
      <c r="K81" s="66"/>
      <c r="L81" s="67"/>
    </row>
    <row r="82" spans="1:12" ht="12.5">
      <c r="F82" s="86"/>
      <c r="G82" s="86"/>
      <c r="H82" s="86"/>
      <c r="I82" s="65"/>
      <c r="J82" s="65"/>
      <c r="K82" s="66"/>
      <c r="L82" s="67"/>
    </row>
    <row r="83" spans="1:12" ht="12.5">
      <c r="F83" s="86"/>
      <c r="G83" s="86"/>
      <c r="H83" s="86"/>
      <c r="I83" s="65"/>
      <c r="J83" s="65"/>
      <c r="K83" s="66"/>
      <c r="L83" s="67"/>
    </row>
    <row r="84" spans="1:12" ht="12.5">
      <c r="F84" s="86"/>
      <c r="G84" s="86"/>
      <c r="H84" s="86"/>
      <c r="I84" s="65"/>
      <c r="J84" s="65"/>
      <c r="K84" s="66"/>
      <c r="L84" s="67"/>
    </row>
    <row r="85" spans="1:12" ht="12.5">
      <c r="F85" s="86"/>
      <c r="G85" s="86"/>
      <c r="H85" s="86"/>
      <c r="I85" s="65"/>
      <c r="J85" s="65"/>
      <c r="K85" s="66"/>
      <c r="L85" s="67"/>
    </row>
    <row r="86" spans="1:12" ht="12.5">
      <c r="F86" s="86"/>
      <c r="G86" s="86"/>
      <c r="H86" s="86"/>
      <c r="I86" s="65"/>
      <c r="J86" s="65"/>
      <c r="K86" s="66"/>
      <c r="L86" s="67"/>
    </row>
    <row r="87" spans="1:12" ht="12.5">
      <c r="F87" s="86"/>
      <c r="G87" s="86"/>
      <c r="H87" s="86"/>
      <c r="I87" s="65"/>
      <c r="J87" s="65"/>
      <c r="K87" s="66"/>
      <c r="L87" s="67"/>
    </row>
    <row r="88" spans="1:12" ht="12.5">
      <c r="F88" s="86"/>
      <c r="G88" s="86"/>
      <c r="H88" s="86"/>
      <c r="I88" s="65"/>
      <c r="J88" s="65"/>
      <c r="K88" s="66"/>
      <c r="L88" s="67"/>
    </row>
    <row r="89" spans="1:12" ht="14.5">
      <c r="A89" s="81"/>
      <c r="C89" s="61"/>
      <c r="D89" s="62"/>
      <c r="E89" s="62"/>
      <c r="F89" s="63"/>
      <c r="G89" s="63"/>
      <c r="H89" s="63"/>
      <c r="I89" s="76"/>
      <c r="J89" s="76"/>
      <c r="K89" s="77"/>
      <c r="L89" s="78"/>
    </row>
    <row r="90" spans="1:12" ht="12.5">
      <c r="F90" s="86"/>
      <c r="G90" s="86"/>
      <c r="H90" s="86"/>
      <c r="I90" s="65"/>
      <c r="J90" s="65"/>
      <c r="K90" s="66"/>
      <c r="L90" s="67"/>
    </row>
    <row r="91" spans="1:12" ht="12.5">
      <c r="F91" s="86"/>
      <c r="G91" s="86"/>
      <c r="H91" s="86"/>
      <c r="I91" s="65"/>
      <c r="J91" s="65"/>
      <c r="K91" s="66"/>
      <c r="L91" s="67"/>
    </row>
    <row r="92" spans="1:12" ht="12.5">
      <c r="F92" s="86"/>
      <c r="G92" s="86"/>
      <c r="H92" s="86"/>
      <c r="I92" s="65"/>
      <c r="J92" s="65"/>
      <c r="K92" s="66"/>
      <c r="L92" s="67"/>
    </row>
    <row r="93" spans="1:12" ht="12.5">
      <c r="F93" s="86"/>
      <c r="G93" s="86"/>
      <c r="H93" s="86"/>
      <c r="I93" s="65"/>
      <c r="J93" s="65"/>
      <c r="K93" s="66"/>
      <c r="L93" s="67"/>
    </row>
    <row r="94" spans="1:12" ht="12.5">
      <c r="F94" s="86"/>
      <c r="G94" s="86"/>
      <c r="H94" s="86"/>
      <c r="I94" s="65"/>
      <c r="J94" s="65"/>
      <c r="K94" s="66"/>
      <c r="L94" s="67"/>
    </row>
    <row r="95" spans="1:12" ht="12.5">
      <c r="F95" s="86"/>
      <c r="G95" s="86"/>
      <c r="H95" s="86"/>
      <c r="I95" s="65"/>
      <c r="J95" s="65"/>
      <c r="K95" s="66"/>
      <c r="L95" s="67"/>
    </row>
    <row r="96" spans="1:12" ht="12.5">
      <c r="F96" s="86"/>
      <c r="G96" s="86"/>
      <c r="H96" s="86"/>
      <c r="I96" s="65"/>
      <c r="J96" s="65"/>
      <c r="K96" s="66"/>
      <c r="L96" s="67"/>
    </row>
    <row r="97" spans="6:12" ht="12.5">
      <c r="F97" s="86"/>
      <c r="G97" s="86"/>
      <c r="H97" s="86"/>
      <c r="I97" s="65"/>
      <c r="J97" s="65"/>
      <c r="K97" s="66"/>
      <c r="L97" s="67"/>
    </row>
    <row r="98" spans="6:12" ht="12.5">
      <c r="F98" s="86"/>
      <c r="G98" s="86"/>
      <c r="H98" s="86"/>
      <c r="I98" s="65"/>
      <c r="J98" s="65"/>
      <c r="K98" s="66"/>
      <c r="L98" s="67"/>
    </row>
    <row r="99" spans="6:12" ht="12.5">
      <c r="F99" s="86"/>
      <c r="G99" s="86"/>
      <c r="H99" s="86"/>
      <c r="I99" s="65"/>
      <c r="J99" s="65"/>
      <c r="K99" s="66"/>
      <c r="L99" s="67"/>
    </row>
    <row r="100" spans="6:12" ht="12.5">
      <c r="F100" s="86"/>
      <c r="G100" s="86"/>
      <c r="H100" s="86"/>
      <c r="I100" s="65"/>
      <c r="J100" s="65"/>
      <c r="K100" s="66"/>
      <c r="L100" s="67"/>
    </row>
    <row r="101" spans="6:12" ht="12.5">
      <c r="F101" s="86"/>
      <c r="G101" s="86"/>
      <c r="H101" s="86"/>
      <c r="I101" s="65"/>
      <c r="J101" s="65"/>
      <c r="K101" s="66"/>
      <c r="L101" s="67"/>
    </row>
    <row r="102" spans="6:12" ht="12.5">
      <c r="F102" s="86"/>
      <c r="G102" s="86"/>
      <c r="H102" s="86"/>
      <c r="I102" s="65"/>
      <c r="J102" s="65"/>
      <c r="K102" s="66"/>
      <c r="L102" s="67"/>
    </row>
    <row r="103" spans="6:12" ht="12.5">
      <c r="F103" s="86"/>
      <c r="G103" s="86"/>
      <c r="H103" s="86"/>
      <c r="I103" s="65"/>
      <c r="J103" s="65"/>
      <c r="K103" s="66"/>
      <c r="L103" s="67"/>
    </row>
    <row r="104" spans="6:12" ht="12.5">
      <c r="F104" s="86"/>
      <c r="G104" s="86"/>
      <c r="H104" s="86"/>
      <c r="I104" s="65"/>
      <c r="J104" s="65"/>
      <c r="K104" s="66"/>
      <c r="L104" s="67"/>
    </row>
    <row r="105" spans="6:12" ht="12.5">
      <c r="F105" s="86"/>
      <c r="G105" s="86"/>
      <c r="H105" s="86"/>
      <c r="I105" s="65"/>
      <c r="J105" s="65"/>
      <c r="K105" s="66"/>
      <c r="L105" s="67"/>
    </row>
    <row r="106" spans="6:12" ht="12.5">
      <c r="F106" s="86"/>
      <c r="G106" s="86"/>
      <c r="H106" s="86"/>
      <c r="I106" s="65"/>
      <c r="J106" s="65"/>
      <c r="K106" s="66"/>
      <c r="L106" s="67"/>
    </row>
    <row r="107" spans="6:12" ht="12.5">
      <c r="F107" s="86"/>
      <c r="G107" s="86"/>
      <c r="H107" s="86"/>
      <c r="I107" s="65"/>
      <c r="J107" s="65"/>
      <c r="K107" s="66"/>
      <c r="L107" s="67"/>
    </row>
    <row r="108" spans="6:12" ht="12.5">
      <c r="F108" s="86"/>
      <c r="G108" s="86"/>
      <c r="H108" s="86"/>
      <c r="I108" s="65"/>
      <c r="J108" s="65"/>
      <c r="K108" s="66"/>
      <c r="L108" s="67"/>
    </row>
    <row r="109" spans="6:12" ht="12.5">
      <c r="F109" s="86"/>
      <c r="G109" s="86"/>
      <c r="H109" s="86"/>
      <c r="I109" s="65"/>
      <c r="J109" s="65"/>
      <c r="K109" s="66"/>
      <c r="L109" s="67"/>
    </row>
    <row r="110" spans="6:12" ht="12.5">
      <c r="F110" s="86"/>
      <c r="G110" s="86"/>
      <c r="H110" s="86"/>
      <c r="I110" s="65"/>
      <c r="J110" s="65"/>
      <c r="K110" s="66"/>
      <c r="L110" s="67"/>
    </row>
    <row r="111" spans="6:12" ht="12.5">
      <c r="F111" s="86"/>
      <c r="G111" s="86"/>
      <c r="H111" s="86"/>
      <c r="I111" s="65"/>
      <c r="J111" s="65"/>
      <c r="K111" s="66"/>
      <c r="L111" s="67"/>
    </row>
    <row r="112" spans="6:12" ht="12.5">
      <c r="F112" s="86"/>
      <c r="G112" s="86"/>
      <c r="H112" s="86"/>
      <c r="I112" s="65"/>
      <c r="J112" s="65"/>
      <c r="K112" s="66"/>
      <c r="L112" s="67"/>
    </row>
    <row r="113" spans="6:12" ht="12.5">
      <c r="F113" s="86"/>
      <c r="G113" s="86"/>
      <c r="H113" s="86"/>
      <c r="I113" s="65"/>
      <c r="J113" s="65"/>
      <c r="K113" s="66"/>
      <c r="L113" s="67"/>
    </row>
    <row r="114" spans="6:12" ht="12.5">
      <c r="F114" s="86"/>
      <c r="G114" s="86"/>
      <c r="H114" s="86"/>
      <c r="I114" s="65"/>
      <c r="J114" s="65"/>
      <c r="K114" s="66"/>
      <c r="L114" s="67"/>
    </row>
    <row r="115" spans="6:12" ht="12.5">
      <c r="F115" s="86"/>
      <c r="G115" s="86"/>
      <c r="H115" s="86"/>
      <c r="I115" s="65"/>
      <c r="J115" s="65"/>
      <c r="K115" s="66"/>
      <c r="L115" s="67"/>
    </row>
    <row r="116" spans="6:12" ht="12.5">
      <c r="F116" s="86"/>
      <c r="G116" s="86"/>
      <c r="H116" s="86"/>
      <c r="I116" s="65"/>
      <c r="J116" s="65"/>
      <c r="K116" s="87"/>
      <c r="L116" s="88"/>
    </row>
    <row r="117" spans="6:12" ht="12.5">
      <c r="F117" s="86"/>
      <c r="G117" s="86"/>
      <c r="H117" s="86"/>
      <c r="I117" s="65"/>
      <c r="J117" s="65"/>
      <c r="K117" s="87"/>
      <c r="L117" s="88"/>
    </row>
    <row r="118" spans="6:12" ht="12.5">
      <c r="F118" s="86"/>
      <c r="G118" s="86"/>
      <c r="H118" s="86"/>
      <c r="I118" s="65"/>
      <c r="J118" s="65"/>
      <c r="K118" s="87"/>
      <c r="L118" s="88"/>
    </row>
    <row r="119" spans="6:12" ht="12.5">
      <c r="F119" s="86"/>
      <c r="G119" s="86"/>
      <c r="H119" s="86"/>
      <c r="I119" s="65"/>
      <c r="J119" s="65"/>
      <c r="K119" s="87"/>
      <c r="L119" s="88"/>
    </row>
    <row r="120" spans="6:12" ht="12.5">
      <c r="F120" s="86"/>
      <c r="G120" s="86"/>
      <c r="H120" s="86"/>
      <c r="I120" s="65"/>
      <c r="J120" s="65"/>
      <c r="K120" s="87"/>
      <c r="L120" s="88"/>
    </row>
    <row r="121" spans="6:12" ht="12.5">
      <c r="F121" s="86"/>
      <c r="G121" s="86"/>
      <c r="H121" s="86"/>
      <c r="I121" s="65"/>
      <c r="J121" s="65"/>
      <c r="K121" s="87"/>
      <c r="L121" s="88"/>
    </row>
    <row r="122" spans="6:12" ht="12.5">
      <c r="F122" s="86"/>
      <c r="G122" s="86"/>
      <c r="H122" s="86"/>
      <c r="I122" s="65"/>
      <c r="J122" s="65"/>
      <c r="K122" s="87"/>
      <c r="L122" s="88"/>
    </row>
    <row r="123" spans="6:12" ht="12.5">
      <c r="F123" s="86"/>
      <c r="G123" s="86"/>
      <c r="H123" s="86"/>
      <c r="I123" s="65"/>
      <c r="J123" s="65"/>
      <c r="K123" s="87"/>
      <c r="L123" s="88"/>
    </row>
    <row r="124" spans="6:12" ht="12.5">
      <c r="F124" s="86"/>
      <c r="G124" s="86"/>
      <c r="H124" s="86"/>
      <c r="I124" s="65"/>
      <c r="J124" s="65"/>
      <c r="K124" s="87"/>
      <c r="L124" s="88"/>
    </row>
    <row r="125" spans="6:12" ht="12.5">
      <c r="F125" s="86"/>
      <c r="G125" s="86"/>
      <c r="H125" s="86"/>
      <c r="I125" s="65"/>
      <c r="J125" s="65"/>
      <c r="K125" s="87"/>
      <c r="L125" s="88"/>
    </row>
    <row r="126" spans="6:12" ht="12.5">
      <c r="F126" s="86"/>
      <c r="G126" s="86"/>
      <c r="H126" s="86"/>
      <c r="I126" s="65"/>
      <c r="J126" s="65"/>
      <c r="K126" s="87"/>
      <c r="L126" s="88"/>
    </row>
    <row r="127" spans="6:12" ht="12.5">
      <c r="F127" s="86"/>
      <c r="G127" s="86"/>
      <c r="H127" s="86"/>
      <c r="I127" s="65"/>
      <c r="J127" s="65"/>
      <c r="K127" s="87"/>
      <c r="L127" s="88"/>
    </row>
    <row r="128" spans="6:12" ht="12.5">
      <c r="F128" s="86"/>
      <c r="G128" s="86"/>
      <c r="H128" s="86"/>
      <c r="I128" s="65"/>
      <c r="J128" s="65"/>
      <c r="K128" s="87"/>
      <c r="L128" s="88"/>
    </row>
    <row r="129" spans="6:12" ht="12.5">
      <c r="F129" s="86"/>
      <c r="G129" s="86"/>
      <c r="H129" s="86"/>
      <c r="I129" s="65"/>
      <c r="J129" s="65"/>
      <c r="K129" s="87"/>
      <c r="L129" s="88"/>
    </row>
    <row r="130" spans="6:12" ht="12.5">
      <c r="F130" s="86"/>
      <c r="G130" s="86"/>
      <c r="H130" s="86"/>
      <c r="I130" s="65"/>
      <c r="J130" s="65"/>
      <c r="K130" s="87"/>
      <c r="L130" s="88"/>
    </row>
    <row r="131" spans="6:12" ht="12.5">
      <c r="F131" s="86"/>
      <c r="G131" s="86"/>
      <c r="H131" s="86"/>
      <c r="I131" s="65"/>
      <c r="J131" s="65"/>
      <c r="K131" s="87"/>
      <c r="L131" s="88"/>
    </row>
    <row r="132" spans="6:12" ht="12.5">
      <c r="F132" s="86"/>
      <c r="G132" s="86"/>
      <c r="H132" s="86"/>
      <c r="I132" s="65"/>
      <c r="J132" s="65"/>
      <c r="K132" s="87"/>
      <c r="L132" s="88"/>
    </row>
    <row r="133" spans="6:12" ht="12.5">
      <c r="F133" s="86"/>
      <c r="G133" s="86"/>
      <c r="H133" s="86"/>
      <c r="I133" s="65"/>
      <c r="J133" s="65"/>
      <c r="K133" s="87"/>
      <c r="L133" s="88"/>
    </row>
    <row r="134" spans="6:12" ht="12.5">
      <c r="F134" s="86"/>
      <c r="G134" s="86"/>
      <c r="H134" s="86"/>
      <c r="I134" s="65"/>
      <c r="J134" s="65"/>
      <c r="K134" s="87"/>
      <c r="L134" s="88"/>
    </row>
    <row r="135" spans="6:12" ht="12.5">
      <c r="F135" s="86"/>
      <c r="G135" s="86"/>
      <c r="H135" s="86"/>
      <c r="I135" s="65"/>
      <c r="J135" s="65"/>
      <c r="K135" s="87"/>
      <c r="L135" s="88"/>
    </row>
    <row r="136" spans="6:12" ht="12.5">
      <c r="F136" s="86"/>
      <c r="G136" s="86"/>
      <c r="H136" s="86"/>
      <c r="I136" s="65"/>
      <c r="J136" s="65"/>
      <c r="K136" s="87"/>
      <c r="L136" s="88"/>
    </row>
    <row r="137" spans="6:12" ht="12.5">
      <c r="F137" s="86"/>
      <c r="G137" s="86"/>
      <c r="H137" s="86"/>
      <c r="I137" s="65"/>
      <c r="J137" s="65"/>
      <c r="K137" s="87"/>
      <c r="L137" s="88"/>
    </row>
    <row r="138" spans="6:12" ht="12.5">
      <c r="F138" s="86"/>
      <c r="G138" s="86"/>
      <c r="H138" s="86"/>
      <c r="I138" s="65"/>
      <c r="J138" s="65"/>
      <c r="K138" s="87"/>
      <c r="L138" s="88"/>
    </row>
    <row r="139" spans="6:12" ht="12.5">
      <c r="F139" s="86"/>
      <c r="G139" s="86"/>
      <c r="H139" s="86"/>
      <c r="I139" s="65"/>
      <c r="J139" s="65"/>
      <c r="K139" s="87"/>
      <c r="L139" s="88"/>
    </row>
    <row r="140" spans="6:12" ht="12.5">
      <c r="F140" s="86"/>
      <c r="G140" s="86"/>
      <c r="H140" s="86"/>
      <c r="I140" s="65"/>
      <c r="J140" s="65"/>
      <c r="K140" s="87"/>
      <c r="L140" s="88"/>
    </row>
    <row r="141" spans="6:12" ht="12.5">
      <c r="F141" s="86"/>
      <c r="G141" s="86"/>
      <c r="H141" s="86"/>
      <c r="I141" s="65"/>
      <c r="J141" s="65"/>
      <c r="K141" s="87"/>
      <c r="L141" s="88"/>
    </row>
    <row r="142" spans="6:12" ht="12.5">
      <c r="F142" s="86"/>
      <c r="G142" s="86"/>
      <c r="H142" s="86"/>
      <c r="I142" s="65"/>
      <c r="J142" s="65"/>
      <c r="K142" s="87"/>
      <c r="L142" s="88"/>
    </row>
    <row r="143" spans="6:12" ht="12.5">
      <c r="F143" s="86"/>
      <c r="G143" s="86"/>
      <c r="H143" s="86"/>
      <c r="I143" s="65"/>
      <c r="J143" s="65"/>
      <c r="K143" s="87"/>
      <c r="L143" s="88"/>
    </row>
    <row r="144" spans="6:12" ht="12.5">
      <c r="F144" s="86"/>
      <c r="G144" s="86"/>
      <c r="H144" s="86"/>
      <c r="I144" s="65"/>
      <c r="J144" s="65"/>
      <c r="K144" s="87"/>
      <c r="L144" s="88"/>
    </row>
    <row r="145" spans="6:12" ht="12.5">
      <c r="F145" s="86"/>
      <c r="G145" s="86"/>
      <c r="H145" s="86"/>
      <c r="I145" s="65"/>
      <c r="J145" s="65"/>
      <c r="K145" s="87"/>
      <c r="L145" s="88"/>
    </row>
    <row r="146" spans="6:12" ht="12.5">
      <c r="F146" s="86"/>
      <c r="G146" s="86"/>
      <c r="H146" s="86"/>
      <c r="I146" s="65"/>
      <c r="J146" s="65"/>
      <c r="K146" s="87"/>
      <c r="L146" s="88"/>
    </row>
    <row r="147" spans="6:12" ht="12.5">
      <c r="F147" s="86"/>
      <c r="G147" s="86"/>
      <c r="H147" s="86"/>
      <c r="I147" s="65"/>
      <c r="J147" s="65"/>
      <c r="K147" s="87"/>
      <c r="L147" s="88"/>
    </row>
    <row r="148" spans="6:12" ht="12.5">
      <c r="F148" s="86"/>
      <c r="G148" s="86"/>
      <c r="H148" s="86"/>
      <c r="I148" s="65"/>
      <c r="J148" s="65"/>
      <c r="K148" s="87"/>
      <c r="L148" s="88"/>
    </row>
    <row r="149" spans="6:12" ht="12.5">
      <c r="F149" s="86"/>
      <c r="G149" s="86"/>
      <c r="H149" s="86"/>
      <c r="I149" s="65"/>
      <c r="J149" s="65"/>
      <c r="K149" s="87"/>
      <c r="L149" s="88"/>
    </row>
    <row r="150" spans="6:12" ht="12.5">
      <c r="F150" s="86"/>
      <c r="G150" s="86"/>
      <c r="H150" s="86"/>
      <c r="I150" s="65"/>
      <c r="J150" s="65"/>
      <c r="K150" s="87"/>
      <c r="L150" s="88"/>
    </row>
    <row r="151" spans="6:12" ht="12.5">
      <c r="F151" s="86"/>
      <c r="G151" s="86"/>
      <c r="H151" s="86"/>
      <c r="I151" s="65"/>
      <c r="J151" s="65"/>
      <c r="K151" s="87"/>
      <c r="L151" s="88"/>
    </row>
    <row r="152" spans="6:12" ht="12.5">
      <c r="F152" s="86"/>
      <c r="G152" s="86"/>
      <c r="H152" s="86"/>
      <c r="I152" s="65"/>
      <c r="J152" s="65"/>
      <c r="K152" s="87"/>
      <c r="L152" s="88"/>
    </row>
    <row r="153" spans="6:12" ht="12.5">
      <c r="F153" s="86"/>
      <c r="G153" s="86"/>
      <c r="H153" s="86"/>
      <c r="I153" s="65"/>
      <c r="J153" s="65"/>
      <c r="K153" s="87"/>
      <c r="L153" s="88"/>
    </row>
    <row r="154" spans="6:12" ht="12.5">
      <c r="F154" s="86"/>
      <c r="G154" s="86"/>
      <c r="H154" s="86"/>
      <c r="I154" s="65"/>
      <c r="J154" s="65"/>
      <c r="K154" s="87"/>
      <c r="L154" s="88"/>
    </row>
    <row r="155" spans="6:12" ht="12.5">
      <c r="F155" s="86"/>
      <c r="G155" s="86"/>
      <c r="H155" s="86"/>
      <c r="I155" s="65"/>
      <c r="J155" s="65"/>
      <c r="K155" s="87"/>
      <c r="L155" s="88"/>
    </row>
    <row r="156" spans="6:12" ht="12.5">
      <c r="F156" s="86"/>
      <c r="G156" s="86"/>
      <c r="H156" s="86"/>
      <c r="I156" s="65"/>
      <c r="J156" s="65"/>
      <c r="K156" s="87"/>
      <c r="L156" s="88"/>
    </row>
    <row r="157" spans="6:12" ht="12.5">
      <c r="F157" s="86"/>
      <c r="G157" s="86"/>
      <c r="H157" s="86"/>
      <c r="I157" s="65"/>
      <c r="J157" s="65"/>
      <c r="K157" s="87"/>
      <c r="L157" s="88"/>
    </row>
    <row r="158" spans="6:12" ht="12.5">
      <c r="F158" s="86"/>
      <c r="G158" s="86"/>
      <c r="H158" s="86"/>
      <c r="I158" s="65"/>
      <c r="J158" s="65"/>
      <c r="K158" s="87"/>
      <c r="L158" s="88"/>
    </row>
    <row r="159" spans="6:12" ht="12.5">
      <c r="F159" s="86"/>
      <c r="G159" s="86"/>
      <c r="H159" s="86"/>
      <c r="I159" s="65"/>
      <c r="J159" s="65"/>
      <c r="K159" s="87"/>
      <c r="L159" s="88"/>
    </row>
    <row r="160" spans="6:12" ht="12.5">
      <c r="F160" s="86"/>
      <c r="G160" s="86"/>
      <c r="H160" s="86"/>
      <c r="I160" s="65"/>
      <c r="J160" s="65"/>
      <c r="K160" s="87"/>
      <c r="L160" s="88"/>
    </row>
    <row r="161" spans="6:12" ht="12.5">
      <c r="F161" s="86"/>
      <c r="G161" s="86"/>
      <c r="H161" s="86"/>
      <c r="I161" s="65"/>
      <c r="J161" s="65"/>
      <c r="K161" s="87"/>
      <c r="L161" s="88"/>
    </row>
    <row r="162" spans="6:12" ht="12.5">
      <c r="F162" s="86"/>
      <c r="G162" s="86"/>
      <c r="H162" s="86"/>
      <c r="I162" s="65"/>
      <c r="J162" s="65"/>
      <c r="K162" s="87"/>
      <c r="L162" s="88"/>
    </row>
    <row r="163" spans="6:12" ht="12.5">
      <c r="F163" s="86"/>
      <c r="G163" s="86"/>
      <c r="H163" s="86"/>
      <c r="I163" s="65"/>
      <c r="J163" s="65"/>
      <c r="K163" s="87"/>
      <c r="L163" s="88"/>
    </row>
    <row r="164" spans="6:12" ht="12.5">
      <c r="F164" s="86"/>
      <c r="G164" s="86"/>
      <c r="H164" s="86"/>
      <c r="I164" s="65"/>
      <c r="J164" s="65"/>
      <c r="K164" s="87"/>
      <c r="L164" s="88"/>
    </row>
    <row r="165" spans="6:12" ht="12.5">
      <c r="F165" s="86"/>
      <c r="G165" s="86"/>
      <c r="H165" s="86"/>
      <c r="I165" s="65"/>
      <c r="J165" s="65"/>
      <c r="K165" s="87"/>
      <c r="L165" s="88"/>
    </row>
    <row r="166" spans="6:12" ht="12.5">
      <c r="F166" s="86"/>
      <c r="G166" s="86"/>
      <c r="H166" s="86"/>
      <c r="I166" s="65"/>
      <c r="J166" s="65"/>
      <c r="K166" s="87"/>
      <c r="L166" s="88"/>
    </row>
    <row r="167" spans="6:12" ht="12.5">
      <c r="F167" s="86"/>
      <c r="G167" s="86"/>
      <c r="H167" s="86"/>
      <c r="I167" s="65"/>
      <c r="J167" s="65"/>
      <c r="K167" s="87"/>
      <c r="L167" s="88"/>
    </row>
    <row r="168" spans="6:12" ht="12.5">
      <c r="F168" s="86"/>
      <c r="G168" s="86"/>
      <c r="H168" s="86"/>
      <c r="I168" s="65"/>
      <c r="J168" s="65"/>
      <c r="K168" s="87"/>
      <c r="L168" s="88"/>
    </row>
    <row r="169" spans="6:12" ht="12.5">
      <c r="F169" s="86"/>
      <c r="G169" s="86"/>
      <c r="H169" s="86"/>
      <c r="I169" s="65"/>
      <c r="J169" s="65"/>
      <c r="K169" s="87"/>
      <c r="L169" s="88"/>
    </row>
    <row r="170" spans="6:12" ht="12.5">
      <c r="F170" s="86"/>
      <c r="G170" s="86"/>
      <c r="H170" s="86"/>
      <c r="I170" s="65"/>
      <c r="J170" s="65"/>
      <c r="K170" s="87"/>
      <c r="L170" s="88"/>
    </row>
    <row r="171" spans="6:12" ht="12.5">
      <c r="F171" s="86"/>
      <c r="G171" s="86"/>
      <c r="H171" s="86"/>
      <c r="I171" s="65"/>
      <c r="J171" s="65"/>
      <c r="K171" s="87"/>
      <c r="L171" s="88"/>
    </row>
    <row r="172" spans="6:12" ht="12.5">
      <c r="F172" s="86"/>
      <c r="G172" s="86"/>
      <c r="H172" s="86"/>
      <c r="I172" s="65"/>
      <c r="J172" s="65"/>
      <c r="K172" s="87"/>
      <c r="L172" s="88"/>
    </row>
    <row r="173" spans="6:12" ht="12.5">
      <c r="F173" s="86"/>
      <c r="G173" s="86"/>
      <c r="H173" s="86"/>
      <c r="I173" s="65"/>
      <c r="J173" s="65"/>
      <c r="K173" s="87"/>
      <c r="L173" s="88"/>
    </row>
    <row r="174" spans="6:12" ht="12.5">
      <c r="F174" s="86"/>
      <c r="G174" s="86"/>
      <c r="H174" s="86"/>
      <c r="I174" s="65"/>
      <c r="J174" s="65"/>
      <c r="K174" s="87"/>
      <c r="L174" s="88"/>
    </row>
    <row r="175" spans="6:12" ht="12.5">
      <c r="F175" s="86"/>
      <c r="G175" s="86"/>
      <c r="H175" s="86"/>
      <c r="I175" s="65"/>
      <c r="J175" s="65"/>
      <c r="K175" s="87"/>
      <c r="L175" s="88"/>
    </row>
    <row r="176" spans="6:12" ht="12.5">
      <c r="F176" s="86"/>
      <c r="G176" s="86"/>
      <c r="H176" s="86"/>
      <c r="I176" s="65"/>
      <c r="J176" s="65"/>
      <c r="K176" s="87"/>
      <c r="L176" s="88"/>
    </row>
    <row r="177" spans="6:12" ht="12.5">
      <c r="F177" s="86"/>
      <c r="G177" s="86"/>
      <c r="H177" s="86"/>
      <c r="I177" s="65"/>
      <c r="J177" s="65"/>
      <c r="K177" s="87"/>
      <c r="L177" s="88"/>
    </row>
    <row r="178" spans="6:12" ht="12.5">
      <c r="F178" s="86"/>
      <c r="G178" s="86"/>
      <c r="H178" s="86"/>
      <c r="I178" s="65"/>
      <c r="J178" s="65"/>
      <c r="K178" s="87"/>
      <c r="L178" s="88"/>
    </row>
    <row r="179" spans="6:12" ht="12.5">
      <c r="F179" s="86"/>
      <c r="G179" s="86"/>
      <c r="H179" s="86"/>
      <c r="I179" s="65"/>
      <c r="J179" s="65"/>
      <c r="K179" s="87"/>
      <c r="L179" s="88"/>
    </row>
    <row r="180" spans="6:12" ht="12.5">
      <c r="F180" s="86"/>
      <c r="G180" s="86"/>
      <c r="H180" s="86"/>
      <c r="I180" s="65"/>
      <c r="J180" s="65"/>
      <c r="K180" s="87"/>
      <c r="L180" s="88"/>
    </row>
    <row r="181" spans="6:12" ht="12.5">
      <c r="F181" s="86"/>
      <c r="G181" s="86"/>
      <c r="H181" s="86"/>
      <c r="I181" s="65"/>
      <c r="J181" s="65"/>
      <c r="K181" s="87"/>
      <c r="L181" s="88"/>
    </row>
    <row r="182" spans="6:12" ht="12.5">
      <c r="F182" s="86"/>
      <c r="G182" s="86"/>
      <c r="H182" s="86"/>
      <c r="I182" s="65"/>
      <c r="J182" s="65"/>
      <c r="K182" s="87"/>
      <c r="L182" s="88"/>
    </row>
    <row r="183" spans="6:12" ht="12.5">
      <c r="F183" s="86"/>
      <c r="G183" s="86"/>
      <c r="H183" s="86"/>
      <c r="I183" s="65"/>
      <c r="J183" s="65"/>
      <c r="K183" s="87"/>
      <c r="L183" s="88"/>
    </row>
    <row r="184" spans="6:12" ht="12.5">
      <c r="F184" s="86"/>
      <c r="G184" s="86"/>
      <c r="H184" s="86"/>
      <c r="I184" s="65"/>
      <c r="J184" s="65"/>
      <c r="K184" s="87"/>
      <c r="L184" s="88"/>
    </row>
    <row r="185" spans="6:12" ht="12.5">
      <c r="F185" s="86"/>
      <c r="G185" s="86"/>
      <c r="H185" s="86"/>
      <c r="I185" s="65"/>
      <c r="J185" s="65"/>
      <c r="K185" s="87"/>
      <c r="L185" s="88"/>
    </row>
    <row r="186" spans="6:12" ht="12.5">
      <c r="F186" s="86"/>
      <c r="G186" s="86"/>
      <c r="H186" s="86"/>
      <c r="I186" s="65"/>
      <c r="J186" s="65"/>
      <c r="K186" s="87"/>
      <c r="L186" s="88"/>
    </row>
    <row r="187" spans="6:12" ht="12.5">
      <c r="F187" s="86"/>
      <c r="G187" s="86"/>
      <c r="H187" s="86"/>
      <c r="I187" s="65"/>
      <c r="J187" s="65"/>
      <c r="K187" s="87"/>
      <c r="L187" s="88"/>
    </row>
    <row r="188" spans="6:12" ht="12.5">
      <c r="F188" s="86"/>
      <c r="G188" s="86"/>
      <c r="H188" s="86"/>
      <c r="I188" s="65"/>
      <c r="J188" s="65"/>
      <c r="K188" s="87"/>
      <c r="L188" s="88"/>
    </row>
    <row r="189" spans="6:12" ht="12.5">
      <c r="F189" s="86"/>
      <c r="G189" s="86"/>
      <c r="H189" s="86"/>
      <c r="I189" s="65"/>
      <c r="J189" s="65"/>
      <c r="K189" s="87"/>
      <c r="L189" s="88"/>
    </row>
    <row r="190" spans="6:12" ht="12.5">
      <c r="F190" s="86"/>
      <c r="G190" s="86"/>
      <c r="H190" s="86"/>
      <c r="I190" s="65"/>
      <c r="J190" s="65"/>
      <c r="K190" s="87"/>
      <c r="L190" s="88"/>
    </row>
    <row r="191" spans="6:12" ht="12.5">
      <c r="F191" s="86"/>
      <c r="G191" s="86"/>
      <c r="H191" s="86"/>
      <c r="I191" s="65"/>
      <c r="J191" s="65"/>
      <c r="K191" s="87"/>
      <c r="L191" s="88"/>
    </row>
    <row r="192" spans="6:12" ht="12.5">
      <c r="F192" s="86"/>
      <c r="G192" s="86"/>
      <c r="H192" s="86"/>
      <c r="I192" s="65"/>
      <c r="J192" s="65"/>
      <c r="K192" s="87"/>
      <c r="L192" s="88"/>
    </row>
    <row r="193" spans="6:12" ht="12.5">
      <c r="F193" s="86"/>
      <c r="G193" s="86"/>
      <c r="H193" s="86"/>
      <c r="I193" s="65"/>
      <c r="J193" s="65"/>
      <c r="K193" s="87"/>
      <c r="L193" s="88"/>
    </row>
    <row r="194" spans="6:12" ht="12.5">
      <c r="F194" s="86"/>
      <c r="G194" s="86"/>
      <c r="H194" s="86"/>
      <c r="I194" s="65"/>
      <c r="J194" s="65"/>
      <c r="K194" s="87"/>
      <c r="L194" s="88"/>
    </row>
    <row r="195" spans="6:12" ht="12.5">
      <c r="F195" s="86"/>
      <c r="G195" s="86"/>
      <c r="H195" s="86"/>
      <c r="I195" s="65"/>
      <c r="J195" s="65"/>
      <c r="K195" s="87"/>
      <c r="L195" s="88"/>
    </row>
    <row r="196" spans="6:12" ht="12.5">
      <c r="F196" s="86"/>
      <c r="G196" s="86"/>
      <c r="H196" s="86"/>
      <c r="I196" s="65"/>
      <c r="J196" s="65"/>
      <c r="K196" s="87"/>
      <c r="L196" s="88"/>
    </row>
    <row r="197" spans="6:12" ht="12.5">
      <c r="F197" s="86"/>
      <c r="G197" s="86"/>
      <c r="H197" s="86"/>
      <c r="I197" s="65"/>
      <c r="J197" s="65"/>
      <c r="K197" s="87"/>
      <c r="L197" s="88"/>
    </row>
    <row r="198" spans="6:12" ht="12.5">
      <c r="F198" s="86"/>
      <c r="G198" s="86"/>
      <c r="H198" s="86"/>
      <c r="I198" s="65"/>
      <c r="J198" s="65"/>
      <c r="K198" s="87"/>
      <c r="L198" s="88"/>
    </row>
    <row r="199" spans="6:12" ht="12.5">
      <c r="F199" s="86"/>
      <c r="G199" s="86"/>
      <c r="H199" s="86"/>
      <c r="I199" s="65"/>
      <c r="J199" s="65"/>
      <c r="K199" s="87"/>
      <c r="L199" s="88"/>
    </row>
    <row r="200" spans="6:12" ht="12.5">
      <c r="F200" s="86"/>
      <c r="G200" s="86"/>
      <c r="H200" s="86"/>
      <c r="I200" s="65"/>
      <c r="J200" s="65"/>
      <c r="K200" s="87"/>
      <c r="L200" s="88"/>
    </row>
    <row r="201" spans="6:12" ht="12.5">
      <c r="F201" s="86"/>
      <c r="G201" s="86"/>
      <c r="H201" s="86"/>
      <c r="I201" s="65"/>
      <c r="J201" s="65"/>
      <c r="K201" s="87"/>
      <c r="L201" s="88"/>
    </row>
    <row r="202" spans="6:12" ht="12.5">
      <c r="F202" s="86"/>
      <c r="G202" s="86"/>
      <c r="H202" s="86"/>
      <c r="I202" s="65"/>
      <c r="J202" s="65"/>
      <c r="K202" s="87"/>
      <c r="L202" s="88"/>
    </row>
    <row r="203" spans="6:12" ht="12.5">
      <c r="F203" s="86"/>
      <c r="G203" s="86"/>
      <c r="H203" s="86"/>
      <c r="I203" s="65"/>
      <c r="J203" s="65"/>
      <c r="K203" s="87"/>
      <c r="L203" s="88"/>
    </row>
    <row r="204" spans="6:12" ht="12.5">
      <c r="F204" s="86"/>
      <c r="G204" s="86"/>
      <c r="H204" s="86"/>
      <c r="I204" s="65"/>
      <c r="J204" s="65"/>
      <c r="K204" s="87"/>
      <c r="L204" s="88"/>
    </row>
    <row r="205" spans="6:12" ht="12.5">
      <c r="F205" s="86"/>
      <c r="G205" s="86"/>
      <c r="H205" s="86"/>
      <c r="I205" s="65"/>
      <c r="J205" s="65"/>
      <c r="K205" s="87"/>
      <c r="L205" s="88"/>
    </row>
    <row r="206" spans="6:12" ht="12.5">
      <c r="F206" s="86"/>
      <c r="G206" s="86"/>
      <c r="H206" s="86"/>
      <c r="I206" s="65"/>
      <c r="J206" s="65"/>
      <c r="K206" s="87"/>
      <c r="L206" s="88"/>
    </row>
    <row r="207" spans="6:12" ht="12.5">
      <c r="F207" s="86"/>
      <c r="G207" s="86"/>
      <c r="H207" s="86"/>
      <c r="I207" s="65"/>
      <c r="J207" s="65"/>
      <c r="K207" s="87"/>
      <c r="L207" s="88"/>
    </row>
    <row r="208" spans="6:12" ht="12.5">
      <c r="F208" s="86"/>
      <c r="G208" s="86"/>
      <c r="H208" s="86"/>
      <c r="I208" s="65"/>
      <c r="J208" s="65"/>
      <c r="K208" s="87"/>
      <c r="L208" s="88"/>
    </row>
    <row r="209" spans="6:12" ht="12.5">
      <c r="F209" s="86"/>
      <c r="G209" s="86"/>
      <c r="H209" s="86"/>
      <c r="I209" s="65"/>
      <c r="J209" s="65"/>
      <c r="K209" s="87"/>
      <c r="L209" s="88"/>
    </row>
    <row r="210" spans="6:12" ht="12.5">
      <c r="F210" s="86"/>
      <c r="G210" s="86"/>
      <c r="H210" s="86"/>
      <c r="I210" s="65"/>
      <c r="J210" s="65"/>
      <c r="K210" s="87"/>
      <c r="L210" s="88"/>
    </row>
    <row r="211" spans="6:12" ht="12.5">
      <c r="F211" s="86"/>
      <c r="G211" s="86"/>
      <c r="H211" s="86"/>
      <c r="I211" s="65"/>
      <c r="J211" s="65"/>
      <c r="K211" s="87"/>
      <c r="L211" s="88"/>
    </row>
    <row r="212" spans="6:12" ht="12.5">
      <c r="F212" s="86"/>
      <c r="G212" s="86"/>
      <c r="H212" s="86"/>
      <c r="I212" s="65"/>
      <c r="J212" s="65"/>
      <c r="K212" s="87"/>
      <c r="L212" s="88"/>
    </row>
    <row r="213" spans="6:12" ht="12.5">
      <c r="F213" s="86"/>
      <c r="G213" s="86"/>
      <c r="H213" s="86"/>
      <c r="I213" s="65"/>
      <c r="J213" s="65"/>
      <c r="K213" s="87"/>
      <c r="L213" s="88"/>
    </row>
    <row r="214" spans="6:12" ht="12.5">
      <c r="F214" s="86"/>
      <c r="G214" s="86"/>
      <c r="H214" s="86"/>
      <c r="I214" s="65"/>
      <c r="J214" s="65"/>
      <c r="K214" s="87"/>
      <c r="L214" s="88"/>
    </row>
    <row r="215" spans="6:12" ht="12.5">
      <c r="F215" s="86"/>
      <c r="G215" s="86"/>
      <c r="H215" s="86"/>
      <c r="I215" s="65"/>
      <c r="J215" s="65"/>
      <c r="K215" s="87"/>
      <c r="L215" s="88"/>
    </row>
    <row r="216" spans="6:12" ht="12.5">
      <c r="F216" s="86"/>
      <c r="G216" s="86"/>
      <c r="H216" s="86"/>
      <c r="I216" s="65"/>
      <c r="J216" s="65"/>
      <c r="K216" s="87"/>
      <c r="L216" s="88"/>
    </row>
    <row r="217" spans="6:12" ht="12.5">
      <c r="F217" s="86"/>
      <c r="G217" s="86"/>
      <c r="H217" s="86"/>
      <c r="I217" s="65"/>
      <c r="J217" s="65"/>
      <c r="K217" s="87"/>
      <c r="L217" s="88"/>
    </row>
    <row r="218" spans="6:12" ht="12.5">
      <c r="F218" s="86"/>
      <c r="G218" s="86"/>
      <c r="H218" s="86"/>
      <c r="I218" s="65"/>
      <c r="J218" s="65"/>
      <c r="K218" s="87"/>
      <c r="L218" s="88"/>
    </row>
    <row r="219" spans="6:12" ht="12.5">
      <c r="F219" s="86"/>
      <c r="G219" s="86"/>
      <c r="H219" s="86"/>
      <c r="I219" s="65"/>
      <c r="J219" s="65"/>
      <c r="K219" s="87"/>
      <c r="L219" s="88"/>
    </row>
    <row r="220" spans="6:12" ht="12.5">
      <c r="F220" s="86"/>
      <c r="G220" s="86"/>
      <c r="H220" s="86"/>
      <c r="I220" s="65"/>
      <c r="J220" s="65"/>
      <c r="K220" s="87"/>
      <c r="L220" s="88"/>
    </row>
    <row r="221" spans="6:12" ht="12.5">
      <c r="F221" s="86"/>
      <c r="G221" s="86"/>
      <c r="H221" s="86"/>
      <c r="I221" s="65"/>
      <c r="J221" s="65"/>
      <c r="K221" s="87"/>
      <c r="L221" s="88"/>
    </row>
    <row r="222" spans="6:12" ht="12.5">
      <c r="F222" s="86"/>
      <c r="G222" s="86"/>
      <c r="H222" s="86"/>
      <c r="I222" s="65"/>
      <c r="J222" s="65"/>
      <c r="K222" s="87"/>
      <c r="L222" s="88"/>
    </row>
    <row r="223" spans="6:12" ht="12.5">
      <c r="F223" s="86"/>
      <c r="G223" s="86"/>
      <c r="H223" s="86"/>
      <c r="I223" s="65"/>
      <c r="J223" s="65"/>
      <c r="K223" s="87"/>
      <c r="L223" s="88"/>
    </row>
    <row r="224" spans="6:12" ht="12.5">
      <c r="F224" s="86"/>
      <c r="G224" s="86"/>
      <c r="H224" s="86"/>
      <c r="I224" s="65"/>
      <c r="J224" s="65"/>
      <c r="K224" s="87"/>
      <c r="L224" s="88"/>
    </row>
    <row r="225" spans="6:12" ht="12.5">
      <c r="F225" s="86"/>
      <c r="G225" s="86"/>
      <c r="H225" s="86"/>
      <c r="I225" s="65"/>
      <c r="J225" s="65"/>
      <c r="K225" s="87"/>
      <c r="L225" s="88"/>
    </row>
    <row r="226" spans="6:12" ht="12.5">
      <c r="F226" s="86"/>
      <c r="G226" s="86"/>
      <c r="H226" s="86"/>
      <c r="I226" s="65"/>
      <c r="J226" s="65"/>
      <c r="K226" s="87"/>
      <c r="L226" s="88"/>
    </row>
    <row r="227" spans="6:12" ht="12.5">
      <c r="F227" s="86"/>
      <c r="G227" s="86"/>
      <c r="H227" s="86"/>
      <c r="I227" s="65"/>
      <c r="J227" s="65"/>
      <c r="K227" s="87"/>
      <c r="L227" s="88"/>
    </row>
    <row r="228" spans="6:12" ht="12.5">
      <c r="F228" s="86"/>
      <c r="G228" s="86"/>
      <c r="H228" s="86"/>
      <c r="I228" s="65"/>
      <c r="J228" s="65"/>
      <c r="K228" s="87"/>
      <c r="L228" s="88"/>
    </row>
    <row r="229" spans="6:12" ht="12.5">
      <c r="F229" s="86"/>
      <c r="G229" s="86"/>
      <c r="H229" s="86"/>
      <c r="I229" s="65"/>
      <c r="J229" s="65"/>
      <c r="K229" s="87"/>
      <c r="L229" s="88"/>
    </row>
    <row r="230" spans="6:12" ht="12.5">
      <c r="F230" s="86"/>
      <c r="G230" s="86"/>
      <c r="H230" s="86"/>
      <c r="I230" s="65"/>
      <c r="J230" s="65"/>
      <c r="K230" s="87"/>
      <c r="L230" s="88"/>
    </row>
    <row r="231" spans="6:12" ht="12.5">
      <c r="F231" s="86"/>
      <c r="G231" s="86"/>
      <c r="H231" s="86"/>
      <c r="I231" s="65"/>
      <c r="J231" s="65"/>
      <c r="K231" s="87"/>
      <c r="L231" s="88"/>
    </row>
    <row r="232" spans="6:12" ht="12.5">
      <c r="F232" s="86"/>
      <c r="G232" s="86"/>
      <c r="H232" s="86"/>
      <c r="I232" s="65"/>
      <c r="J232" s="65"/>
      <c r="K232" s="87"/>
      <c r="L232" s="88"/>
    </row>
    <row r="233" spans="6:12" ht="12.5">
      <c r="F233" s="86"/>
      <c r="G233" s="86"/>
      <c r="H233" s="86"/>
      <c r="I233" s="65"/>
      <c r="J233" s="65"/>
      <c r="K233" s="87"/>
      <c r="L233" s="88"/>
    </row>
    <row r="234" spans="6:12" ht="12.5">
      <c r="F234" s="86"/>
      <c r="G234" s="86"/>
      <c r="H234" s="86"/>
      <c r="I234" s="65"/>
      <c r="J234" s="65"/>
      <c r="K234" s="87"/>
      <c r="L234" s="88"/>
    </row>
    <row r="235" spans="6:12" ht="12.5">
      <c r="F235" s="86"/>
      <c r="G235" s="86"/>
      <c r="H235" s="86"/>
      <c r="I235" s="65"/>
      <c r="J235" s="65"/>
      <c r="K235" s="87"/>
      <c r="L235" s="88"/>
    </row>
    <row r="236" spans="6:12" ht="12.5">
      <c r="F236" s="86"/>
      <c r="G236" s="86"/>
      <c r="H236" s="86"/>
      <c r="I236" s="65"/>
      <c r="J236" s="65"/>
      <c r="K236" s="87"/>
      <c r="L236" s="88"/>
    </row>
    <row r="237" spans="6:12" ht="12.5">
      <c r="F237" s="86"/>
      <c r="G237" s="86"/>
      <c r="H237" s="86"/>
      <c r="I237" s="65"/>
      <c r="J237" s="65"/>
      <c r="K237" s="87"/>
      <c r="L237" s="88"/>
    </row>
    <row r="238" spans="6:12" ht="12.5">
      <c r="F238" s="86"/>
      <c r="G238" s="86"/>
      <c r="H238" s="86"/>
      <c r="I238" s="65"/>
      <c r="J238" s="65"/>
      <c r="K238" s="87"/>
      <c r="L238" s="88"/>
    </row>
    <row r="239" spans="6:12" ht="12.5">
      <c r="F239" s="86"/>
      <c r="G239" s="86"/>
      <c r="H239" s="86"/>
      <c r="I239" s="65"/>
      <c r="J239" s="65"/>
      <c r="K239" s="87"/>
      <c r="L239" s="88"/>
    </row>
    <row r="240" spans="6:12" ht="12.5">
      <c r="F240" s="86"/>
      <c r="G240" s="86"/>
      <c r="H240" s="86"/>
      <c r="I240" s="65"/>
      <c r="J240" s="65"/>
      <c r="K240" s="87"/>
      <c r="L240" s="88"/>
    </row>
    <row r="241" spans="6:12" ht="12.5">
      <c r="F241" s="86"/>
      <c r="G241" s="86"/>
      <c r="H241" s="86"/>
      <c r="I241" s="65"/>
      <c r="J241" s="65"/>
      <c r="K241" s="87"/>
      <c r="L241" s="88"/>
    </row>
    <row r="242" spans="6:12" ht="12.5">
      <c r="F242" s="86"/>
      <c r="G242" s="86"/>
      <c r="H242" s="86"/>
      <c r="I242" s="65"/>
      <c r="J242" s="65"/>
      <c r="K242" s="87"/>
      <c r="L242" s="88"/>
    </row>
    <row r="243" spans="6:12" ht="12.5">
      <c r="F243" s="86"/>
      <c r="G243" s="86"/>
      <c r="H243" s="86"/>
      <c r="I243" s="65"/>
      <c r="J243" s="65"/>
      <c r="K243" s="87"/>
      <c r="L243" s="88"/>
    </row>
    <row r="244" spans="6:12" ht="12.5">
      <c r="F244" s="86"/>
      <c r="G244" s="86"/>
      <c r="H244" s="86"/>
      <c r="I244" s="65"/>
      <c r="J244" s="65"/>
      <c r="K244" s="87"/>
      <c r="L244" s="88"/>
    </row>
    <row r="245" spans="6:12" ht="12.5">
      <c r="F245" s="86"/>
      <c r="G245" s="86"/>
      <c r="H245" s="86"/>
      <c r="I245" s="65"/>
      <c r="J245" s="65"/>
      <c r="K245" s="87"/>
      <c r="L245" s="88"/>
    </row>
    <row r="246" spans="6:12" ht="12.5">
      <c r="F246" s="86"/>
      <c r="G246" s="86"/>
      <c r="H246" s="86"/>
      <c r="I246" s="65"/>
      <c r="J246" s="65"/>
      <c r="K246" s="87"/>
      <c r="L246" s="88"/>
    </row>
    <row r="247" spans="6:12" ht="12.5">
      <c r="F247" s="86"/>
      <c r="G247" s="86"/>
      <c r="H247" s="86"/>
      <c r="I247" s="65"/>
      <c r="J247" s="65"/>
      <c r="K247" s="87"/>
      <c r="L247" s="88"/>
    </row>
    <row r="248" spans="6:12" ht="12.5">
      <c r="F248" s="86"/>
      <c r="G248" s="86"/>
      <c r="H248" s="86"/>
      <c r="I248" s="65"/>
      <c r="J248" s="65"/>
      <c r="K248" s="87"/>
      <c r="L248" s="88"/>
    </row>
    <row r="249" spans="6:12" ht="12.5">
      <c r="F249" s="86"/>
      <c r="G249" s="86"/>
      <c r="H249" s="86"/>
      <c r="I249" s="65"/>
      <c r="J249" s="65"/>
      <c r="K249" s="87"/>
      <c r="L249" s="88"/>
    </row>
    <row r="250" spans="6:12" ht="12.5">
      <c r="F250" s="86"/>
      <c r="G250" s="86"/>
      <c r="H250" s="86"/>
      <c r="I250" s="65"/>
      <c r="J250" s="65"/>
      <c r="K250" s="87"/>
      <c r="L250" s="88"/>
    </row>
    <row r="251" spans="6:12" ht="12.5">
      <c r="F251" s="86"/>
      <c r="G251" s="86"/>
      <c r="H251" s="86"/>
      <c r="I251" s="65"/>
      <c r="J251" s="65"/>
      <c r="K251" s="87"/>
      <c r="L251" s="88"/>
    </row>
    <row r="252" spans="6:12" ht="12.5">
      <c r="F252" s="86"/>
      <c r="G252" s="86"/>
      <c r="H252" s="86"/>
      <c r="I252" s="65"/>
      <c r="J252" s="65"/>
      <c r="K252" s="87"/>
      <c r="L252" s="88"/>
    </row>
    <row r="253" spans="6:12" ht="12.5">
      <c r="F253" s="86"/>
      <c r="G253" s="86"/>
      <c r="H253" s="86"/>
      <c r="I253" s="65"/>
      <c r="J253" s="65"/>
      <c r="K253" s="87"/>
      <c r="L253" s="88"/>
    </row>
    <row r="254" spans="6:12" ht="12.5">
      <c r="F254" s="86"/>
      <c r="G254" s="86"/>
      <c r="H254" s="86"/>
      <c r="I254" s="65"/>
      <c r="J254" s="65"/>
      <c r="K254" s="87"/>
      <c r="L254" s="88"/>
    </row>
    <row r="255" spans="6:12" ht="12.5">
      <c r="F255" s="86"/>
      <c r="G255" s="86"/>
      <c r="H255" s="86"/>
      <c r="I255" s="65"/>
      <c r="J255" s="65"/>
      <c r="K255" s="87"/>
      <c r="L255" s="88"/>
    </row>
    <row r="256" spans="6:12" ht="12.5">
      <c r="F256" s="86"/>
      <c r="G256" s="86"/>
      <c r="H256" s="86"/>
      <c r="I256" s="65"/>
      <c r="J256" s="65"/>
      <c r="K256" s="87"/>
      <c r="L256" s="88"/>
    </row>
    <row r="257" spans="6:12" ht="12.5">
      <c r="F257" s="86"/>
      <c r="G257" s="86"/>
      <c r="H257" s="86"/>
      <c r="I257" s="65"/>
      <c r="J257" s="65"/>
      <c r="K257" s="87"/>
      <c r="L257" s="88"/>
    </row>
    <row r="258" spans="6:12" ht="12.5">
      <c r="F258" s="86"/>
      <c r="G258" s="86"/>
      <c r="H258" s="86"/>
      <c r="I258" s="65"/>
      <c r="J258" s="65"/>
      <c r="K258" s="87"/>
      <c r="L258" s="88"/>
    </row>
    <row r="259" spans="6:12" ht="12.5">
      <c r="F259" s="86"/>
      <c r="G259" s="86"/>
      <c r="H259" s="86"/>
      <c r="I259" s="65"/>
      <c r="J259" s="65"/>
      <c r="K259" s="87"/>
      <c r="L259" s="88"/>
    </row>
    <row r="260" spans="6:12" ht="12.5">
      <c r="F260" s="86"/>
      <c r="G260" s="86"/>
      <c r="H260" s="86"/>
      <c r="I260" s="65"/>
      <c r="J260" s="65"/>
      <c r="K260" s="87"/>
      <c r="L260" s="88"/>
    </row>
    <row r="261" spans="6:12" ht="12.5">
      <c r="F261" s="86"/>
      <c r="G261" s="86"/>
      <c r="H261" s="86"/>
      <c r="I261" s="65"/>
      <c r="J261" s="65"/>
      <c r="K261" s="87"/>
      <c r="L261" s="88"/>
    </row>
    <row r="262" spans="6:12" ht="12.5">
      <c r="F262" s="86"/>
      <c r="G262" s="86"/>
      <c r="H262" s="86"/>
      <c r="I262" s="65"/>
      <c r="J262" s="65"/>
      <c r="K262" s="87"/>
      <c r="L262" s="88"/>
    </row>
    <row r="263" spans="6:12" ht="12.5">
      <c r="F263" s="86"/>
      <c r="G263" s="86"/>
      <c r="H263" s="86"/>
      <c r="I263" s="65"/>
      <c r="J263" s="65"/>
      <c r="K263" s="87"/>
      <c r="L263" s="88"/>
    </row>
    <row r="264" spans="6:12" ht="12.5">
      <c r="F264" s="86"/>
      <c r="G264" s="86"/>
      <c r="H264" s="86"/>
      <c r="I264" s="65"/>
      <c r="J264" s="65"/>
      <c r="K264" s="87"/>
      <c r="L264" s="88"/>
    </row>
    <row r="265" spans="6:12" ht="12.5">
      <c r="F265" s="86"/>
      <c r="G265" s="86"/>
      <c r="H265" s="86"/>
      <c r="I265" s="65"/>
      <c r="J265" s="65"/>
      <c r="K265" s="87"/>
      <c r="L265" s="88"/>
    </row>
    <row r="266" spans="6:12" ht="12.5">
      <c r="F266" s="86"/>
      <c r="G266" s="86"/>
      <c r="H266" s="86"/>
      <c r="I266" s="65"/>
      <c r="J266" s="65"/>
      <c r="K266" s="87"/>
      <c r="L266" s="88"/>
    </row>
    <row r="267" spans="6:12" ht="12.5">
      <c r="F267" s="86"/>
      <c r="G267" s="86"/>
      <c r="H267" s="86"/>
      <c r="I267" s="65"/>
      <c r="J267" s="65"/>
      <c r="K267" s="87"/>
      <c r="L267" s="88"/>
    </row>
    <row r="268" spans="6:12" ht="12.5">
      <c r="F268" s="86"/>
      <c r="G268" s="86"/>
      <c r="H268" s="86"/>
      <c r="I268" s="65"/>
      <c r="J268" s="65"/>
      <c r="K268" s="87"/>
      <c r="L268" s="88"/>
    </row>
    <row r="269" spans="6:12" ht="12.5">
      <c r="F269" s="86"/>
      <c r="G269" s="86"/>
      <c r="H269" s="86"/>
      <c r="I269" s="65"/>
      <c r="J269" s="65"/>
      <c r="K269" s="87"/>
      <c r="L269" s="88"/>
    </row>
    <row r="270" spans="6:12" ht="12.5">
      <c r="F270" s="86"/>
      <c r="G270" s="86"/>
      <c r="H270" s="86"/>
      <c r="I270" s="65"/>
      <c r="J270" s="65"/>
      <c r="K270" s="87"/>
      <c r="L270" s="88"/>
    </row>
    <row r="271" spans="6:12" ht="12.5">
      <c r="F271" s="86"/>
      <c r="G271" s="86"/>
      <c r="H271" s="86"/>
      <c r="I271" s="65"/>
      <c r="J271" s="65"/>
      <c r="K271" s="87"/>
      <c r="L271" s="88"/>
    </row>
    <row r="272" spans="6:12" ht="12.5">
      <c r="F272" s="86"/>
      <c r="G272" s="86"/>
      <c r="H272" s="86"/>
      <c r="I272" s="65"/>
      <c r="J272" s="65"/>
      <c r="K272" s="87"/>
      <c r="L272" s="88"/>
    </row>
    <row r="273" spans="6:12" ht="12.5">
      <c r="F273" s="86"/>
      <c r="G273" s="86"/>
      <c r="H273" s="86"/>
      <c r="I273" s="65"/>
      <c r="J273" s="65"/>
      <c r="K273" s="87"/>
      <c r="L273" s="88"/>
    </row>
    <row r="274" spans="6:12" ht="12.5">
      <c r="F274" s="86"/>
      <c r="G274" s="86"/>
      <c r="H274" s="86"/>
      <c r="I274" s="65"/>
      <c r="J274" s="65"/>
      <c r="K274" s="87"/>
      <c r="L274" s="88"/>
    </row>
    <row r="275" spans="6:12" ht="12.5">
      <c r="F275" s="86"/>
      <c r="G275" s="86"/>
      <c r="H275" s="86"/>
      <c r="I275" s="65"/>
      <c r="J275" s="65"/>
      <c r="K275" s="87"/>
      <c r="L275" s="88"/>
    </row>
    <row r="276" spans="6:12" ht="12.5">
      <c r="F276" s="86"/>
      <c r="G276" s="86"/>
      <c r="H276" s="86"/>
      <c r="I276" s="65"/>
      <c r="J276" s="65"/>
      <c r="K276" s="87"/>
      <c r="L276" s="88"/>
    </row>
    <row r="277" spans="6:12" ht="12.5">
      <c r="F277" s="86"/>
      <c r="G277" s="86"/>
      <c r="H277" s="86"/>
      <c r="I277" s="65"/>
      <c r="J277" s="65"/>
      <c r="K277" s="87"/>
      <c r="L277" s="88"/>
    </row>
    <row r="278" spans="6:12" ht="12.5">
      <c r="F278" s="86"/>
      <c r="G278" s="86"/>
      <c r="H278" s="86"/>
      <c r="I278" s="65"/>
      <c r="J278" s="65"/>
      <c r="K278" s="87"/>
      <c r="L278" s="88"/>
    </row>
    <row r="279" spans="6:12" ht="12.5">
      <c r="F279" s="86"/>
      <c r="G279" s="86"/>
      <c r="H279" s="86"/>
      <c r="I279" s="65"/>
      <c r="J279" s="65"/>
      <c r="K279" s="87"/>
      <c r="L279" s="88"/>
    </row>
    <row r="280" spans="6:12" ht="12.5">
      <c r="F280" s="86"/>
      <c r="G280" s="86"/>
      <c r="H280" s="86"/>
      <c r="I280" s="65"/>
      <c r="J280" s="65"/>
      <c r="K280" s="87"/>
      <c r="L280" s="88"/>
    </row>
    <row r="281" spans="6:12" ht="12.5">
      <c r="F281" s="86"/>
      <c r="G281" s="86"/>
      <c r="H281" s="86"/>
      <c r="I281" s="65"/>
      <c r="J281" s="65"/>
      <c r="K281" s="87"/>
      <c r="L281" s="88"/>
    </row>
    <row r="282" spans="6:12" ht="12.5">
      <c r="F282" s="86"/>
      <c r="G282" s="86"/>
      <c r="H282" s="86"/>
      <c r="I282" s="65"/>
      <c r="J282" s="65"/>
      <c r="K282" s="87"/>
      <c r="L282" s="88"/>
    </row>
    <row r="283" spans="6:12" ht="12.5">
      <c r="F283" s="86"/>
      <c r="G283" s="86"/>
      <c r="H283" s="86"/>
      <c r="I283" s="65"/>
      <c r="J283" s="65"/>
      <c r="K283" s="87"/>
      <c r="L283" s="88"/>
    </row>
    <row r="284" spans="6:12" ht="12.5">
      <c r="F284" s="86"/>
      <c r="G284" s="86"/>
      <c r="H284" s="86"/>
      <c r="I284" s="65"/>
      <c r="J284" s="65"/>
      <c r="K284" s="87"/>
      <c r="L284" s="88"/>
    </row>
    <row r="285" spans="6:12" ht="12.5">
      <c r="F285" s="86"/>
      <c r="G285" s="86"/>
      <c r="H285" s="86"/>
      <c r="I285" s="65"/>
      <c r="J285" s="65"/>
      <c r="K285" s="87"/>
      <c r="L285" s="88"/>
    </row>
    <row r="286" spans="6:12" ht="12.5">
      <c r="F286" s="86"/>
      <c r="G286" s="86"/>
      <c r="H286" s="86"/>
      <c r="I286" s="65"/>
      <c r="J286" s="65"/>
      <c r="K286" s="87"/>
      <c r="L286" s="88"/>
    </row>
    <row r="287" spans="6:12" ht="12.5">
      <c r="F287" s="86"/>
      <c r="G287" s="86"/>
      <c r="H287" s="86"/>
      <c r="I287" s="65"/>
      <c r="J287" s="65"/>
      <c r="K287" s="87"/>
      <c r="L287" s="88"/>
    </row>
    <row r="288" spans="6:12" ht="12.5">
      <c r="F288" s="86"/>
      <c r="G288" s="86"/>
      <c r="H288" s="86"/>
      <c r="I288" s="65"/>
      <c r="J288" s="65"/>
      <c r="K288" s="87"/>
      <c r="L288" s="88"/>
    </row>
    <row r="289" spans="6:12" ht="12.5">
      <c r="F289" s="86"/>
      <c r="G289" s="86"/>
      <c r="H289" s="86"/>
      <c r="I289" s="65"/>
      <c r="J289" s="65"/>
      <c r="K289" s="87"/>
      <c r="L289" s="88"/>
    </row>
    <row r="290" spans="6:12" ht="12.5">
      <c r="F290" s="86"/>
      <c r="G290" s="86"/>
      <c r="H290" s="86"/>
      <c r="I290" s="65"/>
      <c r="J290" s="65"/>
      <c r="K290" s="87"/>
      <c r="L290" s="88"/>
    </row>
    <row r="291" spans="6:12" ht="12.5">
      <c r="F291" s="86"/>
      <c r="G291" s="86"/>
      <c r="H291" s="86"/>
      <c r="I291" s="65"/>
      <c r="J291" s="65"/>
      <c r="K291" s="87"/>
      <c r="L291" s="88"/>
    </row>
    <row r="292" spans="6:12" ht="12.5">
      <c r="F292" s="86"/>
      <c r="G292" s="86"/>
      <c r="H292" s="86"/>
      <c r="I292" s="65"/>
      <c r="J292" s="65"/>
      <c r="K292" s="87"/>
      <c r="L292" s="88"/>
    </row>
    <row r="293" spans="6:12" ht="12.5">
      <c r="F293" s="86"/>
      <c r="G293" s="86"/>
      <c r="H293" s="86"/>
      <c r="I293" s="65"/>
      <c r="J293" s="65"/>
      <c r="K293" s="87"/>
      <c r="L293" s="88"/>
    </row>
    <row r="294" spans="6:12" ht="12.5">
      <c r="F294" s="86"/>
      <c r="G294" s="86"/>
      <c r="H294" s="86"/>
      <c r="I294" s="65"/>
      <c r="J294" s="65"/>
      <c r="K294" s="87"/>
      <c r="L294" s="88"/>
    </row>
    <row r="295" spans="6:12" ht="12.5">
      <c r="F295" s="86"/>
      <c r="G295" s="86"/>
      <c r="H295" s="86"/>
      <c r="I295" s="65"/>
      <c r="J295" s="65"/>
      <c r="K295" s="87"/>
      <c r="L295" s="88"/>
    </row>
    <row r="296" spans="6:12" ht="12.5">
      <c r="F296" s="86"/>
      <c r="G296" s="86"/>
      <c r="H296" s="86"/>
      <c r="I296" s="65"/>
      <c r="J296" s="65"/>
      <c r="K296" s="87"/>
      <c r="L296" s="88"/>
    </row>
    <row r="297" spans="6:12" ht="12.5">
      <c r="F297" s="86"/>
      <c r="G297" s="86"/>
      <c r="H297" s="86"/>
      <c r="I297" s="65"/>
      <c r="J297" s="65"/>
      <c r="K297" s="87"/>
      <c r="L297" s="88"/>
    </row>
    <row r="298" spans="6:12" ht="12.5">
      <c r="F298" s="86"/>
      <c r="G298" s="86"/>
      <c r="H298" s="86"/>
      <c r="I298" s="65"/>
      <c r="J298" s="65"/>
      <c r="K298" s="87"/>
      <c r="L298" s="88"/>
    </row>
    <row r="299" spans="6:12" ht="12.5">
      <c r="F299" s="86"/>
      <c r="G299" s="86"/>
      <c r="H299" s="86"/>
      <c r="I299" s="65"/>
      <c r="J299" s="65"/>
      <c r="K299" s="87"/>
      <c r="L299" s="88"/>
    </row>
    <row r="300" spans="6:12" ht="12.5">
      <c r="F300" s="86"/>
      <c r="G300" s="86"/>
      <c r="H300" s="86"/>
      <c r="I300" s="65"/>
      <c r="J300" s="65"/>
      <c r="K300" s="87"/>
      <c r="L300" s="88"/>
    </row>
    <row r="301" spans="6:12" ht="12.5">
      <c r="F301" s="86"/>
      <c r="G301" s="86"/>
      <c r="H301" s="86"/>
      <c r="I301" s="65"/>
      <c r="J301" s="65"/>
      <c r="K301" s="87"/>
      <c r="L301" s="88"/>
    </row>
    <row r="302" spans="6:12" ht="12.5">
      <c r="F302" s="86"/>
      <c r="G302" s="86"/>
      <c r="H302" s="86"/>
      <c r="I302" s="65"/>
      <c r="J302" s="65"/>
      <c r="K302" s="87"/>
      <c r="L302" s="88"/>
    </row>
    <row r="303" spans="6:12" ht="12.5">
      <c r="F303" s="86"/>
      <c r="G303" s="86"/>
      <c r="H303" s="86"/>
      <c r="I303" s="65"/>
      <c r="J303" s="65"/>
      <c r="K303" s="87"/>
      <c r="L303" s="88"/>
    </row>
    <row r="304" spans="6:12" ht="12.5">
      <c r="F304" s="86"/>
      <c r="G304" s="86"/>
      <c r="H304" s="86"/>
      <c r="I304" s="65"/>
      <c r="J304" s="65"/>
      <c r="K304" s="87"/>
      <c r="L304" s="88"/>
    </row>
    <row r="305" spans="6:12" ht="12.5">
      <c r="F305" s="86"/>
      <c r="G305" s="86"/>
      <c r="H305" s="86"/>
      <c r="I305" s="65"/>
      <c r="J305" s="65"/>
      <c r="K305" s="87"/>
      <c r="L305" s="88"/>
    </row>
    <row r="306" spans="6:12" ht="12.5">
      <c r="F306" s="86"/>
      <c r="G306" s="86"/>
      <c r="H306" s="86"/>
      <c r="I306" s="65"/>
      <c r="J306" s="65"/>
      <c r="K306" s="87"/>
      <c r="L306" s="88"/>
    </row>
    <row r="307" spans="6:12" ht="12.5">
      <c r="F307" s="86"/>
      <c r="G307" s="86"/>
      <c r="H307" s="86"/>
      <c r="I307" s="65"/>
      <c r="J307" s="65"/>
      <c r="K307" s="87"/>
      <c r="L307" s="88"/>
    </row>
    <row r="308" spans="6:12" ht="12.5">
      <c r="F308" s="86"/>
      <c r="G308" s="86"/>
      <c r="H308" s="86"/>
      <c r="I308" s="65"/>
      <c r="J308" s="65"/>
      <c r="K308" s="87"/>
      <c r="L308" s="88"/>
    </row>
    <row r="309" spans="6:12" ht="12.5">
      <c r="F309" s="86"/>
      <c r="G309" s="86"/>
      <c r="H309" s="86"/>
      <c r="I309" s="65"/>
      <c r="J309" s="65"/>
      <c r="K309" s="87"/>
      <c r="L309" s="88"/>
    </row>
    <row r="310" spans="6:12" ht="12.5">
      <c r="F310" s="86"/>
      <c r="G310" s="86"/>
      <c r="H310" s="86"/>
      <c r="I310" s="65"/>
      <c r="J310" s="65"/>
      <c r="K310" s="87"/>
      <c r="L310" s="88"/>
    </row>
    <row r="311" spans="6:12" ht="12.5">
      <c r="F311" s="86"/>
      <c r="G311" s="86"/>
      <c r="H311" s="86"/>
      <c r="I311" s="65"/>
      <c r="J311" s="65"/>
      <c r="K311" s="87"/>
      <c r="L311" s="88"/>
    </row>
    <row r="312" spans="6:12" ht="12.5">
      <c r="F312" s="86"/>
      <c r="G312" s="86"/>
      <c r="H312" s="86"/>
      <c r="I312" s="65"/>
      <c r="J312" s="65"/>
      <c r="K312" s="87"/>
      <c r="L312" s="88"/>
    </row>
    <row r="313" spans="6:12" ht="12.5">
      <c r="F313" s="86"/>
      <c r="G313" s="86"/>
      <c r="H313" s="86"/>
      <c r="I313" s="65"/>
      <c r="J313" s="65"/>
      <c r="K313" s="87"/>
      <c r="L313" s="88"/>
    </row>
    <row r="314" spans="6:12" ht="12.5">
      <c r="F314" s="86"/>
      <c r="G314" s="86"/>
      <c r="H314" s="86"/>
      <c r="I314" s="65"/>
      <c r="J314" s="65"/>
      <c r="K314" s="87"/>
      <c r="L314" s="88"/>
    </row>
    <row r="315" spans="6:12" ht="12.5">
      <c r="F315" s="86"/>
      <c r="G315" s="86"/>
      <c r="H315" s="86"/>
      <c r="I315" s="65"/>
      <c r="J315" s="65"/>
      <c r="K315" s="87"/>
      <c r="L315" s="88"/>
    </row>
    <row r="316" spans="6:12" ht="12.5">
      <c r="F316" s="86"/>
      <c r="G316" s="86"/>
      <c r="H316" s="86"/>
      <c r="I316" s="65"/>
      <c r="J316" s="65"/>
      <c r="K316" s="87"/>
      <c r="L316" s="88"/>
    </row>
    <row r="317" spans="6:12" ht="12.5">
      <c r="F317" s="86"/>
      <c r="G317" s="86"/>
      <c r="H317" s="86"/>
      <c r="I317" s="65"/>
      <c r="J317" s="65"/>
      <c r="K317" s="87"/>
      <c r="L317" s="88"/>
    </row>
    <row r="318" spans="6:12" ht="12.5">
      <c r="F318" s="86"/>
      <c r="G318" s="86"/>
      <c r="H318" s="86"/>
      <c r="I318" s="65"/>
      <c r="J318" s="65"/>
      <c r="K318" s="87"/>
      <c r="L318" s="88"/>
    </row>
    <row r="319" spans="6:12" ht="12.5">
      <c r="F319" s="86"/>
      <c r="G319" s="86"/>
      <c r="H319" s="86"/>
      <c r="I319" s="65"/>
      <c r="J319" s="65"/>
      <c r="K319" s="87"/>
      <c r="L319" s="88"/>
    </row>
    <row r="320" spans="6:12" ht="12.5">
      <c r="F320" s="86"/>
      <c r="G320" s="86"/>
      <c r="H320" s="86"/>
      <c r="I320" s="65"/>
      <c r="J320" s="65"/>
      <c r="K320" s="87"/>
      <c r="L320" s="88"/>
    </row>
    <row r="321" spans="6:12" ht="12.5">
      <c r="F321" s="86"/>
      <c r="G321" s="86"/>
      <c r="H321" s="86"/>
      <c r="I321" s="65"/>
      <c r="J321" s="65"/>
      <c r="K321" s="87"/>
      <c r="L321" s="88"/>
    </row>
    <row r="322" spans="6:12" ht="12.5">
      <c r="F322" s="86"/>
      <c r="G322" s="86"/>
      <c r="H322" s="86"/>
      <c r="I322" s="65"/>
      <c r="J322" s="65"/>
      <c r="K322" s="87"/>
      <c r="L322" s="88"/>
    </row>
    <row r="323" spans="6:12" ht="12.5">
      <c r="F323" s="86"/>
      <c r="G323" s="86"/>
      <c r="H323" s="86"/>
      <c r="I323" s="65"/>
      <c r="J323" s="65"/>
      <c r="K323" s="87"/>
      <c r="L323" s="88"/>
    </row>
    <row r="324" spans="6:12" ht="12.5">
      <c r="F324" s="86"/>
      <c r="G324" s="86"/>
      <c r="H324" s="86"/>
      <c r="I324" s="65"/>
      <c r="J324" s="65"/>
      <c r="K324" s="87"/>
      <c r="L324" s="88"/>
    </row>
    <row r="325" spans="6:12" ht="12.5">
      <c r="F325" s="86"/>
      <c r="G325" s="86"/>
      <c r="H325" s="86"/>
      <c r="I325" s="65"/>
      <c r="J325" s="65"/>
      <c r="K325" s="87"/>
      <c r="L325" s="88"/>
    </row>
    <row r="326" spans="6:12" ht="12.5">
      <c r="F326" s="86"/>
      <c r="G326" s="86"/>
      <c r="H326" s="86"/>
      <c r="I326" s="65"/>
      <c r="J326" s="65"/>
      <c r="K326" s="87"/>
      <c r="L326" s="88"/>
    </row>
    <row r="327" spans="6:12" ht="12.5">
      <c r="F327" s="86"/>
      <c r="G327" s="86"/>
      <c r="H327" s="86"/>
      <c r="I327" s="65"/>
      <c r="J327" s="65"/>
      <c r="K327" s="87"/>
      <c r="L327" s="88"/>
    </row>
    <row r="328" spans="6:12" ht="12.5">
      <c r="F328" s="86"/>
      <c r="G328" s="86"/>
      <c r="H328" s="86"/>
      <c r="I328" s="65"/>
      <c r="J328" s="65"/>
      <c r="K328" s="87"/>
      <c r="L328" s="88"/>
    </row>
    <row r="329" spans="6:12" ht="12.5">
      <c r="F329" s="86"/>
      <c r="G329" s="86"/>
      <c r="H329" s="86"/>
      <c r="I329" s="65"/>
      <c r="J329" s="65"/>
      <c r="K329" s="87"/>
      <c r="L329" s="88"/>
    </row>
    <row r="330" spans="6:12" ht="12.5">
      <c r="F330" s="86"/>
      <c r="G330" s="86"/>
      <c r="H330" s="86"/>
      <c r="I330" s="65"/>
      <c r="J330" s="65"/>
      <c r="K330" s="87"/>
      <c r="L330" s="88"/>
    </row>
    <row r="331" spans="6:12" ht="12.5">
      <c r="F331" s="86"/>
      <c r="G331" s="86"/>
      <c r="H331" s="86"/>
      <c r="I331" s="65"/>
      <c r="J331" s="65"/>
      <c r="K331" s="87"/>
      <c r="L331" s="88"/>
    </row>
    <row r="332" spans="6:12" ht="12.5">
      <c r="F332" s="86"/>
      <c r="G332" s="86"/>
      <c r="H332" s="86"/>
      <c r="I332" s="65"/>
      <c r="J332" s="65"/>
      <c r="K332" s="87"/>
      <c r="L332" s="88"/>
    </row>
    <row r="333" spans="6:12" ht="12.5">
      <c r="F333" s="86"/>
      <c r="G333" s="86"/>
      <c r="H333" s="86"/>
      <c r="I333" s="65"/>
      <c r="J333" s="65"/>
      <c r="K333" s="87"/>
      <c r="L333" s="88"/>
    </row>
    <row r="334" spans="6:12" ht="12.5">
      <c r="F334" s="86"/>
      <c r="G334" s="86"/>
      <c r="H334" s="86"/>
      <c r="I334" s="65"/>
      <c r="J334" s="65"/>
      <c r="K334" s="87"/>
      <c r="L334" s="88"/>
    </row>
    <row r="335" spans="6:12" ht="12.5">
      <c r="F335" s="86"/>
      <c r="G335" s="86"/>
      <c r="H335" s="86"/>
      <c r="I335" s="65"/>
      <c r="J335" s="65"/>
      <c r="K335" s="87"/>
      <c r="L335" s="88"/>
    </row>
    <row r="336" spans="6:12" ht="12.5">
      <c r="F336" s="86"/>
      <c r="G336" s="86"/>
      <c r="H336" s="86"/>
      <c r="I336" s="65"/>
      <c r="J336" s="65"/>
      <c r="K336" s="87"/>
      <c r="L336" s="88"/>
    </row>
    <row r="337" spans="6:12" ht="12.5">
      <c r="F337" s="86"/>
      <c r="G337" s="86"/>
      <c r="H337" s="86"/>
      <c r="I337" s="65"/>
      <c r="J337" s="65"/>
      <c r="K337" s="87"/>
      <c r="L337" s="88"/>
    </row>
    <row r="338" spans="6:12" ht="12.5">
      <c r="F338" s="86"/>
      <c r="G338" s="86"/>
      <c r="H338" s="86"/>
      <c r="I338" s="65"/>
      <c r="J338" s="65"/>
      <c r="K338" s="87"/>
      <c r="L338" s="88"/>
    </row>
    <row r="339" spans="6:12" ht="12.5">
      <c r="F339" s="86"/>
      <c r="G339" s="86"/>
      <c r="H339" s="86"/>
      <c r="I339" s="65"/>
      <c r="J339" s="65"/>
      <c r="K339" s="87"/>
      <c r="L339" s="88"/>
    </row>
    <row r="340" spans="6:12" ht="12.5">
      <c r="F340" s="86"/>
      <c r="G340" s="86"/>
      <c r="H340" s="86"/>
      <c r="I340" s="65"/>
      <c r="J340" s="65"/>
      <c r="K340" s="87"/>
      <c r="L340" s="88"/>
    </row>
    <row r="341" spans="6:12" ht="12.5">
      <c r="F341" s="86"/>
      <c r="G341" s="86"/>
      <c r="H341" s="86"/>
      <c r="I341" s="65"/>
      <c r="J341" s="65"/>
      <c r="K341" s="87"/>
      <c r="L341" s="88"/>
    </row>
    <row r="342" spans="6:12" ht="12.5">
      <c r="F342" s="86"/>
      <c r="G342" s="86"/>
      <c r="H342" s="86"/>
      <c r="I342" s="65"/>
      <c r="J342" s="65"/>
      <c r="K342" s="87"/>
      <c r="L342" s="88"/>
    </row>
    <row r="343" spans="6:12" ht="12.5">
      <c r="F343" s="86"/>
      <c r="G343" s="86"/>
      <c r="H343" s="86"/>
      <c r="I343" s="65"/>
      <c r="J343" s="65"/>
      <c r="K343" s="87"/>
      <c r="L343" s="88"/>
    </row>
    <row r="344" spans="6:12" ht="12.5">
      <c r="F344" s="86"/>
      <c r="G344" s="86"/>
      <c r="H344" s="86"/>
      <c r="I344" s="65"/>
      <c r="J344" s="65"/>
      <c r="K344" s="87"/>
      <c r="L344" s="88"/>
    </row>
    <row r="345" spans="6:12" ht="12.5">
      <c r="F345" s="86"/>
      <c r="G345" s="86"/>
      <c r="H345" s="86"/>
      <c r="I345" s="65"/>
      <c r="J345" s="65"/>
      <c r="K345" s="87"/>
      <c r="L345" s="88"/>
    </row>
    <row r="346" spans="6:12" ht="12.5">
      <c r="F346" s="86"/>
      <c r="G346" s="86"/>
      <c r="H346" s="86"/>
      <c r="I346" s="65"/>
      <c r="J346" s="65"/>
      <c r="K346" s="87"/>
      <c r="L346" s="88"/>
    </row>
    <row r="347" spans="6:12" ht="12.5">
      <c r="F347" s="86"/>
      <c r="G347" s="86"/>
      <c r="H347" s="86"/>
      <c r="I347" s="65"/>
      <c r="J347" s="65"/>
      <c r="K347" s="87"/>
      <c r="L347" s="88"/>
    </row>
    <row r="348" spans="6:12" ht="12.5">
      <c r="F348" s="86"/>
      <c r="G348" s="86"/>
      <c r="H348" s="86"/>
      <c r="I348" s="65"/>
      <c r="J348" s="65"/>
      <c r="K348" s="87"/>
      <c r="L348" s="88"/>
    </row>
    <row r="349" spans="6:12" ht="12.5">
      <c r="F349" s="86"/>
      <c r="G349" s="86"/>
      <c r="H349" s="86"/>
      <c r="I349" s="65"/>
      <c r="J349" s="65"/>
      <c r="K349" s="87"/>
      <c r="L349" s="88"/>
    </row>
    <row r="350" spans="6:12" ht="12.5">
      <c r="F350" s="86"/>
      <c r="G350" s="86"/>
      <c r="H350" s="86"/>
      <c r="I350" s="65"/>
      <c r="J350" s="65"/>
      <c r="K350" s="87"/>
      <c r="L350" s="88"/>
    </row>
    <row r="351" spans="6:12" ht="12.5">
      <c r="F351" s="86"/>
      <c r="G351" s="86"/>
      <c r="H351" s="86"/>
      <c r="I351" s="65"/>
      <c r="J351" s="65"/>
      <c r="K351" s="87"/>
      <c r="L351" s="88"/>
    </row>
    <row r="352" spans="6:12" ht="12.5">
      <c r="F352" s="86"/>
      <c r="G352" s="86"/>
      <c r="H352" s="86"/>
      <c r="I352" s="65"/>
      <c r="J352" s="65"/>
      <c r="K352" s="87"/>
      <c r="L352" s="88"/>
    </row>
    <row r="353" spans="6:12" ht="12.5">
      <c r="F353" s="86"/>
      <c r="G353" s="86"/>
      <c r="H353" s="86"/>
      <c r="I353" s="65"/>
      <c r="J353" s="65"/>
      <c r="K353" s="87"/>
      <c r="L353" s="88"/>
    </row>
    <row r="354" spans="6:12" ht="12.5">
      <c r="F354" s="86"/>
      <c r="G354" s="86"/>
      <c r="H354" s="86"/>
      <c r="I354" s="65"/>
      <c r="J354" s="65"/>
      <c r="K354" s="87"/>
      <c r="L354" s="88"/>
    </row>
    <row r="355" spans="6:12" ht="12.5">
      <c r="F355" s="86"/>
      <c r="G355" s="86"/>
      <c r="H355" s="86"/>
      <c r="I355" s="65"/>
      <c r="J355" s="65"/>
      <c r="K355" s="87"/>
      <c r="L355" s="88"/>
    </row>
    <row r="356" spans="6:12" ht="12.5">
      <c r="F356" s="86"/>
      <c r="G356" s="86"/>
      <c r="H356" s="86"/>
      <c r="I356" s="65"/>
      <c r="J356" s="65"/>
      <c r="K356" s="87"/>
      <c r="L356" s="88"/>
    </row>
    <row r="357" spans="6:12" ht="12.5">
      <c r="F357" s="86"/>
      <c r="G357" s="86"/>
      <c r="H357" s="86"/>
      <c r="I357" s="65"/>
      <c r="J357" s="65"/>
      <c r="K357" s="87"/>
      <c r="L357" s="88"/>
    </row>
    <row r="358" spans="6:12" ht="12.5">
      <c r="F358" s="86"/>
      <c r="G358" s="86"/>
      <c r="H358" s="86"/>
      <c r="I358" s="65"/>
      <c r="J358" s="65"/>
      <c r="K358" s="87"/>
      <c r="L358" s="88"/>
    </row>
    <row r="359" spans="6:12" ht="12.5">
      <c r="F359" s="86"/>
      <c r="G359" s="86"/>
      <c r="H359" s="86"/>
      <c r="I359" s="65"/>
      <c r="J359" s="65"/>
      <c r="K359" s="87"/>
      <c r="L359" s="88"/>
    </row>
    <row r="360" spans="6:12" ht="12.5">
      <c r="F360" s="86"/>
      <c r="G360" s="86"/>
      <c r="H360" s="86"/>
      <c r="I360" s="65"/>
      <c r="J360" s="65"/>
      <c r="K360" s="87"/>
      <c r="L360" s="88"/>
    </row>
    <row r="361" spans="6:12" ht="12.5">
      <c r="F361" s="86"/>
      <c r="G361" s="86"/>
      <c r="H361" s="86"/>
      <c r="I361" s="65"/>
      <c r="J361" s="65"/>
      <c r="K361" s="87"/>
      <c r="L361" s="88"/>
    </row>
    <row r="362" spans="6:12" ht="12.5">
      <c r="F362" s="86"/>
      <c r="G362" s="86"/>
      <c r="H362" s="86"/>
      <c r="I362" s="65"/>
      <c r="J362" s="65"/>
      <c r="K362" s="87"/>
      <c r="L362" s="88"/>
    </row>
    <row r="363" spans="6:12" ht="12.5">
      <c r="F363" s="86"/>
      <c r="G363" s="86"/>
      <c r="H363" s="86"/>
      <c r="I363" s="65"/>
      <c r="J363" s="65"/>
      <c r="K363" s="87"/>
      <c r="L363" s="88"/>
    </row>
    <row r="364" spans="6:12" ht="12.5">
      <c r="F364" s="86"/>
      <c r="G364" s="86"/>
      <c r="H364" s="86"/>
      <c r="I364" s="65"/>
      <c r="J364" s="65"/>
      <c r="K364" s="87"/>
      <c r="L364" s="88"/>
    </row>
    <row r="365" spans="6:12" ht="12.5">
      <c r="F365" s="86"/>
      <c r="G365" s="86"/>
      <c r="H365" s="86"/>
      <c r="I365" s="65"/>
      <c r="J365" s="65"/>
      <c r="K365" s="87"/>
      <c r="L365" s="88"/>
    </row>
    <row r="366" spans="6:12" ht="12.5">
      <c r="F366" s="86"/>
      <c r="G366" s="86"/>
      <c r="H366" s="86"/>
      <c r="I366" s="65"/>
      <c r="J366" s="65"/>
      <c r="K366" s="87"/>
      <c r="L366" s="88"/>
    </row>
    <row r="367" spans="6:12" ht="12.5">
      <c r="F367" s="86"/>
      <c r="G367" s="86"/>
      <c r="H367" s="86"/>
      <c r="I367" s="65"/>
      <c r="J367" s="65"/>
      <c r="K367" s="87"/>
      <c r="L367" s="88"/>
    </row>
    <row r="368" spans="6:12" ht="12.5">
      <c r="F368" s="86"/>
      <c r="G368" s="86"/>
      <c r="H368" s="86"/>
      <c r="I368" s="65"/>
      <c r="J368" s="65"/>
      <c r="K368" s="87"/>
      <c r="L368" s="88"/>
    </row>
    <row r="369" spans="6:12" ht="12.5">
      <c r="F369" s="86"/>
      <c r="G369" s="86"/>
      <c r="H369" s="86"/>
      <c r="I369" s="65"/>
      <c r="J369" s="65"/>
      <c r="K369" s="87"/>
      <c r="L369" s="88"/>
    </row>
    <row r="370" spans="6:12" ht="12.5">
      <c r="F370" s="86"/>
      <c r="G370" s="86"/>
      <c r="H370" s="86"/>
      <c r="I370" s="65"/>
      <c r="J370" s="65"/>
      <c r="K370" s="87"/>
      <c r="L370" s="88"/>
    </row>
    <row r="371" spans="6:12" ht="12.5">
      <c r="F371" s="86"/>
      <c r="G371" s="86"/>
      <c r="H371" s="86"/>
      <c r="I371" s="65"/>
      <c r="J371" s="65"/>
      <c r="K371" s="87"/>
      <c r="L371" s="88"/>
    </row>
    <row r="372" spans="6:12" ht="12.5">
      <c r="F372" s="86"/>
      <c r="G372" s="86"/>
      <c r="H372" s="86"/>
      <c r="I372" s="65"/>
      <c r="J372" s="65"/>
      <c r="K372" s="87"/>
      <c r="L372" s="88"/>
    </row>
    <row r="373" spans="6:12" ht="12.5">
      <c r="F373" s="86"/>
      <c r="G373" s="86"/>
      <c r="H373" s="86"/>
      <c r="I373" s="65"/>
      <c r="J373" s="65"/>
      <c r="K373" s="87"/>
      <c r="L373" s="88"/>
    </row>
    <row r="374" spans="6:12" ht="12.5">
      <c r="F374" s="86"/>
      <c r="G374" s="86"/>
      <c r="H374" s="86"/>
      <c r="I374" s="65"/>
      <c r="J374" s="65"/>
      <c r="K374" s="87"/>
      <c r="L374" s="88"/>
    </row>
    <row r="375" spans="6:12" ht="12.5">
      <c r="F375" s="86"/>
      <c r="G375" s="86"/>
      <c r="H375" s="86"/>
      <c r="I375" s="65"/>
      <c r="J375" s="65"/>
      <c r="K375" s="87"/>
      <c r="L375" s="88"/>
    </row>
    <row r="376" spans="6:12" ht="12.5">
      <c r="F376" s="86"/>
      <c r="G376" s="86"/>
      <c r="H376" s="86"/>
      <c r="I376" s="65"/>
      <c r="J376" s="65"/>
      <c r="K376" s="87"/>
      <c r="L376" s="88"/>
    </row>
    <row r="377" spans="6:12" ht="12.5">
      <c r="F377" s="86"/>
      <c r="G377" s="86"/>
      <c r="H377" s="86"/>
      <c r="I377" s="65"/>
      <c r="J377" s="65"/>
      <c r="K377" s="87"/>
      <c r="L377" s="88"/>
    </row>
    <row r="378" spans="6:12" ht="12.5">
      <c r="F378" s="86"/>
      <c r="G378" s="86"/>
      <c r="H378" s="86"/>
      <c r="I378" s="65"/>
      <c r="J378" s="65"/>
      <c r="K378" s="87"/>
      <c r="L378" s="88"/>
    </row>
    <row r="379" spans="6:12" ht="12.5">
      <c r="F379" s="86"/>
      <c r="G379" s="86"/>
      <c r="H379" s="86"/>
      <c r="I379" s="65"/>
      <c r="J379" s="65"/>
      <c r="K379" s="87"/>
      <c r="L379" s="88"/>
    </row>
    <row r="380" spans="6:12" ht="12.5">
      <c r="F380" s="86"/>
      <c r="G380" s="86"/>
      <c r="H380" s="86"/>
      <c r="I380" s="65"/>
      <c r="J380" s="65"/>
      <c r="K380" s="87"/>
      <c r="L380" s="88"/>
    </row>
    <row r="381" spans="6:12" ht="12.5">
      <c r="F381" s="86"/>
      <c r="G381" s="86"/>
      <c r="H381" s="86"/>
      <c r="I381" s="65"/>
      <c r="J381" s="65"/>
      <c r="K381" s="87"/>
      <c r="L381" s="88"/>
    </row>
    <row r="382" spans="6:12" ht="12.5">
      <c r="F382" s="86"/>
      <c r="G382" s="86"/>
      <c r="H382" s="86"/>
      <c r="I382" s="65"/>
      <c r="J382" s="65"/>
      <c r="K382" s="87"/>
      <c r="L382" s="88"/>
    </row>
    <row r="383" spans="6:12" ht="12.5">
      <c r="F383" s="86"/>
      <c r="G383" s="86"/>
      <c r="H383" s="86"/>
      <c r="I383" s="65"/>
      <c r="J383" s="65"/>
      <c r="K383" s="87"/>
      <c r="L383" s="88"/>
    </row>
    <row r="384" spans="6:12" ht="12.5">
      <c r="F384" s="86"/>
      <c r="G384" s="86"/>
      <c r="H384" s="86"/>
      <c r="I384" s="65"/>
      <c r="J384" s="65"/>
      <c r="K384" s="87"/>
      <c r="L384" s="88"/>
    </row>
    <row r="385" spans="6:12" ht="12.5">
      <c r="F385" s="86"/>
      <c r="G385" s="86"/>
      <c r="H385" s="86"/>
      <c r="I385" s="65"/>
      <c r="J385" s="65"/>
      <c r="K385" s="87"/>
      <c r="L385" s="88"/>
    </row>
    <row r="386" spans="6:12" ht="12.5">
      <c r="F386" s="86"/>
      <c r="G386" s="86"/>
      <c r="H386" s="86"/>
      <c r="I386" s="65"/>
      <c r="J386" s="65"/>
      <c r="K386" s="87"/>
      <c r="L386" s="88"/>
    </row>
    <row r="387" spans="6:12" ht="12.5">
      <c r="F387" s="86"/>
      <c r="G387" s="86"/>
      <c r="H387" s="86"/>
      <c r="I387" s="65"/>
      <c r="J387" s="65"/>
      <c r="K387" s="87"/>
      <c r="L387" s="88"/>
    </row>
    <row r="388" spans="6:12" ht="12.5">
      <c r="F388" s="86"/>
      <c r="G388" s="86"/>
      <c r="H388" s="86"/>
      <c r="I388" s="65"/>
      <c r="J388" s="65"/>
      <c r="K388" s="87"/>
      <c r="L388" s="88"/>
    </row>
    <row r="389" spans="6:12" ht="12.5">
      <c r="F389" s="86"/>
      <c r="G389" s="86"/>
      <c r="H389" s="86"/>
      <c r="I389" s="65"/>
      <c r="J389" s="65"/>
      <c r="K389" s="87"/>
      <c r="L389" s="88"/>
    </row>
    <row r="390" spans="6:12" ht="12.5">
      <c r="F390" s="86"/>
      <c r="G390" s="86"/>
      <c r="H390" s="86"/>
      <c r="I390" s="65"/>
      <c r="J390" s="65"/>
      <c r="K390" s="87"/>
      <c r="L390" s="88"/>
    </row>
    <row r="391" spans="6:12" ht="12.5">
      <c r="F391" s="86"/>
      <c r="G391" s="86"/>
      <c r="H391" s="86"/>
      <c r="I391" s="65"/>
      <c r="J391" s="65"/>
      <c r="K391" s="87"/>
      <c r="L391" s="88"/>
    </row>
    <row r="392" spans="6:12" ht="12.5">
      <c r="F392" s="86"/>
      <c r="G392" s="86"/>
      <c r="H392" s="86"/>
      <c r="I392" s="65"/>
      <c r="J392" s="65"/>
      <c r="K392" s="87"/>
      <c r="L392" s="88"/>
    </row>
    <row r="393" spans="6:12" ht="12.5">
      <c r="F393" s="86"/>
      <c r="G393" s="86"/>
      <c r="H393" s="86"/>
      <c r="I393" s="65"/>
      <c r="J393" s="65"/>
      <c r="K393" s="87"/>
      <c r="L393" s="88"/>
    </row>
    <row r="394" spans="6:12" ht="12.5">
      <c r="F394" s="86"/>
      <c r="G394" s="86"/>
      <c r="H394" s="86"/>
      <c r="I394" s="65"/>
      <c r="J394" s="65"/>
      <c r="K394" s="87"/>
      <c r="L394" s="88"/>
    </row>
    <row r="395" spans="6:12" ht="12.5">
      <c r="F395" s="86"/>
      <c r="G395" s="86"/>
      <c r="H395" s="86"/>
      <c r="I395" s="65"/>
      <c r="J395" s="65"/>
      <c r="K395" s="87"/>
      <c r="L395" s="88"/>
    </row>
    <row r="396" spans="6:12" ht="12.5">
      <c r="F396" s="86"/>
      <c r="G396" s="86"/>
      <c r="H396" s="86"/>
      <c r="I396" s="65"/>
      <c r="J396" s="65"/>
      <c r="K396" s="87"/>
      <c r="L396" s="88"/>
    </row>
    <row r="397" spans="6:12" ht="12.5">
      <c r="F397" s="86"/>
      <c r="G397" s="86"/>
      <c r="H397" s="86"/>
      <c r="I397" s="65"/>
      <c r="J397" s="65"/>
      <c r="K397" s="87"/>
      <c r="L397" s="88"/>
    </row>
    <row r="398" spans="6:12" ht="12.5">
      <c r="F398" s="86"/>
      <c r="G398" s="86"/>
      <c r="H398" s="86"/>
      <c r="I398" s="65"/>
      <c r="J398" s="65"/>
      <c r="K398" s="87"/>
      <c r="L398" s="88"/>
    </row>
    <row r="399" spans="6:12" ht="12.5">
      <c r="F399" s="86"/>
      <c r="G399" s="86"/>
      <c r="H399" s="86"/>
      <c r="I399" s="65"/>
      <c r="J399" s="65"/>
      <c r="K399" s="87"/>
      <c r="L399" s="88"/>
    </row>
    <row r="400" spans="6:12" ht="12.5">
      <c r="F400" s="86"/>
      <c r="G400" s="86"/>
      <c r="H400" s="86"/>
      <c r="I400" s="65"/>
      <c r="J400" s="65"/>
      <c r="K400" s="87"/>
      <c r="L400" s="88"/>
    </row>
    <row r="401" spans="6:12" ht="12.5">
      <c r="F401" s="86"/>
      <c r="G401" s="86"/>
      <c r="H401" s="86"/>
      <c r="I401" s="65"/>
      <c r="J401" s="65"/>
      <c r="K401" s="87"/>
      <c r="L401" s="88"/>
    </row>
    <row r="402" spans="6:12" ht="12.5">
      <c r="F402" s="86"/>
      <c r="G402" s="86"/>
      <c r="H402" s="86"/>
      <c r="I402" s="65"/>
      <c r="J402" s="65"/>
      <c r="K402" s="87"/>
      <c r="L402" s="88"/>
    </row>
    <row r="403" spans="6:12" ht="12.5">
      <c r="F403" s="86"/>
      <c r="G403" s="86"/>
      <c r="H403" s="86"/>
      <c r="I403" s="65"/>
      <c r="J403" s="65"/>
      <c r="K403" s="87"/>
      <c r="L403" s="88"/>
    </row>
    <row r="404" spans="6:12" ht="12.5">
      <c r="F404" s="86"/>
      <c r="G404" s="86"/>
      <c r="H404" s="86"/>
      <c r="I404" s="65"/>
      <c r="J404" s="65"/>
      <c r="K404" s="87"/>
      <c r="L404" s="88"/>
    </row>
    <row r="405" spans="6:12" ht="12.5">
      <c r="F405" s="86"/>
      <c r="G405" s="86"/>
      <c r="H405" s="86"/>
      <c r="I405" s="65"/>
      <c r="J405" s="65"/>
      <c r="K405" s="87"/>
      <c r="L405" s="88"/>
    </row>
    <row r="406" spans="6:12" ht="12.5">
      <c r="F406" s="86"/>
      <c r="G406" s="86"/>
      <c r="H406" s="86"/>
      <c r="I406" s="65"/>
      <c r="J406" s="65"/>
      <c r="K406" s="87"/>
      <c r="L406" s="88"/>
    </row>
    <row r="407" spans="6:12" ht="12.5">
      <c r="F407" s="86"/>
      <c r="G407" s="86"/>
      <c r="H407" s="86"/>
      <c r="I407" s="65"/>
      <c r="J407" s="65"/>
      <c r="K407" s="87"/>
      <c r="L407" s="88"/>
    </row>
    <row r="408" spans="6:12" ht="12.5">
      <c r="F408" s="86"/>
      <c r="G408" s="86"/>
      <c r="H408" s="86"/>
      <c r="I408" s="65"/>
      <c r="J408" s="65"/>
      <c r="K408" s="87"/>
      <c r="L408" s="88"/>
    </row>
    <row r="409" spans="6:12" ht="12.5">
      <c r="F409" s="86"/>
      <c r="G409" s="86"/>
      <c r="H409" s="86"/>
      <c r="I409" s="65"/>
      <c r="J409" s="65"/>
      <c r="K409" s="87"/>
      <c r="L409" s="88"/>
    </row>
    <row r="410" spans="6:12" ht="12.5">
      <c r="F410" s="86"/>
      <c r="G410" s="86"/>
      <c r="H410" s="86"/>
      <c r="I410" s="65"/>
      <c r="J410" s="65"/>
      <c r="K410" s="87"/>
      <c r="L410" s="88"/>
    </row>
    <row r="411" spans="6:12" ht="12.5">
      <c r="F411" s="86"/>
      <c r="G411" s="86"/>
      <c r="H411" s="86"/>
      <c r="I411" s="65"/>
      <c r="J411" s="65"/>
      <c r="K411" s="87"/>
      <c r="L411" s="88"/>
    </row>
    <row r="412" spans="6:12" ht="12.5">
      <c r="F412" s="86"/>
      <c r="G412" s="86"/>
      <c r="H412" s="86"/>
      <c r="I412" s="65"/>
      <c r="J412" s="65"/>
      <c r="K412" s="87"/>
      <c r="L412" s="88"/>
    </row>
    <row r="413" spans="6:12" ht="12.5">
      <c r="F413" s="86"/>
      <c r="G413" s="86"/>
      <c r="H413" s="86"/>
      <c r="I413" s="65"/>
      <c r="J413" s="65"/>
      <c r="K413" s="87"/>
      <c r="L413" s="88"/>
    </row>
    <row r="414" spans="6:12" ht="12.5">
      <c r="F414" s="86"/>
      <c r="G414" s="86"/>
      <c r="H414" s="86"/>
      <c r="I414" s="65"/>
      <c r="J414" s="65"/>
      <c r="K414" s="87"/>
      <c r="L414" s="88"/>
    </row>
    <row r="415" spans="6:12" ht="12.5">
      <c r="F415" s="86"/>
      <c r="G415" s="86"/>
      <c r="H415" s="86"/>
      <c r="I415" s="65"/>
      <c r="J415" s="65"/>
      <c r="K415" s="87"/>
      <c r="L415" s="88"/>
    </row>
    <row r="416" spans="6:12" ht="12.5">
      <c r="F416" s="86"/>
      <c r="G416" s="86"/>
      <c r="H416" s="86"/>
      <c r="I416" s="65"/>
      <c r="J416" s="65"/>
      <c r="K416" s="87"/>
      <c r="L416" s="88"/>
    </row>
    <row r="417" spans="6:12" ht="12.5">
      <c r="F417" s="86"/>
      <c r="G417" s="86"/>
      <c r="H417" s="86"/>
      <c r="I417" s="65"/>
      <c r="J417" s="65"/>
      <c r="K417" s="87"/>
      <c r="L417" s="88"/>
    </row>
    <row r="418" spans="6:12" ht="12.5">
      <c r="F418" s="86"/>
      <c r="G418" s="86"/>
      <c r="H418" s="86"/>
      <c r="I418" s="65"/>
      <c r="J418" s="65"/>
      <c r="K418" s="87"/>
      <c r="L418" s="88"/>
    </row>
    <row r="419" spans="6:12" ht="12.5">
      <c r="F419" s="86"/>
      <c r="G419" s="86"/>
      <c r="H419" s="86"/>
      <c r="I419" s="65"/>
      <c r="J419" s="65"/>
      <c r="K419" s="87"/>
      <c r="L419" s="88"/>
    </row>
    <row r="420" spans="6:12" ht="12.5">
      <c r="F420" s="86"/>
      <c r="G420" s="86"/>
      <c r="H420" s="86"/>
      <c r="I420" s="65"/>
      <c r="J420" s="65"/>
      <c r="K420" s="87"/>
      <c r="L420" s="88"/>
    </row>
    <row r="421" spans="6:12" ht="12.5">
      <c r="F421" s="86"/>
      <c r="G421" s="86"/>
      <c r="H421" s="86"/>
      <c r="I421" s="65"/>
      <c r="J421" s="65"/>
      <c r="K421" s="87"/>
      <c r="L421" s="88"/>
    </row>
    <row r="422" spans="6:12" ht="12.5">
      <c r="F422" s="86"/>
      <c r="G422" s="86"/>
      <c r="H422" s="86"/>
      <c r="I422" s="65"/>
      <c r="J422" s="65"/>
      <c r="K422" s="87"/>
      <c r="L422" s="88"/>
    </row>
    <row r="423" spans="6:12" ht="12.5">
      <c r="F423" s="86"/>
      <c r="G423" s="86"/>
      <c r="H423" s="86"/>
      <c r="I423" s="65"/>
      <c r="J423" s="65"/>
      <c r="K423" s="87"/>
      <c r="L423" s="88"/>
    </row>
    <row r="424" spans="6:12" ht="12.5">
      <c r="F424" s="86"/>
      <c r="G424" s="86"/>
      <c r="H424" s="86"/>
      <c r="I424" s="65"/>
      <c r="J424" s="65"/>
      <c r="K424" s="87"/>
      <c r="L424" s="88"/>
    </row>
    <row r="425" spans="6:12" ht="12.5">
      <c r="F425" s="86"/>
      <c r="G425" s="86"/>
      <c r="H425" s="86"/>
      <c r="I425" s="65"/>
      <c r="J425" s="65"/>
      <c r="K425" s="87"/>
      <c r="L425" s="88"/>
    </row>
    <row r="426" spans="6:12" ht="12.5">
      <c r="F426" s="86"/>
      <c r="G426" s="86"/>
      <c r="H426" s="86"/>
      <c r="I426" s="65"/>
      <c r="J426" s="65"/>
      <c r="K426" s="87"/>
      <c r="L426" s="88"/>
    </row>
    <row r="427" spans="6:12" ht="12.5">
      <c r="F427" s="86"/>
      <c r="G427" s="86"/>
      <c r="H427" s="86"/>
      <c r="I427" s="65"/>
      <c r="J427" s="65"/>
      <c r="K427" s="87"/>
      <c r="L427" s="88"/>
    </row>
    <row r="428" spans="6:12" ht="12.5">
      <c r="F428" s="86"/>
      <c r="G428" s="86"/>
      <c r="H428" s="86"/>
      <c r="I428" s="65"/>
      <c r="J428" s="65"/>
      <c r="K428" s="87"/>
      <c r="L428" s="88"/>
    </row>
    <row r="429" spans="6:12" ht="12.5">
      <c r="F429" s="86"/>
      <c r="G429" s="86"/>
      <c r="H429" s="86"/>
      <c r="I429" s="65"/>
      <c r="J429" s="65"/>
      <c r="K429" s="87"/>
      <c r="L429" s="88"/>
    </row>
    <row r="430" spans="6:12" ht="12.5">
      <c r="F430" s="86"/>
      <c r="G430" s="86"/>
      <c r="H430" s="86"/>
      <c r="I430" s="65"/>
      <c r="J430" s="65"/>
      <c r="K430" s="87"/>
      <c r="L430" s="88"/>
    </row>
    <row r="431" spans="6:12" ht="12.5">
      <c r="F431" s="86"/>
      <c r="G431" s="86"/>
      <c r="H431" s="86"/>
      <c r="I431" s="65"/>
      <c r="J431" s="65"/>
      <c r="K431" s="87"/>
      <c r="L431" s="88"/>
    </row>
    <row r="432" spans="6:12" ht="12.5">
      <c r="F432" s="86"/>
      <c r="G432" s="86"/>
      <c r="H432" s="86"/>
      <c r="I432" s="65"/>
      <c r="J432" s="65"/>
      <c r="K432" s="87"/>
      <c r="L432" s="88"/>
    </row>
    <row r="433" spans="6:12" ht="12.5">
      <c r="F433" s="86"/>
      <c r="G433" s="86"/>
      <c r="H433" s="86"/>
      <c r="I433" s="65"/>
      <c r="J433" s="65"/>
      <c r="K433" s="87"/>
      <c r="L433" s="88"/>
    </row>
    <row r="434" spans="6:12" ht="12.5">
      <c r="F434" s="86"/>
      <c r="G434" s="86"/>
      <c r="H434" s="86"/>
      <c r="I434" s="65"/>
      <c r="J434" s="65"/>
      <c r="K434" s="87"/>
      <c r="L434" s="88"/>
    </row>
    <row r="435" spans="6:12" ht="12.5">
      <c r="F435" s="86"/>
      <c r="G435" s="86"/>
      <c r="H435" s="86"/>
      <c r="I435" s="65"/>
      <c r="J435" s="65"/>
      <c r="K435" s="87"/>
      <c r="L435" s="88"/>
    </row>
    <row r="436" spans="6:12" ht="12.5">
      <c r="F436" s="86"/>
      <c r="G436" s="86"/>
      <c r="H436" s="86"/>
      <c r="I436" s="65"/>
      <c r="J436" s="65"/>
      <c r="K436" s="87"/>
      <c r="L436" s="88"/>
    </row>
    <row r="437" spans="6:12" ht="12.5">
      <c r="F437" s="86"/>
      <c r="G437" s="86"/>
      <c r="H437" s="86"/>
      <c r="I437" s="65"/>
      <c r="J437" s="65"/>
      <c r="K437" s="87"/>
      <c r="L437" s="88"/>
    </row>
    <row r="438" spans="6:12" ht="12.5">
      <c r="F438" s="86"/>
      <c r="G438" s="86"/>
      <c r="H438" s="86"/>
      <c r="I438" s="65"/>
      <c r="J438" s="65"/>
      <c r="K438" s="87"/>
      <c r="L438" s="88"/>
    </row>
    <row r="439" spans="6:12" ht="12.5">
      <c r="F439" s="86"/>
      <c r="G439" s="86"/>
      <c r="H439" s="86"/>
      <c r="I439" s="65"/>
      <c r="J439" s="65"/>
      <c r="K439" s="87"/>
      <c r="L439" s="88"/>
    </row>
    <row r="440" spans="6:12" ht="12.5">
      <c r="F440" s="86"/>
      <c r="G440" s="86"/>
      <c r="H440" s="86"/>
      <c r="I440" s="65"/>
      <c r="J440" s="65"/>
      <c r="K440" s="87"/>
      <c r="L440" s="88"/>
    </row>
    <row r="441" spans="6:12" ht="12.5">
      <c r="F441" s="86"/>
      <c r="G441" s="86"/>
      <c r="H441" s="86"/>
      <c r="I441" s="65"/>
      <c r="J441" s="65"/>
      <c r="K441" s="87"/>
      <c r="L441" s="88"/>
    </row>
    <row r="442" spans="6:12" ht="12.5">
      <c r="F442" s="86"/>
      <c r="G442" s="86"/>
      <c r="H442" s="86"/>
      <c r="I442" s="65"/>
      <c r="J442" s="65"/>
      <c r="K442" s="87"/>
      <c r="L442" s="88"/>
    </row>
    <row r="443" spans="6:12" ht="12.5">
      <c r="F443" s="86"/>
      <c r="G443" s="86"/>
      <c r="H443" s="86"/>
      <c r="I443" s="65"/>
      <c r="J443" s="65"/>
      <c r="K443" s="87"/>
      <c r="L443" s="88"/>
    </row>
    <row r="444" spans="6:12" ht="12.5">
      <c r="F444" s="86"/>
      <c r="G444" s="86"/>
      <c r="H444" s="86"/>
      <c r="I444" s="65"/>
      <c r="J444" s="65"/>
      <c r="K444" s="87"/>
      <c r="L444" s="88"/>
    </row>
    <row r="445" spans="6:12" ht="12.5">
      <c r="F445" s="86"/>
      <c r="G445" s="86"/>
      <c r="H445" s="86"/>
      <c r="I445" s="65"/>
      <c r="J445" s="65"/>
      <c r="K445" s="87"/>
      <c r="L445" s="88"/>
    </row>
    <row r="446" spans="6:12" ht="12.5">
      <c r="F446" s="86"/>
      <c r="G446" s="86"/>
      <c r="H446" s="86"/>
      <c r="I446" s="65"/>
      <c r="J446" s="65"/>
      <c r="K446" s="87"/>
      <c r="L446" s="88"/>
    </row>
    <row r="447" spans="6:12" ht="12.5">
      <c r="F447" s="86"/>
      <c r="G447" s="86"/>
      <c r="H447" s="86"/>
      <c r="I447" s="65"/>
      <c r="J447" s="65"/>
      <c r="K447" s="87"/>
      <c r="L447" s="88"/>
    </row>
    <row r="448" spans="6:12" ht="12.5">
      <c r="F448" s="86"/>
      <c r="G448" s="86"/>
      <c r="H448" s="86"/>
      <c r="I448" s="65"/>
      <c r="J448" s="65"/>
      <c r="K448" s="87"/>
      <c r="L448" s="88"/>
    </row>
    <row r="449" spans="6:12" ht="12.5">
      <c r="F449" s="86"/>
      <c r="G449" s="86"/>
      <c r="H449" s="86"/>
      <c r="I449" s="65"/>
      <c r="J449" s="65"/>
      <c r="K449" s="87"/>
      <c r="L449" s="88"/>
    </row>
    <row r="450" spans="6:12" ht="12.5">
      <c r="F450" s="86"/>
      <c r="G450" s="86"/>
      <c r="H450" s="86"/>
      <c r="I450" s="65"/>
      <c r="J450" s="65"/>
      <c r="K450" s="87"/>
      <c r="L450" s="88"/>
    </row>
    <row r="451" spans="6:12" ht="12.5">
      <c r="F451" s="86"/>
      <c r="G451" s="86"/>
      <c r="H451" s="86"/>
      <c r="I451" s="65"/>
      <c r="J451" s="65"/>
      <c r="K451" s="87"/>
      <c r="L451" s="88"/>
    </row>
    <row r="452" spans="6:12" ht="12.5">
      <c r="F452" s="86"/>
      <c r="G452" s="86"/>
      <c r="H452" s="86"/>
      <c r="I452" s="65"/>
      <c r="J452" s="65"/>
      <c r="K452" s="87"/>
      <c r="L452" s="88"/>
    </row>
    <row r="453" spans="6:12" ht="12.5">
      <c r="F453" s="86"/>
      <c r="G453" s="86"/>
      <c r="H453" s="86"/>
      <c r="I453" s="65"/>
      <c r="J453" s="65"/>
      <c r="K453" s="87"/>
      <c r="L453" s="88"/>
    </row>
    <row r="454" spans="6:12" ht="12.5">
      <c r="F454" s="86"/>
      <c r="G454" s="86"/>
      <c r="H454" s="86"/>
      <c r="I454" s="65"/>
      <c r="J454" s="65"/>
      <c r="K454" s="87"/>
      <c r="L454" s="88"/>
    </row>
    <row r="455" spans="6:12" ht="12.5">
      <c r="F455" s="86"/>
      <c r="G455" s="86"/>
      <c r="H455" s="86"/>
      <c r="I455" s="65"/>
      <c r="J455" s="65"/>
      <c r="K455" s="87"/>
      <c r="L455" s="88"/>
    </row>
    <row r="456" spans="6:12" ht="12.5">
      <c r="F456" s="86"/>
      <c r="G456" s="86"/>
      <c r="H456" s="86"/>
      <c r="I456" s="65"/>
      <c r="J456" s="65"/>
      <c r="K456" s="87"/>
      <c r="L456" s="88"/>
    </row>
    <row r="457" spans="6:12" ht="12.5">
      <c r="F457" s="86"/>
      <c r="G457" s="86"/>
      <c r="H457" s="86"/>
      <c r="I457" s="65"/>
      <c r="J457" s="65"/>
      <c r="K457" s="87"/>
      <c r="L457" s="88"/>
    </row>
    <row r="458" spans="6:12" ht="12.5">
      <c r="F458" s="86"/>
      <c r="G458" s="86"/>
      <c r="H458" s="86"/>
      <c r="I458" s="65"/>
      <c r="J458" s="65"/>
      <c r="K458" s="87"/>
      <c r="L458" s="88"/>
    </row>
    <row r="459" spans="6:12" ht="12.5">
      <c r="F459" s="86"/>
      <c r="G459" s="86"/>
      <c r="H459" s="86"/>
      <c r="I459" s="65"/>
      <c r="J459" s="65"/>
      <c r="K459" s="87"/>
      <c r="L459" s="88"/>
    </row>
    <row r="460" spans="6:12" ht="12.5">
      <c r="F460" s="86"/>
      <c r="G460" s="86"/>
      <c r="H460" s="86"/>
      <c r="I460" s="65"/>
      <c r="J460" s="65"/>
      <c r="K460" s="87"/>
      <c r="L460" s="88"/>
    </row>
    <row r="461" spans="6:12" ht="12.5">
      <c r="F461" s="86"/>
      <c r="G461" s="86"/>
      <c r="H461" s="86"/>
      <c r="I461" s="65"/>
      <c r="J461" s="65"/>
      <c r="K461" s="87"/>
      <c r="L461" s="88"/>
    </row>
    <row r="462" spans="6:12" ht="12.5">
      <c r="F462" s="86"/>
      <c r="G462" s="86"/>
      <c r="H462" s="86"/>
      <c r="I462" s="65"/>
      <c r="J462" s="65"/>
      <c r="K462" s="87"/>
      <c r="L462" s="88"/>
    </row>
    <row r="463" spans="6:12" ht="12.5">
      <c r="F463" s="86"/>
      <c r="G463" s="86"/>
      <c r="H463" s="86"/>
      <c r="I463" s="65"/>
      <c r="J463" s="65"/>
      <c r="K463" s="87"/>
      <c r="L463" s="88"/>
    </row>
    <row r="464" spans="6:12" ht="12.5">
      <c r="F464" s="86"/>
      <c r="G464" s="86"/>
      <c r="H464" s="86"/>
      <c r="I464" s="65"/>
      <c r="J464" s="65"/>
      <c r="K464" s="87"/>
      <c r="L464" s="88"/>
    </row>
    <row r="465" spans="6:12" ht="12.5">
      <c r="F465" s="86"/>
      <c r="G465" s="86"/>
      <c r="H465" s="86"/>
      <c r="I465" s="65"/>
      <c r="J465" s="65"/>
      <c r="K465" s="87"/>
      <c r="L465" s="88"/>
    </row>
    <row r="466" spans="6:12" ht="12.5">
      <c r="F466" s="86"/>
      <c r="G466" s="86"/>
      <c r="H466" s="86"/>
      <c r="I466" s="65"/>
      <c r="J466" s="65"/>
      <c r="K466" s="87"/>
      <c r="L466" s="88"/>
    </row>
    <row r="467" spans="6:12" ht="12.5">
      <c r="F467" s="86"/>
      <c r="G467" s="86"/>
      <c r="H467" s="86"/>
      <c r="I467" s="65"/>
      <c r="J467" s="65"/>
      <c r="K467" s="87"/>
      <c r="L467" s="88"/>
    </row>
    <row r="468" spans="6:12" ht="12.5">
      <c r="F468" s="86"/>
      <c r="G468" s="86"/>
      <c r="H468" s="86"/>
      <c r="I468" s="65"/>
      <c r="J468" s="65"/>
      <c r="K468" s="87"/>
      <c r="L468" s="88"/>
    </row>
    <row r="469" spans="6:12" ht="12.5">
      <c r="F469" s="86"/>
      <c r="G469" s="86"/>
      <c r="H469" s="86"/>
      <c r="I469" s="65"/>
      <c r="J469" s="65"/>
      <c r="K469" s="87"/>
      <c r="L469" s="88"/>
    </row>
    <row r="470" spans="6:12" ht="12.5">
      <c r="F470" s="86"/>
      <c r="G470" s="86"/>
      <c r="H470" s="86"/>
      <c r="I470" s="65"/>
      <c r="J470" s="65"/>
      <c r="K470" s="87"/>
      <c r="L470" s="88"/>
    </row>
    <row r="471" spans="6:12" ht="12.5">
      <c r="F471" s="86"/>
      <c r="G471" s="86"/>
      <c r="H471" s="86"/>
      <c r="I471" s="65"/>
      <c r="J471" s="65"/>
      <c r="K471" s="87"/>
      <c r="L471" s="88"/>
    </row>
    <row r="472" spans="6:12" ht="12.5">
      <c r="F472" s="86"/>
      <c r="G472" s="86"/>
      <c r="H472" s="86"/>
      <c r="I472" s="65"/>
      <c r="J472" s="65"/>
      <c r="K472" s="87"/>
      <c r="L472" s="88"/>
    </row>
    <row r="473" spans="6:12" ht="12.5">
      <c r="F473" s="86"/>
      <c r="G473" s="86"/>
      <c r="H473" s="86"/>
      <c r="I473" s="65"/>
      <c r="J473" s="65"/>
      <c r="K473" s="87"/>
      <c r="L473" s="88"/>
    </row>
    <row r="474" spans="6:12" ht="12.5">
      <c r="F474" s="86"/>
      <c r="G474" s="86"/>
      <c r="H474" s="86"/>
      <c r="I474" s="65"/>
      <c r="J474" s="65"/>
      <c r="K474" s="87"/>
      <c r="L474" s="88"/>
    </row>
    <row r="475" spans="6:12" ht="12.5">
      <c r="F475" s="86"/>
      <c r="G475" s="86"/>
      <c r="H475" s="86"/>
      <c r="I475" s="65"/>
      <c r="J475" s="65"/>
      <c r="K475" s="87"/>
      <c r="L475" s="88"/>
    </row>
    <row r="476" spans="6:12" ht="12.5">
      <c r="F476" s="86"/>
      <c r="G476" s="86"/>
      <c r="H476" s="86"/>
      <c r="I476" s="65"/>
      <c r="J476" s="65"/>
      <c r="K476" s="87"/>
      <c r="L476" s="88"/>
    </row>
    <row r="477" spans="6:12" ht="12.5">
      <c r="F477" s="86"/>
      <c r="G477" s="86"/>
      <c r="H477" s="86"/>
      <c r="I477" s="65"/>
      <c r="J477" s="65"/>
      <c r="K477" s="87"/>
      <c r="L477" s="88"/>
    </row>
    <row r="478" spans="6:12" ht="12.5">
      <c r="F478" s="86"/>
      <c r="G478" s="86"/>
      <c r="H478" s="86"/>
      <c r="I478" s="65"/>
      <c r="J478" s="65"/>
      <c r="K478" s="87"/>
      <c r="L478" s="88"/>
    </row>
    <row r="479" spans="6:12" ht="12.5">
      <c r="F479" s="86"/>
      <c r="G479" s="86"/>
      <c r="H479" s="86"/>
      <c r="I479" s="65"/>
      <c r="J479" s="65"/>
      <c r="K479" s="87"/>
      <c r="L479" s="88"/>
    </row>
    <row r="480" spans="6:12" ht="12.5">
      <c r="F480" s="86"/>
      <c r="G480" s="86"/>
      <c r="H480" s="86"/>
      <c r="I480" s="65"/>
      <c r="J480" s="65"/>
      <c r="K480" s="87"/>
      <c r="L480" s="88"/>
    </row>
    <row r="481" spans="6:12" ht="12.5">
      <c r="F481" s="86"/>
      <c r="G481" s="86"/>
      <c r="H481" s="86"/>
      <c r="I481" s="65"/>
      <c r="J481" s="65"/>
      <c r="K481" s="87"/>
      <c r="L481" s="88"/>
    </row>
    <row r="482" spans="6:12" ht="12.5">
      <c r="F482" s="86"/>
      <c r="G482" s="86"/>
      <c r="H482" s="86"/>
      <c r="I482" s="65"/>
      <c r="J482" s="65"/>
      <c r="K482" s="87"/>
      <c r="L482" s="88"/>
    </row>
    <row r="483" spans="6:12" ht="12.5">
      <c r="F483" s="86"/>
      <c r="G483" s="86"/>
      <c r="H483" s="86"/>
      <c r="I483" s="65"/>
      <c r="J483" s="65"/>
      <c r="K483" s="87"/>
      <c r="L483" s="88"/>
    </row>
    <row r="484" spans="6:12" ht="12.5">
      <c r="F484" s="86"/>
      <c r="G484" s="86"/>
      <c r="H484" s="86"/>
      <c r="I484" s="65"/>
      <c r="J484" s="65"/>
      <c r="K484" s="87"/>
      <c r="L484" s="88"/>
    </row>
    <row r="485" spans="6:12" ht="12.5">
      <c r="F485" s="86"/>
      <c r="G485" s="86"/>
      <c r="H485" s="86"/>
      <c r="I485" s="65"/>
      <c r="J485" s="65"/>
      <c r="K485" s="87"/>
      <c r="L485" s="88"/>
    </row>
    <row r="486" spans="6:12" ht="12.5">
      <c r="F486" s="86"/>
      <c r="G486" s="86"/>
      <c r="H486" s="86"/>
      <c r="I486" s="65"/>
      <c r="J486" s="65"/>
      <c r="K486" s="87"/>
      <c r="L486" s="88"/>
    </row>
    <row r="487" spans="6:12" ht="12.5">
      <c r="F487" s="86"/>
      <c r="G487" s="86"/>
      <c r="H487" s="86"/>
      <c r="I487" s="65"/>
      <c r="J487" s="65"/>
      <c r="K487" s="87"/>
      <c r="L487" s="88"/>
    </row>
    <row r="488" spans="6:12" ht="12.5">
      <c r="F488" s="86"/>
      <c r="G488" s="86"/>
      <c r="H488" s="86"/>
      <c r="I488" s="65"/>
      <c r="J488" s="65"/>
      <c r="K488" s="87"/>
      <c r="L488" s="88"/>
    </row>
    <row r="489" spans="6:12" ht="12.5">
      <c r="F489" s="86"/>
      <c r="G489" s="86"/>
      <c r="H489" s="86"/>
      <c r="I489" s="65"/>
      <c r="J489" s="65"/>
      <c r="K489" s="87"/>
      <c r="L489" s="88"/>
    </row>
    <row r="490" spans="6:12" ht="12.5">
      <c r="F490" s="86"/>
      <c r="G490" s="86"/>
      <c r="H490" s="86"/>
      <c r="I490" s="65"/>
      <c r="J490" s="65"/>
      <c r="K490" s="87"/>
      <c r="L490" s="88"/>
    </row>
    <row r="491" spans="6:12" ht="12.5">
      <c r="F491" s="86"/>
      <c r="G491" s="86"/>
      <c r="H491" s="86"/>
      <c r="I491" s="65"/>
      <c r="J491" s="65"/>
      <c r="K491" s="87"/>
      <c r="L491" s="88"/>
    </row>
    <row r="492" spans="6:12" ht="12.5">
      <c r="F492" s="86"/>
      <c r="G492" s="86"/>
      <c r="H492" s="86"/>
      <c r="I492" s="65"/>
      <c r="J492" s="65"/>
      <c r="K492" s="87"/>
      <c r="L492" s="88"/>
    </row>
    <row r="493" spans="6:12" ht="12.5">
      <c r="F493" s="86"/>
      <c r="G493" s="86"/>
      <c r="H493" s="86"/>
      <c r="I493" s="65"/>
      <c r="J493" s="65"/>
      <c r="K493" s="87"/>
      <c r="L493" s="88"/>
    </row>
    <row r="494" spans="6:12" ht="12.5">
      <c r="F494" s="86"/>
      <c r="G494" s="86"/>
      <c r="H494" s="86"/>
      <c r="I494" s="65"/>
      <c r="J494" s="65"/>
      <c r="K494" s="87"/>
      <c r="L494" s="88"/>
    </row>
    <row r="495" spans="6:12" ht="12.5">
      <c r="F495" s="86"/>
      <c r="G495" s="86"/>
      <c r="H495" s="86"/>
      <c r="I495" s="65"/>
      <c r="J495" s="65"/>
      <c r="K495" s="87"/>
      <c r="L495" s="88"/>
    </row>
    <row r="496" spans="6:12" ht="12.5">
      <c r="F496" s="86"/>
      <c r="G496" s="86"/>
      <c r="H496" s="86"/>
      <c r="I496" s="65"/>
      <c r="J496" s="65"/>
      <c r="K496" s="87"/>
      <c r="L496" s="88"/>
    </row>
    <row r="497" spans="6:12" ht="12.5">
      <c r="F497" s="86"/>
      <c r="G497" s="86"/>
      <c r="H497" s="86"/>
      <c r="I497" s="65"/>
      <c r="J497" s="65"/>
      <c r="K497" s="87"/>
      <c r="L497" s="88"/>
    </row>
    <row r="498" spans="6:12" ht="12.5">
      <c r="F498" s="86"/>
      <c r="G498" s="86"/>
      <c r="H498" s="86"/>
      <c r="I498" s="65"/>
      <c r="J498" s="65"/>
      <c r="K498" s="87"/>
      <c r="L498" s="88"/>
    </row>
    <row r="499" spans="6:12" ht="12.5">
      <c r="F499" s="86"/>
      <c r="G499" s="86"/>
      <c r="H499" s="86"/>
      <c r="I499" s="65"/>
      <c r="J499" s="65"/>
      <c r="K499" s="87"/>
      <c r="L499" s="88"/>
    </row>
    <row r="500" spans="6:12" ht="12.5">
      <c r="F500" s="86"/>
      <c r="G500" s="86"/>
      <c r="H500" s="86"/>
      <c r="I500" s="65"/>
      <c r="J500" s="65"/>
      <c r="K500" s="87"/>
      <c r="L500" s="88"/>
    </row>
    <row r="501" spans="6:12" ht="12.5">
      <c r="F501" s="86"/>
      <c r="G501" s="86"/>
      <c r="H501" s="86"/>
      <c r="I501" s="65"/>
      <c r="J501" s="65"/>
      <c r="K501" s="87"/>
      <c r="L501" s="88"/>
    </row>
    <row r="502" spans="6:12" ht="12.5">
      <c r="F502" s="86"/>
      <c r="G502" s="86"/>
      <c r="H502" s="86"/>
      <c r="I502" s="65"/>
      <c r="J502" s="65"/>
      <c r="K502" s="87"/>
      <c r="L502" s="88"/>
    </row>
    <row r="503" spans="6:12" ht="12.5">
      <c r="F503" s="86"/>
      <c r="G503" s="86"/>
      <c r="H503" s="86"/>
      <c r="I503" s="65"/>
      <c r="J503" s="65"/>
      <c r="K503" s="87"/>
      <c r="L503" s="88"/>
    </row>
    <row r="504" spans="6:12" ht="12.5">
      <c r="F504" s="86"/>
      <c r="G504" s="86"/>
      <c r="H504" s="86"/>
      <c r="I504" s="65"/>
      <c r="J504" s="65"/>
      <c r="K504" s="87"/>
      <c r="L504" s="88"/>
    </row>
    <row r="505" spans="6:12" ht="12.5">
      <c r="F505" s="86"/>
      <c r="G505" s="86"/>
      <c r="H505" s="86"/>
      <c r="I505" s="65"/>
      <c r="J505" s="65"/>
      <c r="K505" s="87"/>
      <c r="L505" s="88"/>
    </row>
    <row r="506" spans="6:12" ht="12.5">
      <c r="F506" s="86"/>
      <c r="G506" s="86"/>
      <c r="H506" s="86"/>
      <c r="I506" s="65"/>
      <c r="J506" s="65"/>
      <c r="K506" s="87"/>
      <c r="L506" s="88"/>
    </row>
    <row r="507" spans="6:12" ht="12.5">
      <c r="F507" s="86"/>
      <c r="G507" s="86"/>
      <c r="H507" s="86"/>
      <c r="I507" s="65"/>
      <c r="J507" s="65"/>
      <c r="K507" s="87"/>
      <c r="L507" s="88"/>
    </row>
    <row r="508" spans="6:12" ht="12.5">
      <c r="F508" s="86"/>
      <c r="G508" s="86"/>
      <c r="H508" s="86"/>
      <c r="I508" s="65"/>
      <c r="J508" s="65"/>
      <c r="K508" s="87"/>
      <c r="L508" s="88"/>
    </row>
    <row r="509" spans="6:12" ht="12.5">
      <c r="F509" s="86"/>
      <c r="G509" s="86"/>
      <c r="H509" s="86"/>
      <c r="I509" s="65"/>
      <c r="J509" s="65"/>
      <c r="K509" s="87"/>
      <c r="L509" s="88"/>
    </row>
    <row r="510" spans="6:12" ht="12.5">
      <c r="F510" s="86"/>
      <c r="G510" s="86"/>
      <c r="H510" s="86"/>
      <c r="I510" s="65"/>
      <c r="J510" s="65"/>
      <c r="K510" s="87"/>
      <c r="L510" s="88"/>
    </row>
    <row r="511" spans="6:12" ht="12.5">
      <c r="F511" s="86"/>
      <c r="G511" s="86"/>
      <c r="H511" s="86"/>
      <c r="I511" s="65"/>
      <c r="J511" s="65"/>
      <c r="K511" s="87"/>
      <c r="L511" s="88"/>
    </row>
    <row r="512" spans="6:12" ht="12.5">
      <c r="F512" s="86"/>
      <c r="G512" s="86"/>
      <c r="H512" s="86"/>
      <c r="I512" s="65"/>
      <c r="J512" s="65"/>
      <c r="K512" s="87"/>
      <c r="L512" s="88"/>
    </row>
    <row r="513" spans="6:12" ht="12.5">
      <c r="F513" s="86"/>
      <c r="G513" s="86"/>
      <c r="H513" s="86"/>
      <c r="I513" s="65"/>
      <c r="J513" s="65"/>
      <c r="K513" s="87"/>
      <c r="L513" s="88"/>
    </row>
    <row r="514" spans="6:12" ht="12.5">
      <c r="F514" s="86"/>
      <c r="G514" s="86"/>
      <c r="H514" s="86"/>
      <c r="I514" s="65"/>
      <c r="J514" s="65"/>
      <c r="K514" s="87"/>
      <c r="L514" s="88"/>
    </row>
    <row r="515" spans="6:12" ht="12.5">
      <c r="F515" s="86"/>
      <c r="G515" s="86"/>
      <c r="H515" s="86"/>
      <c r="I515" s="65"/>
      <c r="J515" s="65"/>
      <c r="K515" s="87"/>
      <c r="L515" s="88"/>
    </row>
    <row r="516" spans="6:12" ht="12.5">
      <c r="F516" s="86"/>
      <c r="G516" s="86"/>
      <c r="H516" s="86"/>
      <c r="I516" s="65"/>
      <c r="J516" s="65"/>
      <c r="K516" s="87"/>
      <c r="L516" s="88"/>
    </row>
    <row r="517" spans="6:12" ht="12.5">
      <c r="F517" s="86"/>
      <c r="G517" s="86"/>
      <c r="H517" s="86"/>
      <c r="I517" s="65"/>
      <c r="J517" s="65"/>
      <c r="K517" s="87"/>
      <c r="L517" s="88"/>
    </row>
    <row r="518" spans="6:12" ht="12.5">
      <c r="F518" s="86"/>
      <c r="G518" s="86"/>
      <c r="H518" s="86"/>
      <c r="I518" s="65"/>
      <c r="J518" s="65"/>
      <c r="K518" s="87"/>
      <c r="L518" s="88"/>
    </row>
    <row r="519" spans="6:12" ht="12.5">
      <c r="F519" s="86"/>
      <c r="G519" s="86"/>
      <c r="H519" s="86"/>
      <c r="I519" s="65"/>
      <c r="J519" s="65"/>
      <c r="K519" s="87"/>
      <c r="L519" s="88"/>
    </row>
    <row r="520" spans="6:12" ht="12.5">
      <c r="F520" s="86"/>
      <c r="G520" s="86"/>
      <c r="H520" s="86"/>
      <c r="I520" s="65"/>
      <c r="J520" s="65"/>
      <c r="K520" s="87"/>
      <c r="L520" s="88"/>
    </row>
    <row r="521" spans="6:12" ht="12.5">
      <c r="F521" s="86"/>
      <c r="G521" s="86"/>
      <c r="H521" s="86"/>
      <c r="I521" s="65"/>
      <c r="J521" s="65"/>
      <c r="K521" s="87"/>
      <c r="L521" s="88"/>
    </row>
    <row r="522" spans="6:12" ht="12.5">
      <c r="F522" s="86"/>
      <c r="G522" s="86"/>
      <c r="H522" s="86"/>
      <c r="I522" s="65"/>
      <c r="J522" s="65"/>
      <c r="K522" s="87"/>
      <c r="L522" s="88"/>
    </row>
    <row r="523" spans="6:12" ht="12.5">
      <c r="F523" s="86"/>
      <c r="G523" s="86"/>
      <c r="H523" s="86"/>
      <c r="I523" s="65"/>
      <c r="J523" s="65"/>
      <c r="K523" s="87"/>
      <c r="L523" s="88"/>
    </row>
    <row r="524" spans="6:12" ht="12.5">
      <c r="F524" s="86"/>
      <c r="G524" s="86"/>
      <c r="H524" s="86"/>
      <c r="I524" s="65"/>
      <c r="J524" s="65"/>
      <c r="K524" s="87"/>
      <c r="L524" s="88"/>
    </row>
    <row r="525" spans="6:12" ht="12.5">
      <c r="F525" s="86"/>
      <c r="G525" s="86"/>
      <c r="H525" s="86"/>
      <c r="I525" s="65"/>
      <c r="J525" s="65"/>
      <c r="K525" s="87"/>
      <c r="L525" s="88"/>
    </row>
    <row r="526" spans="6:12" ht="12.5">
      <c r="F526" s="86"/>
      <c r="G526" s="86"/>
      <c r="H526" s="86"/>
      <c r="I526" s="65"/>
      <c r="J526" s="65"/>
      <c r="K526" s="87"/>
      <c r="L526" s="88"/>
    </row>
    <row r="527" spans="6:12" ht="12.5">
      <c r="F527" s="86"/>
      <c r="G527" s="86"/>
      <c r="H527" s="86"/>
      <c r="I527" s="65"/>
      <c r="J527" s="65"/>
      <c r="K527" s="87"/>
      <c r="L527" s="88"/>
    </row>
    <row r="528" spans="6:12" ht="12.5">
      <c r="F528" s="86"/>
      <c r="G528" s="86"/>
      <c r="H528" s="86"/>
      <c r="I528" s="65"/>
      <c r="J528" s="65"/>
      <c r="K528" s="87"/>
      <c r="L528" s="88"/>
    </row>
    <row r="529" spans="6:12" ht="12.5">
      <c r="F529" s="86"/>
      <c r="G529" s="86"/>
      <c r="H529" s="86"/>
      <c r="I529" s="65"/>
      <c r="J529" s="65"/>
      <c r="K529" s="87"/>
      <c r="L529" s="88"/>
    </row>
    <row r="530" spans="6:12" ht="12.5">
      <c r="F530" s="86"/>
      <c r="G530" s="86"/>
      <c r="H530" s="86"/>
      <c r="I530" s="65"/>
      <c r="J530" s="65"/>
      <c r="K530" s="87"/>
      <c r="L530" s="88"/>
    </row>
    <row r="531" spans="6:12" ht="12.5">
      <c r="F531" s="86"/>
      <c r="G531" s="86"/>
      <c r="H531" s="86"/>
      <c r="I531" s="65"/>
      <c r="J531" s="65"/>
      <c r="K531" s="87"/>
      <c r="L531" s="88"/>
    </row>
    <row r="532" spans="6:12" ht="12.5">
      <c r="F532" s="86"/>
      <c r="G532" s="86"/>
      <c r="H532" s="86"/>
      <c r="I532" s="65"/>
      <c r="J532" s="65"/>
      <c r="K532" s="87"/>
      <c r="L532" s="88"/>
    </row>
    <row r="533" spans="6:12" ht="12.5">
      <c r="F533" s="86"/>
      <c r="G533" s="86"/>
      <c r="H533" s="86"/>
      <c r="I533" s="65"/>
      <c r="J533" s="65"/>
      <c r="K533" s="87"/>
      <c r="L533" s="88"/>
    </row>
    <row r="534" spans="6:12" ht="12.5">
      <c r="F534" s="86"/>
      <c r="G534" s="86"/>
      <c r="H534" s="86"/>
      <c r="I534" s="65"/>
      <c r="J534" s="65"/>
      <c r="K534" s="87"/>
      <c r="L534" s="88"/>
    </row>
    <row r="535" spans="6:12" ht="12.5">
      <c r="F535" s="86"/>
      <c r="G535" s="86"/>
      <c r="H535" s="86"/>
      <c r="I535" s="65"/>
      <c r="J535" s="65"/>
      <c r="K535" s="87"/>
      <c r="L535" s="88"/>
    </row>
    <row r="536" spans="6:12" ht="12.5">
      <c r="F536" s="86"/>
      <c r="G536" s="86"/>
      <c r="H536" s="86"/>
      <c r="I536" s="65"/>
      <c r="J536" s="65"/>
      <c r="K536" s="87"/>
      <c r="L536" s="88"/>
    </row>
    <row r="537" spans="6:12" ht="12.5">
      <c r="F537" s="86"/>
      <c r="G537" s="86"/>
      <c r="H537" s="86"/>
      <c r="I537" s="65"/>
      <c r="J537" s="65"/>
      <c r="K537" s="87"/>
      <c r="L537" s="88"/>
    </row>
    <row r="538" spans="6:12" ht="12.5">
      <c r="F538" s="86"/>
      <c r="G538" s="86"/>
      <c r="H538" s="86"/>
      <c r="I538" s="65"/>
      <c r="J538" s="65"/>
      <c r="K538" s="87"/>
      <c r="L538" s="88"/>
    </row>
    <row r="539" spans="6:12" ht="12.5">
      <c r="F539" s="86"/>
      <c r="G539" s="86"/>
      <c r="H539" s="86"/>
      <c r="I539" s="65"/>
      <c r="J539" s="65"/>
      <c r="K539" s="87"/>
      <c r="L539" s="88"/>
    </row>
    <row r="540" spans="6:12" ht="12.5">
      <c r="F540" s="86"/>
      <c r="G540" s="86"/>
      <c r="H540" s="86"/>
      <c r="I540" s="65"/>
      <c r="J540" s="65"/>
      <c r="K540" s="87"/>
      <c r="L540" s="88"/>
    </row>
    <row r="541" spans="6:12" ht="12.5">
      <c r="F541" s="86"/>
      <c r="G541" s="86"/>
      <c r="H541" s="86"/>
      <c r="I541" s="65"/>
      <c r="J541" s="65"/>
      <c r="K541" s="87"/>
      <c r="L541" s="88"/>
    </row>
    <row r="542" spans="6:12" ht="12.5">
      <c r="F542" s="86"/>
      <c r="G542" s="86"/>
      <c r="H542" s="86"/>
      <c r="I542" s="65"/>
      <c r="J542" s="65"/>
      <c r="K542" s="87"/>
      <c r="L542" s="88"/>
    </row>
    <row r="543" spans="6:12" ht="12.5">
      <c r="F543" s="86"/>
      <c r="G543" s="86"/>
      <c r="H543" s="86"/>
      <c r="I543" s="65"/>
      <c r="J543" s="65"/>
      <c r="K543" s="87"/>
      <c r="L543" s="88"/>
    </row>
    <row r="544" spans="6:12" ht="12.5">
      <c r="F544" s="86"/>
      <c r="G544" s="86"/>
      <c r="H544" s="86"/>
      <c r="I544" s="65"/>
      <c r="J544" s="65"/>
      <c r="K544" s="87"/>
      <c r="L544" s="88"/>
    </row>
    <row r="545" spans="6:12" ht="12.5">
      <c r="F545" s="86"/>
      <c r="G545" s="86"/>
      <c r="H545" s="86"/>
      <c r="I545" s="65"/>
      <c r="J545" s="65"/>
      <c r="K545" s="87"/>
      <c r="L545" s="88"/>
    </row>
    <row r="546" spans="6:12" ht="12.5">
      <c r="F546" s="86"/>
      <c r="G546" s="86"/>
      <c r="H546" s="86"/>
      <c r="I546" s="65"/>
      <c r="J546" s="65"/>
      <c r="K546" s="87"/>
      <c r="L546" s="88"/>
    </row>
    <row r="547" spans="6:12" ht="12.5">
      <c r="F547" s="86"/>
      <c r="G547" s="86"/>
      <c r="H547" s="86"/>
      <c r="I547" s="65"/>
      <c r="J547" s="65"/>
      <c r="K547" s="87"/>
      <c r="L547" s="88"/>
    </row>
    <row r="548" spans="6:12" ht="12.5">
      <c r="F548" s="86"/>
      <c r="G548" s="86"/>
      <c r="H548" s="86"/>
      <c r="I548" s="65"/>
      <c r="J548" s="65"/>
      <c r="K548" s="87"/>
      <c r="L548" s="88"/>
    </row>
    <row r="549" spans="6:12" ht="12.5">
      <c r="F549" s="86"/>
      <c r="G549" s="86"/>
      <c r="H549" s="86"/>
      <c r="I549" s="65"/>
      <c r="J549" s="65"/>
      <c r="K549" s="87"/>
      <c r="L549" s="88"/>
    </row>
    <row r="550" spans="6:12" ht="12.5">
      <c r="F550" s="86"/>
      <c r="G550" s="86"/>
      <c r="H550" s="86"/>
      <c r="I550" s="65"/>
      <c r="J550" s="65"/>
      <c r="K550" s="87"/>
      <c r="L550" s="88"/>
    </row>
    <row r="551" spans="6:12" ht="12.5">
      <c r="F551" s="86"/>
      <c r="G551" s="86"/>
      <c r="H551" s="86"/>
      <c r="I551" s="65"/>
      <c r="J551" s="65"/>
      <c r="K551" s="87"/>
      <c r="L551" s="88"/>
    </row>
    <row r="552" spans="6:12" ht="12.5">
      <c r="F552" s="86"/>
      <c r="G552" s="86"/>
      <c r="H552" s="86"/>
      <c r="I552" s="65"/>
      <c r="J552" s="65"/>
      <c r="K552" s="87"/>
      <c r="L552" s="88"/>
    </row>
    <row r="553" spans="6:12" ht="12.5">
      <c r="F553" s="86"/>
      <c r="G553" s="86"/>
      <c r="H553" s="86"/>
      <c r="I553" s="65"/>
      <c r="J553" s="65"/>
      <c r="K553" s="87"/>
      <c r="L553" s="88"/>
    </row>
    <row r="554" spans="6:12" ht="12.5">
      <c r="F554" s="86"/>
      <c r="G554" s="86"/>
      <c r="H554" s="86"/>
      <c r="I554" s="65"/>
      <c r="J554" s="65"/>
      <c r="K554" s="87"/>
      <c r="L554" s="88"/>
    </row>
    <row r="555" spans="6:12" ht="12.5">
      <c r="F555" s="86"/>
      <c r="G555" s="86"/>
      <c r="H555" s="86"/>
      <c r="I555" s="65"/>
      <c r="J555" s="65"/>
      <c r="K555" s="87"/>
      <c r="L555" s="88"/>
    </row>
    <row r="556" spans="6:12" ht="12.5">
      <c r="F556" s="86"/>
      <c r="G556" s="86"/>
      <c r="H556" s="86"/>
      <c r="I556" s="65"/>
      <c r="J556" s="65"/>
      <c r="K556" s="87"/>
      <c r="L556" s="88"/>
    </row>
    <row r="557" spans="6:12" ht="12.5">
      <c r="F557" s="86"/>
      <c r="G557" s="86"/>
      <c r="H557" s="86"/>
      <c r="I557" s="65"/>
      <c r="J557" s="65"/>
      <c r="K557" s="87"/>
      <c r="L557" s="88"/>
    </row>
    <row r="558" spans="6:12" ht="12.5">
      <c r="F558" s="86"/>
      <c r="G558" s="86"/>
      <c r="H558" s="86"/>
      <c r="I558" s="65"/>
      <c r="J558" s="65"/>
      <c r="K558" s="87"/>
      <c r="L558" s="88"/>
    </row>
    <row r="559" spans="6:12" ht="12.5">
      <c r="F559" s="86"/>
      <c r="G559" s="86"/>
      <c r="H559" s="86"/>
      <c r="I559" s="65"/>
      <c r="J559" s="65"/>
      <c r="K559" s="87"/>
      <c r="L559" s="88"/>
    </row>
    <row r="560" spans="6:12" ht="12.5">
      <c r="F560" s="86"/>
      <c r="G560" s="86"/>
      <c r="H560" s="86"/>
      <c r="I560" s="65"/>
      <c r="J560" s="65"/>
      <c r="K560" s="87"/>
      <c r="L560" s="88"/>
    </row>
    <row r="561" spans="6:12" ht="12.5">
      <c r="F561" s="86"/>
      <c r="G561" s="86"/>
      <c r="H561" s="86"/>
      <c r="I561" s="65"/>
      <c r="J561" s="65"/>
      <c r="K561" s="87"/>
      <c r="L561" s="88"/>
    </row>
    <row r="562" spans="6:12" ht="12.5">
      <c r="F562" s="86"/>
      <c r="G562" s="86"/>
      <c r="H562" s="86"/>
      <c r="I562" s="65"/>
      <c r="J562" s="65"/>
      <c r="K562" s="87"/>
      <c r="L562" s="88"/>
    </row>
    <row r="563" spans="6:12" ht="12.5">
      <c r="F563" s="86"/>
      <c r="G563" s="86"/>
      <c r="H563" s="86"/>
      <c r="I563" s="65"/>
      <c r="J563" s="65"/>
      <c r="K563" s="87"/>
      <c r="L563" s="88"/>
    </row>
    <row r="564" spans="6:12" ht="12.5">
      <c r="F564" s="86"/>
      <c r="G564" s="86"/>
      <c r="H564" s="86"/>
      <c r="I564" s="65"/>
      <c r="J564" s="65"/>
      <c r="K564" s="87"/>
      <c r="L564" s="88"/>
    </row>
    <row r="565" spans="6:12" ht="12.5">
      <c r="F565" s="86"/>
      <c r="G565" s="86"/>
      <c r="H565" s="86"/>
      <c r="I565" s="65"/>
      <c r="J565" s="65"/>
      <c r="K565" s="87"/>
      <c r="L565" s="88"/>
    </row>
    <row r="566" spans="6:12" ht="12.5">
      <c r="F566" s="86"/>
      <c r="G566" s="86"/>
      <c r="H566" s="86"/>
      <c r="I566" s="65"/>
      <c r="J566" s="65"/>
      <c r="K566" s="87"/>
      <c r="L566" s="88"/>
    </row>
    <row r="567" spans="6:12" ht="12.5">
      <c r="F567" s="86"/>
      <c r="G567" s="86"/>
      <c r="H567" s="86"/>
      <c r="I567" s="65"/>
      <c r="J567" s="65"/>
      <c r="K567" s="87"/>
      <c r="L567" s="88"/>
    </row>
    <row r="568" spans="6:12" ht="12.5">
      <c r="F568" s="86"/>
      <c r="G568" s="86"/>
      <c r="H568" s="86"/>
      <c r="I568" s="65"/>
      <c r="J568" s="65"/>
      <c r="K568" s="87"/>
      <c r="L568" s="88"/>
    </row>
    <row r="569" spans="6:12" ht="12.5">
      <c r="F569" s="86"/>
      <c r="G569" s="86"/>
      <c r="H569" s="86"/>
      <c r="I569" s="65"/>
      <c r="J569" s="65"/>
      <c r="K569" s="87"/>
      <c r="L569" s="88"/>
    </row>
    <row r="570" spans="6:12" ht="12.5">
      <c r="F570" s="86"/>
      <c r="G570" s="86"/>
      <c r="H570" s="86"/>
      <c r="I570" s="65"/>
      <c r="J570" s="65"/>
      <c r="K570" s="87"/>
      <c r="L570" s="88"/>
    </row>
    <row r="571" spans="6:12" ht="12.5">
      <c r="F571" s="86"/>
      <c r="G571" s="86"/>
      <c r="H571" s="86"/>
      <c r="I571" s="65"/>
      <c r="J571" s="65"/>
      <c r="K571" s="87"/>
      <c r="L571" s="88"/>
    </row>
    <row r="572" spans="6:12" ht="12.5">
      <c r="F572" s="86"/>
      <c r="G572" s="86"/>
      <c r="H572" s="86"/>
      <c r="I572" s="65"/>
      <c r="J572" s="65"/>
      <c r="K572" s="87"/>
      <c r="L572" s="88"/>
    </row>
    <row r="573" spans="6:12" ht="12.5">
      <c r="F573" s="86"/>
      <c r="G573" s="86"/>
      <c r="H573" s="86"/>
      <c r="I573" s="65"/>
      <c r="J573" s="65"/>
      <c r="K573" s="87"/>
      <c r="L573" s="88"/>
    </row>
    <row r="574" spans="6:12" ht="12.5">
      <c r="F574" s="86"/>
      <c r="G574" s="86"/>
      <c r="H574" s="86"/>
      <c r="I574" s="65"/>
      <c r="J574" s="65"/>
      <c r="K574" s="87"/>
      <c r="L574" s="88"/>
    </row>
    <row r="575" spans="6:12" ht="12.5">
      <c r="F575" s="86"/>
      <c r="G575" s="86"/>
      <c r="H575" s="86"/>
      <c r="I575" s="65"/>
      <c r="J575" s="65"/>
      <c r="K575" s="87"/>
      <c r="L575" s="88"/>
    </row>
    <row r="576" spans="6:12" ht="12.5">
      <c r="F576" s="86"/>
      <c r="G576" s="86"/>
      <c r="H576" s="86"/>
      <c r="I576" s="65"/>
      <c r="J576" s="65"/>
      <c r="K576" s="87"/>
      <c r="L576" s="88"/>
    </row>
    <row r="577" spans="6:12" ht="12.5">
      <c r="F577" s="86"/>
      <c r="G577" s="86"/>
      <c r="H577" s="86"/>
      <c r="I577" s="65"/>
      <c r="J577" s="65"/>
      <c r="K577" s="87"/>
      <c r="L577" s="88"/>
    </row>
    <row r="578" spans="6:12" ht="12.5">
      <c r="F578" s="86"/>
      <c r="G578" s="86"/>
      <c r="H578" s="86"/>
      <c r="I578" s="65"/>
      <c r="J578" s="65"/>
      <c r="K578" s="87"/>
      <c r="L578" s="88"/>
    </row>
    <row r="579" spans="6:12" ht="12.5">
      <c r="F579" s="86"/>
      <c r="G579" s="86"/>
      <c r="H579" s="86"/>
      <c r="I579" s="65"/>
      <c r="J579" s="65"/>
      <c r="K579" s="87"/>
      <c r="L579" s="88"/>
    </row>
    <row r="580" spans="6:12" ht="12.5">
      <c r="F580" s="86"/>
      <c r="G580" s="86"/>
      <c r="H580" s="86"/>
      <c r="I580" s="65"/>
      <c r="J580" s="65"/>
      <c r="K580" s="87"/>
      <c r="L580" s="88"/>
    </row>
    <row r="581" spans="6:12" ht="12.5">
      <c r="F581" s="86"/>
      <c r="G581" s="86"/>
      <c r="H581" s="86"/>
      <c r="I581" s="65"/>
      <c r="J581" s="65"/>
      <c r="K581" s="87"/>
      <c r="L581" s="88"/>
    </row>
    <row r="582" spans="6:12" ht="12.5">
      <c r="F582" s="86"/>
      <c r="G582" s="86"/>
      <c r="H582" s="86"/>
      <c r="I582" s="65"/>
      <c r="J582" s="65"/>
      <c r="K582" s="87"/>
      <c r="L582" s="88"/>
    </row>
    <row r="583" spans="6:12" ht="12.5">
      <c r="F583" s="86"/>
      <c r="G583" s="86"/>
      <c r="H583" s="86"/>
      <c r="I583" s="65"/>
      <c r="J583" s="65"/>
      <c r="K583" s="87"/>
      <c r="L583" s="88"/>
    </row>
    <row r="584" spans="6:12" ht="12.5">
      <c r="F584" s="86"/>
      <c r="G584" s="86"/>
      <c r="H584" s="86"/>
      <c r="I584" s="65"/>
      <c r="J584" s="65"/>
      <c r="K584" s="87"/>
      <c r="L584" s="88"/>
    </row>
    <row r="585" spans="6:12" ht="12.5">
      <c r="F585" s="86"/>
      <c r="G585" s="86"/>
      <c r="H585" s="86"/>
      <c r="I585" s="65"/>
      <c r="J585" s="65"/>
      <c r="K585" s="87"/>
      <c r="L585" s="88"/>
    </row>
    <row r="586" spans="6:12" ht="12.5">
      <c r="F586" s="86"/>
      <c r="G586" s="86"/>
      <c r="H586" s="86"/>
      <c r="I586" s="65"/>
      <c r="J586" s="65"/>
      <c r="K586" s="87"/>
      <c r="L586" s="88"/>
    </row>
    <row r="587" spans="6:12" ht="12.5">
      <c r="F587" s="86"/>
      <c r="G587" s="86"/>
      <c r="H587" s="86"/>
      <c r="I587" s="65"/>
      <c r="J587" s="65"/>
      <c r="K587" s="87"/>
      <c r="L587" s="88"/>
    </row>
    <row r="588" spans="6:12" ht="12.5">
      <c r="F588" s="86"/>
      <c r="G588" s="86"/>
      <c r="H588" s="86"/>
      <c r="I588" s="65"/>
      <c r="J588" s="65"/>
      <c r="K588" s="87"/>
      <c r="L588" s="88"/>
    </row>
    <row r="589" spans="6:12" ht="12.5">
      <c r="F589" s="86"/>
      <c r="G589" s="86"/>
      <c r="H589" s="86"/>
      <c r="I589" s="65"/>
      <c r="J589" s="65"/>
      <c r="K589" s="87"/>
      <c r="L589" s="88"/>
    </row>
    <row r="590" spans="6:12" ht="12.5">
      <c r="F590" s="86"/>
      <c r="G590" s="86"/>
      <c r="H590" s="86"/>
      <c r="I590" s="65"/>
      <c r="J590" s="65"/>
      <c r="K590" s="87"/>
      <c r="L590" s="88"/>
    </row>
    <row r="591" spans="6:12" ht="12.5">
      <c r="F591" s="86"/>
      <c r="G591" s="86"/>
      <c r="H591" s="86"/>
      <c r="I591" s="65"/>
      <c r="J591" s="65"/>
      <c r="K591" s="87"/>
      <c r="L591" s="88"/>
    </row>
    <row r="592" spans="6:12" ht="12.5">
      <c r="F592" s="86"/>
      <c r="G592" s="86"/>
      <c r="H592" s="86"/>
      <c r="I592" s="65"/>
      <c r="J592" s="65"/>
      <c r="K592" s="87"/>
      <c r="L592" s="88"/>
    </row>
    <row r="593" spans="6:12" ht="12.5">
      <c r="F593" s="86"/>
      <c r="G593" s="86"/>
      <c r="H593" s="86"/>
      <c r="I593" s="65"/>
      <c r="J593" s="65"/>
      <c r="K593" s="87"/>
      <c r="L593" s="88"/>
    </row>
    <row r="594" spans="6:12" ht="12.5">
      <c r="F594" s="86"/>
      <c r="G594" s="86"/>
      <c r="H594" s="86"/>
      <c r="I594" s="65"/>
      <c r="J594" s="65"/>
      <c r="K594" s="87"/>
      <c r="L594" s="88"/>
    </row>
    <row r="595" spans="6:12" ht="12.5">
      <c r="F595" s="86"/>
      <c r="G595" s="86"/>
      <c r="H595" s="86"/>
      <c r="I595" s="65"/>
      <c r="J595" s="65"/>
      <c r="K595" s="87"/>
      <c r="L595" s="88"/>
    </row>
    <row r="596" spans="6:12" ht="12.5">
      <c r="F596" s="86"/>
      <c r="G596" s="86"/>
      <c r="H596" s="86"/>
      <c r="I596" s="65"/>
      <c r="J596" s="65"/>
      <c r="K596" s="87"/>
      <c r="L596" s="88"/>
    </row>
    <row r="597" spans="6:12" ht="12.5">
      <c r="F597" s="86"/>
      <c r="G597" s="86"/>
      <c r="H597" s="86"/>
      <c r="I597" s="65"/>
      <c r="J597" s="65"/>
      <c r="K597" s="87"/>
      <c r="L597" s="88"/>
    </row>
    <row r="598" spans="6:12" ht="12.5">
      <c r="F598" s="86"/>
      <c r="G598" s="86"/>
      <c r="H598" s="86"/>
      <c r="I598" s="65"/>
      <c r="J598" s="65"/>
      <c r="K598" s="87"/>
      <c r="L598" s="88"/>
    </row>
    <row r="599" spans="6:12" ht="12.5">
      <c r="F599" s="86"/>
      <c r="G599" s="86"/>
      <c r="H599" s="86"/>
      <c r="I599" s="65"/>
      <c r="J599" s="65"/>
      <c r="K599" s="87"/>
      <c r="L599" s="88"/>
    </row>
    <row r="600" spans="6:12" ht="12.5">
      <c r="F600" s="86"/>
      <c r="G600" s="86"/>
      <c r="H600" s="86"/>
      <c r="I600" s="65"/>
      <c r="J600" s="65"/>
      <c r="K600" s="87"/>
      <c r="L600" s="88"/>
    </row>
    <row r="601" spans="6:12" ht="12.5">
      <c r="F601" s="86"/>
      <c r="G601" s="86"/>
      <c r="H601" s="86"/>
      <c r="I601" s="65"/>
      <c r="J601" s="65"/>
      <c r="K601" s="87"/>
      <c r="L601" s="88"/>
    </row>
    <row r="602" spans="6:12" ht="12.5">
      <c r="F602" s="86"/>
      <c r="G602" s="86"/>
      <c r="H602" s="86"/>
      <c r="I602" s="65"/>
      <c r="J602" s="65"/>
      <c r="K602" s="87"/>
      <c r="L602" s="88"/>
    </row>
    <row r="603" spans="6:12" ht="12.5">
      <c r="F603" s="86"/>
      <c r="G603" s="86"/>
      <c r="H603" s="86"/>
      <c r="I603" s="65"/>
      <c r="J603" s="65"/>
      <c r="K603" s="87"/>
      <c r="L603" s="88"/>
    </row>
    <row r="604" spans="6:12" ht="12.5">
      <c r="F604" s="86"/>
      <c r="G604" s="86"/>
      <c r="H604" s="86"/>
      <c r="I604" s="65"/>
      <c r="J604" s="65"/>
      <c r="K604" s="87"/>
      <c r="L604" s="88"/>
    </row>
    <row r="605" spans="6:12" ht="12.5">
      <c r="F605" s="86"/>
      <c r="G605" s="86"/>
      <c r="H605" s="86"/>
      <c r="I605" s="65"/>
      <c r="J605" s="65"/>
      <c r="K605" s="87"/>
      <c r="L605" s="88"/>
    </row>
    <row r="606" spans="6:12" ht="12.5">
      <c r="F606" s="86"/>
      <c r="G606" s="86"/>
      <c r="H606" s="86"/>
      <c r="I606" s="65"/>
      <c r="J606" s="65"/>
      <c r="K606" s="87"/>
      <c r="L606" s="88"/>
    </row>
    <row r="607" spans="6:12" ht="12.5">
      <c r="F607" s="86"/>
      <c r="G607" s="86"/>
      <c r="H607" s="86"/>
      <c r="I607" s="65"/>
      <c r="J607" s="65"/>
      <c r="K607" s="87"/>
      <c r="L607" s="88"/>
    </row>
    <row r="608" spans="6:12" ht="12.5">
      <c r="F608" s="86"/>
      <c r="G608" s="86"/>
      <c r="H608" s="86"/>
      <c r="I608" s="65"/>
      <c r="J608" s="65"/>
      <c r="K608" s="87"/>
      <c r="L608" s="88"/>
    </row>
    <row r="609" spans="6:12" ht="12.5">
      <c r="F609" s="86"/>
      <c r="G609" s="86"/>
      <c r="H609" s="86"/>
      <c r="I609" s="65"/>
      <c r="J609" s="65"/>
      <c r="K609" s="87"/>
      <c r="L609" s="88"/>
    </row>
    <row r="610" spans="6:12" ht="12.5">
      <c r="F610" s="86"/>
      <c r="G610" s="86"/>
      <c r="H610" s="86"/>
      <c r="I610" s="65"/>
      <c r="J610" s="65"/>
      <c r="K610" s="87"/>
      <c r="L610" s="88"/>
    </row>
    <row r="611" spans="6:12" ht="12.5">
      <c r="F611" s="86"/>
      <c r="G611" s="86"/>
      <c r="H611" s="86"/>
      <c r="I611" s="65"/>
      <c r="J611" s="65"/>
      <c r="K611" s="87"/>
      <c r="L611" s="88"/>
    </row>
    <row r="612" spans="6:12" ht="12.5">
      <c r="F612" s="86"/>
      <c r="G612" s="86"/>
      <c r="H612" s="86"/>
      <c r="I612" s="65"/>
      <c r="J612" s="65"/>
      <c r="K612" s="87"/>
      <c r="L612" s="88"/>
    </row>
    <row r="613" spans="6:12" ht="12.5">
      <c r="F613" s="86"/>
      <c r="G613" s="86"/>
      <c r="H613" s="86"/>
      <c r="I613" s="65"/>
      <c r="J613" s="65"/>
      <c r="K613" s="87"/>
      <c r="L613" s="88"/>
    </row>
    <row r="614" spans="6:12" ht="12.5">
      <c r="F614" s="86"/>
      <c r="G614" s="86"/>
      <c r="H614" s="86"/>
      <c r="I614" s="65"/>
      <c r="J614" s="65"/>
      <c r="K614" s="87"/>
      <c r="L614" s="88"/>
    </row>
    <row r="615" spans="6:12" ht="12.5">
      <c r="F615" s="86"/>
      <c r="G615" s="86"/>
      <c r="H615" s="86"/>
      <c r="I615" s="65"/>
      <c r="J615" s="65"/>
      <c r="K615" s="87"/>
      <c r="L615" s="88"/>
    </row>
    <row r="616" spans="6:12" ht="12.5">
      <c r="F616" s="86"/>
      <c r="G616" s="86"/>
      <c r="H616" s="86"/>
      <c r="I616" s="65"/>
      <c r="J616" s="65"/>
      <c r="K616" s="87"/>
      <c r="L616" s="88"/>
    </row>
    <row r="617" spans="6:12" ht="12.5">
      <c r="F617" s="86"/>
      <c r="G617" s="86"/>
      <c r="H617" s="86"/>
      <c r="I617" s="65"/>
      <c r="J617" s="65"/>
      <c r="K617" s="87"/>
      <c r="L617" s="88"/>
    </row>
    <row r="618" spans="6:12" ht="12.5">
      <c r="F618" s="86"/>
      <c r="G618" s="86"/>
      <c r="H618" s="86"/>
      <c r="I618" s="65"/>
      <c r="J618" s="65"/>
      <c r="K618" s="87"/>
      <c r="L618" s="88"/>
    </row>
    <row r="619" spans="6:12" ht="12.5">
      <c r="F619" s="86"/>
      <c r="G619" s="86"/>
      <c r="H619" s="86"/>
      <c r="I619" s="65"/>
      <c r="J619" s="65"/>
      <c r="K619" s="87"/>
      <c r="L619" s="88"/>
    </row>
    <row r="620" spans="6:12" ht="12.5">
      <c r="F620" s="86"/>
      <c r="G620" s="86"/>
      <c r="H620" s="86"/>
      <c r="I620" s="65"/>
      <c r="J620" s="65"/>
      <c r="K620" s="87"/>
      <c r="L620" s="88"/>
    </row>
    <row r="621" spans="6:12" ht="12.5">
      <c r="F621" s="86"/>
      <c r="G621" s="86"/>
      <c r="H621" s="86"/>
      <c r="I621" s="65"/>
      <c r="J621" s="65"/>
      <c r="K621" s="87"/>
      <c r="L621" s="88"/>
    </row>
    <row r="622" spans="6:12" ht="12.5">
      <c r="F622" s="86"/>
      <c r="G622" s="86"/>
      <c r="H622" s="86"/>
      <c r="I622" s="65"/>
      <c r="J622" s="65"/>
      <c r="K622" s="87"/>
      <c r="L622" s="88"/>
    </row>
    <row r="623" spans="6:12" ht="12.5">
      <c r="F623" s="86"/>
      <c r="G623" s="86"/>
      <c r="H623" s="86"/>
      <c r="I623" s="65"/>
      <c r="J623" s="65"/>
      <c r="K623" s="87"/>
      <c r="L623" s="88"/>
    </row>
    <row r="624" spans="6:12" ht="12.5">
      <c r="F624" s="86"/>
      <c r="G624" s="86"/>
      <c r="H624" s="86"/>
      <c r="I624" s="65"/>
      <c r="J624" s="65"/>
      <c r="K624" s="87"/>
      <c r="L624" s="88"/>
    </row>
    <row r="625" spans="6:12" ht="12.5">
      <c r="F625" s="86"/>
      <c r="G625" s="86"/>
      <c r="H625" s="86"/>
      <c r="I625" s="65"/>
      <c r="J625" s="65"/>
      <c r="K625" s="87"/>
      <c r="L625" s="88"/>
    </row>
    <row r="626" spans="6:12" ht="12.5">
      <c r="F626" s="86"/>
      <c r="G626" s="86"/>
      <c r="H626" s="86"/>
      <c r="I626" s="65"/>
      <c r="J626" s="65"/>
      <c r="K626" s="87"/>
      <c r="L626" s="88"/>
    </row>
    <row r="627" spans="6:12" ht="12.5">
      <c r="F627" s="86"/>
      <c r="G627" s="86"/>
      <c r="H627" s="86"/>
      <c r="I627" s="65"/>
      <c r="J627" s="65"/>
      <c r="K627" s="87"/>
      <c r="L627" s="88"/>
    </row>
    <row r="628" spans="6:12" ht="12.5">
      <c r="F628" s="86"/>
      <c r="G628" s="86"/>
      <c r="H628" s="86"/>
      <c r="I628" s="65"/>
      <c r="J628" s="65"/>
      <c r="K628" s="87"/>
      <c r="L628" s="88"/>
    </row>
    <row r="629" spans="6:12" ht="12.5">
      <c r="F629" s="86"/>
      <c r="G629" s="86"/>
      <c r="H629" s="86"/>
      <c r="I629" s="65"/>
      <c r="J629" s="65"/>
      <c r="K629" s="87"/>
      <c r="L629" s="88"/>
    </row>
    <row r="630" spans="6:12" ht="12.5">
      <c r="F630" s="86"/>
      <c r="G630" s="86"/>
      <c r="H630" s="86"/>
      <c r="I630" s="65"/>
      <c r="J630" s="65"/>
      <c r="K630" s="87"/>
      <c r="L630" s="88"/>
    </row>
    <row r="631" spans="6:12" ht="12.5">
      <c r="F631" s="86"/>
      <c r="G631" s="86"/>
      <c r="H631" s="86"/>
      <c r="I631" s="65"/>
      <c r="J631" s="65"/>
      <c r="K631" s="87"/>
      <c r="L631" s="88"/>
    </row>
    <row r="632" spans="6:12" ht="12.5">
      <c r="F632" s="86"/>
      <c r="G632" s="86"/>
      <c r="H632" s="86"/>
      <c r="I632" s="65"/>
      <c r="J632" s="65"/>
      <c r="K632" s="87"/>
      <c r="L632" s="88"/>
    </row>
    <row r="633" spans="6:12" ht="12.5">
      <c r="F633" s="86"/>
      <c r="G633" s="86"/>
      <c r="H633" s="86"/>
      <c r="I633" s="65"/>
      <c r="J633" s="65"/>
      <c r="K633" s="87"/>
      <c r="L633" s="88"/>
    </row>
    <row r="634" spans="6:12" ht="12.5">
      <c r="F634" s="86"/>
      <c r="G634" s="86"/>
      <c r="H634" s="86"/>
      <c r="I634" s="65"/>
      <c r="J634" s="65"/>
      <c r="K634" s="87"/>
      <c r="L634" s="88"/>
    </row>
    <row r="635" spans="6:12" ht="12.5">
      <c r="F635" s="86"/>
      <c r="G635" s="86"/>
      <c r="H635" s="86"/>
      <c r="I635" s="65"/>
      <c r="J635" s="65"/>
      <c r="K635" s="87"/>
      <c r="L635" s="88"/>
    </row>
    <row r="636" spans="6:12" ht="12.5">
      <c r="F636" s="86"/>
      <c r="G636" s="86"/>
      <c r="H636" s="86"/>
      <c r="I636" s="65"/>
      <c r="J636" s="65"/>
      <c r="K636" s="87"/>
      <c r="L636" s="88"/>
    </row>
    <row r="637" spans="6:12" ht="12.5">
      <c r="F637" s="86"/>
      <c r="G637" s="86"/>
      <c r="H637" s="86"/>
      <c r="I637" s="65"/>
      <c r="J637" s="65"/>
      <c r="K637" s="87"/>
      <c r="L637" s="88"/>
    </row>
    <row r="638" spans="6:12" ht="12.5">
      <c r="F638" s="86"/>
      <c r="G638" s="86"/>
      <c r="H638" s="86"/>
      <c r="I638" s="65"/>
      <c r="J638" s="65"/>
      <c r="K638" s="87"/>
      <c r="L638" s="88"/>
    </row>
    <row r="639" spans="6:12" ht="12.5">
      <c r="F639" s="86"/>
      <c r="G639" s="86"/>
      <c r="H639" s="86"/>
      <c r="I639" s="65"/>
      <c r="J639" s="65"/>
      <c r="K639" s="87"/>
      <c r="L639" s="88"/>
    </row>
    <row r="640" spans="6:12" ht="12.5">
      <c r="F640" s="86"/>
      <c r="G640" s="86"/>
      <c r="H640" s="86"/>
      <c r="I640" s="65"/>
      <c r="J640" s="65"/>
      <c r="K640" s="87"/>
      <c r="L640" s="88"/>
    </row>
    <row r="641" spans="6:12" ht="12.5">
      <c r="F641" s="86"/>
      <c r="G641" s="86"/>
      <c r="H641" s="86"/>
      <c r="I641" s="65"/>
      <c r="J641" s="65"/>
      <c r="K641" s="87"/>
      <c r="L641" s="88"/>
    </row>
    <row r="642" spans="6:12" ht="12.5">
      <c r="F642" s="86"/>
      <c r="G642" s="86"/>
      <c r="H642" s="86"/>
      <c r="I642" s="65"/>
      <c r="J642" s="65"/>
      <c r="K642" s="87"/>
      <c r="L642" s="88"/>
    </row>
    <row r="643" spans="6:12" ht="12.5">
      <c r="F643" s="86"/>
      <c r="G643" s="86"/>
      <c r="H643" s="86"/>
      <c r="I643" s="65"/>
      <c r="J643" s="65"/>
      <c r="K643" s="87"/>
      <c r="L643" s="88"/>
    </row>
    <row r="644" spans="6:12" ht="12.5">
      <c r="F644" s="86"/>
      <c r="G644" s="86"/>
      <c r="H644" s="86"/>
      <c r="I644" s="65"/>
      <c r="J644" s="65"/>
      <c r="K644" s="87"/>
      <c r="L644" s="88"/>
    </row>
    <row r="645" spans="6:12" ht="12.5">
      <c r="F645" s="86"/>
      <c r="G645" s="86"/>
      <c r="H645" s="86"/>
      <c r="I645" s="65"/>
      <c r="J645" s="65"/>
      <c r="K645" s="87"/>
      <c r="L645" s="88"/>
    </row>
    <row r="646" spans="6:12" ht="12.5">
      <c r="F646" s="86"/>
      <c r="G646" s="86"/>
      <c r="H646" s="86"/>
      <c r="I646" s="65"/>
      <c r="J646" s="65"/>
      <c r="K646" s="87"/>
      <c r="L646" s="88"/>
    </row>
    <row r="647" spans="6:12" ht="12.5">
      <c r="F647" s="86"/>
      <c r="G647" s="86"/>
      <c r="H647" s="86"/>
      <c r="I647" s="65"/>
      <c r="J647" s="65"/>
      <c r="K647" s="87"/>
      <c r="L647" s="88"/>
    </row>
    <row r="648" spans="6:12" ht="12.5">
      <c r="F648" s="86"/>
      <c r="G648" s="86"/>
      <c r="H648" s="86"/>
      <c r="I648" s="65"/>
      <c r="J648" s="65"/>
      <c r="K648" s="87"/>
      <c r="L648" s="88"/>
    </row>
    <row r="649" spans="6:12" ht="12.5">
      <c r="F649" s="86"/>
      <c r="G649" s="86"/>
      <c r="H649" s="86"/>
      <c r="I649" s="65"/>
      <c r="J649" s="65"/>
      <c r="K649" s="87"/>
      <c r="L649" s="88"/>
    </row>
    <row r="650" spans="6:12" ht="12.5">
      <c r="F650" s="86"/>
      <c r="G650" s="86"/>
      <c r="H650" s="86"/>
      <c r="I650" s="65"/>
      <c r="J650" s="65"/>
      <c r="K650" s="87"/>
      <c r="L650" s="88"/>
    </row>
    <row r="651" spans="6:12" ht="12.5">
      <c r="F651" s="86"/>
      <c r="G651" s="86"/>
      <c r="H651" s="86"/>
      <c r="I651" s="65"/>
      <c r="J651" s="65"/>
      <c r="K651" s="87"/>
      <c r="L651" s="88"/>
    </row>
    <row r="652" spans="6:12" ht="12.5">
      <c r="F652" s="86"/>
      <c r="G652" s="86"/>
      <c r="H652" s="86"/>
      <c r="I652" s="65"/>
      <c r="J652" s="65"/>
      <c r="K652" s="87"/>
      <c r="L652" s="88"/>
    </row>
    <row r="653" spans="6:12" ht="12.5">
      <c r="F653" s="86"/>
      <c r="G653" s="86"/>
      <c r="H653" s="86"/>
      <c r="I653" s="65"/>
      <c r="J653" s="65"/>
      <c r="K653" s="87"/>
      <c r="L653" s="88"/>
    </row>
    <row r="654" spans="6:12" ht="12.5">
      <c r="F654" s="86"/>
      <c r="G654" s="86"/>
      <c r="H654" s="86"/>
      <c r="I654" s="65"/>
      <c r="J654" s="65"/>
      <c r="K654" s="87"/>
      <c r="L654" s="88"/>
    </row>
    <row r="655" spans="6:12" ht="12.5">
      <c r="F655" s="86"/>
      <c r="G655" s="86"/>
      <c r="H655" s="86"/>
      <c r="I655" s="65"/>
      <c r="J655" s="65"/>
      <c r="K655" s="87"/>
      <c r="L655" s="88"/>
    </row>
    <row r="656" spans="6:12" ht="12.5">
      <c r="F656" s="86"/>
      <c r="G656" s="86"/>
      <c r="H656" s="86"/>
      <c r="I656" s="65"/>
      <c r="J656" s="65"/>
      <c r="K656" s="87"/>
      <c r="L656" s="88"/>
    </row>
    <row r="657" spans="6:12" ht="12.5">
      <c r="F657" s="86"/>
      <c r="G657" s="86"/>
      <c r="H657" s="86"/>
      <c r="I657" s="65"/>
      <c r="J657" s="65"/>
      <c r="K657" s="87"/>
      <c r="L657" s="88"/>
    </row>
    <row r="658" spans="6:12" ht="12.5">
      <c r="F658" s="86"/>
      <c r="G658" s="86"/>
      <c r="H658" s="86"/>
      <c r="I658" s="65"/>
      <c r="J658" s="65"/>
      <c r="K658" s="87"/>
      <c r="L658" s="88"/>
    </row>
    <row r="659" spans="6:12" ht="12.5">
      <c r="F659" s="86"/>
      <c r="G659" s="86"/>
      <c r="H659" s="86"/>
      <c r="I659" s="65"/>
      <c r="J659" s="65"/>
      <c r="K659" s="87"/>
      <c r="L659" s="88"/>
    </row>
    <row r="660" spans="6:12" ht="12.5">
      <c r="F660" s="86"/>
      <c r="G660" s="86"/>
      <c r="H660" s="86"/>
      <c r="I660" s="65"/>
      <c r="J660" s="65"/>
      <c r="K660" s="87"/>
      <c r="L660" s="88"/>
    </row>
    <row r="661" spans="6:12" ht="12.5">
      <c r="F661" s="86"/>
      <c r="G661" s="86"/>
      <c r="H661" s="86"/>
      <c r="I661" s="65"/>
      <c r="J661" s="65"/>
      <c r="K661" s="87"/>
      <c r="L661" s="88"/>
    </row>
    <row r="662" spans="6:12" ht="12.5">
      <c r="F662" s="86"/>
      <c r="G662" s="86"/>
      <c r="H662" s="86"/>
      <c r="I662" s="65"/>
      <c r="J662" s="65"/>
      <c r="K662" s="87"/>
      <c r="L662" s="88"/>
    </row>
    <row r="663" spans="6:12" ht="12.5">
      <c r="F663" s="86"/>
      <c r="G663" s="86"/>
      <c r="H663" s="86"/>
      <c r="I663" s="65"/>
      <c r="J663" s="65"/>
      <c r="K663" s="87"/>
      <c r="L663" s="88"/>
    </row>
    <row r="664" spans="6:12" ht="12.5">
      <c r="F664" s="86"/>
      <c r="G664" s="86"/>
      <c r="H664" s="86"/>
      <c r="I664" s="65"/>
      <c r="J664" s="65"/>
      <c r="K664" s="87"/>
      <c r="L664" s="88"/>
    </row>
    <row r="665" spans="6:12" ht="12.5">
      <c r="F665" s="86"/>
      <c r="G665" s="86"/>
      <c r="H665" s="86"/>
      <c r="I665" s="65"/>
      <c r="J665" s="65"/>
      <c r="K665" s="87"/>
      <c r="L665" s="88"/>
    </row>
    <row r="666" spans="6:12" ht="12.5">
      <c r="F666" s="86"/>
      <c r="G666" s="86"/>
      <c r="H666" s="86"/>
      <c r="I666" s="65"/>
      <c r="J666" s="65"/>
      <c r="K666" s="87"/>
      <c r="L666" s="88"/>
    </row>
    <row r="667" spans="6:12" ht="12.5">
      <c r="F667" s="86"/>
      <c r="G667" s="86"/>
      <c r="H667" s="86"/>
      <c r="I667" s="65"/>
      <c r="J667" s="65"/>
      <c r="K667" s="87"/>
      <c r="L667" s="88"/>
    </row>
    <row r="668" spans="6:12" ht="12.5">
      <c r="F668" s="86"/>
      <c r="G668" s="86"/>
      <c r="H668" s="86"/>
      <c r="I668" s="65"/>
      <c r="J668" s="65"/>
      <c r="K668" s="87"/>
      <c r="L668" s="88"/>
    </row>
    <row r="669" spans="6:12" ht="12.5">
      <c r="F669" s="86"/>
      <c r="G669" s="86"/>
      <c r="H669" s="86"/>
      <c r="I669" s="65"/>
      <c r="J669" s="65"/>
      <c r="K669" s="87"/>
      <c r="L669" s="88"/>
    </row>
    <row r="670" spans="6:12" ht="12.5">
      <c r="F670" s="86"/>
      <c r="G670" s="86"/>
      <c r="H670" s="86"/>
      <c r="I670" s="65"/>
      <c r="J670" s="65"/>
      <c r="K670" s="87"/>
      <c r="L670" s="88"/>
    </row>
    <row r="671" spans="6:12" ht="12.5">
      <c r="F671" s="86"/>
      <c r="G671" s="86"/>
      <c r="H671" s="86"/>
      <c r="I671" s="65"/>
      <c r="J671" s="65"/>
      <c r="K671" s="87"/>
      <c r="L671" s="88"/>
    </row>
    <row r="672" spans="6:12" ht="12.5">
      <c r="F672" s="86"/>
      <c r="G672" s="86"/>
      <c r="H672" s="86"/>
      <c r="I672" s="65"/>
      <c r="J672" s="65"/>
      <c r="K672" s="87"/>
      <c r="L672" s="88"/>
    </row>
    <row r="673" spans="6:12" ht="12.5">
      <c r="F673" s="86"/>
      <c r="G673" s="86"/>
      <c r="H673" s="86"/>
      <c r="I673" s="65"/>
      <c r="J673" s="65"/>
      <c r="K673" s="87"/>
      <c r="L673" s="88"/>
    </row>
    <row r="674" spans="6:12" ht="12.5">
      <c r="F674" s="86"/>
      <c r="G674" s="86"/>
      <c r="H674" s="86"/>
      <c r="I674" s="65"/>
      <c r="J674" s="65"/>
      <c r="K674" s="87"/>
      <c r="L674" s="88"/>
    </row>
    <row r="675" spans="6:12" ht="12.5">
      <c r="F675" s="86"/>
      <c r="G675" s="86"/>
      <c r="H675" s="86"/>
      <c r="I675" s="65"/>
      <c r="J675" s="65"/>
      <c r="K675" s="87"/>
      <c r="L675" s="88"/>
    </row>
    <row r="676" spans="6:12" ht="12.5">
      <c r="F676" s="86"/>
      <c r="G676" s="86"/>
      <c r="H676" s="86"/>
      <c r="I676" s="65"/>
      <c r="J676" s="65"/>
      <c r="K676" s="87"/>
      <c r="L676" s="88"/>
    </row>
    <row r="677" spans="6:12" ht="12.5">
      <c r="F677" s="86"/>
      <c r="G677" s="86"/>
      <c r="H677" s="86"/>
      <c r="I677" s="65"/>
      <c r="J677" s="65"/>
      <c r="K677" s="87"/>
      <c r="L677" s="88"/>
    </row>
    <row r="678" spans="6:12" ht="12.5">
      <c r="F678" s="86"/>
      <c r="G678" s="86"/>
      <c r="H678" s="86"/>
      <c r="I678" s="65"/>
      <c r="J678" s="65"/>
      <c r="K678" s="87"/>
      <c r="L678" s="88"/>
    </row>
    <row r="679" spans="6:12" ht="12.5">
      <c r="F679" s="86"/>
      <c r="G679" s="86"/>
      <c r="H679" s="86"/>
      <c r="I679" s="65"/>
      <c r="J679" s="65"/>
      <c r="K679" s="87"/>
      <c r="L679" s="88"/>
    </row>
    <row r="680" spans="6:12" ht="12.5">
      <c r="F680" s="86"/>
      <c r="G680" s="86"/>
      <c r="H680" s="86"/>
      <c r="I680" s="65"/>
      <c r="J680" s="65"/>
      <c r="K680" s="87"/>
      <c r="L680" s="88"/>
    </row>
    <row r="681" spans="6:12" ht="12.5">
      <c r="F681" s="86"/>
      <c r="G681" s="86"/>
      <c r="H681" s="86"/>
      <c r="I681" s="65"/>
      <c r="J681" s="65"/>
      <c r="K681" s="87"/>
      <c r="L681" s="88"/>
    </row>
    <row r="682" spans="6:12" ht="12.5">
      <c r="F682" s="86"/>
      <c r="G682" s="86"/>
      <c r="H682" s="86"/>
      <c r="I682" s="65"/>
      <c r="J682" s="65"/>
      <c r="K682" s="87"/>
      <c r="L682" s="88"/>
    </row>
    <row r="683" spans="6:12" ht="12.5">
      <c r="F683" s="86"/>
      <c r="G683" s="86"/>
      <c r="H683" s="86"/>
      <c r="I683" s="65"/>
      <c r="J683" s="65"/>
      <c r="K683" s="87"/>
      <c r="L683" s="88"/>
    </row>
    <row r="684" spans="6:12" ht="12.5">
      <c r="F684" s="86"/>
      <c r="G684" s="86"/>
      <c r="H684" s="86"/>
      <c r="I684" s="65"/>
      <c r="J684" s="65"/>
      <c r="K684" s="87"/>
      <c r="L684" s="88"/>
    </row>
    <row r="685" spans="6:12" ht="12.5">
      <c r="F685" s="86"/>
      <c r="G685" s="86"/>
      <c r="H685" s="86"/>
      <c r="I685" s="65"/>
      <c r="J685" s="65"/>
      <c r="K685" s="87"/>
      <c r="L685" s="88"/>
    </row>
    <row r="686" spans="6:12" ht="12.5">
      <c r="F686" s="86"/>
      <c r="G686" s="86"/>
      <c r="H686" s="86"/>
      <c r="I686" s="65"/>
      <c r="J686" s="65"/>
      <c r="K686" s="87"/>
      <c r="L686" s="88"/>
    </row>
    <row r="687" spans="6:12" ht="12.5">
      <c r="F687" s="86"/>
      <c r="G687" s="86"/>
      <c r="H687" s="86"/>
      <c r="I687" s="65"/>
      <c r="J687" s="65"/>
      <c r="K687" s="87"/>
      <c r="L687" s="88"/>
    </row>
    <row r="688" spans="6:12" ht="12.5">
      <c r="F688" s="86"/>
      <c r="G688" s="86"/>
      <c r="H688" s="86"/>
      <c r="I688" s="65"/>
      <c r="J688" s="65"/>
      <c r="K688" s="87"/>
      <c r="L688" s="88"/>
    </row>
    <row r="689" spans="6:12" ht="12.5">
      <c r="F689" s="86"/>
      <c r="G689" s="86"/>
      <c r="H689" s="86"/>
      <c r="I689" s="65"/>
      <c r="J689" s="65"/>
      <c r="K689" s="87"/>
      <c r="L689" s="88"/>
    </row>
    <row r="690" spans="6:12" ht="12.5">
      <c r="F690" s="86"/>
      <c r="G690" s="86"/>
      <c r="H690" s="86"/>
      <c r="I690" s="65"/>
      <c r="J690" s="65"/>
      <c r="K690" s="87"/>
      <c r="L690" s="88"/>
    </row>
    <row r="691" spans="6:12" ht="12.5">
      <c r="F691" s="86"/>
      <c r="G691" s="86"/>
      <c r="H691" s="86"/>
      <c r="I691" s="65"/>
      <c r="J691" s="65"/>
      <c r="K691" s="87"/>
      <c r="L691" s="88"/>
    </row>
    <row r="692" spans="6:12" ht="12.5">
      <c r="F692" s="86"/>
      <c r="G692" s="86"/>
      <c r="H692" s="86"/>
      <c r="I692" s="65"/>
      <c r="J692" s="65"/>
      <c r="K692" s="87"/>
      <c r="L692" s="88"/>
    </row>
    <row r="693" spans="6:12" ht="12.5">
      <c r="F693" s="86"/>
      <c r="G693" s="86"/>
      <c r="H693" s="86"/>
      <c r="I693" s="65"/>
      <c r="J693" s="65"/>
      <c r="K693" s="87"/>
      <c r="L693" s="88"/>
    </row>
    <row r="694" spans="6:12" ht="12.5">
      <c r="F694" s="86"/>
      <c r="G694" s="86"/>
      <c r="H694" s="86"/>
      <c r="I694" s="65"/>
      <c r="J694" s="65"/>
      <c r="K694" s="87"/>
      <c r="L694" s="88"/>
    </row>
    <row r="695" spans="6:12" ht="12.5">
      <c r="F695" s="86"/>
      <c r="G695" s="86"/>
      <c r="H695" s="86"/>
      <c r="I695" s="65"/>
      <c r="J695" s="65"/>
      <c r="K695" s="87"/>
      <c r="L695" s="88"/>
    </row>
    <row r="696" spans="6:12" ht="12.5">
      <c r="F696" s="86"/>
      <c r="G696" s="86"/>
      <c r="H696" s="86"/>
      <c r="I696" s="65"/>
      <c r="J696" s="65"/>
      <c r="K696" s="87"/>
      <c r="L696" s="88"/>
    </row>
    <row r="697" spans="6:12" ht="12.5">
      <c r="F697" s="86"/>
      <c r="G697" s="86"/>
      <c r="H697" s="86"/>
      <c r="I697" s="65"/>
      <c r="J697" s="65"/>
      <c r="K697" s="87"/>
      <c r="L697" s="88"/>
    </row>
    <row r="698" spans="6:12" ht="12.5">
      <c r="F698" s="86"/>
      <c r="G698" s="86"/>
      <c r="H698" s="86"/>
      <c r="I698" s="65"/>
      <c r="J698" s="65"/>
      <c r="K698" s="87"/>
      <c r="L698" s="88"/>
    </row>
    <row r="699" spans="6:12" ht="12.5">
      <c r="F699" s="86"/>
      <c r="G699" s="86"/>
      <c r="H699" s="86"/>
      <c r="I699" s="65"/>
      <c r="J699" s="65"/>
      <c r="K699" s="87"/>
      <c r="L699" s="88"/>
    </row>
    <row r="700" spans="6:12" ht="12.5">
      <c r="F700" s="86"/>
      <c r="G700" s="86"/>
      <c r="H700" s="86"/>
      <c r="I700" s="65"/>
      <c r="J700" s="65"/>
      <c r="K700" s="87"/>
      <c r="L700" s="88"/>
    </row>
    <row r="701" spans="6:12" ht="12.5">
      <c r="F701" s="86"/>
      <c r="G701" s="86"/>
      <c r="H701" s="86"/>
      <c r="I701" s="65"/>
      <c r="J701" s="65"/>
      <c r="K701" s="87"/>
      <c r="L701" s="88"/>
    </row>
    <row r="702" spans="6:12" ht="12.5">
      <c r="F702" s="86"/>
      <c r="G702" s="86"/>
      <c r="H702" s="86"/>
      <c r="I702" s="65"/>
      <c r="J702" s="65"/>
      <c r="K702" s="87"/>
      <c r="L702" s="88"/>
    </row>
    <row r="703" spans="6:12" ht="12.5">
      <c r="F703" s="86"/>
      <c r="G703" s="86"/>
      <c r="H703" s="86"/>
      <c r="I703" s="65"/>
      <c r="J703" s="65"/>
      <c r="K703" s="87"/>
      <c r="L703" s="88"/>
    </row>
    <row r="704" spans="6:12" ht="12.5">
      <c r="F704" s="86"/>
      <c r="G704" s="86"/>
      <c r="H704" s="86"/>
      <c r="I704" s="65"/>
      <c r="J704" s="65"/>
      <c r="K704" s="87"/>
      <c r="L704" s="88"/>
    </row>
    <row r="705" spans="6:12" ht="12.5">
      <c r="F705" s="86"/>
      <c r="G705" s="86"/>
      <c r="H705" s="86"/>
      <c r="I705" s="65"/>
      <c r="J705" s="65"/>
      <c r="K705" s="87"/>
      <c r="L705" s="88"/>
    </row>
    <row r="706" spans="6:12" ht="12.5">
      <c r="F706" s="86"/>
      <c r="G706" s="86"/>
      <c r="H706" s="86"/>
      <c r="I706" s="65"/>
      <c r="J706" s="65"/>
      <c r="K706" s="87"/>
      <c r="L706" s="88"/>
    </row>
    <row r="707" spans="6:12" ht="12.5">
      <c r="F707" s="86"/>
      <c r="G707" s="86"/>
      <c r="H707" s="86"/>
      <c r="I707" s="65"/>
      <c r="J707" s="65"/>
      <c r="K707" s="87"/>
      <c r="L707" s="88"/>
    </row>
    <row r="708" spans="6:12" ht="12.5">
      <c r="F708" s="86"/>
      <c r="G708" s="86"/>
      <c r="H708" s="86"/>
      <c r="I708" s="65"/>
      <c r="J708" s="65"/>
      <c r="K708" s="87"/>
      <c r="L708" s="88"/>
    </row>
    <row r="709" spans="6:12" ht="12.5">
      <c r="F709" s="86"/>
      <c r="G709" s="86"/>
      <c r="H709" s="86"/>
      <c r="I709" s="65"/>
      <c r="J709" s="65"/>
      <c r="K709" s="87"/>
      <c r="L709" s="88"/>
    </row>
    <row r="710" spans="6:12" ht="12.5">
      <c r="F710" s="86"/>
      <c r="G710" s="86"/>
      <c r="H710" s="86"/>
      <c r="I710" s="65"/>
      <c r="J710" s="65"/>
      <c r="K710" s="87"/>
      <c r="L710" s="88"/>
    </row>
    <row r="711" spans="6:12" ht="12.5">
      <c r="F711" s="86"/>
      <c r="G711" s="86"/>
      <c r="H711" s="86"/>
      <c r="I711" s="65"/>
      <c r="J711" s="65"/>
      <c r="K711" s="87"/>
      <c r="L711" s="88"/>
    </row>
    <row r="712" spans="6:12" ht="12.5">
      <c r="F712" s="86"/>
      <c r="G712" s="86"/>
      <c r="H712" s="86"/>
      <c r="I712" s="65"/>
      <c r="J712" s="65"/>
      <c r="K712" s="87"/>
      <c r="L712" s="88"/>
    </row>
    <row r="713" spans="6:12" ht="12.5">
      <c r="F713" s="86"/>
      <c r="G713" s="86"/>
      <c r="H713" s="86"/>
      <c r="I713" s="65"/>
      <c r="J713" s="65"/>
      <c r="K713" s="87"/>
      <c r="L713" s="88"/>
    </row>
    <row r="714" spans="6:12" ht="12.5">
      <c r="F714" s="86"/>
      <c r="G714" s="86"/>
      <c r="H714" s="86"/>
      <c r="I714" s="65"/>
      <c r="J714" s="65"/>
      <c r="K714" s="87"/>
      <c r="L714" s="88"/>
    </row>
    <row r="715" spans="6:12" ht="12.5">
      <c r="F715" s="86"/>
      <c r="G715" s="86"/>
      <c r="H715" s="86"/>
      <c r="I715" s="65"/>
      <c r="J715" s="65"/>
      <c r="K715" s="87"/>
      <c r="L715" s="88"/>
    </row>
    <row r="716" spans="6:12" ht="12.5">
      <c r="F716" s="86"/>
      <c r="G716" s="86"/>
      <c r="H716" s="86"/>
      <c r="I716" s="65"/>
      <c r="J716" s="65"/>
      <c r="K716" s="87"/>
      <c r="L716" s="88"/>
    </row>
    <row r="717" spans="6:12" ht="12.5">
      <c r="F717" s="86"/>
      <c r="G717" s="86"/>
      <c r="H717" s="86"/>
      <c r="I717" s="65"/>
      <c r="J717" s="65"/>
      <c r="K717" s="87"/>
      <c r="L717" s="88"/>
    </row>
    <row r="718" spans="6:12" ht="12.5">
      <c r="F718" s="86"/>
      <c r="G718" s="86"/>
      <c r="H718" s="86"/>
      <c r="I718" s="65"/>
      <c r="J718" s="65"/>
      <c r="K718" s="87"/>
      <c r="L718" s="88"/>
    </row>
    <row r="719" spans="6:12" ht="12.5">
      <c r="F719" s="86"/>
      <c r="G719" s="86"/>
      <c r="H719" s="86"/>
      <c r="I719" s="65"/>
      <c r="J719" s="65"/>
      <c r="K719" s="87"/>
      <c r="L719" s="88"/>
    </row>
    <row r="720" spans="6:12" ht="12.5">
      <c r="F720" s="86"/>
      <c r="G720" s="86"/>
      <c r="H720" s="86"/>
      <c r="I720" s="65"/>
      <c r="J720" s="65"/>
      <c r="K720" s="87"/>
      <c r="L720" s="88"/>
    </row>
    <row r="721" spans="6:12" ht="12.5">
      <c r="F721" s="86"/>
      <c r="G721" s="86"/>
      <c r="H721" s="86"/>
      <c r="I721" s="65"/>
      <c r="J721" s="65"/>
      <c r="K721" s="87"/>
      <c r="L721" s="88"/>
    </row>
    <row r="722" spans="6:12" ht="12.5">
      <c r="F722" s="86"/>
      <c r="G722" s="86"/>
      <c r="H722" s="86"/>
      <c r="I722" s="65"/>
      <c r="J722" s="65"/>
      <c r="K722" s="87"/>
      <c r="L722" s="88"/>
    </row>
    <row r="723" spans="6:12" ht="12.5">
      <c r="F723" s="86"/>
      <c r="G723" s="86"/>
      <c r="H723" s="86"/>
      <c r="I723" s="65"/>
      <c r="J723" s="65"/>
      <c r="K723" s="87"/>
      <c r="L723" s="88"/>
    </row>
    <row r="724" spans="6:12" ht="12.5">
      <c r="F724" s="86"/>
      <c r="G724" s="86"/>
      <c r="H724" s="86"/>
      <c r="I724" s="65"/>
      <c r="J724" s="65"/>
      <c r="K724" s="87"/>
      <c r="L724" s="88"/>
    </row>
    <row r="725" spans="6:12" ht="12.5">
      <c r="F725" s="86"/>
      <c r="G725" s="86"/>
      <c r="H725" s="86"/>
      <c r="I725" s="65"/>
      <c r="J725" s="65"/>
      <c r="K725" s="87"/>
      <c r="L725" s="88"/>
    </row>
    <row r="726" spans="6:12" ht="12.5">
      <c r="F726" s="86"/>
      <c r="G726" s="86"/>
      <c r="H726" s="86"/>
      <c r="I726" s="65"/>
      <c r="J726" s="65"/>
      <c r="K726" s="87"/>
      <c r="L726" s="88"/>
    </row>
    <row r="727" spans="6:12" ht="12.5">
      <c r="F727" s="86"/>
      <c r="G727" s="86"/>
      <c r="H727" s="86"/>
      <c r="I727" s="65"/>
      <c r="J727" s="65"/>
      <c r="K727" s="87"/>
      <c r="L727" s="88"/>
    </row>
    <row r="728" spans="6:12" ht="12.5">
      <c r="F728" s="86"/>
      <c r="G728" s="86"/>
      <c r="H728" s="86"/>
      <c r="I728" s="65"/>
      <c r="J728" s="65"/>
      <c r="K728" s="87"/>
      <c r="L728" s="88"/>
    </row>
    <row r="729" spans="6:12" ht="12.5">
      <c r="F729" s="86"/>
      <c r="G729" s="86"/>
      <c r="H729" s="86"/>
      <c r="I729" s="65"/>
      <c r="J729" s="65"/>
      <c r="K729" s="87"/>
      <c r="L729" s="88"/>
    </row>
    <row r="730" spans="6:12" ht="12.5">
      <c r="F730" s="86"/>
      <c r="G730" s="86"/>
      <c r="H730" s="86"/>
      <c r="I730" s="65"/>
      <c r="J730" s="65"/>
      <c r="K730" s="87"/>
      <c r="L730" s="88"/>
    </row>
    <row r="731" spans="6:12" ht="12.5">
      <c r="F731" s="86"/>
      <c r="G731" s="86"/>
      <c r="H731" s="86"/>
      <c r="I731" s="65"/>
      <c r="J731" s="65"/>
      <c r="K731" s="87"/>
      <c r="L731" s="88"/>
    </row>
    <row r="732" spans="6:12" ht="12.5">
      <c r="F732" s="86"/>
      <c r="G732" s="86"/>
      <c r="H732" s="86"/>
      <c r="I732" s="65"/>
      <c r="J732" s="65"/>
      <c r="K732" s="87"/>
      <c r="L732" s="88"/>
    </row>
    <row r="733" spans="6:12" ht="12.5">
      <c r="F733" s="86"/>
      <c r="G733" s="86"/>
      <c r="H733" s="86"/>
      <c r="I733" s="65"/>
      <c r="J733" s="65"/>
      <c r="K733" s="87"/>
      <c r="L733" s="88"/>
    </row>
    <row r="734" spans="6:12" ht="12.5">
      <c r="F734" s="86"/>
      <c r="G734" s="86"/>
      <c r="H734" s="86"/>
      <c r="I734" s="65"/>
      <c r="J734" s="65"/>
      <c r="K734" s="87"/>
      <c r="L734" s="88"/>
    </row>
    <row r="735" spans="6:12" ht="12.5">
      <c r="F735" s="86"/>
      <c r="G735" s="86"/>
      <c r="H735" s="86"/>
      <c r="I735" s="65"/>
      <c r="J735" s="65"/>
      <c r="K735" s="87"/>
      <c r="L735" s="88"/>
    </row>
    <row r="736" spans="6:12" ht="12.5">
      <c r="F736" s="86"/>
      <c r="G736" s="86"/>
      <c r="H736" s="86"/>
      <c r="I736" s="65"/>
      <c r="J736" s="65"/>
      <c r="K736" s="87"/>
      <c r="L736" s="88"/>
    </row>
    <row r="737" spans="6:12" ht="12.5">
      <c r="F737" s="86"/>
      <c r="G737" s="86"/>
      <c r="H737" s="86"/>
      <c r="I737" s="65"/>
      <c r="J737" s="65"/>
      <c r="K737" s="87"/>
      <c r="L737" s="88"/>
    </row>
    <row r="738" spans="6:12" ht="12.5">
      <c r="F738" s="86"/>
      <c r="G738" s="86"/>
      <c r="H738" s="86"/>
      <c r="I738" s="65"/>
      <c r="J738" s="65"/>
      <c r="K738" s="87"/>
      <c r="L738" s="88"/>
    </row>
    <row r="739" spans="6:12" ht="12.5">
      <c r="F739" s="86"/>
      <c r="G739" s="86"/>
      <c r="H739" s="86"/>
      <c r="I739" s="65"/>
      <c r="J739" s="65"/>
      <c r="K739" s="87"/>
      <c r="L739" s="88"/>
    </row>
    <row r="740" spans="6:12" ht="12.5">
      <c r="F740" s="86"/>
      <c r="G740" s="86"/>
      <c r="H740" s="86"/>
      <c r="I740" s="65"/>
      <c r="J740" s="65"/>
      <c r="K740" s="87"/>
      <c r="L740" s="88"/>
    </row>
    <row r="741" spans="6:12" ht="12.5">
      <c r="F741" s="86"/>
      <c r="G741" s="86"/>
      <c r="H741" s="86"/>
      <c r="I741" s="65"/>
      <c r="J741" s="65"/>
      <c r="K741" s="87"/>
      <c r="L741" s="88"/>
    </row>
    <row r="742" spans="6:12" ht="12.5">
      <c r="F742" s="86"/>
      <c r="G742" s="86"/>
      <c r="H742" s="86"/>
      <c r="I742" s="65"/>
      <c r="J742" s="65"/>
      <c r="K742" s="87"/>
      <c r="L742" s="88"/>
    </row>
    <row r="743" spans="6:12" ht="12.5">
      <c r="F743" s="86"/>
      <c r="G743" s="86"/>
      <c r="H743" s="86"/>
      <c r="I743" s="65"/>
      <c r="J743" s="65"/>
      <c r="K743" s="87"/>
      <c r="L743" s="88"/>
    </row>
    <row r="744" spans="6:12" ht="12.5">
      <c r="F744" s="86"/>
      <c r="G744" s="86"/>
      <c r="H744" s="86"/>
      <c r="I744" s="65"/>
      <c r="J744" s="65"/>
      <c r="K744" s="87"/>
      <c r="L744" s="88"/>
    </row>
    <row r="745" spans="6:12" ht="12.5">
      <c r="F745" s="86"/>
      <c r="G745" s="86"/>
      <c r="H745" s="86"/>
      <c r="I745" s="65"/>
      <c r="J745" s="65"/>
      <c r="K745" s="87"/>
      <c r="L745" s="88"/>
    </row>
    <row r="746" spans="6:12" ht="12.5">
      <c r="F746" s="86"/>
      <c r="G746" s="86"/>
      <c r="H746" s="86"/>
      <c r="I746" s="65"/>
      <c r="J746" s="65"/>
      <c r="K746" s="87"/>
      <c r="L746" s="88"/>
    </row>
    <row r="747" spans="6:12" ht="12.5">
      <c r="F747" s="86"/>
      <c r="G747" s="86"/>
      <c r="H747" s="86"/>
      <c r="I747" s="65"/>
      <c r="J747" s="65"/>
      <c r="K747" s="87"/>
      <c r="L747" s="88"/>
    </row>
    <row r="748" spans="6:12" ht="12.5">
      <c r="F748" s="86"/>
      <c r="G748" s="86"/>
      <c r="H748" s="86"/>
      <c r="I748" s="65"/>
      <c r="J748" s="65"/>
      <c r="K748" s="87"/>
      <c r="L748" s="88"/>
    </row>
    <row r="749" spans="6:12" ht="12.5">
      <c r="F749" s="86"/>
      <c r="G749" s="86"/>
      <c r="H749" s="86"/>
      <c r="I749" s="65"/>
      <c r="J749" s="65"/>
      <c r="K749" s="87"/>
      <c r="L749" s="88"/>
    </row>
    <row r="750" spans="6:12" ht="12.5">
      <c r="F750" s="86"/>
      <c r="G750" s="86"/>
      <c r="H750" s="86"/>
      <c r="I750" s="65"/>
      <c r="J750" s="65"/>
      <c r="K750" s="87"/>
      <c r="L750" s="88"/>
    </row>
    <row r="751" spans="6:12" ht="12.5">
      <c r="F751" s="86"/>
      <c r="G751" s="86"/>
      <c r="H751" s="86"/>
      <c r="I751" s="65"/>
      <c r="J751" s="65"/>
      <c r="K751" s="87"/>
      <c r="L751" s="88"/>
    </row>
    <row r="752" spans="6:12" ht="12.5">
      <c r="F752" s="86"/>
      <c r="G752" s="86"/>
      <c r="H752" s="86"/>
      <c r="I752" s="65"/>
      <c r="J752" s="65"/>
      <c r="K752" s="87"/>
      <c r="L752" s="88"/>
    </row>
    <row r="753" spans="6:12" ht="12.5">
      <c r="F753" s="86"/>
      <c r="G753" s="86"/>
      <c r="H753" s="86"/>
      <c r="I753" s="65"/>
      <c r="J753" s="65"/>
      <c r="K753" s="87"/>
      <c r="L753" s="88"/>
    </row>
    <row r="754" spans="6:12" ht="12.5">
      <c r="F754" s="86"/>
      <c r="G754" s="86"/>
      <c r="H754" s="86"/>
      <c r="I754" s="65"/>
      <c r="J754" s="65"/>
      <c r="K754" s="87"/>
      <c r="L754" s="88"/>
    </row>
    <row r="755" spans="6:12" ht="12.5">
      <c r="F755" s="86"/>
      <c r="G755" s="86"/>
      <c r="H755" s="86"/>
      <c r="I755" s="65"/>
      <c r="J755" s="65"/>
      <c r="K755" s="87"/>
      <c r="L755" s="88"/>
    </row>
    <row r="756" spans="6:12" ht="12.5">
      <c r="F756" s="86"/>
      <c r="G756" s="86"/>
      <c r="H756" s="86"/>
      <c r="I756" s="65"/>
      <c r="J756" s="65"/>
      <c r="K756" s="87"/>
      <c r="L756" s="88"/>
    </row>
    <row r="757" spans="6:12" ht="12.5">
      <c r="F757" s="86"/>
      <c r="G757" s="86"/>
      <c r="H757" s="86"/>
      <c r="I757" s="65"/>
      <c r="J757" s="65"/>
      <c r="K757" s="87"/>
      <c r="L757" s="88"/>
    </row>
    <row r="758" spans="6:12" ht="12.5">
      <c r="F758" s="86"/>
      <c r="G758" s="86"/>
      <c r="H758" s="86"/>
      <c r="I758" s="65"/>
      <c r="J758" s="65"/>
      <c r="K758" s="87"/>
      <c r="L758" s="88"/>
    </row>
    <row r="759" spans="6:12" ht="12.5">
      <c r="F759" s="86"/>
      <c r="G759" s="86"/>
      <c r="H759" s="86"/>
      <c r="I759" s="65"/>
      <c r="J759" s="65"/>
      <c r="K759" s="87"/>
      <c r="L759" s="88"/>
    </row>
    <row r="760" spans="6:12" ht="12.5">
      <c r="F760" s="86"/>
      <c r="G760" s="86"/>
      <c r="H760" s="86"/>
      <c r="I760" s="65"/>
      <c r="J760" s="65"/>
      <c r="K760" s="87"/>
      <c r="L760" s="88"/>
    </row>
    <row r="761" spans="6:12" ht="12.5">
      <c r="F761" s="86"/>
      <c r="G761" s="86"/>
      <c r="H761" s="86"/>
      <c r="I761" s="65"/>
      <c r="J761" s="65"/>
      <c r="K761" s="87"/>
      <c r="L761" s="88"/>
    </row>
    <row r="762" spans="6:12" ht="12.5">
      <c r="F762" s="86"/>
      <c r="G762" s="86"/>
      <c r="H762" s="86"/>
      <c r="I762" s="65"/>
      <c r="J762" s="65"/>
      <c r="K762" s="87"/>
      <c r="L762" s="88"/>
    </row>
    <row r="763" spans="6:12" ht="12.5">
      <c r="F763" s="86"/>
      <c r="G763" s="86"/>
      <c r="H763" s="86"/>
      <c r="I763" s="65"/>
      <c r="J763" s="65"/>
      <c r="K763" s="87"/>
      <c r="L763" s="88"/>
    </row>
    <row r="764" spans="6:12" ht="12.5">
      <c r="F764" s="86"/>
      <c r="G764" s="86"/>
      <c r="H764" s="86"/>
      <c r="I764" s="65"/>
      <c r="J764" s="65"/>
      <c r="K764" s="87"/>
      <c r="L764" s="88"/>
    </row>
    <row r="765" spans="6:12" ht="12.5">
      <c r="F765" s="86"/>
      <c r="G765" s="86"/>
      <c r="H765" s="86"/>
      <c r="I765" s="65"/>
      <c r="J765" s="65"/>
      <c r="K765" s="87"/>
      <c r="L765" s="88"/>
    </row>
    <row r="766" spans="6:12" ht="12.5">
      <c r="F766" s="86"/>
      <c r="G766" s="86"/>
      <c r="H766" s="86"/>
      <c r="I766" s="65"/>
      <c r="J766" s="65"/>
      <c r="K766" s="87"/>
      <c r="L766" s="88"/>
    </row>
    <row r="767" spans="6:12" ht="12.5">
      <c r="F767" s="86"/>
      <c r="G767" s="86"/>
      <c r="H767" s="86"/>
      <c r="I767" s="65"/>
      <c r="J767" s="65"/>
      <c r="K767" s="87"/>
      <c r="L767" s="88"/>
    </row>
    <row r="768" spans="6:12" ht="12.5">
      <c r="F768" s="86"/>
      <c r="G768" s="86"/>
      <c r="H768" s="86"/>
      <c r="I768" s="65"/>
      <c r="J768" s="65"/>
      <c r="K768" s="87"/>
      <c r="L768" s="88"/>
    </row>
    <row r="769" spans="6:12" ht="12.5">
      <c r="F769" s="86"/>
      <c r="G769" s="86"/>
      <c r="H769" s="86"/>
      <c r="I769" s="65"/>
      <c r="J769" s="65"/>
      <c r="K769" s="87"/>
      <c r="L769" s="88"/>
    </row>
    <row r="770" spans="6:12" ht="12.5">
      <c r="F770" s="86"/>
      <c r="G770" s="86"/>
      <c r="H770" s="86"/>
      <c r="I770" s="65"/>
      <c r="J770" s="65"/>
      <c r="K770" s="87"/>
      <c r="L770" s="88"/>
    </row>
    <row r="771" spans="6:12" ht="12.5">
      <c r="F771" s="86"/>
      <c r="G771" s="86"/>
      <c r="H771" s="86"/>
      <c r="I771" s="65"/>
      <c r="J771" s="65"/>
      <c r="K771" s="87"/>
      <c r="L771" s="88"/>
    </row>
    <row r="772" spans="6:12" ht="12.5">
      <c r="F772" s="86"/>
      <c r="G772" s="86"/>
      <c r="H772" s="86"/>
      <c r="I772" s="65"/>
      <c r="J772" s="65"/>
      <c r="K772" s="87"/>
      <c r="L772" s="88"/>
    </row>
    <row r="773" spans="6:12" ht="12.5">
      <c r="F773" s="86"/>
      <c r="G773" s="86"/>
      <c r="H773" s="86"/>
      <c r="I773" s="65"/>
      <c r="J773" s="65"/>
      <c r="K773" s="87"/>
      <c r="L773" s="88"/>
    </row>
    <row r="774" spans="6:12" ht="12.5">
      <c r="F774" s="86"/>
      <c r="G774" s="86"/>
      <c r="H774" s="86"/>
      <c r="I774" s="65"/>
      <c r="J774" s="65"/>
      <c r="K774" s="87"/>
      <c r="L774" s="88"/>
    </row>
    <row r="775" spans="6:12" ht="12.5">
      <c r="F775" s="86"/>
      <c r="G775" s="86"/>
      <c r="H775" s="86"/>
      <c r="I775" s="65"/>
      <c r="J775" s="65"/>
      <c r="K775" s="87"/>
      <c r="L775" s="88"/>
    </row>
    <row r="776" spans="6:12" ht="12.5">
      <c r="F776" s="86"/>
      <c r="G776" s="86"/>
      <c r="H776" s="86"/>
      <c r="I776" s="65"/>
      <c r="J776" s="65"/>
      <c r="K776" s="87"/>
      <c r="L776" s="88"/>
    </row>
    <row r="777" spans="6:12" ht="12.5">
      <c r="F777" s="86"/>
      <c r="G777" s="86"/>
      <c r="H777" s="86"/>
      <c r="I777" s="65"/>
      <c r="J777" s="65"/>
      <c r="K777" s="87"/>
      <c r="L777" s="88"/>
    </row>
    <row r="778" spans="6:12" ht="12.5">
      <c r="F778" s="86"/>
      <c r="G778" s="86"/>
      <c r="H778" s="86"/>
      <c r="I778" s="65"/>
      <c r="J778" s="65"/>
      <c r="K778" s="87"/>
      <c r="L778" s="88"/>
    </row>
    <row r="779" spans="6:12" ht="12.5">
      <c r="F779" s="86"/>
      <c r="G779" s="86"/>
      <c r="H779" s="86"/>
      <c r="I779" s="65"/>
      <c r="J779" s="65"/>
      <c r="K779" s="87"/>
      <c r="L779" s="88"/>
    </row>
    <row r="780" spans="6:12" ht="12.5">
      <c r="F780" s="86"/>
      <c r="G780" s="86"/>
      <c r="H780" s="86"/>
      <c r="I780" s="65"/>
      <c r="J780" s="65"/>
      <c r="K780" s="87"/>
      <c r="L780" s="88"/>
    </row>
    <row r="781" spans="6:12" ht="12.5">
      <c r="F781" s="86"/>
      <c r="G781" s="86"/>
      <c r="H781" s="86"/>
      <c r="I781" s="65"/>
      <c r="J781" s="65"/>
      <c r="K781" s="87"/>
      <c r="L781" s="88"/>
    </row>
    <row r="782" spans="6:12" ht="12.5">
      <c r="F782" s="86"/>
      <c r="G782" s="86"/>
      <c r="H782" s="86"/>
      <c r="I782" s="65"/>
      <c r="J782" s="65"/>
      <c r="K782" s="87"/>
      <c r="L782" s="88"/>
    </row>
    <row r="783" spans="6:12" ht="12.5">
      <c r="F783" s="86"/>
      <c r="G783" s="86"/>
      <c r="H783" s="86"/>
      <c r="I783" s="65"/>
      <c r="J783" s="65"/>
      <c r="K783" s="87"/>
      <c r="L783" s="88"/>
    </row>
    <row r="784" spans="6:12" ht="12.5">
      <c r="F784" s="86"/>
      <c r="G784" s="86"/>
      <c r="H784" s="86"/>
      <c r="I784" s="65"/>
      <c r="J784" s="65"/>
      <c r="K784" s="87"/>
      <c r="L784" s="88"/>
    </row>
    <row r="785" spans="6:12" ht="12.5">
      <c r="F785" s="86"/>
      <c r="G785" s="86"/>
      <c r="H785" s="86"/>
      <c r="I785" s="65"/>
      <c r="J785" s="65"/>
      <c r="K785" s="87"/>
      <c r="L785" s="88"/>
    </row>
    <row r="786" spans="6:12" ht="12.5">
      <c r="F786" s="86"/>
      <c r="G786" s="86"/>
      <c r="H786" s="86"/>
      <c r="I786" s="65"/>
      <c r="J786" s="65"/>
      <c r="K786" s="87"/>
      <c r="L786" s="88"/>
    </row>
    <row r="787" spans="6:12" ht="12.5">
      <c r="F787" s="86"/>
      <c r="G787" s="86"/>
      <c r="H787" s="86"/>
      <c r="I787" s="65"/>
      <c r="J787" s="65"/>
      <c r="K787" s="87"/>
      <c r="L787" s="88"/>
    </row>
    <row r="788" spans="6:12" ht="12.5">
      <c r="F788" s="86"/>
      <c r="G788" s="86"/>
      <c r="H788" s="86"/>
      <c r="I788" s="65"/>
      <c r="J788" s="65"/>
      <c r="K788" s="87"/>
      <c r="L788" s="88"/>
    </row>
    <row r="789" spans="6:12" ht="12.5">
      <c r="F789" s="86"/>
      <c r="G789" s="86"/>
      <c r="H789" s="86"/>
      <c r="I789" s="65"/>
      <c r="J789" s="65"/>
      <c r="K789" s="87"/>
      <c r="L789" s="88"/>
    </row>
    <row r="790" spans="6:12" ht="12.5">
      <c r="F790" s="86"/>
      <c r="G790" s="86"/>
      <c r="H790" s="86"/>
      <c r="I790" s="65"/>
      <c r="J790" s="65"/>
      <c r="K790" s="87"/>
      <c r="L790" s="88"/>
    </row>
    <row r="791" spans="6:12" ht="12.5">
      <c r="F791" s="86"/>
      <c r="G791" s="86"/>
      <c r="H791" s="86"/>
      <c r="I791" s="65"/>
      <c r="J791" s="65"/>
      <c r="K791" s="87"/>
      <c r="L791" s="88"/>
    </row>
    <row r="792" spans="6:12" ht="12.5">
      <c r="F792" s="86"/>
      <c r="G792" s="86"/>
      <c r="H792" s="86"/>
      <c r="I792" s="65"/>
      <c r="J792" s="65"/>
      <c r="K792" s="87"/>
      <c r="L792" s="88"/>
    </row>
    <row r="793" spans="6:12" ht="12.5">
      <c r="F793" s="86"/>
      <c r="G793" s="86"/>
      <c r="H793" s="86"/>
      <c r="I793" s="65"/>
      <c r="J793" s="65"/>
      <c r="K793" s="87"/>
      <c r="L793" s="88"/>
    </row>
    <row r="794" spans="6:12" ht="12.5">
      <c r="F794" s="86"/>
      <c r="G794" s="86"/>
      <c r="H794" s="86"/>
      <c r="I794" s="65"/>
      <c r="J794" s="65"/>
      <c r="K794" s="87"/>
      <c r="L794" s="88"/>
    </row>
    <row r="795" spans="6:12" ht="12.5">
      <c r="F795" s="86"/>
      <c r="G795" s="86"/>
      <c r="H795" s="86"/>
      <c r="I795" s="65"/>
      <c r="J795" s="65"/>
      <c r="K795" s="87"/>
      <c r="L795" s="88"/>
    </row>
    <row r="796" spans="6:12" ht="12.5">
      <c r="F796" s="86"/>
      <c r="G796" s="86"/>
      <c r="H796" s="86"/>
      <c r="I796" s="65"/>
      <c r="J796" s="65"/>
      <c r="K796" s="87"/>
      <c r="L796" s="88"/>
    </row>
    <row r="797" spans="6:12" ht="12.5">
      <c r="F797" s="86"/>
      <c r="G797" s="86"/>
      <c r="H797" s="86"/>
      <c r="I797" s="65"/>
      <c r="J797" s="65"/>
      <c r="K797" s="87"/>
      <c r="L797" s="88"/>
    </row>
    <row r="798" spans="6:12" ht="12.5">
      <c r="F798" s="86"/>
      <c r="G798" s="86"/>
      <c r="H798" s="86"/>
      <c r="I798" s="65"/>
      <c r="J798" s="65"/>
      <c r="K798" s="87"/>
      <c r="L798" s="88"/>
    </row>
    <row r="799" spans="6:12" ht="12.5">
      <c r="F799" s="86"/>
      <c r="G799" s="86"/>
      <c r="H799" s="86"/>
      <c r="I799" s="65"/>
      <c r="J799" s="65"/>
      <c r="K799" s="87"/>
      <c r="L799" s="88"/>
    </row>
    <row r="800" spans="6:12" ht="12.5">
      <c r="F800" s="86"/>
      <c r="G800" s="86"/>
      <c r="H800" s="86"/>
      <c r="I800" s="65"/>
      <c r="J800" s="65"/>
      <c r="K800" s="87"/>
      <c r="L800" s="88"/>
    </row>
    <row r="801" spans="6:12" ht="12.5">
      <c r="F801" s="86"/>
      <c r="G801" s="86"/>
      <c r="H801" s="86"/>
      <c r="I801" s="65"/>
      <c r="J801" s="65"/>
      <c r="K801" s="87"/>
      <c r="L801" s="88"/>
    </row>
    <row r="802" spans="6:12" ht="12.5">
      <c r="F802" s="86"/>
      <c r="G802" s="86"/>
      <c r="H802" s="86"/>
      <c r="I802" s="65"/>
      <c r="J802" s="65"/>
      <c r="K802" s="87"/>
      <c r="L802" s="88"/>
    </row>
    <row r="803" spans="6:12" ht="12.5">
      <c r="F803" s="86"/>
      <c r="G803" s="86"/>
      <c r="H803" s="86"/>
      <c r="I803" s="65"/>
      <c r="J803" s="65"/>
      <c r="K803" s="87"/>
      <c r="L803" s="88"/>
    </row>
    <row r="804" spans="6:12" ht="12.5">
      <c r="F804" s="86"/>
      <c r="G804" s="86"/>
      <c r="H804" s="86"/>
      <c r="I804" s="65"/>
      <c r="J804" s="65"/>
      <c r="K804" s="87"/>
      <c r="L804" s="88"/>
    </row>
    <row r="805" spans="6:12" ht="12.5">
      <c r="F805" s="86"/>
      <c r="G805" s="86"/>
      <c r="H805" s="86"/>
      <c r="I805" s="65"/>
      <c r="J805" s="65"/>
      <c r="K805" s="87"/>
      <c r="L805" s="88"/>
    </row>
    <row r="806" spans="6:12" ht="12.5">
      <c r="F806" s="86"/>
      <c r="G806" s="86"/>
      <c r="H806" s="86"/>
      <c r="I806" s="65"/>
      <c r="J806" s="65"/>
      <c r="K806" s="87"/>
      <c r="L806" s="88"/>
    </row>
    <row r="807" spans="6:12" ht="12.5">
      <c r="F807" s="86"/>
      <c r="G807" s="86"/>
      <c r="H807" s="86"/>
      <c r="I807" s="65"/>
      <c r="J807" s="65"/>
      <c r="K807" s="87"/>
      <c r="L807" s="88"/>
    </row>
    <row r="808" spans="6:12" ht="12.5">
      <c r="F808" s="86"/>
      <c r="G808" s="86"/>
      <c r="H808" s="86"/>
      <c r="I808" s="65"/>
      <c r="J808" s="65"/>
      <c r="K808" s="87"/>
      <c r="L808" s="88"/>
    </row>
    <row r="809" spans="6:12" ht="12.5">
      <c r="F809" s="86"/>
      <c r="G809" s="86"/>
      <c r="H809" s="86"/>
      <c r="I809" s="65"/>
      <c r="J809" s="65"/>
      <c r="K809" s="87"/>
      <c r="L809" s="88"/>
    </row>
    <row r="810" spans="6:12" ht="12.5">
      <c r="F810" s="86"/>
      <c r="G810" s="86"/>
      <c r="H810" s="86"/>
      <c r="I810" s="65"/>
      <c r="J810" s="65"/>
      <c r="K810" s="87"/>
      <c r="L810" s="88"/>
    </row>
    <row r="811" spans="6:12" ht="12.5">
      <c r="F811" s="86"/>
      <c r="G811" s="86"/>
      <c r="H811" s="86"/>
      <c r="I811" s="65"/>
      <c r="J811" s="65"/>
      <c r="K811" s="87"/>
      <c r="L811" s="88"/>
    </row>
    <row r="812" spans="6:12" ht="12.5">
      <c r="F812" s="86"/>
      <c r="G812" s="86"/>
      <c r="H812" s="86"/>
      <c r="I812" s="65"/>
      <c r="J812" s="65"/>
      <c r="K812" s="87"/>
      <c r="L812" s="88"/>
    </row>
    <row r="813" spans="6:12" ht="12.5">
      <c r="F813" s="86"/>
      <c r="G813" s="86"/>
      <c r="H813" s="86"/>
      <c r="I813" s="65"/>
      <c r="J813" s="65"/>
      <c r="K813" s="87"/>
      <c r="L813" s="88"/>
    </row>
    <row r="814" spans="6:12" ht="12.5">
      <c r="F814" s="86"/>
      <c r="G814" s="86"/>
      <c r="H814" s="86"/>
      <c r="I814" s="65"/>
      <c r="J814" s="65"/>
      <c r="K814" s="87"/>
      <c r="L814" s="88"/>
    </row>
    <row r="815" spans="6:12" ht="12.5">
      <c r="F815" s="86"/>
      <c r="G815" s="86"/>
      <c r="H815" s="86"/>
      <c r="I815" s="65"/>
      <c r="J815" s="65"/>
      <c r="K815" s="87"/>
      <c r="L815" s="88"/>
    </row>
    <row r="816" spans="6:12" ht="12.5">
      <c r="F816" s="86"/>
      <c r="G816" s="86"/>
      <c r="H816" s="86"/>
      <c r="I816" s="65"/>
      <c r="J816" s="65"/>
      <c r="K816" s="87"/>
      <c r="L816" s="88"/>
    </row>
    <row r="817" spans="6:12" ht="12.5">
      <c r="F817" s="86"/>
      <c r="G817" s="86"/>
      <c r="H817" s="86"/>
      <c r="I817" s="65"/>
      <c r="J817" s="65"/>
      <c r="K817" s="87"/>
      <c r="L817" s="88"/>
    </row>
    <row r="818" spans="6:12" ht="12.5">
      <c r="F818" s="86"/>
      <c r="G818" s="86"/>
      <c r="H818" s="86"/>
      <c r="I818" s="65"/>
      <c r="J818" s="65"/>
      <c r="K818" s="87"/>
      <c r="L818" s="88"/>
    </row>
    <row r="819" spans="6:12" ht="12.5">
      <c r="F819" s="86"/>
      <c r="G819" s="86"/>
      <c r="H819" s="86"/>
      <c r="I819" s="65"/>
      <c r="J819" s="65"/>
      <c r="K819" s="87"/>
      <c r="L819" s="88"/>
    </row>
    <row r="820" spans="6:12" ht="12.5">
      <c r="F820" s="86"/>
      <c r="G820" s="86"/>
      <c r="H820" s="86"/>
      <c r="I820" s="65"/>
      <c r="J820" s="65"/>
      <c r="K820" s="87"/>
      <c r="L820" s="88"/>
    </row>
    <row r="821" spans="6:12" ht="12.5">
      <c r="F821" s="86"/>
      <c r="G821" s="86"/>
      <c r="H821" s="86"/>
      <c r="I821" s="65"/>
      <c r="J821" s="65"/>
      <c r="K821" s="87"/>
      <c r="L821" s="88"/>
    </row>
    <row r="822" spans="6:12" ht="12.5">
      <c r="F822" s="86"/>
      <c r="G822" s="86"/>
      <c r="H822" s="86"/>
      <c r="I822" s="65"/>
      <c r="J822" s="65"/>
      <c r="K822" s="87"/>
      <c r="L822" s="88"/>
    </row>
    <row r="823" spans="6:12" ht="12.5">
      <c r="F823" s="86"/>
      <c r="G823" s="86"/>
      <c r="H823" s="86"/>
      <c r="I823" s="65"/>
      <c r="J823" s="65"/>
      <c r="K823" s="87"/>
      <c r="L823" s="88"/>
    </row>
    <row r="824" spans="6:12" ht="12.5">
      <c r="F824" s="86"/>
      <c r="G824" s="86"/>
      <c r="H824" s="86"/>
      <c r="I824" s="65"/>
      <c r="J824" s="65"/>
      <c r="K824" s="87"/>
      <c r="L824" s="88"/>
    </row>
    <row r="825" spans="6:12" ht="12.5">
      <c r="F825" s="86"/>
      <c r="G825" s="86"/>
      <c r="H825" s="86"/>
      <c r="I825" s="65"/>
      <c r="J825" s="65"/>
      <c r="K825" s="87"/>
      <c r="L825" s="88"/>
    </row>
    <row r="826" spans="6:12" ht="12.5">
      <c r="F826" s="86"/>
      <c r="G826" s="86"/>
      <c r="H826" s="86"/>
      <c r="I826" s="65"/>
      <c r="J826" s="65"/>
      <c r="K826" s="87"/>
      <c r="L826" s="88"/>
    </row>
    <row r="827" spans="6:12" ht="12.5">
      <c r="F827" s="86"/>
      <c r="G827" s="86"/>
      <c r="H827" s="86"/>
      <c r="I827" s="65"/>
      <c r="J827" s="65"/>
      <c r="K827" s="87"/>
      <c r="L827" s="88"/>
    </row>
    <row r="828" spans="6:12" ht="12.5">
      <c r="F828" s="86"/>
      <c r="G828" s="86"/>
      <c r="H828" s="86"/>
      <c r="I828" s="65"/>
      <c r="J828" s="65"/>
      <c r="K828" s="87"/>
      <c r="L828" s="88"/>
    </row>
    <row r="829" spans="6:12" ht="12.5">
      <c r="F829" s="86"/>
      <c r="G829" s="86"/>
      <c r="H829" s="86"/>
      <c r="I829" s="65"/>
      <c r="J829" s="65"/>
      <c r="K829" s="87"/>
      <c r="L829" s="88"/>
    </row>
    <row r="830" spans="6:12" ht="12.5">
      <c r="F830" s="86"/>
      <c r="G830" s="86"/>
      <c r="H830" s="86"/>
      <c r="I830" s="65"/>
      <c r="J830" s="65"/>
      <c r="K830" s="87"/>
      <c r="L830" s="88"/>
    </row>
    <row r="831" spans="6:12" ht="12.5">
      <c r="F831" s="86"/>
      <c r="G831" s="86"/>
      <c r="H831" s="86"/>
      <c r="I831" s="65"/>
      <c r="J831" s="65"/>
      <c r="K831" s="87"/>
      <c r="L831" s="88"/>
    </row>
    <row r="832" spans="6:12" ht="12.5">
      <c r="F832" s="86"/>
      <c r="G832" s="86"/>
      <c r="H832" s="86"/>
      <c r="I832" s="65"/>
      <c r="J832" s="65"/>
      <c r="K832" s="87"/>
      <c r="L832" s="88"/>
    </row>
    <row r="833" spans="6:12" ht="12.5">
      <c r="F833" s="86"/>
      <c r="G833" s="86"/>
      <c r="H833" s="86"/>
      <c r="I833" s="65"/>
      <c r="J833" s="65"/>
      <c r="K833" s="87"/>
      <c r="L833" s="88"/>
    </row>
    <row r="834" spans="6:12" ht="12.5">
      <c r="F834" s="86"/>
      <c r="G834" s="86"/>
      <c r="H834" s="86"/>
      <c r="I834" s="65"/>
      <c r="J834" s="65"/>
      <c r="K834" s="87"/>
      <c r="L834" s="88"/>
    </row>
    <row r="835" spans="6:12" ht="12.5">
      <c r="F835" s="86"/>
      <c r="G835" s="86"/>
      <c r="H835" s="86"/>
      <c r="I835" s="65"/>
      <c r="J835" s="65"/>
      <c r="K835" s="87"/>
      <c r="L835" s="88"/>
    </row>
    <row r="836" spans="6:12" ht="12.5">
      <c r="F836" s="86"/>
      <c r="G836" s="86"/>
      <c r="H836" s="86"/>
      <c r="I836" s="65"/>
      <c r="J836" s="65"/>
      <c r="K836" s="87"/>
      <c r="L836" s="88"/>
    </row>
    <row r="837" spans="6:12" ht="12.5">
      <c r="F837" s="86"/>
      <c r="G837" s="86"/>
      <c r="H837" s="86"/>
      <c r="I837" s="65"/>
      <c r="J837" s="65"/>
      <c r="K837" s="87"/>
      <c r="L837" s="88"/>
    </row>
    <row r="838" spans="6:12" ht="12.5">
      <c r="F838" s="86"/>
      <c r="G838" s="86"/>
      <c r="H838" s="86"/>
      <c r="I838" s="65"/>
      <c r="J838" s="65"/>
      <c r="K838" s="87"/>
      <c r="L838" s="88"/>
    </row>
    <row r="839" spans="6:12" ht="12.5">
      <c r="F839" s="86"/>
      <c r="G839" s="86"/>
      <c r="H839" s="86"/>
      <c r="I839" s="65"/>
      <c r="J839" s="65"/>
      <c r="K839" s="87"/>
      <c r="L839" s="88"/>
    </row>
    <row r="840" spans="6:12" ht="12.5">
      <c r="F840" s="86"/>
      <c r="G840" s="86"/>
      <c r="H840" s="86"/>
      <c r="I840" s="65"/>
      <c r="J840" s="65"/>
      <c r="K840" s="87"/>
      <c r="L840" s="88"/>
    </row>
    <row r="841" spans="6:12" ht="12.5">
      <c r="F841" s="86"/>
      <c r="G841" s="86"/>
      <c r="H841" s="86"/>
      <c r="I841" s="65"/>
      <c r="J841" s="65"/>
      <c r="K841" s="87"/>
      <c r="L841" s="88"/>
    </row>
    <row r="842" spans="6:12" ht="12.5">
      <c r="F842" s="86"/>
      <c r="G842" s="86"/>
      <c r="H842" s="86"/>
      <c r="I842" s="65"/>
      <c r="J842" s="65"/>
      <c r="K842" s="87"/>
      <c r="L842" s="88"/>
    </row>
    <row r="843" spans="6:12" ht="12.5">
      <c r="F843" s="86"/>
      <c r="G843" s="86"/>
      <c r="H843" s="86"/>
      <c r="I843" s="65"/>
      <c r="J843" s="65"/>
      <c r="K843" s="87"/>
      <c r="L843" s="88"/>
    </row>
    <row r="844" spans="6:12" ht="12.5">
      <c r="F844" s="86"/>
      <c r="G844" s="86"/>
      <c r="H844" s="86"/>
      <c r="I844" s="65"/>
      <c r="J844" s="65"/>
      <c r="K844" s="87"/>
      <c r="L844" s="88"/>
    </row>
    <row r="845" spans="6:12" ht="12.5">
      <c r="F845" s="86"/>
      <c r="G845" s="86"/>
      <c r="H845" s="86"/>
      <c r="I845" s="65"/>
      <c r="J845" s="65"/>
      <c r="K845" s="87"/>
      <c r="L845" s="88"/>
    </row>
    <row r="846" spans="6:12" ht="12.5">
      <c r="F846" s="86"/>
      <c r="G846" s="86"/>
      <c r="H846" s="86"/>
      <c r="I846" s="65"/>
      <c r="J846" s="65"/>
      <c r="K846" s="87"/>
      <c r="L846" s="88"/>
    </row>
    <row r="847" spans="6:12" ht="12.5">
      <c r="F847" s="86"/>
      <c r="G847" s="86"/>
      <c r="H847" s="86"/>
      <c r="I847" s="65"/>
      <c r="J847" s="65"/>
      <c r="K847" s="87"/>
      <c r="L847" s="88"/>
    </row>
    <row r="848" spans="6:12" ht="12.5">
      <c r="F848" s="86"/>
      <c r="G848" s="86"/>
      <c r="H848" s="86"/>
      <c r="I848" s="65"/>
      <c r="J848" s="65"/>
      <c r="K848" s="87"/>
      <c r="L848" s="88"/>
    </row>
    <row r="849" spans="6:12" ht="12.5">
      <c r="F849" s="86"/>
      <c r="G849" s="86"/>
      <c r="H849" s="86"/>
      <c r="I849" s="65"/>
      <c r="J849" s="65"/>
      <c r="K849" s="87"/>
      <c r="L849" s="88"/>
    </row>
    <row r="850" spans="6:12" ht="12.5">
      <c r="F850" s="86"/>
      <c r="G850" s="86"/>
      <c r="H850" s="86"/>
      <c r="I850" s="65"/>
      <c r="J850" s="65"/>
      <c r="K850" s="87"/>
      <c r="L850" s="88"/>
    </row>
    <row r="851" spans="6:12" ht="12.5">
      <c r="F851" s="86"/>
      <c r="G851" s="86"/>
      <c r="H851" s="86"/>
      <c r="I851" s="65"/>
      <c r="J851" s="65"/>
      <c r="K851" s="87"/>
      <c r="L851" s="88"/>
    </row>
    <row r="852" spans="6:12" ht="12.5">
      <c r="F852" s="86"/>
      <c r="G852" s="86"/>
      <c r="H852" s="86"/>
      <c r="I852" s="65"/>
      <c r="J852" s="65"/>
      <c r="K852" s="87"/>
      <c r="L852" s="88"/>
    </row>
    <row r="853" spans="6:12" ht="12.5">
      <c r="F853" s="86"/>
      <c r="G853" s="86"/>
      <c r="H853" s="86"/>
      <c r="I853" s="65"/>
      <c r="J853" s="65"/>
      <c r="K853" s="87"/>
      <c r="L853" s="88"/>
    </row>
    <row r="854" spans="6:12" ht="12.5">
      <c r="F854" s="86"/>
      <c r="G854" s="86"/>
      <c r="H854" s="86"/>
      <c r="I854" s="65"/>
      <c r="J854" s="65"/>
      <c r="K854" s="87"/>
      <c r="L854" s="88"/>
    </row>
    <row r="855" spans="6:12" ht="12.5">
      <c r="F855" s="86"/>
      <c r="G855" s="86"/>
      <c r="H855" s="86"/>
      <c r="I855" s="65"/>
      <c r="J855" s="65"/>
      <c r="K855" s="87"/>
      <c r="L855" s="88"/>
    </row>
    <row r="856" spans="6:12" ht="12.5">
      <c r="F856" s="86"/>
      <c r="G856" s="86"/>
      <c r="H856" s="86"/>
      <c r="I856" s="65"/>
      <c r="J856" s="65"/>
      <c r="K856" s="87"/>
      <c r="L856" s="88"/>
    </row>
    <row r="857" spans="6:12" ht="12.5">
      <c r="F857" s="86"/>
      <c r="G857" s="86"/>
      <c r="H857" s="86"/>
      <c r="I857" s="65"/>
      <c r="J857" s="65"/>
      <c r="K857" s="87"/>
      <c r="L857" s="88"/>
    </row>
    <row r="858" spans="6:12" ht="12.5">
      <c r="F858" s="86"/>
      <c r="G858" s="86"/>
      <c r="H858" s="86"/>
      <c r="I858" s="65"/>
      <c r="J858" s="65"/>
      <c r="K858" s="87"/>
      <c r="L858" s="88"/>
    </row>
    <row r="859" spans="6:12" ht="12.5">
      <c r="F859" s="86"/>
      <c r="G859" s="86"/>
      <c r="H859" s="86"/>
      <c r="I859" s="65"/>
      <c r="J859" s="65"/>
      <c r="K859" s="87"/>
      <c r="L859" s="88"/>
    </row>
    <row r="860" spans="6:12" ht="12.5">
      <c r="F860" s="86"/>
      <c r="G860" s="86"/>
      <c r="H860" s="86"/>
      <c r="I860" s="65"/>
      <c r="J860" s="65"/>
      <c r="K860" s="87"/>
      <c r="L860" s="88"/>
    </row>
    <row r="861" spans="6:12" ht="12.5">
      <c r="F861" s="86"/>
      <c r="G861" s="86"/>
      <c r="H861" s="86"/>
      <c r="I861" s="65"/>
      <c r="J861" s="65"/>
      <c r="K861" s="87"/>
      <c r="L861" s="88"/>
    </row>
    <row r="862" spans="6:12" ht="12.5">
      <c r="F862" s="86"/>
      <c r="G862" s="86"/>
      <c r="H862" s="86"/>
      <c r="I862" s="65"/>
      <c r="J862" s="65"/>
      <c r="K862" s="87"/>
      <c r="L862" s="88"/>
    </row>
    <row r="863" spans="6:12" ht="12.5">
      <c r="F863" s="86"/>
      <c r="G863" s="86"/>
      <c r="H863" s="86"/>
      <c r="I863" s="65"/>
      <c r="J863" s="65"/>
      <c r="K863" s="87"/>
      <c r="L863" s="88"/>
    </row>
    <row r="864" spans="6:12" ht="12.5">
      <c r="F864" s="86"/>
      <c r="G864" s="86"/>
      <c r="H864" s="86"/>
      <c r="I864" s="65"/>
      <c r="J864" s="65"/>
      <c r="K864" s="87"/>
      <c r="L864" s="88"/>
    </row>
    <row r="865" spans="6:12" ht="12.5">
      <c r="F865" s="86"/>
      <c r="G865" s="86"/>
      <c r="H865" s="86"/>
      <c r="I865" s="65"/>
      <c r="J865" s="65"/>
      <c r="K865" s="87"/>
      <c r="L865" s="88"/>
    </row>
    <row r="866" spans="6:12" ht="12.5">
      <c r="F866" s="86"/>
      <c r="G866" s="86"/>
      <c r="H866" s="86"/>
      <c r="I866" s="65"/>
      <c r="J866" s="65"/>
      <c r="K866" s="87"/>
      <c r="L866" s="88"/>
    </row>
    <row r="867" spans="6:12" ht="12.5">
      <c r="F867" s="86"/>
      <c r="G867" s="86"/>
      <c r="H867" s="86"/>
      <c r="I867" s="65"/>
      <c r="J867" s="65"/>
      <c r="K867" s="87"/>
      <c r="L867" s="88"/>
    </row>
    <row r="868" spans="6:12" ht="12.5">
      <c r="F868" s="86"/>
      <c r="G868" s="86"/>
      <c r="H868" s="86"/>
      <c r="I868" s="65"/>
      <c r="J868" s="65"/>
      <c r="K868" s="87"/>
      <c r="L868" s="88"/>
    </row>
    <row r="869" spans="6:12" ht="12.5">
      <c r="F869" s="86"/>
      <c r="G869" s="86"/>
      <c r="H869" s="86"/>
      <c r="I869" s="65"/>
      <c r="J869" s="65"/>
      <c r="K869" s="87"/>
      <c r="L869" s="88"/>
    </row>
    <row r="870" spans="6:12" ht="12.5">
      <c r="F870" s="86"/>
      <c r="G870" s="86"/>
      <c r="H870" s="86"/>
      <c r="I870" s="65"/>
      <c r="J870" s="65"/>
      <c r="K870" s="87"/>
      <c r="L870" s="88"/>
    </row>
    <row r="871" spans="6:12" ht="12.5">
      <c r="F871" s="86"/>
      <c r="G871" s="86"/>
      <c r="H871" s="86"/>
      <c r="I871" s="65"/>
      <c r="J871" s="65"/>
      <c r="K871" s="87"/>
      <c r="L871" s="88"/>
    </row>
    <row r="872" spans="6:12" ht="12.5">
      <c r="F872" s="86"/>
      <c r="G872" s="86"/>
      <c r="H872" s="86"/>
      <c r="I872" s="65"/>
      <c r="J872" s="65"/>
      <c r="K872" s="87"/>
      <c r="L872" s="88"/>
    </row>
    <row r="873" spans="6:12" ht="12.5">
      <c r="F873" s="86"/>
      <c r="G873" s="86"/>
      <c r="H873" s="86"/>
      <c r="I873" s="65"/>
      <c r="J873" s="65"/>
      <c r="K873" s="87"/>
      <c r="L873" s="88"/>
    </row>
    <row r="874" spans="6:12" ht="12.5">
      <c r="F874" s="86"/>
      <c r="G874" s="86"/>
      <c r="H874" s="86"/>
      <c r="I874" s="65"/>
      <c r="J874" s="65"/>
      <c r="K874" s="87"/>
      <c r="L874" s="88"/>
    </row>
    <row r="875" spans="6:12" ht="12.5">
      <c r="F875" s="86"/>
      <c r="G875" s="86"/>
      <c r="H875" s="86"/>
      <c r="I875" s="65"/>
      <c r="J875" s="65"/>
      <c r="K875" s="87"/>
      <c r="L875" s="88"/>
    </row>
    <row r="876" spans="6:12" ht="12.5">
      <c r="F876" s="86"/>
      <c r="G876" s="86"/>
      <c r="H876" s="86"/>
      <c r="I876" s="65"/>
      <c r="J876" s="65"/>
      <c r="K876" s="87"/>
      <c r="L876" s="88"/>
    </row>
    <row r="877" spans="6:12" ht="12.5">
      <c r="F877" s="86"/>
      <c r="G877" s="86"/>
      <c r="H877" s="86"/>
      <c r="I877" s="65"/>
      <c r="J877" s="65"/>
      <c r="K877" s="87"/>
      <c r="L877" s="88"/>
    </row>
    <row r="878" spans="6:12" ht="12.5">
      <c r="F878" s="86"/>
      <c r="G878" s="86"/>
      <c r="H878" s="86"/>
      <c r="I878" s="65"/>
      <c r="J878" s="65"/>
      <c r="K878" s="87"/>
      <c r="L878" s="88"/>
    </row>
    <row r="879" spans="6:12" ht="12.5">
      <c r="F879" s="86"/>
      <c r="G879" s="86"/>
      <c r="H879" s="86"/>
      <c r="I879" s="65"/>
      <c r="J879" s="65"/>
      <c r="K879" s="87"/>
      <c r="L879" s="88"/>
    </row>
    <row r="880" spans="6:12" ht="12.5">
      <c r="F880" s="86"/>
      <c r="G880" s="86"/>
      <c r="H880" s="86"/>
      <c r="I880" s="65"/>
      <c r="J880" s="65"/>
      <c r="K880" s="87"/>
      <c r="L880" s="88"/>
    </row>
    <row r="881" spans="6:12" ht="12.5">
      <c r="F881" s="86"/>
      <c r="G881" s="86"/>
      <c r="H881" s="86"/>
      <c r="I881" s="65"/>
      <c r="J881" s="65"/>
      <c r="K881" s="87"/>
      <c r="L881" s="88"/>
    </row>
    <row r="882" spans="6:12" ht="12.5">
      <c r="F882" s="86"/>
      <c r="G882" s="86"/>
      <c r="H882" s="86"/>
      <c r="I882" s="65"/>
      <c r="J882" s="65"/>
      <c r="K882" s="87"/>
      <c r="L882" s="88"/>
    </row>
    <row r="883" spans="6:12" ht="12.5">
      <c r="F883" s="86"/>
      <c r="G883" s="86"/>
      <c r="H883" s="86"/>
      <c r="I883" s="65"/>
      <c r="J883" s="65"/>
      <c r="K883" s="87"/>
      <c r="L883" s="88"/>
    </row>
    <row r="884" spans="6:12" ht="12.5">
      <c r="F884" s="86"/>
      <c r="G884" s="86"/>
      <c r="H884" s="86"/>
      <c r="I884" s="65"/>
      <c r="J884" s="65"/>
      <c r="K884" s="87"/>
      <c r="L884" s="88"/>
    </row>
    <row r="885" spans="6:12" ht="12.5">
      <c r="F885" s="86"/>
      <c r="G885" s="86"/>
      <c r="H885" s="86"/>
      <c r="I885" s="65"/>
      <c r="J885" s="65"/>
      <c r="K885" s="87"/>
      <c r="L885" s="88"/>
    </row>
    <row r="886" spans="6:12" ht="12.5">
      <c r="F886" s="86"/>
      <c r="G886" s="86"/>
      <c r="H886" s="86"/>
      <c r="I886" s="65"/>
      <c r="J886" s="65"/>
      <c r="K886" s="87"/>
      <c r="L886" s="88"/>
    </row>
    <row r="887" spans="6:12" ht="12.5">
      <c r="F887" s="86"/>
      <c r="G887" s="86"/>
      <c r="H887" s="86"/>
      <c r="I887" s="65"/>
      <c r="J887" s="65"/>
      <c r="K887" s="87"/>
      <c r="L887" s="88"/>
    </row>
    <row r="888" spans="6:12" ht="12.5">
      <c r="F888" s="86"/>
      <c r="G888" s="86"/>
      <c r="H888" s="86"/>
      <c r="I888" s="65"/>
      <c r="J888" s="65"/>
      <c r="K888" s="87"/>
      <c r="L888" s="88"/>
    </row>
    <row r="889" spans="6:12" ht="12.5">
      <c r="F889" s="86"/>
      <c r="G889" s="86"/>
      <c r="H889" s="86"/>
      <c r="I889" s="65"/>
      <c r="J889" s="65"/>
      <c r="K889" s="87"/>
      <c r="L889" s="88"/>
    </row>
    <row r="890" spans="6:12" ht="12.5">
      <c r="F890" s="86"/>
      <c r="G890" s="86"/>
      <c r="H890" s="86"/>
      <c r="I890" s="65"/>
      <c r="J890" s="65"/>
      <c r="K890" s="87"/>
      <c r="L890" s="88"/>
    </row>
    <row r="891" spans="6:12" ht="12.5">
      <c r="F891" s="86"/>
      <c r="G891" s="86"/>
      <c r="H891" s="86"/>
      <c r="I891" s="65"/>
      <c r="J891" s="65"/>
      <c r="K891" s="87"/>
      <c r="L891" s="88"/>
    </row>
    <row r="892" spans="6:12" ht="12.5">
      <c r="F892" s="86"/>
      <c r="G892" s="86"/>
      <c r="H892" s="86"/>
      <c r="I892" s="65"/>
      <c r="J892" s="65"/>
      <c r="K892" s="87"/>
      <c r="L892" s="88"/>
    </row>
    <row r="893" spans="6:12" ht="12.5">
      <c r="F893" s="86"/>
      <c r="G893" s="86"/>
      <c r="H893" s="86"/>
      <c r="I893" s="65"/>
      <c r="J893" s="65"/>
      <c r="K893" s="87"/>
      <c r="L893" s="88"/>
    </row>
    <row r="894" spans="6:12" ht="12.5">
      <c r="F894" s="86"/>
      <c r="G894" s="86"/>
      <c r="H894" s="86"/>
      <c r="I894" s="65"/>
      <c r="J894" s="65"/>
      <c r="K894" s="87"/>
      <c r="L894" s="88"/>
    </row>
    <row r="895" spans="6:12" ht="12.5">
      <c r="F895" s="86"/>
      <c r="G895" s="86"/>
      <c r="H895" s="86"/>
      <c r="I895" s="65"/>
      <c r="J895" s="65"/>
      <c r="K895" s="87"/>
      <c r="L895" s="88"/>
    </row>
    <row r="896" spans="6:12" ht="12.5">
      <c r="F896" s="86"/>
      <c r="G896" s="86"/>
      <c r="H896" s="86"/>
      <c r="I896" s="65"/>
      <c r="J896" s="65"/>
      <c r="K896" s="87"/>
      <c r="L896" s="88"/>
    </row>
    <row r="897" spans="6:12" ht="12.5">
      <c r="F897" s="86"/>
      <c r="G897" s="86"/>
      <c r="H897" s="86"/>
      <c r="I897" s="65"/>
      <c r="J897" s="65"/>
      <c r="K897" s="87"/>
      <c r="L897" s="88"/>
    </row>
    <row r="898" spans="6:12" ht="12.5">
      <c r="F898" s="86"/>
      <c r="G898" s="86"/>
      <c r="H898" s="86"/>
      <c r="I898" s="65"/>
      <c r="J898" s="65"/>
      <c r="K898" s="87"/>
      <c r="L898" s="88"/>
    </row>
    <row r="899" spans="6:12" ht="12.5">
      <c r="F899" s="86"/>
      <c r="G899" s="86"/>
      <c r="H899" s="86"/>
      <c r="I899" s="65"/>
      <c r="J899" s="65"/>
      <c r="K899" s="87"/>
      <c r="L899" s="88"/>
    </row>
    <row r="900" spans="6:12" ht="12.5">
      <c r="F900" s="86"/>
      <c r="G900" s="86"/>
      <c r="H900" s="86"/>
      <c r="I900" s="65"/>
      <c r="J900" s="65"/>
      <c r="K900" s="87"/>
      <c r="L900" s="88"/>
    </row>
    <row r="901" spans="6:12" ht="12.5">
      <c r="F901" s="86"/>
      <c r="G901" s="86"/>
      <c r="H901" s="86"/>
      <c r="I901" s="65"/>
      <c r="J901" s="65"/>
      <c r="K901" s="87"/>
      <c r="L901" s="88"/>
    </row>
    <row r="902" spans="6:12" ht="12.5">
      <c r="F902" s="86"/>
      <c r="G902" s="86"/>
      <c r="H902" s="86"/>
      <c r="I902" s="65"/>
      <c r="J902" s="65"/>
      <c r="K902" s="87"/>
      <c r="L902" s="88"/>
    </row>
    <row r="903" spans="6:12" ht="12.5">
      <c r="F903" s="86"/>
      <c r="G903" s="86"/>
      <c r="H903" s="86"/>
      <c r="I903" s="65"/>
      <c r="J903" s="65"/>
      <c r="K903" s="87"/>
      <c r="L903" s="88"/>
    </row>
    <row r="904" spans="6:12" ht="12.5">
      <c r="F904" s="86"/>
      <c r="G904" s="86"/>
      <c r="H904" s="86"/>
      <c r="I904" s="65"/>
      <c r="J904" s="65"/>
      <c r="K904" s="87"/>
      <c r="L904" s="88"/>
    </row>
    <row r="905" spans="6:12" ht="12.5">
      <c r="F905" s="86"/>
      <c r="G905" s="86"/>
      <c r="H905" s="86"/>
      <c r="I905" s="65"/>
      <c r="J905" s="65"/>
      <c r="K905" s="87"/>
      <c r="L905" s="88"/>
    </row>
    <row r="906" spans="6:12" ht="12.5">
      <c r="F906" s="86"/>
      <c r="G906" s="86"/>
      <c r="H906" s="86"/>
      <c r="I906" s="65"/>
      <c r="J906" s="65"/>
      <c r="K906" s="87"/>
      <c r="L906" s="88"/>
    </row>
    <row r="907" spans="6:12" ht="12.5">
      <c r="F907" s="86"/>
      <c r="G907" s="86"/>
      <c r="H907" s="86"/>
      <c r="I907" s="65"/>
      <c r="J907" s="65"/>
      <c r="K907" s="87"/>
      <c r="L907" s="88"/>
    </row>
    <row r="908" spans="6:12" ht="12.5">
      <c r="F908" s="86"/>
      <c r="G908" s="86"/>
      <c r="H908" s="86"/>
      <c r="I908" s="65"/>
      <c r="J908" s="65"/>
      <c r="K908" s="87"/>
      <c r="L908" s="88"/>
    </row>
    <row r="909" spans="6:12" ht="12.5">
      <c r="F909" s="86"/>
      <c r="G909" s="86"/>
      <c r="H909" s="86"/>
      <c r="I909" s="65"/>
      <c r="J909" s="65"/>
      <c r="K909" s="87"/>
      <c r="L909" s="88"/>
    </row>
    <row r="910" spans="6:12" ht="12.5">
      <c r="F910" s="86"/>
      <c r="G910" s="86"/>
      <c r="H910" s="86"/>
      <c r="I910" s="65"/>
      <c r="J910" s="65"/>
      <c r="K910" s="87"/>
      <c r="L910" s="88"/>
    </row>
    <row r="911" spans="6:12" ht="12.5">
      <c r="F911" s="86"/>
      <c r="G911" s="86"/>
      <c r="H911" s="86"/>
      <c r="I911" s="65"/>
      <c r="J911" s="65"/>
      <c r="K911" s="87"/>
      <c r="L911" s="88"/>
    </row>
    <row r="912" spans="6:12" ht="12.5">
      <c r="F912" s="86"/>
      <c r="G912" s="86"/>
      <c r="H912" s="86"/>
      <c r="I912" s="65"/>
      <c r="J912" s="65"/>
      <c r="K912" s="87"/>
      <c r="L912" s="88"/>
    </row>
    <row r="913" spans="6:12" ht="12.5">
      <c r="F913" s="86"/>
      <c r="G913" s="86"/>
      <c r="H913" s="86"/>
      <c r="I913" s="65"/>
      <c r="J913" s="65"/>
      <c r="K913" s="87"/>
      <c r="L913" s="88"/>
    </row>
    <row r="914" spans="6:12" ht="12.5">
      <c r="F914" s="86"/>
      <c r="G914" s="86"/>
      <c r="H914" s="86"/>
      <c r="I914" s="65"/>
      <c r="J914" s="65"/>
      <c r="K914" s="87"/>
      <c r="L914" s="88"/>
    </row>
    <row r="915" spans="6:12" ht="12.5">
      <c r="F915" s="86"/>
      <c r="G915" s="86"/>
      <c r="H915" s="86"/>
      <c r="I915" s="65"/>
      <c r="J915" s="65"/>
      <c r="K915" s="87"/>
      <c r="L915" s="88"/>
    </row>
    <row r="916" spans="6:12" ht="12.5">
      <c r="F916" s="86"/>
      <c r="G916" s="86"/>
      <c r="H916" s="86"/>
      <c r="I916" s="65"/>
      <c r="J916" s="65"/>
      <c r="K916" s="87"/>
      <c r="L916" s="88"/>
    </row>
    <row r="917" spans="6:12" ht="12.5">
      <c r="F917" s="86"/>
      <c r="G917" s="86"/>
      <c r="H917" s="86"/>
      <c r="I917" s="65"/>
      <c r="J917" s="65"/>
      <c r="K917" s="87"/>
      <c r="L917" s="88"/>
    </row>
    <row r="918" spans="6:12" ht="12.5">
      <c r="F918" s="86"/>
      <c r="G918" s="86"/>
      <c r="H918" s="86"/>
      <c r="I918" s="65"/>
      <c r="J918" s="65"/>
      <c r="K918" s="87"/>
      <c r="L918" s="88"/>
    </row>
    <row r="919" spans="6:12" ht="12.5">
      <c r="F919" s="86"/>
      <c r="G919" s="86"/>
      <c r="H919" s="86"/>
      <c r="I919" s="65"/>
      <c r="J919" s="65"/>
      <c r="K919" s="87"/>
      <c r="L919" s="88"/>
    </row>
    <row r="920" spans="6:12" ht="12.5">
      <c r="F920" s="86"/>
      <c r="G920" s="86"/>
      <c r="H920" s="86"/>
      <c r="I920" s="65"/>
      <c r="J920" s="65"/>
      <c r="K920" s="87"/>
      <c r="L920" s="88"/>
    </row>
    <row r="921" spans="6:12" ht="12.5">
      <c r="F921" s="86"/>
      <c r="G921" s="86"/>
      <c r="H921" s="86"/>
      <c r="I921" s="65"/>
      <c r="J921" s="65"/>
      <c r="K921" s="87"/>
      <c r="L921" s="88"/>
    </row>
    <row r="922" spans="6:12" ht="12.5">
      <c r="F922" s="86"/>
      <c r="G922" s="86"/>
      <c r="H922" s="86"/>
      <c r="I922" s="65"/>
      <c r="J922" s="65"/>
      <c r="K922" s="87"/>
      <c r="L922" s="88"/>
    </row>
    <row r="923" spans="6:12" ht="12.5">
      <c r="F923" s="86"/>
      <c r="G923" s="86"/>
      <c r="H923" s="86"/>
      <c r="I923" s="65"/>
      <c r="J923" s="65"/>
      <c r="K923" s="87"/>
      <c r="L923" s="88"/>
    </row>
    <row r="924" spans="6:12" ht="12.5">
      <c r="F924" s="86"/>
      <c r="G924" s="86"/>
      <c r="H924" s="86"/>
      <c r="I924" s="65"/>
      <c r="J924" s="65"/>
      <c r="K924" s="87"/>
      <c r="L924" s="88"/>
    </row>
    <row r="925" spans="6:12" ht="12.5">
      <c r="F925" s="86"/>
      <c r="G925" s="86"/>
      <c r="H925" s="86"/>
      <c r="I925" s="65"/>
      <c r="J925" s="65"/>
      <c r="K925" s="87"/>
      <c r="L925" s="88"/>
    </row>
    <row r="926" spans="6:12" ht="12.5">
      <c r="F926" s="86"/>
      <c r="G926" s="86"/>
      <c r="H926" s="86"/>
      <c r="I926" s="65"/>
      <c r="J926" s="65"/>
      <c r="K926" s="87"/>
      <c r="L926" s="88"/>
    </row>
    <row r="927" spans="6:12" ht="12.5">
      <c r="F927" s="86"/>
      <c r="G927" s="86"/>
      <c r="H927" s="86"/>
      <c r="I927" s="65"/>
      <c r="J927" s="65"/>
      <c r="K927" s="87"/>
      <c r="L927" s="88"/>
    </row>
    <row r="928" spans="6:12" ht="12.5">
      <c r="F928" s="86"/>
      <c r="G928" s="86"/>
      <c r="H928" s="86"/>
      <c r="I928" s="65"/>
      <c r="J928" s="65"/>
      <c r="K928" s="87"/>
      <c r="L928" s="88"/>
    </row>
    <row r="929" spans="6:12" ht="12.5">
      <c r="F929" s="86"/>
      <c r="G929" s="86"/>
      <c r="H929" s="86"/>
      <c r="I929" s="65"/>
      <c r="J929" s="65"/>
      <c r="K929" s="87"/>
      <c r="L929" s="88"/>
    </row>
    <row r="930" spans="6:12" ht="12.5">
      <c r="F930" s="86"/>
      <c r="G930" s="86"/>
      <c r="H930" s="86"/>
      <c r="I930" s="65"/>
      <c r="J930" s="65"/>
      <c r="K930" s="87"/>
      <c r="L930" s="88"/>
    </row>
    <row r="931" spans="6:12" ht="12.5">
      <c r="F931" s="86"/>
      <c r="G931" s="86"/>
      <c r="H931" s="86"/>
      <c r="I931" s="65"/>
      <c r="J931" s="65"/>
      <c r="K931" s="87"/>
      <c r="L931" s="88"/>
    </row>
    <row r="932" spans="6:12" ht="12.5">
      <c r="F932" s="86"/>
      <c r="G932" s="86"/>
      <c r="H932" s="86"/>
      <c r="I932" s="65"/>
      <c r="J932" s="65"/>
      <c r="K932" s="87"/>
      <c r="L932" s="88"/>
    </row>
    <row r="933" spans="6:12" ht="12.5">
      <c r="F933" s="86"/>
      <c r="G933" s="86"/>
      <c r="H933" s="86"/>
      <c r="I933" s="65"/>
      <c r="J933" s="65"/>
      <c r="K933" s="87"/>
      <c r="L933" s="88"/>
    </row>
    <row r="934" spans="6:12" ht="12.5">
      <c r="F934" s="86"/>
      <c r="G934" s="86"/>
      <c r="H934" s="86"/>
      <c r="I934" s="65"/>
      <c r="J934" s="65"/>
      <c r="K934" s="87"/>
      <c r="L934" s="88"/>
    </row>
    <row r="935" spans="6:12" ht="12.5">
      <c r="F935" s="86"/>
      <c r="G935" s="86"/>
      <c r="H935" s="86"/>
      <c r="I935" s="65"/>
      <c r="J935" s="65"/>
      <c r="K935" s="87"/>
      <c r="L935" s="88"/>
    </row>
    <row r="936" spans="6:12" ht="12.5">
      <c r="F936" s="86"/>
      <c r="G936" s="86"/>
      <c r="H936" s="86"/>
      <c r="I936" s="65"/>
      <c r="J936" s="65"/>
      <c r="K936" s="87"/>
      <c r="L936" s="88"/>
    </row>
    <row r="937" spans="6:12" ht="12.5">
      <c r="F937" s="86"/>
      <c r="G937" s="86"/>
      <c r="H937" s="86"/>
      <c r="I937" s="65"/>
      <c r="J937" s="65"/>
      <c r="K937" s="87"/>
      <c r="L937" s="88"/>
    </row>
    <row r="938" spans="6:12" ht="12.5">
      <c r="F938" s="86"/>
      <c r="G938" s="86"/>
      <c r="H938" s="86"/>
      <c r="I938" s="65"/>
      <c r="J938" s="65"/>
      <c r="K938" s="87"/>
      <c r="L938" s="88"/>
    </row>
    <row r="939" spans="6:12" ht="12.5">
      <c r="F939" s="86"/>
      <c r="G939" s="86"/>
      <c r="H939" s="86"/>
      <c r="I939" s="65"/>
      <c r="J939" s="65"/>
      <c r="K939" s="87"/>
      <c r="L939" s="88"/>
    </row>
    <row r="940" spans="6:12" ht="12.5">
      <c r="F940" s="86"/>
      <c r="G940" s="86"/>
      <c r="H940" s="86"/>
      <c r="I940" s="65"/>
      <c r="J940" s="65"/>
      <c r="K940" s="87"/>
      <c r="L940" s="88"/>
    </row>
    <row r="941" spans="6:12" ht="12.5">
      <c r="F941" s="86"/>
      <c r="G941" s="86"/>
      <c r="H941" s="86"/>
      <c r="I941" s="65"/>
      <c r="J941" s="65"/>
      <c r="K941" s="87"/>
      <c r="L941" s="88"/>
    </row>
    <row r="942" spans="6:12" ht="12.5">
      <c r="F942" s="86"/>
      <c r="G942" s="86"/>
      <c r="H942" s="86"/>
      <c r="I942" s="65"/>
      <c r="J942" s="65"/>
      <c r="K942" s="87"/>
      <c r="L942" s="88"/>
    </row>
    <row r="943" spans="6:12" ht="12.5">
      <c r="F943" s="86"/>
      <c r="G943" s="86"/>
      <c r="H943" s="86"/>
      <c r="I943" s="65"/>
      <c r="J943" s="65"/>
      <c r="K943" s="87"/>
      <c r="L943" s="88"/>
    </row>
    <row r="944" spans="6:12" ht="12.5">
      <c r="F944" s="86"/>
      <c r="G944" s="86"/>
      <c r="H944" s="86"/>
      <c r="I944" s="65"/>
      <c r="J944" s="65"/>
      <c r="K944" s="87"/>
      <c r="L944" s="88"/>
    </row>
    <row r="945" spans="6:12" ht="12.5">
      <c r="F945" s="86"/>
      <c r="G945" s="86"/>
      <c r="H945" s="86"/>
      <c r="I945" s="65"/>
      <c r="J945" s="65"/>
      <c r="K945" s="87"/>
      <c r="L945" s="88"/>
    </row>
    <row r="946" spans="6:12" ht="12.5">
      <c r="F946" s="86"/>
      <c r="G946" s="86"/>
      <c r="H946" s="86"/>
      <c r="I946" s="65"/>
      <c r="J946" s="65"/>
      <c r="K946" s="87"/>
      <c r="L946" s="88"/>
    </row>
    <row r="947" spans="6:12" ht="12.5">
      <c r="F947" s="86"/>
      <c r="G947" s="86"/>
      <c r="H947" s="86"/>
      <c r="I947" s="65"/>
      <c r="J947" s="65"/>
      <c r="K947" s="87"/>
      <c r="L947" s="88"/>
    </row>
    <row r="948" spans="6:12" ht="12.5">
      <c r="F948" s="86"/>
      <c r="G948" s="86"/>
      <c r="H948" s="86"/>
      <c r="I948" s="65"/>
      <c r="J948" s="65"/>
      <c r="K948" s="87"/>
      <c r="L948" s="88"/>
    </row>
    <row r="949" spans="6:12" ht="12.5">
      <c r="F949" s="86"/>
      <c r="G949" s="86"/>
      <c r="H949" s="86"/>
      <c r="I949" s="65"/>
      <c r="J949" s="65"/>
      <c r="K949" s="87"/>
      <c r="L949" s="88"/>
    </row>
    <row r="950" spans="6:12" ht="12.5">
      <c r="F950" s="86"/>
      <c r="G950" s="86"/>
      <c r="H950" s="86"/>
      <c r="I950" s="65"/>
      <c r="J950" s="65"/>
      <c r="K950" s="87"/>
      <c r="L950" s="88"/>
    </row>
    <row r="951" spans="6:12" ht="12.5">
      <c r="F951" s="86"/>
      <c r="G951" s="86"/>
      <c r="H951" s="86"/>
      <c r="I951" s="65"/>
      <c r="J951" s="65"/>
      <c r="K951" s="87"/>
      <c r="L951" s="88"/>
    </row>
    <row r="952" spans="6:12" ht="12.5">
      <c r="F952" s="86"/>
      <c r="G952" s="86"/>
      <c r="H952" s="86"/>
      <c r="I952" s="65"/>
      <c r="J952" s="65"/>
      <c r="K952" s="87"/>
      <c r="L952" s="88"/>
    </row>
    <row r="953" spans="6:12" ht="12.5">
      <c r="F953" s="86"/>
      <c r="G953" s="86"/>
      <c r="H953" s="86"/>
      <c r="I953" s="65"/>
      <c r="J953" s="65"/>
      <c r="K953" s="87"/>
      <c r="L953" s="88"/>
    </row>
    <row r="954" spans="6:12" ht="12.5">
      <c r="F954" s="86"/>
      <c r="G954" s="86"/>
      <c r="H954" s="86"/>
      <c r="I954" s="65"/>
      <c r="J954" s="65"/>
      <c r="K954" s="87"/>
      <c r="L954" s="88"/>
    </row>
    <row r="955" spans="6:12" ht="12.5">
      <c r="F955" s="86"/>
      <c r="G955" s="86"/>
      <c r="H955" s="86"/>
      <c r="I955" s="65"/>
      <c r="J955" s="65"/>
      <c r="K955" s="87"/>
      <c r="L955" s="88"/>
    </row>
    <row r="956" spans="6:12" ht="12.5">
      <c r="F956" s="86"/>
      <c r="G956" s="86"/>
      <c r="H956" s="86"/>
      <c r="I956" s="65"/>
      <c r="J956" s="65"/>
      <c r="K956" s="87"/>
      <c r="L956" s="88"/>
    </row>
    <row r="957" spans="6:12" ht="12.5">
      <c r="F957" s="86"/>
      <c r="G957" s="86"/>
      <c r="H957" s="86"/>
      <c r="I957" s="65"/>
      <c r="J957" s="65"/>
      <c r="K957" s="87"/>
      <c r="L957" s="88"/>
    </row>
    <row r="958" spans="6:12" ht="12.5">
      <c r="F958" s="86"/>
      <c r="G958" s="86"/>
      <c r="H958" s="86"/>
      <c r="I958" s="65"/>
      <c r="J958" s="65"/>
      <c r="K958" s="87"/>
      <c r="L958" s="88"/>
    </row>
    <row r="959" spans="6:12" ht="12.5">
      <c r="F959" s="86"/>
      <c r="G959" s="86"/>
      <c r="H959" s="86"/>
      <c r="I959" s="65"/>
      <c r="J959" s="65"/>
      <c r="K959" s="87"/>
      <c r="L959" s="88"/>
    </row>
    <row r="960" spans="6:12" ht="12.5">
      <c r="F960" s="86"/>
      <c r="G960" s="86"/>
      <c r="H960" s="86"/>
      <c r="I960" s="65"/>
      <c r="J960" s="65"/>
      <c r="K960" s="87"/>
      <c r="L960" s="88"/>
    </row>
    <row r="961" spans="6:12" ht="12.5">
      <c r="F961" s="86"/>
      <c r="G961" s="86"/>
      <c r="H961" s="86"/>
      <c r="I961" s="65"/>
      <c r="J961" s="65"/>
      <c r="K961" s="87"/>
      <c r="L961" s="88"/>
    </row>
    <row r="962" spans="6:12" ht="12.5">
      <c r="F962" s="86"/>
      <c r="G962" s="86"/>
      <c r="H962" s="86"/>
      <c r="I962" s="65"/>
      <c r="J962" s="65"/>
      <c r="K962" s="87"/>
      <c r="L962" s="88"/>
    </row>
    <row r="963" spans="6:12" ht="12.5">
      <c r="F963" s="86"/>
      <c r="G963" s="86"/>
      <c r="H963" s="86"/>
      <c r="I963" s="65"/>
      <c r="J963" s="65"/>
      <c r="K963" s="87"/>
      <c r="L963" s="88"/>
    </row>
    <row r="964" spans="6:12" ht="12.5">
      <c r="F964" s="86"/>
      <c r="G964" s="86"/>
      <c r="H964" s="86"/>
      <c r="I964" s="65"/>
      <c r="J964" s="65"/>
      <c r="K964" s="87"/>
      <c r="L964" s="88"/>
    </row>
    <row r="965" spans="6:12" ht="12.5">
      <c r="F965" s="86"/>
      <c r="G965" s="86"/>
      <c r="H965" s="86"/>
      <c r="I965" s="65"/>
      <c r="J965" s="65"/>
      <c r="K965" s="87"/>
      <c r="L965" s="88"/>
    </row>
    <row r="966" spans="6:12" ht="12.5">
      <c r="F966" s="86"/>
      <c r="G966" s="86"/>
      <c r="H966" s="86"/>
      <c r="I966" s="65"/>
      <c r="J966" s="65"/>
      <c r="K966" s="87"/>
      <c r="L966" s="88"/>
    </row>
    <row r="967" spans="6:12" ht="12.5">
      <c r="F967" s="86"/>
      <c r="G967" s="86"/>
      <c r="H967" s="86"/>
      <c r="I967" s="65"/>
      <c r="J967" s="65"/>
      <c r="K967" s="87"/>
      <c r="L967" s="88"/>
    </row>
    <row r="968" spans="6:12" ht="12.5">
      <c r="F968" s="86"/>
      <c r="G968" s="86"/>
      <c r="H968" s="86"/>
      <c r="I968" s="65"/>
      <c r="J968" s="65"/>
      <c r="K968" s="87"/>
      <c r="L968" s="88"/>
    </row>
    <row r="969" spans="6:12" ht="12.5">
      <c r="F969" s="86"/>
      <c r="G969" s="86"/>
      <c r="H969" s="86"/>
      <c r="I969" s="65"/>
      <c r="J969" s="65"/>
      <c r="K969" s="87"/>
      <c r="L969" s="88"/>
    </row>
    <row r="970" spans="6:12" ht="12.5">
      <c r="F970" s="86"/>
      <c r="G970" s="86"/>
      <c r="H970" s="86"/>
      <c r="I970" s="65"/>
      <c r="J970" s="65"/>
      <c r="K970" s="87"/>
      <c r="L970" s="88"/>
    </row>
    <row r="971" spans="6:12" ht="12.5">
      <c r="F971" s="86"/>
      <c r="G971" s="86"/>
      <c r="H971" s="86"/>
      <c r="I971" s="65"/>
      <c r="J971" s="65"/>
      <c r="K971" s="87"/>
      <c r="L971" s="88"/>
    </row>
    <row r="972" spans="6:12" ht="12.5">
      <c r="F972" s="86"/>
      <c r="G972" s="86"/>
      <c r="H972" s="86"/>
      <c r="I972" s="65"/>
      <c r="J972" s="65"/>
      <c r="K972" s="87"/>
      <c r="L972" s="88"/>
    </row>
    <row r="973" spans="6:12" ht="12.5">
      <c r="F973" s="86"/>
      <c r="G973" s="86"/>
      <c r="H973" s="86"/>
      <c r="I973" s="65"/>
      <c r="J973" s="65"/>
      <c r="K973" s="87"/>
      <c r="L973" s="88"/>
    </row>
    <row r="974" spans="6:12" ht="12.5">
      <c r="F974" s="86"/>
      <c r="G974" s="86"/>
      <c r="H974" s="86"/>
      <c r="I974" s="65"/>
      <c r="J974" s="65"/>
      <c r="K974" s="87"/>
      <c r="L974" s="88"/>
    </row>
    <row r="975" spans="6:12" ht="12.5">
      <c r="F975" s="86"/>
      <c r="G975" s="86"/>
      <c r="H975" s="86"/>
      <c r="I975" s="65"/>
      <c r="J975" s="65"/>
      <c r="K975" s="87"/>
      <c r="L975" s="88"/>
    </row>
    <row r="976" spans="6:12" ht="12.5">
      <c r="F976" s="86"/>
      <c r="G976" s="86"/>
      <c r="H976" s="86"/>
      <c r="I976" s="65"/>
      <c r="J976" s="65"/>
      <c r="K976" s="87"/>
      <c r="L976" s="88"/>
    </row>
    <row r="977" spans="6:12" ht="12.5">
      <c r="F977" s="86"/>
      <c r="G977" s="86"/>
      <c r="H977" s="86"/>
      <c r="I977" s="65"/>
      <c r="J977" s="65"/>
      <c r="K977" s="87"/>
      <c r="L977" s="88"/>
    </row>
    <row r="978" spans="6:12" ht="12.5">
      <c r="F978" s="86"/>
      <c r="G978" s="86"/>
      <c r="H978" s="86"/>
      <c r="I978" s="65"/>
      <c r="J978" s="65"/>
      <c r="K978" s="87"/>
      <c r="L978" s="88"/>
    </row>
    <row r="979" spans="6:12" ht="12.5">
      <c r="F979" s="86"/>
      <c r="G979" s="86"/>
      <c r="H979" s="86"/>
      <c r="I979" s="65"/>
      <c r="J979" s="65"/>
      <c r="K979" s="87"/>
      <c r="L979" s="88"/>
    </row>
    <row r="980" spans="6:12" ht="12.5">
      <c r="F980" s="86"/>
      <c r="G980" s="86"/>
      <c r="H980" s="86"/>
      <c r="I980" s="65"/>
      <c r="J980" s="65"/>
      <c r="K980" s="87"/>
      <c r="L980" s="88"/>
    </row>
    <row r="981" spans="6:12" ht="12.5">
      <c r="F981" s="86"/>
      <c r="G981" s="86"/>
      <c r="H981" s="86"/>
      <c r="I981" s="65"/>
      <c r="J981" s="65"/>
      <c r="K981" s="87"/>
      <c r="L981" s="88"/>
    </row>
    <row r="982" spans="6:12" ht="12.5">
      <c r="F982" s="86"/>
      <c r="G982" s="86"/>
      <c r="H982" s="86"/>
      <c r="I982" s="65"/>
      <c r="J982" s="65"/>
      <c r="K982" s="87"/>
      <c r="L982" s="88"/>
    </row>
    <row r="983" spans="6:12" ht="12.5">
      <c r="F983" s="86"/>
      <c r="G983" s="86"/>
      <c r="H983" s="86"/>
      <c r="I983" s="65"/>
      <c r="J983" s="65"/>
      <c r="K983" s="87"/>
      <c r="L983" s="88"/>
    </row>
    <row r="984" spans="6:12" ht="12.5">
      <c r="F984" s="86"/>
      <c r="G984" s="86"/>
      <c r="H984" s="86"/>
      <c r="I984" s="65"/>
      <c r="J984" s="65"/>
      <c r="K984" s="87"/>
      <c r="L984" s="88"/>
    </row>
    <row r="985" spans="6:12" ht="12.5">
      <c r="F985" s="86"/>
      <c r="G985" s="86"/>
      <c r="H985" s="86"/>
      <c r="I985" s="65"/>
      <c r="J985" s="65"/>
      <c r="K985" s="87"/>
      <c r="L985" s="88"/>
    </row>
    <row r="986" spans="6:12" ht="12.5">
      <c r="F986" s="86"/>
      <c r="G986" s="86"/>
      <c r="H986" s="86"/>
      <c r="I986" s="65"/>
      <c r="J986" s="65"/>
      <c r="K986" s="87"/>
      <c r="L986" s="88"/>
    </row>
    <row r="987" spans="6:12" ht="12.5">
      <c r="F987" s="86"/>
      <c r="G987" s="86"/>
      <c r="H987" s="86"/>
      <c r="I987" s="65"/>
      <c r="J987" s="65"/>
      <c r="K987" s="87"/>
      <c r="L987" s="88"/>
    </row>
    <row r="988" spans="6:12" ht="12.5">
      <c r="F988" s="86"/>
      <c r="G988" s="86"/>
      <c r="H988" s="86"/>
      <c r="I988" s="65"/>
      <c r="J988" s="65"/>
      <c r="K988" s="87"/>
      <c r="L988" s="88"/>
    </row>
    <row r="989" spans="6:12" ht="12.5">
      <c r="F989" s="86"/>
      <c r="G989" s="86"/>
      <c r="H989" s="86"/>
      <c r="I989" s="65"/>
      <c r="J989" s="65"/>
      <c r="K989" s="87"/>
      <c r="L989" s="88"/>
    </row>
    <row r="990" spans="6:12" ht="12.5">
      <c r="F990" s="86"/>
      <c r="G990" s="86"/>
      <c r="H990" s="86"/>
      <c r="I990" s="65"/>
      <c r="J990" s="65"/>
      <c r="K990" s="87"/>
      <c r="L990" s="88"/>
    </row>
    <row r="991" spans="6:12" ht="12.5">
      <c r="F991" s="86"/>
      <c r="G991" s="86"/>
      <c r="H991" s="86"/>
      <c r="I991" s="65"/>
      <c r="J991" s="65"/>
      <c r="K991" s="87"/>
      <c r="L991" s="88"/>
    </row>
    <row r="992" spans="6:12" ht="12.5">
      <c r="F992" s="86"/>
      <c r="G992" s="86"/>
      <c r="H992" s="86"/>
      <c r="I992" s="65"/>
      <c r="J992" s="65"/>
      <c r="K992" s="87"/>
      <c r="L992" s="88"/>
    </row>
    <row r="993" spans="6:12" ht="12.5">
      <c r="F993" s="86"/>
      <c r="G993" s="86"/>
      <c r="H993" s="86"/>
      <c r="I993" s="65"/>
      <c r="J993" s="65"/>
      <c r="K993" s="87"/>
      <c r="L993" s="88"/>
    </row>
    <row r="994" spans="6:12" ht="12.5">
      <c r="F994" s="86"/>
      <c r="G994" s="86"/>
      <c r="H994" s="86"/>
      <c r="I994" s="65"/>
      <c r="J994" s="65"/>
      <c r="K994" s="87"/>
      <c r="L994" s="88"/>
    </row>
    <row r="995" spans="6:12" ht="12.5">
      <c r="F995" s="86"/>
      <c r="G995" s="86"/>
      <c r="H995" s="86"/>
      <c r="I995" s="65"/>
      <c r="J995" s="65"/>
      <c r="K995" s="87"/>
      <c r="L995" s="88"/>
    </row>
    <row r="996" spans="6:12" ht="12.5">
      <c r="F996" s="86"/>
      <c r="G996" s="86"/>
      <c r="H996" s="86"/>
      <c r="I996" s="65"/>
      <c r="J996" s="65"/>
      <c r="K996" s="87"/>
      <c r="L996" s="88"/>
    </row>
    <row r="997" spans="6:12" ht="12.5">
      <c r="F997" s="86"/>
      <c r="G997" s="86"/>
      <c r="H997" s="86"/>
      <c r="I997" s="65"/>
      <c r="J997" s="65"/>
      <c r="K997" s="87"/>
      <c r="L997" s="88"/>
    </row>
    <row r="998" spans="6:12" ht="12.5">
      <c r="F998" s="86"/>
      <c r="G998" s="86"/>
      <c r="H998" s="86"/>
      <c r="I998" s="65"/>
      <c r="J998" s="65"/>
      <c r="K998" s="87"/>
      <c r="L998" s="88"/>
    </row>
    <row r="999" spans="6:12" ht="12.5">
      <c r="F999" s="86"/>
      <c r="G999" s="86"/>
      <c r="H999" s="86"/>
      <c r="I999" s="65"/>
      <c r="J999" s="65"/>
      <c r="K999" s="87"/>
      <c r="L999" s="88"/>
    </row>
    <row r="1000" spans="6:12" ht="12.5">
      <c r="F1000" s="89"/>
      <c r="G1000" s="89"/>
      <c r="H1000" s="89"/>
      <c r="I1000" s="90"/>
      <c r="J1000" s="65"/>
      <c r="K1000" s="91"/>
      <c r="L1000" s="50"/>
    </row>
    <row r="1001" spans="6:12" ht="12.5">
      <c r="F1001" s="89"/>
      <c r="G1001" s="89"/>
      <c r="H1001" s="89"/>
      <c r="I1001" s="90"/>
      <c r="J1001" s="92"/>
    </row>
    <row r="1002" spans="6:12" ht="12.5">
      <c r="F1002" s="89"/>
      <c r="G1002" s="89"/>
      <c r="H1002" s="89"/>
      <c r="I1002" s="90"/>
      <c r="J1002" s="9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Z1002"/>
  <sheetViews>
    <sheetView workbookViewId="0"/>
  </sheetViews>
  <sheetFormatPr defaultColWidth="12.54296875" defaultRowHeight="15" customHeight="1"/>
  <cols>
    <col min="2" max="2" width="15" customWidth="1"/>
    <col min="3" max="3" width="16.453125" customWidth="1"/>
  </cols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42218</v>
      </c>
      <c r="B2" s="2">
        <v>1</v>
      </c>
      <c r="C2" s="61" t="s">
        <v>271</v>
      </c>
      <c r="D2" s="62">
        <v>10</v>
      </c>
      <c r="E2" s="62">
        <v>75000</v>
      </c>
      <c r="F2" s="63">
        <f>I2-0</f>
        <v>10</v>
      </c>
      <c r="G2" s="63">
        <f t="shared" ref="G2:G59" si="0">$B$59/$I$59*(F2)</f>
        <v>3.8252771677120224E-3</v>
      </c>
      <c r="H2" s="63">
        <f>$B$59/SQRT($I$59)*(SQRT(I2)-SQRT(0))</f>
        <v>0.47102661891584996</v>
      </c>
      <c r="I2" s="76">
        <f t="shared" ref="I2:I33" si="1">D2</f>
        <v>10</v>
      </c>
      <c r="J2" s="76">
        <f t="shared" ref="J2:J33" si="2">E2</f>
        <v>75000</v>
      </c>
      <c r="K2" s="77">
        <f>J2*'Inflation Rates by Year'!$I$2</f>
        <v>93458.005603733036</v>
      </c>
      <c r="L2" s="78">
        <f t="shared" ref="L2:L70" si="3">K2/I2</f>
        <v>9345.8005603733036</v>
      </c>
    </row>
    <row r="3" spans="1:12" ht="15" customHeight="1">
      <c r="A3" s="81">
        <v>42219</v>
      </c>
      <c r="B3" s="2">
        <v>2</v>
      </c>
      <c r="C3" s="61" t="s">
        <v>271</v>
      </c>
      <c r="D3" s="62">
        <v>10</v>
      </c>
      <c r="E3" s="62">
        <v>75000</v>
      </c>
      <c r="F3" s="63">
        <f t="shared" ref="F3:F70" si="4">I3-I2</f>
        <v>0</v>
      </c>
      <c r="G3" s="63">
        <f t="shared" si="0"/>
        <v>0</v>
      </c>
      <c r="H3" s="63">
        <f t="shared" ref="H3:H70" si="5">$B$59/SQRT($I$59)*(SQRT(I3)-SQRT(I2))</f>
        <v>0</v>
      </c>
      <c r="I3" s="76">
        <f t="shared" si="1"/>
        <v>10</v>
      </c>
      <c r="J3" s="76">
        <f t="shared" si="2"/>
        <v>75000</v>
      </c>
      <c r="K3" s="77">
        <f>J3*'Inflation Rates by Year'!$I$2</f>
        <v>93458.005603733036</v>
      </c>
      <c r="L3" s="78">
        <f t="shared" si="3"/>
        <v>9345.8005603733036</v>
      </c>
    </row>
    <row r="4" spans="1:12" ht="15" customHeight="1">
      <c r="A4" s="81">
        <v>42221</v>
      </c>
      <c r="B4" s="2">
        <v>3</v>
      </c>
      <c r="C4" s="61" t="s">
        <v>271</v>
      </c>
      <c r="D4" s="62">
        <v>75</v>
      </c>
      <c r="E4" s="62">
        <v>75000</v>
      </c>
      <c r="F4" s="63">
        <f t="shared" si="4"/>
        <v>65</v>
      </c>
      <c r="G4" s="63">
        <f t="shared" si="0"/>
        <v>2.4864301590128146E-2</v>
      </c>
      <c r="H4" s="63">
        <f t="shared" si="5"/>
        <v>0.81893290291215304</v>
      </c>
      <c r="I4" s="76">
        <f t="shared" si="1"/>
        <v>75</v>
      </c>
      <c r="J4" s="76">
        <f t="shared" si="2"/>
        <v>75000</v>
      </c>
      <c r="K4" s="77">
        <f>J4*'Inflation Rates by Year'!$I$2</f>
        <v>93458.005603733036</v>
      </c>
      <c r="L4" s="78">
        <f t="shared" si="3"/>
        <v>1246.1067413831072</v>
      </c>
    </row>
    <row r="5" spans="1:12" ht="15" customHeight="1">
      <c r="A5" s="81">
        <v>42222</v>
      </c>
      <c r="B5" s="2">
        <v>4</v>
      </c>
      <c r="C5" s="61" t="s">
        <v>271</v>
      </c>
      <c r="D5" s="62">
        <v>450</v>
      </c>
      <c r="E5" s="62">
        <v>75000</v>
      </c>
      <c r="F5" s="63">
        <f t="shared" si="4"/>
        <v>375</v>
      </c>
      <c r="G5" s="63">
        <f t="shared" si="0"/>
        <v>0.14344789378920084</v>
      </c>
      <c r="H5" s="63">
        <f t="shared" si="5"/>
        <v>1.8697830954951833</v>
      </c>
      <c r="I5" s="76">
        <f t="shared" si="1"/>
        <v>450</v>
      </c>
      <c r="J5" s="76">
        <f t="shared" si="2"/>
        <v>75000</v>
      </c>
      <c r="K5" s="77">
        <f>J5*'Inflation Rates by Year'!$I$2</f>
        <v>93458.005603733036</v>
      </c>
      <c r="L5" s="78">
        <f t="shared" si="3"/>
        <v>207.68445689718453</v>
      </c>
    </row>
    <row r="6" spans="1:12" ht="15" customHeight="1">
      <c r="A6" s="81">
        <v>42223</v>
      </c>
      <c r="B6" s="2">
        <v>5</v>
      </c>
      <c r="C6" s="61" t="s">
        <v>271</v>
      </c>
      <c r="D6" s="62">
        <v>600</v>
      </c>
      <c r="E6" s="62">
        <v>100000</v>
      </c>
      <c r="F6" s="63">
        <f t="shared" si="4"/>
        <v>150</v>
      </c>
      <c r="G6" s="63">
        <f t="shared" si="0"/>
        <v>5.7379157515680339E-2</v>
      </c>
      <c r="H6" s="63">
        <f t="shared" si="5"/>
        <v>0.48881388403976206</v>
      </c>
      <c r="I6" s="76">
        <f t="shared" si="1"/>
        <v>600</v>
      </c>
      <c r="J6" s="76">
        <f t="shared" si="2"/>
        <v>100000</v>
      </c>
      <c r="K6" s="77">
        <f>J6*'Inflation Rates by Year'!$I$2</f>
        <v>124610.6741383107</v>
      </c>
      <c r="L6" s="78">
        <f t="shared" si="3"/>
        <v>207.6844568971845</v>
      </c>
    </row>
    <row r="7" spans="1:12" ht="15" customHeight="1">
      <c r="A7" s="81">
        <v>42224</v>
      </c>
      <c r="B7" s="2">
        <v>6</v>
      </c>
      <c r="C7" s="61" t="s">
        <v>271</v>
      </c>
      <c r="D7" s="62">
        <v>976</v>
      </c>
      <c r="E7" s="62">
        <v>100000</v>
      </c>
      <c r="F7" s="63">
        <f t="shared" si="4"/>
        <v>376</v>
      </c>
      <c r="G7" s="63">
        <f t="shared" si="0"/>
        <v>0.14383042150597206</v>
      </c>
      <c r="H7" s="63">
        <f t="shared" si="5"/>
        <v>1.0048432226006201</v>
      </c>
      <c r="I7" s="76">
        <f t="shared" si="1"/>
        <v>976</v>
      </c>
      <c r="J7" s="76">
        <f t="shared" si="2"/>
        <v>100000</v>
      </c>
      <c r="K7" s="77">
        <f>J7*'Inflation Rates by Year'!$I$2</f>
        <v>124610.6741383107</v>
      </c>
      <c r="L7" s="78">
        <f t="shared" si="3"/>
        <v>127.67487104335113</v>
      </c>
    </row>
    <row r="8" spans="1:12" ht="15" customHeight="1">
      <c r="A8" s="81">
        <v>42224</v>
      </c>
      <c r="B8" s="2">
        <v>7</v>
      </c>
      <c r="C8" s="61" t="s">
        <v>271</v>
      </c>
      <c r="D8" s="62">
        <v>1200</v>
      </c>
      <c r="E8" s="62">
        <v>150000</v>
      </c>
      <c r="F8" s="63">
        <f t="shared" si="4"/>
        <v>224</v>
      </c>
      <c r="G8" s="63">
        <f t="shared" si="0"/>
        <v>8.5686208556749299E-2</v>
      </c>
      <c r="H8" s="63">
        <f t="shared" si="5"/>
        <v>0.5064383633484435</v>
      </c>
      <c r="I8" s="76">
        <f t="shared" si="1"/>
        <v>1200</v>
      </c>
      <c r="J8" s="76">
        <f t="shared" si="2"/>
        <v>150000</v>
      </c>
      <c r="K8" s="77">
        <f>J8*'Inflation Rates by Year'!$I$2</f>
        <v>186916.01120746607</v>
      </c>
      <c r="L8" s="78">
        <f t="shared" si="3"/>
        <v>155.7633426728884</v>
      </c>
    </row>
    <row r="9" spans="1:12" ht="15" customHeight="1">
      <c r="A9" s="81">
        <v>42225</v>
      </c>
      <c r="B9" s="2">
        <v>8</v>
      </c>
      <c r="C9" s="61" t="s">
        <v>271</v>
      </c>
      <c r="D9" s="62">
        <v>1365</v>
      </c>
      <c r="E9" s="62">
        <v>100000</v>
      </c>
      <c r="F9" s="63">
        <f t="shared" si="4"/>
        <v>165</v>
      </c>
      <c r="G9" s="63">
        <f t="shared" si="0"/>
        <v>6.3117073267248372E-2</v>
      </c>
      <c r="H9" s="63">
        <f t="shared" si="5"/>
        <v>0.34331731089146661</v>
      </c>
      <c r="I9" s="76">
        <f t="shared" si="1"/>
        <v>1365</v>
      </c>
      <c r="J9" s="76">
        <f t="shared" si="2"/>
        <v>100000</v>
      </c>
      <c r="K9" s="77">
        <f>J9*'Inflation Rates by Year'!$I$2</f>
        <v>124610.6741383107</v>
      </c>
      <c r="L9" s="78">
        <f t="shared" si="3"/>
        <v>91.289871163597581</v>
      </c>
    </row>
    <row r="10" spans="1:12" ht="15" customHeight="1">
      <c r="A10" s="81">
        <v>42227</v>
      </c>
      <c r="B10" s="2">
        <v>9</v>
      </c>
      <c r="C10" s="61" t="s">
        <v>271</v>
      </c>
      <c r="D10" s="62">
        <v>4754</v>
      </c>
      <c r="E10" s="62">
        <v>250000</v>
      </c>
      <c r="F10" s="63">
        <f t="shared" si="4"/>
        <v>3389</v>
      </c>
      <c r="G10" s="63">
        <f t="shared" si="0"/>
        <v>1.2963864321376044</v>
      </c>
      <c r="H10" s="63">
        <f t="shared" si="5"/>
        <v>4.7669532867500131</v>
      </c>
      <c r="I10" s="76">
        <f t="shared" si="1"/>
        <v>4754</v>
      </c>
      <c r="J10" s="76">
        <f t="shared" si="2"/>
        <v>250000</v>
      </c>
      <c r="K10" s="77">
        <f>J10*'Inflation Rates by Year'!$I$2</f>
        <v>311526.68534577679</v>
      </c>
      <c r="L10" s="78">
        <f t="shared" si="3"/>
        <v>65.52938269789162</v>
      </c>
    </row>
    <row r="11" spans="1:12" ht="15" customHeight="1">
      <c r="A11" s="81">
        <v>42227</v>
      </c>
      <c r="B11" s="2">
        <v>10</v>
      </c>
      <c r="C11" s="61" t="s">
        <v>271</v>
      </c>
      <c r="D11" s="62">
        <v>5226</v>
      </c>
      <c r="E11" s="62">
        <v>250000</v>
      </c>
      <c r="F11" s="63">
        <f t="shared" si="4"/>
        <v>472</v>
      </c>
      <c r="G11" s="63">
        <f t="shared" si="0"/>
        <v>0.18055308231600747</v>
      </c>
      <c r="H11" s="63">
        <f t="shared" si="5"/>
        <v>0.49776999076929812</v>
      </c>
      <c r="I11" s="76">
        <f t="shared" si="1"/>
        <v>5226</v>
      </c>
      <c r="J11" s="76">
        <f t="shared" si="2"/>
        <v>250000</v>
      </c>
      <c r="K11" s="77">
        <f>J11*'Inflation Rates by Year'!$I$2</f>
        <v>311526.68534577679</v>
      </c>
      <c r="L11" s="78">
        <f t="shared" si="3"/>
        <v>59.610923334438723</v>
      </c>
    </row>
    <row r="12" spans="1:12" ht="15" customHeight="1">
      <c r="A12" s="81">
        <v>42229</v>
      </c>
      <c r="B12" s="2">
        <v>11</v>
      </c>
      <c r="C12" s="61" t="s">
        <v>271</v>
      </c>
      <c r="D12" s="62">
        <v>6831</v>
      </c>
      <c r="E12" s="62">
        <v>3130000</v>
      </c>
      <c r="F12" s="63">
        <f t="shared" si="4"/>
        <v>1605</v>
      </c>
      <c r="G12" s="63">
        <f t="shared" si="0"/>
        <v>0.61395698541777965</v>
      </c>
      <c r="H12" s="63">
        <f t="shared" si="5"/>
        <v>1.5429586771674184</v>
      </c>
      <c r="I12" s="76">
        <f t="shared" si="1"/>
        <v>6831</v>
      </c>
      <c r="J12" s="76">
        <f t="shared" si="2"/>
        <v>3130000</v>
      </c>
      <c r="K12" s="77">
        <f>J12*'Inflation Rates by Year'!$I$2</f>
        <v>3900314.100529125</v>
      </c>
      <c r="L12" s="78">
        <f t="shared" si="3"/>
        <v>570.97263951531625</v>
      </c>
    </row>
    <row r="13" spans="1:12" ht="15" customHeight="1">
      <c r="A13" s="81">
        <v>42230</v>
      </c>
      <c r="B13" s="2">
        <v>12</v>
      </c>
      <c r="C13" s="61" t="s">
        <v>271</v>
      </c>
      <c r="D13" s="62">
        <v>13346</v>
      </c>
      <c r="E13" s="62">
        <v>4000000</v>
      </c>
      <c r="F13" s="63">
        <f t="shared" si="4"/>
        <v>6515</v>
      </c>
      <c r="G13" s="63">
        <f t="shared" si="0"/>
        <v>2.4921680747643826</v>
      </c>
      <c r="H13" s="63">
        <f t="shared" si="5"/>
        <v>4.8967907423950621</v>
      </c>
      <c r="I13" s="76">
        <f t="shared" si="1"/>
        <v>13346</v>
      </c>
      <c r="J13" s="76">
        <f t="shared" si="2"/>
        <v>4000000</v>
      </c>
      <c r="K13" s="77">
        <f>J13*'Inflation Rates by Year'!$I$2</f>
        <v>4984426.9655324286</v>
      </c>
      <c r="L13" s="78">
        <f t="shared" si="3"/>
        <v>373.47721905682818</v>
      </c>
    </row>
    <row r="14" spans="1:12" ht="15" customHeight="1">
      <c r="A14" s="81">
        <v>42231</v>
      </c>
      <c r="B14" s="2">
        <v>13</v>
      </c>
      <c r="C14" s="61" t="s">
        <v>271</v>
      </c>
      <c r="D14" s="62">
        <v>13346</v>
      </c>
      <c r="E14" s="62">
        <v>5000000</v>
      </c>
      <c r="F14" s="63">
        <f t="shared" si="4"/>
        <v>0</v>
      </c>
      <c r="G14" s="63">
        <f t="shared" si="0"/>
        <v>0</v>
      </c>
      <c r="H14" s="63">
        <f t="shared" si="5"/>
        <v>0</v>
      </c>
      <c r="I14" s="76">
        <f t="shared" si="1"/>
        <v>13346</v>
      </c>
      <c r="J14" s="76">
        <f t="shared" si="2"/>
        <v>5000000</v>
      </c>
      <c r="K14" s="77">
        <f>J14*'Inflation Rates by Year'!$I$2</f>
        <v>6230533.706915535</v>
      </c>
      <c r="L14" s="78">
        <f t="shared" si="3"/>
        <v>466.84652382103513</v>
      </c>
    </row>
    <row r="15" spans="1:12" ht="15" customHeight="1">
      <c r="A15" s="81">
        <v>42231</v>
      </c>
      <c r="B15" s="2">
        <v>14</v>
      </c>
      <c r="C15" s="61" t="s">
        <v>271</v>
      </c>
      <c r="D15" s="62">
        <v>14000</v>
      </c>
      <c r="E15" s="62">
        <v>6200000</v>
      </c>
      <c r="F15" s="63">
        <f t="shared" si="4"/>
        <v>654</v>
      </c>
      <c r="G15" s="63">
        <f t="shared" si="0"/>
        <v>0.25017312676836628</v>
      </c>
      <c r="H15" s="63">
        <f t="shared" si="5"/>
        <v>0.41657418505117144</v>
      </c>
      <c r="I15" s="76">
        <f t="shared" si="1"/>
        <v>14000</v>
      </c>
      <c r="J15" s="76">
        <f t="shared" si="2"/>
        <v>6200000</v>
      </c>
      <c r="K15" s="77">
        <f>J15*'Inflation Rates by Year'!$I$2</f>
        <v>7725861.7965752641</v>
      </c>
      <c r="L15" s="78">
        <f t="shared" si="3"/>
        <v>551.84727118394744</v>
      </c>
    </row>
    <row r="16" spans="1:12" ht="15" customHeight="1">
      <c r="A16" s="81">
        <v>42232</v>
      </c>
      <c r="B16" s="2">
        <v>15</v>
      </c>
      <c r="C16" s="61" t="s">
        <v>271</v>
      </c>
      <c r="D16" s="62">
        <v>16890</v>
      </c>
      <c r="E16" s="62">
        <v>6900000</v>
      </c>
      <c r="F16" s="63">
        <f t="shared" si="4"/>
        <v>2890</v>
      </c>
      <c r="G16" s="63">
        <f t="shared" si="0"/>
        <v>1.1055051014687745</v>
      </c>
      <c r="H16" s="63">
        <f t="shared" si="5"/>
        <v>1.7337883670268635</v>
      </c>
      <c r="I16" s="76">
        <f t="shared" si="1"/>
        <v>16890</v>
      </c>
      <c r="J16" s="76">
        <f t="shared" si="2"/>
        <v>6900000</v>
      </c>
      <c r="K16" s="77">
        <f>J16*'Inflation Rates by Year'!$I$2</f>
        <v>8598136.5155434385</v>
      </c>
      <c r="L16" s="78">
        <f t="shared" si="3"/>
        <v>509.06669719025689</v>
      </c>
    </row>
    <row r="17" spans="1:12" ht="15" customHeight="1">
      <c r="A17" s="81">
        <v>42233</v>
      </c>
      <c r="B17" s="2">
        <v>16</v>
      </c>
      <c r="C17" s="61" t="s">
        <v>271</v>
      </c>
      <c r="D17" s="62">
        <v>20979</v>
      </c>
      <c r="E17" s="62">
        <v>7800000</v>
      </c>
      <c r="F17" s="63">
        <f t="shared" si="4"/>
        <v>4089</v>
      </c>
      <c r="G17" s="63">
        <f t="shared" si="0"/>
        <v>1.5641558338774459</v>
      </c>
      <c r="H17" s="63">
        <f t="shared" si="5"/>
        <v>2.2163654326752593</v>
      </c>
      <c r="I17" s="76">
        <f t="shared" si="1"/>
        <v>20979</v>
      </c>
      <c r="J17" s="76">
        <f t="shared" si="2"/>
        <v>7800000</v>
      </c>
      <c r="K17" s="77">
        <f>J17*'Inflation Rates by Year'!$I$2</f>
        <v>9719632.5827882346</v>
      </c>
      <c r="L17" s="78">
        <f t="shared" si="3"/>
        <v>463.30294974918894</v>
      </c>
    </row>
    <row r="18" spans="1:12" ht="15" customHeight="1">
      <c r="A18" s="81">
        <v>42235</v>
      </c>
      <c r="B18" s="2">
        <v>17</v>
      </c>
      <c r="C18" s="61" t="s">
        <v>271</v>
      </c>
      <c r="D18" s="62">
        <v>30901</v>
      </c>
      <c r="E18" s="62">
        <v>9400000</v>
      </c>
      <c r="F18" s="63">
        <f t="shared" si="4"/>
        <v>9922</v>
      </c>
      <c r="G18" s="63">
        <f t="shared" si="0"/>
        <v>3.7954400058038686</v>
      </c>
      <c r="H18" s="63">
        <f t="shared" si="5"/>
        <v>4.6093862156097307</v>
      </c>
      <c r="I18" s="76">
        <f t="shared" si="1"/>
        <v>30901</v>
      </c>
      <c r="J18" s="76">
        <f t="shared" si="2"/>
        <v>9400000</v>
      </c>
      <c r="K18" s="77">
        <f>J18*'Inflation Rates by Year'!$I$2</f>
        <v>11713403.369001206</v>
      </c>
      <c r="L18" s="78">
        <f t="shared" si="3"/>
        <v>379.06227529857307</v>
      </c>
    </row>
    <row r="19" spans="1:12" ht="15" customHeight="1">
      <c r="A19" s="81">
        <v>42236</v>
      </c>
      <c r="B19" s="2">
        <v>18</v>
      </c>
      <c r="C19" s="61" t="s">
        <v>271</v>
      </c>
      <c r="D19" s="62">
        <v>32414</v>
      </c>
      <c r="E19" s="62">
        <v>11100000</v>
      </c>
      <c r="F19" s="63">
        <f t="shared" si="4"/>
        <v>1513</v>
      </c>
      <c r="G19" s="63">
        <f t="shared" si="0"/>
        <v>0.57876443547482903</v>
      </c>
      <c r="H19" s="63">
        <f t="shared" si="5"/>
        <v>0.63335482284052891</v>
      </c>
      <c r="I19" s="76">
        <f t="shared" si="1"/>
        <v>32414</v>
      </c>
      <c r="J19" s="76">
        <f t="shared" si="2"/>
        <v>11100000</v>
      </c>
      <c r="K19" s="77">
        <f>J19*'Inflation Rates by Year'!$I$2</f>
        <v>13831784.829352489</v>
      </c>
      <c r="L19" s="78">
        <f t="shared" si="3"/>
        <v>426.72255288926044</v>
      </c>
    </row>
    <row r="20" spans="1:12" ht="15" customHeight="1">
      <c r="A20" s="81">
        <v>42236</v>
      </c>
      <c r="B20" s="2">
        <v>19</v>
      </c>
      <c r="C20" s="61" t="s">
        <v>271</v>
      </c>
      <c r="D20" s="62">
        <v>37610</v>
      </c>
      <c r="E20" s="62">
        <v>12600000</v>
      </c>
      <c r="F20" s="63">
        <f t="shared" si="4"/>
        <v>5196</v>
      </c>
      <c r="G20" s="63">
        <f t="shared" si="0"/>
        <v>1.9876140163431668</v>
      </c>
      <c r="H20" s="63">
        <f t="shared" si="5"/>
        <v>2.0695487721362289</v>
      </c>
      <c r="I20" s="76">
        <f t="shared" si="1"/>
        <v>37610</v>
      </c>
      <c r="J20" s="76">
        <f t="shared" si="2"/>
        <v>12600000</v>
      </c>
      <c r="K20" s="77">
        <f>J20*'Inflation Rates by Year'!$I$2</f>
        <v>15700944.941427149</v>
      </c>
      <c r="L20" s="78">
        <f t="shared" si="3"/>
        <v>417.46729437455861</v>
      </c>
    </row>
    <row r="21" spans="1:12" ht="14.5">
      <c r="A21" s="81">
        <v>42238</v>
      </c>
      <c r="B21" s="2">
        <v>20</v>
      </c>
      <c r="C21" s="61" t="s">
        <v>271</v>
      </c>
      <c r="D21" s="62">
        <v>47079</v>
      </c>
      <c r="E21" s="62">
        <v>13800000</v>
      </c>
      <c r="F21" s="63">
        <f t="shared" si="4"/>
        <v>9469</v>
      </c>
      <c r="G21" s="63">
        <f t="shared" si="0"/>
        <v>3.622154950106514</v>
      </c>
      <c r="H21" s="63">
        <f t="shared" si="5"/>
        <v>3.4324397696553586</v>
      </c>
      <c r="I21" s="76">
        <f t="shared" si="1"/>
        <v>47079</v>
      </c>
      <c r="J21" s="76">
        <f t="shared" si="2"/>
        <v>13800000</v>
      </c>
      <c r="K21" s="77">
        <f>J21*'Inflation Rates by Year'!$I$2</f>
        <v>17196273.031086877</v>
      </c>
      <c r="L21" s="78">
        <f t="shared" si="3"/>
        <v>365.26419488703834</v>
      </c>
    </row>
    <row r="22" spans="1:12" ht="14.5">
      <c r="A22" s="81">
        <v>42239</v>
      </c>
      <c r="B22" s="2">
        <v>21</v>
      </c>
      <c r="C22" s="61" t="s">
        <v>271</v>
      </c>
      <c r="D22" s="62">
        <v>47396</v>
      </c>
      <c r="E22" s="62">
        <v>18900000</v>
      </c>
      <c r="F22" s="63">
        <f t="shared" si="4"/>
        <v>317</v>
      </c>
      <c r="G22" s="63">
        <f t="shared" si="0"/>
        <v>0.12126128621647111</v>
      </c>
      <c r="H22" s="63">
        <f t="shared" si="5"/>
        <v>0.1086255219337641</v>
      </c>
      <c r="I22" s="76">
        <f t="shared" si="1"/>
        <v>47396</v>
      </c>
      <c r="J22" s="76">
        <f t="shared" si="2"/>
        <v>18900000</v>
      </c>
      <c r="K22" s="77">
        <f>J22*'Inflation Rates by Year'!$I$2</f>
        <v>23551417.412140723</v>
      </c>
      <c r="L22" s="78">
        <f t="shared" si="3"/>
        <v>496.9072793514373</v>
      </c>
    </row>
    <row r="23" spans="1:12" ht="14.5">
      <c r="A23" s="81">
        <v>42239</v>
      </c>
      <c r="B23" s="2">
        <v>22</v>
      </c>
      <c r="C23" s="61" t="s">
        <v>271</v>
      </c>
      <c r="D23" s="62">
        <v>49440</v>
      </c>
      <c r="E23" s="62">
        <v>19500000</v>
      </c>
      <c r="F23" s="63">
        <f t="shared" si="4"/>
        <v>2044</v>
      </c>
      <c r="G23" s="63">
        <f t="shared" si="0"/>
        <v>0.78188665308033745</v>
      </c>
      <c r="H23" s="63">
        <f t="shared" si="5"/>
        <v>0.69185823521270584</v>
      </c>
      <c r="I23" s="76">
        <f t="shared" si="1"/>
        <v>49440</v>
      </c>
      <c r="J23" s="76">
        <f t="shared" si="2"/>
        <v>19500000</v>
      </c>
      <c r="K23" s="77">
        <f>J23*'Inflation Rates by Year'!$I$2</f>
        <v>24299081.456970587</v>
      </c>
      <c r="L23" s="78">
        <f t="shared" si="3"/>
        <v>491.48627542416239</v>
      </c>
    </row>
    <row r="24" spans="1:12" ht="14.5">
      <c r="A24" s="81">
        <v>42240</v>
      </c>
      <c r="B24" s="2">
        <v>23</v>
      </c>
      <c r="C24" s="61" t="s">
        <v>271</v>
      </c>
      <c r="D24" s="62">
        <v>51794</v>
      </c>
      <c r="E24" s="62">
        <v>22900000</v>
      </c>
      <c r="F24" s="63">
        <f t="shared" si="4"/>
        <v>2354</v>
      </c>
      <c r="G24" s="63">
        <f t="shared" si="0"/>
        <v>0.90047024527941011</v>
      </c>
      <c r="H24" s="63">
        <f t="shared" si="5"/>
        <v>0.77929712147031149</v>
      </c>
      <c r="I24" s="76">
        <f t="shared" si="1"/>
        <v>51794</v>
      </c>
      <c r="J24" s="76">
        <f t="shared" si="2"/>
        <v>22900000</v>
      </c>
      <c r="K24" s="77">
        <f>J24*'Inflation Rates by Year'!$I$2</f>
        <v>28535844.377673153</v>
      </c>
      <c r="L24" s="78">
        <f t="shared" si="3"/>
        <v>550.94884306431538</v>
      </c>
    </row>
    <row r="25" spans="1:12" ht="14.5">
      <c r="A25" s="81">
        <v>42241</v>
      </c>
      <c r="B25" s="2">
        <v>24</v>
      </c>
      <c r="C25" s="61" t="s">
        <v>271</v>
      </c>
      <c r="D25" s="62">
        <v>53208</v>
      </c>
      <c r="E25" s="62">
        <v>24500000</v>
      </c>
      <c r="F25" s="63">
        <f t="shared" si="4"/>
        <v>1414</v>
      </c>
      <c r="G25" s="63">
        <f t="shared" si="0"/>
        <v>0.54089419151448004</v>
      </c>
      <c r="H25" s="63">
        <f t="shared" si="5"/>
        <v>0.45961153755147194</v>
      </c>
      <c r="I25" s="76">
        <f t="shared" si="1"/>
        <v>53208</v>
      </c>
      <c r="J25" s="76">
        <f t="shared" si="2"/>
        <v>24500000</v>
      </c>
      <c r="K25" s="77">
        <f>J25*'Inflation Rates by Year'!$I$2</f>
        <v>30529615.163886122</v>
      </c>
      <c r="L25" s="78">
        <f t="shared" si="3"/>
        <v>573.77866418369649</v>
      </c>
    </row>
    <row r="26" spans="1:12" ht="14.5">
      <c r="A26" s="81">
        <v>42242</v>
      </c>
      <c r="B26" s="2">
        <v>25</v>
      </c>
      <c r="C26" s="61" t="s">
        <v>271</v>
      </c>
      <c r="D26" s="62">
        <v>55989</v>
      </c>
      <c r="E26" s="62">
        <v>30000000</v>
      </c>
      <c r="F26" s="63">
        <f t="shared" si="4"/>
        <v>2781</v>
      </c>
      <c r="G26" s="63">
        <f t="shared" si="0"/>
        <v>1.0638095803407135</v>
      </c>
      <c r="H26" s="63">
        <f t="shared" si="5"/>
        <v>0.88646441732715908</v>
      </c>
      <c r="I26" s="76">
        <f t="shared" si="1"/>
        <v>55989</v>
      </c>
      <c r="J26" s="76">
        <f t="shared" si="2"/>
        <v>30000000</v>
      </c>
      <c r="K26" s="77">
        <f>J26*'Inflation Rates by Year'!$I$2</f>
        <v>37383202.24149321</v>
      </c>
      <c r="L26" s="78">
        <f t="shared" si="3"/>
        <v>667.68833594979742</v>
      </c>
    </row>
    <row r="27" spans="1:12" ht="14.5">
      <c r="A27" s="81">
        <v>42243</v>
      </c>
      <c r="B27" s="2">
        <v>26</v>
      </c>
      <c r="C27" s="61" t="s">
        <v>271</v>
      </c>
      <c r="D27" s="62">
        <v>56919</v>
      </c>
      <c r="E27" s="62">
        <v>33800000</v>
      </c>
      <c r="F27" s="63">
        <f t="shared" si="4"/>
        <v>930</v>
      </c>
      <c r="G27" s="63">
        <f t="shared" si="0"/>
        <v>0.3557507765972181</v>
      </c>
      <c r="H27" s="63">
        <f t="shared" si="5"/>
        <v>0.29151085250232467</v>
      </c>
      <c r="I27" s="76">
        <f t="shared" si="1"/>
        <v>56919</v>
      </c>
      <c r="J27" s="76">
        <f t="shared" si="2"/>
        <v>33800000</v>
      </c>
      <c r="K27" s="77">
        <f>J27*'Inflation Rates by Year'!$I$2</f>
        <v>42118407.858749017</v>
      </c>
      <c r="L27" s="78">
        <f t="shared" si="3"/>
        <v>739.97097381803997</v>
      </c>
    </row>
    <row r="28" spans="1:12" ht="14.5">
      <c r="A28" s="81">
        <v>42245</v>
      </c>
      <c r="B28" s="2">
        <v>27</v>
      </c>
      <c r="C28" s="61" t="s">
        <v>271</v>
      </c>
      <c r="D28" s="62">
        <v>61316</v>
      </c>
      <c r="E28" s="62">
        <v>36900000</v>
      </c>
      <c r="F28" s="63">
        <f t="shared" si="4"/>
        <v>4397</v>
      </c>
      <c r="G28" s="63">
        <f t="shared" si="0"/>
        <v>1.6819743706429764</v>
      </c>
      <c r="H28" s="63">
        <f t="shared" si="5"/>
        <v>1.3470664143072857</v>
      </c>
      <c r="I28" s="76">
        <f t="shared" si="1"/>
        <v>61316</v>
      </c>
      <c r="J28" s="76">
        <f t="shared" si="2"/>
        <v>36900000</v>
      </c>
      <c r="K28" s="77">
        <f>J28*'Inflation Rates by Year'!$I$2</f>
        <v>45981338.757036649</v>
      </c>
      <c r="L28" s="78">
        <f t="shared" si="3"/>
        <v>749.90767103262851</v>
      </c>
    </row>
    <row r="29" spans="1:12" ht="14.5">
      <c r="A29" s="81">
        <v>42246</v>
      </c>
      <c r="B29" s="2">
        <v>28</v>
      </c>
      <c r="C29" s="61" t="s">
        <v>271</v>
      </c>
      <c r="D29" s="62">
        <v>66542</v>
      </c>
      <c r="E29" s="62">
        <v>44700000</v>
      </c>
      <c r="F29" s="63">
        <f t="shared" si="4"/>
        <v>5226</v>
      </c>
      <c r="G29" s="63">
        <f t="shared" si="0"/>
        <v>1.9990898478463031</v>
      </c>
      <c r="H29" s="63">
        <f t="shared" si="5"/>
        <v>1.5396664829392133</v>
      </c>
      <c r="I29" s="76">
        <f t="shared" si="1"/>
        <v>66542</v>
      </c>
      <c r="J29" s="76">
        <f t="shared" si="2"/>
        <v>44700000</v>
      </c>
      <c r="K29" s="77">
        <f>J29*'Inflation Rates by Year'!$I$2</f>
        <v>55700971.339824885</v>
      </c>
      <c r="L29" s="78">
        <f t="shared" si="3"/>
        <v>837.07990952819102</v>
      </c>
    </row>
    <row r="30" spans="1:12" ht="14.5">
      <c r="A30" s="81">
        <v>42246</v>
      </c>
      <c r="B30" s="2">
        <v>29</v>
      </c>
      <c r="C30" s="61" t="s">
        <v>271</v>
      </c>
      <c r="D30" s="62">
        <v>72300</v>
      </c>
      <c r="E30" s="62">
        <v>46700000</v>
      </c>
      <c r="F30" s="63">
        <f t="shared" si="4"/>
        <v>5758</v>
      </c>
      <c r="G30" s="63">
        <f t="shared" si="0"/>
        <v>2.2025945931685826</v>
      </c>
      <c r="H30" s="63">
        <f t="shared" si="5"/>
        <v>1.6279276923992749</v>
      </c>
      <c r="I30" s="76">
        <f t="shared" si="1"/>
        <v>72300</v>
      </c>
      <c r="J30" s="76">
        <f t="shared" si="2"/>
        <v>46700000</v>
      </c>
      <c r="K30" s="77">
        <f>J30*'Inflation Rates by Year'!$I$2</f>
        <v>58193184.822591096</v>
      </c>
      <c r="L30" s="78">
        <f t="shared" si="3"/>
        <v>804.88499063058225</v>
      </c>
    </row>
    <row r="31" spans="1:12" ht="14.5">
      <c r="A31" s="81">
        <v>42247</v>
      </c>
      <c r="B31" s="2">
        <v>30</v>
      </c>
      <c r="C31" s="61" t="s">
        <v>271</v>
      </c>
      <c r="D31" s="62">
        <v>77287</v>
      </c>
      <c r="E31" s="62">
        <v>50400000</v>
      </c>
      <c r="F31" s="63">
        <f t="shared" si="4"/>
        <v>4987</v>
      </c>
      <c r="G31" s="63">
        <f t="shared" si="0"/>
        <v>1.9076657235379857</v>
      </c>
      <c r="H31" s="63">
        <f t="shared" si="5"/>
        <v>1.3582610831893553</v>
      </c>
      <c r="I31" s="76">
        <f t="shared" si="1"/>
        <v>77287</v>
      </c>
      <c r="J31" s="76">
        <f t="shared" si="2"/>
        <v>50400000</v>
      </c>
      <c r="K31" s="77">
        <f>J31*'Inflation Rates by Year'!$I$2</f>
        <v>62803779.765708596</v>
      </c>
      <c r="L31" s="78">
        <f t="shared" si="3"/>
        <v>812.60470409911886</v>
      </c>
    </row>
    <row r="32" spans="1:12" ht="14.5">
      <c r="A32" s="81">
        <v>42249</v>
      </c>
      <c r="B32" s="2">
        <v>31</v>
      </c>
      <c r="C32" s="61" t="s">
        <v>271</v>
      </c>
      <c r="D32" s="62">
        <v>79973</v>
      </c>
      <c r="E32" s="62">
        <v>54600000</v>
      </c>
      <c r="F32" s="63">
        <f t="shared" si="4"/>
        <v>2686</v>
      </c>
      <c r="G32" s="63">
        <f t="shared" si="0"/>
        <v>1.0274694472474493</v>
      </c>
      <c r="H32" s="63">
        <f t="shared" si="5"/>
        <v>0.71341652434826097</v>
      </c>
      <c r="I32" s="76">
        <f t="shared" si="1"/>
        <v>79973</v>
      </c>
      <c r="J32" s="76">
        <f t="shared" si="2"/>
        <v>54600000</v>
      </c>
      <c r="K32" s="77">
        <f>J32*'Inflation Rates by Year'!$I$2</f>
        <v>68037428.079517648</v>
      </c>
      <c r="L32" s="78">
        <f t="shared" si="3"/>
        <v>850.75498079999056</v>
      </c>
    </row>
    <row r="33" spans="1:12" ht="14.5">
      <c r="A33" s="81">
        <v>42250</v>
      </c>
      <c r="B33" s="2">
        <v>32</v>
      </c>
      <c r="C33" s="61" t="s">
        <v>271</v>
      </c>
      <c r="D33" s="62">
        <v>79973</v>
      </c>
      <c r="E33" s="62">
        <v>57800000</v>
      </c>
      <c r="F33" s="63">
        <f t="shared" si="4"/>
        <v>0</v>
      </c>
      <c r="G33" s="63">
        <f t="shared" si="0"/>
        <v>0</v>
      </c>
      <c r="H33" s="63">
        <f t="shared" si="5"/>
        <v>0</v>
      </c>
      <c r="I33" s="76">
        <f t="shared" si="1"/>
        <v>79973</v>
      </c>
      <c r="J33" s="76">
        <f t="shared" si="2"/>
        <v>57800000</v>
      </c>
      <c r="K33" s="77">
        <f>J33*'Inflation Rates by Year'!$I$2</f>
        <v>72024969.651943594</v>
      </c>
      <c r="L33" s="78">
        <f t="shared" si="3"/>
        <v>900.6160785758143</v>
      </c>
    </row>
    <row r="34" spans="1:12" ht="14.5">
      <c r="A34" s="81">
        <v>42250</v>
      </c>
      <c r="B34" s="2">
        <v>33</v>
      </c>
      <c r="C34" s="61" t="s">
        <v>271</v>
      </c>
      <c r="D34" s="62">
        <v>83446</v>
      </c>
      <c r="E34" s="62">
        <v>61200000</v>
      </c>
      <c r="F34" s="63">
        <f t="shared" si="4"/>
        <v>3473</v>
      </c>
      <c r="G34" s="63">
        <f t="shared" si="0"/>
        <v>1.3285187603463855</v>
      </c>
      <c r="H34" s="63">
        <f t="shared" si="5"/>
        <v>0.90491645399057974</v>
      </c>
      <c r="I34" s="76">
        <f t="shared" ref="I34:I70" si="6">D34</f>
        <v>83446</v>
      </c>
      <c r="J34" s="76">
        <f t="shared" ref="J34:J70" si="7">E34</f>
        <v>61200000</v>
      </c>
      <c r="K34" s="77">
        <f>J34*'Inflation Rates by Year'!$I$2</f>
        <v>76261732.572646156</v>
      </c>
      <c r="L34" s="78">
        <f t="shared" si="3"/>
        <v>913.90519105344958</v>
      </c>
    </row>
    <row r="35" spans="1:12" ht="14.5">
      <c r="A35" s="81">
        <v>42251</v>
      </c>
      <c r="B35" s="2">
        <v>34</v>
      </c>
      <c r="C35" s="61" t="s">
        <v>271</v>
      </c>
      <c r="D35" s="62">
        <v>84070</v>
      </c>
      <c r="E35" s="62">
        <v>63900000</v>
      </c>
      <c r="F35" s="63">
        <f t="shared" si="4"/>
        <v>624</v>
      </c>
      <c r="G35" s="63">
        <f t="shared" si="0"/>
        <v>0.2386972952652302</v>
      </c>
      <c r="H35" s="63">
        <f t="shared" si="5"/>
        <v>0.16057859323573936</v>
      </c>
      <c r="I35" s="76">
        <f t="shared" si="6"/>
        <v>84070</v>
      </c>
      <c r="J35" s="76">
        <f t="shared" si="7"/>
        <v>63900000</v>
      </c>
      <c r="K35" s="77">
        <f>J35*'Inflation Rates by Year'!$I$2</f>
        <v>79626220.774380535</v>
      </c>
      <c r="L35" s="78">
        <f t="shared" si="3"/>
        <v>947.14191476603469</v>
      </c>
    </row>
    <row r="36" spans="1:12" ht="14.5">
      <c r="A36" s="81">
        <v>42252</v>
      </c>
      <c r="B36" s="2">
        <v>35</v>
      </c>
      <c r="C36" s="61" t="s">
        <v>271</v>
      </c>
      <c r="D36" s="62">
        <v>85894</v>
      </c>
      <c r="E36" s="62">
        <v>66112000</v>
      </c>
      <c r="F36" s="63">
        <f t="shared" si="4"/>
        <v>1824</v>
      </c>
      <c r="G36" s="63">
        <f t="shared" si="0"/>
        <v>0.69773055539067286</v>
      </c>
      <c r="H36" s="63">
        <f t="shared" si="5"/>
        <v>0.46599694314244727</v>
      </c>
      <c r="I36" s="76">
        <f t="shared" si="6"/>
        <v>85894</v>
      </c>
      <c r="J36" s="76">
        <f t="shared" si="7"/>
        <v>66112000</v>
      </c>
      <c r="K36" s="77">
        <f>J36*'Inflation Rates by Year'!$I$2</f>
        <v>82382608.88631998</v>
      </c>
      <c r="L36" s="78">
        <f t="shared" si="3"/>
        <v>959.11948315737982</v>
      </c>
    </row>
    <row r="37" spans="1:12" ht="14.5">
      <c r="A37" s="81">
        <v>42253</v>
      </c>
      <c r="B37" s="2">
        <v>36</v>
      </c>
      <c r="C37" s="61" t="s">
        <v>271</v>
      </c>
      <c r="D37" s="62">
        <v>89222</v>
      </c>
      <c r="E37" s="62">
        <v>67371000</v>
      </c>
      <c r="F37" s="63">
        <f t="shared" si="4"/>
        <v>3328</v>
      </c>
      <c r="G37" s="63">
        <f t="shared" si="0"/>
        <v>1.2730522414145611</v>
      </c>
      <c r="H37" s="63">
        <f t="shared" si="5"/>
        <v>0.83766518561883507</v>
      </c>
      <c r="I37" s="76">
        <f t="shared" si="6"/>
        <v>89222</v>
      </c>
      <c r="J37" s="76">
        <f t="shared" si="7"/>
        <v>67371000</v>
      </c>
      <c r="K37" s="77">
        <f>J37*'Inflation Rates by Year'!$I$2</f>
        <v>83951457.273721308</v>
      </c>
      <c r="L37" s="78">
        <f t="shared" si="3"/>
        <v>940.92776752058137</v>
      </c>
    </row>
    <row r="38" spans="1:12" ht="14.5">
      <c r="A38" s="81">
        <v>42254</v>
      </c>
      <c r="B38" s="2">
        <v>37</v>
      </c>
      <c r="C38" s="61" t="s">
        <v>271</v>
      </c>
      <c r="D38" s="62">
        <v>95184</v>
      </c>
      <c r="E38" s="62">
        <v>69914198</v>
      </c>
      <c r="F38" s="63">
        <f t="shared" si="4"/>
        <v>5962</v>
      </c>
      <c r="G38" s="63">
        <f t="shared" si="0"/>
        <v>2.2806302473899076</v>
      </c>
      <c r="H38" s="63">
        <f t="shared" si="5"/>
        <v>1.4624858348211014</v>
      </c>
      <c r="I38" s="76">
        <f t="shared" si="6"/>
        <v>95184</v>
      </c>
      <c r="J38" s="76">
        <f t="shared" si="7"/>
        <v>69914198</v>
      </c>
      <c r="K38" s="77">
        <f>J38*'Inflation Rates by Year'!$I$2</f>
        <v>87120553.446193337</v>
      </c>
      <c r="L38" s="78">
        <f t="shared" si="3"/>
        <v>915.28569345891469</v>
      </c>
    </row>
    <row r="39" spans="1:12" ht="14.5">
      <c r="A39" s="81">
        <v>42256</v>
      </c>
      <c r="B39" s="2">
        <v>38</v>
      </c>
      <c r="C39" s="61" t="s">
        <v>271</v>
      </c>
      <c r="D39" s="62">
        <v>103244</v>
      </c>
      <c r="E39" s="62">
        <v>72742309</v>
      </c>
      <c r="F39" s="63">
        <f t="shared" si="4"/>
        <v>8060</v>
      </c>
      <c r="G39" s="63">
        <f t="shared" si="0"/>
        <v>3.0831733971758903</v>
      </c>
      <c r="H39" s="63">
        <f t="shared" si="5"/>
        <v>1.9061349391959659</v>
      </c>
      <c r="I39" s="76">
        <f t="shared" si="6"/>
        <v>103244</v>
      </c>
      <c r="J39" s="76">
        <f t="shared" si="7"/>
        <v>72742309</v>
      </c>
      <c r="K39" s="77">
        <f>J39*'Inflation Rates by Year'!$I$2</f>
        <v>90644681.628673062</v>
      </c>
      <c r="L39" s="78">
        <f t="shared" si="3"/>
        <v>877.96561183868369</v>
      </c>
    </row>
    <row r="40" spans="1:12" ht="14.5">
      <c r="A40" s="81">
        <v>42256</v>
      </c>
      <c r="B40" s="2">
        <v>39</v>
      </c>
      <c r="C40" s="61" t="s">
        <v>271</v>
      </c>
      <c r="D40" s="62">
        <v>103244</v>
      </c>
      <c r="E40" s="62">
        <v>75915834</v>
      </c>
      <c r="F40" s="63">
        <f t="shared" si="4"/>
        <v>0</v>
      </c>
      <c r="G40" s="63">
        <f t="shared" si="0"/>
        <v>0</v>
      </c>
      <c r="H40" s="63">
        <f t="shared" si="5"/>
        <v>0</v>
      </c>
      <c r="I40" s="76">
        <f t="shared" si="6"/>
        <v>103244</v>
      </c>
      <c r="J40" s="76">
        <f t="shared" si="7"/>
        <v>75915834</v>
      </c>
      <c r="K40" s="77">
        <f>J40*'Inflation Rates by Year'!$I$2</f>
        <v>94599232.525120884</v>
      </c>
      <c r="L40" s="78">
        <f t="shared" si="3"/>
        <v>916.26857275116117</v>
      </c>
    </row>
    <row r="41" spans="1:12" ht="14.5">
      <c r="A41" s="81">
        <v>42258</v>
      </c>
      <c r="B41" s="2">
        <v>40</v>
      </c>
      <c r="C41" s="61" t="s">
        <v>271</v>
      </c>
      <c r="D41" s="62">
        <v>119069</v>
      </c>
      <c r="E41" s="62">
        <v>78875210</v>
      </c>
      <c r="F41" s="63">
        <f t="shared" si="4"/>
        <v>15825</v>
      </c>
      <c r="G41" s="63">
        <f t="shared" si="0"/>
        <v>6.0535011179042755</v>
      </c>
      <c r="H41" s="63">
        <f t="shared" si="5"/>
        <v>3.5372629226713035</v>
      </c>
      <c r="I41" s="76">
        <f t="shared" si="6"/>
        <v>119069</v>
      </c>
      <c r="J41" s="76">
        <f t="shared" si="7"/>
        <v>78875210</v>
      </c>
      <c r="K41" s="77">
        <f>J41*'Inflation Rates by Year'!$I$2</f>
        <v>98286930.909008265</v>
      </c>
      <c r="L41" s="78">
        <f t="shared" si="3"/>
        <v>825.46196666645608</v>
      </c>
    </row>
    <row r="42" spans="1:12" ht="14.5">
      <c r="A42" s="81">
        <v>42258</v>
      </c>
      <c r="B42" s="2">
        <v>41</v>
      </c>
      <c r="C42" s="61" t="s">
        <v>271</v>
      </c>
      <c r="D42" s="62">
        <v>117034</v>
      </c>
      <c r="E42" s="62">
        <v>81299359</v>
      </c>
      <c r="F42" s="63">
        <f t="shared" si="4"/>
        <v>-2035</v>
      </c>
      <c r="G42" s="63">
        <f t="shared" si="0"/>
        <v>-0.77844390362939653</v>
      </c>
      <c r="H42" s="63">
        <f t="shared" si="5"/>
        <v>-0.44111126311539628</v>
      </c>
      <c r="I42" s="76">
        <f t="shared" si="6"/>
        <v>117034</v>
      </c>
      <c r="J42" s="76">
        <f t="shared" si="7"/>
        <v>81299359</v>
      </c>
      <c r="K42" s="77">
        <f>J42*'Inflation Rates by Year'!$I$2</f>
        <v>101307679.32002538</v>
      </c>
      <c r="L42" s="78">
        <f t="shared" si="3"/>
        <v>865.62605157497296</v>
      </c>
    </row>
    <row r="43" spans="1:12" ht="14.5">
      <c r="A43" s="81">
        <v>42260</v>
      </c>
      <c r="B43" s="2">
        <v>42</v>
      </c>
      <c r="C43" s="61" t="s">
        <v>271</v>
      </c>
      <c r="D43" s="62">
        <v>129877</v>
      </c>
      <c r="E43" s="62">
        <v>84692388</v>
      </c>
      <c r="F43" s="63">
        <f t="shared" si="4"/>
        <v>12843</v>
      </c>
      <c r="G43" s="63">
        <f t="shared" si="0"/>
        <v>4.9128034664925506</v>
      </c>
      <c r="H43" s="63">
        <f t="shared" si="5"/>
        <v>2.7231636430858113</v>
      </c>
      <c r="I43" s="76">
        <f t="shared" si="6"/>
        <v>129877</v>
      </c>
      <c r="J43" s="76">
        <f t="shared" si="7"/>
        <v>84692388</v>
      </c>
      <c r="K43" s="77">
        <f>J43*'Inflation Rates by Year'!$I$2</f>
        <v>105535755.63063376</v>
      </c>
      <c r="L43" s="78">
        <f t="shared" si="3"/>
        <v>812.58233275047746</v>
      </c>
    </row>
    <row r="44" spans="1:12" ht="14.5">
      <c r="A44" s="81">
        <v>42261</v>
      </c>
      <c r="B44" s="2">
        <v>43</v>
      </c>
      <c r="C44" s="61" t="s">
        <v>271</v>
      </c>
      <c r="D44" s="62">
        <v>138053</v>
      </c>
      <c r="E44" s="62">
        <v>89500000</v>
      </c>
      <c r="F44" s="63">
        <f t="shared" si="4"/>
        <v>8176</v>
      </c>
      <c r="G44" s="63">
        <f t="shared" si="0"/>
        <v>3.1275466123213498</v>
      </c>
      <c r="H44" s="63">
        <f t="shared" si="5"/>
        <v>1.6638387435858735</v>
      </c>
      <c r="I44" s="76">
        <f t="shared" si="6"/>
        <v>138053</v>
      </c>
      <c r="J44" s="76">
        <f t="shared" si="7"/>
        <v>89500000</v>
      </c>
      <c r="K44" s="77">
        <f>J44*'Inflation Rates by Year'!$I$2</f>
        <v>111526553.35378808</v>
      </c>
      <c r="L44" s="78">
        <f t="shared" si="3"/>
        <v>807.85316765146774</v>
      </c>
    </row>
    <row r="45" spans="1:12" ht="14.5">
      <c r="A45" s="81">
        <v>42262</v>
      </c>
      <c r="B45" s="2">
        <v>44</v>
      </c>
      <c r="C45" s="61" t="s">
        <v>271</v>
      </c>
      <c r="D45" s="62">
        <v>139133</v>
      </c>
      <c r="E45" s="62">
        <v>94200000</v>
      </c>
      <c r="F45" s="63">
        <f t="shared" si="4"/>
        <v>1080</v>
      </c>
      <c r="G45" s="63">
        <f t="shared" si="0"/>
        <v>0.41312993411289844</v>
      </c>
      <c r="H45" s="63">
        <f t="shared" si="5"/>
        <v>0.21605752013945301</v>
      </c>
      <c r="I45" s="76">
        <f t="shared" si="6"/>
        <v>139133</v>
      </c>
      <c r="J45" s="76">
        <f t="shared" si="7"/>
        <v>94200000</v>
      </c>
      <c r="K45" s="77">
        <f>J45*'Inflation Rates by Year'!$I$2</f>
        <v>117383255.03828868</v>
      </c>
      <c r="L45" s="78">
        <f t="shared" si="3"/>
        <v>843.6765903005662</v>
      </c>
    </row>
    <row r="46" spans="1:12" ht="14.5">
      <c r="A46" s="81">
        <v>42263</v>
      </c>
      <c r="B46" s="2">
        <v>45</v>
      </c>
      <c r="C46" s="61" t="s">
        <v>271</v>
      </c>
      <c r="D46" s="62">
        <v>140760</v>
      </c>
      <c r="E46" s="62">
        <v>96700000</v>
      </c>
      <c r="F46" s="63">
        <f t="shared" si="4"/>
        <v>1627</v>
      </c>
      <c r="G46" s="63">
        <f t="shared" si="0"/>
        <v>0.62237259518674604</v>
      </c>
      <c r="H46" s="63">
        <f t="shared" si="5"/>
        <v>0.32390960155235859</v>
      </c>
      <c r="I46" s="76">
        <f t="shared" si="6"/>
        <v>140760</v>
      </c>
      <c r="J46" s="76">
        <f t="shared" si="7"/>
        <v>96700000</v>
      </c>
      <c r="K46" s="77">
        <f>J46*'Inflation Rates by Year'!$I$2</f>
        <v>120498521.89174645</v>
      </c>
      <c r="L46" s="78">
        <f t="shared" si="3"/>
        <v>856.05656359581167</v>
      </c>
    </row>
    <row r="47" spans="1:12" ht="14.5">
      <c r="A47" s="81">
        <v>42264</v>
      </c>
      <c r="B47" s="2">
        <v>46</v>
      </c>
      <c r="C47" s="61" t="s">
        <v>271</v>
      </c>
      <c r="D47" s="62">
        <v>140760</v>
      </c>
      <c r="E47" s="62">
        <v>101500000</v>
      </c>
      <c r="F47" s="63">
        <f t="shared" si="4"/>
        <v>0</v>
      </c>
      <c r="G47" s="63">
        <f t="shared" si="0"/>
        <v>0</v>
      </c>
      <c r="H47" s="63">
        <f t="shared" si="5"/>
        <v>0</v>
      </c>
      <c r="I47" s="76">
        <f t="shared" si="6"/>
        <v>140760</v>
      </c>
      <c r="J47" s="76">
        <f t="shared" si="7"/>
        <v>101500000</v>
      </c>
      <c r="K47" s="77">
        <f>J47*'Inflation Rates by Year'!$I$2</f>
        <v>126479834.25038537</v>
      </c>
      <c r="L47" s="78">
        <f t="shared" si="3"/>
        <v>898.54954710418713</v>
      </c>
    </row>
    <row r="48" spans="1:12" ht="14.5">
      <c r="A48" s="81">
        <v>42264</v>
      </c>
      <c r="B48" s="2">
        <v>47</v>
      </c>
      <c r="C48" s="61" t="s">
        <v>271</v>
      </c>
      <c r="D48" s="62">
        <v>141036</v>
      </c>
      <c r="E48" s="62">
        <v>106500000</v>
      </c>
      <c r="F48" s="63">
        <f t="shared" si="4"/>
        <v>276</v>
      </c>
      <c r="G48" s="63">
        <f t="shared" si="0"/>
        <v>0.10557764982885182</v>
      </c>
      <c r="H48" s="63">
        <f t="shared" si="5"/>
        <v>5.4761101489545931E-2</v>
      </c>
      <c r="I48" s="76">
        <f t="shared" si="6"/>
        <v>141036</v>
      </c>
      <c r="J48" s="76">
        <f t="shared" si="7"/>
        <v>106500000</v>
      </c>
      <c r="K48" s="77">
        <f>J48*'Inflation Rates by Year'!$I$2</f>
        <v>132710367.9573009</v>
      </c>
      <c r="L48" s="78">
        <f t="shared" si="3"/>
        <v>940.96803622692721</v>
      </c>
    </row>
    <row r="49" spans="1:26" ht="14.5">
      <c r="A49" s="81">
        <v>42266</v>
      </c>
      <c r="B49" s="2">
        <v>48</v>
      </c>
      <c r="C49" s="61" t="s">
        <v>271</v>
      </c>
      <c r="D49" s="62">
        <v>141491</v>
      </c>
      <c r="E49" s="62">
        <v>108500000</v>
      </c>
      <c r="F49" s="63">
        <f t="shared" si="4"/>
        <v>455</v>
      </c>
      <c r="G49" s="63">
        <f t="shared" si="0"/>
        <v>0.17405011113089702</v>
      </c>
      <c r="H49" s="63">
        <f t="shared" si="5"/>
        <v>9.0159607326608202E-2</v>
      </c>
      <c r="I49" s="76">
        <f t="shared" si="6"/>
        <v>141491</v>
      </c>
      <c r="J49" s="76">
        <f t="shared" si="7"/>
        <v>108500000</v>
      </c>
      <c r="K49" s="77">
        <f>J49*'Inflation Rates by Year'!$I$2</f>
        <v>135202581.44006711</v>
      </c>
      <c r="L49" s="78">
        <f t="shared" si="3"/>
        <v>955.55605261159451</v>
      </c>
    </row>
    <row r="50" spans="1:26" ht="14.5">
      <c r="A50" s="81">
        <v>42266</v>
      </c>
      <c r="B50" s="2">
        <v>49</v>
      </c>
      <c r="C50" s="61" t="s">
        <v>271</v>
      </c>
      <c r="D50" s="62">
        <v>141599</v>
      </c>
      <c r="E50" s="62">
        <v>109250000</v>
      </c>
      <c r="F50" s="63">
        <f t="shared" si="4"/>
        <v>108</v>
      </c>
      <c r="G50" s="63">
        <f t="shared" si="0"/>
        <v>4.1312993411289842E-2</v>
      </c>
      <c r="H50" s="63">
        <f t="shared" si="5"/>
        <v>2.1379224721239237E-2</v>
      </c>
      <c r="I50" s="76">
        <f t="shared" si="6"/>
        <v>141599</v>
      </c>
      <c r="J50" s="76">
        <f t="shared" si="7"/>
        <v>109250000</v>
      </c>
      <c r="K50" s="77">
        <f>J50*'Inflation Rates by Year'!$I$2</f>
        <v>136137161.49610445</v>
      </c>
      <c r="L50" s="78">
        <f t="shared" si="3"/>
        <v>961.4274217763151</v>
      </c>
    </row>
    <row r="51" spans="1:26" ht="14.5">
      <c r="A51" s="81">
        <v>42268</v>
      </c>
      <c r="B51" s="2">
        <v>50</v>
      </c>
      <c r="C51" s="61" t="s">
        <v>271</v>
      </c>
      <c r="D51" s="62">
        <v>141950</v>
      </c>
      <c r="E51" s="62">
        <v>110500000</v>
      </c>
      <c r="F51" s="63">
        <f t="shared" si="4"/>
        <v>351</v>
      </c>
      <c r="G51" s="63">
        <f t="shared" si="0"/>
        <v>0.13426722858669199</v>
      </c>
      <c r="H51" s="63">
        <f t="shared" si="5"/>
        <v>6.9426231599569205E-2</v>
      </c>
      <c r="I51" s="76">
        <f t="shared" si="6"/>
        <v>141950</v>
      </c>
      <c r="J51" s="76">
        <f t="shared" si="7"/>
        <v>110500000</v>
      </c>
      <c r="K51" s="77">
        <f>J51*'Inflation Rates by Year'!$I$2</f>
        <v>137694794.92283332</v>
      </c>
      <c r="L51" s="78">
        <f t="shared" si="3"/>
        <v>970.02321185511323</v>
      </c>
    </row>
    <row r="52" spans="1:26" ht="14.5">
      <c r="A52" s="81">
        <v>42268</v>
      </c>
      <c r="B52" s="2">
        <v>51</v>
      </c>
      <c r="C52" s="61" t="s">
        <v>271</v>
      </c>
      <c r="D52" s="62">
        <v>142369</v>
      </c>
      <c r="E52" s="62">
        <v>111900000</v>
      </c>
      <c r="F52" s="63">
        <f t="shared" si="4"/>
        <v>419</v>
      </c>
      <c r="G52" s="63">
        <f t="shared" si="0"/>
        <v>0.16027911332713374</v>
      </c>
      <c r="H52" s="63">
        <f t="shared" si="5"/>
        <v>8.2764034383166901E-2</v>
      </c>
      <c r="I52" s="76">
        <f t="shared" si="6"/>
        <v>142369</v>
      </c>
      <c r="J52" s="76">
        <f t="shared" si="7"/>
        <v>111900000</v>
      </c>
      <c r="K52" s="77">
        <f>J52*'Inflation Rates by Year'!$I$2</f>
        <v>139439344.36076969</v>
      </c>
      <c r="L52" s="78">
        <f t="shared" si="3"/>
        <v>979.42209582682813</v>
      </c>
    </row>
    <row r="53" spans="1:26" ht="14.5">
      <c r="A53" s="81">
        <v>42270</v>
      </c>
      <c r="B53" s="2">
        <v>52</v>
      </c>
      <c r="C53" s="61" t="s">
        <v>271</v>
      </c>
      <c r="D53" s="62">
        <v>143559</v>
      </c>
      <c r="E53" s="62">
        <v>113300000</v>
      </c>
      <c r="F53" s="63">
        <f t="shared" si="4"/>
        <v>1190</v>
      </c>
      <c r="G53" s="63">
        <f t="shared" si="0"/>
        <v>0.45520798295773068</v>
      </c>
      <c r="H53" s="63">
        <f t="shared" si="5"/>
        <v>0.23439590038894911</v>
      </c>
      <c r="I53" s="76">
        <f t="shared" si="6"/>
        <v>143559</v>
      </c>
      <c r="J53" s="76">
        <f t="shared" si="7"/>
        <v>113300000</v>
      </c>
      <c r="K53" s="77">
        <f>J53*'Inflation Rates by Year'!$I$2</f>
        <v>141183893.79870602</v>
      </c>
      <c r="L53" s="78">
        <f t="shared" si="3"/>
        <v>983.45553952525461</v>
      </c>
    </row>
    <row r="54" spans="1:26" ht="14.5">
      <c r="A54" s="81">
        <v>42270</v>
      </c>
      <c r="B54" s="2">
        <v>53</v>
      </c>
      <c r="C54" s="61" t="s">
        <v>271</v>
      </c>
      <c r="D54" s="62">
        <v>143559</v>
      </c>
      <c r="E54" s="62">
        <v>114450000</v>
      </c>
      <c r="F54" s="63">
        <f t="shared" si="4"/>
        <v>0</v>
      </c>
      <c r="G54" s="63">
        <f t="shared" si="0"/>
        <v>0</v>
      </c>
      <c r="H54" s="63">
        <f t="shared" si="5"/>
        <v>0</v>
      </c>
      <c r="I54" s="76">
        <f t="shared" si="6"/>
        <v>143559</v>
      </c>
      <c r="J54" s="76">
        <f t="shared" si="7"/>
        <v>114450000</v>
      </c>
      <c r="K54" s="77">
        <f>J54*'Inflation Rates by Year'!$I$2</f>
        <v>142616916.55129659</v>
      </c>
      <c r="L54" s="78">
        <f t="shared" si="3"/>
        <v>993.43765665194519</v>
      </c>
    </row>
    <row r="55" spans="1:26" ht="14.5">
      <c r="A55" s="81">
        <v>42271</v>
      </c>
      <c r="B55" s="2">
        <v>54</v>
      </c>
      <c r="C55" s="61" t="s">
        <v>271</v>
      </c>
      <c r="D55" s="62">
        <v>143559</v>
      </c>
      <c r="E55" s="62">
        <v>115150000</v>
      </c>
      <c r="F55" s="63">
        <f t="shared" si="4"/>
        <v>0</v>
      </c>
      <c r="G55" s="63">
        <f t="shared" si="0"/>
        <v>0</v>
      </c>
      <c r="H55" s="63">
        <f t="shared" si="5"/>
        <v>0</v>
      </c>
      <c r="I55" s="76">
        <f t="shared" si="6"/>
        <v>143559</v>
      </c>
      <c r="J55" s="76">
        <f t="shared" si="7"/>
        <v>115150000</v>
      </c>
      <c r="K55" s="77">
        <f>J55*'Inflation Rates by Year'!$I$2</f>
        <v>143489191.27026477</v>
      </c>
      <c r="L55" s="78">
        <f t="shared" si="3"/>
        <v>999.51372794645249</v>
      </c>
    </row>
    <row r="56" spans="1:26" ht="14.5">
      <c r="A56" s="81">
        <v>42272</v>
      </c>
      <c r="B56" s="2">
        <v>55</v>
      </c>
      <c r="C56" s="61" t="s">
        <v>271</v>
      </c>
      <c r="D56" s="62">
        <v>150876</v>
      </c>
      <c r="E56" s="62">
        <v>116000000</v>
      </c>
      <c r="F56" s="63">
        <f t="shared" si="4"/>
        <v>7317</v>
      </c>
      <c r="G56" s="63">
        <f t="shared" si="0"/>
        <v>2.7989553036148869</v>
      </c>
      <c r="H56" s="63">
        <f t="shared" si="5"/>
        <v>1.420372727450139</v>
      </c>
      <c r="I56" s="76">
        <f t="shared" si="6"/>
        <v>150876</v>
      </c>
      <c r="J56" s="76">
        <f t="shared" si="7"/>
        <v>116000000</v>
      </c>
      <c r="K56" s="77">
        <f>J56*'Inflation Rates by Year'!$I$2</f>
        <v>144548382.00044042</v>
      </c>
      <c r="L56" s="78">
        <f t="shared" si="3"/>
        <v>958.0608049023067</v>
      </c>
    </row>
    <row r="57" spans="1:26" ht="14.5">
      <c r="A57" s="81">
        <v>42273</v>
      </c>
      <c r="B57" s="2">
        <v>56</v>
      </c>
      <c r="C57" s="61" t="s">
        <v>271</v>
      </c>
      <c r="D57" s="62">
        <v>150876</v>
      </c>
      <c r="E57" s="62">
        <v>117368654</v>
      </c>
      <c r="F57" s="63">
        <f t="shared" si="4"/>
        <v>0</v>
      </c>
      <c r="G57" s="63">
        <f t="shared" si="0"/>
        <v>0</v>
      </c>
      <c r="H57" s="63">
        <f t="shared" si="5"/>
        <v>0</v>
      </c>
      <c r="I57" s="76">
        <f t="shared" si="6"/>
        <v>150876</v>
      </c>
      <c r="J57" s="76">
        <f t="shared" si="7"/>
        <v>117368654</v>
      </c>
      <c r="K57" s="77">
        <f>J57*'Inflation Rates by Year'!$I$2</f>
        <v>146253870.97646138</v>
      </c>
      <c r="L57" s="78">
        <f t="shared" si="3"/>
        <v>969.36471656500294</v>
      </c>
    </row>
    <row r="58" spans="1:26" ht="14.5">
      <c r="A58" s="81">
        <v>42275</v>
      </c>
      <c r="B58" s="2">
        <v>57</v>
      </c>
      <c r="C58" s="61" t="s">
        <v>271</v>
      </c>
      <c r="D58" s="62">
        <v>151493</v>
      </c>
      <c r="E58" s="62">
        <v>118900000</v>
      </c>
      <c r="F58" s="63">
        <f t="shared" si="4"/>
        <v>617</v>
      </c>
      <c r="G58" s="63">
        <f t="shared" si="0"/>
        <v>0.23601960124783178</v>
      </c>
      <c r="H58" s="63">
        <f t="shared" si="5"/>
        <v>0.11818087777996801</v>
      </c>
      <c r="I58" s="76">
        <f t="shared" si="6"/>
        <v>151493</v>
      </c>
      <c r="J58" s="76">
        <f t="shared" si="7"/>
        <v>118900000</v>
      </c>
      <c r="K58" s="77">
        <f>J58*'Inflation Rates by Year'!$I$2</f>
        <v>148162091.55045143</v>
      </c>
      <c r="L58" s="78">
        <f t="shared" si="3"/>
        <v>978.01278970283397</v>
      </c>
    </row>
    <row r="59" spans="1:26" ht="14.5">
      <c r="A59" s="82">
        <v>42276</v>
      </c>
      <c r="B59" s="69">
        <v>58</v>
      </c>
      <c r="C59" s="83" t="s">
        <v>271</v>
      </c>
      <c r="D59" s="72">
        <v>151623</v>
      </c>
      <c r="E59" s="72">
        <v>118934087</v>
      </c>
      <c r="F59" s="63">
        <f t="shared" si="4"/>
        <v>130</v>
      </c>
      <c r="G59" s="63">
        <f t="shared" si="0"/>
        <v>4.9728603180256292E-2</v>
      </c>
      <c r="H59" s="63">
        <f t="shared" si="5"/>
        <v>2.4869633475207289E-2</v>
      </c>
      <c r="I59" s="72">
        <f t="shared" si="6"/>
        <v>151623</v>
      </c>
      <c r="J59" s="72">
        <f t="shared" si="7"/>
        <v>118934087</v>
      </c>
      <c r="K59" s="77">
        <f>J59*'Inflation Rates by Year'!$I$2</f>
        <v>148204567.59094495</v>
      </c>
      <c r="L59" s="73">
        <f t="shared" si="3"/>
        <v>977.45439406254297</v>
      </c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4.5">
      <c r="A60" s="81">
        <v>42277</v>
      </c>
      <c r="B60" s="2">
        <v>59</v>
      </c>
      <c r="C60" s="61" t="s">
        <v>271</v>
      </c>
      <c r="D60" s="62">
        <v>151623</v>
      </c>
      <c r="E60" s="62">
        <v>119785792</v>
      </c>
      <c r="F60" s="63">
        <f t="shared" si="4"/>
        <v>0</v>
      </c>
      <c r="G60" s="63">
        <f t="shared" ref="G60:G70" si="8">$B$70/$I$59*(F60)</f>
        <v>0</v>
      </c>
      <c r="H60" s="63">
        <f t="shared" si="5"/>
        <v>0</v>
      </c>
      <c r="I60" s="76">
        <f t="shared" si="6"/>
        <v>151623</v>
      </c>
      <c r="J60" s="76">
        <f t="shared" si="7"/>
        <v>119785792</v>
      </c>
      <c r="K60" s="77">
        <f>J60*'Inflation Rates by Year'!$I$2</f>
        <v>149265882.93311465</v>
      </c>
      <c r="L60" s="78">
        <f t="shared" si="3"/>
        <v>984.45409293520538</v>
      </c>
    </row>
    <row r="61" spans="1:26" ht="14.5">
      <c r="A61" s="81">
        <v>42278</v>
      </c>
      <c r="B61" s="2">
        <v>60</v>
      </c>
      <c r="C61" s="61" t="s">
        <v>271</v>
      </c>
      <c r="D61" s="62">
        <v>151623</v>
      </c>
      <c r="E61" s="62">
        <v>119913097</v>
      </c>
      <c r="F61" s="63">
        <f t="shared" si="4"/>
        <v>0</v>
      </c>
      <c r="G61" s="63">
        <f t="shared" si="8"/>
        <v>0</v>
      </c>
      <c r="H61" s="63">
        <f t="shared" si="5"/>
        <v>0</v>
      </c>
      <c r="I61" s="76">
        <f t="shared" si="6"/>
        <v>151623</v>
      </c>
      <c r="J61" s="76">
        <f t="shared" si="7"/>
        <v>119913097</v>
      </c>
      <c r="K61" s="77">
        <f>J61*'Inflation Rates by Year'!$I$2</f>
        <v>149424518.55182642</v>
      </c>
      <c r="L61" s="78">
        <f t="shared" si="3"/>
        <v>985.50034329769505</v>
      </c>
    </row>
    <row r="62" spans="1:26" ht="14.5">
      <c r="A62" s="81">
        <v>42279</v>
      </c>
      <c r="B62" s="2">
        <v>61</v>
      </c>
      <c r="C62" s="61" t="s">
        <v>271</v>
      </c>
      <c r="D62" s="62">
        <v>151623</v>
      </c>
      <c r="E62" s="62">
        <v>120379375</v>
      </c>
      <c r="F62" s="63">
        <f t="shared" si="4"/>
        <v>0</v>
      </c>
      <c r="G62" s="63">
        <f t="shared" si="8"/>
        <v>0</v>
      </c>
      <c r="H62" s="63">
        <f t="shared" si="5"/>
        <v>0</v>
      </c>
      <c r="I62" s="76">
        <f t="shared" si="6"/>
        <v>151623</v>
      </c>
      <c r="J62" s="76">
        <f t="shared" si="7"/>
        <v>120379375</v>
      </c>
      <c r="K62" s="77">
        <f>J62*'Inflation Rates by Year'!$I$2</f>
        <v>150005550.71098506</v>
      </c>
      <c r="L62" s="78">
        <f t="shared" si="3"/>
        <v>989.33242787034328</v>
      </c>
    </row>
    <row r="63" spans="1:26" ht="14.5">
      <c r="A63" s="81">
        <v>42280</v>
      </c>
      <c r="B63" s="2">
        <v>62</v>
      </c>
      <c r="C63" s="61" t="s">
        <v>271</v>
      </c>
      <c r="D63" s="62">
        <v>151623</v>
      </c>
      <c r="E63" s="62">
        <v>120096013</v>
      </c>
      <c r="F63" s="63">
        <f t="shared" si="4"/>
        <v>0</v>
      </c>
      <c r="G63" s="63">
        <f t="shared" si="8"/>
        <v>0</v>
      </c>
      <c r="H63" s="63">
        <f t="shared" si="5"/>
        <v>0</v>
      </c>
      <c r="I63" s="76">
        <f t="shared" si="6"/>
        <v>151623</v>
      </c>
      <c r="J63" s="76">
        <f t="shared" si="7"/>
        <v>120096013</v>
      </c>
      <c r="K63" s="77">
        <f>J63*'Inflation Rates by Year'!$I$2</f>
        <v>149652451.41253325</v>
      </c>
      <c r="L63" s="78">
        <f t="shared" si="3"/>
        <v>987.00363013878666</v>
      </c>
    </row>
    <row r="64" spans="1:26" ht="14.5">
      <c r="A64" s="81">
        <v>42281</v>
      </c>
      <c r="B64" s="2">
        <v>63</v>
      </c>
      <c r="C64" s="61" t="s">
        <v>271</v>
      </c>
      <c r="D64" s="62">
        <v>151623</v>
      </c>
      <c r="E64" s="62">
        <v>120604061</v>
      </c>
      <c r="F64" s="63">
        <f t="shared" si="4"/>
        <v>0</v>
      </c>
      <c r="G64" s="63">
        <f t="shared" si="8"/>
        <v>0</v>
      </c>
      <c r="H64" s="63">
        <f t="shared" si="5"/>
        <v>0</v>
      </c>
      <c r="I64" s="76">
        <f t="shared" si="6"/>
        <v>151623</v>
      </c>
      <c r="J64" s="76">
        <f t="shared" si="7"/>
        <v>120604061</v>
      </c>
      <c r="K64" s="77">
        <f>J64*'Inflation Rates by Year'!$I$2</f>
        <v>150285533.45027947</v>
      </c>
      <c r="L64" s="78">
        <f t="shared" si="3"/>
        <v>991.17899955995779</v>
      </c>
    </row>
    <row r="65" spans="1:12" ht="14.5">
      <c r="A65" s="81">
        <v>42282</v>
      </c>
      <c r="B65" s="2">
        <v>64</v>
      </c>
      <c r="C65" s="61" t="s">
        <v>271</v>
      </c>
      <c r="D65" s="62">
        <v>151623</v>
      </c>
      <c r="E65" s="62">
        <v>120714561</v>
      </c>
      <c r="F65" s="63">
        <f t="shared" si="4"/>
        <v>0</v>
      </c>
      <c r="G65" s="63">
        <f t="shared" si="8"/>
        <v>0</v>
      </c>
      <c r="H65" s="63">
        <f t="shared" si="5"/>
        <v>0</v>
      </c>
      <c r="I65" s="76">
        <f t="shared" si="6"/>
        <v>151623</v>
      </c>
      <c r="J65" s="76">
        <f t="shared" si="7"/>
        <v>120714561</v>
      </c>
      <c r="K65" s="77">
        <f>J65*'Inflation Rates by Year'!$I$2</f>
        <v>150423228.2452023</v>
      </c>
      <c r="L65" s="78">
        <f t="shared" si="3"/>
        <v>992.08713879294237</v>
      </c>
    </row>
    <row r="66" spans="1:12" ht="14.5">
      <c r="A66" s="81">
        <v>42283</v>
      </c>
      <c r="B66" s="2">
        <v>65</v>
      </c>
      <c r="C66" s="61" t="s">
        <v>271</v>
      </c>
      <c r="D66" s="62">
        <v>151623</v>
      </c>
      <c r="E66" s="62">
        <v>120805213</v>
      </c>
      <c r="F66" s="63">
        <f t="shared" si="4"/>
        <v>0</v>
      </c>
      <c r="G66" s="63">
        <f t="shared" si="8"/>
        <v>0</v>
      </c>
      <c r="H66" s="63">
        <f t="shared" si="5"/>
        <v>0</v>
      </c>
      <c r="I66" s="76">
        <f t="shared" si="6"/>
        <v>151623</v>
      </c>
      <c r="J66" s="76">
        <f t="shared" si="7"/>
        <v>120805213</v>
      </c>
      <c r="K66" s="77">
        <f>J66*'Inflation Rates by Year'!$I$2</f>
        <v>150536190.31352216</v>
      </c>
      <c r="L66" s="78">
        <f t="shared" si="3"/>
        <v>992.83215813908282</v>
      </c>
    </row>
    <row r="67" spans="1:12" ht="14.5">
      <c r="A67" s="81">
        <v>42284</v>
      </c>
      <c r="B67" s="2">
        <v>66</v>
      </c>
      <c r="C67" s="61" t="s">
        <v>271</v>
      </c>
      <c r="D67" s="62">
        <v>151623</v>
      </c>
      <c r="E67" s="62">
        <v>120855213</v>
      </c>
      <c r="F67" s="63">
        <f t="shared" si="4"/>
        <v>0</v>
      </c>
      <c r="G67" s="63">
        <f t="shared" si="8"/>
        <v>0</v>
      </c>
      <c r="H67" s="63">
        <f t="shared" si="5"/>
        <v>0</v>
      </c>
      <c r="I67" s="76">
        <f t="shared" si="6"/>
        <v>151623</v>
      </c>
      <c r="J67" s="76">
        <f t="shared" si="7"/>
        <v>120855213</v>
      </c>
      <c r="K67" s="77">
        <f>J67*'Inflation Rates by Year'!$I$2</f>
        <v>150598495.65059131</v>
      </c>
      <c r="L67" s="78">
        <f t="shared" si="3"/>
        <v>993.24308086894018</v>
      </c>
    </row>
    <row r="68" spans="1:12" ht="14.5">
      <c r="A68" s="81">
        <v>42285</v>
      </c>
      <c r="B68" s="2">
        <v>67</v>
      </c>
      <c r="C68" s="61" t="s">
        <v>271</v>
      </c>
      <c r="D68" s="62">
        <v>151623</v>
      </c>
      <c r="E68" s="62">
        <v>120930359</v>
      </c>
      <c r="F68" s="63">
        <f t="shared" si="4"/>
        <v>0</v>
      </c>
      <c r="G68" s="63">
        <f t="shared" si="8"/>
        <v>0</v>
      </c>
      <c r="H68" s="63">
        <f t="shared" si="5"/>
        <v>0</v>
      </c>
      <c r="I68" s="76">
        <f t="shared" si="6"/>
        <v>151623</v>
      </c>
      <c r="J68" s="76">
        <f t="shared" si="7"/>
        <v>120930359</v>
      </c>
      <c r="K68" s="77">
        <f>J68*'Inflation Rates by Year'!$I$2</f>
        <v>150692135.58777928</v>
      </c>
      <c r="L68" s="78">
        <f t="shared" si="3"/>
        <v>993.86066485809727</v>
      </c>
    </row>
    <row r="69" spans="1:12" ht="14.5">
      <c r="A69" s="84">
        <v>42289</v>
      </c>
      <c r="B69" s="2">
        <v>68</v>
      </c>
      <c r="C69" s="61" t="s">
        <v>271</v>
      </c>
      <c r="D69" s="62">
        <v>151623</v>
      </c>
      <c r="E69" s="62">
        <v>120930359</v>
      </c>
      <c r="F69" s="63">
        <f t="shared" si="4"/>
        <v>0</v>
      </c>
      <c r="G69" s="63">
        <f t="shared" si="8"/>
        <v>0</v>
      </c>
      <c r="H69" s="63">
        <f t="shared" si="5"/>
        <v>0</v>
      </c>
      <c r="I69" s="76">
        <f t="shared" si="6"/>
        <v>151623</v>
      </c>
      <c r="J69" s="76">
        <f t="shared" si="7"/>
        <v>120930359</v>
      </c>
      <c r="K69" s="77">
        <f>J69*'Inflation Rates by Year'!$I$2</f>
        <v>150692135.58777928</v>
      </c>
      <c r="L69" s="78">
        <f t="shared" si="3"/>
        <v>993.86066485809727</v>
      </c>
    </row>
    <row r="70" spans="1:12" ht="14.5">
      <c r="A70" s="84">
        <v>42290</v>
      </c>
      <c r="B70" s="2">
        <v>69</v>
      </c>
      <c r="C70" s="61" t="s">
        <v>271</v>
      </c>
      <c r="D70" s="62">
        <v>151623</v>
      </c>
      <c r="E70" s="62">
        <v>120930243</v>
      </c>
      <c r="F70" s="63">
        <f t="shared" si="4"/>
        <v>0</v>
      </c>
      <c r="G70" s="63">
        <f t="shared" si="8"/>
        <v>0</v>
      </c>
      <c r="H70" s="63">
        <f t="shared" si="5"/>
        <v>0</v>
      </c>
      <c r="I70" s="76">
        <f t="shared" si="6"/>
        <v>151623</v>
      </c>
      <c r="J70" s="76">
        <f t="shared" si="7"/>
        <v>120930243</v>
      </c>
      <c r="K70" s="77">
        <f>J70*'Inflation Rates by Year'!$I$2</f>
        <v>150691991.0393973</v>
      </c>
      <c r="L70" s="78">
        <f t="shared" si="3"/>
        <v>993.85971151736408</v>
      </c>
    </row>
    <row r="71" spans="1:12" ht="14.5">
      <c r="F71" s="86"/>
      <c r="G71" s="86"/>
      <c r="H71" s="86"/>
      <c r="I71" s="65"/>
      <c r="J71" s="76">
        <f>E71</f>
        <v>0</v>
      </c>
      <c r="K71" s="66"/>
      <c r="L71" s="67"/>
    </row>
    <row r="72" spans="1:12" ht="12.5">
      <c r="F72" s="86"/>
      <c r="G72" s="86"/>
      <c r="H72" s="86"/>
      <c r="I72" s="65"/>
      <c r="J72" s="65"/>
      <c r="K72" s="66"/>
      <c r="L72" s="67"/>
    </row>
    <row r="73" spans="1:12" ht="12.5">
      <c r="F73" s="86"/>
      <c r="G73" s="86"/>
      <c r="H73" s="86"/>
      <c r="I73" s="65"/>
      <c r="J73" s="65"/>
      <c r="K73" s="66"/>
      <c r="L73" s="67"/>
    </row>
    <row r="74" spans="1:12" ht="12.5">
      <c r="F74" s="86"/>
      <c r="G74" s="86"/>
      <c r="H74" s="86"/>
      <c r="I74" s="65"/>
      <c r="J74" s="65"/>
      <c r="K74" s="66"/>
      <c r="L74" s="67"/>
    </row>
    <row r="75" spans="1:12" ht="12.5">
      <c r="F75" s="86"/>
      <c r="G75" s="86"/>
      <c r="H75" s="86"/>
      <c r="I75" s="65"/>
      <c r="J75" s="65"/>
      <c r="K75" s="66"/>
      <c r="L75" s="67"/>
    </row>
    <row r="76" spans="1:12" ht="12.5">
      <c r="F76" s="86"/>
      <c r="G76" s="86"/>
      <c r="H76" s="86"/>
      <c r="I76" s="65"/>
      <c r="J76" s="65"/>
      <c r="K76" s="66"/>
      <c r="L76" s="67"/>
    </row>
    <row r="77" spans="1:12" ht="12.5">
      <c r="F77" s="86"/>
      <c r="G77" s="86"/>
      <c r="H77" s="86"/>
      <c r="I77" s="65"/>
      <c r="J77" s="65"/>
      <c r="K77" s="66"/>
      <c r="L77" s="67"/>
    </row>
    <row r="78" spans="1:12" ht="12.5">
      <c r="F78" s="86"/>
      <c r="G78" s="86"/>
      <c r="H78" s="86"/>
      <c r="I78" s="65"/>
      <c r="J78" s="65"/>
      <c r="K78" s="66"/>
      <c r="L78" s="67"/>
    </row>
    <row r="79" spans="1:12" ht="12.5">
      <c r="F79" s="86"/>
      <c r="G79" s="86"/>
      <c r="H79" s="86"/>
      <c r="I79" s="65"/>
      <c r="J79" s="65"/>
      <c r="K79" s="66"/>
      <c r="L79" s="67"/>
    </row>
    <row r="80" spans="1:12" ht="12.5">
      <c r="F80" s="86"/>
      <c r="G80" s="86"/>
      <c r="H80" s="86"/>
      <c r="I80" s="65"/>
      <c r="J80" s="65"/>
      <c r="K80" s="66"/>
      <c r="L80" s="67"/>
    </row>
    <row r="81" spans="6:12" ht="12.5">
      <c r="F81" s="86"/>
      <c r="G81" s="86"/>
      <c r="H81" s="86"/>
      <c r="I81" s="65"/>
      <c r="J81" s="65"/>
      <c r="K81" s="66"/>
      <c r="L81" s="67"/>
    </row>
    <row r="82" spans="6:12" ht="12.5">
      <c r="F82" s="86"/>
      <c r="G82" s="86"/>
      <c r="H82" s="86"/>
      <c r="I82" s="65"/>
      <c r="J82" s="65"/>
      <c r="K82" s="66"/>
      <c r="L82" s="67"/>
    </row>
    <row r="83" spans="6:12" ht="12.5">
      <c r="F83" s="86"/>
      <c r="G83" s="86"/>
      <c r="H83" s="86"/>
      <c r="I83" s="65"/>
      <c r="J83" s="65"/>
      <c r="K83" s="66"/>
      <c r="L83" s="67"/>
    </row>
    <row r="84" spans="6:12" ht="12.5">
      <c r="F84" s="86"/>
      <c r="G84" s="86"/>
      <c r="H84" s="86"/>
      <c r="I84" s="65"/>
      <c r="J84" s="65"/>
      <c r="K84" s="66"/>
      <c r="L84" s="67"/>
    </row>
    <row r="85" spans="6:12" ht="12.5">
      <c r="F85" s="86"/>
      <c r="G85" s="86"/>
      <c r="H85" s="86"/>
      <c r="I85" s="65"/>
      <c r="J85" s="65"/>
      <c r="K85" s="66"/>
      <c r="L85" s="67"/>
    </row>
    <row r="86" spans="6:12" ht="12.5">
      <c r="F86" s="86"/>
      <c r="G86" s="86"/>
      <c r="H86" s="86"/>
      <c r="I86" s="65"/>
      <c r="J86" s="65"/>
      <c r="K86" s="66"/>
      <c r="L86" s="67"/>
    </row>
    <row r="87" spans="6:12" ht="12.5">
      <c r="F87" s="86"/>
      <c r="G87" s="86"/>
      <c r="H87" s="86"/>
      <c r="I87" s="65"/>
      <c r="J87" s="65"/>
      <c r="K87" s="66"/>
      <c r="L87" s="67"/>
    </row>
    <row r="88" spans="6:12" ht="12.5">
      <c r="F88" s="86"/>
      <c r="G88" s="86"/>
      <c r="H88" s="86"/>
      <c r="I88" s="65"/>
      <c r="J88" s="65"/>
      <c r="K88" s="66"/>
      <c r="L88" s="67"/>
    </row>
    <row r="89" spans="6:12" ht="12.5">
      <c r="F89" s="86"/>
      <c r="G89" s="86"/>
      <c r="H89" s="86"/>
      <c r="I89" s="65"/>
      <c r="J89" s="65"/>
      <c r="K89" s="66"/>
      <c r="L89" s="67"/>
    </row>
    <row r="90" spans="6:12" ht="12.5">
      <c r="F90" s="86"/>
      <c r="G90" s="86"/>
      <c r="H90" s="86"/>
      <c r="I90" s="65"/>
      <c r="J90" s="65"/>
      <c r="K90" s="66"/>
      <c r="L90" s="67"/>
    </row>
    <row r="91" spans="6:12" ht="12.5">
      <c r="F91" s="86"/>
      <c r="G91" s="86"/>
      <c r="H91" s="86"/>
      <c r="I91" s="65"/>
      <c r="J91" s="65"/>
      <c r="K91" s="66"/>
      <c r="L91" s="67"/>
    </row>
    <row r="92" spans="6:12" ht="12.5">
      <c r="F92" s="86"/>
      <c r="G92" s="86"/>
      <c r="H92" s="86"/>
      <c r="I92" s="65"/>
      <c r="J92" s="65"/>
      <c r="K92" s="66"/>
      <c r="L92" s="67"/>
    </row>
    <row r="93" spans="6:12" ht="12.5">
      <c r="F93" s="86"/>
      <c r="G93" s="86"/>
      <c r="H93" s="86"/>
      <c r="I93" s="65"/>
      <c r="J93" s="65"/>
      <c r="K93" s="66"/>
      <c r="L93" s="67"/>
    </row>
    <row r="94" spans="6:12" ht="12.5">
      <c r="F94" s="86"/>
      <c r="G94" s="86"/>
      <c r="H94" s="86"/>
      <c r="I94" s="65"/>
      <c r="J94" s="65"/>
      <c r="K94" s="66"/>
      <c r="L94" s="67"/>
    </row>
    <row r="95" spans="6:12" ht="12.5">
      <c r="F95" s="86"/>
      <c r="G95" s="86"/>
      <c r="H95" s="86"/>
      <c r="I95" s="65"/>
      <c r="J95" s="65"/>
      <c r="K95" s="66"/>
      <c r="L95" s="67"/>
    </row>
    <row r="96" spans="6:12" ht="12.5">
      <c r="F96" s="86"/>
      <c r="G96" s="86"/>
      <c r="H96" s="86"/>
      <c r="I96" s="65"/>
      <c r="J96" s="65"/>
      <c r="K96" s="66"/>
      <c r="L96" s="67"/>
    </row>
    <row r="97" spans="6:12" ht="12.5">
      <c r="F97" s="86"/>
      <c r="G97" s="86"/>
      <c r="H97" s="86"/>
      <c r="I97" s="65"/>
      <c r="J97" s="65"/>
      <c r="K97" s="66"/>
      <c r="L97" s="67"/>
    </row>
    <row r="98" spans="6:12" ht="12.5">
      <c r="F98" s="86"/>
      <c r="G98" s="86"/>
      <c r="H98" s="86"/>
      <c r="I98" s="65"/>
      <c r="J98" s="65"/>
      <c r="K98" s="66"/>
      <c r="L98" s="67"/>
    </row>
    <row r="99" spans="6:12" ht="12.5">
      <c r="F99" s="86"/>
      <c r="G99" s="86"/>
      <c r="H99" s="86"/>
      <c r="I99" s="65"/>
      <c r="J99" s="65"/>
      <c r="K99" s="66"/>
      <c r="L99" s="67"/>
    </row>
    <row r="100" spans="6:12" ht="12.5">
      <c r="F100" s="86"/>
      <c r="G100" s="86"/>
      <c r="H100" s="86"/>
      <c r="I100" s="65"/>
      <c r="J100" s="65"/>
      <c r="K100" s="66"/>
      <c r="L100" s="67"/>
    </row>
    <row r="101" spans="6:12" ht="12.5">
      <c r="F101" s="86"/>
      <c r="G101" s="86"/>
      <c r="H101" s="86"/>
      <c r="I101" s="65"/>
      <c r="J101" s="65"/>
      <c r="K101" s="66"/>
      <c r="L101" s="67"/>
    </row>
    <row r="102" spans="6:12" ht="12.5">
      <c r="F102" s="86"/>
      <c r="G102" s="86"/>
      <c r="H102" s="86"/>
      <c r="I102" s="65"/>
      <c r="J102" s="65"/>
      <c r="K102" s="66"/>
      <c r="L102" s="67"/>
    </row>
    <row r="103" spans="6:12" ht="12.5">
      <c r="F103" s="86"/>
      <c r="G103" s="86"/>
      <c r="H103" s="86"/>
      <c r="I103" s="65"/>
      <c r="J103" s="65"/>
      <c r="K103" s="66"/>
      <c r="L103" s="67"/>
    </row>
    <row r="104" spans="6:12" ht="12.5">
      <c r="F104" s="86"/>
      <c r="G104" s="86"/>
      <c r="H104" s="86"/>
      <c r="I104" s="65"/>
      <c r="J104" s="65"/>
      <c r="K104" s="66"/>
      <c r="L104" s="67"/>
    </row>
    <row r="105" spans="6:12" ht="12.5">
      <c r="F105" s="86"/>
      <c r="G105" s="86"/>
      <c r="H105" s="86"/>
      <c r="I105" s="65"/>
      <c r="J105" s="65"/>
      <c r="K105" s="66"/>
      <c r="L105" s="67"/>
    </row>
    <row r="106" spans="6:12" ht="12.5">
      <c r="F106" s="86"/>
      <c r="G106" s="86"/>
      <c r="H106" s="86"/>
      <c r="I106" s="65"/>
      <c r="J106" s="65"/>
      <c r="K106" s="66"/>
      <c r="L106" s="67"/>
    </row>
    <row r="107" spans="6:12" ht="12.5">
      <c r="F107" s="86"/>
      <c r="G107" s="86"/>
      <c r="H107" s="86"/>
      <c r="I107" s="65"/>
      <c r="J107" s="65"/>
      <c r="K107" s="66"/>
      <c r="L107" s="67"/>
    </row>
    <row r="108" spans="6:12" ht="12.5">
      <c r="F108" s="86"/>
      <c r="G108" s="86"/>
      <c r="H108" s="86"/>
      <c r="I108" s="65"/>
      <c r="J108" s="65"/>
      <c r="K108" s="66"/>
      <c r="L108" s="67"/>
    </row>
    <row r="109" spans="6:12" ht="12.5">
      <c r="F109" s="86"/>
      <c r="G109" s="86"/>
      <c r="H109" s="86"/>
      <c r="I109" s="65"/>
      <c r="J109" s="65"/>
      <c r="K109" s="66"/>
      <c r="L109" s="67"/>
    </row>
    <row r="110" spans="6:12" ht="12.5">
      <c r="F110" s="86"/>
      <c r="G110" s="86"/>
      <c r="H110" s="86"/>
      <c r="I110" s="65"/>
      <c r="J110" s="65"/>
      <c r="K110" s="66"/>
      <c r="L110" s="67"/>
    </row>
    <row r="111" spans="6:12" ht="12.5">
      <c r="F111" s="86"/>
      <c r="G111" s="86"/>
      <c r="H111" s="86"/>
      <c r="I111" s="65"/>
      <c r="J111" s="65"/>
      <c r="K111" s="66"/>
      <c r="L111" s="67"/>
    </row>
    <row r="112" spans="6:12" ht="12.5">
      <c r="F112" s="86"/>
      <c r="G112" s="86"/>
      <c r="H112" s="86"/>
      <c r="I112" s="65"/>
      <c r="J112" s="65"/>
      <c r="K112" s="66"/>
      <c r="L112" s="67"/>
    </row>
    <row r="113" spans="6:12" ht="12.5">
      <c r="F113" s="86"/>
      <c r="G113" s="86"/>
      <c r="H113" s="86"/>
      <c r="I113" s="65"/>
      <c r="J113" s="65"/>
      <c r="K113" s="66"/>
      <c r="L113" s="67"/>
    </row>
    <row r="114" spans="6:12" ht="12.5">
      <c r="F114" s="86"/>
      <c r="G114" s="86"/>
      <c r="H114" s="86"/>
      <c r="I114" s="65"/>
      <c r="J114" s="65"/>
      <c r="K114" s="66"/>
      <c r="L114" s="67"/>
    </row>
    <row r="115" spans="6:12" ht="12.5">
      <c r="F115" s="86"/>
      <c r="G115" s="86"/>
      <c r="H115" s="86"/>
      <c r="I115" s="65"/>
      <c r="J115" s="65"/>
      <c r="K115" s="66"/>
      <c r="L115" s="67"/>
    </row>
    <row r="116" spans="6:12" ht="12.5">
      <c r="F116" s="86"/>
      <c r="G116" s="86"/>
      <c r="H116" s="86"/>
      <c r="I116" s="65"/>
      <c r="J116" s="65"/>
      <c r="K116" s="87"/>
      <c r="L116" s="88"/>
    </row>
    <row r="117" spans="6:12" ht="12.5">
      <c r="F117" s="86"/>
      <c r="G117" s="86"/>
      <c r="H117" s="86"/>
      <c r="I117" s="65"/>
      <c r="J117" s="65"/>
      <c r="K117" s="87"/>
      <c r="L117" s="88"/>
    </row>
    <row r="118" spans="6:12" ht="12.5">
      <c r="F118" s="86"/>
      <c r="G118" s="86"/>
      <c r="H118" s="86"/>
      <c r="I118" s="65"/>
      <c r="J118" s="65"/>
      <c r="K118" s="87"/>
      <c r="L118" s="88"/>
    </row>
    <row r="119" spans="6:12" ht="12.5">
      <c r="F119" s="86"/>
      <c r="G119" s="86"/>
      <c r="H119" s="86"/>
      <c r="I119" s="65"/>
      <c r="J119" s="65"/>
      <c r="K119" s="87"/>
      <c r="L119" s="88"/>
    </row>
    <row r="120" spans="6:12" ht="12.5">
      <c r="F120" s="86"/>
      <c r="G120" s="86"/>
      <c r="H120" s="86"/>
      <c r="I120" s="65"/>
      <c r="J120" s="65"/>
      <c r="K120" s="87"/>
      <c r="L120" s="88"/>
    </row>
    <row r="121" spans="6:12" ht="12.5">
      <c r="F121" s="86"/>
      <c r="G121" s="86"/>
      <c r="H121" s="86"/>
      <c r="I121" s="65"/>
      <c r="J121" s="65"/>
      <c r="K121" s="87"/>
      <c r="L121" s="88"/>
    </row>
    <row r="122" spans="6:12" ht="12.5">
      <c r="F122" s="86"/>
      <c r="G122" s="86"/>
      <c r="H122" s="86"/>
      <c r="I122" s="65"/>
      <c r="J122" s="65"/>
      <c r="K122" s="87"/>
      <c r="L122" s="88"/>
    </row>
    <row r="123" spans="6:12" ht="12.5">
      <c r="F123" s="86"/>
      <c r="G123" s="86"/>
      <c r="H123" s="86"/>
      <c r="I123" s="65"/>
      <c r="J123" s="65"/>
      <c r="K123" s="87"/>
      <c r="L123" s="88"/>
    </row>
    <row r="124" spans="6:12" ht="12.5">
      <c r="F124" s="86"/>
      <c r="G124" s="86"/>
      <c r="H124" s="86"/>
      <c r="I124" s="65"/>
      <c r="J124" s="65"/>
      <c r="K124" s="87"/>
      <c r="L124" s="88"/>
    </row>
    <row r="125" spans="6:12" ht="12.5">
      <c r="F125" s="86"/>
      <c r="G125" s="86"/>
      <c r="H125" s="86"/>
      <c r="I125" s="65"/>
      <c r="J125" s="65"/>
      <c r="K125" s="87"/>
      <c r="L125" s="88"/>
    </row>
    <row r="126" spans="6:12" ht="12.5">
      <c r="F126" s="86"/>
      <c r="G126" s="86"/>
      <c r="H126" s="86"/>
      <c r="I126" s="65"/>
      <c r="J126" s="65"/>
      <c r="K126" s="87"/>
      <c r="L126" s="88"/>
    </row>
    <row r="127" spans="6:12" ht="12.5">
      <c r="F127" s="86"/>
      <c r="G127" s="86"/>
      <c r="H127" s="86"/>
      <c r="I127" s="65"/>
      <c r="J127" s="65"/>
      <c r="K127" s="87"/>
      <c r="L127" s="88"/>
    </row>
    <row r="128" spans="6:12" ht="12.5">
      <c r="F128" s="86"/>
      <c r="G128" s="86"/>
      <c r="H128" s="86"/>
      <c r="I128" s="65"/>
      <c r="J128" s="65"/>
      <c r="K128" s="87"/>
      <c r="L128" s="88"/>
    </row>
    <row r="129" spans="6:12" ht="12.5">
      <c r="F129" s="86"/>
      <c r="G129" s="86"/>
      <c r="H129" s="86"/>
      <c r="I129" s="65"/>
      <c r="J129" s="65"/>
      <c r="K129" s="87"/>
      <c r="L129" s="88"/>
    </row>
    <row r="130" spans="6:12" ht="12.5">
      <c r="F130" s="86"/>
      <c r="G130" s="86"/>
      <c r="H130" s="86"/>
      <c r="I130" s="65"/>
      <c r="J130" s="65"/>
      <c r="K130" s="87"/>
      <c r="L130" s="88"/>
    </row>
    <row r="131" spans="6:12" ht="12.5">
      <c r="F131" s="86"/>
      <c r="G131" s="86"/>
      <c r="H131" s="86"/>
      <c r="I131" s="65"/>
      <c r="J131" s="65"/>
      <c r="K131" s="87"/>
      <c r="L131" s="88"/>
    </row>
    <row r="132" spans="6:12" ht="12.5">
      <c r="F132" s="86"/>
      <c r="G132" s="86"/>
      <c r="H132" s="86"/>
      <c r="I132" s="65"/>
      <c r="J132" s="65"/>
      <c r="K132" s="87"/>
      <c r="L132" s="88"/>
    </row>
    <row r="133" spans="6:12" ht="12.5">
      <c r="F133" s="86"/>
      <c r="G133" s="86"/>
      <c r="H133" s="86"/>
      <c r="I133" s="65"/>
      <c r="J133" s="65"/>
      <c r="K133" s="87"/>
      <c r="L133" s="88"/>
    </row>
    <row r="134" spans="6:12" ht="12.5">
      <c r="F134" s="86"/>
      <c r="G134" s="86"/>
      <c r="H134" s="86"/>
      <c r="I134" s="65"/>
      <c r="J134" s="65"/>
      <c r="K134" s="87"/>
      <c r="L134" s="88"/>
    </row>
    <row r="135" spans="6:12" ht="12.5">
      <c r="F135" s="86"/>
      <c r="G135" s="86"/>
      <c r="H135" s="86"/>
      <c r="I135" s="65"/>
      <c r="J135" s="65"/>
      <c r="K135" s="87"/>
      <c r="L135" s="88"/>
    </row>
    <row r="136" spans="6:12" ht="12.5">
      <c r="F136" s="86"/>
      <c r="G136" s="86"/>
      <c r="H136" s="86"/>
      <c r="I136" s="65"/>
      <c r="J136" s="65"/>
      <c r="K136" s="87"/>
      <c r="L136" s="88"/>
    </row>
    <row r="137" spans="6:12" ht="12.5">
      <c r="F137" s="86"/>
      <c r="G137" s="86"/>
      <c r="H137" s="86"/>
      <c r="I137" s="65"/>
      <c r="J137" s="65"/>
      <c r="K137" s="87"/>
      <c r="L137" s="88"/>
    </row>
    <row r="138" spans="6:12" ht="12.5">
      <c r="F138" s="86"/>
      <c r="G138" s="86"/>
      <c r="H138" s="86"/>
      <c r="I138" s="65"/>
      <c r="J138" s="65"/>
      <c r="K138" s="87"/>
      <c r="L138" s="88"/>
    </row>
    <row r="139" spans="6:12" ht="12.5">
      <c r="F139" s="86"/>
      <c r="G139" s="86"/>
      <c r="H139" s="86"/>
      <c r="I139" s="65"/>
      <c r="J139" s="65"/>
      <c r="K139" s="87"/>
      <c r="L139" s="88"/>
    </row>
    <row r="140" spans="6:12" ht="12.5">
      <c r="F140" s="86"/>
      <c r="G140" s="86"/>
      <c r="H140" s="86"/>
      <c r="I140" s="65"/>
      <c r="J140" s="65"/>
      <c r="K140" s="87"/>
      <c r="L140" s="88"/>
    </row>
    <row r="141" spans="6:12" ht="12.5">
      <c r="F141" s="86"/>
      <c r="G141" s="86"/>
      <c r="H141" s="86"/>
      <c r="I141" s="65"/>
      <c r="J141" s="65"/>
      <c r="K141" s="87"/>
      <c r="L141" s="88"/>
    </row>
    <row r="142" spans="6:12" ht="12.5">
      <c r="F142" s="86"/>
      <c r="G142" s="86"/>
      <c r="H142" s="86"/>
      <c r="I142" s="65"/>
      <c r="J142" s="65"/>
      <c r="K142" s="87"/>
      <c r="L142" s="88"/>
    </row>
    <row r="143" spans="6:12" ht="12.5">
      <c r="F143" s="86"/>
      <c r="G143" s="86"/>
      <c r="H143" s="86"/>
      <c r="I143" s="65"/>
      <c r="J143" s="65"/>
      <c r="K143" s="87"/>
      <c r="L143" s="88"/>
    </row>
    <row r="144" spans="6:12" ht="12.5">
      <c r="F144" s="86"/>
      <c r="G144" s="86"/>
      <c r="H144" s="86"/>
      <c r="I144" s="65"/>
      <c r="J144" s="65"/>
      <c r="K144" s="87"/>
      <c r="L144" s="88"/>
    </row>
    <row r="145" spans="6:12" ht="12.5">
      <c r="F145" s="86"/>
      <c r="G145" s="86"/>
      <c r="H145" s="86"/>
      <c r="I145" s="65"/>
      <c r="J145" s="65"/>
      <c r="K145" s="87"/>
      <c r="L145" s="88"/>
    </row>
    <row r="146" spans="6:12" ht="12.5">
      <c r="F146" s="86"/>
      <c r="G146" s="86"/>
      <c r="H146" s="86"/>
      <c r="I146" s="65"/>
      <c r="J146" s="65"/>
      <c r="K146" s="87"/>
      <c r="L146" s="88"/>
    </row>
    <row r="147" spans="6:12" ht="12.5">
      <c r="F147" s="86"/>
      <c r="G147" s="86"/>
      <c r="H147" s="86"/>
      <c r="I147" s="65"/>
      <c r="J147" s="65"/>
      <c r="K147" s="87"/>
      <c r="L147" s="88"/>
    </row>
    <row r="148" spans="6:12" ht="12.5">
      <c r="F148" s="86"/>
      <c r="G148" s="86"/>
      <c r="H148" s="86"/>
      <c r="I148" s="65"/>
      <c r="J148" s="65"/>
      <c r="K148" s="87"/>
      <c r="L148" s="88"/>
    </row>
    <row r="149" spans="6:12" ht="12.5">
      <c r="F149" s="86"/>
      <c r="G149" s="86"/>
      <c r="H149" s="86"/>
      <c r="I149" s="65"/>
      <c r="J149" s="65"/>
      <c r="K149" s="87"/>
      <c r="L149" s="88"/>
    </row>
    <row r="150" spans="6:12" ht="12.5">
      <c r="F150" s="86"/>
      <c r="G150" s="86"/>
      <c r="H150" s="86"/>
      <c r="I150" s="65"/>
      <c r="J150" s="65"/>
      <c r="K150" s="87"/>
      <c r="L150" s="88"/>
    </row>
    <row r="151" spans="6:12" ht="12.5">
      <c r="F151" s="86"/>
      <c r="G151" s="86"/>
      <c r="H151" s="86"/>
      <c r="I151" s="65"/>
      <c r="J151" s="65"/>
      <c r="K151" s="87"/>
      <c r="L151" s="88"/>
    </row>
    <row r="152" spans="6:12" ht="12.5">
      <c r="F152" s="86"/>
      <c r="G152" s="86"/>
      <c r="H152" s="86"/>
      <c r="I152" s="65"/>
      <c r="J152" s="65"/>
      <c r="K152" s="87"/>
      <c r="L152" s="88"/>
    </row>
    <row r="153" spans="6:12" ht="12.5">
      <c r="F153" s="86"/>
      <c r="G153" s="86"/>
      <c r="H153" s="86"/>
      <c r="I153" s="65"/>
      <c r="J153" s="65"/>
      <c r="K153" s="87"/>
      <c r="L153" s="88"/>
    </row>
    <row r="154" spans="6:12" ht="12.5">
      <c r="F154" s="86"/>
      <c r="G154" s="86"/>
      <c r="H154" s="86"/>
      <c r="I154" s="65"/>
      <c r="J154" s="65"/>
      <c r="K154" s="87"/>
      <c r="L154" s="88"/>
    </row>
    <row r="155" spans="6:12" ht="12.5">
      <c r="F155" s="86"/>
      <c r="G155" s="86"/>
      <c r="H155" s="86"/>
      <c r="I155" s="65"/>
      <c r="J155" s="65"/>
      <c r="K155" s="87"/>
      <c r="L155" s="88"/>
    </row>
    <row r="156" spans="6:12" ht="12.5">
      <c r="F156" s="86"/>
      <c r="G156" s="86"/>
      <c r="H156" s="86"/>
      <c r="I156" s="65"/>
      <c r="J156" s="65"/>
      <c r="K156" s="87"/>
      <c r="L156" s="88"/>
    </row>
    <row r="157" spans="6:12" ht="12.5">
      <c r="F157" s="86"/>
      <c r="G157" s="86"/>
      <c r="H157" s="86"/>
      <c r="I157" s="65"/>
      <c r="J157" s="65"/>
      <c r="K157" s="87"/>
      <c r="L157" s="88"/>
    </row>
    <row r="158" spans="6:12" ht="12.5">
      <c r="F158" s="86"/>
      <c r="G158" s="86"/>
      <c r="H158" s="86"/>
      <c r="I158" s="65"/>
      <c r="J158" s="65"/>
      <c r="K158" s="87"/>
      <c r="L158" s="88"/>
    </row>
    <row r="159" spans="6:12" ht="12.5">
      <c r="F159" s="86"/>
      <c r="G159" s="86"/>
      <c r="H159" s="86"/>
      <c r="I159" s="65"/>
      <c r="J159" s="65"/>
      <c r="K159" s="87"/>
      <c r="L159" s="88"/>
    </row>
    <row r="160" spans="6:12" ht="12.5">
      <c r="F160" s="86"/>
      <c r="G160" s="86"/>
      <c r="H160" s="86"/>
      <c r="I160" s="65"/>
      <c r="J160" s="65"/>
      <c r="K160" s="87"/>
      <c r="L160" s="88"/>
    </row>
    <row r="161" spans="6:12" ht="12.5">
      <c r="F161" s="86"/>
      <c r="G161" s="86"/>
      <c r="H161" s="86"/>
      <c r="I161" s="65"/>
      <c r="J161" s="65"/>
      <c r="K161" s="87"/>
      <c r="L161" s="88"/>
    </row>
    <row r="162" spans="6:12" ht="12.5">
      <c r="F162" s="86"/>
      <c r="G162" s="86"/>
      <c r="H162" s="86"/>
      <c r="I162" s="65"/>
      <c r="J162" s="65"/>
      <c r="K162" s="87"/>
      <c r="L162" s="88"/>
    </row>
    <row r="163" spans="6:12" ht="12.5">
      <c r="F163" s="86"/>
      <c r="G163" s="86"/>
      <c r="H163" s="86"/>
      <c r="I163" s="65"/>
      <c r="J163" s="65"/>
      <c r="K163" s="87"/>
      <c r="L163" s="88"/>
    </row>
    <row r="164" spans="6:12" ht="12.5">
      <c r="F164" s="86"/>
      <c r="G164" s="86"/>
      <c r="H164" s="86"/>
      <c r="I164" s="65"/>
      <c r="J164" s="65"/>
      <c r="K164" s="87"/>
      <c r="L164" s="88"/>
    </row>
    <row r="165" spans="6:12" ht="12.5">
      <c r="F165" s="86"/>
      <c r="G165" s="86"/>
      <c r="H165" s="86"/>
      <c r="I165" s="65"/>
      <c r="J165" s="65"/>
      <c r="K165" s="87"/>
      <c r="L165" s="88"/>
    </row>
    <row r="166" spans="6:12" ht="12.5">
      <c r="F166" s="86"/>
      <c r="G166" s="86"/>
      <c r="H166" s="86"/>
      <c r="I166" s="65"/>
      <c r="J166" s="65"/>
      <c r="K166" s="87"/>
      <c r="L166" s="88"/>
    </row>
    <row r="167" spans="6:12" ht="12.5">
      <c r="F167" s="86"/>
      <c r="G167" s="86"/>
      <c r="H167" s="86"/>
      <c r="I167" s="65"/>
      <c r="J167" s="65"/>
      <c r="K167" s="87"/>
      <c r="L167" s="88"/>
    </row>
    <row r="168" spans="6:12" ht="12.5">
      <c r="F168" s="86"/>
      <c r="G168" s="86"/>
      <c r="H168" s="86"/>
      <c r="I168" s="65"/>
      <c r="J168" s="65"/>
      <c r="K168" s="87"/>
      <c r="L168" s="88"/>
    </row>
    <row r="169" spans="6:12" ht="12.5">
      <c r="F169" s="86"/>
      <c r="G169" s="86"/>
      <c r="H169" s="86"/>
      <c r="I169" s="65"/>
      <c r="J169" s="65"/>
      <c r="K169" s="87"/>
      <c r="L169" s="88"/>
    </row>
    <row r="170" spans="6:12" ht="12.5">
      <c r="F170" s="86"/>
      <c r="G170" s="86"/>
      <c r="H170" s="86"/>
      <c r="I170" s="65"/>
      <c r="J170" s="65"/>
      <c r="K170" s="87"/>
      <c r="L170" s="88"/>
    </row>
    <row r="171" spans="6:12" ht="12.5">
      <c r="F171" s="86"/>
      <c r="G171" s="86"/>
      <c r="H171" s="86"/>
      <c r="I171" s="65"/>
      <c r="J171" s="65"/>
      <c r="K171" s="87"/>
      <c r="L171" s="88"/>
    </row>
    <row r="172" spans="6:12" ht="12.5">
      <c r="F172" s="86"/>
      <c r="G172" s="86"/>
      <c r="H172" s="86"/>
      <c r="I172" s="65"/>
      <c r="J172" s="65"/>
      <c r="K172" s="87"/>
      <c r="L172" s="88"/>
    </row>
    <row r="173" spans="6:12" ht="12.5">
      <c r="F173" s="86"/>
      <c r="G173" s="86"/>
      <c r="H173" s="86"/>
      <c r="I173" s="65"/>
      <c r="J173" s="65"/>
      <c r="K173" s="87"/>
      <c r="L173" s="88"/>
    </row>
    <row r="174" spans="6:12" ht="12.5">
      <c r="F174" s="86"/>
      <c r="G174" s="86"/>
      <c r="H174" s="86"/>
      <c r="I174" s="65"/>
      <c r="J174" s="65"/>
      <c r="K174" s="87"/>
      <c r="L174" s="88"/>
    </row>
    <row r="175" spans="6:12" ht="12.5">
      <c r="F175" s="86"/>
      <c r="G175" s="86"/>
      <c r="H175" s="86"/>
      <c r="I175" s="65"/>
      <c r="J175" s="65"/>
      <c r="K175" s="87"/>
      <c r="L175" s="88"/>
    </row>
    <row r="176" spans="6:12" ht="12.5">
      <c r="F176" s="86"/>
      <c r="G176" s="86"/>
      <c r="H176" s="86"/>
      <c r="I176" s="65"/>
      <c r="J176" s="65"/>
      <c r="K176" s="87"/>
      <c r="L176" s="88"/>
    </row>
    <row r="177" spans="6:12" ht="12.5">
      <c r="F177" s="86"/>
      <c r="G177" s="86"/>
      <c r="H177" s="86"/>
      <c r="I177" s="65"/>
      <c r="J177" s="65"/>
      <c r="K177" s="87"/>
      <c r="L177" s="88"/>
    </row>
    <row r="178" spans="6:12" ht="12.5">
      <c r="F178" s="86"/>
      <c r="G178" s="86"/>
      <c r="H178" s="86"/>
      <c r="I178" s="65"/>
      <c r="J178" s="65"/>
      <c r="K178" s="87"/>
      <c r="L178" s="88"/>
    </row>
    <row r="179" spans="6:12" ht="12.5">
      <c r="F179" s="86"/>
      <c r="G179" s="86"/>
      <c r="H179" s="86"/>
      <c r="I179" s="65"/>
      <c r="J179" s="65"/>
      <c r="K179" s="87"/>
      <c r="L179" s="88"/>
    </row>
    <row r="180" spans="6:12" ht="12.5">
      <c r="F180" s="86"/>
      <c r="G180" s="86"/>
      <c r="H180" s="86"/>
      <c r="I180" s="65"/>
      <c r="J180" s="65"/>
      <c r="K180" s="87"/>
      <c r="L180" s="88"/>
    </row>
    <row r="181" spans="6:12" ht="12.5">
      <c r="F181" s="86"/>
      <c r="G181" s="86"/>
      <c r="H181" s="86"/>
      <c r="I181" s="65"/>
      <c r="J181" s="65"/>
      <c r="K181" s="87"/>
      <c r="L181" s="88"/>
    </row>
    <row r="182" spans="6:12" ht="12.5">
      <c r="F182" s="86"/>
      <c r="G182" s="86"/>
      <c r="H182" s="86"/>
      <c r="I182" s="65"/>
      <c r="J182" s="65"/>
      <c r="K182" s="87"/>
      <c r="L182" s="88"/>
    </row>
    <row r="183" spans="6:12" ht="12.5">
      <c r="F183" s="86"/>
      <c r="G183" s="86"/>
      <c r="H183" s="86"/>
      <c r="I183" s="65"/>
      <c r="J183" s="65"/>
      <c r="K183" s="87"/>
      <c r="L183" s="88"/>
    </row>
    <row r="184" spans="6:12" ht="12.5">
      <c r="F184" s="86"/>
      <c r="G184" s="86"/>
      <c r="H184" s="86"/>
      <c r="I184" s="65"/>
      <c r="J184" s="65"/>
      <c r="K184" s="87"/>
      <c r="L184" s="88"/>
    </row>
    <row r="185" spans="6:12" ht="12.5">
      <c r="F185" s="86"/>
      <c r="G185" s="86"/>
      <c r="H185" s="86"/>
      <c r="I185" s="65"/>
      <c r="J185" s="65"/>
      <c r="K185" s="87"/>
      <c r="L185" s="88"/>
    </row>
    <row r="186" spans="6:12" ht="12.5">
      <c r="F186" s="86"/>
      <c r="G186" s="86"/>
      <c r="H186" s="86"/>
      <c r="I186" s="65"/>
      <c r="J186" s="65"/>
      <c r="K186" s="87"/>
      <c r="L186" s="88"/>
    </row>
    <row r="187" spans="6:12" ht="12.5">
      <c r="F187" s="86"/>
      <c r="G187" s="86"/>
      <c r="H187" s="86"/>
      <c r="I187" s="65"/>
      <c r="J187" s="65"/>
      <c r="K187" s="87"/>
      <c r="L187" s="88"/>
    </row>
    <row r="188" spans="6:12" ht="12.5">
      <c r="F188" s="86"/>
      <c r="G188" s="86"/>
      <c r="H188" s="86"/>
      <c r="I188" s="65"/>
      <c r="J188" s="65"/>
      <c r="K188" s="87"/>
      <c r="L188" s="88"/>
    </row>
    <row r="189" spans="6:12" ht="12.5">
      <c r="F189" s="86"/>
      <c r="G189" s="86"/>
      <c r="H189" s="86"/>
      <c r="I189" s="65"/>
      <c r="J189" s="65"/>
      <c r="K189" s="87"/>
      <c r="L189" s="88"/>
    </row>
    <row r="190" spans="6:12" ht="12.5">
      <c r="F190" s="86"/>
      <c r="G190" s="86"/>
      <c r="H190" s="86"/>
      <c r="I190" s="65"/>
      <c r="J190" s="65"/>
      <c r="K190" s="87"/>
      <c r="L190" s="88"/>
    </row>
    <row r="191" spans="6:12" ht="12.5">
      <c r="F191" s="86"/>
      <c r="G191" s="86"/>
      <c r="H191" s="86"/>
      <c r="I191" s="65"/>
      <c r="J191" s="65"/>
      <c r="K191" s="87"/>
      <c r="L191" s="88"/>
    </row>
    <row r="192" spans="6:12" ht="12.5">
      <c r="F192" s="86"/>
      <c r="G192" s="86"/>
      <c r="H192" s="86"/>
      <c r="I192" s="65"/>
      <c r="J192" s="65"/>
      <c r="K192" s="87"/>
      <c r="L192" s="88"/>
    </row>
    <row r="193" spans="6:12" ht="12.5">
      <c r="F193" s="86"/>
      <c r="G193" s="86"/>
      <c r="H193" s="86"/>
      <c r="I193" s="65"/>
      <c r="J193" s="65"/>
      <c r="K193" s="87"/>
      <c r="L193" s="88"/>
    </row>
    <row r="194" spans="6:12" ht="12.5">
      <c r="F194" s="86"/>
      <c r="G194" s="86"/>
      <c r="H194" s="86"/>
      <c r="I194" s="65"/>
      <c r="J194" s="65"/>
      <c r="K194" s="87"/>
      <c r="L194" s="88"/>
    </row>
    <row r="195" spans="6:12" ht="12.5">
      <c r="F195" s="86"/>
      <c r="G195" s="86"/>
      <c r="H195" s="86"/>
      <c r="I195" s="65"/>
      <c r="J195" s="65"/>
      <c r="K195" s="87"/>
      <c r="L195" s="88"/>
    </row>
    <row r="196" spans="6:12" ht="12.5">
      <c r="F196" s="86"/>
      <c r="G196" s="86"/>
      <c r="H196" s="86"/>
      <c r="I196" s="65"/>
      <c r="J196" s="65"/>
      <c r="K196" s="87"/>
      <c r="L196" s="88"/>
    </row>
    <row r="197" spans="6:12" ht="12.5">
      <c r="F197" s="86"/>
      <c r="G197" s="86"/>
      <c r="H197" s="86"/>
      <c r="I197" s="65"/>
      <c r="J197" s="65"/>
      <c r="K197" s="87"/>
      <c r="L197" s="88"/>
    </row>
    <row r="198" spans="6:12" ht="12.5">
      <c r="F198" s="86"/>
      <c r="G198" s="86"/>
      <c r="H198" s="86"/>
      <c r="I198" s="65"/>
      <c r="J198" s="65"/>
      <c r="K198" s="87"/>
      <c r="L198" s="88"/>
    </row>
    <row r="199" spans="6:12" ht="12.5">
      <c r="F199" s="86"/>
      <c r="G199" s="86"/>
      <c r="H199" s="86"/>
      <c r="I199" s="65"/>
      <c r="J199" s="65"/>
      <c r="K199" s="87"/>
      <c r="L199" s="88"/>
    </row>
    <row r="200" spans="6:12" ht="12.5">
      <c r="F200" s="86"/>
      <c r="G200" s="86"/>
      <c r="H200" s="86"/>
      <c r="I200" s="65"/>
      <c r="J200" s="65"/>
      <c r="K200" s="87"/>
      <c r="L200" s="88"/>
    </row>
    <row r="201" spans="6:12" ht="12.5">
      <c r="F201" s="86"/>
      <c r="G201" s="86"/>
      <c r="H201" s="86"/>
      <c r="I201" s="65"/>
      <c r="J201" s="65"/>
      <c r="K201" s="87"/>
      <c r="L201" s="88"/>
    </row>
    <row r="202" spans="6:12" ht="12.5">
      <c r="F202" s="86"/>
      <c r="G202" s="86"/>
      <c r="H202" s="86"/>
      <c r="I202" s="65"/>
      <c r="J202" s="65"/>
      <c r="K202" s="87"/>
      <c r="L202" s="88"/>
    </row>
    <row r="203" spans="6:12" ht="12.5">
      <c r="F203" s="86"/>
      <c r="G203" s="86"/>
      <c r="H203" s="86"/>
      <c r="I203" s="65"/>
      <c r="J203" s="65"/>
      <c r="K203" s="87"/>
      <c r="L203" s="88"/>
    </row>
    <row r="204" spans="6:12" ht="12.5">
      <c r="F204" s="86"/>
      <c r="G204" s="86"/>
      <c r="H204" s="86"/>
      <c r="I204" s="65"/>
      <c r="J204" s="65"/>
      <c r="K204" s="87"/>
      <c r="L204" s="88"/>
    </row>
    <row r="205" spans="6:12" ht="12.5">
      <c r="F205" s="86"/>
      <c r="G205" s="86"/>
      <c r="H205" s="86"/>
      <c r="I205" s="65"/>
      <c r="J205" s="65"/>
      <c r="K205" s="87"/>
      <c r="L205" s="88"/>
    </row>
    <row r="206" spans="6:12" ht="12.5">
      <c r="F206" s="86"/>
      <c r="G206" s="86"/>
      <c r="H206" s="86"/>
      <c r="I206" s="65"/>
      <c r="J206" s="65"/>
      <c r="K206" s="87"/>
      <c r="L206" s="88"/>
    </row>
    <row r="207" spans="6:12" ht="12.5">
      <c r="F207" s="86"/>
      <c r="G207" s="86"/>
      <c r="H207" s="86"/>
      <c r="I207" s="65"/>
      <c r="J207" s="65"/>
      <c r="K207" s="87"/>
      <c r="L207" s="88"/>
    </row>
    <row r="208" spans="6:12" ht="12.5">
      <c r="F208" s="86"/>
      <c r="G208" s="86"/>
      <c r="H208" s="86"/>
      <c r="I208" s="65"/>
      <c r="J208" s="65"/>
      <c r="K208" s="87"/>
      <c r="L208" s="88"/>
    </row>
    <row r="209" spans="6:12" ht="12.5">
      <c r="F209" s="86"/>
      <c r="G209" s="86"/>
      <c r="H209" s="86"/>
      <c r="I209" s="65"/>
      <c r="J209" s="65"/>
      <c r="K209" s="87"/>
      <c r="L209" s="88"/>
    </row>
    <row r="210" spans="6:12" ht="12.5">
      <c r="F210" s="86"/>
      <c r="G210" s="86"/>
      <c r="H210" s="86"/>
      <c r="I210" s="65"/>
      <c r="J210" s="65"/>
      <c r="K210" s="87"/>
      <c r="L210" s="88"/>
    </row>
    <row r="211" spans="6:12" ht="12.5">
      <c r="F211" s="86"/>
      <c r="G211" s="86"/>
      <c r="H211" s="86"/>
      <c r="I211" s="65"/>
      <c r="J211" s="65"/>
      <c r="K211" s="87"/>
      <c r="L211" s="88"/>
    </row>
    <row r="212" spans="6:12" ht="12.5">
      <c r="F212" s="86"/>
      <c r="G212" s="86"/>
      <c r="H212" s="86"/>
      <c r="I212" s="65"/>
      <c r="J212" s="65"/>
      <c r="K212" s="87"/>
      <c r="L212" s="88"/>
    </row>
    <row r="213" spans="6:12" ht="12.5">
      <c r="F213" s="86"/>
      <c r="G213" s="86"/>
      <c r="H213" s="86"/>
      <c r="I213" s="65"/>
      <c r="J213" s="65"/>
      <c r="K213" s="87"/>
      <c r="L213" s="88"/>
    </row>
    <row r="214" spans="6:12" ht="12.5">
      <c r="F214" s="86"/>
      <c r="G214" s="86"/>
      <c r="H214" s="86"/>
      <c r="I214" s="65"/>
      <c r="J214" s="65"/>
      <c r="K214" s="87"/>
      <c r="L214" s="88"/>
    </row>
    <row r="215" spans="6:12" ht="12.5">
      <c r="F215" s="86"/>
      <c r="G215" s="86"/>
      <c r="H215" s="86"/>
      <c r="I215" s="65"/>
      <c r="J215" s="65"/>
      <c r="K215" s="87"/>
      <c r="L215" s="88"/>
    </row>
    <row r="216" spans="6:12" ht="12.5">
      <c r="F216" s="86"/>
      <c r="G216" s="86"/>
      <c r="H216" s="86"/>
      <c r="I216" s="65"/>
      <c r="J216" s="65"/>
      <c r="K216" s="87"/>
      <c r="L216" s="88"/>
    </row>
    <row r="217" spans="6:12" ht="12.5">
      <c r="F217" s="86"/>
      <c r="G217" s="86"/>
      <c r="H217" s="86"/>
      <c r="I217" s="65"/>
      <c r="J217" s="65"/>
      <c r="K217" s="87"/>
      <c r="L217" s="88"/>
    </row>
    <row r="218" spans="6:12" ht="12.5">
      <c r="F218" s="86"/>
      <c r="G218" s="86"/>
      <c r="H218" s="86"/>
      <c r="I218" s="65"/>
      <c r="J218" s="65"/>
      <c r="K218" s="87"/>
      <c r="L218" s="88"/>
    </row>
    <row r="219" spans="6:12" ht="12.5">
      <c r="F219" s="86"/>
      <c r="G219" s="86"/>
      <c r="H219" s="86"/>
      <c r="I219" s="65"/>
      <c r="J219" s="65"/>
      <c r="K219" s="87"/>
      <c r="L219" s="88"/>
    </row>
    <row r="220" spans="6:12" ht="12.5">
      <c r="F220" s="86"/>
      <c r="G220" s="86"/>
      <c r="H220" s="86"/>
      <c r="I220" s="65"/>
      <c r="J220" s="65"/>
      <c r="K220" s="87"/>
      <c r="L220" s="88"/>
    </row>
    <row r="221" spans="6:12" ht="12.5">
      <c r="F221" s="86"/>
      <c r="G221" s="86"/>
      <c r="H221" s="86"/>
      <c r="I221" s="65"/>
      <c r="J221" s="65"/>
      <c r="K221" s="87"/>
      <c r="L221" s="88"/>
    </row>
    <row r="222" spans="6:12" ht="12.5">
      <c r="F222" s="86"/>
      <c r="G222" s="86"/>
      <c r="H222" s="86"/>
      <c r="I222" s="65"/>
      <c r="J222" s="65"/>
      <c r="K222" s="87"/>
      <c r="L222" s="88"/>
    </row>
    <row r="223" spans="6:12" ht="12.5">
      <c r="F223" s="86"/>
      <c r="G223" s="86"/>
      <c r="H223" s="86"/>
      <c r="I223" s="65"/>
      <c r="J223" s="65"/>
      <c r="K223" s="87"/>
      <c r="L223" s="88"/>
    </row>
    <row r="224" spans="6:12" ht="12.5">
      <c r="F224" s="86"/>
      <c r="G224" s="86"/>
      <c r="H224" s="86"/>
      <c r="I224" s="65"/>
      <c r="J224" s="65"/>
      <c r="K224" s="87"/>
      <c r="L224" s="88"/>
    </row>
    <row r="225" spans="6:12" ht="12.5">
      <c r="F225" s="86"/>
      <c r="G225" s="86"/>
      <c r="H225" s="86"/>
      <c r="I225" s="65"/>
      <c r="J225" s="65"/>
      <c r="K225" s="87"/>
      <c r="L225" s="88"/>
    </row>
    <row r="226" spans="6:12" ht="12.5">
      <c r="F226" s="86"/>
      <c r="G226" s="86"/>
      <c r="H226" s="86"/>
      <c r="I226" s="65"/>
      <c r="J226" s="65"/>
      <c r="K226" s="87"/>
      <c r="L226" s="88"/>
    </row>
    <row r="227" spans="6:12" ht="12.5">
      <c r="F227" s="86"/>
      <c r="G227" s="86"/>
      <c r="H227" s="86"/>
      <c r="I227" s="65"/>
      <c r="J227" s="65"/>
      <c r="K227" s="87"/>
      <c r="L227" s="88"/>
    </row>
    <row r="228" spans="6:12" ht="12.5">
      <c r="F228" s="86"/>
      <c r="G228" s="86"/>
      <c r="H228" s="86"/>
      <c r="I228" s="65"/>
      <c r="J228" s="65"/>
      <c r="K228" s="87"/>
      <c r="L228" s="88"/>
    </row>
    <row r="229" spans="6:12" ht="12.5">
      <c r="F229" s="86"/>
      <c r="G229" s="86"/>
      <c r="H229" s="86"/>
      <c r="I229" s="65"/>
      <c r="J229" s="65"/>
      <c r="K229" s="87"/>
      <c r="L229" s="88"/>
    </row>
    <row r="230" spans="6:12" ht="12.5">
      <c r="F230" s="86"/>
      <c r="G230" s="86"/>
      <c r="H230" s="86"/>
      <c r="I230" s="65"/>
      <c r="J230" s="65"/>
      <c r="K230" s="87"/>
      <c r="L230" s="88"/>
    </row>
    <row r="231" spans="6:12" ht="12.5">
      <c r="F231" s="86"/>
      <c r="G231" s="86"/>
      <c r="H231" s="86"/>
      <c r="I231" s="65"/>
      <c r="J231" s="65"/>
      <c r="K231" s="87"/>
      <c r="L231" s="88"/>
    </row>
    <row r="232" spans="6:12" ht="12.5">
      <c r="F232" s="86"/>
      <c r="G232" s="86"/>
      <c r="H232" s="86"/>
      <c r="I232" s="65"/>
      <c r="J232" s="65"/>
      <c r="K232" s="87"/>
      <c r="L232" s="88"/>
    </row>
    <row r="233" spans="6:12" ht="12.5">
      <c r="F233" s="86"/>
      <c r="G233" s="86"/>
      <c r="H233" s="86"/>
      <c r="I233" s="65"/>
      <c r="J233" s="65"/>
      <c r="K233" s="87"/>
      <c r="L233" s="88"/>
    </row>
    <row r="234" spans="6:12" ht="12.5">
      <c r="F234" s="86"/>
      <c r="G234" s="86"/>
      <c r="H234" s="86"/>
      <c r="I234" s="65"/>
      <c r="J234" s="65"/>
      <c r="K234" s="87"/>
      <c r="L234" s="88"/>
    </row>
    <row r="235" spans="6:12" ht="12.5">
      <c r="F235" s="86"/>
      <c r="G235" s="86"/>
      <c r="H235" s="86"/>
      <c r="I235" s="65"/>
      <c r="J235" s="65"/>
      <c r="K235" s="87"/>
      <c r="L235" s="88"/>
    </row>
    <row r="236" spans="6:12" ht="12.5">
      <c r="F236" s="86"/>
      <c r="G236" s="86"/>
      <c r="H236" s="86"/>
      <c r="I236" s="65"/>
      <c r="J236" s="65"/>
      <c r="K236" s="87"/>
      <c r="L236" s="88"/>
    </row>
    <row r="237" spans="6:12" ht="12.5">
      <c r="F237" s="86"/>
      <c r="G237" s="86"/>
      <c r="H237" s="86"/>
      <c r="I237" s="65"/>
      <c r="J237" s="65"/>
      <c r="K237" s="87"/>
      <c r="L237" s="88"/>
    </row>
    <row r="238" spans="6:12" ht="12.5">
      <c r="F238" s="86"/>
      <c r="G238" s="86"/>
      <c r="H238" s="86"/>
      <c r="I238" s="65"/>
      <c r="J238" s="65"/>
      <c r="K238" s="87"/>
      <c r="L238" s="88"/>
    </row>
    <row r="239" spans="6:12" ht="12.5">
      <c r="F239" s="86"/>
      <c r="G239" s="86"/>
      <c r="H239" s="86"/>
      <c r="I239" s="65"/>
      <c r="J239" s="65"/>
      <c r="K239" s="87"/>
      <c r="L239" s="88"/>
    </row>
    <row r="240" spans="6:12" ht="12.5">
      <c r="F240" s="86"/>
      <c r="G240" s="86"/>
      <c r="H240" s="86"/>
      <c r="I240" s="65"/>
      <c r="J240" s="65"/>
      <c r="K240" s="87"/>
      <c r="L240" s="88"/>
    </row>
    <row r="241" spans="6:12" ht="12.5">
      <c r="F241" s="86"/>
      <c r="G241" s="86"/>
      <c r="H241" s="86"/>
      <c r="I241" s="65"/>
      <c r="J241" s="65"/>
      <c r="K241" s="87"/>
      <c r="L241" s="88"/>
    </row>
    <row r="242" spans="6:12" ht="12.5">
      <c r="F242" s="86"/>
      <c r="G242" s="86"/>
      <c r="H242" s="86"/>
      <c r="I242" s="65"/>
      <c r="J242" s="65"/>
      <c r="K242" s="87"/>
      <c r="L242" s="88"/>
    </row>
    <row r="243" spans="6:12" ht="12.5">
      <c r="F243" s="86"/>
      <c r="G243" s="86"/>
      <c r="H243" s="86"/>
      <c r="I243" s="65"/>
      <c r="J243" s="65"/>
      <c r="K243" s="87"/>
      <c r="L243" s="88"/>
    </row>
    <row r="244" spans="6:12" ht="12.5">
      <c r="F244" s="86"/>
      <c r="G244" s="86"/>
      <c r="H244" s="86"/>
      <c r="I244" s="65"/>
      <c r="J244" s="65"/>
      <c r="K244" s="87"/>
      <c r="L244" s="88"/>
    </row>
    <row r="245" spans="6:12" ht="12.5">
      <c r="F245" s="86"/>
      <c r="G245" s="86"/>
      <c r="H245" s="86"/>
      <c r="I245" s="65"/>
      <c r="J245" s="65"/>
      <c r="K245" s="87"/>
      <c r="L245" s="88"/>
    </row>
    <row r="246" spans="6:12" ht="12.5">
      <c r="F246" s="86"/>
      <c r="G246" s="86"/>
      <c r="H246" s="86"/>
      <c r="I246" s="65"/>
      <c r="J246" s="65"/>
      <c r="K246" s="87"/>
      <c r="L246" s="88"/>
    </row>
    <row r="247" spans="6:12" ht="12.5">
      <c r="F247" s="86"/>
      <c r="G247" s="86"/>
      <c r="H247" s="86"/>
      <c r="I247" s="65"/>
      <c r="J247" s="65"/>
      <c r="K247" s="87"/>
      <c r="L247" s="88"/>
    </row>
    <row r="248" spans="6:12" ht="12.5">
      <c r="F248" s="86"/>
      <c r="G248" s="86"/>
      <c r="H248" s="86"/>
      <c r="I248" s="65"/>
      <c r="J248" s="65"/>
      <c r="K248" s="87"/>
      <c r="L248" s="88"/>
    </row>
    <row r="249" spans="6:12" ht="12.5">
      <c r="F249" s="86"/>
      <c r="G249" s="86"/>
      <c r="H249" s="86"/>
      <c r="I249" s="65"/>
      <c r="J249" s="65"/>
      <c r="K249" s="87"/>
      <c r="L249" s="88"/>
    </row>
    <row r="250" spans="6:12" ht="12.5">
      <c r="F250" s="86"/>
      <c r="G250" s="86"/>
      <c r="H250" s="86"/>
      <c r="I250" s="65"/>
      <c r="J250" s="65"/>
      <c r="K250" s="87"/>
      <c r="L250" s="88"/>
    </row>
    <row r="251" spans="6:12" ht="12.5">
      <c r="F251" s="86"/>
      <c r="G251" s="86"/>
      <c r="H251" s="86"/>
      <c r="I251" s="65"/>
      <c r="J251" s="65"/>
      <c r="K251" s="87"/>
      <c r="L251" s="88"/>
    </row>
    <row r="252" spans="6:12" ht="12.5">
      <c r="F252" s="86"/>
      <c r="G252" s="86"/>
      <c r="H252" s="86"/>
      <c r="I252" s="65"/>
      <c r="J252" s="65"/>
      <c r="K252" s="87"/>
      <c r="L252" s="88"/>
    </row>
    <row r="253" spans="6:12" ht="12.5">
      <c r="F253" s="86"/>
      <c r="G253" s="86"/>
      <c r="H253" s="86"/>
      <c r="I253" s="65"/>
      <c r="J253" s="65"/>
      <c r="K253" s="87"/>
      <c r="L253" s="88"/>
    </row>
    <row r="254" spans="6:12" ht="12.5">
      <c r="F254" s="86"/>
      <c r="G254" s="86"/>
      <c r="H254" s="86"/>
      <c r="I254" s="65"/>
      <c r="J254" s="65"/>
      <c r="K254" s="87"/>
      <c r="L254" s="88"/>
    </row>
    <row r="255" spans="6:12" ht="12.5">
      <c r="F255" s="86"/>
      <c r="G255" s="86"/>
      <c r="H255" s="86"/>
      <c r="I255" s="65"/>
      <c r="J255" s="65"/>
      <c r="K255" s="87"/>
      <c r="L255" s="88"/>
    </row>
    <row r="256" spans="6:12" ht="12.5">
      <c r="F256" s="86"/>
      <c r="G256" s="86"/>
      <c r="H256" s="86"/>
      <c r="I256" s="65"/>
      <c r="J256" s="65"/>
      <c r="K256" s="87"/>
      <c r="L256" s="88"/>
    </row>
    <row r="257" spans="6:12" ht="12.5">
      <c r="F257" s="86"/>
      <c r="G257" s="86"/>
      <c r="H257" s="86"/>
      <c r="I257" s="65"/>
      <c r="J257" s="65"/>
      <c r="K257" s="87"/>
      <c r="L257" s="88"/>
    </row>
    <row r="258" spans="6:12" ht="12.5">
      <c r="F258" s="86"/>
      <c r="G258" s="86"/>
      <c r="H258" s="86"/>
      <c r="I258" s="65"/>
      <c r="J258" s="65"/>
      <c r="K258" s="87"/>
      <c r="L258" s="88"/>
    </row>
    <row r="259" spans="6:12" ht="12.5">
      <c r="F259" s="86"/>
      <c r="G259" s="86"/>
      <c r="H259" s="86"/>
      <c r="I259" s="65"/>
      <c r="J259" s="65"/>
      <c r="K259" s="87"/>
      <c r="L259" s="88"/>
    </row>
    <row r="260" spans="6:12" ht="12.5">
      <c r="F260" s="86"/>
      <c r="G260" s="86"/>
      <c r="H260" s="86"/>
      <c r="I260" s="65"/>
      <c r="J260" s="65"/>
      <c r="K260" s="87"/>
      <c r="L260" s="88"/>
    </row>
    <row r="261" spans="6:12" ht="12.5">
      <c r="F261" s="86"/>
      <c r="G261" s="86"/>
      <c r="H261" s="86"/>
      <c r="I261" s="65"/>
      <c r="J261" s="65"/>
      <c r="K261" s="87"/>
      <c r="L261" s="88"/>
    </row>
    <row r="262" spans="6:12" ht="12.5">
      <c r="F262" s="86"/>
      <c r="G262" s="86"/>
      <c r="H262" s="86"/>
      <c r="I262" s="65"/>
      <c r="J262" s="65"/>
      <c r="K262" s="87"/>
      <c r="L262" s="88"/>
    </row>
    <row r="263" spans="6:12" ht="12.5">
      <c r="F263" s="86"/>
      <c r="G263" s="86"/>
      <c r="H263" s="86"/>
      <c r="I263" s="65"/>
      <c r="J263" s="65"/>
      <c r="K263" s="87"/>
      <c r="L263" s="88"/>
    </row>
    <row r="264" spans="6:12" ht="12.5">
      <c r="F264" s="86"/>
      <c r="G264" s="86"/>
      <c r="H264" s="86"/>
      <c r="I264" s="65"/>
      <c r="J264" s="65"/>
      <c r="K264" s="87"/>
      <c r="L264" s="88"/>
    </row>
    <row r="265" spans="6:12" ht="12.5">
      <c r="F265" s="86"/>
      <c r="G265" s="86"/>
      <c r="H265" s="86"/>
      <c r="I265" s="65"/>
      <c r="J265" s="65"/>
      <c r="K265" s="87"/>
      <c r="L265" s="88"/>
    </row>
    <row r="266" spans="6:12" ht="12.5">
      <c r="F266" s="86"/>
      <c r="G266" s="86"/>
      <c r="H266" s="86"/>
      <c r="I266" s="65"/>
      <c r="J266" s="65"/>
      <c r="K266" s="87"/>
      <c r="L266" s="88"/>
    </row>
    <row r="267" spans="6:12" ht="12.5">
      <c r="F267" s="86"/>
      <c r="G267" s="86"/>
      <c r="H267" s="86"/>
      <c r="I267" s="65"/>
      <c r="J267" s="65"/>
      <c r="K267" s="87"/>
      <c r="L267" s="88"/>
    </row>
    <row r="268" spans="6:12" ht="12.5">
      <c r="F268" s="86"/>
      <c r="G268" s="86"/>
      <c r="H268" s="86"/>
      <c r="I268" s="65"/>
      <c r="J268" s="65"/>
      <c r="K268" s="87"/>
      <c r="L268" s="88"/>
    </row>
    <row r="269" spans="6:12" ht="12.5">
      <c r="F269" s="86"/>
      <c r="G269" s="86"/>
      <c r="H269" s="86"/>
      <c r="I269" s="65"/>
      <c r="J269" s="65"/>
      <c r="K269" s="87"/>
      <c r="L269" s="88"/>
    </row>
    <row r="270" spans="6:12" ht="12.5">
      <c r="F270" s="86"/>
      <c r="G270" s="86"/>
      <c r="H270" s="86"/>
      <c r="I270" s="65"/>
      <c r="J270" s="65"/>
      <c r="K270" s="87"/>
      <c r="L270" s="88"/>
    </row>
    <row r="271" spans="6:12" ht="12.5">
      <c r="F271" s="86"/>
      <c r="G271" s="86"/>
      <c r="H271" s="86"/>
      <c r="I271" s="65"/>
      <c r="J271" s="65"/>
      <c r="K271" s="87"/>
      <c r="L271" s="88"/>
    </row>
    <row r="272" spans="6:12" ht="12.5">
      <c r="F272" s="86"/>
      <c r="G272" s="86"/>
      <c r="H272" s="86"/>
      <c r="I272" s="65"/>
      <c r="J272" s="65"/>
      <c r="K272" s="87"/>
      <c r="L272" s="88"/>
    </row>
    <row r="273" spans="6:12" ht="12.5">
      <c r="F273" s="86"/>
      <c r="G273" s="86"/>
      <c r="H273" s="86"/>
      <c r="I273" s="65"/>
      <c r="J273" s="65"/>
      <c r="K273" s="87"/>
      <c r="L273" s="88"/>
    </row>
    <row r="274" spans="6:12" ht="12.5">
      <c r="F274" s="86"/>
      <c r="G274" s="86"/>
      <c r="H274" s="86"/>
      <c r="I274" s="65"/>
      <c r="J274" s="65"/>
      <c r="K274" s="87"/>
      <c r="L274" s="88"/>
    </row>
    <row r="275" spans="6:12" ht="12.5">
      <c r="F275" s="86"/>
      <c r="G275" s="86"/>
      <c r="H275" s="86"/>
      <c r="I275" s="65"/>
      <c r="J275" s="65"/>
      <c r="K275" s="87"/>
      <c r="L275" s="88"/>
    </row>
    <row r="276" spans="6:12" ht="12.5">
      <c r="F276" s="86"/>
      <c r="G276" s="86"/>
      <c r="H276" s="86"/>
      <c r="I276" s="65"/>
      <c r="J276" s="65"/>
      <c r="K276" s="87"/>
      <c r="L276" s="88"/>
    </row>
    <row r="277" spans="6:12" ht="12.5">
      <c r="F277" s="86"/>
      <c r="G277" s="86"/>
      <c r="H277" s="86"/>
      <c r="I277" s="65"/>
      <c r="J277" s="65"/>
      <c r="K277" s="87"/>
      <c r="L277" s="88"/>
    </row>
    <row r="278" spans="6:12" ht="12.5">
      <c r="F278" s="86"/>
      <c r="G278" s="86"/>
      <c r="H278" s="86"/>
      <c r="I278" s="65"/>
      <c r="J278" s="65"/>
      <c r="K278" s="87"/>
      <c r="L278" s="88"/>
    </row>
    <row r="279" spans="6:12" ht="12.5">
      <c r="F279" s="86"/>
      <c r="G279" s="86"/>
      <c r="H279" s="86"/>
      <c r="I279" s="65"/>
      <c r="J279" s="65"/>
      <c r="K279" s="87"/>
      <c r="L279" s="88"/>
    </row>
    <row r="280" spans="6:12" ht="12.5">
      <c r="F280" s="86"/>
      <c r="G280" s="86"/>
      <c r="H280" s="86"/>
      <c r="I280" s="65"/>
      <c r="J280" s="65"/>
      <c r="K280" s="87"/>
      <c r="L280" s="88"/>
    </row>
    <row r="281" spans="6:12" ht="12.5">
      <c r="F281" s="86"/>
      <c r="G281" s="86"/>
      <c r="H281" s="86"/>
      <c r="I281" s="65"/>
      <c r="J281" s="65"/>
      <c r="K281" s="87"/>
      <c r="L281" s="88"/>
    </row>
    <row r="282" spans="6:12" ht="12.5">
      <c r="F282" s="86"/>
      <c r="G282" s="86"/>
      <c r="H282" s="86"/>
      <c r="I282" s="65"/>
      <c r="J282" s="65"/>
      <c r="K282" s="87"/>
      <c r="L282" s="88"/>
    </row>
    <row r="283" spans="6:12" ht="12.5">
      <c r="F283" s="86"/>
      <c r="G283" s="86"/>
      <c r="H283" s="86"/>
      <c r="I283" s="65"/>
      <c r="J283" s="65"/>
      <c r="K283" s="87"/>
      <c r="L283" s="88"/>
    </row>
    <row r="284" spans="6:12" ht="12.5">
      <c r="F284" s="86"/>
      <c r="G284" s="86"/>
      <c r="H284" s="86"/>
      <c r="I284" s="65"/>
      <c r="J284" s="65"/>
      <c r="K284" s="87"/>
      <c r="L284" s="88"/>
    </row>
    <row r="285" spans="6:12" ht="12.5">
      <c r="F285" s="86"/>
      <c r="G285" s="86"/>
      <c r="H285" s="86"/>
      <c r="I285" s="65"/>
      <c r="J285" s="65"/>
      <c r="K285" s="87"/>
      <c r="L285" s="88"/>
    </row>
    <row r="286" spans="6:12" ht="12.5">
      <c r="F286" s="86"/>
      <c r="G286" s="86"/>
      <c r="H286" s="86"/>
      <c r="I286" s="65"/>
      <c r="J286" s="65"/>
      <c r="K286" s="87"/>
      <c r="L286" s="88"/>
    </row>
    <row r="287" spans="6:12" ht="12.5">
      <c r="F287" s="86"/>
      <c r="G287" s="86"/>
      <c r="H287" s="86"/>
      <c r="I287" s="65"/>
      <c r="J287" s="65"/>
      <c r="K287" s="87"/>
      <c r="L287" s="88"/>
    </row>
    <row r="288" spans="6:12" ht="12.5">
      <c r="F288" s="86"/>
      <c r="G288" s="86"/>
      <c r="H288" s="86"/>
      <c r="I288" s="65"/>
      <c r="J288" s="65"/>
      <c r="K288" s="87"/>
      <c r="L288" s="88"/>
    </row>
    <row r="289" spans="6:12" ht="12.5">
      <c r="F289" s="86"/>
      <c r="G289" s="86"/>
      <c r="H289" s="86"/>
      <c r="I289" s="65"/>
      <c r="J289" s="65"/>
      <c r="K289" s="87"/>
      <c r="L289" s="88"/>
    </row>
    <row r="290" spans="6:12" ht="12.5">
      <c r="F290" s="86"/>
      <c r="G290" s="86"/>
      <c r="H290" s="86"/>
      <c r="I290" s="65"/>
      <c r="J290" s="65"/>
      <c r="K290" s="87"/>
      <c r="L290" s="88"/>
    </row>
    <row r="291" spans="6:12" ht="12.5">
      <c r="F291" s="86"/>
      <c r="G291" s="86"/>
      <c r="H291" s="86"/>
      <c r="I291" s="65"/>
      <c r="J291" s="65"/>
      <c r="K291" s="87"/>
      <c r="L291" s="88"/>
    </row>
    <row r="292" spans="6:12" ht="12.5">
      <c r="F292" s="86"/>
      <c r="G292" s="86"/>
      <c r="H292" s="86"/>
      <c r="I292" s="65"/>
      <c r="J292" s="65"/>
      <c r="K292" s="87"/>
      <c r="L292" s="88"/>
    </row>
    <row r="293" spans="6:12" ht="12.5">
      <c r="F293" s="86"/>
      <c r="G293" s="86"/>
      <c r="H293" s="86"/>
      <c r="I293" s="65"/>
      <c r="J293" s="65"/>
      <c r="K293" s="87"/>
      <c r="L293" s="88"/>
    </row>
    <row r="294" spans="6:12" ht="12.5">
      <c r="F294" s="86"/>
      <c r="G294" s="86"/>
      <c r="H294" s="86"/>
      <c r="I294" s="65"/>
      <c r="J294" s="65"/>
      <c r="K294" s="87"/>
      <c r="L294" s="88"/>
    </row>
    <row r="295" spans="6:12" ht="12.5">
      <c r="F295" s="86"/>
      <c r="G295" s="86"/>
      <c r="H295" s="86"/>
      <c r="I295" s="65"/>
      <c r="J295" s="65"/>
      <c r="K295" s="87"/>
      <c r="L295" s="88"/>
    </row>
    <row r="296" spans="6:12" ht="12.5">
      <c r="F296" s="86"/>
      <c r="G296" s="86"/>
      <c r="H296" s="86"/>
      <c r="I296" s="65"/>
      <c r="J296" s="65"/>
      <c r="K296" s="87"/>
      <c r="L296" s="88"/>
    </row>
    <row r="297" spans="6:12" ht="12.5">
      <c r="F297" s="86"/>
      <c r="G297" s="86"/>
      <c r="H297" s="86"/>
      <c r="I297" s="65"/>
      <c r="J297" s="65"/>
      <c r="K297" s="87"/>
      <c r="L297" s="88"/>
    </row>
    <row r="298" spans="6:12" ht="12.5">
      <c r="F298" s="86"/>
      <c r="G298" s="86"/>
      <c r="H298" s="86"/>
      <c r="I298" s="65"/>
      <c r="J298" s="65"/>
      <c r="K298" s="87"/>
      <c r="L298" s="88"/>
    </row>
    <row r="299" spans="6:12" ht="12.5">
      <c r="F299" s="86"/>
      <c r="G299" s="86"/>
      <c r="H299" s="86"/>
      <c r="I299" s="65"/>
      <c r="J299" s="65"/>
      <c r="K299" s="87"/>
      <c r="L299" s="88"/>
    </row>
    <row r="300" spans="6:12" ht="12.5">
      <c r="F300" s="86"/>
      <c r="G300" s="86"/>
      <c r="H300" s="86"/>
      <c r="I300" s="65"/>
      <c r="J300" s="65"/>
      <c r="K300" s="87"/>
      <c r="L300" s="88"/>
    </row>
    <row r="301" spans="6:12" ht="12.5">
      <c r="F301" s="86"/>
      <c r="G301" s="86"/>
      <c r="H301" s="86"/>
      <c r="I301" s="65"/>
      <c r="J301" s="65"/>
      <c r="K301" s="87"/>
      <c r="L301" s="88"/>
    </row>
    <row r="302" spans="6:12" ht="12.5">
      <c r="F302" s="86"/>
      <c r="G302" s="86"/>
      <c r="H302" s="86"/>
      <c r="I302" s="65"/>
      <c r="J302" s="65"/>
      <c r="K302" s="87"/>
      <c r="L302" s="88"/>
    </row>
    <row r="303" spans="6:12" ht="12.5">
      <c r="F303" s="86"/>
      <c r="G303" s="86"/>
      <c r="H303" s="86"/>
      <c r="I303" s="65"/>
      <c r="J303" s="65"/>
      <c r="K303" s="87"/>
      <c r="L303" s="88"/>
    </row>
    <row r="304" spans="6:12" ht="12.5">
      <c r="F304" s="86"/>
      <c r="G304" s="86"/>
      <c r="H304" s="86"/>
      <c r="I304" s="65"/>
      <c r="J304" s="65"/>
      <c r="K304" s="87"/>
      <c r="L304" s="88"/>
    </row>
    <row r="305" spans="6:12" ht="12.5">
      <c r="F305" s="86"/>
      <c r="G305" s="86"/>
      <c r="H305" s="86"/>
      <c r="I305" s="65"/>
      <c r="J305" s="65"/>
      <c r="K305" s="87"/>
      <c r="L305" s="88"/>
    </row>
    <row r="306" spans="6:12" ht="12.5">
      <c r="F306" s="86"/>
      <c r="G306" s="86"/>
      <c r="H306" s="86"/>
      <c r="I306" s="65"/>
      <c r="J306" s="65"/>
      <c r="K306" s="87"/>
      <c r="L306" s="88"/>
    </row>
    <row r="307" spans="6:12" ht="12.5">
      <c r="F307" s="86"/>
      <c r="G307" s="86"/>
      <c r="H307" s="86"/>
      <c r="I307" s="65"/>
      <c r="J307" s="65"/>
      <c r="K307" s="87"/>
      <c r="L307" s="88"/>
    </row>
    <row r="308" spans="6:12" ht="12.5">
      <c r="F308" s="86"/>
      <c r="G308" s="86"/>
      <c r="H308" s="86"/>
      <c r="I308" s="65"/>
      <c r="J308" s="65"/>
      <c r="K308" s="87"/>
      <c r="L308" s="88"/>
    </row>
    <row r="309" spans="6:12" ht="12.5">
      <c r="F309" s="86"/>
      <c r="G309" s="86"/>
      <c r="H309" s="86"/>
      <c r="I309" s="65"/>
      <c r="J309" s="65"/>
      <c r="K309" s="87"/>
      <c r="L309" s="88"/>
    </row>
    <row r="310" spans="6:12" ht="12.5">
      <c r="F310" s="86"/>
      <c r="G310" s="86"/>
      <c r="H310" s="86"/>
      <c r="I310" s="65"/>
      <c r="J310" s="65"/>
      <c r="K310" s="87"/>
      <c r="L310" s="88"/>
    </row>
    <row r="311" spans="6:12" ht="12.5">
      <c r="F311" s="86"/>
      <c r="G311" s="86"/>
      <c r="H311" s="86"/>
      <c r="I311" s="65"/>
      <c r="J311" s="65"/>
      <c r="K311" s="87"/>
      <c r="L311" s="88"/>
    </row>
    <row r="312" spans="6:12" ht="12.5">
      <c r="F312" s="86"/>
      <c r="G312" s="86"/>
      <c r="H312" s="86"/>
      <c r="I312" s="65"/>
      <c r="J312" s="65"/>
      <c r="K312" s="87"/>
      <c r="L312" s="88"/>
    </row>
    <row r="313" spans="6:12" ht="12.5">
      <c r="F313" s="86"/>
      <c r="G313" s="86"/>
      <c r="H313" s="86"/>
      <c r="I313" s="65"/>
      <c r="J313" s="65"/>
      <c r="K313" s="87"/>
      <c r="L313" s="88"/>
    </row>
    <row r="314" spans="6:12" ht="12.5">
      <c r="F314" s="86"/>
      <c r="G314" s="86"/>
      <c r="H314" s="86"/>
      <c r="I314" s="65"/>
      <c r="J314" s="65"/>
      <c r="K314" s="87"/>
      <c r="L314" s="88"/>
    </row>
    <row r="315" spans="6:12" ht="12.5">
      <c r="F315" s="86"/>
      <c r="G315" s="86"/>
      <c r="H315" s="86"/>
      <c r="I315" s="65"/>
      <c r="J315" s="65"/>
      <c r="K315" s="87"/>
      <c r="L315" s="88"/>
    </row>
    <row r="316" spans="6:12" ht="12.5">
      <c r="F316" s="86"/>
      <c r="G316" s="86"/>
      <c r="H316" s="86"/>
      <c r="I316" s="65"/>
      <c r="J316" s="65"/>
      <c r="K316" s="87"/>
      <c r="L316" s="88"/>
    </row>
    <row r="317" spans="6:12" ht="12.5">
      <c r="F317" s="86"/>
      <c r="G317" s="86"/>
      <c r="H317" s="86"/>
      <c r="I317" s="65"/>
      <c r="J317" s="65"/>
      <c r="K317" s="87"/>
      <c r="L317" s="88"/>
    </row>
    <row r="318" spans="6:12" ht="12.5">
      <c r="F318" s="86"/>
      <c r="G318" s="86"/>
      <c r="H318" s="86"/>
      <c r="I318" s="65"/>
      <c r="J318" s="65"/>
      <c r="K318" s="87"/>
      <c r="L318" s="88"/>
    </row>
    <row r="319" spans="6:12" ht="12.5">
      <c r="F319" s="86"/>
      <c r="G319" s="86"/>
      <c r="H319" s="86"/>
      <c r="I319" s="65"/>
      <c r="J319" s="65"/>
      <c r="K319" s="87"/>
      <c r="L319" s="88"/>
    </row>
    <row r="320" spans="6:12" ht="12.5">
      <c r="F320" s="86"/>
      <c r="G320" s="86"/>
      <c r="H320" s="86"/>
      <c r="I320" s="65"/>
      <c r="J320" s="65"/>
      <c r="K320" s="87"/>
      <c r="L320" s="88"/>
    </row>
    <row r="321" spans="6:12" ht="12.5">
      <c r="F321" s="86"/>
      <c r="G321" s="86"/>
      <c r="H321" s="86"/>
      <c r="I321" s="65"/>
      <c r="J321" s="65"/>
      <c r="K321" s="87"/>
      <c r="L321" s="88"/>
    </row>
    <row r="322" spans="6:12" ht="12.5">
      <c r="F322" s="86"/>
      <c r="G322" s="86"/>
      <c r="H322" s="86"/>
      <c r="I322" s="65"/>
      <c r="J322" s="65"/>
      <c r="K322" s="87"/>
      <c r="L322" s="88"/>
    </row>
    <row r="323" spans="6:12" ht="12.5">
      <c r="F323" s="86"/>
      <c r="G323" s="86"/>
      <c r="H323" s="86"/>
      <c r="I323" s="65"/>
      <c r="J323" s="65"/>
      <c r="K323" s="87"/>
      <c r="L323" s="88"/>
    </row>
    <row r="324" spans="6:12" ht="12.5">
      <c r="F324" s="86"/>
      <c r="G324" s="86"/>
      <c r="H324" s="86"/>
      <c r="I324" s="65"/>
      <c r="J324" s="65"/>
      <c r="K324" s="87"/>
      <c r="L324" s="88"/>
    </row>
    <row r="325" spans="6:12" ht="12.5">
      <c r="F325" s="86"/>
      <c r="G325" s="86"/>
      <c r="H325" s="86"/>
      <c r="I325" s="65"/>
      <c r="J325" s="65"/>
      <c r="K325" s="87"/>
      <c r="L325" s="88"/>
    </row>
    <row r="326" spans="6:12" ht="12.5">
      <c r="F326" s="86"/>
      <c r="G326" s="86"/>
      <c r="H326" s="86"/>
      <c r="I326" s="65"/>
      <c r="J326" s="65"/>
      <c r="K326" s="87"/>
      <c r="L326" s="88"/>
    </row>
    <row r="327" spans="6:12" ht="12.5">
      <c r="F327" s="86"/>
      <c r="G327" s="86"/>
      <c r="H327" s="86"/>
      <c r="I327" s="65"/>
      <c r="J327" s="65"/>
      <c r="K327" s="87"/>
      <c r="L327" s="88"/>
    </row>
    <row r="328" spans="6:12" ht="12.5">
      <c r="F328" s="86"/>
      <c r="G328" s="86"/>
      <c r="H328" s="86"/>
      <c r="I328" s="65"/>
      <c r="J328" s="65"/>
      <c r="K328" s="87"/>
      <c r="L328" s="88"/>
    </row>
    <row r="329" spans="6:12" ht="12.5">
      <c r="F329" s="86"/>
      <c r="G329" s="86"/>
      <c r="H329" s="86"/>
      <c r="I329" s="65"/>
      <c r="J329" s="65"/>
      <c r="K329" s="87"/>
      <c r="L329" s="88"/>
    </row>
    <row r="330" spans="6:12" ht="12.5">
      <c r="F330" s="86"/>
      <c r="G330" s="86"/>
      <c r="H330" s="86"/>
      <c r="I330" s="65"/>
      <c r="J330" s="65"/>
      <c r="K330" s="87"/>
      <c r="L330" s="88"/>
    </row>
    <row r="331" spans="6:12" ht="12.5">
      <c r="F331" s="86"/>
      <c r="G331" s="86"/>
      <c r="H331" s="86"/>
      <c r="I331" s="65"/>
      <c r="J331" s="65"/>
      <c r="K331" s="87"/>
      <c r="L331" s="88"/>
    </row>
    <row r="332" spans="6:12" ht="12.5">
      <c r="F332" s="86"/>
      <c r="G332" s="86"/>
      <c r="H332" s="86"/>
      <c r="I332" s="65"/>
      <c r="J332" s="65"/>
      <c r="K332" s="87"/>
      <c r="L332" s="88"/>
    </row>
    <row r="333" spans="6:12" ht="12.5">
      <c r="F333" s="86"/>
      <c r="G333" s="86"/>
      <c r="H333" s="86"/>
      <c r="I333" s="65"/>
      <c r="J333" s="65"/>
      <c r="K333" s="87"/>
      <c r="L333" s="88"/>
    </row>
    <row r="334" spans="6:12" ht="12.5">
      <c r="F334" s="86"/>
      <c r="G334" s="86"/>
      <c r="H334" s="86"/>
      <c r="I334" s="65"/>
      <c r="J334" s="65"/>
      <c r="K334" s="87"/>
      <c r="L334" s="88"/>
    </row>
    <row r="335" spans="6:12" ht="12.5">
      <c r="F335" s="86"/>
      <c r="G335" s="86"/>
      <c r="H335" s="86"/>
      <c r="I335" s="65"/>
      <c r="J335" s="65"/>
      <c r="K335" s="87"/>
      <c r="L335" s="88"/>
    </row>
    <row r="336" spans="6:12" ht="12.5">
      <c r="F336" s="86"/>
      <c r="G336" s="86"/>
      <c r="H336" s="86"/>
      <c r="I336" s="65"/>
      <c r="J336" s="65"/>
      <c r="K336" s="87"/>
      <c r="L336" s="88"/>
    </row>
    <row r="337" spans="6:12" ht="12.5">
      <c r="F337" s="86"/>
      <c r="G337" s="86"/>
      <c r="H337" s="86"/>
      <c r="I337" s="65"/>
      <c r="J337" s="65"/>
      <c r="K337" s="87"/>
      <c r="L337" s="88"/>
    </row>
    <row r="338" spans="6:12" ht="12.5">
      <c r="F338" s="86"/>
      <c r="G338" s="86"/>
      <c r="H338" s="86"/>
      <c r="I338" s="65"/>
      <c r="J338" s="65"/>
      <c r="K338" s="87"/>
      <c r="L338" s="88"/>
    </row>
    <row r="339" spans="6:12" ht="12.5">
      <c r="F339" s="86"/>
      <c r="G339" s="86"/>
      <c r="H339" s="86"/>
      <c r="I339" s="65"/>
      <c r="J339" s="65"/>
      <c r="K339" s="87"/>
      <c r="L339" s="88"/>
    </row>
    <row r="340" spans="6:12" ht="12.5">
      <c r="F340" s="86"/>
      <c r="G340" s="86"/>
      <c r="H340" s="86"/>
      <c r="I340" s="65"/>
      <c r="J340" s="65"/>
      <c r="K340" s="87"/>
      <c r="L340" s="88"/>
    </row>
    <row r="341" spans="6:12" ht="12.5">
      <c r="F341" s="86"/>
      <c r="G341" s="86"/>
      <c r="H341" s="86"/>
      <c r="I341" s="65"/>
      <c r="J341" s="65"/>
      <c r="K341" s="87"/>
      <c r="L341" s="88"/>
    </row>
    <row r="342" spans="6:12" ht="12.5">
      <c r="F342" s="86"/>
      <c r="G342" s="86"/>
      <c r="H342" s="86"/>
      <c r="I342" s="65"/>
      <c r="J342" s="65"/>
      <c r="K342" s="87"/>
      <c r="L342" s="88"/>
    </row>
    <row r="343" spans="6:12" ht="12.5">
      <c r="F343" s="86"/>
      <c r="G343" s="86"/>
      <c r="H343" s="86"/>
      <c r="I343" s="65"/>
      <c r="J343" s="65"/>
      <c r="K343" s="87"/>
      <c r="L343" s="88"/>
    </row>
    <row r="344" spans="6:12" ht="12.5">
      <c r="F344" s="86"/>
      <c r="G344" s="86"/>
      <c r="H344" s="86"/>
      <c r="I344" s="65"/>
      <c r="J344" s="65"/>
      <c r="K344" s="87"/>
      <c r="L344" s="88"/>
    </row>
    <row r="345" spans="6:12" ht="12.5">
      <c r="F345" s="86"/>
      <c r="G345" s="86"/>
      <c r="H345" s="86"/>
      <c r="I345" s="65"/>
      <c r="J345" s="65"/>
      <c r="K345" s="87"/>
      <c r="L345" s="88"/>
    </row>
    <row r="346" spans="6:12" ht="12.5">
      <c r="F346" s="86"/>
      <c r="G346" s="86"/>
      <c r="H346" s="86"/>
      <c r="I346" s="65"/>
      <c r="J346" s="65"/>
      <c r="K346" s="87"/>
      <c r="L346" s="88"/>
    </row>
    <row r="347" spans="6:12" ht="12.5">
      <c r="F347" s="86"/>
      <c r="G347" s="86"/>
      <c r="H347" s="86"/>
      <c r="I347" s="65"/>
      <c r="J347" s="65"/>
      <c r="K347" s="87"/>
      <c r="L347" s="88"/>
    </row>
    <row r="348" spans="6:12" ht="12.5">
      <c r="F348" s="86"/>
      <c r="G348" s="86"/>
      <c r="H348" s="86"/>
      <c r="I348" s="65"/>
      <c r="J348" s="65"/>
      <c r="K348" s="87"/>
      <c r="L348" s="88"/>
    </row>
    <row r="349" spans="6:12" ht="12.5">
      <c r="F349" s="86"/>
      <c r="G349" s="86"/>
      <c r="H349" s="86"/>
      <c r="I349" s="65"/>
      <c r="J349" s="65"/>
      <c r="K349" s="87"/>
      <c r="L349" s="88"/>
    </row>
    <row r="350" spans="6:12" ht="12.5">
      <c r="F350" s="86"/>
      <c r="G350" s="86"/>
      <c r="H350" s="86"/>
      <c r="I350" s="65"/>
      <c r="J350" s="65"/>
      <c r="K350" s="87"/>
      <c r="L350" s="88"/>
    </row>
    <row r="351" spans="6:12" ht="12.5">
      <c r="F351" s="86"/>
      <c r="G351" s="86"/>
      <c r="H351" s="86"/>
      <c r="I351" s="65"/>
      <c r="J351" s="65"/>
      <c r="K351" s="87"/>
      <c r="L351" s="88"/>
    </row>
    <row r="352" spans="6:12" ht="12.5">
      <c r="F352" s="86"/>
      <c r="G352" s="86"/>
      <c r="H352" s="86"/>
      <c r="I352" s="65"/>
      <c r="J352" s="65"/>
      <c r="K352" s="87"/>
      <c r="L352" s="88"/>
    </row>
    <row r="353" spans="6:12" ht="12.5">
      <c r="F353" s="86"/>
      <c r="G353" s="86"/>
      <c r="H353" s="86"/>
      <c r="I353" s="65"/>
      <c r="J353" s="65"/>
      <c r="K353" s="87"/>
      <c r="L353" s="88"/>
    </row>
    <row r="354" spans="6:12" ht="12.5">
      <c r="F354" s="86"/>
      <c r="G354" s="86"/>
      <c r="H354" s="86"/>
      <c r="I354" s="65"/>
      <c r="J354" s="65"/>
      <c r="K354" s="87"/>
      <c r="L354" s="88"/>
    </row>
    <row r="355" spans="6:12" ht="12.5">
      <c r="F355" s="86"/>
      <c r="G355" s="86"/>
      <c r="H355" s="86"/>
      <c r="I355" s="65"/>
      <c r="J355" s="65"/>
      <c r="K355" s="87"/>
      <c r="L355" s="88"/>
    </row>
    <row r="356" spans="6:12" ht="12.5">
      <c r="F356" s="86"/>
      <c r="G356" s="86"/>
      <c r="H356" s="86"/>
      <c r="I356" s="65"/>
      <c r="J356" s="65"/>
      <c r="K356" s="87"/>
      <c r="L356" s="88"/>
    </row>
    <row r="357" spans="6:12" ht="12.5">
      <c r="F357" s="86"/>
      <c r="G357" s="86"/>
      <c r="H357" s="86"/>
      <c r="I357" s="65"/>
      <c r="J357" s="65"/>
      <c r="K357" s="87"/>
      <c r="L357" s="88"/>
    </row>
    <row r="358" spans="6:12" ht="12.5">
      <c r="F358" s="86"/>
      <c r="G358" s="86"/>
      <c r="H358" s="86"/>
      <c r="I358" s="65"/>
      <c r="J358" s="65"/>
      <c r="K358" s="87"/>
      <c r="L358" s="88"/>
    </row>
    <row r="359" spans="6:12" ht="12.5">
      <c r="F359" s="86"/>
      <c r="G359" s="86"/>
      <c r="H359" s="86"/>
      <c r="I359" s="65"/>
      <c r="J359" s="65"/>
      <c r="K359" s="87"/>
      <c r="L359" s="88"/>
    </row>
    <row r="360" spans="6:12" ht="12.5">
      <c r="F360" s="86"/>
      <c r="G360" s="86"/>
      <c r="H360" s="86"/>
      <c r="I360" s="65"/>
      <c r="J360" s="65"/>
      <c r="K360" s="87"/>
      <c r="L360" s="88"/>
    </row>
    <row r="361" spans="6:12" ht="12.5">
      <c r="F361" s="86"/>
      <c r="G361" s="86"/>
      <c r="H361" s="86"/>
      <c r="I361" s="65"/>
      <c r="J361" s="65"/>
      <c r="K361" s="87"/>
      <c r="L361" s="88"/>
    </row>
    <row r="362" spans="6:12" ht="12.5">
      <c r="F362" s="86"/>
      <c r="G362" s="86"/>
      <c r="H362" s="86"/>
      <c r="I362" s="65"/>
      <c r="J362" s="65"/>
      <c r="K362" s="87"/>
      <c r="L362" s="88"/>
    </row>
    <row r="363" spans="6:12" ht="12.5">
      <c r="F363" s="86"/>
      <c r="G363" s="86"/>
      <c r="H363" s="86"/>
      <c r="I363" s="65"/>
      <c r="J363" s="65"/>
      <c r="K363" s="87"/>
      <c r="L363" s="88"/>
    </row>
    <row r="364" spans="6:12" ht="12.5">
      <c r="F364" s="86"/>
      <c r="G364" s="86"/>
      <c r="H364" s="86"/>
      <c r="I364" s="65"/>
      <c r="J364" s="65"/>
      <c r="K364" s="87"/>
      <c r="L364" s="88"/>
    </row>
    <row r="365" spans="6:12" ht="12.5">
      <c r="F365" s="86"/>
      <c r="G365" s="86"/>
      <c r="H365" s="86"/>
      <c r="I365" s="65"/>
      <c r="J365" s="65"/>
      <c r="K365" s="87"/>
      <c r="L365" s="88"/>
    </row>
    <row r="366" spans="6:12" ht="12.5">
      <c r="F366" s="86"/>
      <c r="G366" s="86"/>
      <c r="H366" s="86"/>
      <c r="I366" s="65"/>
      <c r="J366" s="65"/>
      <c r="K366" s="87"/>
      <c r="L366" s="88"/>
    </row>
    <row r="367" spans="6:12" ht="12.5">
      <c r="F367" s="86"/>
      <c r="G367" s="86"/>
      <c r="H367" s="86"/>
      <c r="I367" s="65"/>
      <c r="J367" s="65"/>
      <c r="K367" s="87"/>
      <c r="L367" s="88"/>
    </row>
    <row r="368" spans="6:12" ht="12.5">
      <c r="F368" s="86"/>
      <c r="G368" s="86"/>
      <c r="H368" s="86"/>
      <c r="I368" s="65"/>
      <c r="J368" s="65"/>
      <c r="K368" s="87"/>
      <c r="L368" s="88"/>
    </row>
    <row r="369" spans="6:12" ht="12.5">
      <c r="F369" s="86"/>
      <c r="G369" s="86"/>
      <c r="H369" s="86"/>
      <c r="I369" s="65"/>
      <c r="J369" s="65"/>
      <c r="K369" s="87"/>
      <c r="L369" s="88"/>
    </row>
    <row r="370" spans="6:12" ht="12.5">
      <c r="F370" s="86"/>
      <c r="G370" s="86"/>
      <c r="H370" s="86"/>
      <c r="I370" s="65"/>
      <c r="J370" s="65"/>
      <c r="K370" s="87"/>
      <c r="L370" s="88"/>
    </row>
    <row r="371" spans="6:12" ht="12.5">
      <c r="F371" s="86"/>
      <c r="G371" s="86"/>
      <c r="H371" s="86"/>
      <c r="I371" s="65"/>
      <c r="J371" s="65"/>
      <c r="K371" s="87"/>
      <c r="L371" s="88"/>
    </row>
    <row r="372" spans="6:12" ht="12.5">
      <c r="F372" s="86"/>
      <c r="G372" s="86"/>
      <c r="H372" s="86"/>
      <c r="I372" s="65"/>
      <c r="J372" s="65"/>
      <c r="K372" s="87"/>
      <c r="L372" s="88"/>
    </row>
    <row r="373" spans="6:12" ht="12.5">
      <c r="F373" s="86"/>
      <c r="G373" s="86"/>
      <c r="H373" s="86"/>
      <c r="I373" s="65"/>
      <c r="J373" s="65"/>
      <c r="K373" s="87"/>
      <c r="L373" s="88"/>
    </row>
    <row r="374" spans="6:12" ht="12.5">
      <c r="F374" s="86"/>
      <c r="G374" s="86"/>
      <c r="H374" s="86"/>
      <c r="I374" s="65"/>
      <c r="J374" s="65"/>
      <c r="K374" s="87"/>
      <c r="L374" s="88"/>
    </row>
    <row r="375" spans="6:12" ht="12.5">
      <c r="F375" s="86"/>
      <c r="G375" s="86"/>
      <c r="H375" s="86"/>
      <c r="I375" s="65"/>
      <c r="J375" s="65"/>
      <c r="K375" s="87"/>
      <c r="L375" s="88"/>
    </row>
    <row r="376" spans="6:12" ht="12.5">
      <c r="F376" s="86"/>
      <c r="G376" s="86"/>
      <c r="H376" s="86"/>
      <c r="I376" s="65"/>
      <c r="J376" s="65"/>
      <c r="K376" s="87"/>
      <c r="L376" s="88"/>
    </row>
    <row r="377" spans="6:12" ht="12.5">
      <c r="F377" s="86"/>
      <c r="G377" s="86"/>
      <c r="H377" s="86"/>
      <c r="I377" s="65"/>
      <c r="J377" s="65"/>
      <c r="K377" s="87"/>
      <c r="L377" s="88"/>
    </row>
    <row r="378" spans="6:12" ht="12.5">
      <c r="F378" s="86"/>
      <c r="G378" s="86"/>
      <c r="H378" s="86"/>
      <c r="I378" s="65"/>
      <c r="J378" s="65"/>
      <c r="K378" s="87"/>
      <c r="L378" s="88"/>
    </row>
    <row r="379" spans="6:12" ht="12.5">
      <c r="F379" s="86"/>
      <c r="G379" s="86"/>
      <c r="H379" s="86"/>
      <c r="I379" s="65"/>
      <c r="J379" s="65"/>
      <c r="K379" s="87"/>
      <c r="L379" s="88"/>
    </row>
    <row r="380" spans="6:12" ht="12.5">
      <c r="F380" s="86"/>
      <c r="G380" s="86"/>
      <c r="H380" s="86"/>
      <c r="I380" s="65"/>
      <c r="J380" s="65"/>
      <c r="K380" s="87"/>
      <c r="L380" s="88"/>
    </row>
    <row r="381" spans="6:12" ht="12.5">
      <c r="F381" s="86"/>
      <c r="G381" s="86"/>
      <c r="H381" s="86"/>
      <c r="I381" s="65"/>
      <c r="J381" s="65"/>
      <c r="K381" s="87"/>
      <c r="L381" s="88"/>
    </row>
    <row r="382" spans="6:12" ht="12.5">
      <c r="F382" s="86"/>
      <c r="G382" s="86"/>
      <c r="H382" s="86"/>
      <c r="I382" s="65"/>
      <c r="J382" s="65"/>
      <c r="K382" s="87"/>
      <c r="L382" s="88"/>
    </row>
    <row r="383" spans="6:12" ht="12.5">
      <c r="F383" s="86"/>
      <c r="G383" s="86"/>
      <c r="H383" s="86"/>
      <c r="I383" s="65"/>
      <c r="J383" s="65"/>
      <c r="K383" s="87"/>
      <c r="L383" s="88"/>
    </row>
    <row r="384" spans="6:12" ht="12.5">
      <c r="F384" s="86"/>
      <c r="G384" s="86"/>
      <c r="H384" s="86"/>
      <c r="I384" s="65"/>
      <c r="J384" s="65"/>
      <c r="K384" s="87"/>
      <c r="L384" s="88"/>
    </row>
    <row r="385" spans="6:12" ht="12.5">
      <c r="F385" s="86"/>
      <c r="G385" s="86"/>
      <c r="H385" s="86"/>
      <c r="I385" s="65"/>
      <c r="J385" s="65"/>
      <c r="K385" s="87"/>
      <c r="L385" s="88"/>
    </row>
    <row r="386" spans="6:12" ht="12.5">
      <c r="F386" s="86"/>
      <c r="G386" s="86"/>
      <c r="H386" s="86"/>
      <c r="I386" s="65"/>
      <c r="J386" s="65"/>
      <c r="K386" s="87"/>
      <c r="L386" s="88"/>
    </row>
    <row r="387" spans="6:12" ht="12.5">
      <c r="F387" s="86"/>
      <c r="G387" s="86"/>
      <c r="H387" s="86"/>
      <c r="I387" s="65"/>
      <c r="J387" s="65"/>
      <c r="K387" s="87"/>
      <c r="L387" s="88"/>
    </row>
    <row r="388" spans="6:12" ht="12.5">
      <c r="F388" s="86"/>
      <c r="G388" s="86"/>
      <c r="H388" s="86"/>
      <c r="I388" s="65"/>
      <c r="J388" s="65"/>
      <c r="K388" s="87"/>
      <c r="L388" s="88"/>
    </row>
    <row r="389" spans="6:12" ht="12.5">
      <c r="F389" s="86"/>
      <c r="G389" s="86"/>
      <c r="H389" s="86"/>
      <c r="I389" s="65"/>
      <c r="J389" s="65"/>
      <c r="K389" s="87"/>
      <c r="L389" s="88"/>
    </row>
    <row r="390" spans="6:12" ht="12.5">
      <c r="F390" s="86"/>
      <c r="G390" s="86"/>
      <c r="H390" s="86"/>
      <c r="I390" s="65"/>
      <c r="J390" s="65"/>
      <c r="K390" s="87"/>
      <c r="L390" s="88"/>
    </row>
    <row r="391" spans="6:12" ht="12.5">
      <c r="F391" s="86"/>
      <c r="G391" s="86"/>
      <c r="H391" s="86"/>
      <c r="I391" s="65"/>
      <c r="J391" s="65"/>
      <c r="K391" s="87"/>
      <c r="L391" s="88"/>
    </row>
    <row r="392" spans="6:12" ht="12.5">
      <c r="F392" s="86"/>
      <c r="G392" s="86"/>
      <c r="H392" s="86"/>
      <c r="I392" s="65"/>
      <c r="J392" s="65"/>
      <c r="K392" s="87"/>
      <c r="L392" s="88"/>
    </row>
    <row r="393" spans="6:12" ht="12.5">
      <c r="F393" s="86"/>
      <c r="G393" s="86"/>
      <c r="H393" s="86"/>
      <c r="I393" s="65"/>
      <c r="J393" s="65"/>
      <c r="K393" s="87"/>
      <c r="L393" s="88"/>
    </row>
    <row r="394" spans="6:12" ht="12.5">
      <c r="F394" s="86"/>
      <c r="G394" s="86"/>
      <c r="H394" s="86"/>
      <c r="I394" s="65"/>
      <c r="J394" s="65"/>
      <c r="K394" s="87"/>
      <c r="L394" s="88"/>
    </row>
    <row r="395" spans="6:12" ht="12.5">
      <c r="F395" s="86"/>
      <c r="G395" s="86"/>
      <c r="H395" s="86"/>
      <c r="I395" s="65"/>
      <c r="J395" s="65"/>
      <c r="K395" s="87"/>
      <c r="L395" s="88"/>
    </row>
    <row r="396" spans="6:12" ht="12.5">
      <c r="F396" s="86"/>
      <c r="G396" s="86"/>
      <c r="H396" s="86"/>
      <c r="I396" s="65"/>
      <c r="J396" s="65"/>
      <c r="K396" s="87"/>
      <c r="L396" s="88"/>
    </row>
    <row r="397" spans="6:12" ht="12.5">
      <c r="F397" s="86"/>
      <c r="G397" s="86"/>
      <c r="H397" s="86"/>
      <c r="I397" s="65"/>
      <c r="J397" s="65"/>
      <c r="K397" s="87"/>
      <c r="L397" s="88"/>
    </row>
    <row r="398" spans="6:12" ht="12.5">
      <c r="F398" s="86"/>
      <c r="G398" s="86"/>
      <c r="H398" s="86"/>
      <c r="I398" s="65"/>
      <c r="J398" s="65"/>
      <c r="K398" s="87"/>
      <c r="L398" s="88"/>
    </row>
    <row r="399" spans="6:12" ht="12.5">
      <c r="F399" s="86"/>
      <c r="G399" s="86"/>
      <c r="H399" s="86"/>
      <c r="I399" s="65"/>
      <c r="J399" s="65"/>
      <c r="K399" s="87"/>
      <c r="L399" s="88"/>
    </row>
    <row r="400" spans="6:12" ht="12.5">
      <c r="F400" s="86"/>
      <c r="G400" s="86"/>
      <c r="H400" s="86"/>
      <c r="I400" s="65"/>
      <c r="J400" s="65"/>
      <c r="K400" s="87"/>
      <c r="L400" s="88"/>
    </row>
    <row r="401" spans="6:12" ht="12.5">
      <c r="F401" s="86"/>
      <c r="G401" s="86"/>
      <c r="H401" s="86"/>
      <c r="I401" s="65"/>
      <c r="J401" s="65"/>
      <c r="K401" s="87"/>
      <c r="L401" s="88"/>
    </row>
    <row r="402" spans="6:12" ht="12.5">
      <c r="F402" s="86"/>
      <c r="G402" s="86"/>
      <c r="H402" s="86"/>
      <c r="I402" s="65"/>
      <c r="J402" s="65"/>
      <c r="K402" s="87"/>
      <c r="L402" s="88"/>
    </row>
    <row r="403" spans="6:12" ht="12.5">
      <c r="F403" s="86"/>
      <c r="G403" s="86"/>
      <c r="H403" s="86"/>
      <c r="I403" s="65"/>
      <c r="J403" s="65"/>
      <c r="K403" s="87"/>
      <c r="L403" s="88"/>
    </row>
    <row r="404" spans="6:12" ht="12.5">
      <c r="F404" s="86"/>
      <c r="G404" s="86"/>
      <c r="H404" s="86"/>
      <c r="I404" s="65"/>
      <c r="J404" s="65"/>
      <c r="K404" s="87"/>
      <c r="L404" s="88"/>
    </row>
    <row r="405" spans="6:12" ht="12.5">
      <c r="F405" s="86"/>
      <c r="G405" s="86"/>
      <c r="H405" s="86"/>
      <c r="I405" s="65"/>
      <c r="J405" s="65"/>
      <c r="K405" s="87"/>
      <c r="L405" s="88"/>
    </row>
    <row r="406" spans="6:12" ht="12.5">
      <c r="F406" s="86"/>
      <c r="G406" s="86"/>
      <c r="H406" s="86"/>
      <c r="I406" s="65"/>
      <c r="J406" s="65"/>
      <c r="K406" s="87"/>
      <c r="L406" s="88"/>
    </row>
    <row r="407" spans="6:12" ht="12.5">
      <c r="F407" s="86"/>
      <c r="G407" s="86"/>
      <c r="H407" s="86"/>
      <c r="I407" s="65"/>
      <c r="J407" s="65"/>
      <c r="K407" s="87"/>
      <c r="L407" s="88"/>
    </row>
    <row r="408" spans="6:12" ht="12.5">
      <c r="F408" s="86"/>
      <c r="G408" s="86"/>
      <c r="H408" s="86"/>
      <c r="I408" s="65"/>
      <c r="J408" s="65"/>
      <c r="K408" s="87"/>
      <c r="L408" s="88"/>
    </row>
    <row r="409" spans="6:12" ht="12.5">
      <c r="F409" s="86"/>
      <c r="G409" s="86"/>
      <c r="H409" s="86"/>
      <c r="I409" s="65"/>
      <c r="J409" s="65"/>
      <c r="K409" s="87"/>
      <c r="L409" s="88"/>
    </row>
    <row r="410" spans="6:12" ht="12.5">
      <c r="F410" s="86"/>
      <c r="G410" s="86"/>
      <c r="H410" s="86"/>
      <c r="I410" s="65"/>
      <c r="J410" s="65"/>
      <c r="K410" s="87"/>
      <c r="L410" s="88"/>
    </row>
    <row r="411" spans="6:12" ht="12.5">
      <c r="F411" s="86"/>
      <c r="G411" s="86"/>
      <c r="H411" s="86"/>
      <c r="I411" s="65"/>
      <c r="J411" s="65"/>
      <c r="K411" s="87"/>
      <c r="L411" s="88"/>
    </row>
    <row r="412" spans="6:12" ht="12.5">
      <c r="F412" s="86"/>
      <c r="G412" s="86"/>
      <c r="H412" s="86"/>
      <c r="I412" s="65"/>
      <c r="J412" s="65"/>
      <c r="K412" s="87"/>
      <c r="L412" s="88"/>
    </row>
    <row r="413" spans="6:12" ht="12.5">
      <c r="F413" s="86"/>
      <c r="G413" s="86"/>
      <c r="H413" s="86"/>
      <c r="I413" s="65"/>
      <c r="J413" s="65"/>
      <c r="K413" s="87"/>
      <c r="L413" s="88"/>
    </row>
    <row r="414" spans="6:12" ht="12.5">
      <c r="F414" s="86"/>
      <c r="G414" s="86"/>
      <c r="H414" s="86"/>
      <c r="I414" s="65"/>
      <c r="J414" s="65"/>
      <c r="K414" s="87"/>
      <c r="L414" s="88"/>
    </row>
    <row r="415" spans="6:12" ht="12.5">
      <c r="F415" s="86"/>
      <c r="G415" s="86"/>
      <c r="H415" s="86"/>
      <c r="I415" s="65"/>
      <c r="J415" s="65"/>
      <c r="K415" s="87"/>
      <c r="L415" s="88"/>
    </row>
    <row r="416" spans="6:12" ht="12.5">
      <c r="F416" s="86"/>
      <c r="G416" s="86"/>
      <c r="H416" s="86"/>
      <c r="I416" s="65"/>
      <c r="J416" s="65"/>
      <c r="K416" s="87"/>
      <c r="L416" s="88"/>
    </row>
    <row r="417" spans="6:12" ht="12.5">
      <c r="F417" s="86"/>
      <c r="G417" s="86"/>
      <c r="H417" s="86"/>
      <c r="I417" s="65"/>
      <c r="J417" s="65"/>
      <c r="K417" s="87"/>
      <c r="L417" s="88"/>
    </row>
    <row r="418" spans="6:12" ht="12.5">
      <c r="F418" s="86"/>
      <c r="G418" s="86"/>
      <c r="H418" s="86"/>
      <c r="I418" s="65"/>
      <c r="J418" s="65"/>
      <c r="K418" s="87"/>
      <c r="L418" s="88"/>
    </row>
    <row r="419" spans="6:12" ht="12.5">
      <c r="F419" s="86"/>
      <c r="G419" s="86"/>
      <c r="H419" s="86"/>
      <c r="I419" s="65"/>
      <c r="J419" s="65"/>
      <c r="K419" s="87"/>
      <c r="L419" s="88"/>
    </row>
    <row r="420" spans="6:12" ht="12.5">
      <c r="F420" s="86"/>
      <c r="G420" s="86"/>
      <c r="H420" s="86"/>
      <c r="I420" s="65"/>
      <c r="J420" s="65"/>
      <c r="K420" s="87"/>
      <c r="L420" s="88"/>
    </row>
    <row r="421" spans="6:12" ht="12.5">
      <c r="F421" s="86"/>
      <c r="G421" s="86"/>
      <c r="H421" s="86"/>
      <c r="I421" s="65"/>
      <c r="J421" s="65"/>
      <c r="K421" s="87"/>
      <c r="L421" s="88"/>
    </row>
    <row r="422" spans="6:12" ht="12.5">
      <c r="F422" s="86"/>
      <c r="G422" s="86"/>
      <c r="H422" s="86"/>
      <c r="I422" s="65"/>
      <c r="J422" s="65"/>
      <c r="K422" s="87"/>
      <c r="L422" s="88"/>
    </row>
    <row r="423" spans="6:12" ht="12.5">
      <c r="F423" s="86"/>
      <c r="G423" s="86"/>
      <c r="H423" s="86"/>
      <c r="I423" s="65"/>
      <c r="J423" s="65"/>
      <c r="K423" s="87"/>
      <c r="L423" s="88"/>
    </row>
    <row r="424" spans="6:12" ht="12.5">
      <c r="F424" s="86"/>
      <c r="G424" s="86"/>
      <c r="H424" s="86"/>
      <c r="I424" s="65"/>
      <c r="J424" s="65"/>
      <c r="K424" s="87"/>
      <c r="L424" s="88"/>
    </row>
    <row r="425" spans="6:12" ht="12.5">
      <c r="F425" s="86"/>
      <c r="G425" s="86"/>
      <c r="H425" s="86"/>
      <c r="I425" s="65"/>
      <c r="J425" s="65"/>
      <c r="K425" s="87"/>
      <c r="L425" s="88"/>
    </row>
    <row r="426" spans="6:12" ht="12.5">
      <c r="F426" s="86"/>
      <c r="G426" s="86"/>
      <c r="H426" s="86"/>
      <c r="I426" s="65"/>
      <c r="J426" s="65"/>
      <c r="K426" s="87"/>
      <c r="L426" s="88"/>
    </row>
    <row r="427" spans="6:12" ht="12.5">
      <c r="F427" s="86"/>
      <c r="G427" s="86"/>
      <c r="H427" s="86"/>
      <c r="I427" s="65"/>
      <c r="J427" s="65"/>
      <c r="K427" s="87"/>
      <c r="L427" s="88"/>
    </row>
    <row r="428" spans="6:12" ht="12.5">
      <c r="F428" s="86"/>
      <c r="G428" s="86"/>
      <c r="H428" s="86"/>
      <c r="I428" s="65"/>
      <c r="J428" s="65"/>
      <c r="K428" s="87"/>
      <c r="L428" s="88"/>
    </row>
    <row r="429" spans="6:12" ht="12.5">
      <c r="F429" s="86"/>
      <c r="G429" s="86"/>
      <c r="H429" s="86"/>
      <c r="I429" s="65"/>
      <c r="J429" s="65"/>
      <c r="K429" s="87"/>
      <c r="L429" s="88"/>
    </row>
    <row r="430" spans="6:12" ht="12.5">
      <c r="F430" s="86"/>
      <c r="G430" s="86"/>
      <c r="H430" s="86"/>
      <c r="I430" s="65"/>
      <c r="J430" s="65"/>
      <c r="K430" s="87"/>
      <c r="L430" s="88"/>
    </row>
    <row r="431" spans="6:12" ht="12.5">
      <c r="F431" s="86"/>
      <c r="G431" s="86"/>
      <c r="H431" s="86"/>
      <c r="I431" s="65"/>
      <c r="J431" s="65"/>
      <c r="K431" s="87"/>
      <c r="L431" s="88"/>
    </row>
    <row r="432" spans="6:12" ht="12.5">
      <c r="F432" s="86"/>
      <c r="G432" s="86"/>
      <c r="H432" s="86"/>
      <c r="I432" s="65"/>
      <c r="J432" s="65"/>
      <c r="K432" s="87"/>
      <c r="L432" s="88"/>
    </row>
    <row r="433" spans="6:12" ht="12.5">
      <c r="F433" s="86"/>
      <c r="G433" s="86"/>
      <c r="H433" s="86"/>
      <c r="I433" s="65"/>
      <c r="J433" s="65"/>
      <c r="K433" s="87"/>
      <c r="L433" s="88"/>
    </row>
    <row r="434" spans="6:12" ht="12.5">
      <c r="F434" s="86"/>
      <c r="G434" s="86"/>
      <c r="H434" s="86"/>
      <c r="I434" s="65"/>
      <c r="J434" s="65"/>
      <c r="K434" s="87"/>
      <c r="L434" s="88"/>
    </row>
    <row r="435" spans="6:12" ht="12.5">
      <c r="F435" s="86"/>
      <c r="G435" s="86"/>
      <c r="H435" s="86"/>
      <c r="I435" s="65"/>
      <c r="J435" s="65"/>
      <c r="K435" s="87"/>
      <c r="L435" s="88"/>
    </row>
    <row r="436" spans="6:12" ht="12.5">
      <c r="F436" s="86"/>
      <c r="G436" s="86"/>
      <c r="H436" s="86"/>
      <c r="I436" s="65"/>
      <c r="J436" s="65"/>
      <c r="K436" s="87"/>
      <c r="L436" s="88"/>
    </row>
    <row r="437" spans="6:12" ht="12.5">
      <c r="F437" s="86"/>
      <c r="G437" s="86"/>
      <c r="H437" s="86"/>
      <c r="I437" s="65"/>
      <c r="J437" s="65"/>
      <c r="K437" s="87"/>
      <c r="L437" s="88"/>
    </row>
    <row r="438" spans="6:12" ht="12.5">
      <c r="F438" s="86"/>
      <c r="G438" s="86"/>
      <c r="H438" s="86"/>
      <c r="I438" s="65"/>
      <c r="J438" s="65"/>
      <c r="K438" s="87"/>
      <c r="L438" s="88"/>
    </row>
    <row r="439" spans="6:12" ht="12.5">
      <c r="F439" s="86"/>
      <c r="G439" s="86"/>
      <c r="H439" s="86"/>
      <c r="I439" s="65"/>
      <c r="J439" s="65"/>
      <c r="K439" s="87"/>
      <c r="L439" s="88"/>
    </row>
    <row r="440" spans="6:12" ht="12.5">
      <c r="F440" s="86"/>
      <c r="G440" s="86"/>
      <c r="H440" s="86"/>
      <c r="I440" s="65"/>
      <c r="J440" s="65"/>
      <c r="K440" s="87"/>
      <c r="L440" s="88"/>
    </row>
    <row r="441" spans="6:12" ht="12.5">
      <c r="F441" s="86"/>
      <c r="G441" s="86"/>
      <c r="H441" s="86"/>
      <c r="I441" s="65"/>
      <c r="J441" s="65"/>
      <c r="K441" s="87"/>
      <c r="L441" s="88"/>
    </row>
    <row r="442" spans="6:12" ht="12.5">
      <c r="F442" s="86"/>
      <c r="G442" s="86"/>
      <c r="H442" s="86"/>
      <c r="I442" s="65"/>
      <c r="J442" s="65"/>
      <c r="K442" s="87"/>
      <c r="L442" s="88"/>
    </row>
    <row r="443" spans="6:12" ht="12.5">
      <c r="F443" s="86"/>
      <c r="G443" s="86"/>
      <c r="H443" s="86"/>
      <c r="I443" s="65"/>
      <c r="J443" s="65"/>
      <c r="K443" s="87"/>
      <c r="L443" s="88"/>
    </row>
    <row r="444" spans="6:12" ht="12.5">
      <c r="F444" s="86"/>
      <c r="G444" s="86"/>
      <c r="H444" s="86"/>
      <c r="I444" s="65"/>
      <c r="J444" s="65"/>
      <c r="K444" s="87"/>
      <c r="L444" s="88"/>
    </row>
    <row r="445" spans="6:12" ht="12.5">
      <c r="F445" s="86"/>
      <c r="G445" s="86"/>
      <c r="H445" s="86"/>
      <c r="I445" s="65"/>
      <c r="J445" s="65"/>
      <c r="K445" s="87"/>
      <c r="L445" s="88"/>
    </row>
    <row r="446" spans="6:12" ht="12.5">
      <c r="F446" s="86"/>
      <c r="G446" s="86"/>
      <c r="H446" s="86"/>
      <c r="I446" s="65"/>
      <c r="J446" s="65"/>
      <c r="K446" s="87"/>
      <c r="L446" s="88"/>
    </row>
    <row r="447" spans="6:12" ht="12.5">
      <c r="F447" s="86"/>
      <c r="G447" s="86"/>
      <c r="H447" s="86"/>
      <c r="I447" s="65"/>
      <c r="J447" s="65"/>
      <c r="K447" s="87"/>
      <c r="L447" s="88"/>
    </row>
    <row r="448" spans="6:12" ht="12.5">
      <c r="F448" s="86"/>
      <c r="G448" s="86"/>
      <c r="H448" s="86"/>
      <c r="I448" s="65"/>
      <c r="J448" s="65"/>
      <c r="K448" s="87"/>
      <c r="L448" s="88"/>
    </row>
    <row r="449" spans="6:12" ht="12.5">
      <c r="F449" s="86"/>
      <c r="G449" s="86"/>
      <c r="H449" s="86"/>
      <c r="I449" s="65"/>
      <c r="J449" s="65"/>
      <c r="K449" s="87"/>
      <c r="L449" s="88"/>
    </row>
    <row r="450" spans="6:12" ht="12.5">
      <c r="F450" s="86"/>
      <c r="G450" s="86"/>
      <c r="H450" s="86"/>
      <c r="I450" s="65"/>
      <c r="J450" s="65"/>
      <c r="K450" s="87"/>
      <c r="L450" s="88"/>
    </row>
    <row r="451" spans="6:12" ht="12.5">
      <c r="F451" s="86"/>
      <c r="G451" s="86"/>
      <c r="H451" s="86"/>
      <c r="I451" s="65"/>
      <c r="J451" s="65"/>
      <c r="K451" s="87"/>
      <c r="L451" s="88"/>
    </row>
    <row r="452" spans="6:12" ht="12.5">
      <c r="F452" s="86"/>
      <c r="G452" s="86"/>
      <c r="H452" s="86"/>
      <c r="I452" s="65"/>
      <c r="J452" s="65"/>
      <c r="K452" s="87"/>
      <c r="L452" s="88"/>
    </row>
    <row r="453" spans="6:12" ht="12.5">
      <c r="F453" s="86"/>
      <c r="G453" s="86"/>
      <c r="H453" s="86"/>
      <c r="I453" s="65"/>
      <c r="J453" s="65"/>
      <c r="K453" s="87"/>
      <c r="L453" s="88"/>
    </row>
    <row r="454" spans="6:12" ht="12.5">
      <c r="F454" s="86"/>
      <c r="G454" s="86"/>
      <c r="H454" s="86"/>
      <c r="I454" s="65"/>
      <c r="J454" s="65"/>
      <c r="K454" s="87"/>
      <c r="L454" s="88"/>
    </row>
    <row r="455" spans="6:12" ht="12.5">
      <c r="F455" s="86"/>
      <c r="G455" s="86"/>
      <c r="H455" s="86"/>
      <c r="I455" s="65"/>
      <c r="J455" s="65"/>
      <c r="K455" s="87"/>
      <c r="L455" s="88"/>
    </row>
    <row r="456" spans="6:12" ht="12.5">
      <c r="F456" s="86"/>
      <c r="G456" s="86"/>
      <c r="H456" s="86"/>
      <c r="I456" s="65"/>
      <c r="J456" s="65"/>
      <c r="K456" s="87"/>
      <c r="L456" s="88"/>
    </row>
    <row r="457" spans="6:12" ht="12.5">
      <c r="F457" s="86"/>
      <c r="G457" s="86"/>
      <c r="H457" s="86"/>
      <c r="I457" s="65"/>
      <c r="J457" s="65"/>
      <c r="K457" s="87"/>
      <c r="L457" s="88"/>
    </row>
    <row r="458" spans="6:12" ht="12.5">
      <c r="F458" s="86"/>
      <c r="G458" s="86"/>
      <c r="H458" s="86"/>
      <c r="I458" s="65"/>
      <c r="J458" s="65"/>
      <c r="K458" s="87"/>
      <c r="L458" s="88"/>
    </row>
    <row r="459" spans="6:12" ht="12.5">
      <c r="F459" s="86"/>
      <c r="G459" s="86"/>
      <c r="H459" s="86"/>
      <c r="I459" s="65"/>
      <c r="J459" s="65"/>
      <c r="K459" s="87"/>
      <c r="L459" s="88"/>
    </row>
    <row r="460" spans="6:12" ht="12.5">
      <c r="F460" s="86"/>
      <c r="G460" s="86"/>
      <c r="H460" s="86"/>
      <c r="I460" s="65"/>
      <c r="J460" s="65"/>
      <c r="K460" s="87"/>
      <c r="L460" s="88"/>
    </row>
    <row r="461" spans="6:12" ht="12.5">
      <c r="F461" s="86"/>
      <c r="G461" s="86"/>
      <c r="H461" s="86"/>
      <c r="I461" s="65"/>
      <c r="J461" s="65"/>
      <c r="K461" s="87"/>
      <c r="L461" s="88"/>
    </row>
    <row r="462" spans="6:12" ht="12.5">
      <c r="F462" s="86"/>
      <c r="G462" s="86"/>
      <c r="H462" s="86"/>
      <c r="I462" s="65"/>
      <c r="J462" s="65"/>
      <c r="K462" s="87"/>
      <c r="L462" s="88"/>
    </row>
    <row r="463" spans="6:12" ht="12.5">
      <c r="F463" s="86"/>
      <c r="G463" s="86"/>
      <c r="H463" s="86"/>
      <c r="I463" s="65"/>
      <c r="J463" s="65"/>
      <c r="K463" s="87"/>
      <c r="L463" s="88"/>
    </row>
    <row r="464" spans="6:12" ht="12.5">
      <c r="F464" s="86"/>
      <c r="G464" s="86"/>
      <c r="H464" s="86"/>
      <c r="I464" s="65"/>
      <c r="J464" s="65"/>
      <c r="K464" s="87"/>
      <c r="L464" s="88"/>
    </row>
    <row r="465" spans="6:12" ht="12.5">
      <c r="F465" s="86"/>
      <c r="G465" s="86"/>
      <c r="H465" s="86"/>
      <c r="I465" s="65"/>
      <c r="J465" s="65"/>
      <c r="K465" s="87"/>
      <c r="L465" s="88"/>
    </row>
    <row r="466" spans="6:12" ht="12.5">
      <c r="F466" s="86"/>
      <c r="G466" s="86"/>
      <c r="H466" s="86"/>
      <c r="I466" s="65"/>
      <c r="J466" s="65"/>
      <c r="K466" s="87"/>
      <c r="L466" s="88"/>
    </row>
    <row r="467" spans="6:12" ht="12.5">
      <c r="F467" s="86"/>
      <c r="G467" s="86"/>
      <c r="H467" s="86"/>
      <c r="I467" s="65"/>
      <c r="J467" s="65"/>
      <c r="K467" s="87"/>
      <c r="L467" s="88"/>
    </row>
    <row r="468" spans="6:12" ht="12.5">
      <c r="F468" s="86"/>
      <c r="G468" s="86"/>
      <c r="H468" s="86"/>
      <c r="I468" s="65"/>
      <c r="J468" s="65"/>
      <c r="K468" s="87"/>
      <c r="L468" s="88"/>
    </row>
    <row r="469" spans="6:12" ht="12.5">
      <c r="F469" s="86"/>
      <c r="G469" s="86"/>
      <c r="H469" s="86"/>
      <c r="I469" s="65"/>
      <c r="J469" s="65"/>
      <c r="K469" s="87"/>
      <c r="L469" s="88"/>
    </row>
    <row r="470" spans="6:12" ht="12.5">
      <c r="F470" s="86"/>
      <c r="G470" s="86"/>
      <c r="H470" s="86"/>
      <c r="I470" s="65"/>
      <c r="J470" s="65"/>
      <c r="K470" s="87"/>
      <c r="L470" s="88"/>
    </row>
    <row r="471" spans="6:12" ht="12.5">
      <c r="F471" s="86"/>
      <c r="G471" s="86"/>
      <c r="H471" s="86"/>
      <c r="I471" s="65"/>
      <c r="J471" s="65"/>
      <c r="K471" s="87"/>
      <c r="L471" s="88"/>
    </row>
    <row r="472" spans="6:12" ht="12.5">
      <c r="F472" s="86"/>
      <c r="G472" s="86"/>
      <c r="H472" s="86"/>
      <c r="I472" s="65"/>
      <c r="J472" s="65"/>
      <c r="K472" s="87"/>
      <c r="L472" s="88"/>
    </row>
    <row r="473" spans="6:12" ht="12.5">
      <c r="F473" s="86"/>
      <c r="G473" s="86"/>
      <c r="H473" s="86"/>
      <c r="I473" s="65"/>
      <c r="J473" s="65"/>
      <c r="K473" s="87"/>
      <c r="L473" s="88"/>
    </row>
    <row r="474" spans="6:12" ht="12.5">
      <c r="F474" s="86"/>
      <c r="G474" s="86"/>
      <c r="H474" s="86"/>
      <c r="I474" s="65"/>
      <c r="J474" s="65"/>
      <c r="K474" s="87"/>
      <c r="L474" s="88"/>
    </row>
    <row r="475" spans="6:12" ht="12.5">
      <c r="F475" s="86"/>
      <c r="G475" s="86"/>
      <c r="H475" s="86"/>
      <c r="I475" s="65"/>
      <c r="J475" s="65"/>
      <c r="K475" s="87"/>
      <c r="L475" s="88"/>
    </row>
    <row r="476" spans="6:12" ht="12.5">
      <c r="F476" s="86"/>
      <c r="G476" s="86"/>
      <c r="H476" s="86"/>
      <c r="I476" s="65"/>
      <c r="J476" s="65"/>
      <c r="K476" s="87"/>
      <c r="L476" s="88"/>
    </row>
    <row r="477" spans="6:12" ht="12.5">
      <c r="F477" s="86"/>
      <c r="G477" s="86"/>
      <c r="H477" s="86"/>
      <c r="I477" s="65"/>
      <c r="J477" s="65"/>
      <c r="K477" s="87"/>
      <c r="L477" s="88"/>
    </row>
    <row r="478" spans="6:12" ht="12.5">
      <c r="F478" s="86"/>
      <c r="G478" s="86"/>
      <c r="H478" s="86"/>
      <c r="I478" s="65"/>
      <c r="J478" s="65"/>
      <c r="K478" s="87"/>
      <c r="L478" s="88"/>
    </row>
    <row r="479" spans="6:12" ht="12.5">
      <c r="F479" s="86"/>
      <c r="G479" s="86"/>
      <c r="H479" s="86"/>
      <c r="I479" s="65"/>
      <c r="J479" s="65"/>
      <c r="K479" s="87"/>
      <c r="L479" s="88"/>
    </row>
    <row r="480" spans="6:12" ht="12.5">
      <c r="F480" s="86"/>
      <c r="G480" s="86"/>
      <c r="H480" s="86"/>
      <c r="I480" s="65"/>
      <c r="J480" s="65"/>
      <c r="K480" s="87"/>
      <c r="L480" s="88"/>
    </row>
    <row r="481" spans="6:12" ht="12.5">
      <c r="F481" s="86"/>
      <c r="G481" s="86"/>
      <c r="H481" s="86"/>
      <c r="I481" s="65"/>
      <c r="J481" s="65"/>
      <c r="K481" s="87"/>
      <c r="L481" s="88"/>
    </row>
    <row r="482" spans="6:12" ht="12.5">
      <c r="F482" s="86"/>
      <c r="G482" s="86"/>
      <c r="H482" s="86"/>
      <c r="I482" s="65"/>
      <c r="J482" s="65"/>
      <c r="K482" s="87"/>
      <c r="L482" s="88"/>
    </row>
    <row r="483" spans="6:12" ht="12.5">
      <c r="F483" s="86"/>
      <c r="G483" s="86"/>
      <c r="H483" s="86"/>
      <c r="I483" s="65"/>
      <c r="J483" s="65"/>
      <c r="K483" s="87"/>
      <c r="L483" s="88"/>
    </row>
    <row r="484" spans="6:12" ht="12.5">
      <c r="F484" s="86"/>
      <c r="G484" s="86"/>
      <c r="H484" s="86"/>
      <c r="I484" s="65"/>
      <c r="J484" s="65"/>
      <c r="K484" s="87"/>
      <c r="L484" s="88"/>
    </row>
    <row r="485" spans="6:12" ht="12.5">
      <c r="F485" s="86"/>
      <c r="G485" s="86"/>
      <c r="H485" s="86"/>
      <c r="I485" s="65"/>
      <c r="J485" s="65"/>
      <c r="K485" s="87"/>
      <c r="L485" s="88"/>
    </row>
    <row r="486" spans="6:12" ht="12.5">
      <c r="F486" s="86"/>
      <c r="G486" s="86"/>
      <c r="H486" s="86"/>
      <c r="I486" s="65"/>
      <c r="J486" s="65"/>
      <c r="K486" s="87"/>
      <c r="L486" s="88"/>
    </row>
    <row r="487" spans="6:12" ht="12.5">
      <c r="F487" s="86"/>
      <c r="G487" s="86"/>
      <c r="H487" s="86"/>
      <c r="I487" s="65"/>
      <c r="J487" s="65"/>
      <c r="K487" s="87"/>
      <c r="L487" s="88"/>
    </row>
    <row r="488" spans="6:12" ht="12.5">
      <c r="F488" s="86"/>
      <c r="G488" s="86"/>
      <c r="H488" s="86"/>
      <c r="I488" s="65"/>
      <c r="J488" s="65"/>
      <c r="K488" s="87"/>
      <c r="L488" s="88"/>
    </row>
    <row r="489" spans="6:12" ht="12.5">
      <c r="F489" s="86"/>
      <c r="G489" s="86"/>
      <c r="H489" s="86"/>
      <c r="I489" s="65"/>
      <c r="J489" s="65"/>
      <c r="K489" s="87"/>
      <c r="L489" s="88"/>
    </row>
    <row r="490" spans="6:12" ht="12.5">
      <c r="F490" s="86"/>
      <c r="G490" s="86"/>
      <c r="H490" s="86"/>
      <c r="I490" s="65"/>
      <c r="J490" s="65"/>
      <c r="K490" s="87"/>
      <c r="L490" s="88"/>
    </row>
    <row r="491" spans="6:12" ht="12.5">
      <c r="F491" s="86"/>
      <c r="G491" s="86"/>
      <c r="H491" s="86"/>
      <c r="I491" s="65"/>
      <c r="J491" s="65"/>
      <c r="K491" s="87"/>
      <c r="L491" s="88"/>
    </row>
    <row r="492" spans="6:12" ht="12.5">
      <c r="F492" s="86"/>
      <c r="G492" s="86"/>
      <c r="H492" s="86"/>
      <c r="I492" s="65"/>
      <c r="J492" s="65"/>
      <c r="K492" s="87"/>
      <c r="L492" s="88"/>
    </row>
    <row r="493" spans="6:12" ht="12.5">
      <c r="F493" s="86"/>
      <c r="G493" s="86"/>
      <c r="H493" s="86"/>
      <c r="I493" s="65"/>
      <c r="J493" s="65"/>
      <c r="K493" s="87"/>
      <c r="L493" s="88"/>
    </row>
    <row r="494" spans="6:12" ht="12.5">
      <c r="F494" s="86"/>
      <c r="G494" s="86"/>
      <c r="H494" s="86"/>
      <c r="I494" s="65"/>
      <c r="J494" s="65"/>
      <c r="K494" s="87"/>
      <c r="L494" s="88"/>
    </row>
    <row r="495" spans="6:12" ht="12.5">
      <c r="F495" s="86"/>
      <c r="G495" s="86"/>
      <c r="H495" s="86"/>
      <c r="I495" s="65"/>
      <c r="J495" s="65"/>
      <c r="K495" s="87"/>
      <c r="L495" s="88"/>
    </row>
    <row r="496" spans="6:12" ht="12.5">
      <c r="F496" s="86"/>
      <c r="G496" s="86"/>
      <c r="H496" s="86"/>
      <c r="I496" s="65"/>
      <c r="J496" s="65"/>
      <c r="K496" s="87"/>
      <c r="L496" s="88"/>
    </row>
    <row r="497" spans="6:12" ht="12.5">
      <c r="F497" s="86"/>
      <c r="G497" s="86"/>
      <c r="H497" s="86"/>
      <c r="I497" s="65"/>
      <c r="J497" s="65"/>
      <c r="K497" s="87"/>
      <c r="L497" s="88"/>
    </row>
    <row r="498" spans="6:12" ht="12.5">
      <c r="F498" s="86"/>
      <c r="G498" s="86"/>
      <c r="H498" s="86"/>
      <c r="I498" s="65"/>
      <c r="J498" s="65"/>
      <c r="K498" s="87"/>
      <c r="L498" s="88"/>
    </row>
    <row r="499" spans="6:12" ht="12.5">
      <c r="F499" s="86"/>
      <c r="G499" s="86"/>
      <c r="H499" s="86"/>
      <c r="I499" s="65"/>
      <c r="J499" s="65"/>
      <c r="K499" s="87"/>
      <c r="L499" s="88"/>
    </row>
    <row r="500" spans="6:12" ht="12.5">
      <c r="F500" s="86"/>
      <c r="G500" s="86"/>
      <c r="H500" s="86"/>
      <c r="I500" s="65"/>
      <c r="J500" s="65"/>
      <c r="K500" s="87"/>
      <c r="L500" s="88"/>
    </row>
    <row r="501" spans="6:12" ht="12.5">
      <c r="F501" s="86"/>
      <c r="G501" s="86"/>
      <c r="H501" s="86"/>
      <c r="I501" s="65"/>
      <c r="J501" s="65"/>
      <c r="K501" s="87"/>
      <c r="L501" s="88"/>
    </row>
    <row r="502" spans="6:12" ht="12.5">
      <c r="F502" s="86"/>
      <c r="G502" s="86"/>
      <c r="H502" s="86"/>
      <c r="I502" s="65"/>
      <c r="J502" s="65"/>
      <c r="K502" s="87"/>
      <c r="L502" s="88"/>
    </row>
    <row r="503" spans="6:12" ht="12.5">
      <c r="F503" s="86"/>
      <c r="G503" s="86"/>
      <c r="H503" s="86"/>
      <c r="I503" s="65"/>
      <c r="J503" s="65"/>
      <c r="K503" s="87"/>
      <c r="L503" s="88"/>
    </row>
    <row r="504" spans="6:12" ht="12.5">
      <c r="F504" s="86"/>
      <c r="G504" s="86"/>
      <c r="H504" s="86"/>
      <c r="I504" s="65"/>
      <c r="J504" s="65"/>
      <c r="K504" s="87"/>
      <c r="L504" s="88"/>
    </row>
    <row r="505" spans="6:12" ht="12.5">
      <c r="F505" s="86"/>
      <c r="G505" s="86"/>
      <c r="H505" s="86"/>
      <c r="I505" s="65"/>
      <c r="J505" s="65"/>
      <c r="K505" s="87"/>
      <c r="L505" s="88"/>
    </row>
    <row r="506" spans="6:12" ht="12.5">
      <c r="F506" s="86"/>
      <c r="G506" s="86"/>
      <c r="H506" s="86"/>
      <c r="I506" s="65"/>
      <c r="J506" s="65"/>
      <c r="K506" s="87"/>
      <c r="L506" s="88"/>
    </row>
    <row r="507" spans="6:12" ht="12.5">
      <c r="F507" s="86"/>
      <c r="G507" s="86"/>
      <c r="H507" s="86"/>
      <c r="I507" s="65"/>
      <c r="J507" s="65"/>
      <c r="K507" s="87"/>
      <c r="L507" s="88"/>
    </row>
    <row r="508" spans="6:12" ht="12.5">
      <c r="F508" s="86"/>
      <c r="G508" s="86"/>
      <c r="H508" s="86"/>
      <c r="I508" s="65"/>
      <c r="J508" s="65"/>
      <c r="K508" s="87"/>
      <c r="L508" s="88"/>
    </row>
    <row r="509" spans="6:12" ht="12.5">
      <c r="F509" s="86"/>
      <c r="G509" s="86"/>
      <c r="H509" s="86"/>
      <c r="I509" s="65"/>
      <c r="J509" s="65"/>
      <c r="K509" s="87"/>
      <c r="L509" s="88"/>
    </row>
    <row r="510" spans="6:12" ht="12.5">
      <c r="F510" s="86"/>
      <c r="G510" s="86"/>
      <c r="H510" s="86"/>
      <c r="I510" s="65"/>
      <c r="J510" s="65"/>
      <c r="K510" s="87"/>
      <c r="L510" s="88"/>
    </row>
    <row r="511" spans="6:12" ht="12.5">
      <c r="F511" s="86"/>
      <c r="G511" s="86"/>
      <c r="H511" s="86"/>
      <c r="I511" s="65"/>
      <c r="J511" s="65"/>
      <c r="K511" s="87"/>
      <c r="L511" s="88"/>
    </row>
    <row r="512" spans="6:12" ht="12.5">
      <c r="F512" s="86"/>
      <c r="G512" s="86"/>
      <c r="H512" s="86"/>
      <c r="I512" s="65"/>
      <c r="J512" s="65"/>
      <c r="K512" s="87"/>
      <c r="L512" s="88"/>
    </row>
    <row r="513" spans="6:12" ht="12.5">
      <c r="F513" s="86"/>
      <c r="G513" s="86"/>
      <c r="H513" s="86"/>
      <c r="I513" s="65"/>
      <c r="J513" s="65"/>
      <c r="K513" s="87"/>
      <c r="L513" s="88"/>
    </row>
    <row r="514" spans="6:12" ht="12.5">
      <c r="F514" s="86"/>
      <c r="G514" s="86"/>
      <c r="H514" s="86"/>
      <c r="I514" s="65"/>
      <c r="J514" s="65"/>
      <c r="K514" s="87"/>
      <c r="L514" s="88"/>
    </row>
    <row r="515" spans="6:12" ht="12.5">
      <c r="F515" s="86"/>
      <c r="G515" s="86"/>
      <c r="H515" s="86"/>
      <c r="I515" s="65"/>
      <c r="J515" s="65"/>
      <c r="K515" s="87"/>
      <c r="L515" s="88"/>
    </row>
    <row r="516" spans="6:12" ht="12.5">
      <c r="F516" s="86"/>
      <c r="G516" s="86"/>
      <c r="H516" s="86"/>
      <c r="I516" s="65"/>
      <c r="J516" s="65"/>
      <c r="K516" s="87"/>
      <c r="L516" s="88"/>
    </row>
    <row r="517" spans="6:12" ht="12.5">
      <c r="F517" s="86"/>
      <c r="G517" s="86"/>
      <c r="H517" s="86"/>
      <c r="I517" s="65"/>
      <c r="J517" s="65"/>
      <c r="K517" s="87"/>
      <c r="L517" s="88"/>
    </row>
    <row r="518" spans="6:12" ht="12.5">
      <c r="F518" s="86"/>
      <c r="G518" s="86"/>
      <c r="H518" s="86"/>
      <c r="I518" s="65"/>
      <c r="J518" s="65"/>
      <c r="K518" s="87"/>
      <c r="L518" s="88"/>
    </row>
    <row r="519" spans="6:12" ht="12.5">
      <c r="F519" s="86"/>
      <c r="G519" s="86"/>
      <c r="H519" s="86"/>
      <c r="I519" s="65"/>
      <c r="J519" s="65"/>
      <c r="K519" s="87"/>
      <c r="L519" s="88"/>
    </row>
    <row r="520" spans="6:12" ht="12.5">
      <c r="F520" s="86"/>
      <c r="G520" s="86"/>
      <c r="H520" s="86"/>
      <c r="I520" s="65"/>
      <c r="J520" s="65"/>
      <c r="K520" s="87"/>
      <c r="L520" s="88"/>
    </row>
    <row r="521" spans="6:12" ht="12.5">
      <c r="F521" s="86"/>
      <c r="G521" s="86"/>
      <c r="H521" s="86"/>
      <c r="I521" s="65"/>
      <c r="J521" s="65"/>
      <c r="K521" s="87"/>
      <c r="L521" s="88"/>
    </row>
    <row r="522" spans="6:12" ht="12.5">
      <c r="F522" s="86"/>
      <c r="G522" s="86"/>
      <c r="H522" s="86"/>
      <c r="I522" s="65"/>
      <c r="J522" s="65"/>
      <c r="K522" s="87"/>
      <c r="L522" s="88"/>
    </row>
    <row r="523" spans="6:12" ht="12.5">
      <c r="F523" s="86"/>
      <c r="G523" s="86"/>
      <c r="H523" s="86"/>
      <c r="I523" s="65"/>
      <c r="J523" s="65"/>
      <c r="K523" s="87"/>
      <c r="L523" s="88"/>
    </row>
    <row r="524" spans="6:12" ht="12.5">
      <c r="F524" s="86"/>
      <c r="G524" s="86"/>
      <c r="H524" s="86"/>
      <c r="I524" s="65"/>
      <c r="J524" s="65"/>
      <c r="K524" s="87"/>
      <c r="L524" s="88"/>
    </row>
    <row r="525" spans="6:12" ht="12.5">
      <c r="F525" s="86"/>
      <c r="G525" s="86"/>
      <c r="H525" s="86"/>
      <c r="I525" s="65"/>
      <c r="J525" s="65"/>
      <c r="K525" s="87"/>
      <c r="L525" s="88"/>
    </row>
    <row r="526" spans="6:12" ht="12.5">
      <c r="F526" s="86"/>
      <c r="G526" s="86"/>
      <c r="H526" s="86"/>
      <c r="I526" s="65"/>
      <c r="J526" s="65"/>
      <c r="K526" s="87"/>
      <c r="L526" s="88"/>
    </row>
    <row r="527" spans="6:12" ht="12.5">
      <c r="F527" s="86"/>
      <c r="G527" s="86"/>
      <c r="H527" s="86"/>
      <c r="I527" s="65"/>
      <c r="J527" s="65"/>
      <c r="K527" s="87"/>
      <c r="L527" s="88"/>
    </row>
    <row r="528" spans="6:12" ht="12.5">
      <c r="F528" s="86"/>
      <c r="G528" s="86"/>
      <c r="H528" s="86"/>
      <c r="I528" s="65"/>
      <c r="J528" s="65"/>
      <c r="K528" s="87"/>
      <c r="L528" s="88"/>
    </row>
    <row r="529" spans="6:12" ht="12.5">
      <c r="F529" s="86"/>
      <c r="G529" s="86"/>
      <c r="H529" s="86"/>
      <c r="I529" s="65"/>
      <c r="J529" s="65"/>
      <c r="K529" s="87"/>
      <c r="L529" s="88"/>
    </row>
    <row r="530" spans="6:12" ht="12.5">
      <c r="F530" s="86"/>
      <c r="G530" s="86"/>
      <c r="H530" s="86"/>
      <c r="I530" s="65"/>
      <c r="J530" s="65"/>
      <c r="K530" s="87"/>
      <c r="L530" s="88"/>
    </row>
    <row r="531" spans="6:12" ht="12.5">
      <c r="F531" s="86"/>
      <c r="G531" s="86"/>
      <c r="H531" s="86"/>
      <c r="I531" s="65"/>
      <c r="J531" s="65"/>
      <c r="K531" s="87"/>
      <c r="L531" s="88"/>
    </row>
    <row r="532" spans="6:12" ht="12.5">
      <c r="F532" s="86"/>
      <c r="G532" s="86"/>
      <c r="H532" s="86"/>
      <c r="I532" s="65"/>
      <c r="J532" s="65"/>
      <c r="K532" s="87"/>
      <c r="L532" s="88"/>
    </row>
    <row r="533" spans="6:12" ht="12.5">
      <c r="F533" s="86"/>
      <c r="G533" s="86"/>
      <c r="H533" s="86"/>
      <c r="I533" s="65"/>
      <c r="J533" s="65"/>
      <c r="K533" s="87"/>
      <c r="L533" s="88"/>
    </row>
    <row r="534" spans="6:12" ht="12.5">
      <c r="F534" s="86"/>
      <c r="G534" s="86"/>
      <c r="H534" s="86"/>
      <c r="I534" s="65"/>
      <c r="J534" s="65"/>
      <c r="K534" s="87"/>
      <c r="L534" s="88"/>
    </row>
    <row r="535" spans="6:12" ht="12.5">
      <c r="F535" s="86"/>
      <c r="G535" s="86"/>
      <c r="H535" s="86"/>
      <c r="I535" s="65"/>
      <c r="J535" s="65"/>
      <c r="K535" s="87"/>
      <c r="L535" s="88"/>
    </row>
    <row r="536" spans="6:12" ht="12.5">
      <c r="F536" s="86"/>
      <c r="G536" s="86"/>
      <c r="H536" s="86"/>
      <c r="I536" s="65"/>
      <c r="J536" s="65"/>
      <c r="K536" s="87"/>
      <c r="L536" s="88"/>
    </row>
    <row r="537" spans="6:12" ht="12.5">
      <c r="F537" s="86"/>
      <c r="G537" s="86"/>
      <c r="H537" s="86"/>
      <c r="I537" s="65"/>
      <c r="J537" s="65"/>
      <c r="K537" s="87"/>
      <c r="L537" s="88"/>
    </row>
    <row r="538" spans="6:12" ht="12.5">
      <c r="F538" s="86"/>
      <c r="G538" s="86"/>
      <c r="H538" s="86"/>
      <c r="I538" s="65"/>
      <c r="J538" s="65"/>
      <c r="K538" s="87"/>
      <c r="L538" s="88"/>
    </row>
    <row r="539" spans="6:12" ht="12.5">
      <c r="F539" s="86"/>
      <c r="G539" s="86"/>
      <c r="H539" s="86"/>
      <c r="I539" s="65"/>
      <c r="J539" s="65"/>
      <c r="K539" s="87"/>
      <c r="L539" s="88"/>
    </row>
    <row r="540" spans="6:12" ht="12.5">
      <c r="F540" s="86"/>
      <c r="G540" s="86"/>
      <c r="H540" s="86"/>
      <c r="I540" s="65"/>
      <c r="J540" s="65"/>
      <c r="K540" s="87"/>
      <c r="L540" s="88"/>
    </row>
    <row r="541" spans="6:12" ht="12.5">
      <c r="F541" s="86"/>
      <c r="G541" s="86"/>
      <c r="H541" s="86"/>
      <c r="I541" s="65"/>
      <c r="J541" s="65"/>
      <c r="K541" s="87"/>
      <c r="L541" s="88"/>
    </row>
    <row r="542" spans="6:12" ht="12.5">
      <c r="F542" s="86"/>
      <c r="G542" s="86"/>
      <c r="H542" s="86"/>
      <c r="I542" s="65"/>
      <c r="J542" s="65"/>
      <c r="K542" s="87"/>
      <c r="L542" s="88"/>
    </row>
    <row r="543" spans="6:12" ht="12.5">
      <c r="F543" s="86"/>
      <c r="G543" s="86"/>
      <c r="H543" s="86"/>
      <c r="I543" s="65"/>
      <c r="J543" s="65"/>
      <c r="K543" s="87"/>
      <c r="L543" s="88"/>
    </row>
    <row r="544" spans="6:12" ht="12.5">
      <c r="F544" s="86"/>
      <c r="G544" s="86"/>
      <c r="H544" s="86"/>
      <c r="I544" s="65"/>
      <c r="J544" s="65"/>
      <c r="K544" s="87"/>
      <c r="L544" s="88"/>
    </row>
    <row r="545" spans="6:12" ht="12.5">
      <c r="F545" s="86"/>
      <c r="G545" s="86"/>
      <c r="H545" s="86"/>
      <c r="I545" s="65"/>
      <c r="J545" s="65"/>
      <c r="K545" s="87"/>
      <c r="L545" s="88"/>
    </row>
    <row r="546" spans="6:12" ht="12.5">
      <c r="F546" s="86"/>
      <c r="G546" s="86"/>
      <c r="H546" s="86"/>
      <c r="I546" s="65"/>
      <c r="J546" s="65"/>
      <c r="K546" s="87"/>
      <c r="L546" s="88"/>
    </row>
    <row r="547" spans="6:12" ht="12.5">
      <c r="F547" s="86"/>
      <c r="G547" s="86"/>
      <c r="H547" s="86"/>
      <c r="I547" s="65"/>
      <c r="J547" s="65"/>
      <c r="K547" s="87"/>
      <c r="L547" s="88"/>
    </row>
    <row r="548" spans="6:12" ht="12.5">
      <c r="F548" s="86"/>
      <c r="G548" s="86"/>
      <c r="H548" s="86"/>
      <c r="I548" s="65"/>
      <c r="J548" s="65"/>
      <c r="K548" s="87"/>
      <c r="L548" s="88"/>
    </row>
    <row r="549" spans="6:12" ht="12.5">
      <c r="F549" s="86"/>
      <c r="G549" s="86"/>
      <c r="H549" s="86"/>
      <c r="I549" s="65"/>
      <c r="J549" s="65"/>
      <c r="K549" s="87"/>
      <c r="L549" s="88"/>
    </row>
    <row r="550" spans="6:12" ht="12.5">
      <c r="F550" s="86"/>
      <c r="G550" s="86"/>
      <c r="H550" s="86"/>
      <c r="I550" s="65"/>
      <c r="J550" s="65"/>
      <c r="K550" s="87"/>
      <c r="L550" s="88"/>
    </row>
    <row r="551" spans="6:12" ht="12.5">
      <c r="F551" s="86"/>
      <c r="G551" s="86"/>
      <c r="H551" s="86"/>
      <c r="I551" s="65"/>
      <c r="J551" s="65"/>
      <c r="K551" s="87"/>
      <c r="L551" s="88"/>
    </row>
    <row r="552" spans="6:12" ht="12.5">
      <c r="F552" s="86"/>
      <c r="G552" s="86"/>
      <c r="H552" s="86"/>
      <c r="I552" s="65"/>
      <c r="J552" s="65"/>
      <c r="K552" s="87"/>
      <c r="L552" s="88"/>
    </row>
    <row r="553" spans="6:12" ht="12.5">
      <c r="F553" s="86"/>
      <c r="G553" s="86"/>
      <c r="H553" s="86"/>
      <c r="I553" s="65"/>
      <c r="J553" s="65"/>
      <c r="K553" s="87"/>
      <c r="L553" s="88"/>
    </row>
    <row r="554" spans="6:12" ht="12.5">
      <c r="F554" s="86"/>
      <c r="G554" s="86"/>
      <c r="H554" s="86"/>
      <c r="I554" s="65"/>
      <c r="J554" s="65"/>
      <c r="K554" s="87"/>
      <c r="L554" s="88"/>
    </row>
    <row r="555" spans="6:12" ht="12.5">
      <c r="F555" s="86"/>
      <c r="G555" s="86"/>
      <c r="H555" s="86"/>
      <c r="I555" s="65"/>
      <c r="J555" s="65"/>
      <c r="K555" s="87"/>
      <c r="L555" s="88"/>
    </row>
    <row r="556" spans="6:12" ht="12.5">
      <c r="F556" s="86"/>
      <c r="G556" s="86"/>
      <c r="H556" s="86"/>
      <c r="I556" s="65"/>
      <c r="J556" s="65"/>
      <c r="K556" s="87"/>
      <c r="L556" s="88"/>
    </row>
    <row r="557" spans="6:12" ht="12.5">
      <c r="F557" s="86"/>
      <c r="G557" s="86"/>
      <c r="H557" s="86"/>
      <c r="I557" s="65"/>
      <c r="J557" s="65"/>
      <c r="K557" s="87"/>
      <c r="L557" s="88"/>
    </row>
    <row r="558" spans="6:12" ht="12.5">
      <c r="F558" s="86"/>
      <c r="G558" s="86"/>
      <c r="H558" s="86"/>
      <c r="I558" s="65"/>
      <c r="J558" s="65"/>
      <c r="K558" s="87"/>
      <c r="L558" s="88"/>
    </row>
    <row r="559" spans="6:12" ht="12.5">
      <c r="F559" s="86"/>
      <c r="G559" s="86"/>
      <c r="H559" s="86"/>
      <c r="I559" s="65"/>
      <c r="J559" s="65"/>
      <c r="K559" s="87"/>
      <c r="L559" s="88"/>
    </row>
    <row r="560" spans="6:12" ht="12.5">
      <c r="F560" s="86"/>
      <c r="G560" s="86"/>
      <c r="H560" s="86"/>
      <c r="I560" s="65"/>
      <c r="J560" s="65"/>
      <c r="K560" s="87"/>
      <c r="L560" s="88"/>
    </row>
    <row r="561" spans="6:12" ht="12.5">
      <c r="F561" s="86"/>
      <c r="G561" s="86"/>
      <c r="H561" s="86"/>
      <c r="I561" s="65"/>
      <c r="J561" s="65"/>
      <c r="K561" s="87"/>
      <c r="L561" s="88"/>
    </row>
    <row r="562" spans="6:12" ht="12.5">
      <c r="F562" s="86"/>
      <c r="G562" s="86"/>
      <c r="H562" s="86"/>
      <c r="I562" s="65"/>
      <c r="J562" s="65"/>
      <c r="K562" s="87"/>
      <c r="L562" s="88"/>
    </row>
    <row r="563" spans="6:12" ht="12.5">
      <c r="F563" s="86"/>
      <c r="G563" s="86"/>
      <c r="H563" s="86"/>
      <c r="I563" s="65"/>
      <c r="J563" s="65"/>
      <c r="K563" s="87"/>
      <c r="L563" s="88"/>
    </row>
    <row r="564" spans="6:12" ht="12.5">
      <c r="F564" s="86"/>
      <c r="G564" s="86"/>
      <c r="H564" s="86"/>
      <c r="I564" s="65"/>
      <c r="J564" s="65"/>
      <c r="K564" s="87"/>
      <c r="L564" s="88"/>
    </row>
    <row r="565" spans="6:12" ht="12.5">
      <c r="F565" s="86"/>
      <c r="G565" s="86"/>
      <c r="H565" s="86"/>
      <c r="I565" s="65"/>
      <c r="J565" s="65"/>
      <c r="K565" s="87"/>
      <c r="L565" s="88"/>
    </row>
    <row r="566" spans="6:12" ht="12.5">
      <c r="F566" s="86"/>
      <c r="G566" s="86"/>
      <c r="H566" s="86"/>
      <c r="I566" s="65"/>
      <c r="J566" s="65"/>
      <c r="K566" s="87"/>
      <c r="L566" s="88"/>
    </row>
    <row r="567" spans="6:12" ht="12.5">
      <c r="F567" s="86"/>
      <c r="G567" s="86"/>
      <c r="H567" s="86"/>
      <c r="I567" s="65"/>
      <c r="J567" s="65"/>
      <c r="K567" s="87"/>
      <c r="L567" s="88"/>
    </row>
    <row r="568" spans="6:12" ht="12.5">
      <c r="F568" s="86"/>
      <c r="G568" s="86"/>
      <c r="H568" s="86"/>
      <c r="I568" s="65"/>
      <c r="J568" s="65"/>
      <c r="K568" s="87"/>
      <c r="L568" s="88"/>
    </row>
    <row r="569" spans="6:12" ht="12.5">
      <c r="F569" s="86"/>
      <c r="G569" s="86"/>
      <c r="H569" s="86"/>
      <c r="I569" s="65"/>
      <c r="J569" s="65"/>
      <c r="K569" s="87"/>
      <c r="L569" s="88"/>
    </row>
    <row r="570" spans="6:12" ht="12.5">
      <c r="F570" s="86"/>
      <c r="G570" s="86"/>
      <c r="H570" s="86"/>
      <c r="I570" s="65"/>
      <c r="J570" s="65"/>
      <c r="K570" s="87"/>
      <c r="L570" s="88"/>
    </row>
    <row r="571" spans="6:12" ht="12.5">
      <c r="F571" s="86"/>
      <c r="G571" s="86"/>
      <c r="H571" s="86"/>
      <c r="I571" s="65"/>
      <c r="J571" s="65"/>
      <c r="K571" s="87"/>
      <c r="L571" s="88"/>
    </row>
    <row r="572" spans="6:12" ht="12.5">
      <c r="F572" s="86"/>
      <c r="G572" s="86"/>
      <c r="H572" s="86"/>
      <c r="I572" s="65"/>
      <c r="J572" s="65"/>
      <c r="K572" s="87"/>
      <c r="L572" s="88"/>
    </row>
    <row r="573" spans="6:12" ht="12.5">
      <c r="F573" s="86"/>
      <c r="G573" s="86"/>
      <c r="H573" s="86"/>
      <c r="I573" s="65"/>
      <c r="J573" s="65"/>
      <c r="K573" s="87"/>
      <c r="L573" s="88"/>
    </row>
    <row r="574" spans="6:12" ht="12.5">
      <c r="F574" s="86"/>
      <c r="G574" s="86"/>
      <c r="H574" s="86"/>
      <c r="I574" s="65"/>
      <c r="J574" s="65"/>
      <c r="K574" s="87"/>
      <c r="L574" s="88"/>
    </row>
    <row r="575" spans="6:12" ht="12.5">
      <c r="F575" s="86"/>
      <c r="G575" s="86"/>
      <c r="H575" s="86"/>
      <c r="I575" s="65"/>
      <c r="J575" s="65"/>
      <c r="K575" s="87"/>
      <c r="L575" s="88"/>
    </row>
    <row r="576" spans="6:12" ht="12.5">
      <c r="F576" s="86"/>
      <c r="G576" s="86"/>
      <c r="H576" s="86"/>
      <c r="I576" s="65"/>
      <c r="J576" s="65"/>
      <c r="K576" s="87"/>
      <c r="L576" s="88"/>
    </row>
    <row r="577" spans="6:12" ht="12.5">
      <c r="F577" s="86"/>
      <c r="G577" s="86"/>
      <c r="H577" s="86"/>
      <c r="I577" s="65"/>
      <c r="J577" s="65"/>
      <c r="K577" s="87"/>
      <c r="L577" s="88"/>
    </row>
    <row r="578" spans="6:12" ht="12.5">
      <c r="F578" s="86"/>
      <c r="G578" s="86"/>
      <c r="H578" s="86"/>
      <c r="I578" s="65"/>
      <c r="J578" s="65"/>
      <c r="K578" s="87"/>
      <c r="L578" s="88"/>
    </row>
    <row r="579" spans="6:12" ht="12.5">
      <c r="F579" s="86"/>
      <c r="G579" s="86"/>
      <c r="H579" s="86"/>
      <c r="I579" s="65"/>
      <c r="J579" s="65"/>
      <c r="K579" s="87"/>
      <c r="L579" s="88"/>
    </row>
    <row r="580" spans="6:12" ht="12.5">
      <c r="F580" s="86"/>
      <c r="G580" s="86"/>
      <c r="H580" s="86"/>
      <c r="I580" s="65"/>
      <c r="J580" s="65"/>
      <c r="K580" s="87"/>
      <c r="L580" s="88"/>
    </row>
    <row r="581" spans="6:12" ht="12.5">
      <c r="F581" s="86"/>
      <c r="G581" s="86"/>
      <c r="H581" s="86"/>
      <c r="I581" s="65"/>
      <c r="J581" s="65"/>
      <c r="K581" s="87"/>
      <c r="L581" s="88"/>
    </row>
    <row r="582" spans="6:12" ht="12.5">
      <c r="F582" s="86"/>
      <c r="G582" s="86"/>
      <c r="H582" s="86"/>
      <c r="I582" s="65"/>
      <c r="J582" s="65"/>
      <c r="K582" s="87"/>
      <c r="L582" s="88"/>
    </row>
    <row r="583" spans="6:12" ht="12.5">
      <c r="F583" s="86"/>
      <c r="G583" s="86"/>
      <c r="H583" s="86"/>
      <c r="I583" s="65"/>
      <c r="J583" s="65"/>
      <c r="K583" s="87"/>
      <c r="L583" s="88"/>
    </row>
    <row r="584" spans="6:12" ht="12.5">
      <c r="F584" s="86"/>
      <c r="G584" s="86"/>
      <c r="H584" s="86"/>
      <c r="I584" s="65"/>
      <c r="J584" s="65"/>
      <c r="K584" s="87"/>
      <c r="L584" s="88"/>
    </row>
    <row r="585" spans="6:12" ht="12.5">
      <c r="F585" s="86"/>
      <c r="G585" s="86"/>
      <c r="H585" s="86"/>
      <c r="I585" s="65"/>
      <c r="J585" s="65"/>
      <c r="K585" s="87"/>
      <c r="L585" s="88"/>
    </row>
    <row r="586" spans="6:12" ht="12.5">
      <c r="F586" s="86"/>
      <c r="G586" s="86"/>
      <c r="H586" s="86"/>
      <c r="I586" s="65"/>
      <c r="J586" s="65"/>
      <c r="K586" s="87"/>
      <c r="L586" s="88"/>
    </row>
    <row r="587" spans="6:12" ht="12.5">
      <c r="F587" s="86"/>
      <c r="G587" s="86"/>
      <c r="H587" s="86"/>
      <c r="I587" s="65"/>
      <c r="J587" s="65"/>
      <c r="K587" s="87"/>
      <c r="L587" s="88"/>
    </row>
    <row r="588" spans="6:12" ht="12.5">
      <c r="F588" s="86"/>
      <c r="G588" s="86"/>
      <c r="H588" s="86"/>
      <c r="I588" s="65"/>
      <c r="J588" s="65"/>
      <c r="K588" s="87"/>
      <c r="L588" s="88"/>
    </row>
    <row r="589" spans="6:12" ht="12.5">
      <c r="F589" s="86"/>
      <c r="G589" s="86"/>
      <c r="H589" s="86"/>
      <c r="I589" s="65"/>
      <c r="J589" s="65"/>
      <c r="K589" s="87"/>
      <c r="L589" s="88"/>
    </row>
    <row r="590" spans="6:12" ht="12.5">
      <c r="F590" s="86"/>
      <c r="G590" s="86"/>
      <c r="H590" s="86"/>
      <c r="I590" s="65"/>
      <c r="J590" s="65"/>
      <c r="K590" s="87"/>
      <c r="L590" s="88"/>
    </row>
    <row r="591" spans="6:12" ht="12.5">
      <c r="F591" s="86"/>
      <c r="G591" s="86"/>
      <c r="H591" s="86"/>
      <c r="I591" s="65"/>
      <c r="J591" s="65"/>
      <c r="K591" s="87"/>
      <c r="L591" s="88"/>
    </row>
    <row r="592" spans="6:12" ht="12.5">
      <c r="F592" s="86"/>
      <c r="G592" s="86"/>
      <c r="H592" s="86"/>
      <c r="I592" s="65"/>
      <c r="J592" s="65"/>
      <c r="K592" s="87"/>
      <c r="L592" s="88"/>
    </row>
    <row r="593" spans="6:12" ht="12.5">
      <c r="F593" s="86"/>
      <c r="G593" s="86"/>
      <c r="H593" s="86"/>
      <c r="I593" s="65"/>
      <c r="J593" s="65"/>
      <c r="K593" s="87"/>
      <c r="L593" s="88"/>
    </row>
    <row r="594" spans="6:12" ht="12.5">
      <c r="F594" s="86"/>
      <c r="G594" s="86"/>
      <c r="H594" s="86"/>
      <c r="I594" s="65"/>
      <c r="J594" s="65"/>
      <c r="K594" s="87"/>
      <c r="L594" s="88"/>
    </row>
    <row r="595" spans="6:12" ht="12.5">
      <c r="F595" s="86"/>
      <c r="G595" s="86"/>
      <c r="H595" s="86"/>
      <c r="I595" s="65"/>
      <c r="J595" s="65"/>
      <c r="K595" s="87"/>
      <c r="L595" s="88"/>
    </row>
    <row r="596" spans="6:12" ht="12.5">
      <c r="F596" s="86"/>
      <c r="G596" s="86"/>
      <c r="H596" s="86"/>
      <c r="I596" s="65"/>
      <c r="J596" s="65"/>
      <c r="K596" s="87"/>
      <c r="L596" s="88"/>
    </row>
    <row r="597" spans="6:12" ht="12.5">
      <c r="F597" s="86"/>
      <c r="G597" s="86"/>
      <c r="H597" s="86"/>
      <c r="I597" s="65"/>
      <c r="J597" s="65"/>
      <c r="K597" s="87"/>
      <c r="L597" s="88"/>
    </row>
    <row r="598" spans="6:12" ht="12.5">
      <c r="F598" s="86"/>
      <c r="G598" s="86"/>
      <c r="H598" s="86"/>
      <c r="I598" s="65"/>
      <c r="J598" s="65"/>
      <c r="K598" s="87"/>
      <c r="L598" s="88"/>
    </row>
    <row r="599" spans="6:12" ht="12.5">
      <c r="F599" s="86"/>
      <c r="G599" s="86"/>
      <c r="H599" s="86"/>
      <c r="I599" s="65"/>
      <c r="J599" s="65"/>
      <c r="K599" s="87"/>
      <c r="L599" s="88"/>
    </row>
    <row r="600" spans="6:12" ht="12.5">
      <c r="F600" s="86"/>
      <c r="G600" s="86"/>
      <c r="H600" s="86"/>
      <c r="I600" s="65"/>
      <c r="J600" s="65"/>
      <c r="K600" s="87"/>
      <c r="L600" s="88"/>
    </row>
    <row r="601" spans="6:12" ht="12.5">
      <c r="F601" s="86"/>
      <c r="G601" s="86"/>
      <c r="H601" s="86"/>
      <c r="I601" s="65"/>
      <c r="J601" s="65"/>
      <c r="K601" s="87"/>
      <c r="L601" s="88"/>
    </row>
    <row r="602" spans="6:12" ht="12.5">
      <c r="F602" s="86"/>
      <c r="G602" s="86"/>
      <c r="H602" s="86"/>
      <c r="I602" s="65"/>
      <c r="J602" s="65"/>
      <c r="K602" s="87"/>
      <c r="L602" s="88"/>
    </row>
    <row r="603" spans="6:12" ht="12.5">
      <c r="F603" s="86"/>
      <c r="G603" s="86"/>
      <c r="H603" s="86"/>
      <c r="I603" s="65"/>
      <c r="J603" s="65"/>
      <c r="K603" s="87"/>
      <c r="L603" s="88"/>
    </row>
    <row r="604" spans="6:12" ht="12.5">
      <c r="F604" s="86"/>
      <c r="G604" s="86"/>
      <c r="H604" s="86"/>
      <c r="I604" s="65"/>
      <c r="J604" s="65"/>
      <c r="K604" s="87"/>
      <c r="L604" s="88"/>
    </row>
    <row r="605" spans="6:12" ht="12.5">
      <c r="F605" s="86"/>
      <c r="G605" s="86"/>
      <c r="H605" s="86"/>
      <c r="I605" s="65"/>
      <c r="J605" s="65"/>
      <c r="K605" s="87"/>
      <c r="L605" s="88"/>
    </row>
    <row r="606" spans="6:12" ht="12.5">
      <c r="F606" s="86"/>
      <c r="G606" s="86"/>
      <c r="H606" s="86"/>
      <c r="I606" s="65"/>
      <c r="J606" s="65"/>
      <c r="K606" s="87"/>
      <c r="L606" s="88"/>
    </row>
    <row r="607" spans="6:12" ht="12.5">
      <c r="F607" s="86"/>
      <c r="G607" s="86"/>
      <c r="H607" s="86"/>
      <c r="I607" s="65"/>
      <c r="J607" s="65"/>
      <c r="K607" s="87"/>
      <c r="L607" s="88"/>
    </row>
    <row r="608" spans="6:12" ht="12.5">
      <c r="F608" s="86"/>
      <c r="G608" s="86"/>
      <c r="H608" s="86"/>
      <c r="I608" s="65"/>
      <c r="J608" s="65"/>
      <c r="K608" s="87"/>
      <c r="L608" s="88"/>
    </row>
    <row r="609" spans="6:12" ht="12.5">
      <c r="F609" s="86"/>
      <c r="G609" s="86"/>
      <c r="H609" s="86"/>
      <c r="I609" s="65"/>
      <c r="J609" s="65"/>
      <c r="K609" s="87"/>
      <c r="L609" s="88"/>
    </row>
    <row r="610" spans="6:12" ht="12.5">
      <c r="F610" s="86"/>
      <c r="G610" s="86"/>
      <c r="H610" s="86"/>
      <c r="I610" s="65"/>
      <c r="J610" s="65"/>
      <c r="K610" s="87"/>
      <c r="L610" s="88"/>
    </row>
    <row r="611" spans="6:12" ht="12.5">
      <c r="F611" s="86"/>
      <c r="G611" s="86"/>
      <c r="H611" s="86"/>
      <c r="I611" s="65"/>
      <c r="J611" s="65"/>
      <c r="K611" s="87"/>
      <c r="L611" s="88"/>
    </row>
    <row r="612" spans="6:12" ht="12.5">
      <c r="F612" s="86"/>
      <c r="G612" s="86"/>
      <c r="H612" s="86"/>
      <c r="I612" s="65"/>
      <c r="J612" s="65"/>
      <c r="K612" s="87"/>
      <c r="L612" s="88"/>
    </row>
    <row r="613" spans="6:12" ht="12.5">
      <c r="F613" s="86"/>
      <c r="G613" s="86"/>
      <c r="H613" s="86"/>
      <c r="I613" s="65"/>
      <c r="J613" s="65"/>
      <c r="K613" s="87"/>
      <c r="L613" s="88"/>
    </row>
    <row r="614" spans="6:12" ht="12.5">
      <c r="F614" s="86"/>
      <c r="G614" s="86"/>
      <c r="H614" s="86"/>
      <c r="I614" s="65"/>
      <c r="J614" s="65"/>
      <c r="K614" s="87"/>
      <c r="L614" s="88"/>
    </row>
    <row r="615" spans="6:12" ht="12.5">
      <c r="F615" s="86"/>
      <c r="G615" s="86"/>
      <c r="H615" s="86"/>
      <c r="I615" s="65"/>
      <c r="J615" s="65"/>
      <c r="K615" s="87"/>
      <c r="L615" s="88"/>
    </row>
    <row r="616" spans="6:12" ht="12.5">
      <c r="F616" s="86"/>
      <c r="G616" s="86"/>
      <c r="H616" s="86"/>
      <c r="I616" s="65"/>
      <c r="J616" s="65"/>
      <c r="K616" s="87"/>
      <c r="L616" s="88"/>
    </row>
    <row r="617" spans="6:12" ht="12.5">
      <c r="F617" s="86"/>
      <c r="G617" s="86"/>
      <c r="H617" s="86"/>
      <c r="I617" s="65"/>
      <c r="J617" s="65"/>
      <c r="K617" s="87"/>
      <c r="L617" s="88"/>
    </row>
    <row r="618" spans="6:12" ht="12.5">
      <c r="F618" s="86"/>
      <c r="G618" s="86"/>
      <c r="H618" s="86"/>
      <c r="I618" s="65"/>
      <c r="J618" s="65"/>
      <c r="K618" s="87"/>
      <c r="L618" s="88"/>
    </row>
    <row r="619" spans="6:12" ht="12.5">
      <c r="F619" s="86"/>
      <c r="G619" s="86"/>
      <c r="H619" s="86"/>
      <c r="I619" s="65"/>
      <c r="J619" s="65"/>
      <c r="K619" s="87"/>
      <c r="L619" s="88"/>
    </row>
    <row r="620" spans="6:12" ht="12.5">
      <c r="F620" s="86"/>
      <c r="G620" s="86"/>
      <c r="H620" s="86"/>
      <c r="I620" s="65"/>
      <c r="J620" s="65"/>
      <c r="K620" s="87"/>
      <c r="L620" s="88"/>
    </row>
    <row r="621" spans="6:12" ht="12.5">
      <c r="F621" s="86"/>
      <c r="G621" s="86"/>
      <c r="H621" s="86"/>
      <c r="I621" s="65"/>
      <c r="J621" s="65"/>
      <c r="K621" s="87"/>
      <c r="L621" s="88"/>
    </row>
    <row r="622" spans="6:12" ht="12.5">
      <c r="F622" s="86"/>
      <c r="G622" s="86"/>
      <c r="H622" s="86"/>
      <c r="I622" s="65"/>
      <c r="J622" s="65"/>
      <c r="K622" s="87"/>
      <c r="L622" s="88"/>
    </row>
    <row r="623" spans="6:12" ht="12.5">
      <c r="F623" s="86"/>
      <c r="G623" s="86"/>
      <c r="H623" s="86"/>
      <c r="I623" s="65"/>
      <c r="J623" s="65"/>
      <c r="K623" s="87"/>
      <c r="L623" s="88"/>
    </row>
    <row r="624" spans="6:12" ht="12.5">
      <c r="F624" s="86"/>
      <c r="G624" s="86"/>
      <c r="H624" s="86"/>
      <c r="I624" s="65"/>
      <c r="J624" s="65"/>
      <c r="K624" s="87"/>
      <c r="L624" s="88"/>
    </row>
    <row r="625" spans="6:12" ht="12.5">
      <c r="F625" s="86"/>
      <c r="G625" s="86"/>
      <c r="H625" s="86"/>
      <c r="I625" s="65"/>
      <c r="J625" s="65"/>
      <c r="K625" s="87"/>
      <c r="L625" s="88"/>
    </row>
    <row r="626" spans="6:12" ht="12.5">
      <c r="F626" s="86"/>
      <c r="G626" s="86"/>
      <c r="H626" s="86"/>
      <c r="I626" s="65"/>
      <c r="J626" s="65"/>
      <c r="K626" s="87"/>
      <c r="L626" s="88"/>
    </row>
    <row r="627" spans="6:12" ht="12.5">
      <c r="F627" s="86"/>
      <c r="G627" s="86"/>
      <c r="H627" s="86"/>
      <c r="I627" s="65"/>
      <c r="J627" s="65"/>
      <c r="K627" s="87"/>
      <c r="L627" s="88"/>
    </row>
    <row r="628" spans="6:12" ht="12.5">
      <c r="F628" s="86"/>
      <c r="G628" s="86"/>
      <c r="H628" s="86"/>
      <c r="I628" s="65"/>
      <c r="J628" s="65"/>
      <c r="K628" s="87"/>
      <c r="L628" s="88"/>
    </row>
    <row r="629" spans="6:12" ht="12.5">
      <c r="F629" s="86"/>
      <c r="G629" s="86"/>
      <c r="H629" s="86"/>
      <c r="I629" s="65"/>
      <c r="J629" s="65"/>
      <c r="K629" s="87"/>
      <c r="L629" s="88"/>
    </row>
    <row r="630" spans="6:12" ht="12.5">
      <c r="F630" s="86"/>
      <c r="G630" s="86"/>
      <c r="H630" s="86"/>
      <c r="I630" s="65"/>
      <c r="J630" s="65"/>
      <c r="K630" s="87"/>
      <c r="L630" s="88"/>
    </row>
    <row r="631" spans="6:12" ht="12.5">
      <c r="F631" s="86"/>
      <c r="G631" s="86"/>
      <c r="H631" s="86"/>
      <c r="I631" s="65"/>
      <c r="J631" s="65"/>
      <c r="K631" s="87"/>
      <c r="L631" s="88"/>
    </row>
    <row r="632" spans="6:12" ht="12.5">
      <c r="F632" s="86"/>
      <c r="G632" s="86"/>
      <c r="H632" s="86"/>
      <c r="I632" s="65"/>
      <c r="J632" s="65"/>
      <c r="K632" s="87"/>
      <c r="L632" s="88"/>
    </row>
    <row r="633" spans="6:12" ht="12.5">
      <c r="F633" s="86"/>
      <c r="G633" s="86"/>
      <c r="H633" s="86"/>
      <c r="I633" s="65"/>
      <c r="J633" s="65"/>
      <c r="K633" s="87"/>
      <c r="L633" s="88"/>
    </row>
    <row r="634" spans="6:12" ht="12.5">
      <c r="F634" s="86"/>
      <c r="G634" s="86"/>
      <c r="H634" s="86"/>
      <c r="I634" s="65"/>
      <c r="J634" s="65"/>
      <c r="K634" s="87"/>
      <c r="L634" s="88"/>
    </row>
    <row r="635" spans="6:12" ht="12.5">
      <c r="F635" s="86"/>
      <c r="G635" s="86"/>
      <c r="H635" s="86"/>
      <c r="I635" s="65"/>
      <c r="J635" s="65"/>
      <c r="K635" s="87"/>
      <c r="L635" s="88"/>
    </row>
    <row r="636" spans="6:12" ht="12.5">
      <c r="F636" s="86"/>
      <c r="G636" s="86"/>
      <c r="H636" s="86"/>
      <c r="I636" s="65"/>
      <c r="J636" s="65"/>
      <c r="K636" s="87"/>
      <c r="L636" s="88"/>
    </row>
    <row r="637" spans="6:12" ht="12.5">
      <c r="F637" s="86"/>
      <c r="G637" s="86"/>
      <c r="H637" s="86"/>
      <c r="I637" s="65"/>
      <c r="J637" s="65"/>
      <c r="K637" s="87"/>
      <c r="L637" s="88"/>
    </row>
    <row r="638" spans="6:12" ht="12.5">
      <c r="F638" s="86"/>
      <c r="G638" s="86"/>
      <c r="H638" s="86"/>
      <c r="I638" s="65"/>
      <c r="J638" s="65"/>
      <c r="K638" s="87"/>
      <c r="L638" s="88"/>
    </row>
    <row r="639" spans="6:12" ht="12.5">
      <c r="F639" s="86"/>
      <c r="G639" s="86"/>
      <c r="H639" s="86"/>
      <c r="I639" s="65"/>
      <c r="J639" s="65"/>
      <c r="K639" s="87"/>
      <c r="L639" s="88"/>
    </row>
    <row r="640" spans="6:12" ht="12.5">
      <c r="F640" s="86"/>
      <c r="G640" s="86"/>
      <c r="H640" s="86"/>
      <c r="I640" s="65"/>
      <c r="J640" s="65"/>
      <c r="K640" s="87"/>
      <c r="L640" s="88"/>
    </row>
    <row r="641" spans="6:12" ht="12.5">
      <c r="F641" s="86"/>
      <c r="G641" s="86"/>
      <c r="H641" s="86"/>
      <c r="I641" s="65"/>
      <c r="J641" s="65"/>
      <c r="K641" s="87"/>
      <c r="L641" s="88"/>
    </row>
    <row r="642" spans="6:12" ht="12.5">
      <c r="F642" s="86"/>
      <c r="G642" s="86"/>
      <c r="H642" s="86"/>
      <c r="I642" s="65"/>
      <c r="J642" s="65"/>
      <c r="K642" s="87"/>
      <c r="L642" s="88"/>
    </row>
    <row r="643" spans="6:12" ht="12.5">
      <c r="F643" s="86"/>
      <c r="G643" s="86"/>
      <c r="H643" s="86"/>
      <c r="I643" s="65"/>
      <c r="J643" s="65"/>
      <c r="K643" s="87"/>
      <c r="L643" s="88"/>
    </row>
    <row r="644" spans="6:12" ht="12.5">
      <c r="F644" s="86"/>
      <c r="G644" s="86"/>
      <c r="H644" s="86"/>
      <c r="I644" s="65"/>
      <c r="J644" s="65"/>
      <c r="K644" s="87"/>
      <c r="L644" s="88"/>
    </row>
    <row r="645" spans="6:12" ht="12.5">
      <c r="F645" s="86"/>
      <c r="G645" s="86"/>
      <c r="H645" s="86"/>
      <c r="I645" s="65"/>
      <c r="J645" s="65"/>
      <c r="K645" s="87"/>
      <c r="L645" s="88"/>
    </row>
    <row r="646" spans="6:12" ht="12.5">
      <c r="F646" s="86"/>
      <c r="G646" s="86"/>
      <c r="H646" s="86"/>
      <c r="I646" s="65"/>
      <c r="J646" s="65"/>
      <c r="K646" s="87"/>
      <c r="L646" s="88"/>
    </row>
    <row r="647" spans="6:12" ht="12.5">
      <c r="F647" s="86"/>
      <c r="G647" s="86"/>
      <c r="H647" s="86"/>
      <c r="I647" s="65"/>
      <c r="J647" s="65"/>
      <c r="K647" s="87"/>
      <c r="L647" s="88"/>
    </row>
    <row r="648" spans="6:12" ht="12.5">
      <c r="F648" s="86"/>
      <c r="G648" s="86"/>
      <c r="H648" s="86"/>
      <c r="I648" s="65"/>
      <c r="J648" s="65"/>
      <c r="K648" s="87"/>
      <c r="L648" s="88"/>
    </row>
    <row r="649" spans="6:12" ht="12.5">
      <c r="F649" s="86"/>
      <c r="G649" s="86"/>
      <c r="H649" s="86"/>
      <c r="I649" s="65"/>
      <c r="J649" s="65"/>
      <c r="K649" s="87"/>
      <c r="L649" s="88"/>
    </row>
    <row r="650" spans="6:12" ht="12.5">
      <c r="F650" s="86"/>
      <c r="G650" s="86"/>
      <c r="H650" s="86"/>
      <c r="I650" s="65"/>
      <c r="J650" s="65"/>
      <c r="K650" s="87"/>
      <c r="L650" s="88"/>
    </row>
    <row r="651" spans="6:12" ht="12.5">
      <c r="F651" s="86"/>
      <c r="G651" s="86"/>
      <c r="H651" s="86"/>
      <c r="I651" s="65"/>
      <c r="J651" s="65"/>
      <c r="K651" s="87"/>
      <c r="L651" s="88"/>
    </row>
    <row r="652" spans="6:12" ht="12.5">
      <c r="F652" s="86"/>
      <c r="G652" s="86"/>
      <c r="H652" s="86"/>
      <c r="I652" s="65"/>
      <c r="J652" s="65"/>
      <c r="K652" s="87"/>
      <c r="L652" s="88"/>
    </row>
    <row r="653" spans="6:12" ht="12.5">
      <c r="F653" s="86"/>
      <c r="G653" s="86"/>
      <c r="H653" s="86"/>
      <c r="I653" s="65"/>
      <c r="J653" s="65"/>
      <c r="K653" s="87"/>
      <c r="L653" s="88"/>
    </row>
    <row r="654" spans="6:12" ht="12.5">
      <c r="F654" s="86"/>
      <c r="G654" s="86"/>
      <c r="H654" s="86"/>
      <c r="I654" s="65"/>
      <c r="J654" s="65"/>
      <c r="K654" s="87"/>
      <c r="L654" s="88"/>
    </row>
    <row r="655" spans="6:12" ht="12.5">
      <c r="F655" s="86"/>
      <c r="G655" s="86"/>
      <c r="H655" s="86"/>
      <c r="I655" s="65"/>
      <c r="J655" s="65"/>
      <c r="K655" s="87"/>
      <c r="L655" s="88"/>
    </row>
    <row r="656" spans="6:12" ht="12.5">
      <c r="F656" s="86"/>
      <c r="G656" s="86"/>
      <c r="H656" s="86"/>
      <c r="I656" s="65"/>
      <c r="J656" s="65"/>
      <c r="K656" s="87"/>
      <c r="L656" s="88"/>
    </row>
    <row r="657" spans="6:12" ht="12.5">
      <c r="F657" s="86"/>
      <c r="G657" s="86"/>
      <c r="H657" s="86"/>
      <c r="I657" s="65"/>
      <c r="J657" s="65"/>
      <c r="K657" s="87"/>
      <c r="L657" s="88"/>
    </row>
    <row r="658" spans="6:12" ht="12.5">
      <c r="F658" s="86"/>
      <c r="G658" s="86"/>
      <c r="H658" s="86"/>
      <c r="I658" s="65"/>
      <c r="J658" s="65"/>
      <c r="K658" s="87"/>
      <c r="L658" s="88"/>
    </row>
    <row r="659" spans="6:12" ht="12.5">
      <c r="F659" s="86"/>
      <c r="G659" s="86"/>
      <c r="H659" s="86"/>
      <c r="I659" s="65"/>
      <c r="J659" s="65"/>
      <c r="K659" s="87"/>
      <c r="L659" s="88"/>
    </row>
    <row r="660" spans="6:12" ht="12.5">
      <c r="F660" s="86"/>
      <c r="G660" s="86"/>
      <c r="H660" s="86"/>
      <c r="I660" s="65"/>
      <c r="J660" s="65"/>
      <c r="K660" s="87"/>
      <c r="L660" s="88"/>
    </row>
    <row r="661" spans="6:12" ht="12.5">
      <c r="F661" s="86"/>
      <c r="G661" s="86"/>
      <c r="H661" s="86"/>
      <c r="I661" s="65"/>
      <c r="J661" s="65"/>
      <c r="K661" s="87"/>
      <c r="L661" s="88"/>
    </row>
    <row r="662" spans="6:12" ht="12.5">
      <c r="F662" s="86"/>
      <c r="G662" s="86"/>
      <c r="H662" s="86"/>
      <c r="I662" s="65"/>
      <c r="J662" s="65"/>
      <c r="K662" s="87"/>
      <c r="L662" s="88"/>
    </row>
    <row r="663" spans="6:12" ht="12.5">
      <c r="F663" s="86"/>
      <c r="G663" s="86"/>
      <c r="H663" s="86"/>
      <c r="I663" s="65"/>
      <c r="J663" s="65"/>
      <c r="K663" s="87"/>
      <c r="L663" s="88"/>
    </row>
    <row r="664" spans="6:12" ht="12.5">
      <c r="F664" s="86"/>
      <c r="G664" s="86"/>
      <c r="H664" s="86"/>
      <c r="I664" s="65"/>
      <c r="J664" s="65"/>
      <c r="K664" s="87"/>
      <c r="L664" s="88"/>
    </row>
    <row r="665" spans="6:12" ht="12.5">
      <c r="F665" s="86"/>
      <c r="G665" s="86"/>
      <c r="H665" s="86"/>
      <c r="I665" s="65"/>
      <c r="J665" s="65"/>
      <c r="K665" s="87"/>
      <c r="L665" s="88"/>
    </row>
    <row r="666" spans="6:12" ht="12.5">
      <c r="F666" s="86"/>
      <c r="G666" s="86"/>
      <c r="H666" s="86"/>
      <c r="I666" s="65"/>
      <c r="J666" s="65"/>
      <c r="K666" s="87"/>
      <c r="L666" s="88"/>
    </row>
    <row r="667" spans="6:12" ht="12.5">
      <c r="F667" s="86"/>
      <c r="G667" s="86"/>
      <c r="H667" s="86"/>
      <c r="I667" s="65"/>
      <c r="J667" s="65"/>
      <c r="K667" s="87"/>
      <c r="L667" s="88"/>
    </row>
    <row r="668" spans="6:12" ht="12.5">
      <c r="F668" s="86"/>
      <c r="G668" s="86"/>
      <c r="H668" s="86"/>
      <c r="I668" s="65"/>
      <c r="J668" s="65"/>
      <c r="K668" s="87"/>
      <c r="L668" s="88"/>
    </row>
    <row r="669" spans="6:12" ht="12.5">
      <c r="F669" s="86"/>
      <c r="G669" s="86"/>
      <c r="H669" s="86"/>
      <c r="I669" s="65"/>
      <c r="J669" s="65"/>
      <c r="K669" s="87"/>
      <c r="L669" s="88"/>
    </row>
    <row r="670" spans="6:12" ht="12.5">
      <c r="F670" s="86"/>
      <c r="G670" s="86"/>
      <c r="H670" s="86"/>
      <c r="I670" s="65"/>
      <c r="J670" s="65"/>
      <c r="K670" s="87"/>
      <c r="L670" s="88"/>
    </row>
    <row r="671" spans="6:12" ht="12.5">
      <c r="F671" s="86"/>
      <c r="G671" s="86"/>
      <c r="H671" s="86"/>
      <c r="I671" s="65"/>
      <c r="J671" s="65"/>
      <c r="K671" s="87"/>
      <c r="L671" s="88"/>
    </row>
    <row r="672" spans="6:12" ht="12.5">
      <c r="F672" s="86"/>
      <c r="G672" s="86"/>
      <c r="H672" s="86"/>
      <c r="I672" s="65"/>
      <c r="J672" s="65"/>
      <c r="K672" s="87"/>
      <c r="L672" s="88"/>
    </row>
    <row r="673" spans="6:12" ht="12.5">
      <c r="F673" s="86"/>
      <c r="G673" s="86"/>
      <c r="H673" s="86"/>
      <c r="I673" s="65"/>
      <c r="J673" s="65"/>
      <c r="K673" s="87"/>
      <c r="L673" s="88"/>
    </row>
    <row r="674" spans="6:12" ht="12.5">
      <c r="F674" s="86"/>
      <c r="G674" s="86"/>
      <c r="H674" s="86"/>
      <c r="I674" s="65"/>
      <c r="J674" s="65"/>
      <c r="K674" s="87"/>
      <c r="L674" s="88"/>
    </row>
    <row r="675" spans="6:12" ht="12.5">
      <c r="F675" s="86"/>
      <c r="G675" s="86"/>
      <c r="H675" s="86"/>
      <c r="I675" s="65"/>
      <c r="J675" s="65"/>
      <c r="K675" s="87"/>
      <c r="L675" s="88"/>
    </row>
    <row r="676" spans="6:12" ht="12.5">
      <c r="F676" s="86"/>
      <c r="G676" s="86"/>
      <c r="H676" s="86"/>
      <c r="I676" s="65"/>
      <c r="J676" s="65"/>
      <c r="K676" s="87"/>
      <c r="L676" s="88"/>
    </row>
    <row r="677" spans="6:12" ht="12.5">
      <c r="F677" s="86"/>
      <c r="G677" s="86"/>
      <c r="H677" s="86"/>
      <c r="I677" s="65"/>
      <c r="J677" s="65"/>
      <c r="K677" s="87"/>
      <c r="L677" s="88"/>
    </row>
    <row r="678" spans="6:12" ht="12.5">
      <c r="F678" s="86"/>
      <c r="G678" s="86"/>
      <c r="H678" s="86"/>
      <c r="I678" s="65"/>
      <c r="J678" s="65"/>
      <c r="K678" s="87"/>
      <c r="L678" s="88"/>
    </row>
    <row r="679" spans="6:12" ht="12.5">
      <c r="F679" s="86"/>
      <c r="G679" s="86"/>
      <c r="H679" s="86"/>
      <c r="I679" s="65"/>
      <c r="J679" s="65"/>
      <c r="K679" s="87"/>
      <c r="L679" s="88"/>
    </row>
    <row r="680" spans="6:12" ht="12.5">
      <c r="F680" s="86"/>
      <c r="G680" s="86"/>
      <c r="H680" s="86"/>
      <c r="I680" s="65"/>
      <c r="J680" s="65"/>
      <c r="K680" s="87"/>
      <c r="L680" s="88"/>
    </row>
    <row r="681" spans="6:12" ht="12.5">
      <c r="F681" s="86"/>
      <c r="G681" s="86"/>
      <c r="H681" s="86"/>
      <c r="I681" s="65"/>
      <c r="J681" s="65"/>
      <c r="K681" s="87"/>
      <c r="L681" s="88"/>
    </row>
    <row r="682" spans="6:12" ht="12.5">
      <c r="F682" s="86"/>
      <c r="G682" s="86"/>
      <c r="H682" s="86"/>
      <c r="I682" s="65"/>
      <c r="J682" s="65"/>
      <c r="K682" s="87"/>
      <c r="L682" s="88"/>
    </row>
    <row r="683" spans="6:12" ht="12.5">
      <c r="F683" s="86"/>
      <c r="G683" s="86"/>
      <c r="H683" s="86"/>
      <c r="I683" s="65"/>
      <c r="J683" s="65"/>
      <c r="K683" s="87"/>
      <c r="L683" s="88"/>
    </row>
    <row r="684" spans="6:12" ht="12.5">
      <c r="F684" s="86"/>
      <c r="G684" s="86"/>
      <c r="H684" s="86"/>
      <c r="I684" s="65"/>
      <c r="J684" s="65"/>
      <c r="K684" s="87"/>
      <c r="L684" s="88"/>
    </row>
    <row r="685" spans="6:12" ht="12.5">
      <c r="F685" s="86"/>
      <c r="G685" s="86"/>
      <c r="H685" s="86"/>
      <c r="I685" s="65"/>
      <c r="J685" s="65"/>
      <c r="K685" s="87"/>
      <c r="L685" s="88"/>
    </row>
    <row r="686" spans="6:12" ht="12.5">
      <c r="F686" s="86"/>
      <c r="G686" s="86"/>
      <c r="H686" s="86"/>
      <c r="I686" s="65"/>
      <c r="J686" s="65"/>
      <c r="K686" s="87"/>
      <c r="L686" s="88"/>
    </row>
    <row r="687" spans="6:12" ht="12.5">
      <c r="F687" s="86"/>
      <c r="G687" s="86"/>
      <c r="H687" s="86"/>
      <c r="I687" s="65"/>
      <c r="J687" s="65"/>
      <c r="K687" s="87"/>
      <c r="L687" s="88"/>
    </row>
    <row r="688" spans="6:12" ht="12.5">
      <c r="F688" s="86"/>
      <c r="G688" s="86"/>
      <c r="H688" s="86"/>
      <c r="I688" s="65"/>
      <c r="J688" s="65"/>
      <c r="K688" s="87"/>
      <c r="L688" s="88"/>
    </row>
    <row r="689" spans="6:12" ht="12.5">
      <c r="F689" s="86"/>
      <c r="G689" s="86"/>
      <c r="H689" s="86"/>
      <c r="I689" s="65"/>
      <c r="J689" s="65"/>
      <c r="K689" s="87"/>
      <c r="L689" s="88"/>
    </row>
    <row r="690" spans="6:12" ht="12.5">
      <c r="F690" s="86"/>
      <c r="G690" s="86"/>
      <c r="H690" s="86"/>
      <c r="I690" s="65"/>
      <c r="J690" s="65"/>
      <c r="K690" s="87"/>
      <c r="L690" s="88"/>
    </row>
    <row r="691" spans="6:12" ht="12.5">
      <c r="F691" s="86"/>
      <c r="G691" s="86"/>
      <c r="H691" s="86"/>
      <c r="I691" s="65"/>
      <c r="J691" s="65"/>
      <c r="K691" s="87"/>
      <c r="L691" s="88"/>
    </row>
    <row r="692" spans="6:12" ht="12.5">
      <c r="F692" s="86"/>
      <c r="G692" s="86"/>
      <c r="H692" s="86"/>
      <c r="I692" s="65"/>
      <c r="J692" s="65"/>
      <c r="K692" s="87"/>
      <c r="L692" s="88"/>
    </row>
    <row r="693" spans="6:12" ht="12.5">
      <c r="F693" s="86"/>
      <c r="G693" s="86"/>
      <c r="H693" s="86"/>
      <c r="I693" s="65"/>
      <c r="J693" s="65"/>
      <c r="K693" s="87"/>
      <c r="L693" s="88"/>
    </row>
    <row r="694" spans="6:12" ht="12.5">
      <c r="F694" s="86"/>
      <c r="G694" s="86"/>
      <c r="H694" s="86"/>
      <c r="I694" s="65"/>
      <c r="J694" s="65"/>
      <c r="K694" s="87"/>
      <c r="L694" s="88"/>
    </row>
    <row r="695" spans="6:12" ht="12.5">
      <c r="F695" s="86"/>
      <c r="G695" s="86"/>
      <c r="H695" s="86"/>
      <c r="I695" s="65"/>
      <c r="J695" s="65"/>
      <c r="K695" s="87"/>
      <c r="L695" s="88"/>
    </row>
    <row r="696" spans="6:12" ht="12.5">
      <c r="F696" s="86"/>
      <c r="G696" s="86"/>
      <c r="H696" s="86"/>
      <c r="I696" s="65"/>
      <c r="J696" s="65"/>
      <c r="K696" s="87"/>
      <c r="L696" s="88"/>
    </row>
    <row r="697" spans="6:12" ht="12.5">
      <c r="F697" s="86"/>
      <c r="G697" s="86"/>
      <c r="H697" s="86"/>
      <c r="I697" s="65"/>
      <c r="J697" s="65"/>
      <c r="K697" s="87"/>
      <c r="L697" s="88"/>
    </row>
    <row r="698" spans="6:12" ht="12.5">
      <c r="F698" s="86"/>
      <c r="G698" s="86"/>
      <c r="H698" s="86"/>
      <c r="I698" s="65"/>
      <c r="J698" s="65"/>
      <c r="K698" s="87"/>
      <c r="L698" s="88"/>
    </row>
    <row r="699" spans="6:12" ht="12.5">
      <c r="F699" s="86"/>
      <c r="G699" s="86"/>
      <c r="H699" s="86"/>
      <c r="I699" s="65"/>
      <c r="J699" s="65"/>
      <c r="K699" s="87"/>
      <c r="L699" s="88"/>
    </row>
    <row r="700" spans="6:12" ht="12.5">
      <c r="F700" s="86"/>
      <c r="G700" s="86"/>
      <c r="H700" s="86"/>
      <c r="I700" s="65"/>
      <c r="J700" s="65"/>
      <c r="K700" s="87"/>
      <c r="L700" s="88"/>
    </row>
    <row r="701" spans="6:12" ht="12.5">
      <c r="F701" s="86"/>
      <c r="G701" s="86"/>
      <c r="H701" s="86"/>
      <c r="I701" s="65"/>
      <c r="J701" s="65"/>
      <c r="K701" s="87"/>
      <c r="L701" s="88"/>
    </row>
    <row r="702" spans="6:12" ht="12.5">
      <c r="F702" s="86"/>
      <c r="G702" s="86"/>
      <c r="H702" s="86"/>
      <c r="I702" s="65"/>
      <c r="J702" s="65"/>
      <c r="K702" s="87"/>
      <c r="L702" s="88"/>
    </row>
    <row r="703" spans="6:12" ht="12.5">
      <c r="F703" s="86"/>
      <c r="G703" s="86"/>
      <c r="H703" s="86"/>
      <c r="I703" s="65"/>
      <c r="J703" s="65"/>
      <c r="K703" s="87"/>
      <c r="L703" s="88"/>
    </row>
    <row r="704" spans="6:12" ht="12.5">
      <c r="F704" s="86"/>
      <c r="G704" s="86"/>
      <c r="H704" s="86"/>
      <c r="I704" s="65"/>
      <c r="J704" s="65"/>
      <c r="K704" s="87"/>
      <c r="L704" s="88"/>
    </row>
    <row r="705" spans="6:12" ht="12.5">
      <c r="F705" s="86"/>
      <c r="G705" s="86"/>
      <c r="H705" s="86"/>
      <c r="I705" s="65"/>
      <c r="J705" s="65"/>
      <c r="K705" s="87"/>
      <c r="L705" s="88"/>
    </row>
    <row r="706" spans="6:12" ht="12.5">
      <c r="F706" s="86"/>
      <c r="G706" s="86"/>
      <c r="H706" s="86"/>
      <c r="I706" s="65"/>
      <c r="J706" s="65"/>
      <c r="K706" s="87"/>
      <c r="L706" s="88"/>
    </row>
    <row r="707" spans="6:12" ht="12.5">
      <c r="F707" s="86"/>
      <c r="G707" s="86"/>
      <c r="H707" s="86"/>
      <c r="I707" s="65"/>
      <c r="J707" s="65"/>
      <c r="K707" s="87"/>
      <c r="L707" s="88"/>
    </row>
    <row r="708" spans="6:12" ht="12.5">
      <c r="F708" s="86"/>
      <c r="G708" s="86"/>
      <c r="H708" s="86"/>
      <c r="I708" s="65"/>
      <c r="J708" s="65"/>
      <c r="K708" s="87"/>
      <c r="L708" s="88"/>
    </row>
    <row r="709" spans="6:12" ht="12.5">
      <c r="F709" s="86"/>
      <c r="G709" s="86"/>
      <c r="H709" s="86"/>
      <c r="I709" s="65"/>
      <c r="J709" s="65"/>
      <c r="K709" s="87"/>
      <c r="L709" s="88"/>
    </row>
    <row r="710" spans="6:12" ht="12.5">
      <c r="F710" s="86"/>
      <c r="G710" s="86"/>
      <c r="H710" s="86"/>
      <c r="I710" s="65"/>
      <c r="J710" s="65"/>
      <c r="K710" s="87"/>
      <c r="L710" s="88"/>
    </row>
    <row r="711" spans="6:12" ht="12.5">
      <c r="F711" s="86"/>
      <c r="G711" s="86"/>
      <c r="H711" s="86"/>
      <c r="I711" s="65"/>
      <c r="J711" s="65"/>
      <c r="K711" s="87"/>
      <c r="L711" s="88"/>
    </row>
    <row r="712" spans="6:12" ht="12.5">
      <c r="F712" s="86"/>
      <c r="G712" s="86"/>
      <c r="H712" s="86"/>
      <c r="I712" s="65"/>
      <c r="J712" s="65"/>
      <c r="K712" s="87"/>
      <c r="L712" s="88"/>
    </row>
    <row r="713" spans="6:12" ht="12.5">
      <c r="F713" s="86"/>
      <c r="G713" s="86"/>
      <c r="H713" s="86"/>
      <c r="I713" s="65"/>
      <c r="J713" s="65"/>
      <c r="K713" s="87"/>
      <c r="L713" s="88"/>
    </row>
    <row r="714" spans="6:12" ht="12.5">
      <c r="F714" s="86"/>
      <c r="G714" s="86"/>
      <c r="H714" s="86"/>
      <c r="I714" s="65"/>
      <c r="J714" s="65"/>
      <c r="K714" s="87"/>
      <c r="L714" s="88"/>
    </row>
    <row r="715" spans="6:12" ht="12.5">
      <c r="F715" s="86"/>
      <c r="G715" s="86"/>
      <c r="H715" s="86"/>
      <c r="I715" s="65"/>
      <c r="J715" s="65"/>
      <c r="K715" s="87"/>
      <c r="L715" s="88"/>
    </row>
    <row r="716" spans="6:12" ht="12.5">
      <c r="F716" s="86"/>
      <c r="G716" s="86"/>
      <c r="H716" s="86"/>
      <c r="I716" s="65"/>
      <c r="J716" s="65"/>
      <c r="K716" s="87"/>
      <c r="L716" s="88"/>
    </row>
    <row r="717" spans="6:12" ht="12.5">
      <c r="F717" s="86"/>
      <c r="G717" s="86"/>
      <c r="H717" s="86"/>
      <c r="I717" s="65"/>
      <c r="J717" s="65"/>
      <c r="K717" s="87"/>
      <c r="L717" s="88"/>
    </row>
    <row r="718" spans="6:12" ht="12.5">
      <c r="F718" s="86"/>
      <c r="G718" s="86"/>
      <c r="H718" s="86"/>
      <c r="I718" s="65"/>
      <c r="J718" s="65"/>
      <c r="K718" s="87"/>
      <c r="L718" s="88"/>
    </row>
    <row r="719" spans="6:12" ht="12.5">
      <c r="F719" s="86"/>
      <c r="G719" s="86"/>
      <c r="H719" s="86"/>
      <c r="I719" s="65"/>
      <c r="J719" s="65"/>
      <c r="K719" s="87"/>
      <c r="L719" s="88"/>
    </row>
    <row r="720" spans="6:12" ht="12.5">
      <c r="F720" s="86"/>
      <c r="G720" s="86"/>
      <c r="H720" s="86"/>
      <c r="I720" s="65"/>
      <c r="J720" s="65"/>
      <c r="K720" s="87"/>
      <c r="L720" s="88"/>
    </row>
    <row r="721" spans="6:12" ht="12.5">
      <c r="F721" s="86"/>
      <c r="G721" s="86"/>
      <c r="H721" s="86"/>
      <c r="I721" s="65"/>
      <c r="J721" s="65"/>
      <c r="K721" s="87"/>
      <c r="L721" s="88"/>
    </row>
    <row r="722" spans="6:12" ht="12.5">
      <c r="F722" s="86"/>
      <c r="G722" s="86"/>
      <c r="H722" s="86"/>
      <c r="I722" s="65"/>
      <c r="J722" s="65"/>
      <c r="K722" s="87"/>
      <c r="L722" s="88"/>
    </row>
    <row r="723" spans="6:12" ht="12.5">
      <c r="F723" s="86"/>
      <c r="G723" s="86"/>
      <c r="H723" s="86"/>
      <c r="I723" s="65"/>
      <c r="J723" s="65"/>
      <c r="K723" s="87"/>
      <c r="L723" s="88"/>
    </row>
    <row r="724" spans="6:12" ht="12.5">
      <c r="F724" s="86"/>
      <c r="G724" s="86"/>
      <c r="H724" s="86"/>
      <c r="I724" s="65"/>
      <c r="J724" s="65"/>
      <c r="K724" s="87"/>
      <c r="L724" s="88"/>
    </row>
    <row r="725" spans="6:12" ht="12.5">
      <c r="F725" s="86"/>
      <c r="G725" s="86"/>
      <c r="H725" s="86"/>
      <c r="I725" s="65"/>
      <c r="J725" s="65"/>
      <c r="K725" s="87"/>
      <c r="L725" s="88"/>
    </row>
    <row r="726" spans="6:12" ht="12.5">
      <c r="F726" s="86"/>
      <c r="G726" s="86"/>
      <c r="H726" s="86"/>
      <c r="I726" s="65"/>
      <c r="J726" s="65"/>
      <c r="K726" s="87"/>
      <c r="L726" s="88"/>
    </row>
    <row r="727" spans="6:12" ht="12.5">
      <c r="F727" s="86"/>
      <c r="G727" s="86"/>
      <c r="H727" s="86"/>
      <c r="I727" s="65"/>
      <c r="J727" s="65"/>
      <c r="K727" s="87"/>
      <c r="L727" s="88"/>
    </row>
    <row r="728" spans="6:12" ht="12.5">
      <c r="F728" s="86"/>
      <c r="G728" s="86"/>
      <c r="H728" s="86"/>
      <c r="I728" s="65"/>
      <c r="J728" s="65"/>
      <c r="K728" s="87"/>
      <c r="L728" s="88"/>
    </row>
    <row r="729" spans="6:12" ht="12.5">
      <c r="F729" s="86"/>
      <c r="G729" s="86"/>
      <c r="H729" s="86"/>
      <c r="I729" s="65"/>
      <c r="J729" s="65"/>
      <c r="K729" s="87"/>
      <c r="L729" s="88"/>
    </row>
    <row r="730" spans="6:12" ht="12.5">
      <c r="F730" s="86"/>
      <c r="G730" s="86"/>
      <c r="H730" s="86"/>
      <c r="I730" s="65"/>
      <c r="J730" s="65"/>
      <c r="K730" s="87"/>
      <c r="L730" s="88"/>
    </row>
    <row r="731" spans="6:12" ht="12.5">
      <c r="F731" s="86"/>
      <c r="G731" s="86"/>
      <c r="H731" s="86"/>
      <c r="I731" s="65"/>
      <c r="J731" s="65"/>
      <c r="K731" s="87"/>
      <c r="L731" s="88"/>
    </row>
    <row r="732" spans="6:12" ht="12.5">
      <c r="F732" s="86"/>
      <c r="G732" s="86"/>
      <c r="H732" s="86"/>
      <c r="I732" s="65"/>
      <c r="J732" s="65"/>
      <c r="K732" s="87"/>
      <c r="L732" s="88"/>
    </row>
    <row r="733" spans="6:12" ht="12.5">
      <c r="F733" s="86"/>
      <c r="G733" s="86"/>
      <c r="H733" s="86"/>
      <c r="I733" s="65"/>
      <c r="J733" s="65"/>
      <c r="K733" s="87"/>
      <c r="L733" s="88"/>
    </row>
    <row r="734" spans="6:12" ht="12.5">
      <c r="F734" s="86"/>
      <c r="G734" s="86"/>
      <c r="H734" s="86"/>
      <c r="I734" s="65"/>
      <c r="J734" s="65"/>
      <c r="K734" s="87"/>
      <c r="L734" s="88"/>
    </row>
    <row r="735" spans="6:12" ht="12.5">
      <c r="F735" s="86"/>
      <c r="G735" s="86"/>
      <c r="H735" s="86"/>
      <c r="I735" s="65"/>
      <c r="J735" s="65"/>
      <c r="K735" s="87"/>
      <c r="L735" s="88"/>
    </row>
    <row r="736" spans="6:12" ht="12.5">
      <c r="F736" s="86"/>
      <c r="G736" s="86"/>
      <c r="H736" s="86"/>
      <c r="I736" s="65"/>
      <c r="J736" s="65"/>
      <c r="K736" s="87"/>
      <c r="L736" s="88"/>
    </row>
    <row r="737" spans="6:12" ht="12.5">
      <c r="F737" s="86"/>
      <c r="G737" s="86"/>
      <c r="H737" s="86"/>
      <c r="I737" s="65"/>
      <c r="J737" s="65"/>
      <c r="K737" s="87"/>
      <c r="L737" s="88"/>
    </row>
    <row r="738" spans="6:12" ht="12.5">
      <c r="F738" s="86"/>
      <c r="G738" s="86"/>
      <c r="H738" s="86"/>
      <c r="I738" s="65"/>
      <c r="J738" s="65"/>
      <c r="K738" s="87"/>
      <c r="L738" s="88"/>
    </row>
    <row r="739" spans="6:12" ht="12.5">
      <c r="F739" s="86"/>
      <c r="G739" s="86"/>
      <c r="H739" s="86"/>
      <c r="I739" s="65"/>
      <c r="J739" s="65"/>
      <c r="K739" s="87"/>
      <c r="L739" s="88"/>
    </row>
    <row r="740" spans="6:12" ht="12.5">
      <c r="F740" s="86"/>
      <c r="G740" s="86"/>
      <c r="H740" s="86"/>
      <c r="I740" s="65"/>
      <c r="J740" s="65"/>
      <c r="K740" s="87"/>
      <c r="L740" s="88"/>
    </row>
    <row r="741" spans="6:12" ht="12.5">
      <c r="F741" s="86"/>
      <c r="G741" s="86"/>
      <c r="H741" s="86"/>
      <c r="I741" s="65"/>
      <c r="J741" s="65"/>
      <c r="K741" s="87"/>
      <c r="L741" s="88"/>
    </row>
    <row r="742" spans="6:12" ht="12.5">
      <c r="F742" s="86"/>
      <c r="G742" s="86"/>
      <c r="H742" s="86"/>
      <c r="I742" s="65"/>
      <c r="J742" s="65"/>
      <c r="K742" s="87"/>
      <c r="L742" s="88"/>
    </row>
    <row r="743" spans="6:12" ht="12.5">
      <c r="F743" s="86"/>
      <c r="G743" s="86"/>
      <c r="H743" s="86"/>
      <c r="I743" s="65"/>
      <c r="J743" s="65"/>
      <c r="K743" s="87"/>
      <c r="L743" s="88"/>
    </row>
    <row r="744" spans="6:12" ht="12.5">
      <c r="F744" s="86"/>
      <c r="G744" s="86"/>
      <c r="H744" s="86"/>
      <c r="I744" s="65"/>
      <c r="J744" s="65"/>
      <c r="K744" s="87"/>
      <c r="L744" s="88"/>
    </row>
    <row r="745" spans="6:12" ht="12.5">
      <c r="F745" s="86"/>
      <c r="G745" s="86"/>
      <c r="H745" s="86"/>
      <c r="I745" s="65"/>
      <c r="J745" s="65"/>
      <c r="K745" s="87"/>
      <c r="L745" s="88"/>
    </row>
    <row r="746" spans="6:12" ht="12.5">
      <c r="F746" s="86"/>
      <c r="G746" s="86"/>
      <c r="H746" s="86"/>
      <c r="I746" s="65"/>
      <c r="J746" s="65"/>
      <c r="K746" s="87"/>
      <c r="L746" s="88"/>
    </row>
    <row r="747" spans="6:12" ht="12.5">
      <c r="F747" s="86"/>
      <c r="G747" s="86"/>
      <c r="H747" s="86"/>
      <c r="I747" s="65"/>
      <c r="J747" s="65"/>
      <c r="K747" s="87"/>
      <c r="L747" s="88"/>
    </row>
    <row r="748" spans="6:12" ht="12.5">
      <c r="F748" s="86"/>
      <c r="G748" s="86"/>
      <c r="H748" s="86"/>
      <c r="I748" s="65"/>
      <c r="J748" s="65"/>
      <c r="K748" s="87"/>
      <c r="L748" s="88"/>
    </row>
    <row r="749" spans="6:12" ht="12.5">
      <c r="F749" s="86"/>
      <c r="G749" s="86"/>
      <c r="H749" s="86"/>
      <c r="I749" s="65"/>
      <c r="J749" s="65"/>
      <c r="K749" s="87"/>
      <c r="L749" s="88"/>
    </row>
    <row r="750" spans="6:12" ht="12.5">
      <c r="F750" s="86"/>
      <c r="G750" s="86"/>
      <c r="H750" s="86"/>
      <c r="I750" s="65"/>
      <c r="J750" s="65"/>
      <c r="K750" s="87"/>
      <c r="L750" s="88"/>
    </row>
    <row r="751" spans="6:12" ht="12.5">
      <c r="F751" s="86"/>
      <c r="G751" s="86"/>
      <c r="H751" s="86"/>
      <c r="I751" s="65"/>
      <c r="J751" s="65"/>
      <c r="K751" s="87"/>
      <c r="L751" s="88"/>
    </row>
    <row r="752" spans="6:12" ht="12.5">
      <c r="F752" s="86"/>
      <c r="G752" s="86"/>
      <c r="H752" s="86"/>
      <c r="I752" s="65"/>
      <c r="J752" s="65"/>
      <c r="K752" s="87"/>
      <c r="L752" s="88"/>
    </row>
    <row r="753" spans="6:12" ht="12.5">
      <c r="F753" s="86"/>
      <c r="G753" s="86"/>
      <c r="H753" s="86"/>
      <c r="I753" s="65"/>
      <c r="J753" s="65"/>
      <c r="K753" s="87"/>
      <c r="L753" s="88"/>
    </row>
    <row r="754" spans="6:12" ht="12.5">
      <c r="F754" s="86"/>
      <c r="G754" s="86"/>
      <c r="H754" s="86"/>
      <c r="I754" s="65"/>
      <c r="J754" s="65"/>
      <c r="K754" s="87"/>
      <c r="L754" s="88"/>
    </row>
    <row r="755" spans="6:12" ht="12.5">
      <c r="F755" s="86"/>
      <c r="G755" s="86"/>
      <c r="H755" s="86"/>
      <c r="I755" s="65"/>
      <c r="J755" s="65"/>
      <c r="K755" s="87"/>
      <c r="L755" s="88"/>
    </row>
    <row r="756" spans="6:12" ht="12.5">
      <c r="F756" s="86"/>
      <c r="G756" s="86"/>
      <c r="H756" s="86"/>
      <c r="I756" s="65"/>
      <c r="J756" s="65"/>
      <c r="K756" s="87"/>
      <c r="L756" s="88"/>
    </row>
    <row r="757" spans="6:12" ht="12.5">
      <c r="F757" s="86"/>
      <c r="G757" s="86"/>
      <c r="H757" s="86"/>
      <c r="I757" s="65"/>
      <c r="J757" s="65"/>
      <c r="K757" s="87"/>
      <c r="L757" s="88"/>
    </row>
    <row r="758" spans="6:12" ht="12.5">
      <c r="F758" s="86"/>
      <c r="G758" s="86"/>
      <c r="H758" s="86"/>
      <c r="I758" s="65"/>
      <c r="J758" s="65"/>
      <c r="K758" s="87"/>
      <c r="L758" s="88"/>
    </row>
    <row r="759" spans="6:12" ht="12.5">
      <c r="F759" s="86"/>
      <c r="G759" s="86"/>
      <c r="H759" s="86"/>
      <c r="I759" s="65"/>
      <c r="J759" s="65"/>
      <c r="K759" s="87"/>
      <c r="L759" s="88"/>
    </row>
    <row r="760" spans="6:12" ht="12.5">
      <c r="F760" s="86"/>
      <c r="G760" s="86"/>
      <c r="H760" s="86"/>
      <c r="I760" s="65"/>
      <c r="J760" s="65"/>
      <c r="K760" s="87"/>
      <c r="L760" s="88"/>
    </row>
    <row r="761" spans="6:12" ht="12.5">
      <c r="F761" s="86"/>
      <c r="G761" s="86"/>
      <c r="H761" s="86"/>
      <c r="I761" s="65"/>
      <c r="J761" s="65"/>
      <c r="K761" s="87"/>
      <c r="L761" s="88"/>
    </row>
    <row r="762" spans="6:12" ht="12.5">
      <c r="F762" s="86"/>
      <c r="G762" s="86"/>
      <c r="H762" s="86"/>
      <c r="I762" s="65"/>
      <c r="J762" s="65"/>
      <c r="K762" s="87"/>
      <c r="L762" s="88"/>
    </row>
    <row r="763" spans="6:12" ht="12.5">
      <c r="F763" s="86"/>
      <c r="G763" s="86"/>
      <c r="H763" s="86"/>
      <c r="I763" s="65"/>
      <c r="J763" s="65"/>
      <c r="K763" s="87"/>
      <c r="L763" s="88"/>
    </row>
    <row r="764" spans="6:12" ht="12.5">
      <c r="F764" s="86"/>
      <c r="G764" s="86"/>
      <c r="H764" s="86"/>
      <c r="I764" s="65"/>
      <c r="J764" s="65"/>
      <c r="K764" s="87"/>
      <c r="L764" s="88"/>
    </row>
    <row r="765" spans="6:12" ht="12.5">
      <c r="F765" s="86"/>
      <c r="G765" s="86"/>
      <c r="H765" s="86"/>
      <c r="I765" s="65"/>
      <c r="J765" s="65"/>
      <c r="K765" s="87"/>
      <c r="L765" s="88"/>
    </row>
    <row r="766" spans="6:12" ht="12.5">
      <c r="F766" s="86"/>
      <c r="G766" s="86"/>
      <c r="H766" s="86"/>
      <c r="I766" s="65"/>
      <c r="J766" s="65"/>
      <c r="K766" s="87"/>
      <c r="L766" s="88"/>
    </row>
    <row r="767" spans="6:12" ht="12.5">
      <c r="F767" s="86"/>
      <c r="G767" s="86"/>
      <c r="H767" s="86"/>
      <c r="I767" s="65"/>
      <c r="J767" s="65"/>
      <c r="K767" s="87"/>
      <c r="L767" s="88"/>
    </row>
    <row r="768" spans="6:12" ht="12.5">
      <c r="F768" s="86"/>
      <c r="G768" s="86"/>
      <c r="H768" s="86"/>
      <c r="I768" s="65"/>
      <c r="J768" s="65"/>
      <c r="K768" s="87"/>
      <c r="L768" s="88"/>
    </row>
    <row r="769" spans="6:12" ht="12.5">
      <c r="F769" s="86"/>
      <c r="G769" s="86"/>
      <c r="H769" s="86"/>
      <c r="I769" s="65"/>
      <c r="J769" s="65"/>
      <c r="K769" s="87"/>
      <c r="L769" s="88"/>
    </row>
    <row r="770" spans="6:12" ht="12.5">
      <c r="F770" s="86"/>
      <c r="G770" s="86"/>
      <c r="H770" s="86"/>
      <c r="I770" s="65"/>
      <c r="J770" s="65"/>
      <c r="K770" s="87"/>
      <c r="L770" s="88"/>
    </row>
    <row r="771" spans="6:12" ht="12.5">
      <c r="F771" s="86"/>
      <c r="G771" s="86"/>
      <c r="H771" s="86"/>
      <c r="I771" s="65"/>
      <c r="J771" s="65"/>
      <c r="K771" s="87"/>
      <c r="L771" s="88"/>
    </row>
    <row r="772" spans="6:12" ht="12.5">
      <c r="F772" s="86"/>
      <c r="G772" s="86"/>
      <c r="H772" s="86"/>
      <c r="I772" s="65"/>
      <c r="J772" s="65"/>
      <c r="K772" s="87"/>
      <c r="L772" s="88"/>
    </row>
    <row r="773" spans="6:12" ht="12.5">
      <c r="F773" s="86"/>
      <c r="G773" s="86"/>
      <c r="H773" s="86"/>
      <c r="I773" s="65"/>
      <c r="J773" s="65"/>
      <c r="K773" s="87"/>
      <c r="L773" s="88"/>
    </row>
    <row r="774" spans="6:12" ht="12.5">
      <c r="F774" s="86"/>
      <c r="G774" s="86"/>
      <c r="H774" s="86"/>
      <c r="I774" s="65"/>
      <c r="J774" s="65"/>
      <c r="K774" s="87"/>
      <c r="L774" s="88"/>
    </row>
    <row r="775" spans="6:12" ht="12.5">
      <c r="F775" s="86"/>
      <c r="G775" s="86"/>
      <c r="H775" s="86"/>
      <c r="I775" s="65"/>
      <c r="J775" s="65"/>
      <c r="K775" s="87"/>
      <c r="L775" s="88"/>
    </row>
    <row r="776" spans="6:12" ht="12.5">
      <c r="F776" s="86"/>
      <c r="G776" s="86"/>
      <c r="H776" s="86"/>
      <c r="I776" s="65"/>
      <c r="J776" s="65"/>
      <c r="K776" s="87"/>
      <c r="L776" s="88"/>
    </row>
    <row r="777" spans="6:12" ht="12.5">
      <c r="F777" s="86"/>
      <c r="G777" s="86"/>
      <c r="H777" s="86"/>
      <c r="I777" s="65"/>
      <c r="J777" s="65"/>
      <c r="K777" s="87"/>
      <c r="L777" s="88"/>
    </row>
    <row r="778" spans="6:12" ht="12.5">
      <c r="F778" s="86"/>
      <c r="G778" s="86"/>
      <c r="H778" s="86"/>
      <c r="I778" s="65"/>
      <c r="J778" s="65"/>
      <c r="K778" s="87"/>
      <c r="L778" s="88"/>
    </row>
    <row r="779" spans="6:12" ht="12.5">
      <c r="F779" s="86"/>
      <c r="G779" s="86"/>
      <c r="H779" s="86"/>
      <c r="I779" s="65"/>
      <c r="J779" s="65"/>
      <c r="K779" s="87"/>
      <c r="L779" s="88"/>
    </row>
    <row r="780" spans="6:12" ht="12.5">
      <c r="F780" s="86"/>
      <c r="G780" s="86"/>
      <c r="H780" s="86"/>
      <c r="I780" s="65"/>
      <c r="J780" s="65"/>
      <c r="K780" s="87"/>
      <c r="L780" s="88"/>
    </row>
    <row r="781" spans="6:12" ht="12.5">
      <c r="F781" s="86"/>
      <c r="G781" s="86"/>
      <c r="H781" s="86"/>
      <c r="I781" s="65"/>
      <c r="J781" s="65"/>
      <c r="K781" s="87"/>
      <c r="L781" s="88"/>
    </row>
    <row r="782" spans="6:12" ht="12.5">
      <c r="F782" s="86"/>
      <c r="G782" s="86"/>
      <c r="H782" s="86"/>
      <c r="I782" s="65"/>
      <c r="J782" s="65"/>
      <c r="K782" s="87"/>
      <c r="L782" s="88"/>
    </row>
    <row r="783" spans="6:12" ht="12.5">
      <c r="F783" s="86"/>
      <c r="G783" s="86"/>
      <c r="H783" s="86"/>
      <c r="I783" s="65"/>
      <c r="J783" s="65"/>
      <c r="K783" s="87"/>
      <c r="L783" s="88"/>
    </row>
    <row r="784" spans="6:12" ht="12.5">
      <c r="F784" s="86"/>
      <c r="G784" s="86"/>
      <c r="H784" s="86"/>
      <c r="I784" s="65"/>
      <c r="J784" s="65"/>
      <c r="K784" s="87"/>
      <c r="L784" s="88"/>
    </row>
    <row r="785" spans="6:12" ht="12.5">
      <c r="F785" s="86"/>
      <c r="G785" s="86"/>
      <c r="H785" s="86"/>
      <c r="I785" s="65"/>
      <c r="J785" s="65"/>
      <c r="K785" s="87"/>
      <c r="L785" s="88"/>
    </row>
    <row r="786" spans="6:12" ht="12.5">
      <c r="F786" s="86"/>
      <c r="G786" s="86"/>
      <c r="H786" s="86"/>
      <c r="I786" s="65"/>
      <c r="J786" s="65"/>
      <c r="K786" s="87"/>
      <c r="L786" s="88"/>
    </row>
    <row r="787" spans="6:12" ht="12.5">
      <c r="F787" s="86"/>
      <c r="G787" s="86"/>
      <c r="H787" s="86"/>
      <c r="I787" s="65"/>
      <c r="J787" s="65"/>
      <c r="K787" s="87"/>
      <c r="L787" s="88"/>
    </row>
    <row r="788" spans="6:12" ht="12.5">
      <c r="F788" s="86"/>
      <c r="G788" s="86"/>
      <c r="H788" s="86"/>
      <c r="I788" s="65"/>
      <c r="J788" s="65"/>
      <c r="K788" s="87"/>
      <c r="L788" s="88"/>
    </row>
    <row r="789" spans="6:12" ht="12.5">
      <c r="F789" s="86"/>
      <c r="G789" s="86"/>
      <c r="H789" s="86"/>
      <c r="I789" s="65"/>
      <c r="J789" s="65"/>
      <c r="K789" s="87"/>
      <c r="L789" s="88"/>
    </row>
    <row r="790" spans="6:12" ht="12.5">
      <c r="F790" s="86"/>
      <c r="G790" s="86"/>
      <c r="H790" s="86"/>
      <c r="I790" s="65"/>
      <c r="J790" s="65"/>
      <c r="K790" s="87"/>
      <c r="L790" s="88"/>
    </row>
    <row r="791" spans="6:12" ht="12.5">
      <c r="F791" s="86"/>
      <c r="G791" s="86"/>
      <c r="H791" s="86"/>
      <c r="I791" s="65"/>
      <c r="J791" s="65"/>
      <c r="K791" s="87"/>
      <c r="L791" s="88"/>
    </row>
    <row r="792" spans="6:12" ht="12.5">
      <c r="F792" s="86"/>
      <c r="G792" s="86"/>
      <c r="H792" s="86"/>
      <c r="I792" s="65"/>
      <c r="J792" s="65"/>
      <c r="K792" s="87"/>
      <c r="L792" s="88"/>
    </row>
    <row r="793" spans="6:12" ht="12.5">
      <c r="F793" s="86"/>
      <c r="G793" s="86"/>
      <c r="H793" s="86"/>
      <c r="I793" s="65"/>
      <c r="J793" s="65"/>
      <c r="K793" s="87"/>
      <c r="L793" s="88"/>
    </row>
    <row r="794" spans="6:12" ht="12.5">
      <c r="F794" s="86"/>
      <c r="G794" s="86"/>
      <c r="H794" s="86"/>
      <c r="I794" s="65"/>
      <c r="J794" s="65"/>
      <c r="K794" s="87"/>
      <c r="L794" s="88"/>
    </row>
    <row r="795" spans="6:12" ht="12.5">
      <c r="F795" s="86"/>
      <c r="G795" s="86"/>
      <c r="H795" s="86"/>
      <c r="I795" s="65"/>
      <c r="J795" s="65"/>
      <c r="K795" s="87"/>
      <c r="L795" s="88"/>
    </row>
    <row r="796" spans="6:12" ht="12.5">
      <c r="F796" s="86"/>
      <c r="G796" s="86"/>
      <c r="H796" s="86"/>
      <c r="I796" s="65"/>
      <c r="J796" s="65"/>
      <c r="K796" s="87"/>
      <c r="L796" s="88"/>
    </row>
    <row r="797" spans="6:12" ht="12.5">
      <c r="F797" s="86"/>
      <c r="G797" s="86"/>
      <c r="H797" s="86"/>
      <c r="I797" s="65"/>
      <c r="J797" s="65"/>
      <c r="K797" s="87"/>
      <c r="L797" s="88"/>
    </row>
    <row r="798" spans="6:12" ht="12.5">
      <c r="F798" s="86"/>
      <c r="G798" s="86"/>
      <c r="H798" s="86"/>
      <c r="I798" s="65"/>
      <c r="J798" s="65"/>
      <c r="K798" s="87"/>
      <c r="L798" s="88"/>
    </row>
    <row r="799" spans="6:12" ht="12.5">
      <c r="F799" s="86"/>
      <c r="G799" s="86"/>
      <c r="H799" s="86"/>
      <c r="I799" s="65"/>
      <c r="J799" s="65"/>
      <c r="K799" s="87"/>
      <c r="L799" s="88"/>
    </row>
    <row r="800" spans="6:12" ht="12.5">
      <c r="F800" s="86"/>
      <c r="G800" s="86"/>
      <c r="H800" s="86"/>
      <c r="I800" s="65"/>
      <c r="J800" s="65"/>
      <c r="K800" s="87"/>
      <c r="L800" s="88"/>
    </row>
    <row r="801" spans="6:12" ht="12.5">
      <c r="F801" s="86"/>
      <c r="G801" s="86"/>
      <c r="H801" s="86"/>
      <c r="I801" s="65"/>
      <c r="J801" s="65"/>
      <c r="K801" s="87"/>
      <c r="L801" s="88"/>
    </row>
    <row r="802" spans="6:12" ht="12.5">
      <c r="F802" s="86"/>
      <c r="G802" s="86"/>
      <c r="H802" s="86"/>
      <c r="I802" s="65"/>
      <c r="J802" s="65"/>
      <c r="K802" s="87"/>
      <c r="L802" s="88"/>
    </row>
    <row r="803" spans="6:12" ht="12.5">
      <c r="F803" s="86"/>
      <c r="G803" s="86"/>
      <c r="H803" s="86"/>
      <c r="I803" s="65"/>
      <c r="J803" s="65"/>
      <c r="K803" s="87"/>
      <c r="L803" s="88"/>
    </row>
    <row r="804" spans="6:12" ht="12.5">
      <c r="F804" s="86"/>
      <c r="G804" s="86"/>
      <c r="H804" s="86"/>
      <c r="I804" s="65"/>
      <c r="J804" s="65"/>
      <c r="K804" s="87"/>
      <c r="L804" s="88"/>
    </row>
    <row r="805" spans="6:12" ht="12.5">
      <c r="F805" s="86"/>
      <c r="G805" s="86"/>
      <c r="H805" s="86"/>
      <c r="I805" s="65"/>
      <c r="J805" s="65"/>
      <c r="K805" s="87"/>
      <c r="L805" s="88"/>
    </row>
    <row r="806" spans="6:12" ht="12.5">
      <c r="F806" s="86"/>
      <c r="G806" s="86"/>
      <c r="H806" s="86"/>
      <c r="I806" s="65"/>
      <c r="J806" s="65"/>
      <c r="K806" s="87"/>
      <c r="L806" s="88"/>
    </row>
    <row r="807" spans="6:12" ht="12.5">
      <c r="F807" s="86"/>
      <c r="G807" s="86"/>
      <c r="H807" s="86"/>
      <c r="I807" s="65"/>
      <c r="J807" s="65"/>
      <c r="K807" s="87"/>
      <c r="L807" s="88"/>
    </row>
    <row r="808" spans="6:12" ht="12.5">
      <c r="F808" s="86"/>
      <c r="G808" s="86"/>
      <c r="H808" s="86"/>
      <c r="I808" s="65"/>
      <c r="J808" s="65"/>
      <c r="K808" s="87"/>
      <c r="L808" s="88"/>
    </row>
    <row r="809" spans="6:12" ht="12.5">
      <c r="F809" s="86"/>
      <c r="G809" s="86"/>
      <c r="H809" s="86"/>
      <c r="I809" s="65"/>
      <c r="J809" s="65"/>
      <c r="K809" s="87"/>
      <c r="L809" s="88"/>
    </row>
    <row r="810" spans="6:12" ht="12.5">
      <c r="F810" s="86"/>
      <c r="G810" s="86"/>
      <c r="H810" s="86"/>
      <c r="I810" s="65"/>
      <c r="J810" s="65"/>
      <c r="K810" s="87"/>
      <c r="L810" s="88"/>
    </row>
    <row r="811" spans="6:12" ht="12.5">
      <c r="F811" s="86"/>
      <c r="G811" s="86"/>
      <c r="H811" s="86"/>
      <c r="I811" s="65"/>
      <c r="J811" s="65"/>
      <c r="K811" s="87"/>
      <c r="L811" s="88"/>
    </row>
    <row r="812" spans="6:12" ht="12.5">
      <c r="F812" s="86"/>
      <c r="G812" s="86"/>
      <c r="H812" s="86"/>
      <c r="I812" s="65"/>
      <c r="J812" s="65"/>
      <c r="K812" s="87"/>
      <c r="L812" s="88"/>
    </row>
    <row r="813" spans="6:12" ht="12.5">
      <c r="F813" s="86"/>
      <c r="G813" s="86"/>
      <c r="H813" s="86"/>
      <c r="I813" s="65"/>
      <c r="J813" s="65"/>
      <c r="K813" s="87"/>
      <c r="L813" s="88"/>
    </row>
    <row r="814" spans="6:12" ht="12.5">
      <c r="F814" s="86"/>
      <c r="G814" s="86"/>
      <c r="H814" s="86"/>
      <c r="I814" s="65"/>
      <c r="J814" s="65"/>
      <c r="K814" s="87"/>
      <c r="L814" s="88"/>
    </row>
    <row r="815" spans="6:12" ht="12.5">
      <c r="F815" s="86"/>
      <c r="G815" s="86"/>
      <c r="H815" s="86"/>
      <c r="I815" s="65"/>
      <c r="J815" s="65"/>
      <c r="K815" s="87"/>
      <c r="L815" s="88"/>
    </row>
    <row r="816" spans="6:12" ht="12.5">
      <c r="F816" s="86"/>
      <c r="G816" s="86"/>
      <c r="H816" s="86"/>
      <c r="I816" s="65"/>
      <c r="J816" s="65"/>
      <c r="K816" s="87"/>
      <c r="L816" s="88"/>
    </row>
    <row r="817" spans="6:12" ht="12.5">
      <c r="F817" s="86"/>
      <c r="G817" s="86"/>
      <c r="H817" s="86"/>
      <c r="I817" s="65"/>
      <c r="J817" s="65"/>
      <c r="K817" s="87"/>
      <c r="L817" s="88"/>
    </row>
    <row r="818" spans="6:12" ht="12.5">
      <c r="F818" s="86"/>
      <c r="G818" s="86"/>
      <c r="H818" s="86"/>
      <c r="I818" s="65"/>
      <c r="J818" s="65"/>
      <c r="K818" s="87"/>
      <c r="L818" s="88"/>
    </row>
    <row r="819" spans="6:12" ht="12.5">
      <c r="F819" s="86"/>
      <c r="G819" s="86"/>
      <c r="H819" s="86"/>
      <c r="I819" s="65"/>
      <c r="J819" s="65"/>
      <c r="K819" s="87"/>
      <c r="L819" s="88"/>
    </row>
    <row r="820" spans="6:12" ht="12.5">
      <c r="F820" s="86"/>
      <c r="G820" s="86"/>
      <c r="H820" s="86"/>
      <c r="I820" s="65"/>
      <c r="J820" s="65"/>
      <c r="K820" s="87"/>
      <c r="L820" s="88"/>
    </row>
    <row r="821" spans="6:12" ht="12.5">
      <c r="F821" s="86"/>
      <c r="G821" s="86"/>
      <c r="H821" s="86"/>
      <c r="I821" s="65"/>
      <c r="J821" s="65"/>
      <c r="K821" s="87"/>
      <c r="L821" s="88"/>
    </row>
    <row r="822" spans="6:12" ht="12.5">
      <c r="F822" s="86"/>
      <c r="G822" s="86"/>
      <c r="H822" s="86"/>
      <c r="I822" s="65"/>
      <c r="J822" s="65"/>
      <c r="K822" s="87"/>
      <c r="L822" s="88"/>
    </row>
    <row r="823" spans="6:12" ht="12.5">
      <c r="F823" s="86"/>
      <c r="G823" s="86"/>
      <c r="H823" s="86"/>
      <c r="I823" s="65"/>
      <c r="J823" s="65"/>
      <c r="K823" s="87"/>
      <c r="L823" s="88"/>
    </row>
    <row r="824" spans="6:12" ht="12.5">
      <c r="F824" s="86"/>
      <c r="G824" s="86"/>
      <c r="H824" s="86"/>
      <c r="I824" s="65"/>
      <c r="J824" s="65"/>
      <c r="K824" s="87"/>
      <c r="L824" s="88"/>
    </row>
    <row r="825" spans="6:12" ht="12.5">
      <c r="F825" s="86"/>
      <c r="G825" s="86"/>
      <c r="H825" s="86"/>
      <c r="I825" s="65"/>
      <c r="J825" s="65"/>
      <c r="K825" s="87"/>
      <c r="L825" s="88"/>
    </row>
    <row r="826" spans="6:12" ht="12.5">
      <c r="F826" s="86"/>
      <c r="G826" s="86"/>
      <c r="H826" s="86"/>
      <c r="I826" s="65"/>
      <c r="J826" s="65"/>
      <c r="K826" s="87"/>
      <c r="L826" s="88"/>
    </row>
    <row r="827" spans="6:12" ht="12.5">
      <c r="F827" s="86"/>
      <c r="G827" s="86"/>
      <c r="H827" s="86"/>
      <c r="I827" s="65"/>
      <c r="J827" s="65"/>
      <c r="K827" s="87"/>
      <c r="L827" s="88"/>
    </row>
    <row r="828" spans="6:12" ht="12.5">
      <c r="F828" s="86"/>
      <c r="G828" s="86"/>
      <c r="H828" s="86"/>
      <c r="I828" s="65"/>
      <c r="J828" s="65"/>
      <c r="K828" s="87"/>
      <c r="L828" s="88"/>
    </row>
    <row r="829" spans="6:12" ht="12.5">
      <c r="F829" s="86"/>
      <c r="G829" s="86"/>
      <c r="H829" s="86"/>
      <c r="I829" s="65"/>
      <c r="J829" s="65"/>
      <c r="K829" s="87"/>
      <c r="L829" s="88"/>
    </row>
    <row r="830" spans="6:12" ht="12.5">
      <c r="F830" s="86"/>
      <c r="G830" s="86"/>
      <c r="H830" s="86"/>
      <c r="I830" s="65"/>
      <c r="J830" s="65"/>
      <c r="K830" s="87"/>
      <c r="L830" s="88"/>
    </row>
    <row r="831" spans="6:12" ht="12.5">
      <c r="F831" s="86"/>
      <c r="G831" s="86"/>
      <c r="H831" s="86"/>
      <c r="I831" s="65"/>
      <c r="J831" s="65"/>
      <c r="K831" s="87"/>
      <c r="L831" s="88"/>
    </row>
    <row r="832" spans="6:12" ht="12.5">
      <c r="F832" s="86"/>
      <c r="G832" s="86"/>
      <c r="H832" s="86"/>
      <c r="I832" s="65"/>
      <c r="J832" s="65"/>
      <c r="K832" s="87"/>
      <c r="L832" s="88"/>
    </row>
    <row r="833" spans="6:12" ht="12.5">
      <c r="F833" s="86"/>
      <c r="G833" s="86"/>
      <c r="H833" s="86"/>
      <c r="I833" s="65"/>
      <c r="J833" s="65"/>
      <c r="K833" s="87"/>
      <c r="L833" s="88"/>
    </row>
    <row r="834" spans="6:12" ht="12.5">
      <c r="F834" s="86"/>
      <c r="G834" s="86"/>
      <c r="H834" s="86"/>
      <c r="I834" s="65"/>
      <c r="J834" s="65"/>
      <c r="K834" s="87"/>
      <c r="L834" s="88"/>
    </row>
    <row r="835" spans="6:12" ht="12.5">
      <c r="F835" s="86"/>
      <c r="G835" s="86"/>
      <c r="H835" s="86"/>
      <c r="I835" s="65"/>
      <c r="J835" s="65"/>
      <c r="K835" s="87"/>
      <c r="L835" s="88"/>
    </row>
    <row r="836" spans="6:12" ht="12.5">
      <c r="F836" s="86"/>
      <c r="G836" s="86"/>
      <c r="H836" s="86"/>
      <c r="I836" s="65"/>
      <c r="J836" s="65"/>
      <c r="K836" s="87"/>
      <c r="L836" s="88"/>
    </row>
    <row r="837" spans="6:12" ht="12.5">
      <c r="F837" s="86"/>
      <c r="G837" s="86"/>
      <c r="H837" s="86"/>
      <c r="I837" s="65"/>
      <c r="J837" s="65"/>
      <c r="K837" s="87"/>
      <c r="L837" s="88"/>
    </row>
    <row r="838" spans="6:12" ht="12.5">
      <c r="F838" s="86"/>
      <c r="G838" s="86"/>
      <c r="H838" s="86"/>
      <c r="I838" s="65"/>
      <c r="J838" s="65"/>
      <c r="K838" s="87"/>
      <c r="L838" s="88"/>
    </row>
    <row r="839" spans="6:12" ht="12.5">
      <c r="F839" s="86"/>
      <c r="G839" s="86"/>
      <c r="H839" s="86"/>
      <c r="I839" s="65"/>
      <c r="J839" s="65"/>
      <c r="K839" s="87"/>
      <c r="L839" s="88"/>
    </row>
    <row r="840" spans="6:12" ht="12.5">
      <c r="F840" s="86"/>
      <c r="G840" s="86"/>
      <c r="H840" s="86"/>
      <c r="I840" s="65"/>
      <c r="J840" s="65"/>
      <c r="K840" s="87"/>
      <c r="L840" s="88"/>
    </row>
    <row r="841" spans="6:12" ht="12.5">
      <c r="F841" s="86"/>
      <c r="G841" s="86"/>
      <c r="H841" s="86"/>
      <c r="I841" s="65"/>
      <c r="J841" s="65"/>
      <c r="K841" s="87"/>
      <c r="L841" s="88"/>
    </row>
    <row r="842" spans="6:12" ht="12.5">
      <c r="F842" s="86"/>
      <c r="G842" s="86"/>
      <c r="H842" s="86"/>
      <c r="I842" s="65"/>
      <c r="J842" s="65"/>
      <c r="K842" s="87"/>
      <c r="L842" s="88"/>
    </row>
    <row r="843" spans="6:12" ht="12.5">
      <c r="F843" s="86"/>
      <c r="G843" s="86"/>
      <c r="H843" s="86"/>
      <c r="I843" s="65"/>
      <c r="J843" s="65"/>
      <c r="K843" s="87"/>
      <c r="L843" s="88"/>
    </row>
    <row r="844" spans="6:12" ht="12.5">
      <c r="F844" s="86"/>
      <c r="G844" s="86"/>
      <c r="H844" s="86"/>
      <c r="I844" s="65"/>
      <c r="J844" s="65"/>
      <c r="K844" s="87"/>
      <c r="L844" s="88"/>
    </row>
    <row r="845" spans="6:12" ht="12.5">
      <c r="F845" s="86"/>
      <c r="G845" s="86"/>
      <c r="H845" s="86"/>
      <c r="I845" s="65"/>
      <c r="J845" s="65"/>
      <c r="K845" s="87"/>
      <c r="L845" s="88"/>
    </row>
    <row r="846" spans="6:12" ht="12.5">
      <c r="F846" s="86"/>
      <c r="G846" s="86"/>
      <c r="H846" s="86"/>
      <c r="I846" s="65"/>
      <c r="J846" s="65"/>
      <c r="K846" s="87"/>
      <c r="L846" s="88"/>
    </row>
    <row r="847" spans="6:12" ht="12.5">
      <c r="F847" s="86"/>
      <c r="G847" s="86"/>
      <c r="H847" s="86"/>
      <c r="I847" s="65"/>
      <c r="J847" s="65"/>
      <c r="K847" s="87"/>
      <c r="L847" s="88"/>
    </row>
    <row r="848" spans="6:12" ht="12.5">
      <c r="F848" s="86"/>
      <c r="G848" s="86"/>
      <c r="H848" s="86"/>
      <c r="I848" s="65"/>
      <c r="J848" s="65"/>
      <c r="K848" s="87"/>
      <c r="L848" s="88"/>
    </row>
    <row r="849" spans="6:12" ht="12.5">
      <c r="F849" s="86"/>
      <c r="G849" s="86"/>
      <c r="H849" s="86"/>
      <c r="I849" s="65"/>
      <c r="J849" s="65"/>
      <c r="K849" s="87"/>
      <c r="L849" s="88"/>
    </row>
    <row r="850" spans="6:12" ht="12.5">
      <c r="F850" s="86"/>
      <c r="G850" s="86"/>
      <c r="H850" s="86"/>
      <c r="I850" s="65"/>
      <c r="J850" s="65"/>
      <c r="K850" s="87"/>
      <c r="L850" s="88"/>
    </row>
    <row r="851" spans="6:12" ht="12.5">
      <c r="F851" s="86"/>
      <c r="G851" s="86"/>
      <c r="H851" s="86"/>
      <c r="I851" s="65"/>
      <c r="J851" s="65"/>
      <c r="K851" s="87"/>
      <c r="L851" s="88"/>
    </row>
    <row r="852" spans="6:12" ht="12.5">
      <c r="F852" s="86"/>
      <c r="G852" s="86"/>
      <c r="H852" s="86"/>
      <c r="I852" s="65"/>
      <c r="J852" s="65"/>
      <c r="K852" s="87"/>
      <c r="L852" s="88"/>
    </row>
    <row r="853" spans="6:12" ht="12.5">
      <c r="F853" s="86"/>
      <c r="G853" s="86"/>
      <c r="H853" s="86"/>
      <c r="I853" s="65"/>
      <c r="J853" s="65"/>
      <c r="K853" s="87"/>
      <c r="L853" s="88"/>
    </row>
    <row r="854" spans="6:12" ht="12.5">
      <c r="F854" s="86"/>
      <c r="G854" s="86"/>
      <c r="H854" s="86"/>
      <c r="I854" s="65"/>
      <c r="J854" s="65"/>
      <c r="K854" s="87"/>
      <c r="L854" s="88"/>
    </row>
    <row r="855" spans="6:12" ht="12.5">
      <c r="F855" s="86"/>
      <c r="G855" s="86"/>
      <c r="H855" s="86"/>
      <c r="I855" s="65"/>
      <c r="J855" s="65"/>
      <c r="K855" s="87"/>
      <c r="L855" s="88"/>
    </row>
    <row r="856" spans="6:12" ht="12.5">
      <c r="F856" s="86"/>
      <c r="G856" s="86"/>
      <c r="H856" s="86"/>
      <c r="I856" s="65"/>
      <c r="J856" s="65"/>
      <c r="K856" s="87"/>
      <c r="L856" s="88"/>
    </row>
    <row r="857" spans="6:12" ht="12.5">
      <c r="F857" s="86"/>
      <c r="G857" s="86"/>
      <c r="H857" s="86"/>
      <c r="I857" s="65"/>
      <c r="J857" s="65"/>
      <c r="K857" s="87"/>
      <c r="L857" s="88"/>
    </row>
    <row r="858" spans="6:12" ht="12.5">
      <c r="F858" s="86"/>
      <c r="G858" s="86"/>
      <c r="H858" s="86"/>
      <c r="I858" s="65"/>
      <c r="J858" s="65"/>
      <c r="K858" s="87"/>
      <c r="L858" s="88"/>
    </row>
    <row r="859" spans="6:12" ht="12.5">
      <c r="F859" s="86"/>
      <c r="G859" s="86"/>
      <c r="H859" s="86"/>
      <c r="I859" s="65"/>
      <c r="J859" s="65"/>
      <c r="K859" s="87"/>
      <c r="L859" s="88"/>
    </row>
    <row r="860" spans="6:12" ht="12.5">
      <c r="F860" s="86"/>
      <c r="G860" s="86"/>
      <c r="H860" s="86"/>
      <c r="I860" s="65"/>
      <c r="J860" s="65"/>
      <c r="K860" s="87"/>
      <c r="L860" s="88"/>
    </row>
    <row r="861" spans="6:12" ht="12.5">
      <c r="F861" s="86"/>
      <c r="G861" s="86"/>
      <c r="H861" s="86"/>
      <c r="I861" s="65"/>
      <c r="J861" s="65"/>
      <c r="K861" s="87"/>
      <c r="L861" s="88"/>
    </row>
    <row r="862" spans="6:12" ht="12.5">
      <c r="F862" s="86"/>
      <c r="G862" s="86"/>
      <c r="H862" s="86"/>
      <c r="I862" s="65"/>
      <c r="J862" s="65"/>
      <c r="K862" s="87"/>
      <c r="L862" s="88"/>
    </row>
    <row r="863" spans="6:12" ht="12.5">
      <c r="F863" s="86"/>
      <c r="G863" s="86"/>
      <c r="H863" s="86"/>
      <c r="I863" s="65"/>
      <c r="J863" s="65"/>
      <c r="K863" s="87"/>
      <c r="L863" s="88"/>
    </row>
    <row r="864" spans="6:12" ht="12.5">
      <c r="F864" s="86"/>
      <c r="G864" s="86"/>
      <c r="H864" s="86"/>
      <c r="I864" s="65"/>
      <c r="J864" s="65"/>
      <c r="K864" s="87"/>
      <c r="L864" s="88"/>
    </row>
    <row r="865" spans="6:12" ht="12.5">
      <c r="F865" s="86"/>
      <c r="G865" s="86"/>
      <c r="H865" s="86"/>
      <c r="I865" s="65"/>
      <c r="J865" s="65"/>
      <c r="K865" s="87"/>
      <c r="L865" s="88"/>
    </row>
    <row r="866" spans="6:12" ht="12.5">
      <c r="F866" s="86"/>
      <c r="G866" s="86"/>
      <c r="H866" s="86"/>
      <c r="I866" s="65"/>
      <c r="J866" s="65"/>
      <c r="K866" s="87"/>
      <c r="L866" s="88"/>
    </row>
    <row r="867" spans="6:12" ht="12.5">
      <c r="F867" s="86"/>
      <c r="G867" s="86"/>
      <c r="H867" s="86"/>
      <c r="I867" s="65"/>
      <c r="J867" s="65"/>
      <c r="K867" s="87"/>
      <c r="L867" s="88"/>
    </row>
    <row r="868" spans="6:12" ht="12.5">
      <c r="F868" s="86"/>
      <c r="G868" s="86"/>
      <c r="H868" s="86"/>
      <c r="I868" s="65"/>
      <c r="J868" s="65"/>
      <c r="K868" s="87"/>
      <c r="L868" s="88"/>
    </row>
    <row r="869" spans="6:12" ht="12.5">
      <c r="F869" s="86"/>
      <c r="G869" s="86"/>
      <c r="H869" s="86"/>
      <c r="I869" s="65"/>
      <c r="J869" s="65"/>
      <c r="K869" s="87"/>
      <c r="L869" s="88"/>
    </row>
    <row r="870" spans="6:12" ht="12.5">
      <c r="F870" s="86"/>
      <c r="G870" s="86"/>
      <c r="H870" s="86"/>
      <c r="I870" s="65"/>
      <c r="J870" s="65"/>
      <c r="K870" s="87"/>
      <c r="L870" s="88"/>
    </row>
    <row r="871" spans="6:12" ht="12.5">
      <c r="F871" s="86"/>
      <c r="G871" s="86"/>
      <c r="H871" s="86"/>
      <c r="I871" s="65"/>
      <c r="J871" s="65"/>
      <c r="K871" s="87"/>
      <c r="L871" s="88"/>
    </row>
    <row r="872" spans="6:12" ht="12.5">
      <c r="F872" s="86"/>
      <c r="G872" s="86"/>
      <c r="H872" s="86"/>
      <c r="I872" s="65"/>
      <c r="J872" s="65"/>
      <c r="K872" s="87"/>
      <c r="L872" s="88"/>
    </row>
    <row r="873" spans="6:12" ht="12.5">
      <c r="F873" s="86"/>
      <c r="G873" s="86"/>
      <c r="H873" s="86"/>
      <c r="I873" s="65"/>
      <c r="J873" s="65"/>
      <c r="K873" s="87"/>
      <c r="L873" s="88"/>
    </row>
    <row r="874" spans="6:12" ht="12.5">
      <c r="F874" s="86"/>
      <c r="G874" s="86"/>
      <c r="H874" s="86"/>
      <c r="I874" s="65"/>
      <c r="J874" s="65"/>
      <c r="K874" s="87"/>
      <c r="L874" s="88"/>
    </row>
    <row r="875" spans="6:12" ht="12.5">
      <c r="F875" s="86"/>
      <c r="G875" s="86"/>
      <c r="H875" s="86"/>
      <c r="I875" s="65"/>
      <c r="J875" s="65"/>
      <c r="K875" s="87"/>
      <c r="L875" s="88"/>
    </row>
    <row r="876" spans="6:12" ht="12.5">
      <c r="F876" s="86"/>
      <c r="G876" s="86"/>
      <c r="H876" s="86"/>
      <c r="I876" s="65"/>
      <c r="J876" s="65"/>
      <c r="K876" s="87"/>
      <c r="L876" s="88"/>
    </row>
    <row r="877" spans="6:12" ht="12.5">
      <c r="F877" s="86"/>
      <c r="G877" s="86"/>
      <c r="H877" s="86"/>
      <c r="I877" s="65"/>
      <c r="J877" s="65"/>
      <c r="K877" s="87"/>
      <c r="L877" s="88"/>
    </row>
    <row r="878" spans="6:12" ht="12.5">
      <c r="F878" s="86"/>
      <c r="G878" s="86"/>
      <c r="H878" s="86"/>
      <c r="I878" s="65"/>
      <c r="J878" s="65"/>
      <c r="K878" s="87"/>
      <c r="L878" s="88"/>
    </row>
    <row r="879" spans="6:12" ht="12.5">
      <c r="F879" s="86"/>
      <c r="G879" s="86"/>
      <c r="H879" s="86"/>
      <c r="I879" s="65"/>
      <c r="J879" s="65"/>
      <c r="K879" s="87"/>
      <c r="L879" s="88"/>
    </row>
    <row r="880" spans="6:12" ht="12.5">
      <c r="F880" s="86"/>
      <c r="G880" s="86"/>
      <c r="H880" s="86"/>
      <c r="I880" s="65"/>
      <c r="J880" s="65"/>
      <c r="K880" s="87"/>
      <c r="L880" s="88"/>
    </row>
    <row r="881" spans="6:12" ht="12.5">
      <c r="F881" s="86"/>
      <c r="G881" s="86"/>
      <c r="H881" s="86"/>
      <c r="I881" s="65"/>
      <c r="J881" s="65"/>
      <c r="K881" s="87"/>
      <c r="L881" s="88"/>
    </row>
    <row r="882" spans="6:12" ht="12.5">
      <c r="F882" s="86"/>
      <c r="G882" s="86"/>
      <c r="H882" s="86"/>
      <c r="I882" s="65"/>
      <c r="J882" s="65"/>
      <c r="K882" s="87"/>
      <c r="L882" s="88"/>
    </row>
    <row r="883" spans="6:12" ht="12.5">
      <c r="F883" s="86"/>
      <c r="G883" s="86"/>
      <c r="H883" s="86"/>
      <c r="I883" s="65"/>
      <c r="J883" s="65"/>
      <c r="K883" s="87"/>
      <c r="L883" s="88"/>
    </row>
    <row r="884" spans="6:12" ht="12.5">
      <c r="F884" s="86"/>
      <c r="G884" s="86"/>
      <c r="H884" s="86"/>
      <c r="I884" s="65"/>
      <c r="J884" s="65"/>
      <c r="K884" s="87"/>
      <c r="L884" s="88"/>
    </row>
    <row r="885" spans="6:12" ht="12.5">
      <c r="F885" s="86"/>
      <c r="G885" s="86"/>
      <c r="H885" s="86"/>
      <c r="I885" s="65"/>
      <c r="J885" s="65"/>
      <c r="K885" s="87"/>
      <c r="L885" s="88"/>
    </row>
    <row r="886" spans="6:12" ht="12.5">
      <c r="F886" s="86"/>
      <c r="G886" s="86"/>
      <c r="H886" s="86"/>
      <c r="I886" s="65"/>
      <c r="J886" s="65"/>
      <c r="K886" s="87"/>
      <c r="L886" s="88"/>
    </row>
    <row r="887" spans="6:12" ht="12.5">
      <c r="F887" s="86"/>
      <c r="G887" s="86"/>
      <c r="H887" s="86"/>
      <c r="I887" s="65"/>
      <c r="J887" s="65"/>
      <c r="K887" s="87"/>
      <c r="L887" s="88"/>
    </row>
    <row r="888" spans="6:12" ht="12.5">
      <c r="F888" s="86"/>
      <c r="G888" s="86"/>
      <c r="H888" s="86"/>
      <c r="I888" s="65"/>
      <c r="J888" s="65"/>
      <c r="K888" s="87"/>
      <c r="L888" s="88"/>
    </row>
    <row r="889" spans="6:12" ht="12.5">
      <c r="F889" s="86"/>
      <c r="G889" s="86"/>
      <c r="H889" s="86"/>
      <c r="I889" s="65"/>
      <c r="J889" s="65"/>
      <c r="K889" s="87"/>
      <c r="L889" s="88"/>
    </row>
    <row r="890" spans="6:12" ht="12.5">
      <c r="F890" s="86"/>
      <c r="G890" s="86"/>
      <c r="H890" s="86"/>
      <c r="I890" s="65"/>
      <c r="J890" s="65"/>
      <c r="K890" s="87"/>
      <c r="L890" s="88"/>
    </row>
    <row r="891" spans="6:12" ht="12.5">
      <c r="F891" s="86"/>
      <c r="G891" s="86"/>
      <c r="H891" s="86"/>
      <c r="I891" s="65"/>
      <c r="J891" s="65"/>
      <c r="K891" s="87"/>
      <c r="L891" s="88"/>
    </row>
    <row r="892" spans="6:12" ht="12.5">
      <c r="F892" s="86"/>
      <c r="G892" s="86"/>
      <c r="H892" s="86"/>
      <c r="I892" s="65"/>
      <c r="J892" s="65"/>
      <c r="K892" s="87"/>
      <c r="L892" s="88"/>
    </row>
    <row r="893" spans="6:12" ht="12.5">
      <c r="F893" s="86"/>
      <c r="G893" s="86"/>
      <c r="H893" s="86"/>
      <c r="I893" s="65"/>
      <c r="J893" s="65"/>
      <c r="K893" s="87"/>
      <c r="L893" s="88"/>
    </row>
    <row r="894" spans="6:12" ht="12.5">
      <c r="F894" s="86"/>
      <c r="G894" s="86"/>
      <c r="H894" s="86"/>
      <c r="I894" s="65"/>
      <c r="J894" s="65"/>
      <c r="K894" s="87"/>
      <c r="L894" s="88"/>
    </row>
    <row r="895" spans="6:12" ht="12.5">
      <c r="F895" s="86"/>
      <c r="G895" s="86"/>
      <c r="H895" s="86"/>
      <c r="I895" s="65"/>
      <c r="J895" s="65"/>
      <c r="K895" s="87"/>
      <c r="L895" s="88"/>
    </row>
    <row r="896" spans="6:12" ht="12.5">
      <c r="F896" s="86"/>
      <c r="G896" s="86"/>
      <c r="H896" s="86"/>
      <c r="I896" s="65"/>
      <c r="J896" s="65"/>
      <c r="K896" s="87"/>
      <c r="L896" s="88"/>
    </row>
    <row r="897" spans="6:12" ht="12.5">
      <c r="F897" s="86"/>
      <c r="G897" s="86"/>
      <c r="H897" s="86"/>
      <c r="I897" s="65"/>
      <c r="J897" s="65"/>
      <c r="K897" s="87"/>
      <c r="L897" s="88"/>
    </row>
    <row r="898" spans="6:12" ht="12.5">
      <c r="F898" s="86"/>
      <c r="G898" s="86"/>
      <c r="H898" s="86"/>
      <c r="I898" s="65"/>
      <c r="J898" s="65"/>
      <c r="K898" s="87"/>
      <c r="L898" s="88"/>
    </row>
    <row r="899" spans="6:12" ht="12.5">
      <c r="F899" s="86"/>
      <c r="G899" s="86"/>
      <c r="H899" s="86"/>
      <c r="I899" s="65"/>
      <c r="J899" s="65"/>
      <c r="K899" s="87"/>
      <c r="L899" s="88"/>
    </row>
    <row r="900" spans="6:12" ht="12.5">
      <c r="F900" s="86"/>
      <c r="G900" s="86"/>
      <c r="H900" s="86"/>
      <c r="I900" s="65"/>
      <c r="J900" s="65"/>
      <c r="K900" s="87"/>
      <c r="L900" s="88"/>
    </row>
    <row r="901" spans="6:12" ht="12.5">
      <c r="F901" s="86"/>
      <c r="G901" s="86"/>
      <c r="H901" s="86"/>
      <c r="I901" s="65"/>
      <c r="J901" s="65"/>
      <c r="K901" s="87"/>
      <c r="L901" s="88"/>
    </row>
    <row r="902" spans="6:12" ht="12.5">
      <c r="F902" s="86"/>
      <c r="G902" s="86"/>
      <c r="H902" s="86"/>
      <c r="I902" s="65"/>
      <c r="J902" s="65"/>
      <c r="K902" s="87"/>
      <c r="L902" s="88"/>
    </row>
    <row r="903" spans="6:12" ht="12.5">
      <c r="F903" s="86"/>
      <c r="G903" s="86"/>
      <c r="H903" s="86"/>
      <c r="I903" s="65"/>
      <c r="J903" s="65"/>
      <c r="K903" s="87"/>
      <c r="L903" s="88"/>
    </row>
    <row r="904" spans="6:12" ht="12.5">
      <c r="F904" s="86"/>
      <c r="G904" s="86"/>
      <c r="H904" s="86"/>
      <c r="I904" s="65"/>
      <c r="J904" s="65"/>
      <c r="K904" s="87"/>
      <c r="L904" s="88"/>
    </row>
    <row r="905" spans="6:12" ht="12.5">
      <c r="F905" s="86"/>
      <c r="G905" s="86"/>
      <c r="H905" s="86"/>
      <c r="I905" s="65"/>
      <c r="J905" s="65"/>
      <c r="K905" s="87"/>
      <c r="L905" s="88"/>
    </row>
    <row r="906" spans="6:12" ht="12.5">
      <c r="F906" s="86"/>
      <c r="G906" s="86"/>
      <c r="H906" s="86"/>
      <c r="I906" s="65"/>
      <c r="J906" s="65"/>
      <c r="K906" s="87"/>
      <c r="L906" s="88"/>
    </row>
    <row r="907" spans="6:12" ht="12.5">
      <c r="F907" s="86"/>
      <c r="G907" s="86"/>
      <c r="H907" s="86"/>
      <c r="I907" s="65"/>
      <c r="J907" s="65"/>
      <c r="K907" s="87"/>
      <c r="L907" s="88"/>
    </row>
    <row r="908" spans="6:12" ht="12.5">
      <c r="F908" s="86"/>
      <c r="G908" s="86"/>
      <c r="H908" s="86"/>
      <c r="I908" s="65"/>
      <c r="J908" s="65"/>
      <c r="K908" s="87"/>
      <c r="L908" s="88"/>
    </row>
    <row r="909" spans="6:12" ht="12.5">
      <c r="F909" s="86"/>
      <c r="G909" s="86"/>
      <c r="H909" s="86"/>
      <c r="I909" s="65"/>
      <c r="J909" s="65"/>
      <c r="K909" s="87"/>
      <c r="L909" s="88"/>
    </row>
    <row r="910" spans="6:12" ht="12.5">
      <c r="F910" s="86"/>
      <c r="G910" s="86"/>
      <c r="H910" s="86"/>
      <c r="I910" s="65"/>
      <c r="J910" s="65"/>
      <c r="K910" s="87"/>
      <c r="L910" s="88"/>
    </row>
    <row r="911" spans="6:12" ht="12.5">
      <c r="F911" s="86"/>
      <c r="G911" s="86"/>
      <c r="H911" s="86"/>
      <c r="I911" s="65"/>
      <c r="J911" s="65"/>
      <c r="K911" s="87"/>
      <c r="L911" s="88"/>
    </row>
    <row r="912" spans="6:12" ht="12.5">
      <c r="F912" s="86"/>
      <c r="G912" s="86"/>
      <c r="H912" s="86"/>
      <c r="I912" s="65"/>
      <c r="J912" s="65"/>
      <c r="K912" s="87"/>
      <c r="L912" s="88"/>
    </row>
    <row r="913" spans="6:12" ht="12.5">
      <c r="F913" s="86"/>
      <c r="G913" s="86"/>
      <c r="H913" s="86"/>
      <c r="I913" s="65"/>
      <c r="J913" s="65"/>
      <c r="K913" s="87"/>
      <c r="L913" s="88"/>
    </row>
    <row r="914" spans="6:12" ht="12.5">
      <c r="F914" s="86"/>
      <c r="G914" s="86"/>
      <c r="H914" s="86"/>
      <c r="I914" s="65"/>
      <c r="J914" s="65"/>
      <c r="K914" s="87"/>
      <c r="L914" s="88"/>
    </row>
    <row r="915" spans="6:12" ht="12.5">
      <c r="F915" s="86"/>
      <c r="G915" s="86"/>
      <c r="H915" s="86"/>
      <c r="I915" s="65"/>
      <c r="J915" s="65"/>
      <c r="K915" s="87"/>
      <c r="L915" s="88"/>
    </row>
    <row r="916" spans="6:12" ht="12.5">
      <c r="F916" s="86"/>
      <c r="G916" s="86"/>
      <c r="H916" s="86"/>
      <c r="I916" s="65"/>
      <c r="J916" s="65"/>
      <c r="K916" s="87"/>
      <c r="L916" s="88"/>
    </row>
    <row r="917" spans="6:12" ht="12.5">
      <c r="F917" s="86"/>
      <c r="G917" s="86"/>
      <c r="H917" s="86"/>
      <c r="I917" s="65"/>
      <c r="J917" s="65"/>
      <c r="K917" s="87"/>
      <c r="L917" s="88"/>
    </row>
    <row r="918" spans="6:12" ht="12.5">
      <c r="F918" s="86"/>
      <c r="G918" s="86"/>
      <c r="H918" s="86"/>
      <c r="I918" s="65"/>
      <c r="J918" s="65"/>
      <c r="K918" s="87"/>
      <c r="L918" s="88"/>
    </row>
    <row r="919" spans="6:12" ht="12.5">
      <c r="F919" s="86"/>
      <c r="G919" s="86"/>
      <c r="H919" s="86"/>
      <c r="I919" s="65"/>
      <c r="J919" s="65"/>
      <c r="K919" s="87"/>
      <c r="L919" s="88"/>
    </row>
    <row r="920" spans="6:12" ht="12.5">
      <c r="F920" s="86"/>
      <c r="G920" s="86"/>
      <c r="H920" s="86"/>
      <c r="I920" s="65"/>
      <c r="J920" s="65"/>
      <c r="K920" s="87"/>
      <c r="L920" s="88"/>
    </row>
    <row r="921" spans="6:12" ht="12.5">
      <c r="F921" s="86"/>
      <c r="G921" s="86"/>
      <c r="H921" s="86"/>
      <c r="I921" s="65"/>
      <c r="J921" s="65"/>
      <c r="K921" s="87"/>
      <c r="L921" s="88"/>
    </row>
    <row r="922" spans="6:12" ht="12.5">
      <c r="F922" s="86"/>
      <c r="G922" s="86"/>
      <c r="H922" s="86"/>
      <c r="I922" s="65"/>
      <c r="J922" s="65"/>
      <c r="K922" s="87"/>
      <c r="L922" s="88"/>
    </row>
    <row r="923" spans="6:12" ht="12.5">
      <c r="F923" s="86"/>
      <c r="G923" s="86"/>
      <c r="H923" s="86"/>
      <c r="I923" s="65"/>
      <c r="J923" s="65"/>
      <c r="K923" s="87"/>
      <c r="L923" s="88"/>
    </row>
    <row r="924" spans="6:12" ht="12.5">
      <c r="F924" s="86"/>
      <c r="G924" s="86"/>
      <c r="H924" s="86"/>
      <c r="I924" s="65"/>
      <c r="J924" s="65"/>
      <c r="K924" s="87"/>
      <c r="L924" s="88"/>
    </row>
    <row r="925" spans="6:12" ht="12.5">
      <c r="F925" s="86"/>
      <c r="G925" s="86"/>
      <c r="H925" s="86"/>
      <c r="I925" s="65"/>
      <c r="J925" s="65"/>
      <c r="K925" s="87"/>
      <c r="L925" s="88"/>
    </row>
    <row r="926" spans="6:12" ht="12.5">
      <c r="F926" s="86"/>
      <c r="G926" s="86"/>
      <c r="H926" s="86"/>
      <c r="I926" s="65"/>
      <c r="J926" s="65"/>
      <c r="K926" s="87"/>
      <c r="L926" s="88"/>
    </row>
    <row r="927" spans="6:12" ht="12.5">
      <c r="F927" s="86"/>
      <c r="G927" s="86"/>
      <c r="H927" s="86"/>
      <c r="I927" s="65"/>
      <c r="J927" s="65"/>
      <c r="K927" s="87"/>
      <c r="L927" s="88"/>
    </row>
    <row r="928" spans="6:12" ht="12.5">
      <c r="F928" s="86"/>
      <c r="G928" s="86"/>
      <c r="H928" s="86"/>
      <c r="I928" s="65"/>
      <c r="J928" s="65"/>
      <c r="K928" s="87"/>
      <c r="L928" s="88"/>
    </row>
    <row r="929" spans="6:12" ht="12.5">
      <c r="F929" s="86"/>
      <c r="G929" s="86"/>
      <c r="H929" s="86"/>
      <c r="I929" s="65"/>
      <c r="J929" s="65"/>
      <c r="K929" s="87"/>
      <c r="L929" s="88"/>
    </row>
    <row r="930" spans="6:12" ht="12.5">
      <c r="F930" s="86"/>
      <c r="G930" s="86"/>
      <c r="H930" s="86"/>
      <c r="I930" s="65"/>
      <c r="J930" s="65"/>
      <c r="K930" s="87"/>
      <c r="L930" s="88"/>
    </row>
    <row r="931" spans="6:12" ht="12.5">
      <c r="F931" s="86"/>
      <c r="G931" s="86"/>
      <c r="H931" s="86"/>
      <c r="I931" s="65"/>
      <c r="J931" s="65"/>
      <c r="K931" s="87"/>
      <c r="L931" s="88"/>
    </row>
    <row r="932" spans="6:12" ht="12.5">
      <c r="F932" s="86"/>
      <c r="G932" s="86"/>
      <c r="H932" s="86"/>
      <c r="I932" s="65"/>
      <c r="J932" s="65"/>
      <c r="K932" s="87"/>
      <c r="L932" s="88"/>
    </row>
    <row r="933" spans="6:12" ht="12.5">
      <c r="F933" s="86"/>
      <c r="G933" s="86"/>
      <c r="H933" s="86"/>
      <c r="I933" s="65"/>
      <c r="J933" s="65"/>
      <c r="K933" s="87"/>
      <c r="L933" s="88"/>
    </row>
    <row r="934" spans="6:12" ht="12.5">
      <c r="F934" s="86"/>
      <c r="G934" s="86"/>
      <c r="H934" s="86"/>
      <c r="I934" s="65"/>
      <c r="J934" s="65"/>
      <c r="K934" s="87"/>
      <c r="L934" s="88"/>
    </row>
    <row r="935" spans="6:12" ht="12.5">
      <c r="F935" s="86"/>
      <c r="G935" s="86"/>
      <c r="H935" s="86"/>
      <c r="I935" s="65"/>
      <c r="J935" s="65"/>
      <c r="K935" s="87"/>
      <c r="L935" s="88"/>
    </row>
    <row r="936" spans="6:12" ht="12.5">
      <c r="F936" s="86"/>
      <c r="G936" s="86"/>
      <c r="H936" s="86"/>
      <c r="I936" s="65"/>
      <c r="J936" s="65"/>
      <c r="K936" s="87"/>
      <c r="L936" s="88"/>
    </row>
    <row r="937" spans="6:12" ht="12.5">
      <c r="F937" s="86"/>
      <c r="G937" s="86"/>
      <c r="H937" s="86"/>
      <c r="I937" s="65"/>
      <c r="J937" s="65"/>
      <c r="K937" s="87"/>
      <c r="L937" s="88"/>
    </row>
    <row r="938" spans="6:12" ht="12.5">
      <c r="F938" s="86"/>
      <c r="G938" s="86"/>
      <c r="H938" s="86"/>
      <c r="I938" s="65"/>
      <c r="J938" s="65"/>
      <c r="K938" s="87"/>
      <c r="L938" s="88"/>
    </row>
    <row r="939" spans="6:12" ht="12.5">
      <c r="F939" s="86"/>
      <c r="G939" s="86"/>
      <c r="H939" s="86"/>
      <c r="I939" s="65"/>
      <c r="J939" s="65"/>
      <c r="K939" s="87"/>
      <c r="L939" s="88"/>
    </row>
    <row r="940" spans="6:12" ht="12.5">
      <c r="F940" s="86"/>
      <c r="G940" s="86"/>
      <c r="H940" s="86"/>
      <c r="I940" s="65"/>
      <c r="J940" s="65"/>
      <c r="K940" s="87"/>
      <c r="L940" s="88"/>
    </row>
    <row r="941" spans="6:12" ht="12.5">
      <c r="F941" s="86"/>
      <c r="G941" s="86"/>
      <c r="H941" s="86"/>
      <c r="I941" s="65"/>
      <c r="J941" s="65"/>
      <c r="K941" s="87"/>
      <c r="L941" s="88"/>
    </row>
    <row r="942" spans="6:12" ht="12.5">
      <c r="F942" s="86"/>
      <c r="G942" s="86"/>
      <c r="H942" s="86"/>
      <c r="I942" s="65"/>
      <c r="J942" s="65"/>
      <c r="K942" s="87"/>
      <c r="L942" s="88"/>
    </row>
    <row r="943" spans="6:12" ht="12.5">
      <c r="F943" s="86"/>
      <c r="G943" s="86"/>
      <c r="H943" s="86"/>
      <c r="I943" s="65"/>
      <c r="J943" s="65"/>
      <c r="K943" s="87"/>
      <c r="L943" s="88"/>
    </row>
    <row r="944" spans="6:12" ht="12.5">
      <c r="F944" s="86"/>
      <c r="G944" s="86"/>
      <c r="H944" s="86"/>
      <c r="I944" s="65"/>
      <c r="J944" s="65"/>
      <c r="K944" s="87"/>
      <c r="L944" s="88"/>
    </row>
    <row r="945" spans="6:12" ht="12.5">
      <c r="F945" s="86"/>
      <c r="G945" s="86"/>
      <c r="H945" s="86"/>
      <c r="I945" s="65"/>
      <c r="J945" s="65"/>
      <c r="K945" s="87"/>
      <c r="L945" s="88"/>
    </row>
    <row r="946" spans="6:12" ht="12.5">
      <c r="F946" s="86"/>
      <c r="G946" s="86"/>
      <c r="H946" s="86"/>
      <c r="I946" s="65"/>
      <c r="J946" s="65"/>
      <c r="K946" s="87"/>
      <c r="L946" s="88"/>
    </row>
    <row r="947" spans="6:12" ht="12.5">
      <c r="F947" s="86"/>
      <c r="G947" s="86"/>
      <c r="H947" s="86"/>
      <c r="I947" s="65"/>
      <c r="J947" s="65"/>
      <c r="K947" s="87"/>
      <c r="L947" s="88"/>
    </row>
    <row r="948" spans="6:12" ht="12.5">
      <c r="F948" s="86"/>
      <c r="G948" s="86"/>
      <c r="H948" s="86"/>
      <c r="I948" s="65"/>
      <c r="J948" s="65"/>
      <c r="K948" s="87"/>
      <c r="L948" s="88"/>
    </row>
    <row r="949" spans="6:12" ht="12.5">
      <c r="F949" s="86"/>
      <c r="G949" s="86"/>
      <c r="H949" s="86"/>
      <c r="I949" s="65"/>
      <c r="J949" s="65"/>
      <c r="K949" s="87"/>
      <c r="L949" s="88"/>
    </row>
    <row r="950" spans="6:12" ht="12.5">
      <c r="F950" s="86"/>
      <c r="G950" s="86"/>
      <c r="H950" s="86"/>
      <c r="I950" s="65"/>
      <c r="J950" s="65"/>
      <c r="K950" s="87"/>
      <c r="L950" s="88"/>
    </row>
    <row r="951" spans="6:12" ht="12.5">
      <c r="F951" s="86"/>
      <c r="G951" s="86"/>
      <c r="H951" s="86"/>
      <c r="I951" s="65"/>
      <c r="J951" s="65"/>
      <c r="K951" s="87"/>
      <c r="L951" s="88"/>
    </row>
    <row r="952" spans="6:12" ht="12.5">
      <c r="F952" s="86"/>
      <c r="G952" s="86"/>
      <c r="H952" s="86"/>
      <c r="I952" s="65"/>
      <c r="J952" s="65"/>
      <c r="K952" s="87"/>
      <c r="L952" s="88"/>
    </row>
    <row r="953" spans="6:12" ht="12.5">
      <c r="F953" s="86"/>
      <c r="G953" s="86"/>
      <c r="H953" s="86"/>
      <c r="I953" s="65"/>
      <c r="J953" s="65"/>
      <c r="K953" s="87"/>
      <c r="L953" s="88"/>
    </row>
    <row r="954" spans="6:12" ht="12.5">
      <c r="F954" s="86"/>
      <c r="G954" s="86"/>
      <c r="H954" s="86"/>
      <c r="I954" s="65"/>
      <c r="J954" s="65"/>
      <c r="K954" s="87"/>
      <c r="L954" s="88"/>
    </row>
    <row r="955" spans="6:12" ht="12.5">
      <c r="F955" s="86"/>
      <c r="G955" s="86"/>
      <c r="H955" s="86"/>
      <c r="I955" s="65"/>
      <c r="J955" s="65"/>
      <c r="K955" s="87"/>
      <c r="L955" s="88"/>
    </row>
    <row r="956" spans="6:12" ht="12.5">
      <c r="F956" s="86"/>
      <c r="G956" s="86"/>
      <c r="H956" s="86"/>
      <c r="I956" s="65"/>
      <c r="J956" s="65"/>
      <c r="K956" s="87"/>
      <c r="L956" s="88"/>
    </row>
    <row r="957" spans="6:12" ht="12.5">
      <c r="F957" s="86"/>
      <c r="G957" s="86"/>
      <c r="H957" s="86"/>
      <c r="I957" s="65"/>
      <c r="J957" s="65"/>
      <c r="K957" s="87"/>
      <c r="L957" s="88"/>
    </row>
    <row r="958" spans="6:12" ht="12.5">
      <c r="F958" s="86"/>
      <c r="G958" s="86"/>
      <c r="H958" s="86"/>
      <c r="I958" s="65"/>
      <c r="J958" s="65"/>
      <c r="K958" s="87"/>
      <c r="L958" s="88"/>
    </row>
    <row r="959" spans="6:12" ht="12.5">
      <c r="F959" s="86"/>
      <c r="G959" s="86"/>
      <c r="H959" s="86"/>
      <c r="I959" s="65"/>
      <c r="J959" s="65"/>
      <c r="K959" s="87"/>
      <c r="L959" s="88"/>
    </row>
    <row r="960" spans="6:12" ht="12.5">
      <c r="F960" s="86"/>
      <c r="G960" s="86"/>
      <c r="H960" s="86"/>
      <c r="I960" s="65"/>
      <c r="J960" s="65"/>
      <c r="K960" s="87"/>
      <c r="L960" s="88"/>
    </row>
    <row r="961" spans="6:12" ht="12.5">
      <c r="F961" s="86"/>
      <c r="G961" s="86"/>
      <c r="H961" s="86"/>
      <c r="I961" s="65"/>
      <c r="J961" s="65"/>
      <c r="K961" s="87"/>
      <c r="L961" s="88"/>
    </row>
    <row r="962" spans="6:12" ht="12.5">
      <c r="F962" s="86"/>
      <c r="G962" s="86"/>
      <c r="H962" s="86"/>
      <c r="I962" s="65"/>
      <c r="J962" s="65"/>
      <c r="K962" s="87"/>
      <c r="L962" s="88"/>
    </row>
    <row r="963" spans="6:12" ht="12.5">
      <c r="F963" s="86"/>
      <c r="G963" s="86"/>
      <c r="H963" s="86"/>
      <c r="I963" s="65"/>
      <c r="J963" s="65"/>
      <c r="K963" s="87"/>
      <c r="L963" s="88"/>
    </row>
    <row r="964" spans="6:12" ht="12.5">
      <c r="F964" s="86"/>
      <c r="G964" s="86"/>
      <c r="H964" s="86"/>
      <c r="I964" s="65"/>
      <c r="J964" s="65"/>
      <c r="K964" s="87"/>
      <c r="L964" s="88"/>
    </row>
    <row r="965" spans="6:12" ht="12.5">
      <c r="F965" s="86"/>
      <c r="G965" s="86"/>
      <c r="H965" s="86"/>
      <c r="I965" s="65"/>
      <c r="J965" s="65"/>
      <c r="K965" s="87"/>
      <c r="L965" s="88"/>
    </row>
    <row r="966" spans="6:12" ht="12.5">
      <c r="F966" s="86"/>
      <c r="G966" s="86"/>
      <c r="H966" s="86"/>
      <c r="I966" s="65"/>
      <c r="J966" s="65"/>
      <c r="K966" s="87"/>
      <c r="L966" s="88"/>
    </row>
    <row r="967" spans="6:12" ht="12.5">
      <c r="F967" s="86"/>
      <c r="G967" s="86"/>
      <c r="H967" s="86"/>
      <c r="I967" s="65"/>
      <c r="J967" s="65"/>
      <c r="K967" s="87"/>
      <c r="L967" s="88"/>
    </row>
    <row r="968" spans="6:12" ht="12.5">
      <c r="F968" s="86"/>
      <c r="G968" s="86"/>
      <c r="H968" s="86"/>
      <c r="I968" s="65"/>
      <c r="J968" s="65"/>
      <c r="K968" s="87"/>
      <c r="L968" s="88"/>
    </row>
    <row r="969" spans="6:12" ht="12.5">
      <c r="F969" s="86"/>
      <c r="G969" s="86"/>
      <c r="H969" s="86"/>
      <c r="I969" s="65"/>
      <c r="J969" s="65"/>
      <c r="K969" s="87"/>
      <c r="L969" s="88"/>
    </row>
    <row r="970" spans="6:12" ht="12.5">
      <c r="F970" s="86"/>
      <c r="G970" s="86"/>
      <c r="H970" s="86"/>
      <c r="I970" s="65"/>
      <c r="J970" s="65"/>
      <c r="K970" s="87"/>
      <c r="L970" s="88"/>
    </row>
    <row r="971" spans="6:12" ht="12.5">
      <c r="F971" s="86"/>
      <c r="G971" s="86"/>
      <c r="H971" s="86"/>
      <c r="I971" s="65"/>
      <c r="J971" s="65"/>
      <c r="K971" s="87"/>
      <c r="L971" s="88"/>
    </row>
    <row r="972" spans="6:12" ht="12.5">
      <c r="F972" s="86"/>
      <c r="G972" s="86"/>
      <c r="H972" s="86"/>
      <c r="I972" s="65"/>
      <c r="J972" s="65"/>
      <c r="K972" s="87"/>
      <c r="L972" s="88"/>
    </row>
    <row r="973" spans="6:12" ht="12.5">
      <c r="F973" s="86"/>
      <c r="G973" s="86"/>
      <c r="H973" s="86"/>
      <c r="I973" s="65"/>
      <c r="J973" s="65"/>
      <c r="K973" s="87"/>
      <c r="L973" s="88"/>
    </row>
    <row r="974" spans="6:12" ht="12.5">
      <c r="F974" s="86"/>
      <c r="G974" s="86"/>
      <c r="H974" s="86"/>
      <c r="I974" s="65"/>
      <c r="J974" s="65"/>
      <c r="K974" s="87"/>
      <c r="L974" s="88"/>
    </row>
    <row r="975" spans="6:12" ht="12.5">
      <c r="F975" s="86"/>
      <c r="G975" s="86"/>
      <c r="H975" s="86"/>
      <c r="I975" s="65"/>
      <c r="J975" s="65"/>
      <c r="K975" s="87"/>
      <c r="L975" s="88"/>
    </row>
    <row r="976" spans="6:12" ht="12.5">
      <c r="F976" s="86"/>
      <c r="G976" s="86"/>
      <c r="H976" s="86"/>
      <c r="I976" s="65"/>
      <c r="J976" s="65"/>
      <c r="K976" s="87"/>
      <c r="L976" s="88"/>
    </row>
    <row r="977" spans="6:12" ht="12.5">
      <c r="F977" s="86"/>
      <c r="G977" s="86"/>
      <c r="H977" s="86"/>
      <c r="I977" s="65"/>
      <c r="J977" s="65"/>
      <c r="K977" s="87"/>
      <c r="L977" s="88"/>
    </row>
    <row r="978" spans="6:12" ht="12.5">
      <c r="F978" s="86"/>
      <c r="G978" s="86"/>
      <c r="H978" s="86"/>
      <c r="I978" s="65"/>
      <c r="J978" s="65"/>
      <c r="K978" s="87"/>
      <c r="L978" s="88"/>
    </row>
    <row r="979" spans="6:12" ht="12.5">
      <c r="F979" s="86"/>
      <c r="G979" s="86"/>
      <c r="H979" s="86"/>
      <c r="I979" s="65"/>
      <c r="J979" s="65"/>
      <c r="K979" s="87"/>
      <c r="L979" s="88"/>
    </row>
    <row r="980" spans="6:12" ht="12.5">
      <c r="F980" s="86"/>
      <c r="G980" s="86"/>
      <c r="H980" s="86"/>
      <c r="I980" s="65"/>
      <c r="J980" s="65"/>
      <c r="K980" s="87"/>
      <c r="L980" s="88"/>
    </row>
    <row r="981" spans="6:12" ht="12.5">
      <c r="F981" s="86"/>
      <c r="G981" s="86"/>
      <c r="H981" s="86"/>
      <c r="I981" s="65"/>
      <c r="J981" s="65"/>
      <c r="K981" s="87"/>
      <c r="L981" s="88"/>
    </row>
    <row r="982" spans="6:12" ht="12.5">
      <c r="F982" s="86"/>
      <c r="G982" s="86"/>
      <c r="H982" s="86"/>
      <c r="I982" s="65"/>
      <c r="J982" s="65"/>
      <c r="K982" s="87"/>
      <c r="L982" s="88"/>
    </row>
    <row r="983" spans="6:12" ht="12.5">
      <c r="F983" s="86"/>
      <c r="G983" s="86"/>
      <c r="H983" s="86"/>
      <c r="I983" s="65"/>
      <c r="J983" s="65"/>
      <c r="K983" s="87"/>
      <c r="L983" s="88"/>
    </row>
    <row r="984" spans="6:12" ht="12.5">
      <c r="F984" s="86"/>
      <c r="G984" s="86"/>
      <c r="H984" s="86"/>
      <c r="I984" s="65"/>
      <c r="J984" s="65"/>
      <c r="K984" s="87"/>
      <c r="L984" s="88"/>
    </row>
    <row r="985" spans="6:12" ht="12.5">
      <c r="F985" s="86"/>
      <c r="G985" s="86"/>
      <c r="H985" s="86"/>
      <c r="I985" s="65"/>
      <c r="J985" s="65"/>
      <c r="K985" s="87"/>
      <c r="L985" s="88"/>
    </row>
    <row r="986" spans="6:12" ht="12.5">
      <c r="F986" s="86"/>
      <c r="G986" s="86"/>
      <c r="H986" s="86"/>
      <c r="I986" s="65"/>
      <c r="J986" s="65"/>
      <c r="K986" s="87"/>
      <c r="L986" s="88"/>
    </row>
    <row r="987" spans="6:12" ht="12.5">
      <c r="F987" s="86"/>
      <c r="G987" s="86"/>
      <c r="H987" s="86"/>
      <c r="I987" s="65"/>
      <c r="J987" s="65"/>
      <c r="K987" s="87"/>
      <c r="L987" s="88"/>
    </row>
    <row r="988" spans="6:12" ht="12.5">
      <c r="F988" s="86"/>
      <c r="G988" s="86"/>
      <c r="H988" s="86"/>
      <c r="I988" s="65"/>
      <c r="J988" s="65"/>
      <c r="K988" s="87"/>
      <c r="L988" s="88"/>
    </row>
    <row r="989" spans="6:12" ht="12.5">
      <c r="F989" s="86"/>
      <c r="G989" s="86"/>
      <c r="H989" s="86"/>
      <c r="I989" s="65"/>
      <c r="J989" s="65"/>
      <c r="K989" s="87"/>
      <c r="L989" s="88"/>
    </row>
    <row r="990" spans="6:12" ht="12.5">
      <c r="F990" s="86"/>
      <c r="G990" s="86"/>
      <c r="H990" s="86"/>
      <c r="I990" s="65"/>
      <c r="J990" s="65"/>
      <c r="K990" s="87"/>
      <c r="L990" s="88"/>
    </row>
    <row r="991" spans="6:12" ht="12.5">
      <c r="F991" s="86"/>
      <c r="G991" s="86"/>
      <c r="H991" s="86"/>
      <c r="I991" s="65"/>
      <c r="J991" s="65"/>
      <c r="K991" s="87"/>
      <c r="L991" s="88"/>
    </row>
    <row r="992" spans="6:12" ht="12.5">
      <c r="F992" s="86"/>
      <c r="G992" s="86"/>
      <c r="H992" s="86"/>
      <c r="I992" s="65"/>
      <c r="J992" s="65"/>
      <c r="K992" s="87"/>
      <c r="L992" s="88"/>
    </row>
    <row r="993" spans="6:12" ht="12.5">
      <c r="F993" s="86"/>
      <c r="G993" s="86"/>
      <c r="H993" s="86"/>
      <c r="I993" s="65"/>
      <c r="J993" s="65"/>
      <c r="K993" s="87"/>
      <c r="L993" s="88"/>
    </row>
    <row r="994" spans="6:12" ht="12.5">
      <c r="F994" s="86"/>
      <c r="G994" s="86"/>
      <c r="H994" s="86"/>
      <c r="I994" s="65"/>
      <c r="J994" s="65"/>
      <c r="K994" s="87"/>
      <c r="L994" s="88"/>
    </row>
    <row r="995" spans="6:12" ht="12.5">
      <c r="F995" s="86"/>
      <c r="G995" s="86"/>
      <c r="H995" s="86"/>
      <c r="I995" s="65"/>
      <c r="J995" s="65"/>
      <c r="K995" s="87"/>
      <c r="L995" s="88"/>
    </row>
    <row r="996" spans="6:12" ht="12.5">
      <c r="F996" s="86"/>
      <c r="G996" s="86"/>
      <c r="H996" s="86"/>
      <c r="I996" s="65"/>
      <c r="J996" s="65"/>
      <c r="K996" s="87"/>
      <c r="L996" s="88"/>
    </row>
    <row r="997" spans="6:12" ht="12.5">
      <c r="F997" s="86"/>
      <c r="G997" s="86"/>
      <c r="H997" s="86"/>
      <c r="I997" s="65"/>
      <c r="J997" s="65"/>
      <c r="K997" s="87"/>
      <c r="L997" s="88"/>
    </row>
    <row r="998" spans="6:12" ht="12.5">
      <c r="F998" s="86"/>
      <c r="G998" s="86"/>
      <c r="H998" s="86"/>
      <c r="I998" s="65"/>
      <c r="J998" s="65"/>
      <c r="K998" s="87"/>
      <c r="L998" s="88"/>
    </row>
    <row r="999" spans="6:12" ht="12.5">
      <c r="F999" s="86"/>
      <c r="G999" s="86"/>
      <c r="H999" s="86"/>
      <c r="I999" s="65"/>
      <c r="J999" s="65"/>
      <c r="K999" s="87"/>
      <c r="L999" s="88"/>
    </row>
    <row r="1000" spans="6:12" ht="12.5">
      <c r="F1000" s="89"/>
      <c r="G1000" s="89"/>
      <c r="H1000" s="89"/>
      <c r="I1000" s="90"/>
      <c r="J1000" s="65"/>
      <c r="K1000" s="91"/>
      <c r="L1000" s="50"/>
    </row>
    <row r="1001" spans="6:12" ht="12.5">
      <c r="F1001" s="89"/>
      <c r="G1001" s="89"/>
      <c r="H1001" s="89"/>
      <c r="I1001" s="90"/>
      <c r="J1001" s="92"/>
    </row>
    <row r="1002" spans="6:12" ht="12.5">
      <c r="F1002" s="89"/>
      <c r="G1002" s="89"/>
      <c r="H1002" s="89"/>
      <c r="I1002" s="90"/>
      <c r="J1002" s="9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Z1002"/>
  <sheetViews>
    <sheetView workbookViewId="0"/>
  </sheetViews>
  <sheetFormatPr defaultColWidth="12.54296875" defaultRowHeight="15" customHeight="1"/>
  <cols>
    <col min="2" max="2" width="15" customWidth="1"/>
    <col min="3" max="3" width="16.453125" customWidth="1"/>
  </cols>
  <sheetData>
    <row r="1" spans="1:12" ht="15" customHeight="1">
      <c r="A1" s="2" t="s">
        <v>147</v>
      </c>
      <c r="B1" s="61" t="s">
        <v>148</v>
      </c>
      <c r="C1" s="61" t="s">
        <v>149</v>
      </c>
      <c r="D1" s="62" t="s">
        <v>150</v>
      </c>
      <c r="E1" s="62" t="s">
        <v>151</v>
      </c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43304</v>
      </c>
      <c r="B2" s="61">
        <v>1</v>
      </c>
      <c r="C2" s="61" t="s">
        <v>160</v>
      </c>
      <c r="D2" s="62">
        <v>2500</v>
      </c>
      <c r="E2" s="62">
        <v>1294632</v>
      </c>
      <c r="F2" s="63">
        <f>I2-0</f>
        <v>2500</v>
      </c>
      <c r="G2" s="63">
        <f t="shared" ref="G2:G39" si="0">$B$30/$I$30*(F2)</f>
        <v>0.31569642631645412</v>
      </c>
      <c r="H2" s="63">
        <f>$B$30/SQRT($I$30)*(SQRT(I2)-SQRT(0))</f>
        <v>3.025755502874806</v>
      </c>
      <c r="I2" s="76">
        <f t="shared" ref="I2:I39" si="1">D2</f>
        <v>2500</v>
      </c>
      <c r="J2" s="76">
        <f t="shared" ref="J2:J39" si="2">E2</f>
        <v>1294632</v>
      </c>
      <c r="K2" s="77">
        <f>J2*'Inflation Rates by Year'!$F$2</f>
        <v>1544347.4729317881</v>
      </c>
      <c r="L2" s="78">
        <f t="shared" ref="L2:L39" si="3">K2/I2</f>
        <v>617.73898917271526</v>
      </c>
    </row>
    <row r="3" spans="1:12" ht="15" customHeight="1">
      <c r="A3" s="81">
        <v>43305</v>
      </c>
      <c r="B3" s="61">
        <v>2</v>
      </c>
      <c r="C3" s="61" t="s">
        <v>160</v>
      </c>
      <c r="D3" s="62">
        <v>4500</v>
      </c>
      <c r="E3" s="62">
        <v>2800000</v>
      </c>
      <c r="F3" s="63">
        <f t="shared" ref="F3:F39" si="4">I3-I2</f>
        <v>2000</v>
      </c>
      <c r="G3" s="63">
        <f t="shared" si="0"/>
        <v>0.25255714105316329</v>
      </c>
      <c r="H3" s="63">
        <f t="shared" ref="H3:H30" si="5">$B$30/SQRT($I$30)*(SQRT(I3)-SQRT(I2))</f>
        <v>1.0337214897584697</v>
      </c>
      <c r="I3" s="76">
        <f t="shared" si="1"/>
        <v>4500</v>
      </c>
      <c r="J3" s="76">
        <f t="shared" si="2"/>
        <v>2800000</v>
      </c>
      <c r="K3" s="77">
        <f>J3*'Inflation Rates by Year'!$F$2</f>
        <v>3340078.8210155526</v>
      </c>
      <c r="L3" s="78">
        <f t="shared" si="3"/>
        <v>742.23973800345618</v>
      </c>
    </row>
    <row r="4" spans="1:12" ht="15" customHeight="1">
      <c r="A4" s="81">
        <v>43306</v>
      </c>
      <c r="B4" s="61">
        <v>3</v>
      </c>
      <c r="C4" s="61" t="s">
        <v>160</v>
      </c>
      <c r="D4" s="62">
        <v>20000</v>
      </c>
      <c r="E4" s="62">
        <v>7100000</v>
      </c>
      <c r="F4" s="63">
        <f t="shared" si="4"/>
        <v>15500</v>
      </c>
      <c r="G4" s="63">
        <f t="shared" si="0"/>
        <v>1.9573178431620155</v>
      </c>
      <c r="H4" s="63">
        <f t="shared" si="5"/>
        <v>4.4986519445478743</v>
      </c>
      <c r="I4" s="76">
        <f t="shared" si="1"/>
        <v>20000</v>
      </c>
      <c r="J4" s="76">
        <f t="shared" si="2"/>
        <v>7100000</v>
      </c>
      <c r="K4" s="77">
        <f>J4*'Inflation Rates by Year'!$F$2</f>
        <v>8469485.5818608645</v>
      </c>
      <c r="L4" s="78">
        <f t="shared" si="3"/>
        <v>423.47427909304321</v>
      </c>
    </row>
    <row r="5" spans="1:12" ht="15" customHeight="1">
      <c r="A5" s="81">
        <v>43307</v>
      </c>
      <c r="B5" s="61">
        <v>4</v>
      </c>
      <c r="C5" s="61" t="s">
        <v>160</v>
      </c>
      <c r="D5" s="62">
        <v>44450</v>
      </c>
      <c r="E5" s="62">
        <v>8000000</v>
      </c>
      <c r="F5" s="63">
        <f t="shared" si="4"/>
        <v>24450</v>
      </c>
      <c r="G5" s="63">
        <f t="shared" si="0"/>
        <v>3.0875110493749212</v>
      </c>
      <c r="H5" s="63">
        <f t="shared" si="5"/>
        <v>4.2003737703190556</v>
      </c>
      <c r="I5" s="76">
        <f t="shared" si="1"/>
        <v>44450</v>
      </c>
      <c r="J5" s="76">
        <f t="shared" si="2"/>
        <v>8000000</v>
      </c>
      <c r="K5" s="77">
        <f>J5*'Inflation Rates by Year'!$F$2</f>
        <v>9543082.3457587212</v>
      </c>
      <c r="L5" s="78">
        <f t="shared" si="3"/>
        <v>214.69251621504435</v>
      </c>
    </row>
    <row r="6" spans="1:12" ht="15" customHeight="1">
      <c r="A6" s="81">
        <v>43308</v>
      </c>
      <c r="B6" s="61">
        <v>5</v>
      </c>
      <c r="C6" s="61" t="s">
        <v>160</v>
      </c>
      <c r="D6" s="62">
        <v>80906</v>
      </c>
      <c r="E6" s="62">
        <v>9657786</v>
      </c>
      <c r="F6" s="63">
        <f t="shared" si="4"/>
        <v>36456</v>
      </c>
      <c r="G6" s="63">
        <f t="shared" si="0"/>
        <v>4.6036115671170599</v>
      </c>
      <c r="H6" s="63">
        <f t="shared" si="5"/>
        <v>4.4544031129498922</v>
      </c>
      <c r="I6" s="76">
        <f t="shared" si="1"/>
        <v>80906</v>
      </c>
      <c r="J6" s="76">
        <f t="shared" si="2"/>
        <v>9657786</v>
      </c>
      <c r="K6" s="77">
        <f>J6*'Inflation Rates by Year'!$F$2</f>
        <v>11520630.884464467</v>
      </c>
      <c r="L6" s="78">
        <f t="shared" si="3"/>
        <v>142.39525973925873</v>
      </c>
    </row>
    <row r="7" spans="1:12" ht="15" customHeight="1">
      <c r="A7" s="81">
        <v>43309</v>
      </c>
      <c r="B7" s="61">
        <v>6</v>
      </c>
      <c r="C7" s="61" t="s">
        <v>160</v>
      </c>
      <c r="D7" s="62">
        <v>80906</v>
      </c>
      <c r="E7" s="62">
        <v>9657786</v>
      </c>
      <c r="F7" s="63">
        <f t="shared" si="4"/>
        <v>0</v>
      </c>
      <c r="G7" s="63">
        <f t="shared" si="0"/>
        <v>0</v>
      </c>
      <c r="H7" s="63">
        <f t="shared" si="5"/>
        <v>0</v>
      </c>
      <c r="I7" s="76">
        <f t="shared" si="1"/>
        <v>80906</v>
      </c>
      <c r="J7" s="76">
        <f t="shared" si="2"/>
        <v>9657786</v>
      </c>
      <c r="K7" s="77">
        <f>J7*'Inflation Rates by Year'!$F$2</f>
        <v>11520630.884464467</v>
      </c>
      <c r="L7" s="78">
        <f t="shared" si="3"/>
        <v>142.39525973925873</v>
      </c>
    </row>
    <row r="8" spans="1:12" ht="15" customHeight="1">
      <c r="A8" s="81">
        <v>43310</v>
      </c>
      <c r="B8" s="61">
        <v>7</v>
      </c>
      <c r="C8" s="61" t="s">
        <v>160</v>
      </c>
      <c r="D8" s="62">
        <v>95368</v>
      </c>
      <c r="E8" s="62">
        <v>20352931</v>
      </c>
      <c r="F8" s="63">
        <f t="shared" si="4"/>
        <v>14462</v>
      </c>
      <c r="G8" s="63">
        <f t="shared" si="0"/>
        <v>1.8262406869554237</v>
      </c>
      <c r="H8" s="63">
        <f t="shared" si="5"/>
        <v>1.475194850976951</v>
      </c>
      <c r="I8" s="76">
        <f t="shared" si="1"/>
        <v>95368</v>
      </c>
      <c r="J8" s="76">
        <f t="shared" si="2"/>
        <v>20352931</v>
      </c>
      <c r="K8" s="77">
        <f>J8*'Inflation Rates by Year'!$F$2</f>
        <v>24278712.063818175</v>
      </c>
      <c r="L8" s="78">
        <f t="shared" si="3"/>
        <v>254.57923059955306</v>
      </c>
    </row>
    <row r="9" spans="1:12" ht="15" customHeight="1">
      <c r="A9" s="81">
        <v>43311</v>
      </c>
      <c r="B9" s="61">
        <v>8</v>
      </c>
      <c r="C9" s="61" t="s">
        <v>160</v>
      </c>
      <c r="D9" s="62">
        <v>110154</v>
      </c>
      <c r="E9" s="62">
        <v>25400700</v>
      </c>
      <c r="F9" s="63">
        <f t="shared" si="4"/>
        <v>14786</v>
      </c>
      <c r="G9" s="63">
        <f t="shared" si="0"/>
        <v>1.8671549438060362</v>
      </c>
      <c r="H9" s="63">
        <f t="shared" si="5"/>
        <v>1.3965352494893961</v>
      </c>
      <c r="I9" s="76">
        <f t="shared" si="1"/>
        <v>110154</v>
      </c>
      <c r="J9" s="76">
        <f t="shared" si="2"/>
        <v>25400700</v>
      </c>
      <c r="K9" s="77">
        <f>J9*'Inflation Rates by Year'!$F$2</f>
        <v>30300121.467489194</v>
      </c>
      <c r="L9" s="78">
        <f t="shared" si="3"/>
        <v>275.07055093314079</v>
      </c>
    </row>
    <row r="10" spans="1:12" ht="15" customHeight="1">
      <c r="A10" s="81">
        <v>43312</v>
      </c>
      <c r="B10" s="61">
        <v>9</v>
      </c>
      <c r="C10" s="61" t="s">
        <v>684</v>
      </c>
      <c r="D10" s="62">
        <v>115538</v>
      </c>
      <c r="E10" s="62">
        <v>29951177</v>
      </c>
      <c r="F10" s="63">
        <f t="shared" si="4"/>
        <v>5384</v>
      </c>
      <c r="G10" s="63">
        <f t="shared" si="0"/>
        <v>0.67988382371511558</v>
      </c>
      <c r="H10" s="63">
        <f t="shared" si="5"/>
        <v>0.48498320447101134</v>
      </c>
      <c r="I10" s="76">
        <f t="shared" si="1"/>
        <v>115538</v>
      </c>
      <c r="J10" s="76">
        <f t="shared" si="2"/>
        <v>29951177</v>
      </c>
      <c r="K10" s="77">
        <f>J10*'Inflation Rates by Year'!$F$2</f>
        <v>35728318.55792433</v>
      </c>
      <c r="L10" s="78">
        <f t="shared" si="3"/>
        <v>309.23435197012526</v>
      </c>
    </row>
    <row r="11" spans="1:12" ht="15" customHeight="1">
      <c r="A11" s="81">
        <v>43313</v>
      </c>
      <c r="B11" s="61">
        <v>10</v>
      </c>
      <c r="C11" s="61" t="s">
        <v>684</v>
      </c>
      <c r="D11" s="62">
        <v>121049</v>
      </c>
      <c r="E11" s="62">
        <v>35491671</v>
      </c>
      <c r="F11" s="63">
        <f t="shared" si="4"/>
        <v>5511</v>
      </c>
      <c r="G11" s="63">
        <f t="shared" si="0"/>
        <v>0.69592120217199138</v>
      </c>
      <c r="H11" s="63">
        <f t="shared" si="5"/>
        <v>0.48485654669930517</v>
      </c>
      <c r="I11" s="76">
        <f t="shared" si="1"/>
        <v>121049</v>
      </c>
      <c r="J11" s="76">
        <f t="shared" si="2"/>
        <v>35491671</v>
      </c>
      <c r="K11" s="77">
        <f>J11*'Inflation Rates by Year'!$F$2</f>
        <v>42337492.367697097</v>
      </c>
      <c r="L11" s="78">
        <f t="shared" si="3"/>
        <v>349.75499481777706</v>
      </c>
    </row>
    <row r="12" spans="1:12" ht="15" customHeight="1">
      <c r="A12" s="81">
        <v>43314</v>
      </c>
      <c r="B12" s="61">
        <v>11</v>
      </c>
      <c r="C12" s="61" t="s">
        <v>160</v>
      </c>
      <c r="D12" s="62">
        <v>126913</v>
      </c>
      <c r="E12" s="62">
        <v>41212686</v>
      </c>
      <c r="F12" s="63">
        <f t="shared" si="4"/>
        <v>5864</v>
      </c>
      <c r="G12" s="63">
        <f t="shared" si="0"/>
        <v>0.74049753756787473</v>
      </c>
      <c r="H12" s="63">
        <f t="shared" si="5"/>
        <v>0.50394204387656893</v>
      </c>
      <c r="I12" s="76">
        <f t="shared" si="1"/>
        <v>126913</v>
      </c>
      <c r="J12" s="76">
        <f t="shared" si="2"/>
        <v>41212686</v>
      </c>
      <c r="K12" s="77">
        <f>J12*'Inflation Rates by Year'!$F$2</f>
        <v>49162007.023487203</v>
      </c>
      <c r="L12" s="78">
        <f t="shared" si="3"/>
        <v>387.36777968755922</v>
      </c>
    </row>
    <row r="13" spans="1:12" ht="15" customHeight="1">
      <c r="A13" s="81">
        <v>43315</v>
      </c>
      <c r="B13" s="61">
        <v>12</v>
      </c>
      <c r="C13" s="61" t="s">
        <v>160</v>
      </c>
      <c r="D13" s="62">
        <v>141825</v>
      </c>
      <c r="E13" s="62">
        <v>49213273</v>
      </c>
      <c r="F13" s="63">
        <f t="shared" si="4"/>
        <v>14912</v>
      </c>
      <c r="G13" s="63">
        <f t="shared" si="0"/>
        <v>1.8830660436923854</v>
      </c>
      <c r="H13" s="63">
        <f t="shared" si="5"/>
        <v>1.2313670500900966</v>
      </c>
      <c r="I13" s="76">
        <f t="shared" si="1"/>
        <v>141825</v>
      </c>
      <c r="J13" s="76">
        <f t="shared" si="2"/>
        <v>49213273</v>
      </c>
      <c r="K13" s="77">
        <f>J13*'Inflation Rates by Year'!$F$2</f>
        <v>58705789.592913046</v>
      </c>
      <c r="L13" s="78">
        <f t="shared" si="3"/>
        <v>413.93117992535201</v>
      </c>
    </row>
    <row r="14" spans="1:12" ht="15" customHeight="1">
      <c r="A14" s="81">
        <v>43316</v>
      </c>
      <c r="B14" s="61">
        <v>13</v>
      </c>
      <c r="C14" s="61" t="s">
        <v>160</v>
      </c>
      <c r="D14" s="62">
        <v>154524</v>
      </c>
      <c r="E14" s="62">
        <v>55874784</v>
      </c>
      <c r="F14" s="63">
        <f t="shared" si="4"/>
        <v>12699</v>
      </c>
      <c r="G14" s="63">
        <f t="shared" si="0"/>
        <v>1.6036115671170603</v>
      </c>
      <c r="H14" s="63">
        <f t="shared" si="5"/>
        <v>0.99842712827430946</v>
      </c>
      <c r="I14" s="76">
        <f t="shared" si="1"/>
        <v>154524</v>
      </c>
      <c r="J14" s="76">
        <f t="shared" si="2"/>
        <v>55874784</v>
      </c>
      <c r="K14" s="77">
        <f>J14*'Inflation Rates by Year'!$F$2</f>
        <v>66652208.095435232</v>
      </c>
      <c r="L14" s="78">
        <f t="shared" si="3"/>
        <v>431.33887354349639</v>
      </c>
    </row>
    <row r="15" spans="1:12" ht="15" customHeight="1">
      <c r="A15" s="81">
        <v>43317</v>
      </c>
      <c r="B15" s="61">
        <v>14</v>
      </c>
      <c r="C15" s="61" t="s">
        <v>160</v>
      </c>
      <c r="D15" s="62">
        <v>160049</v>
      </c>
      <c r="E15" s="62">
        <v>62722585</v>
      </c>
      <c r="F15" s="63">
        <f t="shared" si="4"/>
        <v>5525</v>
      </c>
      <c r="G15" s="63">
        <f t="shared" si="0"/>
        <v>0.69768910215936353</v>
      </c>
      <c r="H15" s="63">
        <f t="shared" si="5"/>
        <v>0.42153839542240629</v>
      </c>
      <c r="I15" s="76">
        <f t="shared" si="1"/>
        <v>160049</v>
      </c>
      <c r="J15" s="76">
        <f t="shared" si="2"/>
        <v>62722585</v>
      </c>
      <c r="K15" s="77">
        <f>J15*'Inflation Rates by Year'!$F$2</f>
        <v>74820849.199231341</v>
      </c>
      <c r="L15" s="78">
        <f t="shared" si="3"/>
        <v>467.48713955870602</v>
      </c>
    </row>
    <row r="16" spans="1:12" ht="15" customHeight="1">
      <c r="A16" s="81">
        <v>43318</v>
      </c>
      <c r="B16" s="61">
        <v>15</v>
      </c>
      <c r="C16" s="61" t="s">
        <v>160</v>
      </c>
      <c r="D16" s="62">
        <v>167113</v>
      </c>
      <c r="E16" s="62">
        <v>69124042</v>
      </c>
      <c r="F16" s="63">
        <f t="shared" si="4"/>
        <v>7064</v>
      </c>
      <c r="G16" s="63">
        <f t="shared" si="0"/>
        <v>0.89203182219977273</v>
      </c>
      <c r="H16" s="63">
        <f t="shared" si="5"/>
        <v>0.52849807054914666</v>
      </c>
      <c r="I16" s="76">
        <f t="shared" si="1"/>
        <v>167113</v>
      </c>
      <c r="J16" s="76">
        <f t="shared" si="2"/>
        <v>69124042</v>
      </c>
      <c r="K16" s="77">
        <f>J16*'Inflation Rates by Year'!$F$2</f>
        <v>82457053.109710544</v>
      </c>
      <c r="L16" s="78">
        <f t="shared" si="3"/>
        <v>493.42093738793835</v>
      </c>
    </row>
    <row r="17" spans="1:26" ht="15" customHeight="1">
      <c r="A17" s="81">
        <v>43319</v>
      </c>
      <c r="B17" s="61">
        <v>16</v>
      </c>
      <c r="C17" s="61" t="s">
        <v>160</v>
      </c>
      <c r="D17" s="62">
        <v>173522</v>
      </c>
      <c r="E17" s="62">
        <v>76891557</v>
      </c>
      <c r="F17" s="63">
        <f t="shared" si="4"/>
        <v>6409</v>
      </c>
      <c r="G17" s="63">
        <f t="shared" si="0"/>
        <v>0.8093193585048617</v>
      </c>
      <c r="H17" s="63">
        <f t="shared" si="5"/>
        <v>0.46990891730613954</v>
      </c>
      <c r="I17" s="76">
        <f t="shared" si="1"/>
        <v>173522</v>
      </c>
      <c r="J17" s="76">
        <f t="shared" si="2"/>
        <v>76891557</v>
      </c>
      <c r="K17" s="77">
        <f>J17*'Inflation Rates by Year'!$F$2</f>
        <v>91722807.518075049</v>
      </c>
      <c r="L17" s="78">
        <f t="shared" si="3"/>
        <v>528.59468838576697</v>
      </c>
    </row>
    <row r="18" spans="1:26" ht="15" customHeight="1">
      <c r="A18" s="81">
        <v>43320</v>
      </c>
      <c r="B18" s="61">
        <v>17</v>
      </c>
      <c r="C18" s="61" t="s">
        <v>160</v>
      </c>
      <c r="D18" s="62">
        <v>176069</v>
      </c>
      <c r="E18" s="62">
        <v>85018688</v>
      </c>
      <c r="F18" s="63">
        <f t="shared" si="4"/>
        <v>2547</v>
      </c>
      <c r="G18" s="63">
        <f t="shared" si="0"/>
        <v>0.32163151913120341</v>
      </c>
      <c r="H18" s="63">
        <f t="shared" si="5"/>
        <v>0.18433191481712982</v>
      </c>
      <c r="I18" s="76">
        <f t="shared" si="1"/>
        <v>176069</v>
      </c>
      <c r="J18" s="76">
        <f t="shared" si="2"/>
        <v>85018688</v>
      </c>
      <c r="K18" s="77">
        <f>J18*'Inflation Rates by Year'!$F$2</f>
        <v>101417542.5640461</v>
      </c>
      <c r="L18" s="78">
        <f t="shared" si="3"/>
        <v>576.01021510911119</v>
      </c>
    </row>
    <row r="19" spans="1:26" ht="15" customHeight="1">
      <c r="A19" s="81">
        <v>43321</v>
      </c>
      <c r="B19" s="61">
        <v>18</v>
      </c>
      <c r="C19" s="61" t="s">
        <v>160</v>
      </c>
      <c r="D19" s="62">
        <v>181496</v>
      </c>
      <c r="E19" s="62">
        <v>91077754</v>
      </c>
      <c r="F19" s="63">
        <f t="shared" si="4"/>
        <v>5427</v>
      </c>
      <c r="G19" s="63">
        <f t="shared" si="0"/>
        <v>0.68531380224775851</v>
      </c>
      <c r="H19" s="63">
        <f t="shared" si="5"/>
        <v>0.38836819542397716</v>
      </c>
      <c r="I19" s="76">
        <f t="shared" si="1"/>
        <v>181496</v>
      </c>
      <c r="J19" s="76">
        <f t="shared" si="2"/>
        <v>91077754</v>
      </c>
      <c r="K19" s="77">
        <f>J19*'Inflation Rates by Year'!$F$2</f>
        <v>108645313.28609447</v>
      </c>
      <c r="L19" s="78">
        <f t="shared" si="3"/>
        <v>598.6099599225023</v>
      </c>
    </row>
    <row r="20" spans="1:26" ht="15" customHeight="1">
      <c r="A20" s="81">
        <v>43322</v>
      </c>
      <c r="B20" s="61">
        <v>19</v>
      </c>
      <c r="C20" s="61" t="s">
        <v>160</v>
      </c>
      <c r="D20" s="62">
        <v>183633</v>
      </c>
      <c r="E20" s="62">
        <v>97167408</v>
      </c>
      <c r="F20" s="63">
        <f t="shared" si="4"/>
        <v>2137</v>
      </c>
      <c r="G20" s="63">
        <f t="shared" si="0"/>
        <v>0.26985730521530499</v>
      </c>
      <c r="H20" s="63">
        <f t="shared" si="5"/>
        <v>0.15133244455530104</v>
      </c>
      <c r="I20" s="76">
        <f t="shared" si="1"/>
        <v>183633</v>
      </c>
      <c r="J20" s="76">
        <f t="shared" si="2"/>
        <v>97167408</v>
      </c>
      <c r="K20" s="77">
        <f>J20*'Inflation Rates by Year'!$F$2</f>
        <v>115909571.98349184</v>
      </c>
      <c r="L20" s="78">
        <f t="shared" si="3"/>
        <v>631.20230015025538</v>
      </c>
    </row>
    <row r="21" spans="1:26" ht="14.5">
      <c r="A21" s="81">
        <v>43323</v>
      </c>
      <c r="B21" s="61">
        <v>20</v>
      </c>
      <c r="C21" s="61" t="s">
        <v>160</v>
      </c>
      <c r="D21" s="62">
        <v>190873</v>
      </c>
      <c r="E21" s="62">
        <v>103317859</v>
      </c>
      <c r="F21" s="63">
        <f t="shared" si="4"/>
        <v>7240</v>
      </c>
      <c r="G21" s="63">
        <f t="shared" si="0"/>
        <v>0.9142568506124511</v>
      </c>
      <c r="H21" s="63">
        <f t="shared" si="5"/>
        <v>0.50626545854672866</v>
      </c>
      <c r="I21" s="76">
        <f t="shared" si="1"/>
        <v>190873</v>
      </c>
      <c r="J21" s="76">
        <f t="shared" si="2"/>
        <v>103317859</v>
      </c>
      <c r="K21" s="77">
        <f>J21*'Inflation Rates by Year'!$F$2</f>
        <v>123246354.52806111</v>
      </c>
      <c r="L21" s="78">
        <f t="shared" si="3"/>
        <v>645.69821047534799</v>
      </c>
    </row>
    <row r="22" spans="1:26" ht="14.5">
      <c r="A22" s="81">
        <v>43324</v>
      </c>
      <c r="B22" s="61">
        <v>21</v>
      </c>
      <c r="C22" s="61" t="s">
        <v>160</v>
      </c>
      <c r="D22" s="62">
        <v>202976</v>
      </c>
      <c r="E22" s="62">
        <v>109685485</v>
      </c>
      <c r="F22" s="63">
        <f t="shared" si="4"/>
        <v>12103</v>
      </c>
      <c r="G22" s="63">
        <f t="shared" si="0"/>
        <v>1.5283495390832176</v>
      </c>
      <c r="H22" s="63">
        <f t="shared" si="5"/>
        <v>0.82533121798851705</v>
      </c>
      <c r="I22" s="76">
        <f t="shared" si="1"/>
        <v>202976</v>
      </c>
      <c r="J22" s="76">
        <f t="shared" si="2"/>
        <v>109685485</v>
      </c>
      <c r="K22" s="77">
        <f>J22*'Inflation Rates by Year'!$F$2</f>
        <v>130842201.93618537</v>
      </c>
      <c r="L22" s="78">
        <f t="shared" si="3"/>
        <v>644.61907780321508</v>
      </c>
    </row>
    <row r="23" spans="1:26" ht="14.5">
      <c r="A23" s="81">
        <v>43325</v>
      </c>
      <c r="B23" s="61">
        <v>22</v>
      </c>
      <c r="C23" s="61" t="s">
        <v>160</v>
      </c>
      <c r="D23" s="62">
        <v>207162</v>
      </c>
      <c r="E23" s="62">
        <v>115332657</v>
      </c>
      <c r="F23" s="63">
        <f t="shared" si="4"/>
        <v>4186</v>
      </c>
      <c r="G23" s="63">
        <f t="shared" si="0"/>
        <v>0.52860209622427079</v>
      </c>
      <c r="H23" s="63">
        <f t="shared" si="5"/>
        <v>0.27969757705689474</v>
      </c>
      <c r="I23" s="76">
        <f t="shared" si="1"/>
        <v>207162</v>
      </c>
      <c r="J23" s="76">
        <f t="shared" si="2"/>
        <v>115332657</v>
      </c>
      <c r="K23" s="77">
        <f>J23*'Inflation Rates by Year'!$F$2</f>
        <v>137578630.36326826</v>
      </c>
      <c r="L23" s="78">
        <f t="shared" si="3"/>
        <v>664.11132525882283</v>
      </c>
    </row>
    <row r="24" spans="1:26" ht="14.5">
      <c r="A24" s="81">
        <v>43326</v>
      </c>
      <c r="B24" s="61">
        <v>23</v>
      </c>
      <c r="C24" s="61" t="s">
        <v>160</v>
      </c>
      <c r="D24" s="62">
        <v>211038</v>
      </c>
      <c r="E24" s="62">
        <v>120709939</v>
      </c>
      <c r="F24" s="63">
        <f t="shared" si="4"/>
        <v>3876</v>
      </c>
      <c r="G24" s="63">
        <f t="shared" si="0"/>
        <v>0.48945573936103043</v>
      </c>
      <c r="H24" s="63">
        <f t="shared" si="5"/>
        <v>0.25647512327237992</v>
      </c>
      <c r="I24" s="76">
        <f t="shared" si="1"/>
        <v>211038</v>
      </c>
      <c r="J24" s="76">
        <f t="shared" si="2"/>
        <v>120709939</v>
      </c>
      <c r="K24" s="77">
        <f>J24*'Inflation Rates by Year'!$F$2</f>
        <v>143993110.97856402</v>
      </c>
      <c r="L24" s="78">
        <f t="shared" si="3"/>
        <v>682.30892530522476</v>
      </c>
    </row>
    <row r="25" spans="1:26" ht="14.5">
      <c r="A25" s="81">
        <v>43327</v>
      </c>
      <c r="B25" s="61">
        <v>24</v>
      </c>
      <c r="C25" s="61" t="s">
        <v>160</v>
      </c>
      <c r="D25" s="62">
        <v>214527</v>
      </c>
      <c r="E25" s="62">
        <v>125522050</v>
      </c>
      <c r="F25" s="63">
        <f t="shared" si="4"/>
        <v>3489</v>
      </c>
      <c r="G25" s="63">
        <f t="shared" si="0"/>
        <v>0.44058593256724332</v>
      </c>
      <c r="H25" s="63">
        <f t="shared" si="5"/>
        <v>0.22886031780833035</v>
      </c>
      <c r="I25" s="76">
        <f t="shared" si="1"/>
        <v>214527</v>
      </c>
      <c r="J25" s="76">
        <f t="shared" si="2"/>
        <v>125522050</v>
      </c>
      <c r="K25" s="77">
        <f>J25*'Inflation Rates by Year'!$F$2</f>
        <v>149733407.41980544</v>
      </c>
      <c r="L25" s="78">
        <f t="shared" si="3"/>
        <v>697.96998708696549</v>
      </c>
    </row>
    <row r="26" spans="1:26" ht="14.5">
      <c r="A26" s="81">
        <v>43328</v>
      </c>
      <c r="B26" s="61">
        <v>25</v>
      </c>
      <c r="C26" s="61" t="s">
        <v>160</v>
      </c>
      <c r="D26" s="62">
        <v>218598</v>
      </c>
      <c r="E26" s="62">
        <v>130222291</v>
      </c>
      <c r="F26" s="63">
        <f t="shared" si="4"/>
        <v>4071</v>
      </c>
      <c r="G26" s="63">
        <f t="shared" si="0"/>
        <v>0.51408006061371381</v>
      </c>
      <c r="H26" s="63">
        <f t="shared" si="5"/>
        <v>0.26469644106050327</v>
      </c>
      <c r="I26" s="76">
        <f t="shared" si="1"/>
        <v>218598</v>
      </c>
      <c r="J26" s="76">
        <f t="shared" si="2"/>
        <v>130222291</v>
      </c>
      <c r="K26" s="77">
        <f>J26*'Inflation Rates by Year'!$F$2</f>
        <v>155340255.78329435</v>
      </c>
      <c r="L26" s="78">
        <f t="shared" si="3"/>
        <v>710.62066342461662</v>
      </c>
    </row>
    <row r="27" spans="1:26" ht="14.5">
      <c r="A27" s="81">
        <v>43329</v>
      </c>
      <c r="B27" s="61">
        <v>26</v>
      </c>
      <c r="C27" s="61" t="s">
        <v>160</v>
      </c>
      <c r="D27" s="62">
        <v>223610</v>
      </c>
      <c r="E27" s="62">
        <v>134326790</v>
      </c>
      <c r="F27" s="63">
        <f t="shared" si="4"/>
        <v>5012</v>
      </c>
      <c r="G27" s="63">
        <f t="shared" si="0"/>
        <v>0.63290819547922716</v>
      </c>
      <c r="H27" s="63">
        <f t="shared" si="5"/>
        <v>0.32251771069631024</v>
      </c>
      <c r="I27" s="76">
        <f t="shared" si="1"/>
        <v>223610</v>
      </c>
      <c r="J27" s="76">
        <f t="shared" si="2"/>
        <v>134326790</v>
      </c>
      <c r="K27" s="77">
        <f>J27*'Inflation Rates by Year'!$F$2</f>
        <v>160236452.27642989</v>
      </c>
      <c r="L27" s="78">
        <f t="shared" si="3"/>
        <v>716.58893733030675</v>
      </c>
    </row>
    <row r="28" spans="1:26" ht="14.5">
      <c r="A28" s="81">
        <v>43330</v>
      </c>
      <c r="B28" s="61">
        <v>27</v>
      </c>
      <c r="C28" s="61" t="s">
        <v>160</v>
      </c>
      <c r="D28" s="62">
        <v>227098</v>
      </c>
      <c r="E28" s="62">
        <v>138200153</v>
      </c>
      <c r="F28" s="63">
        <f t="shared" si="4"/>
        <v>3488</v>
      </c>
      <c r="G28" s="63">
        <f t="shared" si="0"/>
        <v>0.44045965399671677</v>
      </c>
      <c r="H28" s="63">
        <f t="shared" si="5"/>
        <v>0.22232122351900385</v>
      </c>
      <c r="I28" s="76">
        <f t="shared" si="1"/>
        <v>227098</v>
      </c>
      <c r="J28" s="76">
        <f t="shared" si="2"/>
        <v>138200153</v>
      </c>
      <c r="K28" s="77">
        <f>J28*'Inflation Rates by Year'!$F$2</f>
        <v>164856930.03443179</v>
      </c>
      <c r="L28" s="78">
        <f t="shared" si="3"/>
        <v>725.92858604845389</v>
      </c>
    </row>
    <row r="29" spans="1:26" ht="14.5">
      <c r="A29" s="81">
        <v>43331</v>
      </c>
      <c r="B29" s="61">
        <v>28</v>
      </c>
      <c r="C29" s="61" t="s">
        <v>160</v>
      </c>
      <c r="D29" s="62">
        <v>227098</v>
      </c>
      <c r="E29" s="62">
        <v>141719547</v>
      </c>
      <c r="F29" s="63">
        <f t="shared" si="4"/>
        <v>0</v>
      </c>
      <c r="G29" s="63">
        <f t="shared" si="0"/>
        <v>0</v>
      </c>
      <c r="H29" s="63">
        <f t="shared" si="5"/>
        <v>0</v>
      </c>
      <c r="I29" s="76">
        <f t="shared" si="1"/>
        <v>227098</v>
      </c>
      <c r="J29" s="76">
        <f t="shared" si="2"/>
        <v>141719547</v>
      </c>
      <c r="K29" s="77">
        <f>J29*'Inflation Rates by Year'!$F$2</f>
        <v>169055163.37807792</v>
      </c>
      <c r="L29" s="78">
        <f t="shared" si="3"/>
        <v>744.4150251348666</v>
      </c>
    </row>
    <row r="30" spans="1:26" ht="14.5">
      <c r="A30" s="82">
        <v>43332</v>
      </c>
      <c r="B30" s="61">
        <v>29</v>
      </c>
      <c r="C30" s="83" t="s">
        <v>160</v>
      </c>
      <c r="D30" s="72">
        <v>229651</v>
      </c>
      <c r="E30" s="72">
        <v>145090213</v>
      </c>
      <c r="F30" s="71">
        <f t="shared" si="4"/>
        <v>2553</v>
      </c>
      <c r="G30" s="63">
        <f t="shared" si="0"/>
        <v>0.32238919055436294</v>
      </c>
      <c r="H30" s="63">
        <f t="shared" si="5"/>
        <v>0.16164509764949617</v>
      </c>
      <c r="I30" s="72">
        <f t="shared" si="1"/>
        <v>229651</v>
      </c>
      <c r="J30" s="72">
        <f t="shared" si="2"/>
        <v>145090213</v>
      </c>
      <c r="K30" s="77">
        <f>J30*'Inflation Rates by Year'!$F$2</f>
        <v>173075981.27783406</v>
      </c>
      <c r="L30" s="73">
        <f t="shared" si="3"/>
        <v>753.64784511207904</v>
      </c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4.5">
      <c r="A31" s="81">
        <v>43333</v>
      </c>
      <c r="B31" s="61">
        <v>30</v>
      </c>
      <c r="C31" s="61" t="s">
        <v>160</v>
      </c>
      <c r="D31" s="62">
        <v>229651</v>
      </c>
      <c r="E31" s="62">
        <v>148072022</v>
      </c>
      <c r="F31" s="63">
        <f t="shared" si="4"/>
        <v>0</v>
      </c>
      <c r="G31" s="63">
        <f t="shared" si="0"/>
        <v>0</v>
      </c>
      <c r="H31" s="63">
        <f t="shared" ref="H31:H39" si="6">$B$70/SQRT($I$36)*(SQRT(I31)-SQRT(I30))</f>
        <v>0</v>
      </c>
      <c r="I31" s="76">
        <f t="shared" si="1"/>
        <v>229651</v>
      </c>
      <c r="J31" s="76">
        <f t="shared" si="2"/>
        <v>148072022</v>
      </c>
      <c r="K31" s="77">
        <f>J31*'Inflation Rates by Year'!$F$2</f>
        <v>176632937.38112462</v>
      </c>
      <c r="L31" s="78">
        <f t="shared" si="3"/>
        <v>769.13637380688351</v>
      </c>
    </row>
    <row r="32" spans="1:26" ht="14.5">
      <c r="A32" s="81">
        <v>43334</v>
      </c>
      <c r="B32" s="61">
        <v>31</v>
      </c>
      <c r="C32" s="61" t="s">
        <v>160</v>
      </c>
      <c r="D32" s="62">
        <v>229651</v>
      </c>
      <c r="E32" s="62">
        <v>152990609</v>
      </c>
      <c r="F32" s="63">
        <f t="shared" si="4"/>
        <v>0</v>
      </c>
      <c r="G32" s="63">
        <f t="shared" si="0"/>
        <v>0</v>
      </c>
      <c r="H32" s="63">
        <f t="shared" si="6"/>
        <v>0</v>
      </c>
      <c r="I32" s="76">
        <f t="shared" si="1"/>
        <v>229651</v>
      </c>
      <c r="J32" s="76">
        <f t="shared" si="2"/>
        <v>152990609</v>
      </c>
      <c r="K32" s="77">
        <f>J32*'Inflation Rates by Year'!$F$2</f>
        <v>182500247.4768469</v>
      </c>
      <c r="L32" s="78">
        <f t="shared" si="3"/>
        <v>794.68518524564183</v>
      </c>
    </row>
    <row r="33" spans="1:12" ht="14.5">
      <c r="A33" s="81">
        <v>43335</v>
      </c>
      <c r="B33" s="61">
        <v>32</v>
      </c>
      <c r="C33" s="61" t="s">
        <v>160</v>
      </c>
      <c r="D33" s="62">
        <v>229651</v>
      </c>
      <c r="E33" s="62">
        <v>153856086</v>
      </c>
      <c r="F33" s="63">
        <f t="shared" si="4"/>
        <v>0</v>
      </c>
      <c r="G33" s="63">
        <f t="shared" si="0"/>
        <v>0</v>
      </c>
      <c r="H33" s="63">
        <f t="shared" si="6"/>
        <v>0</v>
      </c>
      <c r="I33" s="76">
        <f t="shared" si="1"/>
        <v>229651</v>
      </c>
      <c r="J33" s="76">
        <f t="shared" si="2"/>
        <v>153856086</v>
      </c>
      <c r="K33" s="77">
        <f>J33*'Inflation Rates by Year'!$F$2</f>
        <v>183532662.26176694</v>
      </c>
      <c r="L33" s="78">
        <f t="shared" si="3"/>
        <v>799.1807667363388</v>
      </c>
    </row>
    <row r="34" spans="1:12" ht="14.5">
      <c r="A34" s="81">
        <v>43336</v>
      </c>
      <c r="B34" s="61">
        <v>33</v>
      </c>
      <c r="C34" s="61" t="s">
        <v>160</v>
      </c>
      <c r="D34" s="62">
        <v>229651</v>
      </c>
      <c r="E34" s="62">
        <v>154670879</v>
      </c>
      <c r="F34" s="63">
        <f t="shared" si="4"/>
        <v>0</v>
      </c>
      <c r="G34" s="63">
        <f t="shared" si="0"/>
        <v>0</v>
      </c>
      <c r="H34" s="63">
        <f t="shared" si="6"/>
        <v>0</v>
      </c>
      <c r="I34" s="76">
        <f t="shared" si="1"/>
        <v>229651</v>
      </c>
      <c r="J34" s="76">
        <f t="shared" si="2"/>
        <v>154670879</v>
      </c>
      <c r="K34" s="77">
        <f>J34*'Inflation Rates by Year'!$F$2</f>
        <v>184504616.84848541</v>
      </c>
      <c r="L34" s="78">
        <f t="shared" si="3"/>
        <v>803.41307831659958</v>
      </c>
    </row>
    <row r="35" spans="1:12" ht="14.5">
      <c r="A35" s="81">
        <v>43337</v>
      </c>
      <c r="B35" s="61">
        <v>34</v>
      </c>
      <c r="C35" s="61" t="s">
        <v>160</v>
      </c>
      <c r="D35" s="62">
        <v>229651</v>
      </c>
      <c r="E35" s="62">
        <v>155485672</v>
      </c>
      <c r="F35" s="63">
        <f t="shared" si="4"/>
        <v>0</v>
      </c>
      <c r="G35" s="63">
        <f t="shared" si="0"/>
        <v>0</v>
      </c>
      <c r="H35" s="63">
        <f t="shared" si="6"/>
        <v>0</v>
      </c>
      <c r="I35" s="76">
        <f t="shared" si="1"/>
        <v>229651</v>
      </c>
      <c r="J35" s="76">
        <f t="shared" si="2"/>
        <v>155485672</v>
      </c>
      <c r="K35" s="77">
        <f>J35*'Inflation Rates by Year'!$F$2</f>
        <v>185476571.43520388</v>
      </c>
      <c r="L35" s="78">
        <f t="shared" si="3"/>
        <v>807.64538989686037</v>
      </c>
    </row>
    <row r="36" spans="1:12" ht="14.5">
      <c r="A36" s="81">
        <v>43338</v>
      </c>
      <c r="B36" s="61">
        <v>35</v>
      </c>
      <c r="C36" s="61" t="s">
        <v>160</v>
      </c>
      <c r="D36" s="62">
        <v>229651</v>
      </c>
      <c r="E36" s="62">
        <v>156300465</v>
      </c>
      <c r="F36" s="63">
        <f t="shared" si="4"/>
        <v>0</v>
      </c>
      <c r="G36" s="63">
        <f t="shared" si="0"/>
        <v>0</v>
      </c>
      <c r="H36" s="63">
        <f t="shared" si="6"/>
        <v>0</v>
      </c>
      <c r="I36" s="76">
        <f t="shared" si="1"/>
        <v>229651</v>
      </c>
      <c r="J36" s="76">
        <f t="shared" si="2"/>
        <v>156300465</v>
      </c>
      <c r="K36" s="77">
        <f>J36*'Inflation Rates by Year'!$F$2</f>
        <v>186448526.02192235</v>
      </c>
      <c r="L36" s="78">
        <f t="shared" si="3"/>
        <v>811.87770147712115</v>
      </c>
    </row>
    <row r="37" spans="1:12" ht="14.5">
      <c r="A37" s="81">
        <v>43339</v>
      </c>
      <c r="B37" s="61">
        <v>36</v>
      </c>
      <c r="C37" s="61" t="s">
        <v>160</v>
      </c>
      <c r="D37" s="62">
        <v>229651</v>
      </c>
      <c r="E37" s="62">
        <v>157115258</v>
      </c>
      <c r="F37" s="63">
        <f t="shared" si="4"/>
        <v>0</v>
      </c>
      <c r="G37" s="63">
        <f t="shared" si="0"/>
        <v>0</v>
      </c>
      <c r="H37" s="63">
        <f t="shared" si="6"/>
        <v>0</v>
      </c>
      <c r="I37" s="76">
        <f t="shared" si="1"/>
        <v>229651</v>
      </c>
      <c r="J37" s="76">
        <f t="shared" si="2"/>
        <v>157115258</v>
      </c>
      <c r="K37" s="77">
        <f>J37*'Inflation Rates by Year'!$F$2</f>
        <v>187420480.60864085</v>
      </c>
      <c r="L37" s="78">
        <f t="shared" si="3"/>
        <v>816.11001305738205</v>
      </c>
    </row>
    <row r="38" spans="1:12" ht="14.5">
      <c r="A38" s="81">
        <v>43340</v>
      </c>
      <c r="B38" s="61">
        <v>37</v>
      </c>
      <c r="C38" s="61" t="s">
        <v>160</v>
      </c>
      <c r="D38" s="62">
        <v>229651</v>
      </c>
      <c r="E38" s="62">
        <v>157930051</v>
      </c>
      <c r="F38" s="63">
        <f t="shared" si="4"/>
        <v>0</v>
      </c>
      <c r="G38" s="63">
        <f t="shared" si="0"/>
        <v>0</v>
      </c>
      <c r="H38" s="63">
        <f t="shared" si="6"/>
        <v>0</v>
      </c>
      <c r="I38" s="76">
        <f t="shared" si="1"/>
        <v>229651</v>
      </c>
      <c r="J38" s="76">
        <f t="shared" si="2"/>
        <v>157930051</v>
      </c>
      <c r="K38" s="77">
        <f>J38*'Inflation Rates by Year'!$F$2</f>
        <v>188392435.19535932</v>
      </c>
      <c r="L38" s="78">
        <f t="shared" si="3"/>
        <v>820.34232463764283</v>
      </c>
    </row>
    <row r="39" spans="1:12" ht="14.5">
      <c r="A39" s="81">
        <v>43341</v>
      </c>
      <c r="B39" s="61">
        <v>38</v>
      </c>
      <c r="C39" s="61" t="s">
        <v>160</v>
      </c>
      <c r="D39" s="62">
        <v>229651</v>
      </c>
      <c r="E39" s="62">
        <v>158744844</v>
      </c>
      <c r="F39" s="63">
        <f t="shared" si="4"/>
        <v>0</v>
      </c>
      <c r="G39" s="63">
        <f t="shared" si="0"/>
        <v>0</v>
      </c>
      <c r="H39" s="63">
        <f t="shared" si="6"/>
        <v>0</v>
      </c>
      <c r="I39" s="76">
        <f t="shared" si="1"/>
        <v>229651</v>
      </c>
      <c r="J39" s="76">
        <f t="shared" si="2"/>
        <v>158744844</v>
      </c>
      <c r="K39" s="77">
        <f>J39*'Inflation Rates by Year'!$F$2</f>
        <v>189364389.78207779</v>
      </c>
      <c r="L39" s="78">
        <f t="shared" si="3"/>
        <v>824.57463621790362</v>
      </c>
    </row>
    <row r="40" spans="1:12" ht="14.5">
      <c r="A40" s="81"/>
      <c r="C40" s="61"/>
      <c r="D40" s="62"/>
      <c r="E40" s="62"/>
      <c r="F40" s="63"/>
      <c r="G40" s="63"/>
      <c r="H40" s="63"/>
      <c r="I40" s="76"/>
      <c r="J40" s="76"/>
      <c r="K40" s="77"/>
      <c r="L40" s="78"/>
    </row>
    <row r="41" spans="1:12" ht="14.5">
      <c r="A41" s="81"/>
      <c r="C41" s="61"/>
      <c r="D41" s="62"/>
      <c r="E41" s="62"/>
      <c r="F41" s="63"/>
      <c r="G41" s="63"/>
      <c r="H41" s="63"/>
      <c r="I41" s="76"/>
      <c r="J41" s="76"/>
      <c r="K41" s="77"/>
      <c r="L41" s="78"/>
    </row>
    <row r="42" spans="1:12" ht="14.5">
      <c r="A42" s="81"/>
      <c r="C42" s="61"/>
      <c r="D42" s="62"/>
      <c r="E42" s="62"/>
      <c r="F42" s="63"/>
      <c r="G42" s="63"/>
      <c r="H42" s="63"/>
      <c r="I42" s="76"/>
      <c r="J42" s="76"/>
      <c r="K42" s="77"/>
      <c r="L42" s="78"/>
    </row>
    <row r="43" spans="1:12" ht="14.5">
      <c r="A43" s="81"/>
      <c r="C43" s="61"/>
      <c r="D43" s="62"/>
      <c r="E43" s="62"/>
      <c r="F43" s="63"/>
      <c r="G43" s="63"/>
      <c r="H43" s="63"/>
      <c r="I43" s="76"/>
      <c r="J43" s="76"/>
      <c r="K43" s="77"/>
      <c r="L43" s="78"/>
    </row>
    <row r="44" spans="1:12" ht="14.5">
      <c r="A44" s="81"/>
      <c r="C44" s="61"/>
      <c r="D44" s="62"/>
      <c r="E44" s="62"/>
      <c r="F44" s="63"/>
      <c r="G44" s="63"/>
      <c r="H44" s="63"/>
      <c r="I44" s="76"/>
      <c r="J44" s="76"/>
      <c r="K44" s="77"/>
      <c r="L44" s="78"/>
    </row>
    <row r="45" spans="1:12" ht="14.5">
      <c r="A45" s="81"/>
      <c r="C45" s="61"/>
      <c r="D45" s="62"/>
      <c r="E45" s="62"/>
      <c r="F45" s="63"/>
      <c r="G45" s="63"/>
      <c r="H45" s="63"/>
      <c r="I45" s="76"/>
      <c r="J45" s="76"/>
      <c r="K45" s="77"/>
      <c r="L45" s="78"/>
    </row>
    <row r="46" spans="1:12" ht="14.5">
      <c r="A46" s="81"/>
      <c r="C46" s="61"/>
      <c r="D46" s="62"/>
      <c r="E46" s="62"/>
      <c r="F46" s="63"/>
      <c r="G46" s="63"/>
      <c r="H46" s="63"/>
      <c r="I46" s="76"/>
      <c r="J46" s="76"/>
      <c r="K46" s="77"/>
      <c r="L46" s="78"/>
    </row>
    <row r="47" spans="1:12" ht="14.5">
      <c r="A47" s="81"/>
      <c r="C47" s="61"/>
      <c r="D47" s="62"/>
      <c r="E47" s="62"/>
      <c r="F47" s="63"/>
      <c r="G47" s="63"/>
      <c r="H47" s="63"/>
      <c r="I47" s="76"/>
      <c r="J47" s="76"/>
      <c r="K47" s="77"/>
      <c r="L47" s="78"/>
    </row>
    <row r="48" spans="1:12" ht="14.5">
      <c r="A48" s="81"/>
      <c r="C48" s="61"/>
      <c r="D48" s="62"/>
      <c r="E48" s="62"/>
      <c r="F48" s="63"/>
      <c r="G48" s="63"/>
      <c r="H48" s="63"/>
      <c r="I48" s="76"/>
      <c r="J48" s="76"/>
      <c r="K48" s="77"/>
      <c r="L48" s="78"/>
    </row>
    <row r="49" spans="1:12" ht="14.5">
      <c r="A49" s="81"/>
      <c r="C49" s="61"/>
      <c r="D49" s="62"/>
      <c r="E49" s="62"/>
      <c r="F49" s="63"/>
      <c r="G49" s="63"/>
      <c r="H49" s="63"/>
      <c r="I49" s="76"/>
      <c r="J49" s="76"/>
      <c r="K49" s="77"/>
      <c r="L49" s="78"/>
    </row>
    <row r="50" spans="1:12" ht="14.5">
      <c r="A50" s="81"/>
      <c r="C50" s="61"/>
      <c r="D50" s="62"/>
      <c r="E50" s="62"/>
      <c r="F50" s="63"/>
      <c r="G50" s="63"/>
      <c r="H50" s="63"/>
      <c r="I50" s="76"/>
      <c r="J50" s="76"/>
      <c r="K50" s="77"/>
      <c r="L50" s="78"/>
    </row>
    <row r="51" spans="1:12" ht="14.5">
      <c r="A51" s="81"/>
      <c r="C51" s="61"/>
      <c r="D51" s="62"/>
      <c r="E51" s="62"/>
      <c r="F51" s="63"/>
      <c r="G51" s="63"/>
      <c r="H51" s="63"/>
      <c r="I51" s="76"/>
      <c r="J51" s="76"/>
      <c r="K51" s="77"/>
      <c r="L51" s="78"/>
    </row>
    <row r="52" spans="1:12" ht="14.5">
      <c r="A52" s="81"/>
      <c r="C52" s="61"/>
      <c r="D52" s="62"/>
      <c r="E52" s="62"/>
      <c r="F52" s="63"/>
      <c r="G52" s="63"/>
      <c r="H52" s="63"/>
      <c r="I52" s="76"/>
      <c r="J52" s="76"/>
      <c r="K52" s="77"/>
      <c r="L52" s="78"/>
    </row>
    <row r="53" spans="1:12" ht="14.5">
      <c r="A53" s="81"/>
      <c r="C53" s="61"/>
      <c r="D53" s="62"/>
      <c r="E53" s="62"/>
      <c r="F53" s="63"/>
      <c r="G53" s="63"/>
      <c r="H53" s="63"/>
      <c r="I53" s="76"/>
      <c r="J53" s="76"/>
      <c r="K53" s="77"/>
      <c r="L53" s="78"/>
    </row>
    <row r="54" spans="1:12" ht="14.5">
      <c r="A54" s="81"/>
      <c r="C54" s="61"/>
      <c r="D54" s="62"/>
      <c r="E54" s="62"/>
      <c r="F54" s="63"/>
      <c r="G54" s="63"/>
      <c r="H54" s="63"/>
      <c r="I54" s="76"/>
      <c r="J54" s="76"/>
      <c r="K54" s="77"/>
      <c r="L54" s="78"/>
    </row>
    <row r="55" spans="1:12" ht="14.5">
      <c r="A55" s="81"/>
      <c r="C55" s="61"/>
      <c r="D55" s="62"/>
      <c r="E55" s="62"/>
      <c r="F55" s="63"/>
      <c r="G55" s="63"/>
      <c r="H55" s="63"/>
      <c r="I55" s="76"/>
      <c r="J55" s="76"/>
      <c r="K55" s="77"/>
      <c r="L55" s="78"/>
    </row>
    <row r="56" spans="1:12" ht="14.5">
      <c r="A56" s="81"/>
      <c r="C56" s="61"/>
      <c r="D56" s="62"/>
      <c r="E56" s="62"/>
      <c r="F56" s="63"/>
      <c r="G56" s="63"/>
      <c r="H56" s="63"/>
      <c r="I56" s="76"/>
      <c r="J56" s="76"/>
      <c r="K56" s="77"/>
      <c r="L56" s="78"/>
    </row>
    <row r="57" spans="1:12" ht="14.5">
      <c r="A57" s="81"/>
      <c r="C57" s="61"/>
      <c r="D57" s="62"/>
      <c r="E57" s="62"/>
      <c r="F57" s="63"/>
      <c r="G57" s="63"/>
      <c r="H57" s="63"/>
      <c r="I57" s="76"/>
      <c r="J57" s="76"/>
      <c r="K57" s="77"/>
      <c r="L57" s="78"/>
    </row>
    <row r="58" spans="1:12" ht="14.5">
      <c r="A58" s="81"/>
      <c r="C58" s="61"/>
      <c r="D58" s="62"/>
      <c r="E58" s="62"/>
      <c r="F58" s="63"/>
      <c r="G58" s="63"/>
      <c r="H58" s="63"/>
      <c r="I58" s="76"/>
      <c r="J58" s="76"/>
      <c r="K58" s="77"/>
      <c r="L58" s="78"/>
    </row>
    <row r="59" spans="1:12" ht="14.5">
      <c r="A59" s="81"/>
      <c r="C59" s="61"/>
      <c r="D59" s="62"/>
      <c r="E59" s="62"/>
      <c r="F59" s="63"/>
      <c r="G59" s="63"/>
      <c r="H59" s="63"/>
      <c r="I59" s="76"/>
      <c r="J59" s="76"/>
      <c r="K59" s="77"/>
      <c r="L59" s="78"/>
    </row>
    <row r="60" spans="1:12" ht="14.5">
      <c r="A60" s="81"/>
      <c r="C60" s="61"/>
      <c r="D60" s="62"/>
      <c r="E60" s="62"/>
      <c r="F60" s="63"/>
      <c r="G60" s="63"/>
      <c r="H60" s="63"/>
      <c r="I60" s="76"/>
      <c r="J60" s="76"/>
      <c r="K60" s="77"/>
      <c r="L60" s="78"/>
    </row>
    <row r="61" spans="1:12" ht="14.5">
      <c r="A61" s="81"/>
      <c r="C61" s="61"/>
      <c r="D61" s="62"/>
      <c r="E61" s="62"/>
      <c r="F61" s="63"/>
      <c r="G61" s="63"/>
      <c r="H61" s="63"/>
      <c r="I61" s="76"/>
      <c r="J61" s="76"/>
      <c r="K61" s="77"/>
      <c r="L61" s="78"/>
    </row>
    <row r="62" spans="1:12" ht="14.5">
      <c r="A62" s="81"/>
      <c r="C62" s="61"/>
      <c r="D62" s="62"/>
      <c r="E62" s="62"/>
      <c r="F62" s="63"/>
      <c r="G62" s="63"/>
      <c r="H62" s="63"/>
      <c r="I62" s="76"/>
      <c r="J62" s="76"/>
      <c r="K62" s="77"/>
      <c r="L62" s="78"/>
    </row>
    <row r="63" spans="1:12" ht="14.5">
      <c r="A63" s="81"/>
      <c r="C63" s="61"/>
      <c r="D63" s="62"/>
      <c r="E63" s="62"/>
      <c r="F63" s="63"/>
      <c r="G63" s="63"/>
      <c r="H63" s="63"/>
      <c r="I63" s="76"/>
      <c r="J63" s="76"/>
      <c r="K63" s="77"/>
      <c r="L63" s="78"/>
    </row>
    <row r="64" spans="1:12" ht="14.5">
      <c r="A64" s="81"/>
      <c r="C64" s="61"/>
      <c r="D64" s="62"/>
      <c r="E64" s="62"/>
      <c r="F64" s="63"/>
      <c r="G64" s="63"/>
      <c r="H64" s="63"/>
      <c r="I64" s="76"/>
      <c r="J64" s="76"/>
      <c r="K64" s="77"/>
      <c r="L64" s="78"/>
    </row>
    <row r="65" spans="1:12" ht="14.5">
      <c r="A65" s="81"/>
      <c r="C65" s="61"/>
      <c r="D65" s="62"/>
      <c r="E65" s="62"/>
      <c r="F65" s="63"/>
      <c r="G65" s="63"/>
      <c r="H65" s="63"/>
      <c r="I65" s="76"/>
      <c r="J65" s="76"/>
      <c r="K65" s="77"/>
      <c r="L65" s="78"/>
    </row>
    <row r="66" spans="1:12" ht="14.5">
      <c r="A66" s="81"/>
      <c r="C66" s="61"/>
      <c r="D66" s="62"/>
      <c r="E66" s="62"/>
      <c r="F66" s="63"/>
      <c r="G66" s="63"/>
      <c r="H66" s="63"/>
      <c r="I66" s="76"/>
      <c r="J66" s="76"/>
      <c r="K66" s="77"/>
      <c r="L66" s="78"/>
    </row>
    <row r="67" spans="1:12" ht="14.5">
      <c r="A67" s="81"/>
      <c r="C67" s="61"/>
      <c r="D67" s="62"/>
      <c r="E67" s="62"/>
      <c r="F67" s="63"/>
      <c r="G67" s="63"/>
      <c r="H67" s="63"/>
      <c r="I67" s="76"/>
      <c r="J67" s="76"/>
      <c r="K67" s="77"/>
      <c r="L67" s="78"/>
    </row>
    <row r="68" spans="1:12" ht="14.5">
      <c r="A68" s="81"/>
      <c r="C68" s="61"/>
      <c r="D68" s="62"/>
      <c r="E68" s="62"/>
      <c r="F68" s="63"/>
      <c r="G68" s="63"/>
      <c r="H68" s="63"/>
      <c r="I68" s="76"/>
      <c r="J68" s="76"/>
      <c r="K68" s="77"/>
      <c r="L68" s="78"/>
    </row>
    <row r="69" spans="1:12" ht="14.5">
      <c r="A69" s="84"/>
      <c r="C69" s="61"/>
      <c r="D69" s="62"/>
      <c r="E69" s="62"/>
      <c r="F69" s="63"/>
      <c r="G69" s="63"/>
      <c r="H69" s="63"/>
      <c r="I69" s="76"/>
      <c r="J69" s="76"/>
      <c r="K69" s="77"/>
      <c r="L69" s="78"/>
    </row>
    <row r="70" spans="1:12" ht="14.5">
      <c r="A70" s="84"/>
      <c r="C70" s="61"/>
      <c r="D70" s="62"/>
      <c r="E70" s="62"/>
      <c r="F70" s="63"/>
      <c r="G70" s="63"/>
      <c r="H70" s="63"/>
      <c r="I70" s="76"/>
      <c r="J70" s="76"/>
      <c r="K70" s="77"/>
      <c r="L70" s="78"/>
    </row>
    <row r="71" spans="1:12" ht="14.5">
      <c r="F71" s="86"/>
      <c r="G71" s="86"/>
      <c r="H71" s="86"/>
      <c r="I71" s="65"/>
      <c r="J71" s="76"/>
      <c r="K71" s="66"/>
      <c r="L71" s="67"/>
    </row>
    <row r="72" spans="1:12" ht="12.5">
      <c r="F72" s="86"/>
      <c r="G72" s="86"/>
      <c r="H72" s="86"/>
      <c r="I72" s="65"/>
      <c r="J72" s="65"/>
      <c r="K72" s="66"/>
      <c r="L72" s="67"/>
    </row>
    <row r="73" spans="1:12" ht="12.5">
      <c r="F73" s="86"/>
      <c r="G73" s="86"/>
      <c r="H73" s="86"/>
      <c r="I73" s="65"/>
      <c r="J73" s="65"/>
      <c r="K73" s="66"/>
      <c r="L73" s="67"/>
    </row>
    <row r="74" spans="1:12" ht="12.5">
      <c r="F74" s="86"/>
      <c r="G74" s="86"/>
      <c r="H74" s="86"/>
      <c r="I74" s="65"/>
      <c r="J74" s="65"/>
      <c r="K74" s="66"/>
      <c r="L74" s="67"/>
    </row>
    <row r="75" spans="1:12" ht="12.5">
      <c r="F75" s="86"/>
      <c r="G75" s="86"/>
      <c r="H75" s="86"/>
      <c r="I75" s="65"/>
      <c r="J75" s="65"/>
      <c r="K75" s="66"/>
      <c r="L75" s="67"/>
    </row>
    <row r="76" spans="1:12" ht="12.5">
      <c r="F76" s="86"/>
      <c r="G76" s="86"/>
      <c r="H76" s="86"/>
      <c r="I76" s="65"/>
      <c r="J76" s="65"/>
      <c r="K76" s="66"/>
      <c r="L76" s="67"/>
    </row>
    <row r="77" spans="1:12" ht="12.5">
      <c r="F77" s="86"/>
      <c r="G77" s="86"/>
      <c r="H77" s="86"/>
      <c r="I77" s="65"/>
      <c r="J77" s="65"/>
      <c r="K77" s="66"/>
      <c r="L77" s="67"/>
    </row>
    <row r="78" spans="1:12" ht="12.5">
      <c r="F78" s="86"/>
      <c r="G78" s="86"/>
      <c r="H78" s="86"/>
      <c r="I78" s="65"/>
      <c r="J78" s="65"/>
      <c r="K78" s="66"/>
      <c r="L78" s="67"/>
    </row>
    <row r="79" spans="1:12" ht="12.5">
      <c r="F79" s="86"/>
      <c r="G79" s="86"/>
      <c r="H79" s="86"/>
      <c r="I79" s="65"/>
      <c r="J79" s="65"/>
      <c r="K79" s="66"/>
      <c r="L79" s="67"/>
    </row>
    <row r="80" spans="1:12" ht="12.5">
      <c r="F80" s="86"/>
      <c r="G80" s="86"/>
      <c r="H80" s="86"/>
      <c r="I80" s="65"/>
      <c r="J80" s="65"/>
      <c r="K80" s="66"/>
      <c r="L80" s="67"/>
    </row>
    <row r="81" spans="6:12" ht="12.5">
      <c r="F81" s="86"/>
      <c r="G81" s="86"/>
      <c r="H81" s="86"/>
      <c r="I81" s="65"/>
      <c r="J81" s="65"/>
      <c r="K81" s="66"/>
      <c r="L81" s="67"/>
    </row>
    <row r="82" spans="6:12" ht="12.5">
      <c r="F82" s="86"/>
      <c r="G82" s="86"/>
      <c r="H82" s="86"/>
      <c r="I82" s="65"/>
      <c r="J82" s="65"/>
      <c r="K82" s="66"/>
      <c r="L82" s="67"/>
    </row>
    <row r="83" spans="6:12" ht="12.5">
      <c r="F83" s="86"/>
      <c r="G83" s="86"/>
      <c r="H83" s="86"/>
      <c r="I83" s="65"/>
      <c r="J83" s="65"/>
      <c r="K83" s="66"/>
      <c r="L83" s="67"/>
    </row>
    <row r="84" spans="6:12" ht="12.5">
      <c r="F84" s="86"/>
      <c r="G84" s="86"/>
      <c r="H84" s="86"/>
      <c r="I84" s="65"/>
      <c r="J84" s="65"/>
      <c r="K84" s="66"/>
      <c r="L84" s="67"/>
    </row>
    <row r="85" spans="6:12" ht="12.5">
      <c r="F85" s="86"/>
      <c r="G85" s="86"/>
      <c r="H85" s="86"/>
      <c r="I85" s="65"/>
      <c r="J85" s="65"/>
      <c r="K85" s="66"/>
      <c r="L85" s="67"/>
    </row>
    <row r="86" spans="6:12" ht="12.5">
      <c r="F86" s="86"/>
      <c r="G86" s="86"/>
      <c r="H86" s="86"/>
      <c r="I86" s="65"/>
      <c r="J86" s="65"/>
      <c r="K86" s="66"/>
      <c r="L86" s="67"/>
    </row>
    <row r="87" spans="6:12" ht="12.5">
      <c r="F87" s="86"/>
      <c r="G87" s="86"/>
      <c r="H87" s="86"/>
      <c r="I87" s="65"/>
      <c r="J87" s="65"/>
      <c r="K87" s="66"/>
      <c r="L87" s="67"/>
    </row>
    <row r="88" spans="6:12" ht="12.5">
      <c r="F88" s="86"/>
      <c r="G88" s="86"/>
      <c r="H88" s="86"/>
      <c r="I88" s="65"/>
      <c r="J88" s="65"/>
      <c r="K88" s="66"/>
      <c r="L88" s="67"/>
    </row>
    <row r="89" spans="6:12" ht="12.5">
      <c r="F89" s="86"/>
      <c r="G89" s="86"/>
      <c r="H89" s="86"/>
      <c r="I89" s="65"/>
      <c r="J89" s="65"/>
      <c r="K89" s="66"/>
      <c r="L89" s="67"/>
    </row>
    <row r="90" spans="6:12" ht="12.5">
      <c r="F90" s="86"/>
      <c r="G90" s="86"/>
      <c r="H90" s="86"/>
      <c r="I90" s="65"/>
      <c r="J90" s="65"/>
      <c r="K90" s="66"/>
      <c r="L90" s="67"/>
    </row>
    <row r="91" spans="6:12" ht="12.5">
      <c r="F91" s="86"/>
      <c r="G91" s="86"/>
      <c r="H91" s="86"/>
      <c r="I91" s="65"/>
      <c r="J91" s="65"/>
      <c r="K91" s="66"/>
      <c r="L91" s="67"/>
    </row>
    <row r="92" spans="6:12" ht="12.5">
      <c r="F92" s="86"/>
      <c r="G92" s="86"/>
      <c r="H92" s="86"/>
      <c r="I92" s="65"/>
      <c r="J92" s="65"/>
      <c r="K92" s="66"/>
      <c r="L92" s="67"/>
    </row>
    <row r="93" spans="6:12" ht="12.5">
      <c r="F93" s="86"/>
      <c r="G93" s="86"/>
      <c r="H93" s="86"/>
      <c r="I93" s="65"/>
      <c r="J93" s="65"/>
      <c r="K93" s="66"/>
      <c r="L93" s="67"/>
    </row>
    <row r="94" spans="6:12" ht="12.5">
      <c r="F94" s="86"/>
      <c r="G94" s="86"/>
      <c r="H94" s="86"/>
      <c r="I94" s="65"/>
      <c r="J94" s="65"/>
      <c r="K94" s="66"/>
      <c r="L94" s="67"/>
    </row>
    <row r="95" spans="6:12" ht="12.5">
      <c r="F95" s="86"/>
      <c r="G95" s="86"/>
      <c r="H95" s="86"/>
      <c r="I95" s="65"/>
      <c r="J95" s="65"/>
      <c r="K95" s="66"/>
      <c r="L95" s="67"/>
    </row>
    <row r="96" spans="6:12" ht="12.5">
      <c r="F96" s="86"/>
      <c r="G96" s="86"/>
      <c r="H96" s="86"/>
      <c r="I96" s="65"/>
      <c r="J96" s="65"/>
      <c r="K96" s="66"/>
      <c r="L96" s="67"/>
    </row>
    <row r="97" spans="6:12" ht="12.5">
      <c r="F97" s="86"/>
      <c r="G97" s="86"/>
      <c r="H97" s="86"/>
      <c r="I97" s="65"/>
      <c r="J97" s="65"/>
      <c r="K97" s="66"/>
      <c r="L97" s="67"/>
    </row>
    <row r="98" spans="6:12" ht="12.5">
      <c r="F98" s="86"/>
      <c r="G98" s="86"/>
      <c r="H98" s="86"/>
      <c r="I98" s="65"/>
      <c r="J98" s="65"/>
      <c r="K98" s="66"/>
      <c r="L98" s="67"/>
    </row>
    <row r="99" spans="6:12" ht="12.5">
      <c r="F99" s="86"/>
      <c r="G99" s="86"/>
      <c r="H99" s="86"/>
      <c r="I99" s="65"/>
      <c r="J99" s="65"/>
      <c r="K99" s="66"/>
      <c r="L99" s="67"/>
    </row>
    <row r="100" spans="6:12" ht="12.5">
      <c r="F100" s="86"/>
      <c r="G100" s="86"/>
      <c r="H100" s="86"/>
      <c r="I100" s="65"/>
      <c r="J100" s="65"/>
      <c r="K100" s="66"/>
      <c r="L100" s="67"/>
    </row>
    <row r="101" spans="6:12" ht="12.5">
      <c r="F101" s="86"/>
      <c r="G101" s="86"/>
      <c r="H101" s="86"/>
      <c r="I101" s="65"/>
      <c r="J101" s="65"/>
      <c r="K101" s="66"/>
      <c r="L101" s="67"/>
    </row>
    <row r="102" spans="6:12" ht="12.5">
      <c r="F102" s="86"/>
      <c r="G102" s="86"/>
      <c r="H102" s="86"/>
      <c r="I102" s="65"/>
      <c r="J102" s="65"/>
      <c r="K102" s="66"/>
      <c r="L102" s="67"/>
    </row>
    <row r="103" spans="6:12" ht="12.5">
      <c r="F103" s="86"/>
      <c r="G103" s="86"/>
      <c r="H103" s="86"/>
      <c r="I103" s="65"/>
      <c r="J103" s="65"/>
      <c r="K103" s="66"/>
      <c r="L103" s="67"/>
    </row>
    <row r="104" spans="6:12" ht="12.5">
      <c r="F104" s="86"/>
      <c r="G104" s="86"/>
      <c r="H104" s="86"/>
      <c r="I104" s="65"/>
      <c r="J104" s="65"/>
      <c r="K104" s="66"/>
      <c r="L104" s="67"/>
    </row>
    <row r="105" spans="6:12" ht="12.5">
      <c r="F105" s="86"/>
      <c r="G105" s="86"/>
      <c r="H105" s="86"/>
      <c r="I105" s="65"/>
      <c r="J105" s="65"/>
      <c r="K105" s="66"/>
      <c r="L105" s="67"/>
    </row>
    <row r="106" spans="6:12" ht="12.5">
      <c r="F106" s="86"/>
      <c r="G106" s="86"/>
      <c r="H106" s="86"/>
      <c r="I106" s="65"/>
      <c r="J106" s="65"/>
      <c r="K106" s="66"/>
      <c r="L106" s="67"/>
    </row>
    <row r="107" spans="6:12" ht="12.5">
      <c r="F107" s="86"/>
      <c r="G107" s="86"/>
      <c r="H107" s="86"/>
      <c r="I107" s="65"/>
      <c r="J107" s="65"/>
      <c r="K107" s="66"/>
      <c r="L107" s="67"/>
    </row>
    <row r="108" spans="6:12" ht="12.5">
      <c r="F108" s="86"/>
      <c r="G108" s="86"/>
      <c r="H108" s="86"/>
      <c r="I108" s="65"/>
      <c r="J108" s="65"/>
      <c r="K108" s="66"/>
      <c r="L108" s="67"/>
    </row>
    <row r="109" spans="6:12" ht="12.5">
      <c r="F109" s="86"/>
      <c r="G109" s="86"/>
      <c r="H109" s="86"/>
      <c r="I109" s="65"/>
      <c r="J109" s="65"/>
      <c r="K109" s="66"/>
      <c r="L109" s="67"/>
    </row>
    <row r="110" spans="6:12" ht="12.5">
      <c r="F110" s="86"/>
      <c r="G110" s="86"/>
      <c r="H110" s="86"/>
      <c r="I110" s="65"/>
      <c r="J110" s="65"/>
      <c r="K110" s="66"/>
      <c r="L110" s="67"/>
    </row>
    <row r="111" spans="6:12" ht="12.5">
      <c r="F111" s="86"/>
      <c r="G111" s="86"/>
      <c r="H111" s="86"/>
      <c r="I111" s="65"/>
      <c r="J111" s="65"/>
      <c r="K111" s="66"/>
      <c r="L111" s="67"/>
    </row>
    <row r="112" spans="6:12" ht="12.5">
      <c r="F112" s="86"/>
      <c r="G112" s="86"/>
      <c r="H112" s="86"/>
      <c r="I112" s="65"/>
      <c r="J112" s="65"/>
      <c r="K112" s="66"/>
      <c r="L112" s="67"/>
    </row>
    <row r="113" spans="6:12" ht="12.5">
      <c r="F113" s="86"/>
      <c r="G113" s="86"/>
      <c r="H113" s="86"/>
      <c r="I113" s="65"/>
      <c r="J113" s="65"/>
      <c r="K113" s="66"/>
      <c r="L113" s="67"/>
    </row>
    <row r="114" spans="6:12" ht="12.5">
      <c r="F114" s="86"/>
      <c r="G114" s="86"/>
      <c r="H114" s="86"/>
      <c r="I114" s="65"/>
      <c r="J114" s="65"/>
      <c r="K114" s="66"/>
      <c r="L114" s="67"/>
    </row>
    <row r="115" spans="6:12" ht="12.5">
      <c r="F115" s="86"/>
      <c r="G115" s="86"/>
      <c r="H115" s="86"/>
      <c r="I115" s="65"/>
      <c r="J115" s="65"/>
      <c r="K115" s="66"/>
      <c r="L115" s="67"/>
    </row>
    <row r="116" spans="6:12" ht="12.5">
      <c r="F116" s="86"/>
      <c r="G116" s="86"/>
      <c r="H116" s="86"/>
      <c r="I116" s="65"/>
      <c r="J116" s="65"/>
      <c r="K116" s="87"/>
      <c r="L116" s="88"/>
    </row>
    <row r="117" spans="6:12" ht="12.5">
      <c r="F117" s="86"/>
      <c r="G117" s="86"/>
      <c r="H117" s="86"/>
      <c r="I117" s="65"/>
      <c r="J117" s="65"/>
      <c r="K117" s="87"/>
      <c r="L117" s="88"/>
    </row>
    <row r="118" spans="6:12" ht="12.5">
      <c r="F118" s="86"/>
      <c r="G118" s="86"/>
      <c r="H118" s="86"/>
      <c r="I118" s="65"/>
      <c r="J118" s="65"/>
      <c r="K118" s="87"/>
      <c r="L118" s="88"/>
    </row>
    <row r="119" spans="6:12" ht="12.5">
      <c r="F119" s="86"/>
      <c r="G119" s="86"/>
      <c r="H119" s="86"/>
      <c r="I119" s="65"/>
      <c r="J119" s="65"/>
      <c r="K119" s="87"/>
      <c r="L119" s="88"/>
    </row>
    <row r="120" spans="6:12" ht="12.5">
      <c r="F120" s="86"/>
      <c r="G120" s="86"/>
      <c r="H120" s="86"/>
      <c r="I120" s="65"/>
      <c r="J120" s="65"/>
      <c r="K120" s="87"/>
      <c r="L120" s="88"/>
    </row>
    <row r="121" spans="6:12" ht="12.5">
      <c r="F121" s="86"/>
      <c r="G121" s="86"/>
      <c r="H121" s="86"/>
      <c r="I121" s="65"/>
      <c r="J121" s="65"/>
      <c r="K121" s="87"/>
      <c r="L121" s="88"/>
    </row>
    <row r="122" spans="6:12" ht="12.5">
      <c r="F122" s="86"/>
      <c r="G122" s="86"/>
      <c r="H122" s="86"/>
      <c r="I122" s="65"/>
      <c r="J122" s="65"/>
      <c r="K122" s="87"/>
      <c r="L122" s="88"/>
    </row>
    <row r="123" spans="6:12" ht="12.5">
      <c r="F123" s="86"/>
      <c r="G123" s="86"/>
      <c r="H123" s="86"/>
      <c r="I123" s="65"/>
      <c r="J123" s="65"/>
      <c r="K123" s="87"/>
      <c r="L123" s="88"/>
    </row>
    <row r="124" spans="6:12" ht="12.5">
      <c r="F124" s="86"/>
      <c r="G124" s="86"/>
      <c r="H124" s="86"/>
      <c r="I124" s="65"/>
      <c r="J124" s="65"/>
      <c r="K124" s="87"/>
      <c r="L124" s="88"/>
    </row>
    <row r="125" spans="6:12" ht="12.5">
      <c r="F125" s="86"/>
      <c r="G125" s="86"/>
      <c r="H125" s="86"/>
      <c r="I125" s="65"/>
      <c r="J125" s="65"/>
      <c r="K125" s="87"/>
      <c r="L125" s="88"/>
    </row>
    <row r="126" spans="6:12" ht="12.5">
      <c r="F126" s="86"/>
      <c r="G126" s="86"/>
      <c r="H126" s="86"/>
      <c r="I126" s="65"/>
      <c r="J126" s="65"/>
      <c r="K126" s="87"/>
      <c r="L126" s="88"/>
    </row>
    <row r="127" spans="6:12" ht="12.5">
      <c r="F127" s="86"/>
      <c r="G127" s="86"/>
      <c r="H127" s="86"/>
      <c r="I127" s="65"/>
      <c r="J127" s="65"/>
      <c r="K127" s="87"/>
      <c r="L127" s="88"/>
    </row>
    <row r="128" spans="6:12" ht="12.5">
      <c r="F128" s="86"/>
      <c r="G128" s="86"/>
      <c r="H128" s="86"/>
      <c r="I128" s="65"/>
      <c r="J128" s="65"/>
      <c r="K128" s="87"/>
      <c r="L128" s="88"/>
    </row>
    <row r="129" spans="6:12" ht="12.5">
      <c r="F129" s="86"/>
      <c r="G129" s="86"/>
      <c r="H129" s="86"/>
      <c r="I129" s="65"/>
      <c r="J129" s="65"/>
      <c r="K129" s="87"/>
      <c r="L129" s="88"/>
    </row>
    <row r="130" spans="6:12" ht="12.5">
      <c r="F130" s="86"/>
      <c r="G130" s="86"/>
      <c r="H130" s="86"/>
      <c r="I130" s="65"/>
      <c r="J130" s="65"/>
      <c r="K130" s="87"/>
      <c r="L130" s="88"/>
    </row>
    <row r="131" spans="6:12" ht="12.5">
      <c r="F131" s="86"/>
      <c r="G131" s="86"/>
      <c r="H131" s="86"/>
      <c r="I131" s="65"/>
      <c r="J131" s="65"/>
      <c r="K131" s="87"/>
      <c r="L131" s="88"/>
    </row>
    <row r="132" spans="6:12" ht="12.5">
      <c r="F132" s="86"/>
      <c r="G132" s="86"/>
      <c r="H132" s="86"/>
      <c r="I132" s="65"/>
      <c r="J132" s="65"/>
      <c r="K132" s="87"/>
      <c r="L132" s="88"/>
    </row>
    <row r="133" spans="6:12" ht="12.5">
      <c r="F133" s="86"/>
      <c r="G133" s="86"/>
      <c r="H133" s="86"/>
      <c r="I133" s="65"/>
      <c r="J133" s="65"/>
      <c r="K133" s="87"/>
      <c r="L133" s="88"/>
    </row>
    <row r="134" spans="6:12" ht="12.5">
      <c r="F134" s="86"/>
      <c r="G134" s="86"/>
      <c r="H134" s="86"/>
      <c r="I134" s="65"/>
      <c r="J134" s="65"/>
      <c r="K134" s="87"/>
      <c r="L134" s="88"/>
    </row>
    <row r="135" spans="6:12" ht="12.5">
      <c r="F135" s="86"/>
      <c r="G135" s="86"/>
      <c r="H135" s="86"/>
      <c r="I135" s="65"/>
      <c r="J135" s="65"/>
      <c r="K135" s="87"/>
      <c r="L135" s="88"/>
    </row>
    <row r="136" spans="6:12" ht="12.5">
      <c r="F136" s="86"/>
      <c r="G136" s="86"/>
      <c r="H136" s="86"/>
      <c r="I136" s="65"/>
      <c r="J136" s="65"/>
      <c r="K136" s="87"/>
      <c r="L136" s="88"/>
    </row>
    <row r="137" spans="6:12" ht="12.5">
      <c r="F137" s="86"/>
      <c r="G137" s="86"/>
      <c r="H137" s="86"/>
      <c r="I137" s="65"/>
      <c r="J137" s="65"/>
      <c r="K137" s="87"/>
      <c r="L137" s="88"/>
    </row>
    <row r="138" spans="6:12" ht="12.5">
      <c r="F138" s="86"/>
      <c r="G138" s="86"/>
      <c r="H138" s="86"/>
      <c r="I138" s="65"/>
      <c r="J138" s="65"/>
      <c r="K138" s="87"/>
      <c r="L138" s="88"/>
    </row>
    <row r="139" spans="6:12" ht="12.5">
      <c r="F139" s="86"/>
      <c r="G139" s="86"/>
      <c r="H139" s="86"/>
      <c r="I139" s="65"/>
      <c r="J139" s="65"/>
      <c r="K139" s="87"/>
      <c r="L139" s="88"/>
    </row>
    <row r="140" spans="6:12" ht="12.5">
      <c r="F140" s="86"/>
      <c r="G140" s="86"/>
      <c r="H140" s="86"/>
      <c r="I140" s="65"/>
      <c r="J140" s="65"/>
      <c r="K140" s="87"/>
      <c r="L140" s="88"/>
    </row>
    <row r="141" spans="6:12" ht="12.5">
      <c r="F141" s="86"/>
      <c r="G141" s="86"/>
      <c r="H141" s="86"/>
      <c r="I141" s="65"/>
      <c r="J141" s="65"/>
      <c r="K141" s="87"/>
      <c r="L141" s="88"/>
    </row>
    <row r="142" spans="6:12" ht="12.5">
      <c r="F142" s="86"/>
      <c r="G142" s="86"/>
      <c r="H142" s="86"/>
      <c r="I142" s="65"/>
      <c r="J142" s="65"/>
      <c r="K142" s="87"/>
      <c r="L142" s="88"/>
    </row>
    <row r="143" spans="6:12" ht="12.5">
      <c r="F143" s="86"/>
      <c r="G143" s="86"/>
      <c r="H143" s="86"/>
      <c r="I143" s="65"/>
      <c r="J143" s="65"/>
      <c r="K143" s="87"/>
      <c r="L143" s="88"/>
    </row>
    <row r="144" spans="6:12" ht="12.5">
      <c r="F144" s="86"/>
      <c r="G144" s="86"/>
      <c r="H144" s="86"/>
      <c r="I144" s="65"/>
      <c r="J144" s="65"/>
      <c r="K144" s="87"/>
      <c r="L144" s="88"/>
    </row>
    <row r="145" spans="6:12" ht="12.5">
      <c r="F145" s="86"/>
      <c r="G145" s="86"/>
      <c r="H145" s="86"/>
      <c r="I145" s="65"/>
      <c r="J145" s="65"/>
      <c r="K145" s="87"/>
      <c r="L145" s="88"/>
    </row>
    <row r="146" spans="6:12" ht="12.5">
      <c r="F146" s="86"/>
      <c r="G146" s="86"/>
      <c r="H146" s="86"/>
      <c r="I146" s="65"/>
      <c r="J146" s="65"/>
      <c r="K146" s="87"/>
      <c r="L146" s="88"/>
    </row>
    <row r="147" spans="6:12" ht="12.5">
      <c r="F147" s="86"/>
      <c r="G147" s="86"/>
      <c r="H147" s="86"/>
      <c r="I147" s="65"/>
      <c r="J147" s="65"/>
      <c r="K147" s="87"/>
      <c r="L147" s="88"/>
    </row>
    <row r="148" spans="6:12" ht="12.5">
      <c r="F148" s="86"/>
      <c r="G148" s="86"/>
      <c r="H148" s="86"/>
      <c r="I148" s="65"/>
      <c r="J148" s="65"/>
      <c r="K148" s="87"/>
      <c r="L148" s="88"/>
    </row>
    <row r="149" spans="6:12" ht="12.5">
      <c r="F149" s="86"/>
      <c r="G149" s="86"/>
      <c r="H149" s="86"/>
      <c r="I149" s="65"/>
      <c r="J149" s="65"/>
      <c r="K149" s="87"/>
      <c r="L149" s="88"/>
    </row>
    <row r="150" spans="6:12" ht="12.5">
      <c r="F150" s="86"/>
      <c r="G150" s="86"/>
      <c r="H150" s="86"/>
      <c r="I150" s="65"/>
      <c r="J150" s="65"/>
      <c r="K150" s="87"/>
      <c r="L150" s="88"/>
    </row>
    <row r="151" spans="6:12" ht="12.5">
      <c r="F151" s="86"/>
      <c r="G151" s="86"/>
      <c r="H151" s="86"/>
      <c r="I151" s="65"/>
      <c r="J151" s="65"/>
      <c r="K151" s="87"/>
      <c r="L151" s="88"/>
    </row>
    <row r="152" spans="6:12" ht="12.5">
      <c r="F152" s="86"/>
      <c r="G152" s="86"/>
      <c r="H152" s="86"/>
      <c r="I152" s="65"/>
      <c r="J152" s="65"/>
      <c r="K152" s="87"/>
      <c r="L152" s="88"/>
    </row>
    <row r="153" spans="6:12" ht="12.5">
      <c r="F153" s="86"/>
      <c r="G153" s="86"/>
      <c r="H153" s="86"/>
      <c r="I153" s="65"/>
      <c r="J153" s="65"/>
      <c r="K153" s="87"/>
      <c r="L153" s="88"/>
    </row>
    <row r="154" spans="6:12" ht="12.5">
      <c r="F154" s="86"/>
      <c r="G154" s="86"/>
      <c r="H154" s="86"/>
      <c r="I154" s="65"/>
      <c r="J154" s="65"/>
      <c r="K154" s="87"/>
      <c r="L154" s="88"/>
    </row>
    <row r="155" spans="6:12" ht="12.5">
      <c r="F155" s="86"/>
      <c r="G155" s="86"/>
      <c r="H155" s="86"/>
      <c r="I155" s="65"/>
      <c r="J155" s="65"/>
      <c r="K155" s="87"/>
      <c r="L155" s="88"/>
    </row>
    <row r="156" spans="6:12" ht="12.5">
      <c r="F156" s="86"/>
      <c r="G156" s="86"/>
      <c r="H156" s="86"/>
      <c r="I156" s="65"/>
      <c r="J156" s="65"/>
      <c r="K156" s="87"/>
      <c r="L156" s="88"/>
    </row>
    <row r="157" spans="6:12" ht="12.5">
      <c r="F157" s="86"/>
      <c r="G157" s="86"/>
      <c r="H157" s="86"/>
      <c r="I157" s="65"/>
      <c r="J157" s="65"/>
      <c r="K157" s="87"/>
      <c r="L157" s="88"/>
    </row>
    <row r="158" spans="6:12" ht="12.5">
      <c r="F158" s="86"/>
      <c r="G158" s="86"/>
      <c r="H158" s="86"/>
      <c r="I158" s="65"/>
      <c r="J158" s="65"/>
      <c r="K158" s="87"/>
      <c r="L158" s="88"/>
    </row>
    <row r="159" spans="6:12" ht="12.5">
      <c r="F159" s="86"/>
      <c r="G159" s="86"/>
      <c r="H159" s="86"/>
      <c r="I159" s="65"/>
      <c r="J159" s="65"/>
      <c r="K159" s="87"/>
      <c r="L159" s="88"/>
    </row>
    <row r="160" spans="6:12" ht="12.5">
      <c r="F160" s="86"/>
      <c r="G160" s="86"/>
      <c r="H160" s="86"/>
      <c r="I160" s="65"/>
      <c r="J160" s="65"/>
      <c r="K160" s="87"/>
      <c r="L160" s="88"/>
    </row>
    <row r="161" spans="6:12" ht="12.5">
      <c r="F161" s="86"/>
      <c r="G161" s="86"/>
      <c r="H161" s="86"/>
      <c r="I161" s="65"/>
      <c r="J161" s="65"/>
      <c r="K161" s="87"/>
      <c r="L161" s="88"/>
    </row>
    <row r="162" spans="6:12" ht="12.5">
      <c r="F162" s="86"/>
      <c r="G162" s="86"/>
      <c r="H162" s="86"/>
      <c r="I162" s="65"/>
      <c r="J162" s="65"/>
      <c r="K162" s="87"/>
      <c r="L162" s="88"/>
    </row>
    <row r="163" spans="6:12" ht="12.5">
      <c r="F163" s="86"/>
      <c r="G163" s="86"/>
      <c r="H163" s="86"/>
      <c r="I163" s="65"/>
      <c r="J163" s="65"/>
      <c r="K163" s="87"/>
      <c r="L163" s="88"/>
    </row>
    <row r="164" spans="6:12" ht="12.5">
      <c r="F164" s="86"/>
      <c r="G164" s="86"/>
      <c r="H164" s="86"/>
      <c r="I164" s="65"/>
      <c r="J164" s="65"/>
      <c r="K164" s="87"/>
      <c r="L164" s="88"/>
    </row>
    <row r="165" spans="6:12" ht="12.5">
      <c r="F165" s="86"/>
      <c r="G165" s="86"/>
      <c r="H165" s="86"/>
      <c r="I165" s="65"/>
      <c r="J165" s="65"/>
      <c r="K165" s="87"/>
      <c r="L165" s="88"/>
    </row>
    <row r="166" spans="6:12" ht="12.5">
      <c r="F166" s="86"/>
      <c r="G166" s="86"/>
      <c r="H166" s="86"/>
      <c r="I166" s="65"/>
      <c r="J166" s="65"/>
      <c r="K166" s="87"/>
      <c r="L166" s="88"/>
    </row>
    <row r="167" spans="6:12" ht="12.5">
      <c r="F167" s="86"/>
      <c r="G167" s="86"/>
      <c r="H167" s="86"/>
      <c r="I167" s="65"/>
      <c r="J167" s="65"/>
      <c r="K167" s="87"/>
      <c r="L167" s="88"/>
    </row>
    <row r="168" spans="6:12" ht="12.5">
      <c r="F168" s="86"/>
      <c r="G168" s="86"/>
      <c r="H168" s="86"/>
      <c r="I168" s="65"/>
      <c r="J168" s="65"/>
      <c r="K168" s="87"/>
      <c r="L168" s="88"/>
    </row>
    <row r="169" spans="6:12" ht="12.5">
      <c r="F169" s="86"/>
      <c r="G169" s="86"/>
      <c r="H169" s="86"/>
      <c r="I169" s="65"/>
      <c r="J169" s="65"/>
      <c r="K169" s="87"/>
      <c r="L169" s="88"/>
    </row>
    <row r="170" spans="6:12" ht="12.5">
      <c r="F170" s="86"/>
      <c r="G170" s="86"/>
      <c r="H170" s="86"/>
      <c r="I170" s="65"/>
      <c r="J170" s="65"/>
      <c r="K170" s="87"/>
      <c r="L170" s="88"/>
    </row>
    <row r="171" spans="6:12" ht="12.5">
      <c r="F171" s="86"/>
      <c r="G171" s="86"/>
      <c r="H171" s="86"/>
      <c r="I171" s="65"/>
      <c r="J171" s="65"/>
      <c r="K171" s="87"/>
      <c r="L171" s="88"/>
    </row>
    <row r="172" spans="6:12" ht="12.5">
      <c r="F172" s="86"/>
      <c r="G172" s="86"/>
      <c r="H172" s="86"/>
      <c r="I172" s="65"/>
      <c r="J172" s="65"/>
      <c r="K172" s="87"/>
      <c r="L172" s="88"/>
    </row>
    <row r="173" spans="6:12" ht="12.5">
      <c r="F173" s="86"/>
      <c r="G173" s="86"/>
      <c r="H173" s="86"/>
      <c r="I173" s="65"/>
      <c r="J173" s="65"/>
      <c r="K173" s="87"/>
      <c r="L173" s="88"/>
    </row>
    <row r="174" spans="6:12" ht="12.5">
      <c r="F174" s="86"/>
      <c r="G174" s="86"/>
      <c r="H174" s="86"/>
      <c r="I174" s="65"/>
      <c r="J174" s="65"/>
      <c r="K174" s="87"/>
      <c r="L174" s="88"/>
    </row>
    <row r="175" spans="6:12" ht="12.5">
      <c r="F175" s="86"/>
      <c r="G175" s="86"/>
      <c r="H175" s="86"/>
      <c r="I175" s="65"/>
      <c r="J175" s="65"/>
      <c r="K175" s="87"/>
      <c r="L175" s="88"/>
    </row>
    <row r="176" spans="6:12" ht="12.5">
      <c r="F176" s="86"/>
      <c r="G176" s="86"/>
      <c r="H176" s="86"/>
      <c r="I176" s="65"/>
      <c r="J176" s="65"/>
      <c r="K176" s="87"/>
      <c r="L176" s="88"/>
    </row>
    <row r="177" spans="6:12" ht="12.5">
      <c r="F177" s="86"/>
      <c r="G177" s="86"/>
      <c r="H177" s="86"/>
      <c r="I177" s="65"/>
      <c r="J177" s="65"/>
      <c r="K177" s="87"/>
      <c r="L177" s="88"/>
    </row>
    <row r="178" spans="6:12" ht="12.5">
      <c r="F178" s="86"/>
      <c r="G178" s="86"/>
      <c r="H178" s="86"/>
      <c r="I178" s="65"/>
      <c r="J178" s="65"/>
      <c r="K178" s="87"/>
      <c r="L178" s="88"/>
    </row>
    <row r="179" spans="6:12" ht="12.5">
      <c r="F179" s="86"/>
      <c r="G179" s="86"/>
      <c r="H179" s="86"/>
      <c r="I179" s="65"/>
      <c r="J179" s="65"/>
      <c r="K179" s="87"/>
      <c r="L179" s="88"/>
    </row>
    <row r="180" spans="6:12" ht="12.5">
      <c r="F180" s="86"/>
      <c r="G180" s="86"/>
      <c r="H180" s="86"/>
      <c r="I180" s="65"/>
      <c r="J180" s="65"/>
      <c r="K180" s="87"/>
      <c r="L180" s="88"/>
    </row>
    <row r="181" spans="6:12" ht="12.5">
      <c r="F181" s="86"/>
      <c r="G181" s="86"/>
      <c r="H181" s="86"/>
      <c r="I181" s="65"/>
      <c r="J181" s="65"/>
      <c r="K181" s="87"/>
      <c r="L181" s="88"/>
    </row>
    <row r="182" spans="6:12" ht="12.5">
      <c r="F182" s="86"/>
      <c r="G182" s="86"/>
      <c r="H182" s="86"/>
      <c r="I182" s="65"/>
      <c r="J182" s="65"/>
      <c r="K182" s="87"/>
      <c r="L182" s="88"/>
    </row>
    <row r="183" spans="6:12" ht="12.5">
      <c r="F183" s="86"/>
      <c r="G183" s="86"/>
      <c r="H183" s="86"/>
      <c r="I183" s="65"/>
      <c r="J183" s="65"/>
      <c r="K183" s="87"/>
      <c r="L183" s="88"/>
    </row>
    <row r="184" spans="6:12" ht="12.5">
      <c r="F184" s="86"/>
      <c r="G184" s="86"/>
      <c r="H184" s="86"/>
      <c r="I184" s="65"/>
      <c r="J184" s="65"/>
      <c r="K184" s="87"/>
      <c r="L184" s="88"/>
    </row>
    <row r="185" spans="6:12" ht="12.5">
      <c r="F185" s="86"/>
      <c r="G185" s="86"/>
      <c r="H185" s="86"/>
      <c r="I185" s="65"/>
      <c r="J185" s="65"/>
      <c r="K185" s="87"/>
      <c r="L185" s="88"/>
    </row>
    <row r="186" spans="6:12" ht="12.5">
      <c r="F186" s="86"/>
      <c r="G186" s="86"/>
      <c r="H186" s="86"/>
      <c r="I186" s="65"/>
      <c r="J186" s="65"/>
      <c r="K186" s="87"/>
      <c r="L186" s="88"/>
    </row>
    <row r="187" spans="6:12" ht="12.5">
      <c r="F187" s="86"/>
      <c r="G187" s="86"/>
      <c r="H187" s="86"/>
      <c r="I187" s="65"/>
      <c r="J187" s="65"/>
      <c r="K187" s="87"/>
      <c r="L187" s="88"/>
    </row>
    <row r="188" spans="6:12" ht="12.5">
      <c r="F188" s="86"/>
      <c r="G188" s="86"/>
      <c r="H188" s="86"/>
      <c r="I188" s="65"/>
      <c r="J188" s="65"/>
      <c r="K188" s="87"/>
      <c r="L188" s="88"/>
    </row>
    <row r="189" spans="6:12" ht="12.5">
      <c r="F189" s="86"/>
      <c r="G189" s="86"/>
      <c r="H189" s="86"/>
      <c r="I189" s="65"/>
      <c r="J189" s="65"/>
      <c r="K189" s="87"/>
      <c r="L189" s="88"/>
    </row>
    <row r="190" spans="6:12" ht="12.5">
      <c r="F190" s="86"/>
      <c r="G190" s="86"/>
      <c r="H190" s="86"/>
      <c r="I190" s="65"/>
      <c r="J190" s="65"/>
      <c r="K190" s="87"/>
      <c r="L190" s="88"/>
    </row>
    <row r="191" spans="6:12" ht="12.5">
      <c r="F191" s="86"/>
      <c r="G191" s="86"/>
      <c r="H191" s="86"/>
      <c r="I191" s="65"/>
      <c r="J191" s="65"/>
      <c r="K191" s="87"/>
      <c r="L191" s="88"/>
    </row>
    <row r="192" spans="6:12" ht="12.5">
      <c r="F192" s="86"/>
      <c r="G192" s="86"/>
      <c r="H192" s="86"/>
      <c r="I192" s="65"/>
      <c r="J192" s="65"/>
      <c r="K192" s="87"/>
      <c r="L192" s="88"/>
    </row>
    <row r="193" spans="6:12" ht="12.5">
      <c r="F193" s="86"/>
      <c r="G193" s="86"/>
      <c r="H193" s="86"/>
      <c r="I193" s="65"/>
      <c r="J193" s="65"/>
      <c r="K193" s="87"/>
      <c r="L193" s="88"/>
    </row>
    <row r="194" spans="6:12" ht="12.5">
      <c r="F194" s="86"/>
      <c r="G194" s="86"/>
      <c r="H194" s="86"/>
      <c r="I194" s="65"/>
      <c r="J194" s="65"/>
      <c r="K194" s="87"/>
      <c r="L194" s="88"/>
    </row>
    <row r="195" spans="6:12" ht="12.5">
      <c r="F195" s="86"/>
      <c r="G195" s="86"/>
      <c r="H195" s="86"/>
      <c r="I195" s="65"/>
      <c r="J195" s="65"/>
      <c r="K195" s="87"/>
      <c r="L195" s="88"/>
    </row>
    <row r="196" spans="6:12" ht="12.5">
      <c r="F196" s="86"/>
      <c r="G196" s="86"/>
      <c r="H196" s="86"/>
      <c r="I196" s="65"/>
      <c r="J196" s="65"/>
      <c r="K196" s="87"/>
      <c r="L196" s="88"/>
    </row>
    <row r="197" spans="6:12" ht="12.5">
      <c r="F197" s="86"/>
      <c r="G197" s="86"/>
      <c r="H197" s="86"/>
      <c r="I197" s="65"/>
      <c r="J197" s="65"/>
      <c r="K197" s="87"/>
      <c r="L197" s="88"/>
    </row>
    <row r="198" spans="6:12" ht="12.5">
      <c r="F198" s="86"/>
      <c r="G198" s="86"/>
      <c r="H198" s="86"/>
      <c r="I198" s="65"/>
      <c r="J198" s="65"/>
      <c r="K198" s="87"/>
      <c r="L198" s="88"/>
    </row>
    <row r="199" spans="6:12" ht="12.5">
      <c r="F199" s="86"/>
      <c r="G199" s="86"/>
      <c r="H199" s="86"/>
      <c r="I199" s="65"/>
      <c r="J199" s="65"/>
      <c r="K199" s="87"/>
      <c r="L199" s="88"/>
    </row>
    <row r="200" spans="6:12" ht="12.5">
      <c r="F200" s="86"/>
      <c r="G200" s="86"/>
      <c r="H200" s="86"/>
      <c r="I200" s="65"/>
      <c r="J200" s="65"/>
      <c r="K200" s="87"/>
      <c r="L200" s="88"/>
    </row>
    <row r="201" spans="6:12" ht="12.5">
      <c r="F201" s="86"/>
      <c r="G201" s="86"/>
      <c r="H201" s="86"/>
      <c r="I201" s="65"/>
      <c r="J201" s="65"/>
      <c r="K201" s="87"/>
      <c r="L201" s="88"/>
    </row>
    <row r="202" spans="6:12" ht="12.5">
      <c r="F202" s="86"/>
      <c r="G202" s="86"/>
      <c r="H202" s="86"/>
      <c r="I202" s="65"/>
      <c r="J202" s="65"/>
      <c r="K202" s="87"/>
      <c r="L202" s="88"/>
    </row>
    <row r="203" spans="6:12" ht="12.5">
      <c r="F203" s="86"/>
      <c r="G203" s="86"/>
      <c r="H203" s="86"/>
      <c r="I203" s="65"/>
      <c r="J203" s="65"/>
      <c r="K203" s="87"/>
      <c r="L203" s="88"/>
    </row>
    <row r="204" spans="6:12" ht="12.5">
      <c r="F204" s="86"/>
      <c r="G204" s="86"/>
      <c r="H204" s="86"/>
      <c r="I204" s="65"/>
      <c r="J204" s="65"/>
      <c r="K204" s="87"/>
      <c r="L204" s="88"/>
    </row>
    <row r="205" spans="6:12" ht="12.5">
      <c r="F205" s="86"/>
      <c r="G205" s="86"/>
      <c r="H205" s="86"/>
      <c r="I205" s="65"/>
      <c r="J205" s="65"/>
      <c r="K205" s="87"/>
      <c r="L205" s="88"/>
    </row>
    <row r="206" spans="6:12" ht="12.5">
      <c r="F206" s="86"/>
      <c r="G206" s="86"/>
      <c r="H206" s="86"/>
      <c r="I206" s="65"/>
      <c r="J206" s="65"/>
      <c r="K206" s="87"/>
      <c r="L206" s="88"/>
    </row>
    <row r="207" spans="6:12" ht="12.5">
      <c r="F207" s="86"/>
      <c r="G207" s="86"/>
      <c r="H207" s="86"/>
      <c r="I207" s="65"/>
      <c r="J207" s="65"/>
      <c r="K207" s="87"/>
      <c r="L207" s="88"/>
    </row>
    <row r="208" spans="6:12" ht="12.5">
      <c r="F208" s="86"/>
      <c r="G208" s="86"/>
      <c r="H208" s="86"/>
      <c r="I208" s="65"/>
      <c r="J208" s="65"/>
      <c r="K208" s="87"/>
      <c r="L208" s="88"/>
    </row>
    <row r="209" spans="6:12" ht="12.5">
      <c r="F209" s="86"/>
      <c r="G209" s="86"/>
      <c r="H209" s="86"/>
      <c r="I209" s="65"/>
      <c r="J209" s="65"/>
      <c r="K209" s="87"/>
      <c r="L209" s="88"/>
    </row>
    <row r="210" spans="6:12" ht="12.5">
      <c r="F210" s="86"/>
      <c r="G210" s="86"/>
      <c r="H210" s="86"/>
      <c r="I210" s="65"/>
      <c r="J210" s="65"/>
      <c r="K210" s="87"/>
      <c r="L210" s="88"/>
    </row>
    <row r="211" spans="6:12" ht="12.5">
      <c r="F211" s="86"/>
      <c r="G211" s="86"/>
      <c r="H211" s="86"/>
      <c r="I211" s="65"/>
      <c r="J211" s="65"/>
      <c r="K211" s="87"/>
      <c r="L211" s="88"/>
    </row>
    <row r="212" spans="6:12" ht="12.5">
      <c r="F212" s="86"/>
      <c r="G212" s="86"/>
      <c r="H212" s="86"/>
      <c r="I212" s="65"/>
      <c r="J212" s="65"/>
      <c r="K212" s="87"/>
      <c r="L212" s="88"/>
    </row>
    <row r="213" spans="6:12" ht="12.5">
      <c r="F213" s="86"/>
      <c r="G213" s="86"/>
      <c r="H213" s="86"/>
      <c r="I213" s="65"/>
      <c r="J213" s="65"/>
      <c r="K213" s="87"/>
      <c r="L213" s="88"/>
    </row>
    <row r="214" spans="6:12" ht="12.5">
      <c r="F214" s="86"/>
      <c r="G214" s="86"/>
      <c r="H214" s="86"/>
      <c r="I214" s="65"/>
      <c r="J214" s="65"/>
      <c r="K214" s="87"/>
      <c r="L214" s="88"/>
    </row>
    <row r="215" spans="6:12" ht="12.5">
      <c r="F215" s="86"/>
      <c r="G215" s="86"/>
      <c r="H215" s="86"/>
      <c r="I215" s="65"/>
      <c r="J215" s="65"/>
      <c r="K215" s="87"/>
      <c r="L215" s="88"/>
    </row>
    <row r="216" spans="6:12" ht="12.5">
      <c r="F216" s="86"/>
      <c r="G216" s="86"/>
      <c r="H216" s="86"/>
      <c r="I216" s="65"/>
      <c r="J216" s="65"/>
      <c r="K216" s="87"/>
      <c r="L216" s="88"/>
    </row>
    <row r="217" spans="6:12" ht="12.5">
      <c r="F217" s="86"/>
      <c r="G217" s="86"/>
      <c r="H217" s="86"/>
      <c r="I217" s="65"/>
      <c r="J217" s="65"/>
      <c r="K217" s="87"/>
      <c r="L217" s="88"/>
    </row>
    <row r="218" spans="6:12" ht="12.5">
      <c r="F218" s="86"/>
      <c r="G218" s="86"/>
      <c r="H218" s="86"/>
      <c r="I218" s="65"/>
      <c r="J218" s="65"/>
      <c r="K218" s="87"/>
      <c r="L218" s="88"/>
    </row>
    <row r="219" spans="6:12" ht="12.5">
      <c r="F219" s="86"/>
      <c r="G219" s="86"/>
      <c r="H219" s="86"/>
      <c r="I219" s="65"/>
      <c r="J219" s="65"/>
      <c r="K219" s="87"/>
      <c r="L219" s="88"/>
    </row>
    <row r="220" spans="6:12" ht="12.5">
      <c r="F220" s="86"/>
      <c r="G220" s="86"/>
      <c r="H220" s="86"/>
      <c r="I220" s="65"/>
      <c r="J220" s="65"/>
      <c r="K220" s="87"/>
      <c r="L220" s="88"/>
    </row>
    <row r="221" spans="6:12" ht="12.5">
      <c r="F221" s="86"/>
      <c r="G221" s="86"/>
      <c r="H221" s="86"/>
      <c r="I221" s="65"/>
      <c r="J221" s="65"/>
      <c r="K221" s="87"/>
      <c r="L221" s="88"/>
    </row>
    <row r="222" spans="6:12" ht="12.5">
      <c r="F222" s="86"/>
      <c r="G222" s="86"/>
      <c r="H222" s="86"/>
      <c r="I222" s="65"/>
      <c r="J222" s="65"/>
      <c r="K222" s="87"/>
      <c r="L222" s="88"/>
    </row>
    <row r="223" spans="6:12" ht="12.5">
      <c r="F223" s="86"/>
      <c r="G223" s="86"/>
      <c r="H223" s="86"/>
      <c r="I223" s="65"/>
      <c r="J223" s="65"/>
      <c r="K223" s="87"/>
      <c r="L223" s="88"/>
    </row>
    <row r="224" spans="6:12" ht="12.5">
      <c r="F224" s="86"/>
      <c r="G224" s="86"/>
      <c r="H224" s="86"/>
      <c r="I224" s="65"/>
      <c r="J224" s="65"/>
      <c r="K224" s="87"/>
      <c r="L224" s="88"/>
    </row>
    <row r="225" spans="6:12" ht="12.5">
      <c r="F225" s="86"/>
      <c r="G225" s="86"/>
      <c r="H225" s="86"/>
      <c r="I225" s="65"/>
      <c r="J225" s="65"/>
      <c r="K225" s="87"/>
      <c r="L225" s="88"/>
    </row>
    <row r="226" spans="6:12" ht="12.5">
      <c r="F226" s="86"/>
      <c r="G226" s="86"/>
      <c r="H226" s="86"/>
      <c r="I226" s="65"/>
      <c r="J226" s="65"/>
      <c r="K226" s="87"/>
      <c r="L226" s="88"/>
    </row>
    <row r="227" spans="6:12" ht="12.5">
      <c r="F227" s="86"/>
      <c r="G227" s="86"/>
      <c r="H227" s="86"/>
      <c r="I227" s="65"/>
      <c r="J227" s="65"/>
      <c r="K227" s="87"/>
      <c r="L227" s="88"/>
    </row>
    <row r="228" spans="6:12" ht="12.5">
      <c r="F228" s="86"/>
      <c r="G228" s="86"/>
      <c r="H228" s="86"/>
      <c r="I228" s="65"/>
      <c r="J228" s="65"/>
      <c r="K228" s="87"/>
      <c r="L228" s="88"/>
    </row>
    <row r="229" spans="6:12" ht="12.5">
      <c r="F229" s="86"/>
      <c r="G229" s="86"/>
      <c r="H229" s="86"/>
      <c r="I229" s="65"/>
      <c r="J229" s="65"/>
      <c r="K229" s="87"/>
      <c r="L229" s="88"/>
    </row>
    <row r="230" spans="6:12" ht="12.5">
      <c r="F230" s="86"/>
      <c r="G230" s="86"/>
      <c r="H230" s="86"/>
      <c r="I230" s="65"/>
      <c r="J230" s="65"/>
      <c r="K230" s="87"/>
      <c r="L230" s="88"/>
    </row>
    <row r="231" spans="6:12" ht="12.5">
      <c r="F231" s="86"/>
      <c r="G231" s="86"/>
      <c r="H231" s="86"/>
      <c r="I231" s="65"/>
      <c r="J231" s="65"/>
      <c r="K231" s="87"/>
      <c r="L231" s="88"/>
    </row>
    <row r="232" spans="6:12" ht="12.5">
      <c r="F232" s="86"/>
      <c r="G232" s="86"/>
      <c r="H232" s="86"/>
      <c r="I232" s="65"/>
      <c r="J232" s="65"/>
      <c r="K232" s="87"/>
      <c r="L232" s="88"/>
    </row>
    <row r="233" spans="6:12" ht="12.5">
      <c r="F233" s="86"/>
      <c r="G233" s="86"/>
      <c r="H233" s="86"/>
      <c r="I233" s="65"/>
      <c r="J233" s="65"/>
      <c r="K233" s="87"/>
      <c r="L233" s="88"/>
    </row>
    <row r="234" spans="6:12" ht="12.5">
      <c r="F234" s="86"/>
      <c r="G234" s="86"/>
      <c r="H234" s="86"/>
      <c r="I234" s="65"/>
      <c r="J234" s="65"/>
      <c r="K234" s="87"/>
      <c r="L234" s="88"/>
    </row>
    <row r="235" spans="6:12" ht="12.5">
      <c r="F235" s="86"/>
      <c r="G235" s="86"/>
      <c r="H235" s="86"/>
      <c r="I235" s="65"/>
      <c r="J235" s="65"/>
      <c r="K235" s="87"/>
      <c r="L235" s="88"/>
    </row>
    <row r="236" spans="6:12" ht="12.5">
      <c r="F236" s="86"/>
      <c r="G236" s="86"/>
      <c r="H236" s="86"/>
      <c r="I236" s="65"/>
      <c r="J236" s="65"/>
      <c r="K236" s="87"/>
      <c r="L236" s="88"/>
    </row>
    <row r="237" spans="6:12" ht="12.5">
      <c r="F237" s="86"/>
      <c r="G237" s="86"/>
      <c r="H237" s="86"/>
      <c r="I237" s="65"/>
      <c r="J237" s="65"/>
      <c r="K237" s="87"/>
      <c r="L237" s="88"/>
    </row>
    <row r="238" spans="6:12" ht="12.5">
      <c r="F238" s="86"/>
      <c r="G238" s="86"/>
      <c r="H238" s="86"/>
      <c r="I238" s="65"/>
      <c r="J238" s="65"/>
      <c r="K238" s="87"/>
      <c r="L238" s="88"/>
    </row>
    <row r="239" spans="6:12" ht="12.5">
      <c r="F239" s="86"/>
      <c r="G239" s="86"/>
      <c r="H239" s="86"/>
      <c r="I239" s="65"/>
      <c r="J239" s="65"/>
      <c r="K239" s="87"/>
      <c r="L239" s="88"/>
    </row>
    <row r="240" spans="6:12" ht="12.5">
      <c r="F240" s="86"/>
      <c r="G240" s="86"/>
      <c r="H240" s="86"/>
      <c r="I240" s="65"/>
      <c r="J240" s="65"/>
      <c r="K240" s="87"/>
      <c r="L240" s="88"/>
    </row>
    <row r="241" spans="6:12" ht="12.5">
      <c r="F241" s="86"/>
      <c r="G241" s="86"/>
      <c r="H241" s="86"/>
      <c r="I241" s="65"/>
      <c r="J241" s="65"/>
      <c r="K241" s="87"/>
      <c r="L241" s="88"/>
    </row>
    <row r="242" spans="6:12" ht="12.5">
      <c r="F242" s="86"/>
      <c r="G242" s="86"/>
      <c r="H242" s="86"/>
      <c r="I242" s="65"/>
      <c r="J242" s="65"/>
      <c r="K242" s="87"/>
      <c r="L242" s="88"/>
    </row>
    <row r="243" spans="6:12" ht="12.5">
      <c r="F243" s="86"/>
      <c r="G243" s="86"/>
      <c r="H243" s="86"/>
      <c r="I243" s="65"/>
      <c r="J243" s="65"/>
      <c r="K243" s="87"/>
      <c r="L243" s="88"/>
    </row>
    <row r="244" spans="6:12" ht="12.5">
      <c r="F244" s="86"/>
      <c r="G244" s="86"/>
      <c r="H244" s="86"/>
      <c r="I244" s="65"/>
      <c r="J244" s="65"/>
      <c r="K244" s="87"/>
      <c r="L244" s="88"/>
    </row>
    <row r="245" spans="6:12" ht="12.5">
      <c r="F245" s="86"/>
      <c r="G245" s="86"/>
      <c r="H245" s="86"/>
      <c r="I245" s="65"/>
      <c r="J245" s="65"/>
      <c r="K245" s="87"/>
      <c r="L245" s="88"/>
    </row>
    <row r="246" spans="6:12" ht="12.5">
      <c r="F246" s="86"/>
      <c r="G246" s="86"/>
      <c r="H246" s="86"/>
      <c r="I246" s="65"/>
      <c r="J246" s="65"/>
      <c r="K246" s="87"/>
      <c r="L246" s="88"/>
    </row>
    <row r="247" spans="6:12" ht="12.5">
      <c r="F247" s="86"/>
      <c r="G247" s="86"/>
      <c r="H247" s="86"/>
      <c r="I247" s="65"/>
      <c r="J247" s="65"/>
      <c r="K247" s="87"/>
      <c r="L247" s="88"/>
    </row>
    <row r="248" spans="6:12" ht="12.5">
      <c r="F248" s="86"/>
      <c r="G248" s="86"/>
      <c r="H248" s="86"/>
      <c r="I248" s="65"/>
      <c r="J248" s="65"/>
      <c r="K248" s="87"/>
      <c r="L248" s="88"/>
    </row>
    <row r="249" spans="6:12" ht="12.5">
      <c r="F249" s="86"/>
      <c r="G249" s="86"/>
      <c r="H249" s="86"/>
      <c r="I249" s="65"/>
      <c r="J249" s="65"/>
      <c r="K249" s="87"/>
      <c r="L249" s="88"/>
    </row>
    <row r="250" spans="6:12" ht="12.5">
      <c r="F250" s="86"/>
      <c r="G250" s="86"/>
      <c r="H250" s="86"/>
      <c r="I250" s="65"/>
      <c r="J250" s="65"/>
      <c r="K250" s="87"/>
      <c r="L250" s="88"/>
    </row>
    <row r="251" spans="6:12" ht="12.5">
      <c r="F251" s="86"/>
      <c r="G251" s="86"/>
      <c r="H251" s="86"/>
      <c r="I251" s="65"/>
      <c r="J251" s="65"/>
      <c r="K251" s="87"/>
      <c r="L251" s="88"/>
    </row>
    <row r="252" spans="6:12" ht="12.5">
      <c r="F252" s="86"/>
      <c r="G252" s="86"/>
      <c r="H252" s="86"/>
      <c r="I252" s="65"/>
      <c r="J252" s="65"/>
      <c r="K252" s="87"/>
      <c r="L252" s="88"/>
    </row>
    <row r="253" spans="6:12" ht="12.5">
      <c r="F253" s="86"/>
      <c r="G253" s="86"/>
      <c r="H253" s="86"/>
      <c r="I253" s="65"/>
      <c r="J253" s="65"/>
      <c r="K253" s="87"/>
      <c r="L253" s="88"/>
    </row>
    <row r="254" spans="6:12" ht="12.5">
      <c r="F254" s="86"/>
      <c r="G254" s="86"/>
      <c r="H254" s="86"/>
      <c r="I254" s="65"/>
      <c r="J254" s="65"/>
      <c r="K254" s="87"/>
      <c r="L254" s="88"/>
    </row>
    <row r="255" spans="6:12" ht="12.5">
      <c r="F255" s="86"/>
      <c r="G255" s="86"/>
      <c r="H255" s="86"/>
      <c r="I255" s="65"/>
      <c r="J255" s="65"/>
      <c r="K255" s="87"/>
      <c r="L255" s="88"/>
    </row>
    <row r="256" spans="6:12" ht="12.5">
      <c r="F256" s="86"/>
      <c r="G256" s="86"/>
      <c r="H256" s="86"/>
      <c r="I256" s="65"/>
      <c r="J256" s="65"/>
      <c r="K256" s="87"/>
      <c r="L256" s="88"/>
    </row>
    <row r="257" spans="6:12" ht="12.5">
      <c r="F257" s="86"/>
      <c r="G257" s="86"/>
      <c r="H257" s="86"/>
      <c r="I257" s="65"/>
      <c r="J257" s="65"/>
      <c r="K257" s="87"/>
      <c r="L257" s="88"/>
    </row>
    <row r="258" spans="6:12" ht="12.5">
      <c r="F258" s="86"/>
      <c r="G258" s="86"/>
      <c r="H258" s="86"/>
      <c r="I258" s="65"/>
      <c r="J258" s="65"/>
      <c r="K258" s="87"/>
      <c r="L258" s="88"/>
    </row>
    <row r="259" spans="6:12" ht="12.5">
      <c r="F259" s="86"/>
      <c r="G259" s="86"/>
      <c r="H259" s="86"/>
      <c r="I259" s="65"/>
      <c r="J259" s="65"/>
      <c r="K259" s="87"/>
      <c r="L259" s="88"/>
    </row>
    <row r="260" spans="6:12" ht="12.5">
      <c r="F260" s="86"/>
      <c r="G260" s="86"/>
      <c r="H260" s="86"/>
      <c r="I260" s="65"/>
      <c r="J260" s="65"/>
      <c r="K260" s="87"/>
      <c r="L260" s="88"/>
    </row>
    <row r="261" spans="6:12" ht="12.5">
      <c r="F261" s="86"/>
      <c r="G261" s="86"/>
      <c r="H261" s="86"/>
      <c r="I261" s="65"/>
      <c r="J261" s="65"/>
      <c r="K261" s="87"/>
      <c r="L261" s="88"/>
    </row>
    <row r="262" spans="6:12" ht="12.5">
      <c r="F262" s="86"/>
      <c r="G262" s="86"/>
      <c r="H262" s="86"/>
      <c r="I262" s="65"/>
      <c r="J262" s="65"/>
      <c r="K262" s="87"/>
      <c r="L262" s="88"/>
    </row>
    <row r="263" spans="6:12" ht="12.5">
      <c r="F263" s="86"/>
      <c r="G263" s="86"/>
      <c r="H263" s="86"/>
      <c r="I263" s="65"/>
      <c r="J263" s="65"/>
      <c r="K263" s="87"/>
      <c r="L263" s="88"/>
    </row>
    <row r="264" spans="6:12" ht="12.5">
      <c r="F264" s="86"/>
      <c r="G264" s="86"/>
      <c r="H264" s="86"/>
      <c r="I264" s="65"/>
      <c r="J264" s="65"/>
      <c r="K264" s="87"/>
      <c r="L264" s="88"/>
    </row>
    <row r="265" spans="6:12" ht="12.5">
      <c r="F265" s="86"/>
      <c r="G265" s="86"/>
      <c r="H265" s="86"/>
      <c r="I265" s="65"/>
      <c r="J265" s="65"/>
      <c r="K265" s="87"/>
      <c r="L265" s="88"/>
    </row>
    <row r="266" spans="6:12" ht="12.5">
      <c r="F266" s="86"/>
      <c r="G266" s="86"/>
      <c r="H266" s="86"/>
      <c r="I266" s="65"/>
      <c r="J266" s="65"/>
      <c r="K266" s="87"/>
      <c r="L266" s="88"/>
    </row>
    <row r="267" spans="6:12" ht="12.5">
      <c r="F267" s="86"/>
      <c r="G267" s="86"/>
      <c r="H267" s="86"/>
      <c r="I267" s="65"/>
      <c r="J267" s="65"/>
      <c r="K267" s="87"/>
      <c r="L267" s="88"/>
    </row>
    <row r="268" spans="6:12" ht="12.5">
      <c r="F268" s="86"/>
      <c r="G268" s="86"/>
      <c r="H268" s="86"/>
      <c r="I268" s="65"/>
      <c r="J268" s="65"/>
      <c r="K268" s="87"/>
      <c r="L268" s="88"/>
    </row>
    <row r="269" spans="6:12" ht="12.5">
      <c r="F269" s="86"/>
      <c r="G269" s="86"/>
      <c r="H269" s="86"/>
      <c r="I269" s="65"/>
      <c r="J269" s="65"/>
      <c r="K269" s="87"/>
      <c r="L269" s="88"/>
    </row>
    <row r="270" spans="6:12" ht="12.5">
      <c r="F270" s="86"/>
      <c r="G270" s="86"/>
      <c r="H270" s="86"/>
      <c r="I270" s="65"/>
      <c r="J270" s="65"/>
      <c r="K270" s="87"/>
      <c r="L270" s="88"/>
    </row>
    <row r="271" spans="6:12" ht="12.5">
      <c r="F271" s="86"/>
      <c r="G271" s="86"/>
      <c r="H271" s="86"/>
      <c r="I271" s="65"/>
      <c r="J271" s="65"/>
      <c r="K271" s="87"/>
      <c r="L271" s="88"/>
    </row>
    <row r="272" spans="6:12" ht="12.5">
      <c r="F272" s="86"/>
      <c r="G272" s="86"/>
      <c r="H272" s="86"/>
      <c r="I272" s="65"/>
      <c r="J272" s="65"/>
      <c r="K272" s="87"/>
      <c r="L272" s="88"/>
    </row>
    <row r="273" spans="6:12" ht="12.5">
      <c r="F273" s="86"/>
      <c r="G273" s="86"/>
      <c r="H273" s="86"/>
      <c r="I273" s="65"/>
      <c r="J273" s="65"/>
      <c r="K273" s="87"/>
      <c r="L273" s="88"/>
    </row>
    <row r="274" spans="6:12" ht="12.5">
      <c r="F274" s="86"/>
      <c r="G274" s="86"/>
      <c r="H274" s="86"/>
      <c r="I274" s="65"/>
      <c r="J274" s="65"/>
      <c r="K274" s="87"/>
      <c r="L274" s="88"/>
    </row>
    <row r="275" spans="6:12" ht="12.5">
      <c r="F275" s="86"/>
      <c r="G275" s="86"/>
      <c r="H275" s="86"/>
      <c r="I275" s="65"/>
      <c r="J275" s="65"/>
      <c r="K275" s="87"/>
      <c r="L275" s="88"/>
    </row>
    <row r="276" spans="6:12" ht="12.5">
      <c r="F276" s="86"/>
      <c r="G276" s="86"/>
      <c r="H276" s="86"/>
      <c r="I276" s="65"/>
      <c r="J276" s="65"/>
      <c r="K276" s="87"/>
      <c r="L276" s="88"/>
    </row>
    <row r="277" spans="6:12" ht="12.5">
      <c r="F277" s="86"/>
      <c r="G277" s="86"/>
      <c r="H277" s="86"/>
      <c r="I277" s="65"/>
      <c r="J277" s="65"/>
      <c r="K277" s="87"/>
      <c r="L277" s="88"/>
    </row>
    <row r="278" spans="6:12" ht="12.5">
      <c r="F278" s="86"/>
      <c r="G278" s="86"/>
      <c r="H278" s="86"/>
      <c r="I278" s="65"/>
      <c r="J278" s="65"/>
      <c r="K278" s="87"/>
      <c r="L278" s="88"/>
    </row>
    <row r="279" spans="6:12" ht="12.5">
      <c r="F279" s="86"/>
      <c r="G279" s="86"/>
      <c r="H279" s="86"/>
      <c r="I279" s="65"/>
      <c r="J279" s="65"/>
      <c r="K279" s="87"/>
      <c r="L279" s="88"/>
    </row>
    <row r="280" spans="6:12" ht="12.5">
      <c r="F280" s="86"/>
      <c r="G280" s="86"/>
      <c r="H280" s="86"/>
      <c r="I280" s="65"/>
      <c r="J280" s="65"/>
      <c r="K280" s="87"/>
      <c r="L280" s="88"/>
    </row>
    <row r="281" spans="6:12" ht="12.5">
      <c r="F281" s="86"/>
      <c r="G281" s="86"/>
      <c r="H281" s="86"/>
      <c r="I281" s="65"/>
      <c r="J281" s="65"/>
      <c r="K281" s="87"/>
      <c r="L281" s="88"/>
    </row>
    <row r="282" spans="6:12" ht="12.5">
      <c r="F282" s="86"/>
      <c r="G282" s="86"/>
      <c r="H282" s="86"/>
      <c r="I282" s="65"/>
      <c r="J282" s="65"/>
      <c r="K282" s="87"/>
      <c r="L282" s="88"/>
    </row>
    <row r="283" spans="6:12" ht="12.5">
      <c r="F283" s="86"/>
      <c r="G283" s="86"/>
      <c r="H283" s="86"/>
      <c r="I283" s="65"/>
      <c r="J283" s="65"/>
      <c r="K283" s="87"/>
      <c r="L283" s="88"/>
    </row>
    <row r="284" spans="6:12" ht="12.5">
      <c r="F284" s="86"/>
      <c r="G284" s="86"/>
      <c r="H284" s="86"/>
      <c r="I284" s="65"/>
      <c r="J284" s="65"/>
      <c r="K284" s="87"/>
      <c r="L284" s="88"/>
    </row>
    <row r="285" spans="6:12" ht="12.5">
      <c r="F285" s="86"/>
      <c r="G285" s="86"/>
      <c r="H285" s="86"/>
      <c r="I285" s="65"/>
      <c r="J285" s="65"/>
      <c r="K285" s="87"/>
      <c r="L285" s="88"/>
    </row>
    <row r="286" spans="6:12" ht="12.5">
      <c r="F286" s="86"/>
      <c r="G286" s="86"/>
      <c r="H286" s="86"/>
      <c r="I286" s="65"/>
      <c r="J286" s="65"/>
      <c r="K286" s="87"/>
      <c r="L286" s="88"/>
    </row>
    <row r="287" spans="6:12" ht="12.5">
      <c r="F287" s="86"/>
      <c r="G287" s="86"/>
      <c r="H287" s="86"/>
      <c r="I287" s="65"/>
      <c r="J287" s="65"/>
      <c r="K287" s="87"/>
      <c r="L287" s="88"/>
    </row>
    <row r="288" spans="6:12" ht="12.5">
      <c r="F288" s="86"/>
      <c r="G288" s="86"/>
      <c r="H288" s="86"/>
      <c r="I288" s="65"/>
      <c r="J288" s="65"/>
      <c r="K288" s="87"/>
      <c r="L288" s="88"/>
    </row>
    <row r="289" spans="6:12" ht="12.5">
      <c r="F289" s="86"/>
      <c r="G289" s="86"/>
      <c r="H289" s="86"/>
      <c r="I289" s="65"/>
      <c r="J289" s="65"/>
      <c r="K289" s="87"/>
      <c r="L289" s="88"/>
    </row>
    <row r="290" spans="6:12" ht="12.5">
      <c r="F290" s="86"/>
      <c r="G290" s="86"/>
      <c r="H290" s="86"/>
      <c r="I290" s="65"/>
      <c r="J290" s="65"/>
      <c r="K290" s="87"/>
      <c r="L290" s="88"/>
    </row>
    <row r="291" spans="6:12" ht="12.5">
      <c r="F291" s="86"/>
      <c r="G291" s="86"/>
      <c r="H291" s="86"/>
      <c r="I291" s="65"/>
      <c r="J291" s="65"/>
      <c r="K291" s="87"/>
      <c r="L291" s="88"/>
    </row>
    <row r="292" spans="6:12" ht="12.5">
      <c r="F292" s="86"/>
      <c r="G292" s="86"/>
      <c r="H292" s="86"/>
      <c r="I292" s="65"/>
      <c r="J292" s="65"/>
      <c r="K292" s="87"/>
      <c r="L292" s="88"/>
    </row>
    <row r="293" spans="6:12" ht="12.5">
      <c r="F293" s="86"/>
      <c r="G293" s="86"/>
      <c r="H293" s="86"/>
      <c r="I293" s="65"/>
      <c r="J293" s="65"/>
      <c r="K293" s="87"/>
      <c r="L293" s="88"/>
    </row>
    <row r="294" spans="6:12" ht="12.5">
      <c r="F294" s="86"/>
      <c r="G294" s="86"/>
      <c r="H294" s="86"/>
      <c r="I294" s="65"/>
      <c r="J294" s="65"/>
      <c r="K294" s="87"/>
      <c r="L294" s="88"/>
    </row>
    <row r="295" spans="6:12" ht="12.5">
      <c r="F295" s="86"/>
      <c r="G295" s="86"/>
      <c r="H295" s="86"/>
      <c r="I295" s="65"/>
      <c r="J295" s="65"/>
      <c r="K295" s="87"/>
      <c r="L295" s="88"/>
    </row>
    <row r="296" spans="6:12" ht="12.5">
      <c r="F296" s="86"/>
      <c r="G296" s="86"/>
      <c r="H296" s="86"/>
      <c r="I296" s="65"/>
      <c r="J296" s="65"/>
      <c r="K296" s="87"/>
      <c r="L296" s="88"/>
    </row>
    <row r="297" spans="6:12" ht="12.5">
      <c r="F297" s="86"/>
      <c r="G297" s="86"/>
      <c r="H297" s="86"/>
      <c r="I297" s="65"/>
      <c r="J297" s="65"/>
      <c r="K297" s="87"/>
      <c r="L297" s="88"/>
    </row>
    <row r="298" spans="6:12" ht="12.5">
      <c r="F298" s="86"/>
      <c r="G298" s="86"/>
      <c r="H298" s="86"/>
      <c r="I298" s="65"/>
      <c r="J298" s="65"/>
      <c r="K298" s="87"/>
      <c r="L298" s="88"/>
    </row>
    <row r="299" spans="6:12" ht="12.5">
      <c r="F299" s="86"/>
      <c r="G299" s="86"/>
      <c r="H299" s="86"/>
      <c r="I299" s="65"/>
      <c r="J299" s="65"/>
      <c r="K299" s="87"/>
      <c r="L299" s="88"/>
    </row>
    <row r="300" spans="6:12" ht="12.5">
      <c r="F300" s="86"/>
      <c r="G300" s="86"/>
      <c r="H300" s="86"/>
      <c r="I300" s="65"/>
      <c r="J300" s="65"/>
      <c r="K300" s="87"/>
      <c r="L300" s="88"/>
    </row>
    <row r="301" spans="6:12" ht="12.5">
      <c r="F301" s="86"/>
      <c r="G301" s="86"/>
      <c r="H301" s="86"/>
      <c r="I301" s="65"/>
      <c r="J301" s="65"/>
      <c r="K301" s="87"/>
      <c r="L301" s="88"/>
    </row>
    <row r="302" spans="6:12" ht="12.5">
      <c r="F302" s="86"/>
      <c r="G302" s="86"/>
      <c r="H302" s="86"/>
      <c r="I302" s="65"/>
      <c r="J302" s="65"/>
      <c r="K302" s="87"/>
      <c r="L302" s="88"/>
    </row>
    <row r="303" spans="6:12" ht="12.5">
      <c r="F303" s="86"/>
      <c r="G303" s="86"/>
      <c r="H303" s="86"/>
      <c r="I303" s="65"/>
      <c r="J303" s="65"/>
      <c r="K303" s="87"/>
      <c r="L303" s="88"/>
    </row>
    <row r="304" spans="6:12" ht="12.5">
      <c r="F304" s="86"/>
      <c r="G304" s="86"/>
      <c r="H304" s="86"/>
      <c r="I304" s="65"/>
      <c r="J304" s="65"/>
      <c r="K304" s="87"/>
      <c r="L304" s="88"/>
    </row>
    <row r="305" spans="6:12" ht="12.5">
      <c r="F305" s="86"/>
      <c r="G305" s="86"/>
      <c r="H305" s="86"/>
      <c r="I305" s="65"/>
      <c r="J305" s="65"/>
      <c r="K305" s="87"/>
      <c r="L305" s="88"/>
    </row>
    <row r="306" spans="6:12" ht="12.5">
      <c r="F306" s="86"/>
      <c r="G306" s="86"/>
      <c r="H306" s="86"/>
      <c r="I306" s="65"/>
      <c r="J306" s="65"/>
      <c r="K306" s="87"/>
      <c r="L306" s="88"/>
    </row>
    <row r="307" spans="6:12" ht="12.5">
      <c r="F307" s="86"/>
      <c r="G307" s="86"/>
      <c r="H307" s="86"/>
      <c r="I307" s="65"/>
      <c r="J307" s="65"/>
      <c r="K307" s="87"/>
      <c r="L307" s="88"/>
    </row>
    <row r="308" spans="6:12" ht="12.5">
      <c r="F308" s="86"/>
      <c r="G308" s="86"/>
      <c r="H308" s="86"/>
      <c r="I308" s="65"/>
      <c r="J308" s="65"/>
      <c r="K308" s="87"/>
      <c r="L308" s="88"/>
    </row>
    <row r="309" spans="6:12" ht="12.5">
      <c r="F309" s="86"/>
      <c r="G309" s="86"/>
      <c r="H309" s="86"/>
      <c r="I309" s="65"/>
      <c r="J309" s="65"/>
      <c r="K309" s="87"/>
      <c r="L309" s="88"/>
    </row>
    <row r="310" spans="6:12" ht="12.5">
      <c r="F310" s="86"/>
      <c r="G310" s="86"/>
      <c r="H310" s="86"/>
      <c r="I310" s="65"/>
      <c r="J310" s="65"/>
      <c r="K310" s="87"/>
      <c r="L310" s="88"/>
    </row>
    <row r="311" spans="6:12" ht="12.5">
      <c r="F311" s="86"/>
      <c r="G311" s="86"/>
      <c r="H311" s="86"/>
      <c r="I311" s="65"/>
      <c r="J311" s="65"/>
      <c r="K311" s="87"/>
      <c r="L311" s="88"/>
    </row>
    <row r="312" spans="6:12" ht="12.5">
      <c r="F312" s="86"/>
      <c r="G312" s="86"/>
      <c r="H312" s="86"/>
      <c r="I312" s="65"/>
      <c r="J312" s="65"/>
      <c r="K312" s="87"/>
      <c r="L312" s="88"/>
    </row>
    <row r="313" spans="6:12" ht="12.5">
      <c r="F313" s="86"/>
      <c r="G313" s="86"/>
      <c r="H313" s="86"/>
      <c r="I313" s="65"/>
      <c r="J313" s="65"/>
      <c r="K313" s="87"/>
      <c r="L313" s="88"/>
    </row>
    <row r="314" spans="6:12" ht="12.5">
      <c r="F314" s="86"/>
      <c r="G314" s="86"/>
      <c r="H314" s="86"/>
      <c r="I314" s="65"/>
      <c r="J314" s="65"/>
      <c r="K314" s="87"/>
      <c r="L314" s="88"/>
    </row>
    <row r="315" spans="6:12" ht="12.5">
      <c r="F315" s="86"/>
      <c r="G315" s="86"/>
      <c r="H315" s="86"/>
      <c r="I315" s="65"/>
      <c r="J315" s="65"/>
      <c r="K315" s="87"/>
      <c r="L315" s="88"/>
    </row>
    <row r="316" spans="6:12" ht="12.5">
      <c r="F316" s="86"/>
      <c r="G316" s="86"/>
      <c r="H316" s="86"/>
      <c r="I316" s="65"/>
      <c r="J316" s="65"/>
      <c r="K316" s="87"/>
      <c r="L316" s="88"/>
    </row>
    <row r="317" spans="6:12" ht="12.5">
      <c r="F317" s="86"/>
      <c r="G317" s="86"/>
      <c r="H317" s="86"/>
      <c r="I317" s="65"/>
      <c r="J317" s="65"/>
      <c r="K317" s="87"/>
      <c r="L317" s="88"/>
    </row>
    <row r="318" spans="6:12" ht="12.5">
      <c r="F318" s="86"/>
      <c r="G318" s="86"/>
      <c r="H318" s="86"/>
      <c r="I318" s="65"/>
      <c r="J318" s="65"/>
      <c r="K318" s="87"/>
      <c r="L318" s="88"/>
    </row>
    <row r="319" spans="6:12" ht="12.5">
      <c r="F319" s="86"/>
      <c r="G319" s="86"/>
      <c r="H319" s="86"/>
      <c r="I319" s="65"/>
      <c r="J319" s="65"/>
      <c r="K319" s="87"/>
      <c r="L319" s="88"/>
    </row>
    <row r="320" spans="6:12" ht="12.5">
      <c r="F320" s="86"/>
      <c r="G320" s="86"/>
      <c r="H320" s="86"/>
      <c r="I320" s="65"/>
      <c r="J320" s="65"/>
      <c r="K320" s="87"/>
      <c r="L320" s="88"/>
    </row>
    <row r="321" spans="6:12" ht="12.5">
      <c r="F321" s="86"/>
      <c r="G321" s="86"/>
      <c r="H321" s="86"/>
      <c r="I321" s="65"/>
      <c r="J321" s="65"/>
      <c r="K321" s="87"/>
      <c r="L321" s="88"/>
    </row>
    <row r="322" spans="6:12" ht="12.5">
      <c r="F322" s="86"/>
      <c r="G322" s="86"/>
      <c r="H322" s="86"/>
      <c r="I322" s="65"/>
      <c r="J322" s="65"/>
      <c r="K322" s="87"/>
      <c r="L322" s="88"/>
    </row>
    <row r="323" spans="6:12" ht="12.5">
      <c r="F323" s="86"/>
      <c r="G323" s="86"/>
      <c r="H323" s="86"/>
      <c r="I323" s="65"/>
      <c r="J323" s="65"/>
      <c r="K323" s="87"/>
      <c r="L323" s="88"/>
    </row>
    <row r="324" spans="6:12" ht="12.5">
      <c r="F324" s="86"/>
      <c r="G324" s="86"/>
      <c r="H324" s="86"/>
      <c r="I324" s="65"/>
      <c r="J324" s="65"/>
      <c r="K324" s="87"/>
      <c r="L324" s="88"/>
    </row>
    <row r="325" spans="6:12" ht="12.5">
      <c r="F325" s="86"/>
      <c r="G325" s="86"/>
      <c r="H325" s="86"/>
      <c r="I325" s="65"/>
      <c r="J325" s="65"/>
      <c r="K325" s="87"/>
      <c r="L325" s="88"/>
    </row>
    <row r="326" spans="6:12" ht="12.5">
      <c r="F326" s="86"/>
      <c r="G326" s="86"/>
      <c r="H326" s="86"/>
      <c r="I326" s="65"/>
      <c r="J326" s="65"/>
      <c r="K326" s="87"/>
      <c r="L326" s="88"/>
    </row>
    <row r="327" spans="6:12" ht="12.5">
      <c r="F327" s="86"/>
      <c r="G327" s="86"/>
      <c r="H327" s="86"/>
      <c r="I327" s="65"/>
      <c r="J327" s="65"/>
      <c r="K327" s="87"/>
      <c r="L327" s="88"/>
    </row>
    <row r="328" spans="6:12" ht="12.5">
      <c r="F328" s="86"/>
      <c r="G328" s="86"/>
      <c r="H328" s="86"/>
      <c r="I328" s="65"/>
      <c r="J328" s="65"/>
      <c r="K328" s="87"/>
      <c r="L328" s="88"/>
    </row>
    <row r="329" spans="6:12" ht="12.5">
      <c r="F329" s="86"/>
      <c r="G329" s="86"/>
      <c r="H329" s="86"/>
      <c r="I329" s="65"/>
      <c r="J329" s="65"/>
      <c r="K329" s="87"/>
      <c r="L329" s="88"/>
    </row>
    <row r="330" spans="6:12" ht="12.5">
      <c r="F330" s="86"/>
      <c r="G330" s="86"/>
      <c r="H330" s="86"/>
      <c r="I330" s="65"/>
      <c r="J330" s="65"/>
      <c r="K330" s="87"/>
      <c r="L330" s="88"/>
    </row>
    <row r="331" spans="6:12" ht="12.5">
      <c r="F331" s="86"/>
      <c r="G331" s="86"/>
      <c r="H331" s="86"/>
      <c r="I331" s="65"/>
      <c r="J331" s="65"/>
      <c r="K331" s="87"/>
      <c r="L331" s="88"/>
    </row>
    <row r="332" spans="6:12" ht="12.5">
      <c r="F332" s="86"/>
      <c r="G332" s="86"/>
      <c r="H332" s="86"/>
      <c r="I332" s="65"/>
      <c r="J332" s="65"/>
      <c r="K332" s="87"/>
      <c r="L332" s="88"/>
    </row>
    <row r="333" spans="6:12" ht="12.5">
      <c r="F333" s="86"/>
      <c r="G333" s="86"/>
      <c r="H333" s="86"/>
      <c r="I333" s="65"/>
      <c r="J333" s="65"/>
      <c r="K333" s="87"/>
      <c r="L333" s="88"/>
    </row>
    <row r="334" spans="6:12" ht="12.5">
      <c r="F334" s="86"/>
      <c r="G334" s="86"/>
      <c r="H334" s="86"/>
      <c r="I334" s="65"/>
      <c r="J334" s="65"/>
      <c r="K334" s="87"/>
      <c r="L334" s="88"/>
    </row>
    <row r="335" spans="6:12" ht="12.5">
      <c r="F335" s="86"/>
      <c r="G335" s="86"/>
      <c r="H335" s="86"/>
      <c r="I335" s="65"/>
      <c r="J335" s="65"/>
      <c r="K335" s="87"/>
      <c r="L335" s="88"/>
    </row>
    <row r="336" spans="6:12" ht="12.5">
      <c r="F336" s="86"/>
      <c r="G336" s="86"/>
      <c r="H336" s="86"/>
      <c r="I336" s="65"/>
      <c r="J336" s="65"/>
      <c r="K336" s="87"/>
      <c r="L336" s="88"/>
    </row>
    <row r="337" spans="6:12" ht="12.5">
      <c r="F337" s="86"/>
      <c r="G337" s="86"/>
      <c r="H337" s="86"/>
      <c r="I337" s="65"/>
      <c r="J337" s="65"/>
      <c r="K337" s="87"/>
      <c r="L337" s="88"/>
    </row>
    <row r="338" spans="6:12" ht="12.5">
      <c r="F338" s="86"/>
      <c r="G338" s="86"/>
      <c r="H338" s="86"/>
      <c r="I338" s="65"/>
      <c r="J338" s="65"/>
      <c r="K338" s="87"/>
      <c r="L338" s="88"/>
    </row>
    <row r="339" spans="6:12" ht="12.5">
      <c r="F339" s="86"/>
      <c r="G339" s="86"/>
      <c r="H339" s="86"/>
      <c r="I339" s="65"/>
      <c r="J339" s="65"/>
      <c r="K339" s="87"/>
      <c r="L339" s="88"/>
    </row>
    <row r="340" spans="6:12" ht="12.5">
      <c r="F340" s="86"/>
      <c r="G340" s="86"/>
      <c r="H340" s="86"/>
      <c r="I340" s="65"/>
      <c r="J340" s="65"/>
      <c r="K340" s="87"/>
      <c r="L340" s="88"/>
    </row>
    <row r="341" spans="6:12" ht="12.5">
      <c r="F341" s="86"/>
      <c r="G341" s="86"/>
      <c r="H341" s="86"/>
      <c r="I341" s="65"/>
      <c r="J341" s="65"/>
      <c r="K341" s="87"/>
      <c r="L341" s="88"/>
    </row>
    <row r="342" spans="6:12" ht="12.5">
      <c r="F342" s="86"/>
      <c r="G342" s="86"/>
      <c r="H342" s="86"/>
      <c r="I342" s="65"/>
      <c r="J342" s="65"/>
      <c r="K342" s="87"/>
      <c r="L342" s="88"/>
    </row>
    <row r="343" spans="6:12" ht="12.5">
      <c r="F343" s="86"/>
      <c r="G343" s="86"/>
      <c r="H343" s="86"/>
      <c r="I343" s="65"/>
      <c r="J343" s="65"/>
      <c r="K343" s="87"/>
      <c r="L343" s="88"/>
    </row>
    <row r="344" spans="6:12" ht="12.5">
      <c r="F344" s="86"/>
      <c r="G344" s="86"/>
      <c r="H344" s="86"/>
      <c r="I344" s="65"/>
      <c r="J344" s="65"/>
      <c r="K344" s="87"/>
      <c r="L344" s="88"/>
    </row>
    <row r="345" spans="6:12" ht="12.5">
      <c r="F345" s="86"/>
      <c r="G345" s="86"/>
      <c r="H345" s="86"/>
      <c r="I345" s="65"/>
      <c r="J345" s="65"/>
      <c r="K345" s="87"/>
      <c r="L345" s="88"/>
    </row>
    <row r="346" spans="6:12" ht="12.5">
      <c r="F346" s="86"/>
      <c r="G346" s="86"/>
      <c r="H346" s="86"/>
      <c r="I346" s="65"/>
      <c r="J346" s="65"/>
      <c r="K346" s="87"/>
      <c r="L346" s="88"/>
    </row>
    <row r="347" spans="6:12" ht="12.5">
      <c r="F347" s="86"/>
      <c r="G347" s="86"/>
      <c r="H347" s="86"/>
      <c r="I347" s="65"/>
      <c r="J347" s="65"/>
      <c r="K347" s="87"/>
      <c r="L347" s="88"/>
    </row>
    <row r="348" spans="6:12" ht="12.5">
      <c r="F348" s="86"/>
      <c r="G348" s="86"/>
      <c r="H348" s="86"/>
      <c r="I348" s="65"/>
      <c r="J348" s="65"/>
      <c r="K348" s="87"/>
      <c r="L348" s="88"/>
    </row>
    <row r="349" spans="6:12" ht="12.5">
      <c r="F349" s="86"/>
      <c r="G349" s="86"/>
      <c r="H349" s="86"/>
      <c r="I349" s="65"/>
      <c r="J349" s="65"/>
      <c r="K349" s="87"/>
      <c r="L349" s="88"/>
    </row>
    <row r="350" spans="6:12" ht="12.5">
      <c r="F350" s="86"/>
      <c r="G350" s="86"/>
      <c r="H350" s="86"/>
      <c r="I350" s="65"/>
      <c r="J350" s="65"/>
      <c r="K350" s="87"/>
      <c r="L350" s="88"/>
    </row>
    <row r="351" spans="6:12" ht="12.5">
      <c r="F351" s="86"/>
      <c r="G351" s="86"/>
      <c r="H351" s="86"/>
      <c r="I351" s="65"/>
      <c r="J351" s="65"/>
      <c r="K351" s="87"/>
      <c r="L351" s="88"/>
    </row>
    <row r="352" spans="6:12" ht="12.5">
      <c r="F352" s="86"/>
      <c r="G352" s="86"/>
      <c r="H352" s="86"/>
      <c r="I352" s="65"/>
      <c r="J352" s="65"/>
      <c r="K352" s="87"/>
      <c r="L352" s="88"/>
    </row>
    <row r="353" spans="6:12" ht="12.5">
      <c r="F353" s="86"/>
      <c r="G353" s="86"/>
      <c r="H353" s="86"/>
      <c r="I353" s="65"/>
      <c r="J353" s="65"/>
      <c r="K353" s="87"/>
      <c r="L353" s="88"/>
    </row>
    <row r="354" spans="6:12" ht="12.5">
      <c r="F354" s="86"/>
      <c r="G354" s="86"/>
      <c r="H354" s="86"/>
      <c r="I354" s="65"/>
      <c r="J354" s="65"/>
      <c r="K354" s="87"/>
      <c r="L354" s="88"/>
    </row>
    <row r="355" spans="6:12" ht="12.5">
      <c r="F355" s="86"/>
      <c r="G355" s="86"/>
      <c r="H355" s="86"/>
      <c r="I355" s="65"/>
      <c r="J355" s="65"/>
      <c r="K355" s="87"/>
      <c r="L355" s="88"/>
    </row>
    <row r="356" spans="6:12" ht="12.5">
      <c r="F356" s="86"/>
      <c r="G356" s="86"/>
      <c r="H356" s="86"/>
      <c r="I356" s="65"/>
      <c r="J356" s="65"/>
      <c r="K356" s="87"/>
      <c r="L356" s="88"/>
    </row>
    <row r="357" spans="6:12" ht="12.5">
      <c r="F357" s="86"/>
      <c r="G357" s="86"/>
      <c r="H357" s="86"/>
      <c r="I357" s="65"/>
      <c r="J357" s="65"/>
      <c r="K357" s="87"/>
      <c r="L357" s="88"/>
    </row>
    <row r="358" spans="6:12" ht="12.5">
      <c r="F358" s="86"/>
      <c r="G358" s="86"/>
      <c r="H358" s="86"/>
      <c r="I358" s="65"/>
      <c r="J358" s="65"/>
      <c r="K358" s="87"/>
      <c r="L358" s="88"/>
    </row>
    <row r="359" spans="6:12" ht="12.5">
      <c r="F359" s="86"/>
      <c r="G359" s="86"/>
      <c r="H359" s="86"/>
      <c r="I359" s="65"/>
      <c r="J359" s="65"/>
      <c r="K359" s="87"/>
      <c r="L359" s="88"/>
    </row>
    <row r="360" spans="6:12" ht="12.5">
      <c r="F360" s="86"/>
      <c r="G360" s="86"/>
      <c r="H360" s="86"/>
      <c r="I360" s="65"/>
      <c r="J360" s="65"/>
      <c r="K360" s="87"/>
      <c r="L360" s="88"/>
    </row>
    <row r="361" spans="6:12" ht="12.5">
      <c r="F361" s="86"/>
      <c r="G361" s="86"/>
      <c r="H361" s="86"/>
      <c r="I361" s="65"/>
      <c r="J361" s="65"/>
      <c r="K361" s="87"/>
      <c r="L361" s="88"/>
    </row>
    <row r="362" spans="6:12" ht="12.5">
      <c r="F362" s="86"/>
      <c r="G362" s="86"/>
      <c r="H362" s="86"/>
      <c r="I362" s="65"/>
      <c r="J362" s="65"/>
      <c r="K362" s="87"/>
      <c r="L362" s="88"/>
    </row>
    <row r="363" spans="6:12" ht="12.5">
      <c r="F363" s="86"/>
      <c r="G363" s="86"/>
      <c r="H363" s="86"/>
      <c r="I363" s="65"/>
      <c r="J363" s="65"/>
      <c r="K363" s="87"/>
      <c r="L363" s="88"/>
    </row>
    <row r="364" spans="6:12" ht="12.5">
      <c r="F364" s="86"/>
      <c r="G364" s="86"/>
      <c r="H364" s="86"/>
      <c r="I364" s="65"/>
      <c r="J364" s="65"/>
      <c r="K364" s="87"/>
      <c r="L364" s="88"/>
    </row>
    <row r="365" spans="6:12" ht="12.5">
      <c r="F365" s="86"/>
      <c r="G365" s="86"/>
      <c r="H365" s="86"/>
      <c r="I365" s="65"/>
      <c r="J365" s="65"/>
      <c r="K365" s="87"/>
      <c r="L365" s="88"/>
    </row>
    <row r="366" spans="6:12" ht="12.5">
      <c r="F366" s="86"/>
      <c r="G366" s="86"/>
      <c r="H366" s="86"/>
      <c r="I366" s="65"/>
      <c r="J366" s="65"/>
      <c r="K366" s="87"/>
      <c r="L366" s="88"/>
    </row>
    <row r="367" spans="6:12" ht="12.5">
      <c r="F367" s="86"/>
      <c r="G367" s="86"/>
      <c r="H367" s="86"/>
      <c r="I367" s="65"/>
      <c r="J367" s="65"/>
      <c r="K367" s="87"/>
      <c r="L367" s="88"/>
    </row>
    <row r="368" spans="6:12" ht="12.5">
      <c r="F368" s="86"/>
      <c r="G368" s="86"/>
      <c r="H368" s="86"/>
      <c r="I368" s="65"/>
      <c r="J368" s="65"/>
      <c r="K368" s="87"/>
      <c r="L368" s="88"/>
    </row>
    <row r="369" spans="6:12" ht="12.5">
      <c r="F369" s="86"/>
      <c r="G369" s="86"/>
      <c r="H369" s="86"/>
      <c r="I369" s="65"/>
      <c r="J369" s="65"/>
      <c r="K369" s="87"/>
      <c r="L369" s="88"/>
    </row>
    <row r="370" spans="6:12" ht="12.5">
      <c r="F370" s="86"/>
      <c r="G370" s="86"/>
      <c r="H370" s="86"/>
      <c r="I370" s="65"/>
      <c r="J370" s="65"/>
      <c r="K370" s="87"/>
      <c r="L370" s="88"/>
    </row>
    <row r="371" spans="6:12" ht="12.5">
      <c r="F371" s="86"/>
      <c r="G371" s="86"/>
      <c r="H371" s="86"/>
      <c r="I371" s="65"/>
      <c r="J371" s="65"/>
      <c r="K371" s="87"/>
      <c r="L371" s="88"/>
    </row>
    <row r="372" spans="6:12" ht="12.5">
      <c r="F372" s="86"/>
      <c r="G372" s="86"/>
      <c r="H372" s="86"/>
      <c r="I372" s="65"/>
      <c r="J372" s="65"/>
      <c r="K372" s="87"/>
      <c r="L372" s="88"/>
    </row>
    <row r="373" spans="6:12" ht="12.5">
      <c r="F373" s="86"/>
      <c r="G373" s="86"/>
      <c r="H373" s="86"/>
      <c r="I373" s="65"/>
      <c r="J373" s="65"/>
      <c r="K373" s="87"/>
      <c r="L373" s="88"/>
    </row>
    <row r="374" spans="6:12" ht="12.5">
      <c r="F374" s="86"/>
      <c r="G374" s="86"/>
      <c r="H374" s="86"/>
      <c r="I374" s="65"/>
      <c r="J374" s="65"/>
      <c r="K374" s="87"/>
      <c r="L374" s="88"/>
    </row>
    <row r="375" spans="6:12" ht="12.5">
      <c r="F375" s="86"/>
      <c r="G375" s="86"/>
      <c r="H375" s="86"/>
      <c r="I375" s="65"/>
      <c r="J375" s="65"/>
      <c r="K375" s="87"/>
      <c r="L375" s="88"/>
    </row>
    <row r="376" spans="6:12" ht="12.5">
      <c r="F376" s="86"/>
      <c r="G376" s="86"/>
      <c r="H376" s="86"/>
      <c r="I376" s="65"/>
      <c r="J376" s="65"/>
      <c r="K376" s="87"/>
      <c r="L376" s="88"/>
    </row>
    <row r="377" spans="6:12" ht="12.5">
      <c r="F377" s="86"/>
      <c r="G377" s="86"/>
      <c r="H377" s="86"/>
      <c r="I377" s="65"/>
      <c r="J377" s="65"/>
      <c r="K377" s="87"/>
      <c r="L377" s="88"/>
    </row>
    <row r="378" spans="6:12" ht="12.5">
      <c r="F378" s="86"/>
      <c r="G378" s="86"/>
      <c r="H378" s="86"/>
      <c r="I378" s="65"/>
      <c r="J378" s="65"/>
      <c r="K378" s="87"/>
      <c r="L378" s="88"/>
    </row>
    <row r="379" spans="6:12" ht="12.5">
      <c r="F379" s="86"/>
      <c r="G379" s="86"/>
      <c r="H379" s="86"/>
      <c r="I379" s="65"/>
      <c r="J379" s="65"/>
      <c r="K379" s="87"/>
      <c r="L379" s="88"/>
    </row>
    <row r="380" spans="6:12" ht="12.5">
      <c r="F380" s="86"/>
      <c r="G380" s="86"/>
      <c r="H380" s="86"/>
      <c r="I380" s="65"/>
      <c r="J380" s="65"/>
      <c r="K380" s="87"/>
      <c r="L380" s="88"/>
    </row>
    <row r="381" spans="6:12" ht="12.5">
      <c r="F381" s="86"/>
      <c r="G381" s="86"/>
      <c r="H381" s="86"/>
      <c r="I381" s="65"/>
      <c r="J381" s="65"/>
      <c r="K381" s="87"/>
      <c r="L381" s="88"/>
    </row>
    <row r="382" spans="6:12" ht="12.5">
      <c r="F382" s="86"/>
      <c r="G382" s="86"/>
      <c r="H382" s="86"/>
      <c r="I382" s="65"/>
      <c r="J382" s="65"/>
      <c r="K382" s="87"/>
      <c r="L382" s="88"/>
    </row>
    <row r="383" spans="6:12" ht="12.5">
      <c r="F383" s="86"/>
      <c r="G383" s="86"/>
      <c r="H383" s="86"/>
      <c r="I383" s="65"/>
      <c r="J383" s="65"/>
      <c r="K383" s="87"/>
      <c r="L383" s="88"/>
    </row>
    <row r="384" spans="6:12" ht="12.5">
      <c r="F384" s="86"/>
      <c r="G384" s="86"/>
      <c r="H384" s="86"/>
      <c r="I384" s="65"/>
      <c r="J384" s="65"/>
      <c r="K384" s="87"/>
      <c r="L384" s="88"/>
    </row>
    <row r="385" spans="6:12" ht="12.5">
      <c r="F385" s="86"/>
      <c r="G385" s="86"/>
      <c r="H385" s="86"/>
      <c r="I385" s="65"/>
      <c r="J385" s="65"/>
      <c r="K385" s="87"/>
      <c r="L385" s="88"/>
    </row>
    <row r="386" spans="6:12" ht="12.5">
      <c r="F386" s="86"/>
      <c r="G386" s="86"/>
      <c r="H386" s="86"/>
      <c r="I386" s="65"/>
      <c r="J386" s="65"/>
      <c r="K386" s="87"/>
      <c r="L386" s="88"/>
    </row>
    <row r="387" spans="6:12" ht="12.5">
      <c r="F387" s="86"/>
      <c r="G387" s="86"/>
      <c r="H387" s="86"/>
      <c r="I387" s="65"/>
      <c r="J387" s="65"/>
      <c r="K387" s="87"/>
      <c r="L387" s="88"/>
    </row>
    <row r="388" spans="6:12" ht="12.5">
      <c r="F388" s="86"/>
      <c r="G388" s="86"/>
      <c r="H388" s="86"/>
      <c r="I388" s="65"/>
      <c r="J388" s="65"/>
      <c r="K388" s="87"/>
      <c r="L388" s="88"/>
    </row>
    <row r="389" spans="6:12" ht="12.5">
      <c r="F389" s="86"/>
      <c r="G389" s="86"/>
      <c r="H389" s="86"/>
      <c r="I389" s="65"/>
      <c r="J389" s="65"/>
      <c r="K389" s="87"/>
      <c r="L389" s="88"/>
    </row>
    <row r="390" spans="6:12" ht="12.5">
      <c r="F390" s="86"/>
      <c r="G390" s="86"/>
      <c r="H390" s="86"/>
      <c r="I390" s="65"/>
      <c r="J390" s="65"/>
      <c r="K390" s="87"/>
      <c r="L390" s="88"/>
    </row>
    <row r="391" spans="6:12" ht="12.5">
      <c r="F391" s="86"/>
      <c r="G391" s="86"/>
      <c r="H391" s="86"/>
      <c r="I391" s="65"/>
      <c r="J391" s="65"/>
      <c r="K391" s="87"/>
      <c r="L391" s="88"/>
    </row>
    <row r="392" spans="6:12" ht="12.5">
      <c r="F392" s="86"/>
      <c r="G392" s="86"/>
      <c r="H392" s="86"/>
      <c r="I392" s="65"/>
      <c r="J392" s="65"/>
      <c r="K392" s="87"/>
      <c r="L392" s="88"/>
    </row>
    <row r="393" spans="6:12" ht="12.5">
      <c r="F393" s="86"/>
      <c r="G393" s="86"/>
      <c r="H393" s="86"/>
      <c r="I393" s="65"/>
      <c r="J393" s="65"/>
      <c r="K393" s="87"/>
      <c r="L393" s="88"/>
    </row>
    <row r="394" spans="6:12" ht="12.5">
      <c r="F394" s="86"/>
      <c r="G394" s="86"/>
      <c r="H394" s="86"/>
      <c r="I394" s="65"/>
      <c r="J394" s="65"/>
      <c r="K394" s="87"/>
      <c r="L394" s="88"/>
    </row>
    <row r="395" spans="6:12" ht="12.5">
      <c r="F395" s="86"/>
      <c r="G395" s="86"/>
      <c r="H395" s="86"/>
      <c r="I395" s="65"/>
      <c r="J395" s="65"/>
      <c r="K395" s="87"/>
      <c r="L395" s="88"/>
    </row>
    <row r="396" spans="6:12" ht="12.5">
      <c r="F396" s="86"/>
      <c r="G396" s="86"/>
      <c r="H396" s="86"/>
      <c r="I396" s="65"/>
      <c r="J396" s="65"/>
      <c r="K396" s="87"/>
      <c r="L396" s="88"/>
    </row>
    <row r="397" spans="6:12" ht="12.5">
      <c r="F397" s="86"/>
      <c r="G397" s="86"/>
      <c r="H397" s="86"/>
      <c r="I397" s="65"/>
      <c r="J397" s="65"/>
      <c r="K397" s="87"/>
      <c r="L397" s="88"/>
    </row>
    <row r="398" spans="6:12" ht="12.5">
      <c r="F398" s="86"/>
      <c r="G398" s="86"/>
      <c r="H398" s="86"/>
      <c r="I398" s="65"/>
      <c r="J398" s="65"/>
      <c r="K398" s="87"/>
      <c r="L398" s="88"/>
    </row>
    <row r="399" spans="6:12" ht="12.5">
      <c r="F399" s="86"/>
      <c r="G399" s="86"/>
      <c r="H399" s="86"/>
      <c r="I399" s="65"/>
      <c r="J399" s="65"/>
      <c r="K399" s="87"/>
      <c r="L399" s="88"/>
    </row>
    <row r="400" spans="6:12" ht="12.5">
      <c r="F400" s="86"/>
      <c r="G400" s="86"/>
      <c r="H400" s="86"/>
      <c r="I400" s="65"/>
      <c r="J400" s="65"/>
      <c r="K400" s="87"/>
      <c r="L400" s="88"/>
    </row>
    <row r="401" spans="6:12" ht="12.5">
      <c r="F401" s="86"/>
      <c r="G401" s="86"/>
      <c r="H401" s="86"/>
      <c r="I401" s="65"/>
      <c r="J401" s="65"/>
      <c r="K401" s="87"/>
      <c r="L401" s="88"/>
    </row>
    <row r="402" spans="6:12" ht="12.5">
      <c r="F402" s="86"/>
      <c r="G402" s="86"/>
      <c r="H402" s="86"/>
      <c r="I402" s="65"/>
      <c r="J402" s="65"/>
      <c r="K402" s="87"/>
      <c r="L402" s="88"/>
    </row>
    <row r="403" spans="6:12" ht="12.5">
      <c r="F403" s="86"/>
      <c r="G403" s="86"/>
      <c r="H403" s="86"/>
      <c r="I403" s="65"/>
      <c r="J403" s="65"/>
      <c r="K403" s="87"/>
      <c r="L403" s="88"/>
    </row>
    <row r="404" spans="6:12" ht="12.5">
      <c r="F404" s="86"/>
      <c r="G404" s="86"/>
      <c r="H404" s="86"/>
      <c r="I404" s="65"/>
      <c r="J404" s="65"/>
      <c r="K404" s="87"/>
      <c r="L404" s="88"/>
    </row>
    <row r="405" spans="6:12" ht="12.5">
      <c r="F405" s="86"/>
      <c r="G405" s="86"/>
      <c r="H405" s="86"/>
      <c r="I405" s="65"/>
      <c r="J405" s="65"/>
      <c r="K405" s="87"/>
      <c r="L405" s="88"/>
    </row>
    <row r="406" spans="6:12" ht="12.5">
      <c r="F406" s="86"/>
      <c r="G406" s="86"/>
      <c r="H406" s="86"/>
      <c r="I406" s="65"/>
      <c r="J406" s="65"/>
      <c r="K406" s="87"/>
      <c r="L406" s="88"/>
    </row>
    <row r="407" spans="6:12" ht="12.5">
      <c r="F407" s="86"/>
      <c r="G407" s="86"/>
      <c r="H407" s="86"/>
      <c r="I407" s="65"/>
      <c r="J407" s="65"/>
      <c r="K407" s="87"/>
      <c r="L407" s="88"/>
    </row>
    <row r="408" spans="6:12" ht="12.5">
      <c r="F408" s="86"/>
      <c r="G408" s="86"/>
      <c r="H408" s="86"/>
      <c r="I408" s="65"/>
      <c r="J408" s="65"/>
      <c r="K408" s="87"/>
      <c r="L408" s="88"/>
    </row>
    <row r="409" spans="6:12" ht="12.5">
      <c r="F409" s="86"/>
      <c r="G409" s="86"/>
      <c r="H409" s="86"/>
      <c r="I409" s="65"/>
      <c r="J409" s="65"/>
      <c r="K409" s="87"/>
      <c r="L409" s="88"/>
    </row>
    <row r="410" spans="6:12" ht="12.5">
      <c r="F410" s="86"/>
      <c r="G410" s="86"/>
      <c r="H410" s="86"/>
      <c r="I410" s="65"/>
      <c r="J410" s="65"/>
      <c r="K410" s="87"/>
      <c r="L410" s="88"/>
    </row>
    <row r="411" spans="6:12" ht="12.5">
      <c r="F411" s="86"/>
      <c r="G411" s="86"/>
      <c r="H411" s="86"/>
      <c r="I411" s="65"/>
      <c r="J411" s="65"/>
      <c r="K411" s="87"/>
      <c r="L411" s="88"/>
    </row>
    <row r="412" spans="6:12" ht="12.5">
      <c r="F412" s="86"/>
      <c r="G412" s="86"/>
      <c r="H412" s="86"/>
      <c r="I412" s="65"/>
      <c r="J412" s="65"/>
      <c r="K412" s="87"/>
      <c r="L412" s="88"/>
    </row>
    <row r="413" spans="6:12" ht="12.5">
      <c r="F413" s="86"/>
      <c r="G413" s="86"/>
      <c r="H413" s="86"/>
      <c r="I413" s="65"/>
      <c r="J413" s="65"/>
      <c r="K413" s="87"/>
      <c r="L413" s="88"/>
    </row>
    <row r="414" spans="6:12" ht="12.5">
      <c r="F414" s="86"/>
      <c r="G414" s="86"/>
      <c r="H414" s="86"/>
      <c r="I414" s="65"/>
      <c r="J414" s="65"/>
      <c r="K414" s="87"/>
      <c r="L414" s="88"/>
    </row>
    <row r="415" spans="6:12" ht="12.5">
      <c r="F415" s="86"/>
      <c r="G415" s="86"/>
      <c r="H415" s="86"/>
      <c r="I415" s="65"/>
      <c r="J415" s="65"/>
      <c r="K415" s="87"/>
      <c r="L415" s="88"/>
    </row>
    <row r="416" spans="6:12" ht="12.5">
      <c r="F416" s="86"/>
      <c r="G416" s="86"/>
      <c r="H416" s="86"/>
      <c r="I416" s="65"/>
      <c r="J416" s="65"/>
      <c r="K416" s="87"/>
      <c r="L416" s="88"/>
    </row>
    <row r="417" spans="6:12" ht="12.5">
      <c r="F417" s="86"/>
      <c r="G417" s="86"/>
      <c r="H417" s="86"/>
      <c r="I417" s="65"/>
      <c r="J417" s="65"/>
      <c r="K417" s="87"/>
      <c r="L417" s="88"/>
    </row>
    <row r="418" spans="6:12" ht="12.5">
      <c r="F418" s="86"/>
      <c r="G418" s="86"/>
      <c r="H418" s="86"/>
      <c r="I418" s="65"/>
      <c r="J418" s="65"/>
      <c r="K418" s="87"/>
      <c r="L418" s="88"/>
    </row>
    <row r="419" spans="6:12" ht="12.5">
      <c r="F419" s="86"/>
      <c r="G419" s="86"/>
      <c r="H419" s="86"/>
      <c r="I419" s="65"/>
      <c r="J419" s="65"/>
      <c r="K419" s="87"/>
      <c r="L419" s="88"/>
    </row>
    <row r="420" spans="6:12" ht="12.5">
      <c r="F420" s="86"/>
      <c r="G420" s="86"/>
      <c r="H420" s="86"/>
      <c r="I420" s="65"/>
      <c r="J420" s="65"/>
      <c r="K420" s="87"/>
      <c r="L420" s="88"/>
    </row>
    <row r="421" spans="6:12" ht="12.5">
      <c r="F421" s="86"/>
      <c r="G421" s="86"/>
      <c r="H421" s="86"/>
      <c r="I421" s="65"/>
      <c r="J421" s="65"/>
      <c r="K421" s="87"/>
      <c r="L421" s="88"/>
    </row>
    <row r="422" spans="6:12" ht="12.5">
      <c r="F422" s="86"/>
      <c r="G422" s="86"/>
      <c r="H422" s="86"/>
      <c r="I422" s="65"/>
      <c r="J422" s="65"/>
      <c r="K422" s="87"/>
      <c r="L422" s="88"/>
    </row>
    <row r="423" spans="6:12" ht="12.5">
      <c r="F423" s="86"/>
      <c r="G423" s="86"/>
      <c r="H423" s="86"/>
      <c r="I423" s="65"/>
      <c r="J423" s="65"/>
      <c r="K423" s="87"/>
      <c r="L423" s="88"/>
    </row>
    <row r="424" spans="6:12" ht="12.5">
      <c r="F424" s="86"/>
      <c r="G424" s="86"/>
      <c r="H424" s="86"/>
      <c r="I424" s="65"/>
      <c r="J424" s="65"/>
      <c r="K424" s="87"/>
      <c r="L424" s="88"/>
    </row>
    <row r="425" spans="6:12" ht="12.5">
      <c r="F425" s="86"/>
      <c r="G425" s="86"/>
      <c r="H425" s="86"/>
      <c r="I425" s="65"/>
      <c r="J425" s="65"/>
      <c r="K425" s="87"/>
      <c r="L425" s="88"/>
    </row>
    <row r="426" spans="6:12" ht="12.5">
      <c r="F426" s="86"/>
      <c r="G426" s="86"/>
      <c r="H426" s="86"/>
      <c r="I426" s="65"/>
      <c r="J426" s="65"/>
      <c r="K426" s="87"/>
      <c r="L426" s="88"/>
    </row>
    <row r="427" spans="6:12" ht="12.5">
      <c r="F427" s="86"/>
      <c r="G427" s="86"/>
      <c r="H427" s="86"/>
      <c r="I427" s="65"/>
      <c r="J427" s="65"/>
      <c r="K427" s="87"/>
      <c r="L427" s="88"/>
    </row>
    <row r="428" spans="6:12" ht="12.5">
      <c r="F428" s="86"/>
      <c r="G428" s="86"/>
      <c r="H428" s="86"/>
      <c r="I428" s="65"/>
      <c r="J428" s="65"/>
      <c r="K428" s="87"/>
      <c r="L428" s="88"/>
    </row>
    <row r="429" spans="6:12" ht="12.5">
      <c r="F429" s="86"/>
      <c r="G429" s="86"/>
      <c r="H429" s="86"/>
      <c r="I429" s="65"/>
      <c r="J429" s="65"/>
      <c r="K429" s="87"/>
      <c r="L429" s="88"/>
    </row>
    <row r="430" spans="6:12" ht="12.5">
      <c r="F430" s="86"/>
      <c r="G430" s="86"/>
      <c r="H430" s="86"/>
      <c r="I430" s="65"/>
      <c r="J430" s="65"/>
      <c r="K430" s="87"/>
      <c r="L430" s="88"/>
    </row>
    <row r="431" spans="6:12" ht="12.5">
      <c r="F431" s="86"/>
      <c r="G431" s="86"/>
      <c r="H431" s="86"/>
      <c r="I431" s="65"/>
      <c r="J431" s="65"/>
      <c r="K431" s="87"/>
      <c r="L431" s="88"/>
    </row>
    <row r="432" spans="6:12" ht="12.5">
      <c r="F432" s="86"/>
      <c r="G432" s="86"/>
      <c r="H432" s="86"/>
      <c r="I432" s="65"/>
      <c r="J432" s="65"/>
      <c r="K432" s="87"/>
      <c r="L432" s="88"/>
    </row>
    <row r="433" spans="6:12" ht="12.5">
      <c r="F433" s="86"/>
      <c r="G433" s="86"/>
      <c r="H433" s="86"/>
      <c r="I433" s="65"/>
      <c r="J433" s="65"/>
      <c r="K433" s="87"/>
      <c r="L433" s="88"/>
    </row>
    <row r="434" spans="6:12" ht="12.5">
      <c r="F434" s="86"/>
      <c r="G434" s="86"/>
      <c r="H434" s="86"/>
      <c r="I434" s="65"/>
      <c r="J434" s="65"/>
      <c r="K434" s="87"/>
      <c r="L434" s="88"/>
    </row>
    <row r="435" spans="6:12" ht="12.5">
      <c r="F435" s="86"/>
      <c r="G435" s="86"/>
      <c r="H435" s="86"/>
      <c r="I435" s="65"/>
      <c r="J435" s="65"/>
      <c r="K435" s="87"/>
      <c r="L435" s="88"/>
    </row>
    <row r="436" spans="6:12" ht="12.5">
      <c r="F436" s="86"/>
      <c r="G436" s="86"/>
      <c r="H436" s="86"/>
      <c r="I436" s="65"/>
      <c r="J436" s="65"/>
      <c r="K436" s="87"/>
      <c r="L436" s="88"/>
    </row>
    <row r="437" spans="6:12" ht="12.5">
      <c r="F437" s="86"/>
      <c r="G437" s="86"/>
      <c r="H437" s="86"/>
      <c r="I437" s="65"/>
      <c r="J437" s="65"/>
      <c r="K437" s="87"/>
      <c r="L437" s="88"/>
    </row>
    <row r="438" spans="6:12" ht="12.5">
      <c r="F438" s="86"/>
      <c r="G438" s="86"/>
      <c r="H438" s="86"/>
      <c r="I438" s="65"/>
      <c r="J438" s="65"/>
      <c r="K438" s="87"/>
      <c r="L438" s="88"/>
    </row>
    <row r="439" spans="6:12" ht="12.5">
      <c r="F439" s="86"/>
      <c r="G439" s="86"/>
      <c r="H439" s="86"/>
      <c r="I439" s="65"/>
      <c r="J439" s="65"/>
      <c r="K439" s="87"/>
      <c r="L439" s="88"/>
    </row>
    <row r="440" spans="6:12" ht="12.5">
      <c r="F440" s="86"/>
      <c r="G440" s="86"/>
      <c r="H440" s="86"/>
      <c r="I440" s="65"/>
      <c r="J440" s="65"/>
      <c r="K440" s="87"/>
      <c r="L440" s="88"/>
    </row>
    <row r="441" spans="6:12" ht="12.5">
      <c r="F441" s="86"/>
      <c r="G441" s="86"/>
      <c r="H441" s="86"/>
      <c r="I441" s="65"/>
      <c r="J441" s="65"/>
      <c r="K441" s="87"/>
      <c r="L441" s="88"/>
    </row>
    <row r="442" spans="6:12" ht="12.5">
      <c r="F442" s="86"/>
      <c r="G442" s="86"/>
      <c r="H442" s="86"/>
      <c r="I442" s="65"/>
      <c r="J442" s="65"/>
      <c r="K442" s="87"/>
      <c r="L442" s="88"/>
    </row>
    <row r="443" spans="6:12" ht="12.5">
      <c r="F443" s="86"/>
      <c r="G443" s="86"/>
      <c r="H443" s="86"/>
      <c r="I443" s="65"/>
      <c r="J443" s="65"/>
      <c r="K443" s="87"/>
      <c r="L443" s="88"/>
    </row>
    <row r="444" spans="6:12" ht="12.5">
      <c r="F444" s="86"/>
      <c r="G444" s="86"/>
      <c r="H444" s="86"/>
      <c r="I444" s="65"/>
      <c r="J444" s="65"/>
      <c r="K444" s="87"/>
      <c r="L444" s="88"/>
    </row>
    <row r="445" spans="6:12" ht="12.5">
      <c r="F445" s="86"/>
      <c r="G445" s="86"/>
      <c r="H445" s="86"/>
      <c r="I445" s="65"/>
      <c r="J445" s="65"/>
      <c r="K445" s="87"/>
      <c r="L445" s="88"/>
    </row>
    <row r="446" spans="6:12" ht="12.5">
      <c r="F446" s="86"/>
      <c r="G446" s="86"/>
      <c r="H446" s="86"/>
      <c r="I446" s="65"/>
      <c r="J446" s="65"/>
      <c r="K446" s="87"/>
      <c r="L446" s="88"/>
    </row>
    <row r="447" spans="6:12" ht="12.5">
      <c r="F447" s="86"/>
      <c r="G447" s="86"/>
      <c r="H447" s="86"/>
      <c r="I447" s="65"/>
      <c r="J447" s="65"/>
      <c r="K447" s="87"/>
      <c r="L447" s="88"/>
    </row>
    <row r="448" spans="6:12" ht="12.5">
      <c r="F448" s="86"/>
      <c r="G448" s="86"/>
      <c r="H448" s="86"/>
      <c r="I448" s="65"/>
      <c r="J448" s="65"/>
      <c r="K448" s="87"/>
      <c r="L448" s="88"/>
    </row>
    <row r="449" spans="6:12" ht="12.5">
      <c r="F449" s="86"/>
      <c r="G449" s="86"/>
      <c r="H449" s="86"/>
      <c r="I449" s="65"/>
      <c r="J449" s="65"/>
      <c r="K449" s="87"/>
      <c r="L449" s="88"/>
    </row>
    <row r="450" spans="6:12" ht="12.5">
      <c r="F450" s="86"/>
      <c r="G450" s="86"/>
      <c r="H450" s="86"/>
      <c r="I450" s="65"/>
      <c r="J450" s="65"/>
      <c r="K450" s="87"/>
      <c r="L450" s="88"/>
    </row>
    <row r="451" spans="6:12" ht="12.5">
      <c r="F451" s="86"/>
      <c r="G451" s="86"/>
      <c r="H451" s="86"/>
      <c r="I451" s="65"/>
      <c r="J451" s="65"/>
      <c r="K451" s="87"/>
      <c r="L451" s="88"/>
    </row>
    <row r="452" spans="6:12" ht="12.5">
      <c r="F452" s="86"/>
      <c r="G452" s="86"/>
      <c r="H452" s="86"/>
      <c r="I452" s="65"/>
      <c r="J452" s="65"/>
      <c r="K452" s="87"/>
      <c r="L452" s="88"/>
    </row>
    <row r="453" spans="6:12" ht="12.5">
      <c r="F453" s="86"/>
      <c r="G453" s="86"/>
      <c r="H453" s="86"/>
      <c r="I453" s="65"/>
      <c r="J453" s="65"/>
      <c r="K453" s="87"/>
      <c r="L453" s="88"/>
    </row>
    <row r="454" spans="6:12" ht="12.5">
      <c r="F454" s="86"/>
      <c r="G454" s="86"/>
      <c r="H454" s="86"/>
      <c r="I454" s="65"/>
      <c r="J454" s="65"/>
      <c r="K454" s="87"/>
      <c r="L454" s="88"/>
    </row>
    <row r="455" spans="6:12" ht="12.5">
      <c r="F455" s="86"/>
      <c r="G455" s="86"/>
      <c r="H455" s="86"/>
      <c r="I455" s="65"/>
      <c r="J455" s="65"/>
      <c r="K455" s="87"/>
      <c r="L455" s="88"/>
    </row>
    <row r="456" spans="6:12" ht="12.5">
      <c r="F456" s="86"/>
      <c r="G456" s="86"/>
      <c r="H456" s="86"/>
      <c r="I456" s="65"/>
      <c r="J456" s="65"/>
      <c r="K456" s="87"/>
      <c r="L456" s="88"/>
    </row>
    <row r="457" spans="6:12" ht="12.5">
      <c r="F457" s="86"/>
      <c r="G457" s="86"/>
      <c r="H457" s="86"/>
      <c r="I457" s="65"/>
      <c r="J457" s="65"/>
      <c r="K457" s="87"/>
      <c r="L457" s="88"/>
    </row>
    <row r="458" spans="6:12" ht="12.5">
      <c r="F458" s="86"/>
      <c r="G458" s="86"/>
      <c r="H458" s="86"/>
      <c r="I458" s="65"/>
      <c r="J458" s="65"/>
      <c r="K458" s="87"/>
      <c r="L458" s="88"/>
    </row>
    <row r="459" spans="6:12" ht="12.5">
      <c r="F459" s="86"/>
      <c r="G459" s="86"/>
      <c r="H459" s="86"/>
      <c r="I459" s="65"/>
      <c r="J459" s="65"/>
      <c r="K459" s="87"/>
      <c r="L459" s="88"/>
    </row>
    <row r="460" spans="6:12" ht="12.5">
      <c r="F460" s="86"/>
      <c r="G460" s="86"/>
      <c r="H460" s="86"/>
      <c r="I460" s="65"/>
      <c r="J460" s="65"/>
      <c r="K460" s="87"/>
      <c r="L460" s="88"/>
    </row>
    <row r="461" spans="6:12" ht="12.5">
      <c r="F461" s="86"/>
      <c r="G461" s="86"/>
      <c r="H461" s="86"/>
      <c r="I461" s="65"/>
      <c r="J461" s="65"/>
      <c r="K461" s="87"/>
      <c r="L461" s="88"/>
    </row>
    <row r="462" spans="6:12" ht="12.5">
      <c r="F462" s="86"/>
      <c r="G462" s="86"/>
      <c r="H462" s="86"/>
      <c r="I462" s="65"/>
      <c r="J462" s="65"/>
      <c r="K462" s="87"/>
      <c r="L462" s="88"/>
    </row>
    <row r="463" spans="6:12" ht="12.5">
      <c r="F463" s="86"/>
      <c r="G463" s="86"/>
      <c r="H463" s="86"/>
      <c r="I463" s="65"/>
      <c r="J463" s="65"/>
      <c r="K463" s="87"/>
      <c r="L463" s="88"/>
    </row>
    <row r="464" spans="6:12" ht="12.5">
      <c r="F464" s="86"/>
      <c r="G464" s="86"/>
      <c r="H464" s="86"/>
      <c r="I464" s="65"/>
      <c r="J464" s="65"/>
      <c r="K464" s="87"/>
      <c r="L464" s="88"/>
    </row>
    <row r="465" spans="6:12" ht="12.5">
      <c r="F465" s="86"/>
      <c r="G465" s="86"/>
      <c r="H465" s="86"/>
      <c r="I465" s="65"/>
      <c r="J465" s="65"/>
      <c r="K465" s="87"/>
      <c r="L465" s="88"/>
    </row>
    <row r="466" spans="6:12" ht="12.5">
      <c r="F466" s="86"/>
      <c r="G466" s="86"/>
      <c r="H466" s="86"/>
      <c r="I466" s="65"/>
      <c r="J466" s="65"/>
      <c r="K466" s="87"/>
      <c r="L466" s="88"/>
    </row>
    <row r="467" spans="6:12" ht="12.5">
      <c r="F467" s="86"/>
      <c r="G467" s="86"/>
      <c r="H467" s="86"/>
      <c r="I467" s="65"/>
      <c r="J467" s="65"/>
      <c r="K467" s="87"/>
      <c r="L467" s="88"/>
    </row>
    <row r="468" spans="6:12" ht="12.5">
      <c r="F468" s="86"/>
      <c r="G468" s="86"/>
      <c r="H468" s="86"/>
      <c r="I468" s="65"/>
      <c r="J468" s="65"/>
      <c r="K468" s="87"/>
      <c r="L468" s="88"/>
    </row>
    <row r="469" spans="6:12" ht="12.5">
      <c r="F469" s="86"/>
      <c r="G469" s="86"/>
      <c r="H469" s="86"/>
      <c r="I469" s="65"/>
      <c r="J469" s="65"/>
      <c r="K469" s="87"/>
      <c r="L469" s="88"/>
    </row>
    <row r="470" spans="6:12" ht="12.5">
      <c r="F470" s="86"/>
      <c r="G470" s="86"/>
      <c r="H470" s="86"/>
      <c r="I470" s="65"/>
      <c r="J470" s="65"/>
      <c r="K470" s="87"/>
      <c r="L470" s="88"/>
    </row>
    <row r="471" spans="6:12" ht="12.5">
      <c r="F471" s="86"/>
      <c r="G471" s="86"/>
      <c r="H471" s="86"/>
      <c r="I471" s="65"/>
      <c r="J471" s="65"/>
      <c r="K471" s="87"/>
      <c r="L471" s="88"/>
    </row>
    <row r="472" spans="6:12" ht="12.5">
      <c r="F472" s="86"/>
      <c r="G472" s="86"/>
      <c r="H472" s="86"/>
      <c r="I472" s="65"/>
      <c r="J472" s="65"/>
      <c r="K472" s="87"/>
      <c r="L472" s="88"/>
    </row>
    <row r="473" spans="6:12" ht="12.5">
      <c r="F473" s="86"/>
      <c r="G473" s="86"/>
      <c r="H473" s="86"/>
      <c r="I473" s="65"/>
      <c r="J473" s="65"/>
      <c r="K473" s="87"/>
      <c r="L473" s="88"/>
    </row>
    <row r="474" spans="6:12" ht="12.5">
      <c r="F474" s="86"/>
      <c r="G474" s="86"/>
      <c r="H474" s="86"/>
      <c r="I474" s="65"/>
      <c r="J474" s="65"/>
      <c r="K474" s="87"/>
      <c r="L474" s="88"/>
    </row>
    <row r="475" spans="6:12" ht="12.5">
      <c r="F475" s="86"/>
      <c r="G475" s="86"/>
      <c r="H475" s="86"/>
      <c r="I475" s="65"/>
      <c r="J475" s="65"/>
      <c r="K475" s="87"/>
      <c r="L475" s="88"/>
    </row>
    <row r="476" spans="6:12" ht="12.5">
      <c r="F476" s="86"/>
      <c r="G476" s="86"/>
      <c r="H476" s="86"/>
      <c r="I476" s="65"/>
      <c r="J476" s="65"/>
      <c r="K476" s="87"/>
      <c r="L476" s="88"/>
    </row>
    <row r="477" spans="6:12" ht="12.5">
      <c r="F477" s="86"/>
      <c r="G477" s="86"/>
      <c r="H477" s="86"/>
      <c r="I477" s="65"/>
      <c r="J477" s="65"/>
      <c r="K477" s="87"/>
      <c r="L477" s="88"/>
    </row>
    <row r="478" spans="6:12" ht="12.5">
      <c r="F478" s="86"/>
      <c r="G478" s="86"/>
      <c r="H478" s="86"/>
      <c r="I478" s="65"/>
      <c r="J478" s="65"/>
      <c r="K478" s="87"/>
      <c r="L478" s="88"/>
    </row>
    <row r="479" spans="6:12" ht="12.5">
      <c r="F479" s="86"/>
      <c r="G479" s="86"/>
      <c r="H479" s="86"/>
      <c r="I479" s="65"/>
      <c r="J479" s="65"/>
      <c r="K479" s="87"/>
      <c r="L479" s="88"/>
    </row>
    <row r="480" spans="6:12" ht="12.5">
      <c r="F480" s="86"/>
      <c r="G480" s="86"/>
      <c r="H480" s="86"/>
      <c r="I480" s="65"/>
      <c r="J480" s="65"/>
      <c r="K480" s="87"/>
      <c r="L480" s="88"/>
    </row>
    <row r="481" spans="6:12" ht="12.5">
      <c r="F481" s="86"/>
      <c r="G481" s="86"/>
      <c r="H481" s="86"/>
      <c r="I481" s="65"/>
      <c r="J481" s="65"/>
      <c r="K481" s="87"/>
      <c r="L481" s="88"/>
    </row>
    <row r="482" spans="6:12" ht="12.5">
      <c r="F482" s="86"/>
      <c r="G482" s="86"/>
      <c r="H482" s="86"/>
      <c r="I482" s="65"/>
      <c r="J482" s="65"/>
      <c r="K482" s="87"/>
      <c r="L482" s="88"/>
    </row>
    <row r="483" spans="6:12" ht="12.5">
      <c r="F483" s="86"/>
      <c r="G483" s="86"/>
      <c r="H483" s="86"/>
      <c r="I483" s="65"/>
      <c r="J483" s="65"/>
      <c r="K483" s="87"/>
      <c r="L483" s="88"/>
    </row>
    <row r="484" spans="6:12" ht="12.5">
      <c r="F484" s="86"/>
      <c r="G484" s="86"/>
      <c r="H484" s="86"/>
      <c r="I484" s="65"/>
      <c r="J484" s="65"/>
      <c r="K484" s="87"/>
      <c r="L484" s="88"/>
    </row>
    <row r="485" spans="6:12" ht="12.5">
      <c r="F485" s="86"/>
      <c r="G485" s="86"/>
      <c r="H485" s="86"/>
      <c r="I485" s="65"/>
      <c r="J485" s="65"/>
      <c r="K485" s="87"/>
      <c r="L485" s="88"/>
    </row>
    <row r="486" spans="6:12" ht="12.5">
      <c r="F486" s="86"/>
      <c r="G486" s="86"/>
      <c r="H486" s="86"/>
      <c r="I486" s="65"/>
      <c r="J486" s="65"/>
      <c r="K486" s="87"/>
      <c r="L486" s="88"/>
    </row>
    <row r="487" spans="6:12" ht="12.5">
      <c r="F487" s="86"/>
      <c r="G487" s="86"/>
      <c r="H487" s="86"/>
      <c r="I487" s="65"/>
      <c r="J487" s="65"/>
      <c r="K487" s="87"/>
      <c r="L487" s="88"/>
    </row>
    <row r="488" spans="6:12" ht="12.5">
      <c r="F488" s="86"/>
      <c r="G488" s="86"/>
      <c r="H488" s="86"/>
      <c r="I488" s="65"/>
      <c r="J488" s="65"/>
      <c r="K488" s="87"/>
      <c r="L488" s="88"/>
    </row>
    <row r="489" spans="6:12" ht="12.5">
      <c r="F489" s="86"/>
      <c r="G489" s="86"/>
      <c r="H489" s="86"/>
      <c r="I489" s="65"/>
      <c r="J489" s="65"/>
      <c r="K489" s="87"/>
      <c r="L489" s="88"/>
    </row>
    <row r="490" spans="6:12" ht="12.5">
      <c r="F490" s="86"/>
      <c r="G490" s="86"/>
      <c r="H490" s="86"/>
      <c r="I490" s="65"/>
      <c r="J490" s="65"/>
      <c r="K490" s="87"/>
      <c r="L490" s="88"/>
    </row>
    <row r="491" spans="6:12" ht="12.5">
      <c r="F491" s="86"/>
      <c r="G491" s="86"/>
      <c r="H491" s="86"/>
      <c r="I491" s="65"/>
      <c r="J491" s="65"/>
      <c r="K491" s="87"/>
      <c r="L491" s="88"/>
    </row>
    <row r="492" spans="6:12" ht="12.5">
      <c r="F492" s="86"/>
      <c r="G492" s="86"/>
      <c r="H492" s="86"/>
      <c r="I492" s="65"/>
      <c r="J492" s="65"/>
      <c r="K492" s="87"/>
      <c r="L492" s="88"/>
    </row>
    <row r="493" spans="6:12" ht="12.5">
      <c r="F493" s="86"/>
      <c r="G493" s="86"/>
      <c r="H493" s="86"/>
      <c r="I493" s="65"/>
      <c r="J493" s="65"/>
      <c r="K493" s="87"/>
      <c r="L493" s="88"/>
    </row>
    <row r="494" spans="6:12" ht="12.5">
      <c r="F494" s="86"/>
      <c r="G494" s="86"/>
      <c r="H494" s="86"/>
      <c r="I494" s="65"/>
      <c r="J494" s="65"/>
      <c r="K494" s="87"/>
      <c r="L494" s="88"/>
    </row>
    <row r="495" spans="6:12" ht="12.5">
      <c r="F495" s="86"/>
      <c r="G495" s="86"/>
      <c r="H495" s="86"/>
      <c r="I495" s="65"/>
      <c r="J495" s="65"/>
      <c r="K495" s="87"/>
      <c r="L495" s="88"/>
    </row>
    <row r="496" spans="6:12" ht="12.5">
      <c r="F496" s="86"/>
      <c r="G496" s="86"/>
      <c r="H496" s="86"/>
      <c r="I496" s="65"/>
      <c r="J496" s="65"/>
      <c r="K496" s="87"/>
      <c r="L496" s="88"/>
    </row>
    <row r="497" spans="6:12" ht="12.5">
      <c r="F497" s="86"/>
      <c r="G497" s="86"/>
      <c r="H497" s="86"/>
      <c r="I497" s="65"/>
      <c r="J497" s="65"/>
      <c r="K497" s="87"/>
      <c r="L497" s="88"/>
    </row>
    <row r="498" spans="6:12" ht="12.5">
      <c r="F498" s="86"/>
      <c r="G498" s="86"/>
      <c r="H498" s="86"/>
      <c r="I498" s="65"/>
      <c r="J498" s="65"/>
      <c r="K498" s="87"/>
      <c r="L498" s="88"/>
    </row>
    <row r="499" spans="6:12" ht="12.5">
      <c r="F499" s="86"/>
      <c r="G499" s="86"/>
      <c r="H499" s="86"/>
      <c r="I499" s="65"/>
      <c r="J499" s="65"/>
      <c r="K499" s="87"/>
      <c r="L499" s="88"/>
    </row>
    <row r="500" spans="6:12" ht="12.5">
      <c r="F500" s="86"/>
      <c r="G500" s="86"/>
      <c r="H500" s="86"/>
      <c r="I500" s="65"/>
      <c r="J500" s="65"/>
      <c r="K500" s="87"/>
      <c r="L500" s="88"/>
    </row>
    <row r="501" spans="6:12" ht="12.5">
      <c r="F501" s="86"/>
      <c r="G501" s="86"/>
      <c r="H501" s="86"/>
      <c r="I501" s="65"/>
      <c r="J501" s="65"/>
      <c r="K501" s="87"/>
      <c r="L501" s="88"/>
    </row>
    <row r="502" spans="6:12" ht="12.5">
      <c r="F502" s="86"/>
      <c r="G502" s="86"/>
      <c r="H502" s="86"/>
      <c r="I502" s="65"/>
      <c r="J502" s="65"/>
      <c r="K502" s="87"/>
      <c r="L502" s="88"/>
    </row>
    <row r="503" spans="6:12" ht="12.5">
      <c r="F503" s="86"/>
      <c r="G503" s="86"/>
      <c r="H503" s="86"/>
      <c r="I503" s="65"/>
      <c r="J503" s="65"/>
      <c r="K503" s="87"/>
      <c r="L503" s="88"/>
    </row>
    <row r="504" spans="6:12" ht="12.5">
      <c r="F504" s="86"/>
      <c r="G504" s="86"/>
      <c r="H504" s="86"/>
      <c r="I504" s="65"/>
      <c r="J504" s="65"/>
      <c r="K504" s="87"/>
      <c r="L504" s="88"/>
    </row>
    <row r="505" spans="6:12" ht="12.5">
      <c r="F505" s="86"/>
      <c r="G505" s="86"/>
      <c r="H505" s="86"/>
      <c r="I505" s="65"/>
      <c r="J505" s="65"/>
      <c r="K505" s="87"/>
      <c r="L505" s="88"/>
    </row>
    <row r="506" spans="6:12" ht="12.5">
      <c r="F506" s="86"/>
      <c r="G506" s="86"/>
      <c r="H506" s="86"/>
      <c r="I506" s="65"/>
      <c r="J506" s="65"/>
      <c r="K506" s="87"/>
      <c r="L506" s="88"/>
    </row>
    <row r="507" spans="6:12" ht="12.5">
      <c r="F507" s="86"/>
      <c r="G507" s="86"/>
      <c r="H507" s="86"/>
      <c r="I507" s="65"/>
      <c r="J507" s="65"/>
      <c r="K507" s="87"/>
      <c r="L507" s="88"/>
    </row>
    <row r="508" spans="6:12" ht="12.5">
      <c r="F508" s="86"/>
      <c r="G508" s="86"/>
      <c r="H508" s="86"/>
      <c r="I508" s="65"/>
      <c r="J508" s="65"/>
      <c r="K508" s="87"/>
      <c r="L508" s="88"/>
    </row>
    <row r="509" spans="6:12" ht="12.5">
      <c r="F509" s="86"/>
      <c r="G509" s="86"/>
      <c r="H509" s="86"/>
      <c r="I509" s="65"/>
      <c r="J509" s="65"/>
      <c r="K509" s="87"/>
      <c r="L509" s="88"/>
    </row>
    <row r="510" spans="6:12" ht="12.5">
      <c r="F510" s="86"/>
      <c r="G510" s="86"/>
      <c r="H510" s="86"/>
      <c r="I510" s="65"/>
      <c r="J510" s="65"/>
      <c r="K510" s="87"/>
      <c r="L510" s="88"/>
    </row>
    <row r="511" spans="6:12" ht="12.5">
      <c r="F511" s="86"/>
      <c r="G511" s="86"/>
      <c r="H511" s="86"/>
      <c r="I511" s="65"/>
      <c r="J511" s="65"/>
      <c r="K511" s="87"/>
      <c r="L511" s="88"/>
    </row>
    <row r="512" spans="6:12" ht="12.5">
      <c r="F512" s="86"/>
      <c r="G512" s="86"/>
      <c r="H512" s="86"/>
      <c r="I512" s="65"/>
      <c r="J512" s="65"/>
      <c r="K512" s="87"/>
      <c r="L512" s="88"/>
    </row>
    <row r="513" spans="6:12" ht="12.5">
      <c r="F513" s="86"/>
      <c r="G513" s="86"/>
      <c r="H513" s="86"/>
      <c r="I513" s="65"/>
      <c r="J513" s="65"/>
      <c r="K513" s="87"/>
      <c r="L513" s="88"/>
    </row>
    <row r="514" spans="6:12" ht="12.5">
      <c r="F514" s="86"/>
      <c r="G514" s="86"/>
      <c r="H514" s="86"/>
      <c r="I514" s="65"/>
      <c r="J514" s="65"/>
      <c r="K514" s="87"/>
      <c r="L514" s="88"/>
    </row>
    <row r="515" spans="6:12" ht="12.5">
      <c r="F515" s="86"/>
      <c r="G515" s="86"/>
      <c r="H515" s="86"/>
      <c r="I515" s="65"/>
      <c r="J515" s="65"/>
      <c r="K515" s="87"/>
      <c r="L515" s="88"/>
    </row>
    <row r="516" spans="6:12" ht="12.5">
      <c r="F516" s="86"/>
      <c r="G516" s="86"/>
      <c r="H516" s="86"/>
      <c r="I516" s="65"/>
      <c r="J516" s="65"/>
      <c r="K516" s="87"/>
      <c r="L516" s="88"/>
    </row>
    <row r="517" spans="6:12" ht="12.5">
      <c r="F517" s="86"/>
      <c r="G517" s="86"/>
      <c r="H517" s="86"/>
      <c r="I517" s="65"/>
      <c r="J517" s="65"/>
      <c r="K517" s="87"/>
      <c r="L517" s="88"/>
    </row>
    <row r="518" spans="6:12" ht="12.5">
      <c r="F518" s="86"/>
      <c r="G518" s="86"/>
      <c r="H518" s="86"/>
      <c r="I518" s="65"/>
      <c r="J518" s="65"/>
      <c r="K518" s="87"/>
      <c r="L518" s="88"/>
    </row>
    <row r="519" spans="6:12" ht="12.5">
      <c r="F519" s="86"/>
      <c r="G519" s="86"/>
      <c r="H519" s="86"/>
      <c r="I519" s="65"/>
      <c r="J519" s="65"/>
      <c r="K519" s="87"/>
      <c r="L519" s="88"/>
    </row>
    <row r="520" spans="6:12" ht="12.5">
      <c r="F520" s="86"/>
      <c r="G520" s="86"/>
      <c r="H520" s="86"/>
      <c r="I520" s="65"/>
      <c r="J520" s="65"/>
      <c r="K520" s="87"/>
      <c r="L520" s="88"/>
    </row>
    <row r="521" spans="6:12" ht="12.5">
      <c r="F521" s="86"/>
      <c r="G521" s="86"/>
      <c r="H521" s="86"/>
      <c r="I521" s="65"/>
      <c r="J521" s="65"/>
      <c r="K521" s="87"/>
      <c r="L521" s="88"/>
    </row>
    <row r="522" spans="6:12" ht="12.5">
      <c r="F522" s="86"/>
      <c r="G522" s="86"/>
      <c r="H522" s="86"/>
      <c r="I522" s="65"/>
      <c r="J522" s="65"/>
      <c r="K522" s="87"/>
      <c r="L522" s="88"/>
    </row>
    <row r="523" spans="6:12" ht="12.5">
      <c r="F523" s="86"/>
      <c r="G523" s="86"/>
      <c r="H523" s="86"/>
      <c r="I523" s="65"/>
      <c r="J523" s="65"/>
      <c r="K523" s="87"/>
      <c r="L523" s="88"/>
    </row>
    <row r="524" spans="6:12" ht="12.5">
      <c r="F524" s="86"/>
      <c r="G524" s="86"/>
      <c r="H524" s="86"/>
      <c r="I524" s="65"/>
      <c r="J524" s="65"/>
      <c r="K524" s="87"/>
      <c r="L524" s="88"/>
    </row>
    <row r="525" spans="6:12" ht="12.5">
      <c r="F525" s="86"/>
      <c r="G525" s="86"/>
      <c r="H525" s="86"/>
      <c r="I525" s="65"/>
      <c r="J525" s="65"/>
      <c r="K525" s="87"/>
      <c r="L525" s="88"/>
    </row>
    <row r="526" spans="6:12" ht="12.5">
      <c r="F526" s="86"/>
      <c r="G526" s="86"/>
      <c r="H526" s="86"/>
      <c r="I526" s="65"/>
      <c r="J526" s="65"/>
      <c r="K526" s="87"/>
      <c r="L526" s="88"/>
    </row>
    <row r="527" spans="6:12" ht="12.5">
      <c r="F527" s="86"/>
      <c r="G527" s="86"/>
      <c r="H527" s="86"/>
      <c r="I527" s="65"/>
      <c r="J527" s="65"/>
      <c r="K527" s="87"/>
      <c r="L527" s="88"/>
    </row>
    <row r="528" spans="6:12" ht="12.5">
      <c r="F528" s="86"/>
      <c r="G528" s="86"/>
      <c r="H528" s="86"/>
      <c r="I528" s="65"/>
      <c r="J528" s="65"/>
      <c r="K528" s="87"/>
      <c r="L528" s="88"/>
    </row>
    <row r="529" spans="6:12" ht="12.5">
      <c r="F529" s="86"/>
      <c r="G529" s="86"/>
      <c r="H529" s="86"/>
      <c r="I529" s="65"/>
      <c r="J529" s="65"/>
      <c r="K529" s="87"/>
      <c r="L529" s="88"/>
    </row>
    <row r="530" spans="6:12" ht="12.5">
      <c r="F530" s="86"/>
      <c r="G530" s="86"/>
      <c r="H530" s="86"/>
      <c r="I530" s="65"/>
      <c r="J530" s="65"/>
      <c r="K530" s="87"/>
      <c r="L530" s="88"/>
    </row>
    <row r="531" spans="6:12" ht="12.5">
      <c r="F531" s="86"/>
      <c r="G531" s="86"/>
      <c r="H531" s="86"/>
      <c r="I531" s="65"/>
      <c r="J531" s="65"/>
      <c r="K531" s="87"/>
      <c r="L531" s="88"/>
    </row>
    <row r="532" spans="6:12" ht="12.5">
      <c r="F532" s="86"/>
      <c r="G532" s="86"/>
      <c r="H532" s="86"/>
      <c r="I532" s="65"/>
      <c r="J532" s="65"/>
      <c r="K532" s="87"/>
      <c r="L532" s="88"/>
    </row>
    <row r="533" spans="6:12" ht="12.5">
      <c r="F533" s="86"/>
      <c r="G533" s="86"/>
      <c r="H533" s="86"/>
      <c r="I533" s="65"/>
      <c r="J533" s="65"/>
      <c r="K533" s="87"/>
      <c r="L533" s="88"/>
    </row>
    <row r="534" spans="6:12" ht="12.5">
      <c r="F534" s="86"/>
      <c r="G534" s="86"/>
      <c r="H534" s="86"/>
      <c r="I534" s="65"/>
      <c r="J534" s="65"/>
      <c r="K534" s="87"/>
      <c r="L534" s="88"/>
    </row>
    <row r="535" spans="6:12" ht="12.5">
      <c r="F535" s="86"/>
      <c r="G535" s="86"/>
      <c r="H535" s="86"/>
      <c r="I535" s="65"/>
      <c r="J535" s="65"/>
      <c r="K535" s="87"/>
      <c r="L535" s="88"/>
    </row>
    <row r="536" spans="6:12" ht="12.5">
      <c r="F536" s="86"/>
      <c r="G536" s="86"/>
      <c r="H536" s="86"/>
      <c r="I536" s="65"/>
      <c r="J536" s="65"/>
      <c r="K536" s="87"/>
      <c r="L536" s="88"/>
    </row>
    <row r="537" spans="6:12" ht="12.5">
      <c r="F537" s="86"/>
      <c r="G537" s="86"/>
      <c r="H537" s="86"/>
      <c r="I537" s="65"/>
      <c r="J537" s="65"/>
      <c r="K537" s="87"/>
      <c r="L537" s="88"/>
    </row>
    <row r="538" spans="6:12" ht="12.5">
      <c r="F538" s="86"/>
      <c r="G538" s="86"/>
      <c r="H538" s="86"/>
      <c r="I538" s="65"/>
      <c r="J538" s="65"/>
      <c r="K538" s="87"/>
      <c r="L538" s="88"/>
    </row>
    <row r="539" spans="6:12" ht="12.5">
      <c r="F539" s="86"/>
      <c r="G539" s="86"/>
      <c r="H539" s="86"/>
      <c r="I539" s="65"/>
      <c r="J539" s="65"/>
      <c r="K539" s="87"/>
      <c r="L539" s="88"/>
    </row>
    <row r="540" spans="6:12" ht="12.5">
      <c r="F540" s="86"/>
      <c r="G540" s="86"/>
      <c r="H540" s="86"/>
      <c r="I540" s="65"/>
      <c r="J540" s="65"/>
      <c r="K540" s="87"/>
      <c r="L540" s="88"/>
    </row>
    <row r="541" spans="6:12" ht="12.5">
      <c r="F541" s="86"/>
      <c r="G541" s="86"/>
      <c r="H541" s="86"/>
      <c r="I541" s="65"/>
      <c r="J541" s="65"/>
      <c r="K541" s="87"/>
      <c r="L541" s="88"/>
    </row>
    <row r="542" spans="6:12" ht="12.5">
      <c r="F542" s="86"/>
      <c r="G542" s="86"/>
      <c r="H542" s="86"/>
      <c r="I542" s="65"/>
      <c r="J542" s="65"/>
      <c r="K542" s="87"/>
      <c r="L542" s="88"/>
    </row>
    <row r="543" spans="6:12" ht="12.5">
      <c r="F543" s="86"/>
      <c r="G543" s="86"/>
      <c r="H543" s="86"/>
      <c r="I543" s="65"/>
      <c r="J543" s="65"/>
      <c r="K543" s="87"/>
      <c r="L543" s="88"/>
    </row>
    <row r="544" spans="6:12" ht="12.5">
      <c r="F544" s="86"/>
      <c r="G544" s="86"/>
      <c r="H544" s="86"/>
      <c r="I544" s="65"/>
      <c r="J544" s="65"/>
      <c r="K544" s="87"/>
      <c r="L544" s="88"/>
    </row>
    <row r="545" spans="6:12" ht="12.5">
      <c r="F545" s="86"/>
      <c r="G545" s="86"/>
      <c r="H545" s="86"/>
      <c r="I545" s="65"/>
      <c r="J545" s="65"/>
      <c r="K545" s="87"/>
      <c r="L545" s="88"/>
    </row>
    <row r="546" spans="6:12" ht="12.5">
      <c r="F546" s="86"/>
      <c r="G546" s="86"/>
      <c r="H546" s="86"/>
      <c r="I546" s="65"/>
      <c r="J546" s="65"/>
      <c r="K546" s="87"/>
      <c r="L546" s="88"/>
    </row>
    <row r="547" spans="6:12" ht="12.5">
      <c r="F547" s="86"/>
      <c r="G547" s="86"/>
      <c r="H547" s="86"/>
      <c r="I547" s="65"/>
      <c r="J547" s="65"/>
      <c r="K547" s="87"/>
      <c r="L547" s="88"/>
    </row>
    <row r="548" spans="6:12" ht="12.5">
      <c r="F548" s="86"/>
      <c r="G548" s="86"/>
      <c r="H548" s="86"/>
      <c r="I548" s="65"/>
      <c r="J548" s="65"/>
      <c r="K548" s="87"/>
      <c r="L548" s="88"/>
    </row>
    <row r="549" spans="6:12" ht="12.5">
      <c r="F549" s="86"/>
      <c r="G549" s="86"/>
      <c r="H549" s="86"/>
      <c r="I549" s="65"/>
      <c r="J549" s="65"/>
      <c r="K549" s="87"/>
      <c r="L549" s="88"/>
    </row>
    <row r="550" spans="6:12" ht="12.5">
      <c r="F550" s="86"/>
      <c r="G550" s="86"/>
      <c r="H550" s="86"/>
      <c r="I550" s="65"/>
      <c r="J550" s="65"/>
      <c r="K550" s="87"/>
      <c r="L550" s="88"/>
    </row>
    <row r="551" spans="6:12" ht="12.5">
      <c r="F551" s="86"/>
      <c r="G551" s="86"/>
      <c r="H551" s="86"/>
      <c r="I551" s="65"/>
      <c r="J551" s="65"/>
      <c r="K551" s="87"/>
      <c r="L551" s="88"/>
    </row>
    <row r="552" spans="6:12" ht="12.5">
      <c r="F552" s="86"/>
      <c r="G552" s="86"/>
      <c r="H552" s="86"/>
      <c r="I552" s="65"/>
      <c r="J552" s="65"/>
      <c r="K552" s="87"/>
      <c r="L552" s="88"/>
    </row>
    <row r="553" spans="6:12" ht="12.5">
      <c r="F553" s="86"/>
      <c r="G553" s="86"/>
      <c r="H553" s="86"/>
      <c r="I553" s="65"/>
      <c r="J553" s="65"/>
      <c r="K553" s="87"/>
      <c r="L553" s="88"/>
    </row>
    <row r="554" spans="6:12" ht="12.5">
      <c r="F554" s="86"/>
      <c r="G554" s="86"/>
      <c r="H554" s="86"/>
      <c r="I554" s="65"/>
      <c r="J554" s="65"/>
      <c r="K554" s="87"/>
      <c r="L554" s="88"/>
    </row>
    <row r="555" spans="6:12" ht="12.5">
      <c r="F555" s="86"/>
      <c r="G555" s="86"/>
      <c r="H555" s="86"/>
      <c r="I555" s="65"/>
      <c r="J555" s="65"/>
      <c r="K555" s="87"/>
      <c r="L555" s="88"/>
    </row>
    <row r="556" spans="6:12" ht="12.5">
      <c r="F556" s="86"/>
      <c r="G556" s="86"/>
      <c r="H556" s="86"/>
      <c r="I556" s="65"/>
      <c r="J556" s="65"/>
      <c r="K556" s="87"/>
      <c r="L556" s="88"/>
    </row>
    <row r="557" spans="6:12" ht="12.5">
      <c r="F557" s="86"/>
      <c r="G557" s="86"/>
      <c r="H557" s="86"/>
      <c r="I557" s="65"/>
      <c r="J557" s="65"/>
      <c r="K557" s="87"/>
      <c r="L557" s="88"/>
    </row>
    <row r="558" spans="6:12" ht="12.5">
      <c r="F558" s="86"/>
      <c r="G558" s="86"/>
      <c r="H558" s="86"/>
      <c r="I558" s="65"/>
      <c r="J558" s="65"/>
      <c r="K558" s="87"/>
      <c r="L558" s="88"/>
    </row>
    <row r="559" spans="6:12" ht="12.5">
      <c r="F559" s="86"/>
      <c r="G559" s="86"/>
      <c r="H559" s="86"/>
      <c r="I559" s="65"/>
      <c r="J559" s="65"/>
      <c r="K559" s="87"/>
      <c r="L559" s="88"/>
    </row>
    <row r="560" spans="6:12" ht="12.5">
      <c r="F560" s="86"/>
      <c r="G560" s="86"/>
      <c r="H560" s="86"/>
      <c r="I560" s="65"/>
      <c r="J560" s="65"/>
      <c r="K560" s="87"/>
      <c r="L560" s="88"/>
    </row>
    <row r="561" spans="6:12" ht="12.5">
      <c r="F561" s="86"/>
      <c r="G561" s="86"/>
      <c r="H561" s="86"/>
      <c r="I561" s="65"/>
      <c r="J561" s="65"/>
      <c r="K561" s="87"/>
      <c r="L561" s="88"/>
    </row>
    <row r="562" spans="6:12" ht="12.5">
      <c r="F562" s="86"/>
      <c r="G562" s="86"/>
      <c r="H562" s="86"/>
      <c r="I562" s="65"/>
      <c r="J562" s="65"/>
      <c r="K562" s="87"/>
      <c r="L562" s="88"/>
    </row>
    <row r="563" spans="6:12" ht="12.5">
      <c r="F563" s="86"/>
      <c r="G563" s="86"/>
      <c r="H563" s="86"/>
      <c r="I563" s="65"/>
      <c r="J563" s="65"/>
      <c r="K563" s="87"/>
      <c r="L563" s="88"/>
    </row>
    <row r="564" spans="6:12" ht="12.5">
      <c r="F564" s="86"/>
      <c r="G564" s="86"/>
      <c r="H564" s="86"/>
      <c r="I564" s="65"/>
      <c r="J564" s="65"/>
      <c r="K564" s="87"/>
      <c r="L564" s="88"/>
    </row>
    <row r="565" spans="6:12" ht="12.5">
      <c r="F565" s="86"/>
      <c r="G565" s="86"/>
      <c r="H565" s="86"/>
      <c r="I565" s="65"/>
      <c r="J565" s="65"/>
      <c r="K565" s="87"/>
      <c r="L565" s="88"/>
    </row>
    <row r="566" spans="6:12" ht="12.5">
      <c r="F566" s="86"/>
      <c r="G566" s="86"/>
      <c r="H566" s="86"/>
      <c r="I566" s="65"/>
      <c r="J566" s="65"/>
      <c r="K566" s="87"/>
      <c r="L566" s="88"/>
    </row>
    <row r="567" spans="6:12" ht="12.5">
      <c r="F567" s="86"/>
      <c r="G567" s="86"/>
      <c r="H567" s="86"/>
      <c r="I567" s="65"/>
      <c r="J567" s="65"/>
      <c r="K567" s="87"/>
      <c r="L567" s="88"/>
    </row>
    <row r="568" spans="6:12" ht="12.5">
      <c r="F568" s="86"/>
      <c r="G568" s="86"/>
      <c r="H568" s="86"/>
      <c r="I568" s="65"/>
      <c r="J568" s="65"/>
      <c r="K568" s="87"/>
      <c r="L568" s="88"/>
    </row>
    <row r="569" spans="6:12" ht="12.5">
      <c r="F569" s="86"/>
      <c r="G569" s="86"/>
      <c r="H569" s="86"/>
      <c r="I569" s="65"/>
      <c r="J569" s="65"/>
      <c r="K569" s="87"/>
      <c r="L569" s="88"/>
    </row>
    <row r="570" spans="6:12" ht="12.5">
      <c r="F570" s="86"/>
      <c r="G570" s="86"/>
      <c r="H570" s="86"/>
      <c r="I570" s="65"/>
      <c r="J570" s="65"/>
      <c r="K570" s="87"/>
      <c r="L570" s="88"/>
    </row>
    <row r="571" spans="6:12" ht="12.5">
      <c r="F571" s="86"/>
      <c r="G571" s="86"/>
      <c r="H571" s="86"/>
      <c r="I571" s="65"/>
      <c r="J571" s="65"/>
      <c r="K571" s="87"/>
      <c r="L571" s="88"/>
    </row>
    <row r="572" spans="6:12" ht="12.5">
      <c r="F572" s="86"/>
      <c r="G572" s="86"/>
      <c r="H572" s="86"/>
      <c r="I572" s="65"/>
      <c r="J572" s="65"/>
      <c r="K572" s="87"/>
      <c r="L572" s="88"/>
    </row>
    <row r="573" spans="6:12" ht="12.5">
      <c r="F573" s="86"/>
      <c r="G573" s="86"/>
      <c r="H573" s="86"/>
      <c r="I573" s="65"/>
      <c r="J573" s="65"/>
      <c r="K573" s="87"/>
      <c r="L573" s="88"/>
    </row>
    <row r="574" spans="6:12" ht="12.5">
      <c r="F574" s="86"/>
      <c r="G574" s="86"/>
      <c r="H574" s="86"/>
      <c r="I574" s="65"/>
      <c r="J574" s="65"/>
      <c r="K574" s="87"/>
      <c r="L574" s="88"/>
    </row>
    <row r="575" spans="6:12" ht="12.5">
      <c r="F575" s="86"/>
      <c r="G575" s="86"/>
      <c r="H575" s="86"/>
      <c r="I575" s="65"/>
      <c r="J575" s="65"/>
      <c r="K575" s="87"/>
      <c r="L575" s="88"/>
    </row>
    <row r="576" spans="6:12" ht="12.5">
      <c r="F576" s="86"/>
      <c r="G576" s="86"/>
      <c r="H576" s="86"/>
      <c r="I576" s="65"/>
      <c r="J576" s="65"/>
      <c r="K576" s="87"/>
      <c r="L576" s="88"/>
    </row>
    <row r="577" spans="6:12" ht="12.5">
      <c r="F577" s="86"/>
      <c r="G577" s="86"/>
      <c r="H577" s="86"/>
      <c r="I577" s="65"/>
      <c r="J577" s="65"/>
      <c r="K577" s="87"/>
      <c r="L577" s="88"/>
    </row>
    <row r="578" spans="6:12" ht="12.5">
      <c r="F578" s="86"/>
      <c r="G578" s="86"/>
      <c r="H578" s="86"/>
      <c r="I578" s="65"/>
      <c r="J578" s="65"/>
      <c r="K578" s="87"/>
      <c r="L578" s="88"/>
    </row>
    <row r="579" spans="6:12" ht="12.5">
      <c r="F579" s="86"/>
      <c r="G579" s="86"/>
      <c r="H579" s="86"/>
      <c r="I579" s="65"/>
      <c r="J579" s="65"/>
      <c r="K579" s="87"/>
      <c r="L579" s="88"/>
    </row>
    <row r="580" spans="6:12" ht="12.5">
      <c r="F580" s="86"/>
      <c r="G580" s="86"/>
      <c r="H580" s="86"/>
      <c r="I580" s="65"/>
      <c r="J580" s="65"/>
      <c r="K580" s="87"/>
      <c r="L580" s="88"/>
    </row>
    <row r="581" spans="6:12" ht="12.5">
      <c r="F581" s="86"/>
      <c r="G581" s="86"/>
      <c r="H581" s="86"/>
      <c r="I581" s="65"/>
      <c r="J581" s="65"/>
      <c r="K581" s="87"/>
      <c r="L581" s="88"/>
    </row>
    <row r="582" spans="6:12" ht="12.5">
      <c r="F582" s="86"/>
      <c r="G582" s="86"/>
      <c r="H582" s="86"/>
      <c r="I582" s="65"/>
      <c r="J582" s="65"/>
      <c r="K582" s="87"/>
      <c r="L582" s="88"/>
    </row>
    <row r="583" spans="6:12" ht="12.5">
      <c r="F583" s="86"/>
      <c r="G583" s="86"/>
      <c r="H583" s="86"/>
      <c r="I583" s="65"/>
      <c r="J583" s="65"/>
      <c r="K583" s="87"/>
      <c r="L583" s="88"/>
    </row>
    <row r="584" spans="6:12" ht="12.5">
      <c r="F584" s="86"/>
      <c r="G584" s="86"/>
      <c r="H584" s="86"/>
      <c r="I584" s="65"/>
      <c r="J584" s="65"/>
      <c r="K584" s="87"/>
      <c r="L584" s="88"/>
    </row>
    <row r="585" spans="6:12" ht="12.5">
      <c r="F585" s="86"/>
      <c r="G585" s="86"/>
      <c r="H585" s="86"/>
      <c r="I585" s="65"/>
      <c r="J585" s="65"/>
      <c r="K585" s="87"/>
      <c r="L585" s="88"/>
    </row>
    <row r="586" spans="6:12" ht="12.5">
      <c r="F586" s="86"/>
      <c r="G586" s="86"/>
      <c r="H586" s="86"/>
      <c r="I586" s="65"/>
      <c r="J586" s="65"/>
      <c r="K586" s="87"/>
      <c r="L586" s="88"/>
    </row>
    <row r="587" spans="6:12" ht="12.5">
      <c r="F587" s="86"/>
      <c r="G587" s="86"/>
      <c r="H587" s="86"/>
      <c r="I587" s="65"/>
      <c r="J587" s="65"/>
      <c r="K587" s="87"/>
      <c r="L587" s="88"/>
    </row>
    <row r="588" spans="6:12" ht="12.5">
      <c r="F588" s="86"/>
      <c r="G588" s="86"/>
      <c r="H588" s="86"/>
      <c r="I588" s="65"/>
      <c r="J588" s="65"/>
      <c r="K588" s="87"/>
      <c r="L588" s="88"/>
    </row>
    <row r="589" spans="6:12" ht="12.5">
      <c r="F589" s="86"/>
      <c r="G589" s="86"/>
      <c r="H589" s="86"/>
      <c r="I589" s="65"/>
      <c r="J589" s="65"/>
      <c r="K589" s="87"/>
      <c r="L589" s="88"/>
    </row>
    <row r="590" spans="6:12" ht="12.5">
      <c r="F590" s="86"/>
      <c r="G590" s="86"/>
      <c r="H590" s="86"/>
      <c r="I590" s="65"/>
      <c r="J590" s="65"/>
      <c r="K590" s="87"/>
      <c r="L590" s="88"/>
    </row>
    <row r="591" spans="6:12" ht="12.5">
      <c r="F591" s="86"/>
      <c r="G591" s="86"/>
      <c r="H591" s="86"/>
      <c r="I591" s="65"/>
      <c r="J591" s="65"/>
      <c r="K591" s="87"/>
      <c r="L591" s="88"/>
    </row>
    <row r="592" spans="6:12" ht="12.5">
      <c r="F592" s="86"/>
      <c r="G592" s="86"/>
      <c r="H592" s="86"/>
      <c r="I592" s="65"/>
      <c r="J592" s="65"/>
      <c r="K592" s="87"/>
      <c r="L592" s="88"/>
    </row>
    <row r="593" spans="6:12" ht="12.5">
      <c r="F593" s="86"/>
      <c r="G593" s="86"/>
      <c r="H593" s="86"/>
      <c r="I593" s="65"/>
      <c r="J593" s="65"/>
      <c r="K593" s="87"/>
      <c r="L593" s="88"/>
    </row>
    <row r="594" spans="6:12" ht="12.5">
      <c r="F594" s="86"/>
      <c r="G594" s="86"/>
      <c r="H594" s="86"/>
      <c r="I594" s="65"/>
      <c r="J594" s="65"/>
      <c r="K594" s="87"/>
      <c r="L594" s="88"/>
    </row>
    <row r="595" spans="6:12" ht="12.5">
      <c r="F595" s="86"/>
      <c r="G595" s="86"/>
      <c r="H595" s="86"/>
      <c r="I595" s="65"/>
      <c r="J595" s="65"/>
      <c r="K595" s="87"/>
      <c r="L595" s="88"/>
    </row>
    <row r="596" spans="6:12" ht="12.5">
      <c r="F596" s="86"/>
      <c r="G596" s="86"/>
      <c r="H596" s="86"/>
      <c r="I596" s="65"/>
      <c r="J596" s="65"/>
      <c r="K596" s="87"/>
      <c r="L596" s="88"/>
    </row>
    <row r="597" spans="6:12" ht="12.5">
      <c r="F597" s="86"/>
      <c r="G597" s="86"/>
      <c r="H597" s="86"/>
      <c r="I597" s="65"/>
      <c r="J597" s="65"/>
      <c r="K597" s="87"/>
      <c r="L597" s="88"/>
    </row>
    <row r="598" spans="6:12" ht="12.5">
      <c r="F598" s="86"/>
      <c r="G598" s="86"/>
      <c r="H598" s="86"/>
      <c r="I598" s="65"/>
      <c r="J598" s="65"/>
      <c r="K598" s="87"/>
      <c r="L598" s="88"/>
    </row>
    <row r="599" spans="6:12" ht="12.5">
      <c r="F599" s="86"/>
      <c r="G599" s="86"/>
      <c r="H599" s="86"/>
      <c r="I599" s="65"/>
      <c r="J599" s="65"/>
      <c r="K599" s="87"/>
      <c r="L599" s="88"/>
    </row>
    <row r="600" spans="6:12" ht="12.5">
      <c r="F600" s="86"/>
      <c r="G600" s="86"/>
      <c r="H600" s="86"/>
      <c r="I600" s="65"/>
      <c r="J600" s="65"/>
      <c r="K600" s="87"/>
      <c r="L600" s="88"/>
    </row>
    <row r="601" spans="6:12" ht="12.5">
      <c r="F601" s="86"/>
      <c r="G601" s="86"/>
      <c r="H601" s="86"/>
      <c r="I601" s="65"/>
      <c r="J601" s="65"/>
      <c r="K601" s="87"/>
      <c r="L601" s="88"/>
    </row>
    <row r="602" spans="6:12" ht="12.5">
      <c r="F602" s="86"/>
      <c r="G602" s="86"/>
      <c r="H602" s="86"/>
      <c r="I602" s="65"/>
      <c r="J602" s="65"/>
      <c r="K602" s="87"/>
      <c r="L602" s="88"/>
    </row>
    <row r="603" spans="6:12" ht="12.5">
      <c r="F603" s="86"/>
      <c r="G603" s="86"/>
      <c r="H603" s="86"/>
      <c r="I603" s="65"/>
      <c r="J603" s="65"/>
      <c r="K603" s="87"/>
      <c r="L603" s="88"/>
    </row>
    <row r="604" spans="6:12" ht="12.5">
      <c r="F604" s="86"/>
      <c r="G604" s="86"/>
      <c r="H604" s="86"/>
      <c r="I604" s="65"/>
      <c r="J604" s="65"/>
      <c r="K604" s="87"/>
      <c r="L604" s="88"/>
    </row>
    <row r="605" spans="6:12" ht="12.5">
      <c r="F605" s="86"/>
      <c r="G605" s="86"/>
      <c r="H605" s="86"/>
      <c r="I605" s="65"/>
      <c r="J605" s="65"/>
      <c r="K605" s="87"/>
      <c r="L605" s="88"/>
    </row>
    <row r="606" spans="6:12" ht="12.5">
      <c r="F606" s="86"/>
      <c r="G606" s="86"/>
      <c r="H606" s="86"/>
      <c r="I606" s="65"/>
      <c r="J606" s="65"/>
      <c r="K606" s="87"/>
      <c r="L606" s="88"/>
    </row>
    <row r="607" spans="6:12" ht="12.5">
      <c r="F607" s="86"/>
      <c r="G607" s="86"/>
      <c r="H607" s="86"/>
      <c r="I607" s="65"/>
      <c r="J607" s="65"/>
      <c r="K607" s="87"/>
      <c r="L607" s="88"/>
    </row>
    <row r="608" spans="6:12" ht="12.5">
      <c r="F608" s="86"/>
      <c r="G608" s="86"/>
      <c r="H608" s="86"/>
      <c r="I608" s="65"/>
      <c r="J608" s="65"/>
      <c r="K608" s="87"/>
      <c r="L608" s="88"/>
    </row>
    <row r="609" spans="6:12" ht="12.5">
      <c r="F609" s="86"/>
      <c r="G609" s="86"/>
      <c r="H609" s="86"/>
      <c r="I609" s="65"/>
      <c r="J609" s="65"/>
      <c r="K609" s="87"/>
      <c r="L609" s="88"/>
    </row>
    <row r="610" spans="6:12" ht="12.5">
      <c r="F610" s="86"/>
      <c r="G610" s="86"/>
      <c r="H610" s="86"/>
      <c r="I610" s="65"/>
      <c r="J610" s="65"/>
      <c r="K610" s="87"/>
      <c r="L610" s="88"/>
    </row>
    <row r="611" spans="6:12" ht="12.5">
      <c r="F611" s="86"/>
      <c r="G611" s="86"/>
      <c r="H611" s="86"/>
      <c r="I611" s="65"/>
      <c r="J611" s="65"/>
      <c r="K611" s="87"/>
      <c r="L611" s="88"/>
    </row>
    <row r="612" spans="6:12" ht="12.5">
      <c r="F612" s="86"/>
      <c r="G612" s="86"/>
      <c r="H612" s="86"/>
      <c r="I612" s="65"/>
      <c r="J612" s="65"/>
      <c r="K612" s="87"/>
      <c r="L612" s="88"/>
    </row>
    <row r="613" spans="6:12" ht="12.5">
      <c r="F613" s="86"/>
      <c r="G613" s="86"/>
      <c r="H613" s="86"/>
      <c r="I613" s="65"/>
      <c r="J613" s="65"/>
      <c r="K613" s="87"/>
      <c r="L613" s="88"/>
    </row>
    <row r="614" spans="6:12" ht="12.5">
      <c r="F614" s="86"/>
      <c r="G614" s="86"/>
      <c r="H614" s="86"/>
      <c r="I614" s="65"/>
      <c r="J614" s="65"/>
      <c r="K614" s="87"/>
      <c r="L614" s="88"/>
    </row>
    <row r="615" spans="6:12" ht="12.5">
      <c r="F615" s="86"/>
      <c r="G615" s="86"/>
      <c r="H615" s="86"/>
      <c r="I615" s="65"/>
      <c r="J615" s="65"/>
      <c r="K615" s="87"/>
      <c r="L615" s="88"/>
    </row>
    <row r="616" spans="6:12" ht="12.5">
      <c r="F616" s="86"/>
      <c r="G616" s="86"/>
      <c r="H616" s="86"/>
      <c r="I616" s="65"/>
      <c r="J616" s="65"/>
      <c r="K616" s="87"/>
      <c r="L616" s="88"/>
    </row>
    <row r="617" spans="6:12" ht="12.5">
      <c r="F617" s="86"/>
      <c r="G617" s="86"/>
      <c r="H617" s="86"/>
      <c r="I617" s="65"/>
      <c r="J617" s="65"/>
      <c r="K617" s="87"/>
      <c r="L617" s="88"/>
    </row>
    <row r="618" spans="6:12" ht="12.5">
      <c r="F618" s="86"/>
      <c r="G618" s="86"/>
      <c r="H618" s="86"/>
      <c r="I618" s="65"/>
      <c r="J618" s="65"/>
      <c r="K618" s="87"/>
      <c r="L618" s="88"/>
    </row>
    <row r="619" spans="6:12" ht="12.5">
      <c r="F619" s="86"/>
      <c r="G619" s="86"/>
      <c r="H619" s="86"/>
      <c r="I619" s="65"/>
      <c r="J619" s="65"/>
      <c r="K619" s="87"/>
      <c r="L619" s="88"/>
    </row>
    <row r="620" spans="6:12" ht="12.5">
      <c r="F620" s="86"/>
      <c r="G620" s="86"/>
      <c r="H620" s="86"/>
      <c r="I620" s="65"/>
      <c r="J620" s="65"/>
      <c r="K620" s="87"/>
      <c r="L620" s="88"/>
    </row>
    <row r="621" spans="6:12" ht="12.5">
      <c r="F621" s="86"/>
      <c r="G621" s="86"/>
      <c r="H621" s="86"/>
      <c r="I621" s="65"/>
      <c r="J621" s="65"/>
      <c r="K621" s="87"/>
      <c r="L621" s="88"/>
    </row>
    <row r="622" spans="6:12" ht="12.5">
      <c r="F622" s="86"/>
      <c r="G622" s="86"/>
      <c r="H622" s="86"/>
      <c r="I622" s="65"/>
      <c r="J622" s="65"/>
      <c r="K622" s="87"/>
      <c r="L622" s="88"/>
    </row>
    <row r="623" spans="6:12" ht="12.5">
      <c r="F623" s="86"/>
      <c r="G623" s="86"/>
      <c r="H623" s="86"/>
      <c r="I623" s="65"/>
      <c r="J623" s="65"/>
      <c r="K623" s="87"/>
      <c r="L623" s="88"/>
    </row>
    <row r="624" spans="6:12" ht="12.5">
      <c r="F624" s="86"/>
      <c r="G624" s="86"/>
      <c r="H624" s="86"/>
      <c r="I624" s="65"/>
      <c r="J624" s="65"/>
      <c r="K624" s="87"/>
      <c r="L624" s="88"/>
    </row>
    <row r="625" spans="6:12" ht="12.5">
      <c r="F625" s="86"/>
      <c r="G625" s="86"/>
      <c r="H625" s="86"/>
      <c r="I625" s="65"/>
      <c r="J625" s="65"/>
      <c r="K625" s="87"/>
      <c r="L625" s="88"/>
    </row>
    <row r="626" spans="6:12" ht="12.5">
      <c r="F626" s="86"/>
      <c r="G626" s="86"/>
      <c r="H626" s="86"/>
      <c r="I626" s="65"/>
      <c r="J626" s="65"/>
      <c r="K626" s="87"/>
      <c r="L626" s="88"/>
    </row>
    <row r="627" spans="6:12" ht="12.5">
      <c r="F627" s="86"/>
      <c r="G627" s="86"/>
      <c r="H627" s="86"/>
      <c r="I627" s="65"/>
      <c r="J627" s="65"/>
      <c r="K627" s="87"/>
      <c r="L627" s="88"/>
    </row>
    <row r="628" spans="6:12" ht="12.5">
      <c r="F628" s="86"/>
      <c r="G628" s="86"/>
      <c r="H628" s="86"/>
      <c r="I628" s="65"/>
      <c r="J628" s="65"/>
      <c r="K628" s="87"/>
      <c r="L628" s="88"/>
    </row>
    <row r="629" spans="6:12" ht="12.5">
      <c r="F629" s="86"/>
      <c r="G629" s="86"/>
      <c r="H629" s="86"/>
      <c r="I629" s="65"/>
      <c r="J629" s="65"/>
      <c r="K629" s="87"/>
      <c r="L629" s="88"/>
    </row>
    <row r="630" spans="6:12" ht="12.5">
      <c r="F630" s="86"/>
      <c r="G630" s="86"/>
      <c r="H630" s="86"/>
      <c r="I630" s="65"/>
      <c r="J630" s="65"/>
      <c r="K630" s="87"/>
      <c r="L630" s="88"/>
    </row>
    <row r="631" spans="6:12" ht="12.5">
      <c r="F631" s="86"/>
      <c r="G631" s="86"/>
      <c r="H631" s="86"/>
      <c r="I631" s="65"/>
      <c r="J631" s="65"/>
      <c r="K631" s="87"/>
      <c r="L631" s="88"/>
    </row>
    <row r="632" spans="6:12" ht="12.5">
      <c r="F632" s="86"/>
      <c r="G632" s="86"/>
      <c r="H632" s="86"/>
      <c r="I632" s="65"/>
      <c r="J632" s="65"/>
      <c r="K632" s="87"/>
      <c r="L632" s="88"/>
    </row>
    <row r="633" spans="6:12" ht="12.5">
      <c r="F633" s="86"/>
      <c r="G633" s="86"/>
      <c r="H633" s="86"/>
      <c r="I633" s="65"/>
      <c r="J633" s="65"/>
      <c r="K633" s="87"/>
      <c r="L633" s="88"/>
    </row>
    <row r="634" spans="6:12" ht="12.5">
      <c r="F634" s="86"/>
      <c r="G634" s="86"/>
      <c r="H634" s="86"/>
      <c r="I634" s="65"/>
      <c r="J634" s="65"/>
      <c r="K634" s="87"/>
      <c r="L634" s="88"/>
    </row>
    <row r="635" spans="6:12" ht="12.5">
      <c r="F635" s="86"/>
      <c r="G635" s="86"/>
      <c r="H635" s="86"/>
      <c r="I635" s="65"/>
      <c r="J635" s="65"/>
      <c r="K635" s="87"/>
      <c r="L635" s="88"/>
    </row>
    <row r="636" spans="6:12" ht="12.5">
      <c r="F636" s="86"/>
      <c r="G636" s="86"/>
      <c r="H636" s="86"/>
      <c r="I636" s="65"/>
      <c r="J636" s="65"/>
      <c r="K636" s="87"/>
      <c r="L636" s="88"/>
    </row>
    <row r="637" spans="6:12" ht="12.5">
      <c r="F637" s="86"/>
      <c r="G637" s="86"/>
      <c r="H637" s="86"/>
      <c r="I637" s="65"/>
      <c r="J637" s="65"/>
      <c r="K637" s="87"/>
      <c r="L637" s="88"/>
    </row>
    <row r="638" spans="6:12" ht="12.5">
      <c r="F638" s="86"/>
      <c r="G638" s="86"/>
      <c r="H638" s="86"/>
      <c r="I638" s="65"/>
      <c r="J638" s="65"/>
      <c r="K638" s="87"/>
      <c r="L638" s="88"/>
    </row>
    <row r="639" spans="6:12" ht="12.5">
      <c r="F639" s="86"/>
      <c r="G639" s="86"/>
      <c r="H639" s="86"/>
      <c r="I639" s="65"/>
      <c r="J639" s="65"/>
      <c r="K639" s="87"/>
      <c r="L639" s="88"/>
    </row>
    <row r="640" spans="6:12" ht="12.5">
      <c r="F640" s="86"/>
      <c r="G640" s="86"/>
      <c r="H640" s="86"/>
      <c r="I640" s="65"/>
      <c r="J640" s="65"/>
      <c r="K640" s="87"/>
      <c r="L640" s="88"/>
    </row>
    <row r="641" spans="6:12" ht="12.5">
      <c r="F641" s="86"/>
      <c r="G641" s="86"/>
      <c r="H641" s="86"/>
      <c r="I641" s="65"/>
      <c r="J641" s="65"/>
      <c r="K641" s="87"/>
      <c r="L641" s="88"/>
    </row>
    <row r="642" spans="6:12" ht="12.5">
      <c r="F642" s="86"/>
      <c r="G642" s="86"/>
      <c r="H642" s="86"/>
      <c r="I642" s="65"/>
      <c r="J642" s="65"/>
      <c r="K642" s="87"/>
      <c r="L642" s="88"/>
    </row>
    <row r="643" spans="6:12" ht="12.5">
      <c r="F643" s="86"/>
      <c r="G643" s="86"/>
      <c r="H643" s="86"/>
      <c r="I643" s="65"/>
      <c r="J643" s="65"/>
      <c r="K643" s="87"/>
      <c r="L643" s="88"/>
    </row>
    <row r="644" spans="6:12" ht="12.5">
      <c r="F644" s="86"/>
      <c r="G644" s="86"/>
      <c r="H644" s="86"/>
      <c r="I644" s="65"/>
      <c r="J644" s="65"/>
      <c r="K644" s="87"/>
      <c r="L644" s="88"/>
    </row>
    <row r="645" spans="6:12" ht="12.5">
      <c r="F645" s="86"/>
      <c r="G645" s="86"/>
      <c r="H645" s="86"/>
      <c r="I645" s="65"/>
      <c r="J645" s="65"/>
      <c r="K645" s="87"/>
      <c r="L645" s="88"/>
    </row>
    <row r="646" spans="6:12" ht="12.5">
      <c r="F646" s="86"/>
      <c r="G646" s="86"/>
      <c r="H646" s="86"/>
      <c r="I646" s="65"/>
      <c r="J646" s="65"/>
      <c r="K646" s="87"/>
      <c r="L646" s="88"/>
    </row>
    <row r="647" spans="6:12" ht="12.5">
      <c r="F647" s="86"/>
      <c r="G647" s="86"/>
      <c r="H647" s="86"/>
      <c r="I647" s="65"/>
      <c r="J647" s="65"/>
      <c r="K647" s="87"/>
      <c r="L647" s="88"/>
    </row>
    <row r="648" spans="6:12" ht="12.5">
      <c r="F648" s="86"/>
      <c r="G648" s="86"/>
      <c r="H648" s="86"/>
      <c r="I648" s="65"/>
      <c r="J648" s="65"/>
      <c r="K648" s="87"/>
      <c r="L648" s="88"/>
    </row>
    <row r="649" spans="6:12" ht="12.5">
      <c r="F649" s="86"/>
      <c r="G649" s="86"/>
      <c r="H649" s="86"/>
      <c r="I649" s="65"/>
      <c r="J649" s="65"/>
      <c r="K649" s="87"/>
      <c r="L649" s="88"/>
    </row>
    <row r="650" spans="6:12" ht="12.5">
      <c r="F650" s="86"/>
      <c r="G650" s="86"/>
      <c r="H650" s="86"/>
      <c r="I650" s="65"/>
      <c r="J650" s="65"/>
      <c r="K650" s="87"/>
      <c r="L650" s="88"/>
    </row>
    <row r="651" spans="6:12" ht="12.5">
      <c r="F651" s="86"/>
      <c r="G651" s="86"/>
      <c r="H651" s="86"/>
      <c r="I651" s="65"/>
      <c r="J651" s="65"/>
      <c r="K651" s="87"/>
      <c r="L651" s="88"/>
    </row>
    <row r="652" spans="6:12" ht="12.5">
      <c r="F652" s="86"/>
      <c r="G652" s="86"/>
      <c r="H652" s="86"/>
      <c r="I652" s="65"/>
      <c r="J652" s="65"/>
      <c r="K652" s="87"/>
      <c r="L652" s="88"/>
    </row>
    <row r="653" spans="6:12" ht="12.5">
      <c r="F653" s="86"/>
      <c r="G653" s="86"/>
      <c r="H653" s="86"/>
      <c r="I653" s="65"/>
      <c r="J653" s="65"/>
      <c r="K653" s="87"/>
      <c r="L653" s="88"/>
    </row>
    <row r="654" spans="6:12" ht="12.5">
      <c r="F654" s="86"/>
      <c r="G654" s="86"/>
      <c r="H654" s="86"/>
      <c r="I654" s="65"/>
      <c r="J654" s="65"/>
      <c r="K654" s="87"/>
      <c r="L654" s="88"/>
    </row>
    <row r="655" spans="6:12" ht="12.5">
      <c r="F655" s="86"/>
      <c r="G655" s="86"/>
      <c r="H655" s="86"/>
      <c r="I655" s="65"/>
      <c r="J655" s="65"/>
      <c r="K655" s="87"/>
      <c r="L655" s="88"/>
    </row>
    <row r="656" spans="6:12" ht="12.5">
      <c r="F656" s="86"/>
      <c r="G656" s="86"/>
      <c r="H656" s="86"/>
      <c r="I656" s="65"/>
      <c r="J656" s="65"/>
      <c r="K656" s="87"/>
      <c r="L656" s="88"/>
    </row>
    <row r="657" spans="6:12" ht="12.5">
      <c r="F657" s="86"/>
      <c r="G657" s="86"/>
      <c r="H657" s="86"/>
      <c r="I657" s="65"/>
      <c r="J657" s="65"/>
      <c r="K657" s="87"/>
      <c r="L657" s="88"/>
    </row>
    <row r="658" spans="6:12" ht="12.5">
      <c r="F658" s="86"/>
      <c r="G658" s="86"/>
      <c r="H658" s="86"/>
      <c r="I658" s="65"/>
      <c r="J658" s="65"/>
      <c r="K658" s="87"/>
      <c r="L658" s="88"/>
    </row>
    <row r="659" spans="6:12" ht="12.5">
      <c r="F659" s="86"/>
      <c r="G659" s="86"/>
      <c r="H659" s="86"/>
      <c r="I659" s="65"/>
      <c r="J659" s="65"/>
      <c r="K659" s="87"/>
      <c r="L659" s="88"/>
    </row>
    <row r="660" spans="6:12" ht="12.5">
      <c r="F660" s="86"/>
      <c r="G660" s="86"/>
      <c r="H660" s="86"/>
      <c r="I660" s="65"/>
      <c r="J660" s="65"/>
      <c r="K660" s="87"/>
      <c r="L660" s="88"/>
    </row>
    <row r="661" spans="6:12" ht="12.5">
      <c r="F661" s="86"/>
      <c r="G661" s="86"/>
      <c r="H661" s="86"/>
      <c r="I661" s="65"/>
      <c r="J661" s="65"/>
      <c r="K661" s="87"/>
      <c r="L661" s="88"/>
    </row>
    <row r="662" spans="6:12" ht="12.5">
      <c r="F662" s="86"/>
      <c r="G662" s="86"/>
      <c r="H662" s="86"/>
      <c r="I662" s="65"/>
      <c r="J662" s="65"/>
      <c r="K662" s="87"/>
      <c r="L662" s="88"/>
    </row>
    <row r="663" spans="6:12" ht="12.5">
      <c r="F663" s="86"/>
      <c r="G663" s="86"/>
      <c r="H663" s="86"/>
      <c r="I663" s="65"/>
      <c r="J663" s="65"/>
      <c r="K663" s="87"/>
      <c r="L663" s="88"/>
    </row>
    <row r="664" spans="6:12" ht="12.5">
      <c r="F664" s="86"/>
      <c r="G664" s="86"/>
      <c r="H664" s="86"/>
      <c r="I664" s="65"/>
      <c r="J664" s="65"/>
      <c r="K664" s="87"/>
      <c r="L664" s="88"/>
    </row>
    <row r="665" spans="6:12" ht="12.5">
      <c r="F665" s="86"/>
      <c r="G665" s="86"/>
      <c r="H665" s="86"/>
      <c r="I665" s="65"/>
      <c r="J665" s="65"/>
      <c r="K665" s="87"/>
      <c r="L665" s="88"/>
    </row>
    <row r="666" spans="6:12" ht="12.5">
      <c r="F666" s="86"/>
      <c r="G666" s="86"/>
      <c r="H666" s="86"/>
      <c r="I666" s="65"/>
      <c r="J666" s="65"/>
      <c r="K666" s="87"/>
      <c r="L666" s="88"/>
    </row>
    <row r="667" spans="6:12" ht="12.5">
      <c r="F667" s="86"/>
      <c r="G667" s="86"/>
      <c r="H667" s="86"/>
      <c r="I667" s="65"/>
      <c r="J667" s="65"/>
      <c r="K667" s="87"/>
      <c r="L667" s="88"/>
    </row>
    <row r="668" spans="6:12" ht="12.5">
      <c r="F668" s="86"/>
      <c r="G668" s="86"/>
      <c r="H668" s="86"/>
      <c r="I668" s="65"/>
      <c r="J668" s="65"/>
      <c r="K668" s="87"/>
      <c r="L668" s="88"/>
    </row>
    <row r="669" spans="6:12" ht="12.5">
      <c r="F669" s="86"/>
      <c r="G669" s="86"/>
      <c r="H669" s="86"/>
      <c r="I669" s="65"/>
      <c r="J669" s="65"/>
      <c r="K669" s="87"/>
      <c r="L669" s="88"/>
    </row>
    <row r="670" spans="6:12" ht="12.5">
      <c r="F670" s="86"/>
      <c r="G670" s="86"/>
      <c r="H670" s="86"/>
      <c r="I670" s="65"/>
      <c r="J670" s="65"/>
      <c r="K670" s="87"/>
      <c r="L670" s="88"/>
    </row>
    <row r="671" spans="6:12" ht="12.5">
      <c r="F671" s="86"/>
      <c r="G671" s="86"/>
      <c r="H671" s="86"/>
      <c r="I671" s="65"/>
      <c r="J671" s="65"/>
      <c r="K671" s="87"/>
      <c r="L671" s="88"/>
    </row>
    <row r="672" spans="6:12" ht="12.5">
      <c r="F672" s="86"/>
      <c r="G672" s="86"/>
      <c r="H672" s="86"/>
      <c r="I672" s="65"/>
      <c r="J672" s="65"/>
      <c r="K672" s="87"/>
      <c r="L672" s="88"/>
    </row>
    <row r="673" spans="6:12" ht="12.5">
      <c r="F673" s="86"/>
      <c r="G673" s="86"/>
      <c r="H673" s="86"/>
      <c r="I673" s="65"/>
      <c r="J673" s="65"/>
      <c r="K673" s="87"/>
      <c r="L673" s="88"/>
    </row>
    <row r="674" spans="6:12" ht="12.5">
      <c r="F674" s="86"/>
      <c r="G674" s="86"/>
      <c r="H674" s="86"/>
      <c r="I674" s="65"/>
      <c r="J674" s="65"/>
      <c r="K674" s="87"/>
      <c r="L674" s="88"/>
    </row>
    <row r="675" spans="6:12" ht="12.5">
      <c r="F675" s="86"/>
      <c r="G675" s="86"/>
      <c r="H675" s="86"/>
      <c r="I675" s="65"/>
      <c r="J675" s="65"/>
      <c r="K675" s="87"/>
      <c r="L675" s="88"/>
    </row>
    <row r="676" spans="6:12" ht="12.5">
      <c r="F676" s="86"/>
      <c r="G676" s="86"/>
      <c r="H676" s="86"/>
      <c r="I676" s="65"/>
      <c r="J676" s="65"/>
      <c r="K676" s="87"/>
      <c r="L676" s="88"/>
    </row>
    <row r="677" spans="6:12" ht="12.5">
      <c r="F677" s="86"/>
      <c r="G677" s="86"/>
      <c r="H677" s="86"/>
      <c r="I677" s="65"/>
      <c r="J677" s="65"/>
      <c r="K677" s="87"/>
      <c r="L677" s="88"/>
    </row>
    <row r="678" spans="6:12" ht="12.5">
      <c r="F678" s="86"/>
      <c r="G678" s="86"/>
      <c r="H678" s="86"/>
      <c r="I678" s="65"/>
      <c r="J678" s="65"/>
      <c r="K678" s="87"/>
      <c r="L678" s="88"/>
    </row>
    <row r="679" spans="6:12" ht="12.5">
      <c r="F679" s="86"/>
      <c r="G679" s="86"/>
      <c r="H679" s="86"/>
      <c r="I679" s="65"/>
      <c r="J679" s="65"/>
      <c r="K679" s="87"/>
      <c r="L679" s="88"/>
    </row>
    <row r="680" spans="6:12" ht="12.5">
      <c r="F680" s="86"/>
      <c r="G680" s="86"/>
      <c r="H680" s="86"/>
      <c r="I680" s="65"/>
      <c r="J680" s="65"/>
      <c r="K680" s="87"/>
      <c r="L680" s="88"/>
    </row>
    <row r="681" spans="6:12" ht="12.5">
      <c r="F681" s="86"/>
      <c r="G681" s="86"/>
      <c r="H681" s="86"/>
      <c r="I681" s="65"/>
      <c r="J681" s="65"/>
      <c r="K681" s="87"/>
      <c r="L681" s="88"/>
    </row>
    <row r="682" spans="6:12" ht="12.5">
      <c r="F682" s="86"/>
      <c r="G682" s="86"/>
      <c r="H682" s="86"/>
      <c r="I682" s="65"/>
      <c r="J682" s="65"/>
      <c r="K682" s="87"/>
      <c r="L682" s="88"/>
    </row>
    <row r="683" spans="6:12" ht="12.5">
      <c r="F683" s="86"/>
      <c r="G683" s="86"/>
      <c r="H683" s="86"/>
      <c r="I683" s="65"/>
      <c r="J683" s="65"/>
      <c r="K683" s="87"/>
      <c r="L683" s="88"/>
    </row>
    <row r="684" spans="6:12" ht="12.5">
      <c r="F684" s="86"/>
      <c r="G684" s="86"/>
      <c r="H684" s="86"/>
      <c r="I684" s="65"/>
      <c r="J684" s="65"/>
      <c r="K684" s="87"/>
      <c r="L684" s="88"/>
    </row>
    <row r="685" spans="6:12" ht="12.5">
      <c r="F685" s="86"/>
      <c r="G685" s="86"/>
      <c r="H685" s="86"/>
      <c r="I685" s="65"/>
      <c r="J685" s="65"/>
      <c r="K685" s="87"/>
      <c r="L685" s="88"/>
    </row>
    <row r="686" spans="6:12" ht="12.5">
      <c r="F686" s="86"/>
      <c r="G686" s="86"/>
      <c r="H686" s="86"/>
      <c r="I686" s="65"/>
      <c r="J686" s="65"/>
      <c r="K686" s="87"/>
      <c r="L686" s="88"/>
    </row>
    <row r="687" spans="6:12" ht="12.5">
      <c r="F687" s="86"/>
      <c r="G687" s="86"/>
      <c r="H687" s="86"/>
      <c r="I687" s="65"/>
      <c r="J687" s="65"/>
      <c r="K687" s="87"/>
      <c r="L687" s="88"/>
    </row>
    <row r="688" spans="6:12" ht="12.5">
      <c r="F688" s="86"/>
      <c r="G688" s="86"/>
      <c r="H688" s="86"/>
      <c r="I688" s="65"/>
      <c r="J688" s="65"/>
      <c r="K688" s="87"/>
      <c r="L688" s="88"/>
    </row>
    <row r="689" spans="6:12" ht="12.5">
      <c r="F689" s="86"/>
      <c r="G689" s="86"/>
      <c r="H689" s="86"/>
      <c r="I689" s="65"/>
      <c r="J689" s="65"/>
      <c r="K689" s="87"/>
      <c r="L689" s="88"/>
    </row>
    <row r="690" spans="6:12" ht="12.5">
      <c r="F690" s="86"/>
      <c r="G690" s="86"/>
      <c r="H690" s="86"/>
      <c r="I690" s="65"/>
      <c r="J690" s="65"/>
      <c r="K690" s="87"/>
      <c r="L690" s="88"/>
    </row>
    <row r="691" spans="6:12" ht="12.5">
      <c r="F691" s="86"/>
      <c r="G691" s="86"/>
      <c r="H691" s="86"/>
      <c r="I691" s="65"/>
      <c r="J691" s="65"/>
      <c r="K691" s="87"/>
      <c r="L691" s="88"/>
    </row>
    <row r="692" spans="6:12" ht="12.5">
      <c r="F692" s="86"/>
      <c r="G692" s="86"/>
      <c r="H692" s="86"/>
      <c r="I692" s="65"/>
      <c r="J692" s="65"/>
      <c r="K692" s="87"/>
      <c r="L692" s="88"/>
    </row>
    <row r="693" spans="6:12" ht="12.5">
      <c r="F693" s="86"/>
      <c r="G693" s="86"/>
      <c r="H693" s="86"/>
      <c r="I693" s="65"/>
      <c r="J693" s="65"/>
      <c r="K693" s="87"/>
      <c r="L693" s="88"/>
    </row>
    <row r="694" spans="6:12" ht="12.5">
      <c r="F694" s="86"/>
      <c r="G694" s="86"/>
      <c r="H694" s="86"/>
      <c r="I694" s="65"/>
      <c r="J694" s="65"/>
      <c r="K694" s="87"/>
      <c r="L694" s="88"/>
    </row>
    <row r="695" spans="6:12" ht="12.5">
      <c r="F695" s="86"/>
      <c r="G695" s="86"/>
      <c r="H695" s="86"/>
      <c r="I695" s="65"/>
      <c r="J695" s="65"/>
      <c r="K695" s="87"/>
      <c r="L695" s="88"/>
    </row>
    <row r="696" spans="6:12" ht="12.5">
      <c r="F696" s="86"/>
      <c r="G696" s="86"/>
      <c r="H696" s="86"/>
      <c r="I696" s="65"/>
      <c r="J696" s="65"/>
      <c r="K696" s="87"/>
      <c r="L696" s="88"/>
    </row>
    <row r="697" spans="6:12" ht="12.5">
      <c r="F697" s="86"/>
      <c r="G697" s="86"/>
      <c r="H697" s="86"/>
      <c r="I697" s="65"/>
      <c r="J697" s="65"/>
      <c r="K697" s="87"/>
      <c r="L697" s="88"/>
    </row>
    <row r="698" spans="6:12" ht="12.5">
      <c r="F698" s="86"/>
      <c r="G698" s="86"/>
      <c r="H698" s="86"/>
      <c r="I698" s="65"/>
      <c r="J698" s="65"/>
      <c r="K698" s="87"/>
      <c r="L698" s="88"/>
    </row>
    <row r="699" spans="6:12" ht="12.5">
      <c r="F699" s="86"/>
      <c r="G699" s="86"/>
      <c r="H699" s="86"/>
      <c r="I699" s="65"/>
      <c r="J699" s="65"/>
      <c r="K699" s="87"/>
      <c r="L699" s="88"/>
    </row>
    <row r="700" spans="6:12" ht="12.5">
      <c r="F700" s="86"/>
      <c r="G700" s="86"/>
      <c r="H700" s="86"/>
      <c r="I700" s="65"/>
      <c r="J700" s="65"/>
      <c r="K700" s="87"/>
      <c r="L700" s="88"/>
    </row>
    <row r="701" spans="6:12" ht="12.5">
      <c r="F701" s="86"/>
      <c r="G701" s="86"/>
      <c r="H701" s="86"/>
      <c r="I701" s="65"/>
      <c r="J701" s="65"/>
      <c r="K701" s="87"/>
      <c r="L701" s="88"/>
    </row>
    <row r="702" spans="6:12" ht="12.5">
      <c r="F702" s="86"/>
      <c r="G702" s="86"/>
      <c r="H702" s="86"/>
      <c r="I702" s="65"/>
      <c r="J702" s="65"/>
      <c r="K702" s="87"/>
      <c r="L702" s="88"/>
    </row>
    <row r="703" spans="6:12" ht="12.5">
      <c r="F703" s="86"/>
      <c r="G703" s="86"/>
      <c r="H703" s="86"/>
      <c r="I703" s="65"/>
      <c r="J703" s="65"/>
      <c r="K703" s="87"/>
      <c r="L703" s="88"/>
    </row>
    <row r="704" spans="6:12" ht="12.5">
      <c r="F704" s="86"/>
      <c r="G704" s="86"/>
      <c r="H704" s="86"/>
      <c r="I704" s="65"/>
      <c r="J704" s="65"/>
      <c r="K704" s="87"/>
      <c r="L704" s="88"/>
    </row>
    <row r="705" spans="6:12" ht="12.5">
      <c r="F705" s="86"/>
      <c r="G705" s="86"/>
      <c r="H705" s="86"/>
      <c r="I705" s="65"/>
      <c r="J705" s="65"/>
      <c r="K705" s="87"/>
      <c r="L705" s="88"/>
    </row>
    <row r="706" spans="6:12" ht="12.5">
      <c r="F706" s="86"/>
      <c r="G706" s="86"/>
      <c r="H706" s="86"/>
      <c r="I706" s="65"/>
      <c r="J706" s="65"/>
      <c r="K706" s="87"/>
      <c r="L706" s="88"/>
    </row>
    <row r="707" spans="6:12" ht="12.5">
      <c r="F707" s="86"/>
      <c r="G707" s="86"/>
      <c r="H707" s="86"/>
      <c r="I707" s="65"/>
      <c r="J707" s="65"/>
      <c r="K707" s="87"/>
      <c r="L707" s="88"/>
    </row>
    <row r="708" spans="6:12" ht="12.5">
      <c r="F708" s="86"/>
      <c r="G708" s="86"/>
      <c r="H708" s="86"/>
      <c r="I708" s="65"/>
      <c r="J708" s="65"/>
      <c r="K708" s="87"/>
      <c r="L708" s="88"/>
    </row>
    <row r="709" spans="6:12" ht="12.5">
      <c r="F709" s="86"/>
      <c r="G709" s="86"/>
      <c r="H709" s="86"/>
      <c r="I709" s="65"/>
      <c r="J709" s="65"/>
      <c r="K709" s="87"/>
      <c r="L709" s="88"/>
    </row>
    <row r="710" spans="6:12" ht="12.5">
      <c r="F710" s="86"/>
      <c r="G710" s="86"/>
      <c r="H710" s="86"/>
      <c r="I710" s="65"/>
      <c r="J710" s="65"/>
      <c r="K710" s="87"/>
      <c r="L710" s="88"/>
    </row>
    <row r="711" spans="6:12" ht="12.5">
      <c r="F711" s="86"/>
      <c r="G711" s="86"/>
      <c r="H711" s="86"/>
      <c r="I711" s="65"/>
      <c r="J711" s="65"/>
      <c r="K711" s="87"/>
      <c r="L711" s="88"/>
    </row>
    <row r="712" spans="6:12" ht="12.5">
      <c r="F712" s="86"/>
      <c r="G712" s="86"/>
      <c r="H712" s="86"/>
      <c r="I712" s="65"/>
      <c r="J712" s="65"/>
      <c r="K712" s="87"/>
      <c r="L712" s="88"/>
    </row>
    <row r="713" spans="6:12" ht="12.5">
      <c r="F713" s="86"/>
      <c r="G713" s="86"/>
      <c r="H713" s="86"/>
      <c r="I713" s="65"/>
      <c r="J713" s="65"/>
      <c r="K713" s="87"/>
      <c r="L713" s="88"/>
    </row>
    <row r="714" spans="6:12" ht="12.5">
      <c r="F714" s="86"/>
      <c r="G714" s="86"/>
      <c r="H714" s="86"/>
      <c r="I714" s="65"/>
      <c r="J714" s="65"/>
      <c r="K714" s="87"/>
      <c r="L714" s="88"/>
    </row>
    <row r="715" spans="6:12" ht="12.5">
      <c r="F715" s="86"/>
      <c r="G715" s="86"/>
      <c r="H715" s="86"/>
      <c r="I715" s="65"/>
      <c r="J715" s="65"/>
      <c r="K715" s="87"/>
      <c r="L715" s="88"/>
    </row>
    <row r="716" spans="6:12" ht="12.5">
      <c r="F716" s="86"/>
      <c r="G716" s="86"/>
      <c r="H716" s="86"/>
      <c r="I716" s="65"/>
      <c r="J716" s="65"/>
      <c r="K716" s="87"/>
      <c r="L716" s="88"/>
    </row>
    <row r="717" spans="6:12" ht="12.5">
      <c r="F717" s="86"/>
      <c r="G717" s="86"/>
      <c r="H717" s="86"/>
      <c r="I717" s="65"/>
      <c r="J717" s="65"/>
      <c r="K717" s="87"/>
      <c r="L717" s="88"/>
    </row>
    <row r="718" spans="6:12" ht="12.5">
      <c r="F718" s="86"/>
      <c r="G718" s="86"/>
      <c r="H718" s="86"/>
      <c r="I718" s="65"/>
      <c r="J718" s="65"/>
      <c r="K718" s="87"/>
      <c r="L718" s="88"/>
    </row>
    <row r="719" spans="6:12" ht="12.5">
      <c r="F719" s="86"/>
      <c r="G719" s="86"/>
      <c r="H719" s="86"/>
      <c r="I719" s="65"/>
      <c r="J719" s="65"/>
      <c r="K719" s="87"/>
      <c r="L719" s="88"/>
    </row>
    <row r="720" spans="6:12" ht="12.5">
      <c r="F720" s="86"/>
      <c r="G720" s="86"/>
      <c r="H720" s="86"/>
      <c r="I720" s="65"/>
      <c r="J720" s="65"/>
      <c r="K720" s="87"/>
      <c r="L720" s="88"/>
    </row>
    <row r="721" spans="6:12" ht="12.5">
      <c r="F721" s="86"/>
      <c r="G721" s="86"/>
      <c r="H721" s="86"/>
      <c r="I721" s="65"/>
      <c r="J721" s="65"/>
      <c r="K721" s="87"/>
      <c r="L721" s="88"/>
    </row>
    <row r="722" spans="6:12" ht="12.5">
      <c r="F722" s="86"/>
      <c r="G722" s="86"/>
      <c r="H722" s="86"/>
      <c r="I722" s="65"/>
      <c r="J722" s="65"/>
      <c r="K722" s="87"/>
      <c r="L722" s="88"/>
    </row>
    <row r="723" spans="6:12" ht="12.5">
      <c r="F723" s="86"/>
      <c r="G723" s="86"/>
      <c r="H723" s="86"/>
      <c r="I723" s="65"/>
      <c r="J723" s="65"/>
      <c r="K723" s="87"/>
      <c r="L723" s="88"/>
    </row>
    <row r="724" spans="6:12" ht="12.5">
      <c r="F724" s="86"/>
      <c r="G724" s="86"/>
      <c r="H724" s="86"/>
      <c r="I724" s="65"/>
      <c r="J724" s="65"/>
      <c r="K724" s="87"/>
      <c r="L724" s="88"/>
    </row>
    <row r="725" spans="6:12" ht="12.5">
      <c r="F725" s="86"/>
      <c r="G725" s="86"/>
      <c r="H725" s="86"/>
      <c r="I725" s="65"/>
      <c r="J725" s="65"/>
      <c r="K725" s="87"/>
      <c r="L725" s="88"/>
    </row>
    <row r="726" spans="6:12" ht="12.5">
      <c r="F726" s="86"/>
      <c r="G726" s="86"/>
      <c r="H726" s="86"/>
      <c r="I726" s="65"/>
      <c r="J726" s="65"/>
      <c r="K726" s="87"/>
      <c r="L726" s="88"/>
    </row>
    <row r="727" spans="6:12" ht="12.5">
      <c r="F727" s="86"/>
      <c r="G727" s="86"/>
      <c r="H727" s="86"/>
      <c r="I727" s="65"/>
      <c r="J727" s="65"/>
      <c r="K727" s="87"/>
      <c r="L727" s="88"/>
    </row>
    <row r="728" spans="6:12" ht="12.5">
      <c r="F728" s="86"/>
      <c r="G728" s="86"/>
      <c r="H728" s="86"/>
      <c r="I728" s="65"/>
      <c r="J728" s="65"/>
      <c r="K728" s="87"/>
      <c r="L728" s="88"/>
    </row>
    <row r="729" spans="6:12" ht="12.5">
      <c r="F729" s="86"/>
      <c r="G729" s="86"/>
      <c r="H729" s="86"/>
      <c r="I729" s="65"/>
      <c r="J729" s="65"/>
      <c r="K729" s="87"/>
      <c r="L729" s="88"/>
    </row>
    <row r="730" spans="6:12" ht="12.5">
      <c r="F730" s="86"/>
      <c r="G730" s="86"/>
      <c r="H730" s="86"/>
      <c r="I730" s="65"/>
      <c r="J730" s="65"/>
      <c r="K730" s="87"/>
      <c r="L730" s="88"/>
    </row>
    <row r="731" spans="6:12" ht="12.5">
      <c r="F731" s="86"/>
      <c r="G731" s="86"/>
      <c r="H731" s="86"/>
      <c r="I731" s="65"/>
      <c r="J731" s="65"/>
      <c r="K731" s="87"/>
      <c r="L731" s="88"/>
    </row>
    <row r="732" spans="6:12" ht="12.5">
      <c r="F732" s="86"/>
      <c r="G732" s="86"/>
      <c r="H732" s="86"/>
      <c r="I732" s="65"/>
      <c r="J732" s="65"/>
      <c r="K732" s="87"/>
      <c r="L732" s="88"/>
    </row>
    <row r="733" spans="6:12" ht="12.5">
      <c r="F733" s="86"/>
      <c r="G733" s="86"/>
      <c r="H733" s="86"/>
      <c r="I733" s="65"/>
      <c r="J733" s="65"/>
      <c r="K733" s="87"/>
      <c r="L733" s="88"/>
    </row>
    <row r="734" spans="6:12" ht="12.5">
      <c r="F734" s="86"/>
      <c r="G734" s="86"/>
      <c r="H734" s="86"/>
      <c r="I734" s="65"/>
      <c r="J734" s="65"/>
      <c r="K734" s="87"/>
      <c r="L734" s="88"/>
    </row>
    <row r="735" spans="6:12" ht="12.5">
      <c r="F735" s="86"/>
      <c r="G735" s="86"/>
      <c r="H735" s="86"/>
      <c r="I735" s="65"/>
      <c r="J735" s="65"/>
      <c r="K735" s="87"/>
      <c r="L735" s="88"/>
    </row>
    <row r="736" spans="6:12" ht="12.5">
      <c r="F736" s="86"/>
      <c r="G736" s="86"/>
      <c r="H736" s="86"/>
      <c r="I736" s="65"/>
      <c r="J736" s="65"/>
      <c r="K736" s="87"/>
      <c r="L736" s="88"/>
    </row>
    <row r="737" spans="6:12" ht="12.5">
      <c r="F737" s="86"/>
      <c r="G737" s="86"/>
      <c r="H737" s="86"/>
      <c r="I737" s="65"/>
      <c r="J737" s="65"/>
      <c r="K737" s="87"/>
      <c r="L737" s="88"/>
    </row>
    <row r="738" spans="6:12" ht="12.5">
      <c r="F738" s="86"/>
      <c r="G738" s="86"/>
      <c r="H738" s="86"/>
      <c r="I738" s="65"/>
      <c r="J738" s="65"/>
      <c r="K738" s="87"/>
      <c r="L738" s="88"/>
    </row>
    <row r="739" spans="6:12" ht="12.5">
      <c r="F739" s="86"/>
      <c r="G739" s="86"/>
      <c r="H739" s="86"/>
      <c r="I739" s="65"/>
      <c r="J739" s="65"/>
      <c r="K739" s="87"/>
      <c r="L739" s="88"/>
    </row>
    <row r="740" spans="6:12" ht="12.5">
      <c r="F740" s="86"/>
      <c r="G740" s="86"/>
      <c r="H740" s="86"/>
      <c r="I740" s="65"/>
      <c r="J740" s="65"/>
      <c r="K740" s="87"/>
      <c r="L740" s="88"/>
    </row>
    <row r="741" spans="6:12" ht="12.5">
      <c r="F741" s="86"/>
      <c r="G741" s="86"/>
      <c r="H741" s="86"/>
      <c r="I741" s="65"/>
      <c r="J741" s="65"/>
      <c r="K741" s="87"/>
      <c r="L741" s="88"/>
    </row>
    <row r="742" spans="6:12" ht="12.5">
      <c r="F742" s="86"/>
      <c r="G742" s="86"/>
      <c r="H742" s="86"/>
      <c r="I742" s="65"/>
      <c r="J742" s="65"/>
      <c r="K742" s="87"/>
      <c r="L742" s="88"/>
    </row>
    <row r="743" spans="6:12" ht="12.5">
      <c r="F743" s="86"/>
      <c r="G743" s="86"/>
      <c r="H743" s="86"/>
      <c r="I743" s="65"/>
      <c r="J743" s="65"/>
      <c r="K743" s="87"/>
      <c r="L743" s="88"/>
    </row>
    <row r="744" spans="6:12" ht="12.5">
      <c r="F744" s="86"/>
      <c r="G744" s="86"/>
      <c r="H744" s="86"/>
      <c r="I744" s="65"/>
      <c r="J744" s="65"/>
      <c r="K744" s="87"/>
      <c r="L744" s="88"/>
    </row>
    <row r="745" spans="6:12" ht="12.5">
      <c r="F745" s="86"/>
      <c r="G745" s="86"/>
      <c r="H745" s="86"/>
      <c r="I745" s="65"/>
      <c r="J745" s="65"/>
      <c r="K745" s="87"/>
      <c r="L745" s="88"/>
    </row>
    <row r="746" spans="6:12" ht="12.5">
      <c r="F746" s="86"/>
      <c r="G746" s="86"/>
      <c r="H746" s="86"/>
      <c r="I746" s="65"/>
      <c r="J746" s="65"/>
      <c r="K746" s="87"/>
      <c r="L746" s="88"/>
    </row>
    <row r="747" spans="6:12" ht="12.5">
      <c r="F747" s="86"/>
      <c r="G747" s="86"/>
      <c r="H747" s="86"/>
      <c r="I747" s="65"/>
      <c r="J747" s="65"/>
      <c r="K747" s="87"/>
      <c r="L747" s="88"/>
    </row>
    <row r="748" spans="6:12" ht="12.5">
      <c r="F748" s="86"/>
      <c r="G748" s="86"/>
      <c r="H748" s="86"/>
      <c r="I748" s="65"/>
      <c r="J748" s="65"/>
      <c r="K748" s="87"/>
      <c r="L748" s="88"/>
    </row>
    <row r="749" spans="6:12" ht="12.5">
      <c r="F749" s="86"/>
      <c r="G749" s="86"/>
      <c r="H749" s="86"/>
      <c r="I749" s="65"/>
      <c r="J749" s="65"/>
      <c r="K749" s="87"/>
      <c r="L749" s="88"/>
    </row>
    <row r="750" spans="6:12" ht="12.5">
      <c r="F750" s="86"/>
      <c r="G750" s="86"/>
      <c r="H750" s="86"/>
      <c r="I750" s="65"/>
      <c r="J750" s="65"/>
      <c r="K750" s="87"/>
      <c r="L750" s="88"/>
    </row>
    <row r="751" spans="6:12" ht="12.5">
      <c r="F751" s="86"/>
      <c r="G751" s="86"/>
      <c r="H751" s="86"/>
      <c r="I751" s="65"/>
      <c r="J751" s="65"/>
      <c r="K751" s="87"/>
      <c r="L751" s="88"/>
    </row>
    <row r="752" spans="6:12" ht="12.5">
      <c r="F752" s="86"/>
      <c r="G752" s="86"/>
      <c r="H752" s="86"/>
      <c r="I752" s="65"/>
      <c r="J752" s="65"/>
      <c r="K752" s="87"/>
      <c r="L752" s="88"/>
    </row>
    <row r="753" spans="6:12" ht="12.5">
      <c r="F753" s="86"/>
      <c r="G753" s="86"/>
      <c r="H753" s="86"/>
      <c r="I753" s="65"/>
      <c r="J753" s="65"/>
      <c r="K753" s="87"/>
      <c r="L753" s="88"/>
    </row>
    <row r="754" spans="6:12" ht="12.5">
      <c r="F754" s="86"/>
      <c r="G754" s="86"/>
      <c r="H754" s="86"/>
      <c r="I754" s="65"/>
      <c r="J754" s="65"/>
      <c r="K754" s="87"/>
      <c r="L754" s="88"/>
    </row>
    <row r="755" spans="6:12" ht="12.5">
      <c r="F755" s="86"/>
      <c r="G755" s="86"/>
      <c r="H755" s="86"/>
      <c r="I755" s="65"/>
      <c r="J755" s="65"/>
      <c r="K755" s="87"/>
      <c r="L755" s="88"/>
    </row>
    <row r="756" spans="6:12" ht="12.5">
      <c r="F756" s="86"/>
      <c r="G756" s="86"/>
      <c r="H756" s="86"/>
      <c r="I756" s="65"/>
      <c r="J756" s="65"/>
      <c r="K756" s="87"/>
      <c r="L756" s="88"/>
    </row>
    <row r="757" spans="6:12" ht="12.5">
      <c r="F757" s="86"/>
      <c r="G757" s="86"/>
      <c r="H757" s="86"/>
      <c r="I757" s="65"/>
      <c r="J757" s="65"/>
      <c r="K757" s="87"/>
      <c r="L757" s="88"/>
    </row>
    <row r="758" spans="6:12" ht="12.5">
      <c r="F758" s="86"/>
      <c r="G758" s="86"/>
      <c r="H758" s="86"/>
      <c r="I758" s="65"/>
      <c r="J758" s="65"/>
      <c r="K758" s="87"/>
      <c r="L758" s="88"/>
    </row>
    <row r="759" spans="6:12" ht="12.5">
      <c r="F759" s="86"/>
      <c r="G759" s="86"/>
      <c r="H759" s="86"/>
      <c r="I759" s="65"/>
      <c r="J759" s="65"/>
      <c r="K759" s="87"/>
      <c r="L759" s="88"/>
    </row>
    <row r="760" spans="6:12" ht="12.5">
      <c r="F760" s="86"/>
      <c r="G760" s="86"/>
      <c r="H760" s="86"/>
      <c r="I760" s="65"/>
      <c r="J760" s="65"/>
      <c r="K760" s="87"/>
      <c r="L760" s="88"/>
    </row>
    <row r="761" spans="6:12" ht="12.5">
      <c r="F761" s="86"/>
      <c r="G761" s="86"/>
      <c r="H761" s="86"/>
      <c r="I761" s="65"/>
      <c r="J761" s="65"/>
      <c r="K761" s="87"/>
      <c r="L761" s="88"/>
    </row>
    <row r="762" spans="6:12" ht="12.5">
      <c r="F762" s="86"/>
      <c r="G762" s="86"/>
      <c r="H762" s="86"/>
      <c r="I762" s="65"/>
      <c r="J762" s="65"/>
      <c r="K762" s="87"/>
      <c r="L762" s="88"/>
    </row>
    <row r="763" spans="6:12" ht="12.5">
      <c r="F763" s="86"/>
      <c r="G763" s="86"/>
      <c r="H763" s="86"/>
      <c r="I763" s="65"/>
      <c r="J763" s="65"/>
      <c r="K763" s="87"/>
      <c r="L763" s="88"/>
    </row>
    <row r="764" spans="6:12" ht="12.5">
      <c r="F764" s="86"/>
      <c r="G764" s="86"/>
      <c r="H764" s="86"/>
      <c r="I764" s="65"/>
      <c r="J764" s="65"/>
      <c r="K764" s="87"/>
      <c r="L764" s="88"/>
    </row>
    <row r="765" spans="6:12" ht="12.5">
      <c r="F765" s="86"/>
      <c r="G765" s="86"/>
      <c r="H765" s="86"/>
      <c r="I765" s="65"/>
      <c r="J765" s="65"/>
      <c r="K765" s="87"/>
      <c r="L765" s="88"/>
    </row>
    <row r="766" spans="6:12" ht="12.5">
      <c r="F766" s="86"/>
      <c r="G766" s="86"/>
      <c r="H766" s="86"/>
      <c r="I766" s="65"/>
      <c r="J766" s="65"/>
      <c r="K766" s="87"/>
      <c r="L766" s="88"/>
    </row>
    <row r="767" spans="6:12" ht="12.5">
      <c r="F767" s="86"/>
      <c r="G767" s="86"/>
      <c r="H767" s="86"/>
      <c r="I767" s="65"/>
      <c r="J767" s="65"/>
      <c r="K767" s="87"/>
      <c r="L767" s="88"/>
    </row>
    <row r="768" spans="6:12" ht="12.5">
      <c r="F768" s="86"/>
      <c r="G768" s="86"/>
      <c r="H768" s="86"/>
      <c r="I768" s="65"/>
      <c r="J768" s="65"/>
      <c r="K768" s="87"/>
      <c r="L768" s="88"/>
    </row>
    <row r="769" spans="6:12" ht="12.5">
      <c r="F769" s="86"/>
      <c r="G769" s="86"/>
      <c r="H769" s="86"/>
      <c r="I769" s="65"/>
      <c r="J769" s="65"/>
      <c r="K769" s="87"/>
      <c r="L769" s="88"/>
    </row>
    <row r="770" spans="6:12" ht="12.5">
      <c r="F770" s="86"/>
      <c r="G770" s="86"/>
      <c r="H770" s="86"/>
      <c r="I770" s="65"/>
      <c r="J770" s="65"/>
      <c r="K770" s="87"/>
      <c r="L770" s="88"/>
    </row>
    <row r="771" spans="6:12" ht="12.5">
      <c r="F771" s="86"/>
      <c r="G771" s="86"/>
      <c r="H771" s="86"/>
      <c r="I771" s="65"/>
      <c r="J771" s="65"/>
      <c r="K771" s="87"/>
      <c r="L771" s="88"/>
    </row>
    <row r="772" spans="6:12" ht="12.5">
      <c r="F772" s="86"/>
      <c r="G772" s="86"/>
      <c r="H772" s="86"/>
      <c r="I772" s="65"/>
      <c r="J772" s="65"/>
      <c r="K772" s="87"/>
      <c r="L772" s="88"/>
    </row>
    <row r="773" spans="6:12" ht="12.5">
      <c r="F773" s="86"/>
      <c r="G773" s="86"/>
      <c r="H773" s="86"/>
      <c r="I773" s="65"/>
      <c r="J773" s="65"/>
      <c r="K773" s="87"/>
      <c r="L773" s="88"/>
    </row>
    <row r="774" spans="6:12" ht="12.5">
      <c r="F774" s="86"/>
      <c r="G774" s="86"/>
      <c r="H774" s="86"/>
      <c r="I774" s="65"/>
      <c r="J774" s="65"/>
      <c r="K774" s="87"/>
      <c r="L774" s="88"/>
    </row>
    <row r="775" spans="6:12" ht="12.5">
      <c r="F775" s="86"/>
      <c r="G775" s="86"/>
      <c r="H775" s="86"/>
      <c r="I775" s="65"/>
      <c r="J775" s="65"/>
      <c r="K775" s="87"/>
      <c r="L775" s="88"/>
    </row>
    <row r="776" spans="6:12" ht="12.5">
      <c r="F776" s="86"/>
      <c r="G776" s="86"/>
      <c r="H776" s="86"/>
      <c r="I776" s="65"/>
      <c r="J776" s="65"/>
      <c r="K776" s="87"/>
      <c r="L776" s="88"/>
    </row>
    <row r="777" spans="6:12" ht="12.5">
      <c r="F777" s="86"/>
      <c r="G777" s="86"/>
      <c r="H777" s="86"/>
      <c r="I777" s="65"/>
      <c r="J777" s="65"/>
      <c r="K777" s="87"/>
      <c r="L777" s="88"/>
    </row>
    <row r="778" spans="6:12" ht="12.5">
      <c r="F778" s="86"/>
      <c r="G778" s="86"/>
      <c r="H778" s="86"/>
      <c r="I778" s="65"/>
      <c r="J778" s="65"/>
      <c r="K778" s="87"/>
      <c r="L778" s="88"/>
    </row>
    <row r="779" spans="6:12" ht="12.5">
      <c r="F779" s="86"/>
      <c r="G779" s="86"/>
      <c r="H779" s="86"/>
      <c r="I779" s="65"/>
      <c r="J779" s="65"/>
      <c r="K779" s="87"/>
      <c r="L779" s="88"/>
    </row>
    <row r="780" spans="6:12" ht="12.5">
      <c r="F780" s="86"/>
      <c r="G780" s="86"/>
      <c r="H780" s="86"/>
      <c r="I780" s="65"/>
      <c r="J780" s="65"/>
      <c r="K780" s="87"/>
      <c r="L780" s="88"/>
    </row>
    <row r="781" spans="6:12" ht="12.5">
      <c r="F781" s="86"/>
      <c r="G781" s="86"/>
      <c r="H781" s="86"/>
      <c r="I781" s="65"/>
      <c r="J781" s="65"/>
      <c r="K781" s="87"/>
      <c r="L781" s="88"/>
    </row>
    <row r="782" spans="6:12" ht="12.5">
      <c r="F782" s="86"/>
      <c r="G782" s="86"/>
      <c r="H782" s="86"/>
      <c r="I782" s="65"/>
      <c r="J782" s="65"/>
      <c r="K782" s="87"/>
      <c r="L782" s="88"/>
    </row>
    <row r="783" spans="6:12" ht="12.5">
      <c r="F783" s="86"/>
      <c r="G783" s="86"/>
      <c r="H783" s="86"/>
      <c r="I783" s="65"/>
      <c r="J783" s="65"/>
      <c r="K783" s="87"/>
      <c r="L783" s="88"/>
    </row>
    <row r="784" spans="6:12" ht="12.5">
      <c r="F784" s="86"/>
      <c r="G784" s="86"/>
      <c r="H784" s="86"/>
      <c r="I784" s="65"/>
      <c r="J784" s="65"/>
      <c r="K784" s="87"/>
      <c r="L784" s="88"/>
    </row>
    <row r="785" spans="6:12" ht="12.5">
      <c r="F785" s="86"/>
      <c r="G785" s="86"/>
      <c r="H785" s="86"/>
      <c r="I785" s="65"/>
      <c r="J785" s="65"/>
      <c r="K785" s="87"/>
      <c r="L785" s="88"/>
    </row>
    <row r="786" spans="6:12" ht="12.5">
      <c r="F786" s="86"/>
      <c r="G786" s="86"/>
      <c r="H786" s="86"/>
      <c r="I786" s="65"/>
      <c r="J786" s="65"/>
      <c r="K786" s="87"/>
      <c r="L786" s="88"/>
    </row>
    <row r="787" spans="6:12" ht="12.5">
      <c r="F787" s="86"/>
      <c r="G787" s="86"/>
      <c r="H787" s="86"/>
      <c r="I787" s="65"/>
      <c r="J787" s="65"/>
      <c r="K787" s="87"/>
      <c r="L787" s="88"/>
    </row>
    <row r="788" spans="6:12" ht="12.5">
      <c r="F788" s="86"/>
      <c r="G788" s="86"/>
      <c r="H788" s="86"/>
      <c r="I788" s="65"/>
      <c r="J788" s="65"/>
      <c r="K788" s="87"/>
      <c r="L788" s="88"/>
    </row>
    <row r="789" spans="6:12" ht="12.5">
      <c r="F789" s="86"/>
      <c r="G789" s="86"/>
      <c r="H789" s="86"/>
      <c r="I789" s="65"/>
      <c r="J789" s="65"/>
      <c r="K789" s="87"/>
      <c r="L789" s="88"/>
    </row>
    <row r="790" spans="6:12" ht="12.5">
      <c r="F790" s="86"/>
      <c r="G790" s="86"/>
      <c r="H790" s="86"/>
      <c r="I790" s="65"/>
      <c r="J790" s="65"/>
      <c r="K790" s="87"/>
      <c r="L790" s="88"/>
    </row>
    <row r="791" spans="6:12" ht="12.5">
      <c r="F791" s="86"/>
      <c r="G791" s="86"/>
      <c r="H791" s="86"/>
      <c r="I791" s="65"/>
      <c r="J791" s="65"/>
      <c r="K791" s="87"/>
      <c r="L791" s="88"/>
    </row>
    <row r="792" spans="6:12" ht="12.5">
      <c r="F792" s="86"/>
      <c r="G792" s="86"/>
      <c r="H792" s="86"/>
      <c r="I792" s="65"/>
      <c r="J792" s="65"/>
      <c r="K792" s="87"/>
      <c r="L792" s="88"/>
    </row>
    <row r="793" spans="6:12" ht="12.5">
      <c r="F793" s="86"/>
      <c r="G793" s="86"/>
      <c r="H793" s="86"/>
      <c r="I793" s="65"/>
      <c r="J793" s="65"/>
      <c r="K793" s="87"/>
      <c r="L793" s="88"/>
    </row>
    <row r="794" spans="6:12" ht="12.5">
      <c r="F794" s="86"/>
      <c r="G794" s="86"/>
      <c r="H794" s="86"/>
      <c r="I794" s="65"/>
      <c r="J794" s="65"/>
      <c r="K794" s="87"/>
      <c r="L794" s="88"/>
    </row>
    <row r="795" spans="6:12" ht="12.5">
      <c r="F795" s="86"/>
      <c r="G795" s="86"/>
      <c r="H795" s="86"/>
      <c r="I795" s="65"/>
      <c r="J795" s="65"/>
      <c r="K795" s="87"/>
      <c r="L795" s="88"/>
    </row>
    <row r="796" spans="6:12" ht="12.5">
      <c r="F796" s="86"/>
      <c r="G796" s="86"/>
      <c r="H796" s="86"/>
      <c r="I796" s="65"/>
      <c r="J796" s="65"/>
      <c r="K796" s="87"/>
      <c r="L796" s="88"/>
    </row>
    <row r="797" spans="6:12" ht="12.5">
      <c r="F797" s="86"/>
      <c r="G797" s="86"/>
      <c r="H797" s="86"/>
      <c r="I797" s="65"/>
      <c r="J797" s="65"/>
      <c r="K797" s="87"/>
      <c r="L797" s="88"/>
    </row>
    <row r="798" spans="6:12" ht="12.5">
      <c r="F798" s="86"/>
      <c r="G798" s="86"/>
      <c r="H798" s="86"/>
      <c r="I798" s="65"/>
      <c r="J798" s="65"/>
      <c r="K798" s="87"/>
      <c r="L798" s="88"/>
    </row>
    <row r="799" spans="6:12" ht="12.5">
      <c r="F799" s="86"/>
      <c r="G799" s="86"/>
      <c r="H799" s="86"/>
      <c r="I799" s="65"/>
      <c r="J799" s="65"/>
      <c r="K799" s="87"/>
      <c r="L799" s="88"/>
    </row>
    <row r="800" spans="6:12" ht="12.5">
      <c r="F800" s="86"/>
      <c r="G800" s="86"/>
      <c r="H800" s="86"/>
      <c r="I800" s="65"/>
      <c r="J800" s="65"/>
      <c r="K800" s="87"/>
      <c r="L800" s="88"/>
    </row>
    <row r="801" spans="6:12" ht="12.5">
      <c r="F801" s="86"/>
      <c r="G801" s="86"/>
      <c r="H801" s="86"/>
      <c r="I801" s="65"/>
      <c r="J801" s="65"/>
      <c r="K801" s="87"/>
      <c r="L801" s="88"/>
    </row>
    <row r="802" spans="6:12" ht="12.5">
      <c r="F802" s="86"/>
      <c r="G802" s="86"/>
      <c r="H802" s="86"/>
      <c r="I802" s="65"/>
      <c r="J802" s="65"/>
      <c r="K802" s="87"/>
      <c r="L802" s="88"/>
    </row>
    <row r="803" spans="6:12" ht="12.5">
      <c r="F803" s="86"/>
      <c r="G803" s="86"/>
      <c r="H803" s="86"/>
      <c r="I803" s="65"/>
      <c r="J803" s="65"/>
      <c r="K803" s="87"/>
      <c r="L803" s="88"/>
    </row>
    <row r="804" spans="6:12" ht="12.5">
      <c r="F804" s="86"/>
      <c r="G804" s="86"/>
      <c r="H804" s="86"/>
      <c r="I804" s="65"/>
      <c r="J804" s="65"/>
      <c r="K804" s="87"/>
      <c r="L804" s="88"/>
    </row>
    <row r="805" spans="6:12" ht="12.5">
      <c r="F805" s="86"/>
      <c r="G805" s="86"/>
      <c r="H805" s="86"/>
      <c r="I805" s="65"/>
      <c r="J805" s="65"/>
      <c r="K805" s="87"/>
      <c r="L805" s="88"/>
    </row>
    <row r="806" spans="6:12" ht="12.5">
      <c r="F806" s="86"/>
      <c r="G806" s="86"/>
      <c r="H806" s="86"/>
      <c r="I806" s="65"/>
      <c r="J806" s="65"/>
      <c r="K806" s="87"/>
      <c r="L806" s="88"/>
    </row>
    <row r="807" spans="6:12" ht="12.5">
      <c r="F807" s="86"/>
      <c r="G807" s="86"/>
      <c r="H807" s="86"/>
      <c r="I807" s="65"/>
      <c r="J807" s="65"/>
      <c r="K807" s="87"/>
      <c r="L807" s="88"/>
    </row>
    <row r="808" spans="6:12" ht="12.5">
      <c r="F808" s="86"/>
      <c r="G808" s="86"/>
      <c r="H808" s="86"/>
      <c r="I808" s="65"/>
      <c r="J808" s="65"/>
      <c r="K808" s="87"/>
      <c r="L808" s="88"/>
    </row>
    <row r="809" spans="6:12" ht="12.5">
      <c r="F809" s="86"/>
      <c r="G809" s="86"/>
      <c r="H809" s="86"/>
      <c r="I809" s="65"/>
      <c r="J809" s="65"/>
      <c r="K809" s="87"/>
      <c r="L809" s="88"/>
    </row>
    <row r="810" spans="6:12" ht="12.5">
      <c r="F810" s="86"/>
      <c r="G810" s="86"/>
      <c r="H810" s="86"/>
      <c r="I810" s="65"/>
      <c r="J810" s="65"/>
      <c r="K810" s="87"/>
      <c r="L810" s="88"/>
    </row>
    <row r="811" spans="6:12" ht="12.5">
      <c r="F811" s="86"/>
      <c r="G811" s="86"/>
      <c r="H811" s="86"/>
      <c r="I811" s="65"/>
      <c r="J811" s="65"/>
      <c r="K811" s="87"/>
      <c r="L811" s="88"/>
    </row>
    <row r="812" spans="6:12" ht="12.5">
      <c r="F812" s="86"/>
      <c r="G812" s="86"/>
      <c r="H812" s="86"/>
      <c r="I812" s="65"/>
      <c r="J812" s="65"/>
      <c r="K812" s="87"/>
      <c r="L812" s="88"/>
    </row>
    <row r="813" spans="6:12" ht="12.5">
      <c r="F813" s="86"/>
      <c r="G813" s="86"/>
      <c r="H813" s="86"/>
      <c r="I813" s="65"/>
      <c r="J813" s="65"/>
      <c r="K813" s="87"/>
      <c r="L813" s="88"/>
    </row>
    <row r="814" spans="6:12" ht="12.5">
      <c r="F814" s="86"/>
      <c r="G814" s="86"/>
      <c r="H814" s="86"/>
      <c r="I814" s="65"/>
      <c r="J814" s="65"/>
      <c r="K814" s="87"/>
      <c r="L814" s="88"/>
    </row>
    <row r="815" spans="6:12" ht="12.5">
      <c r="F815" s="86"/>
      <c r="G815" s="86"/>
      <c r="H815" s="86"/>
      <c r="I815" s="65"/>
      <c r="J815" s="65"/>
      <c r="K815" s="87"/>
      <c r="L815" s="88"/>
    </row>
    <row r="816" spans="6:12" ht="12.5">
      <c r="F816" s="86"/>
      <c r="G816" s="86"/>
      <c r="H816" s="86"/>
      <c r="I816" s="65"/>
      <c r="J816" s="65"/>
      <c r="K816" s="87"/>
      <c r="L816" s="88"/>
    </row>
    <row r="817" spans="6:12" ht="12.5">
      <c r="F817" s="86"/>
      <c r="G817" s="86"/>
      <c r="H817" s="86"/>
      <c r="I817" s="65"/>
      <c r="J817" s="65"/>
      <c r="K817" s="87"/>
      <c r="L817" s="88"/>
    </row>
    <row r="818" spans="6:12" ht="12.5">
      <c r="F818" s="86"/>
      <c r="G818" s="86"/>
      <c r="H818" s="86"/>
      <c r="I818" s="65"/>
      <c r="J818" s="65"/>
      <c r="K818" s="87"/>
      <c r="L818" s="88"/>
    </row>
    <row r="819" spans="6:12" ht="12.5">
      <c r="F819" s="86"/>
      <c r="G819" s="86"/>
      <c r="H819" s="86"/>
      <c r="I819" s="65"/>
      <c r="J819" s="65"/>
      <c r="K819" s="87"/>
      <c r="L819" s="88"/>
    </row>
    <row r="820" spans="6:12" ht="12.5">
      <c r="F820" s="86"/>
      <c r="G820" s="86"/>
      <c r="H820" s="86"/>
      <c r="I820" s="65"/>
      <c r="J820" s="65"/>
      <c r="K820" s="87"/>
      <c r="L820" s="88"/>
    </row>
    <row r="821" spans="6:12" ht="12.5">
      <c r="F821" s="86"/>
      <c r="G821" s="86"/>
      <c r="H821" s="86"/>
      <c r="I821" s="65"/>
      <c r="J821" s="65"/>
      <c r="K821" s="87"/>
      <c r="L821" s="88"/>
    </row>
    <row r="822" spans="6:12" ht="12.5">
      <c r="F822" s="86"/>
      <c r="G822" s="86"/>
      <c r="H822" s="86"/>
      <c r="I822" s="65"/>
      <c r="J822" s="65"/>
      <c r="K822" s="87"/>
      <c r="L822" s="88"/>
    </row>
    <row r="823" spans="6:12" ht="12.5">
      <c r="F823" s="86"/>
      <c r="G823" s="86"/>
      <c r="H823" s="86"/>
      <c r="I823" s="65"/>
      <c r="J823" s="65"/>
      <c r="K823" s="87"/>
      <c r="L823" s="88"/>
    </row>
    <row r="824" spans="6:12" ht="12.5">
      <c r="F824" s="86"/>
      <c r="G824" s="86"/>
      <c r="H824" s="86"/>
      <c r="I824" s="65"/>
      <c r="J824" s="65"/>
      <c r="K824" s="87"/>
      <c r="L824" s="88"/>
    </row>
    <row r="825" spans="6:12" ht="12.5">
      <c r="F825" s="86"/>
      <c r="G825" s="86"/>
      <c r="H825" s="86"/>
      <c r="I825" s="65"/>
      <c r="J825" s="65"/>
      <c r="K825" s="87"/>
      <c r="L825" s="88"/>
    </row>
    <row r="826" spans="6:12" ht="12.5">
      <c r="F826" s="86"/>
      <c r="G826" s="86"/>
      <c r="H826" s="86"/>
      <c r="I826" s="65"/>
      <c r="J826" s="65"/>
      <c r="K826" s="87"/>
      <c r="L826" s="88"/>
    </row>
    <row r="827" spans="6:12" ht="12.5">
      <c r="F827" s="86"/>
      <c r="G827" s="86"/>
      <c r="H827" s="86"/>
      <c r="I827" s="65"/>
      <c r="J827" s="65"/>
      <c r="K827" s="87"/>
      <c r="L827" s="88"/>
    </row>
    <row r="828" spans="6:12" ht="12.5">
      <c r="F828" s="86"/>
      <c r="G828" s="86"/>
      <c r="H828" s="86"/>
      <c r="I828" s="65"/>
      <c r="J828" s="65"/>
      <c r="K828" s="87"/>
      <c r="L828" s="88"/>
    </row>
    <row r="829" spans="6:12" ht="12.5">
      <c r="F829" s="86"/>
      <c r="G829" s="86"/>
      <c r="H829" s="86"/>
      <c r="I829" s="65"/>
      <c r="J829" s="65"/>
      <c r="K829" s="87"/>
      <c r="L829" s="88"/>
    </row>
    <row r="830" spans="6:12" ht="12.5">
      <c r="F830" s="86"/>
      <c r="G830" s="86"/>
      <c r="H830" s="86"/>
      <c r="I830" s="65"/>
      <c r="J830" s="65"/>
      <c r="K830" s="87"/>
      <c r="L830" s="88"/>
    </row>
    <row r="831" spans="6:12" ht="12.5">
      <c r="F831" s="86"/>
      <c r="G831" s="86"/>
      <c r="H831" s="86"/>
      <c r="I831" s="65"/>
      <c r="J831" s="65"/>
      <c r="K831" s="87"/>
      <c r="L831" s="88"/>
    </row>
    <row r="832" spans="6:12" ht="12.5">
      <c r="F832" s="86"/>
      <c r="G832" s="86"/>
      <c r="H832" s="86"/>
      <c r="I832" s="65"/>
      <c r="J832" s="65"/>
      <c r="K832" s="87"/>
      <c r="L832" s="88"/>
    </row>
    <row r="833" spans="6:12" ht="12.5">
      <c r="F833" s="86"/>
      <c r="G833" s="86"/>
      <c r="H833" s="86"/>
      <c r="I833" s="65"/>
      <c r="J833" s="65"/>
      <c r="K833" s="87"/>
      <c r="L833" s="88"/>
    </row>
    <row r="834" spans="6:12" ht="12.5">
      <c r="F834" s="86"/>
      <c r="G834" s="86"/>
      <c r="H834" s="86"/>
      <c r="I834" s="65"/>
      <c r="J834" s="65"/>
      <c r="K834" s="87"/>
      <c r="L834" s="88"/>
    </row>
    <row r="835" spans="6:12" ht="12.5">
      <c r="F835" s="86"/>
      <c r="G835" s="86"/>
      <c r="H835" s="86"/>
      <c r="I835" s="65"/>
      <c r="J835" s="65"/>
      <c r="K835" s="87"/>
      <c r="L835" s="88"/>
    </row>
    <row r="836" spans="6:12" ht="12.5">
      <c r="F836" s="86"/>
      <c r="G836" s="86"/>
      <c r="H836" s="86"/>
      <c r="I836" s="65"/>
      <c r="J836" s="65"/>
      <c r="K836" s="87"/>
      <c r="L836" s="88"/>
    </row>
    <row r="837" spans="6:12" ht="12.5">
      <c r="F837" s="86"/>
      <c r="G837" s="86"/>
      <c r="H837" s="86"/>
      <c r="I837" s="65"/>
      <c r="J837" s="65"/>
      <c r="K837" s="87"/>
      <c r="L837" s="88"/>
    </row>
    <row r="838" spans="6:12" ht="12.5">
      <c r="F838" s="86"/>
      <c r="G838" s="86"/>
      <c r="H838" s="86"/>
      <c r="I838" s="65"/>
      <c r="J838" s="65"/>
      <c r="K838" s="87"/>
      <c r="L838" s="88"/>
    </row>
    <row r="839" spans="6:12" ht="12.5">
      <c r="F839" s="86"/>
      <c r="G839" s="86"/>
      <c r="H839" s="86"/>
      <c r="I839" s="65"/>
      <c r="J839" s="65"/>
      <c r="K839" s="87"/>
      <c r="L839" s="88"/>
    </row>
    <row r="840" spans="6:12" ht="12.5">
      <c r="F840" s="86"/>
      <c r="G840" s="86"/>
      <c r="H840" s="86"/>
      <c r="I840" s="65"/>
      <c r="J840" s="65"/>
      <c r="K840" s="87"/>
      <c r="L840" s="88"/>
    </row>
    <row r="841" spans="6:12" ht="12.5">
      <c r="F841" s="86"/>
      <c r="G841" s="86"/>
      <c r="H841" s="86"/>
      <c r="I841" s="65"/>
      <c r="J841" s="65"/>
      <c r="K841" s="87"/>
      <c r="L841" s="88"/>
    </row>
    <row r="842" spans="6:12" ht="12.5">
      <c r="F842" s="86"/>
      <c r="G842" s="86"/>
      <c r="H842" s="86"/>
      <c r="I842" s="65"/>
      <c r="J842" s="65"/>
      <c r="K842" s="87"/>
      <c r="L842" s="88"/>
    </row>
    <row r="843" spans="6:12" ht="12.5">
      <c r="F843" s="86"/>
      <c r="G843" s="86"/>
      <c r="H843" s="86"/>
      <c r="I843" s="65"/>
      <c r="J843" s="65"/>
      <c r="K843" s="87"/>
      <c r="L843" s="88"/>
    </row>
    <row r="844" spans="6:12" ht="12.5">
      <c r="F844" s="86"/>
      <c r="G844" s="86"/>
      <c r="H844" s="86"/>
      <c r="I844" s="65"/>
      <c r="J844" s="65"/>
      <c r="K844" s="87"/>
      <c r="L844" s="88"/>
    </row>
    <row r="845" spans="6:12" ht="12.5">
      <c r="F845" s="86"/>
      <c r="G845" s="86"/>
      <c r="H845" s="86"/>
      <c r="I845" s="65"/>
      <c r="J845" s="65"/>
      <c r="K845" s="87"/>
      <c r="L845" s="88"/>
    </row>
    <row r="846" spans="6:12" ht="12.5">
      <c r="F846" s="86"/>
      <c r="G846" s="86"/>
      <c r="H846" s="86"/>
      <c r="I846" s="65"/>
      <c r="J846" s="65"/>
      <c r="K846" s="87"/>
      <c r="L846" s="88"/>
    </row>
    <row r="847" spans="6:12" ht="12.5">
      <c r="F847" s="86"/>
      <c r="G847" s="86"/>
      <c r="H847" s="86"/>
      <c r="I847" s="65"/>
      <c r="J847" s="65"/>
      <c r="K847" s="87"/>
      <c r="L847" s="88"/>
    </row>
    <row r="848" spans="6:12" ht="12.5">
      <c r="F848" s="86"/>
      <c r="G848" s="86"/>
      <c r="H848" s="86"/>
      <c r="I848" s="65"/>
      <c r="J848" s="65"/>
      <c r="K848" s="87"/>
      <c r="L848" s="88"/>
    </row>
    <row r="849" spans="6:12" ht="12.5">
      <c r="F849" s="86"/>
      <c r="G849" s="86"/>
      <c r="H849" s="86"/>
      <c r="I849" s="65"/>
      <c r="J849" s="65"/>
      <c r="K849" s="87"/>
      <c r="L849" s="88"/>
    </row>
    <row r="850" spans="6:12" ht="12.5">
      <c r="F850" s="86"/>
      <c r="G850" s="86"/>
      <c r="H850" s="86"/>
      <c r="I850" s="65"/>
      <c r="J850" s="65"/>
      <c r="K850" s="87"/>
      <c r="L850" s="88"/>
    </row>
    <row r="851" spans="6:12" ht="12.5">
      <c r="F851" s="86"/>
      <c r="G851" s="86"/>
      <c r="H851" s="86"/>
      <c r="I851" s="65"/>
      <c r="J851" s="65"/>
      <c r="K851" s="87"/>
      <c r="L851" s="88"/>
    </row>
    <row r="852" spans="6:12" ht="12.5">
      <c r="F852" s="86"/>
      <c r="G852" s="86"/>
      <c r="H852" s="86"/>
      <c r="I852" s="65"/>
      <c r="J852" s="65"/>
      <c r="K852" s="87"/>
      <c r="L852" s="88"/>
    </row>
    <row r="853" spans="6:12" ht="12.5">
      <c r="F853" s="86"/>
      <c r="G853" s="86"/>
      <c r="H853" s="86"/>
      <c r="I853" s="65"/>
      <c r="J853" s="65"/>
      <c r="K853" s="87"/>
      <c r="L853" s="88"/>
    </row>
    <row r="854" spans="6:12" ht="12.5">
      <c r="F854" s="86"/>
      <c r="G854" s="86"/>
      <c r="H854" s="86"/>
      <c r="I854" s="65"/>
      <c r="J854" s="65"/>
      <c r="K854" s="87"/>
      <c r="L854" s="88"/>
    </row>
    <row r="855" spans="6:12" ht="12.5">
      <c r="F855" s="86"/>
      <c r="G855" s="86"/>
      <c r="H855" s="86"/>
      <c r="I855" s="65"/>
      <c r="J855" s="65"/>
      <c r="K855" s="87"/>
      <c r="L855" s="88"/>
    </row>
    <row r="856" spans="6:12" ht="12.5">
      <c r="F856" s="86"/>
      <c r="G856" s="86"/>
      <c r="H856" s="86"/>
      <c r="I856" s="65"/>
      <c r="J856" s="65"/>
      <c r="K856" s="87"/>
      <c r="L856" s="88"/>
    </row>
    <row r="857" spans="6:12" ht="12.5">
      <c r="F857" s="86"/>
      <c r="G857" s="86"/>
      <c r="H857" s="86"/>
      <c r="I857" s="65"/>
      <c r="J857" s="65"/>
      <c r="K857" s="87"/>
      <c r="L857" s="88"/>
    </row>
    <row r="858" spans="6:12" ht="12.5">
      <c r="F858" s="86"/>
      <c r="G858" s="86"/>
      <c r="H858" s="86"/>
      <c r="I858" s="65"/>
      <c r="J858" s="65"/>
      <c r="K858" s="87"/>
      <c r="L858" s="88"/>
    </row>
    <row r="859" spans="6:12" ht="12.5">
      <c r="F859" s="86"/>
      <c r="G859" s="86"/>
      <c r="H859" s="86"/>
      <c r="I859" s="65"/>
      <c r="J859" s="65"/>
      <c r="K859" s="87"/>
      <c r="L859" s="88"/>
    </row>
    <row r="860" spans="6:12" ht="12.5">
      <c r="F860" s="86"/>
      <c r="G860" s="86"/>
      <c r="H860" s="86"/>
      <c r="I860" s="65"/>
      <c r="J860" s="65"/>
      <c r="K860" s="87"/>
      <c r="L860" s="88"/>
    </row>
    <row r="861" spans="6:12" ht="12.5">
      <c r="F861" s="86"/>
      <c r="G861" s="86"/>
      <c r="H861" s="86"/>
      <c r="I861" s="65"/>
      <c r="J861" s="65"/>
      <c r="K861" s="87"/>
      <c r="L861" s="88"/>
    </row>
    <row r="862" spans="6:12" ht="12.5">
      <c r="F862" s="86"/>
      <c r="G862" s="86"/>
      <c r="H862" s="86"/>
      <c r="I862" s="65"/>
      <c r="J862" s="65"/>
      <c r="K862" s="87"/>
      <c r="L862" s="88"/>
    </row>
    <row r="863" spans="6:12" ht="12.5">
      <c r="F863" s="86"/>
      <c r="G863" s="86"/>
      <c r="H863" s="86"/>
      <c r="I863" s="65"/>
      <c r="J863" s="65"/>
      <c r="K863" s="87"/>
      <c r="L863" s="88"/>
    </row>
    <row r="864" spans="6:12" ht="12.5">
      <c r="F864" s="86"/>
      <c r="G864" s="86"/>
      <c r="H864" s="86"/>
      <c r="I864" s="65"/>
      <c r="J864" s="65"/>
      <c r="K864" s="87"/>
      <c r="L864" s="88"/>
    </row>
    <row r="865" spans="6:12" ht="12.5">
      <c r="F865" s="86"/>
      <c r="G865" s="86"/>
      <c r="H865" s="86"/>
      <c r="I865" s="65"/>
      <c r="J865" s="65"/>
      <c r="K865" s="87"/>
      <c r="L865" s="88"/>
    </row>
    <row r="866" spans="6:12" ht="12.5">
      <c r="F866" s="86"/>
      <c r="G866" s="86"/>
      <c r="H866" s="86"/>
      <c r="I866" s="65"/>
      <c r="J866" s="65"/>
      <c r="K866" s="87"/>
      <c r="L866" s="88"/>
    </row>
    <row r="867" spans="6:12" ht="12.5">
      <c r="F867" s="86"/>
      <c r="G867" s="86"/>
      <c r="H867" s="86"/>
      <c r="I867" s="65"/>
      <c r="J867" s="65"/>
      <c r="K867" s="87"/>
      <c r="L867" s="88"/>
    </row>
    <row r="868" spans="6:12" ht="12.5">
      <c r="F868" s="86"/>
      <c r="G868" s="86"/>
      <c r="H868" s="86"/>
      <c r="I868" s="65"/>
      <c r="J868" s="65"/>
      <c r="K868" s="87"/>
      <c r="L868" s="88"/>
    </row>
    <row r="869" spans="6:12" ht="12.5">
      <c r="F869" s="86"/>
      <c r="G869" s="86"/>
      <c r="H869" s="86"/>
      <c r="I869" s="65"/>
      <c r="J869" s="65"/>
      <c r="K869" s="87"/>
      <c r="L869" s="88"/>
    </row>
    <row r="870" spans="6:12" ht="12.5">
      <c r="F870" s="86"/>
      <c r="G870" s="86"/>
      <c r="H870" s="86"/>
      <c r="I870" s="65"/>
      <c r="J870" s="65"/>
      <c r="K870" s="87"/>
      <c r="L870" s="88"/>
    </row>
    <row r="871" spans="6:12" ht="12.5">
      <c r="F871" s="86"/>
      <c r="G871" s="86"/>
      <c r="H871" s="86"/>
      <c r="I871" s="65"/>
      <c r="J871" s="65"/>
      <c r="K871" s="87"/>
      <c r="L871" s="88"/>
    </row>
    <row r="872" spans="6:12" ht="12.5">
      <c r="F872" s="86"/>
      <c r="G872" s="86"/>
      <c r="H872" s="86"/>
      <c r="I872" s="65"/>
      <c r="J872" s="65"/>
      <c r="K872" s="87"/>
      <c r="L872" s="88"/>
    </row>
    <row r="873" spans="6:12" ht="12.5">
      <c r="F873" s="86"/>
      <c r="G873" s="86"/>
      <c r="H873" s="86"/>
      <c r="I873" s="65"/>
      <c r="J873" s="65"/>
      <c r="K873" s="87"/>
      <c r="L873" s="88"/>
    </row>
    <row r="874" spans="6:12" ht="12.5">
      <c r="F874" s="86"/>
      <c r="G874" s="86"/>
      <c r="H874" s="86"/>
      <c r="I874" s="65"/>
      <c r="J874" s="65"/>
      <c r="K874" s="87"/>
      <c r="L874" s="88"/>
    </row>
    <row r="875" spans="6:12" ht="12.5">
      <c r="F875" s="86"/>
      <c r="G875" s="86"/>
      <c r="H875" s="86"/>
      <c r="I875" s="65"/>
      <c r="J875" s="65"/>
      <c r="K875" s="87"/>
      <c r="L875" s="88"/>
    </row>
    <row r="876" spans="6:12" ht="12.5">
      <c r="F876" s="86"/>
      <c r="G876" s="86"/>
      <c r="H876" s="86"/>
      <c r="I876" s="65"/>
      <c r="J876" s="65"/>
      <c r="K876" s="87"/>
      <c r="L876" s="88"/>
    </row>
    <row r="877" spans="6:12" ht="12.5">
      <c r="F877" s="86"/>
      <c r="G877" s="86"/>
      <c r="H877" s="86"/>
      <c r="I877" s="65"/>
      <c r="J877" s="65"/>
      <c r="K877" s="87"/>
      <c r="L877" s="88"/>
    </row>
    <row r="878" spans="6:12" ht="12.5">
      <c r="F878" s="86"/>
      <c r="G878" s="86"/>
      <c r="H878" s="86"/>
      <c r="I878" s="65"/>
      <c r="J878" s="65"/>
      <c r="K878" s="87"/>
      <c r="L878" s="88"/>
    </row>
    <row r="879" spans="6:12" ht="12.5">
      <c r="F879" s="86"/>
      <c r="G879" s="86"/>
      <c r="H879" s="86"/>
      <c r="I879" s="65"/>
      <c r="J879" s="65"/>
      <c r="K879" s="87"/>
      <c r="L879" s="88"/>
    </row>
    <row r="880" spans="6:12" ht="12.5">
      <c r="F880" s="86"/>
      <c r="G880" s="86"/>
      <c r="H880" s="86"/>
      <c r="I880" s="65"/>
      <c r="J880" s="65"/>
      <c r="K880" s="87"/>
      <c r="L880" s="88"/>
    </row>
    <row r="881" spans="6:12" ht="12.5">
      <c r="F881" s="86"/>
      <c r="G881" s="86"/>
      <c r="H881" s="86"/>
      <c r="I881" s="65"/>
      <c r="J881" s="65"/>
      <c r="K881" s="87"/>
      <c r="L881" s="88"/>
    </row>
    <row r="882" spans="6:12" ht="12.5">
      <c r="F882" s="86"/>
      <c r="G882" s="86"/>
      <c r="H882" s="86"/>
      <c r="I882" s="65"/>
      <c r="J882" s="65"/>
      <c r="K882" s="87"/>
      <c r="L882" s="88"/>
    </row>
    <row r="883" spans="6:12" ht="12.5">
      <c r="F883" s="86"/>
      <c r="G883" s="86"/>
      <c r="H883" s="86"/>
      <c r="I883" s="65"/>
      <c r="J883" s="65"/>
      <c r="K883" s="87"/>
      <c r="L883" s="88"/>
    </row>
    <row r="884" spans="6:12" ht="12.5">
      <c r="F884" s="86"/>
      <c r="G884" s="86"/>
      <c r="H884" s="86"/>
      <c r="I884" s="65"/>
      <c r="J884" s="65"/>
      <c r="K884" s="87"/>
      <c r="L884" s="88"/>
    </row>
    <row r="885" spans="6:12" ht="12.5">
      <c r="F885" s="86"/>
      <c r="G885" s="86"/>
      <c r="H885" s="86"/>
      <c r="I885" s="65"/>
      <c r="J885" s="65"/>
      <c r="K885" s="87"/>
      <c r="L885" s="88"/>
    </row>
    <row r="886" spans="6:12" ht="12.5">
      <c r="F886" s="86"/>
      <c r="G886" s="86"/>
      <c r="H886" s="86"/>
      <c r="I886" s="65"/>
      <c r="J886" s="65"/>
      <c r="K886" s="87"/>
      <c r="L886" s="88"/>
    </row>
    <row r="887" spans="6:12" ht="12.5">
      <c r="F887" s="86"/>
      <c r="G887" s="86"/>
      <c r="H887" s="86"/>
      <c r="I887" s="65"/>
      <c r="J887" s="65"/>
      <c r="K887" s="87"/>
      <c r="L887" s="88"/>
    </row>
    <row r="888" spans="6:12" ht="12.5">
      <c r="F888" s="86"/>
      <c r="G888" s="86"/>
      <c r="H888" s="86"/>
      <c r="I888" s="65"/>
      <c r="J888" s="65"/>
      <c r="K888" s="87"/>
      <c r="L888" s="88"/>
    </row>
    <row r="889" spans="6:12" ht="12.5">
      <c r="F889" s="86"/>
      <c r="G889" s="86"/>
      <c r="H889" s="86"/>
      <c r="I889" s="65"/>
      <c r="J889" s="65"/>
      <c r="K889" s="87"/>
      <c r="L889" s="88"/>
    </row>
    <row r="890" spans="6:12" ht="12.5">
      <c r="F890" s="86"/>
      <c r="G890" s="86"/>
      <c r="H890" s="86"/>
      <c r="I890" s="65"/>
      <c r="J890" s="65"/>
      <c r="K890" s="87"/>
      <c r="L890" s="88"/>
    </row>
    <row r="891" spans="6:12" ht="12.5">
      <c r="F891" s="86"/>
      <c r="G891" s="86"/>
      <c r="H891" s="86"/>
      <c r="I891" s="65"/>
      <c r="J891" s="65"/>
      <c r="K891" s="87"/>
      <c r="L891" s="88"/>
    </row>
    <row r="892" spans="6:12" ht="12.5">
      <c r="F892" s="86"/>
      <c r="G892" s="86"/>
      <c r="H892" s="86"/>
      <c r="I892" s="65"/>
      <c r="J892" s="65"/>
      <c r="K892" s="87"/>
      <c r="L892" s="88"/>
    </row>
    <row r="893" spans="6:12" ht="12.5">
      <c r="F893" s="86"/>
      <c r="G893" s="86"/>
      <c r="H893" s="86"/>
      <c r="I893" s="65"/>
      <c r="J893" s="65"/>
      <c r="K893" s="87"/>
      <c r="L893" s="88"/>
    </row>
    <row r="894" spans="6:12" ht="12.5">
      <c r="F894" s="86"/>
      <c r="G894" s="86"/>
      <c r="H894" s="86"/>
      <c r="I894" s="65"/>
      <c r="J894" s="65"/>
      <c r="K894" s="87"/>
      <c r="L894" s="88"/>
    </row>
    <row r="895" spans="6:12" ht="12.5">
      <c r="F895" s="86"/>
      <c r="G895" s="86"/>
      <c r="H895" s="86"/>
      <c r="I895" s="65"/>
      <c r="J895" s="65"/>
      <c r="K895" s="87"/>
      <c r="L895" s="88"/>
    </row>
    <row r="896" spans="6:12" ht="12.5">
      <c r="F896" s="86"/>
      <c r="G896" s="86"/>
      <c r="H896" s="86"/>
      <c r="I896" s="65"/>
      <c r="J896" s="65"/>
      <c r="K896" s="87"/>
      <c r="L896" s="88"/>
    </row>
    <row r="897" spans="6:12" ht="12.5">
      <c r="F897" s="86"/>
      <c r="G897" s="86"/>
      <c r="H897" s="86"/>
      <c r="I897" s="65"/>
      <c r="J897" s="65"/>
      <c r="K897" s="87"/>
      <c r="L897" s="88"/>
    </row>
    <row r="898" spans="6:12" ht="12.5">
      <c r="F898" s="86"/>
      <c r="G898" s="86"/>
      <c r="H898" s="86"/>
      <c r="I898" s="65"/>
      <c r="J898" s="65"/>
      <c r="K898" s="87"/>
      <c r="L898" s="88"/>
    </row>
    <row r="899" spans="6:12" ht="12.5">
      <c r="F899" s="86"/>
      <c r="G899" s="86"/>
      <c r="H899" s="86"/>
      <c r="I899" s="65"/>
      <c r="J899" s="65"/>
      <c r="K899" s="87"/>
      <c r="L899" s="88"/>
    </row>
    <row r="900" spans="6:12" ht="12.5">
      <c r="F900" s="86"/>
      <c r="G900" s="86"/>
      <c r="H900" s="86"/>
      <c r="I900" s="65"/>
      <c r="J900" s="65"/>
      <c r="K900" s="87"/>
      <c r="L900" s="88"/>
    </row>
    <row r="901" spans="6:12" ht="12.5">
      <c r="F901" s="86"/>
      <c r="G901" s="86"/>
      <c r="H901" s="86"/>
      <c r="I901" s="65"/>
      <c r="J901" s="65"/>
      <c r="K901" s="87"/>
      <c r="L901" s="88"/>
    </row>
    <row r="902" spans="6:12" ht="12.5">
      <c r="F902" s="86"/>
      <c r="G902" s="86"/>
      <c r="H902" s="86"/>
      <c r="I902" s="65"/>
      <c r="J902" s="65"/>
      <c r="K902" s="87"/>
      <c r="L902" s="88"/>
    </row>
    <row r="903" spans="6:12" ht="12.5">
      <c r="F903" s="86"/>
      <c r="G903" s="86"/>
      <c r="H903" s="86"/>
      <c r="I903" s="65"/>
      <c r="J903" s="65"/>
      <c r="K903" s="87"/>
      <c r="L903" s="88"/>
    </row>
    <row r="904" spans="6:12" ht="12.5">
      <c r="F904" s="86"/>
      <c r="G904" s="86"/>
      <c r="H904" s="86"/>
      <c r="I904" s="65"/>
      <c r="J904" s="65"/>
      <c r="K904" s="87"/>
      <c r="L904" s="88"/>
    </row>
    <row r="905" spans="6:12" ht="12.5">
      <c r="F905" s="86"/>
      <c r="G905" s="86"/>
      <c r="H905" s="86"/>
      <c r="I905" s="65"/>
      <c r="J905" s="65"/>
      <c r="K905" s="87"/>
      <c r="L905" s="88"/>
    </row>
    <row r="906" spans="6:12" ht="12.5">
      <c r="F906" s="86"/>
      <c r="G906" s="86"/>
      <c r="H906" s="86"/>
      <c r="I906" s="65"/>
      <c r="J906" s="65"/>
      <c r="K906" s="87"/>
      <c r="L906" s="88"/>
    </row>
    <row r="907" spans="6:12" ht="12.5">
      <c r="F907" s="86"/>
      <c r="G907" s="86"/>
      <c r="H907" s="86"/>
      <c r="I907" s="65"/>
      <c r="J907" s="65"/>
      <c r="K907" s="87"/>
      <c r="L907" s="88"/>
    </row>
    <row r="908" spans="6:12" ht="12.5">
      <c r="F908" s="86"/>
      <c r="G908" s="86"/>
      <c r="H908" s="86"/>
      <c r="I908" s="65"/>
      <c r="J908" s="65"/>
      <c r="K908" s="87"/>
      <c r="L908" s="88"/>
    </row>
    <row r="909" spans="6:12" ht="12.5">
      <c r="F909" s="86"/>
      <c r="G909" s="86"/>
      <c r="H909" s="86"/>
      <c r="I909" s="65"/>
      <c r="J909" s="65"/>
      <c r="K909" s="87"/>
      <c r="L909" s="88"/>
    </row>
    <row r="910" spans="6:12" ht="12.5">
      <c r="F910" s="86"/>
      <c r="G910" s="86"/>
      <c r="H910" s="86"/>
      <c r="I910" s="65"/>
      <c r="J910" s="65"/>
      <c r="K910" s="87"/>
      <c r="L910" s="88"/>
    </row>
    <row r="911" spans="6:12" ht="12.5">
      <c r="F911" s="86"/>
      <c r="G911" s="86"/>
      <c r="H911" s="86"/>
      <c r="I911" s="65"/>
      <c r="J911" s="65"/>
      <c r="K911" s="87"/>
      <c r="L911" s="88"/>
    </row>
    <row r="912" spans="6:12" ht="12.5">
      <c r="F912" s="86"/>
      <c r="G912" s="86"/>
      <c r="H912" s="86"/>
      <c r="I912" s="65"/>
      <c r="J912" s="65"/>
      <c r="K912" s="87"/>
      <c r="L912" s="88"/>
    </row>
    <row r="913" spans="6:12" ht="12.5">
      <c r="F913" s="86"/>
      <c r="G913" s="86"/>
      <c r="H913" s="86"/>
      <c r="I913" s="65"/>
      <c r="J913" s="65"/>
      <c r="K913" s="87"/>
      <c r="L913" s="88"/>
    </row>
    <row r="914" spans="6:12" ht="12.5">
      <c r="F914" s="86"/>
      <c r="G914" s="86"/>
      <c r="H914" s="86"/>
      <c r="I914" s="65"/>
      <c r="J914" s="65"/>
      <c r="K914" s="87"/>
      <c r="L914" s="88"/>
    </row>
    <row r="915" spans="6:12" ht="12.5">
      <c r="F915" s="86"/>
      <c r="G915" s="86"/>
      <c r="H915" s="86"/>
      <c r="I915" s="65"/>
      <c r="J915" s="65"/>
      <c r="K915" s="87"/>
      <c r="L915" s="88"/>
    </row>
    <row r="916" spans="6:12" ht="12.5">
      <c r="F916" s="86"/>
      <c r="G916" s="86"/>
      <c r="H916" s="86"/>
      <c r="I916" s="65"/>
      <c r="J916" s="65"/>
      <c r="K916" s="87"/>
      <c r="L916" s="88"/>
    </row>
    <row r="917" spans="6:12" ht="12.5">
      <c r="F917" s="86"/>
      <c r="G917" s="86"/>
      <c r="H917" s="86"/>
      <c r="I917" s="65"/>
      <c r="J917" s="65"/>
      <c r="K917" s="87"/>
      <c r="L917" s="88"/>
    </row>
    <row r="918" spans="6:12" ht="12.5">
      <c r="F918" s="86"/>
      <c r="G918" s="86"/>
      <c r="H918" s="86"/>
      <c r="I918" s="65"/>
      <c r="J918" s="65"/>
      <c r="K918" s="87"/>
      <c r="L918" s="88"/>
    </row>
    <row r="919" spans="6:12" ht="12.5">
      <c r="F919" s="86"/>
      <c r="G919" s="86"/>
      <c r="H919" s="86"/>
      <c r="I919" s="65"/>
      <c r="J919" s="65"/>
      <c r="K919" s="87"/>
      <c r="L919" s="88"/>
    </row>
    <row r="920" spans="6:12" ht="12.5">
      <c r="F920" s="86"/>
      <c r="G920" s="86"/>
      <c r="H920" s="86"/>
      <c r="I920" s="65"/>
      <c r="J920" s="65"/>
      <c r="K920" s="87"/>
      <c r="L920" s="88"/>
    </row>
    <row r="921" spans="6:12" ht="12.5">
      <c r="F921" s="86"/>
      <c r="G921" s="86"/>
      <c r="H921" s="86"/>
      <c r="I921" s="65"/>
      <c r="J921" s="65"/>
      <c r="K921" s="87"/>
      <c r="L921" s="88"/>
    </row>
    <row r="922" spans="6:12" ht="12.5">
      <c r="F922" s="86"/>
      <c r="G922" s="86"/>
      <c r="H922" s="86"/>
      <c r="I922" s="65"/>
      <c r="J922" s="65"/>
      <c r="K922" s="87"/>
      <c r="L922" s="88"/>
    </row>
    <row r="923" spans="6:12" ht="12.5">
      <c r="F923" s="86"/>
      <c r="G923" s="86"/>
      <c r="H923" s="86"/>
      <c r="I923" s="65"/>
      <c r="J923" s="65"/>
      <c r="K923" s="87"/>
      <c r="L923" s="88"/>
    </row>
    <row r="924" spans="6:12" ht="12.5">
      <c r="F924" s="86"/>
      <c r="G924" s="86"/>
      <c r="H924" s="86"/>
      <c r="I924" s="65"/>
      <c r="J924" s="65"/>
      <c r="K924" s="87"/>
      <c r="L924" s="88"/>
    </row>
    <row r="925" spans="6:12" ht="12.5">
      <c r="F925" s="86"/>
      <c r="G925" s="86"/>
      <c r="H925" s="86"/>
      <c r="I925" s="65"/>
      <c r="J925" s="65"/>
      <c r="K925" s="87"/>
      <c r="L925" s="88"/>
    </row>
    <row r="926" spans="6:12" ht="12.5">
      <c r="F926" s="86"/>
      <c r="G926" s="86"/>
      <c r="H926" s="86"/>
      <c r="I926" s="65"/>
      <c r="J926" s="65"/>
      <c r="K926" s="87"/>
      <c r="L926" s="88"/>
    </row>
    <row r="927" spans="6:12" ht="12.5">
      <c r="F927" s="86"/>
      <c r="G927" s="86"/>
      <c r="H927" s="86"/>
      <c r="I927" s="65"/>
      <c r="J927" s="65"/>
      <c r="K927" s="87"/>
      <c r="L927" s="88"/>
    </row>
    <row r="928" spans="6:12" ht="12.5">
      <c r="F928" s="86"/>
      <c r="G928" s="86"/>
      <c r="H928" s="86"/>
      <c r="I928" s="65"/>
      <c r="J928" s="65"/>
      <c r="K928" s="87"/>
      <c r="L928" s="88"/>
    </row>
    <row r="929" spans="6:12" ht="12.5">
      <c r="F929" s="86"/>
      <c r="G929" s="86"/>
      <c r="H929" s="86"/>
      <c r="I929" s="65"/>
      <c r="J929" s="65"/>
      <c r="K929" s="87"/>
      <c r="L929" s="88"/>
    </row>
    <row r="930" spans="6:12" ht="12.5">
      <c r="F930" s="86"/>
      <c r="G930" s="86"/>
      <c r="H930" s="86"/>
      <c r="I930" s="65"/>
      <c r="J930" s="65"/>
      <c r="K930" s="87"/>
      <c r="L930" s="88"/>
    </row>
    <row r="931" spans="6:12" ht="12.5">
      <c r="F931" s="86"/>
      <c r="G931" s="86"/>
      <c r="H931" s="86"/>
      <c r="I931" s="65"/>
      <c r="J931" s="65"/>
      <c r="K931" s="87"/>
      <c r="L931" s="88"/>
    </row>
    <row r="932" spans="6:12" ht="12.5">
      <c r="F932" s="86"/>
      <c r="G932" s="86"/>
      <c r="H932" s="86"/>
      <c r="I932" s="65"/>
      <c r="J932" s="65"/>
      <c r="K932" s="87"/>
      <c r="L932" s="88"/>
    </row>
    <row r="933" spans="6:12" ht="12.5">
      <c r="F933" s="86"/>
      <c r="G933" s="86"/>
      <c r="H933" s="86"/>
      <c r="I933" s="65"/>
      <c r="J933" s="65"/>
      <c r="K933" s="87"/>
      <c r="L933" s="88"/>
    </row>
    <row r="934" spans="6:12" ht="12.5">
      <c r="F934" s="86"/>
      <c r="G934" s="86"/>
      <c r="H934" s="86"/>
      <c r="I934" s="65"/>
      <c r="J934" s="65"/>
      <c r="K934" s="87"/>
      <c r="L934" s="88"/>
    </row>
    <row r="935" spans="6:12" ht="12.5">
      <c r="F935" s="86"/>
      <c r="G935" s="86"/>
      <c r="H935" s="86"/>
      <c r="I935" s="65"/>
      <c r="J935" s="65"/>
      <c r="K935" s="87"/>
      <c r="L935" s="88"/>
    </row>
    <row r="936" spans="6:12" ht="12.5">
      <c r="F936" s="86"/>
      <c r="G936" s="86"/>
      <c r="H936" s="86"/>
      <c r="I936" s="65"/>
      <c r="J936" s="65"/>
      <c r="K936" s="87"/>
      <c r="L936" s="88"/>
    </row>
    <row r="937" spans="6:12" ht="12.5">
      <c r="F937" s="86"/>
      <c r="G937" s="86"/>
      <c r="H937" s="86"/>
      <c r="I937" s="65"/>
      <c r="J937" s="65"/>
      <c r="K937" s="87"/>
      <c r="L937" s="88"/>
    </row>
    <row r="938" spans="6:12" ht="12.5">
      <c r="F938" s="86"/>
      <c r="G938" s="86"/>
      <c r="H938" s="86"/>
      <c r="I938" s="65"/>
      <c r="J938" s="65"/>
      <c r="K938" s="87"/>
      <c r="L938" s="88"/>
    </row>
    <row r="939" spans="6:12" ht="12.5">
      <c r="F939" s="86"/>
      <c r="G939" s="86"/>
      <c r="H939" s="86"/>
      <c r="I939" s="65"/>
      <c r="J939" s="65"/>
      <c r="K939" s="87"/>
      <c r="L939" s="88"/>
    </row>
    <row r="940" spans="6:12" ht="12.5">
      <c r="F940" s="86"/>
      <c r="G940" s="86"/>
      <c r="H940" s="86"/>
      <c r="I940" s="65"/>
      <c r="J940" s="65"/>
      <c r="K940" s="87"/>
      <c r="L940" s="88"/>
    </row>
    <row r="941" spans="6:12" ht="12.5">
      <c r="F941" s="86"/>
      <c r="G941" s="86"/>
      <c r="H941" s="86"/>
      <c r="I941" s="65"/>
      <c r="J941" s="65"/>
      <c r="K941" s="87"/>
      <c r="L941" s="88"/>
    </row>
    <row r="942" spans="6:12" ht="12.5">
      <c r="F942" s="86"/>
      <c r="G942" s="86"/>
      <c r="H942" s="86"/>
      <c r="I942" s="65"/>
      <c r="J942" s="65"/>
      <c r="K942" s="87"/>
      <c r="L942" s="88"/>
    </row>
    <row r="943" spans="6:12" ht="12.5">
      <c r="F943" s="86"/>
      <c r="G943" s="86"/>
      <c r="H943" s="86"/>
      <c r="I943" s="65"/>
      <c r="J943" s="65"/>
      <c r="K943" s="87"/>
      <c r="L943" s="88"/>
    </row>
    <row r="944" spans="6:12" ht="12.5">
      <c r="F944" s="86"/>
      <c r="G944" s="86"/>
      <c r="H944" s="86"/>
      <c r="I944" s="65"/>
      <c r="J944" s="65"/>
      <c r="K944" s="87"/>
      <c r="L944" s="88"/>
    </row>
    <row r="945" spans="6:12" ht="12.5">
      <c r="F945" s="86"/>
      <c r="G945" s="86"/>
      <c r="H945" s="86"/>
      <c r="I945" s="65"/>
      <c r="J945" s="65"/>
      <c r="K945" s="87"/>
      <c r="L945" s="88"/>
    </row>
    <row r="946" spans="6:12" ht="12.5">
      <c r="F946" s="86"/>
      <c r="G946" s="86"/>
      <c r="H946" s="86"/>
      <c r="I946" s="65"/>
      <c r="J946" s="65"/>
      <c r="K946" s="87"/>
      <c r="L946" s="88"/>
    </row>
    <row r="947" spans="6:12" ht="12.5">
      <c r="F947" s="86"/>
      <c r="G947" s="86"/>
      <c r="H947" s="86"/>
      <c r="I947" s="65"/>
      <c r="J947" s="65"/>
      <c r="K947" s="87"/>
      <c r="L947" s="88"/>
    </row>
    <row r="948" spans="6:12" ht="12.5">
      <c r="F948" s="86"/>
      <c r="G948" s="86"/>
      <c r="H948" s="86"/>
      <c r="I948" s="65"/>
      <c r="J948" s="65"/>
      <c r="K948" s="87"/>
      <c r="L948" s="88"/>
    </row>
    <row r="949" spans="6:12" ht="12.5">
      <c r="F949" s="86"/>
      <c r="G949" s="86"/>
      <c r="H949" s="86"/>
      <c r="I949" s="65"/>
      <c r="J949" s="65"/>
      <c r="K949" s="87"/>
      <c r="L949" s="88"/>
    </row>
    <row r="950" spans="6:12" ht="12.5">
      <c r="F950" s="86"/>
      <c r="G950" s="86"/>
      <c r="H950" s="86"/>
      <c r="I950" s="65"/>
      <c r="J950" s="65"/>
      <c r="K950" s="87"/>
      <c r="L950" s="88"/>
    </row>
    <row r="951" spans="6:12" ht="12.5">
      <c r="F951" s="86"/>
      <c r="G951" s="86"/>
      <c r="H951" s="86"/>
      <c r="I951" s="65"/>
      <c r="J951" s="65"/>
      <c r="K951" s="87"/>
      <c r="L951" s="88"/>
    </row>
    <row r="952" spans="6:12" ht="12.5">
      <c r="F952" s="86"/>
      <c r="G952" s="86"/>
      <c r="H952" s="86"/>
      <c r="I952" s="65"/>
      <c r="J952" s="65"/>
      <c r="K952" s="87"/>
      <c r="L952" s="88"/>
    </row>
    <row r="953" spans="6:12" ht="12.5">
      <c r="F953" s="86"/>
      <c r="G953" s="86"/>
      <c r="H953" s="86"/>
      <c r="I953" s="65"/>
      <c r="J953" s="65"/>
      <c r="K953" s="87"/>
      <c r="L953" s="88"/>
    </row>
    <row r="954" spans="6:12" ht="12.5">
      <c r="F954" s="86"/>
      <c r="G954" s="86"/>
      <c r="H954" s="86"/>
      <c r="I954" s="65"/>
      <c r="J954" s="65"/>
      <c r="K954" s="87"/>
      <c r="L954" s="88"/>
    </row>
    <row r="955" spans="6:12" ht="12.5">
      <c r="F955" s="86"/>
      <c r="G955" s="86"/>
      <c r="H955" s="86"/>
      <c r="I955" s="65"/>
      <c r="J955" s="65"/>
      <c r="K955" s="87"/>
      <c r="L955" s="88"/>
    </row>
    <row r="956" spans="6:12" ht="12.5">
      <c r="F956" s="86"/>
      <c r="G956" s="86"/>
      <c r="H956" s="86"/>
      <c r="I956" s="65"/>
      <c r="J956" s="65"/>
      <c r="K956" s="87"/>
      <c r="L956" s="88"/>
    </row>
    <row r="957" spans="6:12" ht="12.5">
      <c r="F957" s="86"/>
      <c r="G957" s="86"/>
      <c r="H957" s="86"/>
      <c r="I957" s="65"/>
      <c r="J957" s="65"/>
      <c r="K957" s="87"/>
      <c r="L957" s="88"/>
    </row>
    <row r="958" spans="6:12" ht="12.5">
      <c r="F958" s="86"/>
      <c r="G958" s="86"/>
      <c r="H958" s="86"/>
      <c r="I958" s="65"/>
      <c r="J958" s="65"/>
      <c r="K958" s="87"/>
      <c r="L958" s="88"/>
    </row>
    <row r="959" spans="6:12" ht="12.5">
      <c r="F959" s="86"/>
      <c r="G959" s="86"/>
      <c r="H959" s="86"/>
      <c r="I959" s="65"/>
      <c r="J959" s="65"/>
      <c r="K959" s="87"/>
      <c r="L959" s="88"/>
    </row>
    <row r="960" spans="6:12" ht="12.5">
      <c r="F960" s="86"/>
      <c r="G960" s="86"/>
      <c r="H960" s="86"/>
      <c r="I960" s="65"/>
      <c r="J960" s="65"/>
      <c r="K960" s="87"/>
      <c r="L960" s="88"/>
    </row>
    <row r="961" spans="6:12" ht="12.5">
      <c r="F961" s="86"/>
      <c r="G961" s="86"/>
      <c r="H961" s="86"/>
      <c r="I961" s="65"/>
      <c r="J961" s="65"/>
      <c r="K961" s="87"/>
      <c r="L961" s="88"/>
    </row>
    <row r="962" spans="6:12" ht="12.5">
      <c r="F962" s="86"/>
      <c r="G962" s="86"/>
      <c r="H962" s="86"/>
      <c r="I962" s="65"/>
      <c r="J962" s="65"/>
      <c r="K962" s="87"/>
      <c r="L962" s="88"/>
    </row>
    <row r="963" spans="6:12" ht="12.5">
      <c r="F963" s="86"/>
      <c r="G963" s="86"/>
      <c r="H963" s="86"/>
      <c r="I963" s="65"/>
      <c r="J963" s="65"/>
      <c r="K963" s="87"/>
      <c r="L963" s="88"/>
    </row>
    <row r="964" spans="6:12" ht="12.5">
      <c r="F964" s="86"/>
      <c r="G964" s="86"/>
      <c r="H964" s="86"/>
      <c r="I964" s="65"/>
      <c r="J964" s="65"/>
      <c r="K964" s="87"/>
      <c r="L964" s="88"/>
    </row>
    <row r="965" spans="6:12" ht="12.5">
      <c r="F965" s="86"/>
      <c r="G965" s="86"/>
      <c r="H965" s="86"/>
      <c r="I965" s="65"/>
      <c r="J965" s="65"/>
      <c r="K965" s="87"/>
      <c r="L965" s="88"/>
    </row>
    <row r="966" spans="6:12" ht="12.5">
      <c r="F966" s="86"/>
      <c r="G966" s="86"/>
      <c r="H966" s="86"/>
      <c r="I966" s="65"/>
      <c r="J966" s="65"/>
      <c r="K966" s="87"/>
      <c r="L966" s="88"/>
    </row>
    <row r="967" spans="6:12" ht="12.5">
      <c r="F967" s="86"/>
      <c r="G967" s="86"/>
      <c r="H967" s="86"/>
      <c r="I967" s="65"/>
      <c r="J967" s="65"/>
      <c r="K967" s="87"/>
      <c r="L967" s="88"/>
    </row>
    <row r="968" spans="6:12" ht="12.5">
      <c r="F968" s="86"/>
      <c r="G968" s="86"/>
      <c r="H968" s="86"/>
      <c r="I968" s="65"/>
      <c r="J968" s="65"/>
      <c r="K968" s="87"/>
      <c r="L968" s="88"/>
    </row>
    <row r="969" spans="6:12" ht="12.5">
      <c r="F969" s="86"/>
      <c r="G969" s="86"/>
      <c r="H969" s="86"/>
      <c r="I969" s="65"/>
      <c r="J969" s="65"/>
      <c r="K969" s="87"/>
      <c r="L969" s="88"/>
    </row>
    <row r="970" spans="6:12" ht="12.5">
      <c r="F970" s="86"/>
      <c r="G970" s="86"/>
      <c r="H970" s="86"/>
      <c r="I970" s="65"/>
      <c r="J970" s="65"/>
      <c r="K970" s="87"/>
      <c r="L970" s="88"/>
    </row>
    <row r="971" spans="6:12" ht="12.5">
      <c r="F971" s="86"/>
      <c r="G971" s="86"/>
      <c r="H971" s="86"/>
      <c r="I971" s="65"/>
      <c r="J971" s="65"/>
      <c r="K971" s="87"/>
      <c r="L971" s="88"/>
    </row>
    <row r="972" spans="6:12" ht="12.5">
      <c r="F972" s="86"/>
      <c r="G972" s="86"/>
      <c r="H972" s="86"/>
      <c r="I972" s="65"/>
      <c r="J972" s="65"/>
      <c r="K972" s="87"/>
      <c r="L972" s="88"/>
    </row>
    <row r="973" spans="6:12" ht="12.5">
      <c r="F973" s="86"/>
      <c r="G973" s="86"/>
      <c r="H973" s="86"/>
      <c r="I973" s="65"/>
      <c r="J973" s="65"/>
      <c r="K973" s="87"/>
      <c r="L973" s="88"/>
    </row>
    <row r="974" spans="6:12" ht="12.5">
      <c r="F974" s="86"/>
      <c r="G974" s="86"/>
      <c r="H974" s="86"/>
      <c r="I974" s="65"/>
      <c r="J974" s="65"/>
      <c r="K974" s="87"/>
      <c r="L974" s="88"/>
    </row>
    <row r="975" spans="6:12" ht="12.5">
      <c r="F975" s="86"/>
      <c r="G975" s="86"/>
      <c r="H975" s="86"/>
      <c r="I975" s="65"/>
      <c r="J975" s="65"/>
      <c r="K975" s="87"/>
      <c r="L975" s="88"/>
    </row>
    <row r="976" spans="6:12" ht="12.5">
      <c r="F976" s="86"/>
      <c r="G976" s="86"/>
      <c r="H976" s="86"/>
      <c r="I976" s="65"/>
      <c r="J976" s="65"/>
      <c r="K976" s="87"/>
      <c r="L976" s="88"/>
    </row>
    <row r="977" spans="6:12" ht="12.5">
      <c r="F977" s="86"/>
      <c r="G977" s="86"/>
      <c r="H977" s="86"/>
      <c r="I977" s="65"/>
      <c r="J977" s="65"/>
      <c r="K977" s="87"/>
      <c r="L977" s="88"/>
    </row>
    <row r="978" spans="6:12" ht="12.5">
      <c r="F978" s="86"/>
      <c r="G978" s="86"/>
      <c r="H978" s="86"/>
      <c r="I978" s="65"/>
      <c r="J978" s="65"/>
      <c r="K978" s="87"/>
      <c r="L978" s="88"/>
    </row>
    <row r="979" spans="6:12" ht="12.5">
      <c r="F979" s="86"/>
      <c r="G979" s="86"/>
      <c r="H979" s="86"/>
      <c r="I979" s="65"/>
      <c r="J979" s="65"/>
      <c r="K979" s="87"/>
      <c r="L979" s="88"/>
    </row>
    <row r="980" spans="6:12" ht="12.5">
      <c r="F980" s="86"/>
      <c r="G980" s="86"/>
      <c r="H980" s="86"/>
      <c r="I980" s="65"/>
      <c r="J980" s="65"/>
      <c r="K980" s="87"/>
      <c r="L980" s="88"/>
    </row>
    <row r="981" spans="6:12" ht="12.5">
      <c r="F981" s="86"/>
      <c r="G981" s="86"/>
      <c r="H981" s="86"/>
      <c r="I981" s="65"/>
      <c r="J981" s="65"/>
      <c r="K981" s="87"/>
      <c r="L981" s="88"/>
    </row>
    <row r="982" spans="6:12" ht="12.5">
      <c r="F982" s="86"/>
      <c r="G982" s="86"/>
      <c r="H982" s="86"/>
      <c r="I982" s="65"/>
      <c r="J982" s="65"/>
      <c r="K982" s="87"/>
      <c r="L982" s="88"/>
    </row>
    <row r="983" spans="6:12" ht="12.5">
      <c r="F983" s="86"/>
      <c r="G983" s="86"/>
      <c r="H983" s="86"/>
      <c r="I983" s="65"/>
      <c r="J983" s="65"/>
      <c r="K983" s="87"/>
      <c r="L983" s="88"/>
    </row>
    <row r="984" spans="6:12" ht="12.5">
      <c r="F984" s="86"/>
      <c r="G984" s="86"/>
      <c r="H984" s="86"/>
      <c r="I984" s="65"/>
      <c r="J984" s="65"/>
      <c r="K984" s="87"/>
      <c r="L984" s="88"/>
    </row>
    <row r="985" spans="6:12" ht="12.5">
      <c r="F985" s="86"/>
      <c r="G985" s="86"/>
      <c r="H985" s="86"/>
      <c r="I985" s="65"/>
      <c r="J985" s="65"/>
      <c r="K985" s="87"/>
      <c r="L985" s="88"/>
    </row>
    <row r="986" spans="6:12" ht="12.5">
      <c r="F986" s="86"/>
      <c r="G986" s="86"/>
      <c r="H986" s="86"/>
      <c r="I986" s="65"/>
      <c r="J986" s="65"/>
      <c r="K986" s="87"/>
      <c r="L986" s="88"/>
    </row>
    <row r="987" spans="6:12" ht="12.5">
      <c r="F987" s="86"/>
      <c r="G987" s="86"/>
      <c r="H987" s="86"/>
      <c r="I987" s="65"/>
      <c r="J987" s="65"/>
      <c r="K987" s="87"/>
      <c r="L987" s="88"/>
    </row>
    <row r="988" spans="6:12" ht="12.5">
      <c r="F988" s="86"/>
      <c r="G988" s="86"/>
      <c r="H988" s="86"/>
      <c r="I988" s="65"/>
      <c r="J988" s="65"/>
      <c r="K988" s="87"/>
      <c r="L988" s="88"/>
    </row>
    <row r="989" spans="6:12" ht="12.5">
      <c r="F989" s="86"/>
      <c r="G989" s="86"/>
      <c r="H989" s="86"/>
      <c r="I989" s="65"/>
      <c r="J989" s="65"/>
      <c r="K989" s="87"/>
      <c r="L989" s="88"/>
    </row>
    <row r="990" spans="6:12" ht="12.5">
      <c r="F990" s="86"/>
      <c r="G990" s="86"/>
      <c r="H990" s="86"/>
      <c r="I990" s="65"/>
      <c r="J990" s="65"/>
      <c r="K990" s="87"/>
      <c r="L990" s="88"/>
    </row>
    <row r="991" spans="6:12" ht="12.5">
      <c r="F991" s="86"/>
      <c r="G991" s="86"/>
      <c r="H991" s="86"/>
      <c r="I991" s="65"/>
      <c r="J991" s="65"/>
      <c r="K991" s="87"/>
      <c r="L991" s="88"/>
    </row>
    <row r="992" spans="6:12" ht="12.5">
      <c r="F992" s="86"/>
      <c r="G992" s="86"/>
      <c r="H992" s="86"/>
      <c r="I992" s="65"/>
      <c r="J992" s="65"/>
      <c r="K992" s="87"/>
      <c r="L992" s="88"/>
    </row>
    <row r="993" spans="6:12" ht="12.5">
      <c r="F993" s="86"/>
      <c r="G993" s="86"/>
      <c r="H993" s="86"/>
      <c r="I993" s="65"/>
      <c r="J993" s="65"/>
      <c r="K993" s="87"/>
      <c r="L993" s="88"/>
    </row>
    <row r="994" spans="6:12" ht="12.5">
      <c r="F994" s="86"/>
      <c r="G994" s="86"/>
      <c r="H994" s="86"/>
      <c r="I994" s="65"/>
      <c r="J994" s="65"/>
      <c r="K994" s="87"/>
      <c r="L994" s="88"/>
    </row>
    <row r="995" spans="6:12" ht="12.5">
      <c r="F995" s="86"/>
      <c r="G995" s="86"/>
      <c r="H995" s="86"/>
      <c r="I995" s="65"/>
      <c r="J995" s="65"/>
      <c r="K995" s="87"/>
      <c r="L995" s="88"/>
    </row>
    <row r="996" spans="6:12" ht="12.5">
      <c r="F996" s="86"/>
      <c r="G996" s="86"/>
      <c r="H996" s="86"/>
      <c r="I996" s="65"/>
      <c r="J996" s="65"/>
      <c r="K996" s="87"/>
      <c r="L996" s="88"/>
    </row>
    <row r="997" spans="6:12" ht="12.5">
      <c r="F997" s="86"/>
      <c r="G997" s="86"/>
      <c r="H997" s="86"/>
      <c r="I997" s="65"/>
      <c r="J997" s="65"/>
      <c r="K997" s="87"/>
      <c r="L997" s="88"/>
    </row>
    <row r="998" spans="6:12" ht="12.5">
      <c r="F998" s="86"/>
      <c r="G998" s="86"/>
      <c r="H998" s="86"/>
      <c r="I998" s="65"/>
      <c r="J998" s="65"/>
      <c r="K998" s="87"/>
      <c r="L998" s="88"/>
    </row>
    <row r="999" spans="6:12" ht="12.5">
      <c r="F999" s="86"/>
      <c r="G999" s="86"/>
      <c r="H999" s="86"/>
      <c r="I999" s="65"/>
      <c r="J999" s="65"/>
      <c r="K999" s="87"/>
      <c r="L999" s="88"/>
    </row>
    <row r="1000" spans="6:12" ht="12.5">
      <c r="F1000" s="89"/>
      <c r="G1000" s="89"/>
      <c r="H1000" s="89"/>
      <c r="I1000" s="90"/>
      <c r="J1000" s="65"/>
      <c r="K1000" s="91"/>
      <c r="L1000" s="50"/>
    </row>
    <row r="1001" spans="6:12" ht="12.5">
      <c r="F1001" s="89"/>
      <c r="G1001" s="89"/>
      <c r="H1001" s="89"/>
      <c r="I1001" s="90"/>
      <c r="J1001" s="92"/>
    </row>
    <row r="1002" spans="6:12" ht="12.5">
      <c r="F1002" s="89"/>
      <c r="G1002" s="89"/>
      <c r="H1002" s="89"/>
      <c r="I1002" s="90"/>
      <c r="J1002" s="9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AP17"/>
  <sheetViews>
    <sheetView workbookViewId="0"/>
  </sheetViews>
  <sheetFormatPr defaultColWidth="12.54296875" defaultRowHeight="15" customHeight="1"/>
  <sheetData>
    <row r="1" spans="1:42">
      <c r="A1" s="93" t="s">
        <v>685</v>
      </c>
      <c r="B1" s="93" t="s">
        <v>686</v>
      </c>
      <c r="C1" s="93" t="s">
        <v>687</v>
      </c>
      <c r="D1" s="93" t="s">
        <v>688</v>
      </c>
      <c r="E1" s="93" t="s">
        <v>147</v>
      </c>
      <c r="F1" s="93" t="s">
        <v>689</v>
      </c>
      <c r="G1" s="93" t="s">
        <v>690</v>
      </c>
      <c r="H1" s="93" t="s">
        <v>154</v>
      </c>
      <c r="I1" s="93" t="s">
        <v>691</v>
      </c>
      <c r="J1" s="93" t="s">
        <v>692</v>
      </c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</row>
    <row r="2" spans="1:42">
      <c r="A2" s="94">
        <v>3</v>
      </c>
      <c r="B2" s="93" t="s">
        <v>693</v>
      </c>
      <c r="C2" s="94">
        <v>48.218000000000004</v>
      </c>
      <c r="D2" s="94">
        <v>239.822</v>
      </c>
      <c r="E2" s="94">
        <v>20140715</v>
      </c>
      <c r="F2" s="94">
        <v>1728</v>
      </c>
      <c r="G2" s="94">
        <v>1</v>
      </c>
      <c r="H2" s="94">
        <v>1.32</v>
      </c>
      <c r="I2" s="94">
        <v>1728</v>
      </c>
      <c r="J2" s="94">
        <v>0.11</v>
      </c>
    </row>
    <row r="3" spans="1:42">
      <c r="A3" s="94">
        <v>3</v>
      </c>
      <c r="B3" s="93" t="s">
        <v>693</v>
      </c>
      <c r="C3" s="94">
        <v>48.218000000000004</v>
      </c>
      <c r="D3" s="94">
        <v>239.822</v>
      </c>
      <c r="E3" s="94">
        <v>20140716</v>
      </c>
      <c r="F3" s="94">
        <v>7274</v>
      </c>
      <c r="G3" s="94">
        <v>2</v>
      </c>
      <c r="H3" s="94">
        <v>1.39</v>
      </c>
      <c r="I3" s="94">
        <v>5546</v>
      </c>
      <c r="J3" s="94">
        <v>0.35</v>
      </c>
    </row>
    <row r="4" spans="1:42">
      <c r="A4" s="94">
        <v>3</v>
      </c>
      <c r="B4" s="93" t="s">
        <v>693</v>
      </c>
      <c r="C4" s="94">
        <v>48.218000000000004</v>
      </c>
      <c r="D4" s="94">
        <v>239.822</v>
      </c>
      <c r="E4" s="94">
        <v>20140717</v>
      </c>
      <c r="F4" s="94">
        <v>167712</v>
      </c>
      <c r="G4" s="94">
        <v>3</v>
      </c>
      <c r="H4" s="94">
        <v>10.32</v>
      </c>
      <c r="I4" s="94">
        <v>160438</v>
      </c>
      <c r="J4" s="94">
        <v>10.16</v>
      </c>
    </row>
    <row r="5" spans="1:42">
      <c r="A5" s="94">
        <v>3</v>
      </c>
      <c r="B5" s="93" t="s">
        <v>693</v>
      </c>
      <c r="C5" s="94">
        <v>48.218000000000004</v>
      </c>
      <c r="D5" s="94">
        <v>239.822</v>
      </c>
      <c r="E5" s="94">
        <v>20140718</v>
      </c>
      <c r="F5" s="94">
        <v>215152</v>
      </c>
      <c r="G5" s="94">
        <v>4</v>
      </c>
      <c r="H5" s="94">
        <v>1.73</v>
      </c>
      <c r="I5" s="94">
        <v>47440</v>
      </c>
      <c r="J5" s="94">
        <v>3</v>
      </c>
    </row>
    <row r="6" spans="1:42">
      <c r="A6" s="94">
        <v>3</v>
      </c>
      <c r="B6" s="93" t="s">
        <v>693</v>
      </c>
      <c r="C6" s="94">
        <v>48.218000000000004</v>
      </c>
      <c r="D6" s="94">
        <v>239.822</v>
      </c>
      <c r="E6" s="94">
        <v>20140719</v>
      </c>
      <c r="F6" s="94">
        <v>237890</v>
      </c>
      <c r="G6" s="94">
        <v>5</v>
      </c>
      <c r="H6" s="94">
        <v>0.76</v>
      </c>
      <c r="I6" s="94">
        <v>22738</v>
      </c>
      <c r="J6" s="94">
        <v>1.44</v>
      </c>
    </row>
    <row r="7" spans="1:42">
      <c r="A7" s="94">
        <v>3</v>
      </c>
      <c r="B7" s="93" t="s">
        <v>693</v>
      </c>
      <c r="C7" s="94">
        <v>48.218000000000004</v>
      </c>
      <c r="D7" s="94">
        <v>239.822</v>
      </c>
      <c r="E7" s="94">
        <v>20140720</v>
      </c>
      <c r="F7" s="94">
        <v>243291</v>
      </c>
      <c r="G7" s="94">
        <v>6</v>
      </c>
      <c r="H7" s="94">
        <v>0.18</v>
      </c>
      <c r="I7" s="94">
        <v>5401</v>
      </c>
      <c r="J7" s="94">
        <v>0.34</v>
      </c>
    </row>
    <row r="8" spans="1:42">
      <c r="A8" s="94">
        <v>3</v>
      </c>
      <c r="B8" s="93" t="s">
        <v>693</v>
      </c>
      <c r="C8" s="94">
        <v>48.218000000000004</v>
      </c>
      <c r="D8" s="94">
        <v>239.822</v>
      </c>
      <c r="E8" s="94">
        <v>20140721</v>
      </c>
      <c r="F8" s="94">
        <v>250136</v>
      </c>
      <c r="G8" s="94">
        <v>7</v>
      </c>
      <c r="H8" s="94">
        <v>0.22</v>
      </c>
      <c r="I8" s="94">
        <v>6845</v>
      </c>
      <c r="J8" s="94">
        <v>0.43</v>
      </c>
    </row>
    <row r="9" spans="1:42">
      <c r="A9" s="94">
        <v>3</v>
      </c>
      <c r="B9" s="93" t="s">
        <v>693</v>
      </c>
      <c r="C9" s="94">
        <v>48.218000000000004</v>
      </c>
      <c r="D9" s="94">
        <v>239.822</v>
      </c>
      <c r="E9" s="94">
        <v>20140722</v>
      </c>
      <c r="F9" s="94">
        <v>250259</v>
      </c>
      <c r="G9" s="94">
        <v>8</v>
      </c>
      <c r="H9" s="94">
        <v>0</v>
      </c>
      <c r="I9" s="94">
        <v>123</v>
      </c>
      <c r="J9" s="94">
        <v>0.01</v>
      </c>
    </row>
    <row r="10" spans="1:42">
      <c r="A10" s="94">
        <v>3</v>
      </c>
      <c r="B10" s="93" t="s">
        <v>693</v>
      </c>
      <c r="C10" s="94">
        <v>48.218000000000004</v>
      </c>
      <c r="D10" s="94">
        <v>239.822</v>
      </c>
      <c r="E10" s="94">
        <v>20140723</v>
      </c>
      <c r="F10" s="94">
        <v>250491</v>
      </c>
      <c r="G10" s="94">
        <v>9</v>
      </c>
      <c r="H10" s="94">
        <v>0.01</v>
      </c>
      <c r="I10" s="94">
        <v>232</v>
      </c>
      <c r="J10" s="94">
        <v>0.01</v>
      </c>
    </row>
    <row r="11" spans="1:42">
      <c r="A11" s="94">
        <v>3</v>
      </c>
      <c r="B11" s="93" t="s">
        <v>693</v>
      </c>
      <c r="C11" s="94">
        <v>48.218000000000004</v>
      </c>
      <c r="D11" s="94">
        <v>239.822</v>
      </c>
      <c r="E11" s="94">
        <v>20140724</v>
      </c>
      <c r="F11" s="94">
        <v>250514</v>
      </c>
      <c r="G11" s="94">
        <v>10</v>
      </c>
      <c r="H11" s="94">
        <v>0</v>
      </c>
      <c r="I11" s="94">
        <v>23</v>
      </c>
      <c r="J11" s="94">
        <v>0</v>
      </c>
    </row>
    <row r="12" spans="1:42">
      <c r="A12" s="94">
        <v>3</v>
      </c>
      <c r="B12" s="93" t="s">
        <v>693</v>
      </c>
      <c r="C12" s="94">
        <v>48.218000000000004</v>
      </c>
      <c r="D12" s="94">
        <v>239.822</v>
      </c>
      <c r="E12" s="94">
        <v>20140725</v>
      </c>
      <c r="F12" s="93"/>
      <c r="G12" s="94">
        <v>11</v>
      </c>
      <c r="H12" s="93"/>
      <c r="I12" s="93"/>
      <c r="J12" s="93"/>
    </row>
    <row r="13" spans="1:42">
      <c r="A13" s="94">
        <v>3</v>
      </c>
      <c r="B13" s="93" t="s">
        <v>693</v>
      </c>
      <c r="C13" s="94">
        <v>48.218000000000004</v>
      </c>
      <c r="D13" s="94">
        <v>239.822</v>
      </c>
      <c r="E13" s="94">
        <v>20140726</v>
      </c>
      <c r="F13" s="94">
        <v>250652</v>
      </c>
      <c r="G13" s="94">
        <v>12</v>
      </c>
      <c r="H13" s="93"/>
      <c r="I13" s="93"/>
      <c r="J13" s="93"/>
    </row>
    <row r="14" spans="1:42">
      <c r="A14" s="94">
        <v>3</v>
      </c>
      <c r="B14" s="93" t="s">
        <v>693</v>
      </c>
      <c r="C14" s="94">
        <v>48.218000000000004</v>
      </c>
      <c r="D14" s="94">
        <v>239.822</v>
      </c>
      <c r="E14" s="94">
        <v>20140727</v>
      </c>
      <c r="F14" s="94">
        <v>250806</v>
      </c>
      <c r="G14" s="94">
        <v>13</v>
      </c>
      <c r="H14" s="94">
        <v>0</v>
      </c>
      <c r="I14" s="94">
        <v>154</v>
      </c>
      <c r="J14" s="94">
        <v>0.01</v>
      </c>
    </row>
    <row r="15" spans="1:42">
      <c r="A15" s="94">
        <v>3</v>
      </c>
      <c r="B15" s="93" t="s">
        <v>693</v>
      </c>
      <c r="C15" s="94">
        <v>48.218000000000004</v>
      </c>
      <c r="D15" s="94">
        <v>239.822</v>
      </c>
      <c r="E15" s="94">
        <v>20140728</v>
      </c>
      <c r="F15" s="94">
        <v>251025</v>
      </c>
      <c r="G15" s="94">
        <v>14</v>
      </c>
      <c r="H15" s="94">
        <v>0.01</v>
      </c>
      <c r="I15" s="94">
        <v>219</v>
      </c>
      <c r="J15" s="94">
        <v>0.01</v>
      </c>
    </row>
    <row r="16" spans="1:42">
      <c r="A16" s="94">
        <v>3</v>
      </c>
      <c r="B16" s="93" t="s">
        <v>693</v>
      </c>
      <c r="C16" s="94">
        <v>48.218000000000004</v>
      </c>
      <c r="D16" s="94">
        <v>239.822</v>
      </c>
      <c r="E16" s="94">
        <v>20140729</v>
      </c>
      <c r="F16" s="94">
        <v>251698</v>
      </c>
      <c r="G16" s="94">
        <v>15</v>
      </c>
      <c r="H16" s="94">
        <v>0.02</v>
      </c>
      <c r="I16" s="94">
        <v>673</v>
      </c>
      <c r="J16" s="94">
        <v>0.04</v>
      </c>
    </row>
    <row r="17" spans="1:10">
      <c r="A17" s="94">
        <v>3</v>
      </c>
      <c r="B17" s="93" t="s">
        <v>693</v>
      </c>
      <c r="C17" s="94">
        <v>48.218000000000004</v>
      </c>
      <c r="D17" s="94">
        <v>239.822</v>
      </c>
      <c r="E17" s="94">
        <v>20140730</v>
      </c>
      <c r="F17" s="94">
        <v>252761</v>
      </c>
      <c r="G17" s="94">
        <v>16</v>
      </c>
      <c r="H17" s="94">
        <v>0.03</v>
      </c>
      <c r="I17" s="94">
        <v>1063</v>
      </c>
      <c r="J17" s="94">
        <v>7.0000000000000007E-2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F35"/>
  <sheetViews>
    <sheetView workbookViewId="0"/>
  </sheetViews>
  <sheetFormatPr defaultColWidth="12.54296875" defaultRowHeight="15" customHeight="1"/>
  <sheetData>
    <row r="1" spans="1:6">
      <c r="A1" s="93" t="s">
        <v>147</v>
      </c>
      <c r="B1" s="93" t="s">
        <v>690</v>
      </c>
      <c r="C1" s="93" t="s">
        <v>689</v>
      </c>
      <c r="D1" s="93" t="s">
        <v>154</v>
      </c>
      <c r="E1" s="93" t="s">
        <v>691</v>
      </c>
      <c r="F1" s="93" t="s">
        <v>692</v>
      </c>
    </row>
    <row r="2" spans="1:6">
      <c r="A2" s="94">
        <v>20080622</v>
      </c>
      <c r="B2" s="94">
        <v>1</v>
      </c>
      <c r="C2" s="94">
        <v>2000</v>
      </c>
      <c r="D2" s="94">
        <v>3.77</v>
      </c>
      <c r="E2" s="94">
        <v>2000</v>
      </c>
      <c r="F2" s="94">
        <v>0.42</v>
      </c>
    </row>
    <row r="3" spans="1:6">
      <c r="A3" s="94">
        <v>20080623</v>
      </c>
      <c r="B3" s="94">
        <v>2</v>
      </c>
      <c r="C3" s="94">
        <v>8500</v>
      </c>
      <c r="D3" s="94">
        <v>4</v>
      </c>
      <c r="E3" s="94">
        <v>6500</v>
      </c>
      <c r="F3" s="94">
        <v>1.36</v>
      </c>
    </row>
    <row r="4" spans="1:6">
      <c r="A4" s="94">
        <v>20080624</v>
      </c>
      <c r="B4" s="94">
        <v>3</v>
      </c>
      <c r="C4" s="94">
        <v>13550</v>
      </c>
      <c r="D4" s="94">
        <v>2.04</v>
      </c>
      <c r="E4" s="94">
        <v>5050</v>
      </c>
      <c r="F4" s="94">
        <v>1.05</v>
      </c>
    </row>
    <row r="5" spans="1:6">
      <c r="A5" s="94">
        <v>20080625</v>
      </c>
      <c r="B5" s="94">
        <v>4</v>
      </c>
      <c r="C5" s="94">
        <v>20600</v>
      </c>
      <c r="D5" s="94">
        <v>2.29</v>
      </c>
      <c r="E5" s="94">
        <v>7050</v>
      </c>
      <c r="F5" s="94">
        <v>1.47</v>
      </c>
    </row>
    <row r="6" spans="1:6">
      <c r="A6" s="94">
        <v>20080626</v>
      </c>
      <c r="B6" s="94">
        <v>5</v>
      </c>
      <c r="C6" s="94">
        <v>26763</v>
      </c>
      <c r="D6" s="94">
        <v>1.69</v>
      </c>
      <c r="E6" s="94">
        <v>6163</v>
      </c>
      <c r="F6" s="94">
        <v>1.29</v>
      </c>
    </row>
    <row r="7" spans="1:6">
      <c r="A7" s="94">
        <v>20080627</v>
      </c>
      <c r="B7" s="94">
        <v>6</v>
      </c>
      <c r="C7" s="94">
        <v>26876</v>
      </c>
      <c r="D7" s="94">
        <v>0.03</v>
      </c>
      <c r="E7" s="94">
        <v>113</v>
      </c>
      <c r="F7" s="94">
        <v>0.02</v>
      </c>
    </row>
    <row r="8" spans="1:6">
      <c r="A8" s="94">
        <v>20080628</v>
      </c>
      <c r="B8" s="94">
        <v>7</v>
      </c>
      <c r="C8" s="94">
        <v>30043</v>
      </c>
      <c r="D8" s="94">
        <v>0.79</v>
      </c>
      <c r="E8" s="94">
        <v>3167</v>
      </c>
      <c r="F8" s="94">
        <v>0.66</v>
      </c>
    </row>
    <row r="9" spans="1:6">
      <c r="A9" s="94">
        <v>20080629</v>
      </c>
      <c r="B9" s="94">
        <v>8</v>
      </c>
      <c r="C9" s="94">
        <v>35286</v>
      </c>
      <c r="D9" s="94">
        <v>1.22</v>
      </c>
      <c r="E9" s="94">
        <v>5243</v>
      </c>
      <c r="F9" s="94">
        <v>1.0900000000000001</v>
      </c>
    </row>
    <row r="10" spans="1:6">
      <c r="A10" s="94">
        <v>20080630</v>
      </c>
      <c r="B10" s="94">
        <v>9</v>
      </c>
      <c r="C10" s="94">
        <v>39906</v>
      </c>
      <c r="D10" s="94">
        <v>1</v>
      </c>
      <c r="E10" s="94">
        <v>4620</v>
      </c>
      <c r="F10" s="94">
        <v>0.96</v>
      </c>
    </row>
    <row r="11" spans="1:6">
      <c r="A11" s="94">
        <v>20080701</v>
      </c>
      <c r="B11" s="94">
        <v>10</v>
      </c>
      <c r="C11" s="94">
        <v>51985</v>
      </c>
      <c r="D11" s="94">
        <v>2.38</v>
      </c>
      <c r="E11" s="94">
        <v>12079</v>
      </c>
      <c r="F11" s="94">
        <v>2.52</v>
      </c>
    </row>
    <row r="12" spans="1:6">
      <c r="A12" s="94">
        <v>20080702</v>
      </c>
      <c r="B12" s="94">
        <v>11</v>
      </c>
      <c r="C12" s="94">
        <v>61275</v>
      </c>
      <c r="D12" s="94">
        <v>1.65</v>
      </c>
      <c r="E12" s="94">
        <v>9290</v>
      </c>
      <c r="F12" s="94">
        <v>1.94</v>
      </c>
    </row>
    <row r="13" spans="1:6">
      <c r="A13" s="94">
        <v>20080703</v>
      </c>
      <c r="B13" s="94">
        <v>12</v>
      </c>
      <c r="C13" s="94">
        <v>64305</v>
      </c>
      <c r="D13" s="94">
        <v>0.51</v>
      </c>
      <c r="E13" s="94">
        <v>3030</v>
      </c>
      <c r="F13" s="94">
        <v>0.63</v>
      </c>
    </row>
    <row r="14" spans="1:6">
      <c r="A14" s="94">
        <v>20080704</v>
      </c>
      <c r="B14" s="94">
        <v>13</v>
      </c>
      <c r="C14" s="94">
        <v>68712</v>
      </c>
      <c r="D14" s="94">
        <v>0.72</v>
      </c>
      <c r="E14" s="94">
        <v>4407</v>
      </c>
      <c r="F14" s="94">
        <v>0.92</v>
      </c>
    </row>
    <row r="15" spans="1:6">
      <c r="A15" s="94">
        <v>20080705</v>
      </c>
      <c r="B15" s="94">
        <v>14</v>
      </c>
      <c r="C15" s="94">
        <v>71285</v>
      </c>
      <c r="D15" s="94">
        <v>0.41</v>
      </c>
      <c r="E15" s="94">
        <v>2573</v>
      </c>
      <c r="F15" s="94">
        <v>0.54</v>
      </c>
    </row>
    <row r="16" spans="1:6">
      <c r="A16" s="94">
        <v>20080706</v>
      </c>
      <c r="B16" s="94">
        <v>15</v>
      </c>
      <c r="C16" s="94">
        <v>74985</v>
      </c>
      <c r="D16" s="94">
        <v>0.57999999999999996</v>
      </c>
      <c r="E16" s="94">
        <v>3700</v>
      </c>
      <c r="F16" s="94">
        <v>0.77</v>
      </c>
    </row>
    <row r="17" spans="1:6">
      <c r="A17" s="94">
        <v>20080707</v>
      </c>
      <c r="B17" s="94">
        <v>16</v>
      </c>
      <c r="C17" s="94">
        <v>80186</v>
      </c>
      <c r="D17" s="94">
        <v>0.79</v>
      </c>
      <c r="E17" s="94">
        <v>5201</v>
      </c>
      <c r="F17" s="94">
        <v>1.0900000000000001</v>
      </c>
    </row>
    <row r="18" spans="1:6">
      <c r="A18" s="94">
        <v>20080708</v>
      </c>
      <c r="B18" s="94">
        <v>17</v>
      </c>
      <c r="C18" s="94">
        <v>85717</v>
      </c>
      <c r="D18" s="94">
        <v>0.81</v>
      </c>
      <c r="E18" s="94">
        <v>5531</v>
      </c>
      <c r="F18" s="94">
        <v>1.1499999999999999</v>
      </c>
    </row>
    <row r="19" spans="1:6">
      <c r="A19" s="94">
        <v>20080709</v>
      </c>
      <c r="B19" s="94">
        <v>18</v>
      </c>
      <c r="C19" s="94">
        <v>89735</v>
      </c>
      <c r="D19" s="94">
        <v>0.56999999999999995</v>
      </c>
      <c r="E19" s="94">
        <v>4018</v>
      </c>
      <c r="F19" s="94">
        <v>0.84</v>
      </c>
    </row>
    <row r="20" spans="1:6">
      <c r="A20" s="94">
        <v>20080710</v>
      </c>
      <c r="B20" s="94">
        <v>19</v>
      </c>
      <c r="C20" s="94">
        <v>99021</v>
      </c>
      <c r="D20" s="94">
        <v>1.27</v>
      </c>
      <c r="E20" s="94">
        <v>9286</v>
      </c>
      <c r="F20" s="94">
        <v>1.94</v>
      </c>
    </row>
    <row r="21" spans="1:6">
      <c r="A21" s="94">
        <v>20080711</v>
      </c>
      <c r="B21" s="94">
        <v>20</v>
      </c>
      <c r="C21" s="94">
        <v>113827</v>
      </c>
      <c r="D21" s="94">
        <v>1.91</v>
      </c>
      <c r="E21" s="94">
        <v>14806</v>
      </c>
      <c r="F21" s="94">
        <v>3.09</v>
      </c>
    </row>
    <row r="22" spans="1:6">
      <c r="A22" s="94">
        <v>20080712</v>
      </c>
      <c r="B22" s="94">
        <v>21</v>
      </c>
      <c r="C22" s="94">
        <v>116829</v>
      </c>
      <c r="D22" s="94">
        <v>0.37</v>
      </c>
      <c r="E22" s="94">
        <v>3002</v>
      </c>
      <c r="F22" s="94">
        <v>0.63</v>
      </c>
    </row>
    <row r="23" spans="1:6">
      <c r="A23" s="94">
        <v>20080713</v>
      </c>
      <c r="B23" s="94">
        <v>22</v>
      </c>
      <c r="C23" s="94">
        <v>119728</v>
      </c>
      <c r="D23" s="94">
        <v>0.36</v>
      </c>
      <c r="E23" s="94">
        <v>2899</v>
      </c>
      <c r="F23" s="94">
        <v>0.61</v>
      </c>
    </row>
    <row r="24" spans="1:6">
      <c r="A24" s="94">
        <v>20080714</v>
      </c>
      <c r="B24" s="94">
        <v>23</v>
      </c>
      <c r="C24" s="94">
        <v>120386</v>
      </c>
      <c r="D24" s="94">
        <v>0.08</v>
      </c>
      <c r="E24" s="94">
        <v>658</v>
      </c>
      <c r="F24" s="94">
        <v>0.14000000000000001</v>
      </c>
    </row>
    <row r="25" spans="1:6">
      <c r="A25" s="94">
        <v>20080715</v>
      </c>
      <c r="B25" s="94">
        <v>24</v>
      </c>
      <c r="C25" s="94">
        <v>121980</v>
      </c>
      <c r="D25" s="94">
        <v>0.19</v>
      </c>
      <c r="E25" s="94">
        <v>1594</v>
      </c>
      <c r="F25" s="94">
        <v>0.33</v>
      </c>
    </row>
    <row r="26" spans="1:6">
      <c r="A26" s="94">
        <v>20080716</v>
      </c>
      <c r="B26" s="94">
        <v>25</v>
      </c>
      <c r="C26" s="94">
        <v>122980</v>
      </c>
      <c r="D26" s="94">
        <v>0.12</v>
      </c>
      <c r="E26" s="94">
        <v>1000</v>
      </c>
      <c r="F26" s="94">
        <v>0.21</v>
      </c>
    </row>
    <row r="27" spans="1:6">
      <c r="A27" s="94">
        <v>20080717</v>
      </c>
      <c r="B27" s="94">
        <v>26</v>
      </c>
      <c r="C27" s="94">
        <v>128350</v>
      </c>
      <c r="D27" s="94">
        <v>0.64</v>
      </c>
      <c r="E27" s="94">
        <v>5370</v>
      </c>
      <c r="F27" s="94">
        <v>1.1200000000000001</v>
      </c>
    </row>
    <row r="28" spans="1:6">
      <c r="A28" s="94">
        <v>20080718</v>
      </c>
      <c r="B28" s="94">
        <v>27</v>
      </c>
      <c r="C28" s="94">
        <v>129840</v>
      </c>
      <c r="D28" s="94">
        <v>0.17</v>
      </c>
      <c r="E28" s="94">
        <v>1490</v>
      </c>
      <c r="F28" s="94">
        <v>0.31</v>
      </c>
    </row>
    <row r="29" spans="1:6">
      <c r="A29" s="94">
        <v>20080719</v>
      </c>
      <c r="B29" s="94">
        <v>28</v>
      </c>
      <c r="C29" s="94">
        <v>133709</v>
      </c>
      <c r="D29" s="94">
        <v>0.45</v>
      </c>
      <c r="E29" s="94">
        <v>3869</v>
      </c>
      <c r="F29" s="94">
        <v>0.81</v>
      </c>
    </row>
    <row r="30" spans="1:6">
      <c r="A30" s="94">
        <v>20080720</v>
      </c>
      <c r="B30" s="94">
        <v>29</v>
      </c>
      <c r="C30" s="94">
        <v>134118</v>
      </c>
      <c r="D30" s="94">
        <v>0.05</v>
      </c>
      <c r="E30" s="94">
        <v>409</v>
      </c>
      <c r="F30" s="94">
        <v>0.09</v>
      </c>
    </row>
    <row r="31" spans="1:6">
      <c r="A31" s="94">
        <v>20080721</v>
      </c>
      <c r="B31" s="94">
        <v>30</v>
      </c>
      <c r="C31" s="94">
        <v>137260</v>
      </c>
      <c r="D31" s="94">
        <v>0.36</v>
      </c>
      <c r="E31" s="94">
        <v>3142</v>
      </c>
      <c r="F31" s="94">
        <v>0.66</v>
      </c>
    </row>
    <row r="32" spans="1:6">
      <c r="A32" s="94">
        <v>20080722</v>
      </c>
      <c r="B32" s="94">
        <v>31</v>
      </c>
      <c r="C32" s="94">
        <v>138220</v>
      </c>
      <c r="D32" s="94">
        <v>0.11</v>
      </c>
      <c r="E32" s="94">
        <v>960</v>
      </c>
      <c r="F32" s="94">
        <v>0.2</v>
      </c>
    </row>
    <row r="33" spans="1:6">
      <c r="A33" s="94">
        <v>20080723</v>
      </c>
      <c r="B33" s="94">
        <v>32</v>
      </c>
      <c r="C33" s="94">
        <v>142617</v>
      </c>
      <c r="D33" s="94">
        <v>0.49</v>
      </c>
      <c r="E33" s="94">
        <v>4397</v>
      </c>
      <c r="F33" s="94">
        <v>0.92</v>
      </c>
    </row>
    <row r="34" spans="1:6">
      <c r="A34" s="94">
        <v>20080724</v>
      </c>
      <c r="B34" s="94">
        <v>33</v>
      </c>
      <c r="C34" s="94">
        <v>149924</v>
      </c>
      <c r="D34" s="94">
        <v>0.8</v>
      </c>
      <c r="E34" s="94">
        <v>7307</v>
      </c>
      <c r="F34" s="94">
        <v>1.53</v>
      </c>
    </row>
    <row r="35" spans="1:6">
      <c r="A35" s="94">
        <v>20080725</v>
      </c>
      <c r="B35" s="94">
        <v>34</v>
      </c>
      <c r="C35" s="94">
        <v>162818</v>
      </c>
      <c r="D35" s="94">
        <v>1.37</v>
      </c>
      <c r="E35" s="94">
        <v>12894</v>
      </c>
      <c r="F35" s="94">
        <v>2.69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AP81"/>
  <sheetViews>
    <sheetView workbookViewId="0"/>
  </sheetViews>
  <sheetFormatPr defaultColWidth="12.54296875" defaultRowHeight="15" customHeight="1"/>
  <sheetData>
    <row r="1" spans="1:42">
      <c r="A1" s="93" t="s">
        <v>685</v>
      </c>
      <c r="B1" s="93" t="s">
        <v>686</v>
      </c>
      <c r="C1" s="93" t="s">
        <v>687</v>
      </c>
      <c r="D1" s="93" t="s">
        <v>688</v>
      </c>
      <c r="E1" s="93" t="s">
        <v>147</v>
      </c>
      <c r="F1" s="93" t="s">
        <v>689</v>
      </c>
      <c r="G1" s="93" t="s">
        <v>690</v>
      </c>
      <c r="H1" s="93" t="s">
        <v>154</v>
      </c>
      <c r="I1" s="93" t="s">
        <v>691</v>
      </c>
      <c r="J1" s="93" t="s">
        <v>692</v>
      </c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</row>
    <row r="2" spans="1:42">
      <c r="A2" s="94">
        <v>4</v>
      </c>
      <c r="B2" s="93" t="s">
        <v>694</v>
      </c>
      <c r="C2" s="94">
        <v>42.249000000000002</v>
      </c>
      <c r="D2" s="94">
        <v>236.04599999999999</v>
      </c>
      <c r="E2" s="94">
        <v>20170712</v>
      </c>
      <c r="F2" s="94">
        <v>0</v>
      </c>
      <c r="G2" s="94">
        <v>1</v>
      </c>
      <c r="H2" s="93"/>
      <c r="I2" s="93"/>
      <c r="J2" s="93"/>
    </row>
    <row r="3" spans="1:42">
      <c r="A3" s="94">
        <v>4</v>
      </c>
      <c r="B3" s="93" t="s">
        <v>694</v>
      </c>
      <c r="C3" s="94">
        <v>42.249000000000002</v>
      </c>
      <c r="D3" s="94">
        <v>236.04599999999999</v>
      </c>
      <c r="E3" s="94">
        <v>20170713</v>
      </c>
      <c r="F3" s="93"/>
      <c r="G3" s="94">
        <v>2</v>
      </c>
      <c r="H3" s="93"/>
      <c r="I3" s="93"/>
      <c r="J3" s="93"/>
    </row>
    <row r="4" spans="1:42">
      <c r="A4" s="94">
        <v>4</v>
      </c>
      <c r="B4" s="93" t="s">
        <v>694</v>
      </c>
      <c r="C4" s="94">
        <v>42.249000000000002</v>
      </c>
      <c r="D4" s="94">
        <v>236.04599999999999</v>
      </c>
      <c r="E4" s="94">
        <v>20170714</v>
      </c>
      <c r="F4" s="94">
        <v>45</v>
      </c>
      <c r="G4" s="94">
        <v>3</v>
      </c>
      <c r="H4" s="93"/>
      <c r="I4" s="93"/>
      <c r="J4" s="93"/>
    </row>
    <row r="5" spans="1:42">
      <c r="A5" s="94">
        <v>4</v>
      </c>
      <c r="B5" s="93" t="s">
        <v>694</v>
      </c>
      <c r="C5" s="94">
        <v>42.249000000000002</v>
      </c>
      <c r="D5" s="94">
        <v>236.04599999999999</v>
      </c>
      <c r="E5" s="94">
        <v>20170715</v>
      </c>
      <c r="F5" s="93"/>
      <c r="G5" s="94">
        <v>4</v>
      </c>
      <c r="H5" s="93"/>
      <c r="I5" s="93"/>
      <c r="J5" s="93"/>
    </row>
    <row r="6" spans="1:42">
      <c r="A6" s="94">
        <v>4</v>
      </c>
      <c r="B6" s="93" t="s">
        <v>694</v>
      </c>
      <c r="C6" s="94">
        <v>42.249000000000002</v>
      </c>
      <c r="D6" s="94">
        <v>236.04599999999999</v>
      </c>
      <c r="E6" s="94">
        <v>20170716</v>
      </c>
      <c r="F6" s="93"/>
      <c r="G6" s="94">
        <v>5</v>
      </c>
      <c r="H6" s="93"/>
      <c r="I6" s="93"/>
      <c r="J6" s="93"/>
    </row>
    <row r="7" spans="1:42">
      <c r="A7" s="94">
        <v>4</v>
      </c>
      <c r="B7" s="93" t="s">
        <v>694</v>
      </c>
      <c r="C7" s="94">
        <v>42.249000000000002</v>
      </c>
      <c r="D7" s="94">
        <v>236.04599999999999</v>
      </c>
      <c r="E7" s="94">
        <v>20170717</v>
      </c>
      <c r="F7" s="93"/>
      <c r="G7" s="94">
        <v>6</v>
      </c>
      <c r="H7" s="93"/>
      <c r="I7" s="93"/>
      <c r="J7" s="93"/>
    </row>
    <row r="8" spans="1:42">
      <c r="A8" s="94">
        <v>4</v>
      </c>
      <c r="B8" s="93" t="s">
        <v>694</v>
      </c>
      <c r="C8" s="94">
        <v>42.249000000000002</v>
      </c>
      <c r="D8" s="94">
        <v>236.04599999999999</v>
      </c>
      <c r="E8" s="94">
        <v>20170718</v>
      </c>
      <c r="F8" s="94">
        <v>300</v>
      </c>
      <c r="G8" s="94">
        <v>7</v>
      </c>
      <c r="H8" s="93"/>
      <c r="I8" s="93"/>
      <c r="J8" s="93"/>
    </row>
    <row r="9" spans="1:42">
      <c r="A9" s="94">
        <v>4</v>
      </c>
      <c r="B9" s="93" t="s">
        <v>694</v>
      </c>
      <c r="C9" s="94">
        <v>42.249000000000002</v>
      </c>
      <c r="D9" s="94">
        <v>236.04599999999999</v>
      </c>
      <c r="E9" s="94">
        <v>20170719</v>
      </c>
      <c r="F9" s="93"/>
      <c r="G9" s="94">
        <v>8</v>
      </c>
      <c r="H9" s="93"/>
      <c r="I9" s="93"/>
      <c r="J9" s="93"/>
    </row>
    <row r="10" spans="1:42">
      <c r="A10" s="94">
        <v>4</v>
      </c>
      <c r="B10" s="93" t="s">
        <v>694</v>
      </c>
      <c r="C10" s="94">
        <v>42.249000000000002</v>
      </c>
      <c r="D10" s="94">
        <v>236.04599999999999</v>
      </c>
      <c r="E10" s="94">
        <v>20170720</v>
      </c>
      <c r="F10" s="94">
        <v>503</v>
      </c>
      <c r="G10" s="94">
        <v>9</v>
      </c>
      <c r="H10" s="93"/>
      <c r="I10" s="93"/>
      <c r="J10" s="93"/>
    </row>
    <row r="11" spans="1:42">
      <c r="A11" s="94">
        <v>4</v>
      </c>
      <c r="B11" s="93" t="s">
        <v>694</v>
      </c>
      <c r="C11" s="94">
        <v>42.249000000000002</v>
      </c>
      <c r="D11" s="94">
        <v>236.04599999999999</v>
      </c>
      <c r="E11" s="94">
        <v>20170721</v>
      </c>
      <c r="F11" s="93"/>
      <c r="G11" s="94">
        <v>10</v>
      </c>
      <c r="H11" s="93"/>
      <c r="I11" s="93"/>
      <c r="J11" s="93"/>
    </row>
    <row r="12" spans="1:42">
      <c r="A12" s="94">
        <v>4</v>
      </c>
      <c r="B12" s="93" t="s">
        <v>694</v>
      </c>
      <c r="C12" s="94">
        <v>42.249000000000002</v>
      </c>
      <c r="D12" s="94">
        <v>236.04599999999999</v>
      </c>
      <c r="E12" s="94">
        <v>20170722</v>
      </c>
      <c r="F12" s="93"/>
      <c r="G12" s="94">
        <v>11</v>
      </c>
      <c r="H12" s="93"/>
      <c r="I12" s="93"/>
      <c r="J12" s="93"/>
    </row>
    <row r="13" spans="1:42">
      <c r="A13" s="94">
        <v>4</v>
      </c>
      <c r="B13" s="93" t="s">
        <v>694</v>
      </c>
      <c r="C13" s="94">
        <v>42.249000000000002</v>
      </c>
      <c r="D13" s="94">
        <v>236.04599999999999</v>
      </c>
      <c r="E13" s="94">
        <v>20170723</v>
      </c>
      <c r="F13" s="93"/>
      <c r="G13" s="94">
        <v>12</v>
      </c>
      <c r="H13" s="93"/>
      <c r="I13" s="93"/>
      <c r="J13" s="93"/>
    </row>
    <row r="14" spans="1:42">
      <c r="A14" s="94">
        <v>4</v>
      </c>
      <c r="B14" s="93" t="s">
        <v>694</v>
      </c>
      <c r="C14" s="94">
        <v>42.249000000000002</v>
      </c>
      <c r="D14" s="94">
        <v>236.04599999999999</v>
      </c>
      <c r="E14" s="94">
        <v>20170724</v>
      </c>
      <c r="F14" s="94">
        <v>1418</v>
      </c>
      <c r="G14" s="94">
        <v>13</v>
      </c>
      <c r="H14" s="93"/>
      <c r="I14" s="93"/>
      <c r="J14" s="93"/>
    </row>
    <row r="15" spans="1:42">
      <c r="A15" s="94">
        <v>4</v>
      </c>
      <c r="B15" s="93" t="s">
        <v>694</v>
      </c>
      <c r="C15" s="94">
        <v>42.249000000000002</v>
      </c>
      <c r="D15" s="94">
        <v>236.04599999999999</v>
      </c>
      <c r="E15" s="94">
        <v>20170725</v>
      </c>
      <c r="F15" s="94">
        <v>1693</v>
      </c>
      <c r="G15" s="94">
        <v>14</v>
      </c>
      <c r="H15" s="94">
        <v>0.61</v>
      </c>
      <c r="I15" s="94">
        <v>275</v>
      </c>
      <c r="J15" s="94">
        <v>0.11</v>
      </c>
    </row>
    <row r="16" spans="1:42">
      <c r="A16" s="94">
        <v>4</v>
      </c>
      <c r="B16" s="93" t="s">
        <v>694</v>
      </c>
      <c r="C16" s="94">
        <v>42.249000000000002</v>
      </c>
      <c r="D16" s="94">
        <v>236.04599999999999</v>
      </c>
      <c r="E16" s="94">
        <v>20170726</v>
      </c>
      <c r="F16" s="94">
        <v>1840</v>
      </c>
      <c r="G16" s="94">
        <v>15</v>
      </c>
      <c r="H16" s="94">
        <v>0.3</v>
      </c>
      <c r="I16" s="94">
        <v>147</v>
      </c>
      <c r="J16" s="94">
        <v>0.06</v>
      </c>
    </row>
    <row r="17" spans="1:10">
      <c r="A17" s="94">
        <v>4</v>
      </c>
      <c r="B17" s="93" t="s">
        <v>694</v>
      </c>
      <c r="C17" s="94">
        <v>42.249000000000002</v>
      </c>
      <c r="D17" s="94">
        <v>236.04599999999999</v>
      </c>
      <c r="E17" s="94">
        <v>20170727</v>
      </c>
      <c r="F17" s="94">
        <v>1995</v>
      </c>
      <c r="G17" s="94">
        <v>16</v>
      </c>
      <c r="H17" s="94">
        <v>0.31</v>
      </c>
      <c r="I17" s="94">
        <v>155</v>
      </c>
      <c r="J17" s="94">
        <v>0.06</v>
      </c>
    </row>
    <row r="18" spans="1:10">
      <c r="A18" s="94">
        <v>4</v>
      </c>
      <c r="B18" s="93" t="s">
        <v>694</v>
      </c>
      <c r="C18" s="94">
        <v>42.249000000000002</v>
      </c>
      <c r="D18" s="94">
        <v>236.04599999999999</v>
      </c>
      <c r="E18" s="94">
        <v>20170728</v>
      </c>
      <c r="F18" s="94">
        <v>2091</v>
      </c>
      <c r="G18" s="94">
        <v>17</v>
      </c>
      <c r="H18" s="94">
        <v>0.18</v>
      </c>
      <c r="I18" s="94">
        <v>96</v>
      </c>
      <c r="J18" s="94">
        <v>0.04</v>
      </c>
    </row>
    <row r="19" spans="1:10">
      <c r="A19" s="94">
        <v>4</v>
      </c>
      <c r="B19" s="93" t="s">
        <v>694</v>
      </c>
      <c r="C19" s="94">
        <v>42.249000000000002</v>
      </c>
      <c r="D19" s="94">
        <v>236.04599999999999</v>
      </c>
      <c r="E19" s="94">
        <v>20170729</v>
      </c>
      <c r="F19" s="94">
        <v>2877</v>
      </c>
      <c r="G19" s="94">
        <v>18</v>
      </c>
      <c r="H19" s="94">
        <v>1.38</v>
      </c>
      <c r="I19" s="94">
        <v>786</v>
      </c>
      <c r="J19" s="94">
        <v>0.31</v>
      </c>
    </row>
    <row r="20" spans="1:10">
      <c r="A20" s="94">
        <v>4</v>
      </c>
      <c r="B20" s="93" t="s">
        <v>694</v>
      </c>
      <c r="C20" s="94">
        <v>42.249000000000002</v>
      </c>
      <c r="D20" s="94">
        <v>236.04599999999999</v>
      </c>
      <c r="E20" s="94">
        <v>20170730</v>
      </c>
      <c r="F20" s="93"/>
      <c r="G20" s="94">
        <v>19</v>
      </c>
      <c r="H20" s="93"/>
      <c r="I20" s="93"/>
      <c r="J20" s="93"/>
    </row>
    <row r="21" spans="1:10">
      <c r="A21" s="94">
        <v>4</v>
      </c>
      <c r="B21" s="93" t="s">
        <v>694</v>
      </c>
      <c r="C21" s="94">
        <v>42.249000000000002</v>
      </c>
      <c r="D21" s="94">
        <v>236.04599999999999</v>
      </c>
      <c r="E21" s="94">
        <v>20170731</v>
      </c>
      <c r="F21" s="94">
        <v>2907</v>
      </c>
      <c r="G21" s="94">
        <v>20</v>
      </c>
      <c r="H21" s="93"/>
      <c r="I21" s="93"/>
      <c r="J21" s="93"/>
    </row>
    <row r="22" spans="1:10">
      <c r="A22" s="94">
        <v>4</v>
      </c>
      <c r="B22" s="93" t="s">
        <v>694</v>
      </c>
      <c r="C22" s="94">
        <v>42.249000000000002</v>
      </c>
      <c r="D22" s="94">
        <v>236.04599999999999</v>
      </c>
      <c r="E22" s="94">
        <v>20170801</v>
      </c>
      <c r="F22" s="94">
        <v>3636</v>
      </c>
      <c r="G22" s="94">
        <v>21</v>
      </c>
      <c r="H22" s="94">
        <v>1.1100000000000001</v>
      </c>
      <c r="I22" s="94">
        <v>729</v>
      </c>
      <c r="J22" s="94">
        <v>0.28999999999999998</v>
      </c>
    </row>
    <row r="23" spans="1:10">
      <c r="A23" s="94">
        <v>4</v>
      </c>
      <c r="B23" s="93" t="s">
        <v>694</v>
      </c>
      <c r="C23" s="94">
        <v>42.249000000000002</v>
      </c>
      <c r="D23" s="94">
        <v>236.04599999999999</v>
      </c>
      <c r="E23" s="94">
        <v>20170802</v>
      </c>
      <c r="F23" s="94">
        <v>4137</v>
      </c>
      <c r="G23" s="94">
        <v>22</v>
      </c>
      <c r="H23" s="94">
        <v>0.7</v>
      </c>
      <c r="I23" s="94">
        <v>501</v>
      </c>
      <c r="J23" s="94">
        <v>0.2</v>
      </c>
    </row>
    <row r="24" spans="1:10">
      <c r="A24" s="94">
        <v>4</v>
      </c>
      <c r="B24" s="93" t="s">
        <v>694</v>
      </c>
      <c r="C24" s="94">
        <v>42.249000000000002</v>
      </c>
      <c r="D24" s="94">
        <v>236.04599999999999</v>
      </c>
      <c r="E24" s="94">
        <v>20170803</v>
      </c>
      <c r="F24" s="94">
        <v>4228</v>
      </c>
      <c r="G24" s="94">
        <v>23</v>
      </c>
      <c r="H24" s="94">
        <v>0.12</v>
      </c>
      <c r="I24" s="94">
        <v>91</v>
      </c>
      <c r="J24" s="94">
        <v>0.04</v>
      </c>
    </row>
    <row r="25" spans="1:10">
      <c r="A25" s="94">
        <v>4</v>
      </c>
      <c r="B25" s="93" t="s">
        <v>694</v>
      </c>
      <c r="C25" s="94">
        <v>42.249000000000002</v>
      </c>
      <c r="D25" s="94">
        <v>236.04599999999999</v>
      </c>
      <c r="E25" s="94">
        <v>20170804</v>
      </c>
      <c r="F25" s="94">
        <v>4341</v>
      </c>
      <c r="G25" s="94">
        <v>24</v>
      </c>
      <c r="H25" s="94">
        <v>0.15</v>
      </c>
      <c r="I25" s="94">
        <v>113</v>
      </c>
      <c r="J25" s="94">
        <v>0.04</v>
      </c>
    </row>
    <row r="26" spans="1:10">
      <c r="A26" s="94">
        <v>4</v>
      </c>
      <c r="B26" s="93" t="s">
        <v>694</v>
      </c>
      <c r="C26" s="94">
        <v>42.249000000000002</v>
      </c>
      <c r="D26" s="94">
        <v>236.04599999999999</v>
      </c>
      <c r="E26" s="94">
        <v>20170805</v>
      </c>
      <c r="F26" s="94">
        <v>4533</v>
      </c>
      <c r="G26" s="94">
        <v>25</v>
      </c>
      <c r="H26" s="94">
        <v>0.25</v>
      </c>
      <c r="I26" s="94">
        <v>192</v>
      </c>
      <c r="J26" s="94">
        <v>0.08</v>
      </c>
    </row>
    <row r="27" spans="1:10">
      <c r="A27" s="94">
        <v>4</v>
      </c>
      <c r="B27" s="93" t="s">
        <v>694</v>
      </c>
      <c r="C27" s="94">
        <v>42.249000000000002</v>
      </c>
      <c r="D27" s="94">
        <v>236.04599999999999</v>
      </c>
      <c r="E27" s="94">
        <v>20170806</v>
      </c>
      <c r="F27" s="94">
        <v>4583</v>
      </c>
      <c r="G27" s="94">
        <v>26</v>
      </c>
      <c r="H27" s="94">
        <v>0.06</v>
      </c>
      <c r="I27" s="94">
        <v>50</v>
      </c>
      <c r="J27" s="94">
        <v>0.02</v>
      </c>
    </row>
    <row r="28" spans="1:10">
      <c r="A28" s="94">
        <v>4</v>
      </c>
      <c r="B28" s="93" t="s">
        <v>694</v>
      </c>
      <c r="C28" s="94">
        <v>42.249000000000002</v>
      </c>
      <c r="D28" s="94">
        <v>236.04599999999999</v>
      </c>
      <c r="E28" s="94">
        <v>20170807</v>
      </c>
      <c r="F28" s="94">
        <v>4821</v>
      </c>
      <c r="G28" s="94">
        <v>27</v>
      </c>
      <c r="H28" s="94">
        <v>0.3</v>
      </c>
      <c r="I28" s="94">
        <v>238</v>
      </c>
      <c r="J28" s="94">
        <v>0.09</v>
      </c>
    </row>
    <row r="29" spans="1:10">
      <c r="A29" s="94">
        <v>4</v>
      </c>
      <c r="B29" s="93" t="s">
        <v>694</v>
      </c>
      <c r="C29" s="94">
        <v>42.249000000000002</v>
      </c>
      <c r="D29" s="94">
        <v>236.04599999999999</v>
      </c>
      <c r="E29" s="94">
        <v>20170808</v>
      </c>
      <c r="F29" s="94">
        <v>4871</v>
      </c>
      <c r="G29" s="94">
        <v>28</v>
      </c>
      <c r="H29" s="94">
        <v>0.06</v>
      </c>
      <c r="I29" s="94">
        <v>50</v>
      </c>
      <c r="J29" s="94">
        <v>0.02</v>
      </c>
    </row>
    <row r="30" spans="1:10">
      <c r="A30" s="94">
        <v>4</v>
      </c>
      <c r="B30" s="93" t="s">
        <v>694</v>
      </c>
      <c r="C30" s="94">
        <v>42.249000000000002</v>
      </c>
      <c r="D30" s="94">
        <v>236.04599999999999</v>
      </c>
      <c r="E30" s="94">
        <v>20170809</v>
      </c>
      <c r="F30" s="94">
        <v>5036</v>
      </c>
      <c r="G30" s="94">
        <v>29</v>
      </c>
      <c r="H30" s="94">
        <v>0.2</v>
      </c>
      <c r="I30" s="94">
        <v>165</v>
      </c>
      <c r="J30" s="94">
        <v>7.0000000000000007E-2</v>
      </c>
    </row>
    <row r="31" spans="1:10">
      <c r="A31" s="94">
        <v>4</v>
      </c>
      <c r="B31" s="93" t="s">
        <v>694</v>
      </c>
      <c r="C31" s="94">
        <v>42.249000000000002</v>
      </c>
      <c r="D31" s="94">
        <v>236.04599999999999</v>
      </c>
      <c r="E31" s="94">
        <v>20170810</v>
      </c>
      <c r="F31" s="94">
        <v>5286</v>
      </c>
      <c r="G31" s="94">
        <v>30</v>
      </c>
      <c r="H31" s="94">
        <v>0.3</v>
      </c>
      <c r="I31" s="94">
        <v>250</v>
      </c>
      <c r="J31" s="94">
        <v>0.1</v>
      </c>
    </row>
    <row r="32" spans="1:10">
      <c r="A32" s="94">
        <v>4</v>
      </c>
      <c r="B32" s="93" t="s">
        <v>694</v>
      </c>
      <c r="C32" s="94">
        <v>42.249000000000002</v>
      </c>
      <c r="D32" s="94">
        <v>236.04599999999999</v>
      </c>
      <c r="E32" s="94">
        <v>20170811</v>
      </c>
      <c r="F32" s="94">
        <v>5328</v>
      </c>
      <c r="G32" s="94">
        <v>31</v>
      </c>
      <c r="H32" s="94">
        <v>0.05</v>
      </c>
      <c r="I32" s="94">
        <v>42</v>
      </c>
      <c r="J32" s="94">
        <v>0.02</v>
      </c>
    </row>
    <row r="33" spans="1:10">
      <c r="A33" s="94">
        <v>4</v>
      </c>
      <c r="B33" s="93" t="s">
        <v>694</v>
      </c>
      <c r="C33" s="94">
        <v>42.249000000000002</v>
      </c>
      <c r="D33" s="94">
        <v>236.04599999999999</v>
      </c>
      <c r="E33" s="94">
        <v>20170812</v>
      </c>
      <c r="F33" s="94">
        <v>5358</v>
      </c>
      <c r="G33" s="94">
        <v>32</v>
      </c>
      <c r="H33" s="94">
        <v>0.04</v>
      </c>
      <c r="I33" s="94">
        <v>30</v>
      </c>
      <c r="J33" s="94">
        <v>0.01</v>
      </c>
    </row>
    <row r="34" spans="1:10">
      <c r="A34" s="94">
        <v>4</v>
      </c>
      <c r="B34" s="93" t="s">
        <v>694</v>
      </c>
      <c r="C34" s="94">
        <v>42.249000000000002</v>
      </c>
      <c r="D34" s="94">
        <v>236.04599999999999</v>
      </c>
      <c r="E34" s="94">
        <v>20170813</v>
      </c>
      <c r="F34" s="94">
        <v>5442</v>
      </c>
      <c r="G34" s="94">
        <v>33</v>
      </c>
      <c r="H34" s="94">
        <v>0.1</v>
      </c>
      <c r="I34" s="94">
        <v>84</v>
      </c>
      <c r="J34" s="94">
        <v>0.03</v>
      </c>
    </row>
    <row r="35" spans="1:10">
      <c r="A35" s="94">
        <v>4</v>
      </c>
      <c r="B35" s="93" t="s">
        <v>694</v>
      </c>
      <c r="C35" s="94">
        <v>42.249000000000002</v>
      </c>
      <c r="D35" s="94">
        <v>236.04599999999999</v>
      </c>
      <c r="E35" s="94">
        <v>20170814</v>
      </c>
      <c r="F35" s="94">
        <v>5502</v>
      </c>
      <c r="G35" s="94">
        <v>34</v>
      </c>
      <c r="H35" s="94">
        <v>7.0000000000000007E-2</v>
      </c>
      <c r="I35" s="94">
        <v>60</v>
      </c>
      <c r="J35" s="94">
        <v>0.02</v>
      </c>
    </row>
    <row r="36" spans="1:10">
      <c r="A36" s="94">
        <v>4</v>
      </c>
      <c r="B36" s="93" t="s">
        <v>694</v>
      </c>
      <c r="C36" s="94">
        <v>42.249000000000002</v>
      </c>
      <c r="D36" s="94">
        <v>236.04599999999999</v>
      </c>
      <c r="E36" s="94">
        <v>20170815</v>
      </c>
      <c r="F36" s="94">
        <v>6016</v>
      </c>
      <c r="G36" s="94">
        <v>35</v>
      </c>
      <c r="H36" s="94">
        <v>0.59</v>
      </c>
      <c r="I36" s="94">
        <v>514</v>
      </c>
      <c r="J36" s="94">
        <v>0.2</v>
      </c>
    </row>
    <row r="37" spans="1:10">
      <c r="A37" s="94">
        <v>4</v>
      </c>
      <c r="B37" s="93" t="s">
        <v>694</v>
      </c>
      <c r="C37" s="94">
        <v>42.249000000000002</v>
      </c>
      <c r="D37" s="94">
        <v>236.04599999999999</v>
      </c>
      <c r="E37" s="94">
        <v>20170816</v>
      </c>
      <c r="F37" s="94">
        <v>8500</v>
      </c>
      <c r="G37" s="94">
        <v>36</v>
      </c>
      <c r="H37" s="94">
        <v>2.54</v>
      </c>
      <c r="I37" s="94">
        <v>2484</v>
      </c>
      <c r="J37" s="94">
        <v>0.99</v>
      </c>
    </row>
    <row r="38" spans="1:10">
      <c r="A38" s="94">
        <v>4</v>
      </c>
      <c r="B38" s="93" t="s">
        <v>694</v>
      </c>
      <c r="C38" s="94">
        <v>42.249000000000002</v>
      </c>
      <c r="D38" s="94">
        <v>236.04599999999999</v>
      </c>
      <c r="E38" s="94">
        <v>20170817</v>
      </c>
      <c r="F38" s="94">
        <v>14000</v>
      </c>
      <c r="G38" s="94">
        <v>37</v>
      </c>
      <c r="H38" s="94">
        <v>4.54</v>
      </c>
      <c r="I38" s="94">
        <v>5500</v>
      </c>
      <c r="J38" s="94">
        <v>2.19</v>
      </c>
    </row>
    <row r="39" spans="1:10">
      <c r="A39" s="94">
        <v>4</v>
      </c>
      <c r="B39" s="93" t="s">
        <v>694</v>
      </c>
      <c r="C39" s="94">
        <v>42.249000000000002</v>
      </c>
      <c r="D39" s="94">
        <v>236.04599999999999</v>
      </c>
      <c r="E39" s="94">
        <v>20170818</v>
      </c>
      <c r="F39" s="94">
        <v>22042</v>
      </c>
      <c r="G39" s="94">
        <v>38</v>
      </c>
      <c r="H39" s="94">
        <v>5.24</v>
      </c>
      <c r="I39" s="94">
        <v>8042</v>
      </c>
      <c r="J39" s="94">
        <v>3.2</v>
      </c>
    </row>
    <row r="40" spans="1:10">
      <c r="A40" s="94">
        <v>4</v>
      </c>
      <c r="B40" s="93" t="s">
        <v>694</v>
      </c>
      <c r="C40" s="94">
        <v>42.249000000000002</v>
      </c>
      <c r="D40" s="94">
        <v>236.04599999999999</v>
      </c>
      <c r="E40" s="94">
        <v>20170819</v>
      </c>
      <c r="F40" s="94">
        <v>48825</v>
      </c>
      <c r="G40" s="94">
        <v>39</v>
      </c>
      <c r="H40" s="94">
        <v>12.6</v>
      </c>
      <c r="I40" s="94">
        <v>26783</v>
      </c>
      <c r="J40" s="94">
        <v>10.65</v>
      </c>
    </row>
    <row r="41" spans="1:10">
      <c r="A41" s="94">
        <v>4</v>
      </c>
      <c r="B41" s="93" t="s">
        <v>694</v>
      </c>
      <c r="C41" s="94">
        <v>42.249000000000002</v>
      </c>
      <c r="D41" s="94">
        <v>236.04599999999999</v>
      </c>
      <c r="E41" s="94">
        <v>20170820</v>
      </c>
      <c r="F41" s="94">
        <v>91551</v>
      </c>
      <c r="G41" s="94">
        <v>40</v>
      </c>
      <c r="H41" s="94">
        <v>14.19</v>
      </c>
      <c r="I41" s="94">
        <v>42726</v>
      </c>
      <c r="J41" s="94">
        <v>16.989999999999998</v>
      </c>
    </row>
    <row r="42" spans="1:10">
      <c r="A42" s="94">
        <v>4</v>
      </c>
      <c r="B42" s="93" t="s">
        <v>694</v>
      </c>
      <c r="C42" s="94">
        <v>42.249000000000002</v>
      </c>
      <c r="D42" s="94">
        <v>236.04599999999999</v>
      </c>
      <c r="E42" s="94">
        <v>20170821</v>
      </c>
      <c r="F42" s="94">
        <v>97758</v>
      </c>
      <c r="G42" s="94">
        <v>41</v>
      </c>
      <c r="H42" s="94">
        <v>1.75</v>
      </c>
      <c r="I42" s="94">
        <v>6207</v>
      </c>
      <c r="J42" s="94">
        <v>2.4700000000000002</v>
      </c>
    </row>
    <row r="43" spans="1:10">
      <c r="A43" s="94">
        <v>4</v>
      </c>
      <c r="B43" s="93" t="s">
        <v>694</v>
      </c>
      <c r="C43" s="94">
        <v>42.249000000000002</v>
      </c>
      <c r="D43" s="94">
        <v>236.04599999999999</v>
      </c>
      <c r="E43" s="94">
        <v>20170822</v>
      </c>
      <c r="F43" s="94">
        <v>99944</v>
      </c>
      <c r="G43" s="94">
        <v>42</v>
      </c>
      <c r="H43" s="94">
        <v>0.6</v>
      </c>
      <c r="I43" s="94">
        <v>2186</v>
      </c>
      <c r="J43" s="94">
        <v>0.87</v>
      </c>
    </row>
    <row r="44" spans="1:10">
      <c r="A44" s="94">
        <v>4</v>
      </c>
      <c r="B44" s="93" t="s">
        <v>694</v>
      </c>
      <c r="C44" s="94">
        <v>42.249000000000002</v>
      </c>
      <c r="D44" s="94">
        <v>236.04599999999999</v>
      </c>
      <c r="E44" s="94">
        <v>20170823</v>
      </c>
      <c r="F44" s="94">
        <v>102333</v>
      </c>
      <c r="G44" s="94">
        <v>43</v>
      </c>
      <c r="H44" s="94">
        <v>0.65</v>
      </c>
      <c r="I44" s="94">
        <v>2389</v>
      </c>
      <c r="J44" s="94">
        <v>0.95</v>
      </c>
    </row>
    <row r="45" spans="1:10">
      <c r="A45" s="94">
        <v>4</v>
      </c>
      <c r="B45" s="93" t="s">
        <v>694</v>
      </c>
      <c r="C45" s="94">
        <v>42.249000000000002</v>
      </c>
      <c r="D45" s="94">
        <v>236.04599999999999</v>
      </c>
      <c r="E45" s="94">
        <v>20170824</v>
      </c>
      <c r="F45" s="94">
        <v>104144</v>
      </c>
      <c r="G45" s="94">
        <v>44</v>
      </c>
      <c r="H45" s="94">
        <v>0.49</v>
      </c>
      <c r="I45" s="94">
        <v>1811</v>
      </c>
      <c r="J45" s="94">
        <v>0.72</v>
      </c>
    </row>
    <row r="46" spans="1:10">
      <c r="A46" s="94">
        <v>4</v>
      </c>
      <c r="B46" s="93" t="s">
        <v>694</v>
      </c>
      <c r="C46" s="94">
        <v>42.249000000000002</v>
      </c>
      <c r="D46" s="94">
        <v>236.04599999999999</v>
      </c>
      <c r="E46" s="94">
        <v>20170825</v>
      </c>
      <c r="F46" s="94">
        <v>105518</v>
      </c>
      <c r="G46" s="94">
        <v>45</v>
      </c>
      <c r="H46" s="94">
        <v>0.37</v>
      </c>
      <c r="I46" s="94">
        <v>1374</v>
      </c>
      <c r="J46" s="94">
        <v>0.55000000000000004</v>
      </c>
    </row>
    <row r="47" spans="1:10">
      <c r="A47" s="94">
        <v>4</v>
      </c>
      <c r="B47" s="93" t="s">
        <v>694</v>
      </c>
      <c r="C47" s="94">
        <v>42.249000000000002</v>
      </c>
      <c r="D47" s="94">
        <v>236.04599999999999</v>
      </c>
      <c r="E47" s="94">
        <v>20170826</v>
      </c>
      <c r="F47" s="94">
        <v>107993</v>
      </c>
      <c r="G47" s="94">
        <v>46</v>
      </c>
      <c r="H47" s="94">
        <v>0.66</v>
      </c>
      <c r="I47" s="94">
        <v>2475</v>
      </c>
      <c r="J47" s="94">
        <v>0.98</v>
      </c>
    </row>
    <row r="48" spans="1:10">
      <c r="A48" s="94">
        <v>4</v>
      </c>
      <c r="B48" s="93" t="s">
        <v>694</v>
      </c>
      <c r="C48" s="94">
        <v>42.249000000000002</v>
      </c>
      <c r="D48" s="94">
        <v>236.04599999999999</v>
      </c>
      <c r="E48" s="94">
        <v>20170827</v>
      </c>
      <c r="F48" s="94">
        <v>117669</v>
      </c>
      <c r="G48" s="94">
        <v>47</v>
      </c>
      <c r="H48" s="94">
        <v>2.5</v>
      </c>
      <c r="I48" s="94">
        <v>9676</v>
      </c>
      <c r="J48" s="94">
        <v>3.85</v>
      </c>
    </row>
    <row r="49" spans="1:10">
      <c r="A49" s="94">
        <v>4</v>
      </c>
      <c r="B49" s="93" t="s">
        <v>694</v>
      </c>
      <c r="C49" s="94">
        <v>42.249000000000002</v>
      </c>
      <c r="D49" s="94">
        <v>236.04599999999999</v>
      </c>
      <c r="E49" s="94">
        <v>20170828</v>
      </c>
      <c r="F49" s="94">
        <v>125271</v>
      </c>
      <c r="G49" s="94">
        <v>48</v>
      </c>
      <c r="H49" s="94">
        <v>1.9</v>
      </c>
      <c r="I49" s="94">
        <v>7602</v>
      </c>
      <c r="J49" s="94">
        <v>3.02</v>
      </c>
    </row>
    <row r="50" spans="1:10">
      <c r="A50" s="94">
        <v>4</v>
      </c>
      <c r="B50" s="93" t="s">
        <v>694</v>
      </c>
      <c r="C50" s="94">
        <v>42.249000000000002</v>
      </c>
      <c r="D50" s="94">
        <v>236.04599999999999</v>
      </c>
      <c r="E50" s="94">
        <v>20170829</v>
      </c>
      <c r="F50" s="94">
        <v>128738</v>
      </c>
      <c r="G50" s="94">
        <v>49</v>
      </c>
      <c r="H50" s="94">
        <v>0.85</v>
      </c>
      <c r="I50" s="94">
        <v>3467</v>
      </c>
      <c r="J50" s="94">
        <v>1.38</v>
      </c>
    </row>
    <row r="51" spans="1:10">
      <c r="A51" s="94">
        <v>4</v>
      </c>
      <c r="B51" s="93" t="s">
        <v>694</v>
      </c>
      <c r="C51" s="94">
        <v>42.249000000000002</v>
      </c>
      <c r="D51" s="94">
        <v>236.04599999999999</v>
      </c>
      <c r="E51" s="94">
        <v>20170830</v>
      </c>
      <c r="F51" s="94">
        <v>131197</v>
      </c>
      <c r="G51" s="94">
        <v>50</v>
      </c>
      <c r="H51" s="94">
        <v>0.59</v>
      </c>
      <c r="I51" s="94">
        <v>2459</v>
      </c>
      <c r="J51" s="94">
        <v>0.98</v>
      </c>
    </row>
    <row r="52" spans="1:10">
      <c r="A52" s="94">
        <v>4</v>
      </c>
      <c r="B52" s="93" t="s">
        <v>694</v>
      </c>
      <c r="C52" s="94">
        <v>42.249000000000002</v>
      </c>
      <c r="D52" s="94">
        <v>236.04599999999999</v>
      </c>
      <c r="E52" s="94">
        <v>20170831</v>
      </c>
      <c r="F52" s="94">
        <v>138212</v>
      </c>
      <c r="G52" s="94">
        <v>51</v>
      </c>
      <c r="H52" s="94">
        <v>1.66</v>
      </c>
      <c r="I52" s="94">
        <v>7015</v>
      </c>
      <c r="J52" s="94">
        <v>2.79</v>
      </c>
    </row>
    <row r="53" spans="1:10">
      <c r="A53" s="94">
        <v>4</v>
      </c>
      <c r="B53" s="93" t="s">
        <v>694</v>
      </c>
      <c r="C53" s="94">
        <v>42.249000000000002</v>
      </c>
      <c r="D53" s="94">
        <v>236.04599999999999</v>
      </c>
      <c r="E53" s="94">
        <v>20170901</v>
      </c>
      <c r="F53" s="94">
        <v>142857</v>
      </c>
      <c r="G53" s="94">
        <v>52</v>
      </c>
      <c r="H53" s="94">
        <v>1.08</v>
      </c>
      <c r="I53" s="94">
        <v>4645</v>
      </c>
      <c r="J53" s="94">
        <v>1.85</v>
      </c>
    </row>
    <row r="54" spans="1:10">
      <c r="A54" s="94">
        <v>4</v>
      </c>
      <c r="B54" s="93" t="s">
        <v>694</v>
      </c>
      <c r="C54" s="94">
        <v>42.249000000000002</v>
      </c>
      <c r="D54" s="94">
        <v>236.04599999999999</v>
      </c>
      <c r="E54" s="94">
        <v>20170902</v>
      </c>
      <c r="F54" s="93"/>
      <c r="G54" s="94">
        <v>53</v>
      </c>
      <c r="H54" s="93"/>
      <c r="I54" s="93"/>
      <c r="J54" s="93"/>
    </row>
    <row r="55" spans="1:10">
      <c r="A55" s="94">
        <v>4</v>
      </c>
      <c r="B55" s="93" t="s">
        <v>694</v>
      </c>
      <c r="C55" s="94">
        <v>42.249000000000002</v>
      </c>
      <c r="D55" s="94">
        <v>236.04599999999999</v>
      </c>
      <c r="E55" s="94">
        <v>20170903</v>
      </c>
      <c r="F55" s="93"/>
      <c r="G55" s="94">
        <v>54</v>
      </c>
      <c r="H55" s="93"/>
      <c r="I55" s="93"/>
      <c r="J55" s="93"/>
    </row>
    <row r="56" spans="1:10">
      <c r="A56" s="94">
        <v>4</v>
      </c>
      <c r="B56" s="93" t="s">
        <v>694</v>
      </c>
      <c r="C56" s="94">
        <v>42.249000000000002</v>
      </c>
      <c r="D56" s="94">
        <v>236.04599999999999</v>
      </c>
      <c r="E56" s="94">
        <v>20170904</v>
      </c>
      <c r="F56" s="94">
        <v>176771</v>
      </c>
      <c r="G56" s="94">
        <v>55</v>
      </c>
      <c r="H56" s="93"/>
      <c r="I56" s="93"/>
      <c r="J56" s="93"/>
    </row>
    <row r="57" spans="1:10">
      <c r="A57" s="94">
        <v>4</v>
      </c>
      <c r="B57" s="93" t="s">
        <v>694</v>
      </c>
      <c r="C57" s="94">
        <v>42.249000000000002</v>
      </c>
      <c r="D57" s="94">
        <v>236.04599999999999</v>
      </c>
      <c r="E57" s="94">
        <v>20170905</v>
      </c>
      <c r="F57" s="93"/>
      <c r="G57" s="94">
        <v>56</v>
      </c>
      <c r="H57" s="93"/>
      <c r="I57" s="93"/>
      <c r="J57" s="93"/>
    </row>
    <row r="58" spans="1:10">
      <c r="A58" s="94">
        <v>4</v>
      </c>
      <c r="B58" s="93" t="s">
        <v>694</v>
      </c>
      <c r="C58" s="94">
        <v>42.249000000000002</v>
      </c>
      <c r="D58" s="94">
        <v>236.04599999999999</v>
      </c>
      <c r="E58" s="94">
        <v>20170906</v>
      </c>
      <c r="F58" s="94">
        <v>177301</v>
      </c>
      <c r="G58" s="94">
        <v>57</v>
      </c>
      <c r="H58" s="93"/>
      <c r="I58" s="93"/>
      <c r="J58" s="93"/>
    </row>
    <row r="59" spans="1:10">
      <c r="A59" s="94">
        <v>4</v>
      </c>
      <c r="B59" s="93" t="s">
        <v>694</v>
      </c>
      <c r="C59" s="94">
        <v>42.249000000000002</v>
      </c>
      <c r="D59" s="94">
        <v>236.04599999999999</v>
      </c>
      <c r="E59" s="94">
        <v>20170907</v>
      </c>
      <c r="F59" s="93"/>
      <c r="G59" s="94">
        <v>58</v>
      </c>
      <c r="H59" s="93"/>
      <c r="I59" s="93"/>
      <c r="J59" s="93"/>
    </row>
    <row r="60" spans="1:10">
      <c r="A60" s="94">
        <v>4</v>
      </c>
      <c r="B60" s="93" t="s">
        <v>694</v>
      </c>
      <c r="C60" s="94">
        <v>42.249000000000002</v>
      </c>
      <c r="D60" s="94">
        <v>236.04599999999999</v>
      </c>
      <c r="E60" s="94">
        <v>20170908</v>
      </c>
      <c r="F60" s="94">
        <v>182244</v>
      </c>
      <c r="G60" s="94">
        <v>59</v>
      </c>
      <c r="H60" s="93"/>
      <c r="I60" s="93"/>
      <c r="J60" s="93"/>
    </row>
    <row r="61" spans="1:10">
      <c r="A61" s="94">
        <v>4</v>
      </c>
      <c r="B61" s="93" t="s">
        <v>694</v>
      </c>
      <c r="C61" s="94">
        <v>42.249000000000002</v>
      </c>
      <c r="D61" s="94">
        <v>236.04599999999999</v>
      </c>
      <c r="E61" s="94">
        <v>20170909</v>
      </c>
      <c r="F61" s="94">
        <v>184254</v>
      </c>
      <c r="G61" s="94">
        <v>60</v>
      </c>
      <c r="H61" s="94">
        <v>0.41</v>
      </c>
      <c r="I61" s="94">
        <v>2010</v>
      </c>
      <c r="J61" s="94">
        <v>0.8</v>
      </c>
    </row>
    <row r="62" spans="1:10">
      <c r="A62" s="94">
        <v>4</v>
      </c>
      <c r="B62" s="93" t="s">
        <v>694</v>
      </c>
      <c r="C62" s="94">
        <v>42.249000000000002</v>
      </c>
      <c r="D62" s="94">
        <v>236.04599999999999</v>
      </c>
      <c r="E62" s="94">
        <v>20170910</v>
      </c>
      <c r="F62" s="94">
        <v>184267</v>
      </c>
      <c r="G62" s="94">
        <v>61</v>
      </c>
      <c r="H62" s="94">
        <v>0</v>
      </c>
      <c r="I62" s="94">
        <v>13</v>
      </c>
      <c r="J62" s="94">
        <v>0.01</v>
      </c>
    </row>
    <row r="63" spans="1:10">
      <c r="A63" s="94">
        <v>4</v>
      </c>
      <c r="B63" s="93" t="s">
        <v>694</v>
      </c>
      <c r="C63" s="94">
        <v>42.249000000000002</v>
      </c>
      <c r="D63" s="94">
        <v>236.04599999999999</v>
      </c>
      <c r="E63" s="94">
        <v>20170911</v>
      </c>
      <c r="F63" s="94">
        <v>185618</v>
      </c>
      <c r="G63" s="94">
        <v>62</v>
      </c>
      <c r="H63" s="94">
        <v>0.27</v>
      </c>
      <c r="I63" s="94">
        <v>1351</v>
      </c>
      <c r="J63" s="94">
        <v>0.54</v>
      </c>
    </row>
    <row r="64" spans="1:10">
      <c r="A64" s="94">
        <v>4</v>
      </c>
      <c r="B64" s="93" t="s">
        <v>694</v>
      </c>
      <c r="C64" s="94">
        <v>42.249000000000002</v>
      </c>
      <c r="D64" s="94">
        <v>236.04599999999999</v>
      </c>
      <c r="E64" s="94">
        <v>20170912</v>
      </c>
      <c r="F64" s="94">
        <v>185920</v>
      </c>
      <c r="G64" s="94">
        <v>63</v>
      </c>
      <c r="H64" s="94">
        <v>0.06</v>
      </c>
      <c r="I64" s="94">
        <v>302</v>
      </c>
      <c r="J64" s="94">
        <v>0.12</v>
      </c>
    </row>
    <row r="65" spans="1:10">
      <c r="A65" s="94">
        <v>4</v>
      </c>
      <c r="B65" s="93" t="s">
        <v>694</v>
      </c>
      <c r="C65" s="94">
        <v>42.249000000000002</v>
      </c>
      <c r="D65" s="94">
        <v>236.04599999999999</v>
      </c>
      <c r="E65" s="94">
        <v>20170913</v>
      </c>
      <c r="F65" s="94">
        <v>186365</v>
      </c>
      <c r="G65" s="94">
        <v>64</v>
      </c>
      <c r="H65" s="94">
        <v>0.09</v>
      </c>
      <c r="I65" s="94">
        <v>445</v>
      </c>
      <c r="J65" s="94">
        <v>0.18</v>
      </c>
    </row>
    <row r="66" spans="1:10">
      <c r="A66" s="94">
        <v>4</v>
      </c>
      <c r="B66" s="93" t="s">
        <v>694</v>
      </c>
      <c r="C66" s="94">
        <v>42.249000000000002</v>
      </c>
      <c r="D66" s="94">
        <v>236.04599999999999</v>
      </c>
      <c r="E66" s="94">
        <v>20170914</v>
      </c>
      <c r="F66" s="94">
        <v>188284</v>
      </c>
      <c r="G66" s="94">
        <v>65</v>
      </c>
      <c r="H66" s="94">
        <v>0.39</v>
      </c>
      <c r="I66" s="94">
        <v>1919</v>
      </c>
      <c r="J66" s="94">
        <v>0.76</v>
      </c>
    </row>
    <row r="67" spans="1:10">
      <c r="A67" s="94">
        <v>4</v>
      </c>
      <c r="B67" s="93" t="s">
        <v>694</v>
      </c>
      <c r="C67" s="94">
        <v>42.249000000000002</v>
      </c>
      <c r="D67" s="94">
        <v>236.04599999999999</v>
      </c>
      <c r="E67" s="94">
        <v>20170915</v>
      </c>
      <c r="F67" s="94">
        <v>189562</v>
      </c>
      <c r="G67" s="94">
        <v>66</v>
      </c>
      <c r="H67" s="94">
        <v>0.26</v>
      </c>
      <c r="I67" s="94">
        <v>1278</v>
      </c>
      <c r="J67" s="94">
        <v>0.51</v>
      </c>
    </row>
    <row r="68" spans="1:10">
      <c r="A68" s="94">
        <v>4</v>
      </c>
      <c r="B68" s="93" t="s">
        <v>694</v>
      </c>
      <c r="C68" s="94">
        <v>42.249000000000002</v>
      </c>
      <c r="D68" s="94">
        <v>236.04599999999999</v>
      </c>
      <c r="E68" s="94">
        <v>20170916</v>
      </c>
      <c r="F68" s="93"/>
      <c r="G68" s="94">
        <v>67</v>
      </c>
      <c r="H68" s="93"/>
      <c r="I68" s="93"/>
      <c r="J68" s="93"/>
    </row>
    <row r="69" spans="1:10">
      <c r="A69" s="94">
        <v>4</v>
      </c>
      <c r="B69" s="93" t="s">
        <v>694</v>
      </c>
      <c r="C69" s="94">
        <v>42.249000000000002</v>
      </c>
      <c r="D69" s="94">
        <v>236.04599999999999</v>
      </c>
      <c r="E69" s="94">
        <v>20170917</v>
      </c>
      <c r="F69" s="94">
        <v>189787</v>
      </c>
      <c r="G69" s="94">
        <v>68</v>
      </c>
      <c r="H69" s="93"/>
      <c r="I69" s="93"/>
      <c r="J69" s="93"/>
    </row>
    <row r="70" spans="1:10">
      <c r="A70" s="94">
        <v>4</v>
      </c>
      <c r="B70" s="93" t="s">
        <v>694</v>
      </c>
      <c r="C70" s="94">
        <v>42.249000000000002</v>
      </c>
      <c r="D70" s="94">
        <v>236.04599999999999</v>
      </c>
      <c r="E70" s="94">
        <v>20170918</v>
      </c>
      <c r="F70" s="94">
        <v>190512</v>
      </c>
      <c r="G70" s="94">
        <v>69</v>
      </c>
      <c r="H70" s="94">
        <v>0.14000000000000001</v>
      </c>
      <c r="I70" s="94">
        <v>725</v>
      </c>
      <c r="J70" s="94">
        <v>0.28999999999999998</v>
      </c>
    </row>
    <row r="71" spans="1:10">
      <c r="A71" s="94">
        <v>4</v>
      </c>
      <c r="B71" s="93" t="s">
        <v>694</v>
      </c>
      <c r="C71" s="94">
        <v>42.249000000000002</v>
      </c>
      <c r="D71" s="94">
        <v>236.04599999999999</v>
      </c>
      <c r="E71" s="94">
        <v>20170919</v>
      </c>
      <c r="F71" s="93"/>
      <c r="G71" s="94">
        <v>70</v>
      </c>
      <c r="H71" s="93"/>
      <c r="I71" s="93"/>
      <c r="J71" s="93"/>
    </row>
    <row r="72" spans="1:10">
      <c r="A72" s="94">
        <v>4</v>
      </c>
      <c r="B72" s="93" t="s">
        <v>694</v>
      </c>
      <c r="C72" s="94">
        <v>42.249000000000002</v>
      </c>
      <c r="D72" s="94">
        <v>236.04599999999999</v>
      </c>
      <c r="E72" s="94">
        <v>20170920</v>
      </c>
      <c r="F72" s="93"/>
      <c r="G72" s="94">
        <v>71</v>
      </c>
      <c r="H72" s="93"/>
      <c r="I72" s="93"/>
      <c r="J72" s="93"/>
    </row>
    <row r="73" spans="1:10">
      <c r="A73" s="94">
        <v>4</v>
      </c>
      <c r="B73" s="93" t="s">
        <v>694</v>
      </c>
      <c r="C73" s="94">
        <v>42.249000000000002</v>
      </c>
      <c r="D73" s="94">
        <v>236.04599999999999</v>
      </c>
      <c r="E73" s="94">
        <v>20170921</v>
      </c>
      <c r="F73" s="93"/>
      <c r="G73" s="94">
        <v>72</v>
      </c>
      <c r="H73" s="93"/>
      <c r="I73" s="93"/>
      <c r="J73" s="93"/>
    </row>
    <row r="74" spans="1:10">
      <c r="A74" s="94">
        <v>4</v>
      </c>
      <c r="B74" s="93" t="s">
        <v>694</v>
      </c>
      <c r="C74" s="94">
        <v>42.249000000000002</v>
      </c>
      <c r="D74" s="94">
        <v>236.04599999999999</v>
      </c>
      <c r="E74" s="94">
        <v>20170922</v>
      </c>
      <c r="F74" s="94">
        <v>191071</v>
      </c>
      <c r="G74" s="94">
        <v>73</v>
      </c>
      <c r="H74" s="93"/>
      <c r="I74" s="93"/>
      <c r="J74" s="93"/>
    </row>
    <row r="75" spans="1:10">
      <c r="A75" s="94">
        <v>4</v>
      </c>
      <c r="B75" s="93" t="s">
        <v>694</v>
      </c>
      <c r="C75" s="94">
        <v>42.249000000000002</v>
      </c>
      <c r="D75" s="94">
        <v>236.04599999999999</v>
      </c>
      <c r="E75" s="94">
        <v>20170923</v>
      </c>
      <c r="F75" s="93"/>
      <c r="G75" s="94">
        <v>74</v>
      </c>
      <c r="H75" s="93"/>
      <c r="I75" s="93"/>
      <c r="J75" s="93"/>
    </row>
    <row r="76" spans="1:10">
      <c r="A76" s="94">
        <v>4</v>
      </c>
      <c r="B76" s="93" t="s">
        <v>694</v>
      </c>
      <c r="C76" s="94">
        <v>42.249000000000002</v>
      </c>
      <c r="D76" s="94">
        <v>236.04599999999999</v>
      </c>
      <c r="E76" s="94">
        <v>20170924</v>
      </c>
      <c r="F76" s="93"/>
      <c r="G76" s="94">
        <v>75</v>
      </c>
      <c r="H76" s="93"/>
      <c r="I76" s="93"/>
      <c r="J76" s="93"/>
    </row>
    <row r="77" spans="1:10">
      <c r="A77" s="94">
        <v>4</v>
      </c>
      <c r="B77" s="93" t="s">
        <v>694</v>
      </c>
      <c r="C77" s="94">
        <v>42.249000000000002</v>
      </c>
      <c r="D77" s="94">
        <v>236.04599999999999</v>
      </c>
      <c r="E77" s="94">
        <v>20170925</v>
      </c>
      <c r="F77" s="94">
        <v>191088</v>
      </c>
      <c r="G77" s="94">
        <v>76</v>
      </c>
      <c r="H77" s="93"/>
      <c r="I77" s="93"/>
      <c r="J77" s="93"/>
    </row>
    <row r="78" spans="1:10">
      <c r="A78" s="94">
        <v>4</v>
      </c>
      <c r="B78" s="93" t="s">
        <v>694</v>
      </c>
      <c r="C78" s="94">
        <v>42.249000000000002</v>
      </c>
      <c r="D78" s="94">
        <v>236.04599999999999</v>
      </c>
      <c r="E78" s="94">
        <v>20170926</v>
      </c>
      <c r="F78" s="93"/>
      <c r="G78" s="93"/>
      <c r="H78" s="93"/>
      <c r="I78" s="93"/>
      <c r="J78" s="93"/>
    </row>
    <row r="79" spans="1:10">
      <c r="A79" s="94">
        <v>4</v>
      </c>
      <c r="B79" s="93" t="s">
        <v>694</v>
      </c>
      <c r="C79" s="94">
        <v>42.249000000000002</v>
      </c>
      <c r="D79" s="94">
        <v>236.04599999999999</v>
      </c>
      <c r="E79" s="94">
        <v>20170927</v>
      </c>
      <c r="F79" s="93"/>
      <c r="G79" s="93"/>
      <c r="H79" s="93"/>
      <c r="I79" s="93"/>
      <c r="J79" s="93"/>
    </row>
    <row r="80" spans="1:10">
      <c r="A80" s="94">
        <v>4</v>
      </c>
      <c r="B80" s="93" t="s">
        <v>694</v>
      </c>
      <c r="C80" s="94">
        <v>42.249000000000002</v>
      </c>
      <c r="D80" s="94">
        <v>236.04599999999999</v>
      </c>
      <c r="E80" s="94">
        <v>20170928</v>
      </c>
      <c r="F80" s="93"/>
      <c r="G80" s="93"/>
      <c r="H80" s="93"/>
      <c r="I80" s="93"/>
      <c r="J80" s="93"/>
    </row>
    <row r="81" spans="1:10">
      <c r="A81" s="94">
        <v>4</v>
      </c>
      <c r="B81" s="93" t="s">
        <v>694</v>
      </c>
      <c r="C81" s="94">
        <v>42.249000000000002</v>
      </c>
      <c r="D81" s="94">
        <v>236.04599999999999</v>
      </c>
      <c r="E81" s="94">
        <v>20170929</v>
      </c>
      <c r="F81" s="93"/>
      <c r="G81" s="93"/>
      <c r="H81" s="93"/>
      <c r="I81" s="93"/>
      <c r="J81" s="9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F14"/>
  <sheetViews>
    <sheetView workbookViewId="0"/>
  </sheetViews>
  <sheetFormatPr defaultColWidth="12.54296875" defaultRowHeight="15" customHeight="1"/>
  <sheetData>
    <row r="1" spans="1:6">
      <c r="A1" s="93" t="s">
        <v>147</v>
      </c>
      <c r="B1" s="93" t="s">
        <v>690</v>
      </c>
      <c r="C1" s="93" t="s">
        <v>689</v>
      </c>
      <c r="D1" s="93" t="s">
        <v>154</v>
      </c>
      <c r="E1" s="93" t="s">
        <v>691</v>
      </c>
      <c r="F1" s="93" t="s">
        <v>692</v>
      </c>
    </row>
    <row r="2" spans="1:6">
      <c r="A2" s="94">
        <v>20120625</v>
      </c>
      <c r="B2" s="94">
        <v>1</v>
      </c>
      <c r="C2" s="94">
        <v>40000</v>
      </c>
      <c r="D2" s="94">
        <v>5.2</v>
      </c>
      <c r="E2" s="94">
        <v>40000</v>
      </c>
      <c r="F2" s="94">
        <v>2.08</v>
      </c>
    </row>
    <row r="3" spans="1:6">
      <c r="A3" s="94">
        <v>20120626</v>
      </c>
      <c r="B3" s="94">
        <v>2</v>
      </c>
      <c r="C3" s="94">
        <v>109944</v>
      </c>
      <c r="D3" s="94">
        <v>4.3099999999999996</v>
      </c>
      <c r="E3" s="94">
        <v>69944</v>
      </c>
      <c r="F3" s="94">
        <v>3.64</v>
      </c>
    </row>
    <row r="4" spans="1:6">
      <c r="A4" s="94">
        <v>20120627</v>
      </c>
      <c r="B4" s="94">
        <v>3</v>
      </c>
      <c r="C4" s="93"/>
      <c r="D4" s="93"/>
      <c r="E4" s="93"/>
      <c r="F4" s="93"/>
    </row>
    <row r="5" spans="1:6">
      <c r="A5" s="94">
        <v>20120628</v>
      </c>
      <c r="B5" s="94">
        <v>4</v>
      </c>
      <c r="C5" s="93"/>
      <c r="D5" s="93"/>
      <c r="E5" s="93"/>
      <c r="F5" s="93"/>
    </row>
    <row r="6" spans="1:6">
      <c r="A6" s="94">
        <v>20120629</v>
      </c>
      <c r="B6" s="94">
        <v>5</v>
      </c>
      <c r="C6" s="94">
        <v>157338</v>
      </c>
      <c r="D6" s="93"/>
      <c r="E6" s="93"/>
      <c r="F6" s="93"/>
    </row>
    <row r="7" spans="1:6">
      <c r="A7" s="94">
        <v>20120630</v>
      </c>
      <c r="B7" s="94">
        <v>6</v>
      </c>
      <c r="C7" s="93"/>
      <c r="D7" s="93"/>
      <c r="E7" s="93"/>
      <c r="F7" s="93"/>
    </row>
    <row r="8" spans="1:6">
      <c r="A8" s="94">
        <v>20120701</v>
      </c>
      <c r="B8" s="94">
        <v>7</v>
      </c>
      <c r="C8" s="94">
        <v>170842</v>
      </c>
      <c r="D8" s="93"/>
      <c r="E8" s="93"/>
      <c r="F8" s="93"/>
    </row>
    <row r="9" spans="1:6">
      <c r="A9" s="94">
        <v>20120702</v>
      </c>
      <c r="B9" s="94">
        <v>8</v>
      </c>
      <c r="C9" s="94">
        <v>186800</v>
      </c>
      <c r="D9" s="94">
        <v>0.49</v>
      </c>
      <c r="E9" s="94">
        <v>15958</v>
      </c>
      <c r="F9" s="94">
        <v>0.83</v>
      </c>
    </row>
    <row r="10" spans="1:6">
      <c r="A10" s="94">
        <v>20120703</v>
      </c>
      <c r="B10" s="94">
        <v>9</v>
      </c>
      <c r="C10" s="94">
        <v>244468</v>
      </c>
      <c r="D10" s="94">
        <v>1.62</v>
      </c>
      <c r="E10" s="94">
        <v>57668</v>
      </c>
      <c r="F10" s="94">
        <v>3</v>
      </c>
    </row>
    <row r="11" spans="1:6">
      <c r="A11" s="94">
        <v>20120704</v>
      </c>
      <c r="B11" s="94">
        <v>10</v>
      </c>
      <c r="C11" s="94">
        <v>248593</v>
      </c>
      <c r="D11" s="94">
        <v>0.11</v>
      </c>
      <c r="E11" s="94">
        <v>4125</v>
      </c>
      <c r="F11" s="94">
        <v>0.21</v>
      </c>
    </row>
    <row r="12" spans="1:6">
      <c r="A12" s="94">
        <v>20120705</v>
      </c>
      <c r="B12" s="94">
        <v>11</v>
      </c>
      <c r="C12" s="93"/>
      <c r="D12" s="93"/>
      <c r="E12" s="93"/>
      <c r="F12" s="93"/>
    </row>
    <row r="13" spans="1:6">
      <c r="A13" s="94">
        <v>20120706</v>
      </c>
      <c r="B13" s="94">
        <v>12</v>
      </c>
      <c r="C13" s="93"/>
      <c r="D13" s="93"/>
      <c r="E13" s="93"/>
      <c r="F13" s="93"/>
    </row>
    <row r="14" spans="1:6">
      <c r="A14" s="94">
        <v>20120707</v>
      </c>
      <c r="B14" s="94">
        <v>13</v>
      </c>
      <c r="C14" s="94">
        <v>249562</v>
      </c>
      <c r="D14" s="93"/>
      <c r="E14" s="93"/>
      <c r="F14" s="93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Z1002"/>
  <sheetViews>
    <sheetView workbookViewId="0"/>
  </sheetViews>
  <sheetFormatPr defaultColWidth="12.54296875" defaultRowHeight="15" customHeight="1"/>
  <sheetData>
    <row r="1" spans="1:12" ht="15" customHeight="1">
      <c r="A1" s="81"/>
      <c r="B1" s="61" t="s">
        <v>148</v>
      </c>
      <c r="C1" s="61" t="s">
        <v>149</v>
      </c>
      <c r="D1" s="62"/>
      <c r="E1" s="62"/>
      <c r="F1" s="63" t="s">
        <v>152</v>
      </c>
      <c r="G1" s="63" t="s">
        <v>153</v>
      </c>
      <c r="H1" s="63" t="s">
        <v>154</v>
      </c>
      <c r="I1" s="64" t="s">
        <v>155</v>
      </c>
      <c r="J1" s="65" t="s">
        <v>156</v>
      </c>
      <c r="K1" s="66" t="s">
        <v>157</v>
      </c>
      <c r="L1" s="67" t="s">
        <v>158</v>
      </c>
    </row>
    <row r="2" spans="1:12" ht="15" customHeight="1">
      <c r="A2" s="81">
        <v>44336</v>
      </c>
      <c r="B2" s="61">
        <v>1</v>
      </c>
      <c r="C2" s="61" t="s">
        <v>168</v>
      </c>
      <c r="D2" s="62">
        <v>250</v>
      </c>
      <c r="E2" s="62">
        <v>50000</v>
      </c>
      <c r="F2" s="63">
        <f>I2-0</f>
        <v>250</v>
      </c>
      <c r="G2" s="63">
        <f t="shared" ref="G2:G14" si="0">35/$I$36*(F2)</f>
        <v>9.8405272273330485E-2</v>
      </c>
      <c r="H2" s="63">
        <f>$B$36/SQRT($I$36)*(SQRT(I2)-SQRT(0))</f>
        <v>1.8558514298204387</v>
      </c>
      <c r="I2" s="76">
        <v>250</v>
      </c>
      <c r="J2" s="76">
        <v>50000</v>
      </c>
      <c r="K2" s="77">
        <f>J2*'Inflation Rates by Year'!$C$2</f>
        <v>56538</v>
      </c>
      <c r="L2" s="78">
        <f t="shared" ref="L2:L43" si="1">K2/I2</f>
        <v>226.15199999999999</v>
      </c>
    </row>
    <row r="3" spans="1:12" ht="15" customHeight="1">
      <c r="A3" s="81">
        <v>44337</v>
      </c>
      <c r="B3" s="61">
        <v>2</v>
      </c>
      <c r="C3" s="61" t="s">
        <v>168</v>
      </c>
      <c r="D3" s="62">
        <v>4131</v>
      </c>
      <c r="E3" s="62">
        <v>151846</v>
      </c>
      <c r="F3" s="63">
        <f t="shared" ref="F3:F36" si="2">I3-I2</f>
        <v>3881</v>
      </c>
      <c r="G3" s="63">
        <f t="shared" si="0"/>
        <v>1.5276434467711824</v>
      </c>
      <c r="H3" s="63">
        <f t="shared" ref="H3:H36" si="3">$B$36/SQRT($I$36)*(SQRT(I3)-SQRT(I2))</f>
        <v>5.6881332710228731</v>
      </c>
      <c r="I3" s="76">
        <v>4131</v>
      </c>
      <c r="J3" s="76">
        <v>151846</v>
      </c>
      <c r="K3" s="77">
        <f>J3*'Inflation Rates by Year'!$C$2</f>
        <v>171701.38295999999</v>
      </c>
      <c r="L3" s="78">
        <f t="shared" si="1"/>
        <v>41.564120784313722</v>
      </c>
    </row>
    <row r="4" spans="1:12" ht="15" customHeight="1">
      <c r="A4" s="81">
        <v>44338</v>
      </c>
      <c r="B4" s="61">
        <v>3</v>
      </c>
      <c r="C4" s="61" t="s">
        <v>271</v>
      </c>
      <c r="D4" s="62">
        <v>6093</v>
      </c>
      <c r="E4" s="62">
        <v>200000</v>
      </c>
      <c r="F4" s="63">
        <f t="shared" si="2"/>
        <v>1962</v>
      </c>
      <c r="G4" s="63">
        <f t="shared" si="0"/>
        <v>0.77228457680109763</v>
      </c>
      <c r="H4" s="63">
        <f t="shared" si="3"/>
        <v>1.6179837205493499</v>
      </c>
      <c r="I4" s="76">
        <v>6093</v>
      </c>
      <c r="J4" s="76">
        <v>200000</v>
      </c>
      <c r="K4" s="77">
        <f>J4*'Inflation Rates by Year'!$C$2</f>
        <v>226152</v>
      </c>
      <c r="L4" s="78">
        <f t="shared" si="1"/>
        <v>37.116691285081238</v>
      </c>
    </row>
    <row r="5" spans="1:12" ht="15" customHeight="1">
      <c r="A5" s="81">
        <v>44339</v>
      </c>
      <c r="B5" s="61">
        <v>4</v>
      </c>
      <c r="C5" s="61" t="s">
        <v>168</v>
      </c>
      <c r="D5" s="62">
        <v>7300</v>
      </c>
      <c r="E5" s="62">
        <v>258650</v>
      </c>
      <c r="F5" s="63">
        <f t="shared" si="2"/>
        <v>1207</v>
      </c>
      <c r="G5" s="63">
        <f t="shared" si="0"/>
        <v>0.4751006545356396</v>
      </c>
      <c r="H5" s="63">
        <f t="shared" si="3"/>
        <v>0.86650046789167068</v>
      </c>
      <c r="I5" s="76">
        <v>7300</v>
      </c>
      <c r="J5" s="76">
        <v>258650</v>
      </c>
      <c r="K5" s="77">
        <f>J5*'Inflation Rates by Year'!$C$2</f>
        <v>292471.07400000002</v>
      </c>
      <c r="L5" s="78">
        <f t="shared" si="1"/>
        <v>40.064530684931512</v>
      </c>
    </row>
    <row r="6" spans="1:12" ht="15" customHeight="1">
      <c r="A6" s="81">
        <v>44340</v>
      </c>
      <c r="B6" s="61">
        <v>5</v>
      </c>
      <c r="C6" s="61" t="s">
        <v>168</v>
      </c>
      <c r="D6" s="62">
        <v>11300</v>
      </c>
      <c r="E6" s="62">
        <v>250000</v>
      </c>
      <c r="F6" s="63">
        <f t="shared" si="2"/>
        <v>4000</v>
      </c>
      <c r="G6" s="63">
        <f t="shared" si="0"/>
        <v>1.5744843563732878</v>
      </c>
      <c r="H6" s="63">
        <f t="shared" si="3"/>
        <v>2.448595698847317</v>
      </c>
      <c r="I6" s="76">
        <v>11300</v>
      </c>
      <c r="J6" s="76">
        <v>250000</v>
      </c>
      <c r="K6" s="77">
        <f>J6*'Inflation Rates by Year'!$C$2</f>
        <v>282690</v>
      </c>
      <c r="L6" s="78">
        <f t="shared" si="1"/>
        <v>25.016814159292036</v>
      </c>
    </row>
    <row r="7" spans="1:12" ht="15" customHeight="1">
      <c r="A7" s="81">
        <v>44341</v>
      </c>
      <c r="B7" s="61">
        <v>6</v>
      </c>
      <c r="C7" s="61" t="s">
        <v>271</v>
      </c>
      <c r="D7" s="62">
        <v>13417</v>
      </c>
      <c r="E7" s="62">
        <v>431000</v>
      </c>
      <c r="F7" s="63">
        <f t="shared" si="2"/>
        <v>2117</v>
      </c>
      <c r="G7" s="63">
        <f t="shared" si="0"/>
        <v>0.83329584561056258</v>
      </c>
      <c r="H7" s="63">
        <f t="shared" si="3"/>
        <v>1.1186147009946752</v>
      </c>
      <c r="I7" s="76">
        <v>13417</v>
      </c>
      <c r="J7" s="76">
        <v>431000</v>
      </c>
      <c r="K7" s="77">
        <f>J7*'Inflation Rates by Year'!$C$2</f>
        <v>487357.56</v>
      </c>
      <c r="L7" s="78">
        <f t="shared" si="1"/>
        <v>36.323884623984497</v>
      </c>
    </row>
    <row r="8" spans="1:12" ht="15" customHeight="1">
      <c r="A8" s="81">
        <v>44342</v>
      </c>
      <c r="B8" s="61">
        <v>7</v>
      </c>
      <c r="C8" s="61" t="s">
        <v>168</v>
      </c>
      <c r="D8" s="62">
        <v>18184</v>
      </c>
      <c r="E8" s="62">
        <v>481242</v>
      </c>
      <c r="F8" s="63">
        <f t="shared" si="2"/>
        <v>4767</v>
      </c>
      <c r="G8" s="63">
        <f t="shared" si="0"/>
        <v>1.8763917317078658</v>
      </c>
      <c r="H8" s="63">
        <f t="shared" si="3"/>
        <v>2.2320244591295726</v>
      </c>
      <c r="I8" s="76">
        <v>18184</v>
      </c>
      <c r="J8" s="76">
        <v>481242</v>
      </c>
      <c r="K8" s="77">
        <f>J8*'Inflation Rates by Year'!$C$2</f>
        <v>544169.20392</v>
      </c>
      <c r="L8" s="78">
        <f t="shared" si="1"/>
        <v>29.925715129784425</v>
      </c>
    </row>
    <row r="9" spans="1:12" ht="15" customHeight="1">
      <c r="A9" s="81">
        <v>44343</v>
      </c>
      <c r="B9" s="61">
        <v>8</v>
      </c>
      <c r="C9" s="61" t="s">
        <v>271</v>
      </c>
      <c r="D9" s="62">
        <v>23500</v>
      </c>
      <c r="E9" s="62">
        <v>548047</v>
      </c>
      <c r="F9" s="63">
        <f t="shared" si="2"/>
        <v>5316</v>
      </c>
      <c r="G9" s="63">
        <f t="shared" si="0"/>
        <v>2.0924897096200996</v>
      </c>
      <c r="H9" s="63">
        <f t="shared" si="3"/>
        <v>2.1654434411397721</v>
      </c>
      <c r="I9" s="76">
        <v>23500</v>
      </c>
      <c r="J9" s="76">
        <v>548047</v>
      </c>
      <c r="K9" s="77">
        <f>J9*'Inflation Rates by Year'!$C$2</f>
        <v>619709.62572000001</v>
      </c>
      <c r="L9" s="78">
        <f t="shared" si="1"/>
        <v>26.370622371063831</v>
      </c>
    </row>
    <row r="10" spans="1:12" ht="15" customHeight="1">
      <c r="A10" s="81">
        <v>44344</v>
      </c>
      <c r="B10" s="61">
        <v>9</v>
      </c>
      <c r="C10" s="61" t="s">
        <v>271</v>
      </c>
      <c r="D10" s="62">
        <v>26446</v>
      </c>
      <c r="E10" s="62">
        <v>610466</v>
      </c>
      <c r="F10" s="63">
        <f t="shared" si="2"/>
        <v>2946</v>
      </c>
      <c r="G10" s="63">
        <f t="shared" si="0"/>
        <v>1.1596077284689263</v>
      </c>
      <c r="H10" s="63">
        <f t="shared" si="3"/>
        <v>1.0945351286771492</v>
      </c>
      <c r="I10" s="76">
        <v>26446</v>
      </c>
      <c r="J10" s="76">
        <v>610466</v>
      </c>
      <c r="K10" s="77">
        <f>J10*'Inflation Rates by Year'!$C$2</f>
        <v>690290.53416000004</v>
      </c>
      <c r="L10" s="78">
        <f t="shared" si="1"/>
        <v>26.101888155486655</v>
      </c>
    </row>
    <row r="11" spans="1:12" ht="15" customHeight="1">
      <c r="A11" s="81">
        <v>44345</v>
      </c>
      <c r="B11" s="61">
        <v>10</v>
      </c>
      <c r="C11" s="61" t="s">
        <v>168</v>
      </c>
      <c r="D11" s="62">
        <v>26446</v>
      </c>
      <c r="E11" s="62">
        <v>610466</v>
      </c>
      <c r="F11" s="63">
        <f t="shared" si="2"/>
        <v>0</v>
      </c>
      <c r="G11" s="63">
        <f t="shared" si="0"/>
        <v>0</v>
      </c>
      <c r="H11" s="63">
        <f t="shared" si="3"/>
        <v>0</v>
      </c>
      <c r="I11" s="76">
        <v>26446</v>
      </c>
      <c r="J11" s="76">
        <v>610466</v>
      </c>
      <c r="K11" s="77">
        <f>J11*'Inflation Rates by Year'!$C$2</f>
        <v>690290.53416000004</v>
      </c>
      <c r="L11" s="78">
        <f t="shared" si="1"/>
        <v>26.101888155486655</v>
      </c>
    </row>
    <row r="12" spans="1:12" ht="15" customHeight="1">
      <c r="A12" s="81">
        <v>44346</v>
      </c>
      <c r="B12" s="61">
        <v>11</v>
      </c>
      <c r="C12" s="61" t="s">
        <v>168</v>
      </c>
      <c r="D12" s="62">
        <v>30826</v>
      </c>
      <c r="E12" s="62">
        <v>787146</v>
      </c>
      <c r="F12" s="63">
        <f t="shared" si="2"/>
        <v>4380</v>
      </c>
      <c r="G12" s="63">
        <f t="shared" si="0"/>
        <v>1.72406037022875</v>
      </c>
      <c r="H12" s="63">
        <f t="shared" si="3"/>
        <v>1.520125164376058</v>
      </c>
      <c r="I12" s="76">
        <v>30826</v>
      </c>
      <c r="J12" s="76">
        <v>787146</v>
      </c>
      <c r="K12" s="77">
        <f>J12*'Inflation Rates by Year'!$C$2</f>
        <v>890073.21095999994</v>
      </c>
      <c r="L12" s="78">
        <f t="shared" si="1"/>
        <v>28.874106629468628</v>
      </c>
    </row>
    <row r="13" spans="1:12" ht="15" customHeight="1">
      <c r="A13" s="81">
        <v>44347</v>
      </c>
      <c r="B13" s="61">
        <v>12</v>
      </c>
      <c r="C13" s="61" t="s">
        <v>271</v>
      </c>
      <c r="D13" s="62">
        <v>34944</v>
      </c>
      <c r="E13" s="62">
        <v>902556</v>
      </c>
      <c r="F13" s="63">
        <f t="shared" si="2"/>
        <v>4118</v>
      </c>
      <c r="G13" s="63">
        <f t="shared" si="0"/>
        <v>1.6209316448862998</v>
      </c>
      <c r="H13" s="63">
        <f t="shared" si="3"/>
        <v>1.3333487497257734</v>
      </c>
      <c r="I13" s="76">
        <v>34944</v>
      </c>
      <c r="J13" s="76">
        <v>902556</v>
      </c>
      <c r="K13" s="77">
        <f>J13*'Inflation Rates by Year'!$C$2</f>
        <v>1020574.22256</v>
      </c>
      <c r="L13" s="78">
        <f t="shared" si="1"/>
        <v>29.205993090659341</v>
      </c>
    </row>
    <row r="14" spans="1:12" ht="15" customHeight="1">
      <c r="A14" s="81">
        <v>44349</v>
      </c>
      <c r="B14" s="61">
        <v>13</v>
      </c>
      <c r="C14" s="61" t="s">
        <v>168</v>
      </c>
      <c r="D14" s="62">
        <v>38225</v>
      </c>
      <c r="E14" s="62">
        <v>1100000</v>
      </c>
      <c r="F14" s="63">
        <f t="shared" si="2"/>
        <v>3281</v>
      </c>
      <c r="G14" s="63">
        <f t="shared" si="0"/>
        <v>1.2914707933151892</v>
      </c>
      <c r="H14" s="63">
        <f t="shared" si="3"/>
        <v>1.0069551186691934</v>
      </c>
      <c r="I14" s="76">
        <v>38225</v>
      </c>
      <c r="J14" s="76">
        <v>1100000</v>
      </c>
      <c r="K14" s="77">
        <f>J14*'Inflation Rates by Year'!$C$2</f>
        <v>1243836</v>
      </c>
      <c r="L14" s="78">
        <f t="shared" si="1"/>
        <v>32.539856115107916</v>
      </c>
    </row>
    <row r="15" spans="1:12" ht="15" customHeight="1">
      <c r="A15" s="81">
        <v>44350</v>
      </c>
      <c r="B15" s="61">
        <v>14</v>
      </c>
      <c r="C15" s="61" t="s">
        <v>168</v>
      </c>
      <c r="D15" s="62">
        <v>38300</v>
      </c>
      <c r="E15" s="62">
        <v>1332556</v>
      </c>
      <c r="F15" s="63">
        <f t="shared" si="2"/>
        <v>75</v>
      </c>
      <c r="G15" s="63">
        <f t="shared" ref="G15:G36" si="4">$B$36/$I$36*(F15)</f>
        <v>2.9521581681999146E-2</v>
      </c>
      <c r="H15" s="63">
        <f t="shared" si="3"/>
        <v>2.250183055812819E-2</v>
      </c>
      <c r="I15" s="76">
        <v>38300</v>
      </c>
      <c r="J15" s="76">
        <v>1332556</v>
      </c>
      <c r="K15" s="77">
        <f>J15*'Inflation Rates by Year'!$C$2</f>
        <v>1506801.02256</v>
      </c>
      <c r="L15" s="78">
        <f t="shared" si="1"/>
        <v>39.342063252219319</v>
      </c>
    </row>
    <row r="16" spans="1:12" ht="15" customHeight="1">
      <c r="A16" s="81">
        <v>44351</v>
      </c>
      <c r="B16" s="61">
        <v>15</v>
      </c>
      <c r="C16" s="61" t="s">
        <v>168</v>
      </c>
      <c r="D16" s="62">
        <v>38400</v>
      </c>
      <c r="E16" s="62">
        <v>1529815</v>
      </c>
      <c r="F16" s="63">
        <f t="shared" si="2"/>
        <v>100</v>
      </c>
      <c r="G16" s="63">
        <f t="shared" si="4"/>
        <v>3.9362108909332193E-2</v>
      </c>
      <c r="H16" s="63">
        <f t="shared" si="3"/>
        <v>2.9968196933329718E-2</v>
      </c>
      <c r="I16" s="76">
        <v>38400</v>
      </c>
      <c r="J16" s="76">
        <v>1529815</v>
      </c>
      <c r="K16" s="77">
        <f>J16*'Inflation Rates by Year'!$C$2</f>
        <v>1729853.6094</v>
      </c>
      <c r="L16" s="78">
        <f t="shared" si="1"/>
        <v>45.048271078124998</v>
      </c>
    </row>
    <row r="17" spans="1:12" ht="15" customHeight="1">
      <c r="A17" s="81">
        <v>44352</v>
      </c>
      <c r="B17" s="61">
        <v>16</v>
      </c>
      <c r="C17" s="61" t="s">
        <v>168</v>
      </c>
      <c r="D17" s="62">
        <v>41201</v>
      </c>
      <c r="E17" s="62">
        <v>1798778.32</v>
      </c>
      <c r="F17" s="63">
        <f t="shared" si="2"/>
        <v>2801</v>
      </c>
      <c r="G17" s="63">
        <f t="shared" si="4"/>
        <v>1.1025326705503948</v>
      </c>
      <c r="H17" s="63">
        <f t="shared" si="3"/>
        <v>0.8240988338037174</v>
      </c>
      <c r="I17" s="76">
        <v>41201</v>
      </c>
      <c r="J17" s="76">
        <v>1798778.32</v>
      </c>
      <c r="K17" s="77">
        <f>J17*'Inflation Rates by Year'!$C$2</f>
        <v>2033986.5731232001</v>
      </c>
      <c r="L17" s="78">
        <f t="shared" si="1"/>
        <v>49.367407905711026</v>
      </c>
    </row>
    <row r="18" spans="1:12" ht="15" customHeight="1">
      <c r="A18" s="81">
        <v>44353</v>
      </c>
      <c r="B18" s="61">
        <v>17</v>
      </c>
      <c r="C18" s="61" t="s">
        <v>168</v>
      </c>
      <c r="D18" s="62">
        <v>42126</v>
      </c>
      <c r="E18" s="62">
        <v>2138515</v>
      </c>
      <c r="F18" s="63">
        <f t="shared" si="2"/>
        <v>925</v>
      </c>
      <c r="G18" s="63">
        <f t="shared" si="4"/>
        <v>0.3640995074113228</v>
      </c>
      <c r="H18" s="63">
        <f t="shared" si="3"/>
        <v>0.26595842551616289</v>
      </c>
      <c r="I18" s="76">
        <v>42126</v>
      </c>
      <c r="J18" s="76">
        <v>2138515</v>
      </c>
      <c r="K18" s="77">
        <f>J18*'Inflation Rates by Year'!$C$2</f>
        <v>2418147.2214000002</v>
      </c>
      <c r="L18" s="78">
        <f t="shared" si="1"/>
        <v>57.40272566585957</v>
      </c>
    </row>
    <row r="19" spans="1:12" ht="15" customHeight="1">
      <c r="A19" s="81">
        <v>44354</v>
      </c>
      <c r="B19" s="61">
        <v>18</v>
      </c>
      <c r="C19" s="61" t="s">
        <v>168</v>
      </c>
      <c r="D19" s="62">
        <v>43792</v>
      </c>
      <c r="E19" s="62">
        <v>2357912</v>
      </c>
      <c r="F19" s="63">
        <f t="shared" si="2"/>
        <v>1666</v>
      </c>
      <c r="G19" s="63">
        <f t="shared" si="4"/>
        <v>0.65577273442947437</v>
      </c>
      <c r="H19" s="63">
        <f t="shared" si="3"/>
        <v>0.47174959466287131</v>
      </c>
      <c r="I19" s="76">
        <v>43792</v>
      </c>
      <c r="J19" s="76">
        <v>2357912</v>
      </c>
      <c r="K19" s="77">
        <f>J19*'Inflation Rates by Year'!$C$2</f>
        <v>2666232.5731199998</v>
      </c>
      <c r="L19" s="78">
        <f t="shared" si="1"/>
        <v>60.884010164413588</v>
      </c>
    </row>
    <row r="20" spans="1:12" ht="15" customHeight="1">
      <c r="A20" s="81">
        <v>44357</v>
      </c>
      <c r="B20" s="61">
        <v>19</v>
      </c>
      <c r="C20" s="61" t="s">
        <v>271</v>
      </c>
      <c r="D20" s="62">
        <v>50384</v>
      </c>
      <c r="E20" s="62">
        <v>3035887.99</v>
      </c>
      <c r="F20" s="63">
        <f t="shared" si="2"/>
        <v>6592</v>
      </c>
      <c r="G20" s="63">
        <f t="shared" si="4"/>
        <v>2.5947502193031782</v>
      </c>
      <c r="H20" s="63">
        <f t="shared" si="3"/>
        <v>1.7839051189434796</v>
      </c>
      <c r="I20" s="76">
        <v>50384</v>
      </c>
      <c r="J20" s="76">
        <v>3035887.99</v>
      </c>
      <c r="K20" s="77">
        <f>J20*'Inflation Rates by Year'!$C$2</f>
        <v>3432860.7035724004</v>
      </c>
      <c r="L20" s="78">
        <f t="shared" si="1"/>
        <v>68.133945370998731</v>
      </c>
    </row>
    <row r="21" spans="1:12" ht="14.5">
      <c r="A21" s="81">
        <v>44358</v>
      </c>
      <c r="B21" s="61">
        <v>20</v>
      </c>
      <c r="C21" s="61" t="s">
        <v>271</v>
      </c>
      <c r="D21" s="62">
        <v>54203</v>
      </c>
      <c r="E21" s="62">
        <v>3295233.13</v>
      </c>
      <c r="F21" s="63">
        <f t="shared" si="2"/>
        <v>3819</v>
      </c>
      <c r="G21" s="63">
        <f t="shared" si="4"/>
        <v>1.5032389392473966</v>
      </c>
      <c r="H21" s="63">
        <f t="shared" si="3"/>
        <v>0.9802603323698259</v>
      </c>
      <c r="I21" s="76">
        <v>54203</v>
      </c>
      <c r="J21" s="76">
        <v>3295233.13</v>
      </c>
      <c r="K21" s="77">
        <f>J21*'Inflation Rates by Year'!$C$2</f>
        <v>3726117.8140787999</v>
      </c>
      <c r="L21" s="78">
        <f t="shared" si="1"/>
        <v>68.743756140412884</v>
      </c>
    </row>
    <row r="22" spans="1:12" ht="14.5">
      <c r="A22" s="81">
        <v>44359</v>
      </c>
      <c r="B22" s="61">
        <v>21</v>
      </c>
      <c r="C22" s="61" t="s">
        <v>168</v>
      </c>
      <c r="D22" s="62">
        <v>63551</v>
      </c>
      <c r="E22" s="62">
        <v>3540363.97</v>
      </c>
      <c r="F22" s="63">
        <f t="shared" si="2"/>
        <v>9348</v>
      </c>
      <c r="G22" s="63">
        <f t="shared" si="4"/>
        <v>3.6795699408443734</v>
      </c>
      <c r="H22" s="63">
        <f t="shared" si="3"/>
        <v>2.2627262020627095</v>
      </c>
      <c r="I22" s="76">
        <v>63551</v>
      </c>
      <c r="J22" s="76">
        <v>3540363.97</v>
      </c>
      <c r="K22" s="77">
        <f>J22*'Inflation Rates by Year'!$C$2</f>
        <v>4003301.9627172002</v>
      </c>
      <c r="L22" s="78">
        <f t="shared" si="1"/>
        <v>62.993532166562289</v>
      </c>
    </row>
    <row r="23" spans="1:12" ht="14.5">
      <c r="A23" s="81">
        <v>44360</v>
      </c>
      <c r="B23" s="61">
        <v>22</v>
      </c>
      <c r="C23" s="61" t="s">
        <v>271</v>
      </c>
      <c r="D23" s="62">
        <v>65289</v>
      </c>
      <c r="E23" s="62">
        <v>3863650.81</v>
      </c>
      <c r="F23" s="63">
        <f t="shared" si="2"/>
        <v>1738</v>
      </c>
      <c r="G23" s="63">
        <f t="shared" si="4"/>
        <v>0.68411345284419356</v>
      </c>
      <c r="H23" s="63">
        <f t="shared" si="3"/>
        <v>0.40187639417427534</v>
      </c>
      <c r="I23" s="76">
        <v>65289</v>
      </c>
      <c r="J23" s="76">
        <v>3863650.81</v>
      </c>
      <c r="K23" s="77">
        <f>J23*'Inflation Rates by Year'!$C$2</f>
        <v>4368861.7899155999</v>
      </c>
      <c r="L23" s="78">
        <f t="shared" si="1"/>
        <v>66.915740628828743</v>
      </c>
    </row>
    <row r="24" spans="1:12" ht="14.5">
      <c r="A24" s="81">
        <v>44361</v>
      </c>
      <c r="B24" s="61">
        <v>23</v>
      </c>
      <c r="C24" s="61" t="s">
        <v>168</v>
      </c>
      <c r="D24" s="62">
        <v>73069</v>
      </c>
      <c r="E24" s="62">
        <v>4102499.87</v>
      </c>
      <c r="F24" s="63">
        <f t="shared" si="2"/>
        <v>7780</v>
      </c>
      <c r="G24" s="63">
        <f t="shared" si="4"/>
        <v>3.0623720731460446</v>
      </c>
      <c r="H24" s="63">
        <f t="shared" si="3"/>
        <v>1.7366308721471269</v>
      </c>
      <c r="I24" s="76">
        <v>73069</v>
      </c>
      <c r="J24" s="76">
        <v>4102499.87</v>
      </c>
      <c r="K24" s="77">
        <f>J24*'Inflation Rates by Year'!$C$2</f>
        <v>4638942.7530012</v>
      </c>
      <c r="L24" s="78">
        <f t="shared" si="1"/>
        <v>63.487152595508356</v>
      </c>
    </row>
    <row r="25" spans="1:12" ht="14.5">
      <c r="A25" s="81">
        <v>44362</v>
      </c>
      <c r="B25" s="61">
        <v>24</v>
      </c>
      <c r="C25" s="61" t="s">
        <v>168</v>
      </c>
      <c r="D25" s="62">
        <v>73069</v>
      </c>
      <c r="E25" s="62">
        <v>4398512</v>
      </c>
      <c r="F25" s="63">
        <f t="shared" si="2"/>
        <v>0</v>
      </c>
      <c r="G25" s="63">
        <f t="shared" si="4"/>
        <v>0</v>
      </c>
      <c r="H25" s="63">
        <f t="shared" si="3"/>
        <v>0</v>
      </c>
      <c r="I25" s="76">
        <v>73069</v>
      </c>
      <c r="J25" s="76">
        <v>4398512</v>
      </c>
      <c r="K25" s="77">
        <f>J25*'Inflation Rates by Year'!$C$2</f>
        <v>4973661.4291199995</v>
      </c>
      <c r="L25" s="78">
        <f t="shared" si="1"/>
        <v>68.068010087999014</v>
      </c>
    </row>
    <row r="26" spans="1:12" ht="14.5">
      <c r="A26" s="81">
        <v>44363</v>
      </c>
      <c r="B26" s="61">
        <v>25</v>
      </c>
      <c r="C26" s="61" t="s">
        <v>168</v>
      </c>
      <c r="D26" s="62">
        <v>73069</v>
      </c>
      <c r="E26" s="62">
        <v>4786510</v>
      </c>
      <c r="F26" s="63">
        <f t="shared" si="2"/>
        <v>0</v>
      </c>
      <c r="G26" s="63">
        <f t="shared" si="4"/>
        <v>0</v>
      </c>
      <c r="H26" s="63">
        <f t="shared" si="3"/>
        <v>0</v>
      </c>
      <c r="I26" s="76">
        <v>73069</v>
      </c>
      <c r="J26" s="76">
        <v>4786510</v>
      </c>
      <c r="K26" s="77">
        <f>J26*'Inflation Rates by Year'!$C$2</f>
        <v>5412394.0476000002</v>
      </c>
      <c r="L26" s="78">
        <f t="shared" si="1"/>
        <v>74.072370603128547</v>
      </c>
    </row>
    <row r="27" spans="1:12" ht="14.5">
      <c r="A27" s="81">
        <v>44364</v>
      </c>
      <c r="B27" s="61">
        <v>26</v>
      </c>
      <c r="C27" s="61" t="s">
        <v>168</v>
      </c>
      <c r="D27" s="62">
        <v>81034</v>
      </c>
      <c r="E27" s="62">
        <v>5100000</v>
      </c>
      <c r="F27" s="63">
        <f t="shared" si="2"/>
        <v>7965</v>
      </c>
      <c r="G27" s="63">
        <f t="shared" si="4"/>
        <v>3.1351919746283095</v>
      </c>
      <c r="H27" s="63">
        <f t="shared" si="3"/>
        <v>1.68454884347561</v>
      </c>
      <c r="I27" s="76">
        <v>81034</v>
      </c>
      <c r="J27" s="76">
        <v>5100000</v>
      </c>
      <c r="K27" s="77">
        <f>J27*'Inflation Rates by Year'!$C$2</f>
        <v>5766876</v>
      </c>
      <c r="L27" s="78">
        <f t="shared" si="1"/>
        <v>71.166127798208166</v>
      </c>
    </row>
    <row r="28" spans="1:12" ht="14.5">
      <c r="A28" s="81">
        <v>44365</v>
      </c>
      <c r="B28" s="61">
        <v>27</v>
      </c>
      <c r="C28" s="61" t="s">
        <v>271</v>
      </c>
      <c r="D28" s="62">
        <v>83096</v>
      </c>
      <c r="E28" s="62">
        <v>5100000</v>
      </c>
      <c r="F28" s="63">
        <f t="shared" si="2"/>
        <v>2062</v>
      </c>
      <c r="G28" s="63">
        <f t="shared" si="4"/>
        <v>0.81164668571042986</v>
      </c>
      <c r="H28" s="63">
        <f t="shared" si="3"/>
        <v>0.42243651261740783</v>
      </c>
      <c r="I28" s="76">
        <v>83096</v>
      </c>
      <c r="J28" s="76">
        <v>5100000</v>
      </c>
      <c r="K28" s="77">
        <f>J28*'Inflation Rates by Year'!$C$2</f>
        <v>5766876</v>
      </c>
      <c r="L28" s="78">
        <f t="shared" si="1"/>
        <v>69.400163666121117</v>
      </c>
    </row>
    <row r="29" spans="1:12" ht="14.5">
      <c r="A29" s="81">
        <v>44366</v>
      </c>
      <c r="B29" s="61">
        <v>28</v>
      </c>
      <c r="C29" s="61" t="s">
        <v>271</v>
      </c>
      <c r="D29" s="62">
        <v>84900</v>
      </c>
      <c r="E29" s="62">
        <v>5600137</v>
      </c>
      <c r="F29" s="63">
        <f t="shared" si="2"/>
        <v>1804</v>
      </c>
      <c r="G29" s="63">
        <f t="shared" si="4"/>
        <v>0.71009244472435273</v>
      </c>
      <c r="H29" s="63">
        <f t="shared" si="3"/>
        <v>0.36530155965935174</v>
      </c>
      <c r="I29" s="76">
        <v>84900</v>
      </c>
      <c r="J29" s="76">
        <v>5600137</v>
      </c>
      <c r="K29" s="77">
        <f>J29*'Inflation Rates by Year'!$C$2</f>
        <v>6332410.9141199999</v>
      </c>
      <c r="L29" s="78">
        <f t="shared" si="1"/>
        <v>74.586700990812716</v>
      </c>
    </row>
    <row r="30" spans="1:12" ht="14.5">
      <c r="A30" s="81">
        <v>44367</v>
      </c>
      <c r="B30" s="61">
        <v>29</v>
      </c>
      <c r="C30" s="61" t="s">
        <v>168</v>
      </c>
      <c r="D30" s="62">
        <v>85640</v>
      </c>
      <c r="E30" s="62">
        <v>5500</v>
      </c>
      <c r="F30" s="63">
        <f t="shared" si="2"/>
        <v>740</v>
      </c>
      <c r="G30" s="63">
        <f t="shared" si="4"/>
        <v>0.29127960592905822</v>
      </c>
      <c r="H30" s="63">
        <f t="shared" si="3"/>
        <v>0.14872289003438194</v>
      </c>
      <c r="I30" s="76">
        <v>85640</v>
      </c>
      <c r="J30" s="76">
        <v>5500</v>
      </c>
      <c r="K30" s="77">
        <f>J30*'Inflation Rates by Year'!$C$2</f>
        <v>6219.18</v>
      </c>
      <c r="L30" s="78">
        <f t="shared" si="1"/>
        <v>7.2620037365716955E-2</v>
      </c>
    </row>
    <row r="31" spans="1:12" ht="14.5">
      <c r="A31" s="81">
        <v>44368</v>
      </c>
      <c r="B31" s="61">
        <v>30</v>
      </c>
      <c r="C31" s="61" t="s">
        <v>168</v>
      </c>
      <c r="D31" s="62">
        <v>87551</v>
      </c>
      <c r="E31" s="62">
        <v>6090616.2599999998</v>
      </c>
      <c r="F31" s="63">
        <f t="shared" si="2"/>
        <v>1911</v>
      </c>
      <c r="G31" s="63">
        <f t="shared" si="4"/>
        <v>0.75220990125733822</v>
      </c>
      <c r="H31" s="63">
        <f t="shared" si="3"/>
        <v>0.38112096597539546</v>
      </c>
      <c r="I31" s="76">
        <v>87551</v>
      </c>
      <c r="J31" s="76">
        <v>6090616.2599999998</v>
      </c>
      <c r="K31" s="77">
        <f>J31*'Inflation Rates by Year'!$C$2</f>
        <v>6887025.2421575999</v>
      </c>
      <c r="L31" s="78">
        <f t="shared" si="1"/>
        <v>78.663010612758271</v>
      </c>
    </row>
    <row r="32" spans="1:12" ht="14.5">
      <c r="A32" s="81">
        <v>44369</v>
      </c>
      <c r="B32" s="61">
        <v>31</v>
      </c>
      <c r="C32" s="61" t="s">
        <v>168</v>
      </c>
      <c r="D32" s="62">
        <v>87798</v>
      </c>
      <c r="E32" s="62">
        <v>6313513</v>
      </c>
      <c r="F32" s="63">
        <f t="shared" si="2"/>
        <v>247</v>
      </c>
      <c r="G32" s="63">
        <f t="shared" si="4"/>
        <v>9.7224409006050519E-2</v>
      </c>
      <c r="H32" s="63">
        <f t="shared" si="3"/>
        <v>4.8955739806454436E-2</v>
      </c>
      <c r="I32" s="76">
        <v>87798</v>
      </c>
      <c r="J32" s="76">
        <v>6313513</v>
      </c>
      <c r="K32" s="77">
        <f>J32*'Inflation Rates by Year'!$C$2</f>
        <v>7139067.95988</v>
      </c>
      <c r="L32" s="78">
        <f t="shared" si="1"/>
        <v>81.312421238297006</v>
      </c>
    </row>
    <row r="33" spans="1:26" ht="14.5">
      <c r="A33" s="81">
        <v>44370</v>
      </c>
      <c r="B33" s="61">
        <v>32</v>
      </c>
      <c r="C33" s="61" t="s">
        <v>168</v>
      </c>
      <c r="D33" s="62">
        <v>87898</v>
      </c>
      <c r="E33" s="62">
        <v>6620621</v>
      </c>
      <c r="F33" s="63">
        <f t="shared" si="2"/>
        <v>100</v>
      </c>
      <c r="G33" s="63">
        <f t="shared" si="4"/>
        <v>3.9362108909332193E-2</v>
      </c>
      <c r="H33" s="63">
        <f t="shared" si="3"/>
        <v>1.9800551382341915E-2</v>
      </c>
      <c r="I33" s="76">
        <v>87898</v>
      </c>
      <c r="J33" s="76">
        <v>6620621</v>
      </c>
      <c r="K33" s="77">
        <f>J33*'Inflation Rates by Year'!$C$2</f>
        <v>7486333.4019599995</v>
      </c>
      <c r="L33" s="78">
        <f t="shared" si="1"/>
        <v>85.170691050535837</v>
      </c>
    </row>
    <row r="34" spans="1:26" ht="14.5">
      <c r="A34" s="81">
        <v>44371</v>
      </c>
      <c r="B34" s="61">
        <v>33</v>
      </c>
      <c r="C34" s="61" t="s">
        <v>168</v>
      </c>
      <c r="D34" s="62">
        <v>87898</v>
      </c>
      <c r="E34" s="62">
        <v>6798365</v>
      </c>
      <c r="F34" s="63">
        <f t="shared" si="2"/>
        <v>0</v>
      </c>
      <c r="G34" s="63">
        <f t="shared" si="4"/>
        <v>0</v>
      </c>
      <c r="H34" s="63">
        <f t="shared" si="3"/>
        <v>0</v>
      </c>
      <c r="I34" s="76">
        <v>87898</v>
      </c>
      <c r="J34" s="76">
        <v>6798365</v>
      </c>
      <c r="K34" s="77">
        <f>J34*'Inflation Rates by Year'!$C$2</f>
        <v>7687319.2073999997</v>
      </c>
      <c r="L34" s="78">
        <f t="shared" si="1"/>
        <v>87.457271011854644</v>
      </c>
    </row>
    <row r="35" spans="1:26" ht="14.5">
      <c r="A35" s="81">
        <v>44372</v>
      </c>
      <c r="B35" s="61">
        <v>34</v>
      </c>
      <c r="C35" s="61" t="s">
        <v>168</v>
      </c>
      <c r="D35" s="62">
        <v>88420</v>
      </c>
      <c r="E35" s="62">
        <v>6998365</v>
      </c>
      <c r="F35" s="63">
        <f t="shared" si="2"/>
        <v>522</v>
      </c>
      <c r="G35" s="63">
        <f t="shared" si="4"/>
        <v>0.20547020850671405</v>
      </c>
      <c r="H35" s="63">
        <f t="shared" si="3"/>
        <v>0.10317651557656315</v>
      </c>
      <c r="I35" s="76">
        <v>88420</v>
      </c>
      <c r="J35" s="76">
        <v>6998365</v>
      </c>
      <c r="K35" s="77">
        <f>J35*'Inflation Rates by Year'!$C$2</f>
        <v>7913471.2073999997</v>
      </c>
      <c r="L35" s="78">
        <f t="shared" si="1"/>
        <v>89.498656496267813</v>
      </c>
    </row>
    <row r="36" spans="1:26" ht="14.5">
      <c r="A36" s="82">
        <v>44373</v>
      </c>
      <c r="B36" s="83">
        <v>35</v>
      </c>
      <c r="C36" s="83" t="s">
        <v>168</v>
      </c>
      <c r="D36" s="72">
        <v>88918</v>
      </c>
      <c r="E36" s="72">
        <v>7105352</v>
      </c>
      <c r="F36" s="63">
        <f t="shared" si="2"/>
        <v>498</v>
      </c>
      <c r="G36" s="63">
        <f t="shared" si="4"/>
        <v>0.19602330236847432</v>
      </c>
      <c r="H36" s="63">
        <f t="shared" si="3"/>
        <v>9.8149269457021848E-2</v>
      </c>
      <c r="I36" s="72">
        <v>88918</v>
      </c>
      <c r="J36" s="72">
        <v>7105352</v>
      </c>
      <c r="K36" s="77">
        <f>J36*'Inflation Rates by Year'!$C$2</f>
        <v>8034447.8275199998</v>
      </c>
      <c r="L36" s="78">
        <f t="shared" si="1"/>
        <v>90.357945832339908</v>
      </c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4.5">
      <c r="A37" s="81">
        <v>44374</v>
      </c>
      <c r="B37" s="61">
        <v>36</v>
      </c>
      <c r="C37" s="61" t="s">
        <v>168</v>
      </c>
      <c r="D37" s="62">
        <v>88918</v>
      </c>
      <c r="E37" s="62">
        <v>7214701</v>
      </c>
      <c r="F37" s="86"/>
      <c r="G37" s="86"/>
      <c r="H37" s="86"/>
      <c r="I37" s="76">
        <v>88918</v>
      </c>
      <c r="J37" s="76">
        <v>7214701</v>
      </c>
      <c r="K37" s="77">
        <f>J37*'Inflation Rates by Year'!$C$2</f>
        <v>8158095.3027600003</v>
      </c>
      <c r="L37" s="78">
        <f t="shared" si="1"/>
        <v>91.74852451427158</v>
      </c>
    </row>
    <row r="38" spans="1:26" ht="14.5">
      <c r="A38" s="81">
        <v>44375</v>
      </c>
      <c r="B38" s="61">
        <v>37</v>
      </c>
      <c r="C38" s="61" t="s">
        <v>168</v>
      </c>
      <c r="D38" s="62">
        <v>88918</v>
      </c>
      <c r="E38" s="62">
        <v>7304294</v>
      </c>
      <c r="F38" s="86"/>
      <c r="G38" s="86"/>
      <c r="H38" s="86"/>
      <c r="I38" s="76">
        <v>88918</v>
      </c>
      <c r="J38" s="76">
        <v>7304294</v>
      </c>
      <c r="K38" s="77">
        <f>J38*'Inflation Rates by Year'!$C$2</f>
        <v>8259403.4834399996</v>
      </c>
      <c r="L38" s="78">
        <f t="shared" si="1"/>
        <v>92.887868411795139</v>
      </c>
    </row>
    <row r="39" spans="1:26" ht="14.5">
      <c r="A39" s="81">
        <v>44376</v>
      </c>
      <c r="B39" s="61">
        <v>38</v>
      </c>
      <c r="C39" s="61" t="s">
        <v>168</v>
      </c>
      <c r="D39" s="62">
        <v>88918</v>
      </c>
      <c r="E39" s="62">
        <v>7404392.5499999998</v>
      </c>
      <c r="F39" s="86"/>
      <c r="G39" s="86"/>
      <c r="H39" s="86"/>
      <c r="I39" s="76">
        <v>88918</v>
      </c>
      <c r="J39" s="76">
        <v>7404392.5499999998</v>
      </c>
      <c r="K39" s="77">
        <f>J39*'Inflation Rates by Year'!$C$2</f>
        <v>8372590.9198380001</v>
      </c>
      <c r="L39" s="78">
        <f t="shared" si="1"/>
        <v>94.160810182842624</v>
      </c>
    </row>
    <row r="40" spans="1:26" ht="14.5">
      <c r="A40" s="81">
        <v>44377</v>
      </c>
      <c r="B40" s="61">
        <v>39</v>
      </c>
      <c r="C40" s="61" t="s">
        <v>271</v>
      </c>
      <c r="D40" s="62">
        <v>88918</v>
      </c>
      <c r="E40" s="62">
        <v>7404400</v>
      </c>
      <c r="F40" s="86"/>
      <c r="G40" s="86"/>
      <c r="H40" s="86"/>
      <c r="I40" s="76">
        <v>88918</v>
      </c>
      <c r="J40" s="76">
        <v>7404400</v>
      </c>
      <c r="K40" s="77">
        <f>J40*'Inflation Rates by Year'!$C$2</f>
        <v>8372599.3439999996</v>
      </c>
      <c r="L40" s="78">
        <f t="shared" si="1"/>
        <v>94.160904923637503</v>
      </c>
    </row>
    <row r="41" spans="1:26" ht="14.5">
      <c r="A41" s="81">
        <v>44378</v>
      </c>
      <c r="B41" s="61">
        <v>40</v>
      </c>
      <c r="C41" s="61" t="s">
        <v>168</v>
      </c>
      <c r="D41" s="62">
        <v>88918</v>
      </c>
      <c r="E41" s="62">
        <v>7414000</v>
      </c>
      <c r="F41" s="86"/>
      <c r="G41" s="86"/>
      <c r="H41" s="86"/>
      <c r="I41" s="76">
        <v>88918</v>
      </c>
      <c r="J41" s="76">
        <v>7414000</v>
      </c>
      <c r="K41" s="77">
        <f>J41*'Inflation Rates by Year'!$C$2</f>
        <v>8383454.6399999997</v>
      </c>
      <c r="L41" s="78">
        <f t="shared" si="1"/>
        <v>94.282987021750372</v>
      </c>
    </row>
    <row r="42" spans="1:26" ht="14.5">
      <c r="A42" s="81">
        <v>44385</v>
      </c>
      <c r="B42" s="61">
        <v>41</v>
      </c>
      <c r="C42" s="61" t="s">
        <v>271</v>
      </c>
      <c r="D42" s="62">
        <v>88918</v>
      </c>
      <c r="E42" s="62">
        <v>10500000</v>
      </c>
      <c r="F42" s="86"/>
      <c r="G42" s="86"/>
      <c r="H42" s="86"/>
      <c r="I42" s="76">
        <v>88918</v>
      </c>
      <c r="J42" s="76">
        <v>10500000</v>
      </c>
      <c r="K42" s="77">
        <f>J42*'Inflation Rates by Year'!$C$2</f>
        <v>11872980</v>
      </c>
      <c r="L42" s="78">
        <f t="shared" si="1"/>
        <v>133.52729481094943</v>
      </c>
    </row>
    <row r="43" spans="1:26" ht="14.5">
      <c r="A43" s="81">
        <v>44392</v>
      </c>
      <c r="B43" s="61">
        <v>42</v>
      </c>
      <c r="C43" s="61" t="s">
        <v>168</v>
      </c>
      <c r="D43" s="62">
        <v>88918</v>
      </c>
      <c r="E43" s="62">
        <v>7500000</v>
      </c>
      <c r="F43" s="86"/>
      <c r="G43" s="86"/>
      <c r="H43" s="86"/>
      <c r="I43" s="76">
        <v>88918</v>
      </c>
      <c r="J43" s="76">
        <v>7500000</v>
      </c>
      <c r="K43" s="77">
        <f>J43*'Inflation Rates by Year'!$C$2</f>
        <v>8480700</v>
      </c>
      <c r="L43" s="78">
        <f t="shared" si="1"/>
        <v>95.376639150678159</v>
      </c>
    </row>
    <row r="44" spans="1:26" ht="12.5">
      <c r="F44" s="86"/>
      <c r="G44" s="86"/>
      <c r="H44" s="86"/>
      <c r="I44" s="65"/>
      <c r="J44" s="95"/>
      <c r="K44" s="77"/>
      <c r="L44" s="78"/>
    </row>
    <row r="45" spans="1:26" ht="12.5">
      <c r="F45" s="86"/>
      <c r="G45" s="86"/>
      <c r="H45" s="86"/>
      <c r="I45" s="65"/>
      <c r="J45" s="95"/>
      <c r="K45" s="77"/>
      <c r="L45" s="78"/>
    </row>
    <row r="46" spans="1:26" ht="12.5">
      <c r="F46" s="86"/>
      <c r="G46" s="86"/>
      <c r="H46" s="86"/>
      <c r="I46" s="65"/>
      <c r="J46" s="95"/>
      <c r="K46" s="77"/>
      <c r="L46" s="78"/>
    </row>
    <row r="47" spans="1:26" ht="12.5">
      <c r="F47" s="86"/>
      <c r="G47" s="86"/>
      <c r="H47" s="86"/>
      <c r="I47" s="65"/>
      <c r="J47" s="95"/>
      <c r="K47" s="77"/>
      <c r="L47" s="78"/>
    </row>
    <row r="48" spans="1:26" ht="12.5">
      <c r="F48" s="86"/>
      <c r="G48" s="86"/>
      <c r="H48" s="86"/>
      <c r="I48" s="65"/>
      <c r="J48" s="65"/>
      <c r="K48" s="66"/>
      <c r="L48" s="78"/>
    </row>
    <row r="49" spans="6:12" ht="12.5">
      <c r="F49" s="86"/>
      <c r="G49" s="86"/>
      <c r="H49" s="86"/>
      <c r="I49" s="65"/>
      <c r="J49" s="65"/>
      <c r="K49" s="66"/>
      <c r="L49" s="78"/>
    </row>
    <row r="50" spans="6:12" ht="12.5">
      <c r="F50" s="86"/>
      <c r="G50" s="86"/>
      <c r="H50" s="86"/>
      <c r="I50" s="65"/>
      <c r="J50" s="65"/>
      <c r="K50" s="66"/>
      <c r="L50" s="78"/>
    </row>
    <row r="51" spans="6:12" ht="12.5">
      <c r="F51" s="86"/>
      <c r="G51" s="86"/>
      <c r="H51" s="86"/>
      <c r="I51" s="65"/>
      <c r="J51" s="65"/>
      <c r="K51" s="66"/>
      <c r="L51" s="78"/>
    </row>
    <row r="52" spans="6:12" ht="12.5">
      <c r="F52" s="86"/>
      <c r="G52" s="86"/>
      <c r="H52" s="86"/>
      <c r="I52" s="65"/>
      <c r="J52" s="65"/>
      <c r="K52" s="66"/>
      <c r="L52" s="78"/>
    </row>
    <row r="53" spans="6:12" ht="12.5">
      <c r="F53" s="86"/>
      <c r="G53" s="86"/>
      <c r="H53" s="86"/>
      <c r="I53" s="65"/>
      <c r="J53" s="65"/>
      <c r="K53" s="66"/>
      <c r="L53" s="78"/>
    </row>
    <row r="54" spans="6:12" ht="12.5">
      <c r="F54" s="86"/>
      <c r="G54" s="86"/>
      <c r="H54" s="86"/>
      <c r="I54" s="65"/>
      <c r="J54" s="65"/>
      <c r="K54" s="96"/>
      <c r="L54" s="73"/>
    </row>
    <row r="55" spans="6:12" ht="12.5">
      <c r="F55" s="86"/>
      <c r="G55" s="86"/>
      <c r="H55" s="86"/>
      <c r="I55" s="65"/>
      <c r="J55" s="65"/>
      <c r="K55" s="66"/>
      <c r="L55" s="78"/>
    </row>
    <row r="56" spans="6:12" ht="12.5">
      <c r="F56" s="86"/>
      <c r="G56" s="86"/>
      <c r="H56" s="86"/>
      <c r="I56" s="65"/>
      <c r="J56" s="65"/>
      <c r="K56" s="66"/>
      <c r="L56" s="78"/>
    </row>
    <row r="57" spans="6:12" ht="12.5">
      <c r="F57" s="86"/>
      <c r="G57" s="86"/>
      <c r="H57" s="86"/>
      <c r="I57" s="65"/>
      <c r="J57" s="65"/>
      <c r="K57" s="66"/>
      <c r="L57" s="78"/>
    </row>
    <row r="58" spans="6:12" ht="12.5">
      <c r="F58" s="86"/>
      <c r="G58" s="86"/>
      <c r="H58" s="86"/>
      <c r="I58" s="65"/>
      <c r="J58" s="65"/>
      <c r="K58" s="66"/>
      <c r="L58" s="78"/>
    </row>
    <row r="59" spans="6:12" ht="12.5">
      <c r="F59" s="86"/>
      <c r="G59" s="86"/>
      <c r="H59" s="86"/>
      <c r="I59" s="65"/>
      <c r="J59" s="65"/>
      <c r="K59" s="66"/>
      <c r="L59" s="78"/>
    </row>
    <row r="60" spans="6:12" ht="12.5">
      <c r="F60" s="86"/>
      <c r="G60" s="86"/>
      <c r="H60" s="86"/>
      <c r="I60" s="65"/>
      <c r="J60" s="65"/>
      <c r="K60" s="66"/>
      <c r="L60" s="78"/>
    </row>
    <row r="61" spans="6:12" ht="12.5">
      <c r="F61" s="86"/>
      <c r="G61" s="86"/>
      <c r="H61" s="86"/>
      <c r="I61" s="65"/>
      <c r="J61" s="65"/>
      <c r="K61" s="66"/>
      <c r="L61" s="78"/>
    </row>
    <row r="62" spans="6:12" ht="12.5">
      <c r="F62" s="86"/>
      <c r="G62" s="86"/>
      <c r="H62" s="86"/>
      <c r="I62" s="65"/>
      <c r="J62" s="65"/>
      <c r="K62" s="66"/>
      <c r="L62" s="78"/>
    </row>
    <row r="63" spans="6:12" ht="12.5">
      <c r="F63" s="86"/>
      <c r="G63" s="86"/>
      <c r="H63" s="86"/>
      <c r="I63" s="65"/>
      <c r="J63" s="65"/>
      <c r="K63" s="66"/>
      <c r="L63" s="78"/>
    </row>
    <row r="64" spans="6:12" ht="12.5">
      <c r="F64" s="86"/>
      <c r="G64" s="86"/>
      <c r="H64" s="86"/>
      <c r="I64" s="65"/>
      <c r="J64" s="65"/>
      <c r="K64" s="66"/>
      <c r="L64" s="78"/>
    </row>
    <row r="65" spans="6:12" ht="12.5">
      <c r="F65" s="86"/>
      <c r="G65" s="86"/>
      <c r="H65" s="86"/>
      <c r="I65" s="65"/>
      <c r="J65" s="65"/>
      <c r="K65" s="66"/>
      <c r="L65" s="67"/>
    </row>
    <row r="66" spans="6:12" ht="12.5">
      <c r="F66" s="86"/>
      <c r="G66" s="86"/>
      <c r="H66" s="86"/>
      <c r="I66" s="65"/>
      <c r="J66" s="65"/>
      <c r="K66" s="66"/>
      <c r="L66" s="67"/>
    </row>
    <row r="67" spans="6:12" ht="12.5">
      <c r="F67" s="86"/>
      <c r="G67" s="86"/>
      <c r="H67" s="86"/>
      <c r="I67" s="65"/>
      <c r="J67" s="65"/>
      <c r="K67" s="66"/>
      <c r="L67" s="67"/>
    </row>
    <row r="68" spans="6:12" ht="12.5">
      <c r="F68" s="86"/>
      <c r="G68" s="86"/>
      <c r="H68" s="86"/>
      <c r="I68" s="65"/>
      <c r="J68" s="65"/>
      <c r="K68" s="66"/>
      <c r="L68" s="67"/>
    </row>
    <row r="69" spans="6:12" ht="12.5">
      <c r="F69" s="86"/>
      <c r="G69" s="86"/>
      <c r="H69" s="86"/>
      <c r="I69" s="65"/>
      <c r="J69" s="65"/>
      <c r="K69" s="66"/>
      <c r="L69" s="67"/>
    </row>
    <row r="70" spans="6:12" ht="12.5">
      <c r="F70" s="86"/>
      <c r="G70" s="86"/>
      <c r="H70" s="86"/>
      <c r="I70" s="65"/>
      <c r="J70" s="65"/>
      <c r="K70" s="66"/>
      <c r="L70" s="67"/>
    </row>
    <row r="71" spans="6:12" ht="12.5">
      <c r="F71" s="86"/>
      <c r="G71" s="86"/>
      <c r="H71" s="86"/>
      <c r="I71" s="65"/>
      <c r="J71" s="65"/>
      <c r="K71" s="66"/>
      <c r="L71" s="67"/>
    </row>
    <row r="72" spans="6:12" ht="12.5">
      <c r="F72" s="86"/>
      <c r="G72" s="86"/>
      <c r="H72" s="86"/>
      <c r="I72" s="65"/>
      <c r="J72" s="65"/>
      <c r="K72" s="66"/>
      <c r="L72" s="67"/>
    </row>
    <row r="73" spans="6:12" ht="12.5">
      <c r="F73" s="86"/>
      <c r="G73" s="86"/>
      <c r="H73" s="86"/>
      <c r="I73" s="65"/>
      <c r="J73" s="65"/>
      <c r="K73" s="66"/>
      <c r="L73" s="67"/>
    </row>
    <row r="74" spans="6:12" ht="12.5">
      <c r="F74" s="86"/>
      <c r="G74" s="86"/>
      <c r="H74" s="86"/>
      <c r="I74" s="65"/>
      <c r="J74" s="65"/>
      <c r="K74" s="66"/>
      <c r="L74" s="67"/>
    </row>
    <row r="75" spans="6:12" ht="12.5">
      <c r="F75" s="86"/>
      <c r="G75" s="86"/>
      <c r="H75" s="86"/>
      <c r="I75" s="65"/>
      <c r="J75" s="65"/>
      <c r="K75" s="66"/>
      <c r="L75" s="67"/>
    </row>
    <row r="76" spans="6:12" ht="12.5">
      <c r="F76" s="86"/>
      <c r="G76" s="86"/>
      <c r="H76" s="86"/>
      <c r="I76" s="65"/>
      <c r="J76" s="65"/>
      <c r="K76" s="66"/>
      <c r="L76" s="67"/>
    </row>
    <row r="77" spans="6:12" ht="12.5">
      <c r="F77" s="86"/>
      <c r="G77" s="86"/>
      <c r="H77" s="86"/>
      <c r="I77" s="65"/>
      <c r="J77" s="65"/>
      <c r="K77" s="66"/>
      <c r="L77" s="67"/>
    </row>
    <row r="78" spans="6:12" ht="12.5">
      <c r="F78" s="86"/>
      <c r="G78" s="86"/>
      <c r="H78" s="86"/>
      <c r="I78" s="65"/>
      <c r="J78" s="65"/>
      <c r="K78" s="66"/>
      <c r="L78" s="67"/>
    </row>
    <row r="79" spans="6:12" ht="12.5">
      <c r="F79" s="86"/>
      <c r="G79" s="86"/>
      <c r="H79" s="86"/>
      <c r="I79" s="65"/>
      <c r="J79" s="65"/>
      <c r="K79" s="66"/>
      <c r="L79" s="67"/>
    </row>
    <row r="80" spans="6:12" ht="12.5">
      <c r="F80" s="86"/>
      <c r="G80" s="86"/>
      <c r="H80" s="86"/>
      <c r="I80" s="65"/>
      <c r="J80" s="65"/>
      <c r="K80" s="66"/>
      <c r="L80" s="67"/>
    </row>
    <row r="81" spans="6:12" ht="12.5">
      <c r="F81" s="86"/>
      <c r="G81" s="86"/>
      <c r="H81" s="86"/>
      <c r="I81" s="65"/>
      <c r="J81" s="65"/>
      <c r="K81" s="66"/>
      <c r="L81" s="67"/>
    </row>
    <row r="82" spans="6:12" ht="12.5">
      <c r="F82" s="86"/>
      <c r="G82" s="86"/>
      <c r="H82" s="86"/>
      <c r="I82" s="65"/>
      <c r="J82" s="65"/>
      <c r="K82" s="66"/>
      <c r="L82" s="67"/>
    </row>
    <row r="83" spans="6:12" ht="12.5">
      <c r="F83" s="86"/>
      <c r="G83" s="86"/>
      <c r="H83" s="86"/>
      <c r="I83" s="65"/>
      <c r="J83" s="65"/>
      <c r="K83" s="66"/>
      <c r="L83" s="67"/>
    </row>
    <row r="84" spans="6:12" ht="12.5">
      <c r="F84" s="86"/>
      <c r="G84" s="86"/>
      <c r="H84" s="86"/>
      <c r="I84" s="65"/>
      <c r="J84" s="65"/>
      <c r="K84" s="66"/>
      <c r="L84" s="67"/>
    </row>
    <row r="85" spans="6:12" ht="12.5">
      <c r="F85" s="86"/>
      <c r="G85" s="86"/>
      <c r="H85" s="86"/>
      <c r="I85" s="65"/>
      <c r="J85" s="65"/>
      <c r="K85" s="66"/>
      <c r="L85" s="67"/>
    </row>
    <row r="86" spans="6:12" ht="12.5">
      <c r="F86" s="86"/>
      <c r="G86" s="86"/>
      <c r="H86" s="86"/>
      <c r="I86" s="65"/>
      <c r="J86" s="65"/>
      <c r="K86" s="66"/>
      <c r="L86" s="67"/>
    </row>
    <row r="87" spans="6:12" ht="12.5">
      <c r="F87" s="86"/>
      <c r="G87" s="86"/>
      <c r="H87" s="86"/>
      <c r="I87" s="65"/>
      <c r="J87" s="65"/>
      <c r="K87" s="66"/>
      <c r="L87" s="67"/>
    </row>
    <row r="88" spans="6:12" ht="12.5">
      <c r="F88" s="86"/>
      <c r="G88" s="86"/>
      <c r="H88" s="86"/>
      <c r="I88" s="65"/>
      <c r="J88" s="65"/>
      <c r="K88" s="66"/>
      <c r="L88" s="67"/>
    </row>
    <row r="89" spans="6:12" ht="12.5">
      <c r="F89" s="86"/>
      <c r="G89" s="86"/>
      <c r="H89" s="86"/>
      <c r="I89" s="65"/>
      <c r="J89" s="65"/>
      <c r="K89" s="66"/>
      <c r="L89" s="67"/>
    </row>
    <row r="90" spans="6:12" ht="12.5">
      <c r="F90" s="86"/>
      <c r="G90" s="86"/>
      <c r="H90" s="86"/>
      <c r="I90" s="65"/>
      <c r="J90" s="65"/>
      <c r="K90" s="66"/>
      <c r="L90" s="67"/>
    </row>
    <row r="91" spans="6:12" ht="12.5">
      <c r="F91" s="86"/>
      <c r="G91" s="86"/>
      <c r="H91" s="86"/>
      <c r="I91" s="65"/>
      <c r="J91" s="65"/>
      <c r="K91" s="66"/>
      <c r="L91" s="67"/>
    </row>
    <row r="92" spans="6:12" ht="12.5">
      <c r="F92" s="86"/>
      <c r="G92" s="86"/>
      <c r="H92" s="86"/>
      <c r="I92" s="65"/>
      <c r="J92" s="65"/>
      <c r="K92" s="66"/>
      <c r="L92" s="67"/>
    </row>
    <row r="93" spans="6:12" ht="12.5">
      <c r="F93" s="86"/>
      <c r="G93" s="86"/>
      <c r="H93" s="86"/>
      <c r="I93" s="65"/>
      <c r="J93" s="65"/>
      <c r="K93" s="66"/>
      <c r="L93" s="67"/>
    </row>
    <row r="94" spans="6:12" ht="12.5">
      <c r="F94" s="86"/>
      <c r="G94" s="86"/>
      <c r="H94" s="86"/>
      <c r="I94" s="65"/>
      <c r="J94" s="65"/>
      <c r="K94" s="66"/>
      <c r="L94" s="67"/>
    </row>
    <row r="95" spans="6:12" ht="12.5">
      <c r="F95" s="86"/>
      <c r="G95" s="86"/>
      <c r="H95" s="86"/>
      <c r="I95" s="65"/>
      <c r="J95" s="65"/>
      <c r="K95" s="66"/>
      <c r="L95" s="67"/>
    </row>
    <row r="96" spans="6:12" ht="12.5">
      <c r="F96" s="86"/>
      <c r="G96" s="86"/>
      <c r="H96" s="86"/>
      <c r="I96" s="65"/>
      <c r="J96" s="65"/>
      <c r="K96" s="66"/>
      <c r="L96" s="67"/>
    </row>
    <row r="97" spans="6:12" ht="12.5">
      <c r="F97" s="86"/>
      <c r="G97" s="86"/>
      <c r="H97" s="86"/>
      <c r="I97" s="65"/>
      <c r="J97" s="65"/>
      <c r="K97" s="66"/>
      <c r="L97" s="67"/>
    </row>
    <row r="98" spans="6:12" ht="12.5">
      <c r="F98" s="86"/>
      <c r="G98" s="86"/>
      <c r="H98" s="86"/>
      <c r="I98" s="65"/>
      <c r="J98" s="65"/>
      <c r="K98" s="66"/>
      <c r="L98" s="67"/>
    </row>
    <row r="99" spans="6:12" ht="12.5">
      <c r="F99" s="86"/>
      <c r="G99" s="86"/>
      <c r="H99" s="86"/>
      <c r="I99" s="65"/>
      <c r="J99" s="65"/>
      <c r="K99" s="66"/>
      <c r="L99" s="67"/>
    </row>
    <row r="100" spans="6:12" ht="12.5">
      <c r="F100" s="86"/>
      <c r="G100" s="86"/>
      <c r="H100" s="86"/>
      <c r="I100" s="65"/>
      <c r="J100" s="65"/>
      <c r="K100" s="66"/>
      <c r="L100" s="67"/>
    </row>
    <row r="101" spans="6:12" ht="12.5">
      <c r="F101" s="86"/>
      <c r="G101" s="86"/>
      <c r="H101" s="86"/>
      <c r="I101" s="65"/>
      <c r="J101" s="65"/>
      <c r="K101" s="66"/>
      <c r="L101" s="67"/>
    </row>
    <row r="102" spans="6:12" ht="12.5">
      <c r="F102" s="86"/>
      <c r="G102" s="86"/>
      <c r="H102" s="86"/>
      <c r="I102" s="65"/>
      <c r="J102" s="65"/>
      <c r="K102" s="66"/>
      <c r="L102" s="67"/>
    </row>
    <row r="103" spans="6:12" ht="12.5">
      <c r="F103" s="86"/>
      <c r="G103" s="86"/>
      <c r="H103" s="86"/>
      <c r="I103" s="65"/>
      <c r="J103" s="65"/>
      <c r="K103" s="66"/>
      <c r="L103" s="67"/>
    </row>
    <row r="104" spans="6:12" ht="12.5">
      <c r="F104" s="86"/>
      <c r="G104" s="86"/>
      <c r="H104" s="86"/>
      <c r="I104" s="65"/>
      <c r="J104" s="65"/>
      <c r="K104" s="66"/>
      <c r="L104" s="67"/>
    </row>
    <row r="105" spans="6:12" ht="12.5">
      <c r="F105" s="86"/>
      <c r="G105" s="86"/>
      <c r="H105" s="86"/>
      <c r="I105" s="65"/>
      <c r="J105" s="65"/>
      <c r="K105" s="66"/>
      <c r="L105" s="67"/>
    </row>
    <row r="106" spans="6:12" ht="12.5">
      <c r="F106" s="86"/>
      <c r="G106" s="86"/>
      <c r="H106" s="86"/>
      <c r="I106" s="65"/>
      <c r="J106" s="65"/>
      <c r="K106" s="66"/>
      <c r="L106" s="67"/>
    </row>
    <row r="107" spans="6:12" ht="12.5">
      <c r="F107" s="86"/>
      <c r="G107" s="86"/>
      <c r="H107" s="86"/>
      <c r="I107" s="65"/>
      <c r="J107" s="65"/>
      <c r="K107" s="66"/>
      <c r="L107" s="67"/>
    </row>
    <row r="108" spans="6:12" ht="12.5">
      <c r="F108" s="86"/>
      <c r="G108" s="86"/>
      <c r="H108" s="86"/>
      <c r="I108" s="65"/>
      <c r="J108" s="65"/>
      <c r="K108" s="66"/>
      <c r="L108" s="67"/>
    </row>
    <row r="109" spans="6:12" ht="12.5">
      <c r="F109" s="86"/>
      <c r="G109" s="86"/>
      <c r="H109" s="86"/>
      <c r="I109" s="65"/>
      <c r="J109" s="65"/>
      <c r="K109" s="66"/>
      <c r="L109" s="67"/>
    </row>
    <row r="110" spans="6:12" ht="12.5">
      <c r="F110" s="86"/>
      <c r="G110" s="86"/>
      <c r="H110" s="86"/>
      <c r="I110" s="65"/>
      <c r="J110" s="65"/>
      <c r="K110" s="66"/>
      <c r="L110" s="67"/>
    </row>
    <row r="111" spans="6:12" ht="12.5">
      <c r="F111" s="86"/>
      <c r="G111" s="86"/>
      <c r="H111" s="86"/>
      <c r="I111" s="65"/>
      <c r="J111" s="65"/>
      <c r="K111" s="66"/>
      <c r="L111" s="67"/>
    </row>
    <row r="112" spans="6:12" ht="12.5">
      <c r="F112" s="86"/>
      <c r="G112" s="86"/>
      <c r="H112" s="86"/>
      <c r="I112" s="65"/>
      <c r="J112" s="65"/>
      <c r="K112" s="66"/>
      <c r="L112" s="67"/>
    </row>
    <row r="113" spans="6:12" ht="12.5">
      <c r="F113" s="86"/>
      <c r="G113" s="86"/>
      <c r="H113" s="86"/>
      <c r="I113" s="65"/>
      <c r="J113" s="65"/>
      <c r="K113" s="66"/>
      <c r="L113" s="67"/>
    </row>
    <row r="114" spans="6:12" ht="12.5">
      <c r="F114" s="86"/>
      <c r="G114" s="86"/>
      <c r="H114" s="86"/>
      <c r="I114" s="65"/>
      <c r="J114" s="65"/>
      <c r="K114" s="66"/>
      <c r="L114" s="67"/>
    </row>
    <row r="115" spans="6:12" ht="12.5">
      <c r="F115" s="86"/>
      <c r="G115" s="86"/>
      <c r="H115" s="86"/>
      <c r="I115" s="65"/>
      <c r="J115" s="65"/>
      <c r="K115" s="66"/>
      <c r="L115" s="67"/>
    </row>
    <row r="116" spans="6:12" ht="12.5">
      <c r="F116" s="86"/>
      <c r="G116" s="86"/>
      <c r="H116" s="86"/>
      <c r="I116" s="65"/>
      <c r="J116" s="65"/>
      <c r="K116" s="87"/>
      <c r="L116" s="88"/>
    </row>
    <row r="117" spans="6:12" ht="12.5">
      <c r="F117" s="86"/>
      <c r="G117" s="86"/>
      <c r="H117" s="86"/>
      <c r="I117" s="65"/>
      <c r="J117" s="65"/>
      <c r="K117" s="87"/>
      <c r="L117" s="88"/>
    </row>
    <row r="118" spans="6:12" ht="12.5">
      <c r="F118" s="86"/>
      <c r="G118" s="86"/>
      <c r="H118" s="86"/>
      <c r="I118" s="65"/>
      <c r="J118" s="65"/>
      <c r="K118" s="87"/>
      <c r="L118" s="88"/>
    </row>
    <row r="119" spans="6:12" ht="12.5">
      <c r="F119" s="86"/>
      <c r="G119" s="86"/>
      <c r="H119" s="86"/>
      <c r="I119" s="65"/>
      <c r="J119" s="65"/>
      <c r="K119" s="87"/>
      <c r="L119" s="88"/>
    </row>
    <row r="120" spans="6:12" ht="12.5">
      <c r="F120" s="86"/>
      <c r="G120" s="86"/>
      <c r="H120" s="86"/>
      <c r="I120" s="65"/>
      <c r="J120" s="65"/>
      <c r="K120" s="87"/>
      <c r="L120" s="88"/>
    </row>
    <row r="121" spans="6:12" ht="12.5">
      <c r="F121" s="86"/>
      <c r="G121" s="86"/>
      <c r="H121" s="86"/>
      <c r="I121" s="65"/>
      <c r="J121" s="65"/>
      <c r="K121" s="87"/>
      <c r="L121" s="88"/>
    </row>
    <row r="122" spans="6:12" ht="12.5">
      <c r="F122" s="86"/>
      <c r="G122" s="86"/>
      <c r="H122" s="86"/>
      <c r="I122" s="65"/>
      <c r="J122" s="65"/>
      <c r="K122" s="87"/>
      <c r="L122" s="88"/>
    </row>
    <row r="123" spans="6:12" ht="12.5">
      <c r="F123" s="86"/>
      <c r="G123" s="86"/>
      <c r="H123" s="86"/>
      <c r="I123" s="65"/>
      <c r="J123" s="65"/>
      <c r="K123" s="87"/>
      <c r="L123" s="88"/>
    </row>
    <row r="124" spans="6:12" ht="12.5">
      <c r="F124" s="86"/>
      <c r="G124" s="86"/>
      <c r="H124" s="86"/>
      <c r="I124" s="65"/>
      <c r="J124" s="65"/>
      <c r="K124" s="87"/>
      <c r="L124" s="88"/>
    </row>
    <row r="125" spans="6:12" ht="12.5">
      <c r="F125" s="86"/>
      <c r="G125" s="86"/>
      <c r="H125" s="86"/>
      <c r="I125" s="65"/>
      <c r="J125" s="65"/>
      <c r="K125" s="87"/>
      <c r="L125" s="88"/>
    </row>
    <row r="126" spans="6:12" ht="12.5">
      <c r="F126" s="86"/>
      <c r="G126" s="86"/>
      <c r="H126" s="86"/>
      <c r="I126" s="65"/>
      <c r="J126" s="65"/>
      <c r="K126" s="87"/>
      <c r="L126" s="88"/>
    </row>
    <row r="127" spans="6:12" ht="12.5">
      <c r="F127" s="86"/>
      <c r="G127" s="86"/>
      <c r="H127" s="86"/>
      <c r="I127" s="65"/>
      <c r="J127" s="65"/>
      <c r="K127" s="87"/>
      <c r="L127" s="88"/>
    </row>
    <row r="128" spans="6:12" ht="12.5">
      <c r="F128" s="86"/>
      <c r="G128" s="86"/>
      <c r="H128" s="86"/>
      <c r="I128" s="65"/>
      <c r="J128" s="65"/>
      <c r="K128" s="87"/>
      <c r="L128" s="88"/>
    </row>
    <row r="129" spans="6:12" ht="12.5">
      <c r="F129" s="86"/>
      <c r="G129" s="86"/>
      <c r="H129" s="86"/>
      <c r="I129" s="65"/>
      <c r="J129" s="65"/>
      <c r="K129" s="87"/>
      <c r="L129" s="88"/>
    </row>
    <row r="130" spans="6:12" ht="12.5">
      <c r="F130" s="86"/>
      <c r="G130" s="86"/>
      <c r="H130" s="86"/>
      <c r="I130" s="65"/>
      <c r="J130" s="65"/>
      <c r="K130" s="87"/>
      <c r="L130" s="88"/>
    </row>
    <row r="131" spans="6:12" ht="12.5">
      <c r="F131" s="86"/>
      <c r="G131" s="86"/>
      <c r="H131" s="86"/>
      <c r="I131" s="65"/>
      <c r="J131" s="65"/>
      <c r="K131" s="87"/>
      <c r="L131" s="88"/>
    </row>
    <row r="132" spans="6:12" ht="12.5">
      <c r="F132" s="86"/>
      <c r="G132" s="86"/>
      <c r="H132" s="86"/>
      <c r="I132" s="65"/>
      <c r="J132" s="65"/>
      <c r="K132" s="87"/>
      <c r="L132" s="88"/>
    </row>
    <row r="133" spans="6:12" ht="12.5">
      <c r="F133" s="86"/>
      <c r="G133" s="86"/>
      <c r="H133" s="86"/>
      <c r="I133" s="65"/>
      <c r="J133" s="65"/>
      <c r="K133" s="87"/>
      <c r="L133" s="88"/>
    </row>
    <row r="134" spans="6:12" ht="12.5">
      <c r="F134" s="86"/>
      <c r="G134" s="86"/>
      <c r="H134" s="86"/>
      <c r="I134" s="65"/>
      <c r="J134" s="65"/>
      <c r="K134" s="87"/>
      <c r="L134" s="88"/>
    </row>
    <row r="135" spans="6:12" ht="12.5">
      <c r="F135" s="86"/>
      <c r="G135" s="86"/>
      <c r="H135" s="86"/>
      <c r="I135" s="65"/>
      <c r="J135" s="65"/>
      <c r="K135" s="87"/>
      <c r="L135" s="88"/>
    </row>
    <row r="136" spans="6:12" ht="12.5">
      <c r="F136" s="86"/>
      <c r="G136" s="86"/>
      <c r="H136" s="86"/>
      <c r="I136" s="65"/>
      <c r="J136" s="65"/>
      <c r="K136" s="87"/>
      <c r="L136" s="88"/>
    </row>
    <row r="137" spans="6:12" ht="12.5">
      <c r="F137" s="86"/>
      <c r="G137" s="86"/>
      <c r="H137" s="86"/>
      <c r="I137" s="65"/>
      <c r="J137" s="65"/>
      <c r="K137" s="87"/>
      <c r="L137" s="88"/>
    </row>
    <row r="138" spans="6:12" ht="12.5">
      <c r="F138" s="86"/>
      <c r="G138" s="86"/>
      <c r="H138" s="86"/>
      <c r="I138" s="65"/>
      <c r="J138" s="65"/>
      <c r="K138" s="87"/>
      <c r="L138" s="88"/>
    </row>
    <row r="139" spans="6:12" ht="12.5">
      <c r="F139" s="86"/>
      <c r="G139" s="86"/>
      <c r="H139" s="86"/>
      <c r="I139" s="65"/>
      <c r="J139" s="65"/>
      <c r="K139" s="87"/>
      <c r="L139" s="88"/>
    </row>
    <row r="140" spans="6:12" ht="12.5">
      <c r="F140" s="86"/>
      <c r="G140" s="86"/>
      <c r="H140" s="86"/>
      <c r="I140" s="65"/>
      <c r="J140" s="65"/>
      <c r="K140" s="87"/>
      <c r="L140" s="88"/>
    </row>
    <row r="141" spans="6:12" ht="12.5">
      <c r="F141" s="86"/>
      <c r="G141" s="86"/>
      <c r="H141" s="86"/>
      <c r="I141" s="65"/>
      <c r="J141" s="65"/>
      <c r="K141" s="87"/>
      <c r="L141" s="88"/>
    </row>
    <row r="142" spans="6:12" ht="12.5">
      <c r="F142" s="86"/>
      <c r="G142" s="86"/>
      <c r="H142" s="86"/>
      <c r="I142" s="65"/>
      <c r="J142" s="65"/>
      <c r="K142" s="87"/>
      <c r="L142" s="88"/>
    </row>
    <row r="143" spans="6:12" ht="12.5">
      <c r="F143" s="86"/>
      <c r="G143" s="86"/>
      <c r="H143" s="86"/>
      <c r="I143" s="65"/>
      <c r="J143" s="65"/>
      <c r="K143" s="87"/>
      <c r="L143" s="88"/>
    </row>
    <row r="144" spans="6:12" ht="12.5">
      <c r="F144" s="86"/>
      <c r="G144" s="86"/>
      <c r="H144" s="86"/>
      <c r="I144" s="65"/>
      <c r="J144" s="65"/>
      <c r="K144" s="87"/>
      <c r="L144" s="88"/>
    </row>
    <row r="145" spans="6:12" ht="12.5">
      <c r="F145" s="86"/>
      <c r="G145" s="86"/>
      <c r="H145" s="86"/>
      <c r="I145" s="65"/>
      <c r="J145" s="65"/>
      <c r="K145" s="87"/>
      <c r="L145" s="88"/>
    </row>
    <row r="146" spans="6:12" ht="12.5">
      <c r="F146" s="86"/>
      <c r="G146" s="86"/>
      <c r="H146" s="86"/>
      <c r="I146" s="65"/>
      <c r="J146" s="65"/>
      <c r="K146" s="87"/>
      <c r="L146" s="88"/>
    </row>
    <row r="147" spans="6:12" ht="12.5">
      <c r="F147" s="86"/>
      <c r="G147" s="86"/>
      <c r="H147" s="86"/>
      <c r="I147" s="65"/>
      <c r="J147" s="65"/>
      <c r="K147" s="87"/>
      <c r="L147" s="88"/>
    </row>
    <row r="148" spans="6:12" ht="12.5">
      <c r="F148" s="86"/>
      <c r="G148" s="86"/>
      <c r="H148" s="86"/>
      <c r="I148" s="65"/>
      <c r="J148" s="65"/>
      <c r="K148" s="87"/>
      <c r="L148" s="88"/>
    </row>
    <row r="149" spans="6:12" ht="12.5">
      <c r="F149" s="86"/>
      <c r="G149" s="86"/>
      <c r="H149" s="86"/>
      <c r="I149" s="65"/>
      <c r="J149" s="65"/>
      <c r="K149" s="87"/>
      <c r="L149" s="88"/>
    </row>
    <row r="150" spans="6:12" ht="12.5">
      <c r="F150" s="86"/>
      <c r="G150" s="86"/>
      <c r="H150" s="86"/>
      <c r="I150" s="65"/>
      <c r="J150" s="65"/>
      <c r="K150" s="87"/>
      <c r="L150" s="88"/>
    </row>
    <row r="151" spans="6:12" ht="12.5">
      <c r="F151" s="86"/>
      <c r="G151" s="86"/>
      <c r="H151" s="86"/>
      <c r="I151" s="65"/>
      <c r="J151" s="65"/>
      <c r="K151" s="87"/>
      <c r="L151" s="88"/>
    </row>
    <row r="152" spans="6:12" ht="12.5">
      <c r="F152" s="86"/>
      <c r="G152" s="86"/>
      <c r="H152" s="86"/>
      <c r="I152" s="65"/>
      <c r="J152" s="65"/>
      <c r="K152" s="87"/>
      <c r="L152" s="88"/>
    </row>
    <row r="153" spans="6:12" ht="12.5">
      <c r="F153" s="86"/>
      <c r="G153" s="86"/>
      <c r="H153" s="86"/>
      <c r="I153" s="65"/>
      <c r="J153" s="65"/>
      <c r="K153" s="87"/>
      <c r="L153" s="88"/>
    </row>
    <row r="154" spans="6:12" ht="12.5">
      <c r="F154" s="86"/>
      <c r="G154" s="86"/>
      <c r="H154" s="86"/>
      <c r="I154" s="65"/>
      <c r="J154" s="65"/>
      <c r="K154" s="87"/>
      <c r="L154" s="88"/>
    </row>
    <row r="155" spans="6:12" ht="12.5">
      <c r="F155" s="86"/>
      <c r="G155" s="86"/>
      <c r="H155" s="86"/>
      <c r="I155" s="65"/>
      <c r="J155" s="65"/>
      <c r="K155" s="87"/>
      <c r="L155" s="88"/>
    </row>
    <row r="156" spans="6:12" ht="12.5">
      <c r="F156" s="86"/>
      <c r="G156" s="86"/>
      <c r="H156" s="86"/>
      <c r="I156" s="65"/>
      <c r="J156" s="65"/>
      <c r="K156" s="87"/>
      <c r="L156" s="88"/>
    </row>
    <row r="157" spans="6:12" ht="12.5">
      <c r="F157" s="86"/>
      <c r="G157" s="86"/>
      <c r="H157" s="86"/>
      <c r="I157" s="65"/>
      <c r="J157" s="65"/>
      <c r="K157" s="87"/>
      <c r="L157" s="88"/>
    </row>
    <row r="158" spans="6:12" ht="12.5">
      <c r="F158" s="86"/>
      <c r="G158" s="86"/>
      <c r="H158" s="86"/>
      <c r="I158" s="65"/>
      <c r="J158" s="65"/>
      <c r="K158" s="87"/>
      <c r="L158" s="88"/>
    </row>
    <row r="159" spans="6:12" ht="12.5">
      <c r="F159" s="86"/>
      <c r="G159" s="86"/>
      <c r="H159" s="86"/>
      <c r="I159" s="65"/>
      <c r="J159" s="65"/>
      <c r="K159" s="87"/>
      <c r="L159" s="88"/>
    </row>
    <row r="160" spans="6:12" ht="12.5">
      <c r="F160" s="86"/>
      <c r="G160" s="86"/>
      <c r="H160" s="86"/>
      <c r="I160" s="65"/>
      <c r="J160" s="65"/>
      <c r="K160" s="87"/>
      <c r="L160" s="88"/>
    </row>
    <row r="161" spans="6:12" ht="12.5">
      <c r="F161" s="86"/>
      <c r="G161" s="86"/>
      <c r="H161" s="86"/>
      <c r="I161" s="65"/>
      <c r="J161" s="65"/>
      <c r="K161" s="87"/>
      <c r="L161" s="88"/>
    </row>
    <row r="162" spans="6:12" ht="12.5">
      <c r="F162" s="86"/>
      <c r="G162" s="86"/>
      <c r="H162" s="86"/>
      <c r="I162" s="65"/>
      <c r="J162" s="65"/>
      <c r="K162" s="87"/>
      <c r="L162" s="88"/>
    </row>
    <row r="163" spans="6:12" ht="12.5">
      <c r="F163" s="86"/>
      <c r="G163" s="86"/>
      <c r="H163" s="86"/>
      <c r="I163" s="65"/>
      <c r="J163" s="65"/>
      <c r="K163" s="87"/>
      <c r="L163" s="88"/>
    </row>
    <row r="164" spans="6:12" ht="12.5">
      <c r="F164" s="86"/>
      <c r="G164" s="86"/>
      <c r="H164" s="86"/>
      <c r="I164" s="65"/>
      <c r="J164" s="65"/>
      <c r="K164" s="87"/>
      <c r="L164" s="88"/>
    </row>
    <row r="165" spans="6:12" ht="12.5">
      <c r="F165" s="86"/>
      <c r="G165" s="86"/>
      <c r="H165" s="86"/>
      <c r="I165" s="65"/>
      <c r="J165" s="65"/>
      <c r="K165" s="87"/>
      <c r="L165" s="88"/>
    </row>
    <row r="166" spans="6:12" ht="12.5">
      <c r="F166" s="86"/>
      <c r="G166" s="86"/>
      <c r="H166" s="86"/>
      <c r="I166" s="65"/>
      <c r="J166" s="65"/>
      <c r="K166" s="87"/>
      <c r="L166" s="88"/>
    </row>
    <row r="167" spans="6:12" ht="12.5">
      <c r="F167" s="86"/>
      <c r="G167" s="86"/>
      <c r="H167" s="86"/>
      <c r="I167" s="65"/>
      <c r="J167" s="65"/>
      <c r="K167" s="87"/>
      <c r="L167" s="88"/>
    </row>
    <row r="168" spans="6:12" ht="12.5">
      <c r="F168" s="86"/>
      <c r="G168" s="86"/>
      <c r="H168" s="86"/>
      <c r="I168" s="65"/>
      <c r="J168" s="65"/>
      <c r="K168" s="87"/>
      <c r="L168" s="88"/>
    </row>
    <row r="169" spans="6:12" ht="12.5">
      <c r="F169" s="86"/>
      <c r="G169" s="86"/>
      <c r="H169" s="86"/>
      <c r="I169" s="65"/>
      <c r="J169" s="65"/>
      <c r="K169" s="87"/>
      <c r="L169" s="88"/>
    </row>
    <row r="170" spans="6:12" ht="12.5">
      <c r="F170" s="86"/>
      <c r="G170" s="86"/>
      <c r="H170" s="86"/>
      <c r="I170" s="65"/>
      <c r="J170" s="65"/>
      <c r="K170" s="87"/>
      <c r="L170" s="88"/>
    </row>
    <row r="171" spans="6:12" ht="12.5">
      <c r="F171" s="86"/>
      <c r="G171" s="86"/>
      <c r="H171" s="86"/>
      <c r="I171" s="65"/>
      <c r="J171" s="65"/>
      <c r="K171" s="87"/>
      <c r="L171" s="88"/>
    </row>
    <row r="172" spans="6:12" ht="12.5">
      <c r="F172" s="86"/>
      <c r="G172" s="86"/>
      <c r="H172" s="86"/>
      <c r="I172" s="65"/>
      <c r="J172" s="65"/>
      <c r="K172" s="87"/>
      <c r="L172" s="88"/>
    </row>
    <row r="173" spans="6:12" ht="12.5">
      <c r="F173" s="86"/>
      <c r="G173" s="86"/>
      <c r="H173" s="86"/>
      <c r="I173" s="65"/>
      <c r="J173" s="65"/>
      <c r="K173" s="87"/>
      <c r="L173" s="88"/>
    </row>
    <row r="174" spans="6:12" ht="12.5">
      <c r="F174" s="86"/>
      <c r="G174" s="86"/>
      <c r="H174" s="86"/>
      <c r="I174" s="65"/>
      <c r="J174" s="65"/>
      <c r="K174" s="87"/>
      <c r="L174" s="88"/>
    </row>
    <row r="175" spans="6:12" ht="12.5">
      <c r="F175" s="86"/>
      <c r="G175" s="86"/>
      <c r="H175" s="86"/>
      <c r="I175" s="65"/>
      <c r="J175" s="65"/>
      <c r="K175" s="87"/>
      <c r="L175" s="88"/>
    </row>
    <row r="176" spans="6:12" ht="12.5">
      <c r="F176" s="86"/>
      <c r="G176" s="86"/>
      <c r="H176" s="86"/>
      <c r="I176" s="65"/>
      <c r="J176" s="65"/>
      <c r="K176" s="87"/>
      <c r="L176" s="88"/>
    </row>
    <row r="177" spans="6:12" ht="12.5">
      <c r="F177" s="86"/>
      <c r="G177" s="86"/>
      <c r="H177" s="86"/>
      <c r="I177" s="65"/>
      <c r="J177" s="65"/>
      <c r="K177" s="87"/>
      <c r="L177" s="88"/>
    </row>
    <row r="178" spans="6:12" ht="12.5">
      <c r="F178" s="86"/>
      <c r="G178" s="86"/>
      <c r="H178" s="86"/>
      <c r="I178" s="65"/>
      <c r="J178" s="65"/>
      <c r="K178" s="87"/>
      <c r="L178" s="88"/>
    </row>
    <row r="179" spans="6:12" ht="12.5">
      <c r="F179" s="86"/>
      <c r="G179" s="86"/>
      <c r="H179" s="86"/>
      <c r="I179" s="65"/>
      <c r="J179" s="65"/>
      <c r="K179" s="87"/>
      <c r="L179" s="88"/>
    </row>
    <row r="180" spans="6:12" ht="12.5">
      <c r="F180" s="86"/>
      <c r="G180" s="86"/>
      <c r="H180" s="86"/>
      <c r="I180" s="65"/>
      <c r="J180" s="65"/>
      <c r="K180" s="87"/>
      <c r="L180" s="88"/>
    </row>
    <row r="181" spans="6:12" ht="12.5">
      <c r="F181" s="86"/>
      <c r="G181" s="86"/>
      <c r="H181" s="86"/>
      <c r="I181" s="65"/>
      <c r="J181" s="65"/>
      <c r="K181" s="87"/>
      <c r="L181" s="88"/>
    </row>
    <row r="182" spans="6:12" ht="12.5">
      <c r="F182" s="86"/>
      <c r="G182" s="86"/>
      <c r="H182" s="86"/>
      <c r="I182" s="65"/>
      <c r="J182" s="65"/>
      <c r="K182" s="87"/>
      <c r="L182" s="88"/>
    </row>
    <row r="183" spans="6:12" ht="12.5">
      <c r="F183" s="86"/>
      <c r="G183" s="86"/>
      <c r="H183" s="86"/>
      <c r="I183" s="65"/>
      <c r="J183" s="65"/>
      <c r="K183" s="87"/>
      <c r="L183" s="88"/>
    </row>
    <row r="184" spans="6:12" ht="12.5">
      <c r="F184" s="86"/>
      <c r="G184" s="86"/>
      <c r="H184" s="86"/>
      <c r="I184" s="65"/>
      <c r="J184" s="65"/>
      <c r="K184" s="87"/>
      <c r="L184" s="88"/>
    </row>
    <row r="185" spans="6:12" ht="12.5">
      <c r="F185" s="86"/>
      <c r="G185" s="86"/>
      <c r="H185" s="86"/>
      <c r="I185" s="65"/>
      <c r="J185" s="65"/>
      <c r="K185" s="87"/>
      <c r="L185" s="88"/>
    </row>
    <row r="186" spans="6:12" ht="12.5">
      <c r="F186" s="86"/>
      <c r="G186" s="86"/>
      <c r="H186" s="86"/>
      <c r="I186" s="65"/>
      <c r="J186" s="65"/>
      <c r="K186" s="87"/>
      <c r="L186" s="88"/>
    </row>
    <row r="187" spans="6:12" ht="12.5">
      <c r="F187" s="86"/>
      <c r="G187" s="86"/>
      <c r="H187" s="86"/>
      <c r="I187" s="65"/>
      <c r="J187" s="65"/>
      <c r="K187" s="87"/>
      <c r="L187" s="88"/>
    </row>
    <row r="188" spans="6:12" ht="12.5">
      <c r="F188" s="86"/>
      <c r="G188" s="86"/>
      <c r="H188" s="86"/>
      <c r="I188" s="65"/>
      <c r="J188" s="65"/>
      <c r="K188" s="87"/>
      <c r="L188" s="88"/>
    </row>
    <row r="189" spans="6:12" ht="12.5">
      <c r="F189" s="86"/>
      <c r="G189" s="86"/>
      <c r="H189" s="86"/>
      <c r="I189" s="65"/>
      <c r="J189" s="65"/>
      <c r="K189" s="87"/>
      <c r="L189" s="88"/>
    </row>
    <row r="190" spans="6:12" ht="12.5">
      <c r="F190" s="86"/>
      <c r="G190" s="86"/>
      <c r="H190" s="86"/>
      <c r="I190" s="65"/>
      <c r="J190" s="65"/>
      <c r="K190" s="87"/>
      <c r="L190" s="88"/>
    </row>
    <row r="191" spans="6:12" ht="12.5">
      <c r="F191" s="86"/>
      <c r="G191" s="86"/>
      <c r="H191" s="86"/>
      <c r="I191" s="65"/>
      <c r="J191" s="65"/>
      <c r="K191" s="87"/>
      <c r="L191" s="88"/>
    </row>
    <row r="192" spans="6:12" ht="12.5">
      <c r="F192" s="86"/>
      <c r="G192" s="86"/>
      <c r="H192" s="86"/>
      <c r="I192" s="65"/>
      <c r="J192" s="65"/>
      <c r="K192" s="87"/>
      <c r="L192" s="88"/>
    </row>
    <row r="193" spans="6:12" ht="12.5">
      <c r="F193" s="86"/>
      <c r="G193" s="86"/>
      <c r="H193" s="86"/>
      <c r="I193" s="65"/>
      <c r="J193" s="65"/>
      <c r="K193" s="87"/>
      <c r="L193" s="88"/>
    </row>
    <row r="194" spans="6:12" ht="12.5">
      <c r="F194" s="86"/>
      <c r="G194" s="86"/>
      <c r="H194" s="86"/>
      <c r="I194" s="65"/>
      <c r="J194" s="65"/>
      <c r="K194" s="87"/>
      <c r="L194" s="88"/>
    </row>
    <row r="195" spans="6:12" ht="12.5">
      <c r="F195" s="86"/>
      <c r="G195" s="86"/>
      <c r="H195" s="86"/>
      <c r="I195" s="65"/>
      <c r="J195" s="65"/>
      <c r="K195" s="87"/>
      <c r="L195" s="88"/>
    </row>
    <row r="196" spans="6:12" ht="12.5">
      <c r="F196" s="86"/>
      <c r="G196" s="86"/>
      <c r="H196" s="86"/>
      <c r="I196" s="65"/>
      <c r="J196" s="65"/>
      <c r="K196" s="87"/>
      <c r="L196" s="88"/>
    </row>
    <row r="197" spans="6:12" ht="12.5">
      <c r="F197" s="86"/>
      <c r="G197" s="86"/>
      <c r="H197" s="86"/>
      <c r="I197" s="65"/>
      <c r="J197" s="65"/>
      <c r="K197" s="87"/>
      <c r="L197" s="88"/>
    </row>
    <row r="198" spans="6:12" ht="12.5">
      <c r="F198" s="86"/>
      <c r="G198" s="86"/>
      <c r="H198" s="86"/>
      <c r="I198" s="65"/>
      <c r="J198" s="65"/>
      <c r="K198" s="87"/>
      <c r="L198" s="88"/>
    </row>
    <row r="199" spans="6:12" ht="12.5">
      <c r="F199" s="86"/>
      <c r="G199" s="86"/>
      <c r="H199" s="86"/>
      <c r="I199" s="65"/>
      <c r="J199" s="65"/>
      <c r="K199" s="87"/>
      <c r="L199" s="88"/>
    </row>
    <row r="200" spans="6:12" ht="12.5">
      <c r="F200" s="86"/>
      <c r="G200" s="86"/>
      <c r="H200" s="86"/>
      <c r="I200" s="65"/>
      <c r="J200" s="65"/>
      <c r="K200" s="87"/>
      <c r="L200" s="88"/>
    </row>
    <row r="201" spans="6:12" ht="12.5">
      <c r="F201" s="86"/>
      <c r="G201" s="86"/>
      <c r="H201" s="86"/>
      <c r="I201" s="65"/>
      <c r="J201" s="65"/>
      <c r="K201" s="87"/>
      <c r="L201" s="88"/>
    </row>
    <row r="202" spans="6:12" ht="12.5">
      <c r="F202" s="86"/>
      <c r="G202" s="86"/>
      <c r="H202" s="86"/>
      <c r="I202" s="65"/>
      <c r="J202" s="65"/>
      <c r="K202" s="87"/>
      <c r="L202" s="88"/>
    </row>
    <row r="203" spans="6:12" ht="12.5">
      <c r="F203" s="86"/>
      <c r="G203" s="86"/>
      <c r="H203" s="86"/>
      <c r="I203" s="65"/>
      <c r="J203" s="65"/>
      <c r="K203" s="87"/>
      <c r="L203" s="88"/>
    </row>
    <row r="204" spans="6:12" ht="12.5">
      <c r="F204" s="86"/>
      <c r="G204" s="86"/>
      <c r="H204" s="86"/>
      <c r="I204" s="65"/>
      <c r="J204" s="65"/>
      <c r="K204" s="87"/>
      <c r="L204" s="88"/>
    </row>
    <row r="205" spans="6:12" ht="12.5">
      <c r="F205" s="86"/>
      <c r="G205" s="86"/>
      <c r="H205" s="86"/>
      <c r="I205" s="65"/>
      <c r="J205" s="65"/>
      <c r="K205" s="87"/>
      <c r="L205" s="88"/>
    </row>
    <row r="206" spans="6:12" ht="12.5">
      <c r="F206" s="86"/>
      <c r="G206" s="86"/>
      <c r="H206" s="86"/>
      <c r="I206" s="65"/>
      <c r="J206" s="65"/>
      <c r="K206" s="87"/>
      <c r="L206" s="88"/>
    </row>
    <row r="207" spans="6:12" ht="12.5">
      <c r="F207" s="86"/>
      <c r="G207" s="86"/>
      <c r="H207" s="86"/>
      <c r="I207" s="65"/>
      <c r="J207" s="65"/>
      <c r="K207" s="87"/>
      <c r="L207" s="88"/>
    </row>
    <row r="208" spans="6:12" ht="12.5">
      <c r="F208" s="86"/>
      <c r="G208" s="86"/>
      <c r="H208" s="86"/>
      <c r="I208" s="65"/>
      <c r="J208" s="65"/>
      <c r="K208" s="87"/>
      <c r="L208" s="88"/>
    </row>
    <row r="209" spans="6:12" ht="12.5">
      <c r="F209" s="86"/>
      <c r="G209" s="86"/>
      <c r="H209" s="86"/>
      <c r="I209" s="65"/>
      <c r="J209" s="65"/>
      <c r="K209" s="87"/>
      <c r="L209" s="88"/>
    </row>
    <row r="210" spans="6:12" ht="12.5">
      <c r="F210" s="86"/>
      <c r="G210" s="86"/>
      <c r="H210" s="86"/>
      <c r="I210" s="65"/>
      <c r="J210" s="65"/>
      <c r="K210" s="87"/>
      <c r="L210" s="88"/>
    </row>
    <row r="211" spans="6:12" ht="12.5">
      <c r="F211" s="86"/>
      <c r="G211" s="86"/>
      <c r="H211" s="86"/>
      <c r="I211" s="65"/>
      <c r="J211" s="65"/>
      <c r="K211" s="87"/>
      <c r="L211" s="88"/>
    </row>
    <row r="212" spans="6:12" ht="12.5">
      <c r="F212" s="86"/>
      <c r="G212" s="86"/>
      <c r="H212" s="86"/>
      <c r="I212" s="65"/>
      <c r="J212" s="65"/>
      <c r="K212" s="87"/>
      <c r="L212" s="88"/>
    </row>
    <row r="213" spans="6:12" ht="12.5">
      <c r="F213" s="86"/>
      <c r="G213" s="86"/>
      <c r="H213" s="86"/>
      <c r="I213" s="65"/>
      <c r="J213" s="65"/>
      <c r="K213" s="87"/>
      <c r="L213" s="88"/>
    </row>
    <row r="214" spans="6:12" ht="12.5">
      <c r="F214" s="86"/>
      <c r="G214" s="86"/>
      <c r="H214" s="86"/>
      <c r="I214" s="65"/>
      <c r="J214" s="65"/>
      <c r="K214" s="87"/>
      <c r="L214" s="88"/>
    </row>
    <row r="215" spans="6:12" ht="12.5">
      <c r="F215" s="86"/>
      <c r="G215" s="86"/>
      <c r="H215" s="86"/>
      <c r="I215" s="65"/>
      <c r="J215" s="65"/>
      <c r="K215" s="87"/>
      <c r="L215" s="88"/>
    </row>
    <row r="216" spans="6:12" ht="12.5">
      <c r="F216" s="86"/>
      <c r="G216" s="86"/>
      <c r="H216" s="86"/>
      <c r="I216" s="65"/>
      <c r="J216" s="65"/>
      <c r="K216" s="87"/>
      <c r="L216" s="88"/>
    </row>
    <row r="217" spans="6:12" ht="12.5">
      <c r="F217" s="86"/>
      <c r="G217" s="86"/>
      <c r="H217" s="86"/>
      <c r="I217" s="65"/>
      <c r="J217" s="65"/>
      <c r="K217" s="87"/>
      <c r="L217" s="88"/>
    </row>
    <row r="218" spans="6:12" ht="12.5">
      <c r="F218" s="86"/>
      <c r="G218" s="86"/>
      <c r="H218" s="86"/>
      <c r="I218" s="65"/>
      <c r="J218" s="65"/>
      <c r="K218" s="87"/>
      <c r="L218" s="88"/>
    </row>
    <row r="219" spans="6:12" ht="12.5">
      <c r="F219" s="86"/>
      <c r="G219" s="86"/>
      <c r="H219" s="86"/>
      <c r="I219" s="65"/>
      <c r="J219" s="65"/>
      <c r="K219" s="87"/>
      <c r="L219" s="88"/>
    </row>
    <row r="220" spans="6:12" ht="12.5">
      <c r="F220" s="86"/>
      <c r="G220" s="86"/>
      <c r="H220" s="86"/>
      <c r="I220" s="65"/>
      <c r="J220" s="65"/>
      <c r="K220" s="87"/>
      <c r="L220" s="88"/>
    </row>
    <row r="221" spans="6:12" ht="12.5">
      <c r="F221" s="86"/>
      <c r="G221" s="86"/>
      <c r="H221" s="86"/>
      <c r="I221" s="65"/>
      <c r="J221" s="65"/>
      <c r="K221" s="87"/>
      <c r="L221" s="88"/>
    </row>
    <row r="222" spans="6:12" ht="12.5">
      <c r="F222" s="86"/>
      <c r="G222" s="86"/>
      <c r="H222" s="86"/>
      <c r="I222" s="65"/>
      <c r="J222" s="65"/>
      <c r="K222" s="87"/>
      <c r="L222" s="88"/>
    </row>
    <row r="223" spans="6:12" ht="12.5">
      <c r="F223" s="86"/>
      <c r="G223" s="86"/>
      <c r="H223" s="86"/>
      <c r="I223" s="65"/>
      <c r="J223" s="65"/>
      <c r="K223" s="87"/>
      <c r="L223" s="88"/>
    </row>
    <row r="224" spans="6:12" ht="12.5">
      <c r="F224" s="86"/>
      <c r="G224" s="86"/>
      <c r="H224" s="86"/>
      <c r="I224" s="65"/>
      <c r="J224" s="65"/>
      <c r="K224" s="87"/>
      <c r="L224" s="88"/>
    </row>
    <row r="225" spans="6:12" ht="12.5">
      <c r="F225" s="86"/>
      <c r="G225" s="86"/>
      <c r="H225" s="86"/>
      <c r="I225" s="65"/>
      <c r="J225" s="65"/>
      <c r="K225" s="87"/>
      <c r="L225" s="88"/>
    </row>
    <row r="226" spans="6:12" ht="12.5">
      <c r="F226" s="86"/>
      <c r="G226" s="86"/>
      <c r="H226" s="86"/>
      <c r="I226" s="65"/>
      <c r="J226" s="65"/>
      <c r="K226" s="87"/>
      <c r="L226" s="88"/>
    </row>
    <row r="227" spans="6:12" ht="12.5">
      <c r="F227" s="86"/>
      <c r="G227" s="86"/>
      <c r="H227" s="86"/>
      <c r="I227" s="65"/>
      <c r="J227" s="65"/>
      <c r="K227" s="87"/>
      <c r="L227" s="88"/>
    </row>
    <row r="228" spans="6:12" ht="12.5">
      <c r="F228" s="86"/>
      <c r="G228" s="86"/>
      <c r="H228" s="86"/>
      <c r="I228" s="65"/>
      <c r="J228" s="65"/>
      <c r="K228" s="87"/>
      <c r="L228" s="88"/>
    </row>
    <row r="229" spans="6:12" ht="12.5">
      <c r="F229" s="86"/>
      <c r="G229" s="86"/>
      <c r="H229" s="86"/>
      <c r="I229" s="65"/>
      <c r="J229" s="65"/>
      <c r="K229" s="87"/>
      <c r="L229" s="88"/>
    </row>
    <row r="230" spans="6:12" ht="12.5">
      <c r="F230" s="86"/>
      <c r="G230" s="86"/>
      <c r="H230" s="86"/>
      <c r="I230" s="65"/>
      <c r="J230" s="65"/>
      <c r="K230" s="87"/>
      <c r="L230" s="88"/>
    </row>
    <row r="231" spans="6:12" ht="12.5">
      <c r="F231" s="86"/>
      <c r="G231" s="86"/>
      <c r="H231" s="86"/>
      <c r="I231" s="65"/>
      <c r="J231" s="65"/>
      <c r="K231" s="87"/>
      <c r="L231" s="88"/>
    </row>
    <row r="232" spans="6:12" ht="12.5">
      <c r="F232" s="86"/>
      <c r="G232" s="86"/>
      <c r="H232" s="86"/>
      <c r="I232" s="65"/>
      <c r="J232" s="65"/>
      <c r="K232" s="87"/>
      <c r="L232" s="88"/>
    </row>
    <row r="233" spans="6:12" ht="12.5">
      <c r="F233" s="86"/>
      <c r="G233" s="86"/>
      <c r="H233" s="86"/>
      <c r="I233" s="65"/>
      <c r="J233" s="65"/>
      <c r="K233" s="87"/>
      <c r="L233" s="88"/>
    </row>
    <row r="234" spans="6:12" ht="12.5">
      <c r="F234" s="86"/>
      <c r="G234" s="86"/>
      <c r="H234" s="86"/>
      <c r="I234" s="65"/>
      <c r="J234" s="65"/>
      <c r="K234" s="87"/>
      <c r="L234" s="88"/>
    </row>
    <row r="235" spans="6:12" ht="12.5">
      <c r="F235" s="86"/>
      <c r="G235" s="86"/>
      <c r="H235" s="86"/>
      <c r="I235" s="65"/>
      <c r="J235" s="65"/>
      <c r="K235" s="87"/>
      <c r="L235" s="88"/>
    </row>
    <row r="236" spans="6:12" ht="12.5">
      <c r="F236" s="86"/>
      <c r="G236" s="86"/>
      <c r="H236" s="86"/>
      <c r="I236" s="65"/>
      <c r="J236" s="65"/>
      <c r="K236" s="87"/>
      <c r="L236" s="88"/>
    </row>
    <row r="237" spans="6:12" ht="12.5">
      <c r="F237" s="86"/>
      <c r="G237" s="86"/>
      <c r="H237" s="86"/>
      <c r="I237" s="65"/>
      <c r="J237" s="65"/>
      <c r="K237" s="87"/>
      <c r="L237" s="88"/>
    </row>
    <row r="238" spans="6:12" ht="12.5">
      <c r="F238" s="86"/>
      <c r="G238" s="86"/>
      <c r="H238" s="86"/>
      <c r="I238" s="65"/>
      <c r="J238" s="65"/>
      <c r="K238" s="87"/>
      <c r="L238" s="88"/>
    </row>
    <row r="239" spans="6:12" ht="12.5">
      <c r="F239" s="86"/>
      <c r="G239" s="86"/>
      <c r="H239" s="86"/>
      <c r="I239" s="65"/>
      <c r="J239" s="65"/>
      <c r="K239" s="87"/>
      <c r="L239" s="88"/>
    </row>
    <row r="240" spans="6:12" ht="12.5">
      <c r="F240" s="86"/>
      <c r="G240" s="86"/>
      <c r="H240" s="86"/>
      <c r="I240" s="65"/>
      <c r="J240" s="65"/>
      <c r="K240" s="87"/>
      <c r="L240" s="88"/>
    </row>
    <row r="241" spans="6:12" ht="12.5">
      <c r="F241" s="86"/>
      <c r="G241" s="86"/>
      <c r="H241" s="86"/>
      <c r="I241" s="65"/>
      <c r="J241" s="65"/>
      <c r="K241" s="87"/>
      <c r="L241" s="88"/>
    </row>
    <row r="242" spans="6:12" ht="12.5">
      <c r="F242" s="86"/>
      <c r="G242" s="86"/>
      <c r="H242" s="86"/>
      <c r="I242" s="65"/>
      <c r="J242" s="65"/>
      <c r="K242" s="87"/>
      <c r="L242" s="88"/>
    </row>
    <row r="243" spans="6:12" ht="12.5">
      <c r="F243" s="86"/>
      <c r="G243" s="86"/>
      <c r="H243" s="86"/>
      <c r="I243" s="65"/>
      <c r="J243" s="65"/>
      <c r="K243" s="87"/>
      <c r="L243" s="88"/>
    </row>
    <row r="244" spans="6:12" ht="12.5">
      <c r="F244" s="86"/>
      <c r="G244" s="86"/>
      <c r="H244" s="86"/>
      <c r="I244" s="65"/>
      <c r="J244" s="65"/>
      <c r="K244" s="87"/>
      <c r="L244" s="88"/>
    </row>
    <row r="245" spans="6:12" ht="12.5">
      <c r="F245" s="86"/>
      <c r="G245" s="86"/>
      <c r="H245" s="86"/>
      <c r="I245" s="65"/>
      <c r="J245" s="65"/>
      <c r="K245" s="87"/>
      <c r="L245" s="88"/>
    </row>
    <row r="246" spans="6:12" ht="12.5">
      <c r="F246" s="86"/>
      <c r="G246" s="86"/>
      <c r="H246" s="86"/>
      <c r="I246" s="65"/>
      <c r="J246" s="65"/>
      <c r="K246" s="87"/>
      <c r="L246" s="88"/>
    </row>
    <row r="247" spans="6:12" ht="12.5">
      <c r="F247" s="86"/>
      <c r="G247" s="86"/>
      <c r="H247" s="86"/>
      <c r="I247" s="65"/>
      <c r="J247" s="65"/>
      <c r="K247" s="87"/>
      <c r="L247" s="88"/>
    </row>
    <row r="248" spans="6:12" ht="12.5">
      <c r="F248" s="86"/>
      <c r="G248" s="86"/>
      <c r="H248" s="86"/>
      <c r="I248" s="65"/>
      <c r="J248" s="65"/>
      <c r="K248" s="87"/>
      <c r="L248" s="88"/>
    </row>
    <row r="249" spans="6:12" ht="12.5">
      <c r="F249" s="86"/>
      <c r="G249" s="86"/>
      <c r="H249" s="86"/>
      <c r="I249" s="65"/>
      <c r="J249" s="65"/>
      <c r="K249" s="87"/>
      <c r="L249" s="88"/>
    </row>
    <row r="250" spans="6:12" ht="12.5">
      <c r="F250" s="86"/>
      <c r="G250" s="86"/>
      <c r="H250" s="86"/>
      <c r="I250" s="65"/>
      <c r="J250" s="65"/>
      <c r="K250" s="87"/>
      <c r="L250" s="88"/>
    </row>
    <row r="251" spans="6:12" ht="12.5">
      <c r="F251" s="86"/>
      <c r="G251" s="86"/>
      <c r="H251" s="86"/>
      <c r="I251" s="65"/>
      <c r="J251" s="65"/>
      <c r="K251" s="87"/>
      <c r="L251" s="88"/>
    </row>
    <row r="252" spans="6:12" ht="12.5">
      <c r="F252" s="86"/>
      <c r="G252" s="86"/>
      <c r="H252" s="86"/>
      <c r="I252" s="65"/>
      <c r="J252" s="65"/>
      <c r="K252" s="87"/>
      <c r="L252" s="88"/>
    </row>
    <row r="253" spans="6:12" ht="12.5">
      <c r="F253" s="86"/>
      <c r="G253" s="86"/>
      <c r="H253" s="86"/>
      <c r="I253" s="65"/>
      <c r="J253" s="65"/>
      <c r="K253" s="87"/>
      <c r="L253" s="88"/>
    </row>
    <row r="254" spans="6:12" ht="12.5">
      <c r="F254" s="86"/>
      <c r="G254" s="86"/>
      <c r="H254" s="86"/>
      <c r="I254" s="65"/>
      <c r="J254" s="65"/>
      <c r="K254" s="87"/>
      <c r="L254" s="88"/>
    </row>
    <row r="255" spans="6:12" ht="12.5">
      <c r="F255" s="86"/>
      <c r="G255" s="86"/>
      <c r="H255" s="86"/>
      <c r="I255" s="65"/>
      <c r="J255" s="65"/>
      <c r="K255" s="87"/>
      <c r="L255" s="88"/>
    </row>
    <row r="256" spans="6:12" ht="12.5">
      <c r="F256" s="86"/>
      <c r="G256" s="86"/>
      <c r="H256" s="86"/>
      <c r="I256" s="65"/>
      <c r="J256" s="65"/>
      <c r="K256" s="87"/>
      <c r="L256" s="88"/>
    </row>
    <row r="257" spans="6:12" ht="12.5">
      <c r="F257" s="86"/>
      <c r="G257" s="86"/>
      <c r="H257" s="86"/>
      <c r="I257" s="65"/>
      <c r="J257" s="65"/>
      <c r="K257" s="87"/>
      <c r="L257" s="88"/>
    </row>
    <row r="258" spans="6:12" ht="12.5">
      <c r="F258" s="86"/>
      <c r="G258" s="86"/>
      <c r="H258" s="86"/>
      <c r="I258" s="65"/>
      <c r="J258" s="65"/>
      <c r="K258" s="87"/>
      <c r="L258" s="88"/>
    </row>
    <row r="259" spans="6:12" ht="12.5">
      <c r="F259" s="86"/>
      <c r="G259" s="86"/>
      <c r="H259" s="86"/>
      <c r="I259" s="65"/>
      <c r="J259" s="65"/>
      <c r="K259" s="87"/>
      <c r="L259" s="88"/>
    </row>
    <row r="260" spans="6:12" ht="12.5">
      <c r="F260" s="86"/>
      <c r="G260" s="86"/>
      <c r="H260" s="86"/>
      <c r="I260" s="65"/>
      <c r="J260" s="65"/>
      <c r="K260" s="87"/>
      <c r="L260" s="88"/>
    </row>
    <row r="261" spans="6:12" ht="12.5">
      <c r="F261" s="86"/>
      <c r="G261" s="86"/>
      <c r="H261" s="86"/>
      <c r="I261" s="65"/>
      <c r="J261" s="65"/>
      <c r="K261" s="87"/>
      <c r="L261" s="88"/>
    </row>
    <row r="262" spans="6:12" ht="12.5">
      <c r="F262" s="86"/>
      <c r="G262" s="86"/>
      <c r="H262" s="86"/>
      <c r="I262" s="65"/>
      <c r="J262" s="65"/>
      <c r="K262" s="87"/>
      <c r="L262" s="88"/>
    </row>
    <row r="263" spans="6:12" ht="12.5">
      <c r="F263" s="86"/>
      <c r="G263" s="86"/>
      <c r="H263" s="86"/>
      <c r="I263" s="65"/>
      <c r="J263" s="65"/>
      <c r="K263" s="87"/>
      <c r="L263" s="88"/>
    </row>
    <row r="264" spans="6:12" ht="12.5">
      <c r="F264" s="86"/>
      <c r="G264" s="86"/>
      <c r="H264" s="86"/>
      <c r="I264" s="65"/>
      <c r="J264" s="65"/>
      <c r="K264" s="87"/>
      <c r="L264" s="88"/>
    </row>
    <row r="265" spans="6:12" ht="12.5">
      <c r="F265" s="86"/>
      <c r="G265" s="86"/>
      <c r="H265" s="86"/>
      <c r="I265" s="65"/>
      <c r="J265" s="65"/>
      <c r="K265" s="87"/>
      <c r="L265" s="88"/>
    </row>
    <row r="266" spans="6:12" ht="12.5">
      <c r="F266" s="86"/>
      <c r="G266" s="86"/>
      <c r="H266" s="86"/>
      <c r="I266" s="65"/>
      <c r="J266" s="65"/>
      <c r="K266" s="87"/>
      <c r="L266" s="88"/>
    </row>
    <row r="267" spans="6:12" ht="12.5">
      <c r="F267" s="86"/>
      <c r="G267" s="86"/>
      <c r="H267" s="86"/>
      <c r="I267" s="65"/>
      <c r="J267" s="65"/>
      <c r="K267" s="87"/>
      <c r="L267" s="88"/>
    </row>
    <row r="268" spans="6:12" ht="12.5">
      <c r="F268" s="86"/>
      <c r="G268" s="86"/>
      <c r="H268" s="86"/>
      <c r="I268" s="65"/>
      <c r="J268" s="65"/>
      <c r="K268" s="87"/>
      <c r="L268" s="88"/>
    </row>
    <row r="269" spans="6:12" ht="12.5">
      <c r="F269" s="86"/>
      <c r="G269" s="86"/>
      <c r="H269" s="86"/>
      <c r="I269" s="65"/>
      <c r="J269" s="65"/>
      <c r="K269" s="87"/>
      <c r="L269" s="88"/>
    </row>
    <row r="270" spans="6:12" ht="12.5">
      <c r="F270" s="86"/>
      <c r="G270" s="86"/>
      <c r="H270" s="86"/>
      <c r="I270" s="65"/>
      <c r="J270" s="65"/>
      <c r="K270" s="87"/>
      <c r="L270" s="88"/>
    </row>
    <row r="271" spans="6:12" ht="12.5">
      <c r="F271" s="86"/>
      <c r="G271" s="86"/>
      <c r="H271" s="86"/>
      <c r="I271" s="65"/>
      <c r="J271" s="65"/>
      <c r="K271" s="87"/>
      <c r="L271" s="88"/>
    </row>
    <row r="272" spans="6:12" ht="12.5">
      <c r="F272" s="86"/>
      <c r="G272" s="86"/>
      <c r="H272" s="86"/>
      <c r="I272" s="65"/>
      <c r="J272" s="65"/>
      <c r="K272" s="87"/>
      <c r="L272" s="88"/>
    </row>
    <row r="273" spans="6:12" ht="12.5">
      <c r="F273" s="86"/>
      <c r="G273" s="86"/>
      <c r="H273" s="86"/>
      <c r="I273" s="65"/>
      <c r="J273" s="65"/>
      <c r="K273" s="87"/>
      <c r="L273" s="88"/>
    </row>
    <row r="274" spans="6:12" ht="12.5">
      <c r="F274" s="86"/>
      <c r="G274" s="86"/>
      <c r="H274" s="86"/>
      <c r="I274" s="65"/>
      <c r="J274" s="65"/>
      <c r="K274" s="87"/>
      <c r="L274" s="88"/>
    </row>
    <row r="275" spans="6:12" ht="12.5">
      <c r="F275" s="86"/>
      <c r="G275" s="86"/>
      <c r="H275" s="86"/>
      <c r="I275" s="65"/>
      <c r="J275" s="65"/>
      <c r="K275" s="87"/>
      <c r="L275" s="88"/>
    </row>
    <row r="276" spans="6:12" ht="12.5">
      <c r="F276" s="86"/>
      <c r="G276" s="86"/>
      <c r="H276" s="86"/>
      <c r="I276" s="65"/>
      <c r="J276" s="65"/>
      <c r="K276" s="87"/>
      <c r="L276" s="88"/>
    </row>
    <row r="277" spans="6:12" ht="12.5">
      <c r="F277" s="86"/>
      <c r="G277" s="86"/>
      <c r="H277" s="86"/>
      <c r="I277" s="65"/>
      <c r="J277" s="65"/>
      <c r="K277" s="87"/>
      <c r="L277" s="88"/>
    </row>
    <row r="278" spans="6:12" ht="12.5">
      <c r="F278" s="86"/>
      <c r="G278" s="86"/>
      <c r="H278" s="86"/>
      <c r="I278" s="65"/>
      <c r="J278" s="65"/>
      <c r="K278" s="87"/>
      <c r="L278" s="88"/>
    </row>
    <row r="279" spans="6:12" ht="12.5">
      <c r="F279" s="86"/>
      <c r="G279" s="86"/>
      <c r="H279" s="86"/>
      <c r="I279" s="65"/>
      <c r="J279" s="65"/>
      <c r="K279" s="87"/>
      <c r="L279" s="88"/>
    </row>
    <row r="280" spans="6:12" ht="12.5">
      <c r="F280" s="86"/>
      <c r="G280" s="86"/>
      <c r="H280" s="86"/>
      <c r="I280" s="65"/>
      <c r="J280" s="65"/>
      <c r="K280" s="87"/>
      <c r="L280" s="88"/>
    </row>
    <row r="281" spans="6:12" ht="12.5">
      <c r="F281" s="86"/>
      <c r="G281" s="86"/>
      <c r="H281" s="86"/>
      <c r="I281" s="65"/>
      <c r="J281" s="65"/>
      <c r="K281" s="87"/>
      <c r="L281" s="88"/>
    </row>
    <row r="282" spans="6:12" ht="12.5">
      <c r="F282" s="86"/>
      <c r="G282" s="86"/>
      <c r="H282" s="86"/>
      <c r="I282" s="65"/>
      <c r="J282" s="65"/>
      <c r="K282" s="87"/>
      <c r="L282" s="88"/>
    </row>
    <row r="283" spans="6:12" ht="12.5">
      <c r="F283" s="86"/>
      <c r="G283" s="86"/>
      <c r="H283" s="86"/>
      <c r="I283" s="65"/>
      <c r="J283" s="65"/>
      <c r="K283" s="87"/>
      <c r="L283" s="88"/>
    </row>
    <row r="284" spans="6:12" ht="12.5">
      <c r="F284" s="86"/>
      <c r="G284" s="86"/>
      <c r="H284" s="86"/>
      <c r="I284" s="65"/>
      <c r="J284" s="65"/>
      <c r="K284" s="87"/>
      <c r="L284" s="88"/>
    </row>
    <row r="285" spans="6:12" ht="12.5">
      <c r="F285" s="86"/>
      <c r="G285" s="86"/>
      <c r="H285" s="86"/>
      <c r="I285" s="65"/>
      <c r="J285" s="65"/>
      <c r="K285" s="87"/>
      <c r="L285" s="88"/>
    </row>
    <row r="286" spans="6:12" ht="12.5">
      <c r="F286" s="86"/>
      <c r="G286" s="86"/>
      <c r="H286" s="86"/>
      <c r="I286" s="65"/>
      <c r="J286" s="65"/>
      <c r="K286" s="87"/>
      <c r="L286" s="88"/>
    </row>
    <row r="287" spans="6:12" ht="12.5">
      <c r="F287" s="86"/>
      <c r="G287" s="86"/>
      <c r="H287" s="86"/>
      <c r="I287" s="65"/>
      <c r="J287" s="65"/>
      <c r="K287" s="87"/>
      <c r="L287" s="88"/>
    </row>
    <row r="288" spans="6:12" ht="12.5">
      <c r="F288" s="86"/>
      <c r="G288" s="86"/>
      <c r="H288" s="86"/>
      <c r="I288" s="65"/>
      <c r="J288" s="65"/>
      <c r="K288" s="87"/>
      <c r="L288" s="88"/>
    </row>
    <row r="289" spans="6:12" ht="12.5">
      <c r="F289" s="86"/>
      <c r="G289" s="86"/>
      <c r="H289" s="86"/>
      <c r="I289" s="65"/>
      <c r="J289" s="65"/>
      <c r="K289" s="87"/>
      <c r="L289" s="88"/>
    </row>
    <row r="290" spans="6:12" ht="12.5">
      <c r="F290" s="86"/>
      <c r="G290" s="86"/>
      <c r="H290" s="86"/>
      <c r="I290" s="65"/>
      <c r="J290" s="65"/>
      <c r="K290" s="87"/>
      <c r="L290" s="88"/>
    </row>
    <row r="291" spans="6:12" ht="12.5">
      <c r="F291" s="86"/>
      <c r="G291" s="86"/>
      <c r="H291" s="86"/>
      <c r="I291" s="65"/>
      <c r="J291" s="65"/>
      <c r="K291" s="87"/>
      <c r="L291" s="88"/>
    </row>
    <row r="292" spans="6:12" ht="12.5">
      <c r="F292" s="86"/>
      <c r="G292" s="86"/>
      <c r="H292" s="86"/>
      <c r="I292" s="65"/>
      <c r="J292" s="65"/>
      <c r="K292" s="87"/>
      <c r="L292" s="88"/>
    </row>
    <row r="293" spans="6:12" ht="12.5">
      <c r="F293" s="86"/>
      <c r="G293" s="86"/>
      <c r="H293" s="86"/>
      <c r="I293" s="65"/>
      <c r="J293" s="65"/>
      <c r="K293" s="87"/>
      <c r="L293" s="88"/>
    </row>
    <row r="294" spans="6:12" ht="12.5">
      <c r="F294" s="86"/>
      <c r="G294" s="86"/>
      <c r="H294" s="86"/>
      <c r="I294" s="65"/>
      <c r="J294" s="65"/>
      <c r="K294" s="87"/>
      <c r="L294" s="88"/>
    </row>
    <row r="295" spans="6:12" ht="12.5">
      <c r="F295" s="86"/>
      <c r="G295" s="86"/>
      <c r="H295" s="86"/>
      <c r="I295" s="65"/>
      <c r="J295" s="65"/>
      <c r="K295" s="87"/>
      <c r="L295" s="88"/>
    </row>
    <row r="296" spans="6:12" ht="12.5">
      <c r="F296" s="86"/>
      <c r="G296" s="86"/>
      <c r="H296" s="86"/>
      <c r="I296" s="65"/>
      <c r="J296" s="65"/>
      <c r="K296" s="87"/>
      <c r="L296" s="88"/>
    </row>
    <row r="297" spans="6:12" ht="12.5">
      <c r="F297" s="86"/>
      <c r="G297" s="86"/>
      <c r="H297" s="86"/>
      <c r="I297" s="65"/>
      <c r="J297" s="65"/>
      <c r="K297" s="87"/>
      <c r="L297" s="88"/>
    </row>
    <row r="298" spans="6:12" ht="12.5">
      <c r="F298" s="86"/>
      <c r="G298" s="86"/>
      <c r="H298" s="86"/>
      <c r="I298" s="65"/>
      <c r="J298" s="65"/>
      <c r="K298" s="87"/>
      <c r="L298" s="88"/>
    </row>
    <row r="299" spans="6:12" ht="12.5">
      <c r="F299" s="86"/>
      <c r="G299" s="86"/>
      <c r="H299" s="86"/>
      <c r="I299" s="65"/>
      <c r="J299" s="65"/>
      <c r="K299" s="87"/>
      <c r="L299" s="88"/>
    </row>
    <row r="300" spans="6:12" ht="12.5">
      <c r="F300" s="86"/>
      <c r="G300" s="86"/>
      <c r="H300" s="86"/>
      <c r="I300" s="65"/>
      <c r="J300" s="65"/>
      <c r="K300" s="87"/>
      <c r="L300" s="88"/>
    </row>
    <row r="301" spans="6:12" ht="12.5">
      <c r="F301" s="86"/>
      <c r="G301" s="86"/>
      <c r="H301" s="86"/>
      <c r="I301" s="65"/>
      <c r="J301" s="65"/>
      <c r="K301" s="87"/>
      <c r="L301" s="88"/>
    </row>
    <row r="302" spans="6:12" ht="12.5">
      <c r="F302" s="86"/>
      <c r="G302" s="86"/>
      <c r="H302" s="86"/>
      <c r="I302" s="65"/>
      <c r="J302" s="65"/>
      <c r="K302" s="87"/>
      <c r="L302" s="88"/>
    </row>
    <row r="303" spans="6:12" ht="12.5">
      <c r="F303" s="86"/>
      <c r="G303" s="86"/>
      <c r="H303" s="86"/>
      <c r="I303" s="65"/>
      <c r="J303" s="65"/>
      <c r="K303" s="87"/>
      <c r="L303" s="88"/>
    </row>
    <row r="304" spans="6:12" ht="12.5">
      <c r="F304" s="86"/>
      <c r="G304" s="86"/>
      <c r="H304" s="86"/>
      <c r="I304" s="65"/>
      <c r="J304" s="65"/>
      <c r="K304" s="87"/>
      <c r="L304" s="88"/>
    </row>
    <row r="305" spans="6:12" ht="12.5">
      <c r="F305" s="86"/>
      <c r="G305" s="86"/>
      <c r="H305" s="86"/>
      <c r="I305" s="65"/>
      <c r="J305" s="65"/>
      <c r="K305" s="87"/>
      <c r="L305" s="88"/>
    </row>
    <row r="306" spans="6:12" ht="12.5">
      <c r="F306" s="86"/>
      <c r="G306" s="86"/>
      <c r="H306" s="86"/>
      <c r="I306" s="65"/>
      <c r="J306" s="65"/>
      <c r="K306" s="87"/>
      <c r="L306" s="88"/>
    </row>
    <row r="307" spans="6:12" ht="12.5">
      <c r="F307" s="86"/>
      <c r="G307" s="86"/>
      <c r="H307" s="86"/>
      <c r="I307" s="65"/>
      <c r="J307" s="65"/>
      <c r="K307" s="87"/>
      <c r="L307" s="88"/>
    </row>
    <row r="308" spans="6:12" ht="12.5">
      <c r="F308" s="86"/>
      <c r="G308" s="86"/>
      <c r="H308" s="86"/>
      <c r="I308" s="65"/>
      <c r="J308" s="65"/>
      <c r="K308" s="87"/>
      <c r="L308" s="88"/>
    </row>
    <row r="309" spans="6:12" ht="12.5">
      <c r="F309" s="86"/>
      <c r="G309" s="86"/>
      <c r="H309" s="86"/>
      <c r="I309" s="65"/>
      <c r="J309" s="65"/>
      <c r="K309" s="87"/>
      <c r="L309" s="88"/>
    </row>
    <row r="310" spans="6:12" ht="12.5">
      <c r="F310" s="86"/>
      <c r="G310" s="86"/>
      <c r="H310" s="86"/>
      <c r="I310" s="65"/>
      <c r="J310" s="65"/>
      <c r="K310" s="87"/>
      <c r="L310" s="88"/>
    </row>
    <row r="311" spans="6:12" ht="12.5">
      <c r="F311" s="86"/>
      <c r="G311" s="86"/>
      <c r="H311" s="86"/>
      <c r="I311" s="65"/>
      <c r="J311" s="65"/>
      <c r="K311" s="87"/>
      <c r="L311" s="88"/>
    </row>
    <row r="312" spans="6:12" ht="12.5">
      <c r="F312" s="86"/>
      <c r="G312" s="86"/>
      <c r="H312" s="86"/>
      <c r="I312" s="65"/>
      <c r="J312" s="65"/>
      <c r="K312" s="87"/>
      <c r="L312" s="88"/>
    </row>
    <row r="313" spans="6:12" ht="12.5">
      <c r="F313" s="86"/>
      <c r="G313" s="86"/>
      <c r="H313" s="86"/>
      <c r="I313" s="65"/>
      <c r="J313" s="65"/>
      <c r="K313" s="87"/>
      <c r="L313" s="88"/>
    </row>
    <row r="314" spans="6:12" ht="12.5">
      <c r="F314" s="86"/>
      <c r="G314" s="86"/>
      <c r="H314" s="86"/>
      <c r="I314" s="65"/>
      <c r="J314" s="65"/>
      <c r="K314" s="87"/>
      <c r="L314" s="88"/>
    </row>
    <row r="315" spans="6:12" ht="12.5">
      <c r="F315" s="86"/>
      <c r="G315" s="86"/>
      <c r="H315" s="86"/>
      <c r="I315" s="65"/>
      <c r="J315" s="65"/>
      <c r="K315" s="87"/>
      <c r="L315" s="88"/>
    </row>
    <row r="316" spans="6:12" ht="12.5">
      <c r="F316" s="86"/>
      <c r="G316" s="86"/>
      <c r="H316" s="86"/>
      <c r="I316" s="65"/>
      <c r="J316" s="65"/>
      <c r="K316" s="87"/>
      <c r="L316" s="88"/>
    </row>
    <row r="317" spans="6:12" ht="12.5">
      <c r="F317" s="86"/>
      <c r="G317" s="86"/>
      <c r="H317" s="86"/>
      <c r="I317" s="65"/>
      <c r="J317" s="65"/>
      <c r="K317" s="87"/>
      <c r="L317" s="88"/>
    </row>
    <row r="318" spans="6:12" ht="12.5">
      <c r="F318" s="86"/>
      <c r="G318" s="86"/>
      <c r="H318" s="86"/>
      <c r="I318" s="65"/>
      <c r="J318" s="65"/>
      <c r="K318" s="87"/>
      <c r="L318" s="88"/>
    </row>
    <row r="319" spans="6:12" ht="12.5">
      <c r="F319" s="86"/>
      <c r="G319" s="86"/>
      <c r="H319" s="86"/>
      <c r="I319" s="65"/>
      <c r="J319" s="65"/>
      <c r="K319" s="87"/>
      <c r="L319" s="88"/>
    </row>
    <row r="320" spans="6:12" ht="12.5">
      <c r="F320" s="86"/>
      <c r="G320" s="86"/>
      <c r="H320" s="86"/>
      <c r="I320" s="65"/>
      <c r="J320" s="65"/>
      <c r="K320" s="87"/>
      <c r="L320" s="88"/>
    </row>
    <row r="321" spans="6:12" ht="12.5">
      <c r="F321" s="86"/>
      <c r="G321" s="86"/>
      <c r="H321" s="86"/>
      <c r="I321" s="65"/>
      <c r="J321" s="65"/>
      <c r="K321" s="87"/>
      <c r="L321" s="88"/>
    </row>
    <row r="322" spans="6:12" ht="12.5">
      <c r="F322" s="86"/>
      <c r="G322" s="86"/>
      <c r="H322" s="86"/>
      <c r="I322" s="65"/>
      <c r="J322" s="65"/>
      <c r="K322" s="87"/>
      <c r="L322" s="88"/>
    </row>
    <row r="323" spans="6:12" ht="12.5">
      <c r="F323" s="86"/>
      <c r="G323" s="86"/>
      <c r="H323" s="86"/>
      <c r="I323" s="65"/>
      <c r="J323" s="65"/>
      <c r="K323" s="87"/>
      <c r="L323" s="88"/>
    </row>
    <row r="324" spans="6:12" ht="12.5">
      <c r="F324" s="86"/>
      <c r="G324" s="86"/>
      <c r="H324" s="86"/>
      <c r="I324" s="65"/>
      <c r="J324" s="65"/>
      <c r="K324" s="87"/>
      <c r="L324" s="88"/>
    </row>
    <row r="325" spans="6:12" ht="12.5">
      <c r="F325" s="86"/>
      <c r="G325" s="86"/>
      <c r="H325" s="86"/>
      <c r="I325" s="65"/>
      <c r="J325" s="65"/>
      <c r="K325" s="87"/>
      <c r="L325" s="88"/>
    </row>
    <row r="326" spans="6:12" ht="12.5">
      <c r="F326" s="86"/>
      <c r="G326" s="86"/>
      <c r="H326" s="86"/>
      <c r="I326" s="65"/>
      <c r="J326" s="65"/>
      <c r="K326" s="87"/>
      <c r="L326" s="88"/>
    </row>
    <row r="327" spans="6:12" ht="12.5">
      <c r="F327" s="86"/>
      <c r="G327" s="86"/>
      <c r="H327" s="86"/>
      <c r="I327" s="65"/>
      <c r="J327" s="65"/>
      <c r="K327" s="87"/>
      <c r="L327" s="88"/>
    </row>
    <row r="328" spans="6:12" ht="12.5">
      <c r="F328" s="86"/>
      <c r="G328" s="86"/>
      <c r="H328" s="86"/>
      <c r="I328" s="65"/>
      <c r="J328" s="65"/>
      <c r="K328" s="87"/>
      <c r="L328" s="88"/>
    </row>
    <row r="329" spans="6:12" ht="12.5">
      <c r="F329" s="86"/>
      <c r="G329" s="86"/>
      <c r="H329" s="86"/>
      <c r="I329" s="65"/>
      <c r="J329" s="65"/>
      <c r="K329" s="87"/>
      <c r="L329" s="88"/>
    </row>
    <row r="330" spans="6:12" ht="12.5">
      <c r="F330" s="86"/>
      <c r="G330" s="86"/>
      <c r="H330" s="86"/>
      <c r="I330" s="65"/>
      <c r="J330" s="65"/>
      <c r="K330" s="87"/>
      <c r="L330" s="88"/>
    </row>
    <row r="331" spans="6:12" ht="12.5">
      <c r="F331" s="86"/>
      <c r="G331" s="86"/>
      <c r="H331" s="86"/>
      <c r="I331" s="65"/>
      <c r="J331" s="65"/>
      <c r="K331" s="87"/>
      <c r="L331" s="88"/>
    </row>
    <row r="332" spans="6:12" ht="12.5">
      <c r="F332" s="86"/>
      <c r="G332" s="86"/>
      <c r="H332" s="86"/>
      <c r="I332" s="65"/>
      <c r="J332" s="65"/>
      <c r="K332" s="87"/>
      <c r="L332" s="88"/>
    </row>
    <row r="333" spans="6:12" ht="12.5">
      <c r="F333" s="86"/>
      <c r="G333" s="86"/>
      <c r="H333" s="86"/>
      <c r="I333" s="65"/>
      <c r="J333" s="65"/>
      <c r="K333" s="87"/>
      <c r="L333" s="88"/>
    </row>
    <row r="334" spans="6:12" ht="12.5">
      <c r="F334" s="86"/>
      <c r="G334" s="86"/>
      <c r="H334" s="86"/>
      <c r="I334" s="65"/>
      <c r="J334" s="65"/>
      <c r="K334" s="87"/>
      <c r="L334" s="88"/>
    </row>
    <row r="335" spans="6:12" ht="12.5">
      <c r="F335" s="86"/>
      <c r="G335" s="86"/>
      <c r="H335" s="86"/>
      <c r="I335" s="65"/>
      <c r="J335" s="65"/>
      <c r="K335" s="87"/>
      <c r="L335" s="88"/>
    </row>
    <row r="336" spans="6:12" ht="12.5">
      <c r="F336" s="86"/>
      <c r="G336" s="86"/>
      <c r="H336" s="86"/>
      <c r="I336" s="65"/>
      <c r="J336" s="65"/>
      <c r="K336" s="87"/>
      <c r="L336" s="88"/>
    </row>
    <row r="337" spans="6:12" ht="12.5">
      <c r="F337" s="86"/>
      <c r="G337" s="86"/>
      <c r="H337" s="86"/>
      <c r="I337" s="65"/>
      <c r="J337" s="65"/>
      <c r="K337" s="87"/>
      <c r="L337" s="88"/>
    </row>
    <row r="338" spans="6:12" ht="12.5">
      <c r="F338" s="86"/>
      <c r="G338" s="86"/>
      <c r="H338" s="86"/>
      <c r="I338" s="65"/>
      <c r="J338" s="65"/>
      <c r="K338" s="87"/>
      <c r="L338" s="88"/>
    </row>
    <row r="339" spans="6:12" ht="12.5">
      <c r="F339" s="86"/>
      <c r="G339" s="86"/>
      <c r="H339" s="86"/>
      <c r="I339" s="65"/>
      <c r="J339" s="65"/>
      <c r="K339" s="87"/>
      <c r="L339" s="88"/>
    </row>
    <row r="340" spans="6:12" ht="12.5">
      <c r="F340" s="86"/>
      <c r="G340" s="86"/>
      <c r="H340" s="86"/>
      <c r="I340" s="65"/>
      <c r="J340" s="65"/>
      <c r="K340" s="87"/>
      <c r="L340" s="88"/>
    </row>
    <row r="341" spans="6:12" ht="12.5">
      <c r="F341" s="86"/>
      <c r="G341" s="86"/>
      <c r="H341" s="86"/>
      <c r="I341" s="65"/>
      <c r="J341" s="65"/>
      <c r="K341" s="87"/>
      <c r="L341" s="88"/>
    </row>
    <row r="342" spans="6:12" ht="12.5">
      <c r="F342" s="86"/>
      <c r="G342" s="86"/>
      <c r="H342" s="86"/>
      <c r="I342" s="65"/>
      <c r="J342" s="65"/>
      <c r="K342" s="87"/>
      <c r="L342" s="88"/>
    </row>
    <row r="343" spans="6:12" ht="12.5">
      <c r="F343" s="86"/>
      <c r="G343" s="86"/>
      <c r="H343" s="86"/>
      <c r="I343" s="65"/>
      <c r="J343" s="65"/>
      <c r="K343" s="87"/>
      <c r="L343" s="88"/>
    </row>
    <row r="344" spans="6:12" ht="12.5">
      <c r="F344" s="86"/>
      <c r="G344" s="86"/>
      <c r="H344" s="86"/>
      <c r="I344" s="65"/>
      <c r="J344" s="65"/>
      <c r="K344" s="87"/>
      <c r="L344" s="88"/>
    </row>
    <row r="345" spans="6:12" ht="12.5">
      <c r="F345" s="86"/>
      <c r="G345" s="86"/>
      <c r="H345" s="86"/>
      <c r="I345" s="65"/>
      <c r="J345" s="65"/>
      <c r="K345" s="87"/>
      <c r="L345" s="88"/>
    </row>
    <row r="346" spans="6:12" ht="12.5">
      <c r="F346" s="86"/>
      <c r="G346" s="86"/>
      <c r="H346" s="86"/>
      <c r="I346" s="65"/>
      <c r="J346" s="65"/>
      <c r="K346" s="87"/>
      <c r="L346" s="88"/>
    </row>
    <row r="347" spans="6:12" ht="12.5">
      <c r="F347" s="86"/>
      <c r="G347" s="86"/>
      <c r="H347" s="86"/>
      <c r="I347" s="65"/>
      <c r="J347" s="65"/>
      <c r="K347" s="87"/>
      <c r="L347" s="88"/>
    </row>
    <row r="348" spans="6:12" ht="12.5">
      <c r="F348" s="86"/>
      <c r="G348" s="86"/>
      <c r="H348" s="86"/>
      <c r="I348" s="65"/>
      <c r="J348" s="65"/>
      <c r="K348" s="87"/>
      <c r="L348" s="88"/>
    </row>
    <row r="349" spans="6:12" ht="12.5">
      <c r="F349" s="86"/>
      <c r="G349" s="86"/>
      <c r="H349" s="86"/>
      <c r="I349" s="65"/>
      <c r="J349" s="65"/>
      <c r="K349" s="87"/>
      <c r="L349" s="88"/>
    </row>
    <row r="350" spans="6:12" ht="12.5">
      <c r="F350" s="86"/>
      <c r="G350" s="86"/>
      <c r="H350" s="86"/>
      <c r="I350" s="65"/>
      <c r="J350" s="65"/>
      <c r="K350" s="87"/>
      <c r="L350" s="88"/>
    </row>
    <row r="351" spans="6:12" ht="12.5">
      <c r="F351" s="86"/>
      <c r="G351" s="86"/>
      <c r="H351" s="86"/>
      <c r="I351" s="65"/>
      <c r="J351" s="65"/>
      <c r="K351" s="87"/>
      <c r="L351" s="88"/>
    </row>
    <row r="352" spans="6:12" ht="12.5">
      <c r="F352" s="86"/>
      <c r="G352" s="86"/>
      <c r="H352" s="86"/>
      <c r="I352" s="65"/>
      <c r="J352" s="65"/>
      <c r="K352" s="87"/>
      <c r="L352" s="88"/>
    </row>
    <row r="353" spans="6:12" ht="12.5">
      <c r="F353" s="86"/>
      <c r="G353" s="86"/>
      <c r="H353" s="86"/>
      <c r="I353" s="65"/>
      <c r="J353" s="65"/>
      <c r="K353" s="87"/>
      <c r="L353" s="88"/>
    </row>
    <row r="354" spans="6:12" ht="12.5">
      <c r="F354" s="86"/>
      <c r="G354" s="86"/>
      <c r="H354" s="86"/>
      <c r="I354" s="65"/>
      <c r="J354" s="65"/>
      <c r="K354" s="87"/>
      <c r="L354" s="88"/>
    </row>
    <row r="355" spans="6:12" ht="12.5">
      <c r="F355" s="86"/>
      <c r="G355" s="86"/>
      <c r="H355" s="86"/>
      <c r="I355" s="65"/>
      <c r="J355" s="65"/>
      <c r="K355" s="87"/>
      <c r="L355" s="88"/>
    </row>
    <row r="356" spans="6:12" ht="12.5">
      <c r="F356" s="86"/>
      <c r="G356" s="86"/>
      <c r="H356" s="86"/>
      <c r="I356" s="65"/>
      <c r="J356" s="65"/>
      <c r="K356" s="87"/>
      <c r="L356" s="88"/>
    </row>
    <row r="357" spans="6:12" ht="12.5">
      <c r="F357" s="86"/>
      <c r="G357" s="86"/>
      <c r="H357" s="86"/>
      <c r="I357" s="65"/>
      <c r="J357" s="65"/>
      <c r="K357" s="87"/>
      <c r="L357" s="88"/>
    </row>
    <row r="358" spans="6:12" ht="12.5">
      <c r="F358" s="86"/>
      <c r="G358" s="86"/>
      <c r="H358" s="86"/>
      <c r="I358" s="65"/>
      <c r="J358" s="65"/>
      <c r="K358" s="87"/>
      <c r="L358" s="88"/>
    </row>
    <row r="359" spans="6:12" ht="12.5">
      <c r="F359" s="86"/>
      <c r="G359" s="86"/>
      <c r="H359" s="86"/>
      <c r="I359" s="65"/>
      <c r="J359" s="65"/>
      <c r="K359" s="87"/>
      <c r="L359" s="88"/>
    </row>
    <row r="360" spans="6:12" ht="12.5">
      <c r="F360" s="86"/>
      <c r="G360" s="86"/>
      <c r="H360" s="86"/>
      <c r="I360" s="65"/>
      <c r="J360" s="65"/>
      <c r="K360" s="87"/>
      <c r="L360" s="88"/>
    </row>
    <row r="361" spans="6:12" ht="12.5">
      <c r="F361" s="86"/>
      <c r="G361" s="86"/>
      <c r="H361" s="86"/>
      <c r="I361" s="65"/>
      <c r="J361" s="65"/>
      <c r="K361" s="87"/>
      <c r="L361" s="88"/>
    </row>
    <row r="362" spans="6:12" ht="12.5">
      <c r="F362" s="86"/>
      <c r="G362" s="86"/>
      <c r="H362" s="86"/>
      <c r="I362" s="65"/>
      <c r="J362" s="65"/>
      <c r="K362" s="87"/>
      <c r="L362" s="88"/>
    </row>
    <row r="363" spans="6:12" ht="12.5">
      <c r="F363" s="86"/>
      <c r="G363" s="86"/>
      <c r="H363" s="86"/>
      <c r="I363" s="65"/>
      <c r="J363" s="65"/>
      <c r="K363" s="87"/>
      <c r="L363" s="88"/>
    </row>
    <row r="364" spans="6:12" ht="12.5">
      <c r="F364" s="86"/>
      <c r="G364" s="86"/>
      <c r="H364" s="86"/>
      <c r="I364" s="65"/>
      <c r="J364" s="65"/>
      <c r="K364" s="87"/>
      <c r="L364" s="88"/>
    </row>
    <row r="365" spans="6:12" ht="12.5">
      <c r="F365" s="86"/>
      <c r="G365" s="86"/>
      <c r="H365" s="86"/>
      <c r="I365" s="65"/>
      <c r="J365" s="65"/>
      <c r="K365" s="87"/>
      <c r="L365" s="88"/>
    </row>
    <row r="366" spans="6:12" ht="12.5">
      <c r="F366" s="86"/>
      <c r="G366" s="86"/>
      <c r="H366" s="86"/>
      <c r="I366" s="65"/>
      <c r="J366" s="65"/>
      <c r="K366" s="87"/>
      <c r="L366" s="88"/>
    </row>
    <row r="367" spans="6:12" ht="12.5">
      <c r="F367" s="86"/>
      <c r="G367" s="86"/>
      <c r="H367" s="86"/>
      <c r="I367" s="65"/>
      <c r="J367" s="65"/>
      <c r="K367" s="87"/>
      <c r="L367" s="88"/>
    </row>
    <row r="368" spans="6:12" ht="12.5">
      <c r="F368" s="86"/>
      <c r="G368" s="86"/>
      <c r="H368" s="86"/>
      <c r="I368" s="65"/>
      <c r="J368" s="65"/>
      <c r="K368" s="87"/>
      <c r="L368" s="88"/>
    </row>
    <row r="369" spans="6:12" ht="12.5">
      <c r="F369" s="86"/>
      <c r="G369" s="86"/>
      <c r="H369" s="86"/>
      <c r="I369" s="65"/>
      <c r="J369" s="65"/>
      <c r="K369" s="87"/>
      <c r="L369" s="88"/>
    </row>
    <row r="370" spans="6:12" ht="12.5">
      <c r="F370" s="86"/>
      <c r="G370" s="86"/>
      <c r="H370" s="86"/>
      <c r="I370" s="65"/>
      <c r="J370" s="65"/>
      <c r="K370" s="87"/>
      <c r="L370" s="88"/>
    </row>
    <row r="371" spans="6:12" ht="12.5">
      <c r="F371" s="86"/>
      <c r="G371" s="86"/>
      <c r="H371" s="86"/>
      <c r="I371" s="65"/>
      <c r="J371" s="65"/>
      <c r="K371" s="87"/>
      <c r="L371" s="88"/>
    </row>
    <row r="372" spans="6:12" ht="12.5">
      <c r="F372" s="86"/>
      <c r="G372" s="86"/>
      <c r="H372" s="86"/>
      <c r="I372" s="65"/>
      <c r="J372" s="65"/>
      <c r="K372" s="87"/>
      <c r="L372" s="88"/>
    </row>
    <row r="373" spans="6:12" ht="12.5">
      <c r="F373" s="86"/>
      <c r="G373" s="86"/>
      <c r="H373" s="86"/>
      <c r="I373" s="65"/>
      <c r="J373" s="65"/>
      <c r="K373" s="87"/>
      <c r="L373" s="88"/>
    </row>
    <row r="374" spans="6:12" ht="12.5">
      <c r="F374" s="86"/>
      <c r="G374" s="86"/>
      <c r="H374" s="86"/>
      <c r="I374" s="65"/>
      <c r="J374" s="65"/>
      <c r="K374" s="87"/>
      <c r="L374" s="88"/>
    </row>
    <row r="375" spans="6:12" ht="12.5">
      <c r="F375" s="86"/>
      <c r="G375" s="86"/>
      <c r="H375" s="86"/>
      <c r="I375" s="65"/>
      <c r="J375" s="65"/>
      <c r="K375" s="87"/>
      <c r="L375" s="88"/>
    </row>
    <row r="376" spans="6:12" ht="12.5">
      <c r="F376" s="86"/>
      <c r="G376" s="86"/>
      <c r="H376" s="86"/>
      <c r="I376" s="65"/>
      <c r="J376" s="65"/>
      <c r="K376" s="87"/>
      <c r="L376" s="88"/>
    </row>
    <row r="377" spans="6:12" ht="12.5">
      <c r="F377" s="86"/>
      <c r="G377" s="86"/>
      <c r="H377" s="86"/>
      <c r="I377" s="65"/>
      <c r="J377" s="65"/>
      <c r="K377" s="87"/>
      <c r="L377" s="88"/>
    </row>
    <row r="378" spans="6:12" ht="12.5">
      <c r="F378" s="86"/>
      <c r="G378" s="86"/>
      <c r="H378" s="86"/>
      <c r="I378" s="65"/>
      <c r="J378" s="65"/>
      <c r="K378" s="87"/>
      <c r="L378" s="88"/>
    </row>
    <row r="379" spans="6:12" ht="12.5">
      <c r="F379" s="86"/>
      <c r="G379" s="86"/>
      <c r="H379" s="86"/>
      <c r="I379" s="65"/>
      <c r="J379" s="65"/>
      <c r="K379" s="87"/>
      <c r="L379" s="88"/>
    </row>
    <row r="380" spans="6:12" ht="12.5">
      <c r="F380" s="86"/>
      <c r="G380" s="86"/>
      <c r="H380" s="86"/>
      <c r="I380" s="65"/>
      <c r="J380" s="65"/>
      <c r="K380" s="87"/>
      <c r="L380" s="88"/>
    </row>
    <row r="381" spans="6:12" ht="12.5">
      <c r="F381" s="86"/>
      <c r="G381" s="86"/>
      <c r="H381" s="86"/>
      <c r="I381" s="65"/>
      <c r="J381" s="65"/>
      <c r="K381" s="87"/>
      <c r="L381" s="88"/>
    </row>
    <row r="382" spans="6:12" ht="12.5">
      <c r="F382" s="86"/>
      <c r="G382" s="86"/>
      <c r="H382" s="86"/>
      <c r="I382" s="65"/>
      <c r="J382" s="65"/>
      <c r="K382" s="87"/>
      <c r="L382" s="88"/>
    </row>
    <row r="383" spans="6:12" ht="12.5">
      <c r="F383" s="86"/>
      <c r="G383" s="86"/>
      <c r="H383" s="86"/>
      <c r="I383" s="65"/>
      <c r="J383" s="65"/>
      <c r="K383" s="87"/>
      <c r="L383" s="88"/>
    </row>
    <row r="384" spans="6:12" ht="12.5">
      <c r="F384" s="86"/>
      <c r="G384" s="86"/>
      <c r="H384" s="86"/>
      <c r="I384" s="65"/>
      <c r="J384" s="65"/>
      <c r="K384" s="87"/>
      <c r="L384" s="88"/>
    </row>
    <row r="385" spans="6:12" ht="12.5">
      <c r="F385" s="86"/>
      <c r="G385" s="86"/>
      <c r="H385" s="86"/>
      <c r="I385" s="65"/>
      <c r="J385" s="65"/>
      <c r="K385" s="87"/>
      <c r="L385" s="88"/>
    </row>
    <row r="386" spans="6:12" ht="12.5">
      <c r="F386" s="86"/>
      <c r="G386" s="86"/>
      <c r="H386" s="86"/>
      <c r="I386" s="65"/>
      <c r="J386" s="65"/>
      <c r="K386" s="87"/>
      <c r="L386" s="88"/>
    </row>
    <row r="387" spans="6:12" ht="12.5">
      <c r="F387" s="86"/>
      <c r="G387" s="86"/>
      <c r="H387" s="86"/>
      <c r="I387" s="65"/>
      <c r="J387" s="65"/>
      <c r="K387" s="87"/>
      <c r="L387" s="88"/>
    </row>
    <row r="388" spans="6:12" ht="12.5">
      <c r="F388" s="86"/>
      <c r="G388" s="86"/>
      <c r="H388" s="86"/>
      <c r="I388" s="65"/>
      <c r="J388" s="65"/>
      <c r="K388" s="87"/>
      <c r="L388" s="88"/>
    </row>
    <row r="389" spans="6:12" ht="12.5">
      <c r="F389" s="86"/>
      <c r="G389" s="86"/>
      <c r="H389" s="86"/>
      <c r="I389" s="65"/>
      <c r="J389" s="65"/>
      <c r="K389" s="87"/>
      <c r="L389" s="88"/>
    </row>
    <row r="390" spans="6:12" ht="12.5">
      <c r="F390" s="86"/>
      <c r="G390" s="86"/>
      <c r="H390" s="86"/>
      <c r="I390" s="65"/>
      <c r="J390" s="65"/>
      <c r="K390" s="87"/>
      <c r="L390" s="88"/>
    </row>
    <row r="391" spans="6:12" ht="12.5">
      <c r="F391" s="86"/>
      <c r="G391" s="86"/>
      <c r="H391" s="86"/>
      <c r="I391" s="65"/>
      <c r="J391" s="65"/>
      <c r="K391" s="87"/>
      <c r="L391" s="88"/>
    </row>
    <row r="392" spans="6:12" ht="12.5">
      <c r="F392" s="86"/>
      <c r="G392" s="86"/>
      <c r="H392" s="86"/>
      <c r="I392" s="65"/>
      <c r="J392" s="65"/>
      <c r="K392" s="87"/>
      <c r="L392" s="88"/>
    </row>
    <row r="393" spans="6:12" ht="12.5">
      <c r="F393" s="86"/>
      <c r="G393" s="86"/>
      <c r="H393" s="86"/>
      <c r="I393" s="65"/>
      <c r="J393" s="65"/>
      <c r="K393" s="87"/>
      <c r="L393" s="88"/>
    </row>
    <row r="394" spans="6:12" ht="12.5">
      <c r="F394" s="86"/>
      <c r="G394" s="86"/>
      <c r="H394" s="86"/>
      <c r="I394" s="65"/>
      <c r="J394" s="65"/>
      <c r="K394" s="87"/>
      <c r="L394" s="88"/>
    </row>
    <row r="395" spans="6:12" ht="12.5">
      <c r="F395" s="86"/>
      <c r="G395" s="86"/>
      <c r="H395" s="86"/>
      <c r="I395" s="65"/>
      <c r="J395" s="65"/>
      <c r="K395" s="87"/>
      <c r="L395" s="88"/>
    </row>
    <row r="396" spans="6:12" ht="12.5">
      <c r="F396" s="86"/>
      <c r="G396" s="86"/>
      <c r="H396" s="86"/>
      <c r="I396" s="65"/>
      <c r="J396" s="65"/>
      <c r="K396" s="87"/>
      <c r="L396" s="88"/>
    </row>
    <row r="397" spans="6:12" ht="12.5">
      <c r="F397" s="86"/>
      <c r="G397" s="86"/>
      <c r="H397" s="86"/>
      <c r="I397" s="65"/>
      <c r="J397" s="65"/>
      <c r="K397" s="87"/>
      <c r="L397" s="88"/>
    </row>
    <row r="398" spans="6:12" ht="12.5">
      <c r="F398" s="86"/>
      <c r="G398" s="86"/>
      <c r="H398" s="86"/>
      <c r="I398" s="65"/>
      <c r="J398" s="65"/>
      <c r="K398" s="87"/>
      <c r="L398" s="88"/>
    </row>
    <row r="399" spans="6:12" ht="12.5">
      <c r="F399" s="86"/>
      <c r="G399" s="86"/>
      <c r="H399" s="86"/>
      <c r="I399" s="65"/>
      <c r="J399" s="65"/>
      <c r="K399" s="87"/>
      <c r="L399" s="88"/>
    </row>
    <row r="400" spans="6:12" ht="12.5">
      <c r="F400" s="86"/>
      <c r="G400" s="86"/>
      <c r="H400" s="86"/>
      <c r="I400" s="65"/>
      <c r="J400" s="65"/>
      <c r="K400" s="87"/>
      <c r="L400" s="88"/>
    </row>
    <row r="401" spans="6:12" ht="12.5">
      <c r="F401" s="86"/>
      <c r="G401" s="86"/>
      <c r="H401" s="86"/>
      <c r="I401" s="65"/>
      <c r="J401" s="65"/>
      <c r="K401" s="87"/>
      <c r="L401" s="88"/>
    </row>
    <row r="402" spans="6:12" ht="12.5">
      <c r="F402" s="86"/>
      <c r="G402" s="86"/>
      <c r="H402" s="86"/>
      <c r="I402" s="65"/>
      <c r="J402" s="65"/>
      <c r="K402" s="87"/>
      <c r="L402" s="88"/>
    </row>
    <row r="403" spans="6:12" ht="12.5">
      <c r="F403" s="86"/>
      <c r="G403" s="86"/>
      <c r="H403" s="86"/>
      <c r="I403" s="65"/>
      <c r="J403" s="65"/>
      <c r="K403" s="87"/>
      <c r="L403" s="88"/>
    </row>
    <row r="404" spans="6:12" ht="12.5">
      <c r="F404" s="86"/>
      <c r="G404" s="86"/>
      <c r="H404" s="86"/>
      <c r="I404" s="65"/>
      <c r="J404" s="65"/>
      <c r="K404" s="87"/>
      <c r="L404" s="88"/>
    </row>
    <row r="405" spans="6:12" ht="12.5">
      <c r="F405" s="86"/>
      <c r="G405" s="86"/>
      <c r="H405" s="86"/>
      <c r="I405" s="65"/>
      <c r="J405" s="65"/>
      <c r="K405" s="87"/>
      <c r="L405" s="88"/>
    </row>
    <row r="406" spans="6:12" ht="12.5">
      <c r="F406" s="86"/>
      <c r="G406" s="86"/>
      <c r="H406" s="86"/>
      <c r="I406" s="65"/>
      <c r="J406" s="65"/>
      <c r="K406" s="87"/>
      <c r="L406" s="88"/>
    </row>
    <row r="407" spans="6:12" ht="12.5">
      <c r="F407" s="86"/>
      <c r="G407" s="86"/>
      <c r="H407" s="86"/>
      <c r="I407" s="65"/>
      <c r="J407" s="65"/>
      <c r="K407" s="87"/>
      <c r="L407" s="88"/>
    </row>
    <row r="408" spans="6:12" ht="12.5">
      <c r="F408" s="86"/>
      <c r="G408" s="86"/>
      <c r="H408" s="86"/>
      <c r="I408" s="65"/>
      <c r="J408" s="65"/>
      <c r="K408" s="87"/>
      <c r="L408" s="88"/>
    </row>
    <row r="409" spans="6:12" ht="12.5">
      <c r="F409" s="86"/>
      <c r="G409" s="86"/>
      <c r="H409" s="86"/>
      <c r="I409" s="65"/>
      <c r="J409" s="65"/>
      <c r="K409" s="87"/>
      <c r="L409" s="88"/>
    </row>
    <row r="410" spans="6:12" ht="12.5">
      <c r="F410" s="86"/>
      <c r="G410" s="86"/>
      <c r="H410" s="86"/>
      <c r="I410" s="65"/>
      <c r="J410" s="65"/>
      <c r="K410" s="87"/>
      <c r="L410" s="88"/>
    </row>
    <row r="411" spans="6:12" ht="12.5">
      <c r="F411" s="86"/>
      <c r="G411" s="86"/>
      <c r="H411" s="86"/>
      <c r="I411" s="65"/>
      <c r="J411" s="65"/>
      <c r="K411" s="87"/>
      <c r="L411" s="88"/>
    </row>
    <row r="412" spans="6:12" ht="12.5">
      <c r="F412" s="86"/>
      <c r="G412" s="86"/>
      <c r="H412" s="86"/>
      <c r="I412" s="65"/>
      <c r="J412" s="65"/>
      <c r="K412" s="87"/>
      <c r="L412" s="88"/>
    </row>
    <row r="413" spans="6:12" ht="12.5">
      <c r="F413" s="86"/>
      <c r="G413" s="86"/>
      <c r="H413" s="86"/>
      <c r="I413" s="65"/>
      <c r="J413" s="65"/>
      <c r="K413" s="87"/>
      <c r="L413" s="88"/>
    </row>
    <row r="414" spans="6:12" ht="12.5">
      <c r="F414" s="86"/>
      <c r="G414" s="86"/>
      <c r="H414" s="86"/>
      <c r="I414" s="65"/>
      <c r="J414" s="65"/>
      <c r="K414" s="87"/>
      <c r="L414" s="88"/>
    </row>
    <row r="415" spans="6:12" ht="12.5">
      <c r="F415" s="86"/>
      <c r="G415" s="86"/>
      <c r="H415" s="86"/>
      <c r="I415" s="65"/>
      <c r="J415" s="65"/>
      <c r="K415" s="87"/>
      <c r="L415" s="88"/>
    </row>
    <row r="416" spans="6:12" ht="12.5">
      <c r="F416" s="86"/>
      <c r="G416" s="86"/>
      <c r="H416" s="86"/>
      <c r="I416" s="65"/>
      <c r="J416" s="65"/>
      <c r="K416" s="87"/>
      <c r="L416" s="88"/>
    </row>
    <row r="417" spans="6:12" ht="12.5">
      <c r="F417" s="86"/>
      <c r="G417" s="86"/>
      <c r="H417" s="86"/>
      <c r="I417" s="65"/>
      <c r="J417" s="65"/>
      <c r="K417" s="87"/>
      <c r="L417" s="88"/>
    </row>
    <row r="418" spans="6:12" ht="12.5">
      <c r="F418" s="86"/>
      <c r="G418" s="86"/>
      <c r="H418" s="86"/>
      <c r="I418" s="65"/>
      <c r="J418" s="65"/>
      <c r="K418" s="87"/>
      <c r="L418" s="88"/>
    </row>
    <row r="419" spans="6:12" ht="12.5">
      <c r="F419" s="86"/>
      <c r="G419" s="86"/>
      <c r="H419" s="86"/>
      <c r="I419" s="65"/>
      <c r="J419" s="65"/>
      <c r="K419" s="87"/>
      <c r="L419" s="88"/>
    </row>
    <row r="420" spans="6:12" ht="12.5">
      <c r="F420" s="86"/>
      <c r="G420" s="86"/>
      <c r="H420" s="86"/>
      <c r="I420" s="65"/>
      <c r="J420" s="65"/>
      <c r="K420" s="87"/>
      <c r="L420" s="88"/>
    </row>
    <row r="421" spans="6:12" ht="12.5">
      <c r="F421" s="86"/>
      <c r="G421" s="86"/>
      <c r="H421" s="86"/>
      <c r="I421" s="65"/>
      <c r="J421" s="65"/>
      <c r="K421" s="87"/>
      <c r="L421" s="88"/>
    </row>
    <row r="422" spans="6:12" ht="12.5">
      <c r="F422" s="86"/>
      <c r="G422" s="86"/>
      <c r="H422" s="86"/>
      <c r="I422" s="65"/>
      <c r="J422" s="65"/>
      <c r="K422" s="87"/>
      <c r="L422" s="88"/>
    </row>
    <row r="423" spans="6:12" ht="12.5">
      <c r="F423" s="86"/>
      <c r="G423" s="86"/>
      <c r="H423" s="86"/>
      <c r="I423" s="65"/>
      <c r="J423" s="65"/>
      <c r="K423" s="87"/>
      <c r="L423" s="88"/>
    </row>
    <row r="424" spans="6:12" ht="12.5">
      <c r="F424" s="86"/>
      <c r="G424" s="86"/>
      <c r="H424" s="86"/>
      <c r="I424" s="65"/>
      <c r="J424" s="65"/>
      <c r="K424" s="87"/>
      <c r="L424" s="88"/>
    </row>
    <row r="425" spans="6:12" ht="12.5">
      <c r="F425" s="86"/>
      <c r="G425" s="86"/>
      <c r="H425" s="86"/>
      <c r="I425" s="65"/>
      <c r="J425" s="65"/>
      <c r="K425" s="87"/>
      <c r="L425" s="88"/>
    </row>
    <row r="426" spans="6:12" ht="12.5">
      <c r="F426" s="86"/>
      <c r="G426" s="86"/>
      <c r="H426" s="86"/>
      <c r="I426" s="65"/>
      <c r="J426" s="65"/>
      <c r="K426" s="87"/>
      <c r="L426" s="88"/>
    </row>
    <row r="427" spans="6:12" ht="12.5">
      <c r="F427" s="86"/>
      <c r="G427" s="86"/>
      <c r="H427" s="86"/>
      <c r="I427" s="65"/>
      <c r="J427" s="65"/>
      <c r="K427" s="87"/>
      <c r="L427" s="88"/>
    </row>
    <row r="428" spans="6:12" ht="12.5">
      <c r="F428" s="86"/>
      <c r="G428" s="86"/>
      <c r="H428" s="86"/>
      <c r="I428" s="65"/>
      <c r="J428" s="65"/>
      <c r="K428" s="87"/>
      <c r="L428" s="88"/>
    </row>
    <row r="429" spans="6:12" ht="12.5">
      <c r="F429" s="86"/>
      <c r="G429" s="86"/>
      <c r="H429" s="86"/>
      <c r="I429" s="65"/>
      <c r="J429" s="65"/>
      <c r="K429" s="87"/>
      <c r="L429" s="88"/>
    </row>
    <row r="430" spans="6:12" ht="12.5">
      <c r="F430" s="86"/>
      <c r="G430" s="86"/>
      <c r="H430" s="86"/>
      <c r="I430" s="65"/>
      <c r="J430" s="65"/>
      <c r="K430" s="87"/>
      <c r="L430" s="88"/>
    </row>
    <row r="431" spans="6:12" ht="12.5">
      <c r="F431" s="86"/>
      <c r="G431" s="86"/>
      <c r="H431" s="86"/>
      <c r="I431" s="65"/>
      <c r="J431" s="65"/>
      <c r="K431" s="87"/>
      <c r="L431" s="88"/>
    </row>
    <row r="432" spans="6:12" ht="12.5">
      <c r="F432" s="86"/>
      <c r="G432" s="86"/>
      <c r="H432" s="86"/>
      <c r="I432" s="65"/>
      <c r="J432" s="65"/>
      <c r="K432" s="87"/>
      <c r="L432" s="88"/>
    </row>
    <row r="433" spans="6:12" ht="12.5">
      <c r="F433" s="86"/>
      <c r="G433" s="86"/>
      <c r="H433" s="86"/>
      <c r="I433" s="65"/>
      <c r="J433" s="65"/>
      <c r="K433" s="87"/>
      <c r="L433" s="88"/>
    </row>
    <row r="434" spans="6:12" ht="12.5">
      <c r="F434" s="86"/>
      <c r="G434" s="86"/>
      <c r="H434" s="86"/>
      <c r="I434" s="65"/>
      <c r="J434" s="65"/>
      <c r="K434" s="87"/>
      <c r="L434" s="88"/>
    </row>
    <row r="435" spans="6:12" ht="12.5">
      <c r="F435" s="86"/>
      <c r="G435" s="86"/>
      <c r="H435" s="86"/>
      <c r="I435" s="65"/>
      <c r="J435" s="65"/>
      <c r="K435" s="87"/>
      <c r="L435" s="88"/>
    </row>
    <row r="436" spans="6:12" ht="12.5">
      <c r="F436" s="86"/>
      <c r="G436" s="86"/>
      <c r="H436" s="86"/>
      <c r="I436" s="65"/>
      <c r="J436" s="65"/>
      <c r="K436" s="87"/>
      <c r="L436" s="88"/>
    </row>
    <row r="437" spans="6:12" ht="12.5">
      <c r="F437" s="86"/>
      <c r="G437" s="86"/>
      <c r="H437" s="86"/>
      <c r="I437" s="65"/>
      <c r="J437" s="65"/>
      <c r="K437" s="87"/>
      <c r="L437" s="88"/>
    </row>
    <row r="438" spans="6:12" ht="12.5">
      <c r="F438" s="86"/>
      <c r="G438" s="86"/>
      <c r="H438" s="86"/>
      <c r="I438" s="65"/>
      <c r="J438" s="65"/>
      <c r="K438" s="87"/>
      <c r="L438" s="88"/>
    </row>
    <row r="439" spans="6:12" ht="12.5">
      <c r="F439" s="86"/>
      <c r="G439" s="86"/>
      <c r="H439" s="86"/>
      <c r="I439" s="65"/>
      <c r="J439" s="65"/>
      <c r="K439" s="87"/>
      <c r="L439" s="88"/>
    </row>
    <row r="440" spans="6:12" ht="12.5">
      <c r="F440" s="86"/>
      <c r="G440" s="86"/>
      <c r="H440" s="86"/>
      <c r="I440" s="65"/>
      <c r="J440" s="65"/>
      <c r="K440" s="87"/>
      <c r="L440" s="88"/>
    </row>
    <row r="441" spans="6:12" ht="12.5">
      <c r="F441" s="86"/>
      <c r="G441" s="86"/>
      <c r="H441" s="86"/>
      <c r="I441" s="65"/>
      <c r="J441" s="65"/>
      <c r="K441" s="87"/>
      <c r="L441" s="88"/>
    </row>
    <row r="442" spans="6:12" ht="12.5">
      <c r="F442" s="86"/>
      <c r="G442" s="86"/>
      <c r="H442" s="86"/>
      <c r="I442" s="65"/>
      <c r="J442" s="65"/>
      <c r="K442" s="87"/>
      <c r="L442" s="88"/>
    </row>
    <row r="443" spans="6:12" ht="12.5">
      <c r="F443" s="86"/>
      <c r="G443" s="86"/>
      <c r="H443" s="86"/>
      <c r="I443" s="65"/>
      <c r="J443" s="65"/>
      <c r="K443" s="87"/>
      <c r="L443" s="88"/>
    </row>
    <row r="444" spans="6:12" ht="12.5">
      <c r="F444" s="86"/>
      <c r="G444" s="86"/>
      <c r="H444" s="86"/>
      <c r="I444" s="65"/>
      <c r="J444" s="65"/>
      <c r="K444" s="87"/>
      <c r="L444" s="88"/>
    </row>
    <row r="445" spans="6:12" ht="12.5">
      <c r="F445" s="86"/>
      <c r="G445" s="86"/>
      <c r="H445" s="86"/>
      <c r="I445" s="65"/>
      <c r="J445" s="65"/>
      <c r="K445" s="87"/>
      <c r="L445" s="88"/>
    </row>
    <row r="446" spans="6:12" ht="12.5">
      <c r="F446" s="86"/>
      <c r="G446" s="86"/>
      <c r="H446" s="86"/>
      <c r="I446" s="65"/>
      <c r="J446" s="65"/>
      <c r="K446" s="87"/>
      <c r="L446" s="88"/>
    </row>
    <row r="447" spans="6:12" ht="12.5">
      <c r="F447" s="86"/>
      <c r="G447" s="86"/>
      <c r="H447" s="86"/>
      <c r="I447" s="65"/>
      <c r="J447" s="65"/>
      <c r="K447" s="87"/>
      <c r="L447" s="88"/>
    </row>
    <row r="448" spans="6:12" ht="12.5">
      <c r="F448" s="86"/>
      <c r="G448" s="86"/>
      <c r="H448" s="86"/>
      <c r="I448" s="65"/>
      <c r="J448" s="65"/>
      <c r="K448" s="87"/>
      <c r="L448" s="88"/>
    </row>
    <row r="449" spans="6:12" ht="12.5">
      <c r="F449" s="86"/>
      <c r="G449" s="86"/>
      <c r="H449" s="86"/>
      <c r="I449" s="65"/>
      <c r="J449" s="65"/>
      <c r="K449" s="87"/>
      <c r="L449" s="88"/>
    </row>
    <row r="450" spans="6:12" ht="12.5">
      <c r="F450" s="86"/>
      <c r="G450" s="86"/>
      <c r="H450" s="86"/>
      <c r="I450" s="65"/>
      <c r="J450" s="65"/>
      <c r="K450" s="87"/>
      <c r="L450" s="88"/>
    </row>
    <row r="451" spans="6:12" ht="12.5">
      <c r="F451" s="86"/>
      <c r="G451" s="86"/>
      <c r="H451" s="86"/>
      <c r="I451" s="65"/>
      <c r="J451" s="65"/>
      <c r="K451" s="87"/>
      <c r="L451" s="88"/>
    </row>
    <row r="452" spans="6:12" ht="12.5">
      <c r="F452" s="86"/>
      <c r="G452" s="86"/>
      <c r="H452" s="86"/>
      <c r="I452" s="65"/>
      <c r="J452" s="65"/>
      <c r="K452" s="87"/>
      <c r="L452" s="88"/>
    </row>
    <row r="453" spans="6:12" ht="12.5">
      <c r="F453" s="86"/>
      <c r="G453" s="86"/>
      <c r="H453" s="86"/>
      <c r="I453" s="65"/>
      <c r="J453" s="65"/>
      <c r="K453" s="87"/>
      <c r="L453" s="88"/>
    </row>
    <row r="454" spans="6:12" ht="12.5">
      <c r="F454" s="86"/>
      <c r="G454" s="86"/>
      <c r="H454" s="86"/>
      <c r="I454" s="65"/>
      <c r="J454" s="65"/>
      <c r="K454" s="87"/>
      <c r="L454" s="88"/>
    </row>
    <row r="455" spans="6:12" ht="12.5">
      <c r="F455" s="86"/>
      <c r="G455" s="86"/>
      <c r="H455" s="86"/>
      <c r="I455" s="65"/>
      <c r="J455" s="65"/>
      <c r="K455" s="87"/>
      <c r="L455" s="88"/>
    </row>
    <row r="456" spans="6:12" ht="12.5">
      <c r="F456" s="86"/>
      <c r="G456" s="86"/>
      <c r="H456" s="86"/>
      <c r="I456" s="65"/>
      <c r="J456" s="65"/>
      <c r="K456" s="87"/>
      <c r="L456" s="88"/>
    </row>
    <row r="457" spans="6:12" ht="12.5">
      <c r="F457" s="86"/>
      <c r="G457" s="86"/>
      <c r="H457" s="86"/>
      <c r="I457" s="65"/>
      <c r="J457" s="65"/>
      <c r="K457" s="87"/>
      <c r="L457" s="88"/>
    </row>
    <row r="458" spans="6:12" ht="12.5">
      <c r="F458" s="86"/>
      <c r="G458" s="86"/>
      <c r="H458" s="86"/>
      <c r="I458" s="65"/>
      <c r="J458" s="65"/>
      <c r="K458" s="87"/>
      <c r="L458" s="88"/>
    </row>
    <row r="459" spans="6:12" ht="12.5">
      <c r="F459" s="86"/>
      <c r="G459" s="86"/>
      <c r="H459" s="86"/>
      <c r="I459" s="65"/>
      <c r="J459" s="65"/>
      <c r="K459" s="87"/>
      <c r="L459" s="88"/>
    </row>
    <row r="460" spans="6:12" ht="12.5">
      <c r="F460" s="86"/>
      <c r="G460" s="86"/>
      <c r="H460" s="86"/>
      <c r="I460" s="65"/>
      <c r="J460" s="65"/>
      <c r="K460" s="87"/>
      <c r="L460" s="88"/>
    </row>
    <row r="461" spans="6:12" ht="12.5">
      <c r="F461" s="86"/>
      <c r="G461" s="86"/>
      <c r="H461" s="86"/>
      <c r="I461" s="65"/>
      <c r="J461" s="65"/>
      <c r="K461" s="87"/>
      <c r="L461" s="88"/>
    </row>
    <row r="462" spans="6:12" ht="12.5">
      <c r="F462" s="86"/>
      <c r="G462" s="86"/>
      <c r="H462" s="86"/>
      <c r="I462" s="65"/>
      <c r="J462" s="65"/>
      <c r="K462" s="87"/>
      <c r="L462" s="88"/>
    </row>
    <row r="463" spans="6:12" ht="12.5">
      <c r="F463" s="86"/>
      <c r="G463" s="86"/>
      <c r="H463" s="86"/>
      <c r="I463" s="65"/>
      <c r="J463" s="65"/>
      <c r="K463" s="87"/>
      <c r="L463" s="88"/>
    </row>
    <row r="464" spans="6:12" ht="12.5">
      <c r="F464" s="86"/>
      <c r="G464" s="86"/>
      <c r="H464" s="86"/>
      <c r="I464" s="65"/>
      <c r="J464" s="65"/>
      <c r="K464" s="87"/>
      <c r="L464" s="88"/>
    </row>
    <row r="465" spans="6:12" ht="12.5">
      <c r="F465" s="86"/>
      <c r="G465" s="86"/>
      <c r="H465" s="86"/>
      <c r="I465" s="65"/>
      <c r="J465" s="65"/>
      <c r="K465" s="87"/>
      <c r="L465" s="88"/>
    </row>
    <row r="466" spans="6:12" ht="12.5">
      <c r="F466" s="86"/>
      <c r="G466" s="86"/>
      <c r="H466" s="86"/>
      <c r="I466" s="65"/>
      <c r="J466" s="65"/>
      <c r="K466" s="87"/>
      <c r="L466" s="88"/>
    </row>
    <row r="467" spans="6:12" ht="12.5">
      <c r="F467" s="86"/>
      <c r="G467" s="86"/>
      <c r="H467" s="86"/>
      <c r="I467" s="65"/>
      <c r="J467" s="65"/>
      <c r="K467" s="87"/>
      <c r="L467" s="88"/>
    </row>
    <row r="468" spans="6:12" ht="12.5">
      <c r="F468" s="86"/>
      <c r="G468" s="86"/>
      <c r="H468" s="86"/>
      <c r="I468" s="65"/>
      <c r="J468" s="65"/>
      <c r="K468" s="87"/>
      <c r="L468" s="88"/>
    </row>
    <row r="469" spans="6:12" ht="12.5">
      <c r="F469" s="86"/>
      <c r="G469" s="86"/>
      <c r="H469" s="86"/>
      <c r="I469" s="65"/>
      <c r="J469" s="65"/>
      <c r="K469" s="87"/>
      <c r="L469" s="88"/>
    </row>
    <row r="470" spans="6:12" ht="12.5">
      <c r="F470" s="86"/>
      <c r="G470" s="86"/>
      <c r="H470" s="86"/>
      <c r="I470" s="65"/>
      <c r="J470" s="65"/>
      <c r="K470" s="87"/>
      <c r="L470" s="88"/>
    </row>
    <row r="471" spans="6:12" ht="12.5">
      <c r="F471" s="86"/>
      <c r="G471" s="86"/>
      <c r="H471" s="86"/>
      <c r="I471" s="65"/>
      <c r="J471" s="65"/>
      <c r="K471" s="87"/>
      <c r="L471" s="88"/>
    </row>
    <row r="472" spans="6:12" ht="12.5">
      <c r="F472" s="86"/>
      <c r="G472" s="86"/>
      <c r="H472" s="86"/>
      <c r="I472" s="65"/>
      <c r="J472" s="65"/>
      <c r="K472" s="87"/>
      <c r="L472" s="88"/>
    </row>
    <row r="473" spans="6:12" ht="12.5">
      <c r="F473" s="86"/>
      <c r="G473" s="86"/>
      <c r="H473" s="86"/>
      <c r="I473" s="65"/>
      <c r="J473" s="65"/>
      <c r="K473" s="87"/>
      <c r="L473" s="88"/>
    </row>
    <row r="474" spans="6:12" ht="12.5">
      <c r="F474" s="86"/>
      <c r="G474" s="86"/>
      <c r="H474" s="86"/>
      <c r="I474" s="65"/>
      <c r="J474" s="65"/>
      <c r="K474" s="87"/>
      <c r="L474" s="88"/>
    </row>
    <row r="475" spans="6:12" ht="12.5">
      <c r="F475" s="86"/>
      <c r="G475" s="86"/>
      <c r="H475" s="86"/>
      <c r="I475" s="65"/>
      <c r="J475" s="65"/>
      <c r="K475" s="87"/>
      <c r="L475" s="88"/>
    </row>
    <row r="476" spans="6:12" ht="12.5">
      <c r="F476" s="86"/>
      <c r="G476" s="86"/>
      <c r="H476" s="86"/>
      <c r="I476" s="65"/>
      <c r="J476" s="65"/>
      <c r="K476" s="87"/>
      <c r="L476" s="88"/>
    </row>
    <row r="477" spans="6:12" ht="12.5">
      <c r="F477" s="86"/>
      <c r="G477" s="86"/>
      <c r="H477" s="86"/>
      <c r="I477" s="65"/>
      <c r="J477" s="65"/>
      <c r="K477" s="87"/>
      <c r="L477" s="88"/>
    </row>
    <row r="478" spans="6:12" ht="12.5">
      <c r="F478" s="86"/>
      <c r="G478" s="86"/>
      <c r="H478" s="86"/>
      <c r="I478" s="65"/>
      <c r="J478" s="65"/>
      <c r="K478" s="87"/>
      <c r="L478" s="88"/>
    </row>
    <row r="479" spans="6:12" ht="12.5">
      <c r="F479" s="86"/>
      <c r="G479" s="86"/>
      <c r="H479" s="86"/>
      <c r="I479" s="65"/>
      <c r="J479" s="65"/>
      <c r="K479" s="87"/>
      <c r="L479" s="88"/>
    </row>
    <row r="480" spans="6:12" ht="12.5">
      <c r="F480" s="86"/>
      <c r="G480" s="86"/>
      <c r="H480" s="86"/>
      <c r="I480" s="65"/>
      <c r="J480" s="65"/>
      <c r="K480" s="87"/>
      <c r="L480" s="88"/>
    </row>
    <row r="481" spans="6:12" ht="12.5">
      <c r="F481" s="86"/>
      <c r="G481" s="86"/>
      <c r="H481" s="86"/>
      <c r="I481" s="65"/>
      <c r="J481" s="65"/>
      <c r="K481" s="87"/>
      <c r="L481" s="88"/>
    </row>
    <row r="482" spans="6:12" ht="12.5">
      <c r="F482" s="86"/>
      <c r="G482" s="86"/>
      <c r="H482" s="86"/>
      <c r="I482" s="65"/>
      <c r="J482" s="65"/>
      <c r="K482" s="87"/>
      <c r="L482" s="88"/>
    </row>
    <row r="483" spans="6:12" ht="12.5">
      <c r="F483" s="86"/>
      <c r="G483" s="86"/>
      <c r="H483" s="86"/>
      <c r="I483" s="65"/>
      <c r="J483" s="65"/>
      <c r="K483" s="87"/>
      <c r="L483" s="88"/>
    </row>
    <row r="484" spans="6:12" ht="12.5">
      <c r="F484" s="86"/>
      <c r="G484" s="86"/>
      <c r="H484" s="86"/>
      <c r="I484" s="65"/>
      <c r="J484" s="65"/>
      <c r="K484" s="87"/>
      <c r="L484" s="88"/>
    </row>
    <row r="485" spans="6:12" ht="12.5">
      <c r="F485" s="86"/>
      <c r="G485" s="86"/>
      <c r="H485" s="86"/>
      <c r="I485" s="65"/>
      <c r="J485" s="65"/>
      <c r="K485" s="87"/>
      <c r="L485" s="88"/>
    </row>
    <row r="486" spans="6:12" ht="12.5">
      <c r="F486" s="86"/>
      <c r="G486" s="86"/>
      <c r="H486" s="86"/>
      <c r="I486" s="65"/>
      <c r="J486" s="65"/>
      <c r="K486" s="87"/>
      <c r="L486" s="88"/>
    </row>
    <row r="487" spans="6:12" ht="12.5">
      <c r="F487" s="86"/>
      <c r="G487" s="86"/>
      <c r="H487" s="86"/>
      <c r="I487" s="65"/>
      <c r="J487" s="65"/>
      <c r="K487" s="87"/>
      <c r="L487" s="88"/>
    </row>
    <row r="488" spans="6:12" ht="12.5">
      <c r="F488" s="86"/>
      <c r="G488" s="86"/>
      <c r="H488" s="86"/>
      <c r="I488" s="65"/>
      <c r="J488" s="65"/>
      <c r="K488" s="87"/>
      <c r="L488" s="88"/>
    </row>
    <row r="489" spans="6:12" ht="12.5">
      <c r="F489" s="86"/>
      <c r="G489" s="86"/>
      <c r="H489" s="86"/>
      <c r="I489" s="65"/>
      <c r="J489" s="65"/>
      <c r="K489" s="87"/>
      <c r="L489" s="88"/>
    </row>
    <row r="490" spans="6:12" ht="12.5">
      <c r="F490" s="86"/>
      <c r="G490" s="86"/>
      <c r="H490" s="86"/>
      <c r="I490" s="65"/>
      <c r="J490" s="65"/>
      <c r="K490" s="87"/>
      <c r="L490" s="88"/>
    </row>
    <row r="491" spans="6:12" ht="12.5">
      <c r="F491" s="86"/>
      <c r="G491" s="86"/>
      <c r="H491" s="86"/>
      <c r="I491" s="65"/>
      <c r="J491" s="65"/>
      <c r="K491" s="87"/>
      <c r="L491" s="88"/>
    </row>
    <row r="492" spans="6:12" ht="12.5">
      <c r="F492" s="86"/>
      <c r="G492" s="86"/>
      <c r="H492" s="86"/>
      <c r="I492" s="65"/>
      <c r="J492" s="65"/>
      <c r="K492" s="87"/>
      <c r="L492" s="88"/>
    </row>
    <row r="493" spans="6:12" ht="12.5">
      <c r="F493" s="86"/>
      <c r="G493" s="86"/>
      <c r="H493" s="86"/>
      <c r="I493" s="65"/>
      <c r="J493" s="65"/>
      <c r="K493" s="87"/>
      <c r="L493" s="88"/>
    </row>
    <row r="494" spans="6:12" ht="12.5">
      <c r="F494" s="86"/>
      <c r="G494" s="86"/>
      <c r="H494" s="86"/>
      <c r="I494" s="65"/>
      <c r="J494" s="65"/>
      <c r="K494" s="87"/>
      <c r="L494" s="88"/>
    </row>
    <row r="495" spans="6:12" ht="12.5">
      <c r="F495" s="86"/>
      <c r="G495" s="86"/>
      <c r="H495" s="86"/>
      <c r="I495" s="65"/>
      <c r="J495" s="65"/>
      <c r="K495" s="87"/>
      <c r="L495" s="88"/>
    </row>
    <row r="496" spans="6:12" ht="12.5">
      <c r="F496" s="86"/>
      <c r="G496" s="86"/>
      <c r="H496" s="86"/>
      <c r="I496" s="65"/>
      <c r="J496" s="65"/>
      <c r="K496" s="87"/>
      <c r="L496" s="88"/>
    </row>
    <row r="497" spans="6:12" ht="12.5">
      <c r="F497" s="86"/>
      <c r="G497" s="86"/>
      <c r="H497" s="86"/>
      <c r="I497" s="65"/>
      <c r="J497" s="65"/>
      <c r="K497" s="87"/>
      <c r="L497" s="88"/>
    </row>
    <row r="498" spans="6:12" ht="12.5">
      <c r="F498" s="86"/>
      <c r="G498" s="86"/>
      <c r="H498" s="86"/>
      <c r="I498" s="65"/>
      <c r="J498" s="65"/>
      <c r="K498" s="87"/>
      <c r="L498" s="88"/>
    </row>
    <row r="499" spans="6:12" ht="12.5">
      <c r="F499" s="86"/>
      <c r="G499" s="86"/>
      <c r="H499" s="86"/>
      <c r="I499" s="65"/>
      <c r="J499" s="65"/>
      <c r="K499" s="87"/>
      <c r="L499" s="88"/>
    </row>
    <row r="500" spans="6:12" ht="12.5">
      <c r="F500" s="86"/>
      <c r="G500" s="86"/>
      <c r="H500" s="86"/>
      <c r="I500" s="65"/>
      <c r="J500" s="65"/>
      <c r="K500" s="87"/>
      <c r="L500" s="88"/>
    </row>
    <row r="501" spans="6:12" ht="12.5">
      <c r="F501" s="86"/>
      <c r="G501" s="86"/>
      <c r="H501" s="86"/>
      <c r="I501" s="65"/>
      <c r="J501" s="65"/>
      <c r="K501" s="87"/>
      <c r="L501" s="88"/>
    </row>
    <row r="502" spans="6:12" ht="12.5">
      <c r="F502" s="86"/>
      <c r="G502" s="86"/>
      <c r="H502" s="86"/>
      <c r="I502" s="65"/>
      <c r="J502" s="65"/>
      <c r="K502" s="87"/>
      <c r="L502" s="88"/>
    </row>
    <row r="503" spans="6:12" ht="12.5">
      <c r="F503" s="86"/>
      <c r="G503" s="86"/>
      <c r="H503" s="86"/>
      <c r="I503" s="65"/>
      <c r="J503" s="65"/>
      <c r="K503" s="87"/>
      <c r="L503" s="88"/>
    </row>
    <row r="504" spans="6:12" ht="12.5">
      <c r="F504" s="86"/>
      <c r="G504" s="86"/>
      <c r="H504" s="86"/>
      <c r="I504" s="65"/>
      <c r="J504" s="65"/>
      <c r="K504" s="87"/>
      <c r="L504" s="88"/>
    </row>
    <row r="505" spans="6:12" ht="12.5">
      <c r="F505" s="86"/>
      <c r="G505" s="86"/>
      <c r="H505" s="86"/>
      <c r="I505" s="65"/>
      <c r="J505" s="65"/>
      <c r="K505" s="87"/>
      <c r="L505" s="88"/>
    </row>
    <row r="506" spans="6:12" ht="12.5">
      <c r="F506" s="86"/>
      <c r="G506" s="86"/>
      <c r="H506" s="86"/>
      <c r="I506" s="65"/>
      <c r="J506" s="65"/>
      <c r="K506" s="87"/>
      <c r="L506" s="88"/>
    </row>
    <row r="507" spans="6:12" ht="12.5">
      <c r="F507" s="86"/>
      <c r="G507" s="86"/>
      <c r="H507" s="86"/>
      <c r="I507" s="65"/>
      <c r="J507" s="65"/>
      <c r="K507" s="87"/>
      <c r="L507" s="88"/>
    </row>
    <row r="508" spans="6:12" ht="12.5">
      <c r="F508" s="86"/>
      <c r="G508" s="86"/>
      <c r="H508" s="86"/>
      <c r="I508" s="65"/>
      <c r="J508" s="65"/>
      <c r="K508" s="87"/>
      <c r="L508" s="88"/>
    </row>
    <row r="509" spans="6:12" ht="12.5">
      <c r="F509" s="86"/>
      <c r="G509" s="86"/>
      <c r="H509" s="86"/>
      <c r="I509" s="65"/>
      <c r="J509" s="65"/>
      <c r="K509" s="87"/>
      <c r="L509" s="88"/>
    </row>
    <row r="510" spans="6:12" ht="12.5">
      <c r="F510" s="86"/>
      <c r="G510" s="86"/>
      <c r="H510" s="86"/>
      <c r="I510" s="65"/>
      <c r="J510" s="65"/>
      <c r="K510" s="87"/>
      <c r="L510" s="88"/>
    </row>
    <row r="511" spans="6:12" ht="12.5">
      <c r="F511" s="86"/>
      <c r="G511" s="86"/>
      <c r="H511" s="86"/>
      <c r="I511" s="65"/>
      <c r="J511" s="65"/>
      <c r="K511" s="87"/>
      <c r="L511" s="88"/>
    </row>
    <row r="512" spans="6:12" ht="12.5">
      <c r="F512" s="86"/>
      <c r="G512" s="86"/>
      <c r="H512" s="86"/>
      <c r="I512" s="65"/>
      <c r="J512" s="65"/>
      <c r="K512" s="87"/>
      <c r="L512" s="88"/>
    </row>
    <row r="513" spans="6:12" ht="12.5">
      <c r="F513" s="86"/>
      <c r="G513" s="86"/>
      <c r="H513" s="86"/>
      <c r="I513" s="65"/>
      <c r="J513" s="65"/>
      <c r="K513" s="87"/>
      <c r="L513" s="88"/>
    </row>
    <row r="514" spans="6:12" ht="12.5">
      <c r="F514" s="86"/>
      <c r="G514" s="86"/>
      <c r="H514" s="86"/>
      <c r="I514" s="65"/>
      <c r="J514" s="65"/>
      <c r="K514" s="87"/>
      <c r="L514" s="88"/>
    </row>
    <row r="515" spans="6:12" ht="12.5">
      <c r="F515" s="86"/>
      <c r="G515" s="86"/>
      <c r="H515" s="86"/>
      <c r="I515" s="65"/>
      <c r="J515" s="65"/>
      <c r="K515" s="87"/>
      <c r="L515" s="88"/>
    </row>
    <row r="516" spans="6:12" ht="12.5">
      <c r="F516" s="86"/>
      <c r="G516" s="86"/>
      <c r="H516" s="86"/>
      <c r="I516" s="65"/>
      <c r="J516" s="65"/>
      <c r="K516" s="87"/>
      <c r="L516" s="88"/>
    </row>
    <row r="517" spans="6:12" ht="12.5">
      <c r="F517" s="86"/>
      <c r="G517" s="86"/>
      <c r="H517" s="86"/>
      <c r="I517" s="65"/>
      <c r="J517" s="65"/>
      <c r="K517" s="87"/>
      <c r="L517" s="88"/>
    </row>
    <row r="518" spans="6:12" ht="12.5">
      <c r="F518" s="86"/>
      <c r="G518" s="86"/>
      <c r="H518" s="86"/>
      <c r="I518" s="65"/>
      <c r="J518" s="65"/>
      <c r="K518" s="87"/>
      <c r="L518" s="88"/>
    </row>
    <row r="519" spans="6:12" ht="12.5">
      <c r="F519" s="86"/>
      <c r="G519" s="86"/>
      <c r="H519" s="86"/>
      <c r="I519" s="65"/>
      <c r="J519" s="65"/>
      <c r="K519" s="87"/>
      <c r="L519" s="88"/>
    </row>
    <row r="520" spans="6:12" ht="12.5">
      <c r="F520" s="86"/>
      <c r="G520" s="86"/>
      <c r="H520" s="86"/>
      <c r="I520" s="65"/>
      <c r="J520" s="65"/>
      <c r="K520" s="87"/>
      <c r="L520" s="88"/>
    </row>
    <row r="521" spans="6:12" ht="12.5">
      <c r="F521" s="86"/>
      <c r="G521" s="86"/>
      <c r="H521" s="86"/>
      <c r="I521" s="65"/>
      <c r="J521" s="65"/>
      <c r="K521" s="87"/>
      <c r="L521" s="88"/>
    </row>
    <row r="522" spans="6:12" ht="12.5">
      <c r="F522" s="86"/>
      <c r="G522" s="86"/>
      <c r="H522" s="86"/>
      <c r="I522" s="65"/>
      <c r="J522" s="65"/>
      <c r="K522" s="87"/>
      <c r="L522" s="88"/>
    </row>
    <row r="523" spans="6:12" ht="12.5">
      <c r="F523" s="86"/>
      <c r="G523" s="86"/>
      <c r="H523" s="86"/>
      <c r="I523" s="65"/>
      <c r="J523" s="65"/>
      <c r="K523" s="87"/>
      <c r="L523" s="88"/>
    </row>
    <row r="524" spans="6:12" ht="12.5">
      <c r="F524" s="86"/>
      <c r="G524" s="86"/>
      <c r="H524" s="86"/>
      <c r="I524" s="65"/>
      <c r="J524" s="65"/>
      <c r="K524" s="87"/>
      <c r="L524" s="88"/>
    </row>
    <row r="525" spans="6:12" ht="12.5">
      <c r="F525" s="86"/>
      <c r="G525" s="86"/>
      <c r="H525" s="86"/>
      <c r="I525" s="65"/>
      <c r="J525" s="65"/>
      <c r="K525" s="87"/>
      <c r="L525" s="88"/>
    </row>
    <row r="526" spans="6:12" ht="12.5">
      <c r="F526" s="86"/>
      <c r="G526" s="86"/>
      <c r="H526" s="86"/>
      <c r="I526" s="65"/>
      <c r="J526" s="65"/>
      <c r="K526" s="87"/>
      <c r="L526" s="88"/>
    </row>
    <row r="527" spans="6:12" ht="12.5">
      <c r="F527" s="86"/>
      <c r="G527" s="86"/>
      <c r="H527" s="86"/>
      <c r="I527" s="65"/>
      <c r="J527" s="65"/>
      <c r="K527" s="87"/>
      <c r="L527" s="88"/>
    </row>
    <row r="528" spans="6:12" ht="12.5">
      <c r="F528" s="86"/>
      <c r="G528" s="86"/>
      <c r="H528" s="86"/>
      <c r="I528" s="65"/>
      <c r="J528" s="65"/>
      <c r="K528" s="87"/>
      <c r="L528" s="88"/>
    </row>
    <row r="529" spans="6:12" ht="12.5">
      <c r="F529" s="86"/>
      <c r="G529" s="86"/>
      <c r="H529" s="86"/>
      <c r="I529" s="65"/>
      <c r="J529" s="65"/>
      <c r="K529" s="87"/>
      <c r="L529" s="88"/>
    </row>
    <row r="530" spans="6:12" ht="12.5">
      <c r="F530" s="86"/>
      <c r="G530" s="86"/>
      <c r="H530" s="86"/>
      <c r="I530" s="65"/>
      <c r="J530" s="65"/>
      <c r="K530" s="87"/>
      <c r="L530" s="88"/>
    </row>
    <row r="531" spans="6:12" ht="12.5">
      <c r="F531" s="86"/>
      <c r="G531" s="86"/>
      <c r="H531" s="86"/>
      <c r="I531" s="65"/>
      <c r="J531" s="65"/>
      <c r="K531" s="87"/>
      <c r="L531" s="88"/>
    </row>
    <row r="532" spans="6:12" ht="12.5">
      <c r="F532" s="86"/>
      <c r="G532" s="86"/>
      <c r="H532" s="86"/>
      <c r="I532" s="65"/>
      <c r="J532" s="65"/>
      <c r="K532" s="87"/>
      <c r="L532" s="88"/>
    </row>
    <row r="533" spans="6:12" ht="12.5">
      <c r="F533" s="86"/>
      <c r="G533" s="86"/>
      <c r="H533" s="86"/>
      <c r="I533" s="65"/>
      <c r="J533" s="65"/>
      <c r="K533" s="87"/>
      <c r="L533" s="88"/>
    </row>
    <row r="534" spans="6:12" ht="12.5">
      <c r="F534" s="86"/>
      <c r="G534" s="86"/>
      <c r="H534" s="86"/>
      <c r="I534" s="65"/>
      <c r="J534" s="65"/>
      <c r="K534" s="87"/>
      <c r="L534" s="88"/>
    </row>
    <row r="535" spans="6:12" ht="12.5">
      <c r="F535" s="86"/>
      <c r="G535" s="86"/>
      <c r="H535" s="86"/>
      <c r="I535" s="65"/>
      <c r="J535" s="65"/>
      <c r="K535" s="87"/>
      <c r="L535" s="88"/>
    </row>
    <row r="536" spans="6:12" ht="12.5">
      <c r="F536" s="86"/>
      <c r="G536" s="86"/>
      <c r="H536" s="86"/>
      <c r="I536" s="65"/>
      <c r="J536" s="65"/>
      <c r="K536" s="87"/>
      <c r="L536" s="88"/>
    </row>
    <row r="537" spans="6:12" ht="12.5">
      <c r="F537" s="86"/>
      <c r="G537" s="86"/>
      <c r="H537" s="86"/>
      <c r="I537" s="65"/>
      <c r="J537" s="65"/>
      <c r="K537" s="87"/>
      <c r="L537" s="88"/>
    </row>
    <row r="538" spans="6:12" ht="12.5">
      <c r="F538" s="86"/>
      <c r="G538" s="86"/>
      <c r="H538" s="86"/>
      <c r="I538" s="65"/>
      <c r="J538" s="65"/>
      <c r="K538" s="87"/>
      <c r="L538" s="88"/>
    </row>
    <row r="539" spans="6:12" ht="12.5">
      <c r="F539" s="86"/>
      <c r="G539" s="86"/>
      <c r="H539" s="86"/>
      <c r="I539" s="65"/>
      <c r="J539" s="65"/>
      <c r="K539" s="87"/>
      <c r="L539" s="88"/>
    </row>
    <row r="540" spans="6:12" ht="12.5">
      <c r="F540" s="86"/>
      <c r="G540" s="86"/>
      <c r="H540" s="86"/>
      <c r="I540" s="65"/>
      <c r="J540" s="65"/>
      <c r="K540" s="87"/>
      <c r="L540" s="88"/>
    </row>
    <row r="541" spans="6:12" ht="12.5">
      <c r="F541" s="86"/>
      <c r="G541" s="86"/>
      <c r="H541" s="86"/>
      <c r="I541" s="65"/>
      <c r="J541" s="65"/>
      <c r="K541" s="87"/>
      <c r="L541" s="88"/>
    </row>
    <row r="542" spans="6:12" ht="12.5">
      <c r="F542" s="86"/>
      <c r="G542" s="86"/>
      <c r="H542" s="86"/>
      <c r="I542" s="65"/>
      <c r="J542" s="65"/>
      <c r="K542" s="87"/>
      <c r="L542" s="88"/>
    </row>
    <row r="543" spans="6:12" ht="12.5">
      <c r="F543" s="86"/>
      <c r="G543" s="86"/>
      <c r="H543" s="86"/>
      <c r="I543" s="65"/>
      <c r="J543" s="65"/>
      <c r="K543" s="87"/>
      <c r="L543" s="88"/>
    </row>
    <row r="544" spans="6:12" ht="12.5">
      <c r="F544" s="86"/>
      <c r="G544" s="86"/>
      <c r="H544" s="86"/>
      <c r="I544" s="65"/>
      <c r="J544" s="65"/>
      <c r="K544" s="87"/>
      <c r="L544" s="88"/>
    </row>
    <row r="545" spans="6:12" ht="12.5">
      <c r="F545" s="86"/>
      <c r="G545" s="86"/>
      <c r="H545" s="86"/>
      <c r="I545" s="65"/>
      <c r="J545" s="65"/>
      <c r="K545" s="87"/>
      <c r="L545" s="88"/>
    </row>
    <row r="546" spans="6:12" ht="12.5">
      <c r="F546" s="86"/>
      <c r="G546" s="86"/>
      <c r="H546" s="86"/>
      <c r="I546" s="65"/>
      <c r="J546" s="65"/>
      <c r="K546" s="87"/>
      <c r="L546" s="88"/>
    </row>
    <row r="547" spans="6:12" ht="12.5">
      <c r="F547" s="86"/>
      <c r="G547" s="86"/>
      <c r="H547" s="86"/>
      <c r="I547" s="65"/>
      <c r="J547" s="65"/>
      <c r="K547" s="87"/>
      <c r="L547" s="88"/>
    </row>
    <row r="548" spans="6:12" ht="12.5">
      <c r="F548" s="86"/>
      <c r="G548" s="86"/>
      <c r="H548" s="86"/>
      <c r="I548" s="65"/>
      <c r="J548" s="65"/>
      <c r="K548" s="87"/>
      <c r="L548" s="88"/>
    </row>
    <row r="549" spans="6:12" ht="12.5">
      <c r="F549" s="86"/>
      <c r="G549" s="86"/>
      <c r="H549" s="86"/>
      <c r="I549" s="65"/>
      <c r="J549" s="65"/>
      <c r="K549" s="87"/>
      <c r="L549" s="88"/>
    </row>
    <row r="550" spans="6:12" ht="12.5">
      <c r="F550" s="86"/>
      <c r="G550" s="86"/>
      <c r="H550" s="86"/>
      <c r="I550" s="65"/>
      <c r="J550" s="65"/>
      <c r="K550" s="87"/>
      <c r="L550" s="88"/>
    </row>
    <row r="551" spans="6:12" ht="12.5">
      <c r="F551" s="86"/>
      <c r="G551" s="86"/>
      <c r="H551" s="86"/>
      <c r="I551" s="65"/>
      <c r="J551" s="65"/>
      <c r="K551" s="87"/>
      <c r="L551" s="88"/>
    </row>
    <row r="552" spans="6:12" ht="12.5">
      <c r="F552" s="86"/>
      <c r="G552" s="86"/>
      <c r="H552" s="86"/>
      <c r="I552" s="65"/>
      <c r="J552" s="65"/>
      <c r="K552" s="87"/>
      <c r="L552" s="88"/>
    </row>
    <row r="553" spans="6:12" ht="12.5">
      <c r="F553" s="86"/>
      <c r="G553" s="86"/>
      <c r="H553" s="86"/>
      <c r="I553" s="65"/>
      <c r="J553" s="65"/>
      <c r="K553" s="87"/>
      <c r="L553" s="88"/>
    </row>
    <row r="554" spans="6:12" ht="12.5">
      <c r="F554" s="86"/>
      <c r="G554" s="86"/>
      <c r="H554" s="86"/>
      <c r="I554" s="65"/>
      <c r="J554" s="65"/>
      <c r="K554" s="87"/>
      <c r="L554" s="88"/>
    </row>
    <row r="555" spans="6:12" ht="12.5">
      <c r="F555" s="86"/>
      <c r="G555" s="86"/>
      <c r="H555" s="86"/>
      <c r="I555" s="65"/>
      <c r="J555" s="65"/>
      <c r="K555" s="87"/>
      <c r="L555" s="88"/>
    </row>
    <row r="556" spans="6:12" ht="12.5">
      <c r="F556" s="86"/>
      <c r="G556" s="86"/>
      <c r="H556" s="86"/>
      <c r="I556" s="65"/>
      <c r="J556" s="65"/>
      <c r="K556" s="87"/>
      <c r="L556" s="88"/>
    </row>
    <row r="557" spans="6:12" ht="12.5">
      <c r="F557" s="86"/>
      <c r="G557" s="86"/>
      <c r="H557" s="86"/>
      <c r="I557" s="65"/>
      <c r="J557" s="65"/>
      <c r="K557" s="87"/>
      <c r="L557" s="88"/>
    </row>
    <row r="558" spans="6:12" ht="12.5">
      <c r="F558" s="86"/>
      <c r="G558" s="86"/>
      <c r="H558" s="86"/>
      <c r="I558" s="65"/>
      <c r="J558" s="65"/>
      <c r="K558" s="87"/>
      <c r="L558" s="88"/>
    </row>
    <row r="559" spans="6:12" ht="12.5">
      <c r="F559" s="86"/>
      <c r="G559" s="86"/>
      <c r="H559" s="86"/>
      <c r="I559" s="65"/>
      <c r="J559" s="65"/>
      <c r="K559" s="87"/>
      <c r="L559" s="88"/>
    </row>
    <row r="560" spans="6:12" ht="12.5">
      <c r="F560" s="86"/>
      <c r="G560" s="86"/>
      <c r="H560" s="86"/>
      <c r="I560" s="65"/>
      <c r="J560" s="65"/>
      <c r="K560" s="87"/>
      <c r="L560" s="88"/>
    </row>
    <row r="561" spans="6:12" ht="12.5">
      <c r="F561" s="86"/>
      <c r="G561" s="86"/>
      <c r="H561" s="86"/>
      <c r="I561" s="65"/>
      <c r="J561" s="65"/>
      <c r="K561" s="87"/>
      <c r="L561" s="88"/>
    </row>
    <row r="562" spans="6:12" ht="12.5">
      <c r="F562" s="86"/>
      <c r="G562" s="86"/>
      <c r="H562" s="86"/>
      <c r="I562" s="65"/>
      <c r="J562" s="65"/>
      <c r="K562" s="87"/>
      <c r="L562" s="88"/>
    </row>
    <row r="563" spans="6:12" ht="12.5">
      <c r="F563" s="86"/>
      <c r="G563" s="86"/>
      <c r="H563" s="86"/>
      <c r="I563" s="65"/>
      <c r="J563" s="65"/>
      <c r="K563" s="87"/>
      <c r="L563" s="88"/>
    </row>
    <row r="564" spans="6:12" ht="12.5">
      <c r="F564" s="86"/>
      <c r="G564" s="86"/>
      <c r="H564" s="86"/>
      <c r="I564" s="65"/>
      <c r="J564" s="65"/>
      <c r="K564" s="87"/>
      <c r="L564" s="88"/>
    </row>
    <row r="565" spans="6:12" ht="12.5">
      <c r="F565" s="86"/>
      <c r="G565" s="86"/>
      <c r="H565" s="86"/>
      <c r="I565" s="65"/>
      <c r="J565" s="65"/>
      <c r="K565" s="87"/>
      <c r="L565" s="88"/>
    </row>
    <row r="566" spans="6:12" ht="12.5">
      <c r="F566" s="86"/>
      <c r="G566" s="86"/>
      <c r="H566" s="86"/>
      <c r="I566" s="65"/>
      <c r="J566" s="65"/>
      <c r="K566" s="87"/>
      <c r="L566" s="88"/>
    </row>
    <row r="567" spans="6:12" ht="12.5">
      <c r="F567" s="86"/>
      <c r="G567" s="86"/>
      <c r="H567" s="86"/>
      <c r="I567" s="65"/>
      <c r="J567" s="65"/>
      <c r="K567" s="87"/>
      <c r="L567" s="88"/>
    </row>
    <row r="568" spans="6:12" ht="12.5">
      <c r="F568" s="86"/>
      <c r="G568" s="86"/>
      <c r="H568" s="86"/>
      <c r="I568" s="65"/>
      <c r="J568" s="65"/>
      <c r="K568" s="87"/>
      <c r="L568" s="88"/>
    </row>
    <row r="569" spans="6:12" ht="12.5">
      <c r="F569" s="86"/>
      <c r="G569" s="86"/>
      <c r="H569" s="86"/>
      <c r="I569" s="65"/>
      <c r="J569" s="65"/>
      <c r="K569" s="87"/>
      <c r="L569" s="88"/>
    </row>
    <row r="570" spans="6:12" ht="12.5">
      <c r="F570" s="86"/>
      <c r="G570" s="86"/>
      <c r="H570" s="86"/>
      <c r="I570" s="65"/>
      <c r="J570" s="65"/>
      <c r="K570" s="87"/>
      <c r="L570" s="88"/>
    </row>
    <row r="571" spans="6:12" ht="12.5">
      <c r="F571" s="86"/>
      <c r="G571" s="86"/>
      <c r="H571" s="86"/>
      <c r="I571" s="65"/>
      <c r="J571" s="65"/>
      <c r="K571" s="87"/>
      <c r="L571" s="88"/>
    </row>
    <row r="572" spans="6:12" ht="12.5">
      <c r="F572" s="86"/>
      <c r="G572" s="86"/>
      <c r="H572" s="86"/>
      <c r="I572" s="65"/>
      <c r="J572" s="65"/>
      <c r="K572" s="87"/>
      <c r="L572" s="88"/>
    </row>
    <row r="573" spans="6:12" ht="12.5">
      <c r="F573" s="86"/>
      <c r="G573" s="86"/>
      <c r="H573" s="86"/>
      <c r="I573" s="65"/>
      <c r="J573" s="65"/>
      <c r="K573" s="87"/>
      <c r="L573" s="88"/>
    </row>
    <row r="574" spans="6:12" ht="12.5">
      <c r="F574" s="86"/>
      <c r="G574" s="86"/>
      <c r="H574" s="86"/>
      <c r="I574" s="65"/>
      <c r="J574" s="65"/>
      <c r="K574" s="87"/>
      <c r="L574" s="88"/>
    </row>
    <row r="575" spans="6:12" ht="12.5">
      <c r="F575" s="86"/>
      <c r="G575" s="86"/>
      <c r="H575" s="86"/>
      <c r="I575" s="65"/>
      <c r="J575" s="65"/>
      <c r="K575" s="87"/>
      <c r="L575" s="88"/>
    </row>
    <row r="576" spans="6:12" ht="12.5">
      <c r="F576" s="86"/>
      <c r="G576" s="86"/>
      <c r="H576" s="86"/>
      <c r="I576" s="65"/>
      <c r="J576" s="65"/>
      <c r="K576" s="87"/>
      <c r="L576" s="88"/>
    </row>
    <row r="577" spans="6:12" ht="12.5">
      <c r="F577" s="86"/>
      <c r="G577" s="86"/>
      <c r="H577" s="86"/>
      <c r="I577" s="65"/>
      <c r="J577" s="65"/>
      <c r="K577" s="87"/>
      <c r="L577" s="88"/>
    </row>
    <row r="578" spans="6:12" ht="12.5">
      <c r="F578" s="86"/>
      <c r="G578" s="86"/>
      <c r="H578" s="86"/>
      <c r="I578" s="65"/>
      <c r="J578" s="65"/>
      <c r="K578" s="87"/>
      <c r="L578" s="88"/>
    </row>
    <row r="579" spans="6:12" ht="12.5">
      <c r="F579" s="86"/>
      <c r="G579" s="86"/>
      <c r="H579" s="86"/>
      <c r="I579" s="65"/>
      <c r="J579" s="65"/>
      <c r="K579" s="87"/>
      <c r="L579" s="88"/>
    </row>
    <row r="580" spans="6:12" ht="12.5">
      <c r="F580" s="86"/>
      <c r="G580" s="86"/>
      <c r="H580" s="86"/>
      <c r="I580" s="65"/>
      <c r="J580" s="65"/>
      <c r="K580" s="87"/>
      <c r="L580" s="88"/>
    </row>
    <row r="581" spans="6:12" ht="12.5">
      <c r="F581" s="86"/>
      <c r="G581" s="86"/>
      <c r="H581" s="86"/>
      <c r="I581" s="65"/>
      <c r="J581" s="65"/>
      <c r="K581" s="87"/>
      <c r="L581" s="88"/>
    </row>
    <row r="582" spans="6:12" ht="12.5">
      <c r="F582" s="86"/>
      <c r="G582" s="86"/>
      <c r="H582" s="86"/>
      <c r="I582" s="65"/>
      <c r="J582" s="65"/>
      <c r="K582" s="87"/>
      <c r="L582" s="88"/>
    </row>
    <row r="583" spans="6:12" ht="12.5">
      <c r="F583" s="86"/>
      <c r="G583" s="86"/>
      <c r="H583" s="86"/>
      <c r="I583" s="65"/>
      <c r="J583" s="65"/>
      <c r="K583" s="87"/>
      <c r="L583" s="88"/>
    </row>
    <row r="584" spans="6:12" ht="12.5">
      <c r="F584" s="86"/>
      <c r="G584" s="86"/>
      <c r="H584" s="86"/>
      <c r="I584" s="65"/>
      <c r="J584" s="65"/>
      <c r="K584" s="87"/>
      <c r="L584" s="88"/>
    </row>
    <row r="585" spans="6:12" ht="12.5">
      <c r="F585" s="86"/>
      <c r="G585" s="86"/>
      <c r="H585" s="86"/>
      <c r="I585" s="65"/>
      <c r="J585" s="65"/>
      <c r="K585" s="87"/>
      <c r="L585" s="88"/>
    </row>
    <row r="586" spans="6:12" ht="12.5">
      <c r="F586" s="86"/>
      <c r="G586" s="86"/>
      <c r="H586" s="86"/>
      <c r="I586" s="65"/>
      <c r="J586" s="65"/>
      <c r="K586" s="87"/>
      <c r="L586" s="88"/>
    </row>
    <row r="587" spans="6:12" ht="12.5">
      <c r="F587" s="86"/>
      <c r="G587" s="86"/>
      <c r="H587" s="86"/>
      <c r="I587" s="65"/>
      <c r="J587" s="65"/>
      <c r="K587" s="87"/>
      <c r="L587" s="88"/>
    </row>
    <row r="588" spans="6:12" ht="12.5">
      <c r="F588" s="86"/>
      <c r="G588" s="86"/>
      <c r="H588" s="86"/>
      <c r="I588" s="65"/>
      <c r="J588" s="65"/>
      <c r="K588" s="87"/>
      <c r="L588" s="88"/>
    </row>
    <row r="589" spans="6:12" ht="12.5">
      <c r="F589" s="86"/>
      <c r="G589" s="86"/>
      <c r="H589" s="86"/>
      <c r="I589" s="65"/>
      <c r="J589" s="65"/>
      <c r="K589" s="87"/>
      <c r="L589" s="88"/>
    </row>
    <row r="590" spans="6:12" ht="12.5">
      <c r="F590" s="86"/>
      <c r="G590" s="86"/>
      <c r="H590" s="86"/>
      <c r="I590" s="65"/>
      <c r="J590" s="65"/>
      <c r="K590" s="87"/>
      <c r="L590" s="88"/>
    </row>
    <row r="591" spans="6:12" ht="12.5">
      <c r="F591" s="86"/>
      <c r="G591" s="86"/>
      <c r="H591" s="86"/>
      <c r="I591" s="65"/>
      <c r="J591" s="65"/>
      <c r="K591" s="87"/>
      <c r="L591" s="88"/>
    </row>
    <row r="592" spans="6:12" ht="12.5">
      <c r="F592" s="86"/>
      <c r="G592" s="86"/>
      <c r="H592" s="86"/>
      <c r="I592" s="65"/>
      <c r="J592" s="65"/>
      <c r="K592" s="87"/>
      <c r="L592" s="88"/>
    </row>
    <row r="593" spans="6:12" ht="12.5">
      <c r="F593" s="86"/>
      <c r="G593" s="86"/>
      <c r="H593" s="86"/>
      <c r="I593" s="65"/>
      <c r="J593" s="65"/>
      <c r="K593" s="87"/>
      <c r="L593" s="88"/>
    </row>
    <row r="594" spans="6:12" ht="12.5">
      <c r="F594" s="86"/>
      <c r="G594" s="86"/>
      <c r="H594" s="86"/>
      <c r="I594" s="65"/>
      <c r="J594" s="65"/>
      <c r="K594" s="87"/>
      <c r="L594" s="88"/>
    </row>
    <row r="595" spans="6:12" ht="12.5">
      <c r="F595" s="86"/>
      <c r="G595" s="86"/>
      <c r="H595" s="86"/>
      <c r="I595" s="65"/>
      <c r="J595" s="65"/>
      <c r="K595" s="87"/>
      <c r="L595" s="88"/>
    </row>
    <row r="596" spans="6:12" ht="12.5">
      <c r="F596" s="86"/>
      <c r="G596" s="86"/>
      <c r="H596" s="86"/>
      <c r="I596" s="65"/>
      <c r="J596" s="65"/>
      <c r="K596" s="87"/>
      <c r="L596" s="88"/>
    </row>
    <row r="597" spans="6:12" ht="12.5">
      <c r="F597" s="86"/>
      <c r="G597" s="86"/>
      <c r="H597" s="86"/>
      <c r="I597" s="65"/>
      <c r="J597" s="65"/>
      <c r="K597" s="87"/>
      <c r="L597" s="88"/>
    </row>
    <row r="598" spans="6:12" ht="12.5">
      <c r="F598" s="86"/>
      <c r="G598" s="86"/>
      <c r="H598" s="86"/>
      <c r="I598" s="65"/>
      <c r="J598" s="65"/>
      <c r="K598" s="87"/>
      <c r="L598" s="88"/>
    </row>
    <row r="599" spans="6:12" ht="12.5">
      <c r="F599" s="86"/>
      <c r="G599" s="86"/>
      <c r="H599" s="86"/>
      <c r="I599" s="65"/>
      <c r="J599" s="65"/>
      <c r="K599" s="87"/>
      <c r="L599" s="88"/>
    </row>
    <row r="600" spans="6:12" ht="12.5">
      <c r="F600" s="86"/>
      <c r="G600" s="86"/>
      <c r="H600" s="86"/>
      <c r="I600" s="65"/>
      <c r="J600" s="65"/>
      <c r="K600" s="87"/>
      <c r="L600" s="88"/>
    </row>
    <row r="601" spans="6:12" ht="12.5">
      <c r="F601" s="86"/>
      <c r="G601" s="86"/>
      <c r="H601" s="86"/>
      <c r="I601" s="65"/>
      <c r="J601" s="65"/>
      <c r="K601" s="87"/>
      <c r="L601" s="88"/>
    </row>
    <row r="602" spans="6:12" ht="12.5">
      <c r="F602" s="86"/>
      <c r="G602" s="86"/>
      <c r="H602" s="86"/>
      <c r="I602" s="65"/>
      <c r="J602" s="65"/>
      <c r="K602" s="87"/>
      <c r="L602" s="88"/>
    </row>
    <row r="603" spans="6:12" ht="12.5">
      <c r="F603" s="86"/>
      <c r="G603" s="86"/>
      <c r="H603" s="86"/>
      <c r="I603" s="65"/>
      <c r="J603" s="65"/>
      <c r="K603" s="87"/>
      <c r="L603" s="88"/>
    </row>
    <row r="604" spans="6:12" ht="12.5">
      <c r="F604" s="86"/>
      <c r="G604" s="86"/>
      <c r="H604" s="86"/>
      <c r="I604" s="65"/>
      <c r="J604" s="65"/>
      <c r="K604" s="87"/>
      <c r="L604" s="88"/>
    </row>
    <row r="605" spans="6:12" ht="12.5">
      <c r="F605" s="86"/>
      <c r="G605" s="86"/>
      <c r="H605" s="86"/>
      <c r="I605" s="65"/>
      <c r="J605" s="65"/>
      <c r="K605" s="87"/>
      <c r="L605" s="88"/>
    </row>
    <row r="606" spans="6:12" ht="12.5">
      <c r="F606" s="86"/>
      <c r="G606" s="86"/>
      <c r="H606" s="86"/>
      <c r="I606" s="65"/>
      <c r="J606" s="65"/>
      <c r="K606" s="87"/>
      <c r="L606" s="88"/>
    </row>
    <row r="607" spans="6:12" ht="12.5">
      <c r="F607" s="86"/>
      <c r="G607" s="86"/>
      <c r="H607" s="86"/>
      <c r="I607" s="65"/>
      <c r="J607" s="65"/>
      <c r="K607" s="87"/>
      <c r="L607" s="88"/>
    </row>
    <row r="608" spans="6:12" ht="12.5">
      <c r="F608" s="86"/>
      <c r="G608" s="86"/>
      <c r="H608" s="86"/>
      <c r="I608" s="65"/>
      <c r="J608" s="65"/>
      <c r="K608" s="87"/>
      <c r="L608" s="88"/>
    </row>
    <row r="609" spans="6:12" ht="12.5">
      <c r="F609" s="86"/>
      <c r="G609" s="86"/>
      <c r="H609" s="86"/>
      <c r="I609" s="65"/>
      <c r="J609" s="65"/>
      <c r="K609" s="87"/>
      <c r="L609" s="88"/>
    </row>
    <row r="610" spans="6:12" ht="12.5">
      <c r="F610" s="86"/>
      <c r="G610" s="86"/>
      <c r="H610" s="86"/>
      <c r="I610" s="65"/>
      <c r="J610" s="65"/>
      <c r="K610" s="87"/>
      <c r="L610" s="88"/>
    </row>
    <row r="611" spans="6:12" ht="12.5">
      <c r="F611" s="86"/>
      <c r="G611" s="86"/>
      <c r="H611" s="86"/>
      <c r="I611" s="65"/>
      <c r="J611" s="65"/>
      <c r="K611" s="87"/>
      <c r="L611" s="88"/>
    </row>
    <row r="612" spans="6:12" ht="12.5">
      <c r="F612" s="86"/>
      <c r="G612" s="86"/>
      <c r="H612" s="86"/>
      <c r="I612" s="65"/>
      <c r="J612" s="65"/>
      <c r="K612" s="87"/>
      <c r="L612" s="88"/>
    </row>
    <row r="613" spans="6:12" ht="12.5">
      <c r="F613" s="86"/>
      <c r="G613" s="86"/>
      <c r="H613" s="86"/>
      <c r="I613" s="65"/>
      <c r="J613" s="65"/>
      <c r="K613" s="87"/>
      <c r="L613" s="88"/>
    </row>
    <row r="614" spans="6:12" ht="12.5">
      <c r="F614" s="86"/>
      <c r="G614" s="86"/>
      <c r="H614" s="86"/>
      <c r="I614" s="65"/>
      <c r="J614" s="65"/>
      <c r="K614" s="87"/>
      <c r="L614" s="88"/>
    </row>
    <row r="615" spans="6:12" ht="12.5">
      <c r="F615" s="86"/>
      <c r="G615" s="86"/>
      <c r="H615" s="86"/>
      <c r="I615" s="65"/>
      <c r="J615" s="65"/>
      <c r="K615" s="87"/>
      <c r="L615" s="88"/>
    </row>
    <row r="616" spans="6:12" ht="12.5">
      <c r="F616" s="86"/>
      <c r="G616" s="86"/>
      <c r="H616" s="86"/>
      <c r="I616" s="65"/>
      <c r="J616" s="65"/>
      <c r="K616" s="87"/>
      <c r="L616" s="88"/>
    </row>
    <row r="617" spans="6:12" ht="12.5">
      <c r="F617" s="86"/>
      <c r="G617" s="86"/>
      <c r="H617" s="86"/>
      <c r="I617" s="65"/>
      <c r="J617" s="65"/>
      <c r="K617" s="87"/>
      <c r="L617" s="88"/>
    </row>
    <row r="618" spans="6:12" ht="12.5">
      <c r="F618" s="86"/>
      <c r="G618" s="86"/>
      <c r="H618" s="86"/>
      <c r="I618" s="65"/>
      <c r="J618" s="65"/>
      <c r="K618" s="87"/>
      <c r="L618" s="88"/>
    </row>
    <row r="619" spans="6:12" ht="12.5">
      <c r="F619" s="86"/>
      <c r="G619" s="86"/>
      <c r="H619" s="86"/>
      <c r="I619" s="65"/>
      <c r="J619" s="65"/>
      <c r="K619" s="87"/>
      <c r="L619" s="88"/>
    </row>
    <row r="620" spans="6:12" ht="12.5">
      <c r="F620" s="86"/>
      <c r="G620" s="86"/>
      <c r="H620" s="86"/>
      <c r="I620" s="65"/>
      <c r="J620" s="65"/>
      <c r="K620" s="87"/>
      <c r="L620" s="88"/>
    </row>
    <row r="621" spans="6:12" ht="12.5">
      <c r="F621" s="86"/>
      <c r="G621" s="86"/>
      <c r="H621" s="86"/>
      <c r="I621" s="65"/>
      <c r="J621" s="65"/>
      <c r="K621" s="87"/>
      <c r="L621" s="88"/>
    </row>
    <row r="622" spans="6:12" ht="12.5">
      <c r="F622" s="86"/>
      <c r="G622" s="86"/>
      <c r="H622" s="86"/>
      <c r="I622" s="65"/>
      <c r="J622" s="65"/>
      <c r="K622" s="87"/>
      <c r="L622" s="88"/>
    </row>
    <row r="623" spans="6:12" ht="12.5">
      <c r="F623" s="86"/>
      <c r="G623" s="86"/>
      <c r="H623" s="86"/>
      <c r="I623" s="65"/>
      <c r="J623" s="65"/>
      <c r="K623" s="87"/>
      <c r="L623" s="88"/>
    </row>
    <row r="624" spans="6:12" ht="12.5">
      <c r="F624" s="86"/>
      <c r="G624" s="86"/>
      <c r="H624" s="86"/>
      <c r="I624" s="65"/>
      <c r="J624" s="65"/>
      <c r="K624" s="87"/>
      <c r="L624" s="88"/>
    </row>
    <row r="625" spans="6:12" ht="12.5">
      <c r="F625" s="86"/>
      <c r="G625" s="86"/>
      <c r="H625" s="86"/>
      <c r="I625" s="65"/>
      <c r="J625" s="65"/>
      <c r="K625" s="87"/>
      <c r="L625" s="88"/>
    </row>
    <row r="626" spans="6:12" ht="12.5">
      <c r="F626" s="86"/>
      <c r="G626" s="86"/>
      <c r="H626" s="86"/>
      <c r="I626" s="65"/>
      <c r="J626" s="65"/>
      <c r="K626" s="87"/>
      <c r="L626" s="88"/>
    </row>
    <row r="627" spans="6:12" ht="12.5">
      <c r="F627" s="86"/>
      <c r="G627" s="86"/>
      <c r="H627" s="86"/>
      <c r="I627" s="65"/>
      <c r="J627" s="65"/>
      <c r="K627" s="87"/>
      <c r="L627" s="88"/>
    </row>
    <row r="628" spans="6:12" ht="12.5">
      <c r="F628" s="86"/>
      <c r="G628" s="86"/>
      <c r="H628" s="86"/>
      <c r="I628" s="65"/>
      <c r="J628" s="65"/>
      <c r="K628" s="87"/>
      <c r="L628" s="88"/>
    </row>
    <row r="629" spans="6:12" ht="12.5">
      <c r="F629" s="86"/>
      <c r="G629" s="86"/>
      <c r="H629" s="86"/>
      <c r="I629" s="65"/>
      <c r="J629" s="65"/>
      <c r="K629" s="87"/>
      <c r="L629" s="88"/>
    </row>
    <row r="630" spans="6:12" ht="12.5">
      <c r="F630" s="86"/>
      <c r="G630" s="86"/>
      <c r="H630" s="86"/>
      <c r="I630" s="65"/>
      <c r="J630" s="65"/>
      <c r="K630" s="87"/>
      <c r="L630" s="88"/>
    </row>
    <row r="631" spans="6:12" ht="12.5">
      <c r="F631" s="86"/>
      <c r="G631" s="86"/>
      <c r="H631" s="86"/>
      <c r="I631" s="65"/>
      <c r="J631" s="65"/>
      <c r="K631" s="87"/>
      <c r="L631" s="88"/>
    </row>
    <row r="632" spans="6:12" ht="12.5">
      <c r="F632" s="86"/>
      <c r="G632" s="86"/>
      <c r="H632" s="86"/>
      <c r="I632" s="65"/>
      <c r="J632" s="65"/>
      <c r="K632" s="87"/>
      <c r="L632" s="88"/>
    </row>
    <row r="633" spans="6:12" ht="12.5">
      <c r="F633" s="86"/>
      <c r="G633" s="86"/>
      <c r="H633" s="86"/>
      <c r="I633" s="65"/>
      <c r="J633" s="65"/>
      <c r="K633" s="87"/>
      <c r="L633" s="88"/>
    </row>
    <row r="634" spans="6:12" ht="12.5">
      <c r="F634" s="86"/>
      <c r="G634" s="86"/>
      <c r="H634" s="86"/>
      <c r="I634" s="65"/>
      <c r="J634" s="65"/>
      <c r="K634" s="87"/>
      <c r="L634" s="88"/>
    </row>
    <row r="635" spans="6:12" ht="12.5">
      <c r="F635" s="86"/>
      <c r="G635" s="86"/>
      <c r="H635" s="86"/>
      <c r="I635" s="65"/>
      <c r="J635" s="65"/>
      <c r="K635" s="87"/>
      <c r="L635" s="88"/>
    </row>
    <row r="636" spans="6:12" ht="12.5">
      <c r="F636" s="86"/>
      <c r="G636" s="86"/>
      <c r="H636" s="86"/>
      <c r="I636" s="65"/>
      <c r="J636" s="65"/>
      <c r="K636" s="87"/>
      <c r="L636" s="88"/>
    </row>
    <row r="637" spans="6:12" ht="12.5">
      <c r="F637" s="86"/>
      <c r="G637" s="86"/>
      <c r="H637" s="86"/>
      <c r="I637" s="65"/>
      <c r="J637" s="65"/>
      <c r="K637" s="87"/>
      <c r="L637" s="88"/>
    </row>
    <row r="638" spans="6:12" ht="12.5">
      <c r="F638" s="86"/>
      <c r="G638" s="86"/>
      <c r="H638" s="86"/>
      <c r="I638" s="65"/>
      <c r="J638" s="65"/>
      <c r="K638" s="87"/>
      <c r="L638" s="88"/>
    </row>
    <row r="639" spans="6:12" ht="12.5">
      <c r="F639" s="86"/>
      <c r="G639" s="86"/>
      <c r="H639" s="86"/>
      <c r="I639" s="65"/>
      <c r="J639" s="65"/>
      <c r="K639" s="87"/>
      <c r="L639" s="88"/>
    </row>
    <row r="640" spans="6:12" ht="12.5">
      <c r="F640" s="86"/>
      <c r="G640" s="86"/>
      <c r="H640" s="86"/>
      <c r="I640" s="65"/>
      <c r="J640" s="65"/>
      <c r="K640" s="87"/>
      <c r="L640" s="88"/>
    </row>
    <row r="641" spans="6:12" ht="12.5">
      <c r="F641" s="86"/>
      <c r="G641" s="86"/>
      <c r="H641" s="86"/>
      <c r="I641" s="65"/>
      <c r="J641" s="65"/>
      <c r="K641" s="87"/>
      <c r="L641" s="88"/>
    </row>
    <row r="642" spans="6:12" ht="12.5">
      <c r="F642" s="86"/>
      <c r="G642" s="86"/>
      <c r="H642" s="86"/>
      <c r="I642" s="65"/>
      <c r="J642" s="65"/>
      <c r="K642" s="87"/>
      <c r="L642" s="88"/>
    </row>
    <row r="643" spans="6:12" ht="12.5">
      <c r="F643" s="86"/>
      <c r="G643" s="86"/>
      <c r="H643" s="86"/>
      <c r="I643" s="65"/>
      <c r="J643" s="65"/>
      <c r="K643" s="87"/>
      <c r="L643" s="88"/>
    </row>
    <row r="644" spans="6:12" ht="12.5">
      <c r="F644" s="86"/>
      <c r="G644" s="86"/>
      <c r="H644" s="86"/>
      <c r="I644" s="65"/>
      <c r="J644" s="65"/>
      <c r="K644" s="87"/>
      <c r="L644" s="88"/>
    </row>
    <row r="645" spans="6:12" ht="12.5">
      <c r="F645" s="86"/>
      <c r="G645" s="86"/>
      <c r="H645" s="86"/>
      <c r="I645" s="65"/>
      <c r="J645" s="65"/>
      <c r="K645" s="87"/>
      <c r="L645" s="88"/>
    </row>
    <row r="646" spans="6:12" ht="12.5">
      <c r="F646" s="86"/>
      <c r="G646" s="86"/>
      <c r="H646" s="86"/>
      <c r="I646" s="65"/>
      <c r="J646" s="65"/>
      <c r="K646" s="87"/>
      <c r="L646" s="88"/>
    </row>
    <row r="647" spans="6:12" ht="12.5">
      <c r="F647" s="86"/>
      <c r="G647" s="86"/>
      <c r="H647" s="86"/>
      <c r="I647" s="65"/>
      <c r="J647" s="65"/>
      <c r="K647" s="87"/>
      <c r="L647" s="88"/>
    </row>
    <row r="648" spans="6:12" ht="12.5">
      <c r="F648" s="86"/>
      <c r="G648" s="86"/>
      <c r="H648" s="86"/>
      <c r="I648" s="65"/>
      <c r="J648" s="65"/>
      <c r="K648" s="87"/>
      <c r="L648" s="88"/>
    </row>
    <row r="649" spans="6:12" ht="12.5">
      <c r="F649" s="86"/>
      <c r="G649" s="86"/>
      <c r="H649" s="86"/>
      <c r="I649" s="65"/>
      <c r="J649" s="65"/>
      <c r="K649" s="87"/>
      <c r="L649" s="88"/>
    </row>
    <row r="650" spans="6:12" ht="12.5">
      <c r="F650" s="86"/>
      <c r="G650" s="86"/>
      <c r="H650" s="86"/>
      <c r="I650" s="65"/>
      <c r="J650" s="65"/>
      <c r="K650" s="87"/>
      <c r="L650" s="88"/>
    </row>
    <row r="651" spans="6:12" ht="12.5">
      <c r="F651" s="86"/>
      <c r="G651" s="86"/>
      <c r="H651" s="86"/>
      <c r="I651" s="65"/>
      <c r="J651" s="65"/>
      <c r="K651" s="87"/>
      <c r="L651" s="88"/>
    </row>
    <row r="652" spans="6:12" ht="12.5">
      <c r="F652" s="86"/>
      <c r="G652" s="86"/>
      <c r="H652" s="86"/>
      <c r="I652" s="65"/>
      <c r="J652" s="65"/>
      <c r="K652" s="87"/>
      <c r="L652" s="88"/>
    </row>
    <row r="653" spans="6:12" ht="12.5">
      <c r="F653" s="86"/>
      <c r="G653" s="86"/>
      <c r="H653" s="86"/>
      <c r="I653" s="65"/>
      <c r="J653" s="65"/>
      <c r="K653" s="87"/>
      <c r="L653" s="88"/>
    </row>
    <row r="654" spans="6:12" ht="12.5">
      <c r="F654" s="86"/>
      <c r="G654" s="86"/>
      <c r="H654" s="86"/>
      <c r="I654" s="65"/>
      <c r="J654" s="65"/>
      <c r="K654" s="87"/>
      <c r="L654" s="88"/>
    </row>
    <row r="655" spans="6:12" ht="12.5">
      <c r="F655" s="86"/>
      <c r="G655" s="86"/>
      <c r="H655" s="86"/>
      <c r="I655" s="65"/>
      <c r="J655" s="65"/>
      <c r="K655" s="87"/>
      <c r="L655" s="88"/>
    </row>
    <row r="656" spans="6:12" ht="12.5">
      <c r="F656" s="86"/>
      <c r="G656" s="86"/>
      <c r="H656" s="86"/>
      <c r="I656" s="65"/>
      <c r="J656" s="65"/>
      <c r="K656" s="87"/>
      <c r="L656" s="88"/>
    </row>
    <row r="657" spans="6:12" ht="12.5">
      <c r="F657" s="86"/>
      <c r="G657" s="86"/>
      <c r="H657" s="86"/>
      <c r="I657" s="65"/>
      <c r="J657" s="65"/>
      <c r="K657" s="87"/>
      <c r="L657" s="88"/>
    </row>
    <row r="658" spans="6:12" ht="12.5">
      <c r="F658" s="86"/>
      <c r="G658" s="86"/>
      <c r="H658" s="86"/>
      <c r="I658" s="65"/>
      <c r="J658" s="65"/>
      <c r="K658" s="87"/>
      <c r="L658" s="88"/>
    </row>
    <row r="659" spans="6:12" ht="12.5">
      <c r="F659" s="86"/>
      <c r="G659" s="86"/>
      <c r="H659" s="86"/>
      <c r="I659" s="65"/>
      <c r="J659" s="65"/>
      <c r="K659" s="87"/>
      <c r="L659" s="88"/>
    </row>
    <row r="660" spans="6:12" ht="12.5">
      <c r="F660" s="86"/>
      <c r="G660" s="86"/>
      <c r="H660" s="86"/>
      <c r="I660" s="65"/>
      <c r="J660" s="65"/>
      <c r="K660" s="87"/>
      <c r="L660" s="88"/>
    </row>
    <row r="661" spans="6:12" ht="12.5">
      <c r="F661" s="86"/>
      <c r="G661" s="86"/>
      <c r="H661" s="86"/>
      <c r="I661" s="65"/>
      <c r="J661" s="65"/>
      <c r="K661" s="87"/>
      <c r="L661" s="88"/>
    </row>
    <row r="662" spans="6:12" ht="12.5">
      <c r="F662" s="86"/>
      <c r="G662" s="86"/>
      <c r="H662" s="86"/>
      <c r="I662" s="65"/>
      <c r="J662" s="65"/>
      <c r="K662" s="87"/>
      <c r="L662" s="88"/>
    </row>
    <row r="663" spans="6:12" ht="12.5">
      <c r="F663" s="86"/>
      <c r="G663" s="86"/>
      <c r="H663" s="86"/>
      <c r="I663" s="65"/>
      <c r="J663" s="65"/>
      <c r="K663" s="87"/>
      <c r="L663" s="88"/>
    </row>
    <row r="664" spans="6:12" ht="12.5">
      <c r="F664" s="86"/>
      <c r="G664" s="86"/>
      <c r="H664" s="86"/>
      <c r="I664" s="65"/>
      <c r="J664" s="65"/>
      <c r="K664" s="87"/>
      <c r="L664" s="88"/>
    </row>
    <row r="665" spans="6:12" ht="12.5">
      <c r="F665" s="86"/>
      <c r="G665" s="86"/>
      <c r="H665" s="86"/>
      <c r="I665" s="65"/>
      <c r="J665" s="65"/>
      <c r="K665" s="87"/>
      <c r="L665" s="88"/>
    </row>
    <row r="666" spans="6:12" ht="12.5">
      <c r="F666" s="86"/>
      <c r="G666" s="86"/>
      <c r="H666" s="86"/>
      <c r="I666" s="65"/>
      <c r="J666" s="65"/>
      <c r="K666" s="87"/>
      <c r="L666" s="88"/>
    </row>
    <row r="667" spans="6:12" ht="12.5">
      <c r="F667" s="86"/>
      <c r="G667" s="86"/>
      <c r="H667" s="86"/>
      <c r="I667" s="65"/>
      <c r="J667" s="65"/>
      <c r="K667" s="87"/>
      <c r="L667" s="88"/>
    </row>
    <row r="668" spans="6:12" ht="12.5">
      <c r="F668" s="86"/>
      <c r="G668" s="86"/>
      <c r="H668" s="86"/>
      <c r="I668" s="65"/>
      <c r="J668" s="65"/>
      <c r="K668" s="87"/>
      <c r="L668" s="88"/>
    </row>
    <row r="669" spans="6:12" ht="12.5">
      <c r="F669" s="86"/>
      <c r="G669" s="86"/>
      <c r="H669" s="86"/>
      <c r="I669" s="65"/>
      <c r="J669" s="65"/>
      <c r="K669" s="87"/>
      <c r="L669" s="88"/>
    </row>
    <row r="670" spans="6:12" ht="12.5">
      <c r="F670" s="86"/>
      <c r="G670" s="86"/>
      <c r="H670" s="86"/>
      <c r="I670" s="65"/>
      <c r="J670" s="65"/>
      <c r="K670" s="87"/>
      <c r="L670" s="88"/>
    </row>
    <row r="671" spans="6:12" ht="12.5">
      <c r="F671" s="86"/>
      <c r="G671" s="86"/>
      <c r="H671" s="86"/>
      <c r="I671" s="65"/>
      <c r="J671" s="65"/>
      <c r="K671" s="87"/>
      <c r="L671" s="88"/>
    </row>
    <row r="672" spans="6:12" ht="12.5">
      <c r="F672" s="86"/>
      <c r="G672" s="86"/>
      <c r="H672" s="86"/>
      <c r="I672" s="65"/>
      <c r="J672" s="65"/>
      <c r="K672" s="87"/>
      <c r="L672" s="88"/>
    </row>
    <row r="673" spans="6:12" ht="12.5">
      <c r="F673" s="86"/>
      <c r="G673" s="86"/>
      <c r="H673" s="86"/>
      <c r="I673" s="65"/>
      <c r="J673" s="65"/>
      <c r="K673" s="87"/>
      <c r="L673" s="88"/>
    </row>
    <row r="674" spans="6:12" ht="12.5">
      <c r="F674" s="86"/>
      <c r="G674" s="86"/>
      <c r="H674" s="86"/>
      <c r="I674" s="65"/>
      <c r="J674" s="65"/>
      <c r="K674" s="87"/>
      <c r="L674" s="88"/>
    </row>
    <row r="675" spans="6:12" ht="12.5">
      <c r="F675" s="86"/>
      <c r="G675" s="86"/>
      <c r="H675" s="86"/>
      <c r="I675" s="65"/>
      <c r="J675" s="65"/>
      <c r="K675" s="87"/>
      <c r="L675" s="88"/>
    </row>
    <row r="676" spans="6:12" ht="12.5">
      <c r="F676" s="86"/>
      <c r="G676" s="86"/>
      <c r="H676" s="86"/>
      <c r="I676" s="65"/>
      <c r="J676" s="65"/>
      <c r="K676" s="87"/>
      <c r="L676" s="88"/>
    </row>
    <row r="677" spans="6:12" ht="12.5">
      <c r="F677" s="86"/>
      <c r="G677" s="86"/>
      <c r="H677" s="86"/>
      <c r="I677" s="65"/>
      <c r="J677" s="65"/>
      <c r="K677" s="87"/>
      <c r="L677" s="88"/>
    </row>
    <row r="678" spans="6:12" ht="12.5">
      <c r="F678" s="86"/>
      <c r="G678" s="86"/>
      <c r="H678" s="86"/>
      <c r="I678" s="65"/>
      <c r="J678" s="65"/>
      <c r="K678" s="87"/>
      <c r="L678" s="88"/>
    </row>
    <row r="679" spans="6:12" ht="12.5">
      <c r="F679" s="86"/>
      <c r="G679" s="86"/>
      <c r="H679" s="86"/>
      <c r="I679" s="65"/>
      <c r="J679" s="65"/>
      <c r="K679" s="87"/>
      <c r="L679" s="88"/>
    </row>
    <row r="680" spans="6:12" ht="12.5">
      <c r="F680" s="86"/>
      <c r="G680" s="86"/>
      <c r="H680" s="86"/>
      <c r="I680" s="65"/>
      <c r="J680" s="65"/>
      <c r="K680" s="87"/>
      <c r="L680" s="88"/>
    </row>
    <row r="681" spans="6:12" ht="12.5">
      <c r="F681" s="86"/>
      <c r="G681" s="86"/>
      <c r="H681" s="86"/>
      <c r="I681" s="65"/>
      <c r="J681" s="65"/>
      <c r="K681" s="87"/>
      <c r="L681" s="88"/>
    </row>
    <row r="682" spans="6:12" ht="12.5">
      <c r="F682" s="86"/>
      <c r="G682" s="86"/>
      <c r="H682" s="86"/>
      <c r="I682" s="65"/>
      <c r="J682" s="65"/>
      <c r="K682" s="87"/>
      <c r="L682" s="88"/>
    </row>
    <row r="683" spans="6:12" ht="12.5">
      <c r="F683" s="86"/>
      <c r="G683" s="86"/>
      <c r="H683" s="86"/>
      <c r="I683" s="65"/>
      <c r="J683" s="65"/>
      <c r="K683" s="87"/>
      <c r="L683" s="88"/>
    </row>
    <row r="684" spans="6:12" ht="12.5">
      <c r="F684" s="86"/>
      <c r="G684" s="86"/>
      <c r="H684" s="86"/>
      <c r="I684" s="65"/>
      <c r="J684" s="65"/>
      <c r="K684" s="87"/>
      <c r="L684" s="88"/>
    </row>
    <row r="685" spans="6:12" ht="12.5">
      <c r="F685" s="86"/>
      <c r="G685" s="86"/>
      <c r="H685" s="86"/>
      <c r="I685" s="65"/>
      <c r="J685" s="65"/>
      <c r="K685" s="87"/>
      <c r="L685" s="88"/>
    </row>
    <row r="686" spans="6:12" ht="12.5">
      <c r="F686" s="86"/>
      <c r="G686" s="86"/>
      <c r="H686" s="86"/>
      <c r="I686" s="65"/>
      <c r="J686" s="65"/>
      <c r="K686" s="87"/>
      <c r="L686" s="88"/>
    </row>
    <row r="687" spans="6:12" ht="12.5">
      <c r="F687" s="86"/>
      <c r="G687" s="86"/>
      <c r="H687" s="86"/>
      <c r="I687" s="65"/>
      <c r="J687" s="65"/>
      <c r="K687" s="87"/>
      <c r="L687" s="88"/>
    </row>
    <row r="688" spans="6:12" ht="12.5">
      <c r="F688" s="86"/>
      <c r="G688" s="86"/>
      <c r="H688" s="86"/>
      <c r="I688" s="65"/>
      <c r="J688" s="65"/>
      <c r="K688" s="87"/>
      <c r="L688" s="88"/>
    </row>
    <row r="689" spans="6:12" ht="12.5">
      <c r="F689" s="86"/>
      <c r="G689" s="86"/>
      <c r="H689" s="86"/>
      <c r="I689" s="65"/>
      <c r="J689" s="65"/>
      <c r="K689" s="87"/>
      <c r="L689" s="88"/>
    </row>
    <row r="690" spans="6:12" ht="12.5">
      <c r="F690" s="86"/>
      <c r="G690" s="86"/>
      <c r="H690" s="86"/>
      <c r="I690" s="65"/>
      <c r="J690" s="65"/>
      <c r="K690" s="87"/>
      <c r="L690" s="88"/>
    </row>
    <row r="691" spans="6:12" ht="12.5">
      <c r="F691" s="86"/>
      <c r="G691" s="86"/>
      <c r="H691" s="86"/>
      <c r="I691" s="65"/>
      <c r="J691" s="65"/>
      <c r="K691" s="87"/>
      <c r="L691" s="88"/>
    </row>
    <row r="692" spans="6:12" ht="12.5">
      <c r="F692" s="86"/>
      <c r="G692" s="86"/>
      <c r="H692" s="86"/>
      <c r="I692" s="65"/>
      <c r="J692" s="65"/>
      <c r="K692" s="87"/>
      <c r="L692" s="88"/>
    </row>
    <row r="693" spans="6:12" ht="12.5">
      <c r="F693" s="86"/>
      <c r="G693" s="86"/>
      <c r="H693" s="86"/>
      <c r="I693" s="65"/>
      <c r="J693" s="65"/>
      <c r="K693" s="87"/>
      <c r="L693" s="88"/>
    </row>
    <row r="694" spans="6:12" ht="12.5">
      <c r="F694" s="86"/>
      <c r="G694" s="86"/>
      <c r="H694" s="86"/>
      <c r="I694" s="65"/>
      <c r="J694" s="65"/>
      <c r="K694" s="87"/>
      <c r="L694" s="88"/>
    </row>
    <row r="695" spans="6:12" ht="12.5">
      <c r="F695" s="86"/>
      <c r="G695" s="86"/>
      <c r="H695" s="86"/>
      <c r="I695" s="65"/>
      <c r="J695" s="65"/>
      <c r="K695" s="87"/>
      <c r="L695" s="88"/>
    </row>
    <row r="696" spans="6:12" ht="12.5">
      <c r="F696" s="86"/>
      <c r="G696" s="86"/>
      <c r="H696" s="86"/>
      <c r="I696" s="65"/>
      <c r="J696" s="65"/>
      <c r="K696" s="87"/>
      <c r="L696" s="88"/>
    </row>
    <row r="697" spans="6:12" ht="12.5">
      <c r="F697" s="86"/>
      <c r="G697" s="86"/>
      <c r="H697" s="86"/>
      <c r="I697" s="65"/>
      <c r="J697" s="65"/>
      <c r="K697" s="87"/>
      <c r="L697" s="88"/>
    </row>
    <row r="698" spans="6:12" ht="12.5">
      <c r="F698" s="86"/>
      <c r="G698" s="86"/>
      <c r="H698" s="86"/>
      <c r="I698" s="65"/>
      <c r="J698" s="65"/>
      <c r="K698" s="87"/>
      <c r="L698" s="88"/>
    </row>
    <row r="699" spans="6:12" ht="12.5">
      <c r="F699" s="86"/>
      <c r="G699" s="86"/>
      <c r="H699" s="86"/>
      <c r="I699" s="65"/>
      <c r="J699" s="65"/>
      <c r="K699" s="87"/>
      <c r="L699" s="88"/>
    </row>
    <row r="700" spans="6:12" ht="12.5">
      <c r="F700" s="86"/>
      <c r="G700" s="86"/>
      <c r="H700" s="86"/>
      <c r="I700" s="65"/>
      <c r="J700" s="65"/>
      <c r="K700" s="87"/>
      <c r="L700" s="88"/>
    </row>
    <row r="701" spans="6:12" ht="12.5">
      <c r="F701" s="86"/>
      <c r="G701" s="86"/>
      <c r="H701" s="86"/>
      <c r="I701" s="65"/>
      <c r="J701" s="65"/>
      <c r="K701" s="87"/>
      <c r="L701" s="88"/>
    </row>
    <row r="702" spans="6:12" ht="12.5">
      <c r="F702" s="86"/>
      <c r="G702" s="86"/>
      <c r="H702" s="86"/>
      <c r="I702" s="65"/>
      <c r="J702" s="65"/>
      <c r="K702" s="87"/>
      <c r="L702" s="88"/>
    </row>
    <row r="703" spans="6:12" ht="12.5">
      <c r="F703" s="86"/>
      <c r="G703" s="86"/>
      <c r="H703" s="86"/>
      <c r="I703" s="65"/>
      <c r="J703" s="65"/>
      <c r="K703" s="87"/>
      <c r="L703" s="88"/>
    </row>
    <row r="704" spans="6:12" ht="12.5">
      <c r="F704" s="86"/>
      <c r="G704" s="86"/>
      <c r="H704" s="86"/>
      <c r="I704" s="65"/>
      <c r="J704" s="65"/>
      <c r="K704" s="87"/>
      <c r="L704" s="88"/>
    </row>
    <row r="705" spans="6:12" ht="12.5">
      <c r="F705" s="86"/>
      <c r="G705" s="86"/>
      <c r="H705" s="86"/>
      <c r="I705" s="65"/>
      <c r="J705" s="65"/>
      <c r="K705" s="87"/>
      <c r="L705" s="88"/>
    </row>
    <row r="706" spans="6:12" ht="12.5">
      <c r="F706" s="86"/>
      <c r="G706" s="86"/>
      <c r="H706" s="86"/>
      <c r="I706" s="65"/>
      <c r="J706" s="65"/>
      <c r="K706" s="87"/>
      <c r="L706" s="88"/>
    </row>
    <row r="707" spans="6:12" ht="12.5">
      <c r="F707" s="86"/>
      <c r="G707" s="86"/>
      <c r="H707" s="86"/>
      <c r="I707" s="65"/>
      <c r="J707" s="65"/>
      <c r="K707" s="87"/>
      <c r="L707" s="88"/>
    </row>
    <row r="708" spans="6:12" ht="12.5">
      <c r="F708" s="86"/>
      <c r="G708" s="86"/>
      <c r="H708" s="86"/>
      <c r="I708" s="65"/>
      <c r="J708" s="65"/>
      <c r="K708" s="87"/>
      <c r="L708" s="88"/>
    </row>
    <row r="709" spans="6:12" ht="12.5">
      <c r="F709" s="86"/>
      <c r="G709" s="86"/>
      <c r="H709" s="86"/>
      <c r="I709" s="65"/>
      <c r="J709" s="65"/>
      <c r="K709" s="87"/>
      <c r="L709" s="88"/>
    </row>
    <row r="710" spans="6:12" ht="12.5">
      <c r="F710" s="86"/>
      <c r="G710" s="86"/>
      <c r="H710" s="86"/>
      <c r="I710" s="65"/>
      <c r="J710" s="65"/>
      <c r="K710" s="87"/>
      <c r="L710" s="88"/>
    </row>
    <row r="711" spans="6:12" ht="12.5">
      <c r="F711" s="86"/>
      <c r="G711" s="86"/>
      <c r="H711" s="86"/>
      <c r="I711" s="65"/>
      <c r="J711" s="65"/>
      <c r="K711" s="87"/>
      <c r="L711" s="88"/>
    </row>
    <row r="712" spans="6:12" ht="12.5">
      <c r="F712" s="86"/>
      <c r="G712" s="86"/>
      <c r="H712" s="86"/>
      <c r="I712" s="65"/>
      <c r="J712" s="65"/>
      <c r="K712" s="87"/>
      <c r="L712" s="88"/>
    </row>
    <row r="713" spans="6:12" ht="12.5">
      <c r="F713" s="86"/>
      <c r="G713" s="86"/>
      <c r="H713" s="86"/>
      <c r="I713" s="65"/>
      <c r="J713" s="65"/>
      <c r="K713" s="87"/>
      <c r="L713" s="88"/>
    </row>
    <row r="714" spans="6:12" ht="12.5">
      <c r="F714" s="86"/>
      <c r="G714" s="86"/>
      <c r="H714" s="86"/>
      <c r="I714" s="65"/>
      <c r="J714" s="65"/>
      <c r="K714" s="87"/>
      <c r="L714" s="88"/>
    </row>
    <row r="715" spans="6:12" ht="12.5">
      <c r="F715" s="86"/>
      <c r="G715" s="86"/>
      <c r="H715" s="86"/>
      <c r="I715" s="65"/>
      <c r="J715" s="65"/>
      <c r="K715" s="87"/>
      <c r="L715" s="88"/>
    </row>
    <row r="716" spans="6:12" ht="12.5">
      <c r="F716" s="86"/>
      <c r="G716" s="86"/>
      <c r="H716" s="86"/>
      <c r="I716" s="65"/>
      <c r="J716" s="65"/>
      <c r="K716" s="87"/>
      <c r="L716" s="88"/>
    </row>
    <row r="717" spans="6:12" ht="12.5">
      <c r="F717" s="86"/>
      <c r="G717" s="86"/>
      <c r="H717" s="86"/>
      <c r="I717" s="65"/>
      <c r="J717" s="65"/>
      <c r="K717" s="87"/>
      <c r="L717" s="88"/>
    </row>
    <row r="718" spans="6:12" ht="12.5">
      <c r="F718" s="86"/>
      <c r="G718" s="86"/>
      <c r="H718" s="86"/>
      <c r="I718" s="65"/>
      <c r="J718" s="65"/>
      <c r="K718" s="87"/>
      <c r="L718" s="88"/>
    </row>
    <row r="719" spans="6:12" ht="12.5">
      <c r="F719" s="86"/>
      <c r="G719" s="86"/>
      <c r="H719" s="86"/>
      <c r="I719" s="65"/>
      <c r="J719" s="65"/>
      <c r="K719" s="87"/>
      <c r="L719" s="88"/>
    </row>
    <row r="720" spans="6:12" ht="12.5">
      <c r="F720" s="86"/>
      <c r="G720" s="86"/>
      <c r="H720" s="86"/>
      <c r="I720" s="65"/>
      <c r="J720" s="65"/>
      <c r="K720" s="87"/>
      <c r="L720" s="88"/>
    </row>
    <row r="721" spans="6:12" ht="12.5">
      <c r="F721" s="86"/>
      <c r="G721" s="86"/>
      <c r="H721" s="86"/>
      <c r="I721" s="65"/>
      <c r="J721" s="65"/>
      <c r="K721" s="87"/>
      <c r="L721" s="88"/>
    </row>
    <row r="722" spans="6:12" ht="12.5">
      <c r="F722" s="86"/>
      <c r="G722" s="86"/>
      <c r="H722" s="86"/>
      <c r="I722" s="65"/>
      <c r="J722" s="65"/>
      <c r="K722" s="87"/>
      <c r="L722" s="88"/>
    </row>
    <row r="723" spans="6:12" ht="12.5">
      <c r="F723" s="86"/>
      <c r="G723" s="86"/>
      <c r="H723" s="86"/>
      <c r="I723" s="65"/>
      <c r="J723" s="65"/>
      <c r="K723" s="87"/>
      <c r="L723" s="88"/>
    </row>
    <row r="724" spans="6:12" ht="12.5">
      <c r="F724" s="86"/>
      <c r="G724" s="86"/>
      <c r="H724" s="86"/>
      <c r="I724" s="65"/>
      <c r="J724" s="65"/>
      <c r="K724" s="87"/>
      <c r="L724" s="88"/>
    </row>
    <row r="725" spans="6:12" ht="12.5">
      <c r="F725" s="86"/>
      <c r="G725" s="86"/>
      <c r="H725" s="86"/>
      <c r="I725" s="65"/>
      <c r="J725" s="65"/>
      <c r="K725" s="87"/>
      <c r="L725" s="88"/>
    </row>
    <row r="726" spans="6:12" ht="12.5">
      <c r="F726" s="86"/>
      <c r="G726" s="86"/>
      <c r="H726" s="86"/>
      <c r="I726" s="65"/>
      <c r="J726" s="65"/>
      <c r="K726" s="87"/>
      <c r="L726" s="88"/>
    </row>
    <row r="727" spans="6:12" ht="12.5">
      <c r="F727" s="86"/>
      <c r="G727" s="86"/>
      <c r="H727" s="86"/>
      <c r="I727" s="65"/>
      <c r="J727" s="65"/>
      <c r="K727" s="87"/>
      <c r="L727" s="88"/>
    </row>
    <row r="728" spans="6:12" ht="12.5">
      <c r="F728" s="86"/>
      <c r="G728" s="86"/>
      <c r="H728" s="86"/>
      <c r="I728" s="65"/>
      <c r="J728" s="65"/>
      <c r="K728" s="87"/>
      <c r="L728" s="88"/>
    </row>
    <row r="729" spans="6:12" ht="12.5">
      <c r="F729" s="86"/>
      <c r="G729" s="86"/>
      <c r="H729" s="86"/>
      <c r="I729" s="65"/>
      <c r="J729" s="65"/>
      <c r="K729" s="87"/>
      <c r="L729" s="88"/>
    </row>
    <row r="730" spans="6:12" ht="12.5">
      <c r="F730" s="86"/>
      <c r="G730" s="86"/>
      <c r="H730" s="86"/>
      <c r="I730" s="65"/>
      <c r="J730" s="65"/>
      <c r="K730" s="87"/>
      <c r="L730" s="88"/>
    </row>
    <row r="731" spans="6:12" ht="12.5">
      <c r="F731" s="86"/>
      <c r="G731" s="86"/>
      <c r="H731" s="86"/>
      <c r="I731" s="65"/>
      <c r="J731" s="65"/>
      <c r="K731" s="87"/>
      <c r="L731" s="88"/>
    </row>
    <row r="732" spans="6:12" ht="12.5">
      <c r="F732" s="86"/>
      <c r="G732" s="86"/>
      <c r="H732" s="86"/>
      <c r="I732" s="65"/>
      <c r="J732" s="65"/>
      <c r="K732" s="87"/>
      <c r="L732" s="88"/>
    </row>
    <row r="733" spans="6:12" ht="12.5">
      <c r="F733" s="86"/>
      <c r="G733" s="86"/>
      <c r="H733" s="86"/>
      <c r="I733" s="65"/>
      <c r="J733" s="65"/>
      <c r="K733" s="87"/>
      <c r="L733" s="88"/>
    </row>
    <row r="734" spans="6:12" ht="12.5">
      <c r="F734" s="86"/>
      <c r="G734" s="86"/>
      <c r="H734" s="86"/>
      <c r="I734" s="65"/>
      <c r="J734" s="65"/>
      <c r="K734" s="87"/>
      <c r="L734" s="88"/>
    </row>
    <row r="735" spans="6:12" ht="12.5">
      <c r="F735" s="86"/>
      <c r="G735" s="86"/>
      <c r="H735" s="86"/>
      <c r="I735" s="65"/>
      <c r="J735" s="65"/>
      <c r="K735" s="87"/>
      <c r="L735" s="88"/>
    </row>
    <row r="736" spans="6:12" ht="12.5">
      <c r="F736" s="86"/>
      <c r="G736" s="86"/>
      <c r="H736" s="86"/>
      <c r="I736" s="65"/>
      <c r="J736" s="65"/>
      <c r="K736" s="87"/>
      <c r="L736" s="88"/>
    </row>
    <row r="737" spans="6:12" ht="12.5">
      <c r="F737" s="86"/>
      <c r="G737" s="86"/>
      <c r="H737" s="86"/>
      <c r="I737" s="65"/>
      <c r="J737" s="65"/>
      <c r="K737" s="87"/>
      <c r="L737" s="88"/>
    </row>
    <row r="738" spans="6:12" ht="12.5">
      <c r="F738" s="86"/>
      <c r="G738" s="86"/>
      <c r="H738" s="86"/>
      <c r="I738" s="65"/>
      <c r="J738" s="65"/>
      <c r="K738" s="87"/>
      <c r="L738" s="88"/>
    </row>
    <row r="739" spans="6:12" ht="12.5">
      <c r="F739" s="86"/>
      <c r="G739" s="86"/>
      <c r="H739" s="86"/>
      <c r="I739" s="65"/>
      <c r="J739" s="65"/>
      <c r="K739" s="87"/>
      <c r="L739" s="88"/>
    </row>
    <row r="740" spans="6:12" ht="12.5">
      <c r="F740" s="86"/>
      <c r="G740" s="86"/>
      <c r="H740" s="86"/>
      <c r="I740" s="65"/>
      <c r="J740" s="65"/>
      <c r="K740" s="87"/>
      <c r="L740" s="88"/>
    </row>
    <row r="741" spans="6:12" ht="12.5">
      <c r="F741" s="86"/>
      <c r="G741" s="86"/>
      <c r="H741" s="86"/>
      <c r="I741" s="65"/>
      <c r="J741" s="65"/>
      <c r="K741" s="87"/>
      <c r="L741" s="88"/>
    </row>
    <row r="742" spans="6:12" ht="12.5">
      <c r="F742" s="86"/>
      <c r="G742" s="86"/>
      <c r="H742" s="86"/>
      <c r="I742" s="65"/>
      <c r="J742" s="65"/>
      <c r="K742" s="87"/>
      <c r="L742" s="88"/>
    </row>
    <row r="743" spans="6:12" ht="12.5">
      <c r="F743" s="86"/>
      <c r="G743" s="86"/>
      <c r="H743" s="86"/>
      <c r="I743" s="65"/>
      <c r="J743" s="65"/>
      <c r="K743" s="87"/>
      <c r="L743" s="88"/>
    </row>
    <row r="744" spans="6:12" ht="12.5">
      <c r="F744" s="86"/>
      <c r="G744" s="86"/>
      <c r="H744" s="86"/>
      <c r="I744" s="65"/>
      <c r="J744" s="65"/>
      <c r="K744" s="87"/>
      <c r="L744" s="88"/>
    </row>
    <row r="745" spans="6:12" ht="12.5">
      <c r="F745" s="86"/>
      <c r="G745" s="86"/>
      <c r="H745" s="86"/>
      <c r="I745" s="65"/>
      <c r="J745" s="65"/>
      <c r="K745" s="87"/>
      <c r="L745" s="88"/>
    </row>
    <row r="746" spans="6:12" ht="12.5">
      <c r="F746" s="86"/>
      <c r="G746" s="86"/>
      <c r="H746" s="86"/>
      <c r="I746" s="65"/>
      <c r="J746" s="65"/>
      <c r="K746" s="87"/>
      <c r="L746" s="88"/>
    </row>
    <row r="747" spans="6:12" ht="12.5">
      <c r="F747" s="86"/>
      <c r="G747" s="86"/>
      <c r="H747" s="86"/>
      <c r="I747" s="65"/>
      <c r="J747" s="65"/>
      <c r="K747" s="87"/>
      <c r="L747" s="88"/>
    </row>
    <row r="748" spans="6:12" ht="12.5">
      <c r="F748" s="86"/>
      <c r="G748" s="86"/>
      <c r="H748" s="86"/>
      <c r="I748" s="65"/>
      <c r="J748" s="65"/>
      <c r="K748" s="87"/>
      <c r="L748" s="88"/>
    </row>
    <row r="749" spans="6:12" ht="12.5">
      <c r="F749" s="86"/>
      <c r="G749" s="86"/>
      <c r="H749" s="86"/>
      <c r="I749" s="65"/>
      <c r="J749" s="65"/>
      <c r="K749" s="87"/>
      <c r="L749" s="88"/>
    </row>
    <row r="750" spans="6:12" ht="12.5">
      <c r="F750" s="86"/>
      <c r="G750" s="86"/>
      <c r="H750" s="86"/>
      <c r="I750" s="65"/>
      <c r="J750" s="65"/>
      <c r="K750" s="87"/>
      <c r="L750" s="88"/>
    </row>
    <row r="751" spans="6:12" ht="12.5">
      <c r="F751" s="86"/>
      <c r="G751" s="86"/>
      <c r="H751" s="86"/>
      <c r="I751" s="65"/>
      <c r="J751" s="65"/>
      <c r="K751" s="87"/>
      <c r="L751" s="88"/>
    </row>
    <row r="752" spans="6:12" ht="12.5">
      <c r="F752" s="86"/>
      <c r="G752" s="86"/>
      <c r="H752" s="86"/>
      <c r="I752" s="65"/>
      <c r="J752" s="65"/>
      <c r="K752" s="87"/>
      <c r="L752" s="88"/>
    </row>
    <row r="753" spans="6:12" ht="12.5">
      <c r="F753" s="86"/>
      <c r="G753" s="86"/>
      <c r="H753" s="86"/>
      <c r="I753" s="65"/>
      <c r="J753" s="65"/>
      <c r="K753" s="87"/>
      <c r="L753" s="88"/>
    </row>
    <row r="754" spans="6:12" ht="12.5">
      <c r="F754" s="86"/>
      <c r="G754" s="86"/>
      <c r="H754" s="86"/>
      <c r="I754" s="65"/>
      <c r="J754" s="65"/>
      <c r="K754" s="87"/>
      <c r="L754" s="88"/>
    </row>
    <row r="755" spans="6:12" ht="12.5">
      <c r="F755" s="86"/>
      <c r="G755" s="86"/>
      <c r="H755" s="86"/>
      <c r="I755" s="65"/>
      <c r="J755" s="65"/>
      <c r="K755" s="87"/>
      <c r="L755" s="88"/>
    </row>
    <row r="756" spans="6:12" ht="12.5">
      <c r="F756" s="86"/>
      <c r="G756" s="86"/>
      <c r="H756" s="86"/>
      <c r="I756" s="65"/>
      <c r="J756" s="65"/>
      <c r="K756" s="87"/>
      <c r="L756" s="88"/>
    </row>
    <row r="757" spans="6:12" ht="12.5">
      <c r="F757" s="86"/>
      <c r="G757" s="86"/>
      <c r="H757" s="86"/>
      <c r="I757" s="65"/>
      <c r="J757" s="65"/>
      <c r="K757" s="87"/>
      <c r="L757" s="88"/>
    </row>
    <row r="758" spans="6:12" ht="12.5">
      <c r="F758" s="86"/>
      <c r="G758" s="86"/>
      <c r="H758" s="86"/>
      <c r="I758" s="65"/>
      <c r="J758" s="65"/>
      <c r="K758" s="87"/>
      <c r="L758" s="88"/>
    </row>
    <row r="759" spans="6:12" ht="12.5">
      <c r="F759" s="86"/>
      <c r="G759" s="86"/>
      <c r="H759" s="86"/>
      <c r="I759" s="65"/>
      <c r="J759" s="65"/>
      <c r="K759" s="87"/>
      <c r="L759" s="88"/>
    </row>
    <row r="760" spans="6:12" ht="12.5">
      <c r="F760" s="86"/>
      <c r="G760" s="86"/>
      <c r="H760" s="86"/>
      <c r="I760" s="65"/>
      <c r="J760" s="65"/>
      <c r="K760" s="87"/>
      <c r="L760" s="88"/>
    </row>
    <row r="761" spans="6:12" ht="12.5">
      <c r="F761" s="86"/>
      <c r="G761" s="86"/>
      <c r="H761" s="86"/>
      <c r="I761" s="65"/>
      <c r="J761" s="65"/>
      <c r="K761" s="87"/>
      <c r="L761" s="88"/>
    </row>
    <row r="762" spans="6:12" ht="12.5">
      <c r="F762" s="86"/>
      <c r="G762" s="86"/>
      <c r="H762" s="86"/>
      <c r="I762" s="65"/>
      <c r="J762" s="65"/>
      <c r="K762" s="87"/>
      <c r="L762" s="88"/>
    </row>
    <row r="763" spans="6:12" ht="12.5">
      <c r="F763" s="86"/>
      <c r="G763" s="86"/>
      <c r="H763" s="86"/>
      <c r="I763" s="65"/>
      <c r="J763" s="65"/>
      <c r="K763" s="87"/>
      <c r="L763" s="88"/>
    </row>
    <row r="764" spans="6:12" ht="12.5">
      <c r="F764" s="86"/>
      <c r="G764" s="86"/>
      <c r="H764" s="86"/>
      <c r="I764" s="65"/>
      <c r="J764" s="65"/>
      <c r="K764" s="87"/>
      <c r="L764" s="88"/>
    </row>
    <row r="765" spans="6:12" ht="12.5">
      <c r="F765" s="86"/>
      <c r="G765" s="86"/>
      <c r="H765" s="86"/>
      <c r="I765" s="65"/>
      <c r="J765" s="65"/>
      <c r="K765" s="87"/>
      <c r="L765" s="88"/>
    </row>
    <row r="766" spans="6:12" ht="12.5">
      <c r="F766" s="86"/>
      <c r="G766" s="86"/>
      <c r="H766" s="86"/>
      <c r="I766" s="65"/>
      <c r="J766" s="65"/>
      <c r="K766" s="87"/>
      <c r="L766" s="88"/>
    </row>
    <row r="767" spans="6:12" ht="12.5">
      <c r="F767" s="86"/>
      <c r="G767" s="86"/>
      <c r="H767" s="86"/>
      <c r="I767" s="65"/>
      <c r="J767" s="65"/>
      <c r="K767" s="87"/>
      <c r="L767" s="88"/>
    </row>
    <row r="768" spans="6:12" ht="12.5">
      <c r="F768" s="86"/>
      <c r="G768" s="86"/>
      <c r="H768" s="86"/>
      <c r="I768" s="65"/>
      <c r="J768" s="65"/>
      <c r="K768" s="87"/>
      <c r="L768" s="88"/>
    </row>
    <row r="769" spans="6:12" ht="12.5">
      <c r="F769" s="86"/>
      <c r="G769" s="86"/>
      <c r="H769" s="86"/>
      <c r="I769" s="65"/>
      <c r="J769" s="65"/>
      <c r="K769" s="87"/>
      <c r="L769" s="88"/>
    </row>
    <row r="770" spans="6:12" ht="12.5">
      <c r="F770" s="86"/>
      <c r="G770" s="86"/>
      <c r="H770" s="86"/>
      <c r="I770" s="65"/>
      <c r="J770" s="65"/>
      <c r="K770" s="87"/>
      <c r="L770" s="88"/>
    </row>
    <row r="771" spans="6:12" ht="12.5">
      <c r="F771" s="86"/>
      <c r="G771" s="86"/>
      <c r="H771" s="86"/>
      <c r="I771" s="65"/>
      <c r="J771" s="65"/>
      <c r="K771" s="87"/>
      <c r="L771" s="88"/>
    </row>
    <row r="772" spans="6:12" ht="12.5">
      <c r="F772" s="86"/>
      <c r="G772" s="86"/>
      <c r="H772" s="86"/>
      <c r="I772" s="65"/>
      <c r="J772" s="65"/>
      <c r="K772" s="87"/>
      <c r="L772" s="88"/>
    </row>
    <row r="773" spans="6:12" ht="12.5">
      <c r="F773" s="86"/>
      <c r="G773" s="86"/>
      <c r="H773" s="86"/>
      <c r="I773" s="65"/>
      <c r="J773" s="65"/>
      <c r="K773" s="87"/>
      <c r="L773" s="88"/>
    </row>
    <row r="774" spans="6:12" ht="12.5">
      <c r="F774" s="86"/>
      <c r="G774" s="86"/>
      <c r="H774" s="86"/>
      <c r="I774" s="65"/>
      <c r="J774" s="65"/>
      <c r="K774" s="87"/>
      <c r="L774" s="88"/>
    </row>
    <row r="775" spans="6:12" ht="12.5">
      <c r="F775" s="86"/>
      <c r="G775" s="86"/>
      <c r="H775" s="86"/>
      <c r="I775" s="65"/>
      <c r="J775" s="65"/>
      <c r="K775" s="87"/>
      <c r="L775" s="88"/>
    </row>
    <row r="776" spans="6:12" ht="12.5">
      <c r="F776" s="86"/>
      <c r="G776" s="86"/>
      <c r="H776" s="86"/>
      <c r="I776" s="65"/>
      <c r="J776" s="65"/>
      <c r="K776" s="87"/>
      <c r="L776" s="88"/>
    </row>
    <row r="777" spans="6:12" ht="12.5">
      <c r="F777" s="86"/>
      <c r="G777" s="86"/>
      <c r="H777" s="86"/>
      <c r="I777" s="65"/>
      <c r="J777" s="65"/>
      <c r="K777" s="87"/>
      <c r="L777" s="88"/>
    </row>
    <row r="778" spans="6:12" ht="12.5">
      <c r="F778" s="86"/>
      <c r="G778" s="86"/>
      <c r="H778" s="86"/>
      <c r="I778" s="65"/>
      <c r="J778" s="65"/>
      <c r="K778" s="87"/>
      <c r="L778" s="88"/>
    </row>
    <row r="779" spans="6:12" ht="12.5">
      <c r="F779" s="86"/>
      <c r="G779" s="86"/>
      <c r="H779" s="86"/>
      <c r="I779" s="65"/>
      <c r="J779" s="65"/>
      <c r="K779" s="87"/>
      <c r="L779" s="88"/>
    </row>
    <row r="780" spans="6:12" ht="12.5">
      <c r="F780" s="86"/>
      <c r="G780" s="86"/>
      <c r="H780" s="86"/>
      <c r="I780" s="65"/>
      <c r="J780" s="65"/>
      <c r="K780" s="87"/>
      <c r="L780" s="88"/>
    </row>
    <row r="781" spans="6:12" ht="12.5">
      <c r="F781" s="86"/>
      <c r="G781" s="86"/>
      <c r="H781" s="86"/>
      <c r="I781" s="65"/>
      <c r="J781" s="65"/>
      <c r="K781" s="87"/>
      <c r="L781" s="88"/>
    </row>
    <row r="782" spans="6:12" ht="12.5">
      <c r="F782" s="86"/>
      <c r="G782" s="86"/>
      <c r="H782" s="86"/>
      <c r="I782" s="65"/>
      <c r="J782" s="65"/>
      <c r="K782" s="87"/>
      <c r="L782" s="88"/>
    </row>
    <row r="783" spans="6:12" ht="12.5">
      <c r="F783" s="86"/>
      <c r="G783" s="86"/>
      <c r="H783" s="86"/>
      <c r="I783" s="65"/>
      <c r="J783" s="65"/>
      <c r="K783" s="87"/>
      <c r="L783" s="88"/>
    </row>
    <row r="784" spans="6:12" ht="12.5">
      <c r="F784" s="86"/>
      <c r="G784" s="86"/>
      <c r="H784" s="86"/>
      <c r="I784" s="65"/>
      <c r="J784" s="65"/>
      <c r="K784" s="87"/>
      <c r="L784" s="88"/>
    </row>
    <row r="785" spans="6:12" ht="12.5">
      <c r="F785" s="86"/>
      <c r="G785" s="86"/>
      <c r="H785" s="86"/>
      <c r="I785" s="65"/>
      <c r="J785" s="65"/>
      <c r="K785" s="87"/>
      <c r="L785" s="88"/>
    </row>
    <row r="786" spans="6:12" ht="12.5">
      <c r="F786" s="86"/>
      <c r="G786" s="86"/>
      <c r="H786" s="86"/>
      <c r="I786" s="65"/>
      <c r="J786" s="65"/>
      <c r="K786" s="87"/>
      <c r="L786" s="88"/>
    </row>
    <row r="787" spans="6:12" ht="12.5">
      <c r="F787" s="86"/>
      <c r="G787" s="86"/>
      <c r="H787" s="86"/>
      <c r="I787" s="65"/>
      <c r="J787" s="65"/>
      <c r="K787" s="87"/>
      <c r="L787" s="88"/>
    </row>
    <row r="788" spans="6:12" ht="12.5">
      <c r="F788" s="86"/>
      <c r="G788" s="86"/>
      <c r="H788" s="86"/>
      <c r="I788" s="65"/>
      <c r="J788" s="65"/>
      <c r="K788" s="87"/>
      <c r="L788" s="88"/>
    </row>
    <row r="789" spans="6:12" ht="12.5">
      <c r="F789" s="86"/>
      <c r="G789" s="86"/>
      <c r="H789" s="86"/>
      <c r="I789" s="65"/>
      <c r="J789" s="65"/>
      <c r="K789" s="87"/>
      <c r="L789" s="88"/>
    </row>
    <row r="790" spans="6:12" ht="12.5">
      <c r="F790" s="86"/>
      <c r="G790" s="86"/>
      <c r="H790" s="86"/>
      <c r="I790" s="65"/>
      <c r="J790" s="65"/>
      <c r="K790" s="87"/>
      <c r="L790" s="88"/>
    </row>
    <row r="791" spans="6:12" ht="12.5">
      <c r="F791" s="86"/>
      <c r="G791" s="86"/>
      <c r="H791" s="86"/>
      <c r="I791" s="65"/>
      <c r="J791" s="65"/>
      <c r="K791" s="87"/>
      <c r="L791" s="88"/>
    </row>
    <row r="792" spans="6:12" ht="12.5">
      <c r="F792" s="86"/>
      <c r="G792" s="86"/>
      <c r="H792" s="86"/>
      <c r="I792" s="65"/>
      <c r="J792" s="65"/>
      <c r="K792" s="87"/>
      <c r="L792" s="88"/>
    </row>
    <row r="793" spans="6:12" ht="12.5">
      <c r="F793" s="86"/>
      <c r="G793" s="86"/>
      <c r="H793" s="86"/>
      <c r="I793" s="65"/>
      <c r="J793" s="65"/>
      <c r="K793" s="87"/>
      <c r="L793" s="88"/>
    </row>
    <row r="794" spans="6:12" ht="12.5">
      <c r="F794" s="86"/>
      <c r="G794" s="86"/>
      <c r="H794" s="86"/>
      <c r="I794" s="65"/>
      <c r="J794" s="65"/>
      <c r="K794" s="87"/>
      <c r="L794" s="88"/>
    </row>
    <row r="795" spans="6:12" ht="12.5">
      <c r="F795" s="86"/>
      <c r="G795" s="86"/>
      <c r="H795" s="86"/>
      <c r="I795" s="65"/>
      <c r="J795" s="65"/>
      <c r="K795" s="87"/>
      <c r="L795" s="88"/>
    </row>
    <row r="796" spans="6:12" ht="12.5">
      <c r="F796" s="86"/>
      <c r="G796" s="86"/>
      <c r="H796" s="86"/>
      <c r="I796" s="65"/>
      <c r="J796" s="65"/>
      <c r="K796" s="87"/>
      <c r="L796" s="88"/>
    </row>
    <row r="797" spans="6:12" ht="12.5">
      <c r="F797" s="86"/>
      <c r="G797" s="86"/>
      <c r="H797" s="86"/>
      <c r="I797" s="65"/>
      <c r="J797" s="65"/>
      <c r="K797" s="87"/>
      <c r="L797" s="88"/>
    </row>
    <row r="798" spans="6:12" ht="12.5">
      <c r="F798" s="86"/>
      <c r="G798" s="86"/>
      <c r="H798" s="86"/>
      <c r="I798" s="65"/>
      <c r="J798" s="65"/>
      <c r="K798" s="87"/>
      <c r="L798" s="88"/>
    </row>
    <row r="799" spans="6:12" ht="12.5">
      <c r="F799" s="86"/>
      <c r="G799" s="86"/>
      <c r="H799" s="86"/>
      <c r="I799" s="65"/>
      <c r="J799" s="65"/>
      <c r="K799" s="87"/>
      <c r="L799" s="88"/>
    </row>
    <row r="800" spans="6:12" ht="12.5">
      <c r="F800" s="86"/>
      <c r="G800" s="86"/>
      <c r="H800" s="86"/>
      <c r="I800" s="65"/>
      <c r="J800" s="65"/>
      <c r="K800" s="87"/>
      <c r="L800" s="88"/>
    </row>
    <row r="801" spans="6:12" ht="12.5">
      <c r="F801" s="86"/>
      <c r="G801" s="86"/>
      <c r="H801" s="86"/>
      <c r="I801" s="65"/>
      <c r="J801" s="65"/>
      <c r="K801" s="87"/>
      <c r="L801" s="88"/>
    </row>
    <row r="802" spans="6:12" ht="12.5">
      <c r="F802" s="86"/>
      <c r="G802" s="86"/>
      <c r="H802" s="86"/>
      <c r="I802" s="65"/>
      <c r="J802" s="65"/>
      <c r="K802" s="87"/>
      <c r="L802" s="88"/>
    </row>
    <row r="803" spans="6:12" ht="12.5">
      <c r="F803" s="86"/>
      <c r="G803" s="86"/>
      <c r="H803" s="86"/>
      <c r="I803" s="65"/>
      <c r="J803" s="65"/>
      <c r="K803" s="87"/>
      <c r="L803" s="88"/>
    </row>
    <row r="804" spans="6:12" ht="12.5">
      <c r="F804" s="86"/>
      <c r="G804" s="86"/>
      <c r="H804" s="86"/>
      <c r="I804" s="65"/>
      <c r="J804" s="65"/>
      <c r="K804" s="87"/>
      <c r="L804" s="88"/>
    </row>
    <row r="805" spans="6:12" ht="12.5">
      <c r="F805" s="86"/>
      <c r="G805" s="86"/>
      <c r="H805" s="86"/>
      <c r="I805" s="65"/>
      <c r="J805" s="65"/>
      <c r="K805" s="87"/>
      <c r="L805" s="88"/>
    </row>
    <row r="806" spans="6:12" ht="12.5">
      <c r="F806" s="86"/>
      <c r="G806" s="86"/>
      <c r="H806" s="86"/>
      <c r="I806" s="65"/>
      <c r="J806" s="65"/>
      <c r="K806" s="87"/>
      <c r="L806" s="88"/>
    </row>
    <row r="807" spans="6:12" ht="12.5">
      <c r="F807" s="86"/>
      <c r="G807" s="86"/>
      <c r="H807" s="86"/>
      <c r="I807" s="65"/>
      <c r="J807" s="65"/>
      <c r="K807" s="87"/>
      <c r="L807" s="88"/>
    </row>
    <row r="808" spans="6:12" ht="12.5">
      <c r="F808" s="86"/>
      <c r="G808" s="86"/>
      <c r="H808" s="86"/>
      <c r="I808" s="65"/>
      <c r="J808" s="65"/>
      <c r="K808" s="87"/>
      <c r="L808" s="88"/>
    </row>
    <row r="809" spans="6:12" ht="12.5">
      <c r="F809" s="86"/>
      <c r="G809" s="86"/>
      <c r="H809" s="86"/>
      <c r="I809" s="65"/>
      <c r="J809" s="65"/>
      <c r="K809" s="87"/>
      <c r="L809" s="88"/>
    </row>
    <row r="810" spans="6:12" ht="12.5">
      <c r="F810" s="86"/>
      <c r="G810" s="86"/>
      <c r="H810" s="86"/>
      <c r="I810" s="65"/>
      <c r="J810" s="65"/>
      <c r="K810" s="87"/>
      <c r="L810" s="88"/>
    </row>
    <row r="811" spans="6:12" ht="12.5">
      <c r="F811" s="86"/>
      <c r="G811" s="86"/>
      <c r="H811" s="86"/>
      <c r="I811" s="65"/>
      <c r="J811" s="65"/>
      <c r="K811" s="87"/>
      <c r="L811" s="88"/>
    </row>
    <row r="812" spans="6:12" ht="12.5">
      <c r="F812" s="86"/>
      <c r="G812" s="86"/>
      <c r="H812" s="86"/>
      <c r="I812" s="65"/>
      <c r="J812" s="65"/>
      <c r="K812" s="87"/>
      <c r="L812" s="88"/>
    </row>
    <row r="813" spans="6:12" ht="12.5">
      <c r="F813" s="86"/>
      <c r="G813" s="86"/>
      <c r="H813" s="86"/>
      <c r="I813" s="65"/>
      <c r="J813" s="65"/>
      <c r="K813" s="87"/>
      <c r="L813" s="88"/>
    </row>
    <row r="814" spans="6:12" ht="12.5">
      <c r="F814" s="86"/>
      <c r="G814" s="86"/>
      <c r="H814" s="86"/>
      <c r="I814" s="65"/>
      <c r="J814" s="65"/>
      <c r="K814" s="87"/>
      <c r="L814" s="88"/>
    </row>
    <row r="815" spans="6:12" ht="12.5">
      <c r="F815" s="86"/>
      <c r="G815" s="86"/>
      <c r="H815" s="86"/>
      <c r="I815" s="65"/>
      <c r="J815" s="65"/>
      <c r="K815" s="87"/>
      <c r="L815" s="88"/>
    </row>
    <row r="816" spans="6:12" ht="12.5">
      <c r="F816" s="86"/>
      <c r="G816" s="86"/>
      <c r="H816" s="86"/>
      <c r="I816" s="65"/>
      <c r="J816" s="65"/>
      <c r="K816" s="87"/>
      <c r="L816" s="88"/>
    </row>
    <row r="817" spans="6:12" ht="12.5">
      <c r="F817" s="86"/>
      <c r="G817" s="86"/>
      <c r="H817" s="86"/>
      <c r="I817" s="65"/>
      <c r="J817" s="65"/>
      <c r="K817" s="87"/>
      <c r="L817" s="88"/>
    </row>
    <row r="818" spans="6:12" ht="12.5">
      <c r="F818" s="86"/>
      <c r="G818" s="86"/>
      <c r="H818" s="86"/>
      <c r="I818" s="65"/>
      <c r="J818" s="65"/>
      <c r="K818" s="87"/>
      <c r="L818" s="88"/>
    </row>
    <row r="819" spans="6:12" ht="12.5">
      <c r="F819" s="86"/>
      <c r="G819" s="86"/>
      <c r="H819" s="86"/>
      <c r="I819" s="65"/>
      <c r="J819" s="65"/>
      <c r="K819" s="87"/>
      <c r="L819" s="88"/>
    </row>
    <row r="820" spans="6:12" ht="12.5">
      <c r="F820" s="86"/>
      <c r="G820" s="86"/>
      <c r="H820" s="86"/>
      <c r="I820" s="65"/>
      <c r="J820" s="65"/>
      <c r="K820" s="87"/>
      <c r="L820" s="88"/>
    </row>
    <row r="821" spans="6:12" ht="12.5">
      <c r="F821" s="86"/>
      <c r="G821" s="86"/>
      <c r="H821" s="86"/>
      <c r="I821" s="65"/>
      <c r="J821" s="65"/>
      <c r="K821" s="87"/>
      <c r="L821" s="88"/>
    </row>
    <row r="822" spans="6:12" ht="12.5">
      <c r="F822" s="86"/>
      <c r="G822" s="86"/>
      <c r="H822" s="86"/>
      <c r="I822" s="65"/>
      <c r="J822" s="65"/>
      <c r="K822" s="87"/>
      <c r="L822" s="88"/>
    </row>
    <row r="823" spans="6:12" ht="12.5">
      <c r="F823" s="86"/>
      <c r="G823" s="86"/>
      <c r="H823" s="86"/>
      <c r="I823" s="65"/>
      <c r="J823" s="65"/>
      <c r="K823" s="87"/>
      <c r="L823" s="88"/>
    </row>
    <row r="824" spans="6:12" ht="12.5">
      <c r="F824" s="86"/>
      <c r="G824" s="86"/>
      <c r="H824" s="86"/>
      <c r="I824" s="65"/>
      <c r="J824" s="65"/>
      <c r="K824" s="87"/>
      <c r="L824" s="88"/>
    </row>
    <row r="825" spans="6:12" ht="12.5">
      <c r="F825" s="86"/>
      <c r="G825" s="86"/>
      <c r="H825" s="86"/>
      <c r="I825" s="65"/>
      <c r="J825" s="65"/>
      <c r="K825" s="87"/>
      <c r="L825" s="88"/>
    </row>
    <row r="826" spans="6:12" ht="12.5">
      <c r="F826" s="86"/>
      <c r="G826" s="86"/>
      <c r="H826" s="86"/>
      <c r="I826" s="65"/>
      <c r="J826" s="65"/>
      <c r="K826" s="87"/>
      <c r="L826" s="88"/>
    </row>
    <row r="827" spans="6:12" ht="12.5">
      <c r="F827" s="86"/>
      <c r="G827" s="86"/>
      <c r="H827" s="86"/>
      <c r="I827" s="65"/>
      <c r="J827" s="65"/>
      <c r="K827" s="87"/>
      <c r="L827" s="88"/>
    </row>
    <row r="828" spans="6:12" ht="12.5">
      <c r="F828" s="86"/>
      <c r="G828" s="86"/>
      <c r="H828" s="86"/>
      <c r="I828" s="65"/>
      <c r="J828" s="65"/>
      <c r="K828" s="87"/>
      <c r="L828" s="88"/>
    </row>
    <row r="829" spans="6:12" ht="12.5">
      <c r="F829" s="86"/>
      <c r="G829" s="86"/>
      <c r="H829" s="86"/>
      <c r="I829" s="65"/>
      <c r="J829" s="65"/>
      <c r="K829" s="87"/>
      <c r="L829" s="88"/>
    </row>
    <row r="830" spans="6:12" ht="12.5">
      <c r="F830" s="86"/>
      <c r="G830" s="86"/>
      <c r="H830" s="86"/>
      <c r="I830" s="65"/>
      <c r="J830" s="65"/>
      <c r="K830" s="87"/>
      <c r="L830" s="88"/>
    </row>
    <row r="831" spans="6:12" ht="12.5">
      <c r="F831" s="86"/>
      <c r="G831" s="86"/>
      <c r="H831" s="86"/>
      <c r="I831" s="65"/>
      <c r="J831" s="65"/>
      <c r="K831" s="87"/>
      <c r="L831" s="88"/>
    </row>
    <row r="832" spans="6:12" ht="12.5">
      <c r="F832" s="86"/>
      <c r="G832" s="86"/>
      <c r="H832" s="86"/>
      <c r="I832" s="65"/>
      <c r="J832" s="65"/>
      <c r="K832" s="87"/>
      <c r="L832" s="88"/>
    </row>
    <row r="833" spans="6:12" ht="12.5">
      <c r="F833" s="86"/>
      <c r="G833" s="86"/>
      <c r="H833" s="86"/>
      <c r="I833" s="65"/>
      <c r="J833" s="65"/>
      <c r="K833" s="87"/>
      <c r="L833" s="88"/>
    </row>
    <row r="834" spans="6:12" ht="12.5">
      <c r="F834" s="86"/>
      <c r="G834" s="86"/>
      <c r="H834" s="86"/>
      <c r="I834" s="65"/>
      <c r="J834" s="65"/>
      <c r="K834" s="87"/>
      <c r="L834" s="88"/>
    </row>
    <row r="835" spans="6:12" ht="12.5">
      <c r="F835" s="86"/>
      <c r="G835" s="86"/>
      <c r="H835" s="86"/>
      <c r="I835" s="65"/>
      <c r="J835" s="65"/>
      <c r="K835" s="87"/>
      <c r="L835" s="88"/>
    </row>
    <row r="836" spans="6:12" ht="12.5">
      <c r="F836" s="86"/>
      <c r="G836" s="86"/>
      <c r="H836" s="86"/>
      <c r="I836" s="65"/>
      <c r="J836" s="65"/>
      <c r="K836" s="87"/>
      <c r="L836" s="88"/>
    </row>
    <row r="837" spans="6:12" ht="12.5">
      <c r="F837" s="86"/>
      <c r="G837" s="86"/>
      <c r="H837" s="86"/>
      <c r="I837" s="65"/>
      <c r="J837" s="65"/>
      <c r="K837" s="87"/>
      <c r="L837" s="88"/>
    </row>
    <row r="838" spans="6:12" ht="12.5">
      <c r="F838" s="86"/>
      <c r="G838" s="86"/>
      <c r="H838" s="86"/>
      <c r="I838" s="65"/>
      <c r="J838" s="65"/>
      <c r="K838" s="87"/>
      <c r="L838" s="88"/>
    </row>
    <row r="839" spans="6:12" ht="12.5">
      <c r="F839" s="86"/>
      <c r="G839" s="86"/>
      <c r="H839" s="86"/>
      <c r="I839" s="65"/>
      <c r="J839" s="65"/>
      <c r="K839" s="87"/>
      <c r="L839" s="88"/>
    </row>
    <row r="840" spans="6:12" ht="12.5">
      <c r="F840" s="86"/>
      <c r="G840" s="86"/>
      <c r="H840" s="86"/>
      <c r="I840" s="65"/>
      <c r="J840" s="65"/>
      <c r="K840" s="87"/>
      <c r="L840" s="88"/>
    </row>
    <row r="841" spans="6:12" ht="12.5">
      <c r="F841" s="86"/>
      <c r="G841" s="86"/>
      <c r="H841" s="86"/>
      <c r="I841" s="65"/>
      <c r="J841" s="65"/>
      <c r="K841" s="87"/>
      <c r="L841" s="88"/>
    </row>
    <row r="842" spans="6:12" ht="12.5">
      <c r="F842" s="86"/>
      <c r="G842" s="86"/>
      <c r="H842" s="86"/>
      <c r="I842" s="65"/>
      <c r="J842" s="65"/>
      <c r="K842" s="87"/>
      <c r="L842" s="88"/>
    </row>
    <row r="843" spans="6:12" ht="12.5">
      <c r="F843" s="86"/>
      <c r="G843" s="86"/>
      <c r="H843" s="86"/>
      <c r="I843" s="65"/>
      <c r="J843" s="65"/>
      <c r="K843" s="87"/>
      <c r="L843" s="88"/>
    </row>
    <row r="844" spans="6:12" ht="12.5">
      <c r="F844" s="86"/>
      <c r="G844" s="86"/>
      <c r="H844" s="86"/>
      <c r="I844" s="65"/>
      <c r="J844" s="65"/>
      <c r="K844" s="87"/>
      <c r="L844" s="88"/>
    </row>
    <row r="845" spans="6:12" ht="12.5">
      <c r="F845" s="86"/>
      <c r="G845" s="86"/>
      <c r="H845" s="86"/>
      <c r="I845" s="65"/>
      <c r="J845" s="65"/>
      <c r="K845" s="87"/>
      <c r="L845" s="88"/>
    </row>
    <row r="846" spans="6:12" ht="12.5">
      <c r="F846" s="86"/>
      <c r="G846" s="86"/>
      <c r="H846" s="86"/>
      <c r="I846" s="65"/>
      <c r="J846" s="65"/>
      <c r="K846" s="87"/>
      <c r="L846" s="88"/>
    </row>
    <row r="847" spans="6:12" ht="12.5">
      <c r="F847" s="86"/>
      <c r="G847" s="86"/>
      <c r="H847" s="86"/>
      <c r="I847" s="65"/>
      <c r="J847" s="65"/>
      <c r="K847" s="87"/>
      <c r="L847" s="88"/>
    </row>
    <row r="848" spans="6:12" ht="12.5">
      <c r="F848" s="86"/>
      <c r="G848" s="86"/>
      <c r="H848" s="86"/>
      <c r="I848" s="65"/>
      <c r="J848" s="65"/>
      <c r="K848" s="87"/>
      <c r="L848" s="88"/>
    </row>
    <row r="849" spans="6:12" ht="12.5">
      <c r="F849" s="86"/>
      <c r="G849" s="86"/>
      <c r="H849" s="86"/>
      <c r="I849" s="65"/>
      <c r="J849" s="65"/>
      <c r="K849" s="87"/>
      <c r="L849" s="88"/>
    </row>
    <row r="850" spans="6:12" ht="12.5">
      <c r="F850" s="86"/>
      <c r="G850" s="86"/>
      <c r="H850" s="86"/>
      <c r="I850" s="65"/>
      <c r="J850" s="65"/>
      <c r="K850" s="87"/>
      <c r="L850" s="88"/>
    </row>
    <row r="851" spans="6:12" ht="12.5">
      <c r="F851" s="86"/>
      <c r="G851" s="86"/>
      <c r="H851" s="86"/>
      <c r="I851" s="65"/>
      <c r="J851" s="65"/>
      <c r="K851" s="87"/>
      <c r="L851" s="88"/>
    </row>
    <row r="852" spans="6:12" ht="12.5">
      <c r="F852" s="86"/>
      <c r="G852" s="86"/>
      <c r="H852" s="86"/>
      <c r="I852" s="65"/>
      <c r="J852" s="65"/>
      <c r="K852" s="87"/>
      <c r="L852" s="88"/>
    </row>
    <row r="853" spans="6:12" ht="12.5">
      <c r="F853" s="86"/>
      <c r="G853" s="86"/>
      <c r="H853" s="86"/>
      <c r="I853" s="65"/>
      <c r="J853" s="65"/>
      <c r="K853" s="87"/>
      <c r="L853" s="88"/>
    </row>
    <row r="854" spans="6:12" ht="12.5">
      <c r="F854" s="86"/>
      <c r="G854" s="86"/>
      <c r="H854" s="86"/>
      <c r="I854" s="65"/>
      <c r="J854" s="65"/>
      <c r="K854" s="87"/>
      <c r="L854" s="88"/>
    </row>
    <row r="855" spans="6:12" ht="12.5">
      <c r="F855" s="86"/>
      <c r="G855" s="86"/>
      <c r="H855" s="86"/>
      <c r="I855" s="65"/>
      <c r="J855" s="65"/>
      <c r="K855" s="87"/>
      <c r="L855" s="88"/>
    </row>
    <row r="856" spans="6:12" ht="12.5">
      <c r="F856" s="86"/>
      <c r="G856" s="86"/>
      <c r="H856" s="86"/>
      <c r="I856" s="65"/>
      <c r="J856" s="65"/>
      <c r="K856" s="87"/>
      <c r="L856" s="88"/>
    </row>
    <row r="857" spans="6:12" ht="12.5">
      <c r="F857" s="86"/>
      <c r="G857" s="86"/>
      <c r="H857" s="86"/>
      <c r="I857" s="65"/>
      <c r="J857" s="65"/>
      <c r="K857" s="87"/>
      <c r="L857" s="88"/>
    </row>
    <row r="858" spans="6:12" ht="12.5">
      <c r="F858" s="86"/>
      <c r="G858" s="86"/>
      <c r="H858" s="86"/>
      <c r="I858" s="65"/>
      <c r="J858" s="65"/>
      <c r="K858" s="87"/>
      <c r="L858" s="88"/>
    </row>
    <row r="859" spans="6:12" ht="12.5">
      <c r="F859" s="86"/>
      <c r="G859" s="86"/>
      <c r="H859" s="86"/>
      <c r="I859" s="65"/>
      <c r="J859" s="65"/>
      <c r="K859" s="87"/>
      <c r="L859" s="88"/>
    </row>
    <row r="860" spans="6:12" ht="12.5">
      <c r="F860" s="86"/>
      <c r="G860" s="86"/>
      <c r="H860" s="86"/>
      <c r="I860" s="65"/>
      <c r="J860" s="65"/>
      <c r="K860" s="87"/>
      <c r="L860" s="88"/>
    </row>
    <row r="861" spans="6:12" ht="12.5">
      <c r="F861" s="86"/>
      <c r="G861" s="86"/>
      <c r="H861" s="86"/>
      <c r="I861" s="65"/>
      <c r="J861" s="65"/>
      <c r="K861" s="87"/>
      <c r="L861" s="88"/>
    </row>
    <row r="862" spans="6:12" ht="12.5">
      <c r="F862" s="86"/>
      <c r="G862" s="86"/>
      <c r="H862" s="86"/>
      <c r="I862" s="65"/>
      <c r="J862" s="65"/>
      <c r="K862" s="87"/>
      <c r="L862" s="88"/>
    </row>
    <row r="863" spans="6:12" ht="12.5">
      <c r="F863" s="86"/>
      <c r="G863" s="86"/>
      <c r="H863" s="86"/>
      <c r="I863" s="65"/>
      <c r="J863" s="65"/>
      <c r="K863" s="87"/>
      <c r="L863" s="88"/>
    </row>
    <row r="864" spans="6:12" ht="12.5">
      <c r="F864" s="86"/>
      <c r="G864" s="86"/>
      <c r="H864" s="86"/>
      <c r="I864" s="65"/>
      <c r="J864" s="65"/>
      <c r="K864" s="87"/>
      <c r="L864" s="88"/>
    </row>
    <row r="865" spans="6:12" ht="12.5">
      <c r="F865" s="86"/>
      <c r="G865" s="86"/>
      <c r="H865" s="86"/>
      <c r="I865" s="65"/>
      <c r="J865" s="65"/>
      <c r="K865" s="87"/>
      <c r="L865" s="88"/>
    </row>
    <row r="866" spans="6:12" ht="12.5">
      <c r="F866" s="86"/>
      <c r="G866" s="86"/>
      <c r="H866" s="86"/>
      <c r="I866" s="65"/>
      <c r="J866" s="65"/>
      <c r="K866" s="87"/>
      <c r="L866" s="88"/>
    </row>
    <row r="867" spans="6:12" ht="12.5">
      <c r="F867" s="86"/>
      <c r="G867" s="86"/>
      <c r="H867" s="86"/>
      <c r="I867" s="65"/>
      <c r="J867" s="65"/>
      <c r="K867" s="87"/>
      <c r="L867" s="88"/>
    </row>
    <row r="868" spans="6:12" ht="12.5">
      <c r="F868" s="86"/>
      <c r="G868" s="86"/>
      <c r="H868" s="86"/>
      <c r="I868" s="65"/>
      <c r="J868" s="65"/>
      <c r="K868" s="87"/>
      <c r="L868" s="88"/>
    </row>
    <row r="869" spans="6:12" ht="12.5">
      <c r="F869" s="86"/>
      <c r="G869" s="86"/>
      <c r="H869" s="86"/>
      <c r="I869" s="65"/>
      <c r="J869" s="65"/>
      <c r="K869" s="87"/>
      <c r="L869" s="88"/>
    </row>
    <row r="870" spans="6:12" ht="12.5">
      <c r="F870" s="86"/>
      <c r="G870" s="86"/>
      <c r="H870" s="86"/>
      <c r="I870" s="65"/>
      <c r="J870" s="65"/>
      <c r="K870" s="87"/>
      <c r="L870" s="88"/>
    </row>
    <row r="871" spans="6:12" ht="12.5">
      <c r="F871" s="86"/>
      <c r="G871" s="86"/>
      <c r="H871" s="86"/>
      <c r="I871" s="65"/>
      <c r="J871" s="65"/>
      <c r="K871" s="87"/>
      <c r="L871" s="88"/>
    </row>
    <row r="872" spans="6:12" ht="12.5">
      <c r="F872" s="86"/>
      <c r="G872" s="86"/>
      <c r="H872" s="86"/>
      <c r="I872" s="65"/>
      <c r="J872" s="65"/>
      <c r="K872" s="87"/>
      <c r="L872" s="88"/>
    </row>
    <row r="873" spans="6:12" ht="12.5">
      <c r="F873" s="86"/>
      <c r="G873" s="86"/>
      <c r="H873" s="86"/>
      <c r="I873" s="65"/>
      <c r="J873" s="65"/>
      <c r="K873" s="87"/>
      <c r="L873" s="88"/>
    </row>
    <row r="874" spans="6:12" ht="12.5">
      <c r="F874" s="86"/>
      <c r="G874" s="86"/>
      <c r="H874" s="86"/>
      <c r="I874" s="65"/>
      <c r="J874" s="65"/>
      <c r="K874" s="87"/>
      <c r="L874" s="88"/>
    </row>
    <row r="875" spans="6:12" ht="12.5">
      <c r="F875" s="86"/>
      <c r="G875" s="86"/>
      <c r="H875" s="86"/>
      <c r="I875" s="65"/>
      <c r="J875" s="65"/>
      <c r="K875" s="87"/>
      <c r="L875" s="88"/>
    </row>
    <row r="876" spans="6:12" ht="12.5">
      <c r="F876" s="86"/>
      <c r="G876" s="86"/>
      <c r="H876" s="86"/>
      <c r="I876" s="65"/>
      <c r="J876" s="65"/>
      <c r="K876" s="87"/>
      <c r="L876" s="88"/>
    </row>
    <row r="877" spans="6:12" ht="12.5">
      <c r="F877" s="86"/>
      <c r="G877" s="86"/>
      <c r="H877" s="86"/>
      <c r="I877" s="65"/>
      <c r="J877" s="65"/>
      <c r="K877" s="87"/>
      <c r="L877" s="88"/>
    </row>
    <row r="878" spans="6:12" ht="12.5">
      <c r="F878" s="86"/>
      <c r="G878" s="86"/>
      <c r="H878" s="86"/>
      <c r="I878" s="65"/>
      <c r="J878" s="65"/>
      <c r="K878" s="87"/>
      <c r="L878" s="88"/>
    </row>
    <row r="879" spans="6:12" ht="12.5">
      <c r="F879" s="86"/>
      <c r="G879" s="86"/>
      <c r="H879" s="86"/>
      <c r="I879" s="65"/>
      <c r="J879" s="65"/>
      <c r="K879" s="87"/>
      <c r="L879" s="88"/>
    </row>
    <row r="880" spans="6:12" ht="12.5">
      <c r="F880" s="86"/>
      <c r="G880" s="86"/>
      <c r="H880" s="86"/>
      <c r="I880" s="65"/>
      <c r="J880" s="65"/>
      <c r="K880" s="87"/>
      <c r="L880" s="88"/>
    </row>
    <row r="881" spans="6:12" ht="12.5">
      <c r="F881" s="86"/>
      <c r="G881" s="86"/>
      <c r="H881" s="86"/>
      <c r="I881" s="65"/>
      <c r="J881" s="65"/>
      <c r="K881" s="87"/>
      <c r="L881" s="88"/>
    </row>
    <row r="882" spans="6:12" ht="12.5">
      <c r="F882" s="86"/>
      <c r="G882" s="86"/>
      <c r="H882" s="86"/>
      <c r="I882" s="65"/>
      <c r="J882" s="65"/>
      <c r="K882" s="87"/>
      <c r="L882" s="88"/>
    </row>
    <row r="883" spans="6:12" ht="12.5">
      <c r="F883" s="86"/>
      <c r="G883" s="86"/>
      <c r="H883" s="86"/>
      <c r="I883" s="65"/>
      <c r="J883" s="65"/>
      <c r="K883" s="87"/>
      <c r="L883" s="88"/>
    </row>
    <row r="884" spans="6:12" ht="12.5">
      <c r="F884" s="86"/>
      <c r="G884" s="86"/>
      <c r="H884" s="86"/>
      <c r="I884" s="65"/>
      <c r="J884" s="65"/>
      <c r="K884" s="87"/>
      <c r="L884" s="88"/>
    </row>
    <row r="885" spans="6:12" ht="12.5">
      <c r="F885" s="86"/>
      <c r="G885" s="86"/>
      <c r="H885" s="86"/>
      <c r="I885" s="65"/>
      <c r="J885" s="65"/>
      <c r="K885" s="87"/>
      <c r="L885" s="88"/>
    </row>
    <row r="886" spans="6:12" ht="12.5">
      <c r="F886" s="86"/>
      <c r="G886" s="86"/>
      <c r="H886" s="86"/>
      <c r="I886" s="65"/>
      <c r="J886" s="65"/>
      <c r="K886" s="87"/>
      <c r="L886" s="88"/>
    </row>
    <row r="887" spans="6:12" ht="12.5">
      <c r="F887" s="86"/>
      <c r="G887" s="86"/>
      <c r="H887" s="86"/>
      <c r="I887" s="65"/>
      <c r="J887" s="65"/>
      <c r="K887" s="87"/>
      <c r="L887" s="88"/>
    </row>
    <row r="888" spans="6:12" ht="12.5">
      <c r="F888" s="86"/>
      <c r="G888" s="86"/>
      <c r="H888" s="86"/>
      <c r="I888" s="65"/>
      <c r="J888" s="65"/>
      <c r="K888" s="87"/>
      <c r="L888" s="88"/>
    </row>
    <row r="889" spans="6:12" ht="12.5">
      <c r="F889" s="86"/>
      <c r="G889" s="86"/>
      <c r="H889" s="86"/>
      <c r="I889" s="65"/>
      <c r="J889" s="65"/>
      <c r="K889" s="87"/>
      <c r="L889" s="88"/>
    </row>
    <row r="890" spans="6:12" ht="12.5">
      <c r="F890" s="86"/>
      <c r="G890" s="86"/>
      <c r="H890" s="86"/>
      <c r="I890" s="65"/>
      <c r="J890" s="65"/>
      <c r="K890" s="87"/>
      <c r="L890" s="88"/>
    </row>
    <row r="891" spans="6:12" ht="12.5">
      <c r="F891" s="86"/>
      <c r="G891" s="86"/>
      <c r="H891" s="86"/>
      <c r="I891" s="65"/>
      <c r="J891" s="65"/>
      <c r="K891" s="87"/>
      <c r="L891" s="88"/>
    </row>
    <row r="892" spans="6:12" ht="12.5">
      <c r="F892" s="86"/>
      <c r="G892" s="86"/>
      <c r="H892" s="86"/>
      <c r="I892" s="65"/>
      <c r="J892" s="65"/>
      <c r="K892" s="87"/>
      <c r="L892" s="88"/>
    </row>
    <row r="893" spans="6:12" ht="12.5">
      <c r="F893" s="86"/>
      <c r="G893" s="86"/>
      <c r="H893" s="86"/>
      <c r="I893" s="65"/>
      <c r="J893" s="65"/>
      <c r="K893" s="87"/>
      <c r="L893" s="88"/>
    </row>
    <row r="894" spans="6:12" ht="12.5">
      <c r="F894" s="86"/>
      <c r="G894" s="86"/>
      <c r="H894" s="86"/>
      <c r="I894" s="65"/>
      <c r="J894" s="65"/>
      <c r="K894" s="87"/>
      <c r="L894" s="88"/>
    </row>
    <row r="895" spans="6:12" ht="12.5">
      <c r="F895" s="86"/>
      <c r="G895" s="86"/>
      <c r="H895" s="86"/>
      <c r="I895" s="65"/>
      <c r="J895" s="65"/>
      <c r="K895" s="87"/>
      <c r="L895" s="88"/>
    </row>
    <row r="896" spans="6:12" ht="12.5">
      <c r="F896" s="86"/>
      <c r="G896" s="86"/>
      <c r="H896" s="86"/>
      <c r="I896" s="65"/>
      <c r="J896" s="65"/>
      <c r="K896" s="87"/>
      <c r="L896" s="88"/>
    </row>
    <row r="897" spans="6:12" ht="12.5">
      <c r="F897" s="86"/>
      <c r="G897" s="86"/>
      <c r="H897" s="86"/>
      <c r="I897" s="65"/>
      <c r="J897" s="65"/>
      <c r="K897" s="87"/>
      <c r="L897" s="88"/>
    </row>
    <row r="898" spans="6:12" ht="12.5">
      <c r="F898" s="86"/>
      <c r="G898" s="86"/>
      <c r="H898" s="86"/>
      <c r="I898" s="65"/>
      <c r="J898" s="65"/>
      <c r="K898" s="87"/>
      <c r="L898" s="88"/>
    </row>
    <row r="899" spans="6:12" ht="12.5">
      <c r="F899" s="86"/>
      <c r="G899" s="86"/>
      <c r="H899" s="86"/>
      <c r="I899" s="65"/>
      <c r="J899" s="65"/>
      <c r="K899" s="87"/>
      <c r="L899" s="88"/>
    </row>
    <row r="900" spans="6:12" ht="12.5">
      <c r="F900" s="86"/>
      <c r="G900" s="86"/>
      <c r="H900" s="86"/>
      <c r="I900" s="65"/>
      <c r="J900" s="65"/>
      <c r="K900" s="87"/>
      <c r="L900" s="88"/>
    </row>
    <row r="901" spans="6:12" ht="12.5">
      <c r="F901" s="86"/>
      <c r="G901" s="86"/>
      <c r="H901" s="86"/>
      <c r="I901" s="65"/>
      <c r="J901" s="65"/>
      <c r="K901" s="87"/>
      <c r="L901" s="88"/>
    </row>
    <row r="902" spans="6:12" ht="12.5">
      <c r="F902" s="86"/>
      <c r="G902" s="86"/>
      <c r="H902" s="86"/>
      <c r="I902" s="65"/>
      <c r="J902" s="65"/>
      <c r="K902" s="87"/>
      <c r="L902" s="88"/>
    </row>
    <row r="903" spans="6:12" ht="12.5">
      <c r="F903" s="86"/>
      <c r="G903" s="86"/>
      <c r="H903" s="86"/>
      <c r="I903" s="65"/>
      <c r="J903" s="65"/>
      <c r="K903" s="87"/>
      <c r="L903" s="88"/>
    </row>
    <row r="904" spans="6:12" ht="12.5">
      <c r="F904" s="86"/>
      <c r="G904" s="86"/>
      <c r="H904" s="86"/>
      <c r="I904" s="65"/>
      <c r="J904" s="65"/>
      <c r="K904" s="87"/>
      <c r="L904" s="88"/>
    </row>
    <row r="905" spans="6:12" ht="12.5">
      <c r="F905" s="86"/>
      <c r="G905" s="86"/>
      <c r="H905" s="86"/>
      <c r="I905" s="65"/>
      <c r="J905" s="65"/>
      <c r="K905" s="87"/>
      <c r="L905" s="88"/>
    </row>
    <row r="906" spans="6:12" ht="12.5">
      <c r="F906" s="86"/>
      <c r="G906" s="86"/>
      <c r="H906" s="86"/>
      <c r="I906" s="65"/>
      <c r="J906" s="65"/>
      <c r="K906" s="87"/>
      <c r="L906" s="88"/>
    </row>
    <row r="907" spans="6:12" ht="12.5">
      <c r="F907" s="86"/>
      <c r="G907" s="86"/>
      <c r="H907" s="86"/>
      <c r="I907" s="65"/>
      <c r="J907" s="65"/>
      <c r="K907" s="87"/>
      <c r="L907" s="88"/>
    </row>
    <row r="908" spans="6:12" ht="12.5">
      <c r="F908" s="86"/>
      <c r="G908" s="86"/>
      <c r="H908" s="86"/>
      <c r="I908" s="65"/>
      <c r="J908" s="65"/>
      <c r="K908" s="87"/>
      <c r="L908" s="88"/>
    </row>
    <row r="909" spans="6:12" ht="12.5">
      <c r="F909" s="86"/>
      <c r="G909" s="86"/>
      <c r="H909" s="86"/>
      <c r="I909" s="65"/>
      <c r="J909" s="65"/>
      <c r="K909" s="87"/>
      <c r="L909" s="88"/>
    </row>
    <row r="910" spans="6:12" ht="12.5">
      <c r="F910" s="86"/>
      <c r="G910" s="86"/>
      <c r="H910" s="86"/>
      <c r="I910" s="65"/>
      <c r="J910" s="65"/>
      <c r="K910" s="87"/>
      <c r="L910" s="88"/>
    </row>
    <row r="911" spans="6:12" ht="12.5">
      <c r="F911" s="86"/>
      <c r="G911" s="86"/>
      <c r="H911" s="86"/>
      <c r="I911" s="65"/>
      <c r="J911" s="65"/>
      <c r="K911" s="87"/>
      <c r="L911" s="88"/>
    </row>
    <row r="912" spans="6:12" ht="12.5">
      <c r="F912" s="86"/>
      <c r="G912" s="86"/>
      <c r="H912" s="86"/>
      <c r="I912" s="65"/>
      <c r="J912" s="65"/>
      <c r="K912" s="87"/>
      <c r="L912" s="88"/>
    </row>
    <row r="913" spans="6:12" ht="12.5">
      <c r="F913" s="86"/>
      <c r="G913" s="86"/>
      <c r="H913" s="86"/>
      <c r="I913" s="65"/>
      <c r="J913" s="65"/>
      <c r="K913" s="87"/>
      <c r="L913" s="88"/>
    </row>
    <row r="914" spans="6:12" ht="12.5">
      <c r="F914" s="86"/>
      <c r="G914" s="86"/>
      <c r="H914" s="86"/>
      <c r="I914" s="65"/>
      <c r="J914" s="65"/>
      <c r="K914" s="87"/>
      <c r="L914" s="88"/>
    </row>
    <row r="915" spans="6:12" ht="12.5">
      <c r="F915" s="86"/>
      <c r="G915" s="86"/>
      <c r="H915" s="86"/>
      <c r="I915" s="65"/>
      <c r="J915" s="65"/>
      <c r="K915" s="87"/>
      <c r="L915" s="88"/>
    </row>
    <row r="916" spans="6:12" ht="12.5">
      <c r="F916" s="86"/>
      <c r="G916" s="86"/>
      <c r="H916" s="86"/>
      <c r="I916" s="65"/>
      <c r="J916" s="65"/>
      <c r="K916" s="87"/>
      <c r="L916" s="88"/>
    </row>
    <row r="917" spans="6:12" ht="12.5">
      <c r="F917" s="86"/>
      <c r="G917" s="86"/>
      <c r="H917" s="86"/>
      <c r="I917" s="65"/>
      <c r="J917" s="65"/>
      <c r="K917" s="87"/>
      <c r="L917" s="88"/>
    </row>
    <row r="918" spans="6:12" ht="12.5">
      <c r="F918" s="86"/>
      <c r="G918" s="86"/>
      <c r="H918" s="86"/>
      <c r="I918" s="65"/>
      <c r="J918" s="65"/>
      <c r="K918" s="87"/>
      <c r="L918" s="88"/>
    </row>
    <row r="919" spans="6:12" ht="12.5">
      <c r="F919" s="86"/>
      <c r="G919" s="86"/>
      <c r="H919" s="86"/>
      <c r="I919" s="65"/>
      <c r="J919" s="65"/>
      <c r="K919" s="87"/>
      <c r="L919" s="88"/>
    </row>
    <row r="920" spans="6:12" ht="12.5">
      <c r="F920" s="86"/>
      <c r="G920" s="86"/>
      <c r="H920" s="86"/>
      <c r="I920" s="65"/>
      <c r="J920" s="65"/>
      <c r="K920" s="87"/>
      <c r="L920" s="88"/>
    </row>
    <row r="921" spans="6:12" ht="12.5">
      <c r="F921" s="86"/>
      <c r="G921" s="86"/>
      <c r="H921" s="86"/>
      <c r="I921" s="65"/>
      <c r="J921" s="65"/>
      <c r="K921" s="87"/>
      <c r="L921" s="88"/>
    </row>
    <row r="922" spans="6:12" ht="12.5">
      <c r="F922" s="86"/>
      <c r="G922" s="86"/>
      <c r="H922" s="86"/>
      <c r="I922" s="65"/>
      <c r="J922" s="65"/>
      <c r="K922" s="87"/>
      <c r="L922" s="88"/>
    </row>
    <row r="923" spans="6:12" ht="12.5">
      <c r="F923" s="86"/>
      <c r="G923" s="86"/>
      <c r="H923" s="86"/>
      <c r="I923" s="65"/>
      <c r="J923" s="65"/>
      <c r="K923" s="87"/>
      <c r="L923" s="88"/>
    </row>
    <row r="924" spans="6:12" ht="12.5">
      <c r="F924" s="86"/>
      <c r="G924" s="86"/>
      <c r="H924" s="86"/>
      <c r="I924" s="65"/>
      <c r="J924" s="65"/>
      <c r="K924" s="87"/>
      <c r="L924" s="88"/>
    </row>
    <row r="925" spans="6:12" ht="12.5">
      <c r="F925" s="86"/>
      <c r="G925" s="86"/>
      <c r="H925" s="86"/>
      <c r="I925" s="65"/>
      <c r="J925" s="65"/>
      <c r="K925" s="87"/>
      <c r="L925" s="88"/>
    </row>
    <row r="926" spans="6:12" ht="12.5">
      <c r="F926" s="86"/>
      <c r="G926" s="86"/>
      <c r="H926" s="86"/>
      <c r="I926" s="65"/>
      <c r="J926" s="65"/>
      <c r="K926" s="87"/>
      <c r="L926" s="88"/>
    </row>
    <row r="927" spans="6:12" ht="12.5">
      <c r="F927" s="86"/>
      <c r="G927" s="86"/>
      <c r="H927" s="86"/>
      <c r="I927" s="65"/>
      <c r="J927" s="65"/>
      <c r="K927" s="87"/>
      <c r="L927" s="88"/>
    </row>
    <row r="928" spans="6:12" ht="12.5">
      <c r="F928" s="86"/>
      <c r="G928" s="86"/>
      <c r="H928" s="86"/>
      <c r="I928" s="65"/>
      <c r="J928" s="65"/>
      <c r="K928" s="87"/>
      <c r="L928" s="88"/>
    </row>
    <row r="929" spans="6:12" ht="12.5">
      <c r="F929" s="86"/>
      <c r="G929" s="86"/>
      <c r="H929" s="86"/>
      <c r="I929" s="65"/>
      <c r="J929" s="65"/>
      <c r="K929" s="87"/>
      <c r="L929" s="88"/>
    </row>
    <row r="930" spans="6:12" ht="12.5">
      <c r="F930" s="86"/>
      <c r="G930" s="86"/>
      <c r="H930" s="86"/>
      <c r="I930" s="65"/>
      <c r="J930" s="65"/>
      <c r="K930" s="87"/>
      <c r="L930" s="88"/>
    </row>
    <row r="931" spans="6:12" ht="12.5">
      <c r="F931" s="86"/>
      <c r="G931" s="86"/>
      <c r="H931" s="86"/>
      <c r="I931" s="65"/>
      <c r="J931" s="65"/>
      <c r="K931" s="87"/>
      <c r="L931" s="88"/>
    </row>
    <row r="932" spans="6:12" ht="12.5">
      <c r="F932" s="86"/>
      <c r="G932" s="86"/>
      <c r="H932" s="86"/>
      <c r="I932" s="65"/>
      <c r="J932" s="65"/>
      <c r="K932" s="87"/>
      <c r="L932" s="88"/>
    </row>
    <row r="933" spans="6:12" ht="12.5">
      <c r="F933" s="86"/>
      <c r="G933" s="86"/>
      <c r="H933" s="86"/>
      <c r="I933" s="65"/>
      <c r="J933" s="65"/>
      <c r="K933" s="87"/>
      <c r="L933" s="88"/>
    </row>
    <row r="934" spans="6:12" ht="12.5">
      <c r="F934" s="86"/>
      <c r="G934" s="86"/>
      <c r="H934" s="86"/>
      <c r="I934" s="65"/>
      <c r="J934" s="65"/>
      <c r="K934" s="87"/>
      <c r="L934" s="88"/>
    </row>
    <row r="935" spans="6:12" ht="12.5">
      <c r="F935" s="86"/>
      <c r="G935" s="86"/>
      <c r="H935" s="86"/>
      <c r="I935" s="65"/>
      <c r="J935" s="65"/>
      <c r="K935" s="87"/>
      <c r="L935" s="88"/>
    </row>
    <row r="936" spans="6:12" ht="12.5">
      <c r="F936" s="86"/>
      <c r="G936" s="86"/>
      <c r="H936" s="86"/>
      <c r="I936" s="65"/>
      <c r="J936" s="65"/>
      <c r="K936" s="87"/>
      <c r="L936" s="88"/>
    </row>
    <row r="937" spans="6:12" ht="12.5">
      <c r="F937" s="86"/>
      <c r="G937" s="86"/>
      <c r="H937" s="86"/>
      <c r="I937" s="65"/>
      <c r="J937" s="65"/>
      <c r="K937" s="87"/>
      <c r="L937" s="88"/>
    </row>
    <row r="938" spans="6:12" ht="12.5">
      <c r="F938" s="86"/>
      <c r="G938" s="86"/>
      <c r="H938" s="86"/>
      <c r="I938" s="65"/>
      <c r="J938" s="65"/>
      <c r="K938" s="87"/>
      <c r="L938" s="88"/>
    </row>
    <row r="939" spans="6:12" ht="12.5">
      <c r="F939" s="86"/>
      <c r="G939" s="86"/>
      <c r="H939" s="86"/>
      <c r="I939" s="65"/>
      <c r="J939" s="65"/>
      <c r="K939" s="87"/>
      <c r="L939" s="88"/>
    </row>
    <row r="940" spans="6:12" ht="12.5">
      <c r="F940" s="86"/>
      <c r="G940" s="86"/>
      <c r="H940" s="86"/>
      <c r="I940" s="65"/>
      <c r="J940" s="65"/>
      <c r="K940" s="87"/>
      <c r="L940" s="88"/>
    </row>
    <row r="941" spans="6:12" ht="12.5">
      <c r="F941" s="86"/>
      <c r="G941" s="86"/>
      <c r="H941" s="86"/>
      <c r="I941" s="65"/>
      <c r="J941" s="65"/>
      <c r="K941" s="87"/>
      <c r="L941" s="88"/>
    </row>
    <row r="942" spans="6:12" ht="12.5">
      <c r="F942" s="86"/>
      <c r="G942" s="86"/>
      <c r="H942" s="86"/>
      <c r="I942" s="65"/>
      <c r="J942" s="65"/>
      <c r="K942" s="87"/>
      <c r="L942" s="88"/>
    </row>
    <row r="943" spans="6:12" ht="12.5">
      <c r="F943" s="86"/>
      <c r="G943" s="86"/>
      <c r="H943" s="86"/>
      <c r="I943" s="65"/>
      <c r="J943" s="65"/>
      <c r="K943" s="87"/>
      <c r="L943" s="88"/>
    </row>
    <row r="944" spans="6:12" ht="12.5">
      <c r="F944" s="86"/>
      <c r="G944" s="86"/>
      <c r="H944" s="86"/>
      <c r="I944" s="65"/>
      <c r="J944" s="65"/>
      <c r="K944" s="87"/>
      <c r="L944" s="88"/>
    </row>
    <row r="945" spans="6:12" ht="12.5">
      <c r="F945" s="86"/>
      <c r="G945" s="86"/>
      <c r="H945" s="86"/>
      <c r="I945" s="65"/>
      <c r="J945" s="65"/>
      <c r="K945" s="87"/>
      <c r="L945" s="88"/>
    </row>
    <row r="946" spans="6:12" ht="12.5">
      <c r="F946" s="86"/>
      <c r="G946" s="86"/>
      <c r="H946" s="86"/>
      <c r="I946" s="65"/>
      <c r="J946" s="65"/>
      <c r="K946" s="87"/>
      <c r="L946" s="88"/>
    </row>
    <row r="947" spans="6:12" ht="12.5">
      <c r="F947" s="86"/>
      <c r="G947" s="86"/>
      <c r="H947" s="86"/>
      <c r="I947" s="65"/>
      <c r="J947" s="65"/>
      <c r="K947" s="87"/>
      <c r="L947" s="88"/>
    </row>
    <row r="948" spans="6:12" ht="12.5">
      <c r="F948" s="86"/>
      <c r="G948" s="86"/>
      <c r="H948" s="86"/>
      <c r="I948" s="65"/>
      <c r="J948" s="65"/>
      <c r="K948" s="87"/>
      <c r="L948" s="88"/>
    </row>
    <row r="949" spans="6:12" ht="12.5">
      <c r="F949" s="86"/>
      <c r="G949" s="86"/>
      <c r="H949" s="86"/>
      <c r="I949" s="65"/>
      <c r="J949" s="65"/>
      <c r="K949" s="87"/>
      <c r="L949" s="88"/>
    </row>
    <row r="950" spans="6:12" ht="12.5">
      <c r="F950" s="86"/>
      <c r="G950" s="86"/>
      <c r="H950" s="86"/>
      <c r="I950" s="65"/>
      <c r="J950" s="65"/>
      <c r="K950" s="87"/>
      <c r="L950" s="88"/>
    </row>
    <row r="951" spans="6:12" ht="12.5">
      <c r="F951" s="86"/>
      <c r="G951" s="86"/>
      <c r="H951" s="86"/>
      <c r="I951" s="65"/>
      <c r="J951" s="65"/>
      <c r="K951" s="87"/>
      <c r="L951" s="88"/>
    </row>
    <row r="952" spans="6:12" ht="12.5">
      <c r="F952" s="86"/>
      <c r="G952" s="86"/>
      <c r="H952" s="86"/>
      <c r="I952" s="65"/>
      <c r="J952" s="65"/>
      <c r="K952" s="87"/>
      <c r="L952" s="88"/>
    </row>
    <row r="953" spans="6:12" ht="12.5">
      <c r="F953" s="86"/>
      <c r="G953" s="86"/>
      <c r="H953" s="86"/>
      <c r="I953" s="65"/>
      <c r="J953" s="65"/>
      <c r="K953" s="87"/>
      <c r="L953" s="88"/>
    </row>
    <row r="954" spans="6:12" ht="12.5">
      <c r="F954" s="86"/>
      <c r="G954" s="86"/>
      <c r="H954" s="86"/>
      <c r="I954" s="65"/>
      <c r="J954" s="65"/>
      <c r="K954" s="87"/>
      <c r="L954" s="88"/>
    </row>
    <row r="955" spans="6:12" ht="12.5">
      <c r="F955" s="86"/>
      <c r="G955" s="86"/>
      <c r="H955" s="86"/>
      <c r="I955" s="65"/>
      <c r="J955" s="65"/>
      <c r="K955" s="87"/>
      <c r="L955" s="88"/>
    </row>
    <row r="956" spans="6:12" ht="12.5">
      <c r="F956" s="86"/>
      <c r="G956" s="86"/>
      <c r="H956" s="86"/>
      <c r="I956" s="65"/>
      <c r="J956" s="65"/>
      <c r="K956" s="87"/>
      <c r="L956" s="88"/>
    </row>
    <row r="957" spans="6:12" ht="12.5">
      <c r="F957" s="86"/>
      <c r="G957" s="86"/>
      <c r="H957" s="86"/>
      <c r="I957" s="65"/>
      <c r="J957" s="65"/>
      <c r="K957" s="87"/>
      <c r="L957" s="88"/>
    </row>
    <row r="958" spans="6:12" ht="12.5">
      <c r="F958" s="86"/>
      <c r="G958" s="86"/>
      <c r="H958" s="86"/>
      <c r="I958" s="65"/>
      <c r="J958" s="65"/>
      <c r="K958" s="87"/>
      <c r="L958" s="88"/>
    </row>
    <row r="959" spans="6:12" ht="12.5">
      <c r="F959" s="86"/>
      <c r="G959" s="86"/>
      <c r="H959" s="86"/>
      <c r="I959" s="65"/>
      <c r="J959" s="65"/>
      <c r="K959" s="87"/>
      <c r="L959" s="88"/>
    </row>
    <row r="960" spans="6:12" ht="12.5">
      <c r="F960" s="86"/>
      <c r="G960" s="86"/>
      <c r="H960" s="86"/>
      <c r="I960" s="65"/>
      <c r="J960" s="65"/>
      <c r="K960" s="87"/>
      <c r="L960" s="88"/>
    </row>
    <row r="961" spans="6:12" ht="12.5">
      <c r="F961" s="86"/>
      <c r="G961" s="86"/>
      <c r="H961" s="86"/>
      <c r="I961" s="65"/>
      <c r="J961" s="65"/>
      <c r="K961" s="87"/>
      <c r="L961" s="88"/>
    </row>
    <row r="962" spans="6:12" ht="12.5">
      <c r="F962" s="86"/>
      <c r="G962" s="86"/>
      <c r="H962" s="86"/>
      <c r="I962" s="65"/>
      <c r="J962" s="65"/>
      <c r="K962" s="87"/>
      <c r="L962" s="88"/>
    </row>
    <row r="963" spans="6:12" ht="12.5">
      <c r="F963" s="86"/>
      <c r="G963" s="86"/>
      <c r="H963" s="86"/>
      <c r="I963" s="65"/>
      <c r="J963" s="65"/>
      <c r="K963" s="87"/>
      <c r="L963" s="88"/>
    </row>
    <row r="964" spans="6:12" ht="12.5">
      <c r="F964" s="86"/>
      <c r="G964" s="86"/>
      <c r="H964" s="86"/>
      <c r="I964" s="65"/>
      <c r="J964" s="65"/>
      <c r="K964" s="87"/>
      <c r="L964" s="88"/>
    </row>
    <row r="965" spans="6:12" ht="12.5">
      <c r="F965" s="86"/>
      <c r="G965" s="86"/>
      <c r="H965" s="86"/>
      <c r="I965" s="65"/>
      <c r="J965" s="65"/>
      <c r="K965" s="87"/>
      <c r="L965" s="88"/>
    </row>
    <row r="966" spans="6:12" ht="12.5">
      <c r="F966" s="86"/>
      <c r="G966" s="86"/>
      <c r="H966" s="86"/>
      <c r="I966" s="65"/>
      <c r="J966" s="65"/>
      <c r="K966" s="87"/>
      <c r="L966" s="88"/>
    </row>
    <row r="967" spans="6:12" ht="12.5">
      <c r="F967" s="86"/>
      <c r="G967" s="86"/>
      <c r="H967" s="86"/>
      <c r="I967" s="65"/>
      <c r="J967" s="65"/>
      <c r="K967" s="87"/>
      <c r="L967" s="88"/>
    </row>
    <row r="968" spans="6:12" ht="12.5">
      <c r="F968" s="86"/>
      <c r="G968" s="86"/>
      <c r="H968" s="86"/>
      <c r="I968" s="65"/>
      <c r="J968" s="65"/>
      <c r="K968" s="87"/>
      <c r="L968" s="88"/>
    </row>
    <row r="969" spans="6:12" ht="12.5">
      <c r="F969" s="86"/>
      <c r="G969" s="86"/>
      <c r="H969" s="86"/>
      <c r="I969" s="65"/>
      <c r="J969" s="65"/>
      <c r="K969" s="87"/>
      <c r="L969" s="88"/>
    </row>
    <row r="970" spans="6:12" ht="12.5">
      <c r="F970" s="86"/>
      <c r="G970" s="86"/>
      <c r="H970" s="86"/>
      <c r="I970" s="65"/>
      <c r="J970" s="65"/>
      <c r="K970" s="87"/>
      <c r="L970" s="88"/>
    </row>
    <row r="971" spans="6:12" ht="12.5">
      <c r="F971" s="86"/>
      <c r="G971" s="86"/>
      <c r="H971" s="86"/>
      <c r="I971" s="65"/>
      <c r="J971" s="65"/>
      <c r="K971" s="87"/>
      <c r="L971" s="88"/>
    </row>
    <row r="972" spans="6:12" ht="12.5">
      <c r="F972" s="86"/>
      <c r="G972" s="86"/>
      <c r="H972" s="86"/>
      <c r="I972" s="65"/>
      <c r="J972" s="65"/>
      <c r="K972" s="87"/>
      <c r="L972" s="88"/>
    </row>
    <row r="973" spans="6:12" ht="12.5">
      <c r="F973" s="86"/>
      <c r="G973" s="86"/>
      <c r="H973" s="86"/>
      <c r="I973" s="65"/>
      <c r="J973" s="65"/>
      <c r="K973" s="87"/>
      <c r="L973" s="88"/>
    </row>
    <row r="974" spans="6:12" ht="12.5">
      <c r="F974" s="86"/>
      <c r="G974" s="86"/>
      <c r="H974" s="86"/>
      <c r="I974" s="65"/>
      <c r="J974" s="65"/>
      <c r="K974" s="87"/>
      <c r="L974" s="88"/>
    </row>
    <row r="975" spans="6:12" ht="12.5">
      <c r="F975" s="86"/>
      <c r="G975" s="86"/>
      <c r="H975" s="86"/>
      <c r="I975" s="65"/>
      <c r="J975" s="65"/>
      <c r="K975" s="87"/>
      <c r="L975" s="88"/>
    </row>
    <row r="976" spans="6:12" ht="12.5">
      <c r="F976" s="86"/>
      <c r="G976" s="86"/>
      <c r="H976" s="86"/>
      <c r="I976" s="65"/>
      <c r="J976" s="65"/>
      <c r="K976" s="87"/>
      <c r="L976" s="88"/>
    </row>
    <row r="977" spans="6:12" ht="12.5">
      <c r="F977" s="86"/>
      <c r="G977" s="86"/>
      <c r="H977" s="86"/>
      <c r="I977" s="65"/>
      <c r="J977" s="65"/>
      <c r="K977" s="87"/>
      <c r="L977" s="88"/>
    </row>
    <row r="978" spans="6:12" ht="12.5">
      <c r="F978" s="86"/>
      <c r="G978" s="86"/>
      <c r="H978" s="86"/>
      <c r="I978" s="65"/>
      <c r="J978" s="65"/>
      <c r="K978" s="87"/>
      <c r="L978" s="88"/>
    </row>
    <row r="979" spans="6:12" ht="12.5">
      <c r="F979" s="86"/>
      <c r="G979" s="86"/>
      <c r="H979" s="86"/>
      <c r="I979" s="65"/>
      <c r="J979" s="65"/>
      <c r="K979" s="87"/>
      <c r="L979" s="88"/>
    </row>
    <row r="980" spans="6:12" ht="12.5">
      <c r="F980" s="86"/>
      <c r="G980" s="86"/>
      <c r="H980" s="86"/>
      <c r="I980" s="65"/>
      <c r="J980" s="65"/>
      <c r="K980" s="87"/>
      <c r="L980" s="88"/>
    </row>
    <row r="981" spans="6:12" ht="12.5">
      <c r="F981" s="86"/>
      <c r="G981" s="86"/>
      <c r="H981" s="86"/>
      <c r="I981" s="65"/>
      <c r="J981" s="65"/>
      <c r="K981" s="87"/>
      <c r="L981" s="88"/>
    </row>
    <row r="982" spans="6:12" ht="12.5">
      <c r="F982" s="86"/>
      <c r="G982" s="86"/>
      <c r="H982" s="86"/>
      <c r="I982" s="65"/>
      <c r="J982" s="65"/>
      <c r="K982" s="87"/>
      <c r="L982" s="88"/>
    </row>
    <row r="983" spans="6:12" ht="12.5">
      <c r="F983" s="86"/>
      <c r="G983" s="86"/>
      <c r="H983" s="86"/>
      <c r="I983" s="65"/>
      <c r="J983" s="65"/>
      <c r="K983" s="87"/>
      <c r="L983" s="88"/>
    </row>
    <row r="984" spans="6:12" ht="12.5">
      <c r="F984" s="86"/>
      <c r="G984" s="86"/>
      <c r="H984" s="86"/>
      <c r="I984" s="65"/>
      <c r="J984" s="65"/>
      <c r="K984" s="87"/>
      <c r="L984" s="88"/>
    </row>
    <row r="985" spans="6:12" ht="12.5">
      <c r="F985" s="86"/>
      <c r="G985" s="86"/>
      <c r="H985" s="86"/>
      <c r="I985" s="65"/>
      <c r="J985" s="65"/>
      <c r="K985" s="87"/>
      <c r="L985" s="88"/>
    </row>
    <row r="986" spans="6:12" ht="12.5">
      <c r="F986" s="86"/>
      <c r="G986" s="86"/>
      <c r="H986" s="86"/>
      <c r="I986" s="65"/>
      <c r="J986" s="65"/>
      <c r="K986" s="87"/>
      <c r="L986" s="88"/>
    </row>
    <row r="987" spans="6:12" ht="12.5">
      <c r="F987" s="86"/>
      <c r="G987" s="86"/>
      <c r="H987" s="86"/>
      <c r="I987" s="65"/>
      <c r="J987" s="65"/>
      <c r="K987" s="87"/>
      <c r="L987" s="88"/>
    </row>
    <row r="988" spans="6:12" ht="12.5">
      <c r="F988" s="86"/>
      <c r="G988" s="86"/>
      <c r="H988" s="86"/>
      <c r="I988" s="65"/>
      <c r="J988" s="65"/>
      <c r="K988" s="87"/>
      <c r="L988" s="88"/>
    </row>
    <row r="989" spans="6:12" ht="12.5">
      <c r="F989" s="86"/>
      <c r="G989" s="86"/>
      <c r="H989" s="86"/>
      <c r="I989" s="65"/>
      <c r="J989" s="65"/>
      <c r="K989" s="87"/>
      <c r="L989" s="88"/>
    </row>
    <row r="990" spans="6:12" ht="12.5">
      <c r="F990" s="86"/>
      <c r="G990" s="86"/>
      <c r="H990" s="86"/>
      <c r="I990" s="65"/>
      <c r="J990" s="65"/>
      <c r="K990" s="87"/>
      <c r="L990" s="88"/>
    </row>
    <row r="991" spans="6:12" ht="12.5">
      <c r="F991" s="86"/>
      <c r="G991" s="86"/>
      <c r="H991" s="86"/>
      <c r="I991" s="65"/>
      <c r="J991" s="65"/>
      <c r="K991" s="87"/>
      <c r="L991" s="88"/>
    </row>
    <row r="992" spans="6:12" ht="12.5">
      <c r="F992" s="86"/>
      <c r="G992" s="86"/>
      <c r="H992" s="86"/>
      <c r="I992" s="65"/>
      <c r="J992" s="65"/>
      <c r="K992" s="87"/>
      <c r="L992" s="88"/>
    </row>
    <row r="993" spans="6:12" ht="12.5">
      <c r="F993" s="86"/>
      <c r="G993" s="86"/>
      <c r="H993" s="86"/>
      <c r="I993" s="65"/>
      <c r="J993" s="65"/>
      <c r="K993" s="87"/>
      <c r="L993" s="88"/>
    </row>
    <row r="994" spans="6:12" ht="12.5">
      <c r="F994" s="86"/>
      <c r="G994" s="86"/>
      <c r="H994" s="86"/>
      <c r="I994" s="65"/>
      <c r="J994" s="65"/>
      <c r="K994" s="87"/>
      <c r="L994" s="88"/>
    </row>
    <row r="995" spans="6:12" ht="12.5">
      <c r="F995" s="86"/>
      <c r="G995" s="86"/>
      <c r="H995" s="86"/>
      <c r="I995" s="65"/>
      <c r="J995" s="65"/>
      <c r="K995" s="87"/>
      <c r="L995" s="88"/>
    </row>
    <row r="996" spans="6:12" ht="12.5">
      <c r="F996" s="86"/>
      <c r="G996" s="86"/>
      <c r="H996" s="86"/>
      <c r="I996" s="65"/>
      <c r="J996" s="65"/>
      <c r="K996" s="87"/>
      <c r="L996" s="88"/>
    </row>
    <row r="997" spans="6:12" ht="12.5">
      <c r="F997" s="86"/>
      <c r="G997" s="86"/>
      <c r="H997" s="86"/>
      <c r="I997" s="65"/>
      <c r="J997" s="65"/>
      <c r="K997" s="87"/>
      <c r="L997" s="88"/>
    </row>
    <row r="998" spans="6:12" ht="12.5">
      <c r="F998" s="86"/>
      <c r="G998" s="86"/>
      <c r="H998" s="86"/>
      <c r="I998" s="65"/>
      <c r="J998" s="65"/>
      <c r="K998" s="87"/>
      <c r="L998" s="88"/>
    </row>
    <row r="999" spans="6:12" ht="12.5">
      <c r="F999" s="86"/>
      <c r="G999" s="86"/>
      <c r="H999" s="86"/>
      <c r="I999" s="65"/>
      <c r="J999" s="65"/>
      <c r="K999" s="87"/>
      <c r="L999" s="88"/>
    </row>
    <row r="1000" spans="6:12" ht="12.5">
      <c r="F1000" s="89"/>
      <c r="G1000" s="89"/>
      <c r="H1000" s="89"/>
      <c r="I1000" s="90"/>
      <c r="J1000" s="65"/>
      <c r="K1000" s="91"/>
      <c r="L1000" s="50"/>
    </row>
    <row r="1001" spans="6:12" ht="12.5">
      <c r="F1001" s="89"/>
      <c r="G1001" s="89"/>
      <c r="H1001" s="89"/>
      <c r="I1001" s="90"/>
      <c r="J1001" s="92"/>
    </row>
    <row r="1002" spans="6:12" ht="12.5">
      <c r="F1002" s="89"/>
      <c r="G1002" s="89"/>
      <c r="H1002" s="89"/>
      <c r="I1002" s="90"/>
      <c r="J1002" s="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Project Pairs</vt:lpstr>
      <vt:lpstr>Inflation Rates by Year</vt:lpstr>
      <vt:lpstr>XLFCandidates</vt:lpstr>
      <vt:lpstr>DryGulchLF(39)</vt:lpstr>
      <vt:lpstr>CubCreek2LF(38)</vt:lpstr>
      <vt:lpstr>BackboneLF(37)</vt:lpstr>
      <vt:lpstr>CooksPeakLF(36)</vt:lpstr>
      <vt:lpstr>HirzLF(34)</vt:lpstr>
      <vt:lpstr>PierLF(33)</vt:lpstr>
      <vt:lpstr>IslandLF(31)</vt:lpstr>
      <vt:lpstr>WhitmoreLF(32)</vt:lpstr>
      <vt:lpstr>Road702LF(29)</vt:lpstr>
      <vt:lpstr>RiverLF(42)</vt:lpstr>
      <vt:lpstr>McCashXLF(1)</vt:lpstr>
      <vt:lpstr>SoberanesXLF(30)</vt:lpstr>
      <vt:lpstr>KlondikeXLF(28)</vt:lpstr>
      <vt:lpstr>BoxcarXLF(23)</vt:lpstr>
      <vt:lpstr>MosquitoXLF(22)</vt:lpstr>
      <vt:lpstr>GooseCreekXLF(21)</vt:lpstr>
      <vt:lpstr>EvansCanyonXLF(20)</vt:lpstr>
      <vt:lpstr>RafaelXLF(19)</vt:lpstr>
      <vt:lpstr>EastForkXLF(18)</vt:lpstr>
      <vt:lpstr>CaldwellXLF(17)</vt:lpstr>
      <vt:lpstr>DiamondCreekXLF(16)</vt:lpstr>
      <vt:lpstr>HighlineXLF(13)</vt:lpstr>
      <vt:lpstr>WoodburyXLF(11)</vt:lpstr>
      <vt:lpstr>SpringCreekXLF(10)</vt:lpstr>
      <vt:lpstr>SartinDrawXLF(9)</vt:lpstr>
      <vt:lpstr>BoundaryXLF(8)</vt:lpstr>
      <vt:lpstr>CampXLF(7)</vt:lpstr>
      <vt:lpstr>GrassValleyXLF(5)</vt:lpstr>
      <vt:lpstr>NorthStarXLF(2)</vt:lpstr>
      <vt:lpstr>RoughXLF(4)</vt:lpstr>
      <vt:lpstr>CarrXLF(6)</vt:lpstr>
      <vt:lpstr>CarltonCplxFOUS (33)</vt:lpstr>
      <vt:lpstr>BasinFOUS(32)</vt:lpstr>
      <vt:lpstr>ChetcoBarFOUS(34)</vt:lpstr>
      <vt:lpstr>AshCreekFOUS(31)</vt:lpstr>
      <vt:lpstr>JohnsonXLF(3)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2024-11-01T02:12:42Z</dcterms:created>
  <dcterms:modified xsi:type="dcterms:W3CDTF">2026-08-25T21:53:55Z</dcterms:modified>
</cp:coreProperties>
</file>