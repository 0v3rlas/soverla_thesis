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7F9D800E-7C71-47D2-8116-2084ABF0AD4B}" xr6:coauthVersionLast="47" xr6:coauthVersionMax="47" xr10:uidLastSave="{00000000-0000-0000-0000-000000000000}"/>
  <bookViews>
    <workbookView xWindow="28680" yWindow="-120" windowWidth="29040" windowHeight="15720" xr2:uid="{BEB98321-E174-496E-A0AB-40B017B7F175}"/>
  </bookViews>
  <sheets>
    <sheet name="(4)CreekFOU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3" i="1"/>
  <c r="H3" i="1"/>
  <c r="I3" i="1"/>
  <c r="J3" i="1" s="1"/>
  <c r="K3" i="1"/>
  <c r="N3" i="1"/>
  <c r="O3" i="1"/>
  <c r="R3" i="1"/>
  <c r="S3" i="1"/>
  <c r="T3" i="1"/>
  <c r="G4" i="1"/>
  <c r="I4" i="1"/>
  <c r="J4" i="1"/>
  <c r="N4" i="1"/>
  <c r="O4" i="1" s="1"/>
  <c r="R4" i="1"/>
  <c r="T4" i="1"/>
  <c r="G5" i="1"/>
  <c r="I5" i="1"/>
  <c r="J5" i="1"/>
  <c r="N5" i="1"/>
  <c r="O5" i="1"/>
  <c r="R5" i="1"/>
  <c r="T5" i="1"/>
  <c r="G6" i="1"/>
  <c r="H6" i="1"/>
  <c r="I6" i="1"/>
  <c r="J6" i="1"/>
  <c r="K6" i="1"/>
  <c r="N6" i="1"/>
  <c r="O6" i="1" s="1"/>
  <c r="R6" i="1"/>
  <c r="S6" i="1"/>
  <c r="T6" i="1"/>
  <c r="G7" i="1"/>
  <c r="H7" i="1"/>
  <c r="I7" i="1"/>
  <c r="J7" i="1"/>
  <c r="K7" i="1"/>
  <c r="N7" i="1"/>
  <c r="O7" i="1"/>
  <c r="R7" i="1"/>
  <c r="S7" i="1"/>
  <c r="T7" i="1"/>
  <c r="G8" i="1"/>
  <c r="L8" i="1"/>
  <c r="I8" i="1" s="1"/>
  <c r="J8" i="1" s="1"/>
  <c r="N8" i="1"/>
  <c r="O8" i="1" s="1"/>
  <c r="R8" i="1"/>
  <c r="G9" i="1"/>
  <c r="L9" i="1"/>
  <c r="T9" i="1" s="1"/>
  <c r="N9" i="1"/>
  <c r="O9" i="1"/>
  <c r="R9" i="1"/>
  <c r="G10" i="1"/>
  <c r="H10" i="1"/>
  <c r="K10" i="1"/>
  <c r="L10" i="1"/>
  <c r="T10" i="1" s="1"/>
  <c r="N10" i="1"/>
  <c r="O10" i="1" s="1"/>
  <c r="R10" i="1"/>
  <c r="S10" i="1"/>
  <c r="G11" i="1"/>
  <c r="H11" i="1"/>
  <c r="L11" i="1"/>
  <c r="I11" i="1" s="1"/>
  <c r="J11" i="1" s="1"/>
  <c r="N11" i="1"/>
  <c r="O11" i="1"/>
  <c r="R11" i="1"/>
  <c r="S11" i="1"/>
  <c r="G12" i="1"/>
  <c r="H12" i="1"/>
  <c r="K12" i="1"/>
  <c r="L12" i="1"/>
  <c r="T12" i="1" s="1"/>
  <c r="N12" i="1"/>
  <c r="O12" i="1" s="1"/>
  <c r="R12" i="1"/>
  <c r="S12" i="1"/>
  <c r="G13" i="1"/>
  <c r="L13" i="1"/>
  <c r="I13" i="1" s="1"/>
  <c r="J13" i="1" s="1"/>
  <c r="N13" i="1"/>
  <c r="O13" i="1" s="1"/>
  <c r="R13" i="1"/>
  <c r="T13" i="1"/>
  <c r="G14" i="1"/>
  <c r="L14" i="1"/>
  <c r="T15" i="1" s="1"/>
  <c r="N14" i="1"/>
  <c r="O14" i="1"/>
  <c r="R14" i="1"/>
  <c r="T14" i="1"/>
  <c r="G15" i="1"/>
  <c r="I15" i="1"/>
  <c r="J15" i="1"/>
  <c r="K15" i="1"/>
  <c r="L15" i="1"/>
  <c r="N15" i="1"/>
  <c r="O15" i="1"/>
  <c r="R15" i="1"/>
  <c r="G16" i="1"/>
  <c r="L16" i="1"/>
  <c r="O16" i="1" s="1"/>
  <c r="N16" i="1"/>
  <c r="R16" i="1"/>
  <c r="G17" i="1"/>
  <c r="H17" i="1"/>
  <c r="L17" i="1"/>
  <c r="I17" i="1" s="1"/>
  <c r="J17" i="1" s="1"/>
  <c r="N17" i="1"/>
  <c r="O17" i="1" s="1"/>
  <c r="R17" i="1"/>
  <c r="S17" i="1"/>
  <c r="G18" i="1"/>
  <c r="H18" i="1"/>
  <c r="L18" i="1"/>
  <c r="I18" i="1" s="1"/>
  <c r="J18" i="1" s="1"/>
  <c r="N18" i="1"/>
  <c r="O18" i="1" s="1"/>
  <c r="R18" i="1"/>
  <c r="S18" i="1"/>
  <c r="G19" i="1"/>
  <c r="H19" i="1"/>
  <c r="L19" i="1"/>
  <c r="I19" i="1" s="1"/>
  <c r="J19" i="1" s="1"/>
  <c r="N19" i="1"/>
  <c r="O19" i="1" s="1"/>
  <c r="R19" i="1"/>
  <c r="S19" i="1"/>
  <c r="G20" i="1"/>
  <c r="H20" i="1"/>
  <c r="L20" i="1"/>
  <c r="I20" i="1" s="1"/>
  <c r="J20" i="1" s="1"/>
  <c r="N20" i="1"/>
  <c r="O20" i="1" s="1"/>
  <c r="R20" i="1"/>
  <c r="S20" i="1"/>
  <c r="G21" i="1"/>
  <c r="H21" i="1"/>
  <c r="L21" i="1"/>
  <c r="I21" i="1" s="1"/>
  <c r="J21" i="1" s="1"/>
  <c r="N21" i="1"/>
  <c r="O21" i="1" s="1"/>
  <c r="R21" i="1"/>
  <c r="S21" i="1"/>
  <c r="G22" i="1"/>
  <c r="H22" i="1"/>
  <c r="L22" i="1"/>
  <c r="I23" i="1" s="1"/>
  <c r="J23" i="1" s="1"/>
  <c r="N22" i="1"/>
  <c r="O22" i="1" s="1"/>
  <c r="R22" i="1"/>
  <c r="S22" i="1"/>
  <c r="H23" i="1"/>
  <c r="N23" i="1"/>
  <c r="O23" i="1"/>
  <c r="S23" i="1"/>
  <c r="H24" i="1"/>
  <c r="L24" i="1"/>
  <c r="I24" i="1" s="1"/>
  <c r="J24" i="1" s="1"/>
  <c r="N24" i="1"/>
  <c r="O24" i="1" s="1"/>
  <c r="S24" i="1"/>
  <c r="T24" i="1"/>
  <c r="G25" i="1"/>
  <c r="H25" i="1"/>
  <c r="L25" i="1"/>
  <c r="I25" i="1" s="1"/>
  <c r="J25" i="1" s="1"/>
  <c r="N25" i="1"/>
  <c r="O25" i="1" s="1"/>
  <c r="R25" i="1"/>
  <c r="S25" i="1"/>
  <c r="T25" i="1"/>
  <c r="G26" i="1"/>
  <c r="H26" i="1"/>
  <c r="L26" i="1"/>
  <c r="I26" i="1" s="1"/>
  <c r="J26" i="1" s="1"/>
  <c r="N26" i="1"/>
  <c r="R26" i="1"/>
  <c r="S26" i="1"/>
  <c r="T26" i="1"/>
  <c r="G27" i="1"/>
  <c r="H27" i="1"/>
  <c r="L27" i="1"/>
  <c r="I27" i="1" s="1"/>
  <c r="J27" i="1" s="1"/>
  <c r="N27" i="1"/>
  <c r="O27" i="1" s="1"/>
  <c r="R27" i="1"/>
  <c r="S27" i="1"/>
  <c r="T27" i="1"/>
  <c r="G28" i="1"/>
  <c r="H28" i="1"/>
  <c r="L28" i="1"/>
  <c r="I28" i="1" s="1"/>
  <c r="J28" i="1" s="1"/>
  <c r="N28" i="1"/>
  <c r="R28" i="1"/>
  <c r="S28" i="1"/>
  <c r="T28" i="1"/>
  <c r="G29" i="1"/>
  <c r="H29" i="1"/>
  <c r="L29" i="1"/>
  <c r="I29" i="1" s="1"/>
  <c r="J29" i="1" s="1"/>
  <c r="N29" i="1"/>
  <c r="O29" i="1" s="1"/>
  <c r="R29" i="1"/>
  <c r="S29" i="1"/>
  <c r="T29" i="1"/>
  <c r="G30" i="1"/>
  <c r="H30" i="1"/>
  <c r="L30" i="1"/>
  <c r="I30" i="1" s="1"/>
  <c r="J30" i="1" s="1"/>
  <c r="N30" i="1"/>
  <c r="R30" i="1"/>
  <c r="S30" i="1"/>
  <c r="T30" i="1"/>
  <c r="G31" i="1"/>
  <c r="H31" i="1"/>
  <c r="L31" i="1"/>
  <c r="I31" i="1" s="1"/>
  <c r="J31" i="1" s="1"/>
  <c r="N31" i="1"/>
  <c r="O31" i="1" s="1"/>
  <c r="R31" i="1"/>
  <c r="S31" i="1"/>
  <c r="T31" i="1"/>
  <c r="G32" i="1"/>
  <c r="H32" i="1"/>
  <c r="L32" i="1"/>
  <c r="I32" i="1" s="1"/>
  <c r="J32" i="1" s="1"/>
  <c r="N32" i="1"/>
  <c r="R32" i="1"/>
  <c r="S32" i="1"/>
  <c r="T32" i="1"/>
  <c r="G33" i="1"/>
  <c r="H33" i="1"/>
  <c r="L33" i="1"/>
  <c r="I33" i="1" s="1"/>
  <c r="J33" i="1" s="1"/>
  <c r="N33" i="1"/>
  <c r="O33" i="1" s="1"/>
  <c r="R33" i="1"/>
  <c r="S33" i="1"/>
  <c r="T33" i="1"/>
  <c r="G34" i="1"/>
  <c r="H34" i="1"/>
  <c r="L34" i="1"/>
  <c r="I34" i="1" s="1"/>
  <c r="J34" i="1" s="1"/>
  <c r="N34" i="1"/>
  <c r="R34" i="1"/>
  <c r="S34" i="1"/>
  <c r="T34" i="1"/>
  <c r="G35" i="1"/>
  <c r="H35" i="1"/>
  <c r="L35" i="1"/>
  <c r="I35" i="1" s="1"/>
  <c r="J35" i="1" s="1"/>
  <c r="N35" i="1"/>
  <c r="O35" i="1" s="1"/>
  <c r="R35" i="1"/>
  <c r="S35" i="1"/>
  <c r="T35" i="1"/>
  <c r="G36" i="1"/>
  <c r="H36" i="1"/>
  <c r="L36" i="1"/>
  <c r="I36" i="1" s="1"/>
  <c r="J36" i="1" s="1"/>
  <c r="N36" i="1"/>
  <c r="R36" i="1"/>
  <c r="S36" i="1"/>
  <c r="T36" i="1"/>
  <c r="G37" i="1"/>
  <c r="H37" i="1"/>
  <c r="L37" i="1"/>
  <c r="I37" i="1" s="1"/>
  <c r="J37" i="1" s="1"/>
  <c r="N37" i="1"/>
  <c r="O37" i="1" s="1"/>
  <c r="R37" i="1"/>
  <c r="S37" i="1"/>
  <c r="T37" i="1"/>
  <c r="G38" i="1"/>
  <c r="H38" i="1"/>
  <c r="L38" i="1"/>
  <c r="I38" i="1" s="1"/>
  <c r="J38" i="1" s="1"/>
  <c r="N38" i="1"/>
  <c r="R38" i="1"/>
  <c r="S38" i="1"/>
  <c r="T38" i="1"/>
  <c r="G39" i="1"/>
  <c r="H39" i="1"/>
  <c r="L39" i="1"/>
  <c r="I39" i="1" s="1"/>
  <c r="J39" i="1" s="1"/>
  <c r="N39" i="1"/>
  <c r="O39" i="1" s="1"/>
  <c r="R39" i="1"/>
  <c r="S39" i="1"/>
  <c r="T39" i="1"/>
  <c r="G40" i="1"/>
  <c r="H40" i="1"/>
  <c r="L40" i="1"/>
  <c r="I40" i="1" s="1"/>
  <c r="J40" i="1" s="1"/>
  <c r="N40" i="1"/>
  <c r="R40" i="1"/>
  <c r="S40" i="1"/>
  <c r="T40" i="1"/>
  <c r="G41" i="1"/>
  <c r="L41" i="1"/>
  <c r="T42" i="1" s="1"/>
  <c r="N41" i="1"/>
  <c r="O41" i="1" s="1"/>
  <c r="R41" i="1"/>
  <c r="T41" i="1"/>
  <c r="G42" i="1"/>
  <c r="I42" i="1"/>
  <c r="J42" i="1"/>
  <c r="K42" i="1"/>
  <c r="L42" i="1"/>
  <c r="N42" i="1"/>
  <c r="O42" i="1"/>
  <c r="R42" i="1"/>
  <c r="G43" i="1"/>
  <c r="H43" i="1"/>
  <c r="I43" i="1"/>
  <c r="J43" i="1"/>
  <c r="K43" i="1"/>
  <c r="L43" i="1"/>
  <c r="N43" i="1"/>
  <c r="O43" i="1"/>
  <c r="R43" i="1"/>
  <c r="S43" i="1"/>
  <c r="T43" i="1"/>
  <c r="G44" i="1"/>
  <c r="H44" i="1"/>
  <c r="I44" i="1"/>
  <c r="J44" i="1"/>
  <c r="K44" i="1"/>
  <c r="L44" i="1"/>
  <c r="T44" i="1" s="1"/>
  <c r="N44" i="1"/>
  <c r="O44" i="1" s="1"/>
  <c r="R44" i="1"/>
  <c r="S44" i="1"/>
  <c r="G45" i="1"/>
  <c r="H45" i="1"/>
  <c r="I45" i="1"/>
  <c r="J45" i="1"/>
  <c r="K45" i="1"/>
  <c r="L45" i="1"/>
  <c r="N45" i="1"/>
  <c r="O45" i="1"/>
  <c r="R45" i="1"/>
  <c r="S45" i="1"/>
  <c r="T45" i="1"/>
  <c r="G46" i="1"/>
  <c r="H46" i="1"/>
  <c r="I46" i="1"/>
  <c r="J46" i="1"/>
  <c r="K46" i="1"/>
  <c r="L46" i="1"/>
  <c r="T46" i="1" s="1"/>
  <c r="N46" i="1"/>
  <c r="O46" i="1" s="1"/>
  <c r="R46" i="1"/>
  <c r="S46" i="1"/>
  <c r="G47" i="1"/>
  <c r="H47" i="1"/>
  <c r="I47" i="1"/>
  <c r="J47" i="1"/>
  <c r="K47" i="1"/>
  <c r="L47" i="1"/>
  <c r="N47" i="1"/>
  <c r="O47" i="1"/>
  <c r="R47" i="1"/>
  <c r="S47" i="1"/>
  <c r="T47" i="1"/>
  <c r="G48" i="1"/>
  <c r="I48" i="1"/>
  <c r="J48" i="1" s="1"/>
  <c r="L48" i="1"/>
  <c r="K48" i="1" s="1"/>
  <c r="N48" i="1"/>
  <c r="O48" i="1" s="1"/>
  <c r="R48" i="1"/>
  <c r="G49" i="1"/>
  <c r="L49" i="1"/>
  <c r="T49" i="1" s="1"/>
  <c r="N49" i="1"/>
  <c r="O49" i="1"/>
  <c r="R49" i="1"/>
  <c r="G50" i="1"/>
  <c r="K50" i="1"/>
  <c r="L50" i="1"/>
  <c r="I50" i="1" s="1"/>
  <c r="J50" i="1" s="1"/>
  <c r="N50" i="1"/>
  <c r="O50" i="1" s="1"/>
  <c r="R50" i="1"/>
  <c r="T50" i="1"/>
  <c r="G51" i="1"/>
  <c r="L51" i="1"/>
  <c r="I51" i="1" s="1"/>
  <c r="J51" i="1" s="1"/>
  <c r="N51" i="1"/>
  <c r="R51" i="1"/>
  <c r="T51" i="1"/>
  <c r="G52" i="1"/>
  <c r="H52" i="1"/>
  <c r="L52" i="1"/>
  <c r="I52" i="1" s="1"/>
  <c r="J52" i="1" s="1"/>
  <c r="N52" i="1"/>
  <c r="O52" i="1"/>
  <c r="R52" i="1"/>
  <c r="S52" i="1"/>
  <c r="T52" i="1"/>
  <c r="G53" i="1"/>
  <c r="H53" i="1"/>
  <c r="I53" i="1"/>
  <c r="J53" i="1" s="1"/>
  <c r="L53" i="1"/>
  <c r="N53" i="1"/>
  <c r="O53" i="1" s="1"/>
  <c r="R53" i="1"/>
  <c r="S53" i="1"/>
  <c r="T53" i="1"/>
  <c r="G54" i="1"/>
  <c r="H54" i="1"/>
  <c r="L54" i="1"/>
  <c r="I54" i="1" s="1"/>
  <c r="J54" i="1" s="1"/>
  <c r="N54" i="1"/>
  <c r="O54" i="1"/>
  <c r="R54" i="1"/>
  <c r="S54" i="1"/>
  <c r="T54" i="1"/>
  <c r="G55" i="1"/>
  <c r="H55" i="1"/>
  <c r="I55" i="1"/>
  <c r="J55" i="1" s="1"/>
  <c r="L55" i="1"/>
  <c r="N55" i="1"/>
  <c r="O55" i="1" s="1"/>
  <c r="R55" i="1"/>
  <c r="S55" i="1"/>
  <c r="T55" i="1"/>
  <c r="G56" i="1"/>
  <c r="H56" i="1"/>
  <c r="L56" i="1"/>
  <c r="J2" i="1" s="1"/>
  <c r="N56" i="1"/>
  <c r="O56" i="1"/>
  <c r="R56" i="1"/>
  <c r="S56" i="1"/>
  <c r="T56" i="1"/>
  <c r="I57" i="1"/>
  <c r="J57" i="1" s="1"/>
  <c r="N57" i="1"/>
  <c r="O57" i="1" s="1"/>
  <c r="I58" i="1"/>
  <c r="J58" i="1"/>
  <c r="N58" i="1"/>
  <c r="O58" i="1" s="1"/>
  <c r="L59" i="1"/>
  <c r="I59" i="1" s="1"/>
  <c r="J59" i="1" s="1"/>
  <c r="N59" i="1"/>
  <c r="O59" i="1"/>
  <c r="L60" i="1"/>
  <c r="I60" i="1" s="1"/>
  <c r="J60" i="1" s="1"/>
  <c r="N60" i="1"/>
  <c r="O60" i="1"/>
  <c r="I61" i="1"/>
  <c r="J61" i="1" s="1"/>
  <c r="N61" i="1"/>
  <c r="O61" i="1" s="1"/>
  <c r="I62" i="1"/>
  <c r="J62" i="1"/>
  <c r="L62" i="1"/>
  <c r="I63" i="1" s="1"/>
  <c r="J63" i="1" s="1"/>
  <c r="N62" i="1"/>
  <c r="L63" i="1"/>
  <c r="N63" i="1"/>
  <c r="O63" i="1" s="1"/>
  <c r="L64" i="1"/>
  <c r="O64" i="1" s="1"/>
  <c r="N64" i="1"/>
  <c r="N65" i="1"/>
  <c r="O65" i="1"/>
  <c r="I66" i="1"/>
  <c r="J66" i="1"/>
  <c r="N66" i="1"/>
  <c r="O66" i="1"/>
  <c r="I67" i="1"/>
  <c r="J67" i="1" s="1"/>
  <c r="N67" i="1"/>
  <c r="O67" i="1"/>
  <c r="I68" i="1"/>
  <c r="J68" i="1"/>
  <c r="N68" i="1"/>
  <c r="O68" i="1"/>
  <c r="I69" i="1"/>
  <c r="J69" i="1"/>
  <c r="N69" i="1"/>
  <c r="O69" i="1"/>
  <c r="I70" i="1"/>
  <c r="J70" i="1"/>
  <c r="N70" i="1"/>
  <c r="O70" i="1"/>
  <c r="I71" i="1"/>
  <c r="J71" i="1"/>
  <c r="N71" i="1"/>
  <c r="O71" i="1"/>
  <c r="I72" i="1"/>
  <c r="J72" i="1"/>
  <c r="N72" i="1"/>
  <c r="O72" i="1" s="1"/>
  <c r="I73" i="1"/>
  <c r="J73" i="1"/>
  <c r="N73" i="1"/>
  <c r="O73" i="1"/>
  <c r="I74" i="1"/>
  <c r="J74" i="1"/>
  <c r="N74" i="1"/>
  <c r="O74" i="1"/>
  <c r="I75" i="1"/>
  <c r="J75" i="1"/>
  <c r="N75" i="1"/>
  <c r="O75" i="1"/>
  <c r="I76" i="1"/>
  <c r="J76" i="1"/>
  <c r="N76" i="1"/>
  <c r="O76" i="1"/>
  <c r="I77" i="1"/>
  <c r="J77" i="1"/>
  <c r="N77" i="1"/>
  <c r="O77" i="1"/>
  <c r="I78" i="1"/>
  <c r="J78" i="1" s="1"/>
  <c r="N78" i="1"/>
  <c r="O78" i="1"/>
  <c r="I79" i="1"/>
  <c r="J79" i="1"/>
  <c r="N79" i="1"/>
  <c r="O79" i="1"/>
  <c r="I80" i="1"/>
  <c r="J80" i="1"/>
  <c r="N80" i="1"/>
  <c r="O80" i="1"/>
  <c r="I81" i="1"/>
  <c r="J81" i="1"/>
  <c r="N81" i="1"/>
  <c r="O81" i="1"/>
  <c r="I82" i="1"/>
  <c r="J82" i="1"/>
  <c r="N82" i="1"/>
  <c r="O82" i="1"/>
  <c r="I83" i="1"/>
  <c r="J83" i="1"/>
  <c r="N83" i="1"/>
  <c r="O83" i="1" s="1"/>
  <c r="K39" i="1" l="1"/>
  <c r="K37" i="1"/>
  <c r="K35" i="1"/>
  <c r="K33" i="1"/>
  <c r="K31" i="1"/>
  <c r="K29" i="1"/>
  <c r="K27" i="1"/>
  <c r="K25" i="1"/>
  <c r="T22" i="1"/>
  <c r="T20" i="1"/>
  <c r="T18" i="1"/>
  <c r="T16" i="1"/>
  <c r="I12" i="1"/>
  <c r="J12" i="1" s="1"/>
  <c r="I10" i="1"/>
  <c r="J10" i="1" s="1"/>
  <c r="I65" i="1"/>
  <c r="J65" i="1" s="1"/>
  <c r="K56" i="1"/>
  <c r="K54" i="1"/>
  <c r="K52" i="1"/>
  <c r="K41" i="1"/>
  <c r="K14" i="1"/>
  <c r="K5" i="1"/>
  <c r="I56" i="1"/>
  <c r="J56" i="1" s="1"/>
  <c r="I41" i="1"/>
  <c r="J41" i="1" s="1"/>
  <c r="I14" i="1"/>
  <c r="J14" i="1" s="1"/>
  <c r="T11" i="1"/>
  <c r="K22" i="1"/>
  <c r="K20" i="1"/>
  <c r="K18" i="1"/>
  <c r="K49" i="1"/>
  <c r="I16" i="1"/>
  <c r="J16" i="1" s="1"/>
  <c r="O51" i="1"/>
  <c r="O40" i="1"/>
  <c r="O38" i="1"/>
  <c r="O36" i="1"/>
  <c r="O34" i="1"/>
  <c r="O32" i="1"/>
  <c r="O30" i="1"/>
  <c r="O28" i="1"/>
  <c r="O26" i="1"/>
  <c r="O85" i="1" s="1"/>
  <c r="I22" i="1"/>
  <c r="J22" i="1" s="1"/>
  <c r="K9" i="1"/>
  <c r="I49" i="1"/>
  <c r="J49" i="1" s="1"/>
  <c r="K11" i="1"/>
  <c r="K4" i="1"/>
  <c r="K16" i="1"/>
  <c r="O62" i="1"/>
  <c r="K55" i="1"/>
  <c r="K53" i="1"/>
  <c r="T8" i="1"/>
  <c r="I64" i="1"/>
  <c r="J64" i="1" s="1"/>
  <c r="K24" i="1"/>
  <c r="K13" i="1"/>
  <c r="I9" i="1"/>
  <c r="J9" i="1" s="1"/>
  <c r="K51" i="1"/>
  <c r="T48" i="1"/>
  <c r="K40" i="1"/>
  <c r="K38" i="1"/>
  <c r="K36" i="1"/>
  <c r="K34" i="1"/>
  <c r="K32" i="1"/>
  <c r="K30" i="1"/>
  <c r="K28" i="1"/>
  <c r="K26" i="1"/>
  <c r="T21" i="1"/>
  <c r="T19" i="1"/>
  <c r="T17" i="1"/>
  <c r="T23" i="1"/>
  <c r="K21" i="1"/>
  <c r="K19" i="1"/>
  <c r="K17" i="1"/>
  <c r="K8" i="1"/>
  <c r="K23" i="1"/>
</calcChain>
</file>

<file path=xl/sharedStrings.xml><?xml version="1.0" encoding="utf-8"?>
<sst xmlns="http://schemas.openxmlformats.org/spreadsheetml/2006/main" count="18" uniqueCount="18">
  <si>
    <t>LS_Best</t>
  </si>
  <si>
    <t>Ls_IR</t>
  </si>
  <si>
    <t>Ls_Prog</t>
  </si>
  <si>
    <t>Cost per day per acre</t>
  </si>
  <si>
    <t>Real Cost (Adjusted for Inflation)</t>
  </si>
  <si>
    <t xml:space="preserve">ICS209 cost </t>
  </si>
  <si>
    <t>Best</t>
  </si>
  <si>
    <t>Ls_Growth</t>
  </si>
  <si>
    <t>As</t>
  </si>
  <si>
    <t>growth</t>
  </si>
  <si>
    <t>Growth_IR</t>
  </si>
  <si>
    <t>Growth_Prog</t>
  </si>
  <si>
    <t xml:space="preserve">IR </t>
  </si>
  <si>
    <t>Prog_1105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</si>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</sst>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0" borderId="0" xfId="0" applyNumberFormat="1" applyFont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4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/>
    <xf numFmtId="1" fontId="2" fillId="3" borderId="0" xfId="0" applyNumberFormat="1" applyFont="1" applyFill="1" applyAlignment="1">
      <alignment horizontal="right"/>
    </xf>
    <xf numFmtId="0" fontId="2" fillId="0" borderId="0" xfId="0" applyFont="1"/>
    <xf numFmtId="2" fontId="2" fillId="0" borderId="0" xfId="0" applyNumberFormat="1" applyFont="1"/>
    <xf numFmtId="164" fontId="2" fillId="2" borderId="0" xfId="0" applyNumberFormat="1" applyFont="1" applyFill="1"/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" fontId="2" fillId="2" borderId="0" xfId="0" applyNumberFormat="1" applyFont="1" applyFill="1" applyAlignment="1">
      <alignment horizontal="right"/>
    </xf>
    <xf numFmtId="0" fontId="1" fillId="6" borderId="0" xfId="0" applyFont="1" applyFill="1"/>
    <xf numFmtId="0" fontId="2" fillId="6" borderId="0" xfId="0" applyFont="1" applyFill="1"/>
    <xf numFmtId="2" fontId="2" fillId="6" borderId="0" xfId="0" applyNumberFormat="1" applyFont="1" applyFill="1" applyAlignment="1">
      <alignment horizontal="right"/>
    </xf>
    <xf numFmtId="164" fontId="2" fillId="6" borderId="1" xfId="0" applyNumberFormat="1" applyFont="1" applyFill="1" applyBorder="1" applyAlignment="1">
      <alignment wrapText="1"/>
    </xf>
    <xf numFmtId="164" fontId="2" fillId="6" borderId="0" xfId="0" applyNumberFormat="1" applyFont="1" applyFill="1" applyAlignment="1">
      <alignment horizontal="right"/>
    </xf>
    <xf numFmtId="1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wrapText="1"/>
    </xf>
    <xf numFmtId="1" fontId="2" fillId="2" borderId="0" xfId="0" applyNumberFormat="1" applyFont="1" applyFill="1"/>
    <xf numFmtId="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D695-6680-4A27-BF49-47F6B5CDD9CD}">
  <sheetPr>
    <outlinePr summaryBelow="0" summaryRight="0"/>
  </sheetPr>
  <dimension ref="A1:AI1001"/>
  <sheetViews>
    <sheetView tabSelected="1" topLeftCell="A51" workbookViewId="0">
      <selection activeCell="S74" sqref="S74"/>
    </sheetView>
  </sheetViews>
  <sheetFormatPr defaultColWidth="12.5703125" defaultRowHeight="15" customHeight="1" x14ac:dyDescent="0.25"/>
  <cols>
    <col min="9" max="11" width="14.42578125" customWidth="1"/>
    <col min="14" max="15" width="12" customWidth="1"/>
  </cols>
  <sheetData>
    <row r="1" spans="1:21" ht="15" customHeight="1" thickBot="1" x14ac:dyDescent="0.3">
      <c r="A1" s="14" t="s">
        <v>17</v>
      </c>
      <c r="B1" s="14" t="s">
        <v>16</v>
      </c>
      <c r="C1" s="14" t="s">
        <v>15</v>
      </c>
      <c r="D1" s="17" t="s">
        <v>14</v>
      </c>
      <c r="E1" s="14" t="s">
        <v>13</v>
      </c>
      <c r="F1" s="14" t="s">
        <v>12</v>
      </c>
      <c r="G1" s="14" t="s">
        <v>11</v>
      </c>
      <c r="H1" s="14" t="s">
        <v>10</v>
      </c>
      <c r="I1" s="12" t="s">
        <v>9</v>
      </c>
      <c r="J1" s="12" t="s">
        <v>8</v>
      </c>
      <c r="K1" s="12" t="s">
        <v>7</v>
      </c>
      <c r="L1" s="33" t="s">
        <v>6</v>
      </c>
      <c r="M1" s="32" t="s">
        <v>5</v>
      </c>
      <c r="N1" s="8" t="s">
        <v>4</v>
      </c>
      <c r="O1" s="7" t="s">
        <v>3</v>
      </c>
      <c r="P1" s="15"/>
      <c r="Q1" s="15"/>
      <c r="R1" s="15" t="s">
        <v>2</v>
      </c>
      <c r="S1" s="15" t="s">
        <v>1</v>
      </c>
      <c r="T1" s="14" t="s">
        <v>0</v>
      </c>
      <c r="U1" s="14"/>
    </row>
    <row r="2" spans="1:21" ht="15" customHeight="1" thickBot="1" x14ac:dyDescent="0.3">
      <c r="A2" s="10">
        <v>44078</v>
      </c>
      <c r="B2" s="9">
        <v>1</v>
      </c>
      <c r="C2" s="14"/>
      <c r="D2" s="17"/>
      <c r="E2" s="14"/>
      <c r="F2" s="14"/>
      <c r="G2" s="14"/>
      <c r="H2" s="14"/>
      <c r="I2" s="34">
        <f>L2-0</f>
        <v>0</v>
      </c>
      <c r="J2" s="12">
        <f>55/$L$56*(I2)</f>
        <v>0</v>
      </c>
      <c r="K2" s="12"/>
      <c r="L2" s="33">
        <v>0</v>
      </c>
      <c r="M2" s="32"/>
      <c r="N2" s="8"/>
      <c r="O2" s="7"/>
      <c r="P2" s="15"/>
      <c r="Q2" s="15"/>
      <c r="R2" s="15"/>
      <c r="S2" s="15"/>
      <c r="T2" s="14"/>
      <c r="U2" s="14"/>
    </row>
    <row r="3" spans="1:21" ht="15" customHeight="1" thickBot="1" x14ac:dyDescent="0.3">
      <c r="A3" s="10">
        <v>44079</v>
      </c>
      <c r="B3" s="9">
        <v>2</v>
      </c>
      <c r="C3" s="9">
        <v>36000</v>
      </c>
      <c r="D3" s="19">
        <v>3000000</v>
      </c>
      <c r="E3" s="9">
        <v>45020</v>
      </c>
      <c r="F3" s="9">
        <v>45532</v>
      </c>
      <c r="G3" s="9">
        <f>E3-E2</f>
        <v>45020</v>
      </c>
      <c r="H3" s="9">
        <f>F3-F2</f>
        <v>45532</v>
      </c>
      <c r="I3" s="13">
        <f>L3-L2</f>
        <v>45020</v>
      </c>
      <c r="J3" s="12">
        <f>82/$L$83*(I3)</f>
        <v>9.7175272114663258</v>
      </c>
      <c r="K3" s="30">
        <f>$B$56/SQRT($L$56)*(SQRT(L3)-SQRT(L2))</f>
        <v>19.062639087532151</v>
      </c>
      <c r="L3" s="20">
        <v>45020</v>
      </c>
      <c r="M3" s="18">
        <v>3000000</v>
      </c>
      <c r="N3" s="8">
        <f>M3*('[1]Inflation Rates by Year'!$D$2)</f>
        <v>3432987.3600000003</v>
      </c>
      <c r="O3" s="7">
        <f>N3/L3</f>
        <v>76.254717014660159</v>
      </c>
      <c r="P3" s="29"/>
      <c r="Q3" s="29"/>
      <c r="R3" s="29">
        <f>$B$56/SQRT($E$56)*(SQRT(E3)-SQRT(E2))</f>
        <v>19.062639087532151</v>
      </c>
      <c r="S3" s="29">
        <f>$B$56/SQRT($E$56)*(SQRT(F3)-SQRT(F2))</f>
        <v>19.170729694456188</v>
      </c>
      <c r="T3" s="29">
        <f>$B$56/SQRT($E$56)*(SQRT(L3)-SQRT(L2))</f>
        <v>19.062639087532151</v>
      </c>
      <c r="U3" s="14"/>
    </row>
    <row r="4" spans="1:21" ht="15" customHeight="1" thickBot="1" x14ac:dyDescent="0.3">
      <c r="A4" s="10">
        <v>44080</v>
      </c>
      <c r="B4" s="9">
        <v>3</v>
      </c>
      <c r="C4" s="9">
        <v>73278</v>
      </c>
      <c r="D4" s="19">
        <v>4000000</v>
      </c>
      <c r="E4" s="9">
        <v>80940</v>
      </c>
      <c r="F4" s="14"/>
      <c r="G4" s="9">
        <f>E4-E3</f>
        <v>35920</v>
      </c>
      <c r="H4" s="14"/>
      <c r="I4" s="13">
        <f>L4-L3</f>
        <v>35920</v>
      </c>
      <c r="J4" s="12">
        <f>82/$L$83*(I4)</f>
        <v>7.7533002540175575</v>
      </c>
      <c r="K4" s="30">
        <f>$B$56/SQRT($L$56)*(SQRT(L4)-SQRT(L3))</f>
        <v>6.497421571822537</v>
      </c>
      <c r="L4" s="20">
        <v>80940</v>
      </c>
      <c r="M4" s="18">
        <v>4000000</v>
      </c>
      <c r="N4" s="8">
        <f>M4*('[1]Inflation Rates by Year'!$D$2)</f>
        <v>4577316.4800000004</v>
      </c>
      <c r="O4" s="7">
        <f>N4/L4</f>
        <v>56.551970348406229</v>
      </c>
      <c r="P4" s="29"/>
      <c r="Q4" s="29"/>
      <c r="R4" s="29">
        <f>$B$56/SQRT($E$56)*(SQRT(E4)-SQRT(E3))</f>
        <v>6.497421571822537</v>
      </c>
      <c r="S4" s="15"/>
      <c r="T4" s="29">
        <f>$B$56/SQRT($E$56)*(SQRT(L4)-SQRT(L3))</f>
        <v>6.497421571822537</v>
      </c>
      <c r="U4" s="14"/>
    </row>
    <row r="5" spans="1:21" ht="15" customHeight="1" thickBot="1" x14ac:dyDescent="0.3">
      <c r="A5" s="10">
        <v>44081</v>
      </c>
      <c r="B5" s="9">
        <v>4</v>
      </c>
      <c r="C5" s="9">
        <v>135523</v>
      </c>
      <c r="D5" s="19">
        <v>3542434</v>
      </c>
      <c r="E5" s="9">
        <v>123693</v>
      </c>
      <c r="F5" s="9">
        <v>143929</v>
      </c>
      <c r="G5" s="9">
        <f>E5-E4</f>
        <v>42753</v>
      </c>
      <c r="H5" s="14"/>
      <c r="I5" s="13">
        <f>L5-L4</f>
        <v>42753</v>
      </c>
      <c r="J5" s="12">
        <f>82/$L$83*(I5)</f>
        <v>9.22819726503376</v>
      </c>
      <c r="K5" s="30">
        <f>$B$56/SQRT($L$56)*(SQRT(L5)-SQRT(L4))</f>
        <v>6.037448001395564</v>
      </c>
      <c r="L5" s="20">
        <v>123693</v>
      </c>
      <c r="M5" s="18">
        <v>3542434</v>
      </c>
      <c r="N5" s="8">
        <f>M5*('[1]Inflation Rates by Year'!$D$2)</f>
        <v>4053710.3818780803</v>
      </c>
      <c r="O5" s="7">
        <f>N5/L5</f>
        <v>32.772350754513838</v>
      </c>
      <c r="P5" s="29"/>
      <c r="Q5" s="29"/>
      <c r="R5" s="29">
        <f>$B$56/SQRT($E$56)*(SQRT(E5)-SQRT(E4))</f>
        <v>6.037448001395564</v>
      </c>
      <c r="S5" s="15"/>
      <c r="T5" s="29">
        <f>$B$56/SQRT($E$56)*(SQRT(L5)-SQRT(L4))</f>
        <v>6.037448001395564</v>
      </c>
      <c r="U5" s="14"/>
    </row>
    <row r="6" spans="1:21" ht="15" customHeight="1" thickBot="1" x14ac:dyDescent="0.3">
      <c r="A6" s="10">
        <v>44082</v>
      </c>
      <c r="B6" s="9">
        <v>5</v>
      </c>
      <c r="C6" s="9">
        <v>152833</v>
      </c>
      <c r="D6" s="19">
        <v>5200000</v>
      </c>
      <c r="E6" s="9">
        <v>159699</v>
      </c>
      <c r="F6" s="9">
        <v>163138</v>
      </c>
      <c r="G6" s="9">
        <f>E6-E5</f>
        <v>36006</v>
      </c>
      <c r="H6" s="9">
        <f>F6-F5</f>
        <v>19209</v>
      </c>
      <c r="I6" s="13">
        <f>L6-L5</f>
        <v>36006</v>
      </c>
      <c r="J6" s="12">
        <f>82/$L$83*(I6)</f>
        <v>7.7718632780110299</v>
      </c>
      <c r="K6" s="30">
        <f>$B$56/SQRT($L$56)*(SQRT(L6)-SQRT(L5))</f>
        <v>4.3055441980082625</v>
      </c>
      <c r="L6" s="20">
        <v>159699</v>
      </c>
      <c r="M6" s="18">
        <v>5200000</v>
      </c>
      <c r="N6" s="8">
        <f>M6*('[1]Inflation Rates by Year'!$D$2)</f>
        <v>5950511.4240000006</v>
      </c>
      <c r="O6" s="7">
        <f>N6/L6</f>
        <v>37.260793267334179</v>
      </c>
      <c r="P6" s="29"/>
      <c r="Q6" s="29"/>
      <c r="R6" s="29">
        <f>$B$56/SQRT($E$56)*(SQRT(E6)-SQRT(E5))</f>
        <v>4.3055441980082625</v>
      </c>
      <c r="S6" s="29">
        <f>$B$56/SQRT($E$56)*(SQRT(F6)-SQRT(F5))</f>
        <v>2.2032623790116048</v>
      </c>
      <c r="T6" s="29">
        <f>$B$56/SQRT($E$56)*(SQRT(L6)-SQRT(L5))</f>
        <v>4.3055441980082625</v>
      </c>
      <c r="U6" s="14"/>
    </row>
    <row r="7" spans="1:21" ht="15" customHeight="1" thickBot="1" x14ac:dyDescent="0.3">
      <c r="A7" s="10">
        <v>44083</v>
      </c>
      <c r="B7" s="9">
        <v>6</v>
      </c>
      <c r="C7" s="9">
        <v>166965</v>
      </c>
      <c r="D7" s="19">
        <v>10500991</v>
      </c>
      <c r="E7" s="9">
        <v>171910</v>
      </c>
      <c r="F7" s="9">
        <v>175893</v>
      </c>
      <c r="G7" s="9">
        <f>E7-E6</f>
        <v>12211</v>
      </c>
      <c r="H7" s="9">
        <f>F7-F6</f>
        <v>12755</v>
      </c>
      <c r="I7" s="13">
        <f>L7-L6</f>
        <v>12120</v>
      </c>
      <c r="J7" s="12">
        <f>82/$L$83*(I7)</f>
        <v>2.6160912883823162</v>
      </c>
      <c r="K7" s="30">
        <f>$B$56/SQRT($L$56)*(SQRT(L7)-SQRT(L6))</f>
        <v>1.3374789010440216</v>
      </c>
      <c r="L7" s="20">
        <v>171819</v>
      </c>
      <c r="M7" s="18">
        <v>10500991</v>
      </c>
      <c r="N7" s="8">
        <f>M7*('[1]Inflation Rates by Year'!$D$2)</f>
        <v>12016589.790157922</v>
      </c>
      <c r="O7" s="7">
        <f>N7/L7</f>
        <v>69.937491139850195</v>
      </c>
      <c r="P7" s="29"/>
      <c r="Q7" s="29"/>
      <c r="R7" s="29">
        <f>$B$56/SQRT($E$56)*(SQRT(E7)-SQRT(E6))</f>
        <v>1.3473393931814996</v>
      </c>
      <c r="S7" s="29">
        <f>$B$56/SQRT($E$56)*(SQRT(F7)-SQRT(F6))</f>
        <v>1.3918836033965245</v>
      </c>
      <c r="T7" s="29">
        <f>$B$56/SQRT($E$56)*(SQRT(L7)-SQRT(L6))</f>
        <v>1.3374789010440216</v>
      </c>
      <c r="U7" s="14"/>
    </row>
    <row r="8" spans="1:21" ht="15" customHeight="1" thickBot="1" x14ac:dyDescent="0.3">
      <c r="A8" s="10">
        <v>44084</v>
      </c>
      <c r="B8" s="9">
        <v>7</v>
      </c>
      <c r="C8" s="9">
        <v>175893</v>
      </c>
      <c r="D8" s="19">
        <v>15158770</v>
      </c>
      <c r="E8" s="9">
        <v>177613</v>
      </c>
      <c r="F8" s="14"/>
      <c r="G8" s="9">
        <f>E8-E7</f>
        <v>5703</v>
      </c>
      <c r="H8" s="14"/>
      <c r="I8" s="13">
        <f>L8-L7</f>
        <v>5794</v>
      </c>
      <c r="J8" s="12">
        <f>82/$L$83*(I8)</f>
        <v>1.2506297792811172</v>
      </c>
      <c r="K8" s="30">
        <f>$B$56/SQRT($L$56)*(SQRT(L8)-SQRT(L7))</f>
        <v>0.62269784556927887</v>
      </c>
      <c r="L8" s="20">
        <f>E8</f>
        <v>177613</v>
      </c>
      <c r="M8" s="18">
        <v>15158770</v>
      </c>
      <c r="N8" s="8">
        <f>M8*('[1]Inflation Rates by Year'!$D$2)</f>
        <v>17346621.934382401</v>
      </c>
      <c r="O8" s="7">
        <f>N8/L8</f>
        <v>97.665271879774579</v>
      </c>
      <c r="P8" s="29"/>
      <c r="Q8" s="29"/>
      <c r="R8" s="29">
        <f>$B$56/SQRT($E$56)*(SQRT(E8)-SQRT(E7))</f>
        <v>0.61283735343180057</v>
      </c>
      <c r="S8" s="15"/>
      <c r="T8" s="29">
        <f>$B$56/SQRT($E$56)*(SQRT(L8)-SQRT(L7))</f>
        <v>0.62269784556927887</v>
      </c>
      <c r="U8" s="14"/>
    </row>
    <row r="9" spans="1:21" ht="15" customHeight="1" thickBot="1" x14ac:dyDescent="0.3">
      <c r="A9" s="10">
        <v>44085</v>
      </c>
      <c r="B9" s="9">
        <v>8</v>
      </c>
      <c r="C9" s="9">
        <v>182225</v>
      </c>
      <c r="D9" s="19">
        <v>20231923</v>
      </c>
      <c r="E9" s="9">
        <v>185234</v>
      </c>
      <c r="F9" s="9">
        <v>196667</v>
      </c>
      <c r="G9" s="9">
        <f>E9-E8</f>
        <v>7621</v>
      </c>
      <c r="H9" s="14"/>
      <c r="I9" s="13">
        <f>L9-L8</f>
        <v>7621</v>
      </c>
      <c r="J9" s="12">
        <f>82/$L$83*(I9)</f>
        <v>1.644986114584293</v>
      </c>
      <c r="K9" s="30">
        <f>$B$56/SQRT($L$56)*(SQRT(L9)-SQRT(L8))</f>
        <v>0.80378413084503764</v>
      </c>
      <c r="L9" s="20">
        <f>E9</f>
        <v>185234</v>
      </c>
      <c r="M9" s="18">
        <v>20231923</v>
      </c>
      <c r="N9" s="8">
        <f>M9*('[1]Inflation Rates by Year'!$D$2)</f>
        <v>23151978.642497763</v>
      </c>
      <c r="O9" s="7">
        <f>N9/L9</f>
        <v>124.98773790177701</v>
      </c>
      <c r="P9" s="29"/>
      <c r="Q9" s="29"/>
      <c r="R9" s="29">
        <f>$B$56/SQRT($E$56)*(SQRT(E9)-SQRT(E8))</f>
        <v>0.80378413084503764</v>
      </c>
      <c r="S9" s="15"/>
      <c r="T9" s="29">
        <f>$B$56/SQRT($E$56)*(SQRT(L9)-SQRT(L8))</f>
        <v>0.80378413084503764</v>
      </c>
      <c r="U9" s="14"/>
    </row>
    <row r="10" spans="1:21" ht="15" customHeight="1" thickBot="1" x14ac:dyDescent="0.3">
      <c r="A10" s="31">
        <v>44086</v>
      </c>
      <c r="B10" s="11">
        <v>9</v>
      </c>
      <c r="C10" s="11">
        <v>196667</v>
      </c>
      <c r="D10" s="4">
        <v>24805292</v>
      </c>
      <c r="E10" s="9">
        <v>192959</v>
      </c>
      <c r="F10" s="9">
        <v>201908</v>
      </c>
      <c r="G10" s="9">
        <f>E10-E9</f>
        <v>7725</v>
      </c>
      <c r="H10" s="9">
        <f>F10-F9</f>
        <v>5241</v>
      </c>
      <c r="I10" s="13">
        <f>L10-L9</f>
        <v>7725</v>
      </c>
      <c r="J10" s="12">
        <f>82/$L$83*(I10)</f>
        <v>1.6674344226694218</v>
      </c>
      <c r="K10" s="30">
        <f>$B$56/SQRT($L$56)*(SQRT(L10)-SQRT(L9))</f>
        <v>0.79804922584307147</v>
      </c>
      <c r="L10" s="20">
        <f>E10</f>
        <v>192959</v>
      </c>
      <c r="M10" s="2">
        <v>24805292</v>
      </c>
      <c r="N10" s="8">
        <f>M10*('[1]Inflation Rates by Year'!$D$2)</f>
        <v>28385417.96570304</v>
      </c>
      <c r="O10" s="7">
        <f>N10/L10</f>
        <v>147.10595497335206</v>
      </c>
      <c r="P10" s="29"/>
      <c r="Q10" s="29"/>
      <c r="R10" s="29">
        <f>$B$56/SQRT($E$56)*(SQRT(E10)-SQRT(E9))</f>
        <v>0.79804922584307147</v>
      </c>
      <c r="S10" s="29">
        <f>$B$56/SQRT($E$56)*(SQRT(F10)-SQRT(F9))</f>
        <v>0.52739232059104335</v>
      </c>
      <c r="T10" s="29">
        <f>$B$56/SQRT($E$56)*(SQRT(L10)-SQRT(L9))</f>
        <v>0.79804922584307147</v>
      </c>
      <c r="U10" s="14"/>
    </row>
    <row r="11" spans="1:21" ht="15" customHeight="1" thickBot="1" x14ac:dyDescent="0.3">
      <c r="A11" s="10">
        <v>44087</v>
      </c>
      <c r="B11" s="9">
        <v>10</v>
      </c>
      <c r="C11" s="9">
        <v>201908</v>
      </c>
      <c r="D11" s="19">
        <v>28772944</v>
      </c>
      <c r="E11" s="9">
        <v>208157</v>
      </c>
      <c r="F11" s="9">
        <v>212744</v>
      </c>
      <c r="G11" s="9">
        <f>E11-E10</f>
        <v>15198</v>
      </c>
      <c r="H11" s="9">
        <f>F11-F10</f>
        <v>10836</v>
      </c>
      <c r="I11" s="13">
        <f>L11-L10</f>
        <v>15198</v>
      </c>
      <c r="J11" s="12">
        <f>82/$L$83*(I11)</f>
        <v>3.2804748680556473</v>
      </c>
      <c r="K11" s="30">
        <f>$B$56/SQRT($L$56)*(SQRT(L11)-SQRT(L10))</f>
        <v>1.5247361798647985</v>
      </c>
      <c r="L11" s="20">
        <f>E11</f>
        <v>208157</v>
      </c>
      <c r="M11" s="18">
        <v>28772944</v>
      </c>
      <c r="N11" s="8">
        <f>M11*('[1]Inflation Rates by Year'!$D$2)</f>
        <v>32925717.687329281</v>
      </c>
      <c r="O11" s="7">
        <f>N11/L11</f>
        <v>158.17732618806613</v>
      </c>
      <c r="P11" s="29"/>
      <c r="Q11" s="29"/>
      <c r="R11" s="29">
        <f>$B$56/SQRT($E$56)*(SQRT(E11)-SQRT(E10))</f>
        <v>1.5247361798647985</v>
      </c>
      <c r="S11" s="29">
        <f>$B$56/SQRT($E$56)*(SQRT(F11)-SQRT(F10))</f>
        <v>1.0691274481919224</v>
      </c>
      <c r="T11" s="29">
        <f>$B$56/SQRT($E$56)*(SQRT(L11)-SQRT(L10))</f>
        <v>1.5247361798647985</v>
      </c>
      <c r="U11" s="14"/>
    </row>
    <row r="12" spans="1:21" ht="15" customHeight="1" thickBot="1" x14ac:dyDescent="0.3">
      <c r="A12" s="10">
        <v>44088</v>
      </c>
      <c r="B12" s="9">
        <v>11</v>
      </c>
      <c r="C12" s="9">
        <v>212744</v>
      </c>
      <c r="D12" s="4">
        <v>33598397</v>
      </c>
      <c r="E12" s="9">
        <v>217835</v>
      </c>
      <c r="F12" s="9">
        <v>220025</v>
      </c>
      <c r="G12" s="9">
        <f>E12-E11</f>
        <v>9678</v>
      </c>
      <c r="H12" s="9">
        <f>F12-F11</f>
        <v>7281</v>
      </c>
      <c r="I12" s="13">
        <f>L12-L11</f>
        <v>9678</v>
      </c>
      <c r="J12" s="12">
        <f>82/$L$83*(I12)</f>
        <v>2.0889877466141962</v>
      </c>
      <c r="K12" s="30">
        <f>$B$56/SQRT($L$56)*(SQRT(L12)-SQRT(L11))</f>
        <v>0.942059218085047</v>
      </c>
      <c r="L12" s="20">
        <f>E12</f>
        <v>217835</v>
      </c>
      <c r="M12" s="2">
        <v>33598397</v>
      </c>
      <c r="N12" s="8">
        <f>M12*('[1]Inflation Rates by Year'!$D$2)</f>
        <v>38447624.072420642</v>
      </c>
      <c r="O12" s="7">
        <f>N12/L12</f>
        <v>176.49883660761881</v>
      </c>
      <c r="P12" s="29"/>
      <c r="Q12" s="29"/>
      <c r="R12" s="29">
        <f>$B$56/SQRT($E$56)*(SQRT(E12)-SQRT(E11))</f>
        <v>0.942059218085047</v>
      </c>
      <c r="S12" s="29">
        <f>$B$56/SQRT($E$56)*(SQRT(F12)-SQRT(F11))</f>
        <v>0.70314292154106017</v>
      </c>
      <c r="T12" s="29">
        <f>$B$56/SQRT($E$56)*(SQRT(L12)-SQRT(L11))</f>
        <v>0.942059218085047</v>
      </c>
      <c r="U12" s="14"/>
    </row>
    <row r="13" spans="1:21" ht="15" customHeight="1" thickBot="1" x14ac:dyDescent="0.3">
      <c r="A13" s="10">
        <v>44089</v>
      </c>
      <c r="B13" s="9">
        <v>12</v>
      </c>
      <c r="C13" s="9">
        <v>220025</v>
      </c>
      <c r="D13" s="19">
        <v>38505886</v>
      </c>
      <c r="E13" s="9">
        <v>238775</v>
      </c>
      <c r="F13" s="14"/>
      <c r="G13" s="9">
        <f>E13-E12</f>
        <v>20940</v>
      </c>
      <c r="H13" s="14"/>
      <c r="I13" s="13">
        <f>L13-L12</f>
        <v>20940</v>
      </c>
      <c r="J13" s="12">
        <f>82/$L$83*(I13)</f>
        <v>4.5198804932941998</v>
      </c>
      <c r="K13" s="30">
        <f>$B$56/SQRT($L$56)*(SQRT(L13)-SQRT(L12))</f>
        <v>1.9691713650285296</v>
      </c>
      <c r="L13" s="20">
        <f>E13</f>
        <v>238775</v>
      </c>
      <c r="M13" s="18">
        <v>38505886</v>
      </c>
      <c r="N13" s="8">
        <f>M13*('[1]Inflation Rates by Year'!$D$2)</f>
        <v>44063406.641200326</v>
      </c>
      <c r="O13" s="7">
        <f>N13/L13</f>
        <v>184.53944776965901</v>
      </c>
      <c r="P13" s="29"/>
      <c r="Q13" s="29"/>
      <c r="R13" s="29">
        <f>$B$56/SQRT($E$56)*(SQRT(E13)-SQRT(E12))</f>
        <v>1.9691713650285296</v>
      </c>
      <c r="S13" s="15"/>
      <c r="T13" s="29">
        <f>$B$56/SQRT($E$56)*(SQRT(L13)-SQRT(L12))</f>
        <v>1.9691713650285296</v>
      </c>
      <c r="U13" s="14"/>
    </row>
    <row r="14" spans="1:21" ht="15" customHeight="1" thickBot="1" x14ac:dyDescent="0.3">
      <c r="A14" s="10">
        <v>44090</v>
      </c>
      <c r="B14" s="9">
        <v>13</v>
      </c>
      <c r="C14" s="9">
        <v>228025</v>
      </c>
      <c r="D14" s="19">
        <v>43370953</v>
      </c>
      <c r="E14" s="9">
        <v>246071</v>
      </c>
      <c r="F14" s="9">
        <v>244756</v>
      </c>
      <c r="G14" s="9">
        <f>E14-E13</f>
        <v>7296</v>
      </c>
      <c r="H14" s="14"/>
      <c r="I14" s="13">
        <f>L14-L13</f>
        <v>7296</v>
      </c>
      <c r="J14" s="12">
        <f>82/$L$83*(I14)</f>
        <v>1.5748351518182657</v>
      </c>
      <c r="K14" s="30">
        <f>$B$56/SQRT($L$56)*(SQRT(L14)-SQRT(L13))</f>
        <v>0.66567231176642805</v>
      </c>
      <c r="L14" s="20">
        <f>E14</f>
        <v>246071</v>
      </c>
      <c r="M14" s="18">
        <v>43370953</v>
      </c>
      <c r="N14" s="8">
        <f>M14*('[1]Inflation Rates by Year'!$D$2)</f>
        <v>49630644.480051361</v>
      </c>
      <c r="O14" s="7">
        <f>N14/L14</f>
        <v>201.69237529026728</v>
      </c>
      <c r="P14" s="29"/>
      <c r="Q14" s="29"/>
      <c r="R14" s="29">
        <f>$B$56/SQRT($E$56)*(SQRT(E14)-SQRT(E13))</f>
        <v>0.66567231176642805</v>
      </c>
      <c r="S14" s="15"/>
      <c r="T14" s="29">
        <f>$B$56/SQRT($E$56)*(SQRT(L14)-SQRT(L13))</f>
        <v>0.66567231176642805</v>
      </c>
      <c r="U14" s="14"/>
    </row>
    <row r="15" spans="1:21" ht="15" customHeight="1" thickBot="1" x14ac:dyDescent="0.3">
      <c r="A15" s="31">
        <v>44091</v>
      </c>
      <c r="B15" s="11">
        <v>14</v>
      </c>
      <c r="C15" s="11">
        <v>246756</v>
      </c>
      <c r="D15" s="19">
        <v>47049456</v>
      </c>
      <c r="E15" s="9">
        <v>247938</v>
      </c>
      <c r="F15" s="14"/>
      <c r="G15" s="9">
        <f>E15-E14</f>
        <v>1867</v>
      </c>
      <c r="H15" s="14"/>
      <c r="I15" s="13">
        <f>L15-L14</f>
        <v>1867</v>
      </c>
      <c r="J15" s="12">
        <f>82/$L$83*(I15)</f>
        <v>0.40299029995130237</v>
      </c>
      <c r="K15" s="30">
        <f>$B$56/SQRT($L$56)*(SQRT(L15)-SQRT(L14))</f>
        <v>0.16874967499889293</v>
      </c>
      <c r="L15" s="20">
        <f>E15</f>
        <v>247938</v>
      </c>
      <c r="M15" s="18">
        <v>47049456</v>
      </c>
      <c r="N15" s="8">
        <f>M15*('[1]Inflation Rates by Year'!$D$2)</f>
        <v>53840062.580958724</v>
      </c>
      <c r="O15" s="7">
        <f>N15/L15</f>
        <v>217.15131436471506</v>
      </c>
      <c r="P15" s="29"/>
      <c r="Q15" s="29"/>
      <c r="R15" s="29">
        <f>$B$56/SQRT($E$56)*(SQRT(E15)-SQRT(E14))</f>
        <v>0.16874967499889293</v>
      </c>
      <c r="S15" s="15"/>
      <c r="T15" s="29">
        <f>$B$56/SQRT($E$56)*(SQRT(L15)-SQRT(L14))</f>
        <v>0.16874967499889293</v>
      </c>
      <c r="U15" s="14"/>
    </row>
    <row r="16" spans="1:21" ht="15" customHeight="1" thickBot="1" x14ac:dyDescent="0.3">
      <c r="A16" s="10">
        <v>44092</v>
      </c>
      <c r="B16" s="9">
        <v>15</v>
      </c>
      <c r="C16" s="9">
        <v>248256</v>
      </c>
      <c r="D16" s="4">
        <v>51028456</v>
      </c>
      <c r="E16" s="9">
        <v>268681</v>
      </c>
      <c r="F16" s="9">
        <v>271933</v>
      </c>
      <c r="G16" s="9">
        <f>E16-E15</f>
        <v>20743</v>
      </c>
      <c r="H16" s="14"/>
      <c r="I16" s="13">
        <f>L16-L15</f>
        <v>20743</v>
      </c>
      <c r="J16" s="12">
        <f>82/$L$83*(I16)</f>
        <v>4.4773582174021769</v>
      </c>
      <c r="K16" s="30">
        <f>$B$56/SQRT($L$56)*(SQRT(L16)-SQRT(L15))</f>
        <v>1.8337462268977451</v>
      </c>
      <c r="L16" s="20">
        <f>E16</f>
        <v>268681</v>
      </c>
      <c r="M16" s="2">
        <v>51028456</v>
      </c>
      <c r="N16" s="8">
        <f>M16*('[1]Inflation Rates by Year'!$D$2)</f>
        <v>58393348.149438724</v>
      </c>
      <c r="O16" s="7">
        <f>N16/L16</f>
        <v>217.33337358964246</v>
      </c>
      <c r="P16" s="29"/>
      <c r="Q16" s="29"/>
      <c r="R16" s="29">
        <f>$B$56/SQRT($E$56)*(SQRT(E16)-SQRT(E15))</f>
        <v>1.8337462268977451</v>
      </c>
      <c r="S16" s="15"/>
      <c r="T16" s="29">
        <f>$B$56/SQRT($E$56)*(SQRT(L16)-SQRT(L15))</f>
        <v>1.8337462268977451</v>
      </c>
      <c r="U16" s="14"/>
    </row>
    <row r="17" spans="1:21" ht="15" customHeight="1" thickBot="1" x14ac:dyDescent="0.3">
      <c r="A17" s="31">
        <v>44093</v>
      </c>
      <c r="B17" s="11">
        <v>16</v>
      </c>
      <c r="C17" s="11">
        <v>271938</v>
      </c>
      <c r="D17" s="19">
        <v>55519689</v>
      </c>
      <c r="E17" s="9">
        <v>274208</v>
      </c>
      <c r="F17" s="9">
        <v>278368</v>
      </c>
      <c r="G17" s="9">
        <f>E17-E16</f>
        <v>5527</v>
      </c>
      <c r="H17" s="9">
        <f>F17-F16</f>
        <v>6435</v>
      </c>
      <c r="I17" s="13">
        <f>L17-L16</f>
        <v>5527</v>
      </c>
      <c r="J17" s="12">
        <f>82/$L$83*(I17)</f>
        <v>1.1929980652548731</v>
      </c>
      <c r="K17" s="30">
        <f>$B$56/SQRT($L$56)*(SQRT(L17)-SQRT(L16))</f>
        <v>0.47654602653047134</v>
      </c>
      <c r="L17" s="20">
        <f>E17</f>
        <v>274208</v>
      </c>
      <c r="M17" s="18">
        <v>55519689</v>
      </c>
      <c r="N17" s="8">
        <f>M17*('[1]Inflation Rates by Year'!$D$2)</f>
        <v>63532796.856043682</v>
      </c>
      <c r="O17" s="7">
        <f>N17/L17</f>
        <v>231.69563563442233</v>
      </c>
      <c r="P17" s="29"/>
      <c r="Q17" s="29"/>
      <c r="R17" s="29">
        <f>$B$56/SQRT($E$56)*(SQRT(E17)-SQRT(E16))</f>
        <v>0.47654602653047134</v>
      </c>
      <c r="S17" s="29">
        <f>$B$56/SQRT($E$56)*(SQRT(F17)-SQRT(F16))</f>
        <v>0.55108819261247699</v>
      </c>
      <c r="T17" s="29">
        <f>$B$56/SQRT($E$56)*(SQRT(L17)-SQRT(L16))</f>
        <v>0.47654602653047134</v>
      </c>
      <c r="U17" s="14"/>
    </row>
    <row r="18" spans="1:21" ht="15" customHeight="1" thickBot="1" x14ac:dyDescent="0.3">
      <c r="A18" s="10">
        <v>44094</v>
      </c>
      <c r="B18" s="9">
        <v>17</v>
      </c>
      <c r="C18" s="9">
        <v>278368</v>
      </c>
      <c r="D18" s="4">
        <v>60083496</v>
      </c>
      <c r="E18" s="9">
        <v>278447</v>
      </c>
      <c r="F18" s="9">
        <v>280424</v>
      </c>
      <c r="G18" s="9">
        <f>E18-E17</f>
        <v>4239</v>
      </c>
      <c r="H18" s="9">
        <f>F18-F17</f>
        <v>2056</v>
      </c>
      <c r="I18" s="13">
        <f>L18-L17</f>
        <v>4239</v>
      </c>
      <c r="J18" s="12">
        <f>82/$L$83*(I18)</f>
        <v>0.91498440358520117</v>
      </c>
      <c r="K18" s="30">
        <f>$B$56/SQRT($L$56)*(SQRT(L18)-SQRT(L17))</f>
        <v>0.36224703629965527</v>
      </c>
      <c r="L18" s="20">
        <f>E18</f>
        <v>278447</v>
      </c>
      <c r="M18" s="2">
        <v>60083496</v>
      </c>
      <c r="N18" s="8">
        <f>M18*('[1]Inflation Rates by Year'!$D$2)</f>
        <v>68755294.104203522</v>
      </c>
      <c r="O18" s="7">
        <f>N18/L18</f>
        <v>246.92416906701644</v>
      </c>
      <c r="P18" s="29"/>
      <c r="Q18" s="29"/>
      <c r="R18" s="29">
        <f>$B$56/SQRT($E$56)*(SQRT(E18)-SQRT(E17))</f>
        <v>0.36224703629965527</v>
      </c>
      <c r="S18" s="29">
        <f>$B$56/SQRT($E$56)*(SQRT(F18)-SQRT(F17))</f>
        <v>0.1747286162700086</v>
      </c>
      <c r="T18" s="29">
        <f>$B$56/SQRT($E$56)*(SQRT(L18)-SQRT(L17))</f>
        <v>0.36224703629965527</v>
      </c>
      <c r="U18" s="14"/>
    </row>
    <row r="19" spans="1:21" ht="15" customHeight="1" thickBot="1" x14ac:dyDescent="0.3">
      <c r="A19" s="10">
        <v>44095</v>
      </c>
      <c r="B19" s="9">
        <v>18</v>
      </c>
      <c r="C19" s="9">
        <v>283724</v>
      </c>
      <c r="D19" s="19">
        <v>64801267</v>
      </c>
      <c r="E19" s="9">
        <v>282461</v>
      </c>
      <c r="F19" s="9">
        <v>283724</v>
      </c>
      <c r="G19" s="9">
        <f>E19-E18</f>
        <v>4014</v>
      </c>
      <c r="H19" s="9">
        <f>F19-F18</f>
        <v>3300</v>
      </c>
      <c r="I19" s="13">
        <f>L19-L18</f>
        <v>4014</v>
      </c>
      <c r="J19" s="12">
        <f>82/$L$83*(I19)</f>
        <v>0.86641835243948984</v>
      </c>
      <c r="K19" s="30">
        <f>$B$56/SQRT($L$56)*(SQRT(L19)-SQRT(L18))</f>
        <v>0.34048627761587497</v>
      </c>
      <c r="L19" s="20">
        <f>E19</f>
        <v>282461</v>
      </c>
      <c r="M19" s="18">
        <v>64801267</v>
      </c>
      <c r="N19" s="8">
        <f>M19*('[1]Inflation Rates by Year'!$D$2)</f>
        <v>74153976.840995044</v>
      </c>
      <c r="O19" s="7">
        <f>N19/L19</f>
        <v>262.52819625008425</v>
      </c>
      <c r="P19" s="29"/>
      <c r="Q19" s="29"/>
      <c r="R19" s="29">
        <f>$B$56/SQRT($E$56)*(SQRT(E19)-SQRT(E18))</f>
        <v>0.34048627761587497</v>
      </c>
      <c r="S19" s="29">
        <f>$B$56/SQRT($E$56)*(SQRT(F19)-SQRT(F18))</f>
        <v>0.27911588475773946</v>
      </c>
      <c r="T19" s="29">
        <f>$B$56/SQRT($E$56)*(SQRT(L19)-SQRT(L18))</f>
        <v>0.34048627761587497</v>
      </c>
      <c r="U19" s="14"/>
    </row>
    <row r="20" spans="1:21" ht="15" customHeight="1" thickBot="1" x14ac:dyDescent="0.3">
      <c r="A20" s="10">
        <v>44096</v>
      </c>
      <c r="B20" s="9">
        <v>19</v>
      </c>
      <c r="C20" s="9">
        <v>286519</v>
      </c>
      <c r="D20" s="19">
        <v>69547911</v>
      </c>
      <c r="E20" s="9">
        <v>284741</v>
      </c>
      <c r="F20" s="9">
        <v>289695</v>
      </c>
      <c r="G20" s="9">
        <f>E20-E19</f>
        <v>2280</v>
      </c>
      <c r="H20" s="9">
        <f>F20-F19</f>
        <v>5971</v>
      </c>
      <c r="I20" s="13">
        <f>L20-L19</f>
        <v>2280</v>
      </c>
      <c r="J20" s="12">
        <f>82/$L$83*(I20)</f>
        <v>0.49213598494320798</v>
      </c>
      <c r="K20" s="30">
        <f>$B$56/SQRT($L$56)*(SQRT(L20)-SQRT(L19))</f>
        <v>0.19232340072057574</v>
      </c>
      <c r="L20" s="20">
        <f>E20</f>
        <v>284741</v>
      </c>
      <c r="M20" s="18">
        <v>69547911</v>
      </c>
      <c r="N20" s="8">
        <f>M20*('[1]Inflation Rates by Year'!$D$2)</f>
        <v>79585699.792468324</v>
      </c>
      <c r="O20" s="7">
        <f>N20/L20</f>
        <v>279.50207308560528</v>
      </c>
      <c r="P20" s="29"/>
      <c r="Q20" s="29"/>
      <c r="R20" s="29">
        <f>$B$56/SQRT($E$56)*(SQRT(E20)-SQRT(E19))</f>
        <v>0.19232340072057574</v>
      </c>
      <c r="S20" s="29">
        <f>$B$56/SQRT($E$56)*(SQRT(F20)-SQRT(F19))</f>
        <v>0.50093595034547167</v>
      </c>
      <c r="T20" s="29">
        <f>$B$56/SQRT($E$56)*(SQRT(L20)-SQRT(L19))</f>
        <v>0.19232340072057574</v>
      </c>
      <c r="U20" s="14"/>
    </row>
    <row r="21" spans="1:21" ht="15" customHeight="1" thickBot="1" x14ac:dyDescent="0.3">
      <c r="A21" s="10">
        <v>44097</v>
      </c>
      <c r="B21" s="9">
        <v>20</v>
      </c>
      <c r="C21" s="9">
        <v>289695</v>
      </c>
      <c r="D21" s="19">
        <v>74893377</v>
      </c>
      <c r="E21" s="9">
        <v>289667</v>
      </c>
      <c r="F21" s="9">
        <v>291426</v>
      </c>
      <c r="G21" s="9">
        <f>E21-E20</f>
        <v>4926</v>
      </c>
      <c r="H21" s="9">
        <f>F21-F20</f>
        <v>1731</v>
      </c>
      <c r="I21" s="13">
        <f>L21-L20</f>
        <v>4926</v>
      </c>
      <c r="J21" s="12">
        <f>82/$L$83*(I21)</f>
        <v>1.0632727464167731</v>
      </c>
      <c r="K21" s="30">
        <f>$B$56/SQRT($L$56)*(SQRT(L21)-SQRT(L20))</f>
        <v>0.41290813799439252</v>
      </c>
      <c r="L21" s="20">
        <f>E21</f>
        <v>289667</v>
      </c>
      <c r="M21" s="18">
        <v>74893377</v>
      </c>
      <c r="N21" s="8">
        <f>M21*('[1]Inflation Rates by Year'!$D$2)</f>
        <v>85702672.19623825</v>
      </c>
      <c r="O21" s="7">
        <f>N21/L21</f>
        <v>295.8661918556075</v>
      </c>
      <c r="P21" s="29"/>
      <c r="Q21" s="29"/>
      <c r="R21" s="29">
        <f>$B$56/SQRT($E$56)*(SQRT(E21)-SQRT(E20))</f>
        <v>0.41290813799439252</v>
      </c>
      <c r="S21" s="29">
        <f>$B$56/SQRT($E$56)*(SQRT(F21)-SQRT(F20))</f>
        <v>0.14425455883596217</v>
      </c>
      <c r="T21" s="29">
        <f>$B$56/SQRT($E$56)*(SQRT(L21)-SQRT(L20))</f>
        <v>0.41290813799439252</v>
      </c>
      <c r="U21" s="14"/>
    </row>
    <row r="22" spans="1:21" ht="15" customHeight="1" thickBot="1" x14ac:dyDescent="0.3">
      <c r="A22" s="10">
        <v>44098</v>
      </c>
      <c r="B22" s="9">
        <v>21</v>
      </c>
      <c r="C22" s="9">
        <v>291426</v>
      </c>
      <c r="D22" s="19">
        <v>79330486</v>
      </c>
      <c r="E22" s="9">
        <v>289690</v>
      </c>
      <c r="F22" s="9">
        <v>291762</v>
      </c>
      <c r="G22" s="9">
        <f>E22-E21</f>
        <v>23</v>
      </c>
      <c r="H22" s="9">
        <f>F22-F21</f>
        <v>336</v>
      </c>
      <c r="I22" s="13">
        <f>L22-L21</f>
        <v>23</v>
      </c>
      <c r="J22" s="12">
        <f>82/$L$83*(I22)</f>
        <v>4.9645296726727123E-3</v>
      </c>
      <c r="K22" s="30">
        <f>$B$56/SQRT($L$56)*(SQRT(L22)-SQRT(L21))</f>
        <v>1.919640876207201E-3</v>
      </c>
      <c r="L22" s="20">
        <f>E22</f>
        <v>289690</v>
      </c>
      <c r="M22" s="18">
        <v>79330486</v>
      </c>
      <c r="N22" s="8">
        <f>M22*('[1]Inflation Rates by Year'!$D$2)</f>
        <v>90780185.233552322</v>
      </c>
      <c r="O22" s="7">
        <f>N22/L22</f>
        <v>313.3701033296017</v>
      </c>
      <c r="P22" s="29"/>
      <c r="Q22" s="29"/>
      <c r="R22" s="29">
        <f>$B$56/SQRT($E$56)*(SQRT(E22)-SQRT(E21))</f>
        <v>1.919640876207201E-3</v>
      </c>
      <c r="S22" s="29">
        <f>$B$56/SQRT($E$56)*(SQRT(F22)-SQRT(F21))</f>
        <v>2.7951189085268294E-2</v>
      </c>
      <c r="T22" s="29">
        <f>$B$56/SQRT($E$56)*(SQRT(L22)-SQRT(L21))</f>
        <v>1.919640876207201E-3</v>
      </c>
      <c r="U22" s="14"/>
    </row>
    <row r="23" spans="1:21" ht="15" customHeight="1" thickBot="1" x14ac:dyDescent="0.3">
      <c r="A23" s="10">
        <v>44099</v>
      </c>
      <c r="B23" s="9">
        <v>22</v>
      </c>
      <c r="C23" s="9">
        <v>291426</v>
      </c>
      <c r="D23" s="19">
        <v>83860437</v>
      </c>
      <c r="E23" s="14"/>
      <c r="F23" s="9">
        <v>292172</v>
      </c>
      <c r="G23" s="14"/>
      <c r="H23" s="9">
        <f>F23-F22</f>
        <v>410</v>
      </c>
      <c r="I23" s="13">
        <f>L23-L22</f>
        <v>2482</v>
      </c>
      <c r="J23" s="12">
        <f>82/$L$83*(I23)</f>
        <v>0.53573750641624662</v>
      </c>
      <c r="K23" s="30">
        <f>$B$56/SQRT($L$56)*(SQRT(L23)-SQRT(L22))</f>
        <v>0.20670836389978264</v>
      </c>
      <c r="L23" s="20">
        <v>292172</v>
      </c>
      <c r="M23" s="18">
        <v>83860437</v>
      </c>
      <c r="N23" s="8">
        <f>M23*('[1]Inflation Rates by Year'!$D$2)</f>
        <v>95963940.075025454</v>
      </c>
      <c r="O23" s="7">
        <f>N23/L23</f>
        <v>328.45015975187715</v>
      </c>
      <c r="P23" s="15"/>
      <c r="Q23" s="15"/>
      <c r="R23" s="15"/>
      <c r="S23" s="29">
        <f>$B$56/SQRT($E$56)*(SQRT(F23)-SQRT(F22))</f>
        <v>3.4085312828557604E-2</v>
      </c>
      <c r="T23" s="29">
        <f>$B$56/SQRT($E$56)*(SQRT(L23)-SQRT(L22))</f>
        <v>0.20670836389978264</v>
      </c>
      <c r="U23" s="14"/>
    </row>
    <row r="24" spans="1:21" ht="15" customHeight="1" thickBot="1" x14ac:dyDescent="0.3">
      <c r="A24" s="31">
        <v>44100</v>
      </c>
      <c r="B24" s="11">
        <v>23</v>
      </c>
      <c r="C24" s="11">
        <v>292830</v>
      </c>
      <c r="D24" s="19">
        <v>88486980</v>
      </c>
      <c r="E24" s="9">
        <v>300246</v>
      </c>
      <c r="F24" s="9">
        <v>299762</v>
      </c>
      <c r="G24" s="14"/>
      <c r="H24" s="9">
        <f>F24-F23</f>
        <v>7590</v>
      </c>
      <c r="I24" s="13">
        <f>L24-L23</f>
        <v>8074</v>
      </c>
      <c r="J24" s="12">
        <f>82/$L$83*(I24)</f>
        <v>1.7427657642243253</v>
      </c>
      <c r="K24" s="30">
        <f>$B$56/SQRT($L$56)*(SQRT(L24)-SQRT(L23))</f>
        <v>0.66642301773538148</v>
      </c>
      <c r="L24" s="20">
        <f>E24</f>
        <v>300246</v>
      </c>
      <c r="M24" s="18">
        <v>88486980</v>
      </c>
      <c r="N24" s="8">
        <f>M24*('[1]Inflation Rates by Year'!$D$2)</f>
        <v>101258227.9548576</v>
      </c>
      <c r="O24" s="7">
        <f>N24/L24</f>
        <v>337.25088079394095</v>
      </c>
      <c r="P24" s="15"/>
      <c r="Q24" s="15"/>
      <c r="R24" s="15"/>
      <c r="S24" s="29">
        <f>$B$56/SQRT($E$56)*(SQRT(F24)-SQRT(F23))</f>
        <v>0.62672835111788427</v>
      </c>
      <c r="T24" s="29">
        <f>$B$56/SQRT($E$56)*(SQRT(L24)-SQRT(L23))</f>
        <v>0.66642301773538148</v>
      </c>
      <c r="U24" s="14"/>
    </row>
    <row r="25" spans="1:21" ht="15" customHeight="1" thickBot="1" x14ac:dyDescent="0.3">
      <c r="A25" s="10">
        <v>44101</v>
      </c>
      <c r="B25" s="9">
        <v>24</v>
      </c>
      <c r="C25" s="9">
        <v>302870</v>
      </c>
      <c r="D25" s="19">
        <v>93163000</v>
      </c>
      <c r="E25" s="9">
        <v>300304</v>
      </c>
      <c r="F25" s="9">
        <v>302677</v>
      </c>
      <c r="G25" s="9">
        <f>E25-E24</f>
        <v>58</v>
      </c>
      <c r="H25" s="9">
        <f>F25-F24</f>
        <v>2915</v>
      </c>
      <c r="I25" s="13">
        <f>L25-L24</f>
        <v>58</v>
      </c>
      <c r="J25" s="12">
        <f>82/$L$83*(I25)</f>
        <v>1.2519248739783361E-2</v>
      </c>
      <c r="K25" s="30">
        <f>$B$56/SQRT($L$56)*(SQRT(L25)-SQRT(L24))</f>
        <v>4.7546515066104649E-3</v>
      </c>
      <c r="L25" s="20">
        <f>E25</f>
        <v>300304</v>
      </c>
      <c r="M25" s="18">
        <v>93163000</v>
      </c>
      <c r="N25" s="8">
        <f>M25*('[1]Inflation Rates by Year'!$D$2)</f>
        <v>106609133.80656001</v>
      </c>
      <c r="O25" s="7">
        <f>N25/L25</f>
        <v>355.00404192604833</v>
      </c>
      <c r="P25" s="29"/>
      <c r="Q25" s="29"/>
      <c r="R25" s="29">
        <f>$B$56/SQRT($E$56)*(SQRT(E25)-SQRT(E24))</f>
        <v>4.7546515066104649E-3</v>
      </c>
      <c r="S25" s="29">
        <f>$B$56/SQRT($E$56)*(SQRT(F25)-SQRT(F24))</f>
        <v>0.2385879869676201</v>
      </c>
      <c r="T25" s="29">
        <f>$B$56/SQRT($E$56)*(SQRT(L25)-SQRT(L24))</f>
        <v>4.7546515066104649E-3</v>
      </c>
      <c r="U25" s="14"/>
    </row>
    <row r="26" spans="1:21" ht="15" customHeight="1" thickBot="1" x14ac:dyDescent="0.3">
      <c r="A26" s="10">
        <v>44102</v>
      </c>
      <c r="B26" s="9">
        <v>25</v>
      </c>
      <c r="C26" s="9">
        <v>304640</v>
      </c>
      <c r="D26" s="4">
        <v>97763000</v>
      </c>
      <c r="E26" s="9">
        <v>302072</v>
      </c>
      <c r="F26" s="9">
        <v>305240</v>
      </c>
      <c r="G26" s="9">
        <f>E26-E25</f>
        <v>1768</v>
      </c>
      <c r="H26" s="9">
        <f>F26-F25</f>
        <v>2563</v>
      </c>
      <c r="I26" s="13">
        <f>L26-L25</f>
        <v>1768</v>
      </c>
      <c r="J26" s="12">
        <f>82/$L$83*(I26)</f>
        <v>0.38162123744718934</v>
      </c>
      <c r="K26" s="30">
        <f>$B$56/SQRT($L$56)*(SQRT(L26)-SQRT(L25))</f>
        <v>0.14471521044263216</v>
      </c>
      <c r="L26" s="20">
        <f>E26</f>
        <v>302072</v>
      </c>
      <c r="M26" s="2">
        <v>97763000</v>
      </c>
      <c r="N26" s="8">
        <f>M26*('[1]Inflation Rates by Year'!$D$2)</f>
        <v>111873047.75856</v>
      </c>
      <c r="O26" s="7">
        <f>N26/L26</f>
        <v>370.35225958897217</v>
      </c>
      <c r="P26" s="29"/>
      <c r="Q26" s="29"/>
      <c r="R26" s="29">
        <f>$B$56/SQRT($E$56)*(SQRT(E26)-SQRT(E25))</f>
        <v>0.14471521044263216</v>
      </c>
      <c r="S26" s="29">
        <f>$B$56/SQRT($E$56)*(SQRT(F26)-SQRT(F25))</f>
        <v>0.20882991383097552</v>
      </c>
      <c r="T26" s="29">
        <f>$B$56/SQRT($E$56)*(SQRT(L26)-SQRT(L25))</f>
        <v>0.14471521044263216</v>
      </c>
      <c r="U26" s="14"/>
    </row>
    <row r="27" spans="1:21" ht="15" customHeight="1" thickBot="1" x14ac:dyDescent="0.3">
      <c r="A27" s="10">
        <v>44103</v>
      </c>
      <c r="B27" s="9">
        <v>26</v>
      </c>
      <c r="C27" s="9">
        <v>305240</v>
      </c>
      <c r="D27" s="19">
        <v>102763000</v>
      </c>
      <c r="E27" s="9">
        <v>305368</v>
      </c>
      <c r="F27" s="9">
        <v>308162</v>
      </c>
      <c r="G27" s="9">
        <f>E27-E26</f>
        <v>3296</v>
      </c>
      <c r="H27" s="9">
        <f>F27-F26</f>
        <v>2922</v>
      </c>
      <c r="I27" s="13">
        <f>L27-L26</f>
        <v>3296</v>
      </c>
      <c r="J27" s="12">
        <f>82/$L$83*(I27)</f>
        <v>0.71143868700561996</v>
      </c>
      <c r="K27" s="30">
        <f>$B$56/SQRT($L$56)*(SQRT(L27)-SQRT(L26))</f>
        <v>0.2686596163409592</v>
      </c>
      <c r="L27" s="20">
        <f>E27</f>
        <v>305368</v>
      </c>
      <c r="M27" s="18">
        <v>102763000</v>
      </c>
      <c r="N27" s="8">
        <f>M27*('[1]Inflation Rates by Year'!$D$2)</f>
        <v>117594693.35856001</v>
      </c>
      <c r="O27" s="7">
        <f>N27/L27</f>
        <v>385.09173639202538</v>
      </c>
      <c r="P27" s="29"/>
      <c r="Q27" s="29"/>
      <c r="R27" s="29">
        <f>$B$56/SQRT($E$56)*(SQRT(E27)-SQRT(E26))</f>
        <v>0.2686596163409592</v>
      </c>
      <c r="S27" s="29">
        <f>$B$56/SQRT($E$56)*(SQRT(F27)-SQRT(F26))</f>
        <v>0.23701407212774514</v>
      </c>
      <c r="T27" s="29">
        <f>$B$56/SQRT($E$56)*(SQRT(L27)-SQRT(L26))</f>
        <v>0.2686596163409592</v>
      </c>
      <c r="U27" s="14"/>
    </row>
    <row r="28" spans="1:21" ht="15" customHeight="1" thickBot="1" x14ac:dyDescent="0.3">
      <c r="A28" s="10">
        <v>44104</v>
      </c>
      <c r="B28" s="9">
        <v>27</v>
      </c>
      <c r="C28" s="9">
        <v>307051</v>
      </c>
      <c r="D28" s="19">
        <v>106800000</v>
      </c>
      <c r="E28" s="9">
        <v>307800</v>
      </c>
      <c r="F28" s="9">
        <v>309033</v>
      </c>
      <c r="G28" s="9">
        <f>E28-E27</f>
        <v>2432</v>
      </c>
      <c r="H28" s="9">
        <f>F28-F27</f>
        <v>871</v>
      </c>
      <c r="I28" s="13">
        <f>L28-L27</f>
        <v>2432</v>
      </c>
      <c r="J28" s="12">
        <f>82/$L$83*(I28)</f>
        <v>0.52494505060608854</v>
      </c>
      <c r="K28" s="30">
        <f>$B$56/SQRT($L$56)*(SQRT(L28)-SQRT(L27))</f>
        <v>0.19730585181250701</v>
      </c>
      <c r="L28" s="20">
        <f>E28</f>
        <v>307800</v>
      </c>
      <c r="M28" s="18">
        <v>106800000</v>
      </c>
      <c r="N28" s="8">
        <f>M28*('[1]Inflation Rates by Year'!$D$2)</f>
        <v>122214350.016</v>
      </c>
      <c r="O28" s="7">
        <f>N28/L28</f>
        <v>397.05766736842105</v>
      </c>
      <c r="P28" s="29"/>
      <c r="Q28" s="29"/>
      <c r="R28" s="29">
        <f>$B$56/SQRT($E$56)*(SQRT(E28)-SQRT(E27))</f>
        <v>0.19730585181250701</v>
      </c>
      <c r="S28" s="29">
        <f>$B$56/SQRT($E$56)*(SQRT(F28)-SQRT(F27))</f>
        <v>7.0432377058174789E-2</v>
      </c>
      <c r="T28" s="29">
        <f>$B$56/SQRT($E$56)*(SQRT(L28)-SQRT(L27))</f>
        <v>0.19730585181250701</v>
      </c>
      <c r="U28" s="14"/>
    </row>
    <row r="29" spans="1:21" ht="15" customHeight="1" thickBot="1" x14ac:dyDescent="0.3">
      <c r="A29" s="10">
        <v>44105</v>
      </c>
      <c r="B29" s="9">
        <v>28</v>
      </c>
      <c r="C29" s="9">
        <v>309796</v>
      </c>
      <c r="D29" s="19">
        <v>110300000</v>
      </c>
      <c r="E29" s="9">
        <v>310068</v>
      </c>
      <c r="F29" s="9">
        <v>311703</v>
      </c>
      <c r="G29" s="9">
        <f>E29-E28</f>
        <v>2268</v>
      </c>
      <c r="H29" s="9">
        <f>F29-F28</f>
        <v>2670</v>
      </c>
      <c r="I29" s="13">
        <f>L29-L28</f>
        <v>2268</v>
      </c>
      <c r="J29" s="12">
        <f>82/$L$83*(I29)</f>
        <v>0.48954579554877009</v>
      </c>
      <c r="K29" s="30">
        <f>$B$56/SQRT($L$56)*(SQRT(L29)-SQRT(L28))</f>
        <v>0.18329947132046442</v>
      </c>
      <c r="L29" s="20">
        <f>E29</f>
        <v>310068</v>
      </c>
      <c r="M29" s="18">
        <v>110300000</v>
      </c>
      <c r="N29" s="8">
        <f>M29*('[1]Inflation Rates by Year'!$D$2)</f>
        <v>126219501.936</v>
      </c>
      <c r="O29" s="7">
        <f>N29/L29</f>
        <v>407.07039080459771</v>
      </c>
      <c r="P29" s="29"/>
      <c r="Q29" s="29"/>
      <c r="R29" s="29">
        <f>$B$56/SQRT($E$56)*(SQRT(E29)-SQRT(E28))</f>
        <v>0.18329947132046442</v>
      </c>
      <c r="S29" s="29">
        <f>$B$56/SQRT($E$56)*(SQRT(F29)-SQRT(F28))</f>
        <v>0.21529011086685776</v>
      </c>
      <c r="T29" s="29">
        <f>$B$56/SQRT($E$56)*(SQRT(L29)-SQRT(L28))</f>
        <v>0.18329947132046442</v>
      </c>
      <c r="U29" s="14"/>
    </row>
    <row r="30" spans="1:21" ht="15" customHeight="1" thickBot="1" x14ac:dyDescent="0.3">
      <c r="A30" s="10">
        <v>44106</v>
      </c>
      <c r="B30" s="9">
        <v>29</v>
      </c>
      <c r="C30" s="9">
        <v>312063</v>
      </c>
      <c r="D30" s="19">
        <v>113100000</v>
      </c>
      <c r="E30" s="9">
        <v>312128</v>
      </c>
      <c r="F30" s="9">
        <v>313660</v>
      </c>
      <c r="G30" s="9">
        <f>E30-E29</f>
        <v>2060</v>
      </c>
      <c r="H30" s="9">
        <f>F30-F29</f>
        <v>1957</v>
      </c>
      <c r="I30" s="13">
        <f>L30-L29</f>
        <v>2060</v>
      </c>
      <c r="J30" s="12">
        <f>82/$L$83*(I30)</f>
        <v>0.4446491793785125</v>
      </c>
      <c r="K30" s="30">
        <f>$B$56/SQRT($L$56)*(SQRT(L30)-SQRT(L29))</f>
        <v>0.16590882606631932</v>
      </c>
      <c r="L30" s="20">
        <f>E30</f>
        <v>312128</v>
      </c>
      <c r="M30" s="18">
        <v>113100000</v>
      </c>
      <c r="N30" s="8">
        <f>M30*('[1]Inflation Rates by Year'!$D$2)</f>
        <v>129423623.472</v>
      </c>
      <c r="O30" s="7">
        <f>N30/L30</f>
        <v>414.64919351035473</v>
      </c>
      <c r="P30" s="29"/>
      <c r="Q30" s="29"/>
      <c r="R30" s="29">
        <f>$B$56/SQRT($E$56)*(SQRT(E30)-SQRT(E29))</f>
        <v>0.16590882606631932</v>
      </c>
      <c r="S30" s="29">
        <f>$B$56/SQRT($E$56)*(SQRT(F30)-SQRT(F29))</f>
        <v>0.15721375775295129</v>
      </c>
      <c r="T30" s="29">
        <f>$B$56/SQRT($E$56)*(SQRT(L30)-SQRT(L29))</f>
        <v>0.16590882606631932</v>
      </c>
      <c r="U30" s="14"/>
    </row>
    <row r="31" spans="1:21" ht="15" customHeight="1" thickBot="1" x14ac:dyDescent="0.3">
      <c r="A31" s="10">
        <v>44107</v>
      </c>
      <c r="B31" s="9">
        <v>30</v>
      </c>
      <c r="C31" s="9">
        <v>313660</v>
      </c>
      <c r="D31" s="19">
        <v>116400000</v>
      </c>
      <c r="E31" s="9">
        <v>313369</v>
      </c>
      <c r="F31" s="9">
        <v>315413</v>
      </c>
      <c r="G31" s="9">
        <f>E31-E30</f>
        <v>1241</v>
      </c>
      <c r="H31" s="9">
        <f>F31-F30</f>
        <v>1753</v>
      </c>
      <c r="I31" s="13">
        <f>L31-L30</f>
        <v>1241</v>
      </c>
      <c r="J31" s="12">
        <f>82/$L$83*(I31)</f>
        <v>0.26786875320812331</v>
      </c>
      <c r="K31" s="30">
        <f>$B$56/SQRT($L$56)*(SQRT(L31)-SQRT(L30))</f>
        <v>9.9683817623711563E-2</v>
      </c>
      <c r="L31" s="20">
        <f>E31</f>
        <v>313369</v>
      </c>
      <c r="M31" s="18">
        <v>116400000</v>
      </c>
      <c r="N31" s="8">
        <f>M31*('[1]Inflation Rates by Year'!$D$2)</f>
        <v>133199909.568</v>
      </c>
      <c r="O31" s="7">
        <f>N31/L31</f>
        <v>425.05771013725035</v>
      </c>
      <c r="P31" s="29"/>
      <c r="Q31" s="29"/>
      <c r="R31" s="29">
        <f>$B$56/SQRT($E$56)*(SQRT(E31)-SQRT(E30))</f>
        <v>9.9683817623711563E-2</v>
      </c>
      <c r="S31" s="29">
        <f>$B$56/SQRT($E$56)*(SQRT(F31)-SQRT(F30))</f>
        <v>0.14040969539272335</v>
      </c>
      <c r="T31" s="29">
        <f>$B$56/SQRT($E$56)*(SQRT(L31)-SQRT(L30))</f>
        <v>9.9683817623711563E-2</v>
      </c>
      <c r="U31" s="14"/>
    </row>
    <row r="32" spans="1:21" ht="15" customHeight="1" thickBot="1" x14ac:dyDescent="0.3">
      <c r="A32" s="31">
        <v>44108</v>
      </c>
      <c r="B32" s="11">
        <v>31</v>
      </c>
      <c r="C32" s="11">
        <v>322089</v>
      </c>
      <c r="D32" s="19">
        <v>119400000</v>
      </c>
      <c r="E32" s="9">
        <v>320717</v>
      </c>
      <c r="F32" s="9">
        <v>322089</v>
      </c>
      <c r="G32" s="9">
        <f>E32-E31</f>
        <v>7348</v>
      </c>
      <c r="H32" s="9">
        <f>F32-F31</f>
        <v>6676</v>
      </c>
      <c r="I32" s="13">
        <f>L32-L31</f>
        <v>7348</v>
      </c>
      <c r="J32" s="12">
        <f>82/$L$83*(I32)</f>
        <v>1.5860593058608301</v>
      </c>
      <c r="K32" s="30">
        <f>$B$56/SQRT($L$56)*(SQRT(L32)-SQRT(L31))</f>
        <v>0.58622945836972806</v>
      </c>
      <c r="L32" s="20">
        <f>E32</f>
        <v>320717</v>
      </c>
      <c r="M32" s="18">
        <v>119400000</v>
      </c>
      <c r="N32" s="8">
        <f>M32*('[1]Inflation Rates by Year'!$D$2)</f>
        <v>136632896.928</v>
      </c>
      <c r="O32" s="7">
        <f>N32/L32</f>
        <v>426.02324456764063</v>
      </c>
      <c r="P32" s="29"/>
      <c r="Q32" s="29"/>
      <c r="R32" s="29">
        <f>$B$56/SQRT($E$56)*(SQRT(E32)-SQRT(E31))</f>
        <v>0.58622945836972806</v>
      </c>
      <c r="S32" s="29">
        <f>$B$56/SQRT($E$56)*(SQRT(F32)-SQRT(F31))</f>
        <v>0.53118620540995032</v>
      </c>
      <c r="T32" s="29">
        <f>$B$56/SQRT($E$56)*(SQRT(L32)-SQRT(L31))</f>
        <v>0.58622945836972806</v>
      </c>
      <c r="U32" s="14"/>
    </row>
    <row r="33" spans="1:21" ht="15" customHeight="1" thickBot="1" x14ac:dyDescent="0.3">
      <c r="A33" s="10">
        <v>44109</v>
      </c>
      <c r="B33" s="9">
        <v>32</v>
      </c>
      <c r="C33" s="9">
        <v>322774</v>
      </c>
      <c r="D33" s="19">
        <v>122300000</v>
      </c>
      <c r="E33" s="9">
        <v>324292</v>
      </c>
      <c r="F33" s="9">
        <v>326706</v>
      </c>
      <c r="G33" s="9">
        <f>E33-E32</f>
        <v>3575</v>
      </c>
      <c r="H33" s="9">
        <f>F33-F32</f>
        <v>4617</v>
      </c>
      <c r="I33" s="13">
        <f>L33-L32</f>
        <v>3575</v>
      </c>
      <c r="J33" s="12">
        <f>82/$L$83*(I33)</f>
        <v>0.77166059042630197</v>
      </c>
      <c r="K33" s="30">
        <f>$B$56/SQRT($L$56)*(SQRT(L33)-SQRT(L32))</f>
        <v>0.28278743512657872</v>
      </c>
      <c r="L33" s="20">
        <f>E33</f>
        <v>324292</v>
      </c>
      <c r="M33" s="18">
        <v>122300000</v>
      </c>
      <c r="N33" s="8">
        <f>M33*('[1]Inflation Rates by Year'!$D$2)</f>
        <v>139951451.37600002</v>
      </c>
      <c r="O33" s="7">
        <f>N33/L33</f>
        <v>431.5599872213931</v>
      </c>
      <c r="P33" s="29"/>
      <c r="Q33" s="29"/>
      <c r="R33" s="29">
        <f>$B$56/SQRT($E$56)*(SQRT(E33)-SQRT(E32))</f>
        <v>0.28278743512657872</v>
      </c>
      <c r="S33" s="29">
        <f>$B$56/SQRT($E$56)*(SQRT(F33)-SQRT(F32))</f>
        <v>0.36414483883784154</v>
      </c>
      <c r="T33" s="29">
        <f>$B$56/SQRT($E$56)*(SQRT(L33)-SQRT(L32))</f>
        <v>0.28278743512657872</v>
      </c>
      <c r="U33" s="14"/>
    </row>
    <row r="34" spans="1:21" ht="15" customHeight="1" thickBot="1" x14ac:dyDescent="0.3">
      <c r="A34" s="31">
        <v>44110</v>
      </c>
      <c r="B34" s="11">
        <v>33</v>
      </c>
      <c r="C34" s="11">
        <v>328595</v>
      </c>
      <c r="D34" s="19">
        <v>125400000</v>
      </c>
      <c r="E34" s="9">
        <v>327581</v>
      </c>
      <c r="F34" s="9">
        <v>328595</v>
      </c>
      <c r="G34" s="9">
        <f>E34-E33</f>
        <v>3289</v>
      </c>
      <c r="H34" s="9">
        <f>F34-F33</f>
        <v>1889</v>
      </c>
      <c r="I34" s="13">
        <f>L34-L33</f>
        <v>3289</v>
      </c>
      <c r="J34" s="12">
        <f>82/$L$83*(I34)</f>
        <v>0.70992774319219787</v>
      </c>
      <c r="K34" s="30">
        <f>$B$56/SQRT($L$56)*(SQRT(L34)-SQRT(L33))</f>
        <v>0.25879092392819603</v>
      </c>
      <c r="L34" s="20">
        <f>E34</f>
        <v>327581</v>
      </c>
      <c r="M34" s="18">
        <v>125400000</v>
      </c>
      <c r="N34" s="8">
        <f>M34*('[1]Inflation Rates by Year'!$D$2)</f>
        <v>143498871.648</v>
      </c>
      <c r="O34" s="7">
        <f>N34/L34</f>
        <v>438.05614992322512</v>
      </c>
      <c r="P34" s="29"/>
      <c r="Q34" s="29"/>
      <c r="R34" s="29">
        <f>$B$56/SQRT($E$56)*(SQRT(E34)-SQRT(E33))</f>
        <v>0.25879092392819603</v>
      </c>
      <c r="S34" s="29">
        <f>$B$56/SQRT($E$56)*(SQRT(F34)-SQRT(F33))</f>
        <v>0.14824405159067688</v>
      </c>
      <c r="T34" s="29">
        <f>$B$56/SQRT($E$56)*(SQRT(L34)-SQRT(L33))</f>
        <v>0.25879092392819603</v>
      </c>
      <c r="U34" s="14"/>
    </row>
    <row r="35" spans="1:21" ht="15" customHeight="1" thickBot="1" x14ac:dyDescent="0.3">
      <c r="A35" s="10">
        <v>44111</v>
      </c>
      <c r="B35" s="9">
        <v>34</v>
      </c>
      <c r="C35" s="9">
        <v>328603</v>
      </c>
      <c r="D35" s="19">
        <v>127100000</v>
      </c>
      <c r="E35" s="9">
        <v>329946</v>
      </c>
      <c r="F35" s="9">
        <v>330899</v>
      </c>
      <c r="G35" s="9">
        <f>E35-E34</f>
        <v>2365</v>
      </c>
      <c r="H35" s="9">
        <f>F35-F34</f>
        <v>2304</v>
      </c>
      <c r="I35" s="13">
        <f>L35-L34</f>
        <v>2365</v>
      </c>
      <c r="J35" s="12">
        <f>82/$L$83*(I35)</f>
        <v>0.51048315982047676</v>
      </c>
      <c r="K35" s="30">
        <f>$B$56/SQRT($L$56)*(SQRT(L35)-SQRT(L34))</f>
        <v>0.1852850308785122</v>
      </c>
      <c r="L35" s="20">
        <f>E35</f>
        <v>329946</v>
      </c>
      <c r="M35" s="18">
        <v>127100000</v>
      </c>
      <c r="N35" s="8">
        <f>M35*('[1]Inflation Rates by Year'!$D$2)</f>
        <v>145444231.15200001</v>
      </c>
      <c r="O35" s="7">
        <f>N35/L35</f>
        <v>440.81222730992346</v>
      </c>
      <c r="P35" s="29"/>
      <c r="Q35" s="29"/>
      <c r="R35" s="29">
        <f>$B$56/SQRT($E$56)*(SQRT(E35)-SQRT(E34))</f>
        <v>0.1852850308785122</v>
      </c>
      <c r="S35" s="29">
        <f>$B$56/SQRT($E$56)*(SQRT(F35)-SQRT(F34))</f>
        <v>0.1802366037521054</v>
      </c>
      <c r="T35" s="29">
        <f>$B$56/SQRT($E$56)*(SQRT(L35)-SQRT(L34))</f>
        <v>0.1852850308785122</v>
      </c>
      <c r="U35" s="14"/>
    </row>
    <row r="36" spans="1:21" ht="15" customHeight="1" thickBot="1" x14ac:dyDescent="0.3">
      <c r="A36" s="10">
        <v>44112</v>
      </c>
      <c r="B36" s="9">
        <v>35</v>
      </c>
      <c r="C36" s="9">
        <v>330899</v>
      </c>
      <c r="D36" s="19">
        <v>129200000</v>
      </c>
      <c r="E36" s="9">
        <v>330990</v>
      </c>
      <c r="F36" s="9">
        <v>331966</v>
      </c>
      <c r="G36" s="9">
        <f>E36-E35</f>
        <v>1044</v>
      </c>
      <c r="H36" s="9">
        <f>F36-F35</f>
        <v>1067</v>
      </c>
      <c r="I36" s="13">
        <f>L36-L35</f>
        <v>1044</v>
      </c>
      <c r="J36" s="12">
        <f>82/$L$83*(I36)</f>
        <v>0.2253464773161005</v>
      </c>
      <c r="K36" s="30">
        <f>$B$56/SQRT($L$56)*(SQRT(L36)-SQRT(L35))</f>
        <v>8.1580471784162209E-2</v>
      </c>
      <c r="L36" s="20">
        <f>E36</f>
        <v>330990</v>
      </c>
      <c r="M36" s="18">
        <v>129200000</v>
      </c>
      <c r="N36" s="8">
        <f>M36*('[1]Inflation Rates by Year'!$D$2)</f>
        <v>147847322.30400002</v>
      </c>
      <c r="O36" s="7">
        <f>N36/L36</f>
        <v>446.6821423728814</v>
      </c>
      <c r="P36" s="29"/>
      <c r="Q36" s="29"/>
      <c r="R36" s="29">
        <f>$B$56/SQRT($E$56)*(SQRT(E36)-SQRT(E35))</f>
        <v>8.1580471784162209E-2</v>
      </c>
      <c r="S36" s="29">
        <f>$B$56/SQRT($E$56)*(SQRT(F36)-SQRT(F35))</f>
        <v>8.3256336754162316E-2</v>
      </c>
      <c r="T36" s="29">
        <f>$B$56/SQRT($E$56)*(SQRT(L36)-SQRT(L35))</f>
        <v>8.1580471784162209E-2</v>
      </c>
      <c r="U36" s="14"/>
    </row>
    <row r="37" spans="1:21" ht="15" customHeight="1" thickBot="1" x14ac:dyDescent="0.3">
      <c r="A37" s="10">
        <v>44113</v>
      </c>
      <c r="B37" s="9">
        <v>36</v>
      </c>
      <c r="C37" s="9">
        <v>331966</v>
      </c>
      <c r="D37" s="4">
        <v>130900000</v>
      </c>
      <c r="E37" s="9">
        <v>331432</v>
      </c>
      <c r="F37" s="9">
        <v>332490</v>
      </c>
      <c r="G37" s="9">
        <f>E37-E36</f>
        <v>442</v>
      </c>
      <c r="H37" s="9">
        <f>F37-F36</f>
        <v>524</v>
      </c>
      <c r="I37" s="13">
        <f>L37-L36</f>
        <v>442</v>
      </c>
      <c r="J37" s="12">
        <f>82/$L$83*(I37)</f>
        <v>9.5405309361797336E-2</v>
      </c>
      <c r="K37" s="30">
        <f>$B$56/SQRT($L$56)*(SQRT(L37)-SQRT(L36))</f>
        <v>3.4500087936120624E-2</v>
      </c>
      <c r="L37" s="20">
        <f>E37</f>
        <v>331432</v>
      </c>
      <c r="M37" s="2">
        <v>130900000</v>
      </c>
      <c r="N37" s="8">
        <f>M37*('[1]Inflation Rates by Year'!$D$2)</f>
        <v>149792681.808</v>
      </c>
      <c r="O37" s="7">
        <f>N37/L37</f>
        <v>451.9560024620435</v>
      </c>
      <c r="P37" s="29"/>
      <c r="Q37" s="29"/>
      <c r="R37" s="29">
        <f>$B$56/SQRT($E$56)*(SQRT(E37)-SQRT(E36))</f>
        <v>3.4500087936120624E-2</v>
      </c>
      <c r="S37" s="29">
        <f>$B$56/SQRT($E$56)*(SQRT(F37)-SQRT(F36))</f>
        <v>4.0837908273688411E-2</v>
      </c>
      <c r="T37" s="29">
        <f>$B$56/SQRT($E$56)*(SQRT(L37)-SQRT(L36))</f>
        <v>3.4500087936120624E-2</v>
      </c>
      <c r="U37" s="14"/>
    </row>
    <row r="38" spans="1:21" ht="15" customHeight="1" thickBot="1" x14ac:dyDescent="0.3">
      <c r="A38" s="31">
        <v>44114</v>
      </c>
      <c r="B38" s="11">
        <v>37</v>
      </c>
      <c r="C38" s="11">
        <v>333480</v>
      </c>
      <c r="D38" s="19">
        <v>133500000</v>
      </c>
      <c r="E38" s="9">
        <v>332507</v>
      </c>
      <c r="F38" s="9">
        <v>333480</v>
      </c>
      <c r="G38" s="9">
        <f>E38-E37</f>
        <v>1075</v>
      </c>
      <c r="H38" s="9">
        <f>F38-F37</f>
        <v>990</v>
      </c>
      <c r="I38" s="13">
        <f>L38-L37</f>
        <v>1075</v>
      </c>
      <c r="J38" s="12">
        <f>82/$L$83*(I38)</f>
        <v>0.23203779991839851</v>
      </c>
      <c r="K38" s="30">
        <f>$B$56/SQRT($L$56)*(SQRT(L38)-SQRT(L37))</f>
        <v>8.3812693694212625E-2</v>
      </c>
      <c r="L38" s="20">
        <f>E38</f>
        <v>332507</v>
      </c>
      <c r="M38" s="18">
        <v>133500000</v>
      </c>
      <c r="N38" s="8">
        <f>M38*('[1]Inflation Rates by Year'!$D$2)</f>
        <v>152767937.52000001</v>
      </c>
      <c r="O38" s="7">
        <f>N38/L38</f>
        <v>459.44277118977948</v>
      </c>
      <c r="P38" s="29"/>
      <c r="Q38" s="29"/>
      <c r="R38" s="29">
        <f>$B$56/SQRT($E$56)*(SQRT(E38)-SQRT(E37))</f>
        <v>8.3812693694212625E-2</v>
      </c>
      <c r="S38" s="29">
        <f>$B$56/SQRT($E$56)*(SQRT(F38)-SQRT(F37))</f>
        <v>7.7067853633901923E-2</v>
      </c>
      <c r="T38" s="29">
        <f>$B$56/SQRT($E$56)*(SQRT(L38)-SQRT(L37))</f>
        <v>8.3812693694212625E-2</v>
      </c>
      <c r="U38" s="14"/>
    </row>
    <row r="39" spans="1:21" ht="15" customHeight="1" thickBot="1" x14ac:dyDescent="0.3">
      <c r="A39" s="10">
        <v>44115</v>
      </c>
      <c r="B39" s="9">
        <v>38</v>
      </c>
      <c r="C39" s="9">
        <v>333350</v>
      </c>
      <c r="D39" s="19">
        <v>136500000</v>
      </c>
      <c r="E39" s="9">
        <v>333492</v>
      </c>
      <c r="F39" s="9">
        <v>334171</v>
      </c>
      <c r="G39" s="9">
        <f>E39-E38</f>
        <v>985</v>
      </c>
      <c r="H39" s="9">
        <f>F39-F38</f>
        <v>691</v>
      </c>
      <c r="I39" s="13">
        <f>L39-L38</f>
        <v>985</v>
      </c>
      <c r="J39" s="12">
        <f>82/$L$83*(I39)</f>
        <v>0.21261137946011399</v>
      </c>
      <c r="K39" s="30">
        <f>$B$56/SQRT($L$56)*(SQRT(L39)-SQRT(L38))</f>
        <v>7.667695238452589E-2</v>
      </c>
      <c r="L39" s="20">
        <f>E39</f>
        <v>333492</v>
      </c>
      <c r="M39" s="18">
        <v>136500000</v>
      </c>
      <c r="N39" s="8">
        <f>M39*('[1]Inflation Rates by Year'!$D$2)</f>
        <v>156200924.88000003</v>
      </c>
      <c r="O39" s="7">
        <f>N39/L39</f>
        <v>468.37982584289887</v>
      </c>
      <c r="P39" s="29"/>
      <c r="Q39" s="29"/>
      <c r="R39" s="29">
        <f>$B$56/SQRT($E$56)*(SQRT(E39)-SQRT(E38))</f>
        <v>7.667695238452589E-2</v>
      </c>
      <c r="S39" s="29">
        <f>$B$56/SQRT($E$56)*(SQRT(F39)-SQRT(F38))</f>
        <v>5.3724036552410252E-2</v>
      </c>
      <c r="T39" s="29">
        <f>$B$56/SQRT($E$56)*(SQRT(L39)-SQRT(L38))</f>
        <v>7.667695238452589E-2</v>
      </c>
      <c r="U39" s="14"/>
    </row>
    <row r="40" spans="1:21" ht="15" customHeight="1" thickBot="1" x14ac:dyDescent="0.3">
      <c r="A40" s="31">
        <v>44116</v>
      </c>
      <c r="B40" s="11">
        <v>39</v>
      </c>
      <c r="C40" s="11">
        <v>332173</v>
      </c>
      <c r="D40" s="19">
        <v>138200000</v>
      </c>
      <c r="E40" s="9">
        <v>336649</v>
      </c>
      <c r="F40" s="9">
        <v>337655</v>
      </c>
      <c r="G40" s="9">
        <f>E40-E39</f>
        <v>3157</v>
      </c>
      <c r="H40" s="9">
        <f>F40-F39</f>
        <v>3484</v>
      </c>
      <c r="I40" s="13">
        <f>L40-L39</f>
        <v>3157</v>
      </c>
      <c r="J40" s="12">
        <f>82/$L$83*(I40)</f>
        <v>0.6814356598533805</v>
      </c>
      <c r="K40" s="30">
        <f>$B$56/SQRT($L$56)*(SQRT(L40)-SQRT(L39))</f>
        <v>0.24499542488345666</v>
      </c>
      <c r="L40" s="20">
        <f>E40</f>
        <v>336649</v>
      </c>
      <c r="M40" s="18">
        <v>138200000</v>
      </c>
      <c r="N40" s="8">
        <f>M40*('[1]Inflation Rates by Year'!$D$2)</f>
        <v>158146284.384</v>
      </c>
      <c r="O40" s="7">
        <f>N40/L40</f>
        <v>469.76608985620038</v>
      </c>
      <c r="P40" s="29"/>
      <c r="Q40" s="29"/>
      <c r="R40" s="29">
        <f>$B$56/SQRT($E$56)*(SQRT(E40)-SQRT(E39))</f>
        <v>0.24499542488345666</v>
      </c>
      <c r="S40" s="29">
        <f>$B$56/SQRT($E$56)*(SQRT(F40)-SQRT(F39))</f>
        <v>0.27003277841389145</v>
      </c>
      <c r="T40" s="29">
        <f>$B$56/SQRT($E$56)*(SQRT(L40)-SQRT(L39))</f>
        <v>0.24499542488345666</v>
      </c>
      <c r="U40" s="14"/>
    </row>
    <row r="41" spans="1:21" ht="15" customHeight="1" thickBot="1" x14ac:dyDescent="0.3">
      <c r="A41" s="10">
        <v>44117</v>
      </c>
      <c r="B41" s="9">
        <v>40</v>
      </c>
      <c r="C41" s="9">
        <v>337655</v>
      </c>
      <c r="D41" s="19">
        <v>138200000</v>
      </c>
      <c r="E41" s="9">
        <v>336660</v>
      </c>
      <c r="F41" s="14"/>
      <c r="G41" s="9">
        <f>E41-E40</f>
        <v>11</v>
      </c>
      <c r="H41" s="14"/>
      <c r="I41" s="13">
        <f>L41-L40</f>
        <v>11</v>
      </c>
      <c r="J41" s="12">
        <f>82/$L$83*(I41)</f>
        <v>2.3743402782347755E-3</v>
      </c>
      <c r="K41" s="30">
        <f>$B$56/SQRT($L$56)*(SQRT(L41)-SQRT(L40))</f>
        <v>8.5162961940162462E-4</v>
      </c>
      <c r="L41" s="20">
        <f>E41</f>
        <v>336660</v>
      </c>
      <c r="M41" s="18">
        <v>138200000</v>
      </c>
      <c r="N41" s="8">
        <f>M41*('[1]Inflation Rates by Year'!$D$2)</f>
        <v>158146284.384</v>
      </c>
      <c r="O41" s="7">
        <f>N41/L41</f>
        <v>469.75074075922299</v>
      </c>
      <c r="P41" s="29"/>
      <c r="Q41" s="29"/>
      <c r="R41" s="29">
        <f>$B$56/SQRT($E$56)*(SQRT(E41)-SQRT(E40))</f>
        <v>8.5162961940162462E-4</v>
      </c>
      <c r="S41" s="15"/>
      <c r="T41" s="29">
        <f>$B$56/SQRT($E$56)*(SQRT(L41)-SQRT(L40))</f>
        <v>8.5162961940162462E-4</v>
      </c>
      <c r="U41" s="14"/>
    </row>
    <row r="42" spans="1:21" ht="15" customHeight="1" thickBot="1" x14ac:dyDescent="0.3">
      <c r="A42" s="10">
        <v>44118</v>
      </c>
      <c r="B42" s="9">
        <v>41</v>
      </c>
      <c r="C42" s="9">
        <v>337655</v>
      </c>
      <c r="D42" s="19">
        <v>144700000</v>
      </c>
      <c r="E42" s="9">
        <v>341592</v>
      </c>
      <c r="F42" s="9">
        <v>341722</v>
      </c>
      <c r="G42" s="9">
        <f>E42-E41</f>
        <v>4932</v>
      </c>
      <c r="H42" s="14"/>
      <c r="I42" s="13">
        <f>L42-L41</f>
        <v>4932</v>
      </c>
      <c r="J42" s="12">
        <f>82/$L$83*(I42)</f>
        <v>1.0645678411139921</v>
      </c>
      <c r="K42" s="30">
        <f>$B$56/SQRT($L$56)*(SQRT(L42)-SQRT(L41))</f>
        <v>0.38044832752322505</v>
      </c>
      <c r="L42" s="20">
        <f>E42</f>
        <v>341592</v>
      </c>
      <c r="M42" s="18">
        <v>144700000</v>
      </c>
      <c r="N42" s="8">
        <f>M42*('[1]Inflation Rates by Year'!$D$2)</f>
        <v>165584423.664</v>
      </c>
      <c r="O42" s="7">
        <f>N42/L42</f>
        <v>484.74327169254553</v>
      </c>
      <c r="P42" s="29"/>
      <c r="Q42" s="29"/>
      <c r="R42" s="29">
        <f>$B$56/SQRT($E$56)*(SQRT(E42)-SQRT(E41))</f>
        <v>0.38044832752322505</v>
      </c>
      <c r="S42" s="15"/>
      <c r="T42" s="29">
        <f>$B$56/SQRT($E$56)*(SQRT(L42)-SQRT(L41))</f>
        <v>0.38044832752322505</v>
      </c>
      <c r="U42" s="14"/>
    </row>
    <row r="43" spans="1:21" ht="15" customHeight="1" thickBot="1" x14ac:dyDescent="0.3">
      <c r="A43" s="10">
        <v>44119</v>
      </c>
      <c r="B43" s="9">
        <v>42</v>
      </c>
      <c r="C43" s="9">
        <v>341722</v>
      </c>
      <c r="D43" s="4">
        <v>144900000</v>
      </c>
      <c r="E43" s="9">
        <v>343882</v>
      </c>
      <c r="F43" s="9">
        <v>344042</v>
      </c>
      <c r="G43" s="9">
        <f>E43-E42</f>
        <v>2290</v>
      </c>
      <c r="H43" s="9">
        <f>F43-F42</f>
        <v>2320</v>
      </c>
      <c r="I43" s="13">
        <f>L43-L42</f>
        <v>2290</v>
      </c>
      <c r="J43" s="12">
        <f>82/$L$83*(I43)</f>
        <v>0.49429447610523963</v>
      </c>
      <c r="K43" s="30">
        <f>$B$56/SQRT($L$56)*(SQRT(L43)-SQRT(L42))</f>
        <v>0.17571380252836022</v>
      </c>
      <c r="L43" s="20">
        <f>E43</f>
        <v>343882</v>
      </c>
      <c r="M43" s="2">
        <v>144900000</v>
      </c>
      <c r="N43" s="8">
        <f>M43*('[1]Inflation Rates by Year'!$D$2)</f>
        <v>165813289.48800001</v>
      </c>
      <c r="O43" s="7">
        <f>N43/L43</f>
        <v>482.18077563815496</v>
      </c>
      <c r="P43" s="29"/>
      <c r="Q43" s="29"/>
      <c r="R43" s="29">
        <f>$B$56/SQRT($E$56)*(SQRT(E43)-SQRT(E42))</f>
        <v>0.17571380252836022</v>
      </c>
      <c r="S43" s="29">
        <f>$B$56/SQRT($E$56)*(SQRT(F43)-SQRT(F42))</f>
        <v>0.1779780922441889</v>
      </c>
      <c r="T43" s="29">
        <f>$B$56/SQRT($E$56)*(SQRT(L43)-SQRT(L42))</f>
        <v>0.17571380252836022</v>
      </c>
      <c r="U43" s="14"/>
    </row>
    <row r="44" spans="1:21" ht="15" customHeight="1" thickBot="1" x14ac:dyDescent="0.3">
      <c r="A44" s="10">
        <v>44120</v>
      </c>
      <c r="B44" s="9">
        <v>43</v>
      </c>
      <c r="C44" s="9">
        <v>344042</v>
      </c>
      <c r="D44" s="19">
        <v>146900000</v>
      </c>
      <c r="E44" s="9">
        <v>346328</v>
      </c>
      <c r="F44" s="9">
        <v>346477</v>
      </c>
      <c r="G44" s="9">
        <f>E44-E43</f>
        <v>2446</v>
      </c>
      <c r="H44" s="9">
        <f>F44-F43</f>
        <v>2435</v>
      </c>
      <c r="I44" s="13">
        <f>L44-L43</f>
        <v>2446</v>
      </c>
      <c r="J44" s="12">
        <f>82/$L$83*(I44)</f>
        <v>0.52796693823293284</v>
      </c>
      <c r="K44" s="30">
        <f>$B$56/SQRT($L$56)*(SQRT(L44)-SQRT(L43))</f>
        <v>0.18703883690459933</v>
      </c>
      <c r="L44" s="20">
        <f>E44</f>
        <v>346328</v>
      </c>
      <c r="M44" s="18">
        <v>146900000</v>
      </c>
      <c r="N44" s="8">
        <f>M44*('[1]Inflation Rates by Year'!$D$2)</f>
        <v>168101947.72800002</v>
      </c>
      <c r="O44" s="7">
        <f>N44/L44</f>
        <v>485.38364708599943</v>
      </c>
      <c r="P44" s="29"/>
      <c r="Q44" s="29"/>
      <c r="R44" s="29">
        <f>$B$56/SQRT($E$56)*(SQRT(E44)-SQRT(E43))</f>
        <v>0.18703883690459933</v>
      </c>
      <c r="S44" s="29">
        <f>$B$56/SQRT($E$56)*(SQRT(F44)-SQRT(F43))</f>
        <v>0.18615602910868337</v>
      </c>
      <c r="T44" s="29">
        <f>$B$56/SQRT($E$56)*(SQRT(L44)-SQRT(L43))</f>
        <v>0.18703883690459933</v>
      </c>
      <c r="U44" s="14"/>
    </row>
    <row r="45" spans="1:21" ht="15" customHeight="1" thickBot="1" x14ac:dyDescent="0.3">
      <c r="A45" s="31">
        <v>44121</v>
      </c>
      <c r="B45" s="11">
        <v>44</v>
      </c>
      <c r="C45" s="11">
        <v>346477</v>
      </c>
      <c r="D45" s="19">
        <v>150400000</v>
      </c>
      <c r="E45" s="9">
        <v>347821</v>
      </c>
      <c r="F45" s="9">
        <v>348085</v>
      </c>
      <c r="G45" s="9">
        <f>E45-E44</f>
        <v>1493</v>
      </c>
      <c r="H45" s="9">
        <f>F45-F44</f>
        <v>1608</v>
      </c>
      <c r="I45" s="13">
        <f>L45-L44</f>
        <v>1493</v>
      </c>
      <c r="J45" s="12">
        <f>82/$L$83*(I45)</f>
        <v>0.32226273049131998</v>
      </c>
      <c r="K45" s="30">
        <f>$B$56/SQRT($L$56)*(SQRT(L45)-SQRT(L44))</f>
        <v>0.11384107548598982</v>
      </c>
      <c r="L45" s="20">
        <f>E45</f>
        <v>347821</v>
      </c>
      <c r="M45" s="18">
        <v>150400000</v>
      </c>
      <c r="N45" s="8">
        <f>M45*('[1]Inflation Rates by Year'!$D$2)</f>
        <v>172107099.648</v>
      </c>
      <c r="O45" s="7">
        <f>N45/L45</f>
        <v>494.81514815954182</v>
      </c>
      <c r="P45" s="29"/>
      <c r="Q45" s="29"/>
      <c r="R45" s="29">
        <f>$B$56/SQRT($E$56)*(SQRT(E45)-SQRT(E44))</f>
        <v>0.11384107548598982</v>
      </c>
      <c r="S45" s="29">
        <f>$B$56/SQRT($E$56)*(SQRT(F45)-SQRT(F44))</f>
        <v>0.1225733647823333</v>
      </c>
      <c r="T45" s="29">
        <f>$B$56/SQRT($E$56)*(SQRT(L45)-SQRT(L44))</f>
        <v>0.11384107548598982</v>
      </c>
      <c r="U45" s="14"/>
    </row>
    <row r="46" spans="1:21" ht="15" customHeight="1" thickBot="1" x14ac:dyDescent="0.3">
      <c r="A46" s="10">
        <v>44122</v>
      </c>
      <c r="B46" s="9">
        <v>45</v>
      </c>
      <c r="C46" s="9">
        <v>348085</v>
      </c>
      <c r="D46" s="19">
        <v>153100000</v>
      </c>
      <c r="E46" s="9">
        <v>350075</v>
      </c>
      <c r="F46" s="9">
        <v>350331</v>
      </c>
      <c r="G46" s="9">
        <f>E46-E45</f>
        <v>2254</v>
      </c>
      <c r="H46" s="9">
        <f>F46-F45</f>
        <v>2246</v>
      </c>
      <c r="I46" s="13">
        <f>L46-L45</f>
        <v>2254</v>
      </c>
      <c r="J46" s="12">
        <f>82/$L$83*(I46)</f>
        <v>0.48652390792192579</v>
      </c>
      <c r="K46" s="30">
        <f>$B$56/SQRT($L$56)*(SQRT(L46)-SQRT(L45))</f>
        <v>0.17140536280786828</v>
      </c>
      <c r="L46" s="20">
        <f>E46</f>
        <v>350075</v>
      </c>
      <c r="M46" s="18">
        <v>153100000</v>
      </c>
      <c r="N46" s="8">
        <f>M46*('[1]Inflation Rates by Year'!$D$2)</f>
        <v>175196788.27200001</v>
      </c>
      <c r="O46" s="7">
        <f>N46/L46</f>
        <v>500.45501184603302</v>
      </c>
      <c r="P46" s="29"/>
      <c r="Q46" s="29"/>
      <c r="R46" s="29">
        <f>$B$56/SQRT($E$56)*(SQRT(E46)-SQRT(E45))</f>
        <v>0.17140536280786828</v>
      </c>
      <c r="S46" s="29">
        <f>$B$56/SQRT($E$56)*(SQRT(F46)-SQRT(F45))</f>
        <v>0.17073340653490485</v>
      </c>
      <c r="T46" s="29">
        <f>$B$56/SQRT($E$56)*(SQRT(L46)-SQRT(L45))</f>
        <v>0.17140536280786828</v>
      </c>
      <c r="U46" s="14"/>
    </row>
    <row r="47" spans="1:21" ht="15" customHeight="1" thickBot="1" x14ac:dyDescent="0.3">
      <c r="A47" s="10">
        <v>44123</v>
      </c>
      <c r="B47" s="9">
        <v>46</v>
      </c>
      <c r="C47" s="9">
        <v>350331</v>
      </c>
      <c r="D47" s="19">
        <v>150400000</v>
      </c>
      <c r="E47" s="9">
        <v>352159</v>
      </c>
      <c r="F47" s="9">
        <v>352339</v>
      </c>
      <c r="G47" s="9">
        <f>E47-E46</f>
        <v>2084</v>
      </c>
      <c r="H47" s="9">
        <f>F47-F46</f>
        <v>2008</v>
      </c>
      <c r="I47" s="13">
        <f>L47-L46</f>
        <v>2084</v>
      </c>
      <c r="J47" s="12">
        <f>82/$L$83*(I47)</f>
        <v>0.44982955816738834</v>
      </c>
      <c r="K47" s="30">
        <f>$B$56/SQRT($L$56)*(SQRT(L47)-SQRT(L46))</f>
        <v>0.15798743516147012</v>
      </c>
      <c r="L47" s="20">
        <f>E47</f>
        <v>352159</v>
      </c>
      <c r="M47" s="18">
        <v>150400000</v>
      </c>
      <c r="N47" s="8">
        <f>M47*('[1]Inflation Rates by Year'!$D$2)</f>
        <v>172107099.648</v>
      </c>
      <c r="O47" s="7">
        <f>N47/L47</f>
        <v>488.71986701461555</v>
      </c>
      <c r="P47" s="29"/>
      <c r="Q47" s="29"/>
      <c r="R47" s="29">
        <f>$B$56/SQRT($E$56)*(SQRT(E47)-SQRT(E46))</f>
        <v>0.15798743516147012</v>
      </c>
      <c r="S47" s="29">
        <f>$B$56/SQRT($E$56)*(SQRT(F47)-SQRT(F46))</f>
        <v>0.15217865034615241</v>
      </c>
      <c r="T47" s="29">
        <f>$B$56/SQRT($E$56)*(SQRT(L47)-SQRT(L46))</f>
        <v>0.15798743516147012</v>
      </c>
      <c r="U47" s="14"/>
    </row>
    <row r="48" spans="1:21" ht="15" customHeight="1" thickBot="1" x14ac:dyDescent="0.3">
      <c r="A48" s="10">
        <v>44124</v>
      </c>
      <c r="B48" s="9">
        <v>47</v>
      </c>
      <c r="C48" s="9">
        <v>352339</v>
      </c>
      <c r="D48" s="19">
        <v>157000000</v>
      </c>
      <c r="E48" s="9">
        <v>352203</v>
      </c>
      <c r="F48" s="14"/>
      <c r="G48" s="9">
        <f>E48-E47</f>
        <v>44</v>
      </c>
      <c r="H48" s="14"/>
      <c r="I48" s="13">
        <f>L48-L47</f>
        <v>44</v>
      </c>
      <c r="J48" s="12">
        <f>82/$L$83*(I48)</f>
        <v>9.4973611129391018E-3</v>
      </c>
      <c r="K48" s="30">
        <f>$B$56/SQRT($L$56)*(SQRT(L48)-SQRT(L47))</f>
        <v>3.3305809986751284E-3</v>
      </c>
      <c r="L48" s="20">
        <f>E48</f>
        <v>352203</v>
      </c>
      <c r="M48" s="18">
        <v>157000000</v>
      </c>
      <c r="N48" s="8">
        <f>M48*('[1]Inflation Rates by Year'!$D$2)</f>
        <v>179659671.84</v>
      </c>
      <c r="O48" s="7">
        <f>N48/L48</f>
        <v>510.10261650241483</v>
      </c>
      <c r="P48" s="29"/>
      <c r="Q48" s="29"/>
      <c r="R48" s="29">
        <f>$B$56/SQRT($E$56)*(SQRT(E48)-SQRT(E47))</f>
        <v>3.3305809986751284E-3</v>
      </c>
      <c r="S48" s="15"/>
      <c r="T48" s="29">
        <f>$B$56/SQRT($E$56)*(SQRT(L48)-SQRT(L47))</f>
        <v>3.3305809986751284E-3</v>
      </c>
      <c r="U48" s="14"/>
    </row>
    <row r="49" spans="1:35" ht="15" customHeight="1" thickBot="1" x14ac:dyDescent="0.3">
      <c r="A49" s="31">
        <v>44125</v>
      </c>
      <c r="B49" s="11">
        <v>48</v>
      </c>
      <c r="C49" s="11">
        <v>352339</v>
      </c>
      <c r="E49" s="9">
        <v>357507</v>
      </c>
      <c r="F49" s="9">
        <v>357656</v>
      </c>
      <c r="G49" s="9">
        <f>E49-E48</f>
        <v>5304</v>
      </c>
      <c r="H49" s="14"/>
      <c r="I49" s="13">
        <f>L49-L48</f>
        <v>5304</v>
      </c>
      <c r="J49" s="12">
        <f>82/$L$83*(I49)</f>
        <v>1.1448637123415681</v>
      </c>
      <c r="K49" s="30">
        <f>$B$56/SQRT($L$56)*(SQRT(L49)-SQRT(L48))</f>
        <v>0.39997363738010888</v>
      </c>
      <c r="L49" s="20">
        <f>E49</f>
        <v>357507</v>
      </c>
      <c r="M49" s="1">
        <v>0</v>
      </c>
      <c r="N49" s="8">
        <f>M49*('[1]Inflation Rates by Year'!$D$2)</f>
        <v>0</v>
      </c>
      <c r="O49" s="7">
        <f>N49/L49</f>
        <v>0</v>
      </c>
      <c r="P49" s="29"/>
      <c r="Q49" s="29"/>
      <c r="R49" s="29">
        <f>$B$56/SQRT($E$56)*(SQRT(E49)-SQRT(E48))</f>
        <v>0.39997363738010888</v>
      </c>
      <c r="S49" s="15"/>
      <c r="T49" s="29">
        <f>$B$56/SQRT($E$56)*(SQRT(L49)-SQRT(L48))</f>
        <v>0.39997363738010888</v>
      </c>
      <c r="U49" s="14"/>
    </row>
    <row r="50" spans="1:35" ht="15" customHeight="1" thickBot="1" x14ac:dyDescent="0.3">
      <c r="A50" s="10">
        <v>44126</v>
      </c>
      <c r="B50" s="9">
        <v>49</v>
      </c>
      <c r="C50" s="9">
        <v>357656</v>
      </c>
      <c r="D50" s="19">
        <v>162000000</v>
      </c>
      <c r="E50" s="9">
        <v>358620</v>
      </c>
      <c r="F50" s="14"/>
      <c r="G50" s="9">
        <f>E50-E49</f>
        <v>1113</v>
      </c>
      <c r="H50" s="14"/>
      <c r="I50" s="13">
        <f>L50-L49</f>
        <v>1113</v>
      </c>
      <c r="J50" s="12">
        <f>82/$L$83*(I50)</f>
        <v>0.24024006633411865</v>
      </c>
      <c r="K50" s="30">
        <f>$B$56/SQRT($L$56)*(SQRT(L50)-SQRT(L49))</f>
        <v>8.355367445308215E-2</v>
      </c>
      <c r="L50" s="20">
        <f>E50</f>
        <v>358620</v>
      </c>
      <c r="M50" s="18">
        <v>162000000</v>
      </c>
      <c r="N50" s="8">
        <f>M50*('[1]Inflation Rates by Year'!$D$2)</f>
        <v>185381317.44000003</v>
      </c>
      <c r="O50" s="7">
        <f>N50/L50</f>
        <v>516.92966772628415</v>
      </c>
      <c r="P50" s="29"/>
      <c r="Q50" s="29"/>
      <c r="R50" s="29">
        <f>$B$56/SQRT($E$56)*(SQRT(E50)-SQRT(E49))</f>
        <v>8.355367445308215E-2</v>
      </c>
      <c r="S50" s="15"/>
      <c r="T50" s="29">
        <f>$B$56/SQRT($E$56)*(SQRT(L50)-SQRT(L49))</f>
        <v>8.355367445308215E-2</v>
      </c>
      <c r="U50" s="14"/>
    </row>
    <row r="51" spans="1:35" ht="15" customHeight="1" thickBot="1" x14ac:dyDescent="0.3">
      <c r="A51" s="10">
        <v>44127</v>
      </c>
      <c r="B51" s="9">
        <v>50</v>
      </c>
      <c r="C51" s="9">
        <v>358967</v>
      </c>
      <c r="D51" s="19">
        <v>163500000</v>
      </c>
      <c r="E51" s="9">
        <v>360795</v>
      </c>
      <c r="F51" s="9">
        <v>363855</v>
      </c>
      <c r="G51" s="9">
        <f>E51-E50</f>
        <v>2175</v>
      </c>
      <c r="H51" s="14"/>
      <c r="I51" s="13">
        <f>L51-L50</f>
        <v>2175</v>
      </c>
      <c r="J51" s="12">
        <f>82/$L$83*(I51)</f>
        <v>0.46947182774187607</v>
      </c>
      <c r="K51" s="30">
        <f>$B$56/SQRT($L$56)*(SQRT(L51)-SQRT(L50))</f>
        <v>0.16290533054893316</v>
      </c>
      <c r="L51" s="20">
        <f>E51</f>
        <v>360795</v>
      </c>
      <c r="M51" s="18">
        <v>163500000</v>
      </c>
      <c r="N51" s="8">
        <f>M51*('[1]Inflation Rates by Year'!$D$2)</f>
        <v>187097811.12</v>
      </c>
      <c r="O51" s="7">
        <f>N51/L51</f>
        <v>518.5709644534985</v>
      </c>
      <c r="P51" s="29"/>
      <c r="Q51" s="29"/>
      <c r="R51" s="29">
        <f>$B$56/SQRT($E$56)*(SQRT(E51)-SQRT(E50))</f>
        <v>0.16290533054893316</v>
      </c>
      <c r="S51" s="15"/>
      <c r="T51" s="29">
        <f>$B$56/SQRT($E$56)*(SQRT(L51)-SQRT(L50))</f>
        <v>0.16290533054893316</v>
      </c>
      <c r="U51" s="14"/>
    </row>
    <row r="52" spans="1:35" ht="15" customHeight="1" thickBot="1" x14ac:dyDescent="0.3">
      <c r="A52" s="10">
        <v>44128</v>
      </c>
      <c r="B52" s="9">
        <v>51</v>
      </c>
      <c r="C52" s="9">
        <v>360834</v>
      </c>
      <c r="D52" s="19">
        <v>163500000</v>
      </c>
      <c r="E52" s="9">
        <v>367612</v>
      </c>
      <c r="F52" s="9">
        <v>365714</v>
      </c>
      <c r="G52" s="9">
        <f>E52-E51</f>
        <v>6817</v>
      </c>
      <c r="H52" s="9">
        <f>F52-F51</f>
        <v>1859</v>
      </c>
      <c r="I52" s="13">
        <f>L52-L51</f>
        <v>6817</v>
      </c>
      <c r="J52" s="12">
        <f>82/$L$83*(I52)</f>
        <v>1.4714434251569513</v>
      </c>
      <c r="K52" s="30">
        <f>$B$56/SQRT($L$56)*(SQRT(L52)-SQRT(L51))</f>
        <v>0.50743015905800881</v>
      </c>
      <c r="L52" s="20">
        <f>E52</f>
        <v>367612</v>
      </c>
      <c r="M52" s="18">
        <v>163500000</v>
      </c>
      <c r="N52" s="8">
        <f>M52*('[1]Inflation Rates by Year'!$D$2)</f>
        <v>187097811.12</v>
      </c>
      <c r="O52" s="7">
        <f>N52/L52</f>
        <v>508.95458015516363</v>
      </c>
      <c r="P52" s="29"/>
      <c r="Q52" s="29"/>
      <c r="R52" s="29">
        <f>$B$56/SQRT($E$56)*(SQRT(E52)-SQRT(E51))</f>
        <v>0.50743015905800881</v>
      </c>
      <c r="S52" s="29">
        <f>$B$56/SQRT($E$56)*(SQRT(F52)-SQRT(F51))</f>
        <v>0.13826486643679314</v>
      </c>
      <c r="T52" s="29">
        <f>$B$56/SQRT($E$56)*(SQRT(L52)-SQRT(L51))</f>
        <v>0.50743015905800881</v>
      </c>
      <c r="U52" s="14"/>
    </row>
    <row r="53" spans="1:35" ht="15" customHeight="1" thickBot="1" x14ac:dyDescent="0.3">
      <c r="A53" s="10">
        <v>44129</v>
      </c>
      <c r="B53" s="9">
        <v>52</v>
      </c>
      <c r="C53" s="9">
        <v>365714</v>
      </c>
      <c r="D53" s="19">
        <v>166600000</v>
      </c>
      <c r="E53" s="9">
        <v>368207</v>
      </c>
      <c r="F53" s="9">
        <v>369362</v>
      </c>
      <c r="G53" s="9">
        <f>E53-E52</f>
        <v>595</v>
      </c>
      <c r="H53" s="9">
        <f>F53-F52</f>
        <v>3648</v>
      </c>
      <c r="I53" s="13">
        <f>L53-L52</f>
        <v>595</v>
      </c>
      <c r="J53" s="12">
        <f>82/$L$83*(I53)</f>
        <v>0.12843022414088104</v>
      </c>
      <c r="K53" s="30">
        <f>$B$56/SQRT($L$56)*(SQRT(L53)-SQRT(L52))</f>
        <v>4.406530542257675E-2</v>
      </c>
      <c r="L53" s="20">
        <f>E53</f>
        <v>368207</v>
      </c>
      <c r="M53" s="18">
        <v>166600000</v>
      </c>
      <c r="N53" s="8">
        <f>M53*('[1]Inflation Rates by Year'!$D$2)</f>
        <v>190645231.39200002</v>
      </c>
      <c r="O53" s="7">
        <f>N53/L53</f>
        <v>517.766450371666</v>
      </c>
      <c r="P53" s="29"/>
      <c r="Q53" s="29"/>
      <c r="R53" s="29">
        <f>$B$56/SQRT($E$56)*(SQRT(E53)-SQRT(E52))</f>
        <v>4.406530542257675E-2</v>
      </c>
      <c r="S53" s="29">
        <f>$B$56/SQRT($E$56)*(SQRT(F53)-SQRT(F52))</f>
        <v>0.27030577682057222</v>
      </c>
      <c r="T53" s="29">
        <f>$B$56/SQRT($E$56)*(SQRT(L53)-SQRT(L52))</f>
        <v>4.406530542257675E-2</v>
      </c>
      <c r="U53" s="14"/>
    </row>
    <row r="54" spans="1:35" ht="15" customHeight="1" thickBot="1" x14ac:dyDescent="0.3">
      <c r="A54" s="10">
        <v>44130</v>
      </c>
      <c r="B54" s="9">
        <v>53</v>
      </c>
      <c r="C54" s="9">
        <v>369362</v>
      </c>
      <c r="D54" s="19">
        <v>167600000</v>
      </c>
      <c r="E54" s="9">
        <v>373186</v>
      </c>
      <c r="F54" s="9">
        <v>374466</v>
      </c>
      <c r="G54" s="9">
        <f>E54-E53</f>
        <v>4979</v>
      </c>
      <c r="H54" s="9">
        <f>F54-F53</f>
        <v>5104</v>
      </c>
      <c r="I54" s="13">
        <f>L54-L53</f>
        <v>4979</v>
      </c>
      <c r="J54" s="12">
        <f>82/$L$83*(I54)</f>
        <v>1.0747127495755406</v>
      </c>
      <c r="K54" s="30">
        <f>$B$56/SQRT($L$56)*(SQRT(L54)-SQRT(L53))</f>
        <v>0.36735471331077568</v>
      </c>
      <c r="L54" s="20">
        <f>E54</f>
        <v>373186</v>
      </c>
      <c r="M54" s="18">
        <v>167600000</v>
      </c>
      <c r="N54" s="8">
        <f>M54*('[1]Inflation Rates by Year'!$D$2)</f>
        <v>191789560.51200002</v>
      </c>
      <c r="O54" s="7">
        <f>N54/L54</f>
        <v>513.9248538583978</v>
      </c>
      <c r="P54" s="29"/>
      <c r="Q54" s="29"/>
      <c r="R54" s="29">
        <f>$B$56/SQRT($E$56)*(SQRT(E54)-SQRT(E53))</f>
        <v>0.36735471331077568</v>
      </c>
      <c r="S54" s="29">
        <f>$B$56/SQRT($E$56)*(SQRT(F54)-SQRT(F53))</f>
        <v>0.37596052107259409</v>
      </c>
      <c r="T54" s="29">
        <f>$B$56/SQRT($E$56)*(SQRT(L54)-SQRT(L53))</f>
        <v>0.36735471331077568</v>
      </c>
      <c r="U54" s="14"/>
    </row>
    <row r="55" spans="1:35" ht="15" customHeight="1" thickBot="1" x14ac:dyDescent="0.3">
      <c r="A55" s="10">
        <v>44131</v>
      </c>
      <c r="B55" s="9">
        <v>54</v>
      </c>
      <c r="C55" s="9">
        <v>374466</v>
      </c>
      <c r="D55" s="19">
        <v>165700000</v>
      </c>
      <c r="E55" s="9">
        <v>374762</v>
      </c>
      <c r="F55" s="9">
        <v>378701</v>
      </c>
      <c r="G55" s="9">
        <f>E55-E54</f>
        <v>1576</v>
      </c>
      <c r="H55" s="9">
        <f>F55-F54</f>
        <v>4235</v>
      </c>
      <c r="I55" s="13">
        <f>L55-L54</f>
        <v>1576</v>
      </c>
      <c r="J55" s="12">
        <f>82/$L$83*(I55)</f>
        <v>0.34017820713618235</v>
      </c>
      <c r="K55" s="30">
        <f>$B$56/SQRT($L$56)*(SQRT(L55)-SQRT(L54))</f>
        <v>0.11576733448203738</v>
      </c>
      <c r="L55" s="20">
        <f>E55</f>
        <v>374762</v>
      </c>
      <c r="M55" s="18">
        <v>165700000</v>
      </c>
      <c r="N55" s="8">
        <f>M55*('[1]Inflation Rates by Year'!$D$2)</f>
        <v>189615335.18400002</v>
      </c>
      <c r="O55" s="7">
        <f>N55/L55</f>
        <v>505.96201104701123</v>
      </c>
      <c r="P55" s="29"/>
      <c r="Q55" s="29"/>
      <c r="R55" s="29">
        <f>$B$56/SQRT($E$56)*(SQRT(E55)-SQRT(E54))</f>
        <v>0.11576733448203738</v>
      </c>
      <c r="S55" s="29">
        <f>$B$56/SQRT($E$56)*(SQRT(F55)-SQRT(F54))</f>
        <v>0.31000933521675861</v>
      </c>
      <c r="T55" s="29">
        <f>$B$56/SQRT($E$56)*(SQRT(L55)-SQRT(L54))</f>
        <v>0.11576733448203738</v>
      </c>
      <c r="U55" s="14"/>
    </row>
    <row r="56" spans="1:35" ht="15" customHeight="1" thickBot="1" x14ac:dyDescent="0.3">
      <c r="A56" s="28">
        <v>44132</v>
      </c>
      <c r="B56" s="27">
        <v>55</v>
      </c>
      <c r="C56" s="27">
        <v>378701</v>
      </c>
      <c r="D56" s="25">
        <v>1681000</v>
      </c>
      <c r="E56" s="27">
        <v>374770</v>
      </c>
      <c r="F56" s="27">
        <v>379571</v>
      </c>
      <c r="G56" s="27">
        <f>E56-E55</f>
        <v>8</v>
      </c>
      <c r="H56" s="27">
        <f>F56-F55</f>
        <v>870</v>
      </c>
      <c r="I56" s="13">
        <f>L56-L55</f>
        <v>8</v>
      </c>
      <c r="J56" s="12">
        <f>82/$L$83*(I56)</f>
        <v>1.7267929296252912E-3</v>
      </c>
      <c r="K56" s="27">
        <f>$B$56/SQRT($L$56)*(SQRT(L56)-SQRT(L55))</f>
        <v>5.8702984248261067E-4</v>
      </c>
      <c r="L56" s="26">
        <f>E56</f>
        <v>374770</v>
      </c>
      <c r="M56" s="25">
        <v>168100000</v>
      </c>
      <c r="N56" s="24">
        <f>M56*('[1]Inflation Rates by Year'!$D$2)</f>
        <v>192361725.07200003</v>
      </c>
      <c r="O56" s="24">
        <f>N56/L56</f>
        <v>513.27941156442625</v>
      </c>
      <c r="P56" s="23"/>
      <c r="Q56" s="23"/>
      <c r="R56" s="23">
        <f>$B$56/SQRT($E$56)*(SQRT(E56)-SQRT(E55))</f>
        <v>5.8702984248261067E-4</v>
      </c>
      <c r="S56" s="23">
        <f>$B$56/SQRT($E$56)*(SQRT(F56)-SQRT(F55))</f>
        <v>6.3470525878723011E-2</v>
      </c>
      <c r="T56" s="23">
        <f>$B$56/SQRT($E$56)*(SQRT(L56)-SQRT(L55))</f>
        <v>5.8702984248261067E-4</v>
      </c>
      <c r="U56" s="22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 spans="1:35" ht="15" customHeight="1" thickBot="1" x14ac:dyDescent="0.3">
      <c r="A57" s="10">
        <v>44133</v>
      </c>
      <c r="B57" s="9">
        <v>56</v>
      </c>
      <c r="C57" s="9">
        <v>379571</v>
      </c>
      <c r="D57" s="19">
        <v>168100000</v>
      </c>
      <c r="E57" s="14"/>
      <c r="F57" s="9">
        <v>379011</v>
      </c>
      <c r="G57" s="14"/>
      <c r="H57" s="14"/>
      <c r="I57" s="13">
        <f>L57-L56</f>
        <v>4801</v>
      </c>
      <c r="J57" s="12">
        <f>82/$L$83*(I57)</f>
        <v>1.0362916068913779</v>
      </c>
      <c r="K57" s="12"/>
      <c r="L57" s="11">
        <v>379571</v>
      </c>
      <c r="M57" s="18">
        <v>168100000</v>
      </c>
      <c r="N57" s="8">
        <f>M57*('[1]Inflation Rates by Year'!$D$2)</f>
        <v>192361725.07200003</v>
      </c>
      <c r="O57" s="7">
        <f>N57/L57</f>
        <v>506.78720205705923</v>
      </c>
      <c r="P57" s="15"/>
      <c r="Q57" s="15"/>
      <c r="R57" s="15"/>
      <c r="S57" s="15"/>
      <c r="T57" s="15"/>
      <c r="U57" s="14"/>
    </row>
    <row r="58" spans="1:35" ht="15" customHeight="1" thickBot="1" x14ac:dyDescent="0.3">
      <c r="A58" s="10">
        <v>44134</v>
      </c>
      <c r="B58" s="9">
        <v>57</v>
      </c>
      <c r="C58" s="9">
        <v>379571</v>
      </c>
      <c r="D58" s="19">
        <v>171000000</v>
      </c>
      <c r="E58" s="14"/>
      <c r="F58" s="9">
        <v>380002</v>
      </c>
      <c r="G58" s="14"/>
      <c r="H58" s="14"/>
      <c r="I58" s="13">
        <f>L58-L57</f>
        <v>0</v>
      </c>
      <c r="J58" s="12">
        <f>82/$L$83*(I58)</f>
        <v>0</v>
      </c>
      <c r="K58" s="12"/>
      <c r="L58" s="11">
        <v>379571</v>
      </c>
      <c r="M58" s="18">
        <v>171000000</v>
      </c>
      <c r="N58" s="8">
        <f>M58*('[1]Inflation Rates by Year'!$D$2)</f>
        <v>195680279.52000001</v>
      </c>
      <c r="O58" s="7">
        <f>N58/L58</f>
        <v>515.53011036143437</v>
      </c>
      <c r="P58" s="15"/>
      <c r="Q58" s="15"/>
      <c r="R58" s="15"/>
      <c r="S58" s="15"/>
      <c r="T58" s="15"/>
      <c r="U58" s="14"/>
    </row>
    <row r="59" spans="1:35" ht="15" customHeight="1" thickBot="1" x14ac:dyDescent="0.3">
      <c r="A59" s="10">
        <v>44135</v>
      </c>
      <c r="B59" s="9">
        <v>58</v>
      </c>
      <c r="C59" s="9">
        <v>380002</v>
      </c>
      <c r="D59" s="19">
        <v>172300000</v>
      </c>
      <c r="E59" s="9">
        <v>375654</v>
      </c>
      <c r="F59" s="9">
        <v>380345</v>
      </c>
      <c r="G59" s="14"/>
      <c r="H59" s="14"/>
      <c r="I59" s="13">
        <f>L59-L58</f>
        <v>-3917</v>
      </c>
      <c r="J59" s="12">
        <f>82/$L$83*(I59)</f>
        <v>-0.84548098816778328</v>
      </c>
      <c r="K59" s="12"/>
      <c r="L59" s="20">
        <f>E59</f>
        <v>375654</v>
      </c>
      <c r="M59" s="18">
        <v>172300000</v>
      </c>
      <c r="N59" s="8">
        <f>M59*('[1]Inflation Rates by Year'!$D$2)</f>
        <v>197167907.37600002</v>
      </c>
      <c r="O59" s="7">
        <f>N59/L59</f>
        <v>524.86572051941414</v>
      </c>
      <c r="P59" s="15"/>
      <c r="Q59" s="15"/>
      <c r="R59" s="15"/>
      <c r="S59" s="15"/>
      <c r="T59" s="15"/>
      <c r="U59" s="14"/>
    </row>
    <row r="60" spans="1:35" ht="15" customHeight="1" thickBot="1" x14ac:dyDescent="0.3">
      <c r="A60" s="10">
        <v>44136</v>
      </c>
      <c r="B60" s="9">
        <v>59</v>
      </c>
      <c r="C60" s="9">
        <v>380345</v>
      </c>
      <c r="D60" s="19">
        <v>173300000</v>
      </c>
      <c r="E60" s="9">
        <v>377692</v>
      </c>
      <c r="F60" s="9">
        <v>380664</v>
      </c>
      <c r="G60" s="14"/>
      <c r="H60" s="14"/>
      <c r="I60" s="13">
        <f>L60-L59</f>
        <v>2038</v>
      </c>
      <c r="J60" s="12">
        <f>82/$L$83*(I60)</f>
        <v>0.43990049882204296</v>
      </c>
      <c r="K60" s="12"/>
      <c r="L60" s="20">
        <f>E60</f>
        <v>377692</v>
      </c>
      <c r="M60" s="18">
        <v>173300000</v>
      </c>
      <c r="N60" s="8">
        <f>M60*('[1]Inflation Rates by Year'!$D$2)</f>
        <v>198312236.49600002</v>
      </c>
      <c r="O60" s="7">
        <f>N60/L60</f>
        <v>525.06337570295375</v>
      </c>
      <c r="P60" s="15"/>
      <c r="Q60" s="15"/>
      <c r="R60" s="15"/>
      <c r="S60" s="15"/>
      <c r="T60" s="15"/>
      <c r="U60" s="14"/>
    </row>
    <row r="61" spans="1:35" ht="15" customHeight="1" thickBot="1" x14ac:dyDescent="0.3">
      <c r="A61" s="10">
        <v>44137</v>
      </c>
      <c r="B61" s="9">
        <v>60</v>
      </c>
      <c r="C61" s="9">
        <v>377693</v>
      </c>
      <c r="D61" s="19">
        <v>174500000</v>
      </c>
      <c r="E61" s="14"/>
      <c r="F61" s="9">
        <v>381172</v>
      </c>
      <c r="G61" s="14"/>
      <c r="H61" s="14"/>
      <c r="I61" s="13">
        <f>L61-L60</f>
        <v>1</v>
      </c>
      <c r="J61" s="12">
        <f>82/$L$83*(I61)</f>
        <v>2.158491162031614E-4</v>
      </c>
      <c r="K61" s="12"/>
      <c r="L61" s="11">
        <v>377693</v>
      </c>
      <c r="M61" s="18">
        <v>174500000</v>
      </c>
      <c r="N61" s="8">
        <f>M61*('[1]Inflation Rates by Year'!$D$2)</f>
        <v>199685431.44000003</v>
      </c>
      <c r="O61" s="7">
        <f>N61/L61</f>
        <v>528.69772921393837</v>
      </c>
      <c r="P61" s="15"/>
      <c r="Q61" s="15"/>
      <c r="R61" s="15"/>
      <c r="S61" s="15"/>
      <c r="T61" s="15"/>
      <c r="U61" s="14"/>
    </row>
    <row r="62" spans="1:35" ht="15" customHeight="1" thickBot="1" x14ac:dyDescent="0.3">
      <c r="A62" s="10">
        <v>44138</v>
      </c>
      <c r="B62" s="9">
        <v>61</v>
      </c>
      <c r="C62" s="9">
        <v>378503</v>
      </c>
      <c r="D62" s="19">
        <v>175900000</v>
      </c>
      <c r="E62" s="9">
        <v>378502</v>
      </c>
      <c r="F62" s="9">
        <v>381377</v>
      </c>
      <c r="G62" s="14"/>
      <c r="H62" s="14"/>
      <c r="I62" s="13">
        <f>L62-L61</f>
        <v>809</v>
      </c>
      <c r="J62" s="12">
        <f>82/$L$83*(I62)</f>
        <v>0.17462193500835757</v>
      </c>
      <c r="K62" s="12"/>
      <c r="L62" s="20">
        <f>E62</f>
        <v>378502</v>
      </c>
      <c r="M62" s="18">
        <v>175900000</v>
      </c>
      <c r="N62" s="8">
        <f>M62*('[1]Inflation Rates by Year'!$D$2)</f>
        <v>201287492.208</v>
      </c>
      <c r="O62" s="7">
        <f>N62/L62</f>
        <v>531.80033978155996</v>
      </c>
      <c r="P62" s="15"/>
      <c r="Q62" s="15"/>
      <c r="R62" s="15"/>
      <c r="S62" s="15"/>
      <c r="T62" s="15"/>
      <c r="U62" s="14"/>
    </row>
    <row r="63" spans="1:35" ht="15" customHeight="1" thickBot="1" x14ac:dyDescent="0.3">
      <c r="A63" s="10">
        <v>44139</v>
      </c>
      <c r="B63" s="9">
        <v>62</v>
      </c>
      <c r="C63" s="9">
        <v>378730</v>
      </c>
      <c r="D63" s="19">
        <v>177311799</v>
      </c>
      <c r="E63" s="9">
        <v>378730</v>
      </c>
      <c r="F63" s="9">
        <v>381985</v>
      </c>
      <c r="G63" s="14"/>
      <c r="H63" s="14"/>
      <c r="I63" s="13">
        <f>L63-L62</f>
        <v>228</v>
      </c>
      <c r="J63" s="12">
        <f>82/$L$83*(I63)</f>
        <v>4.9213598494320804E-2</v>
      </c>
      <c r="K63" s="12"/>
      <c r="L63" s="20">
        <f>E63</f>
        <v>378730</v>
      </c>
      <c r="M63" s="18">
        <v>177311799</v>
      </c>
      <c r="N63" s="8">
        <f>M63*('[1]Inflation Rates by Year'!$D$2)</f>
        <v>202903054.9152869</v>
      </c>
      <c r="O63" s="7">
        <f>N63/L63</f>
        <v>535.74592695399599</v>
      </c>
      <c r="P63" s="15"/>
      <c r="Q63" s="15"/>
      <c r="R63" s="15"/>
      <c r="S63" s="15"/>
      <c r="T63" s="15"/>
      <c r="U63" s="14"/>
    </row>
    <row r="64" spans="1:35" ht="15" customHeight="1" thickBot="1" x14ac:dyDescent="0.3">
      <c r="A64" s="10">
        <v>44140</v>
      </c>
      <c r="B64" s="9">
        <v>63</v>
      </c>
      <c r="C64" s="9">
        <v>379335</v>
      </c>
      <c r="D64" s="19">
        <v>178858111</v>
      </c>
      <c r="E64" s="9">
        <v>379335</v>
      </c>
      <c r="F64" s="9">
        <v>382370</v>
      </c>
      <c r="G64" s="14"/>
      <c r="H64" s="14"/>
      <c r="I64" s="13">
        <f>L64-L63</f>
        <v>605</v>
      </c>
      <c r="J64" s="12">
        <f>82/$L$83*(I64)</f>
        <v>0.13058871530291266</v>
      </c>
      <c r="K64" s="12"/>
      <c r="L64" s="20">
        <f>E64</f>
        <v>379335</v>
      </c>
      <c r="M64" s="18">
        <v>178858111</v>
      </c>
      <c r="N64" s="8">
        <f>M64*('[1]Inflation Rates by Year'!$D$2)</f>
        <v>204672544.76549235</v>
      </c>
      <c r="O64" s="7">
        <f>N64/L64</f>
        <v>539.55618322984265</v>
      </c>
      <c r="P64" s="15"/>
      <c r="Q64" s="15"/>
      <c r="R64" s="15"/>
      <c r="S64" s="15"/>
      <c r="T64" s="15"/>
      <c r="U64" s="14"/>
    </row>
    <row r="65" spans="1:21" ht="15" customHeight="1" thickBot="1" x14ac:dyDescent="0.3">
      <c r="A65" s="10">
        <v>44141</v>
      </c>
      <c r="B65" s="9">
        <v>64</v>
      </c>
      <c r="C65" s="9">
        <v>379716</v>
      </c>
      <c r="D65" s="19">
        <v>180300000</v>
      </c>
      <c r="E65" s="14"/>
      <c r="F65" s="14"/>
      <c r="G65" s="14"/>
      <c r="H65" s="14"/>
      <c r="I65" s="13">
        <f>L65-L64</f>
        <v>381</v>
      </c>
      <c r="J65" s="12">
        <f>82/$L$83*(I65)</f>
        <v>8.2238513273404493E-2</v>
      </c>
      <c r="K65" s="12"/>
      <c r="L65" s="11">
        <v>379716</v>
      </c>
      <c r="M65" s="18">
        <v>180300000</v>
      </c>
      <c r="N65" s="8">
        <f>M65*('[1]Inflation Rates by Year'!$D$2)</f>
        <v>206322540.33600003</v>
      </c>
      <c r="O65" s="7">
        <f>N65/L65</f>
        <v>543.3601437284708</v>
      </c>
      <c r="P65" s="15"/>
      <c r="Q65" s="15"/>
      <c r="R65" s="15"/>
      <c r="S65" s="15"/>
      <c r="T65" s="15"/>
      <c r="U65" s="14"/>
    </row>
    <row r="66" spans="1:21" ht="15" customHeight="1" thickBot="1" x14ac:dyDescent="0.3">
      <c r="A66" s="10">
        <v>44142</v>
      </c>
      <c r="B66" s="9">
        <v>65</v>
      </c>
      <c r="C66" s="9">
        <v>379716</v>
      </c>
      <c r="D66" s="19">
        <v>181900000</v>
      </c>
      <c r="E66" s="14"/>
      <c r="F66" s="9">
        <v>382385</v>
      </c>
      <c r="G66" s="14"/>
      <c r="H66" s="14"/>
      <c r="I66" s="13">
        <f>L66-L65</f>
        <v>0</v>
      </c>
      <c r="J66" s="12">
        <f>82/$L$83*(I66)</f>
        <v>0</v>
      </c>
      <c r="K66" s="12"/>
      <c r="L66" s="11">
        <v>379716</v>
      </c>
      <c r="M66" s="18">
        <v>181900000</v>
      </c>
      <c r="N66" s="8">
        <f>M66*('[1]Inflation Rates by Year'!$D$2)</f>
        <v>208153466.928</v>
      </c>
      <c r="O66" s="7">
        <f>N66/L66</f>
        <v>548.18197528679332</v>
      </c>
      <c r="P66" s="15"/>
      <c r="Q66" s="15"/>
      <c r="R66" s="15"/>
      <c r="S66" s="15"/>
      <c r="T66" s="15"/>
      <c r="U66" s="14"/>
    </row>
    <row r="67" spans="1:21" ht="15" customHeight="1" thickBot="1" x14ac:dyDescent="0.3">
      <c r="A67" s="10">
        <v>44143</v>
      </c>
      <c r="B67" s="9">
        <v>66</v>
      </c>
      <c r="C67" s="9">
        <v>379729</v>
      </c>
      <c r="D67" s="19">
        <v>183300000</v>
      </c>
      <c r="E67" s="14"/>
      <c r="F67" s="14"/>
      <c r="G67" s="14"/>
      <c r="H67" s="14"/>
      <c r="I67" s="13">
        <f>L67-L66</f>
        <v>13</v>
      </c>
      <c r="J67" s="12">
        <f>82/$L$83*(I67)</f>
        <v>2.8060385106410983E-3</v>
      </c>
      <c r="K67" s="12"/>
      <c r="L67" s="11">
        <v>379729</v>
      </c>
      <c r="M67" s="18">
        <v>183300000</v>
      </c>
      <c r="N67" s="8">
        <f>M67*('[1]Inflation Rates by Year'!$D$2)</f>
        <v>209755527.69600001</v>
      </c>
      <c r="O67" s="7">
        <f>N67/L67</f>
        <v>552.38216648188575</v>
      </c>
      <c r="P67" s="15"/>
      <c r="Q67" s="15"/>
      <c r="R67" s="15"/>
      <c r="S67" s="15"/>
      <c r="T67" s="15"/>
      <c r="U67" s="14"/>
    </row>
    <row r="68" spans="1:21" ht="15" customHeight="1" thickBot="1" x14ac:dyDescent="0.3">
      <c r="A68" s="10">
        <v>44144</v>
      </c>
      <c r="B68" s="9">
        <v>67</v>
      </c>
      <c r="C68" s="9">
        <v>379729</v>
      </c>
      <c r="D68" s="19">
        <v>184600000</v>
      </c>
      <c r="E68" s="14"/>
      <c r="F68" s="9">
        <v>382457</v>
      </c>
      <c r="G68" s="14"/>
      <c r="H68" s="14"/>
      <c r="I68" s="13">
        <f>L68-L67</f>
        <v>0</v>
      </c>
      <c r="J68" s="12">
        <f>82/$L$83*(I68)</f>
        <v>0</v>
      </c>
      <c r="K68" s="12"/>
      <c r="L68" s="11">
        <v>379729</v>
      </c>
      <c r="M68" s="18">
        <v>184600000</v>
      </c>
      <c r="N68" s="8">
        <f>M68*('[1]Inflation Rates by Year'!$D$2)</f>
        <v>211243155.55200002</v>
      </c>
      <c r="O68" s="7">
        <f>N68/L68</f>
        <v>556.29977049948786</v>
      </c>
      <c r="P68" s="15"/>
      <c r="Q68" s="15"/>
      <c r="R68" s="15"/>
      <c r="S68" s="15"/>
      <c r="T68" s="15"/>
      <c r="U68" s="14"/>
    </row>
    <row r="69" spans="1:21" ht="15" customHeight="1" thickBot="1" x14ac:dyDescent="0.3">
      <c r="A69" s="10">
        <v>44145</v>
      </c>
      <c r="B69" s="9">
        <v>68</v>
      </c>
      <c r="C69" s="9">
        <v>379802</v>
      </c>
      <c r="D69" s="19">
        <v>186400000</v>
      </c>
      <c r="E69" s="14"/>
      <c r="F69" s="14"/>
      <c r="G69" s="14"/>
      <c r="H69" s="14"/>
      <c r="I69" s="13">
        <f>L69-L68</f>
        <v>73</v>
      </c>
      <c r="J69" s="12">
        <f>82/$L$83*(I69)</f>
        <v>1.5756985482830783E-2</v>
      </c>
      <c r="K69" s="12"/>
      <c r="L69" s="11">
        <v>379802</v>
      </c>
      <c r="M69" s="18">
        <v>186400000</v>
      </c>
      <c r="N69" s="8">
        <f>M69*('[1]Inflation Rates by Year'!$D$2)</f>
        <v>213302947.96800002</v>
      </c>
      <c r="O69" s="7">
        <f>N69/L69</f>
        <v>561.61617887214925</v>
      </c>
      <c r="P69" s="15"/>
      <c r="Q69" s="15"/>
      <c r="R69" s="15"/>
      <c r="S69" s="15"/>
      <c r="T69" s="15"/>
      <c r="U69" s="14"/>
    </row>
    <row r="70" spans="1:21" ht="15" customHeight="1" thickBot="1" x14ac:dyDescent="0.3">
      <c r="A70" s="10">
        <v>44146</v>
      </c>
      <c r="B70" s="9">
        <v>69</v>
      </c>
      <c r="C70" s="9">
        <v>379802</v>
      </c>
      <c r="D70" s="19">
        <v>188300000</v>
      </c>
      <c r="E70" s="14"/>
      <c r="F70" s="14"/>
      <c r="G70" s="14"/>
      <c r="H70" s="14"/>
      <c r="I70" s="13">
        <f>L70-L69</f>
        <v>0</v>
      </c>
      <c r="J70" s="12">
        <f>82/$L$83*(I70)</f>
        <v>0</v>
      </c>
      <c r="K70" s="12"/>
      <c r="L70" s="11">
        <v>379802</v>
      </c>
      <c r="M70" s="18">
        <v>188300000</v>
      </c>
      <c r="N70" s="8">
        <f>M70*('[1]Inflation Rates by Year'!$D$2)</f>
        <v>215477173.296</v>
      </c>
      <c r="O70" s="7">
        <f>N70/L70</f>
        <v>567.34080730485891</v>
      </c>
      <c r="P70" s="15"/>
      <c r="Q70" s="15"/>
      <c r="R70" s="15"/>
      <c r="S70" s="15"/>
      <c r="T70" s="15"/>
      <c r="U70" s="14"/>
    </row>
    <row r="71" spans="1:21" ht="15" customHeight="1" thickBot="1" x14ac:dyDescent="0.3">
      <c r="A71" s="10">
        <v>44147</v>
      </c>
      <c r="B71" s="9">
        <v>70</v>
      </c>
      <c r="C71" s="9">
        <v>379802</v>
      </c>
      <c r="D71" s="19">
        <v>190000000</v>
      </c>
      <c r="E71" s="14"/>
      <c r="F71" s="9">
        <v>379895</v>
      </c>
      <c r="G71" s="14"/>
      <c r="H71" s="14"/>
      <c r="I71" s="13">
        <f>L71-L70</f>
        <v>0</v>
      </c>
      <c r="J71" s="12">
        <f>82/$L$83*(I71)</f>
        <v>0</v>
      </c>
      <c r="K71" s="12"/>
      <c r="L71" s="11">
        <v>379802</v>
      </c>
      <c r="M71" s="18">
        <v>190000000</v>
      </c>
      <c r="N71" s="8">
        <f>M71*('[1]Inflation Rates by Year'!$D$2)</f>
        <v>217422532.80000001</v>
      </c>
      <c r="O71" s="7">
        <f>N71/L71</f>
        <v>572.46284327096748</v>
      </c>
      <c r="P71" s="15"/>
      <c r="Q71" s="15"/>
      <c r="R71" s="15"/>
      <c r="S71" s="15"/>
      <c r="T71" s="15"/>
      <c r="U71" s="14"/>
    </row>
    <row r="72" spans="1:21" ht="15" customHeight="1" thickBot="1" x14ac:dyDescent="0.3">
      <c r="A72" s="10">
        <v>44148</v>
      </c>
      <c r="B72" s="9">
        <v>71</v>
      </c>
      <c r="C72" s="9">
        <v>379895</v>
      </c>
      <c r="D72" s="19">
        <v>190600000</v>
      </c>
      <c r="E72" s="14"/>
      <c r="F72" s="14"/>
      <c r="G72" s="14"/>
      <c r="H72" s="14"/>
      <c r="I72" s="13">
        <f>L72-L71</f>
        <v>93</v>
      </c>
      <c r="J72" s="12">
        <f>82/$L$83*(I72)</f>
        <v>2.0073967806894012E-2</v>
      </c>
      <c r="K72" s="12"/>
      <c r="L72" s="11">
        <v>379895</v>
      </c>
      <c r="M72" s="18">
        <v>190600000</v>
      </c>
      <c r="N72" s="8">
        <f>M72*('[1]Inflation Rates by Year'!$D$2)</f>
        <v>218109130.27200001</v>
      </c>
      <c r="O72" s="7">
        <f>N72/L72</f>
        <v>574.13003664696828</v>
      </c>
      <c r="P72" s="15"/>
      <c r="Q72" s="15"/>
      <c r="R72" s="15"/>
      <c r="S72" s="15"/>
      <c r="T72" s="15"/>
      <c r="U72" s="14"/>
    </row>
    <row r="73" spans="1:21" ht="15" customHeight="1" thickBot="1" x14ac:dyDescent="0.3">
      <c r="A73" s="10">
        <v>44149</v>
      </c>
      <c r="B73" s="9">
        <v>72</v>
      </c>
      <c r="C73" s="9">
        <v>379895</v>
      </c>
      <c r="D73" s="19">
        <v>191400000</v>
      </c>
      <c r="E73" s="14"/>
      <c r="F73" s="14"/>
      <c r="G73" s="14"/>
      <c r="H73" s="14"/>
      <c r="I73" s="13">
        <f>L73-L72</f>
        <v>0</v>
      </c>
      <c r="J73" s="12">
        <f>82/$L$83*(I73)</f>
        <v>0</v>
      </c>
      <c r="K73" s="12"/>
      <c r="L73" s="11">
        <v>379895</v>
      </c>
      <c r="M73" s="18">
        <v>191400000</v>
      </c>
      <c r="N73" s="8">
        <f>M73*('[1]Inflation Rates by Year'!$D$2)</f>
        <v>219024593.56800002</v>
      </c>
      <c r="O73" s="7">
        <f>N73/L73</f>
        <v>576.53981644401745</v>
      </c>
      <c r="P73" s="15"/>
      <c r="Q73" s="15"/>
      <c r="R73" s="15"/>
      <c r="S73" s="15"/>
      <c r="T73" s="15"/>
      <c r="U73" s="14"/>
    </row>
    <row r="74" spans="1:21" ht="15" customHeight="1" thickBot="1" x14ac:dyDescent="0.3">
      <c r="A74" s="10">
        <v>44150</v>
      </c>
      <c r="B74" s="9">
        <v>73</v>
      </c>
      <c r="C74" s="9">
        <v>379895</v>
      </c>
      <c r="D74" s="17">
        <v>192000000</v>
      </c>
      <c r="E74" s="14"/>
      <c r="F74" s="14"/>
      <c r="G74" s="14"/>
      <c r="H74" s="14"/>
      <c r="I74" s="13">
        <f>L74-L73</f>
        <v>0</v>
      </c>
      <c r="J74" s="12">
        <f>82/$L$83*(I74)</f>
        <v>0</v>
      </c>
      <c r="K74" s="12"/>
      <c r="L74" s="11">
        <v>379895</v>
      </c>
      <c r="M74" s="16">
        <v>192000000</v>
      </c>
      <c r="N74" s="8">
        <f>M74*('[1]Inflation Rates by Year'!$D$2)</f>
        <v>219711191.04000002</v>
      </c>
      <c r="O74" s="7">
        <f>N74/L74</f>
        <v>578.34715129180438</v>
      </c>
      <c r="P74" s="15"/>
      <c r="Q74" s="15"/>
      <c r="R74" s="15"/>
      <c r="S74" s="15"/>
      <c r="T74" s="14"/>
      <c r="U74" s="14"/>
    </row>
    <row r="75" spans="1:21" ht="15" customHeight="1" thickBot="1" x14ac:dyDescent="0.3">
      <c r="A75" s="10">
        <v>44151</v>
      </c>
      <c r="B75" s="9">
        <v>74</v>
      </c>
      <c r="C75" s="9">
        <v>379895</v>
      </c>
      <c r="D75" s="4">
        <v>192900000</v>
      </c>
      <c r="I75" s="13">
        <f>L75-L74</f>
        <v>0</v>
      </c>
      <c r="J75" s="12">
        <f>82/$L$83*(I75)</f>
        <v>0</v>
      </c>
      <c r="K75" s="3"/>
      <c r="L75" s="11">
        <v>379895</v>
      </c>
      <c r="M75" s="2">
        <v>192900000</v>
      </c>
      <c r="N75" s="8">
        <f>M75*('[1]Inflation Rates by Year'!$D$2)</f>
        <v>220741087.24800003</v>
      </c>
      <c r="O75" s="7">
        <f>N75/L75</f>
        <v>581.05815356348467</v>
      </c>
    </row>
    <row r="76" spans="1:21" ht="15" customHeight="1" thickBot="1" x14ac:dyDescent="0.3">
      <c r="A76" s="10">
        <v>44152</v>
      </c>
      <c r="B76" s="9">
        <v>75</v>
      </c>
      <c r="C76" s="9">
        <v>379895</v>
      </c>
      <c r="D76" s="4">
        <v>193000000</v>
      </c>
      <c r="I76" s="13">
        <f>L76-L75</f>
        <v>0</v>
      </c>
      <c r="J76" s="12">
        <f>82/$L$83*(I76)</f>
        <v>0</v>
      </c>
      <c r="K76" s="3"/>
      <c r="L76" s="11">
        <v>379895</v>
      </c>
      <c r="M76" s="2">
        <v>193000000</v>
      </c>
      <c r="N76" s="8">
        <f>M76*('[1]Inflation Rates by Year'!$D$2)</f>
        <v>220855520.16000003</v>
      </c>
      <c r="O76" s="7">
        <f>N76/L76</f>
        <v>581.3593760381159</v>
      </c>
    </row>
    <row r="77" spans="1:21" ht="15" customHeight="1" thickBot="1" x14ac:dyDescent="0.3">
      <c r="A77" s="10">
        <v>44153</v>
      </c>
      <c r="B77" s="9">
        <v>76</v>
      </c>
      <c r="C77" s="9">
        <v>379895</v>
      </c>
      <c r="D77" s="4">
        <v>193500000</v>
      </c>
      <c r="I77" s="13">
        <f>L77-L76</f>
        <v>0</v>
      </c>
      <c r="J77" s="12">
        <f>82/$L$83*(I77)</f>
        <v>0</v>
      </c>
      <c r="K77" s="3"/>
      <c r="L77" s="11">
        <v>379895</v>
      </c>
      <c r="M77" s="2">
        <v>193500000</v>
      </c>
      <c r="N77" s="8">
        <f>M77*('[1]Inflation Rates by Year'!$D$2)</f>
        <v>221427684.72000003</v>
      </c>
      <c r="O77" s="7">
        <f>N77/L77</f>
        <v>582.8654884112716</v>
      </c>
    </row>
    <row r="78" spans="1:21" ht="15" customHeight="1" thickBot="1" x14ac:dyDescent="0.3">
      <c r="A78" s="10">
        <v>44154</v>
      </c>
      <c r="B78" s="9">
        <v>77</v>
      </c>
      <c r="C78" s="9">
        <v>379895</v>
      </c>
      <c r="D78" s="4">
        <v>193600000</v>
      </c>
      <c r="I78" s="13">
        <f>L78-L77</f>
        <v>0</v>
      </c>
      <c r="J78" s="12">
        <f>82/$L$83*(I78)</f>
        <v>0</v>
      </c>
      <c r="K78" s="3"/>
      <c r="L78" s="11">
        <v>379895</v>
      </c>
      <c r="M78" s="2">
        <v>193600000</v>
      </c>
      <c r="N78" s="8">
        <f>M78*('[1]Inflation Rates by Year'!$D$2)</f>
        <v>221542117.63200003</v>
      </c>
      <c r="O78" s="7">
        <f>N78/L78</f>
        <v>583.16671088590272</v>
      </c>
    </row>
    <row r="79" spans="1:21" ht="15" customHeight="1" thickBot="1" x14ac:dyDescent="0.3">
      <c r="A79" s="10">
        <v>44155</v>
      </c>
      <c r="B79" s="9">
        <v>78</v>
      </c>
      <c r="C79" s="9">
        <v>379895</v>
      </c>
      <c r="D79" s="4">
        <v>193525600</v>
      </c>
      <c r="I79" s="13">
        <f>L79-L78</f>
        <v>0</v>
      </c>
      <c r="J79" s="12">
        <f>82/$L$83*(I79)</f>
        <v>0</v>
      </c>
      <c r="K79" s="3"/>
      <c r="L79" s="11">
        <v>379895</v>
      </c>
      <c r="M79" s="2">
        <v>193525600</v>
      </c>
      <c r="N79" s="8">
        <f>M79*('[1]Inflation Rates by Year'!$D$2)</f>
        <v>221456979.54547203</v>
      </c>
      <c r="O79" s="7">
        <f>N79/L79</f>
        <v>582.94260136477715</v>
      </c>
    </row>
    <row r="80" spans="1:21" ht="15" customHeight="1" thickBot="1" x14ac:dyDescent="0.3">
      <c r="A80" s="10">
        <v>44156</v>
      </c>
      <c r="B80" s="9">
        <v>79</v>
      </c>
      <c r="C80" s="9">
        <v>379895</v>
      </c>
      <c r="D80" s="4">
        <v>193528000</v>
      </c>
      <c r="I80" s="13">
        <f>L80-L79</f>
        <v>0</v>
      </c>
      <c r="J80" s="12">
        <f>82/$L$83*(I80)</f>
        <v>0</v>
      </c>
      <c r="K80" s="3"/>
      <c r="L80" s="11">
        <v>379895</v>
      </c>
      <c r="M80" s="2">
        <v>193528000</v>
      </c>
      <c r="N80" s="8">
        <f>M80*('[1]Inflation Rates by Year'!$D$2)</f>
        <v>221459725.93536001</v>
      </c>
      <c r="O80" s="7">
        <f>N80/L80</f>
        <v>582.94983070416833</v>
      </c>
    </row>
    <row r="81" spans="1:15" ht="15" customHeight="1" thickBot="1" x14ac:dyDescent="0.3">
      <c r="A81" s="10">
        <v>44157</v>
      </c>
      <c r="B81" s="9">
        <v>80</v>
      </c>
      <c r="C81" s="9">
        <v>379895</v>
      </c>
      <c r="D81" s="4">
        <v>193533000</v>
      </c>
      <c r="I81" s="13">
        <f>L81-L80</f>
        <v>0</v>
      </c>
      <c r="J81" s="12">
        <f>82/$L$83*(I81)</f>
        <v>0</v>
      </c>
      <c r="K81" s="3"/>
      <c r="L81" s="11">
        <v>379895</v>
      </c>
      <c r="M81" s="2">
        <v>193533000</v>
      </c>
      <c r="N81" s="8">
        <f>M81*('[1]Inflation Rates by Year'!$D$2)</f>
        <v>221465447.58096001</v>
      </c>
      <c r="O81" s="7">
        <f>N81/L81</f>
        <v>582.96489182789981</v>
      </c>
    </row>
    <row r="82" spans="1:15" ht="15" customHeight="1" thickBot="1" x14ac:dyDescent="0.3">
      <c r="A82" s="10">
        <v>44158</v>
      </c>
      <c r="B82" s="9">
        <v>81</v>
      </c>
      <c r="C82" s="9">
        <v>379895</v>
      </c>
      <c r="D82" s="4">
        <v>193538000</v>
      </c>
      <c r="I82" s="13">
        <f>L82-L81</f>
        <v>0</v>
      </c>
      <c r="J82" s="12">
        <f>82/$L$83*(I82)</f>
        <v>0</v>
      </c>
      <c r="K82" s="3"/>
      <c r="L82" s="11">
        <v>379895</v>
      </c>
      <c r="M82" s="2">
        <v>193538000</v>
      </c>
      <c r="N82" s="8">
        <f>M82*('[1]Inflation Rates by Year'!$D$2)</f>
        <v>221471169.22656003</v>
      </c>
      <c r="O82" s="7">
        <f>N82/L82</f>
        <v>582.97995295163139</v>
      </c>
    </row>
    <row r="83" spans="1:15" ht="15" customHeight="1" thickBot="1" x14ac:dyDescent="0.3">
      <c r="A83" s="10">
        <v>44159</v>
      </c>
      <c r="B83" s="9">
        <v>82</v>
      </c>
      <c r="C83" s="9">
        <v>379895</v>
      </c>
      <c r="D83" s="4">
        <v>193000000</v>
      </c>
      <c r="I83" s="13">
        <f>L83-L82</f>
        <v>0</v>
      </c>
      <c r="J83" s="12">
        <f>82/$L$83*(I83)</f>
        <v>0</v>
      </c>
      <c r="K83" s="3"/>
      <c r="L83" s="11">
        <v>379895</v>
      </c>
      <c r="M83" s="2">
        <v>193000000</v>
      </c>
      <c r="N83" s="8">
        <f>M83*('[1]Inflation Rates by Year'!$D$2)</f>
        <v>220855520.16000003</v>
      </c>
      <c r="O83" s="7">
        <f>N83/L83</f>
        <v>581.3593760381159</v>
      </c>
    </row>
    <row r="84" spans="1:15" ht="15" customHeight="1" thickBot="1" x14ac:dyDescent="0.3">
      <c r="A84" s="10"/>
      <c r="B84" s="9"/>
      <c r="C84" s="9"/>
      <c r="D84" s="4"/>
      <c r="I84" s="3"/>
      <c r="J84" s="3"/>
      <c r="K84" s="3"/>
      <c r="L84" s="1"/>
      <c r="M84" s="2"/>
      <c r="N84" s="8"/>
      <c r="O84" s="7"/>
    </row>
    <row r="85" spans="1:15" ht="15" customHeight="1" thickBot="1" x14ac:dyDescent="0.3">
      <c r="A85" s="10"/>
      <c r="B85" s="9"/>
      <c r="D85" s="4"/>
      <c r="I85" s="3"/>
      <c r="J85" s="3"/>
      <c r="K85" s="3"/>
      <c r="L85" s="1"/>
      <c r="M85" s="2"/>
      <c r="N85" s="8"/>
      <c r="O85" s="7">
        <f>SUM(O2:O83)</f>
        <v>33472.370688639399</v>
      </c>
    </row>
    <row r="86" spans="1:15" ht="15" customHeight="1" thickBot="1" x14ac:dyDescent="0.3">
      <c r="D86" s="4"/>
      <c r="I86" s="3"/>
      <c r="J86" s="3"/>
      <c r="K86" s="3"/>
      <c r="L86" s="1"/>
      <c r="M86" s="2"/>
      <c r="N86" s="8"/>
      <c r="O86" s="7"/>
    </row>
    <row r="87" spans="1:15" ht="15" customHeight="1" thickBot="1" x14ac:dyDescent="0.3">
      <c r="D87" s="4"/>
      <c r="I87" s="3"/>
      <c r="J87" s="3"/>
      <c r="K87" s="3"/>
      <c r="L87" s="1"/>
      <c r="M87" s="2"/>
      <c r="N87" s="8"/>
      <c r="O87" s="7"/>
    </row>
    <row r="88" spans="1:15" ht="15" customHeight="1" thickBot="1" x14ac:dyDescent="0.3">
      <c r="D88" s="4"/>
      <c r="I88" s="3"/>
      <c r="J88" s="3"/>
      <c r="K88" s="3"/>
      <c r="L88" s="1"/>
      <c r="M88" s="2"/>
      <c r="N88" s="8"/>
      <c r="O88" s="7"/>
    </row>
    <row r="89" spans="1:15" ht="14.25" thickBot="1" x14ac:dyDescent="0.3">
      <c r="D89" s="4"/>
      <c r="I89" s="3"/>
      <c r="J89" s="3"/>
      <c r="K89" s="3"/>
      <c r="L89" s="1"/>
      <c r="M89" s="2"/>
      <c r="N89" s="8"/>
      <c r="O89" s="7"/>
    </row>
    <row r="90" spans="1:15" ht="14.25" thickBot="1" x14ac:dyDescent="0.3">
      <c r="D90" s="4"/>
      <c r="I90" s="3"/>
      <c r="J90" s="3"/>
      <c r="K90" s="3"/>
      <c r="L90" s="1"/>
      <c r="M90" s="2"/>
      <c r="N90" s="8"/>
      <c r="O90" s="7"/>
    </row>
    <row r="91" spans="1:15" ht="14.25" thickBot="1" x14ac:dyDescent="0.3">
      <c r="D91" s="4"/>
      <c r="I91" s="3"/>
      <c r="J91" s="3"/>
      <c r="K91" s="3"/>
      <c r="L91" s="1"/>
      <c r="M91" s="2"/>
      <c r="N91" s="8"/>
      <c r="O91" s="7"/>
    </row>
    <row r="92" spans="1:15" ht="14.25" thickBot="1" x14ac:dyDescent="0.3">
      <c r="D92" s="4"/>
      <c r="I92" s="3"/>
      <c r="J92" s="3"/>
      <c r="K92" s="3"/>
      <c r="L92" s="1"/>
      <c r="M92" s="2"/>
      <c r="N92" s="8"/>
      <c r="O92" s="7"/>
    </row>
    <row r="93" spans="1:15" ht="14.25" thickBot="1" x14ac:dyDescent="0.3">
      <c r="D93" s="4"/>
      <c r="I93" s="3"/>
      <c r="J93" s="3"/>
      <c r="K93" s="3"/>
      <c r="L93" s="1"/>
      <c r="M93" s="2"/>
      <c r="N93" s="8"/>
      <c r="O93" s="7"/>
    </row>
    <row r="94" spans="1:15" ht="14.25" thickBot="1" x14ac:dyDescent="0.3">
      <c r="D94" s="4"/>
      <c r="I94" s="3"/>
      <c r="J94" s="3"/>
      <c r="K94" s="3"/>
      <c r="L94" s="1"/>
      <c r="M94" s="2"/>
      <c r="N94" s="8"/>
      <c r="O94" s="7"/>
    </row>
    <row r="95" spans="1:15" ht="14.25" thickBot="1" x14ac:dyDescent="0.3">
      <c r="D95" s="4"/>
      <c r="I95" s="3"/>
      <c r="J95" s="3"/>
      <c r="K95" s="3"/>
      <c r="L95" s="1"/>
      <c r="M95" s="2"/>
      <c r="N95" s="8"/>
      <c r="O95" s="7"/>
    </row>
    <row r="96" spans="1:15" ht="14.25" thickBot="1" x14ac:dyDescent="0.3">
      <c r="D96" s="4"/>
      <c r="I96" s="3"/>
      <c r="J96" s="3"/>
      <c r="K96" s="3"/>
      <c r="L96" s="1"/>
      <c r="M96" s="2"/>
      <c r="N96" s="8"/>
      <c r="O96" s="7"/>
    </row>
    <row r="97" spans="4:15" ht="14.25" thickBot="1" x14ac:dyDescent="0.3">
      <c r="D97" s="4"/>
      <c r="I97" s="3"/>
      <c r="J97" s="3"/>
      <c r="K97" s="3"/>
      <c r="L97" s="1"/>
      <c r="M97" s="2"/>
      <c r="N97" s="8"/>
      <c r="O97" s="7"/>
    </row>
    <row r="98" spans="4:15" ht="14.25" thickBot="1" x14ac:dyDescent="0.3">
      <c r="D98" s="4"/>
      <c r="I98" s="3"/>
      <c r="J98" s="3"/>
      <c r="K98" s="3"/>
      <c r="L98" s="1"/>
      <c r="M98" s="2"/>
      <c r="N98" s="8"/>
      <c r="O98" s="7"/>
    </row>
    <row r="99" spans="4:15" ht="14.25" thickBot="1" x14ac:dyDescent="0.3">
      <c r="D99" s="4"/>
      <c r="I99" s="3"/>
      <c r="J99" s="3"/>
      <c r="K99" s="3"/>
      <c r="L99" s="1"/>
      <c r="M99" s="2"/>
      <c r="N99" s="8"/>
      <c r="O99" s="7"/>
    </row>
    <row r="100" spans="4:15" ht="14.25" thickBot="1" x14ac:dyDescent="0.3">
      <c r="D100" s="4"/>
      <c r="I100" s="3"/>
      <c r="J100" s="3"/>
      <c r="K100" s="3"/>
      <c r="L100" s="1"/>
      <c r="M100" s="2"/>
      <c r="N100" s="8"/>
      <c r="O100" s="7"/>
    </row>
    <row r="101" spans="4:15" ht="14.25" thickBot="1" x14ac:dyDescent="0.3">
      <c r="D101" s="4"/>
      <c r="I101" s="3"/>
      <c r="J101" s="3"/>
      <c r="K101" s="3"/>
      <c r="L101" s="1"/>
      <c r="M101" s="2"/>
      <c r="N101" s="8"/>
      <c r="O101" s="7"/>
    </row>
    <row r="102" spans="4:15" ht="14.25" thickBot="1" x14ac:dyDescent="0.3">
      <c r="D102" s="4"/>
      <c r="I102" s="3"/>
      <c r="J102" s="3"/>
      <c r="K102" s="3"/>
      <c r="L102" s="1"/>
      <c r="M102" s="2"/>
      <c r="N102" s="8"/>
      <c r="O102" s="7"/>
    </row>
    <row r="103" spans="4:15" ht="14.25" thickBot="1" x14ac:dyDescent="0.3">
      <c r="D103" s="4"/>
      <c r="I103" s="3"/>
      <c r="J103" s="3"/>
      <c r="K103" s="3"/>
      <c r="L103" s="1"/>
      <c r="M103" s="2"/>
      <c r="N103" s="8"/>
      <c r="O103" s="7"/>
    </row>
    <row r="104" spans="4:15" ht="14.25" thickBot="1" x14ac:dyDescent="0.3">
      <c r="D104" s="4"/>
      <c r="I104" s="3"/>
      <c r="J104" s="3"/>
      <c r="K104" s="3"/>
      <c r="L104" s="1"/>
      <c r="M104" s="2"/>
      <c r="N104" s="8"/>
      <c r="O104" s="7"/>
    </row>
    <row r="105" spans="4:15" ht="14.25" thickBot="1" x14ac:dyDescent="0.3">
      <c r="D105" s="4"/>
      <c r="I105" s="3"/>
      <c r="J105" s="3"/>
      <c r="K105" s="3"/>
      <c r="L105" s="1"/>
      <c r="M105" s="2"/>
      <c r="N105" s="8"/>
      <c r="O105" s="7"/>
    </row>
    <row r="106" spans="4:15" ht="14.25" thickBot="1" x14ac:dyDescent="0.3">
      <c r="D106" s="4"/>
      <c r="I106" s="3"/>
      <c r="J106" s="3"/>
      <c r="K106" s="3"/>
      <c r="L106" s="1"/>
      <c r="M106" s="2"/>
      <c r="N106" s="8"/>
      <c r="O106" s="7"/>
    </row>
    <row r="107" spans="4:15" ht="14.25" thickBot="1" x14ac:dyDescent="0.3">
      <c r="D107" s="4"/>
      <c r="I107" s="3"/>
      <c r="J107" s="3"/>
      <c r="K107" s="3"/>
      <c r="L107" s="1"/>
      <c r="M107" s="2"/>
      <c r="N107" s="8"/>
      <c r="O107" s="7"/>
    </row>
    <row r="108" spans="4:15" ht="14.25" thickBot="1" x14ac:dyDescent="0.3">
      <c r="D108" s="4"/>
      <c r="I108" s="3"/>
      <c r="J108" s="3"/>
      <c r="K108" s="3"/>
      <c r="L108" s="1"/>
      <c r="M108" s="2"/>
      <c r="N108" s="8"/>
      <c r="O108" s="7"/>
    </row>
    <row r="109" spans="4:15" ht="14.25" thickBot="1" x14ac:dyDescent="0.3">
      <c r="D109" s="4"/>
      <c r="I109" s="3"/>
      <c r="J109" s="3"/>
      <c r="K109" s="3"/>
      <c r="L109" s="1"/>
      <c r="M109" s="2"/>
      <c r="N109" s="8"/>
      <c r="O109" s="7"/>
    </row>
    <row r="110" spans="4:15" ht="14.25" thickBot="1" x14ac:dyDescent="0.3">
      <c r="D110" s="4"/>
      <c r="I110" s="3"/>
      <c r="J110" s="3"/>
      <c r="K110" s="3"/>
      <c r="L110" s="1"/>
      <c r="M110" s="2"/>
      <c r="N110" s="8"/>
      <c r="O110" s="7"/>
    </row>
    <row r="111" spans="4:15" ht="14.25" thickBot="1" x14ac:dyDescent="0.3">
      <c r="D111" s="4"/>
      <c r="I111" s="3"/>
      <c r="J111" s="3"/>
      <c r="K111" s="3"/>
      <c r="L111" s="1"/>
      <c r="M111" s="2"/>
      <c r="N111" s="8"/>
      <c r="O111" s="7"/>
    </row>
    <row r="112" spans="4:15" ht="14.25" thickBot="1" x14ac:dyDescent="0.3">
      <c r="D112" s="4"/>
      <c r="I112" s="3"/>
      <c r="J112" s="3"/>
      <c r="K112" s="3"/>
      <c r="L112" s="1"/>
      <c r="M112" s="2"/>
      <c r="N112" s="8"/>
      <c r="O112" s="7"/>
    </row>
    <row r="113" spans="4:15" ht="14.25" thickBot="1" x14ac:dyDescent="0.3">
      <c r="D113" s="4"/>
      <c r="I113" s="3"/>
      <c r="J113" s="3"/>
      <c r="K113" s="3"/>
      <c r="L113" s="1"/>
      <c r="M113" s="2"/>
      <c r="N113" s="8"/>
      <c r="O113" s="7"/>
    </row>
    <row r="114" spans="4:15" ht="14.25" thickBot="1" x14ac:dyDescent="0.3">
      <c r="D114" s="4"/>
      <c r="I114" s="3"/>
      <c r="J114" s="3"/>
      <c r="K114" s="3"/>
      <c r="L114" s="1"/>
      <c r="M114" s="2"/>
      <c r="N114" s="8"/>
      <c r="O114" s="7"/>
    </row>
    <row r="115" spans="4:15" ht="14.25" thickBot="1" x14ac:dyDescent="0.3">
      <c r="D115" s="4"/>
      <c r="I115" s="3"/>
      <c r="J115" s="3"/>
      <c r="K115" s="3"/>
      <c r="L115" s="1"/>
      <c r="M115" s="2"/>
      <c r="N115" s="8"/>
      <c r="O115" s="7"/>
    </row>
    <row r="116" spans="4:15" ht="14.25" thickBot="1" x14ac:dyDescent="0.3">
      <c r="D116" s="4"/>
      <c r="I116" s="3"/>
      <c r="J116" s="3"/>
      <c r="K116" s="3"/>
      <c r="L116" s="1"/>
      <c r="M116" s="2"/>
      <c r="N116" s="8"/>
      <c r="O116" s="7"/>
    </row>
    <row r="117" spans="4:15" ht="13.5" x14ac:dyDescent="0.25">
      <c r="D117" s="4"/>
      <c r="I117" s="3"/>
      <c r="J117" s="3"/>
      <c r="K117" s="3"/>
      <c r="L117" s="1"/>
      <c r="M117" s="2"/>
      <c r="N117" s="6"/>
      <c r="O117" s="5"/>
    </row>
    <row r="118" spans="4:15" ht="13.5" x14ac:dyDescent="0.25">
      <c r="D118" s="4"/>
      <c r="I118" s="3"/>
      <c r="J118" s="3"/>
      <c r="K118" s="3"/>
      <c r="L118" s="1"/>
      <c r="M118" s="2"/>
      <c r="N118" s="6"/>
      <c r="O118" s="5"/>
    </row>
    <row r="119" spans="4:15" ht="13.5" x14ac:dyDescent="0.25">
      <c r="D119" s="4"/>
      <c r="I119" s="3"/>
      <c r="J119" s="3"/>
      <c r="K119" s="3"/>
      <c r="L119" s="1"/>
      <c r="M119" s="2"/>
      <c r="N119" s="6"/>
      <c r="O119" s="5"/>
    </row>
    <row r="120" spans="4:15" ht="13.5" x14ac:dyDescent="0.25">
      <c r="D120" s="4"/>
      <c r="I120" s="3"/>
      <c r="J120" s="3"/>
      <c r="K120" s="3"/>
      <c r="L120" s="1"/>
      <c r="M120" s="2"/>
      <c r="N120" s="6"/>
      <c r="O120" s="5"/>
    </row>
    <row r="121" spans="4:15" ht="13.5" x14ac:dyDescent="0.25">
      <c r="D121" s="4"/>
      <c r="I121" s="3"/>
      <c r="J121" s="3"/>
      <c r="K121" s="3"/>
      <c r="L121" s="1"/>
      <c r="M121" s="2"/>
      <c r="N121" s="6"/>
      <c r="O121" s="5"/>
    </row>
    <row r="122" spans="4:15" ht="13.5" x14ac:dyDescent="0.25">
      <c r="D122" s="4"/>
      <c r="I122" s="3"/>
      <c r="J122" s="3"/>
      <c r="K122" s="3"/>
      <c r="L122" s="1"/>
      <c r="M122" s="2"/>
      <c r="N122" s="6"/>
      <c r="O122" s="5"/>
    </row>
    <row r="123" spans="4:15" ht="13.5" x14ac:dyDescent="0.25">
      <c r="D123" s="4"/>
      <c r="I123" s="3"/>
      <c r="J123" s="3"/>
      <c r="K123" s="3"/>
      <c r="L123" s="1"/>
      <c r="M123" s="2"/>
      <c r="N123" s="6"/>
      <c r="O123" s="5"/>
    </row>
    <row r="124" spans="4:15" ht="13.5" x14ac:dyDescent="0.25">
      <c r="D124" s="4"/>
      <c r="I124" s="3"/>
      <c r="J124" s="3"/>
      <c r="K124" s="3"/>
      <c r="L124" s="1"/>
      <c r="M124" s="2"/>
      <c r="N124" s="6"/>
      <c r="O124" s="5"/>
    </row>
    <row r="125" spans="4:15" ht="13.5" x14ac:dyDescent="0.25">
      <c r="D125" s="4"/>
      <c r="I125" s="3"/>
      <c r="J125" s="3"/>
      <c r="K125" s="3"/>
      <c r="L125" s="1"/>
      <c r="M125" s="2"/>
      <c r="N125" s="6"/>
      <c r="O125" s="5"/>
    </row>
    <row r="126" spans="4:15" ht="13.5" x14ac:dyDescent="0.25">
      <c r="D126" s="4"/>
      <c r="I126" s="3"/>
      <c r="J126" s="3"/>
      <c r="K126" s="3"/>
      <c r="L126" s="1"/>
      <c r="M126" s="2"/>
      <c r="N126" s="6"/>
      <c r="O126" s="5"/>
    </row>
    <row r="127" spans="4:15" ht="13.5" x14ac:dyDescent="0.25">
      <c r="D127" s="4"/>
      <c r="I127" s="3"/>
      <c r="J127" s="3"/>
      <c r="K127" s="3"/>
      <c r="L127" s="1"/>
      <c r="M127" s="2"/>
      <c r="N127" s="6"/>
      <c r="O127" s="5"/>
    </row>
    <row r="128" spans="4:15" ht="13.5" x14ac:dyDescent="0.25">
      <c r="D128" s="4"/>
      <c r="I128" s="3"/>
      <c r="J128" s="3"/>
      <c r="K128" s="3"/>
      <c r="L128" s="1"/>
      <c r="M128" s="2"/>
      <c r="N128" s="6"/>
      <c r="O128" s="5"/>
    </row>
    <row r="129" spans="4:15" ht="13.5" x14ac:dyDescent="0.25">
      <c r="D129" s="4"/>
      <c r="I129" s="3"/>
      <c r="J129" s="3"/>
      <c r="K129" s="3"/>
      <c r="L129" s="1"/>
      <c r="M129" s="2"/>
      <c r="N129" s="6"/>
      <c r="O129" s="5"/>
    </row>
    <row r="130" spans="4:15" ht="13.5" x14ac:dyDescent="0.25">
      <c r="D130" s="4"/>
      <c r="I130" s="3"/>
      <c r="J130" s="3"/>
      <c r="K130" s="3"/>
      <c r="L130" s="1"/>
      <c r="M130" s="2"/>
      <c r="N130" s="6"/>
      <c r="O130" s="5"/>
    </row>
    <row r="131" spans="4:15" ht="13.5" x14ac:dyDescent="0.25">
      <c r="D131" s="4"/>
      <c r="I131" s="3"/>
      <c r="J131" s="3"/>
      <c r="K131" s="3"/>
      <c r="L131" s="1"/>
      <c r="M131" s="2"/>
      <c r="N131" s="6"/>
      <c r="O131" s="5"/>
    </row>
    <row r="132" spans="4:15" ht="13.5" x14ac:dyDescent="0.25">
      <c r="D132" s="4"/>
      <c r="I132" s="3"/>
      <c r="J132" s="3"/>
      <c r="K132" s="3"/>
      <c r="L132" s="1"/>
      <c r="M132" s="2"/>
      <c r="N132" s="6"/>
      <c r="O132" s="5"/>
    </row>
    <row r="133" spans="4:15" ht="13.5" x14ac:dyDescent="0.25">
      <c r="D133" s="4"/>
      <c r="I133" s="3"/>
      <c r="J133" s="3"/>
      <c r="K133" s="3"/>
      <c r="L133" s="1"/>
      <c r="M133" s="2"/>
      <c r="N133" s="6"/>
      <c r="O133" s="5"/>
    </row>
    <row r="134" spans="4:15" ht="13.5" x14ac:dyDescent="0.25">
      <c r="D134" s="4"/>
      <c r="I134" s="3"/>
      <c r="J134" s="3"/>
      <c r="K134" s="3"/>
      <c r="L134" s="1"/>
      <c r="M134" s="2"/>
      <c r="N134" s="6"/>
      <c r="O134" s="5"/>
    </row>
    <row r="135" spans="4:15" ht="13.5" x14ac:dyDescent="0.25">
      <c r="D135" s="4"/>
      <c r="I135" s="3"/>
      <c r="J135" s="3"/>
      <c r="K135" s="3"/>
      <c r="L135" s="1"/>
      <c r="M135" s="2"/>
      <c r="N135" s="6"/>
      <c r="O135" s="5"/>
    </row>
    <row r="136" spans="4:15" ht="13.5" x14ac:dyDescent="0.25">
      <c r="D136" s="4"/>
      <c r="I136" s="3"/>
      <c r="J136" s="3"/>
      <c r="K136" s="3"/>
      <c r="L136" s="1"/>
      <c r="M136" s="2"/>
      <c r="N136" s="6"/>
      <c r="O136" s="5"/>
    </row>
    <row r="137" spans="4:15" ht="13.5" x14ac:dyDescent="0.25">
      <c r="D137" s="4"/>
      <c r="I137" s="3"/>
      <c r="J137" s="3"/>
      <c r="K137" s="3"/>
      <c r="L137" s="1"/>
      <c r="M137" s="2"/>
      <c r="N137" s="6"/>
      <c r="O137" s="5"/>
    </row>
    <row r="138" spans="4:15" ht="13.5" x14ac:dyDescent="0.25">
      <c r="D138" s="4"/>
      <c r="I138" s="3"/>
      <c r="J138" s="3"/>
      <c r="K138" s="3"/>
      <c r="L138" s="1"/>
      <c r="M138" s="2"/>
      <c r="N138" s="6"/>
      <c r="O138" s="5"/>
    </row>
    <row r="139" spans="4:15" ht="13.5" x14ac:dyDescent="0.25">
      <c r="D139" s="4"/>
      <c r="I139" s="3"/>
      <c r="J139" s="3"/>
      <c r="K139" s="3"/>
      <c r="L139" s="1"/>
      <c r="M139" s="2"/>
      <c r="N139" s="6"/>
      <c r="O139" s="5"/>
    </row>
    <row r="140" spans="4:15" ht="13.5" x14ac:dyDescent="0.25">
      <c r="D140" s="4"/>
      <c r="I140" s="3"/>
      <c r="J140" s="3"/>
      <c r="K140" s="3"/>
      <c r="L140" s="1"/>
      <c r="M140" s="2"/>
      <c r="N140" s="6"/>
      <c r="O140" s="5"/>
    </row>
    <row r="141" spans="4:15" ht="13.5" x14ac:dyDescent="0.25">
      <c r="D141" s="4"/>
      <c r="I141" s="3"/>
      <c r="J141" s="3"/>
      <c r="K141" s="3"/>
      <c r="L141" s="1"/>
      <c r="M141" s="2"/>
      <c r="N141" s="6"/>
      <c r="O141" s="5"/>
    </row>
    <row r="142" spans="4:15" ht="13.5" x14ac:dyDescent="0.25">
      <c r="D142" s="4"/>
      <c r="I142" s="3"/>
      <c r="J142" s="3"/>
      <c r="K142" s="3"/>
      <c r="L142" s="1"/>
      <c r="M142" s="2"/>
      <c r="N142" s="6"/>
      <c r="O142" s="5"/>
    </row>
    <row r="143" spans="4:15" ht="13.5" x14ac:dyDescent="0.25">
      <c r="D143" s="4"/>
      <c r="I143" s="3"/>
      <c r="J143" s="3"/>
      <c r="K143" s="3"/>
      <c r="L143" s="1"/>
      <c r="M143" s="2"/>
      <c r="N143" s="6"/>
      <c r="O143" s="5"/>
    </row>
    <row r="144" spans="4:15" ht="13.5" x14ac:dyDescent="0.25">
      <c r="D144" s="4"/>
      <c r="I144" s="3"/>
      <c r="J144" s="3"/>
      <c r="K144" s="3"/>
      <c r="L144" s="1"/>
      <c r="M144" s="2"/>
      <c r="N144" s="6"/>
      <c r="O144" s="5"/>
    </row>
    <row r="145" spans="4:15" ht="13.5" x14ac:dyDescent="0.25">
      <c r="D145" s="4"/>
      <c r="I145" s="3"/>
      <c r="J145" s="3"/>
      <c r="K145" s="3"/>
      <c r="L145" s="1"/>
      <c r="M145" s="2"/>
      <c r="N145" s="6"/>
      <c r="O145" s="5"/>
    </row>
    <row r="146" spans="4:15" ht="13.5" x14ac:dyDescent="0.25">
      <c r="D146" s="4"/>
      <c r="I146" s="3"/>
      <c r="J146" s="3"/>
      <c r="K146" s="3"/>
      <c r="L146" s="1"/>
      <c r="M146" s="2"/>
      <c r="N146" s="6"/>
      <c r="O146" s="5"/>
    </row>
    <row r="147" spans="4:15" ht="13.5" x14ac:dyDescent="0.25">
      <c r="D147" s="4"/>
      <c r="I147" s="3"/>
      <c r="J147" s="3"/>
      <c r="K147" s="3"/>
      <c r="L147" s="1"/>
      <c r="M147" s="2"/>
      <c r="N147" s="6"/>
      <c r="O147" s="5"/>
    </row>
    <row r="148" spans="4:15" ht="13.5" x14ac:dyDescent="0.25">
      <c r="D148" s="4"/>
      <c r="I148" s="3"/>
      <c r="J148" s="3"/>
      <c r="K148" s="3"/>
      <c r="L148" s="1"/>
      <c r="M148" s="2"/>
      <c r="N148" s="6"/>
      <c r="O148" s="5"/>
    </row>
    <row r="149" spans="4:15" ht="13.5" x14ac:dyDescent="0.25">
      <c r="D149" s="4"/>
      <c r="I149" s="3"/>
      <c r="J149" s="3"/>
      <c r="K149" s="3"/>
      <c r="L149" s="1"/>
      <c r="M149" s="2"/>
      <c r="N149" s="6"/>
      <c r="O149" s="5"/>
    </row>
    <row r="150" spans="4:15" ht="13.5" x14ac:dyDescent="0.25">
      <c r="D150" s="4"/>
      <c r="I150" s="3"/>
      <c r="J150" s="3"/>
      <c r="K150" s="3"/>
      <c r="L150" s="1"/>
      <c r="M150" s="2"/>
      <c r="N150" s="6"/>
      <c r="O150" s="5"/>
    </row>
    <row r="151" spans="4:15" ht="13.5" x14ac:dyDescent="0.25">
      <c r="D151" s="4"/>
      <c r="I151" s="3"/>
      <c r="J151" s="3"/>
      <c r="K151" s="3"/>
      <c r="L151" s="1"/>
      <c r="M151" s="2"/>
      <c r="N151" s="6"/>
      <c r="O151" s="5"/>
    </row>
    <row r="152" spans="4:15" ht="13.5" x14ac:dyDescent="0.25">
      <c r="D152" s="4"/>
      <c r="I152" s="3"/>
      <c r="J152" s="3"/>
      <c r="K152" s="3"/>
      <c r="L152" s="1"/>
      <c r="M152" s="2"/>
      <c r="N152" s="6"/>
      <c r="O152" s="5"/>
    </row>
    <row r="153" spans="4:15" ht="13.5" x14ac:dyDescent="0.25">
      <c r="D153" s="4"/>
      <c r="I153" s="3"/>
      <c r="J153" s="3"/>
      <c r="K153" s="3"/>
      <c r="L153" s="1"/>
      <c r="M153" s="2"/>
      <c r="N153" s="6"/>
      <c r="O153" s="5"/>
    </row>
    <row r="154" spans="4:15" ht="13.5" x14ac:dyDescent="0.25">
      <c r="D154" s="4"/>
      <c r="I154" s="3"/>
      <c r="J154" s="3"/>
      <c r="K154" s="3"/>
      <c r="L154" s="1"/>
      <c r="M154" s="2"/>
      <c r="N154" s="6"/>
      <c r="O154" s="5"/>
    </row>
    <row r="155" spans="4:15" ht="13.5" x14ac:dyDescent="0.25">
      <c r="D155" s="4"/>
      <c r="I155" s="3"/>
      <c r="J155" s="3"/>
      <c r="K155" s="3"/>
      <c r="L155" s="1"/>
      <c r="M155" s="2"/>
      <c r="N155" s="6"/>
      <c r="O155" s="5"/>
    </row>
    <row r="156" spans="4:15" ht="13.5" x14ac:dyDescent="0.25">
      <c r="D156" s="4"/>
      <c r="I156" s="3"/>
      <c r="J156" s="3"/>
      <c r="K156" s="3"/>
      <c r="L156" s="1"/>
      <c r="M156" s="2"/>
      <c r="N156" s="6"/>
      <c r="O156" s="5"/>
    </row>
    <row r="157" spans="4:15" ht="13.5" x14ac:dyDescent="0.25">
      <c r="D157" s="4"/>
      <c r="I157" s="3"/>
      <c r="J157" s="3"/>
      <c r="K157" s="3"/>
      <c r="L157" s="1"/>
      <c r="M157" s="2"/>
      <c r="N157" s="6"/>
      <c r="O157" s="5"/>
    </row>
    <row r="158" spans="4:15" ht="13.5" x14ac:dyDescent="0.25">
      <c r="D158" s="4"/>
      <c r="I158" s="3"/>
      <c r="J158" s="3"/>
      <c r="K158" s="3"/>
      <c r="L158" s="1"/>
      <c r="M158" s="2"/>
      <c r="N158" s="6"/>
      <c r="O158" s="5"/>
    </row>
    <row r="159" spans="4:15" ht="13.5" x14ac:dyDescent="0.25">
      <c r="D159" s="4"/>
      <c r="I159" s="3"/>
      <c r="J159" s="3"/>
      <c r="K159" s="3"/>
      <c r="L159" s="1"/>
      <c r="M159" s="2"/>
      <c r="N159" s="6"/>
      <c r="O159" s="5"/>
    </row>
    <row r="160" spans="4:15" ht="13.5" x14ac:dyDescent="0.25">
      <c r="D160" s="4"/>
      <c r="I160" s="3"/>
      <c r="J160" s="3"/>
      <c r="K160" s="3"/>
      <c r="L160" s="1"/>
      <c r="M160" s="2"/>
      <c r="N160" s="6"/>
      <c r="O160" s="5"/>
    </row>
    <row r="161" spans="4:15" ht="13.5" x14ac:dyDescent="0.25">
      <c r="D161" s="4"/>
      <c r="I161" s="3"/>
      <c r="J161" s="3"/>
      <c r="K161" s="3"/>
      <c r="L161" s="1"/>
      <c r="M161" s="2"/>
      <c r="N161" s="6"/>
      <c r="O161" s="5"/>
    </row>
    <row r="162" spans="4:15" ht="13.5" x14ac:dyDescent="0.25">
      <c r="D162" s="4"/>
      <c r="I162" s="3"/>
      <c r="J162" s="3"/>
      <c r="K162" s="3"/>
      <c r="L162" s="1"/>
      <c r="M162" s="2"/>
      <c r="N162" s="6"/>
      <c r="O162" s="5"/>
    </row>
    <row r="163" spans="4:15" ht="13.5" x14ac:dyDescent="0.25">
      <c r="D163" s="4"/>
      <c r="I163" s="3"/>
      <c r="J163" s="3"/>
      <c r="K163" s="3"/>
      <c r="L163" s="1"/>
      <c r="M163" s="2"/>
      <c r="N163" s="6"/>
      <c r="O163" s="5"/>
    </row>
    <row r="164" spans="4:15" ht="13.5" x14ac:dyDescent="0.25">
      <c r="D164" s="4"/>
      <c r="I164" s="3"/>
      <c r="J164" s="3"/>
      <c r="K164" s="3"/>
      <c r="L164" s="1"/>
      <c r="M164" s="2"/>
      <c r="N164" s="6"/>
      <c r="O164" s="5"/>
    </row>
    <row r="165" spans="4:15" ht="13.5" x14ac:dyDescent="0.25">
      <c r="D165" s="4"/>
      <c r="I165" s="3"/>
      <c r="J165" s="3"/>
      <c r="K165" s="3"/>
      <c r="L165" s="1"/>
      <c r="M165" s="2"/>
      <c r="N165" s="6"/>
      <c r="O165" s="5"/>
    </row>
    <row r="166" spans="4:15" ht="13.5" x14ac:dyDescent="0.25">
      <c r="D166" s="4"/>
      <c r="I166" s="3"/>
      <c r="J166" s="3"/>
      <c r="K166" s="3"/>
      <c r="L166" s="1"/>
      <c r="M166" s="2"/>
      <c r="N166" s="6"/>
      <c r="O166" s="5"/>
    </row>
    <row r="167" spans="4:15" ht="13.5" x14ac:dyDescent="0.25">
      <c r="D167" s="4"/>
      <c r="I167" s="3"/>
      <c r="J167" s="3"/>
      <c r="K167" s="3"/>
      <c r="L167" s="1"/>
      <c r="M167" s="2"/>
      <c r="N167" s="6"/>
      <c r="O167" s="5"/>
    </row>
    <row r="168" spans="4:15" ht="13.5" x14ac:dyDescent="0.25">
      <c r="D168" s="4"/>
      <c r="I168" s="3"/>
      <c r="J168" s="3"/>
      <c r="K168" s="3"/>
      <c r="L168" s="1"/>
      <c r="M168" s="2"/>
      <c r="N168" s="6"/>
      <c r="O168" s="5"/>
    </row>
    <row r="169" spans="4:15" ht="13.5" x14ac:dyDescent="0.25">
      <c r="D169" s="4"/>
      <c r="I169" s="3"/>
      <c r="J169" s="3"/>
      <c r="K169" s="3"/>
      <c r="L169" s="1"/>
      <c r="M169" s="2"/>
      <c r="N169" s="6"/>
      <c r="O169" s="5"/>
    </row>
    <row r="170" spans="4:15" ht="13.5" x14ac:dyDescent="0.25">
      <c r="D170" s="4"/>
      <c r="I170" s="3"/>
      <c r="J170" s="3"/>
      <c r="K170" s="3"/>
      <c r="L170" s="1"/>
      <c r="M170" s="2"/>
      <c r="N170" s="6"/>
      <c r="O170" s="5"/>
    </row>
    <row r="171" spans="4:15" ht="13.5" x14ac:dyDescent="0.25">
      <c r="D171" s="4"/>
      <c r="I171" s="3"/>
      <c r="J171" s="3"/>
      <c r="K171" s="3"/>
      <c r="L171" s="1"/>
      <c r="M171" s="2"/>
      <c r="N171" s="6"/>
      <c r="O171" s="5"/>
    </row>
    <row r="172" spans="4:15" ht="13.5" x14ac:dyDescent="0.25">
      <c r="D172" s="4"/>
      <c r="I172" s="3"/>
      <c r="J172" s="3"/>
      <c r="K172" s="3"/>
      <c r="L172" s="1"/>
      <c r="M172" s="2"/>
      <c r="N172" s="6"/>
      <c r="O172" s="5"/>
    </row>
    <row r="173" spans="4:15" ht="13.5" x14ac:dyDescent="0.25">
      <c r="D173" s="4"/>
      <c r="I173" s="3"/>
      <c r="J173" s="3"/>
      <c r="K173" s="3"/>
      <c r="L173" s="1"/>
      <c r="M173" s="2"/>
      <c r="N173" s="6"/>
      <c r="O173" s="5"/>
    </row>
    <row r="174" spans="4:15" ht="13.5" x14ac:dyDescent="0.25">
      <c r="D174" s="4"/>
      <c r="I174" s="3"/>
      <c r="J174" s="3"/>
      <c r="K174" s="3"/>
      <c r="L174" s="1"/>
      <c r="M174" s="2"/>
      <c r="N174" s="6"/>
      <c r="O174" s="5"/>
    </row>
    <row r="175" spans="4:15" ht="13.5" x14ac:dyDescent="0.25">
      <c r="D175" s="4"/>
      <c r="I175" s="3"/>
      <c r="J175" s="3"/>
      <c r="K175" s="3"/>
      <c r="L175" s="1"/>
      <c r="M175" s="2"/>
      <c r="N175" s="6"/>
      <c r="O175" s="5"/>
    </row>
    <row r="176" spans="4:15" ht="13.5" x14ac:dyDescent="0.25">
      <c r="D176" s="4"/>
      <c r="I176" s="3"/>
      <c r="J176" s="3"/>
      <c r="K176" s="3"/>
      <c r="L176" s="1"/>
      <c r="M176" s="2"/>
      <c r="N176" s="6"/>
      <c r="O176" s="5"/>
    </row>
    <row r="177" spans="4:15" ht="13.5" x14ac:dyDescent="0.25">
      <c r="D177" s="4"/>
      <c r="I177" s="3"/>
      <c r="J177" s="3"/>
      <c r="K177" s="3"/>
      <c r="L177" s="1"/>
      <c r="M177" s="2"/>
      <c r="N177" s="6"/>
      <c r="O177" s="5"/>
    </row>
    <row r="178" spans="4:15" ht="13.5" x14ac:dyDescent="0.25">
      <c r="D178" s="4"/>
      <c r="I178" s="3"/>
      <c r="J178" s="3"/>
      <c r="K178" s="3"/>
      <c r="L178" s="1"/>
      <c r="M178" s="2"/>
      <c r="N178" s="6"/>
      <c r="O178" s="5"/>
    </row>
    <row r="179" spans="4:15" ht="13.5" x14ac:dyDescent="0.25">
      <c r="D179" s="4"/>
      <c r="I179" s="3"/>
      <c r="J179" s="3"/>
      <c r="K179" s="3"/>
      <c r="L179" s="1"/>
      <c r="M179" s="2"/>
      <c r="N179" s="6"/>
      <c r="O179" s="5"/>
    </row>
    <row r="180" spans="4:15" ht="13.5" x14ac:dyDescent="0.25">
      <c r="D180" s="4"/>
      <c r="I180" s="3"/>
      <c r="J180" s="3"/>
      <c r="K180" s="3"/>
      <c r="L180" s="1"/>
      <c r="M180" s="2"/>
      <c r="N180" s="6"/>
      <c r="O180" s="5"/>
    </row>
    <row r="181" spans="4:15" ht="13.5" x14ac:dyDescent="0.25">
      <c r="D181" s="4"/>
      <c r="I181" s="3"/>
      <c r="J181" s="3"/>
      <c r="K181" s="3"/>
      <c r="L181" s="1"/>
      <c r="M181" s="2"/>
      <c r="N181" s="6"/>
      <c r="O181" s="5"/>
    </row>
    <row r="182" spans="4:15" ht="13.5" x14ac:dyDescent="0.25">
      <c r="D182" s="4"/>
      <c r="I182" s="3"/>
      <c r="J182" s="3"/>
      <c r="K182" s="3"/>
      <c r="L182" s="1"/>
      <c r="M182" s="2"/>
      <c r="N182" s="6"/>
      <c r="O182" s="5"/>
    </row>
    <row r="183" spans="4:15" ht="13.5" x14ac:dyDescent="0.25">
      <c r="D183" s="4"/>
      <c r="I183" s="3"/>
      <c r="J183" s="3"/>
      <c r="K183" s="3"/>
      <c r="L183" s="1"/>
      <c r="M183" s="2"/>
      <c r="N183" s="6"/>
      <c r="O183" s="5"/>
    </row>
    <row r="184" spans="4:15" ht="13.5" x14ac:dyDescent="0.25">
      <c r="D184" s="4"/>
      <c r="I184" s="3"/>
      <c r="J184" s="3"/>
      <c r="K184" s="3"/>
      <c r="L184" s="1"/>
      <c r="M184" s="2"/>
      <c r="N184" s="6"/>
      <c r="O184" s="5"/>
    </row>
    <row r="185" spans="4:15" ht="13.5" x14ac:dyDescent="0.25">
      <c r="D185" s="4"/>
      <c r="I185" s="3"/>
      <c r="J185" s="3"/>
      <c r="K185" s="3"/>
      <c r="L185" s="1"/>
      <c r="M185" s="2"/>
      <c r="N185" s="6"/>
      <c r="O185" s="5"/>
    </row>
    <row r="186" spans="4:15" ht="13.5" x14ac:dyDescent="0.25">
      <c r="D186" s="4"/>
      <c r="I186" s="3"/>
      <c r="J186" s="3"/>
      <c r="K186" s="3"/>
      <c r="L186" s="1"/>
      <c r="M186" s="2"/>
      <c r="N186" s="6"/>
      <c r="O186" s="5"/>
    </row>
    <row r="187" spans="4:15" ht="13.5" x14ac:dyDescent="0.25">
      <c r="D187" s="4"/>
      <c r="I187" s="3"/>
      <c r="J187" s="3"/>
      <c r="K187" s="3"/>
      <c r="L187" s="1"/>
      <c r="M187" s="2"/>
      <c r="N187" s="6"/>
      <c r="O187" s="5"/>
    </row>
    <row r="188" spans="4:15" ht="13.5" x14ac:dyDescent="0.25">
      <c r="D188" s="4"/>
      <c r="I188" s="3"/>
      <c r="J188" s="3"/>
      <c r="K188" s="3"/>
      <c r="L188" s="1"/>
      <c r="M188" s="2"/>
      <c r="N188" s="6"/>
      <c r="O188" s="5"/>
    </row>
    <row r="189" spans="4:15" ht="13.5" x14ac:dyDescent="0.25">
      <c r="D189" s="4"/>
      <c r="I189" s="3"/>
      <c r="J189" s="3"/>
      <c r="K189" s="3"/>
      <c r="L189" s="1"/>
      <c r="M189" s="2"/>
      <c r="N189" s="6"/>
      <c r="O189" s="5"/>
    </row>
    <row r="190" spans="4:15" ht="13.5" x14ac:dyDescent="0.25">
      <c r="D190" s="4"/>
      <c r="I190" s="3"/>
      <c r="J190" s="3"/>
      <c r="K190" s="3"/>
      <c r="L190" s="1"/>
      <c r="M190" s="2"/>
      <c r="N190" s="6"/>
      <c r="O190" s="5"/>
    </row>
    <row r="191" spans="4:15" ht="13.5" x14ac:dyDescent="0.25">
      <c r="D191" s="4"/>
      <c r="I191" s="3"/>
      <c r="J191" s="3"/>
      <c r="K191" s="3"/>
      <c r="L191" s="1"/>
      <c r="M191" s="2"/>
      <c r="N191" s="6"/>
      <c r="O191" s="5"/>
    </row>
    <row r="192" spans="4:15" ht="13.5" x14ac:dyDescent="0.25">
      <c r="D192" s="4"/>
      <c r="I192" s="3"/>
      <c r="J192" s="3"/>
      <c r="K192" s="3"/>
      <c r="L192" s="1"/>
      <c r="M192" s="2"/>
      <c r="N192" s="6"/>
      <c r="O192" s="5"/>
    </row>
    <row r="193" spans="4:15" ht="13.5" x14ac:dyDescent="0.25">
      <c r="D193" s="4"/>
      <c r="I193" s="3"/>
      <c r="J193" s="3"/>
      <c r="K193" s="3"/>
      <c r="L193" s="1"/>
      <c r="M193" s="2"/>
      <c r="N193" s="6"/>
      <c r="O193" s="5"/>
    </row>
    <row r="194" spans="4:15" ht="13.5" x14ac:dyDescent="0.25">
      <c r="D194" s="4"/>
      <c r="I194" s="3"/>
      <c r="J194" s="3"/>
      <c r="K194" s="3"/>
      <c r="L194" s="1"/>
      <c r="M194" s="2"/>
      <c r="N194" s="6"/>
      <c r="O194" s="5"/>
    </row>
    <row r="195" spans="4:15" ht="13.5" x14ac:dyDescent="0.25">
      <c r="D195" s="4"/>
      <c r="I195" s="3"/>
      <c r="J195" s="3"/>
      <c r="K195" s="3"/>
      <c r="L195" s="1"/>
      <c r="M195" s="2"/>
      <c r="N195" s="6"/>
      <c r="O195" s="5"/>
    </row>
    <row r="196" spans="4:15" ht="13.5" x14ac:dyDescent="0.25">
      <c r="D196" s="4"/>
      <c r="I196" s="3"/>
      <c r="J196" s="3"/>
      <c r="K196" s="3"/>
      <c r="L196" s="1"/>
      <c r="M196" s="2"/>
      <c r="N196" s="6"/>
      <c r="O196" s="5"/>
    </row>
    <row r="197" spans="4:15" ht="13.5" x14ac:dyDescent="0.25">
      <c r="D197" s="4"/>
      <c r="I197" s="3"/>
      <c r="J197" s="3"/>
      <c r="K197" s="3"/>
      <c r="L197" s="1"/>
      <c r="M197" s="2"/>
      <c r="N197" s="6"/>
      <c r="O197" s="5"/>
    </row>
    <row r="198" spans="4:15" ht="13.5" x14ac:dyDescent="0.25">
      <c r="D198" s="4"/>
      <c r="I198" s="3"/>
      <c r="J198" s="3"/>
      <c r="K198" s="3"/>
      <c r="L198" s="1"/>
      <c r="M198" s="2"/>
      <c r="N198" s="6"/>
      <c r="O198" s="5"/>
    </row>
    <row r="199" spans="4:15" ht="13.5" x14ac:dyDescent="0.25">
      <c r="D199" s="4"/>
      <c r="I199" s="3"/>
      <c r="J199" s="3"/>
      <c r="K199" s="3"/>
      <c r="L199" s="1"/>
      <c r="M199" s="2"/>
      <c r="N199" s="6"/>
      <c r="O199" s="5"/>
    </row>
    <row r="200" spans="4:15" ht="13.5" x14ac:dyDescent="0.25">
      <c r="D200" s="4"/>
      <c r="I200" s="3"/>
      <c r="J200" s="3"/>
      <c r="K200" s="3"/>
      <c r="L200" s="1"/>
      <c r="M200" s="2"/>
      <c r="N200" s="6"/>
      <c r="O200" s="5"/>
    </row>
    <row r="201" spans="4:15" ht="13.5" x14ac:dyDescent="0.25">
      <c r="D201" s="4"/>
      <c r="I201" s="3"/>
      <c r="J201" s="3"/>
      <c r="K201" s="3"/>
      <c r="L201" s="1"/>
      <c r="M201" s="2"/>
      <c r="N201" s="6"/>
      <c r="O201" s="5"/>
    </row>
    <row r="202" spans="4:15" ht="13.5" x14ac:dyDescent="0.25">
      <c r="D202" s="4"/>
      <c r="I202" s="3"/>
      <c r="J202" s="3"/>
      <c r="K202" s="3"/>
      <c r="L202" s="1"/>
      <c r="M202" s="2"/>
      <c r="N202" s="6"/>
      <c r="O202" s="5"/>
    </row>
    <row r="203" spans="4:15" ht="13.5" x14ac:dyDescent="0.25">
      <c r="D203" s="4"/>
      <c r="I203" s="3"/>
      <c r="J203" s="3"/>
      <c r="K203" s="3"/>
      <c r="L203" s="1"/>
      <c r="M203" s="2"/>
      <c r="N203" s="6"/>
      <c r="O203" s="5"/>
    </row>
    <row r="204" spans="4:15" ht="13.5" x14ac:dyDescent="0.25">
      <c r="D204" s="4"/>
      <c r="I204" s="3"/>
      <c r="J204" s="3"/>
      <c r="K204" s="3"/>
      <c r="L204" s="1"/>
      <c r="M204" s="2"/>
      <c r="N204" s="6"/>
      <c r="O204" s="5"/>
    </row>
    <row r="205" spans="4:15" ht="13.5" x14ac:dyDescent="0.25">
      <c r="D205" s="4"/>
      <c r="I205" s="3"/>
      <c r="J205" s="3"/>
      <c r="K205" s="3"/>
      <c r="L205" s="1"/>
      <c r="M205" s="2"/>
      <c r="N205" s="6"/>
      <c r="O205" s="5"/>
    </row>
    <row r="206" spans="4:15" ht="13.5" x14ac:dyDescent="0.25">
      <c r="D206" s="4"/>
      <c r="I206" s="3"/>
      <c r="J206" s="3"/>
      <c r="K206" s="3"/>
      <c r="L206" s="1"/>
      <c r="M206" s="2"/>
      <c r="N206" s="6"/>
      <c r="O206" s="5"/>
    </row>
    <row r="207" spans="4:15" ht="13.5" x14ac:dyDescent="0.25">
      <c r="D207" s="4"/>
      <c r="I207" s="3"/>
      <c r="J207" s="3"/>
      <c r="K207" s="3"/>
      <c r="L207" s="1"/>
      <c r="M207" s="2"/>
      <c r="N207" s="6"/>
      <c r="O207" s="5"/>
    </row>
    <row r="208" spans="4:15" ht="13.5" x14ac:dyDescent="0.25">
      <c r="D208" s="4"/>
      <c r="I208" s="3"/>
      <c r="J208" s="3"/>
      <c r="K208" s="3"/>
      <c r="L208" s="1"/>
      <c r="M208" s="2"/>
      <c r="N208" s="6"/>
      <c r="O208" s="5"/>
    </row>
    <row r="209" spans="4:15" ht="13.5" x14ac:dyDescent="0.25">
      <c r="D209" s="4"/>
      <c r="I209" s="3"/>
      <c r="J209" s="3"/>
      <c r="K209" s="3"/>
      <c r="L209" s="1"/>
      <c r="M209" s="2"/>
      <c r="N209" s="6"/>
      <c r="O209" s="5"/>
    </row>
    <row r="210" spans="4:15" ht="13.5" x14ac:dyDescent="0.25">
      <c r="D210" s="4"/>
      <c r="I210" s="3"/>
      <c r="J210" s="3"/>
      <c r="K210" s="3"/>
      <c r="L210" s="1"/>
      <c r="M210" s="2"/>
      <c r="N210" s="6"/>
      <c r="O210" s="5"/>
    </row>
    <row r="211" spans="4:15" ht="13.5" x14ac:dyDescent="0.25">
      <c r="D211" s="4"/>
      <c r="I211" s="3"/>
      <c r="J211" s="3"/>
      <c r="K211" s="3"/>
      <c r="L211" s="1"/>
      <c r="M211" s="2"/>
      <c r="N211" s="6"/>
      <c r="O211" s="5"/>
    </row>
    <row r="212" spans="4:15" ht="13.5" x14ac:dyDescent="0.25">
      <c r="D212" s="4"/>
      <c r="I212" s="3"/>
      <c r="J212" s="3"/>
      <c r="K212" s="3"/>
      <c r="L212" s="1"/>
      <c r="M212" s="2"/>
      <c r="N212" s="6"/>
      <c r="O212" s="5"/>
    </row>
    <row r="213" spans="4:15" ht="13.5" x14ac:dyDescent="0.25">
      <c r="D213" s="4"/>
      <c r="I213" s="3"/>
      <c r="J213" s="3"/>
      <c r="K213" s="3"/>
      <c r="L213" s="1"/>
      <c r="M213" s="2"/>
      <c r="N213" s="6"/>
      <c r="O213" s="5"/>
    </row>
    <row r="214" spans="4:15" ht="13.5" x14ac:dyDescent="0.25">
      <c r="D214" s="4"/>
      <c r="I214" s="3"/>
      <c r="J214" s="3"/>
      <c r="K214" s="3"/>
      <c r="L214" s="1"/>
      <c r="M214" s="2"/>
      <c r="N214" s="6"/>
      <c r="O214" s="5"/>
    </row>
    <row r="215" spans="4:15" ht="13.5" x14ac:dyDescent="0.25">
      <c r="D215" s="4"/>
      <c r="I215" s="3"/>
      <c r="J215" s="3"/>
      <c r="K215" s="3"/>
      <c r="L215" s="1"/>
      <c r="M215" s="2"/>
      <c r="N215" s="6"/>
      <c r="O215" s="5"/>
    </row>
    <row r="216" spans="4:15" ht="13.5" x14ac:dyDescent="0.25">
      <c r="D216" s="4"/>
      <c r="I216" s="3"/>
      <c r="J216" s="3"/>
      <c r="K216" s="3"/>
      <c r="L216" s="1"/>
      <c r="M216" s="2"/>
      <c r="N216" s="6"/>
      <c r="O216" s="5"/>
    </row>
    <row r="217" spans="4:15" ht="13.5" x14ac:dyDescent="0.25">
      <c r="D217" s="4"/>
      <c r="I217" s="3"/>
      <c r="J217" s="3"/>
      <c r="K217" s="3"/>
      <c r="L217" s="1"/>
      <c r="M217" s="2"/>
      <c r="N217" s="6"/>
      <c r="O217" s="5"/>
    </row>
    <row r="218" spans="4:15" ht="13.5" x14ac:dyDescent="0.25">
      <c r="D218" s="4"/>
      <c r="I218" s="3"/>
      <c r="J218" s="3"/>
      <c r="K218" s="3"/>
      <c r="L218" s="1"/>
      <c r="M218" s="2"/>
      <c r="N218" s="6"/>
      <c r="O218" s="5"/>
    </row>
    <row r="219" spans="4:15" ht="13.5" x14ac:dyDescent="0.25">
      <c r="D219" s="4"/>
      <c r="I219" s="3"/>
      <c r="J219" s="3"/>
      <c r="K219" s="3"/>
      <c r="L219" s="1"/>
      <c r="M219" s="2"/>
      <c r="N219" s="6"/>
      <c r="O219" s="5"/>
    </row>
    <row r="220" spans="4:15" ht="13.5" x14ac:dyDescent="0.25">
      <c r="D220" s="4"/>
      <c r="I220" s="3"/>
      <c r="J220" s="3"/>
      <c r="K220" s="3"/>
      <c r="L220" s="1"/>
      <c r="M220" s="2"/>
      <c r="N220" s="6"/>
      <c r="O220" s="5"/>
    </row>
    <row r="221" spans="4:15" ht="13.5" x14ac:dyDescent="0.25">
      <c r="D221" s="4"/>
      <c r="I221" s="3"/>
      <c r="J221" s="3"/>
      <c r="K221" s="3"/>
      <c r="L221" s="1"/>
      <c r="M221" s="2"/>
      <c r="N221" s="6"/>
      <c r="O221" s="5"/>
    </row>
    <row r="222" spans="4:15" ht="13.5" x14ac:dyDescent="0.25">
      <c r="D222" s="4"/>
      <c r="I222" s="3"/>
      <c r="J222" s="3"/>
      <c r="K222" s="3"/>
      <c r="L222" s="1"/>
      <c r="M222" s="2"/>
      <c r="N222" s="6"/>
      <c r="O222" s="5"/>
    </row>
    <row r="223" spans="4:15" ht="13.5" x14ac:dyDescent="0.25">
      <c r="D223" s="4"/>
      <c r="I223" s="3"/>
      <c r="J223" s="3"/>
      <c r="K223" s="3"/>
      <c r="L223" s="1"/>
      <c r="M223" s="2"/>
      <c r="N223" s="6"/>
      <c r="O223" s="5"/>
    </row>
    <row r="224" spans="4:15" ht="13.5" x14ac:dyDescent="0.25">
      <c r="D224" s="4"/>
      <c r="I224" s="3"/>
      <c r="J224" s="3"/>
      <c r="K224" s="3"/>
      <c r="L224" s="1"/>
      <c r="M224" s="2"/>
      <c r="N224" s="6"/>
      <c r="O224" s="5"/>
    </row>
    <row r="225" spans="4:15" ht="13.5" x14ac:dyDescent="0.25">
      <c r="D225" s="4"/>
      <c r="I225" s="3"/>
      <c r="J225" s="3"/>
      <c r="K225" s="3"/>
      <c r="L225" s="1"/>
      <c r="M225" s="2"/>
      <c r="N225" s="6"/>
      <c r="O225" s="5"/>
    </row>
    <row r="226" spans="4:15" ht="13.5" x14ac:dyDescent="0.25">
      <c r="D226" s="4"/>
      <c r="I226" s="3"/>
      <c r="J226" s="3"/>
      <c r="K226" s="3"/>
      <c r="L226" s="1"/>
      <c r="M226" s="2"/>
      <c r="N226" s="6"/>
      <c r="O226" s="5"/>
    </row>
    <row r="227" spans="4:15" ht="13.5" x14ac:dyDescent="0.25">
      <c r="D227" s="4"/>
      <c r="I227" s="3"/>
      <c r="J227" s="3"/>
      <c r="K227" s="3"/>
      <c r="L227" s="1"/>
      <c r="M227" s="2"/>
      <c r="N227" s="6"/>
      <c r="O227" s="5"/>
    </row>
    <row r="228" spans="4:15" ht="13.5" x14ac:dyDescent="0.25">
      <c r="D228" s="4"/>
      <c r="I228" s="3"/>
      <c r="J228" s="3"/>
      <c r="K228" s="3"/>
      <c r="L228" s="1"/>
      <c r="M228" s="2"/>
      <c r="N228" s="6"/>
      <c r="O228" s="5"/>
    </row>
    <row r="229" spans="4:15" ht="13.5" x14ac:dyDescent="0.25">
      <c r="D229" s="4"/>
      <c r="I229" s="3"/>
      <c r="J229" s="3"/>
      <c r="K229" s="3"/>
      <c r="L229" s="1"/>
      <c r="M229" s="2"/>
      <c r="N229" s="6"/>
      <c r="O229" s="5"/>
    </row>
    <row r="230" spans="4:15" ht="13.5" x14ac:dyDescent="0.25">
      <c r="D230" s="4"/>
      <c r="I230" s="3"/>
      <c r="J230" s="3"/>
      <c r="K230" s="3"/>
      <c r="L230" s="1"/>
      <c r="M230" s="2"/>
      <c r="N230" s="6"/>
      <c r="O230" s="5"/>
    </row>
    <row r="231" spans="4:15" ht="13.5" x14ac:dyDescent="0.25">
      <c r="D231" s="4"/>
      <c r="I231" s="3"/>
      <c r="J231" s="3"/>
      <c r="K231" s="3"/>
      <c r="L231" s="1"/>
      <c r="M231" s="2"/>
      <c r="N231" s="6"/>
      <c r="O231" s="5"/>
    </row>
    <row r="232" spans="4:15" ht="13.5" x14ac:dyDescent="0.25">
      <c r="D232" s="4"/>
      <c r="I232" s="3"/>
      <c r="J232" s="3"/>
      <c r="K232" s="3"/>
      <c r="L232" s="1"/>
      <c r="M232" s="2"/>
      <c r="N232" s="6"/>
      <c r="O232" s="5"/>
    </row>
    <row r="233" spans="4:15" ht="13.5" x14ac:dyDescent="0.25">
      <c r="D233" s="4"/>
      <c r="I233" s="3"/>
      <c r="J233" s="3"/>
      <c r="K233" s="3"/>
      <c r="L233" s="1"/>
      <c r="M233" s="2"/>
      <c r="N233" s="6"/>
      <c r="O233" s="5"/>
    </row>
    <row r="234" spans="4:15" ht="13.5" x14ac:dyDescent="0.25">
      <c r="D234" s="4"/>
      <c r="I234" s="3"/>
      <c r="J234" s="3"/>
      <c r="K234" s="3"/>
      <c r="L234" s="1"/>
      <c r="M234" s="2"/>
      <c r="N234" s="6"/>
      <c r="O234" s="5"/>
    </row>
    <row r="235" spans="4:15" ht="13.5" x14ac:dyDescent="0.25">
      <c r="D235" s="4"/>
      <c r="I235" s="3"/>
      <c r="J235" s="3"/>
      <c r="K235" s="3"/>
      <c r="L235" s="1"/>
      <c r="M235" s="2"/>
      <c r="N235" s="6"/>
      <c r="O235" s="5"/>
    </row>
    <row r="236" spans="4:15" ht="13.5" x14ac:dyDescent="0.25">
      <c r="D236" s="4"/>
      <c r="I236" s="3"/>
      <c r="J236" s="3"/>
      <c r="K236" s="3"/>
      <c r="L236" s="1"/>
      <c r="M236" s="2"/>
      <c r="N236" s="6"/>
      <c r="O236" s="5"/>
    </row>
    <row r="237" spans="4:15" ht="13.5" x14ac:dyDescent="0.25">
      <c r="D237" s="4"/>
      <c r="I237" s="3"/>
      <c r="J237" s="3"/>
      <c r="K237" s="3"/>
      <c r="L237" s="1"/>
      <c r="M237" s="2"/>
      <c r="N237" s="6"/>
      <c r="O237" s="5"/>
    </row>
    <row r="238" spans="4:15" ht="13.5" x14ac:dyDescent="0.25">
      <c r="D238" s="4"/>
      <c r="I238" s="3"/>
      <c r="J238" s="3"/>
      <c r="K238" s="3"/>
      <c r="L238" s="1"/>
      <c r="M238" s="2"/>
      <c r="N238" s="6"/>
      <c r="O238" s="5"/>
    </row>
    <row r="239" spans="4:15" ht="13.5" x14ac:dyDescent="0.25">
      <c r="D239" s="4"/>
      <c r="I239" s="3"/>
      <c r="J239" s="3"/>
      <c r="K239" s="3"/>
      <c r="L239" s="1"/>
      <c r="M239" s="2"/>
      <c r="N239" s="6"/>
      <c r="O239" s="5"/>
    </row>
    <row r="240" spans="4:15" ht="13.5" x14ac:dyDescent="0.25">
      <c r="D240" s="4"/>
      <c r="I240" s="3"/>
      <c r="J240" s="3"/>
      <c r="K240" s="3"/>
      <c r="L240" s="1"/>
      <c r="M240" s="2"/>
      <c r="N240" s="6"/>
      <c r="O240" s="5"/>
    </row>
    <row r="241" spans="4:15" ht="13.5" x14ac:dyDescent="0.25">
      <c r="D241" s="4"/>
      <c r="I241" s="3"/>
      <c r="J241" s="3"/>
      <c r="K241" s="3"/>
      <c r="L241" s="1"/>
      <c r="M241" s="2"/>
      <c r="N241" s="6"/>
      <c r="O241" s="5"/>
    </row>
    <row r="242" spans="4:15" ht="13.5" x14ac:dyDescent="0.25">
      <c r="D242" s="4"/>
      <c r="I242" s="3"/>
      <c r="J242" s="3"/>
      <c r="K242" s="3"/>
      <c r="L242" s="1"/>
      <c r="M242" s="2"/>
      <c r="N242" s="6"/>
      <c r="O242" s="5"/>
    </row>
    <row r="243" spans="4:15" ht="13.5" x14ac:dyDescent="0.25">
      <c r="D243" s="4"/>
      <c r="I243" s="3"/>
      <c r="J243" s="3"/>
      <c r="K243" s="3"/>
      <c r="L243" s="1"/>
      <c r="M243" s="2"/>
      <c r="N243" s="6"/>
      <c r="O243" s="5"/>
    </row>
    <row r="244" spans="4:15" ht="13.5" x14ac:dyDescent="0.25">
      <c r="D244" s="4"/>
      <c r="I244" s="3"/>
      <c r="J244" s="3"/>
      <c r="K244" s="3"/>
      <c r="L244" s="1"/>
      <c r="M244" s="2"/>
      <c r="N244" s="6"/>
      <c r="O244" s="5"/>
    </row>
    <row r="245" spans="4:15" ht="13.5" x14ac:dyDescent="0.25">
      <c r="D245" s="4"/>
      <c r="I245" s="3"/>
      <c r="J245" s="3"/>
      <c r="K245" s="3"/>
      <c r="L245" s="1"/>
      <c r="M245" s="2"/>
      <c r="N245" s="6"/>
      <c r="O245" s="5"/>
    </row>
    <row r="246" spans="4:15" ht="13.5" x14ac:dyDescent="0.25">
      <c r="D246" s="4"/>
      <c r="I246" s="3"/>
      <c r="J246" s="3"/>
      <c r="K246" s="3"/>
      <c r="L246" s="1"/>
      <c r="M246" s="2"/>
      <c r="N246" s="6"/>
      <c r="O246" s="5"/>
    </row>
    <row r="247" spans="4:15" ht="13.5" x14ac:dyDescent="0.25">
      <c r="D247" s="4"/>
      <c r="I247" s="3"/>
      <c r="J247" s="3"/>
      <c r="K247" s="3"/>
      <c r="L247" s="1"/>
      <c r="M247" s="2"/>
      <c r="N247" s="6"/>
      <c r="O247" s="5"/>
    </row>
    <row r="248" spans="4:15" ht="13.5" x14ac:dyDescent="0.25">
      <c r="D248" s="4"/>
      <c r="I248" s="3"/>
      <c r="J248" s="3"/>
      <c r="K248" s="3"/>
      <c r="L248" s="1"/>
      <c r="M248" s="2"/>
      <c r="N248" s="6"/>
      <c r="O248" s="5"/>
    </row>
    <row r="249" spans="4:15" ht="13.5" x14ac:dyDescent="0.25">
      <c r="D249" s="4"/>
      <c r="I249" s="3"/>
      <c r="J249" s="3"/>
      <c r="K249" s="3"/>
      <c r="L249" s="1"/>
      <c r="M249" s="2"/>
      <c r="N249" s="6"/>
      <c r="O249" s="5"/>
    </row>
    <row r="250" spans="4:15" ht="13.5" x14ac:dyDescent="0.25">
      <c r="D250" s="4"/>
      <c r="I250" s="3"/>
      <c r="J250" s="3"/>
      <c r="K250" s="3"/>
      <c r="L250" s="1"/>
      <c r="M250" s="2"/>
      <c r="N250" s="6"/>
      <c r="O250" s="5"/>
    </row>
    <row r="251" spans="4:15" ht="13.5" x14ac:dyDescent="0.25">
      <c r="D251" s="4"/>
      <c r="I251" s="3"/>
      <c r="J251" s="3"/>
      <c r="K251" s="3"/>
      <c r="L251" s="1"/>
      <c r="M251" s="2"/>
      <c r="N251" s="6"/>
      <c r="O251" s="5"/>
    </row>
    <row r="252" spans="4:15" ht="13.5" x14ac:dyDescent="0.25">
      <c r="D252" s="4"/>
      <c r="I252" s="3"/>
      <c r="J252" s="3"/>
      <c r="K252" s="3"/>
      <c r="L252" s="1"/>
      <c r="M252" s="2"/>
      <c r="N252" s="6"/>
      <c r="O252" s="5"/>
    </row>
    <row r="253" spans="4:15" ht="13.5" x14ac:dyDescent="0.25">
      <c r="D253" s="4"/>
      <c r="I253" s="3"/>
      <c r="J253" s="3"/>
      <c r="K253" s="3"/>
      <c r="L253" s="1"/>
      <c r="M253" s="2"/>
      <c r="N253" s="6"/>
      <c r="O253" s="5"/>
    </row>
    <row r="254" spans="4:15" ht="13.5" x14ac:dyDescent="0.25">
      <c r="D254" s="4"/>
      <c r="I254" s="3"/>
      <c r="J254" s="3"/>
      <c r="K254" s="3"/>
      <c r="L254" s="1"/>
      <c r="M254" s="2"/>
      <c r="N254" s="6"/>
      <c r="O254" s="5"/>
    </row>
    <row r="255" spans="4:15" ht="13.5" x14ac:dyDescent="0.25">
      <c r="D255" s="4"/>
      <c r="I255" s="3"/>
      <c r="J255" s="3"/>
      <c r="K255" s="3"/>
      <c r="L255" s="1"/>
      <c r="M255" s="2"/>
      <c r="N255" s="6"/>
      <c r="O255" s="5"/>
    </row>
    <row r="256" spans="4:15" ht="13.5" x14ac:dyDescent="0.25">
      <c r="D256" s="4"/>
      <c r="I256" s="3"/>
      <c r="J256" s="3"/>
      <c r="K256" s="3"/>
      <c r="L256" s="1"/>
      <c r="M256" s="2"/>
      <c r="N256" s="6"/>
      <c r="O256" s="5"/>
    </row>
    <row r="257" spans="4:15" ht="13.5" x14ac:dyDescent="0.25">
      <c r="D257" s="4"/>
      <c r="I257" s="3"/>
      <c r="J257" s="3"/>
      <c r="K257" s="3"/>
      <c r="L257" s="1"/>
      <c r="M257" s="2"/>
      <c r="N257" s="6"/>
      <c r="O257" s="5"/>
    </row>
    <row r="258" spans="4:15" ht="13.5" x14ac:dyDescent="0.25">
      <c r="D258" s="4"/>
      <c r="I258" s="3"/>
      <c r="J258" s="3"/>
      <c r="K258" s="3"/>
      <c r="L258" s="1"/>
      <c r="M258" s="2"/>
      <c r="N258" s="6"/>
      <c r="O258" s="5"/>
    </row>
    <row r="259" spans="4:15" ht="13.5" x14ac:dyDescent="0.25">
      <c r="D259" s="4"/>
      <c r="I259" s="3"/>
      <c r="J259" s="3"/>
      <c r="K259" s="3"/>
      <c r="L259" s="1"/>
      <c r="M259" s="2"/>
      <c r="N259" s="6"/>
      <c r="O259" s="5"/>
    </row>
    <row r="260" spans="4:15" ht="13.5" x14ac:dyDescent="0.25">
      <c r="D260" s="4"/>
      <c r="I260" s="3"/>
      <c r="J260" s="3"/>
      <c r="K260" s="3"/>
      <c r="L260" s="1"/>
      <c r="M260" s="2"/>
      <c r="N260" s="6"/>
      <c r="O260" s="5"/>
    </row>
    <row r="261" spans="4:15" ht="13.5" x14ac:dyDescent="0.25">
      <c r="D261" s="4"/>
      <c r="I261" s="3"/>
      <c r="J261" s="3"/>
      <c r="K261" s="3"/>
      <c r="L261" s="1"/>
      <c r="M261" s="2"/>
      <c r="N261" s="6"/>
      <c r="O261" s="5"/>
    </row>
    <row r="262" spans="4:15" ht="13.5" x14ac:dyDescent="0.25">
      <c r="D262" s="4"/>
      <c r="I262" s="3"/>
      <c r="J262" s="3"/>
      <c r="K262" s="3"/>
      <c r="L262" s="1"/>
      <c r="M262" s="2"/>
      <c r="N262" s="6"/>
      <c r="O262" s="5"/>
    </row>
    <row r="263" spans="4:15" ht="13.5" x14ac:dyDescent="0.25">
      <c r="D263" s="4"/>
      <c r="I263" s="3"/>
      <c r="J263" s="3"/>
      <c r="K263" s="3"/>
      <c r="L263" s="1"/>
      <c r="M263" s="2"/>
      <c r="N263" s="6"/>
      <c r="O263" s="5"/>
    </row>
    <row r="264" spans="4:15" ht="13.5" x14ac:dyDescent="0.25">
      <c r="D264" s="4"/>
      <c r="I264" s="3"/>
      <c r="J264" s="3"/>
      <c r="K264" s="3"/>
      <c r="L264" s="1"/>
      <c r="M264" s="2"/>
      <c r="N264" s="6"/>
      <c r="O264" s="5"/>
    </row>
    <row r="265" spans="4:15" ht="13.5" x14ac:dyDescent="0.25">
      <c r="D265" s="4"/>
      <c r="I265" s="3"/>
      <c r="J265" s="3"/>
      <c r="K265" s="3"/>
      <c r="L265" s="1"/>
      <c r="M265" s="2"/>
      <c r="N265" s="6"/>
      <c r="O265" s="5"/>
    </row>
    <row r="266" spans="4:15" ht="13.5" x14ac:dyDescent="0.25">
      <c r="D266" s="4"/>
      <c r="I266" s="3"/>
      <c r="J266" s="3"/>
      <c r="K266" s="3"/>
      <c r="L266" s="1"/>
      <c r="M266" s="2"/>
      <c r="N266" s="6"/>
      <c r="O266" s="5"/>
    </row>
    <row r="267" spans="4:15" ht="13.5" x14ac:dyDescent="0.25">
      <c r="D267" s="4"/>
      <c r="I267" s="3"/>
      <c r="J267" s="3"/>
      <c r="K267" s="3"/>
      <c r="L267" s="1"/>
      <c r="M267" s="2"/>
      <c r="N267" s="6"/>
      <c r="O267" s="5"/>
    </row>
    <row r="268" spans="4:15" ht="13.5" x14ac:dyDescent="0.25">
      <c r="D268" s="4"/>
      <c r="I268" s="3"/>
      <c r="J268" s="3"/>
      <c r="K268" s="3"/>
      <c r="L268" s="1"/>
      <c r="M268" s="2"/>
      <c r="N268" s="6"/>
      <c r="O268" s="5"/>
    </row>
    <row r="269" spans="4:15" ht="13.5" x14ac:dyDescent="0.25">
      <c r="D269" s="4"/>
      <c r="I269" s="3"/>
      <c r="J269" s="3"/>
      <c r="K269" s="3"/>
      <c r="L269" s="1"/>
      <c r="M269" s="2"/>
      <c r="N269" s="6"/>
      <c r="O269" s="5"/>
    </row>
    <row r="270" spans="4:15" ht="13.5" x14ac:dyDescent="0.25">
      <c r="D270" s="4"/>
      <c r="I270" s="3"/>
      <c r="J270" s="3"/>
      <c r="K270" s="3"/>
      <c r="L270" s="1"/>
      <c r="M270" s="2"/>
      <c r="N270" s="6"/>
      <c r="O270" s="5"/>
    </row>
    <row r="271" spans="4:15" ht="13.5" x14ac:dyDescent="0.25">
      <c r="D271" s="4"/>
      <c r="I271" s="3"/>
      <c r="J271" s="3"/>
      <c r="K271" s="3"/>
      <c r="L271" s="1"/>
      <c r="M271" s="2"/>
      <c r="N271" s="6"/>
      <c r="O271" s="5"/>
    </row>
    <row r="272" spans="4:15" ht="13.5" x14ac:dyDescent="0.25">
      <c r="D272" s="4"/>
      <c r="I272" s="3"/>
      <c r="J272" s="3"/>
      <c r="K272" s="3"/>
      <c r="L272" s="1"/>
      <c r="M272" s="2"/>
      <c r="N272" s="6"/>
      <c r="O272" s="5"/>
    </row>
    <row r="273" spans="4:15" ht="13.5" x14ac:dyDescent="0.25">
      <c r="D273" s="4"/>
      <c r="I273" s="3"/>
      <c r="J273" s="3"/>
      <c r="K273" s="3"/>
      <c r="L273" s="1"/>
      <c r="M273" s="2"/>
      <c r="N273" s="6"/>
      <c r="O273" s="5"/>
    </row>
    <row r="274" spans="4:15" ht="13.5" x14ac:dyDescent="0.25">
      <c r="D274" s="4"/>
      <c r="I274" s="3"/>
      <c r="J274" s="3"/>
      <c r="K274" s="3"/>
      <c r="L274" s="1"/>
      <c r="M274" s="2"/>
      <c r="N274" s="6"/>
      <c r="O274" s="5"/>
    </row>
    <row r="275" spans="4:15" ht="13.5" x14ac:dyDescent="0.25">
      <c r="D275" s="4"/>
      <c r="I275" s="3"/>
      <c r="J275" s="3"/>
      <c r="K275" s="3"/>
      <c r="L275" s="1"/>
      <c r="M275" s="2"/>
      <c r="N275" s="6"/>
      <c r="O275" s="5"/>
    </row>
    <row r="276" spans="4:15" ht="13.5" x14ac:dyDescent="0.25">
      <c r="D276" s="4"/>
      <c r="I276" s="3"/>
      <c r="J276" s="3"/>
      <c r="K276" s="3"/>
      <c r="L276" s="1"/>
      <c r="M276" s="2"/>
      <c r="N276" s="6"/>
      <c r="O276" s="5"/>
    </row>
    <row r="277" spans="4:15" ht="13.5" x14ac:dyDescent="0.25">
      <c r="D277" s="4"/>
      <c r="I277" s="3"/>
      <c r="J277" s="3"/>
      <c r="K277" s="3"/>
      <c r="L277" s="1"/>
      <c r="M277" s="2"/>
      <c r="N277" s="6"/>
      <c r="O277" s="5"/>
    </row>
    <row r="278" spans="4:15" ht="13.5" x14ac:dyDescent="0.25">
      <c r="D278" s="4"/>
      <c r="I278" s="3"/>
      <c r="J278" s="3"/>
      <c r="K278" s="3"/>
      <c r="L278" s="1"/>
      <c r="M278" s="2"/>
      <c r="N278" s="6"/>
      <c r="O278" s="5"/>
    </row>
    <row r="279" spans="4:15" ht="13.5" x14ac:dyDescent="0.25">
      <c r="D279" s="4"/>
      <c r="I279" s="3"/>
      <c r="J279" s="3"/>
      <c r="K279" s="3"/>
      <c r="L279" s="1"/>
      <c r="M279" s="2"/>
      <c r="N279" s="6"/>
      <c r="O279" s="5"/>
    </row>
    <row r="280" spans="4:15" ht="13.5" x14ac:dyDescent="0.25">
      <c r="D280" s="4"/>
      <c r="I280" s="3"/>
      <c r="J280" s="3"/>
      <c r="K280" s="3"/>
      <c r="L280" s="1"/>
      <c r="M280" s="2"/>
      <c r="N280" s="6"/>
      <c r="O280" s="5"/>
    </row>
    <row r="281" spans="4:15" ht="13.5" x14ac:dyDescent="0.25">
      <c r="D281" s="4"/>
      <c r="I281" s="3"/>
      <c r="J281" s="3"/>
      <c r="K281" s="3"/>
      <c r="L281" s="1"/>
      <c r="M281" s="2"/>
      <c r="N281" s="6"/>
      <c r="O281" s="5"/>
    </row>
    <row r="282" spans="4:15" ht="13.5" x14ac:dyDescent="0.25">
      <c r="D282" s="4"/>
      <c r="I282" s="3"/>
      <c r="J282" s="3"/>
      <c r="K282" s="3"/>
      <c r="L282" s="1"/>
      <c r="M282" s="2"/>
      <c r="N282" s="6"/>
      <c r="O282" s="5"/>
    </row>
    <row r="283" spans="4:15" ht="13.5" x14ac:dyDescent="0.25">
      <c r="D283" s="4"/>
      <c r="I283" s="3"/>
      <c r="J283" s="3"/>
      <c r="K283" s="3"/>
      <c r="L283" s="1"/>
      <c r="M283" s="2"/>
      <c r="N283" s="6"/>
      <c r="O283" s="5"/>
    </row>
    <row r="284" spans="4:15" ht="13.5" x14ac:dyDescent="0.25">
      <c r="D284" s="4"/>
      <c r="I284" s="3"/>
      <c r="J284" s="3"/>
      <c r="K284" s="3"/>
      <c r="L284" s="1"/>
      <c r="M284" s="2"/>
      <c r="N284" s="6"/>
      <c r="O284" s="5"/>
    </row>
    <row r="285" spans="4:15" ht="13.5" x14ac:dyDescent="0.25">
      <c r="D285" s="4"/>
      <c r="I285" s="3"/>
      <c r="J285" s="3"/>
      <c r="K285" s="3"/>
      <c r="L285" s="1"/>
      <c r="M285" s="2"/>
      <c r="N285" s="6"/>
      <c r="O285" s="5"/>
    </row>
    <row r="286" spans="4:15" ht="13.5" x14ac:dyDescent="0.25">
      <c r="D286" s="4"/>
      <c r="I286" s="3"/>
      <c r="J286" s="3"/>
      <c r="K286" s="3"/>
      <c r="L286" s="1"/>
      <c r="M286" s="2"/>
      <c r="N286" s="6"/>
      <c r="O286" s="5"/>
    </row>
    <row r="287" spans="4:15" ht="13.5" x14ac:dyDescent="0.25">
      <c r="D287" s="4"/>
      <c r="I287" s="3"/>
      <c r="J287" s="3"/>
      <c r="K287" s="3"/>
      <c r="L287" s="1"/>
      <c r="M287" s="2"/>
      <c r="N287" s="6"/>
      <c r="O287" s="5"/>
    </row>
    <row r="288" spans="4:15" ht="13.5" x14ac:dyDescent="0.25">
      <c r="D288" s="4"/>
      <c r="I288" s="3"/>
      <c r="J288" s="3"/>
      <c r="K288" s="3"/>
      <c r="L288" s="1"/>
      <c r="M288" s="2"/>
      <c r="N288" s="6"/>
      <c r="O288" s="5"/>
    </row>
    <row r="289" spans="4:15" ht="13.5" x14ac:dyDescent="0.25">
      <c r="D289" s="4"/>
      <c r="I289" s="3"/>
      <c r="J289" s="3"/>
      <c r="K289" s="3"/>
      <c r="L289" s="1"/>
      <c r="M289" s="2"/>
      <c r="N289" s="6"/>
      <c r="O289" s="5"/>
    </row>
    <row r="290" spans="4:15" ht="13.5" x14ac:dyDescent="0.25">
      <c r="D290" s="4"/>
      <c r="I290" s="3"/>
      <c r="J290" s="3"/>
      <c r="K290" s="3"/>
      <c r="L290" s="1"/>
      <c r="M290" s="2"/>
      <c r="N290" s="6"/>
      <c r="O290" s="5"/>
    </row>
    <row r="291" spans="4:15" ht="13.5" x14ac:dyDescent="0.25">
      <c r="D291" s="4"/>
      <c r="I291" s="3"/>
      <c r="J291" s="3"/>
      <c r="K291" s="3"/>
      <c r="L291" s="1"/>
      <c r="M291" s="2"/>
      <c r="N291" s="6"/>
      <c r="O291" s="5"/>
    </row>
    <row r="292" spans="4:15" ht="13.5" x14ac:dyDescent="0.25">
      <c r="D292" s="4"/>
      <c r="I292" s="3"/>
      <c r="J292" s="3"/>
      <c r="K292" s="3"/>
      <c r="L292" s="1"/>
      <c r="M292" s="2"/>
      <c r="N292" s="6"/>
      <c r="O292" s="5"/>
    </row>
    <row r="293" spans="4:15" ht="13.5" x14ac:dyDescent="0.25">
      <c r="D293" s="4"/>
      <c r="I293" s="3"/>
      <c r="J293" s="3"/>
      <c r="K293" s="3"/>
      <c r="L293" s="1"/>
      <c r="M293" s="2"/>
      <c r="N293" s="6"/>
      <c r="O293" s="5"/>
    </row>
    <row r="294" spans="4:15" ht="13.5" x14ac:dyDescent="0.25">
      <c r="D294" s="4"/>
      <c r="I294" s="3"/>
      <c r="J294" s="3"/>
      <c r="K294" s="3"/>
      <c r="L294" s="1"/>
      <c r="M294" s="2"/>
      <c r="N294" s="6"/>
      <c r="O294" s="5"/>
    </row>
    <row r="295" spans="4:15" ht="13.5" x14ac:dyDescent="0.25">
      <c r="D295" s="4"/>
      <c r="I295" s="3"/>
      <c r="J295" s="3"/>
      <c r="K295" s="3"/>
      <c r="L295" s="1"/>
      <c r="M295" s="2"/>
      <c r="N295" s="6"/>
      <c r="O295" s="5"/>
    </row>
    <row r="296" spans="4:15" ht="13.5" x14ac:dyDescent="0.25">
      <c r="D296" s="4"/>
      <c r="I296" s="3"/>
      <c r="J296" s="3"/>
      <c r="K296" s="3"/>
      <c r="L296" s="1"/>
      <c r="M296" s="2"/>
      <c r="N296" s="6"/>
      <c r="O296" s="5"/>
    </row>
    <row r="297" spans="4:15" ht="13.5" x14ac:dyDescent="0.25">
      <c r="D297" s="4"/>
      <c r="I297" s="3"/>
      <c r="J297" s="3"/>
      <c r="K297" s="3"/>
      <c r="L297" s="1"/>
      <c r="M297" s="2"/>
      <c r="N297" s="6"/>
      <c r="O297" s="5"/>
    </row>
    <row r="298" spans="4:15" ht="13.5" x14ac:dyDescent="0.25">
      <c r="D298" s="4"/>
      <c r="I298" s="3"/>
      <c r="J298" s="3"/>
      <c r="K298" s="3"/>
      <c r="L298" s="1"/>
      <c r="M298" s="2"/>
      <c r="N298" s="6"/>
      <c r="O298" s="5"/>
    </row>
    <row r="299" spans="4:15" ht="13.5" x14ac:dyDescent="0.25">
      <c r="D299" s="4"/>
      <c r="I299" s="3"/>
      <c r="J299" s="3"/>
      <c r="K299" s="3"/>
      <c r="L299" s="1"/>
      <c r="M299" s="2"/>
      <c r="N299" s="6"/>
      <c r="O299" s="5"/>
    </row>
    <row r="300" spans="4:15" ht="13.5" x14ac:dyDescent="0.25">
      <c r="D300" s="4"/>
      <c r="I300" s="3"/>
      <c r="J300" s="3"/>
      <c r="K300" s="3"/>
      <c r="L300" s="1"/>
      <c r="M300" s="2"/>
      <c r="N300" s="6"/>
      <c r="O300" s="5"/>
    </row>
    <row r="301" spans="4:15" ht="13.5" x14ac:dyDescent="0.25">
      <c r="D301" s="4"/>
      <c r="I301" s="3"/>
      <c r="J301" s="3"/>
      <c r="K301" s="3"/>
      <c r="L301" s="1"/>
      <c r="M301" s="2"/>
      <c r="N301" s="6"/>
      <c r="O301" s="5"/>
    </row>
    <row r="302" spans="4:15" ht="13.5" x14ac:dyDescent="0.25">
      <c r="D302" s="4"/>
      <c r="I302" s="3"/>
      <c r="J302" s="3"/>
      <c r="K302" s="3"/>
      <c r="L302" s="1"/>
      <c r="M302" s="2"/>
      <c r="N302" s="6"/>
      <c r="O302" s="5"/>
    </row>
    <row r="303" spans="4:15" ht="13.5" x14ac:dyDescent="0.25">
      <c r="D303" s="4"/>
      <c r="I303" s="3"/>
      <c r="J303" s="3"/>
      <c r="K303" s="3"/>
      <c r="L303" s="1"/>
      <c r="M303" s="2"/>
      <c r="N303" s="6"/>
      <c r="O303" s="5"/>
    </row>
    <row r="304" spans="4:15" ht="13.5" x14ac:dyDescent="0.25">
      <c r="D304" s="4"/>
      <c r="I304" s="3"/>
      <c r="J304" s="3"/>
      <c r="K304" s="3"/>
      <c r="L304" s="1"/>
      <c r="M304" s="2"/>
      <c r="N304" s="6"/>
      <c r="O304" s="5"/>
    </row>
    <row r="305" spans="4:15" ht="13.5" x14ac:dyDescent="0.25">
      <c r="D305" s="4"/>
      <c r="I305" s="3"/>
      <c r="J305" s="3"/>
      <c r="K305" s="3"/>
      <c r="L305" s="1"/>
      <c r="M305" s="2"/>
      <c r="N305" s="6"/>
      <c r="O305" s="5"/>
    </row>
    <row r="306" spans="4:15" ht="13.5" x14ac:dyDescent="0.25">
      <c r="D306" s="4"/>
      <c r="I306" s="3"/>
      <c r="J306" s="3"/>
      <c r="K306" s="3"/>
      <c r="L306" s="1"/>
      <c r="M306" s="2"/>
      <c r="N306" s="6"/>
      <c r="O306" s="5"/>
    </row>
    <row r="307" spans="4:15" ht="13.5" x14ac:dyDescent="0.25">
      <c r="D307" s="4"/>
      <c r="I307" s="3"/>
      <c r="J307" s="3"/>
      <c r="K307" s="3"/>
      <c r="L307" s="1"/>
      <c r="M307" s="2"/>
      <c r="N307" s="6"/>
      <c r="O307" s="5"/>
    </row>
    <row r="308" spans="4:15" ht="13.5" x14ac:dyDescent="0.25">
      <c r="D308" s="4"/>
      <c r="I308" s="3"/>
      <c r="J308" s="3"/>
      <c r="K308" s="3"/>
      <c r="L308" s="1"/>
      <c r="M308" s="2"/>
      <c r="N308" s="6"/>
      <c r="O308" s="5"/>
    </row>
    <row r="309" spans="4:15" ht="13.5" x14ac:dyDescent="0.25">
      <c r="D309" s="4"/>
      <c r="I309" s="3"/>
      <c r="J309" s="3"/>
      <c r="K309" s="3"/>
      <c r="L309" s="1"/>
      <c r="M309" s="2"/>
      <c r="N309" s="6"/>
      <c r="O309" s="5"/>
    </row>
    <row r="310" spans="4:15" ht="13.5" x14ac:dyDescent="0.25">
      <c r="D310" s="4"/>
      <c r="I310" s="3"/>
      <c r="J310" s="3"/>
      <c r="K310" s="3"/>
      <c r="L310" s="1"/>
      <c r="M310" s="2"/>
      <c r="N310" s="6"/>
      <c r="O310" s="5"/>
    </row>
    <row r="311" spans="4:15" ht="13.5" x14ac:dyDescent="0.25">
      <c r="D311" s="4"/>
      <c r="I311" s="3"/>
      <c r="J311" s="3"/>
      <c r="K311" s="3"/>
      <c r="L311" s="1"/>
      <c r="M311" s="2"/>
      <c r="N311" s="6"/>
      <c r="O311" s="5"/>
    </row>
    <row r="312" spans="4:15" ht="13.5" x14ac:dyDescent="0.25">
      <c r="D312" s="4"/>
      <c r="I312" s="3"/>
      <c r="J312" s="3"/>
      <c r="K312" s="3"/>
      <c r="L312" s="1"/>
      <c r="M312" s="2"/>
      <c r="N312" s="6"/>
      <c r="O312" s="5"/>
    </row>
    <row r="313" spans="4:15" ht="13.5" x14ac:dyDescent="0.25">
      <c r="D313" s="4"/>
      <c r="I313" s="3"/>
      <c r="J313" s="3"/>
      <c r="K313" s="3"/>
      <c r="L313" s="1"/>
      <c r="M313" s="2"/>
      <c r="N313" s="6"/>
      <c r="O313" s="5"/>
    </row>
    <row r="314" spans="4:15" ht="13.5" x14ac:dyDescent="0.25">
      <c r="D314" s="4"/>
      <c r="I314" s="3"/>
      <c r="J314" s="3"/>
      <c r="K314" s="3"/>
      <c r="L314" s="1"/>
      <c r="M314" s="2"/>
      <c r="N314" s="6"/>
      <c r="O314" s="5"/>
    </row>
    <row r="315" spans="4:15" ht="13.5" x14ac:dyDescent="0.25">
      <c r="D315" s="4"/>
      <c r="I315" s="3"/>
      <c r="J315" s="3"/>
      <c r="K315" s="3"/>
      <c r="L315" s="1"/>
      <c r="M315" s="2"/>
      <c r="N315" s="6"/>
      <c r="O315" s="5"/>
    </row>
    <row r="316" spans="4:15" ht="13.5" x14ac:dyDescent="0.25">
      <c r="D316" s="4"/>
      <c r="I316" s="3"/>
      <c r="J316" s="3"/>
      <c r="K316" s="3"/>
      <c r="L316" s="1"/>
      <c r="M316" s="2"/>
      <c r="N316" s="6"/>
      <c r="O316" s="5"/>
    </row>
    <row r="317" spans="4:15" ht="13.5" x14ac:dyDescent="0.25">
      <c r="D317" s="4"/>
      <c r="I317" s="3"/>
      <c r="J317" s="3"/>
      <c r="K317" s="3"/>
      <c r="L317" s="1"/>
      <c r="M317" s="2"/>
    </row>
    <row r="318" spans="4:15" ht="13.5" x14ac:dyDescent="0.25">
      <c r="D318" s="4"/>
      <c r="I318" s="3"/>
      <c r="J318" s="3"/>
      <c r="K318" s="3"/>
      <c r="L318" s="1"/>
      <c r="M318" s="2"/>
    </row>
    <row r="319" spans="4:15" ht="13.5" x14ac:dyDescent="0.25">
      <c r="D319" s="4"/>
      <c r="I319" s="3"/>
      <c r="J319" s="3"/>
      <c r="K319" s="3"/>
      <c r="L319" s="1"/>
      <c r="M319" s="2"/>
    </row>
    <row r="320" spans="4:15" ht="13.5" x14ac:dyDescent="0.25">
      <c r="D320" s="4"/>
      <c r="I320" s="3"/>
      <c r="J320" s="3"/>
      <c r="K320" s="3"/>
      <c r="L320" s="1"/>
      <c r="M320" s="2"/>
    </row>
    <row r="321" spans="4:13" ht="13.5" x14ac:dyDescent="0.25">
      <c r="D321" s="4"/>
      <c r="I321" s="3"/>
      <c r="J321" s="3"/>
      <c r="K321" s="3"/>
      <c r="L321" s="1"/>
      <c r="M321" s="2"/>
    </row>
    <row r="322" spans="4:13" ht="13.5" x14ac:dyDescent="0.25">
      <c r="D322" s="4"/>
      <c r="I322" s="3"/>
      <c r="J322" s="3"/>
      <c r="K322" s="3"/>
      <c r="L322" s="1"/>
      <c r="M322" s="2"/>
    </row>
    <row r="323" spans="4:13" ht="13.5" x14ac:dyDescent="0.25">
      <c r="D323" s="4"/>
      <c r="I323" s="3"/>
      <c r="J323" s="3"/>
      <c r="K323" s="3"/>
      <c r="L323" s="1"/>
      <c r="M323" s="2"/>
    </row>
    <row r="324" spans="4:13" ht="13.5" x14ac:dyDescent="0.25">
      <c r="D324" s="4"/>
      <c r="I324" s="3"/>
      <c r="J324" s="3"/>
      <c r="K324" s="3"/>
      <c r="L324" s="1"/>
      <c r="M324" s="2"/>
    </row>
    <row r="325" spans="4:13" ht="13.5" x14ac:dyDescent="0.25">
      <c r="D325" s="4"/>
      <c r="I325" s="3"/>
      <c r="J325" s="3"/>
      <c r="K325" s="3"/>
      <c r="L325" s="1"/>
      <c r="M325" s="2"/>
    </row>
    <row r="326" spans="4:13" ht="13.5" x14ac:dyDescent="0.25">
      <c r="D326" s="4"/>
      <c r="I326" s="3"/>
      <c r="J326" s="3"/>
      <c r="K326" s="3"/>
      <c r="L326" s="1"/>
      <c r="M326" s="2"/>
    </row>
    <row r="327" spans="4:13" ht="13.5" x14ac:dyDescent="0.25">
      <c r="D327" s="4"/>
      <c r="I327" s="3"/>
      <c r="J327" s="3"/>
      <c r="K327" s="3"/>
      <c r="L327" s="1"/>
      <c r="M327" s="2"/>
    </row>
    <row r="328" spans="4:13" ht="13.5" x14ac:dyDescent="0.25">
      <c r="D328" s="4"/>
      <c r="I328" s="3"/>
      <c r="J328" s="3"/>
      <c r="K328" s="3"/>
      <c r="L328" s="1"/>
      <c r="M328" s="2"/>
    </row>
    <row r="329" spans="4:13" ht="13.5" x14ac:dyDescent="0.25">
      <c r="D329" s="4"/>
      <c r="I329" s="3"/>
      <c r="J329" s="3"/>
      <c r="K329" s="3"/>
      <c r="L329" s="1"/>
      <c r="M329" s="2"/>
    </row>
    <row r="330" spans="4:13" ht="13.5" x14ac:dyDescent="0.25">
      <c r="D330" s="4"/>
      <c r="I330" s="3"/>
      <c r="J330" s="3"/>
      <c r="K330" s="3"/>
      <c r="L330" s="1"/>
      <c r="M330" s="2"/>
    </row>
    <row r="331" spans="4:13" ht="13.5" x14ac:dyDescent="0.25">
      <c r="D331" s="4"/>
      <c r="I331" s="3"/>
      <c r="J331" s="3"/>
      <c r="K331" s="3"/>
      <c r="L331" s="1"/>
      <c r="M331" s="2"/>
    </row>
    <row r="332" spans="4:13" ht="13.5" x14ac:dyDescent="0.25">
      <c r="D332" s="4"/>
      <c r="I332" s="3"/>
      <c r="J332" s="3"/>
      <c r="K332" s="3"/>
      <c r="L332" s="1"/>
      <c r="M332" s="2"/>
    </row>
    <row r="333" spans="4:13" ht="13.5" x14ac:dyDescent="0.25">
      <c r="D333" s="4"/>
      <c r="I333" s="3"/>
      <c r="J333" s="3"/>
      <c r="K333" s="3"/>
      <c r="L333" s="1"/>
      <c r="M333" s="2"/>
    </row>
    <row r="334" spans="4:13" ht="13.5" x14ac:dyDescent="0.25">
      <c r="D334" s="4"/>
      <c r="I334" s="3"/>
      <c r="J334" s="3"/>
      <c r="K334" s="3"/>
      <c r="L334" s="1"/>
      <c r="M334" s="2"/>
    </row>
    <row r="335" spans="4:13" ht="13.5" x14ac:dyDescent="0.25">
      <c r="D335" s="4"/>
      <c r="I335" s="3"/>
      <c r="J335" s="3"/>
      <c r="K335" s="3"/>
      <c r="L335" s="1"/>
      <c r="M335" s="2"/>
    </row>
    <row r="336" spans="4:13" ht="13.5" x14ac:dyDescent="0.25">
      <c r="D336" s="4"/>
      <c r="I336" s="3"/>
      <c r="J336" s="3"/>
      <c r="K336" s="3"/>
      <c r="L336" s="1"/>
      <c r="M336" s="2"/>
    </row>
    <row r="337" spans="4:13" ht="13.5" x14ac:dyDescent="0.25">
      <c r="D337" s="4"/>
      <c r="I337" s="3"/>
      <c r="J337" s="3"/>
      <c r="K337" s="3"/>
      <c r="L337" s="1"/>
      <c r="M337" s="2"/>
    </row>
    <row r="338" spans="4:13" ht="13.5" x14ac:dyDescent="0.25">
      <c r="D338" s="4"/>
      <c r="I338" s="3"/>
      <c r="J338" s="3"/>
      <c r="K338" s="3"/>
      <c r="L338" s="1"/>
      <c r="M338" s="2"/>
    </row>
    <row r="339" spans="4:13" ht="13.5" x14ac:dyDescent="0.25">
      <c r="D339" s="4"/>
      <c r="I339" s="3"/>
      <c r="J339" s="3"/>
      <c r="K339" s="3"/>
      <c r="L339" s="1"/>
      <c r="M339" s="2"/>
    </row>
    <row r="340" spans="4:13" ht="13.5" x14ac:dyDescent="0.25">
      <c r="D340" s="4"/>
      <c r="I340" s="3"/>
      <c r="J340" s="3"/>
      <c r="K340" s="3"/>
      <c r="L340" s="1"/>
      <c r="M340" s="2"/>
    </row>
    <row r="341" spans="4:13" ht="13.5" x14ac:dyDescent="0.25">
      <c r="D341" s="4"/>
      <c r="I341" s="3"/>
      <c r="J341" s="3"/>
      <c r="K341" s="3"/>
      <c r="L341" s="1"/>
      <c r="M341" s="2"/>
    </row>
    <row r="342" spans="4:13" ht="13.5" x14ac:dyDescent="0.25">
      <c r="D342" s="4"/>
      <c r="I342" s="3"/>
      <c r="J342" s="3"/>
      <c r="K342" s="3"/>
      <c r="L342" s="1"/>
      <c r="M342" s="2"/>
    </row>
    <row r="343" spans="4:13" ht="13.5" x14ac:dyDescent="0.25">
      <c r="D343" s="4"/>
      <c r="I343" s="3"/>
      <c r="J343" s="3"/>
      <c r="K343" s="3"/>
      <c r="L343" s="1"/>
      <c r="M343" s="2"/>
    </row>
    <row r="344" spans="4:13" ht="13.5" x14ac:dyDescent="0.25">
      <c r="D344" s="4"/>
      <c r="I344" s="3"/>
      <c r="J344" s="3"/>
      <c r="K344" s="3"/>
      <c r="L344" s="1"/>
      <c r="M344" s="2"/>
    </row>
    <row r="345" spans="4:13" ht="13.5" x14ac:dyDescent="0.25">
      <c r="D345" s="4"/>
      <c r="I345" s="3"/>
      <c r="J345" s="3"/>
      <c r="K345" s="3"/>
      <c r="L345" s="1"/>
      <c r="M345" s="2"/>
    </row>
    <row r="346" spans="4:13" ht="13.5" x14ac:dyDescent="0.25">
      <c r="D346" s="4"/>
      <c r="I346" s="3"/>
      <c r="J346" s="3"/>
      <c r="K346" s="3"/>
      <c r="L346" s="1"/>
      <c r="M346" s="2"/>
    </row>
    <row r="347" spans="4:13" ht="13.5" x14ac:dyDescent="0.25">
      <c r="D347" s="4"/>
      <c r="I347" s="3"/>
      <c r="J347" s="3"/>
      <c r="K347" s="3"/>
      <c r="L347" s="1"/>
      <c r="M347" s="2"/>
    </row>
    <row r="348" spans="4:13" ht="13.5" x14ac:dyDescent="0.25">
      <c r="D348" s="4"/>
      <c r="I348" s="3"/>
      <c r="J348" s="3"/>
      <c r="K348" s="3"/>
      <c r="L348" s="1"/>
      <c r="M348" s="2"/>
    </row>
    <row r="349" spans="4:13" ht="13.5" x14ac:dyDescent="0.25">
      <c r="D349" s="4"/>
      <c r="I349" s="3"/>
      <c r="J349" s="3"/>
      <c r="K349" s="3"/>
      <c r="L349" s="1"/>
      <c r="M349" s="2"/>
    </row>
    <row r="350" spans="4:13" ht="13.5" x14ac:dyDescent="0.25">
      <c r="D350" s="4"/>
      <c r="I350" s="3"/>
      <c r="J350" s="3"/>
      <c r="K350" s="3"/>
      <c r="L350" s="1"/>
      <c r="M350" s="2"/>
    </row>
    <row r="351" spans="4:13" ht="13.5" x14ac:dyDescent="0.25">
      <c r="D351" s="4"/>
      <c r="I351" s="3"/>
      <c r="J351" s="3"/>
      <c r="K351" s="3"/>
      <c r="L351" s="1"/>
      <c r="M351" s="2"/>
    </row>
    <row r="352" spans="4:13" ht="13.5" x14ac:dyDescent="0.25">
      <c r="D352" s="4"/>
      <c r="I352" s="3"/>
      <c r="J352" s="3"/>
      <c r="K352" s="3"/>
      <c r="L352" s="1"/>
      <c r="M352" s="2"/>
    </row>
    <row r="353" spans="4:13" ht="13.5" x14ac:dyDescent="0.25">
      <c r="D353" s="4"/>
      <c r="I353" s="3"/>
      <c r="J353" s="3"/>
      <c r="K353" s="3"/>
      <c r="L353" s="1"/>
      <c r="M353" s="2"/>
    </row>
    <row r="354" spans="4:13" ht="13.5" x14ac:dyDescent="0.25">
      <c r="D354" s="4"/>
      <c r="I354" s="3"/>
      <c r="J354" s="3"/>
      <c r="K354" s="3"/>
      <c r="L354" s="1"/>
      <c r="M354" s="2"/>
    </row>
    <row r="355" spans="4:13" ht="13.5" x14ac:dyDescent="0.25">
      <c r="D355" s="4"/>
      <c r="I355" s="3"/>
      <c r="J355" s="3"/>
      <c r="K355" s="3"/>
      <c r="L355" s="1"/>
      <c r="M355" s="2"/>
    </row>
    <row r="356" spans="4:13" ht="13.5" x14ac:dyDescent="0.25">
      <c r="D356" s="4"/>
      <c r="I356" s="3"/>
      <c r="J356" s="3"/>
      <c r="K356" s="3"/>
      <c r="L356" s="1"/>
      <c r="M356" s="2"/>
    </row>
    <row r="357" spans="4:13" ht="13.5" x14ac:dyDescent="0.25">
      <c r="D357" s="4"/>
      <c r="I357" s="3"/>
      <c r="J357" s="3"/>
      <c r="K357" s="3"/>
      <c r="L357" s="1"/>
      <c r="M357" s="2"/>
    </row>
    <row r="358" spans="4:13" ht="13.5" x14ac:dyDescent="0.25">
      <c r="D358" s="4"/>
      <c r="I358" s="3"/>
      <c r="J358" s="3"/>
      <c r="K358" s="3"/>
      <c r="L358" s="1"/>
      <c r="M358" s="2"/>
    </row>
    <row r="359" spans="4:13" ht="13.5" x14ac:dyDescent="0.25">
      <c r="D359" s="4"/>
      <c r="I359" s="3"/>
      <c r="J359" s="3"/>
      <c r="K359" s="3"/>
      <c r="L359" s="1"/>
      <c r="M359" s="2"/>
    </row>
    <row r="360" spans="4:13" ht="13.5" x14ac:dyDescent="0.25">
      <c r="D360" s="4"/>
      <c r="I360" s="3"/>
      <c r="J360" s="3"/>
      <c r="K360" s="3"/>
      <c r="L360" s="1"/>
      <c r="M360" s="2"/>
    </row>
    <row r="361" spans="4:13" ht="13.5" x14ac:dyDescent="0.25">
      <c r="D361" s="4"/>
      <c r="I361" s="3"/>
      <c r="J361" s="3"/>
      <c r="K361" s="3"/>
      <c r="L361" s="1"/>
      <c r="M361" s="2"/>
    </row>
    <row r="362" spans="4:13" ht="13.5" x14ac:dyDescent="0.25">
      <c r="D362" s="4"/>
      <c r="I362" s="3"/>
      <c r="J362" s="3"/>
      <c r="K362" s="3"/>
      <c r="L362" s="1"/>
      <c r="M362" s="2"/>
    </row>
    <row r="363" spans="4:13" ht="13.5" x14ac:dyDescent="0.25">
      <c r="D363" s="4"/>
      <c r="I363" s="3"/>
      <c r="J363" s="3"/>
      <c r="K363" s="3"/>
      <c r="L363" s="1"/>
      <c r="M363" s="2"/>
    </row>
    <row r="364" spans="4:13" ht="13.5" x14ac:dyDescent="0.25">
      <c r="D364" s="4"/>
      <c r="I364" s="3"/>
      <c r="J364" s="3"/>
      <c r="K364" s="3"/>
      <c r="L364" s="1"/>
      <c r="M364" s="2"/>
    </row>
    <row r="365" spans="4:13" ht="13.5" x14ac:dyDescent="0.25">
      <c r="D365" s="4"/>
      <c r="I365" s="3"/>
      <c r="J365" s="3"/>
      <c r="K365" s="3"/>
      <c r="L365" s="1"/>
      <c r="M365" s="2"/>
    </row>
    <row r="366" spans="4:13" ht="13.5" x14ac:dyDescent="0.25">
      <c r="D366" s="4"/>
      <c r="I366" s="3"/>
      <c r="J366" s="3"/>
      <c r="K366" s="3"/>
      <c r="L366" s="1"/>
      <c r="M366" s="2"/>
    </row>
    <row r="367" spans="4:13" ht="13.5" x14ac:dyDescent="0.25">
      <c r="D367" s="4"/>
      <c r="I367" s="3"/>
      <c r="J367" s="3"/>
      <c r="K367" s="3"/>
      <c r="L367" s="1"/>
      <c r="M367" s="2"/>
    </row>
    <row r="368" spans="4:13" ht="13.5" x14ac:dyDescent="0.25">
      <c r="D368" s="4"/>
      <c r="I368" s="3"/>
      <c r="J368" s="3"/>
      <c r="K368" s="3"/>
      <c r="L368" s="1"/>
      <c r="M368" s="2"/>
    </row>
    <row r="369" spans="4:13" ht="13.5" x14ac:dyDescent="0.25">
      <c r="D369" s="4"/>
      <c r="I369" s="3"/>
      <c r="J369" s="3"/>
      <c r="K369" s="3"/>
      <c r="L369" s="1"/>
      <c r="M369" s="2"/>
    </row>
    <row r="370" spans="4:13" ht="13.5" x14ac:dyDescent="0.25">
      <c r="D370" s="4"/>
      <c r="I370" s="3"/>
      <c r="J370" s="3"/>
      <c r="K370" s="3"/>
      <c r="L370" s="1"/>
      <c r="M370" s="2"/>
    </row>
    <row r="371" spans="4:13" ht="13.5" x14ac:dyDescent="0.25">
      <c r="D371" s="4"/>
      <c r="I371" s="3"/>
      <c r="J371" s="3"/>
      <c r="K371" s="3"/>
      <c r="L371" s="1"/>
      <c r="M371" s="2"/>
    </row>
    <row r="372" spans="4:13" ht="13.5" x14ac:dyDescent="0.25">
      <c r="D372" s="4"/>
      <c r="I372" s="3"/>
      <c r="J372" s="3"/>
      <c r="K372" s="3"/>
      <c r="L372" s="1"/>
      <c r="M372" s="2"/>
    </row>
    <row r="373" spans="4:13" ht="13.5" x14ac:dyDescent="0.25">
      <c r="D373" s="4"/>
      <c r="I373" s="3"/>
      <c r="J373" s="3"/>
      <c r="K373" s="3"/>
      <c r="L373" s="1"/>
      <c r="M373" s="2"/>
    </row>
    <row r="374" spans="4:13" ht="13.5" x14ac:dyDescent="0.25">
      <c r="D374" s="4"/>
      <c r="I374" s="3"/>
      <c r="J374" s="3"/>
      <c r="K374" s="3"/>
      <c r="L374" s="1"/>
      <c r="M374" s="2"/>
    </row>
    <row r="375" spans="4:13" ht="13.5" x14ac:dyDescent="0.25">
      <c r="D375" s="4"/>
      <c r="I375" s="3"/>
      <c r="J375" s="3"/>
      <c r="K375" s="3"/>
      <c r="L375" s="1"/>
      <c r="M375" s="2"/>
    </row>
    <row r="376" spans="4:13" ht="13.5" x14ac:dyDescent="0.25">
      <c r="D376" s="4"/>
      <c r="I376" s="3"/>
      <c r="J376" s="3"/>
      <c r="K376" s="3"/>
      <c r="L376" s="1"/>
      <c r="M376" s="2"/>
    </row>
    <row r="377" spans="4:13" ht="13.5" x14ac:dyDescent="0.25">
      <c r="D377" s="4"/>
      <c r="I377" s="3"/>
      <c r="J377" s="3"/>
      <c r="K377" s="3"/>
      <c r="L377" s="1"/>
      <c r="M377" s="2"/>
    </row>
    <row r="378" spans="4:13" ht="13.5" x14ac:dyDescent="0.25">
      <c r="D378" s="4"/>
      <c r="I378" s="3"/>
      <c r="J378" s="3"/>
      <c r="K378" s="3"/>
      <c r="L378" s="1"/>
      <c r="M378" s="2"/>
    </row>
    <row r="379" spans="4:13" ht="13.5" x14ac:dyDescent="0.25">
      <c r="D379" s="4"/>
      <c r="I379" s="3"/>
      <c r="J379" s="3"/>
      <c r="K379" s="3"/>
      <c r="L379" s="1"/>
      <c r="M379" s="2"/>
    </row>
    <row r="380" spans="4:13" ht="13.5" x14ac:dyDescent="0.25">
      <c r="D380" s="4"/>
      <c r="I380" s="3"/>
      <c r="J380" s="3"/>
      <c r="K380" s="3"/>
      <c r="L380" s="1"/>
      <c r="M380" s="2"/>
    </row>
    <row r="381" spans="4:13" ht="13.5" x14ac:dyDescent="0.25">
      <c r="D381" s="4"/>
      <c r="I381" s="3"/>
      <c r="J381" s="3"/>
      <c r="K381" s="3"/>
      <c r="L381" s="1"/>
      <c r="M381" s="2"/>
    </row>
    <row r="382" spans="4:13" ht="13.5" x14ac:dyDescent="0.25">
      <c r="D382" s="4"/>
      <c r="I382" s="3"/>
      <c r="J382" s="3"/>
      <c r="K382" s="3"/>
      <c r="L382" s="1"/>
      <c r="M382" s="2"/>
    </row>
    <row r="383" spans="4:13" ht="13.5" x14ac:dyDescent="0.25">
      <c r="D383" s="4"/>
      <c r="I383" s="3"/>
      <c r="J383" s="3"/>
      <c r="K383" s="3"/>
      <c r="L383" s="1"/>
      <c r="M383" s="2"/>
    </row>
    <row r="384" spans="4:13" ht="13.5" x14ac:dyDescent="0.25">
      <c r="D384" s="4"/>
      <c r="I384" s="3"/>
      <c r="J384" s="3"/>
      <c r="K384" s="3"/>
      <c r="L384" s="1"/>
      <c r="M384" s="2"/>
    </row>
    <row r="385" spans="4:13" ht="13.5" x14ac:dyDescent="0.25">
      <c r="D385" s="4"/>
      <c r="I385" s="3"/>
      <c r="J385" s="3"/>
      <c r="K385" s="3"/>
      <c r="L385" s="1"/>
      <c r="M385" s="2"/>
    </row>
    <row r="386" spans="4:13" ht="13.5" x14ac:dyDescent="0.25">
      <c r="D386" s="4"/>
      <c r="I386" s="3"/>
      <c r="J386" s="3"/>
      <c r="K386" s="3"/>
      <c r="L386" s="1"/>
      <c r="M386" s="2"/>
    </row>
    <row r="387" spans="4:13" ht="13.5" x14ac:dyDescent="0.25">
      <c r="D387" s="4"/>
      <c r="I387" s="3"/>
      <c r="J387" s="3"/>
      <c r="K387" s="3"/>
      <c r="L387" s="1"/>
      <c r="M387" s="2"/>
    </row>
    <row r="388" spans="4:13" ht="13.5" x14ac:dyDescent="0.25">
      <c r="D388" s="4"/>
      <c r="I388" s="3"/>
      <c r="J388" s="3"/>
      <c r="K388" s="3"/>
      <c r="L388" s="1"/>
      <c r="M388" s="2"/>
    </row>
    <row r="389" spans="4:13" ht="13.5" x14ac:dyDescent="0.25">
      <c r="D389" s="4"/>
      <c r="I389" s="3"/>
      <c r="J389" s="3"/>
      <c r="K389" s="3"/>
      <c r="L389" s="1"/>
      <c r="M389" s="2"/>
    </row>
    <row r="390" spans="4:13" ht="13.5" x14ac:dyDescent="0.25">
      <c r="D390" s="4"/>
      <c r="I390" s="3"/>
      <c r="J390" s="3"/>
      <c r="K390" s="3"/>
      <c r="L390" s="1"/>
      <c r="M390" s="2"/>
    </row>
    <row r="391" spans="4:13" ht="13.5" x14ac:dyDescent="0.25">
      <c r="D391" s="4"/>
      <c r="I391" s="3"/>
      <c r="J391" s="3"/>
      <c r="K391" s="3"/>
      <c r="L391" s="1"/>
      <c r="M391" s="2"/>
    </row>
    <row r="392" spans="4:13" ht="13.5" x14ac:dyDescent="0.25">
      <c r="D392" s="4"/>
      <c r="I392" s="3"/>
      <c r="J392" s="3"/>
      <c r="K392" s="3"/>
      <c r="L392" s="1"/>
      <c r="M392" s="2"/>
    </row>
    <row r="393" spans="4:13" ht="13.5" x14ac:dyDescent="0.25">
      <c r="D393" s="4"/>
      <c r="I393" s="3"/>
      <c r="J393" s="3"/>
      <c r="K393" s="3"/>
      <c r="L393" s="1"/>
      <c r="M393" s="2"/>
    </row>
    <row r="394" spans="4:13" ht="13.5" x14ac:dyDescent="0.25">
      <c r="D394" s="4"/>
      <c r="I394" s="3"/>
      <c r="J394" s="3"/>
      <c r="K394" s="3"/>
      <c r="L394" s="1"/>
      <c r="M394" s="2"/>
    </row>
    <row r="395" spans="4:13" ht="13.5" x14ac:dyDescent="0.25">
      <c r="D395" s="4"/>
      <c r="I395" s="3"/>
      <c r="J395" s="3"/>
      <c r="K395" s="3"/>
      <c r="L395" s="1"/>
      <c r="M395" s="2"/>
    </row>
    <row r="396" spans="4:13" ht="13.5" x14ac:dyDescent="0.25">
      <c r="D396" s="4"/>
      <c r="I396" s="3"/>
      <c r="J396" s="3"/>
      <c r="K396" s="3"/>
      <c r="L396" s="1"/>
      <c r="M396" s="2"/>
    </row>
    <row r="397" spans="4:13" ht="13.5" x14ac:dyDescent="0.25">
      <c r="D397" s="4"/>
      <c r="I397" s="3"/>
      <c r="J397" s="3"/>
      <c r="K397" s="3"/>
      <c r="L397" s="1"/>
      <c r="M397" s="2"/>
    </row>
    <row r="398" spans="4:13" ht="13.5" x14ac:dyDescent="0.25">
      <c r="D398" s="4"/>
      <c r="I398" s="3"/>
      <c r="J398" s="3"/>
      <c r="K398" s="3"/>
      <c r="L398" s="1"/>
      <c r="M398" s="2"/>
    </row>
    <row r="399" spans="4:13" ht="13.5" x14ac:dyDescent="0.25">
      <c r="D399" s="4"/>
      <c r="I399" s="3"/>
      <c r="J399" s="3"/>
      <c r="K399" s="3"/>
      <c r="L399" s="1"/>
      <c r="M399" s="2"/>
    </row>
    <row r="400" spans="4:13" ht="13.5" x14ac:dyDescent="0.25">
      <c r="D400" s="4"/>
      <c r="I400" s="3"/>
      <c r="J400" s="3"/>
      <c r="K400" s="3"/>
      <c r="L400" s="1"/>
      <c r="M400" s="2"/>
    </row>
    <row r="401" spans="4:13" ht="13.5" x14ac:dyDescent="0.25">
      <c r="D401" s="4"/>
      <c r="I401" s="3"/>
      <c r="J401" s="3"/>
      <c r="K401" s="3"/>
      <c r="L401" s="1"/>
      <c r="M401" s="2"/>
    </row>
    <row r="402" spans="4:13" ht="13.5" x14ac:dyDescent="0.25">
      <c r="D402" s="4"/>
      <c r="I402" s="3"/>
      <c r="J402" s="3"/>
      <c r="K402" s="3"/>
      <c r="L402" s="1"/>
      <c r="M402" s="2"/>
    </row>
    <row r="403" spans="4:13" ht="13.5" x14ac:dyDescent="0.25">
      <c r="D403" s="4"/>
      <c r="I403" s="3"/>
      <c r="J403" s="3"/>
      <c r="K403" s="3"/>
      <c r="L403" s="1"/>
      <c r="M403" s="2"/>
    </row>
    <row r="404" spans="4:13" ht="13.5" x14ac:dyDescent="0.25">
      <c r="D404" s="4"/>
      <c r="I404" s="3"/>
      <c r="J404" s="3"/>
      <c r="K404" s="3"/>
      <c r="L404" s="1"/>
      <c r="M404" s="2"/>
    </row>
    <row r="405" spans="4:13" ht="13.5" x14ac:dyDescent="0.25">
      <c r="D405" s="4"/>
      <c r="I405" s="3"/>
      <c r="J405" s="3"/>
      <c r="K405" s="3"/>
      <c r="L405" s="1"/>
      <c r="M405" s="2"/>
    </row>
    <row r="406" spans="4:13" ht="13.5" x14ac:dyDescent="0.25">
      <c r="D406" s="4"/>
      <c r="I406" s="3"/>
      <c r="J406" s="3"/>
      <c r="K406" s="3"/>
      <c r="L406" s="1"/>
      <c r="M406" s="2"/>
    </row>
    <row r="407" spans="4:13" ht="13.5" x14ac:dyDescent="0.25">
      <c r="D407" s="4"/>
      <c r="I407" s="3"/>
      <c r="J407" s="3"/>
      <c r="K407" s="3"/>
      <c r="L407" s="1"/>
      <c r="M407" s="2"/>
    </row>
    <row r="408" spans="4:13" ht="13.5" x14ac:dyDescent="0.25">
      <c r="D408" s="4"/>
      <c r="I408" s="3"/>
      <c r="J408" s="3"/>
      <c r="K408" s="3"/>
      <c r="L408" s="1"/>
      <c r="M408" s="2"/>
    </row>
    <row r="409" spans="4:13" ht="13.5" x14ac:dyDescent="0.25">
      <c r="D409" s="4"/>
      <c r="I409" s="3"/>
      <c r="J409" s="3"/>
      <c r="K409" s="3"/>
      <c r="L409" s="1"/>
      <c r="M409" s="2"/>
    </row>
    <row r="410" spans="4:13" ht="13.5" x14ac:dyDescent="0.25">
      <c r="D410" s="4"/>
      <c r="I410" s="3"/>
      <c r="J410" s="3"/>
      <c r="K410" s="3"/>
      <c r="L410" s="1"/>
      <c r="M410" s="2"/>
    </row>
    <row r="411" spans="4:13" ht="13.5" x14ac:dyDescent="0.25">
      <c r="D411" s="4"/>
      <c r="I411" s="3"/>
      <c r="J411" s="3"/>
      <c r="K411" s="3"/>
      <c r="L411" s="1"/>
      <c r="M411" s="2"/>
    </row>
    <row r="412" spans="4:13" ht="13.5" x14ac:dyDescent="0.25">
      <c r="D412" s="4"/>
      <c r="I412" s="3"/>
      <c r="J412" s="3"/>
      <c r="K412" s="3"/>
      <c r="L412" s="1"/>
      <c r="M412" s="2"/>
    </row>
    <row r="413" spans="4:13" ht="13.5" x14ac:dyDescent="0.25">
      <c r="D413" s="4"/>
      <c r="I413" s="3"/>
      <c r="J413" s="3"/>
      <c r="K413" s="3"/>
      <c r="L413" s="1"/>
      <c r="M413" s="2"/>
    </row>
    <row r="414" spans="4:13" ht="13.5" x14ac:dyDescent="0.25">
      <c r="D414" s="4"/>
      <c r="I414" s="3"/>
      <c r="J414" s="3"/>
      <c r="K414" s="3"/>
      <c r="L414" s="1"/>
      <c r="M414" s="2"/>
    </row>
    <row r="415" spans="4:13" ht="13.5" x14ac:dyDescent="0.25">
      <c r="D415" s="4"/>
      <c r="I415" s="3"/>
      <c r="J415" s="3"/>
      <c r="K415" s="3"/>
      <c r="L415" s="1"/>
      <c r="M415" s="2"/>
    </row>
    <row r="416" spans="4:13" ht="13.5" x14ac:dyDescent="0.25">
      <c r="D416" s="4"/>
      <c r="I416" s="3"/>
      <c r="J416" s="3"/>
      <c r="K416" s="3"/>
      <c r="L416" s="1"/>
      <c r="M416" s="2"/>
    </row>
    <row r="417" spans="4:13" ht="13.5" x14ac:dyDescent="0.25">
      <c r="D417" s="4"/>
      <c r="I417" s="3"/>
      <c r="J417" s="3"/>
      <c r="K417" s="3"/>
      <c r="L417" s="1"/>
      <c r="M417" s="2"/>
    </row>
    <row r="418" spans="4:13" ht="13.5" x14ac:dyDescent="0.25">
      <c r="D418" s="4"/>
      <c r="I418" s="3"/>
      <c r="J418" s="3"/>
      <c r="K418" s="3"/>
      <c r="L418" s="1"/>
      <c r="M418" s="2"/>
    </row>
    <row r="419" spans="4:13" ht="13.5" x14ac:dyDescent="0.25">
      <c r="D419" s="4"/>
      <c r="I419" s="3"/>
      <c r="J419" s="3"/>
      <c r="K419" s="3"/>
      <c r="L419" s="1"/>
      <c r="M419" s="2"/>
    </row>
    <row r="420" spans="4:13" ht="13.5" x14ac:dyDescent="0.25">
      <c r="D420" s="4"/>
      <c r="I420" s="3"/>
      <c r="J420" s="3"/>
      <c r="K420" s="3"/>
      <c r="L420" s="1"/>
      <c r="M420" s="2"/>
    </row>
    <row r="421" spans="4:13" ht="13.5" x14ac:dyDescent="0.25">
      <c r="D421" s="4"/>
      <c r="I421" s="3"/>
      <c r="J421" s="3"/>
      <c r="K421" s="3"/>
      <c r="L421" s="1"/>
      <c r="M421" s="2"/>
    </row>
    <row r="422" spans="4:13" ht="13.5" x14ac:dyDescent="0.25">
      <c r="D422" s="4"/>
      <c r="I422" s="3"/>
      <c r="J422" s="3"/>
      <c r="K422" s="3"/>
      <c r="L422" s="1"/>
      <c r="M422" s="2"/>
    </row>
    <row r="423" spans="4:13" ht="13.5" x14ac:dyDescent="0.25">
      <c r="D423" s="4"/>
      <c r="I423" s="3"/>
      <c r="J423" s="3"/>
      <c r="K423" s="3"/>
      <c r="L423" s="1"/>
      <c r="M423" s="2"/>
    </row>
    <row r="424" spans="4:13" ht="13.5" x14ac:dyDescent="0.25">
      <c r="D424" s="4"/>
      <c r="I424" s="3"/>
      <c r="J424" s="3"/>
      <c r="K424" s="3"/>
      <c r="L424" s="1"/>
      <c r="M424" s="2"/>
    </row>
    <row r="425" spans="4:13" ht="13.5" x14ac:dyDescent="0.25">
      <c r="D425" s="4"/>
      <c r="I425" s="3"/>
      <c r="J425" s="3"/>
      <c r="K425" s="3"/>
      <c r="L425" s="1"/>
      <c r="M425" s="2"/>
    </row>
    <row r="426" spans="4:13" ht="13.5" x14ac:dyDescent="0.25">
      <c r="D426" s="4"/>
      <c r="I426" s="3"/>
      <c r="J426" s="3"/>
      <c r="K426" s="3"/>
      <c r="L426" s="1"/>
      <c r="M426" s="2"/>
    </row>
    <row r="427" spans="4:13" ht="13.5" x14ac:dyDescent="0.25">
      <c r="D427" s="4"/>
      <c r="I427" s="3"/>
      <c r="J427" s="3"/>
      <c r="K427" s="3"/>
      <c r="L427" s="1"/>
      <c r="M427" s="2"/>
    </row>
    <row r="428" spans="4:13" ht="13.5" x14ac:dyDescent="0.25">
      <c r="D428" s="4"/>
      <c r="I428" s="3"/>
      <c r="J428" s="3"/>
      <c r="K428" s="3"/>
      <c r="L428" s="1"/>
      <c r="M428" s="2"/>
    </row>
    <row r="429" spans="4:13" ht="13.5" x14ac:dyDescent="0.25">
      <c r="D429" s="4"/>
      <c r="I429" s="3"/>
      <c r="J429" s="3"/>
      <c r="K429" s="3"/>
      <c r="L429" s="1"/>
      <c r="M429" s="2"/>
    </row>
    <row r="430" spans="4:13" ht="13.5" x14ac:dyDescent="0.25">
      <c r="D430" s="4"/>
      <c r="I430" s="3"/>
      <c r="J430" s="3"/>
      <c r="K430" s="3"/>
      <c r="L430" s="1"/>
      <c r="M430" s="2"/>
    </row>
    <row r="431" spans="4:13" ht="13.5" x14ac:dyDescent="0.25">
      <c r="D431" s="4"/>
      <c r="I431" s="3"/>
      <c r="J431" s="3"/>
      <c r="K431" s="3"/>
      <c r="L431" s="1"/>
      <c r="M431" s="2"/>
    </row>
    <row r="432" spans="4:13" ht="13.5" x14ac:dyDescent="0.25">
      <c r="D432" s="4"/>
      <c r="I432" s="3"/>
      <c r="J432" s="3"/>
      <c r="K432" s="3"/>
      <c r="L432" s="1"/>
      <c r="M432" s="2"/>
    </row>
    <row r="433" spans="4:13" ht="13.5" x14ac:dyDescent="0.25">
      <c r="D433" s="4"/>
      <c r="I433" s="3"/>
      <c r="J433" s="3"/>
      <c r="K433" s="3"/>
      <c r="L433" s="1"/>
      <c r="M433" s="2"/>
    </row>
    <row r="434" spans="4:13" ht="13.5" x14ac:dyDescent="0.25">
      <c r="D434" s="4"/>
      <c r="I434" s="3"/>
      <c r="J434" s="3"/>
      <c r="K434" s="3"/>
      <c r="L434" s="1"/>
      <c r="M434" s="2"/>
    </row>
    <row r="435" spans="4:13" ht="13.5" x14ac:dyDescent="0.25">
      <c r="D435" s="4"/>
      <c r="I435" s="3"/>
      <c r="J435" s="3"/>
      <c r="K435" s="3"/>
      <c r="L435" s="1"/>
      <c r="M435" s="2"/>
    </row>
    <row r="436" spans="4:13" ht="13.5" x14ac:dyDescent="0.25">
      <c r="D436" s="4"/>
      <c r="I436" s="3"/>
      <c r="J436" s="3"/>
      <c r="K436" s="3"/>
      <c r="L436" s="1"/>
      <c r="M436" s="2"/>
    </row>
    <row r="437" spans="4:13" ht="13.5" x14ac:dyDescent="0.25">
      <c r="D437" s="4"/>
      <c r="I437" s="3"/>
      <c r="J437" s="3"/>
      <c r="K437" s="3"/>
      <c r="L437" s="1"/>
      <c r="M437" s="2"/>
    </row>
    <row r="438" spans="4:13" ht="13.5" x14ac:dyDescent="0.25">
      <c r="D438" s="4"/>
      <c r="I438" s="3"/>
      <c r="J438" s="3"/>
      <c r="K438" s="3"/>
      <c r="L438" s="1"/>
      <c r="M438" s="2"/>
    </row>
    <row r="439" spans="4:13" ht="13.5" x14ac:dyDescent="0.25">
      <c r="D439" s="4"/>
      <c r="I439" s="3"/>
      <c r="J439" s="3"/>
      <c r="K439" s="3"/>
      <c r="L439" s="1"/>
      <c r="M439" s="2"/>
    </row>
    <row r="440" spans="4:13" ht="13.5" x14ac:dyDescent="0.25">
      <c r="D440" s="4"/>
      <c r="I440" s="3"/>
      <c r="J440" s="3"/>
      <c r="K440" s="3"/>
      <c r="L440" s="1"/>
      <c r="M440" s="2"/>
    </row>
    <row r="441" spans="4:13" ht="13.5" x14ac:dyDescent="0.25">
      <c r="D441" s="4"/>
      <c r="I441" s="3"/>
      <c r="J441" s="3"/>
      <c r="K441" s="3"/>
      <c r="L441" s="1"/>
      <c r="M441" s="2"/>
    </row>
    <row r="442" spans="4:13" ht="13.5" x14ac:dyDescent="0.25">
      <c r="D442" s="4"/>
      <c r="I442" s="3"/>
      <c r="J442" s="3"/>
      <c r="K442" s="3"/>
      <c r="L442" s="1"/>
      <c r="M442" s="2"/>
    </row>
    <row r="443" spans="4:13" ht="13.5" x14ac:dyDescent="0.25">
      <c r="D443" s="4"/>
      <c r="I443" s="3"/>
      <c r="J443" s="3"/>
      <c r="K443" s="3"/>
      <c r="L443" s="1"/>
      <c r="M443" s="2"/>
    </row>
    <row r="444" spans="4:13" ht="13.5" x14ac:dyDescent="0.25">
      <c r="D444" s="4"/>
      <c r="I444" s="3"/>
      <c r="J444" s="3"/>
      <c r="K444" s="3"/>
      <c r="L444" s="1"/>
      <c r="M444" s="2"/>
    </row>
    <row r="445" spans="4:13" ht="13.5" x14ac:dyDescent="0.25">
      <c r="D445" s="4"/>
      <c r="I445" s="3"/>
      <c r="J445" s="3"/>
      <c r="K445" s="3"/>
      <c r="L445" s="1"/>
      <c r="M445" s="2"/>
    </row>
    <row r="446" spans="4:13" ht="13.5" x14ac:dyDescent="0.25">
      <c r="D446" s="4"/>
      <c r="I446" s="3"/>
      <c r="J446" s="3"/>
      <c r="K446" s="3"/>
      <c r="L446" s="1"/>
      <c r="M446" s="2"/>
    </row>
    <row r="447" spans="4:13" ht="13.5" x14ac:dyDescent="0.25">
      <c r="D447" s="4"/>
      <c r="I447" s="3"/>
      <c r="J447" s="3"/>
      <c r="K447" s="3"/>
      <c r="L447" s="1"/>
      <c r="M447" s="2"/>
    </row>
    <row r="448" spans="4:13" ht="13.5" x14ac:dyDescent="0.25">
      <c r="D448" s="4"/>
      <c r="I448" s="3"/>
      <c r="J448" s="3"/>
      <c r="K448" s="3"/>
      <c r="L448" s="1"/>
      <c r="M448" s="2"/>
    </row>
    <row r="449" spans="4:13" ht="13.5" x14ac:dyDescent="0.25">
      <c r="D449" s="4"/>
      <c r="I449" s="3"/>
      <c r="J449" s="3"/>
      <c r="K449" s="3"/>
      <c r="L449" s="1"/>
      <c r="M449" s="2"/>
    </row>
    <row r="450" spans="4:13" ht="13.5" x14ac:dyDescent="0.25">
      <c r="D450" s="4"/>
      <c r="I450" s="3"/>
      <c r="J450" s="3"/>
      <c r="K450" s="3"/>
      <c r="L450" s="1"/>
      <c r="M450" s="2"/>
    </row>
    <row r="451" spans="4:13" ht="13.5" x14ac:dyDescent="0.25">
      <c r="D451" s="4"/>
      <c r="I451" s="3"/>
      <c r="J451" s="3"/>
      <c r="K451" s="3"/>
      <c r="L451" s="1"/>
      <c r="M451" s="2"/>
    </row>
    <row r="452" spans="4:13" ht="13.5" x14ac:dyDescent="0.25">
      <c r="D452" s="4"/>
      <c r="I452" s="3"/>
      <c r="J452" s="3"/>
      <c r="K452" s="3"/>
      <c r="L452" s="1"/>
      <c r="M452" s="2"/>
    </row>
    <row r="453" spans="4:13" ht="13.5" x14ac:dyDescent="0.25">
      <c r="D453" s="4"/>
      <c r="I453" s="3"/>
      <c r="J453" s="3"/>
      <c r="K453" s="3"/>
      <c r="L453" s="1"/>
      <c r="M453" s="2"/>
    </row>
    <row r="454" spans="4:13" ht="13.5" x14ac:dyDescent="0.25">
      <c r="D454" s="4"/>
      <c r="I454" s="3"/>
      <c r="J454" s="3"/>
      <c r="K454" s="3"/>
      <c r="L454" s="1"/>
      <c r="M454" s="2"/>
    </row>
    <row r="455" spans="4:13" ht="13.5" x14ac:dyDescent="0.25">
      <c r="D455" s="4"/>
      <c r="I455" s="3"/>
      <c r="J455" s="3"/>
      <c r="K455" s="3"/>
      <c r="L455" s="1"/>
      <c r="M455" s="2"/>
    </row>
    <row r="456" spans="4:13" ht="13.5" x14ac:dyDescent="0.25">
      <c r="D456" s="4"/>
      <c r="I456" s="3"/>
      <c r="J456" s="3"/>
      <c r="K456" s="3"/>
      <c r="L456" s="1"/>
      <c r="M456" s="2"/>
    </row>
    <row r="457" spans="4:13" ht="13.5" x14ac:dyDescent="0.25">
      <c r="D457" s="4"/>
      <c r="I457" s="3"/>
      <c r="J457" s="3"/>
      <c r="K457" s="3"/>
      <c r="L457" s="1"/>
      <c r="M457" s="2"/>
    </row>
    <row r="458" spans="4:13" ht="13.5" x14ac:dyDescent="0.25">
      <c r="D458" s="4"/>
      <c r="I458" s="3"/>
      <c r="J458" s="3"/>
      <c r="K458" s="3"/>
      <c r="L458" s="1"/>
      <c r="M458" s="2"/>
    </row>
    <row r="459" spans="4:13" ht="13.5" x14ac:dyDescent="0.25">
      <c r="D459" s="4"/>
      <c r="I459" s="3"/>
      <c r="J459" s="3"/>
      <c r="K459" s="3"/>
      <c r="L459" s="1"/>
      <c r="M459" s="2"/>
    </row>
    <row r="460" spans="4:13" ht="13.5" x14ac:dyDescent="0.25">
      <c r="D460" s="4"/>
      <c r="I460" s="3"/>
      <c r="J460" s="3"/>
      <c r="K460" s="3"/>
      <c r="L460" s="1"/>
      <c r="M460" s="2"/>
    </row>
    <row r="461" spans="4:13" ht="13.5" x14ac:dyDescent="0.25">
      <c r="D461" s="4"/>
      <c r="I461" s="3"/>
      <c r="J461" s="3"/>
      <c r="K461" s="3"/>
      <c r="L461" s="1"/>
      <c r="M461" s="2"/>
    </row>
    <row r="462" spans="4:13" ht="13.5" x14ac:dyDescent="0.25">
      <c r="D462" s="4"/>
      <c r="I462" s="3"/>
      <c r="J462" s="3"/>
      <c r="K462" s="3"/>
      <c r="L462" s="1"/>
      <c r="M462" s="2"/>
    </row>
    <row r="463" spans="4:13" ht="13.5" x14ac:dyDescent="0.25">
      <c r="D463" s="4"/>
      <c r="I463" s="3"/>
      <c r="J463" s="3"/>
      <c r="K463" s="3"/>
      <c r="L463" s="1"/>
      <c r="M463" s="2"/>
    </row>
    <row r="464" spans="4:13" ht="13.5" x14ac:dyDescent="0.25">
      <c r="D464" s="4"/>
      <c r="I464" s="3"/>
      <c r="J464" s="3"/>
      <c r="K464" s="3"/>
      <c r="L464" s="1"/>
      <c r="M464" s="2"/>
    </row>
    <row r="465" spans="4:13" ht="13.5" x14ac:dyDescent="0.25">
      <c r="D465" s="4"/>
      <c r="I465" s="3"/>
      <c r="J465" s="3"/>
      <c r="K465" s="3"/>
      <c r="L465" s="1"/>
      <c r="M465" s="2"/>
    </row>
    <row r="466" spans="4:13" ht="13.5" x14ac:dyDescent="0.25">
      <c r="D466" s="4"/>
      <c r="I466" s="3"/>
      <c r="J466" s="3"/>
      <c r="K466" s="3"/>
      <c r="L466" s="1"/>
      <c r="M466" s="2"/>
    </row>
    <row r="467" spans="4:13" ht="13.5" x14ac:dyDescent="0.25">
      <c r="D467" s="4"/>
      <c r="I467" s="3"/>
      <c r="J467" s="3"/>
      <c r="K467" s="3"/>
      <c r="L467" s="1"/>
      <c r="M467" s="2"/>
    </row>
    <row r="468" spans="4:13" ht="13.5" x14ac:dyDescent="0.25">
      <c r="D468" s="4"/>
      <c r="I468" s="3"/>
      <c r="J468" s="3"/>
      <c r="K468" s="3"/>
      <c r="L468" s="1"/>
      <c r="M468" s="2"/>
    </row>
    <row r="469" spans="4:13" ht="13.5" x14ac:dyDescent="0.25">
      <c r="D469" s="4"/>
      <c r="I469" s="3"/>
      <c r="J469" s="3"/>
      <c r="K469" s="3"/>
      <c r="L469" s="1"/>
      <c r="M469" s="2"/>
    </row>
    <row r="470" spans="4:13" ht="13.5" x14ac:dyDescent="0.25">
      <c r="D470" s="4"/>
      <c r="I470" s="3"/>
      <c r="J470" s="3"/>
      <c r="K470" s="3"/>
      <c r="L470" s="1"/>
      <c r="M470" s="2"/>
    </row>
    <row r="471" spans="4:13" ht="13.5" x14ac:dyDescent="0.25">
      <c r="D471" s="4"/>
      <c r="I471" s="3"/>
      <c r="J471" s="3"/>
      <c r="K471" s="3"/>
      <c r="L471" s="1"/>
      <c r="M471" s="2"/>
    </row>
    <row r="472" spans="4:13" ht="13.5" x14ac:dyDescent="0.25">
      <c r="D472" s="4"/>
      <c r="I472" s="3"/>
      <c r="J472" s="3"/>
      <c r="K472" s="3"/>
      <c r="L472" s="1"/>
      <c r="M472" s="2"/>
    </row>
    <row r="473" spans="4:13" ht="13.5" x14ac:dyDescent="0.25">
      <c r="D473" s="4"/>
      <c r="I473" s="3"/>
      <c r="J473" s="3"/>
      <c r="K473" s="3"/>
      <c r="L473" s="1"/>
      <c r="M473" s="2"/>
    </row>
    <row r="474" spans="4:13" ht="13.5" x14ac:dyDescent="0.25">
      <c r="D474" s="4"/>
      <c r="I474" s="3"/>
      <c r="J474" s="3"/>
      <c r="K474" s="3"/>
      <c r="L474" s="1"/>
      <c r="M474" s="2"/>
    </row>
    <row r="475" spans="4:13" ht="13.5" x14ac:dyDescent="0.25">
      <c r="D475" s="4"/>
      <c r="I475" s="3"/>
      <c r="J475" s="3"/>
      <c r="K475" s="3"/>
      <c r="L475" s="1"/>
      <c r="M475" s="2"/>
    </row>
    <row r="476" spans="4:13" ht="13.5" x14ac:dyDescent="0.25">
      <c r="D476" s="4"/>
      <c r="I476" s="3"/>
      <c r="J476" s="3"/>
      <c r="K476" s="3"/>
      <c r="L476" s="1"/>
      <c r="M476" s="2"/>
    </row>
    <row r="477" spans="4:13" ht="13.5" x14ac:dyDescent="0.25">
      <c r="D477" s="4"/>
      <c r="I477" s="3"/>
      <c r="J477" s="3"/>
      <c r="K477" s="3"/>
      <c r="L477" s="1"/>
      <c r="M477" s="2"/>
    </row>
    <row r="478" spans="4:13" ht="13.5" x14ac:dyDescent="0.25">
      <c r="D478" s="4"/>
      <c r="I478" s="3"/>
      <c r="J478" s="3"/>
      <c r="K478" s="3"/>
      <c r="L478" s="1"/>
      <c r="M478" s="2"/>
    </row>
    <row r="479" spans="4:13" ht="13.5" x14ac:dyDescent="0.25">
      <c r="D479" s="4"/>
      <c r="I479" s="3"/>
      <c r="J479" s="3"/>
      <c r="K479" s="3"/>
      <c r="L479" s="1"/>
      <c r="M479" s="2"/>
    </row>
    <row r="480" spans="4:13" ht="13.5" x14ac:dyDescent="0.25">
      <c r="D480" s="4"/>
      <c r="I480" s="3"/>
      <c r="J480" s="3"/>
      <c r="K480" s="3"/>
      <c r="L480" s="1"/>
      <c r="M480" s="2"/>
    </row>
    <row r="481" spans="4:13" ht="13.5" x14ac:dyDescent="0.25">
      <c r="D481" s="4"/>
      <c r="I481" s="3"/>
      <c r="J481" s="3"/>
      <c r="K481" s="3"/>
      <c r="L481" s="1"/>
      <c r="M481" s="2"/>
    </row>
    <row r="482" spans="4:13" ht="13.5" x14ac:dyDescent="0.25">
      <c r="D482" s="4"/>
      <c r="I482" s="3"/>
      <c r="J482" s="3"/>
      <c r="K482" s="3"/>
      <c r="L482" s="1"/>
      <c r="M482" s="2"/>
    </row>
    <row r="483" spans="4:13" ht="13.5" x14ac:dyDescent="0.25">
      <c r="D483" s="4"/>
      <c r="I483" s="3"/>
      <c r="J483" s="3"/>
      <c r="K483" s="3"/>
      <c r="L483" s="1"/>
      <c r="M483" s="2"/>
    </row>
    <row r="484" spans="4:13" ht="13.5" x14ac:dyDescent="0.25">
      <c r="D484" s="4"/>
      <c r="I484" s="3"/>
      <c r="J484" s="3"/>
      <c r="K484" s="3"/>
      <c r="L484" s="1"/>
      <c r="M484" s="2"/>
    </row>
    <row r="485" spans="4:13" ht="13.5" x14ac:dyDescent="0.25">
      <c r="D485" s="4"/>
      <c r="I485" s="3"/>
      <c r="J485" s="3"/>
      <c r="K485" s="3"/>
      <c r="L485" s="1"/>
      <c r="M485" s="2"/>
    </row>
    <row r="486" spans="4:13" ht="13.5" x14ac:dyDescent="0.25">
      <c r="D486" s="4"/>
      <c r="I486" s="3"/>
      <c r="J486" s="3"/>
      <c r="K486" s="3"/>
      <c r="L486" s="1"/>
      <c r="M486" s="2"/>
    </row>
    <row r="487" spans="4:13" ht="13.5" x14ac:dyDescent="0.25">
      <c r="D487" s="4"/>
      <c r="I487" s="3"/>
      <c r="J487" s="3"/>
      <c r="K487" s="3"/>
      <c r="L487" s="1"/>
      <c r="M487" s="2"/>
    </row>
    <row r="488" spans="4:13" ht="13.5" x14ac:dyDescent="0.25">
      <c r="D488" s="4"/>
      <c r="I488" s="3"/>
      <c r="J488" s="3"/>
      <c r="K488" s="3"/>
      <c r="L488" s="1"/>
      <c r="M488" s="2"/>
    </row>
    <row r="489" spans="4:13" ht="13.5" x14ac:dyDescent="0.25">
      <c r="D489" s="4"/>
      <c r="I489" s="3"/>
      <c r="J489" s="3"/>
      <c r="K489" s="3"/>
      <c r="L489" s="1"/>
      <c r="M489" s="2"/>
    </row>
    <row r="490" spans="4:13" ht="13.5" x14ac:dyDescent="0.25">
      <c r="D490" s="4"/>
      <c r="I490" s="3"/>
      <c r="J490" s="3"/>
      <c r="K490" s="3"/>
      <c r="L490" s="1"/>
      <c r="M490" s="2"/>
    </row>
    <row r="491" spans="4:13" ht="13.5" x14ac:dyDescent="0.25">
      <c r="D491" s="4"/>
      <c r="I491" s="3"/>
      <c r="J491" s="3"/>
      <c r="K491" s="3"/>
      <c r="L491" s="1"/>
      <c r="M491" s="2"/>
    </row>
    <row r="492" spans="4:13" ht="13.5" x14ac:dyDescent="0.25">
      <c r="D492" s="4"/>
      <c r="I492" s="3"/>
      <c r="J492" s="3"/>
      <c r="K492" s="3"/>
      <c r="L492" s="1"/>
      <c r="M492" s="2"/>
    </row>
    <row r="493" spans="4:13" ht="13.5" x14ac:dyDescent="0.25">
      <c r="D493" s="4"/>
      <c r="I493" s="3"/>
      <c r="J493" s="3"/>
      <c r="K493" s="3"/>
      <c r="L493" s="1"/>
      <c r="M493" s="2"/>
    </row>
    <row r="494" spans="4:13" ht="13.5" x14ac:dyDescent="0.25">
      <c r="D494" s="4"/>
      <c r="I494" s="3"/>
      <c r="J494" s="3"/>
      <c r="K494" s="3"/>
      <c r="L494" s="1"/>
      <c r="M494" s="2"/>
    </row>
    <row r="495" spans="4:13" ht="13.5" x14ac:dyDescent="0.25">
      <c r="D495" s="4"/>
      <c r="I495" s="3"/>
      <c r="J495" s="3"/>
      <c r="K495" s="3"/>
      <c r="L495" s="1"/>
      <c r="M495" s="2"/>
    </row>
    <row r="496" spans="4:13" ht="13.5" x14ac:dyDescent="0.25">
      <c r="D496" s="4"/>
      <c r="I496" s="3"/>
      <c r="J496" s="3"/>
      <c r="K496" s="3"/>
      <c r="L496" s="1"/>
      <c r="M496" s="2"/>
    </row>
    <row r="497" spans="4:13" ht="13.5" x14ac:dyDescent="0.25">
      <c r="D497" s="4"/>
      <c r="I497" s="3"/>
      <c r="J497" s="3"/>
      <c r="K497" s="3"/>
      <c r="L497" s="1"/>
      <c r="M497" s="2"/>
    </row>
    <row r="498" spans="4:13" ht="13.5" x14ac:dyDescent="0.25">
      <c r="D498" s="4"/>
      <c r="I498" s="3"/>
      <c r="J498" s="3"/>
      <c r="K498" s="3"/>
      <c r="L498" s="1"/>
      <c r="M498" s="2"/>
    </row>
    <row r="499" spans="4:13" ht="13.5" x14ac:dyDescent="0.25">
      <c r="D499" s="4"/>
      <c r="I499" s="3"/>
      <c r="J499" s="3"/>
      <c r="K499" s="3"/>
      <c r="L499" s="1"/>
      <c r="M499" s="2"/>
    </row>
    <row r="500" spans="4:13" ht="13.5" x14ac:dyDescent="0.25">
      <c r="D500" s="4"/>
      <c r="I500" s="3"/>
      <c r="J500" s="3"/>
      <c r="K500" s="3"/>
      <c r="L500" s="1"/>
      <c r="M500" s="2"/>
    </row>
    <row r="501" spans="4:13" ht="13.5" x14ac:dyDescent="0.25">
      <c r="D501" s="4"/>
      <c r="I501" s="3"/>
      <c r="J501" s="3"/>
      <c r="K501" s="3"/>
      <c r="L501" s="1"/>
      <c r="M501" s="2"/>
    </row>
    <row r="502" spans="4:13" ht="13.5" x14ac:dyDescent="0.25">
      <c r="D502" s="4"/>
      <c r="I502" s="3"/>
      <c r="J502" s="3"/>
      <c r="K502" s="3"/>
      <c r="L502" s="1"/>
      <c r="M502" s="2"/>
    </row>
    <row r="503" spans="4:13" ht="13.5" x14ac:dyDescent="0.25">
      <c r="D503" s="4"/>
      <c r="I503" s="3"/>
      <c r="J503" s="3"/>
      <c r="K503" s="3"/>
      <c r="L503" s="1"/>
      <c r="M503" s="2"/>
    </row>
    <row r="504" spans="4:13" ht="13.5" x14ac:dyDescent="0.25">
      <c r="D504" s="4"/>
      <c r="I504" s="3"/>
      <c r="J504" s="3"/>
      <c r="K504" s="3"/>
      <c r="L504" s="1"/>
      <c r="M504" s="2"/>
    </row>
    <row r="505" spans="4:13" ht="13.5" x14ac:dyDescent="0.25">
      <c r="D505" s="4"/>
      <c r="I505" s="3"/>
      <c r="J505" s="3"/>
      <c r="K505" s="3"/>
      <c r="L505" s="1"/>
      <c r="M505" s="2"/>
    </row>
    <row r="506" spans="4:13" ht="13.5" x14ac:dyDescent="0.25">
      <c r="D506" s="4"/>
      <c r="I506" s="3"/>
      <c r="J506" s="3"/>
      <c r="K506" s="3"/>
      <c r="L506" s="1"/>
      <c r="M506" s="2"/>
    </row>
    <row r="507" spans="4:13" ht="13.5" x14ac:dyDescent="0.25">
      <c r="D507" s="4"/>
      <c r="I507" s="3"/>
      <c r="J507" s="3"/>
      <c r="K507" s="3"/>
      <c r="L507" s="1"/>
      <c r="M507" s="2"/>
    </row>
    <row r="508" spans="4:13" ht="13.5" x14ac:dyDescent="0.25">
      <c r="D508" s="4"/>
      <c r="I508" s="3"/>
      <c r="J508" s="3"/>
      <c r="K508" s="3"/>
      <c r="L508" s="1"/>
      <c r="M508" s="2"/>
    </row>
    <row r="509" spans="4:13" ht="13.5" x14ac:dyDescent="0.25">
      <c r="D509" s="4"/>
      <c r="I509" s="3"/>
      <c r="J509" s="3"/>
      <c r="K509" s="3"/>
      <c r="L509" s="1"/>
      <c r="M509" s="2"/>
    </row>
    <row r="510" spans="4:13" ht="13.5" x14ac:dyDescent="0.25">
      <c r="D510" s="4"/>
      <c r="I510" s="3"/>
      <c r="J510" s="3"/>
      <c r="K510" s="3"/>
      <c r="L510" s="1"/>
      <c r="M510" s="2"/>
    </row>
    <row r="511" spans="4:13" ht="13.5" x14ac:dyDescent="0.25">
      <c r="D511" s="4"/>
      <c r="I511" s="3"/>
      <c r="J511" s="3"/>
      <c r="K511" s="3"/>
      <c r="L511" s="1"/>
      <c r="M511" s="2"/>
    </row>
    <row r="512" spans="4:13" ht="13.5" x14ac:dyDescent="0.25">
      <c r="D512" s="4"/>
      <c r="I512" s="3"/>
      <c r="J512" s="3"/>
      <c r="K512" s="3"/>
      <c r="L512" s="1"/>
      <c r="M512" s="2"/>
    </row>
    <row r="513" spans="4:13" ht="13.5" x14ac:dyDescent="0.25">
      <c r="D513" s="4"/>
      <c r="I513" s="3"/>
      <c r="J513" s="3"/>
      <c r="K513" s="3"/>
      <c r="L513" s="1"/>
      <c r="M513" s="2"/>
    </row>
    <row r="514" spans="4:13" ht="13.5" x14ac:dyDescent="0.25">
      <c r="D514" s="4"/>
      <c r="I514" s="3"/>
      <c r="J514" s="3"/>
      <c r="K514" s="3"/>
      <c r="L514" s="1"/>
      <c r="M514" s="2"/>
    </row>
    <row r="515" spans="4:13" ht="13.5" x14ac:dyDescent="0.25">
      <c r="D515" s="4"/>
      <c r="I515" s="3"/>
      <c r="J515" s="3"/>
      <c r="K515" s="3"/>
      <c r="L515" s="1"/>
      <c r="M515" s="2"/>
    </row>
    <row r="516" spans="4:13" ht="13.5" x14ac:dyDescent="0.25">
      <c r="D516" s="4"/>
      <c r="I516" s="3"/>
      <c r="J516" s="3"/>
      <c r="K516" s="3"/>
      <c r="L516" s="1"/>
      <c r="M516" s="2"/>
    </row>
    <row r="517" spans="4:13" ht="13.5" x14ac:dyDescent="0.25">
      <c r="D517" s="4"/>
      <c r="I517" s="3"/>
      <c r="J517" s="3"/>
      <c r="K517" s="3"/>
      <c r="L517" s="1"/>
      <c r="M517" s="2"/>
    </row>
    <row r="518" spans="4:13" ht="13.5" x14ac:dyDescent="0.25">
      <c r="D518" s="4"/>
      <c r="I518" s="3"/>
      <c r="J518" s="3"/>
      <c r="K518" s="3"/>
      <c r="L518" s="1"/>
      <c r="M518" s="2"/>
    </row>
    <row r="519" spans="4:13" ht="13.5" x14ac:dyDescent="0.25">
      <c r="D519" s="4"/>
      <c r="I519" s="3"/>
      <c r="J519" s="3"/>
      <c r="K519" s="3"/>
      <c r="L519" s="1"/>
      <c r="M519" s="2"/>
    </row>
    <row r="520" spans="4:13" ht="13.5" x14ac:dyDescent="0.25">
      <c r="D520" s="4"/>
      <c r="I520" s="3"/>
      <c r="J520" s="3"/>
      <c r="K520" s="3"/>
      <c r="L520" s="1"/>
      <c r="M520" s="2"/>
    </row>
    <row r="521" spans="4:13" ht="13.5" x14ac:dyDescent="0.25">
      <c r="D521" s="4"/>
      <c r="I521" s="3"/>
      <c r="J521" s="3"/>
      <c r="K521" s="3"/>
      <c r="L521" s="1"/>
      <c r="M521" s="2"/>
    </row>
    <row r="522" spans="4:13" ht="13.5" x14ac:dyDescent="0.25">
      <c r="D522" s="4"/>
      <c r="I522" s="3"/>
      <c r="J522" s="3"/>
      <c r="K522" s="3"/>
      <c r="L522" s="1"/>
      <c r="M522" s="2"/>
    </row>
    <row r="523" spans="4:13" ht="13.5" x14ac:dyDescent="0.25">
      <c r="D523" s="4"/>
      <c r="I523" s="3"/>
      <c r="J523" s="3"/>
      <c r="K523" s="3"/>
      <c r="L523" s="1"/>
      <c r="M523" s="2"/>
    </row>
    <row r="524" spans="4:13" ht="13.5" x14ac:dyDescent="0.25">
      <c r="D524" s="4"/>
      <c r="I524" s="3"/>
      <c r="J524" s="3"/>
      <c r="K524" s="3"/>
      <c r="L524" s="1"/>
      <c r="M524" s="2"/>
    </row>
    <row r="525" spans="4:13" ht="13.5" x14ac:dyDescent="0.25">
      <c r="D525" s="4"/>
      <c r="I525" s="3"/>
      <c r="J525" s="3"/>
      <c r="K525" s="3"/>
      <c r="L525" s="1"/>
      <c r="M525" s="2"/>
    </row>
    <row r="526" spans="4:13" ht="13.5" x14ac:dyDescent="0.25">
      <c r="D526" s="4"/>
      <c r="I526" s="3"/>
      <c r="J526" s="3"/>
      <c r="K526" s="3"/>
      <c r="L526" s="1"/>
      <c r="M526" s="2"/>
    </row>
    <row r="527" spans="4:13" ht="13.5" x14ac:dyDescent="0.25">
      <c r="D527" s="4"/>
      <c r="I527" s="3"/>
      <c r="J527" s="3"/>
      <c r="K527" s="3"/>
      <c r="L527" s="1"/>
      <c r="M527" s="2"/>
    </row>
    <row r="528" spans="4:13" ht="13.5" x14ac:dyDescent="0.25">
      <c r="D528" s="4"/>
      <c r="I528" s="3"/>
      <c r="J528" s="3"/>
      <c r="K528" s="3"/>
      <c r="L528" s="1"/>
      <c r="M528" s="2"/>
    </row>
    <row r="529" spans="4:13" ht="13.5" x14ac:dyDescent="0.25">
      <c r="D529" s="4"/>
      <c r="I529" s="3"/>
      <c r="J529" s="3"/>
      <c r="K529" s="3"/>
      <c r="L529" s="1"/>
      <c r="M529" s="2"/>
    </row>
    <row r="530" spans="4:13" ht="13.5" x14ac:dyDescent="0.25">
      <c r="D530" s="4"/>
      <c r="I530" s="3"/>
      <c r="J530" s="3"/>
      <c r="K530" s="3"/>
      <c r="L530" s="1"/>
      <c r="M530" s="2"/>
    </row>
    <row r="531" spans="4:13" ht="13.5" x14ac:dyDescent="0.25">
      <c r="D531" s="4"/>
      <c r="I531" s="3"/>
      <c r="J531" s="3"/>
      <c r="K531" s="3"/>
      <c r="L531" s="1"/>
      <c r="M531" s="2"/>
    </row>
    <row r="532" spans="4:13" ht="13.5" x14ac:dyDescent="0.25">
      <c r="D532" s="4"/>
      <c r="I532" s="3"/>
      <c r="J532" s="3"/>
      <c r="K532" s="3"/>
      <c r="L532" s="1"/>
      <c r="M532" s="2"/>
    </row>
    <row r="533" spans="4:13" ht="13.5" x14ac:dyDescent="0.25">
      <c r="D533" s="4"/>
      <c r="I533" s="3"/>
      <c r="J533" s="3"/>
      <c r="K533" s="3"/>
      <c r="L533" s="1"/>
      <c r="M533" s="2"/>
    </row>
    <row r="534" spans="4:13" ht="13.5" x14ac:dyDescent="0.25">
      <c r="D534" s="4"/>
      <c r="I534" s="3"/>
      <c r="J534" s="3"/>
      <c r="K534" s="3"/>
      <c r="L534" s="1"/>
      <c r="M534" s="2"/>
    </row>
    <row r="535" spans="4:13" ht="13.5" x14ac:dyDescent="0.25">
      <c r="D535" s="4"/>
      <c r="I535" s="3"/>
      <c r="J535" s="3"/>
      <c r="K535" s="3"/>
      <c r="L535" s="1"/>
      <c r="M535" s="2"/>
    </row>
    <row r="536" spans="4:13" ht="13.5" x14ac:dyDescent="0.25">
      <c r="D536" s="4"/>
      <c r="I536" s="3"/>
      <c r="J536" s="3"/>
      <c r="K536" s="3"/>
      <c r="L536" s="1"/>
      <c r="M536" s="2"/>
    </row>
    <row r="537" spans="4:13" ht="13.5" x14ac:dyDescent="0.25">
      <c r="D537" s="4"/>
      <c r="I537" s="3"/>
      <c r="J537" s="3"/>
      <c r="K537" s="3"/>
      <c r="L537" s="1"/>
      <c r="M537" s="2"/>
    </row>
    <row r="538" spans="4:13" ht="13.5" x14ac:dyDescent="0.25">
      <c r="D538" s="4"/>
      <c r="I538" s="3"/>
      <c r="J538" s="3"/>
      <c r="K538" s="3"/>
      <c r="L538" s="1"/>
      <c r="M538" s="2"/>
    </row>
    <row r="539" spans="4:13" ht="13.5" x14ac:dyDescent="0.25">
      <c r="D539" s="4"/>
      <c r="I539" s="3"/>
      <c r="J539" s="3"/>
      <c r="K539" s="3"/>
      <c r="L539" s="1"/>
      <c r="M539" s="2"/>
    </row>
    <row r="540" spans="4:13" ht="13.5" x14ac:dyDescent="0.25">
      <c r="D540" s="4"/>
      <c r="I540" s="3"/>
      <c r="J540" s="3"/>
      <c r="K540" s="3"/>
      <c r="L540" s="1"/>
      <c r="M540" s="2"/>
    </row>
    <row r="541" spans="4:13" ht="13.5" x14ac:dyDescent="0.25">
      <c r="D541" s="4"/>
      <c r="I541" s="3"/>
      <c r="J541" s="3"/>
      <c r="K541" s="3"/>
      <c r="L541" s="1"/>
      <c r="M541" s="2"/>
    </row>
    <row r="542" spans="4:13" ht="13.5" x14ac:dyDescent="0.25">
      <c r="D542" s="4"/>
      <c r="I542" s="3"/>
      <c r="J542" s="3"/>
      <c r="K542" s="3"/>
      <c r="L542" s="1"/>
      <c r="M542" s="2"/>
    </row>
    <row r="543" spans="4:13" ht="13.5" x14ac:dyDescent="0.25">
      <c r="D543" s="4"/>
      <c r="I543" s="3"/>
      <c r="J543" s="3"/>
      <c r="K543" s="3"/>
      <c r="L543" s="1"/>
      <c r="M543" s="2"/>
    </row>
    <row r="544" spans="4:13" ht="13.5" x14ac:dyDescent="0.25">
      <c r="D544" s="4"/>
      <c r="I544" s="3"/>
      <c r="J544" s="3"/>
      <c r="K544" s="3"/>
      <c r="L544" s="1"/>
      <c r="M544" s="2"/>
    </row>
    <row r="545" spans="4:13" ht="13.5" x14ac:dyDescent="0.25">
      <c r="D545" s="4"/>
      <c r="I545" s="3"/>
      <c r="J545" s="3"/>
      <c r="K545" s="3"/>
      <c r="L545" s="1"/>
      <c r="M545" s="2"/>
    </row>
    <row r="546" spans="4:13" ht="13.5" x14ac:dyDescent="0.25">
      <c r="D546" s="4"/>
      <c r="I546" s="3"/>
      <c r="J546" s="3"/>
      <c r="K546" s="3"/>
      <c r="L546" s="1"/>
      <c r="M546" s="2"/>
    </row>
    <row r="547" spans="4:13" ht="13.5" x14ac:dyDescent="0.25">
      <c r="D547" s="4"/>
      <c r="I547" s="3"/>
      <c r="J547" s="3"/>
      <c r="K547" s="3"/>
      <c r="L547" s="1"/>
      <c r="M547" s="2"/>
    </row>
    <row r="548" spans="4:13" ht="13.5" x14ac:dyDescent="0.25">
      <c r="D548" s="4"/>
      <c r="I548" s="3"/>
      <c r="J548" s="3"/>
      <c r="K548" s="3"/>
      <c r="L548" s="1"/>
      <c r="M548" s="2"/>
    </row>
    <row r="549" spans="4:13" ht="13.5" x14ac:dyDescent="0.25">
      <c r="D549" s="4"/>
      <c r="I549" s="3"/>
      <c r="J549" s="3"/>
      <c r="K549" s="3"/>
      <c r="L549" s="1"/>
      <c r="M549" s="2"/>
    </row>
    <row r="550" spans="4:13" ht="13.5" x14ac:dyDescent="0.25">
      <c r="D550" s="4"/>
      <c r="I550" s="3"/>
      <c r="J550" s="3"/>
      <c r="K550" s="3"/>
      <c r="L550" s="1"/>
      <c r="M550" s="2"/>
    </row>
    <row r="551" spans="4:13" ht="13.5" x14ac:dyDescent="0.25">
      <c r="D551" s="4"/>
      <c r="I551" s="3"/>
      <c r="J551" s="3"/>
      <c r="K551" s="3"/>
      <c r="L551" s="1"/>
      <c r="M551" s="2"/>
    </row>
    <row r="552" spans="4:13" ht="13.5" x14ac:dyDescent="0.25">
      <c r="D552" s="4"/>
      <c r="I552" s="3"/>
      <c r="J552" s="3"/>
      <c r="K552" s="3"/>
      <c r="L552" s="1"/>
      <c r="M552" s="2"/>
    </row>
    <row r="553" spans="4:13" ht="13.5" x14ac:dyDescent="0.25">
      <c r="D553" s="4"/>
      <c r="I553" s="3"/>
      <c r="J553" s="3"/>
      <c r="K553" s="3"/>
      <c r="L553" s="1"/>
      <c r="M553" s="2"/>
    </row>
    <row r="554" spans="4:13" ht="13.5" x14ac:dyDescent="0.25">
      <c r="D554" s="4"/>
      <c r="I554" s="3"/>
      <c r="J554" s="3"/>
      <c r="K554" s="3"/>
      <c r="L554" s="1"/>
      <c r="M554" s="2"/>
    </row>
    <row r="555" spans="4:13" ht="13.5" x14ac:dyDescent="0.25">
      <c r="D555" s="4"/>
      <c r="I555" s="3"/>
      <c r="J555" s="3"/>
      <c r="K555" s="3"/>
      <c r="L555" s="1"/>
      <c r="M555" s="2"/>
    </row>
    <row r="556" spans="4:13" ht="13.5" x14ac:dyDescent="0.25">
      <c r="D556" s="4"/>
      <c r="I556" s="3"/>
      <c r="J556" s="3"/>
      <c r="K556" s="3"/>
      <c r="L556" s="1"/>
      <c r="M556" s="2"/>
    </row>
    <row r="557" spans="4:13" ht="13.5" x14ac:dyDescent="0.25">
      <c r="D557" s="4"/>
      <c r="I557" s="3"/>
      <c r="J557" s="3"/>
      <c r="K557" s="3"/>
      <c r="L557" s="1"/>
      <c r="M557" s="2"/>
    </row>
    <row r="558" spans="4:13" ht="13.5" x14ac:dyDescent="0.25">
      <c r="D558" s="4"/>
      <c r="I558" s="3"/>
      <c r="J558" s="3"/>
      <c r="K558" s="3"/>
      <c r="L558" s="1"/>
      <c r="M558" s="2"/>
    </row>
    <row r="559" spans="4:13" ht="13.5" x14ac:dyDescent="0.25">
      <c r="D559" s="4"/>
      <c r="I559" s="3"/>
      <c r="J559" s="3"/>
      <c r="K559" s="3"/>
      <c r="L559" s="1"/>
      <c r="M559" s="2"/>
    </row>
    <row r="560" spans="4:13" ht="13.5" x14ac:dyDescent="0.25">
      <c r="D560" s="4"/>
      <c r="I560" s="3"/>
      <c r="J560" s="3"/>
      <c r="K560" s="3"/>
      <c r="L560" s="1"/>
      <c r="M560" s="2"/>
    </row>
    <row r="561" spans="4:13" ht="13.5" x14ac:dyDescent="0.25">
      <c r="D561" s="4"/>
      <c r="I561" s="3"/>
      <c r="J561" s="3"/>
      <c r="K561" s="3"/>
      <c r="L561" s="1"/>
      <c r="M561" s="2"/>
    </row>
    <row r="562" spans="4:13" ht="13.5" x14ac:dyDescent="0.25">
      <c r="D562" s="4"/>
      <c r="I562" s="3"/>
      <c r="J562" s="3"/>
      <c r="K562" s="3"/>
      <c r="L562" s="1"/>
      <c r="M562" s="2"/>
    </row>
    <row r="563" spans="4:13" ht="13.5" x14ac:dyDescent="0.25">
      <c r="D563" s="4"/>
      <c r="I563" s="3"/>
      <c r="J563" s="3"/>
      <c r="K563" s="3"/>
      <c r="L563" s="1"/>
      <c r="M563" s="2"/>
    </row>
    <row r="564" spans="4:13" ht="13.5" x14ac:dyDescent="0.25">
      <c r="D564" s="4"/>
      <c r="I564" s="3"/>
      <c r="J564" s="3"/>
      <c r="K564" s="3"/>
      <c r="L564" s="1"/>
      <c r="M564" s="2"/>
    </row>
    <row r="565" spans="4:13" ht="13.5" x14ac:dyDescent="0.25">
      <c r="D565" s="4"/>
      <c r="I565" s="3"/>
      <c r="J565" s="3"/>
      <c r="K565" s="3"/>
      <c r="L565" s="1"/>
      <c r="M565" s="2"/>
    </row>
    <row r="566" spans="4:13" ht="13.5" x14ac:dyDescent="0.25">
      <c r="D566" s="4"/>
      <c r="I566" s="3"/>
      <c r="J566" s="3"/>
      <c r="K566" s="3"/>
      <c r="L566" s="1"/>
      <c r="M566" s="2"/>
    </row>
    <row r="567" spans="4:13" ht="13.5" x14ac:dyDescent="0.25">
      <c r="D567" s="4"/>
      <c r="I567" s="3"/>
      <c r="J567" s="3"/>
      <c r="K567" s="3"/>
      <c r="L567" s="1"/>
      <c r="M567" s="2"/>
    </row>
    <row r="568" spans="4:13" ht="13.5" x14ac:dyDescent="0.25">
      <c r="D568" s="4"/>
      <c r="I568" s="3"/>
      <c r="J568" s="3"/>
      <c r="K568" s="3"/>
      <c r="L568" s="1"/>
      <c r="M568" s="2"/>
    </row>
    <row r="569" spans="4:13" ht="13.5" x14ac:dyDescent="0.25">
      <c r="D569" s="4"/>
      <c r="I569" s="3"/>
      <c r="J569" s="3"/>
      <c r="K569" s="3"/>
      <c r="L569" s="1"/>
      <c r="M569" s="2"/>
    </row>
    <row r="570" spans="4:13" ht="13.5" x14ac:dyDescent="0.25">
      <c r="D570" s="4"/>
      <c r="I570" s="3"/>
      <c r="J570" s="3"/>
      <c r="K570" s="3"/>
      <c r="L570" s="1"/>
      <c r="M570" s="2"/>
    </row>
    <row r="571" spans="4:13" ht="13.5" x14ac:dyDescent="0.25">
      <c r="D571" s="4"/>
      <c r="I571" s="3"/>
      <c r="J571" s="3"/>
      <c r="K571" s="3"/>
      <c r="L571" s="1"/>
      <c r="M571" s="2"/>
    </row>
    <row r="572" spans="4:13" ht="13.5" x14ac:dyDescent="0.25">
      <c r="D572" s="4"/>
      <c r="I572" s="3"/>
      <c r="J572" s="3"/>
      <c r="K572" s="3"/>
      <c r="L572" s="1"/>
      <c r="M572" s="2"/>
    </row>
    <row r="573" spans="4:13" ht="13.5" x14ac:dyDescent="0.25">
      <c r="D573" s="4"/>
      <c r="I573" s="3"/>
      <c r="J573" s="3"/>
      <c r="K573" s="3"/>
      <c r="L573" s="1"/>
      <c r="M573" s="2"/>
    </row>
    <row r="574" spans="4:13" ht="13.5" x14ac:dyDescent="0.25">
      <c r="D574" s="4"/>
      <c r="I574" s="3"/>
      <c r="J574" s="3"/>
      <c r="K574" s="3"/>
      <c r="L574" s="1"/>
      <c r="M574" s="2"/>
    </row>
    <row r="575" spans="4:13" ht="13.5" x14ac:dyDescent="0.25">
      <c r="D575" s="4"/>
      <c r="I575" s="3"/>
      <c r="J575" s="3"/>
      <c r="K575" s="3"/>
      <c r="L575" s="1"/>
      <c r="M575" s="2"/>
    </row>
    <row r="576" spans="4:13" ht="13.5" x14ac:dyDescent="0.25">
      <c r="D576" s="4"/>
      <c r="I576" s="3"/>
      <c r="J576" s="3"/>
      <c r="K576" s="3"/>
      <c r="L576" s="1"/>
      <c r="M576" s="2"/>
    </row>
    <row r="577" spans="4:13" ht="13.5" x14ac:dyDescent="0.25">
      <c r="D577" s="4"/>
      <c r="I577" s="3"/>
      <c r="J577" s="3"/>
      <c r="K577" s="3"/>
      <c r="L577" s="1"/>
      <c r="M577" s="2"/>
    </row>
    <row r="578" spans="4:13" ht="13.5" x14ac:dyDescent="0.25">
      <c r="D578" s="4"/>
      <c r="I578" s="3"/>
      <c r="J578" s="3"/>
      <c r="K578" s="3"/>
      <c r="L578" s="1"/>
      <c r="M578" s="2"/>
    </row>
    <row r="579" spans="4:13" ht="13.5" x14ac:dyDescent="0.25">
      <c r="D579" s="4"/>
      <c r="I579" s="3"/>
      <c r="J579" s="3"/>
      <c r="K579" s="3"/>
      <c r="L579" s="1"/>
      <c r="M579" s="2"/>
    </row>
    <row r="580" spans="4:13" ht="13.5" x14ac:dyDescent="0.25">
      <c r="D580" s="4"/>
      <c r="I580" s="3"/>
      <c r="J580" s="3"/>
      <c r="K580" s="3"/>
      <c r="L580" s="1"/>
      <c r="M580" s="2"/>
    </row>
    <row r="581" spans="4:13" ht="13.5" x14ac:dyDescent="0.25">
      <c r="D581" s="4"/>
      <c r="I581" s="3"/>
      <c r="J581" s="3"/>
      <c r="K581" s="3"/>
      <c r="L581" s="1"/>
      <c r="M581" s="2"/>
    </row>
    <row r="582" spans="4:13" ht="13.5" x14ac:dyDescent="0.25">
      <c r="D582" s="4"/>
      <c r="I582" s="3"/>
      <c r="J582" s="3"/>
      <c r="K582" s="3"/>
      <c r="L582" s="1"/>
      <c r="M582" s="2"/>
    </row>
    <row r="583" spans="4:13" ht="13.5" x14ac:dyDescent="0.25">
      <c r="D583" s="4"/>
      <c r="I583" s="3"/>
      <c r="J583" s="3"/>
      <c r="K583" s="3"/>
      <c r="L583" s="1"/>
      <c r="M583" s="2"/>
    </row>
    <row r="584" spans="4:13" ht="13.5" x14ac:dyDescent="0.25">
      <c r="D584" s="4"/>
      <c r="I584" s="3"/>
      <c r="J584" s="3"/>
      <c r="K584" s="3"/>
      <c r="L584" s="1"/>
      <c r="M584" s="2"/>
    </row>
    <row r="585" spans="4:13" ht="13.5" x14ac:dyDescent="0.25">
      <c r="D585" s="4"/>
      <c r="I585" s="3"/>
      <c r="J585" s="3"/>
      <c r="K585" s="3"/>
      <c r="L585" s="1"/>
      <c r="M585" s="2"/>
    </row>
    <row r="586" spans="4:13" ht="13.5" x14ac:dyDescent="0.25">
      <c r="D586" s="4"/>
      <c r="I586" s="3"/>
      <c r="J586" s="3"/>
      <c r="K586" s="3"/>
      <c r="L586" s="1"/>
      <c r="M586" s="2"/>
    </row>
    <row r="587" spans="4:13" ht="13.5" x14ac:dyDescent="0.25">
      <c r="D587" s="4"/>
      <c r="I587" s="3"/>
      <c r="J587" s="3"/>
      <c r="K587" s="3"/>
      <c r="L587" s="1"/>
      <c r="M587" s="2"/>
    </row>
    <row r="588" spans="4:13" ht="13.5" x14ac:dyDescent="0.25">
      <c r="D588" s="4"/>
      <c r="I588" s="3"/>
      <c r="J588" s="3"/>
      <c r="K588" s="3"/>
      <c r="L588" s="1"/>
      <c r="M588" s="2"/>
    </row>
    <row r="589" spans="4:13" ht="13.5" x14ac:dyDescent="0.25">
      <c r="D589" s="4"/>
      <c r="I589" s="3"/>
      <c r="J589" s="3"/>
      <c r="K589" s="3"/>
      <c r="L589" s="1"/>
      <c r="M589" s="2"/>
    </row>
    <row r="590" spans="4:13" ht="13.5" x14ac:dyDescent="0.25">
      <c r="D590" s="4"/>
      <c r="I590" s="3"/>
      <c r="J590" s="3"/>
      <c r="K590" s="3"/>
      <c r="L590" s="1"/>
      <c r="M590" s="2"/>
    </row>
    <row r="591" spans="4:13" ht="13.5" x14ac:dyDescent="0.25">
      <c r="D591" s="4"/>
      <c r="I591" s="3"/>
      <c r="J591" s="3"/>
      <c r="K591" s="3"/>
      <c r="L591" s="1"/>
      <c r="M591" s="2"/>
    </row>
    <row r="592" spans="4:13" ht="13.5" x14ac:dyDescent="0.25">
      <c r="D592" s="4"/>
      <c r="I592" s="3"/>
      <c r="J592" s="3"/>
      <c r="K592" s="3"/>
      <c r="L592" s="1"/>
      <c r="M592" s="2"/>
    </row>
    <row r="593" spans="4:13" ht="13.5" x14ac:dyDescent="0.25">
      <c r="D593" s="4"/>
      <c r="I593" s="3"/>
      <c r="J593" s="3"/>
      <c r="K593" s="3"/>
      <c r="L593" s="1"/>
      <c r="M593" s="2"/>
    </row>
    <row r="594" spans="4:13" ht="13.5" x14ac:dyDescent="0.25">
      <c r="D594" s="4"/>
      <c r="I594" s="3"/>
      <c r="J594" s="3"/>
      <c r="K594" s="3"/>
      <c r="L594" s="1"/>
      <c r="M594" s="2"/>
    </row>
    <row r="595" spans="4:13" ht="13.5" x14ac:dyDescent="0.25">
      <c r="D595" s="4"/>
      <c r="I595" s="3"/>
      <c r="J595" s="3"/>
      <c r="K595" s="3"/>
      <c r="L595" s="1"/>
      <c r="M595" s="2"/>
    </row>
    <row r="596" spans="4:13" ht="13.5" x14ac:dyDescent="0.25">
      <c r="D596" s="4"/>
      <c r="I596" s="3"/>
      <c r="J596" s="3"/>
      <c r="K596" s="3"/>
      <c r="L596" s="1"/>
      <c r="M596" s="2"/>
    </row>
    <row r="597" spans="4:13" ht="13.5" x14ac:dyDescent="0.25">
      <c r="D597" s="4"/>
      <c r="I597" s="3"/>
      <c r="J597" s="3"/>
      <c r="K597" s="3"/>
      <c r="L597" s="1"/>
      <c r="M597" s="2"/>
    </row>
    <row r="598" spans="4:13" ht="13.5" x14ac:dyDescent="0.25">
      <c r="D598" s="4"/>
      <c r="I598" s="3"/>
      <c r="J598" s="3"/>
      <c r="K598" s="3"/>
      <c r="L598" s="1"/>
      <c r="M598" s="2"/>
    </row>
    <row r="599" spans="4:13" ht="13.5" x14ac:dyDescent="0.25">
      <c r="D599" s="4"/>
      <c r="I599" s="3"/>
      <c r="J599" s="3"/>
      <c r="K599" s="3"/>
      <c r="L599" s="1"/>
      <c r="M599" s="2"/>
    </row>
    <row r="600" spans="4:13" ht="13.5" x14ac:dyDescent="0.25">
      <c r="D600" s="4"/>
      <c r="I600" s="3"/>
      <c r="J600" s="3"/>
      <c r="K600" s="3"/>
      <c r="L600" s="1"/>
      <c r="M600" s="2"/>
    </row>
    <row r="601" spans="4:13" ht="13.5" x14ac:dyDescent="0.25">
      <c r="D601" s="4"/>
      <c r="I601" s="3"/>
      <c r="J601" s="3"/>
      <c r="K601" s="3"/>
      <c r="L601" s="1"/>
      <c r="M601" s="2"/>
    </row>
    <row r="602" spans="4:13" ht="13.5" x14ac:dyDescent="0.25">
      <c r="D602" s="4"/>
      <c r="I602" s="3"/>
      <c r="J602" s="3"/>
      <c r="K602" s="3"/>
      <c r="L602" s="1"/>
      <c r="M602" s="2"/>
    </row>
    <row r="603" spans="4:13" ht="13.5" x14ac:dyDescent="0.25">
      <c r="D603" s="4"/>
      <c r="I603" s="3"/>
      <c r="J603" s="3"/>
      <c r="K603" s="3"/>
      <c r="L603" s="1"/>
      <c r="M603" s="2"/>
    </row>
    <row r="604" spans="4:13" ht="13.5" x14ac:dyDescent="0.25">
      <c r="D604" s="4"/>
      <c r="I604" s="3"/>
      <c r="J604" s="3"/>
      <c r="K604" s="3"/>
      <c r="L604" s="1"/>
      <c r="M604" s="2"/>
    </row>
    <row r="605" spans="4:13" ht="13.5" x14ac:dyDescent="0.25">
      <c r="D605" s="4"/>
      <c r="I605" s="3"/>
      <c r="J605" s="3"/>
      <c r="K605" s="3"/>
      <c r="L605" s="1"/>
      <c r="M605" s="2"/>
    </row>
    <row r="606" spans="4:13" ht="13.5" x14ac:dyDescent="0.25">
      <c r="D606" s="4"/>
      <c r="I606" s="3"/>
      <c r="J606" s="3"/>
      <c r="K606" s="3"/>
      <c r="L606" s="1"/>
      <c r="M606" s="2"/>
    </row>
    <row r="607" spans="4:13" ht="13.5" x14ac:dyDescent="0.25">
      <c r="D607" s="4"/>
      <c r="I607" s="3"/>
      <c r="J607" s="3"/>
      <c r="K607" s="3"/>
      <c r="L607" s="1"/>
      <c r="M607" s="2"/>
    </row>
    <row r="608" spans="4:13" ht="13.5" x14ac:dyDescent="0.25">
      <c r="D608" s="4"/>
      <c r="I608" s="3"/>
      <c r="J608" s="3"/>
      <c r="K608" s="3"/>
      <c r="L608" s="1"/>
      <c r="M608" s="2"/>
    </row>
    <row r="609" spans="4:13" ht="13.5" x14ac:dyDescent="0.25">
      <c r="D609" s="4"/>
      <c r="I609" s="3"/>
      <c r="J609" s="3"/>
      <c r="K609" s="3"/>
      <c r="L609" s="1"/>
      <c r="M609" s="2"/>
    </row>
    <row r="610" spans="4:13" ht="13.5" x14ac:dyDescent="0.25">
      <c r="D610" s="4"/>
      <c r="I610" s="3"/>
      <c r="J610" s="3"/>
      <c r="K610" s="3"/>
      <c r="L610" s="1"/>
      <c r="M610" s="2"/>
    </row>
    <row r="611" spans="4:13" ht="13.5" x14ac:dyDescent="0.25">
      <c r="D611" s="4"/>
      <c r="I611" s="3"/>
      <c r="J611" s="3"/>
      <c r="K611" s="3"/>
      <c r="L611" s="1"/>
      <c r="M611" s="2"/>
    </row>
    <row r="612" spans="4:13" ht="13.5" x14ac:dyDescent="0.25">
      <c r="D612" s="4"/>
      <c r="I612" s="3"/>
      <c r="J612" s="3"/>
      <c r="K612" s="3"/>
      <c r="L612" s="1"/>
      <c r="M612" s="2"/>
    </row>
    <row r="613" spans="4:13" ht="13.5" x14ac:dyDescent="0.25">
      <c r="D613" s="4"/>
      <c r="I613" s="3"/>
      <c r="J613" s="3"/>
      <c r="K613" s="3"/>
      <c r="L613" s="1"/>
      <c r="M613" s="2"/>
    </row>
    <row r="614" spans="4:13" ht="13.5" x14ac:dyDescent="0.25">
      <c r="D614" s="4"/>
      <c r="I614" s="3"/>
      <c r="J614" s="3"/>
      <c r="K614" s="3"/>
      <c r="L614" s="1"/>
      <c r="M614" s="2"/>
    </row>
    <row r="615" spans="4:13" ht="13.5" x14ac:dyDescent="0.25">
      <c r="D615" s="4"/>
      <c r="I615" s="3"/>
      <c r="J615" s="3"/>
      <c r="K615" s="3"/>
      <c r="L615" s="1"/>
      <c r="M615" s="2"/>
    </row>
    <row r="616" spans="4:13" ht="13.5" x14ac:dyDescent="0.25">
      <c r="D616" s="4"/>
      <c r="I616" s="3"/>
      <c r="J616" s="3"/>
      <c r="K616" s="3"/>
      <c r="L616" s="1"/>
      <c r="M616" s="2"/>
    </row>
    <row r="617" spans="4:13" ht="13.5" x14ac:dyDescent="0.25">
      <c r="D617" s="4"/>
      <c r="I617" s="3"/>
      <c r="J617" s="3"/>
      <c r="K617" s="3"/>
      <c r="L617" s="1"/>
      <c r="M617" s="2"/>
    </row>
    <row r="618" spans="4:13" ht="13.5" x14ac:dyDescent="0.25">
      <c r="D618" s="4"/>
      <c r="I618" s="3"/>
      <c r="J618" s="3"/>
      <c r="K618" s="3"/>
      <c r="L618" s="1"/>
      <c r="M618" s="2"/>
    </row>
    <row r="619" spans="4:13" ht="13.5" x14ac:dyDescent="0.25">
      <c r="D619" s="4"/>
      <c r="I619" s="3"/>
      <c r="J619" s="3"/>
      <c r="K619" s="3"/>
      <c r="L619" s="1"/>
      <c r="M619" s="2"/>
    </row>
    <row r="620" spans="4:13" ht="13.5" x14ac:dyDescent="0.25">
      <c r="D620" s="4"/>
      <c r="I620" s="3"/>
      <c r="J620" s="3"/>
      <c r="K620" s="3"/>
      <c r="L620" s="1"/>
      <c r="M620" s="2"/>
    </row>
    <row r="621" spans="4:13" ht="13.5" x14ac:dyDescent="0.25">
      <c r="D621" s="4"/>
      <c r="I621" s="3"/>
      <c r="J621" s="3"/>
      <c r="K621" s="3"/>
      <c r="L621" s="1"/>
      <c r="M621" s="2"/>
    </row>
    <row r="622" spans="4:13" ht="13.5" x14ac:dyDescent="0.25">
      <c r="D622" s="4"/>
      <c r="I622" s="3"/>
      <c r="J622" s="3"/>
      <c r="K622" s="3"/>
      <c r="L622" s="1"/>
      <c r="M622" s="2"/>
    </row>
    <row r="623" spans="4:13" ht="13.5" x14ac:dyDescent="0.25">
      <c r="D623" s="4"/>
      <c r="I623" s="3"/>
      <c r="J623" s="3"/>
      <c r="K623" s="3"/>
      <c r="L623" s="1"/>
      <c r="M623" s="2"/>
    </row>
    <row r="624" spans="4:13" ht="13.5" x14ac:dyDescent="0.25">
      <c r="D624" s="4"/>
      <c r="I624" s="3"/>
      <c r="J624" s="3"/>
      <c r="K624" s="3"/>
      <c r="L624" s="1"/>
      <c r="M624" s="2"/>
    </row>
    <row r="625" spans="4:13" ht="13.5" x14ac:dyDescent="0.25">
      <c r="D625" s="4"/>
      <c r="I625" s="3"/>
      <c r="J625" s="3"/>
      <c r="K625" s="3"/>
      <c r="L625" s="1"/>
      <c r="M625" s="2"/>
    </row>
    <row r="626" spans="4:13" ht="13.5" x14ac:dyDescent="0.25">
      <c r="D626" s="4"/>
      <c r="I626" s="3"/>
      <c r="J626" s="3"/>
      <c r="K626" s="3"/>
      <c r="L626" s="1"/>
      <c r="M626" s="2"/>
    </row>
    <row r="627" spans="4:13" ht="13.5" x14ac:dyDescent="0.25">
      <c r="D627" s="4"/>
      <c r="I627" s="3"/>
      <c r="J627" s="3"/>
      <c r="K627" s="3"/>
      <c r="L627" s="1"/>
      <c r="M627" s="2"/>
    </row>
    <row r="628" spans="4:13" ht="13.5" x14ac:dyDescent="0.25">
      <c r="D628" s="4"/>
      <c r="I628" s="3"/>
      <c r="J628" s="3"/>
      <c r="K628" s="3"/>
      <c r="L628" s="1"/>
      <c r="M628" s="2"/>
    </row>
    <row r="629" spans="4:13" ht="13.5" x14ac:dyDescent="0.25">
      <c r="D629" s="4"/>
      <c r="I629" s="3"/>
      <c r="J629" s="3"/>
      <c r="K629" s="3"/>
      <c r="L629" s="1"/>
      <c r="M629" s="2"/>
    </row>
    <row r="630" spans="4:13" ht="13.5" x14ac:dyDescent="0.25">
      <c r="D630" s="4"/>
      <c r="I630" s="3"/>
      <c r="J630" s="3"/>
      <c r="K630" s="3"/>
      <c r="L630" s="1"/>
      <c r="M630" s="2"/>
    </row>
    <row r="631" spans="4:13" ht="13.5" x14ac:dyDescent="0.25">
      <c r="D631" s="4"/>
      <c r="I631" s="3"/>
      <c r="J631" s="3"/>
      <c r="K631" s="3"/>
      <c r="L631" s="1"/>
      <c r="M631" s="2"/>
    </row>
    <row r="632" spans="4:13" ht="13.5" x14ac:dyDescent="0.25">
      <c r="D632" s="4"/>
      <c r="I632" s="3"/>
      <c r="J632" s="3"/>
      <c r="K632" s="3"/>
      <c r="L632" s="1"/>
      <c r="M632" s="2"/>
    </row>
    <row r="633" spans="4:13" ht="13.5" x14ac:dyDescent="0.25">
      <c r="D633" s="4"/>
      <c r="I633" s="3"/>
      <c r="J633" s="3"/>
      <c r="K633" s="3"/>
      <c r="L633" s="1"/>
      <c r="M633" s="2"/>
    </row>
    <row r="634" spans="4:13" ht="13.5" x14ac:dyDescent="0.25">
      <c r="D634" s="4"/>
      <c r="I634" s="3"/>
      <c r="J634" s="3"/>
      <c r="K634" s="3"/>
      <c r="L634" s="1"/>
      <c r="M634" s="2"/>
    </row>
    <row r="635" spans="4:13" ht="13.5" x14ac:dyDescent="0.25">
      <c r="D635" s="4"/>
      <c r="I635" s="3"/>
      <c r="J635" s="3"/>
      <c r="K635" s="3"/>
      <c r="L635" s="1"/>
      <c r="M635" s="2"/>
    </row>
    <row r="636" spans="4:13" ht="13.5" x14ac:dyDescent="0.25">
      <c r="D636" s="4"/>
      <c r="I636" s="3"/>
      <c r="J636" s="3"/>
      <c r="K636" s="3"/>
      <c r="L636" s="1"/>
      <c r="M636" s="2"/>
    </row>
    <row r="637" spans="4:13" ht="13.5" x14ac:dyDescent="0.25">
      <c r="D637" s="4"/>
      <c r="I637" s="3"/>
      <c r="J637" s="3"/>
      <c r="K637" s="3"/>
      <c r="L637" s="1"/>
      <c r="M637" s="2"/>
    </row>
    <row r="638" spans="4:13" ht="13.5" x14ac:dyDescent="0.25">
      <c r="D638" s="4"/>
      <c r="I638" s="3"/>
      <c r="J638" s="3"/>
      <c r="K638" s="3"/>
      <c r="L638" s="1"/>
      <c r="M638" s="2"/>
    </row>
    <row r="639" spans="4:13" ht="13.5" x14ac:dyDescent="0.25">
      <c r="D639" s="4"/>
      <c r="I639" s="3"/>
      <c r="J639" s="3"/>
      <c r="K639" s="3"/>
      <c r="L639" s="1"/>
      <c r="M639" s="2"/>
    </row>
    <row r="640" spans="4:13" ht="13.5" x14ac:dyDescent="0.25">
      <c r="D640" s="4"/>
      <c r="I640" s="3"/>
      <c r="J640" s="3"/>
      <c r="K640" s="3"/>
      <c r="L640" s="1"/>
      <c r="M640" s="2"/>
    </row>
    <row r="641" spans="4:13" ht="13.5" x14ac:dyDescent="0.25">
      <c r="D641" s="4"/>
      <c r="I641" s="3"/>
      <c r="J641" s="3"/>
      <c r="K641" s="3"/>
      <c r="L641" s="1"/>
      <c r="M641" s="2"/>
    </row>
    <row r="642" spans="4:13" ht="13.5" x14ac:dyDescent="0.25">
      <c r="D642" s="4"/>
      <c r="I642" s="3"/>
      <c r="J642" s="3"/>
      <c r="K642" s="3"/>
      <c r="L642" s="1"/>
      <c r="M642" s="2"/>
    </row>
    <row r="643" spans="4:13" ht="13.5" x14ac:dyDescent="0.25">
      <c r="D643" s="4"/>
      <c r="I643" s="3"/>
      <c r="J643" s="3"/>
      <c r="K643" s="3"/>
      <c r="L643" s="1"/>
      <c r="M643" s="2"/>
    </row>
    <row r="644" spans="4:13" ht="13.5" x14ac:dyDescent="0.25">
      <c r="D644" s="4"/>
      <c r="I644" s="3"/>
      <c r="J644" s="3"/>
      <c r="K644" s="3"/>
      <c r="L644" s="1"/>
      <c r="M644" s="2"/>
    </row>
    <row r="645" spans="4:13" ht="13.5" x14ac:dyDescent="0.25">
      <c r="D645" s="4"/>
      <c r="I645" s="3"/>
      <c r="J645" s="3"/>
      <c r="K645" s="3"/>
      <c r="L645" s="1"/>
      <c r="M645" s="2"/>
    </row>
    <row r="646" spans="4:13" ht="13.5" x14ac:dyDescent="0.25">
      <c r="D646" s="4"/>
      <c r="I646" s="3"/>
      <c r="J646" s="3"/>
      <c r="K646" s="3"/>
      <c r="L646" s="1"/>
      <c r="M646" s="2"/>
    </row>
    <row r="647" spans="4:13" ht="13.5" x14ac:dyDescent="0.25">
      <c r="D647" s="4"/>
      <c r="I647" s="3"/>
      <c r="J647" s="3"/>
      <c r="K647" s="3"/>
      <c r="L647" s="1"/>
      <c r="M647" s="2"/>
    </row>
    <row r="648" spans="4:13" ht="13.5" x14ac:dyDescent="0.25">
      <c r="D648" s="4"/>
      <c r="I648" s="3"/>
      <c r="J648" s="3"/>
      <c r="K648" s="3"/>
      <c r="L648" s="1"/>
      <c r="M648" s="2"/>
    </row>
    <row r="649" spans="4:13" ht="13.5" x14ac:dyDescent="0.25">
      <c r="D649" s="4"/>
      <c r="I649" s="3"/>
      <c r="J649" s="3"/>
      <c r="K649" s="3"/>
      <c r="L649" s="1"/>
      <c r="M649" s="2"/>
    </row>
    <row r="650" spans="4:13" ht="13.5" x14ac:dyDescent="0.25">
      <c r="D650" s="4"/>
      <c r="I650" s="3"/>
      <c r="J650" s="3"/>
      <c r="K650" s="3"/>
      <c r="L650" s="1"/>
      <c r="M650" s="2"/>
    </row>
    <row r="651" spans="4:13" ht="13.5" x14ac:dyDescent="0.25">
      <c r="D651" s="4"/>
      <c r="I651" s="3"/>
      <c r="J651" s="3"/>
      <c r="K651" s="3"/>
      <c r="L651" s="1"/>
      <c r="M651" s="2"/>
    </row>
    <row r="652" spans="4:13" ht="13.5" x14ac:dyDescent="0.25">
      <c r="D652" s="4"/>
      <c r="I652" s="3"/>
      <c r="J652" s="3"/>
      <c r="K652" s="3"/>
      <c r="L652" s="1"/>
      <c r="M652" s="2"/>
    </row>
    <row r="653" spans="4:13" ht="13.5" x14ac:dyDescent="0.25">
      <c r="D653" s="4"/>
      <c r="I653" s="3"/>
      <c r="J653" s="3"/>
      <c r="K653" s="3"/>
      <c r="L653" s="1"/>
      <c r="M653" s="2"/>
    </row>
    <row r="654" spans="4:13" ht="13.5" x14ac:dyDescent="0.25">
      <c r="D654" s="4"/>
      <c r="I654" s="3"/>
      <c r="J654" s="3"/>
      <c r="K654" s="3"/>
      <c r="L654" s="1"/>
      <c r="M654" s="2"/>
    </row>
    <row r="655" spans="4:13" ht="13.5" x14ac:dyDescent="0.25">
      <c r="D655" s="4"/>
      <c r="I655" s="3"/>
      <c r="J655" s="3"/>
      <c r="K655" s="3"/>
      <c r="L655" s="1"/>
      <c r="M655" s="2"/>
    </row>
    <row r="656" spans="4:13" ht="13.5" x14ac:dyDescent="0.25">
      <c r="D656" s="4"/>
      <c r="I656" s="3"/>
      <c r="J656" s="3"/>
      <c r="K656" s="3"/>
      <c r="L656" s="1"/>
      <c r="M656" s="2"/>
    </row>
    <row r="657" spans="4:13" ht="13.5" x14ac:dyDescent="0.25">
      <c r="D657" s="4"/>
      <c r="I657" s="3"/>
      <c r="J657" s="3"/>
      <c r="K657" s="3"/>
      <c r="L657" s="1"/>
      <c r="M657" s="2"/>
    </row>
    <row r="658" spans="4:13" ht="13.5" x14ac:dyDescent="0.25">
      <c r="D658" s="4"/>
      <c r="I658" s="3"/>
      <c r="J658" s="3"/>
      <c r="K658" s="3"/>
      <c r="L658" s="1"/>
      <c r="M658" s="2"/>
    </row>
    <row r="659" spans="4:13" ht="13.5" x14ac:dyDescent="0.25">
      <c r="D659" s="4"/>
      <c r="I659" s="3"/>
      <c r="J659" s="3"/>
      <c r="K659" s="3"/>
      <c r="L659" s="1"/>
      <c r="M659" s="2"/>
    </row>
    <row r="660" spans="4:13" ht="13.5" x14ac:dyDescent="0.25">
      <c r="D660" s="4"/>
      <c r="I660" s="3"/>
      <c r="J660" s="3"/>
      <c r="K660" s="3"/>
      <c r="L660" s="1"/>
      <c r="M660" s="2"/>
    </row>
    <row r="661" spans="4:13" ht="13.5" x14ac:dyDescent="0.25">
      <c r="D661" s="4"/>
      <c r="I661" s="3"/>
      <c r="J661" s="3"/>
      <c r="K661" s="3"/>
      <c r="L661" s="1"/>
      <c r="M661" s="2"/>
    </row>
    <row r="662" spans="4:13" ht="13.5" x14ac:dyDescent="0.25">
      <c r="D662" s="4"/>
      <c r="I662" s="3"/>
      <c r="J662" s="3"/>
      <c r="K662" s="3"/>
      <c r="L662" s="1"/>
      <c r="M662" s="2"/>
    </row>
    <row r="663" spans="4:13" ht="13.5" x14ac:dyDescent="0.25">
      <c r="D663" s="4"/>
      <c r="I663" s="3"/>
      <c r="J663" s="3"/>
      <c r="K663" s="3"/>
      <c r="L663" s="1"/>
      <c r="M663" s="2"/>
    </row>
    <row r="664" spans="4:13" ht="13.5" x14ac:dyDescent="0.25">
      <c r="D664" s="4"/>
      <c r="I664" s="3"/>
      <c r="J664" s="3"/>
      <c r="K664" s="3"/>
      <c r="L664" s="1"/>
      <c r="M664" s="2"/>
    </row>
    <row r="665" spans="4:13" ht="13.5" x14ac:dyDescent="0.25">
      <c r="D665" s="4"/>
      <c r="I665" s="3"/>
      <c r="J665" s="3"/>
      <c r="K665" s="3"/>
      <c r="L665" s="1"/>
      <c r="M665" s="2"/>
    </row>
    <row r="666" spans="4:13" ht="13.5" x14ac:dyDescent="0.25">
      <c r="D666" s="4"/>
      <c r="I666" s="3"/>
      <c r="J666" s="3"/>
      <c r="K666" s="3"/>
      <c r="L666" s="1"/>
      <c r="M666" s="2"/>
    </row>
    <row r="667" spans="4:13" ht="13.5" x14ac:dyDescent="0.25">
      <c r="D667" s="4"/>
      <c r="I667" s="3"/>
      <c r="J667" s="3"/>
      <c r="K667" s="3"/>
      <c r="L667" s="1"/>
      <c r="M667" s="2"/>
    </row>
    <row r="668" spans="4:13" ht="13.5" x14ac:dyDescent="0.25">
      <c r="D668" s="4"/>
      <c r="I668" s="3"/>
      <c r="J668" s="3"/>
      <c r="K668" s="3"/>
      <c r="L668" s="1"/>
      <c r="M668" s="2"/>
    </row>
    <row r="669" spans="4:13" ht="13.5" x14ac:dyDescent="0.25">
      <c r="D669" s="4"/>
      <c r="I669" s="3"/>
      <c r="J669" s="3"/>
      <c r="K669" s="3"/>
      <c r="L669" s="1"/>
      <c r="M669" s="2"/>
    </row>
    <row r="670" spans="4:13" ht="13.5" x14ac:dyDescent="0.25">
      <c r="D670" s="4"/>
      <c r="I670" s="3"/>
      <c r="J670" s="3"/>
      <c r="K670" s="3"/>
      <c r="L670" s="1"/>
      <c r="M670" s="2"/>
    </row>
    <row r="671" spans="4:13" ht="13.5" x14ac:dyDescent="0.25">
      <c r="D671" s="4"/>
      <c r="I671" s="3"/>
      <c r="J671" s="3"/>
      <c r="K671" s="3"/>
      <c r="L671" s="1"/>
      <c r="M671" s="2"/>
    </row>
    <row r="672" spans="4:13" ht="13.5" x14ac:dyDescent="0.25">
      <c r="D672" s="4"/>
      <c r="I672" s="3"/>
      <c r="J672" s="3"/>
      <c r="K672" s="3"/>
      <c r="L672" s="1"/>
      <c r="M672" s="2"/>
    </row>
    <row r="673" spans="4:13" ht="13.5" x14ac:dyDescent="0.25">
      <c r="D673" s="4"/>
      <c r="I673" s="3"/>
      <c r="J673" s="3"/>
      <c r="K673" s="3"/>
      <c r="L673" s="1"/>
      <c r="M673" s="2"/>
    </row>
    <row r="674" spans="4:13" ht="13.5" x14ac:dyDescent="0.25">
      <c r="D674" s="4"/>
      <c r="I674" s="3"/>
      <c r="J674" s="3"/>
      <c r="K674" s="3"/>
      <c r="L674" s="1"/>
      <c r="M674" s="2"/>
    </row>
    <row r="675" spans="4:13" ht="13.5" x14ac:dyDescent="0.25">
      <c r="D675" s="4"/>
      <c r="I675" s="3"/>
      <c r="J675" s="3"/>
      <c r="K675" s="3"/>
      <c r="L675" s="1"/>
      <c r="M675" s="2"/>
    </row>
    <row r="676" spans="4:13" ht="13.5" x14ac:dyDescent="0.25">
      <c r="D676" s="4"/>
      <c r="I676" s="3"/>
      <c r="J676" s="3"/>
      <c r="K676" s="3"/>
      <c r="L676" s="1"/>
      <c r="M676" s="2"/>
    </row>
    <row r="677" spans="4:13" ht="13.5" x14ac:dyDescent="0.25">
      <c r="D677" s="4"/>
      <c r="I677" s="3"/>
      <c r="J677" s="3"/>
      <c r="K677" s="3"/>
      <c r="L677" s="1"/>
      <c r="M677" s="2"/>
    </row>
    <row r="678" spans="4:13" ht="13.5" x14ac:dyDescent="0.25">
      <c r="D678" s="4"/>
      <c r="I678" s="3"/>
      <c r="J678" s="3"/>
      <c r="K678" s="3"/>
      <c r="L678" s="1"/>
      <c r="M678" s="2"/>
    </row>
    <row r="679" spans="4:13" ht="13.5" x14ac:dyDescent="0.25">
      <c r="D679" s="4"/>
      <c r="I679" s="3"/>
      <c r="J679" s="3"/>
      <c r="K679" s="3"/>
      <c r="L679" s="1"/>
      <c r="M679" s="2"/>
    </row>
    <row r="680" spans="4:13" ht="13.5" x14ac:dyDescent="0.25">
      <c r="D680" s="4"/>
      <c r="I680" s="3"/>
      <c r="J680" s="3"/>
      <c r="K680" s="3"/>
      <c r="L680" s="1"/>
      <c r="M680" s="2"/>
    </row>
    <row r="681" spans="4:13" ht="13.5" x14ac:dyDescent="0.25">
      <c r="D681" s="4"/>
      <c r="I681" s="3"/>
      <c r="J681" s="3"/>
      <c r="K681" s="3"/>
      <c r="L681" s="1"/>
      <c r="M681" s="2"/>
    </row>
    <row r="682" spans="4:13" ht="13.5" x14ac:dyDescent="0.25">
      <c r="D682" s="4"/>
      <c r="I682" s="3"/>
      <c r="J682" s="3"/>
      <c r="K682" s="3"/>
      <c r="L682" s="1"/>
      <c r="M682" s="2"/>
    </row>
    <row r="683" spans="4:13" ht="13.5" x14ac:dyDescent="0.25">
      <c r="D683" s="4"/>
      <c r="I683" s="3"/>
      <c r="J683" s="3"/>
      <c r="K683" s="3"/>
      <c r="L683" s="1"/>
      <c r="M683" s="2"/>
    </row>
    <row r="684" spans="4:13" ht="13.5" x14ac:dyDescent="0.25">
      <c r="D684" s="4"/>
      <c r="I684" s="3"/>
      <c r="J684" s="3"/>
      <c r="K684" s="3"/>
      <c r="L684" s="1"/>
      <c r="M684" s="2"/>
    </row>
    <row r="685" spans="4:13" ht="13.5" x14ac:dyDescent="0.25">
      <c r="D685" s="4"/>
      <c r="I685" s="3"/>
      <c r="J685" s="3"/>
      <c r="K685" s="3"/>
      <c r="L685" s="1"/>
      <c r="M685" s="2"/>
    </row>
    <row r="686" spans="4:13" ht="13.5" x14ac:dyDescent="0.25">
      <c r="D686" s="4"/>
      <c r="I686" s="3"/>
      <c r="J686" s="3"/>
      <c r="K686" s="3"/>
      <c r="L686" s="1"/>
      <c r="M686" s="2"/>
    </row>
    <row r="687" spans="4:13" ht="13.5" x14ac:dyDescent="0.25">
      <c r="D687" s="4"/>
      <c r="I687" s="3"/>
      <c r="J687" s="3"/>
      <c r="K687" s="3"/>
      <c r="L687" s="1"/>
      <c r="M687" s="2"/>
    </row>
    <row r="688" spans="4:13" ht="13.5" x14ac:dyDescent="0.25">
      <c r="D688" s="4"/>
      <c r="I688" s="3"/>
      <c r="J688" s="3"/>
      <c r="K688" s="3"/>
      <c r="L688" s="1"/>
      <c r="M688" s="2"/>
    </row>
    <row r="689" spans="4:13" ht="13.5" x14ac:dyDescent="0.25">
      <c r="D689" s="4"/>
      <c r="I689" s="3"/>
      <c r="J689" s="3"/>
      <c r="K689" s="3"/>
      <c r="L689" s="1"/>
      <c r="M689" s="2"/>
    </row>
    <row r="690" spans="4:13" ht="13.5" x14ac:dyDescent="0.25">
      <c r="D690" s="4"/>
      <c r="I690" s="3"/>
      <c r="J690" s="3"/>
      <c r="K690" s="3"/>
      <c r="L690" s="1"/>
      <c r="M690" s="2"/>
    </row>
    <row r="691" spans="4:13" ht="13.5" x14ac:dyDescent="0.25">
      <c r="D691" s="4"/>
      <c r="I691" s="3"/>
      <c r="J691" s="3"/>
      <c r="K691" s="3"/>
      <c r="L691" s="1"/>
      <c r="M691" s="2"/>
    </row>
    <row r="692" spans="4:13" ht="13.5" x14ac:dyDescent="0.25">
      <c r="D692" s="4"/>
      <c r="I692" s="3"/>
      <c r="J692" s="3"/>
      <c r="K692" s="3"/>
      <c r="L692" s="1"/>
      <c r="M692" s="2"/>
    </row>
    <row r="693" spans="4:13" ht="13.5" x14ac:dyDescent="0.25">
      <c r="D693" s="4"/>
      <c r="I693" s="3"/>
      <c r="J693" s="3"/>
      <c r="K693" s="3"/>
      <c r="L693" s="1"/>
      <c r="M693" s="2"/>
    </row>
    <row r="694" spans="4:13" ht="13.5" x14ac:dyDescent="0.25">
      <c r="D694" s="4"/>
      <c r="I694" s="3"/>
      <c r="J694" s="3"/>
      <c r="K694" s="3"/>
      <c r="L694" s="1"/>
      <c r="M694" s="2"/>
    </row>
    <row r="695" spans="4:13" ht="13.5" x14ac:dyDescent="0.25">
      <c r="D695" s="4"/>
      <c r="I695" s="3"/>
      <c r="J695" s="3"/>
      <c r="K695" s="3"/>
      <c r="L695" s="1"/>
      <c r="M695" s="2"/>
    </row>
    <row r="696" spans="4:13" ht="13.5" x14ac:dyDescent="0.25">
      <c r="D696" s="4"/>
      <c r="I696" s="3"/>
      <c r="J696" s="3"/>
      <c r="K696" s="3"/>
      <c r="L696" s="1"/>
      <c r="M696" s="2"/>
    </row>
    <row r="697" spans="4:13" ht="13.5" x14ac:dyDescent="0.25">
      <c r="D697" s="4"/>
      <c r="I697" s="3"/>
      <c r="J697" s="3"/>
      <c r="K697" s="3"/>
      <c r="L697" s="1"/>
      <c r="M697" s="2"/>
    </row>
    <row r="698" spans="4:13" ht="13.5" x14ac:dyDescent="0.25">
      <c r="D698" s="4"/>
      <c r="I698" s="3"/>
      <c r="J698" s="3"/>
      <c r="K698" s="3"/>
      <c r="L698" s="1"/>
      <c r="M698" s="2"/>
    </row>
    <row r="699" spans="4:13" ht="13.5" x14ac:dyDescent="0.25">
      <c r="D699" s="4"/>
      <c r="I699" s="3"/>
      <c r="J699" s="3"/>
      <c r="K699" s="3"/>
      <c r="L699" s="1"/>
      <c r="M699" s="2"/>
    </row>
    <row r="700" spans="4:13" ht="13.5" x14ac:dyDescent="0.25">
      <c r="D700" s="4"/>
      <c r="I700" s="3"/>
      <c r="J700" s="3"/>
      <c r="K700" s="3"/>
      <c r="L700" s="1"/>
      <c r="M700" s="2"/>
    </row>
    <row r="701" spans="4:13" ht="13.5" x14ac:dyDescent="0.25">
      <c r="D701" s="4"/>
      <c r="I701" s="3"/>
      <c r="J701" s="3"/>
      <c r="K701" s="3"/>
      <c r="L701" s="1"/>
      <c r="M701" s="2"/>
    </row>
    <row r="702" spans="4:13" ht="13.5" x14ac:dyDescent="0.25">
      <c r="D702" s="4"/>
      <c r="I702" s="3"/>
      <c r="J702" s="3"/>
      <c r="K702" s="3"/>
      <c r="L702" s="1"/>
      <c r="M702" s="2"/>
    </row>
    <row r="703" spans="4:13" ht="13.5" x14ac:dyDescent="0.25">
      <c r="D703" s="4"/>
      <c r="I703" s="3"/>
      <c r="J703" s="3"/>
      <c r="K703" s="3"/>
      <c r="L703" s="1"/>
      <c r="M703" s="2"/>
    </row>
    <row r="704" spans="4:13" ht="13.5" x14ac:dyDescent="0.25">
      <c r="D704" s="4"/>
      <c r="I704" s="3"/>
      <c r="J704" s="3"/>
      <c r="K704" s="3"/>
      <c r="L704" s="1"/>
      <c r="M704" s="2"/>
    </row>
    <row r="705" spans="4:13" ht="13.5" x14ac:dyDescent="0.25">
      <c r="D705" s="4"/>
      <c r="I705" s="3"/>
      <c r="J705" s="3"/>
      <c r="K705" s="3"/>
      <c r="L705" s="1"/>
      <c r="M705" s="2"/>
    </row>
    <row r="706" spans="4:13" ht="13.5" x14ac:dyDescent="0.25">
      <c r="D706" s="4"/>
      <c r="I706" s="3"/>
      <c r="J706" s="3"/>
      <c r="K706" s="3"/>
      <c r="L706" s="1"/>
      <c r="M706" s="2"/>
    </row>
    <row r="707" spans="4:13" ht="13.5" x14ac:dyDescent="0.25">
      <c r="D707" s="4"/>
      <c r="I707" s="3"/>
      <c r="J707" s="3"/>
      <c r="K707" s="3"/>
      <c r="L707" s="1"/>
      <c r="M707" s="2"/>
    </row>
    <row r="708" spans="4:13" ht="13.5" x14ac:dyDescent="0.25">
      <c r="D708" s="4"/>
      <c r="I708" s="3"/>
      <c r="J708" s="3"/>
      <c r="K708" s="3"/>
      <c r="L708" s="1"/>
      <c r="M708" s="2"/>
    </row>
    <row r="709" spans="4:13" ht="13.5" x14ac:dyDescent="0.25">
      <c r="D709" s="4"/>
      <c r="I709" s="3"/>
      <c r="J709" s="3"/>
      <c r="K709" s="3"/>
      <c r="L709" s="1"/>
      <c r="M709" s="2"/>
    </row>
    <row r="710" spans="4:13" ht="13.5" x14ac:dyDescent="0.25">
      <c r="D710" s="4"/>
      <c r="I710" s="3"/>
      <c r="J710" s="3"/>
      <c r="K710" s="3"/>
      <c r="L710" s="1"/>
      <c r="M710" s="2"/>
    </row>
    <row r="711" spans="4:13" ht="13.5" x14ac:dyDescent="0.25">
      <c r="D711" s="4"/>
      <c r="I711" s="3"/>
      <c r="J711" s="3"/>
      <c r="K711" s="3"/>
      <c r="L711" s="1"/>
      <c r="M711" s="2"/>
    </row>
    <row r="712" spans="4:13" ht="13.5" x14ac:dyDescent="0.25">
      <c r="D712" s="4"/>
      <c r="I712" s="3"/>
      <c r="J712" s="3"/>
      <c r="K712" s="3"/>
      <c r="L712" s="1"/>
      <c r="M712" s="2"/>
    </row>
    <row r="713" spans="4:13" ht="13.5" x14ac:dyDescent="0.25">
      <c r="D713" s="4"/>
      <c r="I713" s="3"/>
      <c r="J713" s="3"/>
      <c r="K713" s="3"/>
      <c r="L713" s="1"/>
      <c r="M713" s="2"/>
    </row>
    <row r="714" spans="4:13" ht="13.5" x14ac:dyDescent="0.25">
      <c r="D714" s="4"/>
      <c r="I714" s="3"/>
      <c r="J714" s="3"/>
      <c r="K714" s="3"/>
      <c r="L714" s="1"/>
      <c r="M714" s="2"/>
    </row>
    <row r="715" spans="4:13" ht="13.5" x14ac:dyDescent="0.25">
      <c r="D715" s="4"/>
      <c r="I715" s="3"/>
      <c r="J715" s="3"/>
      <c r="K715" s="3"/>
      <c r="L715" s="1"/>
      <c r="M715" s="2"/>
    </row>
    <row r="716" spans="4:13" ht="13.5" x14ac:dyDescent="0.25">
      <c r="D716" s="4"/>
      <c r="I716" s="3"/>
      <c r="J716" s="3"/>
      <c r="K716" s="3"/>
      <c r="L716" s="1"/>
      <c r="M716" s="2"/>
    </row>
    <row r="717" spans="4:13" ht="13.5" x14ac:dyDescent="0.25">
      <c r="D717" s="4"/>
      <c r="I717" s="3"/>
      <c r="J717" s="3"/>
      <c r="K717" s="3"/>
      <c r="L717" s="1"/>
      <c r="M717" s="2"/>
    </row>
    <row r="718" spans="4:13" ht="13.5" x14ac:dyDescent="0.25">
      <c r="D718" s="4"/>
      <c r="I718" s="3"/>
      <c r="J718" s="3"/>
      <c r="K718" s="3"/>
      <c r="L718" s="1"/>
      <c r="M718" s="2"/>
    </row>
    <row r="719" spans="4:13" ht="13.5" x14ac:dyDescent="0.25">
      <c r="D719" s="4"/>
      <c r="I719" s="3"/>
      <c r="J719" s="3"/>
      <c r="K719" s="3"/>
      <c r="L719" s="1"/>
      <c r="M719" s="2"/>
    </row>
    <row r="720" spans="4:13" ht="13.5" x14ac:dyDescent="0.25">
      <c r="D720" s="4"/>
      <c r="I720" s="3"/>
      <c r="J720" s="3"/>
      <c r="K720" s="3"/>
      <c r="L720" s="1"/>
      <c r="M720" s="2"/>
    </row>
    <row r="721" spans="4:13" ht="13.5" x14ac:dyDescent="0.25">
      <c r="D721" s="4"/>
      <c r="I721" s="3"/>
      <c r="J721" s="3"/>
      <c r="K721" s="3"/>
      <c r="L721" s="1"/>
      <c r="M721" s="2"/>
    </row>
    <row r="722" spans="4:13" ht="13.5" x14ac:dyDescent="0.25">
      <c r="D722" s="4"/>
      <c r="I722" s="3"/>
      <c r="J722" s="3"/>
      <c r="K722" s="3"/>
      <c r="L722" s="1"/>
      <c r="M722" s="2"/>
    </row>
    <row r="723" spans="4:13" ht="13.5" x14ac:dyDescent="0.25">
      <c r="D723" s="4"/>
      <c r="I723" s="3"/>
      <c r="J723" s="3"/>
      <c r="K723" s="3"/>
      <c r="L723" s="1"/>
      <c r="M723" s="2"/>
    </row>
    <row r="724" spans="4:13" ht="13.5" x14ac:dyDescent="0.25">
      <c r="D724" s="4"/>
      <c r="I724" s="3"/>
      <c r="J724" s="3"/>
      <c r="K724" s="3"/>
      <c r="L724" s="1"/>
      <c r="M724" s="2"/>
    </row>
    <row r="725" spans="4:13" ht="13.5" x14ac:dyDescent="0.25">
      <c r="D725" s="4"/>
      <c r="I725" s="3"/>
      <c r="J725" s="3"/>
      <c r="K725" s="3"/>
      <c r="L725" s="1"/>
      <c r="M725" s="2"/>
    </row>
    <row r="726" spans="4:13" ht="13.5" x14ac:dyDescent="0.25">
      <c r="D726" s="4"/>
      <c r="I726" s="3"/>
      <c r="J726" s="3"/>
      <c r="K726" s="3"/>
      <c r="L726" s="1"/>
      <c r="M726" s="2"/>
    </row>
    <row r="727" spans="4:13" ht="13.5" x14ac:dyDescent="0.25">
      <c r="D727" s="4"/>
      <c r="I727" s="3"/>
      <c r="J727" s="3"/>
      <c r="K727" s="3"/>
      <c r="L727" s="1"/>
      <c r="M727" s="2"/>
    </row>
    <row r="728" spans="4:13" ht="13.5" x14ac:dyDescent="0.25">
      <c r="D728" s="4"/>
      <c r="I728" s="3"/>
      <c r="J728" s="3"/>
      <c r="K728" s="3"/>
      <c r="L728" s="1"/>
      <c r="M728" s="2"/>
    </row>
    <row r="729" spans="4:13" ht="13.5" x14ac:dyDescent="0.25">
      <c r="D729" s="4"/>
      <c r="I729" s="3"/>
      <c r="J729" s="3"/>
      <c r="K729" s="3"/>
      <c r="L729" s="1"/>
      <c r="M729" s="2"/>
    </row>
    <row r="730" spans="4:13" ht="13.5" x14ac:dyDescent="0.25">
      <c r="D730" s="4"/>
      <c r="I730" s="3"/>
      <c r="J730" s="3"/>
      <c r="K730" s="3"/>
      <c r="L730" s="1"/>
      <c r="M730" s="2"/>
    </row>
    <row r="731" spans="4:13" ht="13.5" x14ac:dyDescent="0.25">
      <c r="D731" s="4"/>
      <c r="I731" s="3"/>
      <c r="J731" s="3"/>
      <c r="K731" s="3"/>
      <c r="L731" s="1"/>
      <c r="M731" s="2"/>
    </row>
    <row r="732" spans="4:13" ht="13.5" x14ac:dyDescent="0.25">
      <c r="D732" s="4"/>
      <c r="I732" s="3"/>
      <c r="J732" s="3"/>
      <c r="K732" s="3"/>
      <c r="L732" s="1"/>
      <c r="M732" s="2"/>
    </row>
    <row r="733" spans="4:13" ht="13.5" x14ac:dyDescent="0.25">
      <c r="D733" s="4"/>
      <c r="I733" s="3"/>
      <c r="J733" s="3"/>
      <c r="K733" s="3"/>
      <c r="L733" s="1"/>
      <c r="M733" s="2"/>
    </row>
    <row r="734" spans="4:13" ht="13.5" x14ac:dyDescent="0.25">
      <c r="D734" s="4"/>
      <c r="I734" s="3"/>
      <c r="J734" s="3"/>
      <c r="K734" s="3"/>
      <c r="L734" s="1"/>
      <c r="M734" s="2"/>
    </row>
    <row r="735" spans="4:13" ht="13.5" x14ac:dyDescent="0.25">
      <c r="D735" s="4"/>
      <c r="I735" s="3"/>
      <c r="J735" s="3"/>
      <c r="K735" s="3"/>
      <c r="L735" s="1"/>
      <c r="M735" s="2"/>
    </row>
    <row r="736" spans="4:13" ht="13.5" x14ac:dyDescent="0.25">
      <c r="D736" s="4"/>
      <c r="I736" s="3"/>
      <c r="J736" s="3"/>
      <c r="K736" s="3"/>
      <c r="L736" s="1"/>
      <c r="M736" s="2"/>
    </row>
    <row r="737" spans="4:13" ht="13.5" x14ac:dyDescent="0.25">
      <c r="D737" s="4"/>
      <c r="I737" s="3"/>
      <c r="J737" s="3"/>
      <c r="K737" s="3"/>
      <c r="L737" s="1"/>
      <c r="M737" s="2"/>
    </row>
    <row r="738" spans="4:13" ht="13.5" x14ac:dyDescent="0.25">
      <c r="D738" s="4"/>
      <c r="I738" s="3"/>
      <c r="J738" s="3"/>
      <c r="K738" s="3"/>
      <c r="L738" s="1"/>
      <c r="M738" s="2"/>
    </row>
    <row r="739" spans="4:13" ht="13.5" x14ac:dyDescent="0.25">
      <c r="D739" s="4"/>
      <c r="I739" s="3"/>
      <c r="J739" s="3"/>
      <c r="K739" s="3"/>
      <c r="L739" s="1"/>
      <c r="M739" s="2"/>
    </row>
    <row r="740" spans="4:13" ht="13.5" x14ac:dyDescent="0.25">
      <c r="D740" s="4"/>
      <c r="I740" s="3"/>
      <c r="J740" s="3"/>
      <c r="K740" s="3"/>
      <c r="L740" s="1"/>
      <c r="M740" s="2"/>
    </row>
    <row r="741" spans="4:13" ht="13.5" x14ac:dyDescent="0.25">
      <c r="D741" s="4"/>
      <c r="I741" s="3"/>
      <c r="J741" s="3"/>
      <c r="K741" s="3"/>
      <c r="L741" s="1"/>
      <c r="M741" s="2"/>
    </row>
    <row r="742" spans="4:13" ht="13.5" x14ac:dyDescent="0.25">
      <c r="D742" s="4"/>
      <c r="I742" s="3"/>
      <c r="J742" s="3"/>
      <c r="K742" s="3"/>
      <c r="L742" s="1"/>
      <c r="M742" s="2"/>
    </row>
    <row r="743" spans="4:13" ht="13.5" x14ac:dyDescent="0.25">
      <c r="D743" s="4"/>
      <c r="I743" s="3"/>
      <c r="J743" s="3"/>
      <c r="K743" s="3"/>
      <c r="L743" s="1"/>
      <c r="M743" s="2"/>
    </row>
    <row r="744" spans="4:13" ht="13.5" x14ac:dyDescent="0.25">
      <c r="D744" s="4"/>
      <c r="I744" s="3"/>
      <c r="J744" s="3"/>
      <c r="K744" s="3"/>
      <c r="L744" s="1"/>
      <c r="M744" s="2"/>
    </row>
    <row r="745" spans="4:13" ht="13.5" x14ac:dyDescent="0.25">
      <c r="D745" s="4"/>
      <c r="I745" s="3"/>
      <c r="J745" s="3"/>
      <c r="K745" s="3"/>
      <c r="L745" s="1"/>
      <c r="M745" s="2"/>
    </row>
    <row r="746" spans="4:13" ht="13.5" x14ac:dyDescent="0.25">
      <c r="D746" s="4"/>
      <c r="I746" s="3"/>
      <c r="J746" s="3"/>
      <c r="K746" s="3"/>
      <c r="L746" s="1"/>
      <c r="M746" s="2"/>
    </row>
    <row r="747" spans="4:13" ht="13.5" x14ac:dyDescent="0.25">
      <c r="D747" s="4"/>
      <c r="I747" s="3"/>
      <c r="J747" s="3"/>
      <c r="K747" s="3"/>
      <c r="L747" s="1"/>
      <c r="M747" s="2"/>
    </row>
    <row r="748" spans="4:13" ht="13.5" x14ac:dyDescent="0.25">
      <c r="D748" s="4"/>
      <c r="I748" s="3"/>
      <c r="J748" s="3"/>
      <c r="K748" s="3"/>
      <c r="L748" s="1"/>
      <c r="M748" s="2"/>
    </row>
    <row r="749" spans="4:13" ht="13.5" x14ac:dyDescent="0.25">
      <c r="D749" s="4"/>
      <c r="I749" s="3"/>
      <c r="J749" s="3"/>
      <c r="K749" s="3"/>
      <c r="L749" s="1"/>
      <c r="M749" s="2"/>
    </row>
    <row r="750" spans="4:13" ht="13.5" x14ac:dyDescent="0.25">
      <c r="D750" s="4"/>
      <c r="I750" s="3"/>
      <c r="J750" s="3"/>
      <c r="K750" s="3"/>
      <c r="L750" s="1"/>
      <c r="M750" s="2"/>
    </row>
    <row r="751" spans="4:13" ht="13.5" x14ac:dyDescent="0.25">
      <c r="D751" s="4"/>
      <c r="I751" s="3"/>
      <c r="J751" s="3"/>
      <c r="K751" s="3"/>
      <c r="L751" s="1"/>
      <c r="M751" s="2"/>
    </row>
    <row r="752" spans="4:13" ht="13.5" x14ac:dyDescent="0.25">
      <c r="D752" s="4"/>
      <c r="I752" s="3"/>
      <c r="J752" s="3"/>
      <c r="K752" s="3"/>
      <c r="L752" s="1"/>
      <c r="M752" s="2"/>
    </row>
    <row r="753" spans="4:13" ht="13.5" x14ac:dyDescent="0.25">
      <c r="D753" s="4"/>
      <c r="I753" s="3"/>
      <c r="J753" s="3"/>
      <c r="K753" s="3"/>
      <c r="L753" s="1"/>
      <c r="M753" s="2"/>
    </row>
    <row r="754" spans="4:13" ht="13.5" x14ac:dyDescent="0.25">
      <c r="D754" s="4"/>
      <c r="I754" s="3"/>
      <c r="J754" s="3"/>
      <c r="K754" s="3"/>
      <c r="L754" s="1"/>
      <c r="M754" s="2"/>
    </row>
    <row r="755" spans="4:13" ht="13.5" x14ac:dyDescent="0.25">
      <c r="D755" s="4"/>
      <c r="I755" s="3"/>
      <c r="J755" s="3"/>
      <c r="K755" s="3"/>
      <c r="L755" s="1"/>
      <c r="M755" s="2"/>
    </row>
    <row r="756" spans="4:13" ht="13.5" x14ac:dyDescent="0.25">
      <c r="D756" s="4"/>
      <c r="I756" s="3"/>
      <c r="J756" s="3"/>
      <c r="K756" s="3"/>
      <c r="L756" s="1"/>
      <c r="M756" s="2"/>
    </row>
    <row r="757" spans="4:13" ht="13.5" x14ac:dyDescent="0.25">
      <c r="D757" s="4"/>
      <c r="I757" s="3"/>
      <c r="J757" s="3"/>
      <c r="K757" s="3"/>
      <c r="L757" s="1"/>
      <c r="M757" s="2"/>
    </row>
    <row r="758" spans="4:13" ht="13.5" x14ac:dyDescent="0.25">
      <c r="D758" s="4"/>
      <c r="I758" s="3"/>
      <c r="J758" s="3"/>
      <c r="K758" s="3"/>
      <c r="L758" s="1"/>
      <c r="M758" s="2"/>
    </row>
    <row r="759" spans="4:13" ht="13.5" x14ac:dyDescent="0.25">
      <c r="D759" s="4"/>
      <c r="I759" s="3"/>
      <c r="J759" s="3"/>
      <c r="K759" s="3"/>
      <c r="L759" s="1"/>
      <c r="M759" s="2"/>
    </row>
    <row r="760" spans="4:13" ht="13.5" x14ac:dyDescent="0.25">
      <c r="D760" s="4"/>
      <c r="I760" s="3"/>
      <c r="J760" s="3"/>
      <c r="K760" s="3"/>
      <c r="L760" s="1"/>
      <c r="M760" s="2"/>
    </row>
    <row r="761" spans="4:13" ht="13.5" x14ac:dyDescent="0.25">
      <c r="D761" s="4"/>
      <c r="I761" s="3"/>
      <c r="J761" s="3"/>
      <c r="K761" s="3"/>
      <c r="L761" s="1"/>
      <c r="M761" s="2"/>
    </row>
    <row r="762" spans="4:13" ht="13.5" x14ac:dyDescent="0.25">
      <c r="D762" s="4"/>
      <c r="I762" s="3"/>
      <c r="J762" s="3"/>
      <c r="K762" s="3"/>
      <c r="L762" s="1"/>
      <c r="M762" s="2"/>
    </row>
    <row r="763" spans="4:13" ht="13.5" x14ac:dyDescent="0.25">
      <c r="D763" s="4"/>
      <c r="I763" s="3"/>
      <c r="J763" s="3"/>
      <c r="K763" s="3"/>
      <c r="L763" s="1"/>
      <c r="M763" s="2"/>
    </row>
    <row r="764" spans="4:13" ht="13.5" x14ac:dyDescent="0.25">
      <c r="D764" s="4"/>
      <c r="I764" s="3"/>
      <c r="J764" s="3"/>
      <c r="K764" s="3"/>
      <c r="L764" s="1"/>
      <c r="M764" s="2"/>
    </row>
    <row r="765" spans="4:13" ht="13.5" x14ac:dyDescent="0.25">
      <c r="D765" s="4"/>
      <c r="I765" s="3"/>
      <c r="J765" s="3"/>
      <c r="K765" s="3"/>
      <c r="L765" s="1"/>
      <c r="M765" s="2"/>
    </row>
    <row r="766" spans="4:13" ht="13.5" x14ac:dyDescent="0.25">
      <c r="D766" s="4"/>
      <c r="I766" s="3"/>
      <c r="J766" s="3"/>
      <c r="K766" s="3"/>
      <c r="L766" s="1"/>
      <c r="M766" s="2"/>
    </row>
    <row r="767" spans="4:13" ht="13.5" x14ac:dyDescent="0.25">
      <c r="D767" s="4"/>
      <c r="I767" s="3"/>
      <c r="J767" s="3"/>
      <c r="K767" s="3"/>
      <c r="L767" s="1"/>
      <c r="M767" s="2"/>
    </row>
    <row r="768" spans="4:13" ht="13.5" x14ac:dyDescent="0.25">
      <c r="D768" s="4"/>
      <c r="I768" s="3"/>
      <c r="J768" s="3"/>
      <c r="K768" s="3"/>
      <c r="L768" s="1"/>
      <c r="M768" s="2"/>
    </row>
    <row r="769" spans="4:13" ht="13.5" x14ac:dyDescent="0.25">
      <c r="D769" s="4"/>
      <c r="I769" s="3"/>
      <c r="J769" s="3"/>
      <c r="K769" s="3"/>
      <c r="L769" s="1"/>
      <c r="M769" s="2"/>
    </row>
    <row r="770" spans="4:13" ht="13.5" x14ac:dyDescent="0.25">
      <c r="D770" s="4"/>
      <c r="I770" s="3"/>
      <c r="J770" s="3"/>
      <c r="K770" s="3"/>
      <c r="L770" s="1"/>
      <c r="M770" s="2"/>
    </row>
    <row r="771" spans="4:13" ht="13.5" x14ac:dyDescent="0.25">
      <c r="D771" s="4"/>
      <c r="I771" s="3"/>
      <c r="J771" s="3"/>
      <c r="K771" s="3"/>
      <c r="L771" s="1"/>
      <c r="M771" s="2"/>
    </row>
    <row r="772" spans="4:13" ht="13.5" x14ac:dyDescent="0.25">
      <c r="D772" s="4"/>
      <c r="I772" s="3"/>
      <c r="J772" s="3"/>
      <c r="K772" s="3"/>
      <c r="L772" s="1"/>
      <c r="M772" s="2"/>
    </row>
    <row r="773" spans="4:13" ht="13.5" x14ac:dyDescent="0.25">
      <c r="D773" s="4"/>
      <c r="I773" s="3"/>
      <c r="J773" s="3"/>
      <c r="K773" s="3"/>
      <c r="L773" s="1"/>
      <c r="M773" s="2"/>
    </row>
    <row r="774" spans="4:13" ht="13.5" x14ac:dyDescent="0.25">
      <c r="D774" s="4"/>
      <c r="I774" s="3"/>
      <c r="J774" s="3"/>
      <c r="K774" s="3"/>
      <c r="L774" s="1"/>
      <c r="M774" s="2"/>
    </row>
    <row r="775" spans="4:13" ht="13.5" x14ac:dyDescent="0.25">
      <c r="D775" s="4"/>
      <c r="I775" s="3"/>
      <c r="J775" s="3"/>
      <c r="K775" s="3"/>
      <c r="L775" s="1"/>
      <c r="M775" s="2"/>
    </row>
    <row r="776" spans="4:13" ht="13.5" x14ac:dyDescent="0.25">
      <c r="D776" s="4"/>
      <c r="I776" s="3"/>
      <c r="J776" s="3"/>
      <c r="K776" s="3"/>
      <c r="L776" s="1"/>
      <c r="M776" s="2"/>
    </row>
    <row r="777" spans="4:13" ht="13.5" x14ac:dyDescent="0.25">
      <c r="D777" s="4"/>
      <c r="I777" s="3"/>
      <c r="J777" s="3"/>
      <c r="K777" s="3"/>
      <c r="L777" s="1"/>
      <c r="M777" s="2"/>
    </row>
    <row r="778" spans="4:13" ht="13.5" x14ac:dyDescent="0.25">
      <c r="D778" s="4"/>
      <c r="I778" s="3"/>
      <c r="J778" s="3"/>
      <c r="K778" s="3"/>
      <c r="L778" s="1"/>
      <c r="M778" s="2"/>
    </row>
    <row r="779" spans="4:13" ht="13.5" x14ac:dyDescent="0.25">
      <c r="D779" s="4"/>
      <c r="I779" s="3"/>
      <c r="J779" s="3"/>
      <c r="K779" s="3"/>
      <c r="L779" s="1"/>
      <c r="M779" s="2"/>
    </row>
    <row r="780" spans="4:13" ht="13.5" x14ac:dyDescent="0.25">
      <c r="D780" s="4"/>
      <c r="I780" s="3"/>
      <c r="J780" s="3"/>
      <c r="K780" s="3"/>
      <c r="L780" s="1"/>
      <c r="M780" s="2"/>
    </row>
    <row r="781" spans="4:13" ht="13.5" x14ac:dyDescent="0.25">
      <c r="D781" s="4"/>
      <c r="I781" s="3"/>
      <c r="J781" s="3"/>
      <c r="K781" s="3"/>
      <c r="L781" s="1"/>
      <c r="M781" s="2"/>
    </row>
    <row r="782" spans="4:13" ht="13.5" x14ac:dyDescent="0.25">
      <c r="D782" s="4"/>
      <c r="I782" s="3"/>
      <c r="J782" s="3"/>
      <c r="K782" s="3"/>
      <c r="L782" s="1"/>
      <c r="M782" s="2"/>
    </row>
    <row r="783" spans="4:13" ht="13.5" x14ac:dyDescent="0.25">
      <c r="D783" s="4"/>
      <c r="I783" s="3"/>
      <c r="J783" s="3"/>
      <c r="K783" s="3"/>
      <c r="L783" s="1"/>
      <c r="M783" s="2"/>
    </row>
    <row r="784" spans="4:13" ht="13.5" x14ac:dyDescent="0.25">
      <c r="D784" s="4"/>
      <c r="I784" s="3"/>
      <c r="J784" s="3"/>
      <c r="K784" s="3"/>
      <c r="L784" s="1"/>
      <c r="M784" s="2"/>
    </row>
    <row r="785" spans="4:13" ht="13.5" x14ac:dyDescent="0.25">
      <c r="D785" s="4"/>
      <c r="I785" s="3"/>
      <c r="J785" s="3"/>
      <c r="K785" s="3"/>
      <c r="L785" s="1"/>
      <c r="M785" s="2"/>
    </row>
    <row r="786" spans="4:13" ht="13.5" x14ac:dyDescent="0.25">
      <c r="D786" s="4"/>
      <c r="I786" s="3"/>
      <c r="J786" s="3"/>
      <c r="K786" s="3"/>
      <c r="L786" s="1"/>
      <c r="M786" s="2"/>
    </row>
    <row r="787" spans="4:13" ht="13.5" x14ac:dyDescent="0.25">
      <c r="D787" s="4"/>
      <c r="I787" s="3"/>
      <c r="J787" s="3"/>
      <c r="K787" s="3"/>
      <c r="L787" s="1"/>
      <c r="M787" s="2"/>
    </row>
    <row r="788" spans="4:13" ht="13.5" x14ac:dyDescent="0.25">
      <c r="D788" s="4"/>
      <c r="I788" s="3"/>
      <c r="J788" s="3"/>
      <c r="K788" s="3"/>
      <c r="L788" s="1"/>
      <c r="M788" s="2"/>
    </row>
    <row r="789" spans="4:13" ht="13.5" x14ac:dyDescent="0.25">
      <c r="D789" s="4"/>
      <c r="I789" s="3"/>
      <c r="J789" s="3"/>
      <c r="K789" s="3"/>
      <c r="L789" s="1"/>
      <c r="M789" s="2"/>
    </row>
    <row r="790" spans="4:13" ht="13.5" x14ac:dyDescent="0.25">
      <c r="D790" s="4"/>
      <c r="I790" s="3"/>
      <c r="J790" s="3"/>
      <c r="K790" s="3"/>
      <c r="L790" s="1"/>
      <c r="M790" s="2"/>
    </row>
    <row r="791" spans="4:13" ht="13.5" x14ac:dyDescent="0.25">
      <c r="D791" s="4"/>
      <c r="I791" s="3"/>
      <c r="J791" s="3"/>
      <c r="K791" s="3"/>
      <c r="L791" s="1"/>
      <c r="M791" s="2"/>
    </row>
    <row r="792" spans="4:13" ht="13.5" x14ac:dyDescent="0.25">
      <c r="D792" s="4"/>
      <c r="I792" s="3"/>
      <c r="J792" s="3"/>
      <c r="K792" s="3"/>
      <c r="L792" s="1"/>
      <c r="M792" s="2"/>
    </row>
    <row r="793" spans="4:13" ht="13.5" x14ac:dyDescent="0.25">
      <c r="D793" s="4"/>
      <c r="I793" s="3"/>
      <c r="J793" s="3"/>
      <c r="K793" s="3"/>
      <c r="L793" s="1"/>
      <c r="M793" s="2"/>
    </row>
    <row r="794" spans="4:13" ht="13.5" x14ac:dyDescent="0.25">
      <c r="D794" s="4"/>
      <c r="I794" s="3"/>
      <c r="J794" s="3"/>
      <c r="K794" s="3"/>
      <c r="L794" s="1"/>
      <c r="M794" s="2"/>
    </row>
    <row r="795" spans="4:13" ht="13.5" x14ac:dyDescent="0.25">
      <c r="D795" s="4"/>
      <c r="I795" s="3"/>
      <c r="J795" s="3"/>
      <c r="K795" s="3"/>
      <c r="L795" s="1"/>
      <c r="M795" s="2"/>
    </row>
    <row r="796" spans="4:13" ht="13.5" x14ac:dyDescent="0.25">
      <c r="D796" s="4"/>
      <c r="I796" s="3"/>
      <c r="J796" s="3"/>
      <c r="K796" s="3"/>
      <c r="L796" s="1"/>
      <c r="M796" s="2"/>
    </row>
    <row r="797" spans="4:13" ht="13.5" x14ac:dyDescent="0.25">
      <c r="D797" s="4"/>
      <c r="I797" s="3"/>
      <c r="J797" s="3"/>
      <c r="K797" s="3"/>
      <c r="L797" s="1"/>
      <c r="M797" s="2"/>
    </row>
    <row r="798" spans="4:13" ht="13.5" x14ac:dyDescent="0.25">
      <c r="D798" s="4"/>
      <c r="I798" s="3"/>
      <c r="J798" s="3"/>
      <c r="K798" s="3"/>
      <c r="L798" s="1"/>
      <c r="M798" s="2"/>
    </row>
    <row r="799" spans="4:13" ht="13.5" x14ac:dyDescent="0.25">
      <c r="D799" s="4"/>
      <c r="I799" s="3"/>
      <c r="J799" s="3"/>
      <c r="K799" s="3"/>
      <c r="L799" s="1"/>
      <c r="M799" s="2"/>
    </row>
    <row r="800" spans="4:13" ht="13.5" x14ac:dyDescent="0.25">
      <c r="D800" s="4"/>
      <c r="I800" s="3"/>
      <c r="J800" s="3"/>
      <c r="K800" s="3"/>
      <c r="L800" s="1"/>
      <c r="M800" s="2"/>
    </row>
    <row r="801" spans="4:13" ht="13.5" x14ac:dyDescent="0.25">
      <c r="D801" s="4"/>
      <c r="I801" s="3"/>
      <c r="J801" s="3"/>
      <c r="K801" s="3"/>
      <c r="L801" s="1"/>
      <c r="M801" s="2"/>
    </row>
    <row r="802" spans="4:13" ht="13.5" x14ac:dyDescent="0.25">
      <c r="D802" s="4"/>
      <c r="I802" s="3"/>
      <c r="J802" s="3"/>
      <c r="K802" s="3"/>
      <c r="L802" s="1"/>
      <c r="M802" s="2"/>
    </row>
    <row r="803" spans="4:13" ht="13.5" x14ac:dyDescent="0.25">
      <c r="D803" s="4"/>
      <c r="I803" s="3"/>
      <c r="J803" s="3"/>
      <c r="K803" s="3"/>
      <c r="L803" s="1"/>
      <c r="M803" s="2"/>
    </row>
    <row r="804" spans="4:13" ht="13.5" x14ac:dyDescent="0.25">
      <c r="D804" s="4"/>
      <c r="I804" s="3"/>
      <c r="J804" s="3"/>
      <c r="K804" s="3"/>
      <c r="L804" s="1"/>
      <c r="M804" s="2"/>
    </row>
    <row r="805" spans="4:13" ht="13.5" x14ac:dyDescent="0.25">
      <c r="D805" s="4"/>
      <c r="I805" s="3"/>
      <c r="J805" s="3"/>
      <c r="K805" s="3"/>
      <c r="L805" s="1"/>
      <c r="M805" s="2"/>
    </row>
    <row r="806" spans="4:13" ht="13.5" x14ac:dyDescent="0.25">
      <c r="D806" s="4"/>
      <c r="I806" s="3"/>
      <c r="J806" s="3"/>
      <c r="K806" s="3"/>
      <c r="L806" s="1"/>
      <c r="M806" s="2"/>
    </row>
    <row r="807" spans="4:13" ht="13.5" x14ac:dyDescent="0.25">
      <c r="D807" s="4"/>
      <c r="I807" s="3"/>
      <c r="J807" s="3"/>
      <c r="K807" s="3"/>
      <c r="L807" s="1"/>
      <c r="M807" s="2"/>
    </row>
    <row r="808" spans="4:13" ht="13.5" x14ac:dyDescent="0.25">
      <c r="D808" s="4"/>
      <c r="I808" s="3"/>
      <c r="J808" s="3"/>
      <c r="K808" s="3"/>
      <c r="L808" s="1"/>
      <c r="M808" s="2"/>
    </row>
    <row r="809" spans="4:13" ht="13.5" x14ac:dyDescent="0.25">
      <c r="D809" s="4"/>
      <c r="I809" s="3"/>
      <c r="J809" s="3"/>
      <c r="K809" s="3"/>
      <c r="L809" s="1"/>
      <c r="M809" s="2"/>
    </row>
    <row r="810" spans="4:13" ht="13.5" x14ac:dyDescent="0.25">
      <c r="D810" s="4"/>
      <c r="I810" s="3"/>
      <c r="J810" s="3"/>
      <c r="K810" s="3"/>
      <c r="L810" s="1"/>
      <c r="M810" s="2"/>
    </row>
    <row r="811" spans="4:13" ht="13.5" x14ac:dyDescent="0.25">
      <c r="D811" s="4"/>
      <c r="I811" s="3"/>
      <c r="J811" s="3"/>
      <c r="K811" s="3"/>
      <c r="L811" s="1"/>
      <c r="M811" s="2"/>
    </row>
    <row r="812" spans="4:13" ht="13.5" x14ac:dyDescent="0.25">
      <c r="D812" s="4"/>
      <c r="I812" s="3"/>
      <c r="J812" s="3"/>
      <c r="K812" s="3"/>
      <c r="L812" s="1"/>
      <c r="M812" s="2"/>
    </row>
    <row r="813" spans="4:13" ht="13.5" x14ac:dyDescent="0.25">
      <c r="D813" s="4"/>
      <c r="I813" s="3"/>
      <c r="J813" s="3"/>
      <c r="K813" s="3"/>
      <c r="L813" s="1"/>
      <c r="M813" s="2"/>
    </row>
    <row r="814" spans="4:13" ht="13.5" x14ac:dyDescent="0.25">
      <c r="D814" s="4"/>
      <c r="I814" s="3"/>
      <c r="J814" s="3"/>
      <c r="K814" s="3"/>
      <c r="L814" s="1"/>
      <c r="M814" s="2"/>
    </row>
    <row r="815" spans="4:13" ht="13.5" x14ac:dyDescent="0.25">
      <c r="D815" s="4"/>
      <c r="I815" s="3"/>
      <c r="J815" s="3"/>
      <c r="K815" s="3"/>
      <c r="L815" s="1"/>
      <c r="M815" s="2"/>
    </row>
    <row r="816" spans="4:13" ht="13.5" x14ac:dyDescent="0.25">
      <c r="D816" s="4"/>
      <c r="I816" s="3"/>
      <c r="J816" s="3"/>
      <c r="K816" s="3"/>
      <c r="L816" s="1"/>
      <c r="M816" s="2"/>
    </row>
    <row r="817" spans="4:13" ht="13.5" x14ac:dyDescent="0.25">
      <c r="D817" s="4"/>
      <c r="I817" s="3"/>
      <c r="J817" s="3"/>
      <c r="K817" s="3"/>
      <c r="L817" s="1"/>
      <c r="M817" s="2"/>
    </row>
    <row r="818" spans="4:13" ht="13.5" x14ac:dyDescent="0.25">
      <c r="D818" s="4"/>
      <c r="I818" s="3"/>
      <c r="J818" s="3"/>
      <c r="K818" s="3"/>
      <c r="L818" s="1"/>
      <c r="M818" s="2"/>
    </row>
    <row r="819" spans="4:13" ht="13.5" x14ac:dyDescent="0.25">
      <c r="D819" s="4"/>
      <c r="I819" s="3"/>
      <c r="J819" s="3"/>
      <c r="K819" s="3"/>
      <c r="L819" s="1"/>
      <c r="M819" s="2"/>
    </row>
    <row r="820" spans="4:13" ht="13.5" x14ac:dyDescent="0.25">
      <c r="D820" s="4"/>
      <c r="I820" s="3"/>
      <c r="J820" s="3"/>
      <c r="K820" s="3"/>
      <c r="L820" s="1"/>
      <c r="M820" s="2"/>
    </row>
    <row r="821" spans="4:13" ht="13.5" x14ac:dyDescent="0.25">
      <c r="D821" s="4"/>
      <c r="I821" s="3"/>
      <c r="J821" s="3"/>
      <c r="K821" s="3"/>
      <c r="L821" s="1"/>
      <c r="M821" s="2"/>
    </row>
    <row r="822" spans="4:13" ht="13.5" x14ac:dyDescent="0.25">
      <c r="D822" s="4"/>
      <c r="I822" s="3"/>
      <c r="J822" s="3"/>
      <c r="K822" s="3"/>
      <c r="L822" s="1"/>
      <c r="M822" s="2"/>
    </row>
    <row r="823" spans="4:13" ht="13.5" x14ac:dyDescent="0.25">
      <c r="D823" s="4"/>
      <c r="I823" s="3"/>
      <c r="J823" s="3"/>
      <c r="K823" s="3"/>
      <c r="L823" s="1"/>
      <c r="M823" s="2"/>
    </row>
    <row r="824" spans="4:13" ht="13.5" x14ac:dyDescent="0.25">
      <c r="D824" s="4"/>
      <c r="I824" s="3"/>
      <c r="J824" s="3"/>
      <c r="K824" s="3"/>
      <c r="L824" s="1"/>
      <c r="M824" s="2"/>
    </row>
    <row r="825" spans="4:13" ht="13.5" x14ac:dyDescent="0.25">
      <c r="D825" s="4"/>
      <c r="I825" s="3"/>
      <c r="J825" s="3"/>
      <c r="K825" s="3"/>
      <c r="L825" s="1"/>
      <c r="M825" s="2"/>
    </row>
    <row r="826" spans="4:13" ht="13.5" x14ac:dyDescent="0.25">
      <c r="D826" s="4"/>
      <c r="I826" s="3"/>
      <c r="J826" s="3"/>
      <c r="K826" s="3"/>
      <c r="L826" s="1"/>
      <c r="M826" s="2"/>
    </row>
    <row r="827" spans="4:13" ht="13.5" x14ac:dyDescent="0.25">
      <c r="D827" s="4"/>
      <c r="I827" s="3"/>
      <c r="J827" s="3"/>
      <c r="K827" s="3"/>
      <c r="L827" s="1"/>
      <c r="M827" s="2"/>
    </row>
    <row r="828" spans="4:13" ht="13.5" x14ac:dyDescent="0.25">
      <c r="D828" s="4"/>
      <c r="I828" s="3"/>
      <c r="J828" s="3"/>
      <c r="K828" s="3"/>
      <c r="L828" s="1"/>
      <c r="M828" s="2"/>
    </row>
    <row r="829" spans="4:13" ht="13.5" x14ac:dyDescent="0.25">
      <c r="D829" s="4"/>
      <c r="I829" s="3"/>
      <c r="J829" s="3"/>
      <c r="K829" s="3"/>
      <c r="L829" s="1"/>
      <c r="M829" s="2"/>
    </row>
    <row r="830" spans="4:13" ht="13.5" x14ac:dyDescent="0.25">
      <c r="D830" s="4"/>
      <c r="I830" s="3"/>
      <c r="J830" s="3"/>
      <c r="K830" s="3"/>
      <c r="L830" s="1"/>
      <c r="M830" s="2"/>
    </row>
    <row r="831" spans="4:13" ht="13.5" x14ac:dyDescent="0.25">
      <c r="D831" s="4"/>
      <c r="I831" s="3"/>
      <c r="J831" s="3"/>
      <c r="K831" s="3"/>
      <c r="L831" s="1"/>
      <c r="M831" s="2"/>
    </row>
    <row r="832" spans="4:13" ht="13.5" x14ac:dyDescent="0.25">
      <c r="D832" s="4"/>
      <c r="I832" s="3"/>
      <c r="J832" s="3"/>
      <c r="K832" s="3"/>
      <c r="L832" s="1"/>
      <c r="M832" s="2"/>
    </row>
    <row r="833" spans="4:13" ht="13.5" x14ac:dyDescent="0.25">
      <c r="D833" s="4"/>
      <c r="I833" s="3"/>
      <c r="J833" s="3"/>
      <c r="K833" s="3"/>
      <c r="L833" s="1"/>
      <c r="M833" s="2"/>
    </row>
    <row r="834" spans="4:13" ht="13.5" x14ac:dyDescent="0.25">
      <c r="D834" s="4"/>
      <c r="I834" s="3"/>
      <c r="J834" s="3"/>
      <c r="K834" s="3"/>
      <c r="L834" s="1"/>
      <c r="M834" s="2"/>
    </row>
    <row r="835" spans="4:13" ht="13.5" x14ac:dyDescent="0.25">
      <c r="D835" s="4"/>
      <c r="I835" s="3"/>
      <c r="J835" s="3"/>
      <c r="K835" s="3"/>
      <c r="L835" s="1"/>
      <c r="M835" s="2"/>
    </row>
    <row r="836" spans="4:13" ht="13.5" x14ac:dyDescent="0.25">
      <c r="D836" s="4"/>
      <c r="I836" s="3"/>
      <c r="J836" s="3"/>
      <c r="K836" s="3"/>
      <c r="L836" s="1"/>
      <c r="M836" s="2"/>
    </row>
    <row r="837" spans="4:13" ht="13.5" x14ac:dyDescent="0.25">
      <c r="D837" s="4"/>
      <c r="I837" s="3"/>
      <c r="J837" s="3"/>
      <c r="K837" s="3"/>
      <c r="L837" s="1"/>
      <c r="M837" s="2"/>
    </row>
    <row r="838" spans="4:13" ht="13.5" x14ac:dyDescent="0.25">
      <c r="D838" s="4"/>
      <c r="I838" s="3"/>
      <c r="J838" s="3"/>
      <c r="K838" s="3"/>
      <c r="L838" s="1"/>
      <c r="M838" s="2"/>
    </row>
    <row r="839" spans="4:13" ht="13.5" x14ac:dyDescent="0.25">
      <c r="D839" s="4"/>
      <c r="I839" s="3"/>
      <c r="J839" s="3"/>
      <c r="K839" s="3"/>
      <c r="L839" s="1"/>
      <c r="M839" s="2"/>
    </row>
    <row r="840" spans="4:13" ht="13.5" x14ac:dyDescent="0.25">
      <c r="D840" s="4"/>
      <c r="I840" s="3"/>
      <c r="J840" s="3"/>
      <c r="K840" s="3"/>
      <c r="L840" s="1"/>
      <c r="M840" s="2"/>
    </row>
    <row r="841" spans="4:13" ht="13.5" x14ac:dyDescent="0.25">
      <c r="D841" s="4"/>
      <c r="I841" s="3"/>
      <c r="J841" s="3"/>
      <c r="K841" s="3"/>
      <c r="L841" s="1"/>
      <c r="M841" s="2"/>
    </row>
    <row r="842" spans="4:13" ht="13.5" x14ac:dyDescent="0.25">
      <c r="D842" s="4"/>
      <c r="I842" s="3"/>
      <c r="J842" s="3"/>
      <c r="K842" s="3"/>
      <c r="L842" s="1"/>
      <c r="M842" s="2"/>
    </row>
    <row r="843" spans="4:13" ht="13.5" x14ac:dyDescent="0.25">
      <c r="D843" s="4"/>
      <c r="I843" s="3"/>
      <c r="J843" s="3"/>
      <c r="K843" s="3"/>
      <c r="L843" s="1"/>
      <c r="M843" s="2"/>
    </row>
    <row r="844" spans="4:13" ht="13.5" x14ac:dyDescent="0.25">
      <c r="D844" s="4"/>
      <c r="I844" s="3"/>
      <c r="J844" s="3"/>
      <c r="K844" s="3"/>
      <c r="L844" s="1"/>
      <c r="M844" s="2"/>
    </row>
    <row r="845" spans="4:13" ht="13.5" x14ac:dyDescent="0.25">
      <c r="D845" s="4"/>
      <c r="I845" s="3"/>
      <c r="J845" s="3"/>
      <c r="K845" s="3"/>
      <c r="L845" s="1"/>
      <c r="M845" s="2"/>
    </row>
    <row r="846" spans="4:13" ht="13.5" x14ac:dyDescent="0.25">
      <c r="D846" s="4"/>
      <c r="I846" s="3"/>
      <c r="J846" s="3"/>
      <c r="K846" s="3"/>
      <c r="L846" s="1"/>
      <c r="M846" s="2"/>
    </row>
    <row r="847" spans="4:13" ht="13.5" x14ac:dyDescent="0.25">
      <c r="D847" s="4"/>
      <c r="I847" s="3"/>
      <c r="J847" s="3"/>
      <c r="K847" s="3"/>
      <c r="L847" s="1"/>
      <c r="M847" s="2"/>
    </row>
    <row r="848" spans="4:13" ht="13.5" x14ac:dyDescent="0.25">
      <c r="D848" s="4"/>
      <c r="I848" s="3"/>
      <c r="J848" s="3"/>
      <c r="K848" s="3"/>
      <c r="L848" s="1"/>
      <c r="M848" s="2"/>
    </row>
    <row r="849" spans="4:13" ht="13.5" x14ac:dyDescent="0.25">
      <c r="D849" s="4"/>
      <c r="I849" s="3"/>
      <c r="J849" s="3"/>
      <c r="K849" s="3"/>
      <c r="L849" s="1"/>
      <c r="M849" s="2"/>
    </row>
    <row r="850" spans="4:13" ht="13.5" x14ac:dyDescent="0.25">
      <c r="D850" s="4"/>
      <c r="I850" s="3"/>
      <c r="J850" s="3"/>
      <c r="K850" s="3"/>
      <c r="L850" s="1"/>
      <c r="M850" s="2"/>
    </row>
    <row r="851" spans="4:13" ht="13.5" x14ac:dyDescent="0.25">
      <c r="D851" s="4"/>
      <c r="I851" s="3"/>
      <c r="J851" s="3"/>
      <c r="K851" s="3"/>
      <c r="L851" s="1"/>
      <c r="M851" s="2"/>
    </row>
    <row r="852" spans="4:13" ht="13.5" x14ac:dyDescent="0.25">
      <c r="D852" s="4"/>
      <c r="I852" s="3"/>
      <c r="J852" s="3"/>
      <c r="K852" s="3"/>
      <c r="L852" s="1"/>
      <c r="M852" s="2"/>
    </row>
    <row r="853" spans="4:13" ht="13.5" x14ac:dyDescent="0.25">
      <c r="D853" s="4"/>
      <c r="I853" s="3"/>
      <c r="J853" s="3"/>
      <c r="K853" s="3"/>
      <c r="L853" s="1"/>
      <c r="M853" s="2"/>
    </row>
    <row r="854" spans="4:13" ht="13.5" x14ac:dyDescent="0.25">
      <c r="D854" s="4"/>
      <c r="I854" s="3"/>
      <c r="J854" s="3"/>
      <c r="K854" s="3"/>
      <c r="L854" s="1"/>
      <c r="M854" s="2"/>
    </row>
    <row r="855" spans="4:13" ht="13.5" x14ac:dyDescent="0.25">
      <c r="D855" s="4"/>
      <c r="I855" s="3"/>
      <c r="J855" s="3"/>
      <c r="K855" s="3"/>
      <c r="L855" s="1"/>
      <c r="M855" s="2"/>
    </row>
    <row r="856" spans="4:13" ht="13.5" x14ac:dyDescent="0.25">
      <c r="D856" s="4"/>
      <c r="I856" s="3"/>
      <c r="J856" s="3"/>
      <c r="K856" s="3"/>
      <c r="L856" s="1"/>
      <c r="M856" s="2"/>
    </row>
    <row r="857" spans="4:13" ht="13.5" x14ac:dyDescent="0.25">
      <c r="D857" s="4"/>
      <c r="I857" s="3"/>
      <c r="J857" s="3"/>
      <c r="K857" s="3"/>
      <c r="L857" s="1"/>
      <c r="M857" s="2"/>
    </row>
    <row r="858" spans="4:13" ht="13.5" x14ac:dyDescent="0.25">
      <c r="D858" s="4"/>
      <c r="I858" s="3"/>
      <c r="J858" s="3"/>
      <c r="K858" s="3"/>
      <c r="L858" s="1"/>
      <c r="M858" s="2"/>
    </row>
    <row r="859" spans="4:13" ht="13.5" x14ac:dyDescent="0.25">
      <c r="D859" s="4"/>
      <c r="I859" s="3"/>
      <c r="J859" s="3"/>
      <c r="K859" s="3"/>
      <c r="L859" s="1"/>
      <c r="M859" s="2"/>
    </row>
    <row r="860" spans="4:13" ht="13.5" x14ac:dyDescent="0.25">
      <c r="D860" s="4"/>
      <c r="I860" s="3"/>
      <c r="J860" s="3"/>
      <c r="K860" s="3"/>
      <c r="L860" s="1"/>
      <c r="M860" s="2"/>
    </row>
    <row r="861" spans="4:13" ht="13.5" x14ac:dyDescent="0.25">
      <c r="D861" s="4"/>
      <c r="I861" s="3"/>
      <c r="J861" s="3"/>
      <c r="K861" s="3"/>
      <c r="L861" s="1"/>
      <c r="M861" s="2"/>
    </row>
    <row r="862" spans="4:13" ht="13.5" x14ac:dyDescent="0.25">
      <c r="D862" s="4"/>
      <c r="I862" s="3"/>
      <c r="J862" s="3"/>
      <c r="K862" s="3"/>
      <c r="L862" s="1"/>
      <c r="M862" s="2"/>
    </row>
    <row r="863" spans="4:13" ht="13.5" x14ac:dyDescent="0.25">
      <c r="D863" s="4"/>
      <c r="I863" s="3"/>
      <c r="J863" s="3"/>
      <c r="K863" s="3"/>
      <c r="L863" s="1"/>
      <c r="M863" s="2"/>
    </row>
    <row r="864" spans="4:13" ht="13.5" x14ac:dyDescent="0.25">
      <c r="D864" s="4"/>
      <c r="I864" s="3"/>
      <c r="J864" s="3"/>
      <c r="K864" s="3"/>
      <c r="L864" s="1"/>
      <c r="M864" s="2"/>
    </row>
    <row r="865" spans="4:13" ht="13.5" x14ac:dyDescent="0.25">
      <c r="D865" s="4"/>
      <c r="I865" s="3"/>
      <c r="J865" s="3"/>
      <c r="K865" s="3"/>
      <c r="L865" s="1"/>
      <c r="M865" s="2"/>
    </row>
    <row r="866" spans="4:13" ht="13.5" x14ac:dyDescent="0.25">
      <c r="D866" s="4"/>
      <c r="I866" s="3"/>
      <c r="J866" s="3"/>
      <c r="K866" s="3"/>
      <c r="L866" s="1"/>
      <c r="M866" s="2"/>
    </row>
    <row r="867" spans="4:13" ht="13.5" x14ac:dyDescent="0.25">
      <c r="D867" s="4"/>
      <c r="I867" s="3"/>
      <c r="J867" s="3"/>
      <c r="K867" s="3"/>
      <c r="L867" s="1"/>
      <c r="M867" s="2"/>
    </row>
    <row r="868" spans="4:13" ht="13.5" x14ac:dyDescent="0.25">
      <c r="D868" s="4"/>
      <c r="I868" s="3"/>
      <c r="J868" s="3"/>
      <c r="K868" s="3"/>
      <c r="L868" s="1"/>
      <c r="M868" s="2"/>
    </row>
    <row r="869" spans="4:13" ht="13.5" x14ac:dyDescent="0.25">
      <c r="D869" s="4"/>
      <c r="I869" s="3"/>
      <c r="J869" s="3"/>
      <c r="K869" s="3"/>
      <c r="L869" s="1"/>
      <c r="M869" s="2"/>
    </row>
    <row r="870" spans="4:13" ht="13.5" x14ac:dyDescent="0.25">
      <c r="D870" s="4"/>
      <c r="I870" s="3"/>
      <c r="J870" s="3"/>
      <c r="K870" s="3"/>
      <c r="L870" s="1"/>
      <c r="M870" s="2"/>
    </row>
    <row r="871" spans="4:13" ht="13.5" x14ac:dyDescent="0.25">
      <c r="D871" s="4"/>
      <c r="I871" s="3"/>
      <c r="J871" s="3"/>
      <c r="K871" s="3"/>
      <c r="L871" s="1"/>
      <c r="M871" s="2"/>
    </row>
    <row r="872" spans="4:13" ht="13.5" x14ac:dyDescent="0.25">
      <c r="D872" s="4"/>
      <c r="I872" s="3"/>
      <c r="J872" s="3"/>
      <c r="K872" s="3"/>
      <c r="L872" s="1"/>
      <c r="M872" s="2"/>
    </row>
    <row r="873" spans="4:13" ht="13.5" x14ac:dyDescent="0.25">
      <c r="D873" s="4"/>
      <c r="I873" s="3"/>
      <c r="J873" s="3"/>
      <c r="K873" s="3"/>
      <c r="L873" s="1"/>
      <c r="M873" s="2"/>
    </row>
    <row r="874" spans="4:13" ht="13.5" x14ac:dyDescent="0.25">
      <c r="D874" s="4"/>
      <c r="I874" s="3"/>
      <c r="J874" s="3"/>
      <c r="K874" s="3"/>
      <c r="L874" s="1"/>
      <c r="M874" s="2"/>
    </row>
    <row r="875" spans="4:13" ht="13.5" x14ac:dyDescent="0.25">
      <c r="D875" s="4"/>
      <c r="I875" s="3"/>
      <c r="J875" s="3"/>
      <c r="K875" s="3"/>
      <c r="L875" s="1"/>
      <c r="M875" s="2"/>
    </row>
    <row r="876" spans="4:13" ht="13.5" x14ac:dyDescent="0.25">
      <c r="D876" s="4"/>
      <c r="I876" s="3"/>
      <c r="J876" s="3"/>
      <c r="K876" s="3"/>
      <c r="L876" s="1"/>
      <c r="M876" s="2"/>
    </row>
    <row r="877" spans="4:13" ht="13.5" x14ac:dyDescent="0.25">
      <c r="D877" s="4"/>
      <c r="I877" s="3"/>
      <c r="J877" s="3"/>
      <c r="K877" s="3"/>
      <c r="L877" s="1"/>
      <c r="M877" s="2"/>
    </row>
    <row r="878" spans="4:13" ht="13.5" x14ac:dyDescent="0.25">
      <c r="D878" s="4"/>
      <c r="I878" s="3"/>
      <c r="J878" s="3"/>
      <c r="K878" s="3"/>
      <c r="L878" s="1"/>
      <c r="M878" s="2"/>
    </row>
    <row r="879" spans="4:13" ht="13.5" x14ac:dyDescent="0.25">
      <c r="D879" s="4"/>
      <c r="I879" s="3"/>
      <c r="J879" s="3"/>
      <c r="K879" s="3"/>
      <c r="L879" s="1"/>
      <c r="M879" s="2"/>
    </row>
    <row r="880" spans="4:13" ht="13.5" x14ac:dyDescent="0.25">
      <c r="D880" s="4"/>
      <c r="I880" s="3"/>
      <c r="J880" s="3"/>
      <c r="K880" s="3"/>
      <c r="L880" s="1"/>
      <c r="M880" s="2"/>
    </row>
    <row r="881" spans="4:13" ht="13.5" x14ac:dyDescent="0.25">
      <c r="D881" s="4"/>
      <c r="I881" s="3"/>
      <c r="J881" s="3"/>
      <c r="K881" s="3"/>
      <c r="L881" s="1"/>
      <c r="M881" s="2"/>
    </row>
    <row r="882" spans="4:13" ht="13.5" x14ac:dyDescent="0.25">
      <c r="D882" s="4"/>
      <c r="I882" s="3"/>
      <c r="J882" s="3"/>
      <c r="K882" s="3"/>
      <c r="L882" s="1"/>
      <c r="M882" s="2"/>
    </row>
    <row r="883" spans="4:13" ht="13.5" x14ac:dyDescent="0.25">
      <c r="D883" s="4"/>
      <c r="I883" s="3"/>
      <c r="J883" s="3"/>
      <c r="K883" s="3"/>
      <c r="L883" s="1"/>
      <c r="M883" s="2"/>
    </row>
    <row r="884" spans="4:13" ht="13.5" x14ac:dyDescent="0.25">
      <c r="D884" s="4"/>
      <c r="I884" s="3"/>
      <c r="J884" s="3"/>
      <c r="K884" s="3"/>
      <c r="L884" s="1"/>
      <c r="M884" s="2"/>
    </row>
    <row r="885" spans="4:13" ht="13.5" x14ac:dyDescent="0.25">
      <c r="D885" s="4"/>
      <c r="I885" s="3"/>
      <c r="J885" s="3"/>
      <c r="K885" s="3"/>
      <c r="L885" s="1"/>
      <c r="M885" s="2"/>
    </row>
    <row r="886" spans="4:13" ht="13.5" x14ac:dyDescent="0.25">
      <c r="D886" s="4"/>
      <c r="I886" s="3"/>
      <c r="J886" s="3"/>
      <c r="K886" s="3"/>
      <c r="L886" s="1"/>
      <c r="M886" s="2"/>
    </row>
    <row r="887" spans="4:13" ht="13.5" x14ac:dyDescent="0.25">
      <c r="D887" s="4"/>
      <c r="I887" s="3"/>
      <c r="J887" s="3"/>
      <c r="K887" s="3"/>
      <c r="L887" s="1"/>
      <c r="M887" s="2"/>
    </row>
    <row r="888" spans="4:13" ht="13.5" x14ac:dyDescent="0.25">
      <c r="D888" s="4"/>
      <c r="I888" s="3"/>
      <c r="J888" s="3"/>
      <c r="K888" s="3"/>
      <c r="L888" s="1"/>
      <c r="M888" s="2"/>
    </row>
    <row r="889" spans="4:13" ht="13.5" x14ac:dyDescent="0.25">
      <c r="D889" s="4"/>
      <c r="I889" s="3"/>
      <c r="J889" s="3"/>
      <c r="K889" s="3"/>
      <c r="L889" s="1"/>
      <c r="M889" s="2"/>
    </row>
    <row r="890" spans="4:13" ht="13.5" x14ac:dyDescent="0.25">
      <c r="D890" s="4"/>
      <c r="I890" s="3"/>
      <c r="J890" s="3"/>
      <c r="K890" s="3"/>
      <c r="L890" s="1"/>
      <c r="M890" s="2"/>
    </row>
    <row r="891" spans="4:13" ht="13.5" x14ac:dyDescent="0.25">
      <c r="D891" s="4"/>
      <c r="I891" s="3"/>
      <c r="J891" s="3"/>
      <c r="K891" s="3"/>
      <c r="L891" s="1"/>
      <c r="M891" s="2"/>
    </row>
    <row r="892" spans="4:13" ht="13.5" x14ac:dyDescent="0.25">
      <c r="D892" s="4"/>
      <c r="I892" s="3"/>
      <c r="J892" s="3"/>
      <c r="K892" s="3"/>
      <c r="L892" s="1"/>
      <c r="M892" s="2"/>
    </row>
    <row r="893" spans="4:13" ht="13.5" x14ac:dyDescent="0.25">
      <c r="D893" s="4"/>
      <c r="I893" s="3"/>
      <c r="J893" s="3"/>
      <c r="K893" s="3"/>
      <c r="L893" s="1"/>
      <c r="M893" s="2"/>
    </row>
    <row r="894" spans="4:13" ht="13.5" x14ac:dyDescent="0.25">
      <c r="D894" s="4"/>
      <c r="I894" s="3"/>
      <c r="J894" s="3"/>
      <c r="K894" s="3"/>
      <c r="L894" s="1"/>
      <c r="M894" s="2"/>
    </row>
    <row r="895" spans="4:13" ht="13.5" x14ac:dyDescent="0.25">
      <c r="D895" s="4"/>
      <c r="I895" s="3"/>
      <c r="J895" s="3"/>
      <c r="K895" s="3"/>
      <c r="L895" s="1"/>
      <c r="M895" s="2"/>
    </row>
    <row r="896" spans="4:13" ht="13.5" x14ac:dyDescent="0.25">
      <c r="D896" s="4"/>
      <c r="I896" s="3"/>
      <c r="J896" s="3"/>
      <c r="K896" s="3"/>
      <c r="L896" s="1"/>
      <c r="M896" s="2"/>
    </row>
    <row r="897" spans="4:13" ht="13.5" x14ac:dyDescent="0.25">
      <c r="D897" s="4"/>
      <c r="I897" s="3"/>
      <c r="J897" s="3"/>
      <c r="K897" s="3"/>
      <c r="L897" s="1"/>
      <c r="M897" s="2"/>
    </row>
    <row r="898" spans="4:13" ht="13.5" x14ac:dyDescent="0.25">
      <c r="D898" s="4"/>
      <c r="I898" s="3"/>
      <c r="J898" s="3"/>
      <c r="K898" s="3"/>
      <c r="L898" s="1"/>
      <c r="M898" s="2"/>
    </row>
    <row r="899" spans="4:13" ht="13.5" x14ac:dyDescent="0.25">
      <c r="D899" s="4"/>
      <c r="I899" s="3"/>
      <c r="J899" s="3"/>
      <c r="K899" s="3"/>
      <c r="L899" s="1"/>
      <c r="M899" s="2"/>
    </row>
    <row r="900" spans="4:13" ht="13.5" x14ac:dyDescent="0.25">
      <c r="D900" s="4"/>
      <c r="I900" s="3"/>
      <c r="J900" s="3"/>
      <c r="K900" s="3"/>
      <c r="L900" s="1"/>
      <c r="M900" s="2"/>
    </row>
    <row r="901" spans="4:13" ht="13.5" x14ac:dyDescent="0.25">
      <c r="D901" s="4"/>
      <c r="I901" s="3"/>
      <c r="J901" s="3"/>
      <c r="K901" s="3"/>
      <c r="L901" s="1"/>
      <c r="M901" s="2"/>
    </row>
    <row r="902" spans="4:13" ht="13.5" x14ac:dyDescent="0.25">
      <c r="D902" s="4"/>
      <c r="I902" s="3"/>
      <c r="J902" s="3"/>
      <c r="K902" s="3"/>
      <c r="L902" s="1"/>
      <c r="M902" s="2"/>
    </row>
    <row r="903" spans="4:13" ht="13.5" x14ac:dyDescent="0.25">
      <c r="D903" s="4"/>
      <c r="I903" s="3"/>
      <c r="J903" s="3"/>
      <c r="K903" s="3"/>
      <c r="L903" s="1"/>
      <c r="M903" s="2"/>
    </row>
    <row r="904" spans="4:13" ht="13.5" x14ac:dyDescent="0.25">
      <c r="D904" s="4"/>
      <c r="I904" s="3"/>
      <c r="J904" s="3"/>
      <c r="K904" s="3"/>
      <c r="L904" s="1"/>
      <c r="M904" s="2"/>
    </row>
    <row r="905" spans="4:13" ht="13.5" x14ac:dyDescent="0.25">
      <c r="D905" s="4"/>
      <c r="I905" s="3"/>
      <c r="J905" s="3"/>
      <c r="K905" s="3"/>
      <c r="L905" s="1"/>
      <c r="M905" s="2"/>
    </row>
    <row r="906" spans="4:13" ht="13.5" x14ac:dyDescent="0.25">
      <c r="D906" s="4"/>
      <c r="I906" s="3"/>
      <c r="J906" s="3"/>
      <c r="K906" s="3"/>
      <c r="L906" s="1"/>
      <c r="M906" s="2"/>
    </row>
    <row r="907" spans="4:13" ht="13.5" x14ac:dyDescent="0.25">
      <c r="D907" s="4"/>
      <c r="I907" s="3"/>
      <c r="J907" s="3"/>
      <c r="K907" s="3"/>
      <c r="L907" s="1"/>
      <c r="M907" s="2"/>
    </row>
    <row r="908" spans="4:13" ht="13.5" x14ac:dyDescent="0.25">
      <c r="D908" s="4"/>
      <c r="I908" s="3"/>
      <c r="J908" s="3"/>
      <c r="K908" s="3"/>
      <c r="L908" s="1"/>
      <c r="M908" s="2"/>
    </row>
    <row r="909" spans="4:13" ht="13.5" x14ac:dyDescent="0.25">
      <c r="D909" s="4"/>
      <c r="I909" s="3"/>
      <c r="J909" s="3"/>
      <c r="K909" s="3"/>
      <c r="L909" s="1"/>
      <c r="M909" s="2"/>
    </row>
    <row r="910" spans="4:13" ht="13.5" x14ac:dyDescent="0.25">
      <c r="D910" s="4"/>
      <c r="I910" s="3"/>
      <c r="J910" s="3"/>
      <c r="K910" s="3"/>
      <c r="L910" s="1"/>
      <c r="M910" s="2"/>
    </row>
    <row r="911" spans="4:13" ht="13.5" x14ac:dyDescent="0.25">
      <c r="D911" s="4"/>
      <c r="I911" s="3"/>
      <c r="J911" s="3"/>
      <c r="K911" s="3"/>
      <c r="L911" s="1"/>
      <c r="M911" s="2"/>
    </row>
    <row r="912" spans="4:13" ht="13.5" x14ac:dyDescent="0.25">
      <c r="D912" s="4"/>
      <c r="I912" s="3"/>
      <c r="J912" s="3"/>
      <c r="K912" s="3"/>
      <c r="L912" s="1"/>
      <c r="M912" s="2"/>
    </row>
    <row r="913" spans="4:13" ht="13.5" x14ac:dyDescent="0.25">
      <c r="D913" s="4"/>
      <c r="I913" s="3"/>
      <c r="J913" s="3"/>
      <c r="K913" s="3"/>
      <c r="L913" s="1"/>
      <c r="M913" s="2"/>
    </row>
    <row r="914" spans="4:13" ht="13.5" x14ac:dyDescent="0.25">
      <c r="D914" s="4"/>
      <c r="I914" s="3"/>
      <c r="J914" s="3"/>
      <c r="K914" s="3"/>
      <c r="L914" s="1"/>
      <c r="M914" s="2"/>
    </row>
    <row r="915" spans="4:13" ht="13.5" x14ac:dyDescent="0.25">
      <c r="D915" s="4"/>
      <c r="I915" s="3"/>
      <c r="J915" s="3"/>
      <c r="K915" s="3"/>
      <c r="L915" s="1"/>
      <c r="M915" s="2"/>
    </row>
    <row r="916" spans="4:13" ht="13.5" x14ac:dyDescent="0.25">
      <c r="D916" s="4"/>
      <c r="I916" s="3"/>
      <c r="J916" s="3"/>
      <c r="K916" s="3"/>
      <c r="L916" s="1"/>
      <c r="M916" s="2"/>
    </row>
    <row r="917" spans="4:13" ht="13.5" x14ac:dyDescent="0.25">
      <c r="D917" s="4"/>
      <c r="I917" s="3"/>
      <c r="J917" s="3"/>
      <c r="K917" s="3"/>
      <c r="L917" s="1"/>
      <c r="M917" s="2"/>
    </row>
    <row r="918" spans="4:13" ht="13.5" x14ac:dyDescent="0.25">
      <c r="D918" s="4"/>
      <c r="I918" s="3"/>
      <c r="J918" s="3"/>
      <c r="K918" s="3"/>
      <c r="L918" s="1"/>
      <c r="M918" s="2"/>
    </row>
    <row r="919" spans="4:13" ht="13.5" x14ac:dyDescent="0.25">
      <c r="D919" s="4"/>
      <c r="I919" s="3"/>
      <c r="J919" s="3"/>
      <c r="K919" s="3"/>
      <c r="L919" s="1"/>
      <c r="M919" s="2"/>
    </row>
    <row r="920" spans="4:13" ht="13.5" x14ac:dyDescent="0.25">
      <c r="D920" s="4"/>
      <c r="I920" s="3"/>
      <c r="J920" s="3"/>
      <c r="K920" s="3"/>
      <c r="L920" s="1"/>
      <c r="M920" s="2"/>
    </row>
    <row r="921" spans="4:13" ht="13.5" x14ac:dyDescent="0.25">
      <c r="D921" s="4"/>
      <c r="I921" s="3"/>
      <c r="J921" s="3"/>
      <c r="K921" s="3"/>
      <c r="L921" s="1"/>
      <c r="M921" s="2"/>
    </row>
    <row r="922" spans="4:13" ht="13.5" x14ac:dyDescent="0.25">
      <c r="D922" s="4"/>
      <c r="I922" s="3"/>
      <c r="J922" s="3"/>
      <c r="K922" s="3"/>
      <c r="L922" s="1"/>
      <c r="M922" s="2"/>
    </row>
    <row r="923" spans="4:13" ht="13.5" x14ac:dyDescent="0.25">
      <c r="D923" s="4"/>
      <c r="I923" s="3"/>
      <c r="J923" s="3"/>
      <c r="K923" s="3"/>
      <c r="L923" s="1"/>
      <c r="M923" s="2"/>
    </row>
    <row r="924" spans="4:13" ht="13.5" x14ac:dyDescent="0.25">
      <c r="D924" s="4"/>
      <c r="I924" s="3"/>
      <c r="J924" s="3"/>
      <c r="K924" s="3"/>
      <c r="L924" s="1"/>
      <c r="M924" s="2"/>
    </row>
    <row r="925" spans="4:13" ht="13.5" x14ac:dyDescent="0.25">
      <c r="D925" s="4"/>
      <c r="I925" s="3"/>
      <c r="J925" s="3"/>
      <c r="K925" s="3"/>
      <c r="L925" s="1"/>
      <c r="M925" s="2"/>
    </row>
    <row r="926" spans="4:13" ht="13.5" x14ac:dyDescent="0.25">
      <c r="D926" s="4"/>
      <c r="I926" s="3"/>
      <c r="J926" s="3"/>
      <c r="K926" s="3"/>
      <c r="L926" s="1"/>
      <c r="M926" s="2"/>
    </row>
    <row r="927" spans="4:13" ht="13.5" x14ac:dyDescent="0.25">
      <c r="D927" s="4"/>
      <c r="I927" s="3"/>
      <c r="J927" s="3"/>
      <c r="K927" s="3"/>
      <c r="L927" s="1"/>
      <c r="M927" s="2"/>
    </row>
    <row r="928" spans="4:13" ht="13.5" x14ac:dyDescent="0.25">
      <c r="D928" s="4"/>
      <c r="I928" s="3"/>
      <c r="J928" s="3"/>
      <c r="K928" s="3"/>
      <c r="L928" s="1"/>
      <c r="M928" s="2"/>
    </row>
    <row r="929" spans="4:13" ht="13.5" x14ac:dyDescent="0.25">
      <c r="D929" s="4"/>
      <c r="I929" s="3"/>
      <c r="J929" s="3"/>
      <c r="K929" s="3"/>
      <c r="L929" s="1"/>
      <c r="M929" s="2"/>
    </row>
    <row r="930" spans="4:13" ht="13.5" x14ac:dyDescent="0.25">
      <c r="D930" s="4"/>
      <c r="I930" s="3"/>
      <c r="J930" s="3"/>
      <c r="K930" s="3"/>
      <c r="L930" s="1"/>
      <c r="M930" s="2"/>
    </row>
    <row r="931" spans="4:13" ht="13.5" x14ac:dyDescent="0.25">
      <c r="D931" s="4"/>
      <c r="I931" s="3"/>
      <c r="J931" s="3"/>
      <c r="K931" s="3"/>
      <c r="L931" s="1"/>
      <c r="M931" s="2"/>
    </row>
    <row r="932" spans="4:13" ht="13.5" x14ac:dyDescent="0.25">
      <c r="D932" s="4"/>
      <c r="I932" s="3"/>
      <c r="J932" s="3"/>
      <c r="K932" s="3"/>
      <c r="L932" s="1"/>
      <c r="M932" s="2"/>
    </row>
    <row r="933" spans="4:13" ht="13.5" x14ac:dyDescent="0.25">
      <c r="D933" s="4"/>
      <c r="I933" s="3"/>
      <c r="J933" s="3"/>
      <c r="K933" s="3"/>
      <c r="L933" s="1"/>
      <c r="M933" s="2"/>
    </row>
    <row r="934" spans="4:13" ht="13.5" x14ac:dyDescent="0.25">
      <c r="D934" s="4"/>
      <c r="I934" s="3"/>
      <c r="J934" s="3"/>
      <c r="K934" s="3"/>
      <c r="L934" s="1"/>
      <c r="M934" s="2"/>
    </row>
    <row r="935" spans="4:13" ht="13.5" x14ac:dyDescent="0.25">
      <c r="D935" s="4"/>
      <c r="I935" s="3"/>
      <c r="J935" s="3"/>
      <c r="K935" s="3"/>
      <c r="L935" s="1"/>
      <c r="M935" s="2"/>
    </row>
    <row r="936" spans="4:13" ht="13.5" x14ac:dyDescent="0.25">
      <c r="D936" s="4"/>
      <c r="I936" s="3"/>
      <c r="J936" s="3"/>
      <c r="K936" s="3"/>
      <c r="L936" s="1"/>
      <c r="M936" s="2"/>
    </row>
    <row r="937" spans="4:13" ht="13.5" x14ac:dyDescent="0.25">
      <c r="D937" s="4"/>
      <c r="I937" s="3"/>
      <c r="J937" s="3"/>
      <c r="K937" s="3"/>
      <c r="L937" s="1"/>
      <c r="M937" s="2"/>
    </row>
    <row r="938" spans="4:13" ht="13.5" x14ac:dyDescent="0.25">
      <c r="D938" s="4"/>
      <c r="I938" s="3"/>
      <c r="J938" s="3"/>
      <c r="K938" s="3"/>
      <c r="L938" s="1"/>
      <c r="M938" s="2"/>
    </row>
    <row r="939" spans="4:13" ht="13.5" x14ac:dyDescent="0.25">
      <c r="D939" s="4"/>
      <c r="I939" s="3"/>
      <c r="J939" s="3"/>
      <c r="K939" s="3"/>
      <c r="L939" s="1"/>
      <c r="M939" s="2"/>
    </row>
    <row r="940" spans="4:13" ht="13.5" x14ac:dyDescent="0.25">
      <c r="D940" s="4"/>
      <c r="I940" s="3"/>
      <c r="J940" s="3"/>
      <c r="K940" s="3"/>
      <c r="L940" s="1"/>
      <c r="M940" s="2"/>
    </row>
    <row r="941" spans="4:13" ht="13.5" x14ac:dyDescent="0.25">
      <c r="D941" s="4"/>
      <c r="I941" s="3"/>
      <c r="J941" s="3"/>
      <c r="K941" s="3"/>
      <c r="L941" s="1"/>
      <c r="M941" s="2"/>
    </row>
    <row r="942" spans="4:13" ht="13.5" x14ac:dyDescent="0.25">
      <c r="D942" s="4"/>
      <c r="I942" s="3"/>
      <c r="J942" s="3"/>
      <c r="K942" s="3"/>
      <c r="L942" s="1"/>
      <c r="M942" s="2"/>
    </row>
    <row r="943" spans="4:13" ht="13.5" x14ac:dyDescent="0.25">
      <c r="D943" s="4"/>
      <c r="I943" s="3"/>
      <c r="J943" s="3"/>
      <c r="K943" s="3"/>
      <c r="L943" s="1"/>
      <c r="M943" s="2"/>
    </row>
    <row r="944" spans="4:13" ht="13.5" x14ac:dyDescent="0.25">
      <c r="D944" s="4"/>
      <c r="I944" s="3"/>
      <c r="J944" s="3"/>
      <c r="K944" s="3"/>
      <c r="L944" s="1"/>
      <c r="M944" s="2"/>
    </row>
    <row r="945" spans="4:13" ht="13.5" x14ac:dyDescent="0.25">
      <c r="D945" s="4"/>
      <c r="I945" s="3"/>
      <c r="J945" s="3"/>
      <c r="K945" s="3"/>
      <c r="L945" s="1"/>
      <c r="M945" s="2"/>
    </row>
    <row r="946" spans="4:13" ht="13.5" x14ac:dyDescent="0.25">
      <c r="D946" s="4"/>
      <c r="I946" s="3"/>
      <c r="J946" s="3"/>
      <c r="K946" s="3"/>
      <c r="L946" s="1"/>
      <c r="M946" s="2"/>
    </row>
    <row r="947" spans="4:13" ht="13.5" x14ac:dyDescent="0.25">
      <c r="D947" s="4"/>
      <c r="I947" s="3"/>
      <c r="J947" s="3"/>
      <c r="K947" s="3"/>
      <c r="L947" s="1"/>
      <c r="M947" s="2"/>
    </row>
    <row r="948" spans="4:13" ht="13.5" x14ac:dyDescent="0.25">
      <c r="D948" s="4"/>
      <c r="I948" s="3"/>
      <c r="J948" s="3"/>
      <c r="K948" s="3"/>
      <c r="L948" s="1"/>
      <c r="M948" s="2"/>
    </row>
    <row r="949" spans="4:13" ht="13.5" x14ac:dyDescent="0.25">
      <c r="D949" s="4"/>
      <c r="I949" s="3"/>
      <c r="J949" s="3"/>
      <c r="K949" s="3"/>
      <c r="L949" s="1"/>
      <c r="M949" s="2"/>
    </row>
    <row r="950" spans="4:13" ht="13.5" x14ac:dyDescent="0.25">
      <c r="D950" s="4"/>
      <c r="I950" s="3"/>
      <c r="J950" s="3"/>
      <c r="K950" s="3"/>
      <c r="L950" s="1"/>
      <c r="M950" s="2"/>
    </row>
    <row r="951" spans="4:13" ht="13.5" x14ac:dyDescent="0.25">
      <c r="D951" s="4"/>
      <c r="I951" s="3"/>
      <c r="J951" s="3"/>
      <c r="K951" s="3"/>
      <c r="L951" s="1"/>
      <c r="M951" s="2"/>
    </row>
    <row r="952" spans="4:13" ht="13.5" x14ac:dyDescent="0.25">
      <c r="D952" s="4"/>
      <c r="I952" s="3"/>
      <c r="J952" s="3"/>
      <c r="K952" s="3"/>
      <c r="L952" s="1"/>
      <c r="M952" s="2"/>
    </row>
    <row r="953" spans="4:13" ht="13.5" x14ac:dyDescent="0.25">
      <c r="D953" s="4"/>
      <c r="I953" s="3"/>
      <c r="J953" s="3"/>
      <c r="K953" s="3"/>
      <c r="L953" s="1"/>
      <c r="M953" s="2"/>
    </row>
    <row r="954" spans="4:13" ht="13.5" x14ac:dyDescent="0.25">
      <c r="D954" s="4"/>
      <c r="I954" s="3"/>
      <c r="J954" s="3"/>
      <c r="K954" s="3"/>
      <c r="L954" s="1"/>
      <c r="M954" s="2"/>
    </row>
    <row r="955" spans="4:13" ht="13.5" x14ac:dyDescent="0.25">
      <c r="D955" s="4"/>
      <c r="I955" s="3"/>
      <c r="J955" s="3"/>
      <c r="K955" s="3"/>
      <c r="L955" s="1"/>
      <c r="M955" s="2"/>
    </row>
    <row r="956" spans="4:13" ht="13.5" x14ac:dyDescent="0.25">
      <c r="D956" s="4"/>
      <c r="I956" s="3"/>
      <c r="J956" s="3"/>
      <c r="K956" s="3"/>
      <c r="L956" s="1"/>
      <c r="M956" s="2"/>
    </row>
    <row r="957" spans="4:13" ht="13.5" x14ac:dyDescent="0.25">
      <c r="D957" s="4"/>
      <c r="I957" s="3"/>
      <c r="J957" s="3"/>
      <c r="K957" s="3"/>
      <c r="L957" s="1"/>
      <c r="M957" s="2"/>
    </row>
    <row r="958" spans="4:13" ht="13.5" x14ac:dyDescent="0.25">
      <c r="D958" s="4"/>
      <c r="I958" s="3"/>
      <c r="J958" s="3"/>
      <c r="K958" s="3"/>
      <c r="L958" s="1"/>
      <c r="M958" s="2"/>
    </row>
    <row r="959" spans="4:13" ht="13.5" x14ac:dyDescent="0.25">
      <c r="D959" s="4"/>
      <c r="I959" s="3"/>
      <c r="J959" s="3"/>
      <c r="K959" s="3"/>
      <c r="L959" s="1"/>
      <c r="M959" s="2"/>
    </row>
    <row r="960" spans="4:13" ht="13.5" x14ac:dyDescent="0.25">
      <c r="D960" s="4"/>
      <c r="I960" s="3"/>
      <c r="J960" s="3"/>
      <c r="K960" s="3"/>
      <c r="L960" s="1"/>
      <c r="M960" s="2"/>
    </row>
    <row r="961" spans="4:13" ht="13.5" x14ac:dyDescent="0.25">
      <c r="D961" s="4"/>
      <c r="I961" s="3"/>
      <c r="J961" s="3"/>
      <c r="K961" s="3"/>
      <c r="L961" s="1"/>
      <c r="M961" s="2"/>
    </row>
    <row r="962" spans="4:13" ht="13.5" x14ac:dyDescent="0.25">
      <c r="D962" s="4"/>
      <c r="I962" s="3"/>
      <c r="J962" s="3"/>
      <c r="K962" s="3"/>
      <c r="L962" s="1"/>
      <c r="M962" s="2"/>
    </row>
    <row r="963" spans="4:13" ht="13.5" x14ac:dyDescent="0.25">
      <c r="D963" s="4"/>
      <c r="I963" s="3"/>
      <c r="J963" s="3"/>
      <c r="K963" s="3"/>
      <c r="L963" s="1"/>
      <c r="M963" s="2"/>
    </row>
    <row r="964" spans="4:13" ht="13.5" x14ac:dyDescent="0.25">
      <c r="D964" s="4"/>
      <c r="I964" s="3"/>
      <c r="J964" s="3"/>
      <c r="K964" s="3"/>
      <c r="L964" s="1"/>
      <c r="M964" s="2"/>
    </row>
    <row r="965" spans="4:13" ht="13.5" x14ac:dyDescent="0.25">
      <c r="D965" s="4"/>
      <c r="I965" s="3"/>
      <c r="J965" s="3"/>
      <c r="K965" s="3"/>
      <c r="L965" s="1"/>
      <c r="M965" s="2"/>
    </row>
    <row r="966" spans="4:13" ht="13.5" x14ac:dyDescent="0.25">
      <c r="D966" s="4"/>
      <c r="I966" s="3"/>
      <c r="J966" s="3"/>
      <c r="K966" s="3"/>
      <c r="L966" s="1"/>
      <c r="M966" s="2"/>
    </row>
    <row r="967" spans="4:13" ht="13.5" x14ac:dyDescent="0.25">
      <c r="D967" s="4"/>
      <c r="I967" s="3"/>
      <c r="J967" s="3"/>
      <c r="K967" s="3"/>
      <c r="L967" s="1"/>
      <c r="M967" s="2"/>
    </row>
    <row r="968" spans="4:13" ht="13.5" x14ac:dyDescent="0.25">
      <c r="D968" s="4"/>
      <c r="I968" s="3"/>
      <c r="J968" s="3"/>
      <c r="K968" s="3"/>
      <c r="L968" s="1"/>
      <c r="M968" s="2"/>
    </row>
    <row r="969" spans="4:13" ht="13.5" x14ac:dyDescent="0.25">
      <c r="D969" s="4"/>
      <c r="I969" s="3"/>
      <c r="J969" s="3"/>
      <c r="K969" s="3"/>
      <c r="L969" s="1"/>
      <c r="M969" s="2"/>
    </row>
    <row r="970" spans="4:13" ht="13.5" x14ac:dyDescent="0.25">
      <c r="D970" s="4"/>
      <c r="I970" s="3"/>
      <c r="J970" s="3"/>
      <c r="K970" s="3"/>
      <c r="L970" s="1"/>
      <c r="M970" s="2"/>
    </row>
    <row r="971" spans="4:13" ht="13.5" x14ac:dyDescent="0.25">
      <c r="D971" s="4"/>
      <c r="I971" s="3"/>
      <c r="J971" s="3"/>
      <c r="K971" s="3"/>
      <c r="L971" s="1"/>
      <c r="M971" s="2"/>
    </row>
    <row r="972" spans="4:13" ht="13.5" x14ac:dyDescent="0.25">
      <c r="D972" s="4"/>
      <c r="I972" s="3"/>
      <c r="J972" s="3"/>
      <c r="K972" s="3"/>
      <c r="L972" s="1"/>
      <c r="M972" s="2"/>
    </row>
    <row r="973" spans="4:13" ht="13.5" x14ac:dyDescent="0.25">
      <c r="D973" s="4"/>
      <c r="I973" s="3"/>
      <c r="J973" s="3"/>
      <c r="K973" s="3"/>
      <c r="L973" s="1"/>
      <c r="M973" s="2"/>
    </row>
    <row r="974" spans="4:13" ht="13.5" x14ac:dyDescent="0.25">
      <c r="D974" s="4"/>
      <c r="I974" s="3"/>
      <c r="J974" s="3"/>
      <c r="K974" s="3"/>
      <c r="L974" s="1"/>
      <c r="M974" s="2"/>
    </row>
    <row r="975" spans="4:13" ht="13.5" x14ac:dyDescent="0.25">
      <c r="D975" s="4"/>
      <c r="I975" s="3"/>
      <c r="J975" s="3"/>
      <c r="K975" s="3"/>
      <c r="L975" s="1"/>
      <c r="M975" s="2"/>
    </row>
    <row r="976" spans="4:13" ht="13.5" x14ac:dyDescent="0.25">
      <c r="D976" s="4"/>
      <c r="I976" s="3"/>
      <c r="J976" s="3"/>
      <c r="K976" s="3"/>
      <c r="L976" s="1"/>
      <c r="M976" s="2"/>
    </row>
    <row r="977" spans="4:13" ht="13.5" x14ac:dyDescent="0.25">
      <c r="D977" s="4"/>
      <c r="I977" s="3"/>
      <c r="J977" s="3"/>
      <c r="K977" s="3"/>
      <c r="L977" s="1"/>
      <c r="M977" s="2"/>
    </row>
    <row r="978" spans="4:13" ht="13.5" x14ac:dyDescent="0.25">
      <c r="D978" s="4"/>
      <c r="I978" s="3"/>
      <c r="J978" s="3"/>
      <c r="K978" s="3"/>
      <c r="L978" s="1"/>
      <c r="M978" s="2"/>
    </row>
    <row r="979" spans="4:13" ht="13.5" x14ac:dyDescent="0.25">
      <c r="D979" s="4"/>
      <c r="I979" s="3"/>
      <c r="J979" s="3"/>
      <c r="K979" s="3"/>
      <c r="L979" s="1"/>
      <c r="M979" s="2"/>
    </row>
    <row r="980" spans="4:13" ht="13.5" x14ac:dyDescent="0.25">
      <c r="D980" s="4"/>
      <c r="I980" s="3"/>
      <c r="J980" s="3"/>
      <c r="K980" s="3"/>
      <c r="L980" s="1"/>
      <c r="M980" s="2"/>
    </row>
    <row r="981" spans="4:13" ht="13.5" x14ac:dyDescent="0.25">
      <c r="D981" s="4"/>
      <c r="I981" s="3"/>
      <c r="J981" s="3"/>
      <c r="K981" s="3"/>
      <c r="L981" s="1"/>
      <c r="M981" s="2"/>
    </row>
    <row r="982" spans="4:13" ht="13.5" x14ac:dyDescent="0.25">
      <c r="D982" s="4"/>
      <c r="I982" s="3"/>
      <c r="J982" s="3"/>
      <c r="K982" s="3"/>
      <c r="L982" s="1"/>
      <c r="M982" s="2"/>
    </row>
    <row r="983" spans="4:13" ht="13.5" x14ac:dyDescent="0.25">
      <c r="D983" s="4"/>
      <c r="I983" s="3"/>
      <c r="J983" s="3"/>
      <c r="K983" s="3"/>
      <c r="L983" s="1"/>
      <c r="M983" s="2"/>
    </row>
    <row r="984" spans="4:13" ht="13.5" x14ac:dyDescent="0.25">
      <c r="D984" s="4"/>
      <c r="I984" s="3"/>
      <c r="J984" s="3"/>
      <c r="K984" s="3"/>
      <c r="L984" s="1"/>
      <c r="M984" s="2"/>
    </row>
    <row r="985" spans="4:13" ht="13.5" x14ac:dyDescent="0.25">
      <c r="D985" s="4"/>
      <c r="I985" s="3"/>
      <c r="J985" s="3"/>
      <c r="K985" s="3"/>
      <c r="L985" s="1"/>
      <c r="M985" s="2"/>
    </row>
    <row r="986" spans="4:13" ht="13.5" x14ac:dyDescent="0.25">
      <c r="D986" s="4"/>
      <c r="I986" s="3"/>
      <c r="J986" s="3"/>
      <c r="K986" s="3"/>
      <c r="L986" s="1"/>
      <c r="M986" s="2"/>
    </row>
    <row r="987" spans="4:13" ht="13.5" x14ac:dyDescent="0.25">
      <c r="D987" s="4"/>
      <c r="I987" s="3"/>
      <c r="J987" s="3"/>
      <c r="K987" s="3"/>
      <c r="L987" s="1"/>
      <c r="M987" s="2"/>
    </row>
    <row r="988" spans="4:13" ht="13.5" x14ac:dyDescent="0.25">
      <c r="D988" s="4"/>
      <c r="I988" s="3"/>
      <c r="J988" s="3"/>
      <c r="K988" s="3"/>
      <c r="L988" s="1"/>
      <c r="M988" s="2"/>
    </row>
    <row r="989" spans="4:13" ht="13.5" x14ac:dyDescent="0.25">
      <c r="D989" s="4"/>
      <c r="I989" s="3"/>
      <c r="J989" s="3"/>
      <c r="K989" s="3"/>
      <c r="L989" s="1"/>
      <c r="M989" s="2"/>
    </row>
    <row r="990" spans="4:13" ht="13.5" x14ac:dyDescent="0.25">
      <c r="D990" s="4"/>
      <c r="I990" s="3"/>
      <c r="J990" s="3"/>
      <c r="K990" s="3"/>
      <c r="L990" s="1"/>
      <c r="M990" s="2"/>
    </row>
    <row r="991" spans="4:13" ht="13.5" x14ac:dyDescent="0.25">
      <c r="D991" s="4"/>
      <c r="I991" s="3"/>
      <c r="J991" s="3"/>
      <c r="K991" s="3"/>
      <c r="L991" s="1"/>
      <c r="M991" s="2"/>
    </row>
    <row r="992" spans="4:13" ht="13.5" x14ac:dyDescent="0.25">
      <c r="D992" s="4"/>
      <c r="I992" s="3"/>
      <c r="J992" s="3"/>
      <c r="K992" s="3"/>
      <c r="L992" s="1"/>
      <c r="M992" s="2"/>
    </row>
    <row r="993" spans="4:15" ht="13.5" x14ac:dyDescent="0.25">
      <c r="D993" s="4"/>
      <c r="I993" s="3"/>
      <c r="J993" s="3"/>
      <c r="K993" s="3"/>
      <c r="L993" s="1"/>
      <c r="M993" s="2"/>
    </row>
    <row r="994" spans="4:15" ht="13.5" x14ac:dyDescent="0.25">
      <c r="D994" s="4"/>
      <c r="I994" s="3"/>
      <c r="J994" s="3"/>
      <c r="K994" s="3"/>
      <c r="L994" s="1"/>
      <c r="M994" s="2"/>
    </row>
    <row r="995" spans="4:15" ht="13.5" x14ac:dyDescent="0.25">
      <c r="D995" s="4"/>
      <c r="I995" s="3"/>
      <c r="J995" s="3"/>
      <c r="K995" s="3"/>
      <c r="L995" s="1"/>
      <c r="M995" s="2"/>
    </row>
    <row r="996" spans="4:15" ht="13.5" x14ac:dyDescent="0.25">
      <c r="D996" s="4"/>
      <c r="I996" s="3"/>
      <c r="J996" s="3"/>
      <c r="K996" s="3"/>
      <c r="L996" s="1"/>
      <c r="M996" s="2"/>
    </row>
    <row r="997" spans="4:15" ht="13.5" x14ac:dyDescent="0.25">
      <c r="D997" s="4"/>
      <c r="I997" s="3"/>
      <c r="J997" s="3"/>
      <c r="K997" s="3"/>
      <c r="L997" s="1"/>
      <c r="M997" s="2"/>
    </row>
    <row r="998" spans="4:15" ht="13.5" x14ac:dyDescent="0.25">
      <c r="D998" s="4"/>
      <c r="I998" s="3"/>
      <c r="J998" s="3"/>
      <c r="K998" s="3"/>
      <c r="L998" s="1"/>
      <c r="M998" s="2"/>
    </row>
    <row r="999" spans="4:15" ht="13.5" x14ac:dyDescent="0.25">
      <c r="D999" s="4"/>
      <c r="I999" s="3"/>
      <c r="J999" s="3"/>
      <c r="K999" s="3"/>
      <c r="L999" s="1"/>
      <c r="M999" s="2"/>
    </row>
    <row r="1000" spans="4:15" ht="13.5" x14ac:dyDescent="0.25">
      <c r="D1000" s="4"/>
      <c r="I1000" s="3"/>
      <c r="J1000" s="3"/>
      <c r="K1000" s="3"/>
      <c r="L1000" s="1"/>
      <c r="M1000" s="2"/>
    </row>
    <row r="1001" spans="4:15" ht="13.5" x14ac:dyDescent="0.25">
      <c r="D1001" s="4"/>
      <c r="I1001" s="3"/>
      <c r="J1001" s="3"/>
      <c r="K1001" s="3"/>
      <c r="L1001" s="1"/>
      <c r="M1001" s="2"/>
      <c r="N1001" s="1"/>
      <c r="O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(4)CreekFOUS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2025-08-10T00:17:29Z</dcterms:created>
  <dcterms:modified xsi:type="dcterms:W3CDTF">2025-08-10T00:17:57Z</dcterms:modified>
</cp:coreProperties>
</file>