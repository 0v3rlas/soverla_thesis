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D322F0C3-50EE-415A-8F68-7BD6BD8AEFB4}" xr6:coauthVersionLast="47" xr6:coauthVersionMax="47" xr10:uidLastSave="{00000000-0000-0000-0000-000000000000}"/>
  <bookViews>
    <workbookView xWindow="28680" yWindow="-120" windowWidth="29040" windowHeight="15720" xr2:uid="{E65EB0ED-10A1-4909-889D-196613ED8F8F}"/>
  </bookViews>
  <sheets>
    <sheet name="CaldorFOUS(2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2" i="1"/>
  <c r="H2" i="1"/>
  <c r="M2" i="1"/>
  <c r="J2" i="1" s="1"/>
  <c r="K2" i="1" s="1"/>
  <c r="O2" i="1"/>
  <c r="P2" i="1"/>
  <c r="D3" i="1"/>
  <c r="F3" i="1"/>
  <c r="H3" i="1"/>
  <c r="L3" i="1"/>
  <c r="M3" i="1"/>
  <c r="J3" i="1" s="1"/>
  <c r="K3" i="1" s="1"/>
  <c r="O3" i="1"/>
  <c r="P3" i="1"/>
  <c r="D4" i="1"/>
  <c r="F4" i="1"/>
  <c r="H4" i="1"/>
  <c r="J4" i="1"/>
  <c r="K4" i="1" s="1"/>
  <c r="M4" i="1"/>
  <c r="O4" i="1"/>
  <c r="P4" i="1" s="1"/>
  <c r="D5" i="1"/>
  <c r="F5" i="1"/>
  <c r="H5" i="1"/>
  <c r="M5" i="1"/>
  <c r="L5" i="1" s="1"/>
  <c r="O5" i="1"/>
  <c r="P5" i="1" s="1"/>
  <c r="D6" i="1"/>
  <c r="F6" i="1"/>
  <c r="H6" i="1"/>
  <c r="M6" i="1"/>
  <c r="L6" i="1" s="1"/>
  <c r="O6" i="1"/>
  <c r="P6" i="1" s="1"/>
  <c r="D7" i="1"/>
  <c r="F7" i="1"/>
  <c r="H7" i="1"/>
  <c r="M7" i="1"/>
  <c r="J7" i="1" s="1"/>
  <c r="K7" i="1" s="1"/>
  <c r="O7" i="1"/>
  <c r="P7" i="1" s="1"/>
  <c r="D8" i="1"/>
  <c r="F8" i="1"/>
  <c r="H8" i="1"/>
  <c r="M8" i="1"/>
  <c r="J8" i="1" s="1"/>
  <c r="K8" i="1" s="1"/>
  <c r="O8" i="1"/>
  <c r="P8" i="1" s="1"/>
  <c r="D9" i="1"/>
  <c r="F9" i="1"/>
  <c r="H9" i="1"/>
  <c r="M9" i="1"/>
  <c r="J9" i="1" s="1"/>
  <c r="K9" i="1" s="1"/>
  <c r="O9" i="1"/>
  <c r="P9" i="1" s="1"/>
  <c r="D10" i="1"/>
  <c r="H10" i="1"/>
  <c r="M10" i="1"/>
  <c r="L10" i="1" s="1"/>
  <c r="O10" i="1"/>
  <c r="P10" i="1" s="1"/>
  <c r="D11" i="1"/>
  <c r="H11" i="1"/>
  <c r="M11" i="1"/>
  <c r="J11" i="1" s="1"/>
  <c r="K11" i="1" s="1"/>
  <c r="O11" i="1"/>
  <c r="P11" i="1"/>
  <c r="D12" i="1"/>
  <c r="H12" i="1"/>
  <c r="M12" i="1"/>
  <c r="J12" i="1" s="1"/>
  <c r="K12" i="1" s="1"/>
  <c r="O12" i="1"/>
  <c r="P12" i="1"/>
  <c r="D13" i="1"/>
  <c r="H13" i="1"/>
  <c r="J13" i="1"/>
  <c r="K13" i="1"/>
  <c r="L13" i="1"/>
  <c r="M13" i="1"/>
  <c r="O13" i="1"/>
  <c r="P13" i="1" s="1"/>
  <c r="D14" i="1"/>
  <c r="H14" i="1"/>
  <c r="M14" i="1"/>
  <c r="P14" i="1" s="1"/>
  <c r="O14" i="1"/>
  <c r="D15" i="1"/>
  <c r="H15" i="1"/>
  <c r="M15" i="1"/>
  <c r="J15" i="1" s="1"/>
  <c r="K15" i="1" s="1"/>
  <c r="O15" i="1"/>
  <c r="P15" i="1" s="1"/>
  <c r="D16" i="1"/>
  <c r="H16" i="1"/>
  <c r="J16" i="1"/>
  <c r="K16" i="1" s="1"/>
  <c r="L16" i="1"/>
  <c r="M16" i="1"/>
  <c r="O16" i="1"/>
  <c r="P16" i="1"/>
  <c r="D17" i="1"/>
  <c r="H17" i="1"/>
  <c r="J17" i="1"/>
  <c r="K17" i="1"/>
  <c r="M17" i="1"/>
  <c r="O17" i="1"/>
  <c r="P17" i="1"/>
  <c r="D18" i="1"/>
  <c r="H18" i="1"/>
  <c r="J18" i="1"/>
  <c r="K18" i="1"/>
  <c r="L18" i="1"/>
  <c r="M18" i="1"/>
  <c r="O18" i="1"/>
  <c r="P18" i="1"/>
  <c r="D19" i="1"/>
  <c r="H19" i="1"/>
  <c r="M19" i="1"/>
  <c r="J19" i="1" s="1"/>
  <c r="K19" i="1" s="1"/>
  <c r="O19" i="1"/>
  <c r="D20" i="1"/>
  <c r="H20" i="1"/>
  <c r="M20" i="1"/>
  <c r="J20" i="1" s="1"/>
  <c r="K20" i="1" s="1"/>
  <c r="O20" i="1"/>
  <c r="P20" i="1" s="1"/>
  <c r="D21" i="1"/>
  <c r="H21" i="1"/>
  <c r="M21" i="1"/>
  <c r="J21" i="1" s="1"/>
  <c r="K21" i="1" s="1"/>
  <c r="O21" i="1"/>
  <c r="P21" i="1" s="1"/>
  <c r="D22" i="1"/>
  <c r="H22" i="1"/>
  <c r="M22" i="1"/>
  <c r="J22" i="1" s="1"/>
  <c r="K22" i="1" s="1"/>
  <c r="O22" i="1"/>
  <c r="P22" i="1"/>
  <c r="D23" i="1"/>
  <c r="H23" i="1"/>
  <c r="M23" i="1"/>
  <c r="J23" i="1" s="1"/>
  <c r="K23" i="1" s="1"/>
  <c r="O23" i="1"/>
  <c r="P23" i="1"/>
  <c r="D24" i="1"/>
  <c r="H24" i="1"/>
  <c r="J24" i="1"/>
  <c r="K24" i="1"/>
  <c r="L24" i="1"/>
  <c r="M24" i="1"/>
  <c r="O24" i="1"/>
  <c r="P24" i="1" s="1"/>
  <c r="D25" i="1"/>
  <c r="H25" i="1"/>
  <c r="M25" i="1"/>
  <c r="P25" i="1" s="1"/>
  <c r="O25" i="1"/>
  <c r="D26" i="1"/>
  <c r="H26" i="1"/>
  <c r="M26" i="1"/>
  <c r="J26" i="1" s="1"/>
  <c r="K26" i="1" s="1"/>
  <c r="O26" i="1"/>
  <c r="P26" i="1" s="1"/>
  <c r="D27" i="1"/>
  <c r="H27" i="1"/>
  <c r="J27" i="1"/>
  <c r="K27" i="1" s="1"/>
  <c r="L27" i="1"/>
  <c r="M27" i="1"/>
  <c r="O27" i="1"/>
  <c r="P27" i="1"/>
  <c r="H28" i="1"/>
  <c r="J28" i="1"/>
  <c r="K28" i="1"/>
  <c r="L28" i="1"/>
  <c r="O28" i="1"/>
  <c r="P28" i="1"/>
  <c r="H29" i="1"/>
  <c r="J29" i="1"/>
  <c r="K29" i="1"/>
  <c r="O29" i="1"/>
  <c r="P29" i="1"/>
  <c r="D30" i="1"/>
  <c r="H30" i="1"/>
  <c r="J30" i="1"/>
  <c r="K30" i="1"/>
  <c r="L30" i="1"/>
  <c r="M30" i="1"/>
  <c r="L17" i="1" s="1"/>
  <c r="O30" i="1"/>
  <c r="P30" i="1" s="1"/>
  <c r="D31" i="1"/>
  <c r="M31" i="1"/>
  <c r="J31" i="1" s="1"/>
  <c r="K31" i="1" s="1"/>
  <c r="O31" i="1"/>
  <c r="P31" i="1"/>
  <c r="D32" i="1"/>
  <c r="M32" i="1"/>
  <c r="J32" i="1" s="1"/>
  <c r="K32" i="1" s="1"/>
  <c r="O32" i="1"/>
  <c r="P32" i="1" s="1"/>
  <c r="D33" i="1"/>
  <c r="H33" i="1"/>
  <c r="M33" i="1"/>
  <c r="J33" i="1" s="1"/>
  <c r="K33" i="1" s="1"/>
  <c r="O33" i="1"/>
  <c r="P33" i="1" s="1"/>
  <c r="D34" i="1"/>
  <c r="H34" i="1"/>
  <c r="M34" i="1"/>
  <c r="J34" i="1" s="1"/>
  <c r="K34" i="1" s="1"/>
  <c r="O34" i="1"/>
  <c r="P34" i="1"/>
  <c r="D35" i="1"/>
  <c r="H35" i="1"/>
  <c r="M35" i="1"/>
  <c r="J35" i="1" s="1"/>
  <c r="K35" i="1" s="1"/>
  <c r="O35" i="1"/>
  <c r="P35" i="1"/>
  <c r="D36" i="1"/>
  <c r="M36" i="1"/>
  <c r="J36" i="1" s="1"/>
  <c r="K36" i="1" s="1"/>
  <c r="O36" i="1"/>
  <c r="P36" i="1"/>
  <c r="D37" i="1"/>
  <c r="M37" i="1"/>
  <c r="J37" i="1" s="1"/>
  <c r="K37" i="1" s="1"/>
  <c r="O37" i="1"/>
  <c r="P37" i="1" s="1"/>
  <c r="H38" i="1"/>
  <c r="O38" i="1"/>
  <c r="P38" i="1"/>
  <c r="H39" i="1"/>
  <c r="J39" i="1"/>
  <c r="K39" i="1" s="1"/>
  <c r="O39" i="1"/>
  <c r="P39" i="1"/>
  <c r="H40" i="1"/>
  <c r="J40" i="1"/>
  <c r="K40" i="1"/>
  <c r="O40" i="1"/>
  <c r="P40" i="1" s="1"/>
  <c r="H41" i="1"/>
  <c r="J41" i="1"/>
  <c r="K41" i="1" s="1"/>
  <c r="O41" i="1"/>
  <c r="P41" i="1"/>
  <c r="H42" i="1"/>
  <c r="J42" i="1"/>
  <c r="K42" i="1"/>
  <c r="O42" i="1"/>
  <c r="P42" i="1"/>
  <c r="H43" i="1"/>
  <c r="J43" i="1"/>
  <c r="K43" i="1" s="1"/>
  <c r="O43" i="1"/>
  <c r="P43" i="1" s="1"/>
  <c r="H44" i="1"/>
  <c r="J44" i="1"/>
  <c r="K44" i="1" s="1"/>
  <c r="O44" i="1"/>
  <c r="P44" i="1"/>
  <c r="H45" i="1"/>
  <c r="J45" i="1"/>
  <c r="K45" i="1"/>
  <c r="O45" i="1"/>
  <c r="P45" i="1" s="1"/>
  <c r="H46" i="1"/>
  <c r="J46" i="1"/>
  <c r="K46" i="1" s="1"/>
  <c r="O46" i="1"/>
  <c r="P46" i="1"/>
  <c r="J47" i="1"/>
  <c r="K47" i="1"/>
  <c r="O47" i="1"/>
  <c r="P47" i="1"/>
  <c r="J48" i="1"/>
  <c r="K48" i="1"/>
  <c r="O48" i="1"/>
  <c r="P48" i="1"/>
  <c r="J49" i="1"/>
  <c r="K49" i="1" s="1"/>
  <c r="O49" i="1"/>
  <c r="P49" i="1"/>
  <c r="J50" i="1"/>
  <c r="K50" i="1" s="1"/>
  <c r="O50" i="1"/>
  <c r="P50" i="1"/>
  <c r="J51" i="1"/>
  <c r="K51" i="1" s="1"/>
  <c r="O51" i="1"/>
  <c r="P51" i="1" s="1"/>
  <c r="J52" i="1"/>
  <c r="K52" i="1"/>
  <c r="O52" i="1"/>
  <c r="P52" i="1"/>
  <c r="J53" i="1"/>
  <c r="K53" i="1"/>
  <c r="O53" i="1"/>
  <c r="P53" i="1"/>
  <c r="J54" i="1"/>
  <c r="K54" i="1"/>
  <c r="O54" i="1"/>
  <c r="P54" i="1" s="1"/>
  <c r="J55" i="1"/>
  <c r="K55" i="1"/>
  <c r="O55" i="1"/>
  <c r="P55" i="1" s="1"/>
  <c r="J56" i="1"/>
  <c r="K56" i="1"/>
  <c r="O56" i="1"/>
  <c r="P56" i="1" s="1"/>
  <c r="J57" i="1"/>
  <c r="K57" i="1" s="1"/>
  <c r="O57" i="1"/>
  <c r="P57" i="1"/>
  <c r="J58" i="1"/>
  <c r="K58" i="1"/>
  <c r="O58" i="1"/>
  <c r="P58" i="1"/>
  <c r="J59" i="1"/>
  <c r="K59" i="1"/>
  <c r="O59" i="1"/>
  <c r="P59" i="1"/>
  <c r="J60" i="1"/>
  <c r="K60" i="1" s="1"/>
  <c r="O60" i="1"/>
  <c r="P60" i="1"/>
  <c r="J61" i="1"/>
  <c r="K61" i="1" s="1"/>
  <c r="O61" i="1"/>
  <c r="P61" i="1"/>
  <c r="J62" i="1"/>
  <c r="K62" i="1" s="1"/>
  <c r="O62" i="1"/>
  <c r="P62" i="1" s="1"/>
  <c r="J63" i="1"/>
  <c r="K63" i="1"/>
  <c r="O63" i="1"/>
  <c r="P63" i="1"/>
  <c r="J64" i="1"/>
  <c r="K64" i="1"/>
  <c r="O64" i="1"/>
  <c r="P64" i="1"/>
  <c r="J65" i="1"/>
  <c r="K65" i="1"/>
  <c r="O65" i="1"/>
  <c r="P65" i="1" s="1"/>
  <c r="J66" i="1"/>
  <c r="K66" i="1"/>
  <c r="O66" i="1"/>
  <c r="P66" i="1" s="1"/>
  <c r="J67" i="1"/>
  <c r="K67" i="1"/>
  <c r="O67" i="1"/>
  <c r="P67" i="1" s="1"/>
  <c r="J68" i="1"/>
  <c r="K68" i="1" s="1"/>
  <c r="O68" i="1"/>
  <c r="P68" i="1"/>
  <c r="J69" i="1"/>
  <c r="K69" i="1"/>
  <c r="O69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J38" i="1" l="1"/>
  <c r="K38" i="1" s="1"/>
  <c r="J25" i="1"/>
  <c r="K25" i="1" s="1"/>
  <c r="L22" i="1"/>
  <c r="J14" i="1"/>
  <c r="K14" i="1" s="1"/>
  <c r="L11" i="1"/>
  <c r="L19" i="1"/>
  <c r="J6" i="1"/>
  <c r="K6" i="1" s="1"/>
  <c r="L8" i="1"/>
  <c r="J5" i="1"/>
  <c r="K5" i="1" s="1"/>
  <c r="L29" i="1"/>
  <c r="L2" i="1"/>
  <c r="L23" i="1"/>
  <c r="L12" i="1"/>
  <c r="L25" i="1"/>
  <c r="L14" i="1"/>
  <c r="P19" i="1"/>
  <c r="L21" i="1"/>
  <c r="L26" i="1"/>
  <c r="L15" i="1"/>
  <c r="L7" i="1"/>
  <c r="L20" i="1"/>
  <c r="L9" i="1"/>
  <c r="J10" i="1"/>
  <c r="K10" i="1" s="1"/>
  <c r="L4" i="1"/>
</calcChain>
</file>

<file path=xl/sharedStrings.xml><?xml version="1.0" encoding="utf-8"?>
<sst xmlns="http://schemas.openxmlformats.org/spreadsheetml/2006/main" count="84" uniqueCount="83">
  <si>
    <t>10/20/2021 1745</t>
  </si>
  <si>
    <t>10/20/2021 1700</t>
  </si>
  <si>
    <t>10/19/2021 1700</t>
  </si>
  <si>
    <t>10/18/2021 1715</t>
  </si>
  <si>
    <t>10/17/2021 1700</t>
  </si>
  <si>
    <t>10/16/2021 1700</t>
  </si>
  <si>
    <t>10/15/2021 1700</t>
  </si>
  <si>
    <t>10/14/2021 1715</t>
  </si>
  <si>
    <t>10/13/2021 1715</t>
  </si>
  <si>
    <t>10/11/2021 1730</t>
  </si>
  <si>
    <t>10/11/2021 1630</t>
  </si>
  <si>
    <t>10/10/2021 1730</t>
  </si>
  <si>
    <t>10/09/2021 1730</t>
  </si>
  <si>
    <t>10/08/2021 1730</t>
  </si>
  <si>
    <t>10/07/2021 1045</t>
  </si>
  <si>
    <t>10/06/2021 1700</t>
  </si>
  <si>
    <t>10/05/2021 1730</t>
  </si>
  <si>
    <t>10/04/2021 1645</t>
  </si>
  <si>
    <t>10/03/2021 1730</t>
  </si>
  <si>
    <t>10/02/2021 1700</t>
  </si>
  <si>
    <t>10/01/2021 1730</t>
  </si>
  <si>
    <t>09/30/2021 1730</t>
  </si>
  <si>
    <t>09/29/2021 1745</t>
  </si>
  <si>
    <t>09/28/2021 1800</t>
  </si>
  <si>
    <t>09/27/2021 1800</t>
  </si>
  <si>
    <t>09/26/2021 1800</t>
  </si>
  <si>
    <t>09/25/2021 1800</t>
  </si>
  <si>
    <t>09/24/2021 1745</t>
  </si>
  <si>
    <t>09/23/2021 1730</t>
  </si>
  <si>
    <t>09/22/2021 1800</t>
  </si>
  <si>
    <t>09/21/2021 1600</t>
  </si>
  <si>
    <t>09/20/2021 1800</t>
  </si>
  <si>
    <t>09/19/2021 1800</t>
  </si>
  <si>
    <t>09/17/2021 1800</t>
  </si>
  <si>
    <t>09/17/2021 0545</t>
  </si>
  <si>
    <t>09/15/2021 1745</t>
  </si>
  <si>
    <t>09/15/2021 0545</t>
  </si>
  <si>
    <t>09/14/2021 0545</t>
  </si>
  <si>
    <t>09/13/2021 0545</t>
  </si>
  <si>
    <t>09/12/2021 0545</t>
  </si>
  <si>
    <t>09/11/2021 0545</t>
  </si>
  <si>
    <t>09/10/2021 0545</t>
  </si>
  <si>
    <t>09/08/2021 1745</t>
  </si>
  <si>
    <t>09/08/2021 0545</t>
  </si>
  <si>
    <t>09/07/2021 0545</t>
  </si>
  <si>
    <t>09/05/2021 1745</t>
  </si>
  <si>
    <t>09/05/2021 0545</t>
  </si>
  <si>
    <t>09/04/2021 0545</t>
  </si>
  <si>
    <t>09/03/2021 0545</t>
  </si>
  <si>
    <t>09/01/2021 1730</t>
  </si>
  <si>
    <t>09/01/2021 0545</t>
  </si>
  <si>
    <t>08/31/2021 0530</t>
  </si>
  <si>
    <t>08/29/2021 1745</t>
  </si>
  <si>
    <t>08/28/2021 1730</t>
  </si>
  <si>
    <t>08/27/2021 1745</t>
  </si>
  <si>
    <t>08/27/2021 0545</t>
  </si>
  <si>
    <t>08/25/2021 1745</t>
  </si>
  <si>
    <t>08/25/2021 0545</t>
  </si>
  <si>
    <t>08/24/2021 0545</t>
  </si>
  <si>
    <t>08/23/2021 0545</t>
  </si>
  <si>
    <t>08/21/2021 1745</t>
  </si>
  <si>
    <t>08/21/2021 0545</t>
  </si>
  <si>
    <t>08/20/2021 0545</t>
  </si>
  <si>
    <t>08/18/2021 1745</t>
  </si>
  <si>
    <t>08/17/2021 1745</t>
  </si>
  <si>
    <t>08/16/2021 1630</t>
  </si>
  <si>
    <t>08/16/2021 0545</t>
  </si>
  <si>
    <t>08/15/2021 1800</t>
  </si>
  <si>
    <t>Cost per day per acre</t>
  </si>
  <si>
    <t>Real Cost (Adjusted for Inflation)</t>
  </si>
  <si>
    <t>ICS 209 Cost</t>
  </si>
  <si>
    <t>Best</t>
  </si>
  <si>
    <t>Ls</t>
  </si>
  <si>
    <t>As</t>
  </si>
  <si>
    <t>Growth</t>
  </si>
  <si>
    <t>IR</t>
  </si>
  <si>
    <t>P0929 Growth</t>
  </si>
  <si>
    <t>Prog_0929</t>
  </si>
  <si>
    <t>Prog size_0822</t>
  </si>
  <si>
    <t>ICS Growth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</si>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</sst>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4" borderId="0" xfId="0" applyNumberFormat="1" applyFont="1" applyFill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164" fontId="1" fillId="5" borderId="0" xfId="0" applyNumberFormat="1" applyFont="1" applyFill="1"/>
    <xf numFmtId="0" fontId="3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2" fillId="6" borderId="0" xfId="0" applyFont="1" applyFill="1"/>
    <xf numFmtId="0" fontId="1" fillId="6" borderId="0" xfId="0" applyFont="1" applyFill="1" applyAlignment="1">
      <alignment horizontal="right"/>
    </xf>
    <xf numFmtId="0" fontId="1" fillId="6" borderId="0" xfId="0" applyFont="1" applyFill="1"/>
    <xf numFmtId="14" fontId="1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CameronPeakFOUS(29)"/>
      <sheetName val="HighParkLF(29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CougarPeakFOUS(15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ear TrapLF"/>
      <sheetName val="(4)CreekFOUS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6688-A903-402B-B4C0-0E1E8B1C8C44}">
  <sheetPr>
    <outlinePr summaryBelow="0" summaryRight="0"/>
  </sheetPr>
  <dimension ref="A1:AB1001"/>
  <sheetViews>
    <sheetView tabSelected="1" topLeftCell="A35" workbookViewId="0">
      <pane xSplit="1" topLeftCell="B1" activePane="topRight" state="frozen"/>
      <selection pane="topRight" activeCell="M2" sqref="M2:M69"/>
    </sheetView>
  </sheetViews>
  <sheetFormatPr defaultColWidth="12.5703125" defaultRowHeight="15" customHeight="1" x14ac:dyDescent="0.25"/>
  <sheetData>
    <row r="1" spans="1:18" ht="39" x14ac:dyDescent="0.25">
      <c r="A1" s="3" t="s">
        <v>82</v>
      </c>
      <c r="B1" s="3" t="s">
        <v>81</v>
      </c>
      <c r="C1" s="3" t="s">
        <v>80</v>
      </c>
      <c r="D1" s="3" t="s">
        <v>79</v>
      </c>
      <c r="E1" s="3" t="s">
        <v>78</v>
      </c>
      <c r="F1" s="3" t="s">
        <v>74</v>
      </c>
      <c r="G1" s="3" t="s">
        <v>77</v>
      </c>
      <c r="H1" s="3" t="s">
        <v>76</v>
      </c>
      <c r="I1" s="3" t="s">
        <v>75</v>
      </c>
      <c r="J1" s="2" t="s">
        <v>74</v>
      </c>
      <c r="K1" s="2" t="s">
        <v>73</v>
      </c>
      <c r="L1" s="2" t="s">
        <v>72</v>
      </c>
      <c r="M1" s="1" t="s">
        <v>71</v>
      </c>
      <c r="N1" s="1" t="s">
        <v>70</v>
      </c>
      <c r="O1" s="8" t="s">
        <v>69</v>
      </c>
      <c r="P1" s="7" t="s">
        <v>68</v>
      </c>
    </row>
    <row r="2" spans="1:18" ht="15" customHeight="1" x14ac:dyDescent="0.25">
      <c r="A2" s="10">
        <v>44423</v>
      </c>
      <c r="B2" s="11">
        <v>1</v>
      </c>
      <c r="C2" s="11">
        <v>400</v>
      </c>
      <c r="D2" s="11">
        <f>C2-0</f>
        <v>400</v>
      </c>
      <c r="E2" s="11">
        <v>752</v>
      </c>
      <c r="F2" s="11">
        <f>E2-0</f>
        <v>752</v>
      </c>
      <c r="G2" s="11">
        <v>753</v>
      </c>
      <c r="H2" s="11" t="e">
        <f>G2-#REF!</f>
        <v>#REF!</v>
      </c>
      <c r="I2" s="11">
        <v>781</v>
      </c>
      <c r="J2" s="17">
        <f>M2-0</f>
        <v>400</v>
      </c>
      <c r="K2" s="17">
        <f>68/$M$68*(J2)</f>
        <v>0.12414365977334654</v>
      </c>
      <c r="L2" s="17">
        <f>$B$30/SQRT($M$30)*(SQRT(M2)-SQRT(0))</f>
        <v>1.2386293203317436</v>
      </c>
      <c r="M2" s="16">
        <f>C2</f>
        <v>400</v>
      </c>
      <c r="N2" s="15">
        <v>150000</v>
      </c>
      <c r="O2" s="14">
        <f>N2*'[1]Inflation Rates by Year'!$C$2</f>
        <v>169614</v>
      </c>
      <c r="P2" s="9">
        <f>O2/M2</f>
        <v>424.03500000000003</v>
      </c>
      <c r="Q2" s="13" t="s">
        <v>67</v>
      </c>
      <c r="R2" s="12">
        <v>150000</v>
      </c>
    </row>
    <row r="3" spans="1:18" ht="15" customHeight="1" x14ac:dyDescent="0.25">
      <c r="A3" s="10">
        <v>44424</v>
      </c>
      <c r="B3" s="11">
        <v>2</v>
      </c>
      <c r="C3" s="11">
        <v>6500</v>
      </c>
      <c r="D3" s="11">
        <f>C3-C2</f>
        <v>6100</v>
      </c>
      <c r="E3" s="11">
        <v>22919</v>
      </c>
      <c r="F3" s="11">
        <f>E3-E2</f>
        <v>22167</v>
      </c>
      <c r="G3" s="11">
        <v>22919</v>
      </c>
      <c r="H3" s="11">
        <f>G3-G2</f>
        <v>22166</v>
      </c>
      <c r="I3" s="3"/>
      <c r="J3" s="17">
        <f>M3-M2</f>
        <v>6100</v>
      </c>
      <c r="K3" s="17">
        <f>68/$M$68*(J3)</f>
        <v>1.8931908115435347</v>
      </c>
      <c r="L3" s="17">
        <f>$B$30/SQRT($M$30)*(SQRT(M3)-SQRT(M2))</f>
        <v>3.7544450972254393</v>
      </c>
      <c r="M3" s="16">
        <f>C3</f>
        <v>6500</v>
      </c>
      <c r="N3" s="15">
        <v>200000</v>
      </c>
      <c r="O3" s="14">
        <f>N3*'[1]Inflation Rates by Year'!$C$2</f>
        <v>226152</v>
      </c>
      <c r="P3" s="9">
        <f>O3/M3</f>
        <v>34.792615384615388</v>
      </c>
      <c r="Q3" s="13" t="s">
        <v>66</v>
      </c>
      <c r="R3" s="12">
        <v>200000</v>
      </c>
    </row>
    <row r="4" spans="1:18" ht="15" customHeight="1" x14ac:dyDescent="0.25">
      <c r="A4" s="10">
        <v>44425</v>
      </c>
      <c r="B4" s="11">
        <v>3</v>
      </c>
      <c r="C4" s="11">
        <v>53772</v>
      </c>
      <c r="D4" s="11">
        <f>C4-C3</f>
        <v>47272</v>
      </c>
      <c r="E4" s="11">
        <v>43858</v>
      </c>
      <c r="F4" s="11">
        <f>E4-E3</f>
        <v>20939</v>
      </c>
      <c r="G4" s="11">
        <v>43822</v>
      </c>
      <c r="H4" s="11">
        <f>G4-G3</f>
        <v>20903</v>
      </c>
      <c r="I4" s="11">
        <v>53465</v>
      </c>
      <c r="J4" s="17">
        <f>M4-M3</f>
        <v>47272</v>
      </c>
      <c r="K4" s="17">
        <f>68/$M$68*(J4)</f>
        <v>14.671297712014095</v>
      </c>
      <c r="L4" s="17">
        <f>$B$30/SQRT($M$30)*(SQRT(M4)-SQRT(M3))</f>
        <v>9.3680834258036256</v>
      </c>
      <c r="M4" s="16">
        <f>C4</f>
        <v>53772</v>
      </c>
      <c r="N4" s="15">
        <v>200000</v>
      </c>
      <c r="O4" s="14">
        <f>N4*'[1]Inflation Rates by Year'!$C$2</f>
        <v>226152</v>
      </c>
      <c r="P4" s="9">
        <f>O4/M4</f>
        <v>4.2057576433831736</v>
      </c>
      <c r="Q4" s="13" t="s">
        <v>65</v>
      </c>
      <c r="R4" s="12">
        <v>200000</v>
      </c>
    </row>
    <row r="5" spans="1:18" ht="15" customHeight="1" x14ac:dyDescent="0.25">
      <c r="A5" s="10">
        <v>44426</v>
      </c>
      <c r="B5" s="11">
        <v>4</v>
      </c>
      <c r="C5" s="11">
        <v>65474</v>
      </c>
      <c r="D5" s="11">
        <f>C5-C4</f>
        <v>11702</v>
      </c>
      <c r="E5" s="11">
        <v>62586</v>
      </c>
      <c r="F5" s="11">
        <f>E5-E4</f>
        <v>18728</v>
      </c>
      <c r="G5" s="11">
        <v>62406</v>
      </c>
      <c r="H5" s="11">
        <f>G5-G4</f>
        <v>18584</v>
      </c>
      <c r="I5" s="11">
        <v>65330</v>
      </c>
      <c r="J5" s="17">
        <f>M5-M4</f>
        <v>11702</v>
      </c>
      <c r="K5" s="17">
        <f>68/$M$68*(J5)</f>
        <v>3.6318227666692531</v>
      </c>
      <c r="L5" s="17">
        <f>$B$30/SQRT($M$30)*(SQRT(M5)-SQRT(M4))</f>
        <v>1.4857961688639008</v>
      </c>
      <c r="M5" s="16">
        <f>C5</f>
        <v>65474</v>
      </c>
      <c r="N5" s="15">
        <v>1400000</v>
      </c>
      <c r="O5" s="14">
        <f>N5*'[1]Inflation Rates by Year'!$C$2</f>
        <v>1583064</v>
      </c>
      <c r="P5" s="9">
        <f>O5/M5</f>
        <v>24.178513608455265</v>
      </c>
      <c r="Q5" s="13" t="s">
        <v>64</v>
      </c>
      <c r="R5" s="12">
        <v>1400000</v>
      </c>
    </row>
    <row r="6" spans="1:18" ht="15" customHeight="1" x14ac:dyDescent="0.25">
      <c r="A6" s="10">
        <v>44427</v>
      </c>
      <c r="B6" s="11">
        <v>5</v>
      </c>
      <c r="C6" s="11">
        <v>73415</v>
      </c>
      <c r="D6" s="11">
        <f>C6-C5</f>
        <v>7941</v>
      </c>
      <c r="E6" s="11">
        <v>65474</v>
      </c>
      <c r="F6" s="11">
        <f>E6-E5</f>
        <v>2888</v>
      </c>
      <c r="G6" s="11">
        <v>65357</v>
      </c>
      <c r="H6" s="11">
        <f>G6-G5</f>
        <v>2951</v>
      </c>
      <c r="I6" s="3"/>
      <c r="J6" s="17">
        <f>M6-M5</f>
        <v>7941</v>
      </c>
      <c r="K6" s="17">
        <f>68/$M$68*(J6)</f>
        <v>2.4645620056503623</v>
      </c>
      <c r="L6" s="17">
        <f>$B$30/SQRT($M$30)*(SQRT(M6)-SQRT(M5))</f>
        <v>0.93350213314808173</v>
      </c>
      <c r="M6" s="16">
        <f>C6</f>
        <v>73415</v>
      </c>
      <c r="N6" s="15">
        <v>2800000</v>
      </c>
      <c r="O6" s="14">
        <f>N6*'[1]Inflation Rates by Year'!$C$2</f>
        <v>3166128</v>
      </c>
      <c r="P6" s="9">
        <f>O6/M6</f>
        <v>43.126445549274671</v>
      </c>
      <c r="Q6" s="13" t="s">
        <v>63</v>
      </c>
      <c r="R6" s="12">
        <v>2800000</v>
      </c>
    </row>
    <row r="7" spans="1:18" ht="15" customHeight="1" x14ac:dyDescent="0.25">
      <c r="A7" s="10">
        <v>44428</v>
      </c>
      <c r="B7" s="11">
        <v>6</v>
      </c>
      <c r="C7" s="11">
        <v>82444</v>
      </c>
      <c r="D7" s="11">
        <f>C7-C6</f>
        <v>9029</v>
      </c>
      <c r="E7" s="11">
        <v>79987</v>
      </c>
      <c r="F7" s="11">
        <f>E7-E6</f>
        <v>14513</v>
      </c>
      <c r="G7" s="11">
        <v>79879</v>
      </c>
      <c r="H7" s="11">
        <f>G7-G6</f>
        <v>14522</v>
      </c>
      <c r="I7" s="3"/>
      <c r="J7" s="17">
        <f>M7-M6</f>
        <v>9029</v>
      </c>
      <c r="K7" s="17">
        <f>68/$M$68*(J7)</f>
        <v>2.8022327602338648</v>
      </c>
      <c r="L7" s="17">
        <f>$B$30/SQRT($M$30)*(SQRT(M7)-SQRT(M6))</f>
        <v>1.0019648506968579</v>
      </c>
      <c r="M7" s="16">
        <f>C7</f>
        <v>82444</v>
      </c>
      <c r="N7" s="15">
        <v>9452437</v>
      </c>
      <c r="O7" s="14">
        <f>N7*'[1]Inflation Rates by Year'!$C$2</f>
        <v>10688437.66212</v>
      </c>
      <c r="P7" s="9">
        <f>O7/M7</f>
        <v>129.64482148027753</v>
      </c>
      <c r="Q7" s="13" t="s">
        <v>62</v>
      </c>
      <c r="R7" s="12">
        <v>9452437</v>
      </c>
    </row>
    <row r="8" spans="1:18" ht="15" customHeight="1" x14ac:dyDescent="0.25">
      <c r="A8" s="10">
        <v>44429</v>
      </c>
      <c r="B8" s="11">
        <v>7</v>
      </c>
      <c r="C8" s="11">
        <v>98149</v>
      </c>
      <c r="D8" s="11">
        <f>C8-C7</f>
        <v>15705</v>
      </c>
      <c r="E8" s="11">
        <v>98676</v>
      </c>
      <c r="F8" s="11">
        <f>E8-E7</f>
        <v>18689</v>
      </c>
      <c r="G8" s="11">
        <v>89991</v>
      </c>
      <c r="H8" s="11">
        <f>G8-G7</f>
        <v>10112</v>
      </c>
      <c r="I8" s="3"/>
      <c r="J8" s="17">
        <f>M8-M7</f>
        <v>15705</v>
      </c>
      <c r="K8" s="17">
        <f>68/$M$68*(J8)</f>
        <v>4.8741904418510185</v>
      </c>
      <c r="L8" s="17">
        <f>$B$30/SQRT($M$30)*(SQRT(M8)-SQRT(M7))</f>
        <v>1.6199274647843491</v>
      </c>
      <c r="M8" s="16">
        <f>C8</f>
        <v>98149</v>
      </c>
      <c r="N8" s="15">
        <v>12618618</v>
      </c>
      <c r="O8" s="14">
        <f>N8*'[1]Inflation Rates by Year'!$C$2</f>
        <v>14268628.48968</v>
      </c>
      <c r="P8" s="9">
        <f>O8/M8</f>
        <v>145.37721718693007</v>
      </c>
      <c r="Q8" s="13" t="s">
        <v>61</v>
      </c>
      <c r="R8" s="12">
        <v>12618618</v>
      </c>
    </row>
    <row r="9" spans="1:18" ht="15" customHeight="1" x14ac:dyDescent="0.25">
      <c r="A9" s="10">
        <v>44430</v>
      </c>
      <c r="B9" s="11">
        <v>8</v>
      </c>
      <c r="C9" s="11">
        <v>106562</v>
      </c>
      <c r="D9" s="11">
        <f>C9-C8</f>
        <v>8413</v>
      </c>
      <c r="E9" s="11">
        <v>104309</v>
      </c>
      <c r="F9" s="11">
        <f>E9-E8</f>
        <v>5633</v>
      </c>
      <c r="G9" s="11">
        <v>98560</v>
      </c>
      <c r="H9" s="11">
        <f>G9-G8</f>
        <v>8569</v>
      </c>
      <c r="I9" s="3"/>
      <c r="J9" s="17">
        <f>M9-M8</f>
        <v>8413</v>
      </c>
      <c r="K9" s="17">
        <f>68/$M$68*(J9)</f>
        <v>2.6110515241829111</v>
      </c>
      <c r="L9" s="17">
        <f>$B$30/SQRT($M$30)*(SQRT(M9)-SQRT(M8))</f>
        <v>0.81445746484992065</v>
      </c>
      <c r="M9" s="16">
        <f>C9</f>
        <v>106562</v>
      </c>
      <c r="N9" s="15">
        <v>14694501</v>
      </c>
      <c r="O9" s="14">
        <f>N9*'[1]Inflation Rates by Year'!$C$2</f>
        <v>16615953.950759999</v>
      </c>
      <c r="P9" s="9">
        <f>O9/M9</f>
        <v>155.9275722186145</v>
      </c>
      <c r="Q9" s="13" t="s">
        <v>60</v>
      </c>
      <c r="R9" s="12">
        <v>14694501</v>
      </c>
    </row>
    <row r="10" spans="1:18" ht="15" customHeight="1" x14ac:dyDescent="0.25">
      <c r="A10" s="10">
        <v>44431</v>
      </c>
      <c r="B10" s="11">
        <v>9</v>
      </c>
      <c r="C10" s="11">
        <v>117704</v>
      </c>
      <c r="D10" s="11">
        <f>C10-C9</f>
        <v>11142</v>
      </c>
      <c r="E10" s="3"/>
      <c r="F10" s="3"/>
      <c r="G10" s="11">
        <v>104176</v>
      </c>
      <c r="H10" s="11">
        <f>G10-G9</f>
        <v>5616</v>
      </c>
      <c r="I10" s="3"/>
      <c r="J10" s="17">
        <f>M10-M9</f>
        <v>11142</v>
      </c>
      <c r="K10" s="17">
        <f>68/$M$68*(J10)</f>
        <v>3.458021642986568</v>
      </c>
      <c r="L10" s="17">
        <f>$B$30/SQRT($M$30)*(SQRT(M10)-SQRT(M9))</f>
        <v>1.0306516885792183</v>
      </c>
      <c r="M10" s="16">
        <f>C10</f>
        <v>117704</v>
      </c>
      <c r="N10" s="15">
        <v>20545576</v>
      </c>
      <c r="O10" s="14">
        <f>N10*'[1]Inflation Rates by Year'!$C$2</f>
        <v>23232115.517760001</v>
      </c>
      <c r="P10" s="9">
        <f>O10/M10</f>
        <v>197.37745121457215</v>
      </c>
      <c r="Q10" s="13" t="s">
        <v>59</v>
      </c>
      <c r="R10" s="12">
        <v>20545576</v>
      </c>
    </row>
    <row r="11" spans="1:18" ht="15" customHeight="1" x14ac:dyDescent="0.25">
      <c r="A11" s="10">
        <v>44432</v>
      </c>
      <c r="B11" s="11">
        <v>10</v>
      </c>
      <c r="C11" s="11">
        <v>126182</v>
      </c>
      <c r="D11" s="11">
        <f>C11-C10</f>
        <v>8478</v>
      </c>
      <c r="E11" s="3"/>
      <c r="F11" s="3"/>
      <c r="G11" s="11">
        <v>113987</v>
      </c>
      <c r="H11" s="11">
        <f>G11-G10</f>
        <v>9811</v>
      </c>
      <c r="I11" s="3"/>
      <c r="J11" s="17">
        <f>M11-M10</f>
        <v>8478</v>
      </c>
      <c r="K11" s="17">
        <f>68/$M$68*(J11)</f>
        <v>2.63122486889608</v>
      </c>
      <c r="L11" s="17">
        <f>$B$30/SQRT($M$30)*(SQRT(M11)-SQRT(M10))</f>
        <v>0.75190326355430614</v>
      </c>
      <c r="M11" s="16">
        <f>C11</f>
        <v>126182</v>
      </c>
      <c r="N11" s="15">
        <v>25677763</v>
      </c>
      <c r="O11" s="14">
        <f>N11*'[1]Inflation Rates by Year'!$C$2</f>
        <v>29035387.28988</v>
      </c>
      <c r="P11" s="9">
        <f>O11/M11</f>
        <v>230.10720459241412</v>
      </c>
      <c r="Q11" s="13" t="s">
        <v>58</v>
      </c>
      <c r="R11" s="12">
        <v>25677763</v>
      </c>
    </row>
    <row r="12" spans="1:18" ht="15" customHeight="1" x14ac:dyDescent="0.25">
      <c r="A12" s="10">
        <v>44433</v>
      </c>
      <c r="B12" s="11">
        <v>11</v>
      </c>
      <c r="C12" s="11">
        <v>136643</v>
      </c>
      <c r="D12" s="11">
        <f>C12-C11</f>
        <v>10461</v>
      </c>
      <c r="E12" s="3"/>
      <c r="F12" s="3"/>
      <c r="G12" s="11">
        <v>122753</v>
      </c>
      <c r="H12" s="11">
        <f>G12-G11</f>
        <v>8766</v>
      </c>
      <c r="I12" s="3"/>
      <c r="J12" s="17">
        <f>M12-M11</f>
        <v>10461</v>
      </c>
      <c r="K12" s="17">
        <f>68/$M$68*(J12)</f>
        <v>3.2466670622224454</v>
      </c>
      <c r="L12" s="17">
        <f>$B$30/SQRT($M$30)*(SQRT(M12)-SQRT(M11))</f>
        <v>0.89376281360335286</v>
      </c>
      <c r="M12" s="16">
        <f>C12</f>
        <v>136643</v>
      </c>
      <c r="N12" s="15">
        <v>32506680</v>
      </c>
      <c r="O12" s="14">
        <f>N12*'[1]Inflation Rates by Year'!$C$2</f>
        <v>36757253.476800002</v>
      </c>
      <c r="P12" s="9">
        <f>O12/M12</f>
        <v>269.00209653476577</v>
      </c>
      <c r="Q12" s="13" t="s">
        <v>57</v>
      </c>
      <c r="R12" s="12">
        <v>32506680</v>
      </c>
    </row>
    <row r="13" spans="1:18" ht="15" customHeight="1" x14ac:dyDescent="0.25">
      <c r="A13" s="10">
        <v>44434</v>
      </c>
      <c r="B13" s="11">
        <v>12</v>
      </c>
      <c r="C13" s="11">
        <v>143951</v>
      </c>
      <c r="D13" s="11">
        <f>C13-C12</f>
        <v>7308</v>
      </c>
      <c r="E13" s="3"/>
      <c r="F13" s="3"/>
      <c r="G13" s="11">
        <v>133577</v>
      </c>
      <c r="H13" s="11">
        <f>G13-G12</f>
        <v>10824</v>
      </c>
      <c r="I13" s="3"/>
      <c r="J13" s="17">
        <f>M13-M12</f>
        <v>7308</v>
      </c>
      <c r="K13" s="17">
        <f>68/$M$68*(J13)</f>
        <v>2.2681046640590412</v>
      </c>
      <c r="L13" s="17">
        <f>$B$30/SQRT($M$30)*(SQRT(M13)-SQRT(M12))</f>
        <v>0.604216450139199</v>
      </c>
      <c r="M13" s="16">
        <f>C13</f>
        <v>143951</v>
      </c>
      <c r="N13" s="15">
        <v>36430710</v>
      </c>
      <c r="O13" s="14">
        <f>N13*'[1]Inflation Rates by Year'!$C$2</f>
        <v>41194389.639600001</v>
      </c>
      <c r="P13" s="9">
        <f>O13/M13</f>
        <v>286.16952740585339</v>
      </c>
      <c r="Q13" s="13" t="s">
        <v>56</v>
      </c>
      <c r="R13" s="12">
        <v>36430710</v>
      </c>
    </row>
    <row r="14" spans="1:18" ht="15" customHeight="1" x14ac:dyDescent="0.25">
      <c r="A14" s="10">
        <v>44435</v>
      </c>
      <c r="B14" s="11">
        <v>13</v>
      </c>
      <c r="C14" s="11">
        <v>149684</v>
      </c>
      <c r="D14" s="11">
        <f>C14-C13</f>
        <v>5733</v>
      </c>
      <c r="E14" s="3"/>
      <c r="F14" s="3"/>
      <c r="G14" s="11">
        <v>143018</v>
      </c>
      <c r="H14" s="11">
        <f>G14-G13</f>
        <v>9441</v>
      </c>
      <c r="I14" s="3"/>
      <c r="J14" s="17">
        <f>M14-M13</f>
        <v>5733</v>
      </c>
      <c r="K14" s="17">
        <f>68/$M$68*(J14)</f>
        <v>1.7792890037014892</v>
      </c>
      <c r="L14" s="17">
        <f>$B$30/SQRT($M$30)*(SQRT(M14)-SQRT(M13))</f>
        <v>0.46333498237962578</v>
      </c>
      <c r="M14" s="16">
        <f>C14</f>
        <v>149684</v>
      </c>
      <c r="N14" s="15">
        <v>47122825</v>
      </c>
      <c r="O14" s="14">
        <f>N14*'[1]Inflation Rates by Year'!$C$2</f>
        <v>53284605.597000003</v>
      </c>
      <c r="P14" s="9">
        <f>O14/M14</f>
        <v>355.98063652093748</v>
      </c>
      <c r="Q14" s="13" t="s">
        <v>55</v>
      </c>
      <c r="R14" s="12">
        <v>47122825</v>
      </c>
    </row>
    <row r="15" spans="1:18" ht="15" customHeight="1" x14ac:dyDescent="0.25">
      <c r="A15" s="10">
        <v>44436</v>
      </c>
      <c r="B15" s="11">
        <v>14</v>
      </c>
      <c r="C15" s="11">
        <v>156515</v>
      </c>
      <c r="D15" s="11">
        <f>C15-C14</f>
        <v>6831</v>
      </c>
      <c r="E15" s="3"/>
      <c r="F15" s="3"/>
      <c r="G15" s="11">
        <v>148696</v>
      </c>
      <c r="H15" s="11">
        <f>G15-G14</f>
        <v>5678</v>
      </c>
      <c r="I15" s="11">
        <v>156642</v>
      </c>
      <c r="J15" s="17">
        <f>M15-M14</f>
        <v>6831</v>
      </c>
      <c r="K15" s="17">
        <f>68/$M$68*(J15)</f>
        <v>2.1200633497793255</v>
      </c>
      <c r="L15" s="17">
        <f>$B$30/SQRT($M$30)*(SQRT(M15)-SQRT(M14))</f>
        <v>0.54063702827137727</v>
      </c>
      <c r="M15" s="16">
        <f>C15</f>
        <v>156515</v>
      </c>
      <c r="N15" s="15">
        <v>50892394</v>
      </c>
      <c r="O15" s="14">
        <f>N15*'[1]Inflation Rates by Year'!$C$2</f>
        <v>57547083.439439997</v>
      </c>
      <c r="P15" s="9">
        <f>O15/M15</f>
        <v>367.67775254410117</v>
      </c>
      <c r="Q15" s="13" t="s">
        <v>54</v>
      </c>
      <c r="R15" s="12">
        <v>50892394</v>
      </c>
    </row>
    <row r="16" spans="1:18" ht="15" customHeight="1" x14ac:dyDescent="0.25">
      <c r="A16" s="10">
        <v>44437</v>
      </c>
      <c r="B16" s="11">
        <v>15</v>
      </c>
      <c r="C16" s="11">
        <v>177260</v>
      </c>
      <c r="D16" s="11">
        <f>C16-C15</f>
        <v>20745</v>
      </c>
      <c r="E16" s="3"/>
      <c r="F16" s="3"/>
      <c r="G16" s="11">
        <v>156837</v>
      </c>
      <c r="H16" s="11">
        <f>G16-G15</f>
        <v>8141</v>
      </c>
      <c r="I16" s="11">
        <v>177260</v>
      </c>
      <c r="J16" s="17">
        <f>M16-M15</f>
        <v>20745</v>
      </c>
      <c r="K16" s="17">
        <f>68/$M$68*(J16)</f>
        <v>6.4384005549951855</v>
      </c>
      <c r="L16" s="17">
        <f>$B$30/SQRT($M$30)*(SQRT(M16)-SQRT(M15))</f>
        <v>1.5732325066915078</v>
      </c>
      <c r="M16" s="16">
        <f>C16</f>
        <v>177260</v>
      </c>
      <c r="N16" s="15">
        <v>57345130</v>
      </c>
      <c r="O16" s="14">
        <f>N16*'[1]Inflation Rates by Year'!$C$2</f>
        <v>64843579.198799998</v>
      </c>
      <c r="P16" s="9">
        <f>O16/M16</f>
        <v>365.810556238294</v>
      </c>
      <c r="Q16" s="13" t="s">
        <v>53</v>
      </c>
      <c r="R16" s="12">
        <v>57345130</v>
      </c>
    </row>
    <row r="17" spans="1:28" ht="15" customHeight="1" x14ac:dyDescent="0.25">
      <c r="A17" s="10">
        <v>44438</v>
      </c>
      <c r="B17" s="11">
        <v>16</v>
      </c>
      <c r="C17" s="11">
        <v>191607</v>
      </c>
      <c r="D17" s="11">
        <f>C17-C16</f>
        <v>14347</v>
      </c>
      <c r="E17" s="3"/>
      <c r="F17" s="3"/>
      <c r="G17" s="11">
        <v>175897</v>
      </c>
      <c r="H17" s="11">
        <f>G17-G16</f>
        <v>19060</v>
      </c>
      <c r="I17" s="11">
        <v>190884</v>
      </c>
      <c r="J17" s="17">
        <f>M17-M16</f>
        <v>14347</v>
      </c>
      <c r="K17" s="17">
        <f>68/$M$68*(J17)</f>
        <v>4.4527227169205075</v>
      </c>
      <c r="L17" s="17">
        <f>$B$30/SQRT($M$30)*(SQRT(M17)-SQRT(M16))</f>
        <v>1.0346768474436292</v>
      </c>
      <c r="M17" s="16">
        <f>C17</f>
        <v>191607</v>
      </c>
      <c r="N17" s="15">
        <v>63829545</v>
      </c>
      <c r="O17" s="14">
        <f>N17*'[1]Inflation Rates by Year'!$C$2</f>
        <v>72175896.304199994</v>
      </c>
      <c r="P17" s="9">
        <f>O17/M17</f>
        <v>376.68715811113367</v>
      </c>
      <c r="Q17" s="13" t="s">
        <v>52</v>
      </c>
      <c r="R17" s="12">
        <v>63829545</v>
      </c>
    </row>
    <row r="18" spans="1:28" ht="15" customHeight="1" x14ac:dyDescent="0.25">
      <c r="A18" s="10">
        <v>44439</v>
      </c>
      <c r="B18" s="11">
        <v>17</v>
      </c>
      <c r="C18" s="11">
        <v>204390</v>
      </c>
      <c r="D18" s="11">
        <f>C18-C17</f>
        <v>12783</v>
      </c>
      <c r="E18" s="3"/>
      <c r="F18" s="3"/>
      <c r="G18" s="11">
        <v>188789</v>
      </c>
      <c r="H18" s="11">
        <f>G18-G17</f>
        <v>12892</v>
      </c>
      <c r="I18" s="3"/>
      <c r="J18" s="17">
        <f>M18-M17</f>
        <v>12783</v>
      </c>
      <c r="K18" s="17">
        <f>68/$M$68*(J18)</f>
        <v>3.967321007206722</v>
      </c>
      <c r="L18" s="17">
        <f>$B$30/SQRT($M$30)*(SQRT(M18)-SQRT(M17))</f>
        <v>0.88969222350826571</v>
      </c>
      <c r="M18" s="16">
        <f>C18</f>
        <v>204390</v>
      </c>
      <c r="N18" s="15">
        <v>74310138</v>
      </c>
      <c r="O18" s="14">
        <f>N18*'[1]Inflation Rates by Year'!$C$2</f>
        <v>84026931.644879997</v>
      </c>
      <c r="P18" s="9">
        <f>O18/M18</f>
        <v>411.11077667635402</v>
      </c>
      <c r="Q18" s="13" t="s">
        <v>51</v>
      </c>
      <c r="R18" s="12">
        <v>74310138</v>
      </c>
    </row>
    <row r="19" spans="1:28" ht="15" customHeight="1" x14ac:dyDescent="0.25">
      <c r="A19" s="10">
        <v>44440</v>
      </c>
      <c r="B19" s="11">
        <v>18</v>
      </c>
      <c r="C19" s="11">
        <v>210259</v>
      </c>
      <c r="D19" s="11">
        <f>C19-C18</f>
        <v>5869</v>
      </c>
      <c r="E19" s="3"/>
      <c r="F19" s="3"/>
      <c r="G19" s="11">
        <v>202192</v>
      </c>
      <c r="H19" s="11">
        <f>G19-G18</f>
        <v>13403</v>
      </c>
      <c r="I19" s="3"/>
      <c r="J19" s="17">
        <f>M19-M18</f>
        <v>5869</v>
      </c>
      <c r="K19" s="17">
        <f>68/$M$68*(J19)</f>
        <v>1.821497848024427</v>
      </c>
      <c r="L19" s="17">
        <f>$B$30/SQRT($M$30)*(SQRT(M19)-SQRT(M18))</f>
        <v>0.39914531650169405</v>
      </c>
      <c r="M19" s="16">
        <f>C19</f>
        <v>210259</v>
      </c>
      <c r="N19" s="15">
        <v>80441996</v>
      </c>
      <c r="O19" s="14">
        <f>N19*'[1]Inflation Rates by Year'!$C$2</f>
        <v>90960591.396960005</v>
      </c>
      <c r="P19" s="9">
        <f>O19/M19</f>
        <v>432.61211837286396</v>
      </c>
      <c r="Q19" s="13" t="s">
        <v>50</v>
      </c>
      <c r="R19" s="12">
        <v>80441996</v>
      </c>
    </row>
    <row r="20" spans="1:28" ht="15" customHeight="1" x14ac:dyDescent="0.25">
      <c r="A20" s="10">
        <v>44441</v>
      </c>
      <c r="B20" s="11">
        <v>19</v>
      </c>
      <c r="C20" s="11">
        <v>212907</v>
      </c>
      <c r="D20" s="11">
        <f>C20-C19</f>
        <v>2648</v>
      </c>
      <c r="E20" s="3"/>
      <c r="F20" s="3"/>
      <c r="G20" s="11">
        <v>207903</v>
      </c>
      <c r="H20" s="11">
        <f>G20-G19</f>
        <v>5711</v>
      </c>
      <c r="I20" s="3"/>
      <c r="J20" s="17">
        <f>M20-M19</f>
        <v>2648</v>
      </c>
      <c r="K20" s="17">
        <f>68/$M$68*(J20)</f>
        <v>0.82183102769955407</v>
      </c>
      <c r="L20" s="17">
        <f>$B$30/SQRT($M$30)*(SQRT(M20)-SQRT(M19))</f>
        <v>0.17826294873641416</v>
      </c>
      <c r="M20" s="16">
        <f>C20</f>
        <v>212907</v>
      </c>
      <c r="N20" s="15">
        <v>80441966</v>
      </c>
      <c r="O20" s="14">
        <f>N20*'[1]Inflation Rates by Year'!$C$2</f>
        <v>90960557.474160001</v>
      </c>
      <c r="P20" s="9">
        <f>O20/M20</f>
        <v>427.23140842790514</v>
      </c>
      <c r="Q20" s="13" t="s">
        <v>49</v>
      </c>
      <c r="R20" s="12">
        <v>80441966</v>
      </c>
    </row>
    <row r="21" spans="1:28" x14ac:dyDescent="0.25">
      <c r="A21" s="10">
        <v>44442</v>
      </c>
      <c r="B21" s="11">
        <v>20</v>
      </c>
      <c r="C21" s="11">
        <v>214107</v>
      </c>
      <c r="D21" s="11">
        <f>C21-C20</f>
        <v>1200</v>
      </c>
      <c r="E21" s="3"/>
      <c r="F21" s="3"/>
      <c r="G21" s="11">
        <v>209835</v>
      </c>
      <c r="H21" s="11">
        <f>G21-G20</f>
        <v>1932</v>
      </c>
      <c r="I21" s="3"/>
      <c r="J21" s="17">
        <f>M21-M20</f>
        <v>1200</v>
      </c>
      <c r="K21" s="17">
        <f>68/$M$68*(J21)</f>
        <v>0.37243097932003966</v>
      </c>
      <c r="L21" s="17">
        <f>$B$30/SQRT($M$30)*(SQRT(M21)-SQRT(M20))</f>
        <v>8.0418687454782908E-2</v>
      </c>
      <c r="M21" s="16">
        <f>C21</f>
        <v>214107</v>
      </c>
      <c r="N21" s="15">
        <v>91341190</v>
      </c>
      <c r="O21" s="14">
        <f>N21*'[1]Inflation Rates by Year'!$C$2</f>
        <v>103284964.0044</v>
      </c>
      <c r="P21" s="9">
        <f>O21/M21</f>
        <v>482.39881930249828</v>
      </c>
      <c r="Q21" s="13" t="s">
        <v>48</v>
      </c>
      <c r="R21" s="12">
        <v>91341190</v>
      </c>
    </row>
    <row r="22" spans="1:28" x14ac:dyDescent="0.25">
      <c r="A22" s="10">
        <v>44443</v>
      </c>
      <c r="B22" s="11">
        <v>21</v>
      </c>
      <c r="C22" s="11">
        <v>215400</v>
      </c>
      <c r="D22" s="11">
        <f>C22-C21</f>
        <v>1293</v>
      </c>
      <c r="E22" s="3"/>
      <c r="F22" s="3"/>
      <c r="G22" s="11">
        <v>211397</v>
      </c>
      <c r="H22" s="11">
        <f>G22-G21</f>
        <v>1562</v>
      </c>
      <c r="I22" s="3"/>
      <c r="J22" s="17">
        <f>M22-M21</f>
        <v>1293</v>
      </c>
      <c r="K22" s="17">
        <f>68/$M$68*(J22)</f>
        <v>0.40129438021734271</v>
      </c>
      <c r="L22" s="17">
        <f>$B$30/SQRT($M$30)*(SQRT(M22)-SQRT(M21))</f>
        <v>8.6399306487129721E-2</v>
      </c>
      <c r="M22" s="16">
        <f>C22</f>
        <v>215400</v>
      </c>
      <c r="N22" s="15">
        <v>102042147</v>
      </c>
      <c r="O22" s="14">
        <f>N22*'[1]Inflation Rates by Year'!$C$2</f>
        <v>115385178.14172</v>
      </c>
      <c r="P22" s="9">
        <f>O22/M22</f>
        <v>535.67863575543174</v>
      </c>
      <c r="Q22" s="13" t="s">
        <v>47</v>
      </c>
      <c r="R22" s="12">
        <v>102042147</v>
      </c>
    </row>
    <row r="23" spans="1:28" x14ac:dyDescent="0.25">
      <c r="A23" s="10">
        <v>44444</v>
      </c>
      <c r="B23" s="11">
        <v>22</v>
      </c>
      <c r="C23" s="11">
        <v>216358</v>
      </c>
      <c r="D23" s="11">
        <f>C23-C22</f>
        <v>958</v>
      </c>
      <c r="E23" s="3"/>
      <c r="F23" s="3"/>
      <c r="G23" s="11">
        <v>212594</v>
      </c>
      <c r="H23" s="11">
        <f>G23-G22</f>
        <v>1197</v>
      </c>
      <c r="I23" s="3"/>
      <c r="J23" s="17">
        <f>M23-M22</f>
        <v>958</v>
      </c>
      <c r="K23" s="17">
        <f>68/$M$68*(J23)</f>
        <v>0.29732406515716497</v>
      </c>
      <c r="L23" s="17">
        <f>$B$30/SQRT($M$30)*(SQRT(M23)-SQRT(M22))</f>
        <v>6.3847212682915044E-2</v>
      </c>
      <c r="M23" s="16">
        <f>C23</f>
        <v>216358</v>
      </c>
      <c r="N23" s="15">
        <v>108757777</v>
      </c>
      <c r="O23" s="14">
        <f>N23*'[1]Inflation Rates by Year'!$C$2</f>
        <v>122978943.92051999</v>
      </c>
      <c r="P23" s="9">
        <f>O23/M23</f>
        <v>568.40488412963691</v>
      </c>
      <c r="Q23" s="13" t="s">
        <v>46</v>
      </c>
      <c r="R23" s="12">
        <v>108757777</v>
      </c>
    </row>
    <row r="24" spans="1:28" x14ac:dyDescent="0.25">
      <c r="A24" s="10">
        <v>44445</v>
      </c>
      <c r="B24" s="11">
        <v>23</v>
      </c>
      <c r="C24" s="11">
        <v>216646</v>
      </c>
      <c r="D24" s="11">
        <f>C24-C23</f>
        <v>288</v>
      </c>
      <c r="E24" s="3"/>
      <c r="F24" s="3"/>
      <c r="G24" s="11">
        <v>213689</v>
      </c>
      <c r="H24" s="11">
        <f>G24-G23</f>
        <v>1095</v>
      </c>
      <c r="I24" s="3"/>
      <c r="J24" s="17">
        <f>M24-M23</f>
        <v>288</v>
      </c>
      <c r="K24" s="17">
        <f>68/$M$68*(J24)</f>
        <v>8.9383435036809511E-2</v>
      </c>
      <c r="L24" s="17">
        <f>$B$30/SQRT($M$30)*(SQRT(M24)-SQRT(M23))</f>
        <v>1.9166504717365355E-2</v>
      </c>
      <c r="M24" s="16">
        <f>C24</f>
        <v>216646</v>
      </c>
      <c r="N24" s="15">
        <v>112213000</v>
      </c>
      <c r="O24" s="14">
        <f>N24*'[1]Inflation Rates by Year'!$C$2</f>
        <v>126885971.88</v>
      </c>
      <c r="P24" s="9">
        <f>O24/M24</f>
        <v>585.68342771156631</v>
      </c>
      <c r="Q24" s="13" t="s">
        <v>45</v>
      </c>
      <c r="R24" s="12">
        <v>112213000</v>
      </c>
    </row>
    <row r="25" spans="1:28" x14ac:dyDescent="0.25">
      <c r="A25" s="10">
        <v>44446</v>
      </c>
      <c r="B25" s="11">
        <v>24</v>
      </c>
      <c r="C25" s="11">
        <v>217569</v>
      </c>
      <c r="D25" s="11">
        <f>C25-C24</f>
        <v>923</v>
      </c>
      <c r="E25" s="3"/>
      <c r="F25" s="3"/>
      <c r="G25" s="11">
        <v>215026</v>
      </c>
      <c r="H25" s="11">
        <f>G25-G24</f>
        <v>1337</v>
      </c>
      <c r="I25" s="3"/>
      <c r="J25" s="17">
        <f>M25-M24</f>
        <v>923</v>
      </c>
      <c r="K25" s="17">
        <f>68/$M$68*(J25)</f>
        <v>0.28646149492699713</v>
      </c>
      <c r="L25" s="17">
        <f>$B$30/SQRT($M$30)*(SQRT(M25)-SQRT(M24))</f>
        <v>6.1340300328366452E-2</v>
      </c>
      <c r="M25" s="16">
        <f>C25</f>
        <v>217569</v>
      </c>
      <c r="N25" s="15">
        <v>122164000</v>
      </c>
      <c r="O25" s="14">
        <f>N25*'[1]Inflation Rates by Year'!$C$2</f>
        <v>138138164.63999999</v>
      </c>
      <c r="P25" s="9">
        <f>O25/M25</f>
        <v>634.91657653434072</v>
      </c>
      <c r="Q25" s="13" t="s">
        <v>44</v>
      </c>
      <c r="R25" s="12">
        <v>122164000</v>
      </c>
    </row>
    <row r="26" spans="1:28" x14ac:dyDescent="0.25">
      <c r="A26" s="10">
        <v>44447</v>
      </c>
      <c r="B26" s="11">
        <v>25</v>
      </c>
      <c r="C26" s="11">
        <v>217946</v>
      </c>
      <c r="D26" s="11">
        <f>C26-C25</f>
        <v>377</v>
      </c>
      <c r="E26" s="3"/>
      <c r="F26" s="3"/>
      <c r="G26" s="11">
        <v>216103</v>
      </c>
      <c r="H26" s="11">
        <f>G26-G25</f>
        <v>1077</v>
      </c>
      <c r="I26" s="3"/>
      <c r="J26" s="17">
        <f>M26-M25</f>
        <v>377</v>
      </c>
      <c r="K26" s="17">
        <f>68/$M$68*(J26)</f>
        <v>0.11700539933637912</v>
      </c>
      <c r="L26" s="17">
        <f>$B$30/SQRT($M$30)*(SQRT(M26)-SQRT(M25))</f>
        <v>2.5017055661939964E-2</v>
      </c>
      <c r="M26" s="16">
        <f>C26</f>
        <v>217946</v>
      </c>
      <c r="N26" s="15">
        <v>127209855</v>
      </c>
      <c r="O26" s="14">
        <f>N26*'[1]Inflation Rates by Year'!$C$2</f>
        <v>143843815.63980001</v>
      </c>
      <c r="P26" s="9">
        <f>O26/M26</f>
        <v>659.99750231617008</v>
      </c>
      <c r="Q26" s="13" t="s">
        <v>43</v>
      </c>
      <c r="R26" s="12">
        <v>127209855</v>
      </c>
    </row>
    <row r="27" spans="1:28" x14ac:dyDescent="0.25">
      <c r="A27" s="10">
        <v>44448</v>
      </c>
      <c r="B27" s="11">
        <v>26</v>
      </c>
      <c r="C27" s="11">
        <v>218549</v>
      </c>
      <c r="D27" s="11">
        <f>C27-C26</f>
        <v>603</v>
      </c>
      <c r="E27" s="3"/>
      <c r="F27" s="3"/>
      <c r="G27" s="11">
        <v>217336</v>
      </c>
      <c r="H27" s="11">
        <f>G27-G26</f>
        <v>1233</v>
      </c>
      <c r="I27" s="3"/>
      <c r="J27" s="17">
        <f>M27-M26</f>
        <v>603</v>
      </c>
      <c r="K27" s="17">
        <f>68/$M$68*(J27)</f>
        <v>0.18714656710831992</v>
      </c>
      <c r="L27" s="17">
        <f>$B$30/SQRT($M$30)*(SQRT(M27)-SQRT(M26))</f>
        <v>3.9969079077101059E-2</v>
      </c>
      <c r="M27" s="16">
        <f>C27</f>
        <v>218549</v>
      </c>
      <c r="N27" s="15">
        <v>133678513</v>
      </c>
      <c r="O27" s="14">
        <f>N27*'[1]Inflation Rates by Year'!$C$2</f>
        <v>151158315.35988</v>
      </c>
      <c r="P27" s="9">
        <f>O27/M27</f>
        <v>691.64496456117388</v>
      </c>
      <c r="Q27" s="13" t="s">
        <v>42</v>
      </c>
      <c r="R27" s="12">
        <v>133678513</v>
      </c>
    </row>
    <row r="28" spans="1:28" x14ac:dyDescent="0.25">
      <c r="A28" s="10">
        <v>44449</v>
      </c>
      <c r="B28" s="11">
        <v>27</v>
      </c>
      <c r="C28" s="3"/>
      <c r="D28" s="3"/>
      <c r="E28" s="3"/>
      <c r="F28" s="3"/>
      <c r="G28" s="11">
        <v>217336</v>
      </c>
      <c r="H28" s="11">
        <f>G28-G27</f>
        <v>0</v>
      </c>
      <c r="I28" s="11">
        <v>219374</v>
      </c>
      <c r="J28" s="17">
        <f>M28-M27</f>
        <v>825</v>
      </c>
      <c r="K28" s="17">
        <f>68/$M$68*(J28)</f>
        <v>0.25604629828252723</v>
      </c>
      <c r="L28" s="17">
        <f>$B$30/SQRT($M$30)*(SQRT(M28)-SQRT(M27))</f>
        <v>5.4594843620344315E-2</v>
      </c>
      <c r="M28" s="16">
        <v>219374</v>
      </c>
      <c r="N28" s="15">
        <v>141343146</v>
      </c>
      <c r="O28" s="14">
        <f>N28*'[1]Inflation Rates by Year'!$C$2</f>
        <v>159825175.77096</v>
      </c>
      <c r="P28" s="9">
        <f>O28/M28</f>
        <v>728.55113081294962</v>
      </c>
      <c r="Q28" s="13" t="s">
        <v>41</v>
      </c>
      <c r="R28" s="12">
        <v>141343146</v>
      </c>
    </row>
    <row r="29" spans="1:28" x14ac:dyDescent="0.25">
      <c r="A29" s="10">
        <v>44450</v>
      </c>
      <c r="B29" s="11">
        <v>28</v>
      </c>
      <c r="C29" s="11">
        <v>218950</v>
      </c>
      <c r="D29" s="3"/>
      <c r="E29" s="3"/>
      <c r="F29" s="3"/>
      <c r="G29" s="11">
        <v>218017</v>
      </c>
      <c r="H29" s="11">
        <f>G29-G28</f>
        <v>681</v>
      </c>
      <c r="I29" s="11">
        <v>219701</v>
      </c>
      <c r="J29" s="17">
        <f>M29-M28</f>
        <v>327</v>
      </c>
      <c r="K29" s="17">
        <f>68/$M$68*(J29)</f>
        <v>0.1014874418647108</v>
      </c>
      <c r="L29" s="17">
        <f>$B$30/SQRT($M$30)*(SQRT(M29)-SQRT(M28))</f>
        <v>2.1610996376004131E-2</v>
      </c>
      <c r="M29" s="16">
        <v>219701</v>
      </c>
      <c r="N29" s="15">
        <v>147387230</v>
      </c>
      <c r="O29" s="14">
        <f>N29*'[1]Inflation Rates by Year'!$C$2</f>
        <v>166659584.19479999</v>
      </c>
      <c r="P29" s="9">
        <f>O29/M29</f>
        <v>758.57453627794132</v>
      </c>
      <c r="Q29" s="13" t="s">
        <v>40</v>
      </c>
      <c r="R29" s="12">
        <v>147387230</v>
      </c>
    </row>
    <row r="30" spans="1:28" x14ac:dyDescent="0.25">
      <c r="A30" s="21">
        <v>44451</v>
      </c>
      <c r="B30" s="19">
        <v>29</v>
      </c>
      <c r="C30" s="19">
        <v>219267</v>
      </c>
      <c r="D30" s="19">
        <f>C30-C29</f>
        <v>317</v>
      </c>
      <c r="E30" s="20"/>
      <c r="F30" s="20"/>
      <c r="G30" s="19">
        <v>218365</v>
      </c>
      <c r="H30" s="19">
        <f>G30-G29</f>
        <v>348</v>
      </c>
      <c r="I30" s="19">
        <v>219710</v>
      </c>
      <c r="J30" s="17">
        <f>M30-M29</f>
        <v>-434</v>
      </c>
      <c r="K30" s="17">
        <f>68/$M$68*(J30)</f>
        <v>-0.134695870854081</v>
      </c>
      <c r="L30" s="17">
        <f>$B$30/SQRT($M$30)*(SQRT(M30)-SQRT(M29))</f>
        <v>-2.8685981518457321E-2</v>
      </c>
      <c r="M30" s="16">
        <f>C30</f>
        <v>219267</v>
      </c>
      <c r="N30" s="15">
        <v>153323098</v>
      </c>
      <c r="O30" s="14">
        <f>N30*'[1]Inflation Rates by Year'!$C$2</f>
        <v>173371626.29448</v>
      </c>
      <c r="P30" s="9">
        <f>O30/M30</f>
        <v>790.6872730254895</v>
      </c>
      <c r="Q30" s="13" t="s">
        <v>39</v>
      </c>
      <c r="R30" s="12">
        <v>153323098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 x14ac:dyDescent="0.25">
      <c r="A31" s="10">
        <v>44452</v>
      </c>
      <c r="B31" s="11">
        <v>30</v>
      </c>
      <c r="C31" s="11">
        <v>219267</v>
      </c>
      <c r="D31" s="11">
        <f>C31-C30</f>
        <v>0</v>
      </c>
      <c r="E31" s="3"/>
      <c r="F31" s="3"/>
      <c r="G31" s="3"/>
      <c r="H31" s="3"/>
      <c r="I31" s="3"/>
      <c r="J31" s="17">
        <f>M31-M30</f>
        <v>0</v>
      </c>
      <c r="K31" s="17">
        <f>68/$M$68*(J31)</f>
        <v>0</v>
      </c>
      <c r="L31" s="2"/>
      <c r="M31" s="16">
        <f>C31</f>
        <v>219267</v>
      </c>
      <c r="N31" s="15">
        <v>159613527</v>
      </c>
      <c r="O31" s="14">
        <f>N31*'[1]Inflation Rates by Year'!$C$2</f>
        <v>180484591.79052001</v>
      </c>
      <c r="P31" s="9">
        <f>O31/M31</f>
        <v>823.12701770225351</v>
      </c>
      <c r="Q31" s="13" t="s">
        <v>38</v>
      </c>
      <c r="R31" s="12">
        <v>159613527</v>
      </c>
    </row>
    <row r="32" spans="1:28" x14ac:dyDescent="0.25">
      <c r="A32" s="10">
        <v>44453</v>
      </c>
      <c r="B32" s="11">
        <v>31</v>
      </c>
      <c r="C32" s="11">
        <v>219267</v>
      </c>
      <c r="D32" s="11">
        <f>C32-C31</f>
        <v>0</v>
      </c>
      <c r="E32" s="3"/>
      <c r="F32" s="3"/>
      <c r="G32" s="11">
        <v>218481</v>
      </c>
      <c r="H32" s="3"/>
      <c r="I32" s="11">
        <v>218925</v>
      </c>
      <c r="J32" s="17">
        <f>M32-M31</f>
        <v>0</v>
      </c>
      <c r="K32" s="17">
        <f>68/$M$68*(J32)</f>
        <v>0</v>
      </c>
      <c r="L32" s="2"/>
      <c r="M32" s="16">
        <f>C32</f>
        <v>219267</v>
      </c>
      <c r="N32" s="15">
        <v>166198549</v>
      </c>
      <c r="O32" s="14">
        <f>N32*'[1]Inflation Rates by Year'!$C$2</f>
        <v>187930671.26723999</v>
      </c>
      <c r="P32" s="9">
        <f>O32/M32</f>
        <v>857.08597858884366</v>
      </c>
      <c r="Q32" s="13" t="s">
        <v>37</v>
      </c>
      <c r="R32" s="12">
        <v>166198549</v>
      </c>
    </row>
    <row r="33" spans="1:18" x14ac:dyDescent="0.25">
      <c r="A33" s="10">
        <v>44454</v>
      </c>
      <c r="B33" s="11">
        <v>32</v>
      </c>
      <c r="C33" s="11">
        <v>219267</v>
      </c>
      <c r="D33" s="11">
        <f>C33-C32</f>
        <v>0</v>
      </c>
      <c r="E33" s="3"/>
      <c r="F33" s="3"/>
      <c r="G33" s="11">
        <v>218582</v>
      </c>
      <c r="H33" s="11">
        <f>G33-G32</f>
        <v>101</v>
      </c>
      <c r="I33" s="3"/>
      <c r="J33" s="17">
        <f>M33-M32</f>
        <v>0</v>
      </c>
      <c r="K33" s="17">
        <f>68/$M$68*(J33)</f>
        <v>0</v>
      </c>
      <c r="L33" s="2"/>
      <c r="M33" s="16">
        <f>C33</f>
        <v>219267</v>
      </c>
      <c r="N33" s="15">
        <v>170257673</v>
      </c>
      <c r="O33" s="14">
        <f>N33*'[1]Inflation Rates by Year'!$C$2</f>
        <v>192520566.32148001</v>
      </c>
      <c r="P33" s="9">
        <f>O33/M33</f>
        <v>878.01888255633548</v>
      </c>
      <c r="Q33" s="13" t="s">
        <v>36</v>
      </c>
      <c r="R33" s="12">
        <v>170257673</v>
      </c>
    </row>
    <row r="34" spans="1:18" x14ac:dyDescent="0.25">
      <c r="A34" s="10">
        <v>44455</v>
      </c>
      <c r="B34" s="11">
        <v>33</v>
      </c>
      <c r="C34" s="11">
        <v>218857</v>
      </c>
      <c r="D34" s="11">
        <f>C34-C33</f>
        <v>-410</v>
      </c>
      <c r="E34" s="3"/>
      <c r="F34" s="3"/>
      <c r="G34" s="11">
        <v>218584</v>
      </c>
      <c r="H34" s="11">
        <f>G34-G33</f>
        <v>2</v>
      </c>
      <c r="I34" s="11">
        <v>218877</v>
      </c>
      <c r="J34" s="17">
        <f>M34-M33</f>
        <v>-410</v>
      </c>
      <c r="K34" s="17">
        <f>68/$M$68*(J34)</f>
        <v>-0.12724725126768022</v>
      </c>
      <c r="L34" s="2"/>
      <c r="M34" s="16">
        <f>C34</f>
        <v>218857</v>
      </c>
      <c r="N34" s="15">
        <v>172857655</v>
      </c>
      <c r="O34" s="14">
        <f>N34*'[1]Inflation Rates by Year'!$C$2</f>
        <v>195460521.96779999</v>
      </c>
      <c r="P34" s="9">
        <f>O34/M34</f>
        <v>893.0969627098973</v>
      </c>
      <c r="Q34" s="13" t="s">
        <v>35</v>
      </c>
      <c r="R34" s="12">
        <v>172857655</v>
      </c>
    </row>
    <row r="35" spans="1:18" x14ac:dyDescent="0.25">
      <c r="A35" s="10">
        <v>44456</v>
      </c>
      <c r="B35" s="11">
        <v>34</v>
      </c>
      <c r="C35" s="11">
        <v>218876</v>
      </c>
      <c r="D35" s="11">
        <f>C35-C34</f>
        <v>19</v>
      </c>
      <c r="E35" s="3"/>
      <c r="F35" s="3"/>
      <c r="G35" s="11">
        <v>218602</v>
      </c>
      <c r="H35" s="11">
        <f>G35-G34</f>
        <v>18</v>
      </c>
      <c r="I35" s="3"/>
      <c r="J35" s="17">
        <f>M35-M34</f>
        <v>19</v>
      </c>
      <c r="K35" s="17">
        <f>68/$M$68*(J35)</f>
        <v>5.8968238392339608E-3</v>
      </c>
      <c r="L35" s="2"/>
      <c r="M35" s="16">
        <f>C35</f>
        <v>218876</v>
      </c>
      <c r="N35" s="15">
        <v>178642881</v>
      </c>
      <c r="O35" s="14">
        <f>N35*'[1]Inflation Rates by Year'!$C$2</f>
        <v>202002224.11956</v>
      </c>
      <c r="P35" s="9">
        <f>O35/M35</f>
        <v>922.90714431714764</v>
      </c>
      <c r="Q35" s="13" t="s">
        <v>34</v>
      </c>
      <c r="R35" s="12">
        <v>178642881</v>
      </c>
    </row>
    <row r="36" spans="1:18" x14ac:dyDescent="0.25">
      <c r="A36" s="10">
        <v>44457</v>
      </c>
      <c r="B36" s="11">
        <v>35</v>
      </c>
      <c r="C36" s="11">
        <v>219060</v>
      </c>
      <c r="D36" s="11">
        <f>C36-C35</f>
        <v>184</v>
      </c>
      <c r="E36" s="3"/>
      <c r="F36" s="3"/>
      <c r="G36" s="3"/>
      <c r="H36" s="3"/>
      <c r="I36" s="3"/>
      <c r="J36" s="17">
        <f>M36-M35</f>
        <v>184</v>
      </c>
      <c r="K36" s="17">
        <f>68/$M$68*(J36)</f>
        <v>5.710608349573941E-2</v>
      </c>
      <c r="L36" s="2"/>
      <c r="M36" s="16">
        <f>C36</f>
        <v>219060</v>
      </c>
      <c r="N36" s="15">
        <v>194800000</v>
      </c>
      <c r="O36" s="14">
        <f>N36*'[1]Inflation Rates by Year'!$C$2</f>
        <v>220272048</v>
      </c>
      <c r="P36" s="9">
        <f>O36/M36</f>
        <v>1005.5329498767461</v>
      </c>
      <c r="Q36" s="13" t="s">
        <v>33</v>
      </c>
      <c r="R36" s="12">
        <v>194800000</v>
      </c>
    </row>
    <row r="37" spans="1:18" x14ac:dyDescent="0.25">
      <c r="A37" s="10">
        <v>44458</v>
      </c>
      <c r="B37" s="11">
        <v>36</v>
      </c>
      <c r="C37" s="11">
        <v>219101</v>
      </c>
      <c r="D37" s="11">
        <f>C37-C36</f>
        <v>41</v>
      </c>
      <c r="E37" s="3"/>
      <c r="F37" s="3"/>
      <c r="G37" s="11">
        <v>218782</v>
      </c>
      <c r="H37" s="3"/>
      <c r="I37" s="3"/>
      <c r="J37" s="17">
        <f>M37-M36</f>
        <v>41</v>
      </c>
      <c r="K37" s="17">
        <f>68/$M$68*(J37)</f>
        <v>1.2724725126768021E-2</v>
      </c>
      <c r="L37" s="2"/>
      <c r="M37" s="16">
        <f>C37</f>
        <v>219101</v>
      </c>
      <c r="N37" s="15">
        <v>194800000</v>
      </c>
      <c r="O37" s="14">
        <f>N37*'[1]Inflation Rates by Year'!$C$2</f>
        <v>220272048</v>
      </c>
      <c r="P37" s="9">
        <f>O37/M37</f>
        <v>1005.3447861944948</v>
      </c>
      <c r="Q37" s="13" t="s">
        <v>32</v>
      </c>
      <c r="R37" s="12">
        <v>194800000</v>
      </c>
    </row>
    <row r="38" spans="1:18" x14ac:dyDescent="0.25">
      <c r="A38" s="10">
        <v>44459</v>
      </c>
      <c r="B38" s="11">
        <v>37</v>
      </c>
      <c r="C38" s="3"/>
      <c r="D38" s="3"/>
      <c r="E38" s="3"/>
      <c r="F38" s="3"/>
      <c r="G38" s="11">
        <v>218824</v>
      </c>
      <c r="H38" s="11">
        <f>G38-G37</f>
        <v>42</v>
      </c>
      <c r="I38" s="3"/>
      <c r="J38" s="17">
        <f>M38-M37</f>
        <v>0</v>
      </c>
      <c r="K38" s="17">
        <f>68/$M$68*(J38)</f>
        <v>0</v>
      </c>
      <c r="L38" s="2"/>
      <c r="M38" s="16">
        <v>219101</v>
      </c>
      <c r="N38" s="15">
        <v>208400000</v>
      </c>
      <c r="O38" s="14">
        <f>N38*'[1]Inflation Rates by Year'!$C$2</f>
        <v>235650384</v>
      </c>
      <c r="P38" s="9">
        <f>O38/M38</f>
        <v>1075.5331285571494</v>
      </c>
      <c r="Q38" s="13" t="s">
        <v>31</v>
      </c>
      <c r="R38" s="12">
        <v>208400000</v>
      </c>
    </row>
    <row r="39" spans="1:18" x14ac:dyDescent="0.25">
      <c r="A39" s="10">
        <v>44460</v>
      </c>
      <c r="B39" s="11">
        <v>38</v>
      </c>
      <c r="C39" s="3"/>
      <c r="D39" s="3"/>
      <c r="E39" s="3"/>
      <c r="F39" s="3"/>
      <c r="G39" s="11">
        <v>220270</v>
      </c>
      <c r="H39" s="11">
        <f>G39-G38</f>
        <v>1446</v>
      </c>
      <c r="I39" s="3"/>
      <c r="J39" s="17">
        <f>M39-M38</f>
        <v>0</v>
      </c>
      <c r="K39" s="17">
        <f>68/$M$68*(J39)</f>
        <v>0</v>
      </c>
      <c r="L39" s="2"/>
      <c r="M39" s="16">
        <v>219101</v>
      </c>
      <c r="N39" s="15">
        <v>211600000</v>
      </c>
      <c r="O39" s="14">
        <f>N39*'[1]Inflation Rates by Year'!$C$2</f>
        <v>239268816</v>
      </c>
      <c r="P39" s="9">
        <f>O39/M39</f>
        <v>1092.0480326424799</v>
      </c>
      <c r="Q39" s="13" t="s">
        <v>30</v>
      </c>
      <c r="R39" s="12">
        <v>211600000</v>
      </c>
    </row>
    <row r="40" spans="1:18" x14ac:dyDescent="0.25">
      <c r="A40" s="10">
        <v>44461</v>
      </c>
      <c r="B40" s="11">
        <v>39</v>
      </c>
      <c r="C40" s="3"/>
      <c r="D40" s="3"/>
      <c r="E40" s="3"/>
      <c r="F40" s="3"/>
      <c r="G40" s="11">
        <v>220615</v>
      </c>
      <c r="H40" s="11">
        <f>G40-G39</f>
        <v>345</v>
      </c>
      <c r="I40" s="3"/>
      <c r="J40" s="17">
        <f>M40-M39</f>
        <v>0</v>
      </c>
      <c r="K40" s="17">
        <f>68/$M$68*(J40)</f>
        <v>0</v>
      </c>
      <c r="L40" s="2"/>
      <c r="M40" s="16">
        <v>219101</v>
      </c>
      <c r="N40" s="15">
        <v>211600000</v>
      </c>
      <c r="O40" s="14">
        <f>N40*'[1]Inflation Rates by Year'!$C$2</f>
        <v>239268816</v>
      </c>
      <c r="P40" s="9">
        <f>O40/M40</f>
        <v>1092.0480326424799</v>
      </c>
      <c r="Q40" s="13" t="s">
        <v>29</v>
      </c>
      <c r="R40" s="12">
        <v>211600000</v>
      </c>
    </row>
    <row r="41" spans="1:18" x14ac:dyDescent="0.25">
      <c r="A41" s="10">
        <v>44462</v>
      </c>
      <c r="B41" s="11">
        <v>40</v>
      </c>
      <c r="C41" s="3"/>
      <c r="D41" s="3"/>
      <c r="E41" s="3"/>
      <c r="F41" s="3"/>
      <c r="G41" s="11">
        <v>221354</v>
      </c>
      <c r="H41" s="11">
        <f>G41-G40</f>
        <v>739</v>
      </c>
      <c r="I41" s="3"/>
      <c r="J41" s="17">
        <f>M41-M40</f>
        <v>0</v>
      </c>
      <c r="K41" s="17">
        <f>68/$M$68*(J41)</f>
        <v>0</v>
      </c>
      <c r="L41" s="2"/>
      <c r="M41" s="16">
        <v>219101</v>
      </c>
      <c r="N41" s="15">
        <v>222900000</v>
      </c>
      <c r="O41" s="14">
        <f>N41*'[1]Inflation Rates by Year'!$C$2</f>
        <v>252046404</v>
      </c>
      <c r="P41" s="9">
        <f>O41/M41</f>
        <v>1150.3662876938033</v>
      </c>
      <c r="Q41" s="13" t="s">
        <v>28</v>
      </c>
      <c r="R41" s="12">
        <v>222900000</v>
      </c>
    </row>
    <row r="42" spans="1:18" x14ac:dyDescent="0.25">
      <c r="A42" s="10">
        <v>44463</v>
      </c>
      <c r="B42" s="11">
        <v>41</v>
      </c>
      <c r="C42" s="3"/>
      <c r="D42" s="3"/>
      <c r="E42" s="3"/>
      <c r="F42" s="3"/>
      <c r="G42" s="11">
        <v>221479</v>
      </c>
      <c r="H42" s="11">
        <f>G42-G41</f>
        <v>125</v>
      </c>
      <c r="I42" s="3"/>
      <c r="J42" s="17">
        <f>M42-M41</f>
        <v>0</v>
      </c>
      <c r="K42" s="17">
        <f>68/$M$68*(J42)</f>
        <v>0</v>
      </c>
      <c r="L42" s="2"/>
      <c r="M42" s="16">
        <v>219101</v>
      </c>
      <c r="N42" s="15">
        <v>226200000</v>
      </c>
      <c r="O42" s="14">
        <f>N42*'[1]Inflation Rates by Year'!$C$2</f>
        <v>255777912</v>
      </c>
      <c r="P42" s="9">
        <f>O42/M42</f>
        <v>1167.3972825318003</v>
      </c>
      <c r="Q42" s="13" t="s">
        <v>27</v>
      </c>
      <c r="R42" s="12">
        <v>226200000</v>
      </c>
    </row>
    <row r="43" spans="1:18" x14ac:dyDescent="0.25">
      <c r="A43" s="10">
        <v>44464</v>
      </c>
      <c r="B43" s="11">
        <v>42</v>
      </c>
      <c r="C43" s="3"/>
      <c r="D43" s="3"/>
      <c r="E43" s="3"/>
      <c r="F43" s="3"/>
      <c r="G43" s="11">
        <v>221665</v>
      </c>
      <c r="H43" s="11">
        <f>G43-G42</f>
        <v>186</v>
      </c>
      <c r="I43" s="3"/>
      <c r="J43" s="17">
        <f>M43-M42</f>
        <v>0</v>
      </c>
      <c r="K43" s="17">
        <f>68/$M$68*(J43)</f>
        <v>0</v>
      </c>
      <c r="L43" s="2"/>
      <c r="M43" s="16">
        <v>219101</v>
      </c>
      <c r="N43" s="15">
        <v>229100000</v>
      </c>
      <c r="O43" s="14">
        <f>N43*'[1]Inflation Rates by Year'!$C$2</f>
        <v>259057116</v>
      </c>
      <c r="P43" s="9">
        <f>O43/M43</f>
        <v>1182.3639143591313</v>
      </c>
      <c r="Q43" s="13" t="s">
        <v>26</v>
      </c>
      <c r="R43" s="12">
        <v>229100000</v>
      </c>
    </row>
    <row r="44" spans="1:18" x14ac:dyDescent="0.25">
      <c r="A44" s="10">
        <v>44465</v>
      </c>
      <c r="B44" s="11">
        <v>43</v>
      </c>
      <c r="C44" s="3"/>
      <c r="D44" s="3"/>
      <c r="E44" s="3"/>
      <c r="F44" s="3"/>
      <c r="G44" s="11">
        <v>221678</v>
      </c>
      <c r="H44" s="11">
        <f>G44-G43</f>
        <v>13</v>
      </c>
      <c r="I44" s="3"/>
      <c r="J44" s="17">
        <f>M44-M43</f>
        <v>0</v>
      </c>
      <c r="K44" s="17">
        <f>68/$M$68*(J44)</f>
        <v>0</v>
      </c>
      <c r="L44" s="2"/>
      <c r="M44" s="16">
        <v>219101</v>
      </c>
      <c r="N44" s="15">
        <v>232200000</v>
      </c>
      <c r="O44" s="14">
        <f>N44*'[1]Inflation Rates by Year'!$C$2</f>
        <v>262562472</v>
      </c>
      <c r="P44" s="9">
        <f>O44/M44</f>
        <v>1198.362727691795</v>
      </c>
      <c r="Q44" s="13" t="s">
        <v>25</v>
      </c>
      <c r="R44" s="12">
        <v>232200000</v>
      </c>
    </row>
    <row r="45" spans="1:18" x14ac:dyDescent="0.25">
      <c r="A45" s="10">
        <v>44466</v>
      </c>
      <c r="B45" s="11">
        <v>44</v>
      </c>
      <c r="C45" s="3"/>
      <c r="D45" s="3"/>
      <c r="E45" s="3"/>
      <c r="F45" s="3"/>
      <c r="G45" s="11">
        <v>221699</v>
      </c>
      <c r="H45" s="11">
        <f>G45-G44</f>
        <v>21</v>
      </c>
      <c r="I45" s="3"/>
      <c r="J45" s="17">
        <f>M45-M44</f>
        <v>0</v>
      </c>
      <c r="K45" s="17">
        <f>68/$M$68*(J45)</f>
        <v>0</v>
      </c>
      <c r="L45" s="2"/>
      <c r="M45" s="16">
        <v>219101</v>
      </c>
      <c r="N45" s="15">
        <v>233800000</v>
      </c>
      <c r="O45" s="14">
        <f>N45*'[1]Inflation Rates by Year'!$C$2</f>
        <v>264371688</v>
      </c>
      <c r="P45" s="9">
        <f>O45/M45</f>
        <v>1206.6201797344604</v>
      </c>
      <c r="Q45" s="13" t="s">
        <v>24</v>
      </c>
      <c r="R45" s="12">
        <v>233800000</v>
      </c>
    </row>
    <row r="46" spans="1:18" x14ac:dyDescent="0.25">
      <c r="A46" s="10">
        <v>44467</v>
      </c>
      <c r="B46" s="11">
        <v>45</v>
      </c>
      <c r="C46" s="3"/>
      <c r="D46" s="3"/>
      <c r="E46" s="3"/>
      <c r="F46" s="3"/>
      <c r="G46" s="11">
        <v>221775</v>
      </c>
      <c r="H46" s="11">
        <f>G46-G45</f>
        <v>76</v>
      </c>
      <c r="I46" s="3"/>
      <c r="J46" s="17">
        <f>M46-M45</f>
        <v>0</v>
      </c>
      <c r="K46" s="17">
        <f>68/$M$68*(J46)</f>
        <v>0</v>
      </c>
      <c r="L46" s="2"/>
      <c r="M46" s="16">
        <v>219101</v>
      </c>
      <c r="N46" s="15">
        <v>236600000</v>
      </c>
      <c r="O46" s="14">
        <f>N46*'[1]Inflation Rates by Year'!$C$2</f>
        <v>267537816</v>
      </c>
      <c r="P46" s="9">
        <f>O46/M46</f>
        <v>1221.0707208091246</v>
      </c>
      <c r="Q46" s="13" t="s">
        <v>23</v>
      </c>
      <c r="R46" s="12">
        <v>236600000</v>
      </c>
    </row>
    <row r="47" spans="1:18" x14ac:dyDescent="0.25">
      <c r="A47" s="10">
        <v>44468</v>
      </c>
      <c r="B47" s="11">
        <v>46</v>
      </c>
      <c r="C47" s="3"/>
      <c r="D47" s="3"/>
      <c r="E47" s="3"/>
      <c r="F47" s="3"/>
      <c r="G47" s="3"/>
      <c r="H47" s="3"/>
      <c r="I47" s="3"/>
      <c r="J47" s="17">
        <f>M47-M46</f>
        <v>0</v>
      </c>
      <c r="K47" s="17">
        <f>68/$M$68*(J47)</f>
        <v>0</v>
      </c>
      <c r="L47" s="2"/>
      <c r="M47" s="16">
        <v>219101</v>
      </c>
      <c r="N47" s="15">
        <v>238371000</v>
      </c>
      <c r="O47" s="14">
        <f>N47*'[1]Inflation Rates by Year'!$C$2</f>
        <v>269540391.95999998</v>
      </c>
      <c r="P47" s="9">
        <f>O47/M47</f>
        <v>1230.2106880388496</v>
      </c>
      <c r="Q47" s="13" t="s">
        <v>22</v>
      </c>
      <c r="R47" s="12">
        <v>238371000</v>
      </c>
    </row>
    <row r="48" spans="1:18" x14ac:dyDescent="0.25">
      <c r="A48" s="10">
        <v>44469</v>
      </c>
      <c r="B48" s="11">
        <v>47</v>
      </c>
      <c r="C48" s="3"/>
      <c r="D48" s="3"/>
      <c r="E48" s="3"/>
      <c r="F48" s="3"/>
      <c r="G48" s="3"/>
      <c r="H48" s="3"/>
      <c r="I48" s="3"/>
      <c r="J48" s="17">
        <f>M48-M47</f>
        <v>0</v>
      </c>
      <c r="K48" s="17">
        <f>68/$M$68*(J48)</f>
        <v>0</v>
      </c>
      <c r="L48" s="2"/>
      <c r="M48" s="16">
        <v>219101</v>
      </c>
      <c r="N48" s="15">
        <v>242420300</v>
      </c>
      <c r="O48" s="14">
        <f>N48*'[1]Inflation Rates by Year'!$C$2</f>
        <v>274119178.42799997</v>
      </c>
      <c r="P48" s="9">
        <f>O48/M48</f>
        <v>1251.1087508865774</v>
      </c>
      <c r="Q48" s="13" t="s">
        <v>21</v>
      </c>
      <c r="R48" s="12">
        <v>242420300</v>
      </c>
    </row>
    <row r="49" spans="1:18" x14ac:dyDescent="0.25">
      <c r="A49" s="10">
        <v>44470</v>
      </c>
      <c r="B49" s="11">
        <v>48</v>
      </c>
      <c r="C49" s="3"/>
      <c r="D49" s="3"/>
      <c r="E49" s="3"/>
      <c r="F49" s="3"/>
      <c r="G49" s="3"/>
      <c r="H49" s="3"/>
      <c r="I49" s="3"/>
      <c r="J49" s="17">
        <f>M49-M48</f>
        <v>0</v>
      </c>
      <c r="K49" s="17">
        <f>68/$M$68*(J49)</f>
        <v>0</v>
      </c>
      <c r="L49" s="2"/>
      <c r="M49" s="16">
        <v>219101</v>
      </c>
      <c r="N49" s="15">
        <v>244009000</v>
      </c>
      <c r="O49" s="14">
        <f>N49*'[1]Inflation Rates by Year'!$C$2</f>
        <v>275915616.83999997</v>
      </c>
      <c r="P49" s="9">
        <f>O49/M49</f>
        <v>1259.3078846741912</v>
      </c>
      <c r="Q49" s="13" t="s">
        <v>20</v>
      </c>
      <c r="R49" s="12">
        <v>244009000</v>
      </c>
    </row>
    <row r="50" spans="1:18" x14ac:dyDescent="0.25">
      <c r="A50" s="10">
        <v>44471</v>
      </c>
      <c r="B50" s="11">
        <v>49</v>
      </c>
      <c r="C50" s="3"/>
      <c r="D50" s="3"/>
      <c r="E50" s="3"/>
      <c r="F50" s="3"/>
      <c r="G50" s="3"/>
      <c r="H50" s="3"/>
      <c r="I50" s="3"/>
      <c r="J50" s="17">
        <f>M50-M49</f>
        <v>0</v>
      </c>
      <c r="K50" s="17">
        <f>68/$M$68*(J50)</f>
        <v>0</v>
      </c>
      <c r="L50" s="2"/>
      <c r="M50" s="16">
        <v>219101</v>
      </c>
      <c r="N50" s="15">
        <v>249406480</v>
      </c>
      <c r="O50" s="14">
        <f>N50*'[1]Inflation Rates by Year'!$C$2</f>
        <v>282018871.32480001</v>
      </c>
      <c r="P50" s="9">
        <f>O50/M50</f>
        <v>1287.1637798312195</v>
      </c>
      <c r="Q50" s="13" t="s">
        <v>19</v>
      </c>
      <c r="R50" s="12">
        <v>249406480</v>
      </c>
    </row>
    <row r="51" spans="1:18" x14ac:dyDescent="0.25">
      <c r="A51" s="10">
        <v>44472</v>
      </c>
      <c r="B51" s="11">
        <v>50</v>
      </c>
      <c r="C51" s="3"/>
      <c r="D51" s="3"/>
      <c r="E51" s="3"/>
      <c r="F51" s="3"/>
      <c r="G51" s="3"/>
      <c r="H51" s="3"/>
      <c r="I51" s="3"/>
      <c r="J51" s="17">
        <f>M51-M50</f>
        <v>0</v>
      </c>
      <c r="K51" s="17">
        <f>68/$M$68*(J51)</f>
        <v>0</v>
      </c>
      <c r="L51" s="2"/>
      <c r="M51" s="16">
        <v>219101</v>
      </c>
      <c r="N51" s="15">
        <v>249825304</v>
      </c>
      <c r="O51" s="14">
        <f>N51*'[1]Inflation Rates by Year'!$C$2</f>
        <v>282492460.75103998</v>
      </c>
      <c r="P51" s="9">
        <f>O51/M51</f>
        <v>1289.3252917651675</v>
      </c>
      <c r="Q51" s="13" t="s">
        <v>18</v>
      </c>
      <c r="R51" s="12">
        <v>249825304</v>
      </c>
    </row>
    <row r="52" spans="1:18" x14ac:dyDescent="0.25">
      <c r="A52" s="10">
        <v>44473</v>
      </c>
      <c r="B52" s="11">
        <v>51</v>
      </c>
      <c r="C52" s="3"/>
      <c r="D52" s="3"/>
      <c r="E52" s="3"/>
      <c r="F52" s="3"/>
      <c r="G52" s="3"/>
      <c r="H52" s="3"/>
      <c r="I52" s="3"/>
      <c r="J52" s="17">
        <f>M52-M51</f>
        <v>0</v>
      </c>
      <c r="K52" s="17">
        <f>68/$M$68*(J52)</f>
        <v>0</v>
      </c>
      <c r="L52" s="2"/>
      <c r="M52" s="16">
        <v>219101</v>
      </c>
      <c r="N52" s="15">
        <v>249439224</v>
      </c>
      <c r="O52" s="14">
        <f>N52*'[1]Inflation Rates by Year'!$C$2</f>
        <v>282055896.93023998</v>
      </c>
      <c r="P52" s="9">
        <f>O52/M52</f>
        <v>1287.3327685872723</v>
      </c>
      <c r="Q52" s="13" t="s">
        <v>17</v>
      </c>
      <c r="R52" s="12">
        <v>249439224</v>
      </c>
    </row>
    <row r="53" spans="1:18" x14ac:dyDescent="0.25">
      <c r="A53" s="10">
        <v>44474</v>
      </c>
      <c r="B53" s="11">
        <v>52</v>
      </c>
      <c r="C53" s="3"/>
      <c r="D53" s="3"/>
      <c r="E53" s="3"/>
      <c r="F53" s="3"/>
      <c r="G53" s="3"/>
      <c r="H53" s="3"/>
      <c r="I53" s="3"/>
      <c r="J53" s="17">
        <f>M53-M52</f>
        <v>0</v>
      </c>
      <c r="K53" s="17">
        <f>68/$M$68*(J53)</f>
        <v>0</v>
      </c>
      <c r="L53" s="2"/>
      <c r="M53" s="16">
        <v>219101</v>
      </c>
      <c r="N53" s="15">
        <v>249437627</v>
      </c>
      <c r="O53" s="14">
        <f>N53*'[1]Inflation Rates by Year'!$C$2</f>
        <v>282054091.10652</v>
      </c>
      <c r="P53" s="9">
        <f>O53/M53</f>
        <v>1287.3245266179524</v>
      </c>
      <c r="Q53" s="13" t="s">
        <v>16</v>
      </c>
      <c r="R53" s="12">
        <v>249437627</v>
      </c>
    </row>
    <row r="54" spans="1:18" x14ac:dyDescent="0.25">
      <c r="A54" s="10">
        <v>44475</v>
      </c>
      <c r="B54" s="11">
        <v>53</v>
      </c>
      <c r="C54" s="3"/>
      <c r="D54" s="3"/>
      <c r="E54" s="3"/>
      <c r="F54" s="3"/>
      <c r="G54" s="3"/>
      <c r="H54" s="3"/>
      <c r="I54" s="3"/>
      <c r="J54" s="17">
        <f>M54-M53</f>
        <v>0</v>
      </c>
      <c r="K54" s="17">
        <f>68/$M$68*(J54)</f>
        <v>0</v>
      </c>
      <c r="L54" s="2"/>
      <c r="M54" s="16">
        <v>219101</v>
      </c>
      <c r="N54" s="15">
        <v>251081890</v>
      </c>
      <c r="O54" s="14">
        <f>N54*'[1]Inflation Rates by Year'!$C$2</f>
        <v>283913357.9364</v>
      </c>
      <c r="P54" s="9">
        <f>O54/M54</f>
        <v>1295.8104159104705</v>
      </c>
      <c r="Q54" s="13" t="s">
        <v>15</v>
      </c>
      <c r="R54" s="12">
        <v>251081890</v>
      </c>
    </row>
    <row r="55" spans="1:18" x14ac:dyDescent="0.25">
      <c r="A55" s="10">
        <v>44476</v>
      </c>
      <c r="B55" s="11">
        <v>54</v>
      </c>
      <c r="C55" s="3"/>
      <c r="D55" s="3"/>
      <c r="E55" s="3"/>
      <c r="F55" s="3"/>
      <c r="G55" s="3"/>
      <c r="H55" s="3"/>
      <c r="I55" s="3"/>
      <c r="J55" s="17">
        <f>M55-M54</f>
        <v>0</v>
      </c>
      <c r="K55" s="17">
        <f>68/$M$68*(J55)</f>
        <v>0</v>
      </c>
      <c r="L55" s="2"/>
      <c r="M55" s="16">
        <v>219101</v>
      </c>
      <c r="N55" s="15">
        <v>252389053.30000001</v>
      </c>
      <c r="O55" s="14">
        <f>N55*'[1]Inflation Rates by Year'!$C$2</f>
        <v>285391445.90950799</v>
      </c>
      <c r="P55" s="9">
        <f>O55/M55</f>
        <v>1302.5565648240217</v>
      </c>
      <c r="Q55" s="13" t="s">
        <v>14</v>
      </c>
      <c r="R55" s="12">
        <v>252389053.30000001</v>
      </c>
    </row>
    <row r="56" spans="1:18" x14ac:dyDescent="0.25">
      <c r="A56" s="10">
        <v>44477</v>
      </c>
      <c r="B56" s="11">
        <v>55</v>
      </c>
      <c r="C56" s="3"/>
      <c r="D56" s="3"/>
      <c r="E56" s="3"/>
      <c r="F56" s="3"/>
      <c r="G56" s="3"/>
      <c r="H56" s="3"/>
      <c r="I56" s="3"/>
      <c r="J56" s="17">
        <f>M56-M55</f>
        <v>0</v>
      </c>
      <c r="K56" s="17">
        <f>68/$M$68*(J56)</f>
        <v>0</v>
      </c>
      <c r="L56" s="2"/>
      <c r="M56" s="16">
        <v>219101</v>
      </c>
      <c r="N56" s="15">
        <v>253944479</v>
      </c>
      <c r="O56" s="14">
        <f>N56*'[1]Inflation Rates by Year'!$C$2</f>
        <v>287150259.07404</v>
      </c>
      <c r="P56" s="9">
        <f>O56/M56</f>
        <v>1310.5839730263212</v>
      </c>
      <c r="Q56" s="13" t="s">
        <v>13</v>
      </c>
      <c r="R56" s="12">
        <v>253944479</v>
      </c>
    </row>
    <row r="57" spans="1:18" x14ac:dyDescent="0.25">
      <c r="A57" s="10">
        <v>44478</v>
      </c>
      <c r="B57" s="11">
        <v>56</v>
      </c>
      <c r="C57" s="3"/>
      <c r="D57" s="3"/>
      <c r="E57" s="3"/>
      <c r="F57" s="3"/>
      <c r="G57" s="3"/>
      <c r="H57" s="3"/>
      <c r="I57" s="3"/>
      <c r="J57" s="17">
        <f>M57-M56</f>
        <v>0</v>
      </c>
      <c r="K57" s="17">
        <f>68/$M$68*(J57)</f>
        <v>0</v>
      </c>
      <c r="L57" s="2"/>
      <c r="M57" s="16">
        <v>219101</v>
      </c>
      <c r="N57" s="15">
        <v>254959721</v>
      </c>
      <c r="O57" s="14">
        <f>N57*'[1]Inflation Rates by Year'!$C$2</f>
        <v>288298254.11795998</v>
      </c>
      <c r="P57" s="9">
        <f>O57/M57</f>
        <v>1315.8235431055084</v>
      </c>
      <c r="Q57" s="13" t="s">
        <v>12</v>
      </c>
      <c r="R57" s="12">
        <v>254959721</v>
      </c>
    </row>
    <row r="58" spans="1:18" x14ac:dyDescent="0.25">
      <c r="A58" s="10">
        <v>44479</v>
      </c>
      <c r="B58" s="11">
        <v>57</v>
      </c>
      <c r="C58" s="3"/>
      <c r="D58" s="3"/>
      <c r="E58" s="3"/>
      <c r="F58" s="3"/>
      <c r="G58" s="3"/>
      <c r="H58" s="3"/>
      <c r="I58" s="3"/>
      <c r="J58" s="17">
        <f>M58-M57</f>
        <v>0</v>
      </c>
      <c r="K58" s="17">
        <f>68/$M$68*(J58)</f>
        <v>0</v>
      </c>
      <c r="L58" s="2"/>
      <c r="M58" s="16">
        <v>219101</v>
      </c>
      <c r="N58" s="15">
        <v>256256455.80000001</v>
      </c>
      <c r="O58" s="14">
        <f>N58*'[1]Inflation Rates by Year'!$C$2</f>
        <v>289764549.96040803</v>
      </c>
      <c r="P58" s="9">
        <f>O58/M58</f>
        <v>1322.515871494918</v>
      </c>
      <c r="Q58" s="13" t="s">
        <v>11</v>
      </c>
      <c r="R58" s="12">
        <v>256256455.80000001</v>
      </c>
    </row>
    <row r="59" spans="1:18" x14ac:dyDescent="0.25">
      <c r="A59" s="10">
        <v>44480</v>
      </c>
      <c r="B59" s="11">
        <v>58</v>
      </c>
      <c r="C59" s="3"/>
      <c r="D59" s="3"/>
      <c r="E59" s="3"/>
      <c r="F59" s="3"/>
      <c r="G59" s="3"/>
      <c r="H59" s="3"/>
      <c r="I59" s="3"/>
      <c r="J59" s="17">
        <f>M59-M58</f>
        <v>0</v>
      </c>
      <c r="K59" s="17">
        <f>68/$M$68*(J59)</f>
        <v>0</v>
      </c>
      <c r="L59" s="2"/>
      <c r="M59" s="16">
        <v>219101</v>
      </c>
      <c r="N59" s="15">
        <v>257722348</v>
      </c>
      <c r="O59" s="14">
        <f>N59*'[1]Inflation Rates by Year'!$C$2</f>
        <v>291422122.22447997</v>
      </c>
      <c r="P59" s="9">
        <f>O59/M59</f>
        <v>1330.0812055831784</v>
      </c>
      <c r="Q59" s="13" t="s">
        <v>10</v>
      </c>
      <c r="R59" s="12">
        <v>257722348</v>
      </c>
    </row>
    <row r="60" spans="1:18" x14ac:dyDescent="0.25">
      <c r="A60" s="10">
        <v>44481</v>
      </c>
      <c r="B60" s="11">
        <v>59</v>
      </c>
      <c r="C60" s="3"/>
      <c r="D60" s="3"/>
      <c r="E60" s="3"/>
      <c r="F60" s="3"/>
      <c r="G60" s="3"/>
      <c r="H60" s="3"/>
      <c r="I60" s="3"/>
      <c r="J60" s="17">
        <f>M60-M59</f>
        <v>0</v>
      </c>
      <c r="K60" s="17">
        <f>68/$M$68*(J60)</f>
        <v>0</v>
      </c>
      <c r="L60" s="2"/>
      <c r="M60" s="16">
        <v>219101</v>
      </c>
      <c r="N60" s="15">
        <v>257722348</v>
      </c>
      <c r="O60" s="14">
        <f>N60*'[1]Inflation Rates by Year'!$C$2</f>
        <v>291422122.22447997</v>
      </c>
      <c r="P60" s="9">
        <f>O60/M60</f>
        <v>1330.0812055831784</v>
      </c>
      <c r="Q60" s="13" t="s">
        <v>9</v>
      </c>
      <c r="R60" s="12">
        <v>257722348</v>
      </c>
    </row>
    <row r="61" spans="1:18" x14ac:dyDescent="0.25">
      <c r="A61" s="10">
        <v>44482</v>
      </c>
      <c r="B61" s="11">
        <v>60</v>
      </c>
      <c r="C61" s="3"/>
      <c r="D61" s="3"/>
      <c r="E61" s="3"/>
      <c r="F61" s="3"/>
      <c r="G61" s="3"/>
      <c r="H61" s="3"/>
      <c r="I61" s="3"/>
      <c r="J61" s="17">
        <f>M61-M60</f>
        <v>0</v>
      </c>
      <c r="K61" s="17">
        <f>68/$M$68*(J61)</f>
        <v>0</v>
      </c>
      <c r="L61" s="2"/>
      <c r="M61" s="16">
        <v>219101</v>
      </c>
      <c r="N61" s="15">
        <v>260958638</v>
      </c>
      <c r="O61" s="14">
        <f>N61*'[1]Inflation Rates by Year'!$C$2</f>
        <v>295081589.50488001</v>
      </c>
      <c r="P61" s="9">
        <f>O61/M61</f>
        <v>1346.7833990026518</v>
      </c>
      <c r="Q61" s="13" t="s">
        <v>8</v>
      </c>
      <c r="R61" s="12">
        <v>260958638</v>
      </c>
    </row>
    <row r="62" spans="1:18" x14ac:dyDescent="0.25">
      <c r="A62" s="10">
        <v>44483</v>
      </c>
      <c r="B62" s="11">
        <v>61</v>
      </c>
      <c r="C62" s="3"/>
      <c r="D62" s="3"/>
      <c r="E62" s="3"/>
      <c r="F62" s="3"/>
      <c r="G62" s="3"/>
      <c r="H62" s="3"/>
      <c r="I62" s="3"/>
      <c r="J62" s="17">
        <f>M62-M61</f>
        <v>0</v>
      </c>
      <c r="K62" s="17">
        <f>68/$M$68*(J62)</f>
        <v>0</v>
      </c>
      <c r="L62" s="2"/>
      <c r="M62" s="16">
        <v>219101</v>
      </c>
      <c r="N62" s="15">
        <v>260738732</v>
      </c>
      <c r="O62" s="14">
        <f>N62*'[1]Inflation Rates by Year'!$C$2</f>
        <v>294832928.59631997</v>
      </c>
      <c r="P62" s="9">
        <f>O62/M62</f>
        <v>1345.6484844720926</v>
      </c>
      <c r="Q62" s="13" t="s">
        <v>7</v>
      </c>
      <c r="R62" s="12">
        <v>260738732</v>
      </c>
    </row>
    <row r="63" spans="1:18" x14ac:dyDescent="0.25">
      <c r="A63" s="10">
        <v>44484</v>
      </c>
      <c r="B63" s="11">
        <v>62</v>
      </c>
      <c r="C63" s="3"/>
      <c r="D63" s="3"/>
      <c r="E63" s="3"/>
      <c r="F63" s="3"/>
      <c r="G63" s="3"/>
      <c r="H63" s="3"/>
      <c r="I63" s="3"/>
      <c r="J63" s="17">
        <f>M63-M62</f>
        <v>0</v>
      </c>
      <c r="K63" s="17">
        <f>68/$M$68*(J63)</f>
        <v>0</v>
      </c>
      <c r="L63" s="2"/>
      <c r="M63" s="16">
        <v>219101</v>
      </c>
      <c r="N63" s="15">
        <v>262686727</v>
      </c>
      <c r="O63" s="14">
        <f>N63*'[1]Inflation Rates by Year'!$C$2</f>
        <v>297035643.42251998</v>
      </c>
      <c r="P63" s="9">
        <f>O63/M63</f>
        <v>1355.7019065295001</v>
      </c>
      <c r="Q63" s="13" t="s">
        <v>6</v>
      </c>
      <c r="R63" s="12">
        <v>262686727</v>
      </c>
    </row>
    <row r="64" spans="1:18" x14ac:dyDescent="0.25">
      <c r="A64" s="10">
        <v>44485</v>
      </c>
      <c r="B64" s="11">
        <v>63</v>
      </c>
      <c r="C64" s="3"/>
      <c r="D64" s="3"/>
      <c r="E64" s="3"/>
      <c r="F64" s="3"/>
      <c r="G64" s="3"/>
      <c r="H64" s="3"/>
      <c r="I64" s="3"/>
      <c r="J64" s="17">
        <f>M64-M63</f>
        <v>0</v>
      </c>
      <c r="K64" s="17">
        <f>68/$M$68*(J64)</f>
        <v>0</v>
      </c>
      <c r="L64" s="2"/>
      <c r="M64" s="16">
        <v>219101</v>
      </c>
      <c r="N64" s="15">
        <v>264917998</v>
      </c>
      <c r="O64" s="14">
        <f>N64*'[1]Inflation Rates by Year'!$C$2</f>
        <v>299558675.41847998</v>
      </c>
      <c r="P64" s="9">
        <f>O64/M64</f>
        <v>1367.2172898274312</v>
      </c>
      <c r="Q64" s="13" t="s">
        <v>5</v>
      </c>
      <c r="R64" s="12">
        <v>264917998</v>
      </c>
    </row>
    <row r="65" spans="1:18" x14ac:dyDescent="0.25">
      <c r="A65" s="10">
        <v>44486</v>
      </c>
      <c r="B65" s="11">
        <v>64</v>
      </c>
      <c r="C65" s="3"/>
      <c r="D65" s="3"/>
      <c r="E65" s="3"/>
      <c r="F65" s="3"/>
      <c r="G65" s="3"/>
      <c r="H65" s="3"/>
      <c r="I65" s="3"/>
      <c r="J65" s="17">
        <f>M65-M64</f>
        <v>0</v>
      </c>
      <c r="K65" s="17">
        <f>68/$M$68*(J65)</f>
        <v>0</v>
      </c>
      <c r="L65" s="2"/>
      <c r="M65" s="16">
        <v>219101</v>
      </c>
      <c r="N65" s="15">
        <v>266324127</v>
      </c>
      <c r="O65" s="14">
        <f>N65*'[1]Inflation Rates by Year'!$C$2</f>
        <v>301148669.84652001</v>
      </c>
      <c r="P65" s="9">
        <f>O65/M65</f>
        <v>1374.4741915669943</v>
      </c>
      <c r="Q65" s="13" t="s">
        <v>4</v>
      </c>
      <c r="R65" s="12">
        <v>266324127</v>
      </c>
    </row>
    <row r="66" spans="1:18" x14ac:dyDescent="0.25">
      <c r="A66" s="10">
        <v>44487</v>
      </c>
      <c r="B66" s="11">
        <v>65</v>
      </c>
      <c r="C66" s="3"/>
      <c r="D66" s="3"/>
      <c r="E66" s="3"/>
      <c r="F66" s="3"/>
      <c r="G66" s="3"/>
      <c r="H66" s="3"/>
      <c r="I66" s="3"/>
      <c r="J66" s="17">
        <f>M66-M65</f>
        <v>0</v>
      </c>
      <c r="K66" s="17">
        <f>68/$M$68*(J66)</f>
        <v>0</v>
      </c>
      <c r="L66" s="2"/>
      <c r="M66" s="16">
        <v>219101</v>
      </c>
      <c r="N66" s="15">
        <v>268026544</v>
      </c>
      <c r="O66" s="14">
        <f>N66*'[1]Inflation Rates by Year'!$C$2</f>
        <v>303073694.89344001</v>
      </c>
      <c r="P66" s="9">
        <f>O66/M66</f>
        <v>1383.2602082758181</v>
      </c>
      <c r="Q66" s="13" t="s">
        <v>3</v>
      </c>
      <c r="R66" s="12">
        <v>268026544</v>
      </c>
    </row>
    <row r="67" spans="1:18" x14ac:dyDescent="0.25">
      <c r="A67" s="10">
        <v>44488</v>
      </c>
      <c r="B67" s="11">
        <v>66</v>
      </c>
      <c r="C67" s="3"/>
      <c r="D67" s="3"/>
      <c r="E67" s="3"/>
      <c r="F67" s="3"/>
      <c r="G67" s="3"/>
      <c r="H67" s="3"/>
      <c r="I67" s="3"/>
      <c r="J67" s="17">
        <f>M67-M66</f>
        <v>0</v>
      </c>
      <c r="K67" s="17">
        <f>68/$M$68*(J67)</f>
        <v>0</v>
      </c>
      <c r="L67" s="2"/>
      <c r="M67" s="16">
        <v>219101</v>
      </c>
      <c r="N67" s="15">
        <v>269532059</v>
      </c>
      <c r="O67" s="14">
        <f>N67*'[1]Inflation Rates by Year'!$C$2</f>
        <v>304776071.03483999</v>
      </c>
      <c r="P67" s="9">
        <f>O67/M67</f>
        <v>1391.0300319708263</v>
      </c>
      <c r="Q67" s="13" t="s">
        <v>2</v>
      </c>
      <c r="R67" s="12">
        <v>269532059</v>
      </c>
    </row>
    <row r="68" spans="1:18" x14ac:dyDescent="0.25">
      <c r="A68" s="10">
        <v>44489</v>
      </c>
      <c r="B68" s="11">
        <v>67</v>
      </c>
      <c r="C68" s="3"/>
      <c r="D68" s="3"/>
      <c r="E68" s="3"/>
      <c r="F68" s="3"/>
      <c r="G68" s="3"/>
      <c r="H68" s="3"/>
      <c r="I68" s="3"/>
      <c r="J68" s="17">
        <f>M68-M67</f>
        <v>0</v>
      </c>
      <c r="K68" s="17">
        <f>68/$M$68*(J68)</f>
        <v>0</v>
      </c>
      <c r="L68" s="2"/>
      <c r="M68" s="16">
        <v>219101</v>
      </c>
      <c r="N68" s="15">
        <v>271147512</v>
      </c>
      <c r="O68" s="14">
        <f>N68*'[1]Inflation Rates by Year'!$C$2</f>
        <v>306602760.66912001</v>
      </c>
      <c r="P68" s="9">
        <f>O68/M68</f>
        <v>1399.3672355175011</v>
      </c>
      <c r="Q68" s="13" t="s">
        <v>1</v>
      </c>
      <c r="R68" s="12">
        <v>271147512</v>
      </c>
    </row>
    <row r="69" spans="1:18" x14ac:dyDescent="0.25">
      <c r="A69" s="10">
        <v>44490</v>
      </c>
      <c r="B69" s="11">
        <v>68</v>
      </c>
      <c r="C69" s="3"/>
      <c r="D69" s="3"/>
      <c r="E69" s="3"/>
      <c r="F69" s="3"/>
      <c r="G69" s="3"/>
      <c r="H69" s="3"/>
      <c r="I69" s="3"/>
      <c r="J69" s="17">
        <f>M69-M68</f>
        <v>0</v>
      </c>
      <c r="K69" s="17">
        <f>68/$M$68*(J69)</f>
        <v>0</v>
      </c>
      <c r="L69" s="2"/>
      <c r="M69" s="16">
        <v>219101</v>
      </c>
      <c r="N69" s="15">
        <v>271147512</v>
      </c>
      <c r="O69" s="14">
        <f>N69*'[1]Inflation Rates by Year'!$C$2</f>
        <v>306602760.66912001</v>
      </c>
      <c r="P69" s="9">
        <f>O69/M69</f>
        <v>1399.3672355175011</v>
      </c>
      <c r="Q69" s="13" t="s">
        <v>0</v>
      </c>
      <c r="R69" s="12">
        <v>271147512</v>
      </c>
    </row>
    <row r="70" spans="1:18" ht="13.5" x14ac:dyDescent="0.25">
      <c r="A70" s="10">
        <v>44491</v>
      </c>
      <c r="B70" s="11"/>
      <c r="C70" s="3"/>
      <c r="D70" s="3"/>
      <c r="E70" s="3"/>
      <c r="F70" s="3"/>
      <c r="G70" s="3"/>
      <c r="H70" s="3"/>
      <c r="I70" s="3"/>
      <c r="J70" s="2"/>
      <c r="K70" s="2"/>
      <c r="L70" s="2"/>
      <c r="M70" s="1"/>
      <c r="N70" s="1"/>
      <c r="O70" s="8"/>
      <c r="P70" s="9" t="e">
        <f>O70/M70</f>
        <v>#DIV/0!</v>
      </c>
    </row>
    <row r="71" spans="1:18" ht="13.5" x14ac:dyDescent="0.25">
      <c r="A71" s="10">
        <v>44492</v>
      </c>
      <c r="B71" s="3"/>
      <c r="C71" s="3"/>
      <c r="D71" s="3"/>
      <c r="E71" s="3"/>
      <c r="F71" s="3"/>
      <c r="G71" s="3"/>
      <c r="H71" s="3"/>
      <c r="I71" s="3"/>
      <c r="J71" s="2"/>
      <c r="K71" s="2"/>
      <c r="L71" s="2"/>
      <c r="M71" s="1"/>
      <c r="N71" s="1"/>
      <c r="O71" s="8"/>
      <c r="P71" s="9" t="e">
        <f>O71/M71</f>
        <v>#DIV/0!</v>
      </c>
    </row>
    <row r="72" spans="1:18" ht="13.5" x14ac:dyDescent="0.25">
      <c r="A72" s="10">
        <v>44493</v>
      </c>
      <c r="B72" s="3"/>
      <c r="C72" s="3"/>
      <c r="D72" s="3"/>
      <c r="E72" s="3"/>
      <c r="F72" s="3"/>
      <c r="G72" s="3"/>
      <c r="H72" s="3"/>
      <c r="I72" s="3"/>
      <c r="J72" s="2"/>
      <c r="K72" s="2"/>
      <c r="L72" s="2"/>
      <c r="M72" s="1"/>
      <c r="N72" s="1"/>
      <c r="O72" s="8"/>
      <c r="P72" s="9" t="e">
        <f>O72/M72</f>
        <v>#DIV/0!</v>
      </c>
    </row>
    <row r="73" spans="1:18" ht="13.5" x14ac:dyDescent="0.25">
      <c r="A73" s="10">
        <v>44494</v>
      </c>
      <c r="B73" s="3"/>
      <c r="C73" s="3"/>
      <c r="D73" s="3"/>
      <c r="E73" s="3"/>
      <c r="F73" s="3"/>
      <c r="G73" s="3"/>
      <c r="H73" s="3"/>
      <c r="I73" s="3"/>
      <c r="J73" s="2"/>
      <c r="K73" s="2"/>
      <c r="L73" s="2"/>
      <c r="M73" s="1"/>
      <c r="N73" s="1"/>
      <c r="O73" s="8"/>
      <c r="P73" s="9" t="e">
        <f>O73/M73</f>
        <v>#DIV/0!</v>
      </c>
    </row>
    <row r="74" spans="1:18" ht="13.5" x14ac:dyDescent="0.25">
      <c r="A74" s="10">
        <v>44495</v>
      </c>
      <c r="B74" s="3"/>
      <c r="C74" s="3"/>
      <c r="D74" s="3"/>
      <c r="E74" s="3"/>
      <c r="F74" s="3"/>
      <c r="G74" s="3"/>
      <c r="H74" s="3"/>
      <c r="I74" s="3"/>
      <c r="J74" s="2"/>
      <c r="K74" s="2"/>
      <c r="L74" s="2"/>
      <c r="M74" s="1"/>
      <c r="N74" s="1"/>
      <c r="O74" s="8"/>
      <c r="P74" s="9" t="e">
        <f>O74/M74</f>
        <v>#DIV/0!</v>
      </c>
    </row>
    <row r="75" spans="1:18" ht="13.5" x14ac:dyDescent="0.25">
      <c r="A75" s="10">
        <v>44496</v>
      </c>
      <c r="B75" s="3"/>
      <c r="C75" s="3"/>
      <c r="D75" s="3"/>
      <c r="E75" s="3"/>
      <c r="F75" s="3"/>
      <c r="G75" s="3"/>
      <c r="H75" s="3"/>
      <c r="I75" s="3"/>
      <c r="J75" s="2"/>
      <c r="K75" s="2"/>
      <c r="L75" s="2"/>
      <c r="M75" s="1"/>
      <c r="N75" s="1"/>
      <c r="O75" s="8"/>
      <c r="P75" s="9" t="e">
        <f>O75/M75</f>
        <v>#DIV/0!</v>
      </c>
    </row>
    <row r="76" spans="1:18" ht="13.5" x14ac:dyDescent="0.25">
      <c r="A76" s="10">
        <v>44497</v>
      </c>
      <c r="B76" s="3"/>
      <c r="C76" s="3"/>
      <c r="D76" s="3"/>
      <c r="E76" s="3"/>
      <c r="F76" s="3"/>
      <c r="G76" s="3"/>
      <c r="H76" s="3"/>
      <c r="I76" s="3"/>
      <c r="J76" s="2"/>
      <c r="K76" s="2"/>
      <c r="L76" s="2"/>
      <c r="M76" s="1"/>
      <c r="N76" s="1"/>
      <c r="O76" s="8"/>
      <c r="P76" s="9" t="e">
        <f>O76/M76</f>
        <v>#DIV/0!</v>
      </c>
    </row>
    <row r="77" spans="1:18" ht="13.5" x14ac:dyDescent="0.25">
      <c r="A77" s="10">
        <v>44498</v>
      </c>
      <c r="B77" s="3"/>
      <c r="C77" s="3"/>
      <c r="D77" s="3"/>
      <c r="E77" s="3"/>
      <c r="F77" s="3"/>
      <c r="G77" s="3"/>
      <c r="H77" s="3"/>
      <c r="I77" s="3"/>
      <c r="J77" s="2"/>
      <c r="K77" s="2"/>
      <c r="L77" s="2"/>
      <c r="M77" s="1"/>
      <c r="N77" s="1"/>
      <c r="O77" s="8"/>
      <c r="P77" s="9" t="e">
        <f>O77/M77</f>
        <v>#DIV/0!</v>
      </c>
    </row>
    <row r="78" spans="1:18" ht="13.5" x14ac:dyDescent="0.25">
      <c r="A78" s="10">
        <v>44499</v>
      </c>
      <c r="B78" s="3"/>
      <c r="C78" s="3"/>
      <c r="D78" s="3"/>
      <c r="E78" s="3"/>
      <c r="F78" s="3"/>
      <c r="G78" s="3"/>
      <c r="H78" s="3"/>
      <c r="I78" s="3"/>
      <c r="J78" s="2"/>
      <c r="K78" s="2"/>
      <c r="L78" s="2"/>
      <c r="M78" s="1"/>
      <c r="N78" s="1"/>
      <c r="O78" s="8"/>
      <c r="P78" s="9" t="e">
        <f>O78/M78</f>
        <v>#DIV/0!</v>
      </c>
    </row>
    <row r="79" spans="1:18" ht="13.5" x14ac:dyDescent="0.25">
      <c r="A79" s="10">
        <v>44500</v>
      </c>
      <c r="B79" s="3"/>
      <c r="C79" s="3"/>
      <c r="D79" s="3"/>
      <c r="E79" s="3"/>
      <c r="F79" s="3"/>
      <c r="G79" s="3"/>
      <c r="H79" s="3"/>
      <c r="I79" s="3"/>
      <c r="J79" s="2"/>
      <c r="K79" s="2"/>
      <c r="L79" s="2"/>
      <c r="M79" s="1"/>
      <c r="N79" s="1"/>
      <c r="O79" s="8"/>
      <c r="P79" s="9" t="e">
        <f>O79/M79</f>
        <v>#DIV/0!</v>
      </c>
    </row>
    <row r="80" spans="1:18" ht="13.5" x14ac:dyDescent="0.25">
      <c r="A80" s="10">
        <v>44501</v>
      </c>
      <c r="B80" s="3"/>
      <c r="C80" s="3"/>
      <c r="D80" s="3"/>
      <c r="E80" s="3"/>
      <c r="F80" s="3"/>
      <c r="G80" s="3"/>
      <c r="H80" s="3"/>
      <c r="I80" s="3"/>
      <c r="J80" s="2"/>
      <c r="K80" s="2"/>
      <c r="L80" s="2"/>
      <c r="M80" s="1"/>
      <c r="N80" s="1"/>
      <c r="O80" s="8"/>
      <c r="P80" s="9" t="e">
        <f>O80/M80</f>
        <v>#DIV/0!</v>
      </c>
    </row>
    <row r="81" spans="1:16" ht="13.5" x14ac:dyDescent="0.25">
      <c r="A81" s="10">
        <v>44502</v>
      </c>
      <c r="B81" s="3"/>
      <c r="C81" s="3"/>
      <c r="D81" s="3"/>
      <c r="E81" s="3"/>
      <c r="F81" s="3"/>
      <c r="G81" s="3"/>
      <c r="H81" s="3"/>
      <c r="I81" s="3"/>
      <c r="J81" s="2"/>
      <c r="K81" s="2"/>
      <c r="L81" s="2"/>
      <c r="M81" s="1"/>
      <c r="N81" s="1"/>
      <c r="O81" s="8"/>
      <c r="P81" s="9" t="e">
        <f>O81/M81</f>
        <v>#DIV/0!</v>
      </c>
    </row>
    <row r="82" spans="1:16" ht="13.5" x14ac:dyDescent="0.25">
      <c r="A82" s="10">
        <v>44503</v>
      </c>
      <c r="B82" s="3"/>
      <c r="C82" s="3"/>
      <c r="D82" s="3"/>
      <c r="E82" s="3"/>
      <c r="F82" s="3"/>
      <c r="G82" s="3"/>
      <c r="H82" s="3"/>
      <c r="I82" s="3"/>
      <c r="J82" s="2"/>
      <c r="K82" s="2"/>
      <c r="L82" s="2"/>
      <c r="M82" s="1"/>
      <c r="N82" s="1"/>
      <c r="O82" s="8"/>
      <c r="P82" s="9" t="e">
        <f>O82/M82</f>
        <v>#DIV/0!</v>
      </c>
    </row>
    <row r="83" spans="1:16" ht="13.5" x14ac:dyDescent="0.25">
      <c r="A83" s="10">
        <v>44504</v>
      </c>
      <c r="B83" s="3"/>
      <c r="C83" s="3"/>
      <c r="D83" s="3"/>
      <c r="E83" s="3"/>
      <c r="F83" s="3"/>
      <c r="G83" s="3"/>
      <c r="H83" s="3"/>
      <c r="I83" s="3"/>
      <c r="J83" s="2"/>
      <c r="K83" s="2"/>
      <c r="L83" s="2"/>
      <c r="M83" s="1"/>
      <c r="N83" s="1"/>
      <c r="O83" s="8"/>
      <c r="P83" s="9" t="e">
        <f>O83/M83</f>
        <v>#DIV/0!</v>
      </c>
    </row>
    <row r="84" spans="1:16" ht="13.5" x14ac:dyDescent="0.25">
      <c r="A84" s="10">
        <v>44505</v>
      </c>
      <c r="B84" s="3"/>
      <c r="C84" s="3"/>
      <c r="D84" s="3"/>
      <c r="E84" s="3"/>
      <c r="F84" s="3"/>
      <c r="G84" s="3"/>
      <c r="H84" s="3"/>
      <c r="I84" s="3"/>
      <c r="J84" s="2"/>
      <c r="K84" s="2"/>
      <c r="L84" s="2"/>
      <c r="M84" s="1"/>
      <c r="N84" s="1"/>
      <c r="O84" s="8"/>
      <c r="P84" s="9" t="e">
        <f>O84/M84</f>
        <v>#DIV/0!</v>
      </c>
    </row>
    <row r="85" spans="1:16" ht="13.5" x14ac:dyDescent="0.25">
      <c r="A85" s="10">
        <v>44506</v>
      </c>
      <c r="B85" s="3"/>
      <c r="C85" s="3"/>
      <c r="D85" s="3"/>
      <c r="E85" s="3"/>
      <c r="F85" s="3"/>
      <c r="G85" s="3"/>
      <c r="H85" s="3"/>
      <c r="I85" s="3"/>
      <c r="J85" s="2"/>
      <c r="K85" s="2"/>
      <c r="L85" s="2"/>
      <c r="M85" s="1"/>
      <c r="N85" s="1"/>
      <c r="O85" s="8"/>
      <c r="P85" s="9" t="e">
        <f>O85/M85</f>
        <v>#DIV/0!</v>
      </c>
    </row>
    <row r="86" spans="1:16" ht="13.5" x14ac:dyDescent="0.25">
      <c r="A86" s="10">
        <v>44507</v>
      </c>
      <c r="B86" s="3"/>
      <c r="C86" s="3"/>
      <c r="D86" s="3"/>
      <c r="E86" s="3"/>
      <c r="F86" s="3"/>
      <c r="G86" s="3"/>
      <c r="H86" s="3"/>
      <c r="I86" s="3"/>
      <c r="J86" s="2"/>
      <c r="K86" s="2"/>
      <c r="L86" s="2"/>
      <c r="M86" s="1"/>
      <c r="N86" s="1"/>
      <c r="O86" s="8"/>
      <c r="P86" s="9" t="e">
        <f>O86/M86</f>
        <v>#DIV/0!</v>
      </c>
    </row>
    <row r="87" spans="1:16" ht="13.5" x14ac:dyDescent="0.25">
      <c r="A87" s="10">
        <v>44508</v>
      </c>
      <c r="B87" s="3"/>
      <c r="C87" s="3"/>
      <c r="D87" s="3"/>
      <c r="E87" s="3"/>
      <c r="F87" s="3"/>
      <c r="G87" s="3"/>
      <c r="H87" s="3"/>
      <c r="I87" s="3"/>
      <c r="J87" s="2"/>
      <c r="K87" s="2"/>
      <c r="L87" s="2"/>
      <c r="M87" s="1"/>
      <c r="N87" s="1"/>
      <c r="O87" s="8"/>
      <c r="P87" s="9" t="e">
        <f>O87/M87</f>
        <v>#DIV/0!</v>
      </c>
    </row>
    <row r="88" spans="1:16" ht="13.5" x14ac:dyDescent="0.25">
      <c r="A88" s="10">
        <v>44509</v>
      </c>
      <c r="B88" s="3"/>
      <c r="C88" s="3"/>
      <c r="D88" s="3"/>
      <c r="E88" s="3"/>
      <c r="F88" s="3"/>
      <c r="G88" s="3"/>
      <c r="H88" s="3"/>
      <c r="I88" s="3"/>
      <c r="J88" s="2"/>
      <c r="K88" s="2"/>
      <c r="L88" s="2"/>
      <c r="M88" s="1"/>
      <c r="N88" s="1"/>
      <c r="O88" s="8"/>
      <c r="P88" s="9" t="e">
        <f>O88/M88</f>
        <v>#DIV/0!</v>
      </c>
    </row>
    <row r="89" spans="1:16" ht="13.5" x14ac:dyDescent="0.25">
      <c r="A89" s="10">
        <v>44510</v>
      </c>
      <c r="B89" s="3"/>
      <c r="C89" s="3"/>
      <c r="D89" s="3"/>
      <c r="E89" s="3"/>
      <c r="F89" s="3"/>
      <c r="G89" s="3"/>
      <c r="H89" s="3"/>
      <c r="I89" s="3"/>
      <c r="J89" s="2"/>
      <c r="K89" s="2"/>
      <c r="L89" s="2"/>
      <c r="M89" s="1"/>
      <c r="N89" s="1"/>
      <c r="O89" s="8"/>
      <c r="P89" s="9" t="e">
        <f>O89/M89</f>
        <v>#DIV/0!</v>
      </c>
    </row>
    <row r="90" spans="1:16" ht="13.5" x14ac:dyDescent="0.25">
      <c r="A90" s="10">
        <v>44511</v>
      </c>
      <c r="B90" s="3"/>
      <c r="C90" s="3"/>
      <c r="D90" s="3"/>
      <c r="E90" s="3"/>
      <c r="F90" s="3"/>
      <c r="G90" s="3"/>
      <c r="H90" s="3"/>
      <c r="I90" s="3"/>
      <c r="J90" s="2"/>
      <c r="K90" s="2"/>
      <c r="L90" s="2"/>
      <c r="M90" s="1"/>
      <c r="N90" s="1"/>
      <c r="O90" s="8"/>
      <c r="P90" s="9" t="e">
        <f>O90/M90</f>
        <v>#DIV/0!</v>
      </c>
    </row>
    <row r="91" spans="1:16" ht="13.5" x14ac:dyDescent="0.25">
      <c r="A91" s="10">
        <v>44512</v>
      </c>
      <c r="B91" s="3"/>
      <c r="C91" s="3"/>
      <c r="D91" s="3"/>
      <c r="E91" s="3"/>
      <c r="F91" s="3"/>
      <c r="G91" s="3"/>
      <c r="H91" s="3"/>
      <c r="I91" s="3"/>
      <c r="J91" s="2"/>
      <c r="K91" s="2"/>
      <c r="L91" s="2"/>
      <c r="M91" s="1"/>
      <c r="N91" s="1"/>
      <c r="O91" s="8"/>
      <c r="P91" s="9" t="e">
        <f>O91/M91</f>
        <v>#DIV/0!</v>
      </c>
    </row>
    <row r="92" spans="1:16" ht="13.5" x14ac:dyDescent="0.25">
      <c r="A92" s="10">
        <v>44513</v>
      </c>
      <c r="B92" s="3"/>
      <c r="C92" s="3"/>
      <c r="D92" s="3"/>
      <c r="E92" s="3"/>
      <c r="F92" s="3"/>
      <c r="G92" s="3"/>
      <c r="H92" s="3"/>
      <c r="I92" s="3"/>
      <c r="J92" s="2"/>
      <c r="K92" s="2"/>
      <c r="L92" s="2"/>
      <c r="M92" s="1"/>
      <c r="N92" s="1"/>
      <c r="O92" s="8"/>
      <c r="P92" s="9" t="e">
        <f>O92/M92</f>
        <v>#DIV/0!</v>
      </c>
    </row>
    <row r="93" spans="1:16" ht="13.5" x14ac:dyDescent="0.25">
      <c r="A93" s="10">
        <v>44514</v>
      </c>
      <c r="B93" s="3"/>
      <c r="C93" s="3"/>
      <c r="D93" s="3"/>
      <c r="E93" s="3"/>
      <c r="F93" s="3"/>
      <c r="G93" s="3"/>
      <c r="H93" s="3"/>
      <c r="I93" s="3"/>
      <c r="J93" s="2"/>
      <c r="K93" s="2"/>
      <c r="L93" s="2"/>
      <c r="M93" s="1"/>
      <c r="N93" s="1"/>
      <c r="O93" s="8"/>
      <c r="P93" s="9" t="e">
        <f>O93/M93</f>
        <v>#DIV/0!</v>
      </c>
    </row>
    <row r="94" spans="1:16" ht="13.5" x14ac:dyDescent="0.25">
      <c r="A94" s="10">
        <v>44515</v>
      </c>
      <c r="B94" s="3"/>
      <c r="C94" s="3"/>
      <c r="D94" s="3"/>
      <c r="E94" s="3"/>
      <c r="F94" s="3"/>
      <c r="G94" s="3"/>
      <c r="H94" s="3"/>
      <c r="I94" s="3"/>
      <c r="J94" s="2"/>
      <c r="K94" s="2"/>
      <c r="L94" s="2"/>
      <c r="M94" s="1"/>
      <c r="N94" s="1"/>
      <c r="O94" s="8"/>
      <c r="P94" s="9" t="e">
        <f>O94/M94</f>
        <v>#DIV/0!</v>
      </c>
    </row>
    <row r="95" spans="1:16" ht="13.5" x14ac:dyDescent="0.25">
      <c r="A95" s="10">
        <v>44516</v>
      </c>
      <c r="B95" s="3"/>
      <c r="C95" s="3"/>
      <c r="D95" s="3"/>
      <c r="E95" s="3"/>
      <c r="F95" s="3"/>
      <c r="G95" s="3"/>
      <c r="H95" s="3"/>
      <c r="I95" s="3"/>
      <c r="J95" s="2"/>
      <c r="K95" s="2"/>
      <c r="L95" s="2"/>
      <c r="M95" s="1"/>
      <c r="N95" s="1"/>
      <c r="O95" s="8"/>
      <c r="P95" s="9" t="e">
        <f>O95/M95</f>
        <v>#DIV/0!</v>
      </c>
    </row>
    <row r="96" spans="1:16" ht="13.5" x14ac:dyDescent="0.25">
      <c r="A96" s="10">
        <v>44517</v>
      </c>
      <c r="B96" s="3"/>
      <c r="C96" s="3"/>
      <c r="D96" s="3"/>
      <c r="E96" s="3"/>
      <c r="F96" s="3"/>
      <c r="G96" s="3"/>
      <c r="H96" s="3"/>
      <c r="I96" s="3"/>
      <c r="J96" s="2"/>
      <c r="K96" s="2"/>
      <c r="L96" s="2"/>
      <c r="M96" s="1"/>
      <c r="N96" s="1"/>
      <c r="O96" s="8"/>
      <c r="P96" s="9" t="e">
        <f>O96/M96</f>
        <v>#DIV/0!</v>
      </c>
    </row>
    <row r="97" spans="1:16" ht="13.5" x14ac:dyDescent="0.25">
      <c r="A97" s="10">
        <v>44518</v>
      </c>
      <c r="B97" s="3"/>
      <c r="C97" s="3"/>
      <c r="D97" s="3"/>
      <c r="E97" s="3"/>
      <c r="F97" s="3"/>
      <c r="G97" s="3"/>
      <c r="H97" s="3"/>
      <c r="I97" s="3"/>
      <c r="J97" s="2"/>
      <c r="K97" s="2"/>
      <c r="L97" s="2"/>
      <c r="M97" s="1"/>
      <c r="N97" s="1"/>
      <c r="O97" s="8"/>
      <c r="P97" s="9" t="e">
        <f>O97/M97</f>
        <v>#DIV/0!</v>
      </c>
    </row>
    <row r="98" spans="1:16" ht="13.5" x14ac:dyDescent="0.25">
      <c r="A98" s="10">
        <v>44519</v>
      </c>
      <c r="B98" s="3"/>
      <c r="C98" s="3"/>
      <c r="D98" s="3"/>
      <c r="E98" s="3"/>
      <c r="F98" s="3"/>
      <c r="G98" s="3"/>
      <c r="H98" s="3"/>
      <c r="I98" s="3"/>
      <c r="J98" s="2"/>
      <c r="K98" s="2"/>
      <c r="L98" s="2"/>
      <c r="M98" s="1"/>
      <c r="N98" s="1"/>
      <c r="O98" s="8"/>
      <c r="P98" s="9" t="e">
        <f>O98/M98</f>
        <v>#DIV/0!</v>
      </c>
    </row>
    <row r="99" spans="1:16" ht="13.5" x14ac:dyDescent="0.25">
      <c r="A99" s="10">
        <v>44520</v>
      </c>
      <c r="B99" s="3"/>
      <c r="C99" s="3"/>
      <c r="D99" s="3"/>
      <c r="E99" s="3"/>
      <c r="F99" s="3"/>
      <c r="G99" s="3"/>
      <c r="H99" s="3"/>
      <c r="I99" s="3"/>
      <c r="J99" s="2"/>
      <c r="K99" s="2"/>
      <c r="L99" s="2"/>
      <c r="M99" s="1"/>
      <c r="N99" s="1"/>
      <c r="O99" s="8"/>
      <c r="P99" s="9" t="e">
        <f>O99/M99</f>
        <v>#DIV/0!</v>
      </c>
    </row>
    <row r="100" spans="1:16" ht="13.5" x14ac:dyDescent="0.25">
      <c r="A100" s="10">
        <v>44521</v>
      </c>
      <c r="B100" s="3"/>
      <c r="C100" s="3"/>
      <c r="D100" s="3"/>
      <c r="E100" s="3"/>
      <c r="F100" s="3"/>
      <c r="G100" s="3"/>
      <c r="H100" s="3"/>
      <c r="I100" s="3"/>
      <c r="J100" s="2"/>
      <c r="K100" s="2"/>
      <c r="L100" s="2"/>
      <c r="M100" s="1"/>
      <c r="N100" s="1"/>
      <c r="O100" s="8"/>
      <c r="P100" s="9" t="e">
        <f>O100/M100</f>
        <v>#DIV/0!</v>
      </c>
    </row>
    <row r="101" spans="1:16" ht="13.5" x14ac:dyDescent="0.25">
      <c r="A101" s="10">
        <v>44522</v>
      </c>
      <c r="B101" s="3"/>
      <c r="C101" s="3"/>
      <c r="D101" s="3"/>
      <c r="E101" s="3"/>
      <c r="F101" s="3"/>
      <c r="G101" s="3"/>
      <c r="H101" s="3"/>
      <c r="I101" s="3"/>
      <c r="J101" s="2"/>
      <c r="K101" s="2"/>
      <c r="L101" s="2"/>
      <c r="M101" s="1"/>
      <c r="N101" s="1"/>
      <c r="O101" s="8"/>
      <c r="P101" s="9" t="e">
        <f>O101/M101</f>
        <v>#DIV/0!</v>
      </c>
    </row>
    <row r="102" spans="1:16" ht="13.5" x14ac:dyDescent="0.25">
      <c r="A102" s="10">
        <v>44523</v>
      </c>
      <c r="B102" s="3"/>
      <c r="C102" s="3"/>
      <c r="D102" s="3"/>
      <c r="E102" s="3"/>
      <c r="F102" s="3"/>
      <c r="G102" s="3"/>
      <c r="H102" s="3"/>
      <c r="I102" s="3"/>
      <c r="J102" s="2"/>
      <c r="K102" s="2"/>
      <c r="L102" s="2"/>
      <c r="M102" s="1"/>
      <c r="N102" s="1"/>
      <c r="O102" s="8"/>
      <c r="P102" s="9" t="e">
        <f>O102/M102</f>
        <v>#DIV/0!</v>
      </c>
    </row>
    <row r="103" spans="1:16" ht="13.5" x14ac:dyDescent="0.25">
      <c r="A103" s="10">
        <v>44524</v>
      </c>
      <c r="B103" s="3"/>
      <c r="C103" s="3"/>
      <c r="D103" s="3"/>
      <c r="E103" s="3"/>
      <c r="F103" s="3"/>
      <c r="G103" s="3"/>
      <c r="H103" s="3"/>
      <c r="I103" s="3"/>
      <c r="J103" s="2"/>
      <c r="K103" s="2"/>
      <c r="L103" s="2"/>
      <c r="M103" s="1"/>
      <c r="N103" s="1"/>
      <c r="O103" s="8"/>
      <c r="P103" s="9" t="e">
        <f>O103/M103</f>
        <v>#DIV/0!</v>
      </c>
    </row>
    <row r="104" spans="1:16" ht="13.5" x14ac:dyDescent="0.25">
      <c r="A104" s="10">
        <v>44525</v>
      </c>
      <c r="B104" s="3"/>
      <c r="C104" s="3"/>
      <c r="D104" s="3"/>
      <c r="E104" s="3"/>
      <c r="F104" s="3"/>
      <c r="G104" s="3"/>
      <c r="H104" s="3"/>
      <c r="I104" s="3"/>
      <c r="J104" s="2"/>
      <c r="K104" s="2"/>
      <c r="L104" s="2"/>
      <c r="M104" s="1"/>
      <c r="N104" s="1"/>
      <c r="O104" s="8"/>
      <c r="P104" s="9" t="e">
        <f>O104/M104</f>
        <v>#DIV/0!</v>
      </c>
    </row>
    <row r="105" spans="1:16" ht="13.5" x14ac:dyDescent="0.25">
      <c r="A105" s="10">
        <v>44526</v>
      </c>
      <c r="B105" s="3"/>
      <c r="C105" s="3"/>
      <c r="D105" s="3"/>
      <c r="E105" s="3"/>
      <c r="F105" s="3"/>
      <c r="G105" s="3"/>
      <c r="H105" s="3"/>
      <c r="I105" s="3"/>
      <c r="J105" s="2"/>
      <c r="K105" s="2"/>
      <c r="L105" s="2"/>
      <c r="M105" s="1"/>
      <c r="N105" s="1"/>
      <c r="O105" s="8"/>
      <c r="P105" s="9" t="e">
        <f>O105/M105</f>
        <v>#DIV/0!</v>
      </c>
    </row>
    <row r="106" spans="1:16" ht="13.5" x14ac:dyDescent="0.25">
      <c r="A106" s="10">
        <v>44527</v>
      </c>
      <c r="B106" s="3"/>
      <c r="C106" s="3"/>
      <c r="D106" s="3"/>
      <c r="E106" s="3"/>
      <c r="F106" s="3"/>
      <c r="G106" s="3"/>
      <c r="H106" s="3"/>
      <c r="I106" s="3"/>
      <c r="J106" s="2"/>
      <c r="K106" s="2"/>
      <c r="L106" s="2"/>
      <c r="M106" s="1"/>
      <c r="N106" s="1"/>
      <c r="O106" s="8"/>
      <c r="P106" s="9" t="e">
        <f>O106/M106</f>
        <v>#DIV/0!</v>
      </c>
    </row>
    <row r="107" spans="1:16" ht="13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2"/>
      <c r="K107" s="2"/>
      <c r="L107" s="2"/>
      <c r="M107" s="1"/>
      <c r="N107" s="1"/>
      <c r="O107" s="8"/>
      <c r="P107" s="7"/>
    </row>
    <row r="108" spans="1:16" ht="13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2"/>
      <c r="K108" s="2"/>
      <c r="L108" s="2"/>
      <c r="M108" s="1"/>
      <c r="N108" s="1"/>
      <c r="O108" s="8"/>
      <c r="P108" s="7"/>
    </row>
    <row r="109" spans="1:16" ht="13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2"/>
      <c r="K109" s="2"/>
      <c r="L109" s="2"/>
      <c r="M109" s="1"/>
      <c r="N109" s="1"/>
      <c r="O109" s="8"/>
      <c r="P109" s="7"/>
    </row>
    <row r="110" spans="1:16" ht="13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2"/>
      <c r="K110" s="2"/>
      <c r="L110" s="2"/>
      <c r="M110" s="1"/>
      <c r="N110" s="1"/>
      <c r="O110" s="8"/>
      <c r="P110" s="7"/>
    </row>
    <row r="111" spans="1:16" ht="13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2"/>
      <c r="K111" s="2"/>
      <c r="L111" s="2"/>
      <c r="M111" s="1"/>
      <c r="N111" s="1"/>
      <c r="O111" s="8"/>
      <c r="P111" s="7"/>
    </row>
    <row r="112" spans="1:16" ht="13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2"/>
      <c r="K112" s="2"/>
      <c r="L112" s="2"/>
      <c r="M112" s="1"/>
      <c r="N112" s="1"/>
      <c r="O112" s="8"/>
      <c r="P112" s="7"/>
    </row>
    <row r="113" spans="1:16" ht="13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2"/>
      <c r="K113" s="2"/>
      <c r="L113" s="2"/>
      <c r="M113" s="1"/>
      <c r="N113" s="1"/>
      <c r="O113" s="8"/>
      <c r="P113" s="7"/>
    </row>
    <row r="114" spans="1:16" ht="13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2"/>
      <c r="K114" s="2"/>
      <c r="L114" s="2"/>
      <c r="M114" s="1"/>
      <c r="N114" s="1"/>
      <c r="O114" s="8"/>
      <c r="P114" s="7"/>
    </row>
    <row r="115" spans="1:16" ht="13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2"/>
      <c r="K115" s="2"/>
      <c r="L115" s="2"/>
      <c r="M115" s="1"/>
      <c r="N115" s="1"/>
      <c r="O115" s="6"/>
      <c r="P115" s="5"/>
    </row>
    <row r="116" spans="1:16" ht="13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2"/>
      <c r="K116" s="2"/>
      <c r="L116" s="2"/>
      <c r="M116" s="1"/>
      <c r="N116" s="1"/>
      <c r="O116" s="6"/>
      <c r="P116" s="5"/>
    </row>
    <row r="117" spans="1:16" ht="13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2"/>
      <c r="K117" s="2"/>
      <c r="L117" s="2"/>
      <c r="M117" s="1"/>
      <c r="N117" s="1"/>
      <c r="O117" s="6"/>
      <c r="P117" s="5"/>
    </row>
    <row r="118" spans="1:16" ht="13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2"/>
      <c r="K118" s="2"/>
      <c r="L118" s="2"/>
      <c r="M118" s="1"/>
      <c r="N118" s="1"/>
      <c r="O118" s="6"/>
      <c r="P118" s="5"/>
    </row>
    <row r="119" spans="1:16" ht="13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2"/>
      <c r="K119" s="2"/>
      <c r="L119" s="2"/>
      <c r="M119" s="1"/>
      <c r="N119" s="1"/>
      <c r="O119" s="6"/>
      <c r="P119" s="5"/>
    </row>
    <row r="120" spans="1:16" ht="13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2"/>
      <c r="K120" s="2"/>
      <c r="L120" s="2"/>
      <c r="M120" s="1"/>
      <c r="N120" s="1"/>
      <c r="O120" s="6"/>
      <c r="P120" s="5"/>
    </row>
    <row r="121" spans="1:16" ht="13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2"/>
      <c r="K121" s="2"/>
      <c r="L121" s="2"/>
      <c r="M121" s="1"/>
      <c r="N121" s="1"/>
      <c r="O121" s="6"/>
      <c r="P121" s="5"/>
    </row>
    <row r="122" spans="1:16" ht="13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2"/>
      <c r="K122" s="2"/>
      <c r="L122" s="2"/>
      <c r="M122" s="1"/>
      <c r="N122" s="1"/>
      <c r="O122" s="6"/>
      <c r="P122" s="5"/>
    </row>
    <row r="123" spans="1:16" ht="13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2"/>
      <c r="K123" s="2"/>
      <c r="L123" s="2"/>
      <c r="M123" s="1"/>
      <c r="N123" s="1"/>
      <c r="O123" s="6"/>
      <c r="P123" s="5"/>
    </row>
    <row r="124" spans="1:16" ht="13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2"/>
      <c r="K124" s="2"/>
      <c r="L124" s="2"/>
      <c r="M124" s="1"/>
      <c r="N124" s="1"/>
      <c r="O124" s="6"/>
      <c r="P124" s="5"/>
    </row>
    <row r="125" spans="1:16" ht="13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2"/>
      <c r="K125" s="2"/>
      <c r="L125" s="2"/>
      <c r="M125" s="1"/>
      <c r="N125" s="1"/>
      <c r="O125" s="6"/>
      <c r="P125" s="5"/>
    </row>
    <row r="126" spans="1:16" ht="13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2"/>
      <c r="K126" s="2"/>
      <c r="L126" s="2"/>
      <c r="M126" s="1"/>
      <c r="N126" s="1"/>
      <c r="O126" s="6"/>
      <c r="P126" s="5"/>
    </row>
    <row r="127" spans="1:16" ht="13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2"/>
      <c r="K127" s="2"/>
      <c r="L127" s="2"/>
      <c r="M127" s="1"/>
      <c r="N127" s="1"/>
      <c r="O127" s="6"/>
      <c r="P127" s="5"/>
    </row>
    <row r="128" spans="1:16" ht="13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2"/>
      <c r="K128" s="2"/>
      <c r="L128" s="2"/>
      <c r="M128" s="1"/>
      <c r="N128" s="1"/>
      <c r="O128" s="6"/>
      <c r="P128" s="5"/>
    </row>
    <row r="129" spans="1:16" ht="13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2"/>
      <c r="K129" s="2"/>
      <c r="L129" s="2"/>
      <c r="M129" s="1"/>
      <c r="N129" s="1"/>
      <c r="O129" s="6"/>
      <c r="P129" s="5"/>
    </row>
    <row r="130" spans="1:16" ht="13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2"/>
      <c r="K130" s="2"/>
      <c r="L130" s="2"/>
      <c r="M130" s="1"/>
      <c r="N130" s="1"/>
      <c r="O130" s="6"/>
      <c r="P130" s="5"/>
    </row>
    <row r="131" spans="1:16" ht="13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2"/>
      <c r="K131" s="2"/>
      <c r="L131" s="2"/>
      <c r="M131" s="1"/>
      <c r="N131" s="1"/>
      <c r="O131" s="6"/>
      <c r="P131" s="5"/>
    </row>
    <row r="132" spans="1:16" ht="13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2"/>
      <c r="K132" s="2"/>
      <c r="L132" s="2"/>
      <c r="M132" s="1"/>
      <c r="N132" s="1"/>
      <c r="O132" s="6"/>
      <c r="P132" s="5"/>
    </row>
    <row r="133" spans="1:16" ht="13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2"/>
      <c r="K133" s="2"/>
      <c r="L133" s="2"/>
      <c r="M133" s="1"/>
      <c r="N133" s="1"/>
      <c r="O133" s="6"/>
      <c r="P133" s="5"/>
    </row>
    <row r="134" spans="1:16" ht="13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2"/>
      <c r="K134" s="2"/>
      <c r="L134" s="2"/>
      <c r="M134" s="1"/>
      <c r="N134" s="1"/>
      <c r="O134" s="6"/>
      <c r="P134" s="5"/>
    </row>
    <row r="135" spans="1:16" ht="13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2"/>
      <c r="K135" s="2"/>
      <c r="L135" s="2"/>
      <c r="M135" s="1"/>
      <c r="N135" s="1"/>
      <c r="O135" s="6"/>
      <c r="P135" s="5"/>
    </row>
    <row r="136" spans="1:16" ht="13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2"/>
      <c r="K136" s="2"/>
      <c r="L136" s="2"/>
      <c r="M136" s="1"/>
      <c r="N136" s="1"/>
      <c r="O136" s="6"/>
      <c r="P136" s="5"/>
    </row>
    <row r="137" spans="1:16" ht="13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2"/>
      <c r="K137" s="2"/>
      <c r="L137" s="2"/>
      <c r="M137" s="1"/>
      <c r="N137" s="1"/>
      <c r="O137" s="6"/>
      <c r="P137" s="5"/>
    </row>
    <row r="138" spans="1:16" ht="13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2"/>
      <c r="K138" s="2"/>
      <c r="L138" s="2"/>
      <c r="M138" s="1"/>
      <c r="N138" s="1"/>
      <c r="O138" s="6"/>
      <c r="P138" s="5"/>
    </row>
    <row r="139" spans="1:16" ht="13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2"/>
      <c r="K139" s="2"/>
      <c r="L139" s="2"/>
      <c r="M139" s="1"/>
      <c r="N139" s="1"/>
      <c r="O139" s="6"/>
      <c r="P139" s="5"/>
    </row>
    <row r="140" spans="1:16" ht="13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2"/>
      <c r="K140" s="2"/>
      <c r="L140" s="2"/>
      <c r="M140" s="1"/>
      <c r="N140" s="1"/>
      <c r="O140" s="6"/>
      <c r="P140" s="5"/>
    </row>
    <row r="141" spans="1:16" ht="13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2"/>
      <c r="K141" s="2"/>
      <c r="L141" s="2"/>
      <c r="M141" s="1"/>
      <c r="N141" s="1"/>
      <c r="O141" s="6"/>
      <c r="P141" s="5"/>
    </row>
    <row r="142" spans="1:16" ht="13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2"/>
      <c r="K142" s="2"/>
      <c r="L142" s="2"/>
      <c r="M142" s="1"/>
      <c r="N142" s="1"/>
      <c r="O142" s="6"/>
      <c r="P142" s="5"/>
    </row>
    <row r="143" spans="1:16" ht="13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2"/>
      <c r="K143" s="2"/>
      <c r="L143" s="2"/>
      <c r="M143" s="1"/>
      <c r="N143" s="1"/>
      <c r="O143" s="6"/>
      <c r="P143" s="5"/>
    </row>
    <row r="144" spans="1:16" ht="13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2"/>
      <c r="K144" s="2"/>
      <c r="L144" s="2"/>
      <c r="M144" s="1"/>
      <c r="N144" s="1"/>
      <c r="O144" s="6"/>
      <c r="P144" s="5"/>
    </row>
    <row r="145" spans="1:16" ht="13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2"/>
      <c r="K145" s="2"/>
      <c r="L145" s="2"/>
      <c r="M145" s="1"/>
      <c r="N145" s="1"/>
      <c r="O145" s="6"/>
      <c r="P145" s="5"/>
    </row>
    <row r="146" spans="1:16" ht="13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2"/>
      <c r="K146" s="2"/>
      <c r="L146" s="2"/>
      <c r="M146" s="1"/>
      <c r="N146" s="1"/>
      <c r="O146" s="6"/>
      <c r="P146" s="5"/>
    </row>
    <row r="147" spans="1:16" ht="13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2"/>
      <c r="K147" s="2"/>
      <c r="L147" s="2"/>
      <c r="M147" s="1"/>
      <c r="N147" s="1"/>
      <c r="O147" s="6"/>
      <c r="P147" s="5"/>
    </row>
    <row r="148" spans="1:16" ht="13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2"/>
      <c r="K148" s="2"/>
      <c r="L148" s="2"/>
      <c r="M148" s="1"/>
      <c r="N148" s="1"/>
      <c r="O148" s="6"/>
      <c r="P148" s="5"/>
    </row>
    <row r="149" spans="1:16" ht="13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2"/>
      <c r="K149" s="2"/>
      <c r="L149" s="2"/>
      <c r="M149" s="1"/>
      <c r="N149" s="1"/>
      <c r="O149" s="6"/>
      <c r="P149" s="5"/>
    </row>
    <row r="150" spans="1:16" ht="13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2"/>
      <c r="K150" s="2"/>
      <c r="L150" s="2"/>
      <c r="M150" s="1"/>
      <c r="N150" s="1"/>
      <c r="O150" s="6"/>
      <c r="P150" s="5"/>
    </row>
    <row r="151" spans="1:16" ht="13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2"/>
      <c r="K151" s="2"/>
      <c r="L151" s="2"/>
      <c r="M151" s="1"/>
      <c r="N151" s="1"/>
      <c r="O151" s="6"/>
      <c r="P151" s="5"/>
    </row>
    <row r="152" spans="1:16" ht="13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2"/>
      <c r="K152" s="2"/>
      <c r="L152" s="2"/>
      <c r="M152" s="1"/>
      <c r="N152" s="1"/>
      <c r="O152" s="6"/>
      <c r="P152" s="5"/>
    </row>
    <row r="153" spans="1:16" ht="13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2"/>
      <c r="K153" s="2"/>
      <c r="L153" s="2"/>
      <c r="M153" s="1"/>
      <c r="N153" s="1"/>
      <c r="O153" s="6"/>
      <c r="P153" s="5"/>
    </row>
    <row r="154" spans="1:16" ht="13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2"/>
      <c r="K154" s="2"/>
      <c r="L154" s="2"/>
      <c r="M154" s="1"/>
      <c r="N154" s="1"/>
      <c r="O154" s="6"/>
      <c r="P154" s="5"/>
    </row>
    <row r="155" spans="1:16" ht="13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2"/>
      <c r="K155" s="2"/>
      <c r="L155" s="2"/>
      <c r="M155" s="1"/>
      <c r="N155" s="1"/>
      <c r="O155" s="6"/>
      <c r="P155" s="5"/>
    </row>
    <row r="156" spans="1:16" ht="13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2"/>
      <c r="K156" s="2"/>
      <c r="L156" s="2"/>
      <c r="M156" s="1"/>
      <c r="N156" s="1"/>
      <c r="O156" s="6"/>
      <c r="P156" s="5"/>
    </row>
    <row r="157" spans="1:16" ht="13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2"/>
      <c r="K157" s="2"/>
      <c r="L157" s="2"/>
      <c r="M157" s="1"/>
      <c r="N157" s="1"/>
      <c r="O157" s="6"/>
      <c r="P157" s="5"/>
    </row>
    <row r="158" spans="1:16" ht="13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2"/>
      <c r="K158" s="2"/>
      <c r="L158" s="2"/>
      <c r="M158" s="1"/>
      <c r="N158" s="1"/>
      <c r="O158" s="6"/>
      <c r="P158" s="5"/>
    </row>
    <row r="159" spans="1:16" ht="13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2"/>
      <c r="K159" s="2"/>
      <c r="L159" s="2"/>
      <c r="M159" s="1"/>
      <c r="N159" s="1"/>
      <c r="O159" s="6"/>
      <c r="P159" s="5"/>
    </row>
    <row r="160" spans="1:16" ht="13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2"/>
      <c r="K160" s="2"/>
      <c r="L160" s="2"/>
      <c r="M160" s="1"/>
      <c r="N160" s="1"/>
      <c r="O160" s="6"/>
      <c r="P160" s="5"/>
    </row>
    <row r="161" spans="1:16" ht="13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2"/>
      <c r="K161" s="2"/>
      <c r="L161" s="2"/>
      <c r="M161" s="1"/>
      <c r="N161" s="1"/>
      <c r="O161" s="6"/>
      <c r="P161" s="5"/>
    </row>
    <row r="162" spans="1:16" ht="13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2"/>
      <c r="K162" s="2"/>
      <c r="L162" s="2"/>
      <c r="M162" s="1"/>
      <c r="N162" s="1"/>
      <c r="O162" s="6"/>
      <c r="P162" s="5"/>
    </row>
    <row r="163" spans="1:16" ht="13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2"/>
      <c r="K163" s="2"/>
      <c r="L163" s="2"/>
      <c r="M163" s="1"/>
      <c r="N163" s="1"/>
      <c r="O163" s="6"/>
      <c r="P163" s="5"/>
    </row>
    <row r="164" spans="1:16" ht="13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2"/>
      <c r="K164" s="2"/>
      <c r="L164" s="2"/>
      <c r="M164" s="1"/>
      <c r="N164" s="1"/>
      <c r="O164" s="6"/>
      <c r="P164" s="5"/>
    </row>
    <row r="165" spans="1:16" ht="13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2"/>
      <c r="K165" s="2"/>
      <c r="L165" s="2"/>
      <c r="M165" s="1"/>
      <c r="N165" s="1"/>
      <c r="O165" s="6"/>
      <c r="P165" s="5"/>
    </row>
    <row r="166" spans="1:16" ht="13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2"/>
      <c r="K166" s="2"/>
      <c r="L166" s="2"/>
      <c r="M166" s="1"/>
      <c r="N166" s="1"/>
      <c r="O166" s="6"/>
      <c r="P166" s="5"/>
    </row>
    <row r="167" spans="1:16" ht="13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2"/>
      <c r="K167" s="2"/>
      <c r="L167" s="2"/>
      <c r="M167" s="1"/>
      <c r="N167" s="1"/>
      <c r="O167" s="6"/>
      <c r="P167" s="5"/>
    </row>
    <row r="168" spans="1:16" ht="13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2"/>
      <c r="K168" s="2"/>
      <c r="L168" s="2"/>
      <c r="M168" s="1"/>
      <c r="N168" s="1"/>
      <c r="O168" s="6"/>
      <c r="P168" s="5"/>
    </row>
    <row r="169" spans="1:16" ht="13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2"/>
      <c r="K169" s="2"/>
      <c r="L169" s="2"/>
      <c r="M169" s="1"/>
      <c r="N169" s="1"/>
      <c r="O169" s="6"/>
      <c r="P169" s="5"/>
    </row>
    <row r="170" spans="1:16" ht="13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2"/>
      <c r="K170" s="2"/>
      <c r="L170" s="2"/>
      <c r="M170" s="1"/>
      <c r="N170" s="1"/>
      <c r="O170" s="6"/>
      <c r="P170" s="5"/>
    </row>
    <row r="171" spans="1:16" ht="13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2"/>
      <c r="K171" s="2"/>
      <c r="L171" s="2"/>
      <c r="M171" s="1"/>
      <c r="N171" s="1"/>
      <c r="O171" s="6"/>
      <c r="P171" s="5"/>
    </row>
    <row r="172" spans="1:16" ht="13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2"/>
      <c r="K172" s="2"/>
      <c r="L172" s="2"/>
      <c r="M172" s="1"/>
      <c r="N172" s="1"/>
      <c r="O172" s="6"/>
      <c r="P172" s="5"/>
    </row>
    <row r="173" spans="1:16" ht="13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2"/>
      <c r="K173" s="2"/>
      <c r="L173" s="2"/>
      <c r="M173" s="1"/>
      <c r="N173" s="1"/>
      <c r="O173" s="6"/>
      <c r="P173" s="5"/>
    </row>
    <row r="174" spans="1:16" ht="13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2"/>
      <c r="K174" s="2"/>
      <c r="L174" s="2"/>
      <c r="M174" s="1"/>
      <c r="N174" s="1"/>
      <c r="O174" s="6"/>
      <c r="P174" s="5"/>
    </row>
    <row r="175" spans="1:16" ht="13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2"/>
      <c r="K175" s="2"/>
      <c r="L175" s="2"/>
      <c r="M175" s="1"/>
      <c r="N175" s="1"/>
      <c r="O175" s="6"/>
      <c r="P175" s="5"/>
    </row>
    <row r="176" spans="1:16" ht="13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2"/>
      <c r="K176" s="2"/>
      <c r="L176" s="2"/>
      <c r="M176" s="1"/>
      <c r="N176" s="1"/>
      <c r="O176" s="6"/>
      <c r="P176" s="5"/>
    </row>
    <row r="177" spans="1:16" ht="13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2"/>
      <c r="K177" s="2"/>
      <c r="L177" s="2"/>
      <c r="M177" s="1"/>
      <c r="N177" s="1"/>
      <c r="O177" s="6"/>
      <c r="P177" s="5"/>
    </row>
    <row r="178" spans="1:16" ht="13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2"/>
      <c r="K178" s="2"/>
      <c r="L178" s="2"/>
      <c r="M178" s="1"/>
      <c r="N178" s="1"/>
      <c r="O178" s="6"/>
      <c r="P178" s="5"/>
    </row>
    <row r="179" spans="1:16" ht="13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2"/>
      <c r="K179" s="2"/>
      <c r="L179" s="2"/>
      <c r="M179" s="1"/>
      <c r="N179" s="1"/>
      <c r="O179" s="6"/>
      <c r="P179" s="5"/>
    </row>
    <row r="180" spans="1:16" ht="13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2"/>
      <c r="K180" s="2"/>
      <c r="L180" s="2"/>
      <c r="M180" s="1"/>
      <c r="N180" s="1"/>
      <c r="O180" s="6"/>
      <c r="P180" s="5"/>
    </row>
    <row r="181" spans="1:16" ht="13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2"/>
      <c r="K181" s="2"/>
      <c r="L181" s="2"/>
      <c r="M181" s="1"/>
      <c r="N181" s="1"/>
      <c r="O181" s="6"/>
      <c r="P181" s="5"/>
    </row>
    <row r="182" spans="1:16" ht="13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2"/>
      <c r="K182" s="2"/>
      <c r="L182" s="2"/>
      <c r="M182" s="1"/>
      <c r="N182" s="1"/>
      <c r="O182" s="6"/>
      <c r="P182" s="5"/>
    </row>
    <row r="183" spans="1:16" ht="13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2"/>
      <c r="K183" s="2"/>
      <c r="L183" s="2"/>
      <c r="M183" s="1"/>
      <c r="N183" s="1"/>
      <c r="O183" s="6"/>
      <c r="P183" s="5"/>
    </row>
    <row r="184" spans="1:16" ht="13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2"/>
      <c r="K184" s="2"/>
      <c r="L184" s="2"/>
      <c r="M184" s="1"/>
      <c r="N184" s="1"/>
      <c r="O184" s="6"/>
      <c r="P184" s="5"/>
    </row>
    <row r="185" spans="1:16" ht="13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2"/>
      <c r="K185" s="2"/>
      <c r="L185" s="2"/>
      <c r="M185" s="1"/>
      <c r="N185" s="1"/>
      <c r="O185" s="6"/>
      <c r="P185" s="5"/>
    </row>
    <row r="186" spans="1:16" ht="13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2"/>
      <c r="K186" s="2"/>
      <c r="L186" s="2"/>
      <c r="M186" s="1"/>
      <c r="N186" s="1"/>
      <c r="O186" s="6"/>
      <c r="P186" s="5"/>
    </row>
    <row r="187" spans="1:16" ht="13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2"/>
      <c r="K187" s="2"/>
      <c r="L187" s="2"/>
      <c r="M187" s="1"/>
      <c r="N187" s="1"/>
      <c r="O187" s="6"/>
      <c r="P187" s="5"/>
    </row>
    <row r="188" spans="1:16" ht="13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2"/>
      <c r="K188" s="2"/>
      <c r="L188" s="2"/>
      <c r="M188" s="1"/>
      <c r="N188" s="1"/>
      <c r="O188" s="6"/>
      <c r="P188" s="5"/>
    </row>
    <row r="189" spans="1:16" ht="13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2"/>
      <c r="K189" s="2"/>
      <c r="L189" s="2"/>
      <c r="M189" s="1"/>
      <c r="N189" s="1"/>
      <c r="O189" s="6"/>
      <c r="P189" s="5"/>
    </row>
    <row r="190" spans="1:16" ht="13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2"/>
      <c r="K190" s="2"/>
      <c r="L190" s="2"/>
      <c r="M190" s="1"/>
      <c r="N190" s="1"/>
      <c r="O190" s="6"/>
      <c r="P190" s="5"/>
    </row>
    <row r="191" spans="1:16" ht="13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2"/>
      <c r="K191" s="2"/>
      <c r="L191" s="2"/>
      <c r="M191" s="1"/>
      <c r="N191" s="1"/>
      <c r="O191" s="6"/>
      <c r="P191" s="5"/>
    </row>
    <row r="192" spans="1:16" ht="13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2"/>
      <c r="K192" s="2"/>
      <c r="L192" s="2"/>
      <c r="M192" s="1"/>
      <c r="N192" s="1"/>
      <c r="O192" s="6"/>
      <c r="P192" s="5"/>
    </row>
    <row r="193" spans="1:16" ht="13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2"/>
      <c r="K193" s="2"/>
      <c r="L193" s="2"/>
      <c r="M193" s="1"/>
      <c r="N193" s="1"/>
      <c r="O193" s="6"/>
      <c r="P193" s="5"/>
    </row>
    <row r="194" spans="1:16" ht="13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2"/>
      <c r="K194" s="2"/>
      <c r="L194" s="2"/>
      <c r="M194" s="1"/>
      <c r="N194" s="1"/>
      <c r="O194" s="6"/>
      <c r="P194" s="5"/>
    </row>
    <row r="195" spans="1:16" ht="13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2"/>
      <c r="K195" s="2"/>
      <c r="L195" s="2"/>
      <c r="M195" s="1"/>
      <c r="N195" s="1"/>
      <c r="O195" s="6"/>
      <c r="P195" s="5"/>
    </row>
    <row r="196" spans="1:16" ht="13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2"/>
      <c r="K196" s="2"/>
      <c r="L196" s="2"/>
      <c r="M196" s="1"/>
      <c r="N196" s="1"/>
      <c r="O196" s="6"/>
      <c r="P196" s="5"/>
    </row>
    <row r="197" spans="1:16" ht="13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2"/>
      <c r="K197" s="2"/>
      <c r="L197" s="2"/>
      <c r="M197" s="1"/>
      <c r="N197" s="1"/>
      <c r="O197" s="6"/>
      <c r="P197" s="5"/>
    </row>
    <row r="198" spans="1:16" ht="13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2"/>
      <c r="K198" s="2"/>
      <c r="L198" s="2"/>
      <c r="M198" s="1"/>
      <c r="N198" s="1"/>
      <c r="O198" s="6"/>
      <c r="P198" s="5"/>
    </row>
    <row r="199" spans="1:16" ht="13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2"/>
      <c r="K199" s="2"/>
      <c r="L199" s="2"/>
      <c r="M199" s="1"/>
      <c r="N199" s="1"/>
      <c r="O199" s="6"/>
      <c r="P199" s="5"/>
    </row>
    <row r="200" spans="1:16" ht="13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2"/>
      <c r="K200" s="2"/>
      <c r="L200" s="2"/>
      <c r="M200" s="1"/>
      <c r="N200" s="1"/>
      <c r="O200" s="6"/>
      <c r="P200" s="5"/>
    </row>
    <row r="201" spans="1:16" ht="13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2"/>
      <c r="K201" s="2"/>
      <c r="L201" s="2"/>
      <c r="M201" s="1"/>
      <c r="N201" s="1"/>
      <c r="O201" s="6"/>
      <c r="P201" s="5"/>
    </row>
    <row r="202" spans="1:16" ht="13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2"/>
      <c r="K202" s="2"/>
      <c r="L202" s="2"/>
      <c r="M202" s="1"/>
      <c r="N202" s="1"/>
      <c r="O202" s="6"/>
      <c r="P202" s="5"/>
    </row>
    <row r="203" spans="1:16" ht="13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2"/>
      <c r="K203" s="2"/>
      <c r="L203" s="2"/>
      <c r="M203" s="1"/>
      <c r="N203" s="1"/>
      <c r="O203" s="6"/>
      <c r="P203" s="5"/>
    </row>
    <row r="204" spans="1:16" ht="13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2"/>
      <c r="K204" s="2"/>
      <c r="L204" s="2"/>
      <c r="M204" s="1"/>
      <c r="N204" s="1"/>
      <c r="O204" s="6"/>
      <c r="P204" s="5"/>
    </row>
    <row r="205" spans="1:16" ht="13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2"/>
      <c r="K205" s="2"/>
      <c r="L205" s="2"/>
      <c r="M205" s="1"/>
      <c r="N205" s="1"/>
      <c r="O205" s="6"/>
      <c r="P205" s="5"/>
    </row>
    <row r="206" spans="1:16" ht="13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2"/>
      <c r="K206" s="2"/>
      <c r="L206" s="2"/>
      <c r="M206" s="1"/>
      <c r="N206" s="1"/>
      <c r="O206" s="6"/>
      <c r="P206" s="5"/>
    </row>
    <row r="207" spans="1:16" ht="13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2"/>
      <c r="K207" s="2"/>
      <c r="L207" s="2"/>
      <c r="M207" s="1"/>
      <c r="N207" s="1"/>
      <c r="O207" s="6"/>
      <c r="P207" s="5"/>
    </row>
    <row r="208" spans="1:16" ht="13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2"/>
      <c r="K208" s="2"/>
      <c r="L208" s="2"/>
      <c r="M208" s="1"/>
      <c r="N208" s="1"/>
      <c r="O208" s="6"/>
      <c r="P208" s="5"/>
    </row>
    <row r="209" spans="1:16" ht="13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2"/>
      <c r="K209" s="2"/>
      <c r="L209" s="2"/>
      <c r="M209" s="1"/>
      <c r="N209" s="1"/>
      <c r="O209" s="6"/>
      <c r="P209" s="5"/>
    </row>
    <row r="210" spans="1:16" ht="13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2"/>
      <c r="K210" s="2"/>
      <c r="L210" s="2"/>
      <c r="M210" s="1"/>
      <c r="N210" s="1"/>
      <c r="O210" s="6"/>
      <c r="P210" s="5"/>
    </row>
    <row r="211" spans="1:16" ht="13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2"/>
      <c r="K211" s="2"/>
      <c r="L211" s="2"/>
      <c r="M211" s="1"/>
      <c r="N211" s="1"/>
      <c r="O211" s="6"/>
      <c r="P211" s="5"/>
    </row>
    <row r="212" spans="1:16" ht="13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2"/>
      <c r="K212" s="2"/>
      <c r="L212" s="2"/>
      <c r="M212" s="1"/>
      <c r="N212" s="1"/>
      <c r="O212" s="6"/>
      <c r="P212" s="5"/>
    </row>
    <row r="213" spans="1:16" ht="13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2"/>
      <c r="K213" s="2"/>
      <c r="L213" s="2"/>
      <c r="M213" s="1"/>
      <c r="N213" s="1"/>
      <c r="O213" s="6"/>
      <c r="P213" s="5"/>
    </row>
    <row r="214" spans="1:16" ht="13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2"/>
      <c r="K214" s="2"/>
      <c r="L214" s="2"/>
      <c r="M214" s="1"/>
      <c r="N214" s="1"/>
      <c r="O214" s="6"/>
      <c r="P214" s="5"/>
    </row>
    <row r="215" spans="1:16" ht="13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2"/>
      <c r="K215" s="2"/>
      <c r="L215" s="2"/>
      <c r="M215" s="1"/>
      <c r="N215" s="1"/>
      <c r="O215" s="6"/>
      <c r="P215" s="5"/>
    </row>
    <row r="216" spans="1:16" ht="13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2"/>
      <c r="K216" s="2"/>
      <c r="L216" s="2"/>
      <c r="M216" s="1"/>
      <c r="N216" s="1"/>
      <c r="O216" s="6"/>
      <c r="P216" s="5"/>
    </row>
    <row r="217" spans="1:16" ht="13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2"/>
      <c r="K217" s="2"/>
      <c r="L217" s="2"/>
      <c r="M217" s="1"/>
      <c r="N217" s="1"/>
      <c r="O217" s="6"/>
      <c r="P217" s="5"/>
    </row>
    <row r="218" spans="1:16" ht="13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2"/>
      <c r="K218" s="2"/>
      <c r="L218" s="2"/>
      <c r="M218" s="1"/>
      <c r="N218" s="1"/>
      <c r="O218" s="6"/>
      <c r="P218" s="5"/>
    </row>
    <row r="219" spans="1:16" ht="13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2"/>
      <c r="K219" s="2"/>
      <c r="L219" s="2"/>
      <c r="M219" s="1"/>
      <c r="N219" s="1"/>
      <c r="O219" s="6"/>
      <c r="P219" s="5"/>
    </row>
    <row r="220" spans="1:16" ht="13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2"/>
      <c r="K220" s="2"/>
      <c r="L220" s="2"/>
      <c r="M220" s="1"/>
      <c r="N220" s="1"/>
      <c r="O220" s="6"/>
      <c r="P220" s="5"/>
    </row>
    <row r="221" spans="1:16" ht="13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2"/>
      <c r="K221" s="2"/>
      <c r="L221" s="2"/>
      <c r="M221" s="1"/>
      <c r="N221" s="1"/>
      <c r="O221" s="6"/>
      <c r="P221" s="5"/>
    </row>
    <row r="222" spans="1:16" ht="13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2"/>
      <c r="K222" s="2"/>
      <c r="L222" s="2"/>
      <c r="M222" s="1"/>
      <c r="N222" s="1"/>
      <c r="O222" s="6"/>
      <c r="P222" s="5"/>
    </row>
    <row r="223" spans="1:16" ht="13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2"/>
      <c r="K223" s="2"/>
      <c r="L223" s="2"/>
      <c r="M223" s="1"/>
      <c r="N223" s="1"/>
      <c r="O223" s="6"/>
      <c r="P223" s="5"/>
    </row>
    <row r="224" spans="1:16" ht="13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2"/>
      <c r="K224" s="2"/>
      <c r="L224" s="2"/>
      <c r="M224" s="1"/>
      <c r="N224" s="1"/>
      <c r="O224" s="6"/>
      <c r="P224" s="5"/>
    </row>
    <row r="225" spans="1:16" ht="13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2"/>
      <c r="K225" s="2"/>
      <c r="L225" s="2"/>
      <c r="M225" s="1"/>
      <c r="N225" s="1"/>
      <c r="O225" s="6"/>
      <c r="P225" s="5"/>
    </row>
    <row r="226" spans="1:16" ht="13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2"/>
      <c r="K226" s="2"/>
      <c r="L226" s="2"/>
      <c r="M226" s="1"/>
      <c r="N226" s="1"/>
      <c r="O226" s="6"/>
      <c r="P226" s="5"/>
    </row>
    <row r="227" spans="1:16" ht="13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2"/>
      <c r="K227" s="2"/>
      <c r="L227" s="2"/>
      <c r="M227" s="1"/>
      <c r="N227" s="1"/>
      <c r="O227" s="6"/>
      <c r="P227" s="5"/>
    </row>
    <row r="228" spans="1:16" ht="13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2"/>
      <c r="K228" s="2"/>
      <c r="L228" s="2"/>
      <c r="M228" s="1"/>
      <c r="N228" s="1"/>
      <c r="O228" s="6"/>
      <c r="P228" s="5"/>
    </row>
    <row r="229" spans="1:16" ht="13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2"/>
      <c r="K229" s="2"/>
      <c r="L229" s="2"/>
      <c r="M229" s="1"/>
      <c r="N229" s="1"/>
      <c r="O229" s="6"/>
      <c r="P229" s="5"/>
    </row>
    <row r="230" spans="1:16" ht="13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2"/>
      <c r="K230" s="2"/>
      <c r="L230" s="2"/>
      <c r="M230" s="1"/>
      <c r="N230" s="1"/>
      <c r="O230" s="6"/>
      <c r="P230" s="5"/>
    </row>
    <row r="231" spans="1:16" ht="13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2"/>
      <c r="K231" s="2"/>
      <c r="L231" s="2"/>
      <c r="M231" s="1"/>
      <c r="N231" s="1"/>
      <c r="O231" s="6"/>
      <c r="P231" s="5"/>
    </row>
    <row r="232" spans="1:16" ht="13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2"/>
      <c r="K232" s="2"/>
      <c r="L232" s="2"/>
      <c r="M232" s="1"/>
      <c r="N232" s="1"/>
      <c r="O232" s="6"/>
      <c r="P232" s="5"/>
    </row>
    <row r="233" spans="1:16" ht="13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2"/>
      <c r="K233" s="2"/>
      <c r="L233" s="2"/>
      <c r="M233" s="1"/>
      <c r="N233" s="1"/>
      <c r="O233" s="6"/>
      <c r="P233" s="5"/>
    </row>
    <row r="234" spans="1:16" ht="13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2"/>
      <c r="K234" s="2"/>
      <c r="L234" s="2"/>
      <c r="M234" s="1"/>
      <c r="N234" s="1"/>
      <c r="O234" s="6"/>
      <c r="P234" s="5"/>
    </row>
    <row r="235" spans="1:16" ht="13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2"/>
      <c r="K235" s="2"/>
      <c r="L235" s="2"/>
      <c r="M235" s="1"/>
      <c r="N235" s="1"/>
      <c r="O235" s="6"/>
      <c r="P235" s="5"/>
    </row>
    <row r="236" spans="1:16" ht="13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2"/>
      <c r="K236" s="2"/>
      <c r="L236" s="2"/>
      <c r="M236" s="1"/>
      <c r="N236" s="1"/>
      <c r="O236" s="6"/>
      <c r="P236" s="5"/>
    </row>
    <row r="237" spans="1:16" ht="13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2"/>
      <c r="K237" s="2"/>
      <c r="L237" s="2"/>
      <c r="M237" s="1"/>
      <c r="N237" s="1"/>
      <c r="O237" s="6"/>
      <c r="P237" s="5"/>
    </row>
    <row r="238" spans="1:16" ht="13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2"/>
      <c r="K238" s="2"/>
      <c r="L238" s="2"/>
      <c r="M238" s="1"/>
      <c r="N238" s="1"/>
      <c r="O238" s="6"/>
      <c r="P238" s="5"/>
    </row>
    <row r="239" spans="1:16" ht="13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2"/>
      <c r="K239" s="2"/>
      <c r="L239" s="2"/>
      <c r="M239" s="1"/>
      <c r="N239" s="1"/>
      <c r="O239" s="6"/>
      <c r="P239" s="5"/>
    </row>
    <row r="240" spans="1:16" ht="13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2"/>
      <c r="K240" s="2"/>
      <c r="L240" s="2"/>
      <c r="M240" s="1"/>
      <c r="N240" s="1"/>
      <c r="O240" s="6"/>
      <c r="P240" s="5"/>
    </row>
    <row r="241" spans="1:16" ht="13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2"/>
      <c r="K241" s="2"/>
      <c r="L241" s="2"/>
      <c r="M241" s="1"/>
      <c r="N241" s="1"/>
      <c r="O241" s="6"/>
      <c r="P241" s="5"/>
    </row>
    <row r="242" spans="1:16" ht="13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2"/>
      <c r="K242" s="2"/>
      <c r="L242" s="2"/>
      <c r="M242" s="1"/>
      <c r="N242" s="1"/>
      <c r="O242" s="6"/>
      <c r="P242" s="5"/>
    </row>
    <row r="243" spans="1:16" ht="13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2"/>
      <c r="K243" s="2"/>
      <c r="L243" s="2"/>
      <c r="M243" s="1"/>
      <c r="N243" s="1"/>
      <c r="O243" s="6"/>
      <c r="P243" s="5"/>
    </row>
    <row r="244" spans="1:16" ht="13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2"/>
      <c r="K244" s="2"/>
      <c r="L244" s="2"/>
      <c r="M244" s="1"/>
      <c r="N244" s="1"/>
      <c r="O244" s="6"/>
      <c r="P244" s="5"/>
    </row>
    <row r="245" spans="1:16" ht="13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2"/>
      <c r="K245" s="2"/>
      <c r="L245" s="2"/>
      <c r="M245" s="1"/>
      <c r="N245" s="1"/>
      <c r="O245" s="6"/>
      <c r="P245" s="5"/>
    </row>
    <row r="246" spans="1:16" ht="13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2"/>
      <c r="K246" s="2"/>
      <c r="L246" s="2"/>
      <c r="M246" s="1"/>
      <c r="N246" s="1"/>
      <c r="O246" s="6"/>
      <c r="P246" s="5"/>
    </row>
    <row r="247" spans="1:16" ht="13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2"/>
      <c r="K247" s="2"/>
      <c r="L247" s="2"/>
      <c r="M247" s="1"/>
      <c r="N247" s="1"/>
      <c r="O247" s="6"/>
      <c r="P247" s="5"/>
    </row>
    <row r="248" spans="1:16" ht="13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2"/>
      <c r="K248" s="2"/>
      <c r="L248" s="2"/>
      <c r="M248" s="1"/>
      <c r="N248" s="1"/>
      <c r="O248" s="6"/>
      <c r="P248" s="5"/>
    </row>
    <row r="249" spans="1:16" ht="13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2"/>
      <c r="K249" s="2"/>
      <c r="L249" s="2"/>
      <c r="M249" s="1"/>
      <c r="N249" s="1"/>
      <c r="O249" s="6"/>
      <c r="P249" s="5"/>
    </row>
    <row r="250" spans="1:16" ht="13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2"/>
      <c r="K250" s="2"/>
      <c r="L250" s="2"/>
      <c r="M250" s="1"/>
      <c r="N250" s="1"/>
      <c r="O250" s="6"/>
      <c r="P250" s="5"/>
    </row>
    <row r="251" spans="1:16" ht="13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2"/>
      <c r="K251" s="2"/>
      <c r="L251" s="2"/>
      <c r="M251" s="1"/>
      <c r="N251" s="1"/>
      <c r="O251" s="6"/>
      <c r="P251" s="5"/>
    </row>
    <row r="252" spans="1:16" ht="13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2"/>
      <c r="K252" s="2"/>
      <c r="L252" s="2"/>
      <c r="M252" s="1"/>
      <c r="N252" s="1"/>
      <c r="O252" s="6"/>
      <c r="P252" s="5"/>
    </row>
    <row r="253" spans="1:16" ht="13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2"/>
      <c r="K253" s="2"/>
      <c r="L253" s="2"/>
      <c r="M253" s="1"/>
      <c r="N253" s="1"/>
      <c r="O253" s="6"/>
      <c r="P253" s="5"/>
    </row>
    <row r="254" spans="1:16" ht="13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2"/>
      <c r="K254" s="2"/>
      <c r="L254" s="2"/>
      <c r="M254" s="1"/>
      <c r="N254" s="1"/>
      <c r="O254" s="6"/>
      <c r="P254" s="5"/>
    </row>
    <row r="255" spans="1:16" ht="13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2"/>
      <c r="K255" s="2"/>
      <c r="L255" s="2"/>
      <c r="M255" s="1"/>
      <c r="N255" s="1"/>
      <c r="O255" s="6"/>
      <c r="P255" s="5"/>
    </row>
    <row r="256" spans="1:16" ht="13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2"/>
      <c r="K256" s="2"/>
      <c r="L256" s="2"/>
      <c r="M256" s="1"/>
      <c r="N256" s="1"/>
      <c r="O256" s="6"/>
      <c r="P256" s="5"/>
    </row>
    <row r="257" spans="1:16" ht="13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2"/>
      <c r="K257" s="2"/>
      <c r="L257" s="2"/>
      <c r="M257" s="1"/>
      <c r="N257" s="1"/>
      <c r="O257" s="6"/>
      <c r="P257" s="5"/>
    </row>
    <row r="258" spans="1:16" ht="13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2"/>
      <c r="K258" s="2"/>
      <c r="L258" s="2"/>
      <c r="M258" s="1"/>
      <c r="N258" s="1"/>
      <c r="O258" s="6"/>
      <c r="P258" s="5"/>
    </row>
    <row r="259" spans="1:16" ht="13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2"/>
      <c r="K259" s="2"/>
      <c r="L259" s="2"/>
      <c r="M259" s="1"/>
      <c r="N259" s="1"/>
      <c r="O259" s="6"/>
      <c r="P259" s="5"/>
    </row>
    <row r="260" spans="1:16" ht="13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2"/>
      <c r="K260" s="2"/>
      <c r="L260" s="2"/>
      <c r="M260" s="1"/>
      <c r="N260" s="1"/>
      <c r="O260" s="6"/>
      <c r="P260" s="5"/>
    </row>
    <row r="261" spans="1:16" ht="13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2"/>
      <c r="K261" s="2"/>
      <c r="L261" s="2"/>
      <c r="M261" s="1"/>
      <c r="N261" s="1"/>
      <c r="O261" s="6"/>
      <c r="P261" s="5"/>
    </row>
    <row r="262" spans="1:16" ht="13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2"/>
      <c r="K262" s="2"/>
      <c r="L262" s="2"/>
      <c r="M262" s="1"/>
      <c r="N262" s="1"/>
      <c r="O262" s="6"/>
      <c r="P262" s="5"/>
    </row>
    <row r="263" spans="1:16" ht="13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2"/>
      <c r="K263" s="2"/>
      <c r="L263" s="2"/>
      <c r="M263" s="1"/>
      <c r="N263" s="1"/>
      <c r="O263" s="6"/>
      <c r="P263" s="5"/>
    </row>
    <row r="264" spans="1:16" ht="13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2"/>
      <c r="K264" s="2"/>
      <c r="L264" s="2"/>
      <c r="M264" s="1"/>
      <c r="N264" s="1"/>
      <c r="O264" s="6"/>
      <c r="P264" s="5"/>
    </row>
    <row r="265" spans="1:16" ht="13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2"/>
      <c r="K265" s="2"/>
      <c r="L265" s="2"/>
      <c r="M265" s="1"/>
      <c r="N265" s="1"/>
      <c r="O265" s="6"/>
      <c r="P265" s="5"/>
    </row>
    <row r="266" spans="1:16" ht="13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2"/>
      <c r="K266" s="2"/>
      <c r="L266" s="2"/>
      <c r="M266" s="1"/>
      <c r="N266" s="1"/>
      <c r="O266" s="6"/>
      <c r="P266" s="5"/>
    </row>
    <row r="267" spans="1:16" ht="13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2"/>
      <c r="K267" s="2"/>
      <c r="L267" s="2"/>
      <c r="M267" s="1"/>
      <c r="N267" s="1"/>
      <c r="O267" s="6"/>
      <c r="P267" s="5"/>
    </row>
    <row r="268" spans="1:16" ht="13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2"/>
      <c r="K268" s="2"/>
      <c r="L268" s="2"/>
      <c r="M268" s="1"/>
      <c r="N268" s="1"/>
      <c r="O268" s="6"/>
      <c r="P268" s="5"/>
    </row>
    <row r="269" spans="1:16" ht="13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2"/>
      <c r="K269" s="2"/>
      <c r="L269" s="2"/>
      <c r="M269" s="1"/>
      <c r="N269" s="1"/>
      <c r="O269" s="6"/>
      <c r="P269" s="5"/>
    </row>
    <row r="270" spans="1:16" ht="13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2"/>
      <c r="K270" s="2"/>
      <c r="L270" s="2"/>
      <c r="M270" s="1"/>
      <c r="N270" s="1"/>
      <c r="O270" s="6"/>
      <c r="P270" s="5"/>
    </row>
    <row r="271" spans="1:16" ht="13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2"/>
      <c r="K271" s="2"/>
      <c r="L271" s="2"/>
      <c r="M271" s="1"/>
      <c r="N271" s="1"/>
      <c r="O271" s="6"/>
      <c r="P271" s="5"/>
    </row>
    <row r="272" spans="1:16" ht="13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2"/>
      <c r="K272" s="2"/>
      <c r="L272" s="2"/>
      <c r="M272" s="1"/>
      <c r="N272" s="1"/>
      <c r="O272" s="6"/>
      <c r="P272" s="5"/>
    </row>
    <row r="273" spans="1:16" ht="13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2"/>
      <c r="K273" s="2"/>
      <c r="L273" s="2"/>
      <c r="M273" s="1"/>
      <c r="N273" s="1"/>
      <c r="O273" s="6"/>
      <c r="P273" s="5"/>
    </row>
    <row r="274" spans="1:16" ht="13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2"/>
      <c r="K274" s="2"/>
      <c r="L274" s="2"/>
      <c r="M274" s="1"/>
      <c r="N274" s="1"/>
      <c r="O274" s="6"/>
      <c r="P274" s="5"/>
    </row>
    <row r="275" spans="1:16" ht="13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2"/>
      <c r="K275" s="2"/>
      <c r="L275" s="2"/>
      <c r="M275" s="1"/>
      <c r="N275" s="1"/>
      <c r="O275" s="6"/>
      <c r="P275" s="5"/>
    </row>
    <row r="276" spans="1:16" ht="13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2"/>
      <c r="K276" s="2"/>
      <c r="L276" s="2"/>
      <c r="M276" s="1"/>
      <c r="N276" s="1"/>
      <c r="O276" s="6"/>
      <c r="P276" s="5"/>
    </row>
    <row r="277" spans="1:16" ht="13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2"/>
      <c r="K277" s="2"/>
      <c r="L277" s="2"/>
      <c r="M277" s="1"/>
      <c r="N277" s="1"/>
      <c r="O277" s="6"/>
      <c r="P277" s="5"/>
    </row>
    <row r="278" spans="1:16" ht="13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2"/>
      <c r="K278" s="2"/>
      <c r="L278" s="2"/>
      <c r="M278" s="1"/>
      <c r="N278" s="1"/>
      <c r="O278" s="6"/>
      <c r="P278" s="5"/>
    </row>
    <row r="279" spans="1:16" ht="13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2"/>
      <c r="K279" s="2"/>
      <c r="L279" s="2"/>
      <c r="M279" s="1"/>
      <c r="N279" s="1"/>
      <c r="O279" s="6"/>
      <c r="P279" s="5"/>
    </row>
    <row r="280" spans="1:16" ht="13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2"/>
      <c r="K280" s="2"/>
      <c r="L280" s="2"/>
      <c r="M280" s="1"/>
      <c r="N280" s="1"/>
      <c r="O280" s="6"/>
      <c r="P280" s="5"/>
    </row>
    <row r="281" spans="1:16" ht="13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2"/>
      <c r="K281" s="2"/>
      <c r="L281" s="2"/>
      <c r="M281" s="1"/>
      <c r="N281" s="1"/>
      <c r="O281" s="6"/>
      <c r="P281" s="5"/>
    </row>
    <row r="282" spans="1:16" ht="13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2"/>
      <c r="K282" s="2"/>
      <c r="L282" s="2"/>
      <c r="M282" s="1"/>
      <c r="N282" s="1"/>
      <c r="O282" s="6"/>
      <c r="P282" s="5"/>
    </row>
    <row r="283" spans="1:16" ht="13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2"/>
      <c r="K283" s="2"/>
      <c r="L283" s="2"/>
      <c r="M283" s="1"/>
      <c r="N283" s="1"/>
      <c r="O283" s="6"/>
      <c r="P283" s="5"/>
    </row>
    <row r="284" spans="1:16" ht="13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2"/>
      <c r="K284" s="2"/>
      <c r="L284" s="2"/>
      <c r="M284" s="1"/>
      <c r="N284" s="1"/>
      <c r="O284" s="6"/>
      <c r="P284" s="5"/>
    </row>
    <row r="285" spans="1:16" ht="13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2"/>
      <c r="K285" s="2"/>
      <c r="L285" s="2"/>
      <c r="M285" s="1"/>
      <c r="N285" s="1"/>
      <c r="O285" s="6"/>
      <c r="P285" s="5"/>
    </row>
    <row r="286" spans="1:16" ht="13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2"/>
      <c r="K286" s="2"/>
      <c r="L286" s="2"/>
      <c r="M286" s="1"/>
      <c r="N286" s="1"/>
      <c r="O286" s="6"/>
      <c r="P286" s="5"/>
    </row>
    <row r="287" spans="1:16" ht="13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2"/>
      <c r="K287" s="2"/>
      <c r="L287" s="2"/>
      <c r="M287" s="1"/>
      <c r="N287" s="1"/>
      <c r="O287" s="6"/>
      <c r="P287" s="5"/>
    </row>
    <row r="288" spans="1:16" ht="13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2"/>
      <c r="K288" s="2"/>
      <c r="L288" s="2"/>
      <c r="M288" s="1"/>
      <c r="N288" s="1"/>
      <c r="O288" s="6"/>
      <c r="P288" s="5"/>
    </row>
    <row r="289" spans="1:16" ht="13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2"/>
      <c r="K289" s="2"/>
      <c r="L289" s="2"/>
      <c r="M289" s="1"/>
      <c r="N289" s="1"/>
      <c r="O289" s="6"/>
      <c r="P289" s="5"/>
    </row>
    <row r="290" spans="1:16" ht="13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2"/>
      <c r="K290" s="2"/>
      <c r="L290" s="2"/>
      <c r="M290" s="1"/>
      <c r="N290" s="1"/>
      <c r="O290" s="6"/>
      <c r="P290" s="5"/>
    </row>
    <row r="291" spans="1:16" ht="13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2"/>
      <c r="K291" s="2"/>
      <c r="L291" s="2"/>
      <c r="M291" s="1"/>
      <c r="N291" s="1"/>
      <c r="O291" s="6"/>
      <c r="P291" s="5"/>
    </row>
    <row r="292" spans="1:16" ht="13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2"/>
      <c r="K292" s="2"/>
      <c r="L292" s="2"/>
      <c r="M292" s="1"/>
      <c r="N292" s="1"/>
      <c r="O292" s="6"/>
      <c r="P292" s="5"/>
    </row>
    <row r="293" spans="1:16" ht="13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2"/>
      <c r="K293" s="2"/>
      <c r="L293" s="2"/>
      <c r="M293" s="1"/>
      <c r="N293" s="1"/>
      <c r="O293" s="6"/>
      <c r="P293" s="5"/>
    </row>
    <row r="294" spans="1:16" ht="13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2"/>
      <c r="K294" s="2"/>
      <c r="L294" s="2"/>
      <c r="M294" s="1"/>
      <c r="N294" s="1"/>
      <c r="O294" s="6"/>
      <c r="P294" s="5"/>
    </row>
    <row r="295" spans="1:16" ht="13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2"/>
      <c r="K295" s="2"/>
      <c r="L295" s="2"/>
      <c r="M295" s="1"/>
      <c r="N295" s="1"/>
      <c r="O295" s="6"/>
      <c r="P295" s="5"/>
    </row>
    <row r="296" spans="1:16" ht="13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2"/>
      <c r="K296" s="2"/>
      <c r="L296" s="2"/>
      <c r="M296" s="1"/>
      <c r="N296" s="1"/>
      <c r="O296" s="6"/>
      <c r="P296" s="5"/>
    </row>
    <row r="297" spans="1:16" ht="13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2"/>
      <c r="K297" s="2"/>
      <c r="L297" s="2"/>
      <c r="M297" s="1"/>
      <c r="N297" s="1"/>
      <c r="O297" s="6"/>
      <c r="P297" s="5"/>
    </row>
    <row r="298" spans="1:16" ht="13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2"/>
      <c r="K298" s="2"/>
      <c r="L298" s="2"/>
      <c r="M298" s="1"/>
      <c r="N298" s="1"/>
      <c r="O298" s="6"/>
      <c r="P298" s="5"/>
    </row>
    <row r="299" spans="1:16" ht="13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2"/>
      <c r="K299" s="2"/>
      <c r="L299" s="2"/>
      <c r="M299" s="1"/>
      <c r="N299" s="1"/>
      <c r="O299" s="6"/>
      <c r="P299" s="5"/>
    </row>
    <row r="300" spans="1:16" ht="13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2"/>
      <c r="K300" s="2"/>
      <c r="L300" s="2"/>
      <c r="M300" s="1"/>
      <c r="N300" s="1"/>
      <c r="O300" s="6"/>
      <c r="P300" s="5"/>
    </row>
    <row r="301" spans="1:16" ht="13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2"/>
      <c r="K301" s="2"/>
      <c r="L301" s="2"/>
      <c r="M301" s="1"/>
      <c r="N301" s="1"/>
      <c r="O301" s="6"/>
      <c r="P301" s="5"/>
    </row>
    <row r="302" spans="1:16" ht="13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2"/>
      <c r="K302" s="2"/>
      <c r="L302" s="2"/>
      <c r="M302" s="1"/>
      <c r="N302" s="1"/>
      <c r="O302" s="6"/>
      <c r="P302" s="5"/>
    </row>
    <row r="303" spans="1:16" ht="13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2"/>
      <c r="K303" s="2"/>
      <c r="L303" s="2"/>
      <c r="M303" s="1"/>
      <c r="N303" s="1"/>
      <c r="O303" s="6"/>
      <c r="P303" s="5"/>
    </row>
    <row r="304" spans="1:16" ht="13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2"/>
      <c r="K304" s="2"/>
      <c r="L304" s="2"/>
      <c r="M304" s="1"/>
      <c r="N304" s="1"/>
      <c r="O304" s="6"/>
      <c r="P304" s="5"/>
    </row>
    <row r="305" spans="1:16" ht="13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2"/>
      <c r="K305" s="2"/>
      <c r="L305" s="2"/>
      <c r="M305" s="1"/>
      <c r="N305" s="1"/>
      <c r="O305" s="6"/>
      <c r="P305" s="5"/>
    </row>
    <row r="306" spans="1:16" ht="13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2"/>
      <c r="K306" s="2"/>
      <c r="L306" s="2"/>
      <c r="M306" s="1"/>
      <c r="N306" s="1"/>
      <c r="O306" s="6"/>
      <c r="P306" s="5"/>
    </row>
    <row r="307" spans="1:16" ht="13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2"/>
      <c r="K307" s="2"/>
      <c r="L307" s="2"/>
      <c r="M307" s="1"/>
      <c r="N307" s="1"/>
      <c r="O307" s="6"/>
      <c r="P307" s="5"/>
    </row>
    <row r="308" spans="1:16" ht="13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2"/>
      <c r="K308" s="2"/>
      <c r="L308" s="2"/>
      <c r="M308" s="1"/>
      <c r="N308" s="1"/>
      <c r="O308" s="6"/>
      <c r="P308" s="5"/>
    </row>
    <row r="309" spans="1:16" ht="13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2"/>
      <c r="K309" s="2"/>
      <c r="L309" s="2"/>
      <c r="M309" s="1"/>
      <c r="N309" s="1"/>
      <c r="O309" s="6"/>
      <c r="P309" s="5"/>
    </row>
    <row r="310" spans="1:16" ht="13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2"/>
      <c r="K310" s="2"/>
      <c r="L310" s="2"/>
      <c r="M310" s="1"/>
      <c r="N310" s="1"/>
      <c r="O310" s="6"/>
      <c r="P310" s="5"/>
    </row>
    <row r="311" spans="1:16" ht="13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2"/>
      <c r="K311" s="2"/>
      <c r="L311" s="2"/>
      <c r="M311" s="1"/>
      <c r="N311" s="1"/>
      <c r="O311" s="6"/>
      <c r="P311" s="5"/>
    </row>
    <row r="312" spans="1:16" ht="13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2"/>
      <c r="K312" s="2"/>
      <c r="L312" s="2"/>
      <c r="M312" s="1"/>
      <c r="N312" s="1"/>
      <c r="O312" s="6"/>
      <c r="P312" s="5"/>
    </row>
    <row r="313" spans="1:16" ht="13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2"/>
      <c r="K313" s="2"/>
      <c r="L313" s="2"/>
      <c r="M313" s="1"/>
      <c r="N313" s="1"/>
      <c r="O313" s="6"/>
      <c r="P313" s="5"/>
    </row>
    <row r="314" spans="1:16" ht="13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2"/>
      <c r="K314" s="2"/>
      <c r="L314" s="2"/>
      <c r="M314" s="1"/>
      <c r="N314" s="1"/>
      <c r="O314" s="6"/>
      <c r="P314" s="5"/>
    </row>
    <row r="315" spans="1:16" ht="13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2"/>
      <c r="K315" s="2"/>
      <c r="L315" s="2"/>
      <c r="M315" s="1"/>
      <c r="N315" s="1"/>
      <c r="O315" s="6"/>
      <c r="P315" s="5"/>
    </row>
    <row r="316" spans="1:16" ht="13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2"/>
      <c r="K316" s="2"/>
      <c r="L316" s="2"/>
      <c r="M316" s="1"/>
      <c r="N316" s="1"/>
      <c r="O316" s="6"/>
      <c r="P316" s="5"/>
    </row>
    <row r="317" spans="1:16" ht="13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2"/>
      <c r="K317" s="2"/>
      <c r="L317" s="2"/>
      <c r="M317" s="1"/>
      <c r="N317" s="1"/>
      <c r="O317" s="6"/>
      <c r="P317" s="5"/>
    </row>
    <row r="318" spans="1:16" ht="13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2"/>
      <c r="K318" s="2"/>
      <c r="L318" s="2"/>
      <c r="M318" s="1"/>
      <c r="N318" s="1"/>
      <c r="O318" s="6"/>
      <c r="P318" s="5"/>
    </row>
    <row r="319" spans="1:16" ht="13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2"/>
      <c r="K319" s="2"/>
      <c r="L319" s="2"/>
      <c r="M319" s="1"/>
      <c r="N319" s="1"/>
      <c r="O319" s="6"/>
      <c r="P319" s="5"/>
    </row>
    <row r="320" spans="1:16" ht="13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2"/>
      <c r="K320" s="2"/>
      <c r="L320" s="2"/>
      <c r="M320" s="1"/>
      <c r="N320" s="1"/>
      <c r="O320" s="6"/>
      <c r="P320" s="5"/>
    </row>
    <row r="321" spans="1:16" ht="13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2"/>
      <c r="K321" s="2"/>
      <c r="L321" s="2"/>
      <c r="M321" s="1"/>
      <c r="N321" s="1"/>
      <c r="O321" s="6"/>
      <c r="P321" s="5"/>
    </row>
    <row r="322" spans="1:16" ht="13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2"/>
      <c r="K322" s="2"/>
      <c r="L322" s="2"/>
      <c r="M322" s="1"/>
      <c r="N322" s="1"/>
      <c r="O322" s="6"/>
      <c r="P322" s="5"/>
    </row>
    <row r="323" spans="1:16" ht="13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2"/>
      <c r="K323" s="2"/>
      <c r="L323" s="2"/>
      <c r="M323" s="1"/>
      <c r="N323" s="1"/>
      <c r="O323" s="6"/>
      <c r="P323" s="5"/>
    </row>
    <row r="324" spans="1:16" ht="13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2"/>
      <c r="K324" s="2"/>
      <c r="L324" s="2"/>
      <c r="M324" s="1"/>
      <c r="N324" s="1"/>
      <c r="O324" s="6"/>
      <c r="P324" s="5"/>
    </row>
    <row r="325" spans="1:16" ht="13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2"/>
      <c r="K325" s="2"/>
      <c r="L325" s="2"/>
      <c r="M325" s="1"/>
      <c r="N325" s="1"/>
      <c r="O325" s="6"/>
      <c r="P325" s="5"/>
    </row>
    <row r="326" spans="1:16" ht="13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2"/>
      <c r="K326" s="2"/>
      <c r="L326" s="2"/>
      <c r="M326" s="1"/>
      <c r="N326" s="1"/>
      <c r="O326" s="6"/>
      <c r="P326" s="5"/>
    </row>
    <row r="327" spans="1:16" ht="13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2"/>
      <c r="K327" s="2"/>
      <c r="L327" s="2"/>
      <c r="M327" s="1"/>
      <c r="N327" s="1"/>
      <c r="O327" s="6"/>
      <c r="P327" s="5"/>
    </row>
    <row r="328" spans="1:16" ht="13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2"/>
      <c r="K328" s="2"/>
      <c r="L328" s="2"/>
      <c r="M328" s="1"/>
      <c r="N328" s="1"/>
      <c r="O328" s="6"/>
      <c r="P328" s="5"/>
    </row>
    <row r="329" spans="1:16" ht="13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2"/>
      <c r="K329" s="2"/>
      <c r="L329" s="2"/>
      <c r="M329" s="1"/>
      <c r="N329" s="1"/>
      <c r="O329" s="6"/>
      <c r="P329" s="5"/>
    </row>
    <row r="330" spans="1:16" ht="13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2"/>
      <c r="K330" s="2"/>
      <c r="L330" s="2"/>
      <c r="M330" s="1"/>
      <c r="N330" s="1"/>
      <c r="O330" s="6"/>
      <c r="P330" s="5"/>
    </row>
    <row r="331" spans="1:16" ht="13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2"/>
      <c r="K331" s="2"/>
      <c r="L331" s="2"/>
      <c r="M331" s="1"/>
      <c r="N331" s="1"/>
      <c r="O331" s="6"/>
      <c r="P331" s="5"/>
    </row>
    <row r="332" spans="1:16" ht="13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2"/>
      <c r="K332" s="2"/>
      <c r="L332" s="2"/>
      <c r="M332" s="1"/>
      <c r="N332" s="1"/>
      <c r="O332" s="6"/>
      <c r="P332" s="5"/>
    </row>
    <row r="333" spans="1:16" ht="13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2"/>
      <c r="K333" s="2"/>
      <c r="L333" s="2"/>
      <c r="M333" s="1"/>
      <c r="N333" s="1"/>
      <c r="O333" s="6"/>
      <c r="P333" s="5"/>
    </row>
    <row r="334" spans="1:16" ht="13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2"/>
      <c r="K334" s="2"/>
      <c r="L334" s="2"/>
      <c r="M334" s="1"/>
      <c r="N334" s="1"/>
      <c r="O334" s="6"/>
      <c r="P334" s="5"/>
    </row>
    <row r="335" spans="1:16" ht="13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2"/>
      <c r="K335" s="2"/>
      <c r="L335" s="2"/>
      <c r="M335" s="1"/>
      <c r="N335" s="1"/>
      <c r="O335" s="6"/>
      <c r="P335" s="5"/>
    </row>
    <row r="336" spans="1:16" ht="13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2"/>
      <c r="K336" s="2"/>
      <c r="L336" s="2"/>
      <c r="M336" s="1"/>
      <c r="N336" s="1"/>
      <c r="O336" s="6"/>
      <c r="P336" s="5"/>
    </row>
    <row r="337" spans="1:16" ht="13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2"/>
      <c r="K337" s="2"/>
      <c r="L337" s="2"/>
      <c r="M337" s="1"/>
      <c r="N337" s="1"/>
      <c r="O337" s="6"/>
      <c r="P337" s="5"/>
    </row>
    <row r="338" spans="1:16" ht="13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2"/>
      <c r="K338" s="2"/>
      <c r="L338" s="2"/>
      <c r="M338" s="1"/>
      <c r="N338" s="1"/>
      <c r="O338" s="6"/>
      <c r="P338" s="5"/>
    </row>
    <row r="339" spans="1:16" ht="13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2"/>
      <c r="K339" s="2"/>
      <c r="L339" s="2"/>
      <c r="M339" s="1"/>
      <c r="N339" s="1"/>
      <c r="O339" s="6"/>
      <c r="P339" s="5"/>
    </row>
    <row r="340" spans="1:16" ht="13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2"/>
      <c r="K340" s="2"/>
      <c r="L340" s="2"/>
      <c r="M340" s="1"/>
      <c r="N340" s="1"/>
      <c r="O340" s="6"/>
      <c r="P340" s="5"/>
    </row>
    <row r="341" spans="1:16" ht="13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2"/>
      <c r="K341" s="2"/>
      <c r="L341" s="2"/>
      <c r="M341" s="1"/>
      <c r="N341" s="1"/>
      <c r="O341" s="6"/>
      <c r="P341" s="5"/>
    </row>
    <row r="342" spans="1:16" ht="13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2"/>
      <c r="K342" s="2"/>
      <c r="L342" s="2"/>
      <c r="M342" s="1"/>
      <c r="N342" s="1"/>
      <c r="O342" s="6"/>
      <c r="P342" s="5"/>
    </row>
    <row r="343" spans="1:16" ht="13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2"/>
      <c r="K343" s="2"/>
      <c r="L343" s="2"/>
      <c r="M343" s="1"/>
      <c r="N343" s="1"/>
      <c r="O343" s="6"/>
      <c r="P343" s="5"/>
    </row>
    <row r="344" spans="1:16" ht="13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2"/>
      <c r="K344" s="2"/>
      <c r="L344" s="2"/>
      <c r="M344" s="1"/>
      <c r="N344" s="1"/>
      <c r="O344" s="6"/>
      <c r="P344" s="5"/>
    </row>
    <row r="345" spans="1:16" ht="13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2"/>
      <c r="K345" s="2"/>
      <c r="L345" s="2"/>
      <c r="M345" s="1"/>
      <c r="N345" s="1"/>
      <c r="O345" s="6"/>
      <c r="P345" s="5"/>
    </row>
    <row r="346" spans="1:16" ht="13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2"/>
      <c r="K346" s="2"/>
      <c r="L346" s="2"/>
      <c r="M346" s="1"/>
      <c r="N346" s="1"/>
      <c r="O346" s="6"/>
      <c r="P346" s="5"/>
    </row>
    <row r="347" spans="1:16" ht="13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2"/>
      <c r="K347" s="2"/>
      <c r="L347" s="2"/>
      <c r="M347" s="1"/>
      <c r="N347" s="1"/>
      <c r="O347" s="6"/>
      <c r="P347" s="5"/>
    </row>
    <row r="348" spans="1:16" ht="13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2"/>
      <c r="K348" s="2"/>
      <c r="L348" s="2"/>
      <c r="M348" s="1"/>
      <c r="N348" s="1"/>
      <c r="O348" s="6"/>
      <c r="P348" s="5"/>
    </row>
    <row r="349" spans="1:16" ht="13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2"/>
      <c r="K349" s="2"/>
      <c r="L349" s="2"/>
      <c r="M349" s="1"/>
      <c r="N349" s="1"/>
      <c r="O349" s="6"/>
      <c r="P349" s="5"/>
    </row>
    <row r="350" spans="1:16" ht="13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2"/>
      <c r="K350" s="2"/>
      <c r="L350" s="2"/>
      <c r="M350" s="1"/>
      <c r="N350" s="1"/>
      <c r="O350" s="6"/>
      <c r="P350" s="5"/>
    </row>
    <row r="351" spans="1:16" ht="13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2"/>
      <c r="K351" s="2"/>
      <c r="L351" s="2"/>
      <c r="M351" s="1"/>
      <c r="N351" s="1"/>
      <c r="O351" s="6"/>
      <c r="P351" s="5"/>
    </row>
    <row r="352" spans="1:16" ht="13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2"/>
      <c r="K352" s="2"/>
      <c r="L352" s="2"/>
      <c r="M352" s="1"/>
      <c r="N352" s="1"/>
      <c r="O352" s="6"/>
      <c r="P352" s="5"/>
    </row>
    <row r="353" spans="1:16" ht="13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2"/>
      <c r="K353" s="2"/>
      <c r="L353" s="2"/>
      <c r="M353" s="1"/>
      <c r="N353" s="1"/>
      <c r="O353" s="6"/>
      <c r="P353" s="5"/>
    </row>
    <row r="354" spans="1:16" ht="13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2"/>
      <c r="K354" s="2"/>
      <c r="L354" s="2"/>
      <c r="M354" s="1"/>
      <c r="N354" s="1"/>
      <c r="O354" s="6"/>
      <c r="P354" s="5"/>
    </row>
    <row r="355" spans="1:16" ht="13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2"/>
      <c r="K355" s="2"/>
      <c r="L355" s="2"/>
      <c r="M355" s="1"/>
      <c r="N355" s="1"/>
      <c r="O355" s="6"/>
      <c r="P355" s="5"/>
    </row>
    <row r="356" spans="1:16" ht="13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2"/>
      <c r="K356" s="2"/>
      <c r="L356" s="2"/>
      <c r="M356" s="1"/>
      <c r="N356" s="1"/>
      <c r="O356" s="6"/>
      <c r="P356" s="5"/>
    </row>
    <row r="357" spans="1:16" ht="13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2"/>
      <c r="K357" s="2"/>
      <c r="L357" s="2"/>
      <c r="M357" s="1"/>
      <c r="N357" s="1"/>
      <c r="O357" s="6"/>
      <c r="P357" s="5"/>
    </row>
    <row r="358" spans="1:16" ht="13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2"/>
      <c r="K358" s="2"/>
      <c r="L358" s="2"/>
      <c r="M358" s="1"/>
      <c r="N358" s="1"/>
      <c r="O358" s="6"/>
      <c r="P358" s="5"/>
    </row>
    <row r="359" spans="1:16" ht="13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2"/>
      <c r="K359" s="2"/>
      <c r="L359" s="2"/>
      <c r="M359" s="1"/>
      <c r="N359" s="1"/>
      <c r="O359" s="6"/>
      <c r="P359" s="5"/>
    </row>
    <row r="360" spans="1:16" ht="13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2"/>
      <c r="K360" s="2"/>
      <c r="L360" s="2"/>
      <c r="M360" s="1"/>
      <c r="N360" s="1"/>
      <c r="O360" s="6"/>
      <c r="P360" s="5"/>
    </row>
    <row r="361" spans="1:16" ht="13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2"/>
      <c r="K361" s="2"/>
      <c r="L361" s="2"/>
      <c r="M361" s="1"/>
      <c r="N361" s="1"/>
      <c r="O361" s="6"/>
      <c r="P361" s="5"/>
    </row>
    <row r="362" spans="1:16" ht="13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2"/>
      <c r="K362" s="2"/>
      <c r="L362" s="2"/>
      <c r="M362" s="1"/>
      <c r="N362" s="1"/>
      <c r="O362" s="6"/>
      <c r="P362" s="5"/>
    </row>
    <row r="363" spans="1:16" ht="13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2"/>
      <c r="K363" s="2"/>
      <c r="L363" s="2"/>
      <c r="M363" s="1"/>
      <c r="N363" s="1"/>
      <c r="O363" s="6"/>
      <c r="P363" s="5"/>
    </row>
    <row r="364" spans="1:16" ht="13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2"/>
      <c r="K364" s="2"/>
      <c r="L364" s="2"/>
      <c r="M364" s="1"/>
      <c r="N364" s="1"/>
      <c r="O364" s="6"/>
      <c r="P364" s="5"/>
    </row>
    <row r="365" spans="1:16" ht="13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2"/>
      <c r="K365" s="2"/>
      <c r="L365" s="2"/>
      <c r="M365" s="1"/>
      <c r="N365" s="1"/>
      <c r="O365" s="6"/>
      <c r="P365" s="5"/>
    </row>
    <row r="366" spans="1:16" ht="13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2"/>
      <c r="K366" s="2"/>
      <c r="L366" s="2"/>
      <c r="M366" s="1"/>
      <c r="N366" s="1"/>
      <c r="O366" s="6"/>
      <c r="P366" s="5"/>
    </row>
    <row r="367" spans="1:16" ht="13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2"/>
      <c r="K367" s="2"/>
      <c r="L367" s="2"/>
      <c r="M367" s="1"/>
      <c r="N367" s="1"/>
      <c r="O367" s="6"/>
      <c r="P367" s="5"/>
    </row>
    <row r="368" spans="1:16" ht="13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2"/>
      <c r="K368" s="2"/>
      <c r="L368" s="2"/>
      <c r="M368" s="1"/>
      <c r="N368" s="1"/>
      <c r="O368" s="6"/>
      <c r="P368" s="5"/>
    </row>
    <row r="369" spans="1:16" ht="13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2"/>
      <c r="K369" s="2"/>
      <c r="L369" s="2"/>
      <c r="M369" s="1"/>
      <c r="N369" s="1"/>
      <c r="O369" s="6"/>
      <c r="P369" s="5"/>
    </row>
    <row r="370" spans="1:16" ht="13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2"/>
      <c r="K370" s="2"/>
      <c r="L370" s="2"/>
      <c r="M370" s="1"/>
      <c r="N370" s="1"/>
      <c r="O370" s="6"/>
      <c r="P370" s="5"/>
    </row>
    <row r="371" spans="1:16" ht="13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2"/>
      <c r="K371" s="2"/>
      <c r="L371" s="2"/>
      <c r="M371" s="1"/>
      <c r="N371" s="1"/>
      <c r="O371" s="6"/>
      <c r="P371" s="5"/>
    </row>
    <row r="372" spans="1:16" ht="13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2"/>
      <c r="K372" s="2"/>
      <c r="L372" s="2"/>
      <c r="M372" s="1"/>
      <c r="N372" s="1"/>
      <c r="O372" s="6"/>
      <c r="P372" s="5"/>
    </row>
    <row r="373" spans="1:16" ht="13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2"/>
      <c r="K373" s="2"/>
      <c r="L373" s="2"/>
      <c r="M373" s="1"/>
      <c r="N373" s="1"/>
      <c r="O373" s="6"/>
      <c r="P373" s="5"/>
    </row>
    <row r="374" spans="1:16" ht="13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2"/>
      <c r="K374" s="2"/>
      <c r="L374" s="2"/>
      <c r="M374" s="1"/>
      <c r="N374" s="1"/>
      <c r="O374" s="6"/>
      <c r="P374" s="5"/>
    </row>
    <row r="375" spans="1:16" ht="13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2"/>
      <c r="K375" s="2"/>
      <c r="L375" s="2"/>
      <c r="M375" s="1"/>
      <c r="N375" s="1"/>
      <c r="O375" s="6"/>
      <c r="P375" s="5"/>
    </row>
    <row r="376" spans="1:16" ht="13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2"/>
      <c r="K376" s="2"/>
      <c r="L376" s="2"/>
      <c r="M376" s="1"/>
      <c r="N376" s="1"/>
      <c r="O376" s="6"/>
      <c r="P376" s="5"/>
    </row>
    <row r="377" spans="1:16" ht="13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2"/>
      <c r="K377" s="2"/>
      <c r="L377" s="2"/>
      <c r="M377" s="1"/>
      <c r="N377" s="1"/>
      <c r="O377" s="6"/>
      <c r="P377" s="5"/>
    </row>
    <row r="378" spans="1:16" ht="13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2"/>
      <c r="K378" s="2"/>
      <c r="L378" s="2"/>
      <c r="M378" s="1"/>
      <c r="N378" s="1"/>
      <c r="O378" s="6"/>
      <c r="P378" s="5"/>
    </row>
    <row r="379" spans="1:16" ht="13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2"/>
      <c r="K379" s="2"/>
      <c r="L379" s="2"/>
      <c r="M379" s="1"/>
      <c r="N379" s="1"/>
      <c r="O379" s="6"/>
      <c r="P379" s="5"/>
    </row>
    <row r="380" spans="1:16" ht="13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2"/>
      <c r="K380" s="2"/>
      <c r="L380" s="2"/>
      <c r="M380" s="1"/>
      <c r="N380" s="1"/>
      <c r="O380" s="6"/>
      <c r="P380" s="5"/>
    </row>
    <row r="381" spans="1:16" ht="13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2"/>
      <c r="K381" s="2"/>
      <c r="L381" s="2"/>
      <c r="M381" s="1"/>
      <c r="N381" s="1"/>
      <c r="O381" s="6"/>
      <c r="P381" s="5"/>
    </row>
    <row r="382" spans="1:16" ht="13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2"/>
      <c r="K382" s="2"/>
      <c r="L382" s="2"/>
      <c r="M382" s="1"/>
      <c r="N382" s="1"/>
      <c r="O382" s="6"/>
      <c r="P382" s="5"/>
    </row>
    <row r="383" spans="1:16" ht="13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2"/>
      <c r="K383" s="2"/>
      <c r="L383" s="2"/>
      <c r="M383" s="1"/>
      <c r="N383" s="1"/>
      <c r="O383" s="6"/>
      <c r="P383" s="5"/>
    </row>
    <row r="384" spans="1:16" ht="13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2"/>
      <c r="K384" s="2"/>
      <c r="L384" s="2"/>
      <c r="M384" s="1"/>
      <c r="N384" s="1"/>
      <c r="O384" s="6"/>
      <c r="P384" s="5"/>
    </row>
    <row r="385" spans="1:16" ht="13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2"/>
      <c r="K385" s="2"/>
      <c r="L385" s="2"/>
      <c r="M385" s="1"/>
      <c r="N385" s="1"/>
      <c r="O385" s="6"/>
      <c r="P385" s="5"/>
    </row>
    <row r="386" spans="1:16" ht="13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2"/>
      <c r="K386" s="2"/>
      <c r="L386" s="2"/>
      <c r="M386" s="1"/>
      <c r="N386" s="1"/>
      <c r="O386" s="6"/>
      <c r="P386" s="5"/>
    </row>
    <row r="387" spans="1:16" ht="13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2"/>
      <c r="K387" s="2"/>
      <c r="L387" s="2"/>
      <c r="M387" s="1"/>
      <c r="N387" s="1"/>
      <c r="O387" s="6"/>
      <c r="P387" s="5"/>
    </row>
    <row r="388" spans="1:16" ht="13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2"/>
      <c r="K388" s="2"/>
      <c r="L388" s="2"/>
      <c r="M388" s="1"/>
      <c r="N388" s="1"/>
      <c r="O388" s="6"/>
      <c r="P388" s="5"/>
    </row>
    <row r="389" spans="1:16" ht="13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2"/>
      <c r="K389" s="2"/>
      <c r="L389" s="2"/>
      <c r="M389" s="1"/>
      <c r="N389" s="1"/>
      <c r="O389" s="6"/>
      <c r="P389" s="5"/>
    </row>
    <row r="390" spans="1:16" ht="13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2"/>
      <c r="K390" s="2"/>
      <c r="L390" s="2"/>
      <c r="M390" s="1"/>
      <c r="N390" s="1"/>
      <c r="O390" s="6"/>
      <c r="P390" s="5"/>
    </row>
    <row r="391" spans="1:16" ht="13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2"/>
      <c r="K391" s="2"/>
      <c r="L391" s="2"/>
      <c r="M391" s="1"/>
      <c r="N391" s="1"/>
      <c r="O391" s="6"/>
      <c r="P391" s="5"/>
    </row>
    <row r="392" spans="1:16" ht="13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2"/>
      <c r="K392" s="2"/>
      <c r="L392" s="2"/>
      <c r="M392" s="1"/>
      <c r="N392" s="1"/>
      <c r="O392" s="6"/>
      <c r="P392" s="5"/>
    </row>
    <row r="393" spans="1:16" ht="13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2"/>
      <c r="K393" s="2"/>
      <c r="L393" s="2"/>
      <c r="M393" s="1"/>
      <c r="N393" s="1"/>
      <c r="O393" s="6"/>
      <c r="P393" s="5"/>
    </row>
    <row r="394" spans="1:16" ht="13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2"/>
      <c r="K394" s="2"/>
      <c r="L394" s="2"/>
      <c r="M394" s="1"/>
      <c r="N394" s="1"/>
      <c r="O394" s="6"/>
      <c r="P394" s="5"/>
    </row>
    <row r="395" spans="1:16" ht="13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2"/>
      <c r="K395" s="2"/>
      <c r="L395" s="2"/>
      <c r="M395" s="1"/>
      <c r="N395" s="1"/>
      <c r="O395" s="6"/>
      <c r="P395" s="5"/>
    </row>
    <row r="396" spans="1:16" ht="13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2"/>
      <c r="K396" s="2"/>
      <c r="L396" s="2"/>
      <c r="M396" s="1"/>
      <c r="N396" s="1"/>
      <c r="O396" s="6"/>
      <c r="P396" s="5"/>
    </row>
    <row r="397" spans="1:16" ht="13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2"/>
      <c r="K397" s="2"/>
      <c r="L397" s="2"/>
      <c r="M397" s="1"/>
      <c r="N397" s="1"/>
      <c r="O397" s="6"/>
      <c r="P397" s="5"/>
    </row>
    <row r="398" spans="1:16" ht="13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2"/>
      <c r="K398" s="2"/>
      <c r="L398" s="2"/>
      <c r="M398" s="1"/>
      <c r="N398" s="1"/>
      <c r="O398" s="6"/>
      <c r="P398" s="5"/>
    </row>
    <row r="399" spans="1:16" ht="13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2"/>
      <c r="K399" s="2"/>
      <c r="L399" s="2"/>
      <c r="M399" s="1"/>
      <c r="N399" s="1"/>
      <c r="O399" s="6"/>
      <c r="P399" s="5"/>
    </row>
    <row r="400" spans="1:16" ht="13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2"/>
      <c r="K400" s="2"/>
      <c r="L400" s="2"/>
      <c r="M400" s="1"/>
      <c r="N400" s="1"/>
      <c r="O400" s="6"/>
      <c r="P400" s="5"/>
    </row>
    <row r="401" spans="1:16" ht="13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2"/>
      <c r="K401" s="2"/>
      <c r="L401" s="2"/>
      <c r="M401" s="1"/>
      <c r="N401" s="1"/>
      <c r="O401" s="6"/>
      <c r="P401" s="5"/>
    </row>
    <row r="402" spans="1:16" ht="13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2"/>
      <c r="K402" s="2"/>
      <c r="L402" s="2"/>
      <c r="M402" s="1"/>
      <c r="N402" s="1"/>
      <c r="O402" s="6"/>
      <c r="P402" s="5"/>
    </row>
    <row r="403" spans="1:16" ht="13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2"/>
      <c r="K403" s="2"/>
      <c r="L403" s="2"/>
      <c r="M403" s="1"/>
      <c r="N403" s="1"/>
      <c r="O403" s="6"/>
      <c r="P403" s="5"/>
    </row>
    <row r="404" spans="1:16" ht="13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2"/>
      <c r="K404" s="2"/>
      <c r="L404" s="2"/>
      <c r="M404" s="1"/>
      <c r="N404" s="1"/>
      <c r="O404" s="6"/>
      <c r="P404" s="5"/>
    </row>
    <row r="405" spans="1:16" ht="13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2"/>
      <c r="K405" s="2"/>
      <c r="L405" s="2"/>
      <c r="M405" s="1"/>
      <c r="N405" s="1"/>
      <c r="O405" s="6"/>
      <c r="P405" s="5"/>
    </row>
    <row r="406" spans="1:16" ht="13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2"/>
      <c r="K406" s="2"/>
      <c r="L406" s="2"/>
      <c r="M406" s="1"/>
      <c r="N406" s="1"/>
      <c r="O406" s="6"/>
      <c r="P406" s="5"/>
    </row>
    <row r="407" spans="1:16" ht="13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2"/>
      <c r="K407" s="2"/>
      <c r="L407" s="2"/>
      <c r="M407" s="1"/>
      <c r="N407" s="1"/>
      <c r="O407" s="6"/>
      <c r="P407" s="5"/>
    </row>
    <row r="408" spans="1:16" ht="13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2"/>
      <c r="K408" s="2"/>
      <c r="L408" s="2"/>
      <c r="M408" s="1"/>
      <c r="N408" s="1"/>
      <c r="O408" s="6"/>
      <c r="P408" s="5"/>
    </row>
    <row r="409" spans="1:16" ht="13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2"/>
      <c r="K409" s="2"/>
      <c r="L409" s="2"/>
      <c r="M409" s="1"/>
      <c r="N409" s="1"/>
      <c r="O409" s="6"/>
      <c r="P409" s="5"/>
    </row>
    <row r="410" spans="1:16" ht="13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2"/>
      <c r="K410" s="2"/>
      <c r="L410" s="2"/>
      <c r="M410" s="1"/>
      <c r="N410" s="1"/>
      <c r="O410" s="6"/>
      <c r="P410" s="5"/>
    </row>
    <row r="411" spans="1:16" ht="13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2"/>
      <c r="K411" s="2"/>
      <c r="L411" s="2"/>
      <c r="M411" s="1"/>
      <c r="N411" s="1"/>
      <c r="O411" s="6"/>
      <c r="P411" s="5"/>
    </row>
    <row r="412" spans="1:16" ht="13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2"/>
      <c r="K412" s="2"/>
      <c r="L412" s="2"/>
      <c r="M412" s="1"/>
      <c r="N412" s="1"/>
      <c r="O412" s="6"/>
      <c r="P412" s="5"/>
    </row>
    <row r="413" spans="1:16" ht="13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2"/>
      <c r="K413" s="2"/>
      <c r="L413" s="2"/>
      <c r="M413" s="1"/>
      <c r="N413" s="1"/>
      <c r="O413" s="6"/>
      <c r="P413" s="5"/>
    </row>
    <row r="414" spans="1:16" ht="13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2"/>
      <c r="K414" s="2"/>
      <c r="L414" s="2"/>
      <c r="M414" s="1"/>
      <c r="N414" s="1"/>
      <c r="O414" s="6"/>
      <c r="P414" s="5"/>
    </row>
    <row r="415" spans="1:16" ht="13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2"/>
      <c r="K415" s="2"/>
      <c r="L415" s="2"/>
      <c r="M415" s="1"/>
      <c r="N415" s="1"/>
      <c r="O415" s="6"/>
      <c r="P415" s="5"/>
    </row>
    <row r="416" spans="1:16" ht="13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2"/>
      <c r="K416" s="2"/>
      <c r="L416" s="2"/>
      <c r="M416" s="1"/>
      <c r="N416" s="1"/>
      <c r="O416" s="6"/>
      <c r="P416" s="5"/>
    </row>
    <row r="417" spans="1:16" ht="13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2"/>
      <c r="K417" s="2"/>
      <c r="L417" s="2"/>
      <c r="M417" s="1"/>
      <c r="N417" s="1"/>
      <c r="O417" s="6"/>
      <c r="P417" s="5"/>
    </row>
    <row r="418" spans="1:16" ht="13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2"/>
      <c r="K418" s="2"/>
      <c r="L418" s="2"/>
      <c r="M418" s="1"/>
      <c r="N418" s="1"/>
      <c r="O418" s="6"/>
      <c r="P418" s="5"/>
    </row>
    <row r="419" spans="1:16" ht="13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2"/>
      <c r="K419" s="2"/>
      <c r="L419" s="2"/>
      <c r="M419" s="1"/>
      <c r="N419" s="1"/>
      <c r="O419" s="6"/>
      <c r="P419" s="5"/>
    </row>
    <row r="420" spans="1:16" ht="13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2"/>
      <c r="K420" s="2"/>
      <c r="L420" s="2"/>
      <c r="M420" s="1"/>
      <c r="N420" s="1"/>
      <c r="O420" s="6"/>
      <c r="P420" s="5"/>
    </row>
    <row r="421" spans="1:16" ht="13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2"/>
      <c r="K421" s="2"/>
      <c r="L421" s="2"/>
      <c r="M421" s="1"/>
      <c r="N421" s="1"/>
      <c r="O421" s="6"/>
      <c r="P421" s="5"/>
    </row>
    <row r="422" spans="1:16" ht="13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2"/>
      <c r="K422" s="2"/>
      <c r="L422" s="2"/>
      <c r="M422" s="1"/>
      <c r="N422" s="1"/>
      <c r="O422" s="6"/>
      <c r="P422" s="5"/>
    </row>
    <row r="423" spans="1:16" ht="13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2"/>
      <c r="K423" s="2"/>
      <c r="L423" s="2"/>
      <c r="M423" s="1"/>
      <c r="N423" s="1"/>
      <c r="O423" s="6"/>
      <c r="P423" s="5"/>
    </row>
    <row r="424" spans="1:16" ht="13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2"/>
      <c r="K424" s="2"/>
      <c r="L424" s="2"/>
      <c r="M424" s="1"/>
      <c r="N424" s="1"/>
      <c r="O424" s="6"/>
      <c r="P424" s="5"/>
    </row>
    <row r="425" spans="1:16" ht="13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2"/>
      <c r="K425" s="2"/>
      <c r="L425" s="2"/>
      <c r="M425" s="1"/>
      <c r="N425" s="1"/>
      <c r="O425" s="6"/>
      <c r="P425" s="5"/>
    </row>
    <row r="426" spans="1:16" ht="13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2"/>
      <c r="K426" s="2"/>
      <c r="L426" s="2"/>
      <c r="M426" s="1"/>
      <c r="N426" s="1"/>
      <c r="O426" s="6"/>
      <c r="P426" s="5"/>
    </row>
    <row r="427" spans="1:16" ht="13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2"/>
      <c r="K427" s="2"/>
      <c r="L427" s="2"/>
      <c r="M427" s="1"/>
      <c r="N427" s="1"/>
      <c r="O427" s="6"/>
      <c r="P427" s="5"/>
    </row>
    <row r="428" spans="1:16" ht="13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2"/>
      <c r="K428" s="2"/>
      <c r="L428" s="2"/>
      <c r="M428" s="1"/>
      <c r="N428" s="1"/>
      <c r="O428" s="6"/>
      <c r="P428" s="5"/>
    </row>
    <row r="429" spans="1:16" ht="13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2"/>
      <c r="K429" s="2"/>
      <c r="L429" s="2"/>
      <c r="M429" s="1"/>
      <c r="N429" s="1"/>
      <c r="O429" s="6"/>
      <c r="P429" s="5"/>
    </row>
    <row r="430" spans="1:16" ht="13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2"/>
      <c r="K430" s="2"/>
      <c r="L430" s="2"/>
      <c r="M430" s="1"/>
      <c r="N430" s="1"/>
      <c r="O430" s="6"/>
      <c r="P430" s="5"/>
    </row>
    <row r="431" spans="1:16" ht="13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2"/>
      <c r="K431" s="2"/>
      <c r="L431" s="2"/>
      <c r="M431" s="1"/>
      <c r="N431" s="1"/>
      <c r="O431" s="6"/>
      <c r="P431" s="5"/>
    </row>
    <row r="432" spans="1:16" ht="13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2"/>
      <c r="K432" s="2"/>
      <c r="L432" s="2"/>
      <c r="M432" s="1"/>
      <c r="N432" s="1"/>
      <c r="O432" s="6"/>
      <c r="P432" s="5"/>
    </row>
    <row r="433" spans="1:16" ht="13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2"/>
      <c r="K433" s="2"/>
      <c r="L433" s="2"/>
      <c r="M433" s="1"/>
      <c r="N433" s="1"/>
      <c r="O433" s="6"/>
      <c r="P433" s="5"/>
    </row>
    <row r="434" spans="1:16" ht="13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2"/>
      <c r="K434" s="2"/>
      <c r="L434" s="2"/>
      <c r="M434" s="1"/>
      <c r="N434" s="1"/>
      <c r="O434" s="6"/>
      <c r="P434" s="5"/>
    </row>
    <row r="435" spans="1:16" ht="13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2"/>
      <c r="K435" s="2"/>
      <c r="L435" s="2"/>
      <c r="M435" s="1"/>
      <c r="N435" s="1"/>
      <c r="O435" s="6"/>
      <c r="P435" s="5"/>
    </row>
    <row r="436" spans="1:16" ht="13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2"/>
      <c r="K436" s="2"/>
      <c r="L436" s="2"/>
      <c r="M436" s="1"/>
      <c r="N436" s="1"/>
      <c r="O436" s="6"/>
      <c r="P436" s="5"/>
    </row>
    <row r="437" spans="1:16" ht="13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2"/>
      <c r="K437" s="2"/>
      <c r="L437" s="2"/>
      <c r="M437" s="1"/>
      <c r="N437" s="1"/>
      <c r="O437" s="6"/>
      <c r="P437" s="5"/>
    </row>
    <row r="438" spans="1:16" ht="13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2"/>
      <c r="K438" s="2"/>
      <c r="L438" s="2"/>
      <c r="M438" s="1"/>
      <c r="N438" s="1"/>
      <c r="O438" s="6"/>
      <c r="P438" s="5"/>
    </row>
    <row r="439" spans="1:16" ht="13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2"/>
      <c r="K439" s="2"/>
      <c r="L439" s="2"/>
      <c r="M439" s="1"/>
      <c r="N439" s="1"/>
      <c r="O439" s="6"/>
      <c r="P439" s="5"/>
    </row>
    <row r="440" spans="1:16" ht="13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2"/>
      <c r="K440" s="2"/>
      <c r="L440" s="2"/>
      <c r="M440" s="1"/>
      <c r="N440" s="1"/>
      <c r="O440" s="6"/>
      <c r="P440" s="5"/>
    </row>
    <row r="441" spans="1:16" ht="13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2"/>
      <c r="K441" s="2"/>
      <c r="L441" s="2"/>
      <c r="M441" s="1"/>
      <c r="N441" s="1"/>
      <c r="O441" s="6"/>
      <c r="P441" s="5"/>
    </row>
    <row r="442" spans="1:16" ht="13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2"/>
      <c r="K442" s="2"/>
      <c r="L442" s="2"/>
      <c r="M442" s="1"/>
      <c r="N442" s="1"/>
      <c r="O442" s="6"/>
      <c r="P442" s="5"/>
    </row>
    <row r="443" spans="1:16" ht="13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2"/>
      <c r="K443" s="2"/>
      <c r="L443" s="2"/>
      <c r="M443" s="1"/>
      <c r="N443" s="1"/>
      <c r="O443" s="6"/>
      <c r="P443" s="5"/>
    </row>
    <row r="444" spans="1:16" ht="13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2"/>
      <c r="K444" s="2"/>
      <c r="L444" s="2"/>
      <c r="M444" s="1"/>
      <c r="N444" s="1"/>
      <c r="O444" s="6"/>
      <c r="P444" s="5"/>
    </row>
    <row r="445" spans="1:16" ht="13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2"/>
      <c r="K445" s="2"/>
      <c r="L445" s="2"/>
      <c r="M445" s="1"/>
      <c r="N445" s="1"/>
      <c r="O445" s="6"/>
      <c r="P445" s="5"/>
    </row>
    <row r="446" spans="1:16" ht="13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2"/>
      <c r="K446" s="2"/>
      <c r="L446" s="2"/>
      <c r="M446" s="1"/>
      <c r="N446" s="1"/>
      <c r="O446" s="6"/>
      <c r="P446" s="5"/>
    </row>
    <row r="447" spans="1:16" ht="13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2"/>
      <c r="K447" s="2"/>
      <c r="L447" s="2"/>
      <c r="M447" s="1"/>
      <c r="N447" s="1"/>
      <c r="O447" s="6"/>
      <c r="P447" s="5"/>
    </row>
    <row r="448" spans="1:16" ht="13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2"/>
      <c r="K448" s="2"/>
      <c r="L448" s="2"/>
      <c r="M448" s="1"/>
      <c r="N448" s="1"/>
      <c r="O448" s="6"/>
      <c r="P448" s="5"/>
    </row>
    <row r="449" spans="1:16" ht="13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2"/>
      <c r="K449" s="2"/>
      <c r="L449" s="2"/>
      <c r="M449" s="1"/>
      <c r="N449" s="1"/>
      <c r="O449" s="6"/>
      <c r="P449" s="5"/>
    </row>
    <row r="450" spans="1:16" ht="13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2"/>
      <c r="K450" s="2"/>
      <c r="L450" s="2"/>
      <c r="M450" s="1"/>
      <c r="N450" s="1"/>
      <c r="O450" s="6"/>
      <c r="P450" s="5"/>
    </row>
    <row r="451" spans="1:16" ht="13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2"/>
      <c r="K451" s="2"/>
      <c r="L451" s="2"/>
      <c r="M451" s="1"/>
      <c r="N451" s="1"/>
      <c r="O451" s="6"/>
      <c r="P451" s="5"/>
    </row>
    <row r="452" spans="1:16" ht="13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2"/>
      <c r="K452" s="2"/>
      <c r="L452" s="2"/>
      <c r="M452" s="1"/>
      <c r="N452" s="1"/>
      <c r="O452" s="6"/>
      <c r="P452" s="5"/>
    </row>
    <row r="453" spans="1:16" ht="13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2"/>
      <c r="K453" s="2"/>
      <c r="L453" s="2"/>
      <c r="M453" s="1"/>
      <c r="N453" s="1"/>
      <c r="O453" s="6"/>
      <c r="P453" s="5"/>
    </row>
    <row r="454" spans="1:16" ht="13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2"/>
      <c r="K454" s="2"/>
      <c r="L454" s="2"/>
      <c r="M454" s="1"/>
      <c r="N454" s="1"/>
      <c r="O454" s="6"/>
      <c r="P454" s="5"/>
    </row>
    <row r="455" spans="1:16" ht="13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2"/>
      <c r="K455" s="2"/>
      <c r="L455" s="2"/>
      <c r="M455" s="1"/>
      <c r="N455" s="1"/>
      <c r="O455" s="6"/>
      <c r="P455" s="5"/>
    </row>
    <row r="456" spans="1:16" ht="13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2"/>
      <c r="K456" s="2"/>
      <c r="L456" s="2"/>
      <c r="M456" s="1"/>
      <c r="N456" s="1"/>
      <c r="O456" s="6"/>
      <c r="P456" s="5"/>
    </row>
    <row r="457" spans="1:16" ht="13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2"/>
      <c r="K457" s="2"/>
      <c r="L457" s="2"/>
      <c r="M457" s="1"/>
      <c r="N457" s="1"/>
      <c r="O457" s="6"/>
      <c r="P457" s="5"/>
    </row>
    <row r="458" spans="1:16" ht="13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2"/>
      <c r="K458" s="2"/>
      <c r="L458" s="2"/>
      <c r="M458" s="1"/>
      <c r="N458" s="1"/>
      <c r="O458" s="6"/>
      <c r="P458" s="5"/>
    </row>
    <row r="459" spans="1:16" ht="13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2"/>
      <c r="K459" s="2"/>
      <c r="L459" s="2"/>
      <c r="M459" s="1"/>
      <c r="N459" s="1"/>
      <c r="O459" s="6"/>
      <c r="P459" s="5"/>
    </row>
    <row r="460" spans="1:16" ht="13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2"/>
      <c r="K460" s="2"/>
      <c r="L460" s="2"/>
      <c r="M460" s="1"/>
      <c r="N460" s="1"/>
      <c r="O460" s="6"/>
      <c r="P460" s="5"/>
    </row>
    <row r="461" spans="1:16" ht="13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2"/>
      <c r="K461" s="2"/>
      <c r="L461" s="2"/>
      <c r="M461" s="1"/>
      <c r="N461" s="1"/>
      <c r="O461" s="6"/>
      <c r="P461" s="5"/>
    </row>
    <row r="462" spans="1:16" ht="13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2"/>
      <c r="K462" s="2"/>
      <c r="L462" s="2"/>
      <c r="M462" s="1"/>
      <c r="N462" s="1"/>
      <c r="O462" s="6"/>
      <c r="P462" s="5"/>
    </row>
    <row r="463" spans="1:16" ht="13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2"/>
      <c r="K463" s="2"/>
      <c r="L463" s="2"/>
      <c r="M463" s="1"/>
      <c r="N463" s="1"/>
      <c r="O463" s="6"/>
      <c r="P463" s="5"/>
    </row>
    <row r="464" spans="1:16" ht="13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2"/>
      <c r="K464" s="2"/>
      <c r="L464" s="2"/>
      <c r="M464" s="1"/>
      <c r="N464" s="1"/>
      <c r="O464" s="6"/>
      <c r="P464" s="5"/>
    </row>
    <row r="465" spans="1:16" ht="13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2"/>
      <c r="K465" s="2"/>
      <c r="L465" s="2"/>
      <c r="M465" s="1"/>
      <c r="N465" s="1"/>
      <c r="O465" s="6"/>
      <c r="P465" s="5"/>
    </row>
    <row r="466" spans="1:16" ht="13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2"/>
      <c r="K466" s="2"/>
      <c r="L466" s="2"/>
      <c r="M466" s="1"/>
      <c r="N466" s="1"/>
      <c r="O466" s="6"/>
      <c r="P466" s="5"/>
    </row>
    <row r="467" spans="1:16" ht="13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2"/>
      <c r="K467" s="2"/>
      <c r="L467" s="2"/>
      <c r="M467" s="1"/>
      <c r="N467" s="1"/>
      <c r="O467" s="6"/>
      <c r="P467" s="5"/>
    </row>
    <row r="468" spans="1:16" ht="13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2"/>
      <c r="K468" s="2"/>
      <c r="L468" s="2"/>
      <c r="M468" s="1"/>
      <c r="N468" s="1"/>
      <c r="O468" s="6"/>
      <c r="P468" s="5"/>
    </row>
    <row r="469" spans="1:16" ht="13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2"/>
      <c r="K469" s="2"/>
      <c r="L469" s="2"/>
      <c r="M469" s="1"/>
      <c r="N469" s="1"/>
      <c r="O469" s="6"/>
      <c r="P469" s="5"/>
    </row>
    <row r="470" spans="1:16" ht="13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2"/>
      <c r="K470" s="2"/>
      <c r="L470" s="2"/>
      <c r="M470" s="1"/>
      <c r="N470" s="1"/>
      <c r="O470" s="6"/>
      <c r="P470" s="5"/>
    </row>
    <row r="471" spans="1:16" ht="13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2"/>
      <c r="K471" s="2"/>
      <c r="L471" s="2"/>
      <c r="M471" s="1"/>
      <c r="N471" s="1"/>
      <c r="O471" s="6"/>
      <c r="P471" s="5"/>
    </row>
    <row r="472" spans="1:16" ht="13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2"/>
      <c r="K472" s="2"/>
      <c r="L472" s="2"/>
      <c r="M472" s="1"/>
      <c r="N472" s="1"/>
      <c r="O472" s="6"/>
      <c r="P472" s="5"/>
    </row>
    <row r="473" spans="1:16" ht="13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2"/>
      <c r="K473" s="2"/>
      <c r="L473" s="2"/>
      <c r="M473" s="1"/>
      <c r="N473" s="1"/>
      <c r="O473" s="6"/>
      <c r="P473" s="5"/>
    </row>
    <row r="474" spans="1:16" ht="13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2"/>
      <c r="K474" s="2"/>
      <c r="L474" s="2"/>
      <c r="M474" s="1"/>
      <c r="N474" s="1"/>
      <c r="O474" s="6"/>
      <c r="P474" s="5"/>
    </row>
    <row r="475" spans="1:16" ht="13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2"/>
      <c r="K475" s="2"/>
      <c r="L475" s="2"/>
      <c r="M475" s="1"/>
      <c r="N475" s="1"/>
      <c r="O475" s="6"/>
      <c r="P475" s="5"/>
    </row>
    <row r="476" spans="1:16" ht="13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2"/>
      <c r="K476" s="2"/>
      <c r="L476" s="2"/>
      <c r="M476" s="1"/>
      <c r="N476" s="1"/>
      <c r="O476" s="6"/>
      <c r="P476" s="5"/>
    </row>
    <row r="477" spans="1:16" ht="13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2"/>
      <c r="K477" s="2"/>
      <c r="L477" s="2"/>
      <c r="M477" s="1"/>
      <c r="N477" s="1"/>
      <c r="O477" s="6"/>
      <c r="P477" s="5"/>
    </row>
    <row r="478" spans="1:16" ht="13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2"/>
      <c r="K478" s="2"/>
      <c r="L478" s="2"/>
      <c r="M478" s="1"/>
      <c r="N478" s="1"/>
      <c r="O478" s="6"/>
      <c r="P478" s="5"/>
    </row>
    <row r="479" spans="1:16" ht="13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2"/>
      <c r="K479" s="2"/>
      <c r="L479" s="2"/>
      <c r="M479" s="1"/>
      <c r="N479" s="1"/>
      <c r="O479" s="6"/>
      <c r="P479" s="5"/>
    </row>
    <row r="480" spans="1:16" ht="13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2"/>
      <c r="K480" s="2"/>
      <c r="L480" s="2"/>
      <c r="M480" s="1"/>
      <c r="N480" s="1"/>
      <c r="O480" s="6"/>
      <c r="P480" s="5"/>
    </row>
    <row r="481" spans="1:16" ht="13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2"/>
      <c r="K481" s="2"/>
      <c r="L481" s="2"/>
      <c r="M481" s="1"/>
      <c r="N481" s="1"/>
      <c r="O481" s="6"/>
      <c r="P481" s="5"/>
    </row>
    <row r="482" spans="1:16" ht="13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2"/>
      <c r="K482" s="2"/>
      <c r="L482" s="2"/>
      <c r="M482" s="1"/>
      <c r="N482" s="1"/>
      <c r="O482" s="6"/>
      <c r="P482" s="5"/>
    </row>
    <row r="483" spans="1:16" ht="13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2"/>
      <c r="K483" s="2"/>
      <c r="L483" s="2"/>
      <c r="M483" s="1"/>
      <c r="N483" s="1"/>
      <c r="O483" s="6"/>
      <c r="P483" s="5"/>
    </row>
    <row r="484" spans="1:16" ht="13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2"/>
      <c r="K484" s="2"/>
      <c r="L484" s="2"/>
      <c r="M484" s="1"/>
      <c r="N484" s="1"/>
      <c r="O484" s="6"/>
      <c r="P484" s="5"/>
    </row>
    <row r="485" spans="1:16" ht="13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2"/>
      <c r="K485" s="2"/>
      <c r="L485" s="2"/>
      <c r="M485" s="1"/>
      <c r="N485" s="1"/>
      <c r="O485" s="6"/>
      <c r="P485" s="5"/>
    </row>
    <row r="486" spans="1:16" ht="13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2"/>
      <c r="K486" s="2"/>
      <c r="L486" s="2"/>
      <c r="M486" s="1"/>
      <c r="N486" s="1"/>
      <c r="O486" s="6"/>
      <c r="P486" s="5"/>
    </row>
    <row r="487" spans="1:16" ht="13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2"/>
      <c r="K487" s="2"/>
      <c r="L487" s="2"/>
      <c r="M487" s="1"/>
      <c r="N487" s="1"/>
      <c r="O487" s="6"/>
      <c r="P487" s="5"/>
    </row>
    <row r="488" spans="1:16" ht="13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2"/>
      <c r="K488" s="2"/>
      <c r="L488" s="2"/>
      <c r="M488" s="1"/>
      <c r="N488" s="1"/>
      <c r="O488" s="6"/>
      <c r="P488" s="5"/>
    </row>
    <row r="489" spans="1:16" ht="13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2"/>
      <c r="K489" s="2"/>
      <c r="L489" s="2"/>
      <c r="M489" s="1"/>
      <c r="N489" s="1"/>
      <c r="O489" s="6"/>
      <c r="P489" s="5"/>
    </row>
    <row r="490" spans="1:16" ht="13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2"/>
      <c r="K490" s="2"/>
      <c r="L490" s="2"/>
      <c r="M490" s="1"/>
      <c r="N490" s="1"/>
      <c r="O490" s="6"/>
      <c r="P490" s="5"/>
    </row>
    <row r="491" spans="1:16" ht="13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2"/>
      <c r="K491" s="2"/>
      <c r="L491" s="2"/>
      <c r="M491" s="1"/>
      <c r="N491" s="1"/>
      <c r="O491" s="6"/>
      <c r="P491" s="5"/>
    </row>
    <row r="492" spans="1:16" ht="13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2"/>
      <c r="K492" s="2"/>
      <c r="L492" s="2"/>
      <c r="M492" s="1"/>
      <c r="N492" s="1"/>
      <c r="O492" s="6"/>
      <c r="P492" s="5"/>
    </row>
    <row r="493" spans="1:16" ht="13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2"/>
      <c r="K493" s="2"/>
      <c r="L493" s="2"/>
      <c r="M493" s="1"/>
      <c r="N493" s="1"/>
      <c r="O493" s="6"/>
      <c r="P493" s="5"/>
    </row>
    <row r="494" spans="1:16" ht="13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2"/>
      <c r="K494" s="2"/>
      <c r="L494" s="2"/>
      <c r="M494" s="1"/>
      <c r="N494" s="1"/>
      <c r="O494" s="6"/>
      <c r="P494" s="5"/>
    </row>
    <row r="495" spans="1:16" ht="13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2"/>
      <c r="K495" s="2"/>
      <c r="L495" s="2"/>
      <c r="M495" s="1"/>
      <c r="N495" s="1"/>
      <c r="O495" s="6"/>
      <c r="P495" s="5"/>
    </row>
    <row r="496" spans="1:16" ht="13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2"/>
      <c r="K496" s="2"/>
      <c r="L496" s="2"/>
      <c r="M496" s="1"/>
      <c r="N496" s="1"/>
      <c r="O496" s="6"/>
      <c r="P496" s="5"/>
    </row>
    <row r="497" spans="1:16" ht="13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2"/>
      <c r="K497" s="2"/>
      <c r="L497" s="2"/>
      <c r="M497" s="1"/>
      <c r="N497" s="1"/>
      <c r="O497" s="6"/>
      <c r="P497" s="5"/>
    </row>
    <row r="498" spans="1:16" ht="13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2"/>
      <c r="K498" s="2"/>
      <c r="L498" s="2"/>
      <c r="M498" s="1"/>
      <c r="N498" s="1"/>
      <c r="O498" s="6"/>
      <c r="P498" s="5"/>
    </row>
    <row r="499" spans="1:16" ht="13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2"/>
      <c r="K499" s="2"/>
      <c r="L499" s="2"/>
      <c r="M499" s="1"/>
      <c r="N499" s="1"/>
      <c r="O499" s="6"/>
      <c r="P499" s="5"/>
    </row>
    <row r="500" spans="1:16" ht="13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2"/>
      <c r="K500" s="2"/>
      <c r="L500" s="2"/>
      <c r="M500" s="1"/>
      <c r="N500" s="1"/>
      <c r="O500" s="6"/>
      <c r="P500" s="5"/>
    </row>
    <row r="501" spans="1:16" ht="13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2"/>
      <c r="K501" s="2"/>
      <c r="L501" s="2"/>
      <c r="M501" s="1"/>
      <c r="N501" s="1"/>
      <c r="O501" s="6"/>
      <c r="P501" s="5"/>
    </row>
    <row r="502" spans="1:16" ht="13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2"/>
      <c r="L502" s="2"/>
      <c r="M502" s="1"/>
      <c r="N502" s="1"/>
      <c r="O502" s="6"/>
      <c r="P502" s="5"/>
    </row>
    <row r="503" spans="1:16" ht="13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2"/>
      <c r="L503" s="2"/>
      <c r="M503" s="1"/>
      <c r="N503" s="1"/>
      <c r="O503" s="6"/>
      <c r="P503" s="5"/>
    </row>
    <row r="504" spans="1:16" ht="13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2"/>
      <c r="L504" s="2"/>
      <c r="M504" s="1"/>
      <c r="N504" s="1"/>
      <c r="O504" s="6"/>
      <c r="P504" s="5"/>
    </row>
    <row r="505" spans="1:16" ht="13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2"/>
      <c r="L505" s="2"/>
      <c r="M505" s="1"/>
      <c r="N505" s="1"/>
      <c r="O505" s="6"/>
      <c r="P505" s="5"/>
    </row>
    <row r="506" spans="1:16" ht="13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2"/>
      <c r="L506" s="2"/>
      <c r="M506" s="1"/>
      <c r="N506" s="1"/>
      <c r="O506" s="6"/>
      <c r="P506" s="5"/>
    </row>
    <row r="507" spans="1:16" ht="13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2"/>
      <c r="L507" s="2"/>
      <c r="M507" s="1"/>
      <c r="N507" s="1"/>
      <c r="O507" s="6"/>
      <c r="P507" s="5"/>
    </row>
    <row r="508" spans="1:16" ht="13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2"/>
      <c r="L508" s="2"/>
      <c r="M508" s="1"/>
      <c r="N508" s="1"/>
      <c r="O508" s="6"/>
      <c r="P508" s="5"/>
    </row>
    <row r="509" spans="1:16" ht="13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2"/>
      <c r="L509" s="2"/>
      <c r="M509" s="1"/>
      <c r="N509" s="1"/>
      <c r="O509" s="6"/>
      <c r="P509" s="5"/>
    </row>
    <row r="510" spans="1:16" ht="13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2"/>
      <c r="L510" s="2"/>
      <c r="M510" s="1"/>
      <c r="N510" s="1"/>
      <c r="O510" s="6"/>
      <c r="P510" s="5"/>
    </row>
    <row r="511" spans="1:16" ht="13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2"/>
      <c r="L511" s="2"/>
      <c r="M511" s="1"/>
      <c r="N511" s="1"/>
      <c r="O511" s="6"/>
      <c r="P511" s="5"/>
    </row>
    <row r="512" spans="1:16" ht="13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2"/>
      <c r="L512" s="2"/>
      <c r="M512" s="1"/>
      <c r="N512" s="1"/>
      <c r="O512" s="6"/>
      <c r="P512" s="5"/>
    </row>
    <row r="513" spans="1:16" ht="13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2"/>
      <c r="L513" s="2"/>
      <c r="M513" s="1"/>
      <c r="N513" s="1"/>
      <c r="O513" s="6"/>
      <c r="P513" s="5"/>
    </row>
    <row r="514" spans="1:16" ht="13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2"/>
      <c r="L514" s="2"/>
      <c r="M514" s="1"/>
      <c r="N514" s="1"/>
      <c r="O514" s="6"/>
      <c r="P514" s="5"/>
    </row>
    <row r="515" spans="1:16" ht="13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2"/>
      <c r="L515" s="2"/>
      <c r="M515" s="1"/>
      <c r="N515" s="1"/>
      <c r="O515" s="6"/>
      <c r="P515" s="5"/>
    </row>
    <row r="516" spans="1:16" ht="13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2"/>
      <c r="L516" s="2"/>
      <c r="M516" s="1"/>
      <c r="N516" s="1"/>
      <c r="O516" s="6"/>
      <c r="P516" s="5"/>
    </row>
    <row r="517" spans="1:16" ht="13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2"/>
      <c r="L517" s="2"/>
      <c r="M517" s="1"/>
      <c r="N517" s="1"/>
      <c r="O517" s="6"/>
      <c r="P517" s="5"/>
    </row>
    <row r="518" spans="1:16" ht="13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2"/>
      <c r="L518" s="2"/>
      <c r="M518" s="1"/>
      <c r="N518" s="1"/>
      <c r="O518" s="6"/>
      <c r="P518" s="5"/>
    </row>
    <row r="519" spans="1:16" ht="13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2"/>
      <c r="L519" s="2"/>
      <c r="M519" s="1"/>
      <c r="N519" s="1"/>
      <c r="O519" s="6"/>
      <c r="P519" s="5"/>
    </row>
    <row r="520" spans="1:16" ht="13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2"/>
      <c r="L520" s="2"/>
      <c r="M520" s="1"/>
      <c r="N520" s="1"/>
      <c r="O520" s="6"/>
      <c r="P520" s="5"/>
    </row>
    <row r="521" spans="1:16" ht="13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2"/>
      <c r="L521" s="2"/>
      <c r="M521" s="1"/>
      <c r="N521" s="1"/>
      <c r="O521" s="6"/>
      <c r="P521" s="5"/>
    </row>
    <row r="522" spans="1:16" ht="13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2"/>
      <c r="L522" s="2"/>
      <c r="M522" s="1"/>
      <c r="N522" s="1"/>
      <c r="O522" s="6"/>
      <c r="P522" s="5"/>
    </row>
    <row r="523" spans="1:16" ht="13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2"/>
      <c r="L523" s="2"/>
      <c r="M523" s="1"/>
      <c r="N523" s="1"/>
      <c r="O523" s="6"/>
      <c r="P523" s="5"/>
    </row>
    <row r="524" spans="1:16" ht="13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2"/>
      <c r="L524" s="2"/>
      <c r="M524" s="1"/>
      <c r="N524" s="1"/>
      <c r="O524" s="6"/>
      <c r="P524" s="5"/>
    </row>
    <row r="525" spans="1:16" ht="13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2"/>
      <c r="L525" s="2"/>
      <c r="M525" s="1"/>
      <c r="N525" s="1"/>
      <c r="O525" s="6"/>
      <c r="P525" s="5"/>
    </row>
    <row r="526" spans="1:16" ht="13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2"/>
      <c r="L526" s="2"/>
      <c r="M526" s="1"/>
      <c r="N526" s="1"/>
      <c r="O526" s="6"/>
      <c r="P526" s="5"/>
    </row>
    <row r="527" spans="1:16" ht="13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2"/>
      <c r="L527" s="2"/>
      <c r="M527" s="1"/>
      <c r="N527" s="1"/>
      <c r="O527" s="6"/>
      <c r="P527" s="5"/>
    </row>
    <row r="528" spans="1:16" ht="13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2"/>
      <c r="L528" s="2"/>
      <c r="M528" s="1"/>
      <c r="N528" s="1"/>
      <c r="O528" s="6"/>
      <c r="P528" s="5"/>
    </row>
    <row r="529" spans="1:16" ht="13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2"/>
      <c r="L529" s="2"/>
      <c r="M529" s="1"/>
      <c r="N529" s="1"/>
      <c r="O529" s="6"/>
      <c r="P529" s="5"/>
    </row>
    <row r="530" spans="1:16" ht="13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2"/>
      <c r="L530" s="2"/>
      <c r="M530" s="1"/>
      <c r="N530" s="1"/>
      <c r="O530" s="6"/>
      <c r="P530" s="5"/>
    </row>
    <row r="531" spans="1:16" ht="13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2"/>
      <c r="L531" s="2"/>
      <c r="M531" s="1"/>
      <c r="N531" s="1"/>
      <c r="O531" s="6"/>
      <c r="P531" s="5"/>
    </row>
    <row r="532" spans="1:16" ht="13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2"/>
      <c r="L532" s="2"/>
      <c r="M532" s="1"/>
      <c r="N532" s="1"/>
      <c r="O532" s="6"/>
      <c r="P532" s="5"/>
    </row>
    <row r="533" spans="1:16" ht="13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2"/>
      <c r="L533" s="2"/>
      <c r="M533" s="1"/>
      <c r="N533" s="1"/>
      <c r="O533" s="6"/>
      <c r="P533" s="5"/>
    </row>
    <row r="534" spans="1:16" ht="13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2"/>
      <c r="L534" s="2"/>
      <c r="M534" s="1"/>
      <c r="N534" s="1"/>
      <c r="O534" s="6"/>
      <c r="P534" s="5"/>
    </row>
    <row r="535" spans="1:16" ht="13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2"/>
      <c r="L535" s="2"/>
      <c r="M535" s="1"/>
      <c r="N535" s="1"/>
      <c r="O535" s="6"/>
      <c r="P535" s="5"/>
    </row>
    <row r="536" spans="1:16" ht="13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2"/>
      <c r="L536" s="2"/>
      <c r="M536" s="1"/>
      <c r="N536" s="1"/>
      <c r="O536" s="6"/>
      <c r="P536" s="5"/>
    </row>
    <row r="537" spans="1:16" ht="13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2"/>
      <c r="L537" s="2"/>
      <c r="M537" s="1"/>
      <c r="N537" s="1"/>
      <c r="O537" s="6"/>
      <c r="P537" s="5"/>
    </row>
    <row r="538" spans="1:16" ht="13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2"/>
      <c r="L538" s="2"/>
      <c r="M538" s="1"/>
      <c r="N538" s="1"/>
      <c r="O538" s="6"/>
      <c r="P538" s="5"/>
    </row>
    <row r="539" spans="1:16" ht="13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2"/>
      <c r="L539" s="2"/>
      <c r="M539" s="1"/>
      <c r="N539" s="1"/>
      <c r="O539" s="6"/>
      <c r="P539" s="5"/>
    </row>
    <row r="540" spans="1:16" ht="13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2"/>
      <c r="L540" s="2"/>
      <c r="M540" s="1"/>
      <c r="N540" s="1"/>
      <c r="O540" s="6"/>
      <c r="P540" s="5"/>
    </row>
    <row r="541" spans="1:16" ht="13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2"/>
      <c r="L541" s="2"/>
      <c r="M541" s="1"/>
      <c r="N541" s="1"/>
      <c r="O541" s="6"/>
      <c r="P541" s="5"/>
    </row>
    <row r="542" spans="1:16" ht="13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2"/>
      <c r="L542" s="2"/>
      <c r="M542" s="1"/>
      <c r="N542" s="1"/>
      <c r="O542" s="6"/>
      <c r="P542" s="5"/>
    </row>
    <row r="543" spans="1:16" ht="13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2"/>
      <c r="L543" s="2"/>
      <c r="M543" s="1"/>
      <c r="N543" s="1"/>
      <c r="O543" s="6"/>
      <c r="P543" s="5"/>
    </row>
    <row r="544" spans="1:16" ht="13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2"/>
      <c r="L544" s="2"/>
      <c r="M544" s="1"/>
      <c r="N544" s="1"/>
      <c r="O544" s="6"/>
      <c r="P544" s="5"/>
    </row>
    <row r="545" spans="1:16" ht="13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2"/>
      <c r="L545" s="2"/>
      <c r="M545" s="1"/>
      <c r="N545" s="1"/>
      <c r="O545" s="6"/>
      <c r="P545" s="5"/>
    </row>
    <row r="546" spans="1:16" ht="13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2"/>
      <c r="L546" s="2"/>
      <c r="M546" s="1"/>
      <c r="N546" s="1"/>
      <c r="O546" s="6"/>
      <c r="P546" s="5"/>
    </row>
    <row r="547" spans="1:16" ht="13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2"/>
      <c r="L547" s="2"/>
      <c r="M547" s="1"/>
      <c r="N547" s="1"/>
      <c r="O547" s="6"/>
      <c r="P547" s="5"/>
    </row>
    <row r="548" spans="1:16" ht="13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2"/>
      <c r="L548" s="2"/>
      <c r="M548" s="1"/>
      <c r="N548" s="1"/>
      <c r="O548" s="6"/>
      <c r="P548" s="5"/>
    </row>
    <row r="549" spans="1:16" ht="13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2"/>
      <c r="L549" s="2"/>
      <c r="M549" s="1"/>
      <c r="N549" s="1"/>
      <c r="O549" s="6"/>
      <c r="P549" s="5"/>
    </row>
    <row r="550" spans="1:16" ht="13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2"/>
      <c r="L550" s="2"/>
      <c r="M550" s="1"/>
      <c r="N550" s="1"/>
      <c r="O550" s="6"/>
      <c r="P550" s="5"/>
    </row>
    <row r="551" spans="1:16" ht="13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2"/>
      <c r="L551" s="2"/>
      <c r="M551" s="1"/>
      <c r="N551" s="1"/>
      <c r="O551" s="6"/>
      <c r="P551" s="5"/>
    </row>
    <row r="552" spans="1:16" ht="13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2"/>
      <c r="L552" s="2"/>
      <c r="M552" s="1"/>
      <c r="N552" s="1"/>
      <c r="O552" s="6"/>
      <c r="P552" s="5"/>
    </row>
    <row r="553" spans="1:16" ht="13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2"/>
      <c r="L553" s="2"/>
      <c r="M553" s="1"/>
      <c r="N553" s="1"/>
      <c r="O553" s="6"/>
      <c r="P553" s="5"/>
    </row>
    <row r="554" spans="1:16" ht="13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2"/>
      <c r="L554" s="2"/>
      <c r="M554" s="1"/>
      <c r="N554" s="1"/>
      <c r="O554" s="6"/>
      <c r="P554" s="5"/>
    </row>
    <row r="555" spans="1:16" ht="13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2"/>
      <c r="L555" s="2"/>
      <c r="M555" s="1"/>
      <c r="N555" s="1"/>
      <c r="O555" s="6"/>
      <c r="P555" s="5"/>
    </row>
    <row r="556" spans="1:16" ht="13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2"/>
      <c r="L556" s="2"/>
      <c r="M556" s="1"/>
      <c r="N556" s="1"/>
      <c r="O556" s="6"/>
      <c r="P556" s="5"/>
    </row>
    <row r="557" spans="1:16" ht="13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2"/>
      <c r="L557" s="2"/>
      <c r="M557" s="1"/>
      <c r="N557" s="1"/>
      <c r="O557" s="6"/>
      <c r="P557" s="5"/>
    </row>
    <row r="558" spans="1:16" ht="13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2"/>
      <c r="L558" s="2"/>
      <c r="M558" s="1"/>
      <c r="N558" s="1"/>
      <c r="O558" s="6"/>
      <c r="P558" s="5"/>
    </row>
    <row r="559" spans="1:16" ht="13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2"/>
      <c r="L559" s="2"/>
      <c r="M559" s="1"/>
      <c r="N559" s="1"/>
      <c r="O559" s="6"/>
      <c r="P559" s="5"/>
    </row>
    <row r="560" spans="1:16" ht="13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2"/>
      <c r="L560" s="2"/>
      <c r="M560" s="1"/>
      <c r="N560" s="1"/>
      <c r="O560" s="6"/>
      <c r="P560" s="5"/>
    </row>
    <row r="561" spans="1:16" ht="13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2"/>
      <c r="L561" s="2"/>
      <c r="M561" s="1"/>
      <c r="N561" s="1"/>
      <c r="O561" s="6"/>
      <c r="P561" s="5"/>
    </row>
    <row r="562" spans="1:16" ht="13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2"/>
      <c r="L562" s="2"/>
      <c r="M562" s="1"/>
      <c r="N562" s="1"/>
      <c r="O562" s="6"/>
      <c r="P562" s="5"/>
    </row>
    <row r="563" spans="1:16" ht="13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2"/>
      <c r="L563" s="2"/>
      <c r="M563" s="1"/>
      <c r="N563" s="1"/>
      <c r="O563" s="6"/>
      <c r="P563" s="5"/>
    </row>
    <row r="564" spans="1:16" ht="13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2"/>
      <c r="L564" s="2"/>
      <c r="M564" s="1"/>
      <c r="N564" s="1"/>
      <c r="O564" s="6"/>
      <c r="P564" s="5"/>
    </row>
    <row r="565" spans="1:16" ht="13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2"/>
      <c r="L565" s="2"/>
      <c r="M565" s="1"/>
      <c r="N565" s="1"/>
      <c r="O565" s="6"/>
      <c r="P565" s="5"/>
    </row>
    <row r="566" spans="1:16" ht="13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2"/>
      <c r="L566" s="2"/>
      <c r="M566" s="1"/>
      <c r="N566" s="1"/>
      <c r="O566" s="6"/>
      <c r="P566" s="5"/>
    </row>
    <row r="567" spans="1:16" ht="13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2"/>
      <c r="L567" s="2"/>
      <c r="M567" s="1"/>
      <c r="N567" s="1"/>
      <c r="O567" s="6"/>
      <c r="P567" s="5"/>
    </row>
    <row r="568" spans="1:16" ht="13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2"/>
      <c r="L568" s="2"/>
      <c r="M568" s="1"/>
      <c r="N568" s="1"/>
      <c r="O568" s="6"/>
      <c r="P568" s="5"/>
    </row>
    <row r="569" spans="1:16" ht="13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2"/>
      <c r="L569" s="2"/>
      <c r="M569" s="1"/>
      <c r="N569" s="1"/>
      <c r="O569" s="6"/>
      <c r="P569" s="5"/>
    </row>
    <row r="570" spans="1:16" ht="13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2"/>
      <c r="L570" s="2"/>
      <c r="M570" s="1"/>
      <c r="N570" s="1"/>
      <c r="O570" s="6"/>
      <c r="P570" s="5"/>
    </row>
    <row r="571" spans="1:16" ht="13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2"/>
      <c r="L571" s="2"/>
      <c r="M571" s="1"/>
      <c r="N571" s="1"/>
      <c r="O571" s="6"/>
      <c r="P571" s="5"/>
    </row>
    <row r="572" spans="1:16" ht="13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2"/>
      <c r="L572" s="2"/>
      <c r="M572" s="1"/>
      <c r="N572" s="1"/>
      <c r="O572" s="6"/>
      <c r="P572" s="5"/>
    </row>
    <row r="573" spans="1:16" ht="13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2"/>
      <c r="L573" s="2"/>
      <c r="M573" s="1"/>
      <c r="N573" s="1"/>
      <c r="O573" s="6"/>
      <c r="P573" s="5"/>
    </row>
    <row r="574" spans="1:16" ht="13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2"/>
      <c r="L574" s="2"/>
      <c r="M574" s="1"/>
      <c r="N574" s="1"/>
      <c r="O574" s="6"/>
      <c r="P574" s="5"/>
    </row>
    <row r="575" spans="1:16" ht="13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2"/>
      <c r="L575" s="2"/>
      <c r="M575" s="1"/>
      <c r="N575" s="1"/>
      <c r="O575" s="6"/>
      <c r="P575" s="5"/>
    </row>
    <row r="576" spans="1:16" ht="13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2"/>
      <c r="L576" s="2"/>
      <c r="M576" s="1"/>
      <c r="N576" s="1"/>
      <c r="O576" s="6"/>
      <c r="P576" s="5"/>
    </row>
    <row r="577" spans="1:16" ht="13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2"/>
      <c r="L577" s="2"/>
      <c r="M577" s="1"/>
      <c r="N577" s="1"/>
      <c r="O577" s="6"/>
      <c r="P577" s="5"/>
    </row>
    <row r="578" spans="1:16" ht="13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2"/>
      <c r="L578" s="2"/>
      <c r="M578" s="1"/>
      <c r="N578" s="1"/>
      <c r="O578" s="6"/>
      <c r="P578" s="5"/>
    </row>
    <row r="579" spans="1:16" ht="13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2"/>
      <c r="L579" s="2"/>
      <c r="M579" s="1"/>
      <c r="N579" s="1"/>
      <c r="O579" s="6"/>
      <c r="P579" s="5"/>
    </row>
    <row r="580" spans="1:16" ht="13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2"/>
      <c r="L580" s="2"/>
      <c r="M580" s="1"/>
      <c r="N580" s="1"/>
      <c r="O580" s="6"/>
      <c r="P580" s="5"/>
    </row>
    <row r="581" spans="1:16" ht="13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2"/>
      <c r="L581" s="2"/>
      <c r="M581" s="1"/>
      <c r="N581" s="1"/>
      <c r="O581" s="6"/>
      <c r="P581" s="5"/>
    </row>
    <row r="582" spans="1:16" ht="13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2"/>
      <c r="L582" s="2"/>
      <c r="M582" s="1"/>
      <c r="N582" s="1"/>
      <c r="O582" s="6"/>
      <c r="P582" s="5"/>
    </row>
    <row r="583" spans="1:16" ht="13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2"/>
      <c r="L583" s="2"/>
      <c r="M583" s="1"/>
      <c r="N583" s="1"/>
      <c r="O583" s="6"/>
      <c r="P583" s="5"/>
    </row>
    <row r="584" spans="1:16" ht="13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2"/>
      <c r="L584" s="2"/>
      <c r="M584" s="1"/>
      <c r="N584" s="1"/>
      <c r="O584" s="6"/>
      <c r="P584" s="5"/>
    </row>
    <row r="585" spans="1:16" ht="13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2"/>
      <c r="L585" s="2"/>
      <c r="M585" s="1"/>
      <c r="N585" s="1"/>
      <c r="O585" s="6"/>
      <c r="P585" s="5"/>
    </row>
    <row r="586" spans="1:16" ht="13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2"/>
      <c r="L586" s="2"/>
      <c r="M586" s="1"/>
      <c r="N586" s="1"/>
      <c r="O586" s="6"/>
      <c r="P586" s="5"/>
    </row>
    <row r="587" spans="1:16" ht="13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2"/>
      <c r="L587" s="2"/>
      <c r="M587" s="1"/>
      <c r="N587" s="1"/>
      <c r="O587" s="6"/>
      <c r="P587" s="5"/>
    </row>
    <row r="588" spans="1:16" ht="13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2"/>
      <c r="L588" s="2"/>
      <c r="M588" s="1"/>
      <c r="N588" s="1"/>
      <c r="O588" s="6"/>
      <c r="P588" s="5"/>
    </row>
    <row r="589" spans="1:16" ht="13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2"/>
      <c r="L589" s="2"/>
      <c r="M589" s="1"/>
      <c r="N589" s="1"/>
      <c r="O589" s="6"/>
      <c r="P589" s="5"/>
    </row>
    <row r="590" spans="1:16" ht="13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2"/>
      <c r="L590" s="2"/>
      <c r="M590" s="1"/>
      <c r="N590" s="1"/>
      <c r="O590" s="6"/>
      <c r="P590" s="5"/>
    </row>
    <row r="591" spans="1:16" ht="13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2"/>
      <c r="L591" s="2"/>
      <c r="M591" s="1"/>
      <c r="N591" s="1"/>
      <c r="O591" s="6"/>
      <c r="P591" s="5"/>
    </row>
    <row r="592" spans="1:16" ht="13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2"/>
      <c r="L592" s="2"/>
      <c r="M592" s="1"/>
      <c r="N592" s="1"/>
      <c r="O592" s="6"/>
      <c r="P592" s="5"/>
    </row>
    <row r="593" spans="1:16" ht="13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2"/>
      <c r="L593" s="2"/>
      <c r="M593" s="1"/>
      <c r="N593" s="1"/>
      <c r="O593" s="6"/>
      <c r="P593" s="5"/>
    </row>
    <row r="594" spans="1:16" ht="13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2"/>
      <c r="L594" s="2"/>
      <c r="M594" s="1"/>
      <c r="N594" s="1"/>
      <c r="O594" s="6"/>
      <c r="P594" s="5"/>
    </row>
    <row r="595" spans="1:16" ht="13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2"/>
      <c r="L595" s="2"/>
      <c r="M595" s="1"/>
      <c r="N595" s="1"/>
      <c r="O595" s="6"/>
      <c r="P595" s="5"/>
    </row>
    <row r="596" spans="1:16" ht="13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2"/>
      <c r="L596" s="2"/>
      <c r="M596" s="1"/>
      <c r="N596" s="1"/>
      <c r="O596" s="6"/>
      <c r="P596" s="5"/>
    </row>
    <row r="597" spans="1:16" ht="13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2"/>
      <c r="L597" s="2"/>
      <c r="M597" s="1"/>
      <c r="N597" s="1"/>
      <c r="O597" s="6"/>
      <c r="P597" s="5"/>
    </row>
    <row r="598" spans="1:16" ht="13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2"/>
      <c r="L598" s="2"/>
      <c r="M598" s="1"/>
      <c r="N598" s="1"/>
      <c r="O598" s="6"/>
      <c r="P598" s="5"/>
    </row>
    <row r="599" spans="1:16" ht="13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2"/>
      <c r="L599" s="2"/>
      <c r="M599" s="1"/>
      <c r="N599" s="1"/>
      <c r="O599" s="6"/>
      <c r="P599" s="5"/>
    </row>
    <row r="600" spans="1:16" ht="13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2"/>
      <c r="L600" s="2"/>
      <c r="M600" s="1"/>
      <c r="N600" s="1"/>
      <c r="O600" s="6"/>
      <c r="P600" s="5"/>
    </row>
    <row r="601" spans="1:16" ht="13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2"/>
      <c r="L601" s="2"/>
      <c r="M601" s="1"/>
      <c r="N601" s="1"/>
      <c r="O601" s="6"/>
      <c r="P601" s="5"/>
    </row>
    <row r="602" spans="1:16" ht="13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2"/>
      <c r="L602" s="2"/>
      <c r="M602" s="1"/>
      <c r="N602" s="1"/>
      <c r="O602" s="6"/>
      <c r="P602" s="5"/>
    </row>
    <row r="603" spans="1:16" ht="13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2"/>
      <c r="L603" s="2"/>
      <c r="M603" s="1"/>
      <c r="N603" s="1"/>
      <c r="O603" s="6"/>
      <c r="P603" s="5"/>
    </row>
    <row r="604" spans="1:16" ht="13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2"/>
      <c r="L604" s="2"/>
      <c r="M604" s="1"/>
      <c r="N604" s="1"/>
      <c r="O604" s="6"/>
      <c r="P604" s="5"/>
    </row>
    <row r="605" spans="1:16" ht="13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2"/>
      <c r="L605" s="2"/>
      <c r="M605" s="1"/>
      <c r="N605" s="1"/>
      <c r="O605" s="6"/>
      <c r="P605" s="5"/>
    </row>
    <row r="606" spans="1:16" ht="13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2"/>
      <c r="L606" s="2"/>
      <c r="M606" s="1"/>
      <c r="N606" s="1"/>
      <c r="O606" s="6"/>
      <c r="P606" s="5"/>
    </row>
    <row r="607" spans="1:16" ht="13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2"/>
      <c r="L607" s="2"/>
      <c r="M607" s="1"/>
      <c r="N607" s="1"/>
      <c r="O607" s="6"/>
      <c r="P607" s="5"/>
    </row>
    <row r="608" spans="1:16" ht="13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2"/>
      <c r="L608" s="2"/>
      <c r="M608" s="1"/>
      <c r="N608" s="1"/>
      <c r="O608" s="6"/>
      <c r="P608" s="5"/>
    </row>
    <row r="609" spans="1:16" ht="13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2"/>
      <c r="L609" s="2"/>
      <c r="M609" s="1"/>
      <c r="N609" s="1"/>
      <c r="O609" s="6"/>
      <c r="P609" s="5"/>
    </row>
    <row r="610" spans="1:16" ht="13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2"/>
      <c r="L610" s="2"/>
      <c r="M610" s="1"/>
      <c r="N610" s="1"/>
      <c r="O610" s="6"/>
      <c r="P610" s="5"/>
    </row>
    <row r="611" spans="1:16" ht="13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2"/>
      <c r="L611" s="2"/>
      <c r="M611" s="1"/>
      <c r="N611" s="1"/>
      <c r="O611" s="6"/>
      <c r="P611" s="5"/>
    </row>
    <row r="612" spans="1:16" ht="13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2"/>
      <c r="L612" s="2"/>
      <c r="M612" s="1"/>
      <c r="N612" s="1"/>
      <c r="O612" s="6"/>
      <c r="P612" s="5"/>
    </row>
    <row r="613" spans="1:16" ht="13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2"/>
      <c r="L613" s="2"/>
      <c r="M613" s="1"/>
      <c r="N613" s="1"/>
      <c r="O613" s="6"/>
      <c r="P613" s="5"/>
    </row>
    <row r="614" spans="1:16" ht="13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2"/>
      <c r="L614" s="2"/>
      <c r="M614" s="1"/>
      <c r="N614" s="1"/>
      <c r="O614" s="6"/>
      <c r="P614" s="5"/>
    </row>
    <row r="615" spans="1:16" ht="13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2"/>
      <c r="L615" s="2"/>
      <c r="M615" s="1"/>
      <c r="N615" s="1"/>
      <c r="O615" s="6"/>
      <c r="P615" s="5"/>
    </row>
    <row r="616" spans="1:16" ht="13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2"/>
      <c r="L616" s="2"/>
      <c r="M616" s="1"/>
      <c r="N616" s="1"/>
      <c r="O616" s="6"/>
      <c r="P616" s="5"/>
    </row>
    <row r="617" spans="1:16" ht="13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2"/>
      <c r="L617" s="2"/>
      <c r="M617" s="1"/>
      <c r="N617" s="1"/>
      <c r="O617" s="6"/>
      <c r="P617" s="5"/>
    </row>
    <row r="618" spans="1:16" ht="13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2"/>
      <c r="L618" s="2"/>
      <c r="M618" s="1"/>
      <c r="N618" s="1"/>
      <c r="O618" s="6"/>
      <c r="P618" s="5"/>
    </row>
    <row r="619" spans="1:16" ht="13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2"/>
      <c r="L619" s="2"/>
      <c r="M619" s="1"/>
      <c r="N619" s="1"/>
      <c r="O619" s="6"/>
      <c r="P619" s="5"/>
    </row>
    <row r="620" spans="1:16" ht="13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2"/>
      <c r="L620" s="2"/>
      <c r="M620" s="1"/>
      <c r="N620" s="1"/>
      <c r="O620" s="6"/>
      <c r="P620" s="5"/>
    </row>
    <row r="621" spans="1:16" ht="13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2"/>
      <c r="L621" s="2"/>
      <c r="M621" s="1"/>
      <c r="N621" s="1"/>
      <c r="O621" s="6"/>
      <c r="P621" s="5"/>
    </row>
    <row r="622" spans="1:16" ht="13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2"/>
      <c r="L622" s="2"/>
      <c r="M622" s="1"/>
      <c r="N622" s="1"/>
      <c r="O622" s="6"/>
      <c r="P622" s="5"/>
    </row>
    <row r="623" spans="1:16" ht="13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2"/>
      <c r="L623" s="2"/>
      <c r="M623" s="1"/>
      <c r="N623" s="1"/>
      <c r="O623" s="6"/>
      <c r="P623" s="5"/>
    </row>
    <row r="624" spans="1:16" ht="13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2"/>
      <c r="L624" s="2"/>
      <c r="M624" s="1"/>
      <c r="N624" s="1"/>
      <c r="O624" s="6"/>
      <c r="P624" s="5"/>
    </row>
    <row r="625" spans="1:16" ht="13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2"/>
      <c r="L625" s="2"/>
      <c r="M625" s="1"/>
      <c r="N625" s="1"/>
      <c r="O625" s="6"/>
      <c r="P625" s="5"/>
    </row>
    <row r="626" spans="1:16" ht="13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2"/>
      <c r="L626" s="2"/>
      <c r="M626" s="1"/>
      <c r="N626" s="1"/>
      <c r="O626" s="6"/>
      <c r="P626" s="5"/>
    </row>
    <row r="627" spans="1:16" ht="13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2"/>
      <c r="L627" s="2"/>
      <c r="M627" s="1"/>
      <c r="N627" s="1"/>
      <c r="O627" s="6"/>
      <c r="P627" s="5"/>
    </row>
    <row r="628" spans="1:16" ht="13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2"/>
      <c r="L628" s="2"/>
      <c r="M628" s="1"/>
      <c r="N628" s="1"/>
      <c r="O628" s="6"/>
      <c r="P628" s="5"/>
    </row>
    <row r="629" spans="1:16" ht="13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2"/>
      <c r="L629" s="2"/>
      <c r="M629" s="1"/>
      <c r="N629" s="1"/>
      <c r="O629" s="6"/>
      <c r="P629" s="5"/>
    </row>
    <row r="630" spans="1:16" ht="13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2"/>
      <c r="L630" s="2"/>
      <c r="M630" s="1"/>
      <c r="N630" s="1"/>
      <c r="O630" s="6"/>
      <c r="P630" s="5"/>
    </row>
    <row r="631" spans="1:16" ht="13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2"/>
      <c r="L631" s="2"/>
      <c r="M631" s="1"/>
      <c r="N631" s="1"/>
      <c r="O631" s="6"/>
      <c r="P631" s="5"/>
    </row>
    <row r="632" spans="1:16" ht="13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2"/>
      <c r="L632" s="2"/>
      <c r="M632" s="1"/>
      <c r="N632" s="1"/>
      <c r="O632" s="6"/>
      <c r="P632" s="5"/>
    </row>
    <row r="633" spans="1:16" ht="13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2"/>
      <c r="L633" s="2"/>
      <c r="M633" s="1"/>
      <c r="N633" s="1"/>
      <c r="O633" s="6"/>
      <c r="P633" s="5"/>
    </row>
    <row r="634" spans="1:16" ht="13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2"/>
      <c r="L634" s="2"/>
      <c r="M634" s="1"/>
      <c r="N634" s="1"/>
      <c r="O634" s="6"/>
      <c r="P634" s="5"/>
    </row>
    <row r="635" spans="1:16" ht="13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2"/>
      <c r="L635" s="2"/>
      <c r="M635" s="1"/>
      <c r="N635" s="1"/>
      <c r="O635" s="6"/>
      <c r="P635" s="5"/>
    </row>
    <row r="636" spans="1:16" ht="13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2"/>
      <c r="L636" s="2"/>
      <c r="M636" s="1"/>
      <c r="N636" s="1"/>
      <c r="O636" s="6"/>
      <c r="P636" s="5"/>
    </row>
    <row r="637" spans="1:16" ht="13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2"/>
      <c r="L637" s="2"/>
      <c r="M637" s="1"/>
      <c r="N637" s="1"/>
      <c r="O637" s="6"/>
      <c r="P637" s="5"/>
    </row>
    <row r="638" spans="1:16" ht="13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2"/>
      <c r="L638" s="2"/>
      <c r="M638" s="1"/>
      <c r="N638" s="1"/>
      <c r="O638" s="6"/>
      <c r="P638" s="5"/>
    </row>
    <row r="639" spans="1:16" ht="13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2"/>
      <c r="L639" s="2"/>
      <c r="M639" s="1"/>
      <c r="N639" s="1"/>
      <c r="O639" s="6"/>
      <c r="P639" s="5"/>
    </row>
    <row r="640" spans="1:16" ht="13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2"/>
      <c r="L640" s="2"/>
      <c r="M640" s="1"/>
      <c r="N640" s="1"/>
      <c r="O640" s="6"/>
      <c r="P640" s="5"/>
    </row>
    <row r="641" spans="1:16" ht="13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2"/>
      <c r="L641" s="2"/>
      <c r="M641" s="1"/>
      <c r="N641" s="1"/>
      <c r="O641" s="6"/>
      <c r="P641" s="5"/>
    </row>
    <row r="642" spans="1:16" ht="13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2"/>
      <c r="L642" s="2"/>
      <c r="M642" s="1"/>
      <c r="N642" s="1"/>
      <c r="O642" s="6"/>
      <c r="P642" s="5"/>
    </row>
    <row r="643" spans="1:16" ht="13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2"/>
      <c r="L643" s="2"/>
      <c r="M643" s="1"/>
      <c r="N643" s="1"/>
      <c r="O643" s="6"/>
      <c r="P643" s="5"/>
    </row>
    <row r="644" spans="1:16" ht="13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2"/>
      <c r="L644" s="2"/>
      <c r="M644" s="1"/>
      <c r="N644" s="1"/>
      <c r="O644" s="6"/>
      <c r="P644" s="5"/>
    </row>
    <row r="645" spans="1:16" ht="13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2"/>
      <c r="L645" s="2"/>
      <c r="M645" s="1"/>
      <c r="N645" s="1"/>
      <c r="O645" s="6"/>
      <c r="P645" s="5"/>
    </row>
    <row r="646" spans="1:16" ht="13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2"/>
      <c r="L646" s="2"/>
      <c r="M646" s="1"/>
      <c r="N646" s="1"/>
      <c r="O646" s="6"/>
      <c r="P646" s="5"/>
    </row>
    <row r="647" spans="1:16" ht="13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2"/>
      <c r="L647" s="2"/>
      <c r="M647" s="1"/>
      <c r="N647" s="1"/>
      <c r="O647" s="6"/>
      <c r="P647" s="5"/>
    </row>
    <row r="648" spans="1:16" ht="13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2"/>
      <c r="L648" s="2"/>
      <c r="M648" s="1"/>
      <c r="N648" s="1"/>
      <c r="O648" s="6"/>
      <c r="P648" s="5"/>
    </row>
    <row r="649" spans="1:16" ht="13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2"/>
      <c r="L649" s="2"/>
      <c r="M649" s="1"/>
      <c r="N649" s="1"/>
      <c r="O649" s="6"/>
      <c r="P649" s="5"/>
    </row>
    <row r="650" spans="1:16" ht="13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2"/>
      <c r="L650" s="2"/>
      <c r="M650" s="1"/>
      <c r="N650" s="1"/>
      <c r="O650" s="6"/>
      <c r="P650" s="5"/>
    </row>
    <row r="651" spans="1:16" ht="13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2"/>
      <c r="L651" s="2"/>
      <c r="M651" s="1"/>
      <c r="N651" s="1"/>
      <c r="O651" s="6"/>
      <c r="P651" s="5"/>
    </row>
    <row r="652" spans="1:16" ht="13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2"/>
      <c r="L652" s="2"/>
      <c r="M652" s="1"/>
      <c r="N652" s="1"/>
      <c r="O652" s="6"/>
      <c r="P652" s="5"/>
    </row>
    <row r="653" spans="1:16" ht="13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2"/>
      <c r="L653" s="2"/>
      <c r="M653" s="1"/>
      <c r="N653" s="1"/>
      <c r="O653" s="6"/>
      <c r="P653" s="5"/>
    </row>
    <row r="654" spans="1:16" ht="13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2"/>
      <c r="L654" s="2"/>
      <c r="M654" s="1"/>
      <c r="N654" s="1"/>
      <c r="O654" s="6"/>
      <c r="P654" s="5"/>
    </row>
    <row r="655" spans="1:16" ht="13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2"/>
      <c r="L655" s="2"/>
      <c r="M655" s="1"/>
      <c r="N655" s="1"/>
      <c r="O655" s="6"/>
      <c r="P655" s="5"/>
    </row>
    <row r="656" spans="1:16" ht="13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2"/>
      <c r="L656" s="2"/>
      <c r="M656" s="1"/>
      <c r="N656" s="1"/>
      <c r="O656" s="6"/>
      <c r="P656" s="5"/>
    </row>
    <row r="657" spans="1:16" ht="13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2"/>
      <c r="L657" s="2"/>
      <c r="M657" s="1"/>
      <c r="N657" s="1"/>
      <c r="O657" s="6"/>
      <c r="P657" s="5"/>
    </row>
    <row r="658" spans="1:16" ht="13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2"/>
      <c r="L658" s="2"/>
      <c r="M658" s="1"/>
      <c r="N658" s="1"/>
      <c r="O658" s="6"/>
      <c r="P658" s="5"/>
    </row>
    <row r="659" spans="1:16" ht="13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2"/>
      <c r="L659" s="2"/>
      <c r="M659" s="1"/>
      <c r="N659" s="1"/>
      <c r="O659" s="6"/>
      <c r="P659" s="5"/>
    </row>
    <row r="660" spans="1:16" ht="13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2"/>
      <c r="L660" s="2"/>
      <c r="M660" s="1"/>
      <c r="N660" s="1"/>
      <c r="O660" s="6"/>
      <c r="P660" s="5"/>
    </row>
    <row r="661" spans="1:16" ht="13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2"/>
      <c r="L661" s="2"/>
      <c r="M661" s="1"/>
      <c r="N661" s="1"/>
      <c r="O661" s="6"/>
      <c r="P661" s="5"/>
    </row>
    <row r="662" spans="1:16" ht="13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2"/>
      <c r="L662" s="2"/>
      <c r="M662" s="1"/>
      <c r="N662" s="1"/>
      <c r="O662" s="6"/>
      <c r="P662" s="5"/>
    </row>
    <row r="663" spans="1:16" ht="13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2"/>
      <c r="L663" s="2"/>
      <c r="M663" s="1"/>
      <c r="N663" s="1"/>
      <c r="O663" s="6"/>
      <c r="P663" s="5"/>
    </row>
    <row r="664" spans="1:16" ht="13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2"/>
      <c r="L664" s="2"/>
      <c r="M664" s="1"/>
      <c r="N664" s="1"/>
      <c r="O664" s="6"/>
      <c r="P664" s="5"/>
    </row>
    <row r="665" spans="1:16" ht="13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2"/>
      <c r="L665" s="2"/>
      <c r="M665" s="1"/>
      <c r="N665" s="1"/>
      <c r="O665" s="6"/>
      <c r="P665" s="5"/>
    </row>
    <row r="666" spans="1:16" ht="13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2"/>
      <c r="L666" s="2"/>
      <c r="M666" s="1"/>
      <c r="N666" s="1"/>
      <c r="O666" s="6"/>
      <c r="P666" s="5"/>
    </row>
    <row r="667" spans="1:16" ht="13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2"/>
      <c r="L667" s="2"/>
      <c r="M667" s="1"/>
      <c r="N667" s="1"/>
      <c r="O667" s="6"/>
      <c r="P667" s="5"/>
    </row>
    <row r="668" spans="1:16" ht="13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2"/>
      <c r="L668" s="2"/>
      <c r="M668" s="1"/>
      <c r="N668" s="1"/>
      <c r="O668" s="6"/>
      <c r="P668" s="5"/>
    </row>
    <row r="669" spans="1:16" ht="13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2"/>
      <c r="L669" s="2"/>
      <c r="M669" s="1"/>
      <c r="N669" s="1"/>
      <c r="O669" s="6"/>
      <c r="P669" s="5"/>
    </row>
    <row r="670" spans="1:16" ht="13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2"/>
      <c r="L670" s="2"/>
      <c r="M670" s="1"/>
      <c r="N670" s="1"/>
      <c r="O670" s="6"/>
      <c r="P670" s="5"/>
    </row>
    <row r="671" spans="1:16" ht="13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2"/>
      <c r="L671" s="2"/>
      <c r="M671" s="1"/>
      <c r="N671" s="1"/>
      <c r="O671" s="6"/>
      <c r="P671" s="5"/>
    </row>
    <row r="672" spans="1:16" ht="13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2"/>
      <c r="L672" s="2"/>
      <c r="M672" s="1"/>
      <c r="N672" s="1"/>
      <c r="O672" s="6"/>
      <c r="P672" s="5"/>
    </row>
    <row r="673" spans="1:16" ht="13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2"/>
      <c r="L673" s="2"/>
      <c r="M673" s="1"/>
      <c r="N673" s="1"/>
      <c r="O673" s="6"/>
      <c r="P673" s="5"/>
    </row>
    <row r="674" spans="1:16" ht="13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2"/>
      <c r="L674" s="2"/>
      <c r="M674" s="1"/>
      <c r="N674" s="1"/>
      <c r="O674" s="6"/>
      <c r="P674" s="5"/>
    </row>
    <row r="675" spans="1:16" ht="13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2"/>
      <c r="L675" s="2"/>
      <c r="M675" s="1"/>
      <c r="N675" s="1"/>
      <c r="O675" s="6"/>
      <c r="P675" s="5"/>
    </row>
    <row r="676" spans="1:16" ht="13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2"/>
      <c r="L676" s="2"/>
      <c r="M676" s="1"/>
      <c r="N676" s="1"/>
      <c r="O676" s="6"/>
      <c r="P676" s="5"/>
    </row>
    <row r="677" spans="1:16" ht="13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2"/>
      <c r="L677" s="2"/>
      <c r="M677" s="1"/>
      <c r="N677" s="1"/>
      <c r="O677" s="6"/>
      <c r="P677" s="5"/>
    </row>
    <row r="678" spans="1:16" ht="13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2"/>
      <c r="L678" s="2"/>
      <c r="M678" s="1"/>
      <c r="N678" s="1"/>
      <c r="O678" s="6"/>
      <c r="P678" s="5"/>
    </row>
    <row r="679" spans="1:16" ht="13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2"/>
      <c r="L679" s="2"/>
      <c r="M679" s="1"/>
      <c r="N679" s="1"/>
      <c r="O679" s="6"/>
      <c r="P679" s="5"/>
    </row>
    <row r="680" spans="1:16" ht="13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2"/>
      <c r="L680" s="2"/>
      <c r="M680" s="1"/>
      <c r="N680" s="1"/>
      <c r="O680" s="6"/>
      <c r="P680" s="5"/>
    </row>
    <row r="681" spans="1:16" ht="13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2"/>
      <c r="L681" s="2"/>
      <c r="M681" s="1"/>
      <c r="N681" s="1"/>
      <c r="O681" s="6"/>
      <c r="P681" s="5"/>
    </row>
    <row r="682" spans="1:16" ht="13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2"/>
      <c r="L682" s="2"/>
      <c r="M682" s="1"/>
      <c r="N682" s="1"/>
      <c r="O682" s="6"/>
      <c r="P682" s="5"/>
    </row>
    <row r="683" spans="1:16" ht="13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2"/>
      <c r="L683" s="2"/>
      <c r="M683" s="1"/>
      <c r="N683" s="1"/>
      <c r="O683" s="6"/>
      <c r="P683" s="5"/>
    </row>
    <row r="684" spans="1:16" ht="13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2"/>
      <c r="L684" s="2"/>
      <c r="M684" s="1"/>
      <c r="N684" s="1"/>
      <c r="O684" s="6"/>
      <c r="P684" s="5"/>
    </row>
    <row r="685" spans="1:16" ht="13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2"/>
      <c r="L685" s="2"/>
      <c r="M685" s="1"/>
      <c r="N685" s="1"/>
      <c r="O685" s="6"/>
      <c r="P685" s="5"/>
    </row>
    <row r="686" spans="1:16" ht="13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2"/>
      <c r="L686" s="2"/>
      <c r="M686" s="1"/>
      <c r="N686" s="1"/>
      <c r="O686" s="6"/>
      <c r="P686" s="5"/>
    </row>
    <row r="687" spans="1:16" ht="13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2"/>
      <c r="L687" s="2"/>
      <c r="M687" s="1"/>
      <c r="N687" s="1"/>
      <c r="O687" s="6"/>
      <c r="P687" s="5"/>
    </row>
    <row r="688" spans="1:16" ht="13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2"/>
      <c r="L688" s="2"/>
      <c r="M688" s="1"/>
      <c r="N688" s="1"/>
      <c r="O688" s="6"/>
      <c r="P688" s="5"/>
    </row>
    <row r="689" spans="1:16" ht="13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2"/>
      <c r="L689" s="2"/>
      <c r="M689" s="1"/>
      <c r="N689" s="1"/>
      <c r="O689" s="6"/>
      <c r="P689" s="5"/>
    </row>
    <row r="690" spans="1:16" ht="13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2"/>
      <c r="L690" s="2"/>
      <c r="M690" s="1"/>
      <c r="N690" s="1"/>
      <c r="O690" s="6"/>
      <c r="P690" s="5"/>
    </row>
    <row r="691" spans="1:16" ht="13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2"/>
      <c r="L691" s="2"/>
      <c r="M691" s="1"/>
      <c r="N691" s="1"/>
      <c r="O691" s="6"/>
      <c r="P691" s="5"/>
    </row>
    <row r="692" spans="1:16" ht="13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2"/>
      <c r="L692" s="2"/>
      <c r="M692" s="1"/>
      <c r="N692" s="1"/>
      <c r="O692" s="6"/>
      <c r="P692" s="5"/>
    </row>
    <row r="693" spans="1:16" ht="13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2"/>
      <c r="L693" s="2"/>
      <c r="M693" s="1"/>
      <c r="N693" s="1"/>
      <c r="O693" s="6"/>
      <c r="P693" s="5"/>
    </row>
    <row r="694" spans="1:16" ht="13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2"/>
      <c r="L694" s="2"/>
      <c r="M694" s="1"/>
      <c r="N694" s="1"/>
      <c r="O694" s="6"/>
      <c r="P694" s="5"/>
    </row>
    <row r="695" spans="1:16" ht="13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2"/>
      <c r="L695" s="2"/>
      <c r="M695" s="1"/>
      <c r="N695" s="1"/>
      <c r="O695" s="6"/>
      <c r="P695" s="5"/>
    </row>
    <row r="696" spans="1:16" ht="13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2"/>
      <c r="L696" s="2"/>
      <c r="M696" s="1"/>
      <c r="N696" s="1"/>
      <c r="O696" s="6"/>
      <c r="P696" s="5"/>
    </row>
    <row r="697" spans="1:16" ht="13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2"/>
      <c r="L697" s="2"/>
      <c r="M697" s="1"/>
      <c r="N697" s="1"/>
      <c r="O697" s="6"/>
      <c r="P697" s="5"/>
    </row>
    <row r="698" spans="1:16" ht="13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2"/>
      <c r="L698" s="2"/>
      <c r="M698" s="1"/>
      <c r="N698" s="1"/>
      <c r="O698" s="6"/>
      <c r="P698" s="5"/>
    </row>
    <row r="699" spans="1:16" ht="13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2"/>
      <c r="L699" s="2"/>
      <c r="M699" s="1"/>
      <c r="N699" s="1"/>
      <c r="O699" s="6"/>
      <c r="P699" s="5"/>
    </row>
    <row r="700" spans="1:16" ht="13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2"/>
      <c r="L700" s="2"/>
      <c r="M700" s="1"/>
      <c r="N700" s="1"/>
      <c r="O700" s="6"/>
      <c r="P700" s="5"/>
    </row>
    <row r="701" spans="1:16" ht="13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2"/>
      <c r="L701" s="2"/>
      <c r="M701" s="1"/>
      <c r="N701" s="1"/>
      <c r="O701" s="6"/>
      <c r="P701" s="5"/>
    </row>
    <row r="702" spans="1:16" ht="13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2"/>
      <c r="K702" s="2"/>
      <c r="L702" s="2"/>
      <c r="M702" s="1"/>
      <c r="N702" s="1"/>
      <c r="O702" s="6"/>
      <c r="P702" s="5"/>
    </row>
    <row r="703" spans="1:16" ht="13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2"/>
      <c r="K703" s="2"/>
      <c r="L703" s="2"/>
      <c r="M703" s="1"/>
      <c r="N703" s="1"/>
      <c r="O703" s="6"/>
      <c r="P703" s="5"/>
    </row>
    <row r="704" spans="1:16" ht="13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2"/>
      <c r="K704" s="2"/>
      <c r="L704" s="2"/>
      <c r="M704" s="1"/>
      <c r="N704" s="1"/>
      <c r="O704" s="6"/>
      <c r="P704" s="5"/>
    </row>
    <row r="705" spans="1:16" ht="13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2"/>
      <c r="K705" s="2"/>
      <c r="L705" s="2"/>
      <c r="M705" s="1"/>
      <c r="N705" s="1"/>
      <c r="O705" s="6"/>
      <c r="P705" s="5"/>
    </row>
    <row r="706" spans="1:16" ht="13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2"/>
      <c r="K706" s="2"/>
      <c r="L706" s="2"/>
      <c r="M706" s="1"/>
      <c r="N706" s="1"/>
      <c r="O706" s="6"/>
      <c r="P706" s="5"/>
    </row>
    <row r="707" spans="1:16" ht="13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2"/>
      <c r="K707" s="2"/>
      <c r="L707" s="2"/>
      <c r="M707" s="1"/>
      <c r="N707" s="1"/>
      <c r="O707" s="6"/>
      <c r="P707" s="5"/>
    </row>
    <row r="708" spans="1:16" ht="13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2"/>
      <c r="K708" s="2"/>
      <c r="L708" s="2"/>
      <c r="M708" s="1"/>
      <c r="N708" s="1"/>
      <c r="O708" s="6"/>
      <c r="P708" s="5"/>
    </row>
    <row r="709" spans="1:16" ht="13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2"/>
      <c r="K709" s="2"/>
      <c r="L709" s="2"/>
      <c r="M709" s="1"/>
      <c r="N709" s="1"/>
      <c r="O709" s="6"/>
      <c r="P709" s="5"/>
    </row>
    <row r="710" spans="1:16" ht="13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2"/>
      <c r="K710" s="2"/>
      <c r="L710" s="2"/>
      <c r="M710" s="1"/>
      <c r="N710" s="1"/>
      <c r="O710" s="6"/>
      <c r="P710" s="5"/>
    </row>
    <row r="711" spans="1:16" ht="13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2"/>
      <c r="K711" s="2"/>
      <c r="L711" s="2"/>
      <c r="M711" s="1"/>
      <c r="N711" s="1"/>
      <c r="O711" s="6"/>
      <c r="P711" s="5"/>
    </row>
    <row r="712" spans="1:16" ht="13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2"/>
      <c r="K712" s="2"/>
      <c r="L712" s="2"/>
      <c r="M712" s="1"/>
      <c r="N712" s="1"/>
      <c r="O712" s="6"/>
      <c r="P712" s="5"/>
    </row>
    <row r="713" spans="1:16" ht="13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2"/>
      <c r="K713" s="2"/>
      <c r="L713" s="2"/>
      <c r="M713" s="1"/>
      <c r="N713" s="1"/>
      <c r="O713" s="6"/>
      <c r="P713" s="5"/>
    </row>
    <row r="714" spans="1:16" ht="13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2"/>
      <c r="K714" s="2"/>
      <c r="L714" s="2"/>
      <c r="M714" s="1"/>
      <c r="N714" s="1"/>
      <c r="O714" s="6"/>
      <c r="P714" s="5"/>
    </row>
    <row r="715" spans="1:16" ht="13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2"/>
      <c r="K715" s="2"/>
      <c r="L715" s="2"/>
      <c r="M715" s="1"/>
      <c r="N715" s="1"/>
      <c r="O715" s="6"/>
      <c r="P715" s="5"/>
    </row>
    <row r="716" spans="1:16" ht="13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2"/>
      <c r="K716" s="2"/>
      <c r="L716" s="2"/>
      <c r="M716" s="1"/>
      <c r="N716" s="1"/>
      <c r="O716" s="6"/>
      <c r="P716" s="5"/>
    </row>
    <row r="717" spans="1:16" ht="13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2"/>
      <c r="K717" s="2"/>
      <c r="L717" s="2"/>
      <c r="M717" s="1"/>
      <c r="N717" s="1"/>
      <c r="O717" s="6"/>
      <c r="P717" s="5"/>
    </row>
    <row r="718" spans="1:16" ht="13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2"/>
      <c r="K718" s="2"/>
      <c r="L718" s="2"/>
      <c r="M718" s="1"/>
      <c r="N718" s="1"/>
      <c r="O718" s="6"/>
      <c r="P718" s="5"/>
    </row>
    <row r="719" spans="1:16" ht="13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2"/>
      <c r="K719" s="2"/>
      <c r="L719" s="2"/>
      <c r="M719" s="1"/>
      <c r="N719" s="1"/>
      <c r="O719" s="6"/>
      <c r="P719" s="5"/>
    </row>
    <row r="720" spans="1:16" ht="13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2"/>
      <c r="K720" s="2"/>
      <c r="L720" s="2"/>
      <c r="M720" s="1"/>
      <c r="N720" s="1"/>
      <c r="O720" s="6"/>
      <c r="P720" s="5"/>
    </row>
    <row r="721" spans="1:16" ht="13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2"/>
      <c r="K721" s="2"/>
      <c r="L721" s="2"/>
      <c r="M721" s="1"/>
      <c r="N721" s="1"/>
      <c r="O721" s="6"/>
      <c r="P721" s="5"/>
    </row>
    <row r="722" spans="1:16" ht="13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2"/>
      <c r="K722" s="2"/>
      <c r="L722" s="2"/>
      <c r="M722" s="1"/>
      <c r="N722" s="1"/>
      <c r="O722" s="6"/>
      <c r="P722" s="5"/>
    </row>
    <row r="723" spans="1:16" ht="13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2"/>
      <c r="K723" s="2"/>
      <c r="L723" s="2"/>
      <c r="M723" s="1"/>
      <c r="N723" s="1"/>
      <c r="O723" s="6"/>
      <c r="P723" s="5"/>
    </row>
    <row r="724" spans="1:16" ht="13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2"/>
      <c r="K724" s="2"/>
      <c r="L724" s="2"/>
      <c r="M724" s="1"/>
      <c r="N724" s="1"/>
      <c r="O724" s="6"/>
      <c r="P724" s="5"/>
    </row>
    <row r="725" spans="1:16" ht="13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2"/>
      <c r="K725" s="2"/>
      <c r="L725" s="2"/>
      <c r="M725" s="1"/>
      <c r="N725" s="1"/>
      <c r="O725" s="6"/>
      <c r="P725" s="5"/>
    </row>
    <row r="726" spans="1:16" ht="13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2"/>
      <c r="K726" s="2"/>
      <c r="L726" s="2"/>
      <c r="M726" s="1"/>
      <c r="N726" s="1"/>
      <c r="O726" s="6"/>
      <c r="P726" s="5"/>
    </row>
    <row r="727" spans="1:16" ht="13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2"/>
      <c r="K727" s="2"/>
      <c r="L727" s="2"/>
      <c r="M727" s="1"/>
      <c r="N727" s="1"/>
      <c r="O727" s="6"/>
      <c r="P727" s="5"/>
    </row>
    <row r="728" spans="1:16" ht="13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2"/>
      <c r="K728" s="2"/>
      <c r="L728" s="2"/>
      <c r="M728" s="1"/>
      <c r="N728" s="1"/>
      <c r="O728" s="6"/>
      <c r="P728" s="5"/>
    </row>
    <row r="729" spans="1:16" ht="13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2"/>
      <c r="K729" s="2"/>
      <c r="L729" s="2"/>
      <c r="M729" s="1"/>
      <c r="N729" s="1"/>
      <c r="O729" s="6"/>
      <c r="P729" s="5"/>
    </row>
    <row r="730" spans="1:16" ht="13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2"/>
      <c r="K730" s="2"/>
      <c r="L730" s="2"/>
      <c r="M730" s="1"/>
      <c r="N730" s="1"/>
      <c r="O730" s="6"/>
      <c r="P730" s="5"/>
    </row>
    <row r="731" spans="1:16" ht="13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2"/>
      <c r="K731" s="2"/>
      <c r="L731" s="2"/>
      <c r="M731" s="1"/>
      <c r="N731" s="1"/>
      <c r="O731" s="6"/>
      <c r="P731" s="5"/>
    </row>
    <row r="732" spans="1:16" ht="13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2"/>
      <c r="K732" s="2"/>
      <c r="L732" s="2"/>
      <c r="M732" s="1"/>
      <c r="N732" s="1"/>
      <c r="O732" s="6"/>
      <c r="P732" s="5"/>
    </row>
    <row r="733" spans="1:16" ht="13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2"/>
      <c r="K733" s="2"/>
      <c r="L733" s="2"/>
      <c r="M733" s="1"/>
      <c r="N733" s="1"/>
      <c r="O733" s="6"/>
      <c r="P733" s="5"/>
    </row>
    <row r="734" spans="1:16" ht="13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2"/>
      <c r="K734" s="2"/>
      <c r="L734" s="2"/>
      <c r="M734" s="1"/>
      <c r="N734" s="1"/>
      <c r="O734" s="6"/>
      <c r="P734" s="5"/>
    </row>
    <row r="735" spans="1:16" ht="13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2"/>
      <c r="K735" s="2"/>
      <c r="L735" s="2"/>
      <c r="M735" s="1"/>
      <c r="N735" s="1"/>
      <c r="O735" s="6"/>
      <c r="P735" s="5"/>
    </row>
    <row r="736" spans="1:16" ht="13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2"/>
      <c r="K736" s="2"/>
      <c r="L736" s="2"/>
      <c r="M736" s="1"/>
      <c r="N736" s="1"/>
      <c r="O736" s="6"/>
      <c r="P736" s="5"/>
    </row>
    <row r="737" spans="1:16" ht="13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2"/>
      <c r="K737" s="2"/>
      <c r="L737" s="2"/>
      <c r="M737" s="1"/>
      <c r="N737" s="1"/>
      <c r="O737" s="6"/>
      <c r="P737" s="5"/>
    </row>
    <row r="738" spans="1:16" ht="13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2"/>
      <c r="K738" s="2"/>
      <c r="L738" s="2"/>
      <c r="M738" s="1"/>
      <c r="N738" s="1"/>
      <c r="O738" s="6"/>
      <c r="P738" s="5"/>
    </row>
    <row r="739" spans="1:16" ht="13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2"/>
      <c r="K739" s="2"/>
      <c r="L739" s="2"/>
      <c r="M739" s="1"/>
      <c r="N739" s="1"/>
      <c r="O739" s="6"/>
      <c r="P739" s="5"/>
    </row>
    <row r="740" spans="1:16" ht="13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2"/>
      <c r="K740" s="2"/>
      <c r="L740" s="2"/>
      <c r="M740" s="1"/>
      <c r="N740" s="1"/>
      <c r="O740" s="6"/>
      <c r="P740" s="5"/>
    </row>
    <row r="741" spans="1:16" ht="13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2"/>
      <c r="K741" s="2"/>
      <c r="L741" s="2"/>
      <c r="M741" s="1"/>
      <c r="N741" s="1"/>
      <c r="O741" s="6"/>
      <c r="P741" s="5"/>
    </row>
    <row r="742" spans="1:16" ht="13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2"/>
      <c r="K742" s="2"/>
      <c r="L742" s="2"/>
      <c r="M742" s="1"/>
      <c r="N742" s="1"/>
      <c r="O742" s="6"/>
      <c r="P742" s="5"/>
    </row>
    <row r="743" spans="1:16" ht="13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2"/>
      <c r="K743" s="2"/>
      <c r="L743" s="2"/>
      <c r="M743" s="1"/>
      <c r="N743" s="1"/>
      <c r="O743" s="6"/>
      <c r="P743" s="5"/>
    </row>
    <row r="744" spans="1:16" ht="13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2"/>
      <c r="K744" s="2"/>
      <c r="L744" s="2"/>
      <c r="M744" s="1"/>
      <c r="N744" s="1"/>
      <c r="O744" s="6"/>
      <c r="P744" s="5"/>
    </row>
    <row r="745" spans="1:16" ht="13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2"/>
      <c r="K745" s="2"/>
      <c r="L745" s="2"/>
      <c r="M745" s="1"/>
      <c r="N745" s="1"/>
      <c r="O745" s="6"/>
      <c r="P745" s="5"/>
    </row>
    <row r="746" spans="1:16" ht="13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2"/>
      <c r="K746" s="2"/>
      <c r="L746" s="2"/>
      <c r="M746" s="1"/>
      <c r="N746" s="1"/>
      <c r="O746" s="6"/>
      <c r="P746" s="5"/>
    </row>
    <row r="747" spans="1:16" ht="13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2"/>
      <c r="K747" s="2"/>
      <c r="L747" s="2"/>
      <c r="M747" s="1"/>
      <c r="N747" s="1"/>
      <c r="O747" s="6"/>
      <c r="P747" s="5"/>
    </row>
    <row r="748" spans="1:16" ht="13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2"/>
      <c r="K748" s="2"/>
      <c r="L748" s="2"/>
      <c r="M748" s="1"/>
      <c r="N748" s="1"/>
      <c r="O748" s="6"/>
      <c r="P748" s="5"/>
    </row>
    <row r="749" spans="1:16" ht="13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2"/>
      <c r="K749" s="2"/>
      <c r="L749" s="2"/>
      <c r="M749" s="1"/>
      <c r="N749" s="1"/>
      <c r="O749" s="6"/>
      <c r="P749" s="5"/>
    </row>
    <row r="750" spans="1:16" ht="13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2"/>
      <c r="K750" s="2"/>
      <c r="L750" s="2"/>
      <c r="M750" s="1"/>
      <c r="N750" s="1"/>
      <c r="O750" s="6"/>
      <c r="P750" s="5"/>
    </row>
    <row r="751" spans="1:16" ht="13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2"/>
      <c r="K751" s="2"/>
      <c r="L751" s="2"/>
      <c r="M751" s="1"/>
      <c r="N751" s="1"/>
      <c r="O751" s="6"/>
      <c r="P751" s="5"/>
    </row>
    <row r="752" spans="1:16" ht="13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2"/>
      <c r="K752" s="2"/>
      <c r="L752" s="2"/>
      <c r="M752" s="1"/>
      <c r="N752" s="1"/>
      <c r="O752" s="6"/>
      <c r="P752" s="5"/>
    </row>
    <row r="753" spans="1:16" ht="13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2"/>
      <c r="K753" s="2"/>
      <c r="L753" s="2"/>
      <c r="M753" s="1"/>
      <c r="N753" s="1"/>
      <c r="O753" s="6"/>
      <c r="P753" s="5"/>
    </row>
    <row r="754" spans="1:16" ht="13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2"/>
      <c r="K754" s="2"/>
      <c r="L754" s="2"/>
      <c r="M754" s="1"/>
      <c r="N754" s="1"/>
      <c r="O754" s="6"/>
      <c r="P754" s="5"/>
    </row>
    <row r="755" spans="1:16" ht="13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2"/>
      <c r="K755" s="2"/>
      <c r="L755" s="2"/>
      <c r="M755" s="1"/>
      <c r="N755" s="1"/>
      <c r="O755" s="6"/>
      <c r="P755" s="5"/>
    </row>
    <row r="756" spans="1:16" ht="13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2"/>
      <c r="K756" s="2"/>
      <c r="L756" s="2"/>
      <c r="M756" s="1"/>
      <c r="N756" s="1"/>
      <c r="O756" s="6"/>
      <c r="P756" s="5"/>
    </row>
    <row r="757" spans="1:16" ht="13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2"/>
      <c r="K757" s="2"/>
      <c r="L757" s="2"/>
      <c r="M757" s="1"/>
      <c r="N757" s="1"/>
      <c r="O757" s="6"/>
      <c r="P757" s="5"/>
    </row>
    <row r="758" spans="1:16" ht="13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2"/>
      <c r="K758" s="2"/>
      <c r="L758" s="2"/>
      <c r="M758" s="1"/>
      <c r="N758" s="1"/>
      <c r="O758" s="6"/>
      <c r="P758" s="5"/>
    </row>
    <row r="759" spans="1:16" ht="13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2"/>
      <c r="K759" s="2"/>
      <c r="L759" s="2"/>
      <c r="M759" s="1"/>
      <c r="N759" s="1"/>
      <c r="O759" s="6"/>
      <c r="P759" s="5"/>
    </row>
    <row r="760" spans="1:16" ht="13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2"/>
      <c r="K760" s="2"/>
      <c r="L760" s="2"/>
      <c r="M760" s="1"/>
      <c r="N760" s="1"/>
      <c r="O760" s="6"/>
      <c r="P760" s="5"/>
    </row>
    <row r="761" spans="1:16" ht="13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2"/>
      <c r="K761" s="2"/>
      <c r="L761" s="2"/>
      <c r="M761" s="1"/>
      <c r="N761" s="1"/>
      <c r="O761" s="6"/>
      <c r="P761" s="5"/>
    </row>
    <row r="762" spans="1:16" ht="13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2"/>
      <c r="K762" s="2"/>
      <c r="L762" s="2"/>
      <c r="M762" s="1"/>
      <c r="N762" s="1"/>
      <c r="O762" s="6"/>
      <c r="P762" s="5"/>
    </row>
    <row r="763" spans="1:16" ht="13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2"/>
      <c r="K763" s="2"/>
      <c r="L763" s="2"/>
      <c r="M763" s="1"/>
      <c r="N763" s="1"/>
      <c r="O763" s="6"/>
      <c r="P763" s="5"/>
    </row>
    <row r="764" spans="1:16" ht="13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2"/>
      <c r="K764" s="2"/>
      <c r="L764" s="2"/>
      <c r="M764" s="1"/>
      <c r="N764" s="1"/>
      <c r="O764" s="6"/>
      <c r="P764" s="5"/>
    </row>
    <row r="765" spans="1:16" ht="13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2"/>
      <c r="K765" s="2"/>
      <c r="L765" s="2"/>
      <c r="M765" s="1"/>
      <c r="N765" s="1"/>
      <c r="O765" s="6"/>
      <c r="P765" s="5"/>
    </row>
    <row r="766" spans="1:16" ht="13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2"/>
      <c r="K766" s="2"/>
      <c r="L766" s="2"/>
      <c r="M766" s="1"/>
      <c r="N766" s="1"/>
      <c r="O766" s="6"/>
      <c r="P766" s="5"/>
    </row>
    <row r="767" spans="1:16" ht="13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2"/>
      <c r="K767" s="2"/>
      <c r="L767" s="2"/>
      <c r="M767" s="1"/>
      <c r="N767" s="1"/>
      <c r="O767" s="6"/>
      <c r="P767" s="5"/>
    </row>
    <row r="768" spans="1:16" ht="13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2"/>
      <c r="K768" s="2"/>
      <c r="L768" s="2"/>
      <c r="M768" s="1"/>
      <c r="N768" s="1"/>
      <c r="O768" s="6"/>
      <c r="P768" s="5"/>
    </row>
    <row r="769" spans="1:16" ht="13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2"/>
      <c r="K769" s="2"/>
      <c r="L769" s="2"/>
      <c r="M769" s="1"/>
      <c r="N769" s="1"/>
      <c r="O769" s="6"/>
      <c r="P769" s="5"/>
    </row>
    <row r="770" spans="1:16" ht="13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2"/>
      <c r="K770" s="2"/>
      <c r="L770" s="2"/>
      <c r="M770" s="1"/>
      <c r="N770" s="1"/>
      <c r="O770" s="6"/>
      <c r="P770" s="5"/>
    </row>
    <row r="771" spans="1:16" ht="13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2"/>
      <c r="K771" s="2"/>
      <c r="L771" s="2"/>
      <c r="M771" s="1"/>
      <c r="N771" s="1"/>
      <c r="O771" s="6"/>
      <c r="P771" s="5"/>
    </row>
    <row r="772" spans="1:16" ht="13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2"/>
      <c r="K772" s="2"/>
      <c r="L772" s="2"/>
      <c r="M772" s="1"/>
      <c r="N772" s="1"/>
      <c r="O772" s="6"/>
      <c r="P772" s="5"/>
    </row>
    <row r="773" spans="1:16" ht="13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2"/>
      <c r="K773" s="2"/>
      <c r="L773" s="2"/>
      <c r="M773" s="1"/>
      <c r="N773" s="1"/>
      <c r="O773" s="6"/>
      <c r="P773" s="5"/>
    </row>
    <row r="774" spans="1:16" ht="13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2"/>
      <c r="K774" s="2"/>
      <c r="L774" s="2"/>
      <c r="M774" s="1"/>
      <c r="N774" s="1"/>
      <c r="O774" s="6"/>
      <c r="P774" s="5"/>
    </row>
    <row r="775" spans="1:16" ht="13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2"/>
      <c r="K775" s="2"/>
      <c r="L775" s="2"/>
      <c r="M775" s="1"/>
      <c r="N775" s="1"/>
      <c r="O775" s="6"/>
      <c r="P775" s="5"/>
    </row>
    <row r="776" spans="1:16" ht="13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2"/>
      <c r="K776" s="2"/>
      <c r="L776" s="2"/>
      <c r="M776" s="1"/>
      <c r="N776" s="1"/>
      <c r="O776" s="6"/>
      <c r="P776" s="5"/>
    </row>
    <row r="777" spans="1:16" ht="13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2"/>
      <c r="K777" s="2"/>
      <c r="L777" s="2"/>
      <c r="M777" s="1"/>
      <c r="N777" s="1"/>
      <c r="O777" s="6"/>
      <c r="P777" s="5"/>
    </row>
    <row r="778" spans="1:16" ht="13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2"/>
      <c r="K778" s="2"/>
      <c r="L778" s="2"/>
      <c r="M778" s="1"/>
      <c r="N778" s="1"/>
      <c r="O778" s="6"/>
      <c r="P778" s="5"/>
    </row>
    <row r="779" spans="1:16" ht="13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2"/>
      <c r="K779" s="2"/>
      <c r="L779" s="2"/>
      <c r="M779" s="1"/>
      <c r="N779" s="1"/>
      <c r="O779" s="6"/>
      <c r="P779" s="5"/>
    </row>
    <row r="780" spans="1:16" ht="13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2"/>
      <c r="K780" s="2"/>
      <c r="L780" s="2"/>
      <c r="M780" s="1"/>
      <c r="N780" s="1"/>
      <c r="O780" s="6"/>
      <c r="P780" s="5"/>
    </row>
    <row r="781" spans="1:16" ht="13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2"/>
      <c r="K781" s="2"/>
      <c r="L781" s="2"/>
      <c r="M781" s="1"/>
      <c r="N781" s="1"/>
      <c r="O781" s="6"/>
      <c r="P781" s="5"/>
    </row>
    <row r="782" spans="1:16" ht="13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2"/>
      <c r="K782" s="2"/>
      <c r="L782" s="2"/>
      <c r="M782" s="1"/>
      <c r="N782" s="1"/>
      <c r="O782" s="6"/>
      <c r="P782" s="5"/>
    </row>
    <row r="783" spans="1:16" ht="13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2"/>
      <c r="K783" s="2"/>
      <c r="L783" s="2"/>
      <c r="M783" s="1"/>
      <c r="N783" s="1"/>
      <c r="O783" s="6"/>
      <c r="P783" s="5"/>
    </row>
    <row r="784" spans="1:16" ht="13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2"/>
      <c r="K784" s="2"/>
      <c r="L784" s="2"/>
      <c r="M784" s="1"/>
      <c r="N784" s="1"/>
      <c r="O784" s="6"/>
      <c r="P784" s="5"/>
    </row>
    <row r="785" spans="1:16" ht="13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2"/>
      <c r="K785" s="2"/>
      <c r="L785" s="2"/>
      <c r="M785" s="1"/>
      <c r="N785" s="1"/>
      <c r="O785" s="6"/>
      <c r="P785" s="5"/>
    </row>
    <row r="786" spans="1:16" ht="13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2"/>
      <c r="K786" s="2"/>
      <c r="L786" s="2"/>
      <c r="M786" s="1"/>
      <c r="N786" s="1"/>
      <c r="O786" s="6"/>
      <c r="P786" s="5"/>
    </row>
    <row r="787" spans="1:16" ht="13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2"/>
      <c r="K787" s="2"/>
      <c r="L787" s="2"/>
      <c r="M787" s="1"/>
      <c r="N787" s="1"/>
      <c r="O787" s="6"/>
      <c r="P787" s="5"/>
    </row>
    <row r="788" spans="1:16" ht="13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2"/>
      <c r="K788" s="2"/>
      <c r="L788" s="2"/>
      <c r="M788" s="1"/>
      <c r="N788" s="1"/>
      <c r="O788" s="6"/>
      <c r="P788" s="5"/>
    </row>
    <row r="789" spans="1:16" ht="13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2"/>
      <c r="K789" s="2"/>
      <c r="L789" s="2"/>
      <c r="M789" s="1"/>
      <c r="N789" s="1"/>
      <c r="O789" s="6"/>
      <c r="P789" s="5"/>
    </row>
    <row r="790" spans="1:16" ht="13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2"/>
      <c r="K790" s="2"/>
      <c r="L790" s="2"/>
      <c r="M790" s="1"/>
      <c r="N790" s="1"/>
      <c r="O790" s="6"/>
      <c r="P790" s="5"/>
    </row>
    <row r="791" spans="1:16" ht="13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2"/>
      <c r="K791" s="2"/>
      <c r="L791" s="2"/>
      <c r="M791" s="1"/>
      <c r="N791" s="1"/>
      <c r="O791" s="6"/>
      <c r="P791" s="5"/>
    </row>
    <row r="792" spans="1:16" ht="13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2"/>
      <c r="K792" s="2"/>
      <c r="L792" s="2"/>
      <c r="M792" s="1"/>
      <c r="N792" s="1"/>
      <c r="O792" s="6"/>
      <c r="P792" s="5"/>
    </row>
    <row r="793" spans="1:16" ht="13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2"/>
      <c r="K793" s="2"/>
      <c r="L793" s="2"/>
      <c r="M793" s="1"/>
      <c r="N793" s="1"/>
      <c r="O793" s="6"/>
      <c r="P793" s="5"/>
    </row>
    <row r="794" spans="1:16" ht="13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2"/>
      <c r="K794" s="2"/>
      <c r="L794" s="2"/>
      <c r="M794" s="1"/>
      <c r="N794" s="1"/>
      <c r="O794" s="6"/>
      <c r="P794" s="5"/>
    </row>
    <row r="795" spans="1:16" ht="13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2"/>
      <c r="K795" s="2"/>
      <c r="L795" s="2"/>
      <c r="M795" s="1"/>
      <c r="N795" s="1"/>
      <c r="O795" s="6"/>
      <c r="P795" s="5"/>
    </row>
    <row r="796" spans="1:16" ht="13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2"/>
      <c r="K796" s="2"/>
      <c r="L796" s="2"/>
      <c r="M796" s="1"/>
      <c r="N796" s="1"/>
      <c r="O796" s="6"/>
      <c r="P796" s="5"/>
    </row>
    <row r="797" spans="1:16" ht="13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2"/>
      <c r="K797" s="2"/>
      <c r="L797" s="2"/>
      <c r="M797" s="1"/>
      <c r="N797" s="1"/>
      <c r="O797" s="6"/>
      <c r="P797" s="5"/>
    </row>
    <row r="798" spans="1:16" ht="13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2"/>
      <c r="K798" s="2"/>
      <c r="L798" s="2"/>
      <c r="M798" s="1"/>
      <c r="N798" s="1"/>
      <c r="O798" s="6"/>
      <c r="P798" s="5"/>
    </row>
    <row r="799" spans="1:16" ht="13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2"/>
      <c r="K799" s="2"/>
      <c r="L799" s="2"/>
      <c r="M799" s="1"/>
      <c r="N799" s="1"/>
      <c r="O799" s="6"/>
      <c r="P799" s="5"/>
    </row>
    <row r="800" spans="1:16" ht="13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2"/>
      <c r="K800" s="2"/>
      <c r="L800" s="2"/>
      <c r="M800" s="1"/>
      <c r="N800" s="1"/>
      <c r="O800" s="6"/>
      <c r="P800" s="5"/>
    </row>
    <row r="801" spans="1:16" ht="13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2"/>
      <c r="K801" s="2"/>
      <c r="L801" s="2"/>
      <c r="M801" s="1"/>
      <c r="N801" s="1"/>
      <c r="O801" s="6"/>
      <c r="P801" s="5"/>
    </row>
    <row r="802" spans="1:16" ht="13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2"/>
      <c r="K802" s="2"/>
      <c r="L802" s="2"/>
      <c r="M802" s="1"/>
      <c r="N802" s="1"/>
      <c r="O802" s="6"/>
      <c r="P802" s="5"/>
    </row>
    <row r="803" spans="1:16" ht="13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2"/>
      <c r="K803" s="2"/>
      <c r="L803" s="2"/>
      <c r="M803" s="1"/>
      <c r="N803" s="1"/>
      <c r="O803" s="6"/>
      <c r="P803" s="5"/>
    </row>
    <row r="804" spans="1:16" ht="13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2"/>
      <c r="K804" s="2"/>
      <c r="L804" s="2"/>
      <c r="M804" s="1"/>
      <c r="N804" s="1"/>
      <c r="O804" s="6"/>
      <c r="P804" s="5"/>
    </row>
    <row r="805" spans="1:16" ht="13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2"/>
      <c r="K805" s="2"/>
      <c r="L805" s="2"/>
      <c r="M805" s="1"/>
      <c r="N805" s="1"/>
      <c r="O805" s="6"/>
      <c r="P805" s="5"/>
    </row>
    <row r="806" spans="1:16" ht="13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2"/>
      <c r="K806" s="2"/>
      <c r="L806" s="2"/>
      <c r="M806" s="1"/>
      <c r="N806" s="1"/>
      <c r="O806" s="6"/>
      <c r="P806" s="5"/>
    </row>
    <row r="807" spans="1:16" ht="13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2"/>
      <c r="K807" s="2"/>
      <c r="L807" s="2"/>
      <c r="M807" s="1"/>
      <c r="N807" s="1"/>
      <c r="O807" s="6"/>
      <c r="P807" s="5"/>
    </row>
    <row r="808" spans="1:16" ht="13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2"/>
      <c r="K808" s="2"/>
      <c r="L808" s="2"/>
      <c r="M808" s="1"/>
      <c r="N808" s="1"/>
      <c r="O808" s="6"/>
      <c r="P808" s="5"/>
    </row>
    <row r="809" spans="1:16" ht="13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2"/>
      <c r="K809" s="2"/>
      <c r="L809" s="2"/>
      <c r="M809" s="1"/>
      <c r="N809" s="1"/>
      <c r="O809" s="6"/>
      <c r="P809" s="5"/>
    </row>
    <row r="810" spans="1:16" ht="13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2"/>
      <c r="K810" s="2"/>
      <c r="L810" s="2"/>
      <c r="M810" s="1"/>
      <c r="N810" s="1"/>
      <c r="O810" s="6"/>
      <c r="P810" s="5"/>
    </row>
    <row r="811" spans="1:16" ht="13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2"/>
      <c r="K811" s="2"/>
      <c r="L811" s="2"/>
      <c r="M811" s="1"/>
      <c r="N811" s="1"/>
      <c r="O811" s="6"/>
      <c r="P811" s="5"/>
    </row>
    <row r="812" spans="1:16" ht="13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2"/>
      <c r="K812" s="2"/>
      <c r="L812" s="2"/>
      <c r="M812" s="1"/>
      <c r="N812" s="1"/>
      <c r="O812" s="6"/>
      <c r="P812" s="5"/>
    </row>
    <row r="813" spans="1:16" ht="13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2"/>
      <c r="K813" s="2"/>
      <c r="L813" s="2"/>
      <c r="M813" s="1"/>
      <c r="N813" s="1"/>
      <c r="O813" s="6"/>
      <c r="P813" s="5"/>
    </row>
    <row r="814" spans="1:16" ht="13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2"/>
      <c r="K814" s="2"/>
      <c r="L814" s="2"/>
      <c r="M814" s="1"/>
      <c r="N814" s="1"/>
      <c r="O814" s="6"/>
      <c r="P814" s="5"/>
    </row>
    <row r="815" spans="1:16" ht="13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2"/>
      <c r="K815" s="2"/>
      <c r="L815" s="2"/>
      <c r="M815" s="1"/>
      <c r="N815" s="1"/>
      <c r="O815" s="6"/>
      <c r="P815" s="5"/>
    </row>
    <row r="816" spans="1:16" ht="13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2"/>
      <c r="K816" s="2"/>
      <c r="L816" s="2"/>
      <c r="M816" s="1"/>
      <c r="N816" s="1"/>
      <c r="O816" s="6"/>
      <c r="P816" s="5"/>
    </row>
    <row r="817" spans="1:16" ht="13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2"/>
      <c r="K817" s="2"/>
      <c r="L817" s="2"/>
      <c r="M817" s="1"/>
      <c r="N817" s="1"/>
      <c r="O817" s="6"/>
      <c r="P817" s="5"/>
    </row>
    <row r="818" spans="1:16" ht="13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2"/>
      <c r="K818" s="2"/>
      <c r="L818" s="2"/>
      <c r="M818" s="1"/>
      <c r="N818" s="1"/>
      <c r="O818" s="6"/>
      <c r="P818" s="5"/>
    </row>
    <row r="819" spans="1:16" ht="13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2"/>
      <c r="K819" s="2"/>
      <c r="L819" s="2"/>
      <c r="M819" s="1"/>
      <c r="N819" s="1"/>
      <c r="O819" s="6"/>
      <c r="P819" s="5"/>
    </row>
    <row r="820" spans="1:16" ht="13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2"/>
      <c r="K820" s="2"/>
      <c r="L820" s="2"/>
      <c r="M820" s="1"/>
      <c r="N820" s="1"/>
      <c r="O820" s="6"/>
      <c r="P820" s="5"/>
    </row>
    <row r="821" spans="1:16" ht="13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2"/>
      <c r="K821" s="2"/>
      <c r="L821" s="2"/>
      <c r="M821" s="1"/>
      <c r="N821" s="1"/>
      <c r="O821" s="6"/>
      <c r="P821" s="5"/>
    </row>
    <row r="822" spans="1:16" ht="13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2"/>
      <c r="K822" s="2"/>
      <c r="L822" s="2"/>
      <c r="M822" s="1"/>
      <c r="N822" s="1"/>
      <c r="O822" s="6"/>
      <c r="P822" s="5"/>
    </row>
    <row r="823" spans="1:16" ht="13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2"/>
      <c r="K823" s="2"/>
      <c r="L823" s="2"/>
      <c r="M823" s="1"/>
      <c r="N823" s="1"/>
      <c r="O823" s="6"/>
      <c r="P823" s="5"/>
    </row>
    <row r="824" spans="1:16" ht="13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2"/>
      <c r="K824" s="2"/>
      <c r="L824" s="2"/>
      <c r="M824" s="1"/>
      <c r="N824" s="1"/>
      <c r="O824" s="6"/>
      <c r="P824" s="5"/>
    </row>
    <row r="825" spans="1:16" ht="13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2"/>
      <c r="K825" s="2"/>
      <c r="L825" s="2"/>
      <c r="M825" s="1"/>
      <c r="N825" s="1"/>
      <c r="O825" s="6"/>
      <c r="P825" s="5"/>
    </row>
    <row r="826" spans="1:16" ht="13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2"/>
      <c r="K826" s="2"/>
      <c r="L826" s="2"/>
      <c r="M826" s="1"/>
      <c r="N826" s="1"/>
      <c r="O826" s="6"/>
      <c r="P826" s="5"/>
    </row>
    <row r="827" spans="1:16" ht="13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2"/>
      <c r="K827" s="2"/>
      <c r="L827" s="2"/>
      <c r="M827" s="1"/>
      <c r="N827" s="1"/>
      <c r="O827" s="6"/>
      <c r="P827" s="5"/>
    </row>
    <row r="828" spans="1:16" ht="13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2"/>
      <c r="K828" s="2"/>
      <c r="L828" s="2"/>
      <c r="M828" s="1"/>
      <c r="N828" s="1"/>
      <c r="O828" s="6"/>
      <c r="P828" s="5"/>
    </row>
    <row r="829" spans="1:16" ht="13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2"/>
      <c r="K829" s="2"/>
      <c r="L829" s="2"/>
      <c r="M829" s="1"/>
      <c r="N829" s="1"/>
      <c r="O829" s="6"/>
      <c r="P829" s="5"/>
    </row>
    <row r="830" spans="1:16" ht="13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2"/>
      <c r="K830" s="2"/>
      <c r="L830" s="2"/>
      <c r="M830" s="1"/>
      <c r="N830" s="1"/>
      <c r="O830" s="6"/>
      <c r="P830" s="5"/>
    </row>
    <row r="831" spans="1:16" ht="13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2"/>
      <c r="K831" s="2"/>
      <c r="L831" s="2"/>
      <c r="M831" s="1"/>
      <c r="N831" s="1"/>
      <c r="O831" s="6"/>
      <c r="P831" s="5"/>
    </row>
    <row r="832" spans="1:16" ht="13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2"/>
      <c r="K832" s="2"/>
      <c r="L832" s="2"/>
      <c r="M832" s="1"/>
      <c r="N832" s="1"/>
      <c r="O832" s="6"/>
      <c r="P832" s="5"/>
    </row>
    <row r="833" spans="1:16" ht="13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2"/>
      <c r="K833" s="2"/>
      <c r="L833" s="2"/>
      <c r="M833" s="1"/>
      <c r="N833" s="1"/>
      <c r="O833" s="6"/>
      <c r="P833" s="5"/>
    </row>
    <row r="834" spans="1:16" ht="13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2"/>
      <c r="K834" s="2"/>
      <c r="L834" s="2"/>
      <c r="M834" s="1"/>
      <c r="N834" s="1"/>
      <c r="O834" s="6"/>
      <c r="P834" s="5"/>
    </row>
    <row r="835" spans="1:16" ht="13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2"/>
      <c r="K835" s="2"/>
      <c r="L835" s="2"/>
      <c r="M835" s="1"/>
      <c r="N835" s="1"/>
      <c r="O835" s="6"/>
      <c r="P835" s="5"/>
    </row>
    <row r="836" spans="1:16" ht="13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2"/>
      <c r="K836" s="2"/>
      <c r="L836" s="2"/>
      <c r="M836" s="1"/>
      <c r="N836" s="1"/>
      <c r="O836" s="6"/>
      <c r="P836" s="5"/>
    </row>
    <row r="837" spans="1:16" ht="13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2"/>
      <c r="K837" s="2"/>
      <c r="L837" s="2"/>
      <c r="M837" s="1"/>
      <c r="N837" s="1"/>
      <c r="O837" s="6"/>
      <c r="P837" s="5"/>
    </row>
    <row r="838" spans="1:16" ht="13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2"/>
      <c r="K838" s="2"/>
      <c r="L838" s="2"/>
      <c r="M838" s="1"/>
      <c r="N838" s="1"/>
      <c r="O838" s="6"/>
      <c r="P838" s="5"/>
    </row>
    <row r="839" spans="1:16" ht="13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2"/>
      <c r="K839" s="2"/>
      <c r="L839" s="2"/>
      <c r="M839" s="1"/>
      <c r="N839" s="1"/>
      <c r="O839" s="6"/>
      <c r="P839" s="5"/>
    </row>
    <row r="840" spans="1:16" ht="13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2"/>
      <c r="K840" s="2"/>
      <c r="L840" s="2"/>
      <c r="M840" s="1"/>
      <c r="N840" s="1"/>
      <c r="O840" s="6"/>
      <c r="P840" s="5"/>
    </row>
    <row r="841" spans="1:16" ht="13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2"/>
      <c r="K841" s="2"/>
      <c r="L841" s="2"/>
      <c r="M841" s="1"/>
      <c r="N841" s="1"/>
      <c r="O841" s="6"/>
      <c r="P841" s="5"/>
    </row>
    <row r="842" spans="1:16" ht="13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2"/>
      <c r="K842" s="2"/>
      <c r="L842" s="2"/>
      <c r="M842" s="1"/>
      <c r="N842" s="1"/>
      <c r="O842" s="6"/>
      <c r="P842" s="5"/>
    </row>
    <row r="843" spans="1:16" ht="13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2"/>
      <c r="K843" s="2"/>
      <c r="L843" s="2"/>
      <c r="M843" s="1"/>
      <c r="N843" s="1"/>
      <c r="O843" s="6"/>
      <c r="P843" s="5"/>
    </row>
    <row r="844" spans="1:16" ht="13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2"/>
      <c r="K844" s="2"/>
      <c r="L844" s="2"/>
      <c r="M844" s="1"/>
      <c r="N844" s="1"/>
      <c r="O844" s="6"/>
      <c r="P844" s="5"/>
    </row>
    <row r="845" spans="1:16" ht="13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2"/>
      <c r="K845" s="2"/>
      <c r="L845" s="2"/>
      <c r="M845" s="1"/>
      <c r="N845" s="1"/>
      <c r="O845" s="6"/>
      <c r="P845" s="5"/>
    </row>
    <row r="846" spans="1:16" ht="13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2"/>
      <c r="K846" s="2"/>
      <c r="L846" s="2"/>
      <c r="M846" s="1"/>
      <c r="N846" s="1"/>
      <c r="O846" s="6"/>
      <c r="P846" s="5"/>
    </row>
    <row r="847" spans="1:16" ht="13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2"/>
      <c r="K847" s="2"/>
      <c r="L847" s="2"/>
      <c r="M847" s="1"/>
      <c r="N847" s="1"/>
      <c r="O847" s="6"/>
      <c r="P847" s="5"/>
    </row>
    <row r="848" spans="1:16" ht="13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2"/>
      <c r="K848" s="2"/>
      <c r="L848" s="2"/>
      <c r="M848" s="1"/>
      <c r="N848" s="1"/>
      <c r="O848" s="6"/>
      <c r="P848" s="5"/>
    </row>
    <row r="849" spans="1:16" ht="13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2"/>
      <c r="K849" s="2"/>
      <c r="L849" s="2"/>
      <c r="M849" s="1"/>
      <c r="N849" s="1"/>
      <c r="O849" s="6"/>
      <c r="P849" s="5"/>
    </row>
    <row r="850" spans="1:16" ht="13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2"/>
      <c r="K850" s="2"/>
      <c r="L850" s="2"/>
      <c r="M850" s="1"/>
      <c r="N850" s="1"/>
      <c r="O850" s="6"/>
      <c r="P850" s="5"/>
    </row>
    <row r="851" spans="1:16" ht="13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2"/>
      <c r="K851" s="2"/>
      <c r="L851" s="2"/>
      <c r="M851" s="1"/>
      <c r="N851" s="1"/>
      <c r="O851" s="6"/>
      <c r="P851" s="5"/>
    </row>
    <row r="852" spans="1:16" ht="13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2"/>
      <c r="K852" s="2"/>
      <c r="L852" s="2"/>
      <c r="M852" s="1"/>
      <c r="N852" s="1"/>
      <c r="O852" s="6"/>
      <c r="P852" s="5"/>
    </row>
    <row r="853" spans="1:16" ht="13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2"/>
      <c r="K853" s="2"/>
      <c r="L853" s="2"/>
      <c r="M853" s="1"/>
      <c r="N853" s="1"/>
      <c r="O853" s="6"/>
      <c r="P853" s="5"/>
    </row>
    <row r="854" spans="1:16" ht="13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2"/>
      <c r="K854" s="2"/>
      <c r="L854" s="2"/>
      <c r="M854" s="1"/>
      <c r="N854" s="1"/>
      <c r="O854" s="6"/>
      <c r="P854" s="5"/>
    </row>
    <row r="855" spans="1:16" ht="13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2"/>
      <c r="K855" s="2"/>
      <c r="L855" s="2"/>
      <c r="M855" s="1"/>
      <c r="N855" s="1"/>
      <c r="O855" s="6"/>
      <c r="P855" s="5"/>
    </row>
    <row r="856" spans="1:16" ht="13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2"/>
      <c r="K856" s="2"/>
      <c r="L856" s="2"/>
      <c r="M856" s="1"/>
      <c r="N856" s="1"/>
      <c r="O856" s="6"/>
      <c r="P856" s="5"/>
    </row>
    <row r="857" spans="1:16" ht="13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2"/>
      <c r="K857" s="2"/>
      <c r="L857" s="2"/>
      <c r="M857" s="1"/>
      <c r="N857" s="1"/>
      <c r="O857" s="6"/>
      <c r="P857" s="5"/>
    </row>
    <row r="858" spans="1:16" ht="13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2"/>
      <c r="K858" s="2"/>
      <c r="L858" s="2"/>
      <c r="M858" s="1"/>
      <c r="N858" s="1"/>
      <c r="O858" s="6"/>
      <c r="P858" s="5"/>
    </row>
    <row r="859" spans="1:16" ht="13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2"/>
      <c r="K859" s="2"/>
      <c r="L859" s="2"/>
      <c r="M859" s="1"/>
      <c r="N859" s="1"/>
      <c r="O859" s="6"/>
      <c r="P859" s="5"/>
    </row>
    <row r="860" spans="1:16" ht="13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2"/>
      <c r="K860" s="2"/>
      <c r="L860" s="2"/>
      <c r="M860" s="1"/>
      <c r="N860" s="1"/>
      <c r="O860" s="6"/>
      <c r="P860" s="5"/>
    </row>
    <row r="861" spans="1:16" ht="13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2"/>
      <c r="K861" s="2"/>
      <c r="L861" s="2"/>
      <c r="M861" s="1"/>
      <c r="N861" s="1"/>
      <c r="O861" s="6"/>
      <c r="P861" s="5"/>
    </row>
    <row r="862" spans="1:16" ht="13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2"/>
      <c r="K862" s="2"/>
      <c r="L862" s="2"/>
      <c r="M862" s="1"/>
      <c r="N862" s="1"/>
      <c r="O862" s="6"/>
      <c r="P862" s="5"/>
    </row>
    <row r="863" spans="1:16" ht="13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2"/>
      <c r="K863" s="2"/>
      <c r="L863" s="2"/>
      <c r="M863" s="1"/>
      <c r="N863" s="1"/>
      <c r="O863" s="6"/>
      <c r="P863" s="5"/>
    </row>
    <row r="864" spans="1:16" ht="13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2"/>
      <c r="K864" s="2"/>
      <c r="L864" s="2"/>
      <c r="M864" s="1"/>
      <c r="N864" s="1"/>
      <c r="O864" s="6"/>
      <c r="P864" s="5"/>
    </row>
    <row r="865" spans="1:16" ht="13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2"/>
      <c r="K865" s="2"/>
      <c r="L865" s="2"/>
      <c r="M865" s="1"/>
      <c r="N865" s="1"/>
      <c r="O865" s="6"/>
      <c r="P865" s="5"/>
    </row>
    <row r="866" spans="1:16" ht="13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2"/>
      <c r="K866" s="2"/>
      <c r="L866" s="2"/>
      <c r="M866" s="1"/>
      <c r="N866" s="1"/>
      <c r="O866" s="6"/>
      <c r="P866" s="5"/>
    </row>
    <row r="867" spans="1:16" ht="13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2"/>
      <c r="K867" s="2"/>
      <c r="L867" s="2"/>
      <c r="M867" s="1"/>
      <c r="N867" s="1"/>
      <c r="O867" s="6"/>
      <c r="P867" s="5"/>
    </row>
    <row r="868" spans="1:16" ht="13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2"/>
      <c r="K868" s="2"/>
      <c r="L868" s="2"/>
      <c r="M868" s="1"/>
      <c r="N868" s="1"/>
      <c r="O868" s="6"/>
      <c r="P868" s="5"/>
    </row>
    <row r="869" spans="1:16" ht="13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2"/>
      <c r="K869" s="2"/>
      <c r="L869" s="2"/>
      <c r="M869" s="1"/>
      <c r="N869" s="1"/>
      <c r="O869" s="6"/>
      <c r="P869" s="5"/>
    </row>
    <row r="870" spans="1:16" ht="13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2"/>
      <c r="K870" s="2"/>
      <c r="L870" s="2"/>
      <c r="M870" s="1"/>
      <c r="N870" s="1"/>
      <c r="O870" s="6"/>
      <c r="P870" s="5"/>
    </row>
    <row r="871" spans="1:16" ht="13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2"/>
      <c r="K871" s="2"/>
      <c r="L871" s="2"/>
      <c r="M871" s="1"/>
      <c r="N871" s="1"/>
      <c r="O871" s="6"/>
      <c r="P871" s="5"/>
    </row>
    <row r="872" spans="1:16" ht="13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2"/>
      <c r="K872" s="2"/>
      <c r="L872" s="2"/>
      <c r="M872" s="1"/>
      <c r="N872" s="1"/>
      <c r="O872" s="6"/>
      <c r="P872" s="5"/>
    </row>
    <row r="873" spans="1:16" ht="13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2"/>
      <c r="K873" s="2"/>
      <c r="L873" s="2"/>
      <c r="M873" s="1"/>
      <c r="N873" s="1"/>
      <c r="O873" s="6"/>
      <c r="P873" s="5"/>
    </row>
    <row r="874" spans="1:16" ht="13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2"/>
      <c r="K874" s="2"/>
      <c r="L874" s="2"/>
      <c r="M874" s="1"/>
      <c r="N874" s="1"/>
      <c r="O874" s="6"/>
      <c r="P874" s="5"/>
    </row>
    <row r="875" spans="1:16" ht="13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2"/>
      <c r="K875" s="2"/>
      <c r="L875" s="2"/>
      <c r="M875" s="1"/>
      <c r="N875" s="1"/>
      <c r="O875" s="6"/>
      <c r="P875" s="5"/>
    </row>
    <row r="876" spans="1:16" ht="13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2"/>
      <c r="K876" s="2"/>
      <c r="L876" s="2"/>
      <c r="M876" s="1"/>
      <c r="N876" s="1"/>
      <c r="O876" s="6"/>
      <c r="P876" s="5"/>
    </row>
    <row r="877" spans="1:16" ht="13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2"/>
      <c r="K877" s="2"/>
      <c r="L877" s="2"/>
      <c r="M877" s="1"/>
      <c r="N877" s="1"/>
      <c r="O877" s="6"/>
      <c r="P877" s="5"/>
    </row>
    <row r="878" spans="1:16" ht="13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2"/>
      <c r="K878" s="2"/>
      <c r="L878" s="2"/>
      <c r="M878" s="1"/>
      <c r="N878" s="1"/>
      <c r="O878" s="6"/>
      <c r="P878" s="5"/>
    </row>
    <row r="879" spans="1:16" ht="13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2"/>
      <c r="K879" s="2"/>
      <c r="L879" s="2"/>
      <c r="M879" s="1"/>
      <c r="N879" s="1"/>
      <c r="O879" s="6"/>
      <c r="P879" s="5"/>
    </row>
    <row r="880" spans="1:16" ht="13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2"/>
      <c r="K880" s="2"/>
      <c r="L880" s="2"/>
      <c r="M880" s="1"/>
      <c r="N880" s="1"/>
      <c r="O880" s="6"/>
      <c r="P880" s="5"/>
    </row>
    <row r="881" spans="1:16" ht="13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2"/>
      <c r="K881" s="2"/>
      <c r="L881" s="2"/>
      <c r="M881" s="1"/>
      <c r="N881" s="1"/>
      <c r="O881" s="6"/>
      <c r="P881" s="5"/>
    </row>
    <row r="882" spans="1:16" ht="13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2"/>
      <c r="K882" s="2"/>
      <c r="L882" s="2"/>
      <c r="M882" s="1"/>
      <c r="N882" s="1"/>
      <c r="O882" s="6"/>
      <c r="P882" s="5"/>
    </row>
    <row r="883" spans="1:16" ht="13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2"/>
      <c r="K883" s="2"/>
      <c r="L883" s="2"/>
      <c r="M883" s="1"/>
      <c r="N883" s="1"/>
      <c r="O883" s="6"/>
      <c r="P883" s="5"/>
    </row>
    <row r="884" spans="1:16" ht="13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2"/>
      <c r="K884" s="2"/>
      <c r="L884" s="2"/>
      <c r="M884" s="1"/>
      <c r="N884" s="1"/>
      <c r="O884" s="6"/>
      <c r="P884" s="5"/>
    </row>
    <row r="885" spans="1:16" ht="13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2"/>
      <c r="K885" s="2"/>
      <c r="L885" s="2"/>
      <c r="M885" s="1"/>
      <c r="N885" s="1"/>
      <c r="O885" s="6"/>
      <c r="P885" s="5"/>
    </row>
    <row r="886" spans="1:16" ht="13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2"/>
      <c r="K886" s="2"/>
      <c r="L886" s="2"/>
      <c r="M886" s="1"/>
      <c r="N886" s="1"/>
      <c r="O886" s="6"/>
      <c r="P886" s="5"/>
    </row>
    <row r="887" spans="1:16" ht="13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2"/>
      <c r="K887" s="2"/>
      <c r="L887" s="2"/>
      <c r="M887" s="1"/>
      <c r="N887" s="1"/>
      <c r="O887" s="6"/>
      <c r="P887" s="5"/>
    </row>
    <row r="888" spans="1:16" ht="13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2"/>
      <c r="K888" s="2"/>
      <c r="L888" s="2"/>
      <c r="M888" s="1"/>
      <c r="N888" s="1"/>
      <c r="O888" s="6"/>
      <c r="P888" s="5"/>
    </row>
    <row r="889" spans="1:16" ht="13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2"/>
      <c r="K889" s="2"/>
      <c r="L889" s="2"/>
      <c r="M889" s="1"/>
      <c r="N889" s="1"/>
      <c r="O889" s="6"/>
      <c r="P889" s="5"/>
    </row>
    <row r="890" spans="1:16" ht="13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2"/>
      <c r="K890" s="2"/>
      <c r="L890" s="2"/>
      <c r="M890" s="1"/>
      <c r="N890" s="1"/>
      <c r="O890" s="6"/>
      <c r="P890" s="5"/>
    </row>
    <row r="891" spans="1:16" ht="13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2"/>
      <c r="K891" s="2"/>
      <c r="L891" s="2"/>
      <c r="M891" s="1"/>
      <c r="N891" s="1"/>
      <c r="O891" s="6"/>
      <c r="P891" s="5"/>
    </row>
    <row r="892" spans="1:16" ht="13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2"/>
      <c r="K892" s="2"/>
      <c r="L892" s="2"/>
      <c r="M892" s="1"/>
      <c r="N892" s="1"/>
      <c r="O892" s="6"/>
      <c r="P892" s="5"/>
    </row>
    <row r="893" spans="1:16" ht="13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2"/>
      <c r="K893" s="2"/>
      <c r="L893" s="2"/>
      <c r="M893" s="1"/>
      <c r="N893" s="1"/>
      <c r="O893" s="6"/>
      <c r="P893" s="5"/>
    </row>
    <row r="894" spans="1:16" ht="13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2"/>
      <c r="K894" s="2"/>
      <c r="L894" s="2"/>
      <c r="M894" s="1"/>
      <c r="N894" s="1"/>
      <c r="O894" s="6"/>
      <c r="P894" s="5"/>
    </row>
    <row r="895" spans="1:16" ht="13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2"/>
      <c r="K895" s="2"/>
      <c r="L895" s="2"/>
      <c r="M895" s="1"/>
      <c r="N895" s="1"/>
      <c r="O895" s="6"/>
      <c r="P895" s="5"/>
    </row>
    <row r="896" spans="1:16" ht="13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2"/>
      <c r="K896" s="2"/>
      <c r="L896" s="2"/>
      <c r="M896" s="1"/>
      <c r="N896" s="1"/>
      <c r="O896" s="6"/>
      <c r="P896" s="5"/>
    </row>
    <row r="897" spans="1:16" ht="13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2"/>
      <c r="K897" s="2"/>
      <c r="L897" s="2"/>
      <c r="M897" s="1"/>
      <c r="N897" s="1"/>
      <c r="O897" s="6"/>
      <c r="P897" s="5"/>
    </row>
    <row r="898" spans="1:16" ht="13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2"/>
      <c r="K898" s="2"/>
      <c r="L898" s="2"/>
      <c r="M898" s="1"/>
      <c r="N898" s="1"/>
      <c r="O898" s="6"/>
      <c r="P898" s="5"/>
    </row>
    <row r="899" spans="1:16" ht="13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2"/>
      <c r="K899" s="2"/>
      <c r="L899" s="2"/>
      <c r="M899" s="1"/>
      <c r="N899" s="1"/>
      <c r="O899" s="6"/>
      <c r="P899" s="5"/>
    </row>
    <row r="900" spans="1:16" ht="13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2"/>
      <c r="K900" s="2"/>
      <c r="L900" s="2"/>
      <c r="M900" s="1"/>
      <c r="N900" s="1"/>
      <c r="O900" s="6"/>
      <c r="P900" s="5"/>
    </row>
    <row r="901" spans="1:16" ht="13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2"/>
      <c r="K901" s="2"/>
      <c r="L901" s="2"/>
      <c r="M901" s="1"/>
      <c r="N901" s="1"/>
      <c r="O901" s="6"/>
      <c r="P901" s="5"/>
    </row>
    <row r="902" spans="1:16" ht="13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2"/>
      <c r="K902" s="2"/>
      <c r="L902" s="2"/>
      <c r="M902" s="1"/>
      <c r="N902" s="1"/>
      <c r="O902" s="6"/>
      <c r="P902" s="5"/>
    </row>
    <row r="903" spans="1:16" ht="13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2"/>
      <c r="K903" s="2"/>
      <c r="L903" s="2"/>
      <c r="M903" s="1"/>
      <c r="N903" s="1"/>
      <c r="O903" s="6"/>
      <c r="P903" s="5"/>
    </row>
    <row r="904" spans="1:16" ht="13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2"/>
      <c r="K904" s="2"/>
      <c r="L904" s="2"/>
      <c r="M904" s="1"/>
      <c r="N904" s="1"/>
      <c r="O904" s="6"/>
      <c r="P904" s="5"/>
    </row>
    <row r="905" spans="1:16" ht="13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2"/>
      <c r="K905" s="2"/>
      <c r="L905" s="2"/>
      <c r="M905" s="1"/>
      <c r="N905" s="1"/>
      <c r="O905" s="6"/>
      <c r="P905" s="5"/>
    </row>
    <row r="906" spans="1:16" ht="13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2"/>
      <c r="K906" s="2"/>
      <c r="L906" s="2"/>
      <c r="M906" s="1"/>
      <c r="N906" s="1"/>
      <c r="O906" s="6"/>
      <c r="P906" s="5"/>
    </row>
    <row r="907" spans="1:16" ht="13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2"/>
      <c r="K907" s="2"/>
      <c r="L907" s="2"/>
      <c r="M907" s="1"/>
      <c r="N907" s="1"/>
      <c r="O907" s="6"/>
      <c r="P907" s="5"/>
    </row>
    <row r="908" spans="1:16" ht="13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2"/>
      <c r="K908" s="2"/>
      <c r="L908" s="2"/>
      <c r="M908" s="1"/>
      <c r="N908" s="1"/>
      <c r="O908" s="6"/>
      <c r="P908" s="5"/>
    </row>
    <row r="909" spans="1:16" ht="13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2"/>
      <c r="K909" s="2"/>
      <c r="L909" s="2"/>
      <c r="M909" s="1"/>
      <c r="N909" s="1"/>
      <c r="O909" s="6"/>
      <c r="P909" s="5"/>
    </row>
    <row r="910" spans="1:16" ht="13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2"/>
      <c r="K910" s="2"/>
      <c r="L910" s="2"/>
      <c r="M910" s="1"/>
      <c r="N910" s="1"/>
      <c r="O910" s="6"/>
      <c r="P910" s="5"/>
    </row>
    <row r="911" spans="1:16" ht="13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2"/>
      <c r="K911" s="2"/>
      <c r="L911" s="2"/>
      <c r="M911" s="1"/>
      <c r="N911" s="1"/>
      <c r="O911" s="6"/>
      <c r="P911" s="5"/>
    </row>
    <row r="912" spans="1:16" ht="13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2"/>
      <c r="K912" s="2"/>
      <c r="L912" s="2"/>
      <c r="M912" s="1"/>
      <c r="N912" s="1"/>
      <c r="O912" s="6"/>
      <c r="P912" s="5"/>
    </row>
    <row r="913" spans="1:16" ht="13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2"/>
      <c r="K913" s="2"/>
      <c r="L913" s="2"/>
      <c r="M913" s="1"/>
      <c r="N913" s="1"/>
      <c r="O913" s="6"/>
      <c r="P913" s="5"/>
    </row>
    <row r="914" spans="1:16" ht="13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2"/>
      <c r="K914" s="2"/>
      <c r="L914" s="2"/>
      <c r="M914" s="1"/>
      <c r="N914" s="1"/>
      <c r="O914" s="6"/>
      <c r="P914" s="5"/>
    </row>
    <row r="915" spans="1:16" ht="13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2"/>
      <c r="K915" s="2"/>
      <c r="L915" s="2"/>
      <c r="M915" s="1"/>
      <c r="N915" s="1"/>
      <c r="O915" s="6"/>
      <c r="P915" s="5"/>
    </row>
    <row r="916" spans="1:16" ht="13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2"/>
      <c r="K916" s="2"/>
      <c r="L916" s="2"/>
      <c r="M916" s="1"/>
      <c r="N916" s="1"/>
      <c r="O916" s="6"/>
      <c r="P916" s="5"/>
    </row>
    <row r="917" spans="1:16" ht="13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2"/>
      <c r="K917" s="2"/>
      <c r="L917" s="2"/>
      <c r="M917" s="1"/>
      <c r="N917" s="1"/>
      <c r="O917" s="6"/>
      <c r="P917" s="5"/>
    </row>
    <row r="918" spans="1:16" ht="13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2"/>
      <c r="K918" s="2"/>
      <c r="L918" s="2"/>
      <c r="M918" s="1"/>
      <c r="N918" s="1"/>
      <c r="O918" s="6"/>
      <c r="P918" s="5"/>
    </row>
    <row r="919" spans="1:16" ht="13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2"/>
      <c r="K919" s="2"/>
      <c r="L919" s="2"/>
      <c r="M919" s="1"/>
      <c r="N919" s="1"/>
      <c r="O919" s="6"/>
      <c r="P919" s="5"/>
    </row>
    <row r="920" spans="1:16" ht="13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2"/>
      <c r="K920" s="2"/>
      <c r="L920" s="2"/>
      <c r="M920" s="1"/>
      <c r="N920" s="1"/>
      <c r="O920" s="6"/>
      <c r="P920" s="5"/>
    </row>
    <row r="921" spans="1:16" ht="13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2"/>
      <c r="K921" s="2"/>
      <c r="L921" s="2"/>
      <c r="M921" s="1"/>
      <c r="N921" s="1"/>
      <c r="O921" s="6"/>
      <c r="P921" s="5"/>
    </row>
    <row r="922" spans="1:16" ht="13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2"/>
      <c r="K922" s="2"/>
      <c r="L922" s="2"/>
      <c r="M922" s="1"/>
      <c r="N922" s="1"/>
      <c r="O922" s="6"/>
      <c r="P922" s="5"/>
    </row>
    <row r="923" spans="1:16" ht="13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2"/>
      <c r="K923" s="2"/>
      <c r="L923" s="2"/>
      <c r="M923" s="1"/>
      <c r="N923" s="1"/>
      <c r="O923" s="6"/>
      <c r="P923" s="5"/>
    </row>
    <row r="924" spans="1:16" ht="13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2"/>
      <c r="K924" s="2"/>
      <c r="L924" s="2"/>
      <c r="M924" s="1"/>
      <c r="N924" s="1"/>
      <c r="O924" s="6"/>
      <c r="P924" s="5"/>
    </row>
    <row r="925" spans="1:16" ht="13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2"/>
      <c r="K925" s="2"/>
      <c r="L925" s="2"/>
      <c r="M925" s="1"/>
      <c r="N925" s="1"/>
      <c r="O925" s="6"/>
      <c r="P925" s="5"/>
    </row>
    <row r="926" spans="1:16" ht="13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2"/>
      <c r="K926" s="2"/>
      <c r="L926" s="2"/>
      <c r="M926" s="1"/>
      <c r="N926" s="1"/>
      <c r="O926" s="6"/>
      <c r="P926" s="5"/>
    </row>
    <row r="927" spans="1:16" ht="13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2"/>
      <c r="K927" s="2"/>
      <c r="L927" s="2"/>
      <c r="M927" s="1"/>
      <c r="N927" s="1"/>
      <c r="O927" s="6"/>
      <c r="P927" s="5"/>
    </row>
    <row r="928" spans="1:16" ht="13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2"/>
      <c r="K928" s="2"/>
      <c r="L928" s="2"/>
      <c r="M928" s="1"/>
      <c r="N928" s="1"/>
      <c r="O928" s="6"/>
      <c r="P928" s="5"/>
    </row>
    <row r="929" spans="1:16" ht="13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2"/>
      <c r="K929" s="2"/>
      <c r="L929" s="2"/>
      <c r="M929" s="1"/>
      <c r="N929" s="1"/>
      <c r="O929" s="6"/>
      <c r="P929" s="5"/>
    </row>
    <row r="930" spans="1:16" ht="13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2"/>
      <c r="K930" s="2"/>
      <c r="L930" s="2"/>
      <c r="M930" s="1"/>
      <c r="N930" s="1"/>
      <c r="O930" s="6"/>
      <c r="P930" s="5"/>
    </row>
    <row r="931" spans="1:16" ht="13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2"/>
      <c r="K931" s="2"/>
      <c r="L931" s="2"/>
      <c r="M931" s="1"/>
      <c r="N931" s="1"/>
      <c r="O931" s="6"/>
      <c r="P931" s="5"/>
    </row>
    <row r="932" spans="1:16" ht="13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2"/>
      <c r="K932" s="2"/>
      <c r="L932" s="2"/>
      <c r="M932" s="1"/>
      <c r="N932" s="1"/>
      <c r="O932" s="6"/>
      <c r="P932" s="5"/>
    </row>
    <row r="933" spans="1:16" ht="13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2"/>
      <c r="K933" s="2"/>
      <c r="L933" s="2"/>
      <c r="M933" s="1"/>
      <c r="N933" s="1"/>
      <c r="O933" s="6"/>
      <c r="P933" s="5"/>
    </row>
    <row r="934" spans="1:16" ht="13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2"/>
      <c r="K934" s="2"/>
      <c r="L934" s="2"/>
      <c r="M934" s="1"/>
      <c r="N934" s="1"/>
      <c r="O934" s="6"/>
      <c r="P934" s="5"/>
    </row>
    <row r="935" spans="1:16" ht="13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2"/>
      <c r="K935" s="2"/>
      <c r="L935" s="2"/>
      <c r="M935" s="1"/>
      <c r="N935" s="1"/>
      <c r="O935" s="6"/>
      <c r="P935" s="5"/>
    </row>
    <row r="936" spans="1:16" ht="13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2"/>
      <c r="K936" s="2"/>
      <c r="L936" s="2"/>
      <c r="M936" s="1"/>
      <c r="N936" s="1"/>
      <c r="O936" s="6"/>
      <c r="P936" s="5"/>
    </row>
    <row r="937" spans="1:16" ht="13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2"/>
      <c r="K937" s="2"/>
      <c r="L937" s="2"/>
      <c r="M937" s="1"/>
      <c r="N937" s="1"/>
      <c r="O937" s="6"/>
      <c r="P937" s="5"/>
    </row>
    <row r="938" spans="1:16" ht="13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2"/>
      <c r="K938" s="2"/>
      <c r="L938" s="2"/>
      <c r="M938" s="1"/>
      <c r="N938" s="1"/>
      <c r="O938" s="6"/>
      <c r="P938" s="5"/>
    </row>
    <row r="939" spans="1:16" ht="13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2"/>
      <c r="K939" s="2"/>
      <c r="L939" s="2"/>
      <c r="M939" s="1"/>
      <c r="N939" s="1"/>
      <c r="O939" s="6"/>
      <c r="P939" s="5"/>
    </row>
    <row r="940" spans="1:16" ht="13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2"/>
      <c r="K940" s="2"/>
      <c r="L940" s="2"/>
      <c r="M940" s="1"/>
      <c r="N940" s="1"/>
      <c r="O940" s="6"/>
      <c r="P940" s="5"/>
    </row>
    <row r="941" spans="1:16" ht="13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2"/>
      <c r="K941" s="2"/>
      <c r="L941" s="2"/>
      <c r="M941" s="1"/>
      <c r="N941" s="1"/>
      <c r="O941" s="6"/>
      <c r="P941" s="5"/>
    </row>
    <row r="942" spans="1:16" ht="13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2"/>
      <c r="K942" s="2"/>
      <c r="L942" s="2"/>
      <c r="M942" s="1"/>
      <c r="N942" s="1"/>
      <c r="O942" s="6"/>
      <c r="P942" s="5"/>
    </row>
    <row r="943" spans="1:16" ht="13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2"/>
      <c r="K943" s="2"/>
      <c r="L943" s="2"/>
      <c r="M943" s="1"/>
      <c r="N943" s="1"/>
      <c r="O943" s="6"/>
      <c r="P943" s="5"/>
    </row>
    <row r="944" spans="1:16" ht="13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2"/>
      <c r="K944" s="2"/>
      <c r="L944" s="2"/>
      <c r="M944" s="1"/>
      <c r="N944" s="1"/>
      <c r="O944" s="6"/>
      <c r="P944" s="5"/>
    </row>
    <row r="945" spans="1:16" ht="13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2"/>
      <c r="K945" s="2"/>
      <c r="L945" s="2"/>
      <c r="M945" s="1"/>
      <c r="N945" s="1"/>
      <c r="O945" s="6"/>
      <c r="P945" s="5"/>
    </row>
    <row r="946" spans="1:16" ht="13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2"/>
      <c r="K946" s="2"/>
      <c r="L946" s="2"/>
      <c r="M946" s="1"/>
      <c r="N946" s="1"/>
      <c r="O946" s="6"/>
      <c r="P946" s="5"/>
    </row>
    <row r="947" spans="1:16" ht="13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2"/>
      <c r="K947" s="2"/>
      <c r="L947" s="2"/>
      <c r="M947" s="1"/>
      <c r="N947" s="1"/>
      <c r="O947" s="6"/>
      <c r="P947" s="5"/>
    </row>
    <row r="948" spans="1:16" ht="13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2"/>
      <c r="K948" s="2"/>
      <c r="L948" s="2"/>
      <c r="M948" s="1"/>
      <c r="N948" s="1"/>
      <c r="O948" s="6"/>
      <c r="P948" s="5"/>
    </row>
    <row r="949" spans="1:16" ht="13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2"/>
      <c r="K949" s="2"/>
      <c r="L949" s="2"/>
      <c r="M949" s="1"/>
      <c r="N949" s="1"/>
      <c r="O949" s="6"/>
      <c r="P949" s="5"/>
    </row>
    <row r="950" spans="1:16" ht="13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2"/>
      <c r="K950" s="2"/>
      <c r="L950" s="2"/>
      <c r="M950" s="1"/>
      <c r="N950" s="1"/>
      <c r="O950" s="6"/>
      <c r="P950" s="5"/>
    </row>
    <row r="951" spans="1:16" ht="13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2"/>
      <c r="K951" s="2"/>
      <c r="L951" s="2"/>
      <c r="M951" s="1"/>
      <c r="N951" s="1"/>
      <c r="O951" s="6"/>
      <c r="P951" s="5"/>
    </row>
    <row r="952" spans="1:16" ht="13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2"/>
      <c r="K952" s="2"/>
      <c r="L952" s="2"/>
      <c r="M952" s="1"/>
      <c r="N952" s="1"/>
      <c r="O952" s="6"/>
      <c r="P952" s="5"/>
    </row>
    <row r="953" spans="1:16" ht="13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2"/>
      <c r="K953" s="2"/>
      <c r="L953" s="2"/>
      <c r="M953" s="1"/>
      <c r="N953" s="1"/>
      <c r="O953" s="6"/>
      <c r="P953" s="5"/>
    </row>
    <row r="954" spans="1:16" ht="13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2"/>
      <c r="K954" s="2"/>
      <c r="L954" s="2"/>
      <c r="M954" s="1"/>
      <c r="N954" s="1"/>
      <c r="O954" s="6"/>
      <c r="P954" s="5"/>
    </row>
    <row r="955" spans="1:16" ht="13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2"/>
      <c r="K955" s="2"/>
      <c r="L955" s="2"/>
      <c r="M955" s="1"/>
      <c r="N955" s="1"/>
      <c r="O955" s="6"/>
      <c r="P955" s="5"/>
    </row>
    <row r="956" spans="1:16" ht="13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2"/>
      <c r="K956" s="2"/>
      <c r="L956" s="2"/>
      <c r="M956" s="1"/>
      <c r="N956" s="1"/>
      <c r="O956" s="6"/>
      <c r="P956" s="5"/>
    </row>
    <row r="957" spans="1:16" ht="13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2"/>
      <c r="K957" s="2"/>
      <c r="L957" s="2"/>
      <c r="M957" s="1"/>
      <c r="N957" s="1"/>
      <c r="O957" s="6"/>
      <c r="P957" s="5"/>
    </row>
    <row r="958" spans="1:16" ht="13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2"/>
      <c r="K958" s="2"/>
      <c r="L958" s="2"/>
      <c r="M958" s="1"/>
      <c r="N958" s="1"/>
      <c r="O958" s="6"/>
      <c r="P958" s="5"/>
    </row>
    <row r="959" spans="1:16" ht="13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2"/>
      <c r="K959" s="2"/>
      <c r="L959" s="2"/>
      <c r="M959" s="1"/>
      <c r="N959" s="1"/>
      <c r="O959" s="6"/>
      <c r="P959" s="5"/>
    </row>
    <row r="960" spans="1:16" ht="13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2"/>
      <c r="K960" s="2"/>
      <c r="L960" s="2"/>
      <c r="M960" s="1"/>
      <c r="N960" s="1"/>
      <c r="O960" s="6"/>
      <c r="P960" s="5"/>
    </row>
    <row r="961" spans="1:16" ht="13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2"/>
      <c r="K961" s="2"/>
      <c r="L961" s="2"/>
      <c r="M961" s="1"/>
      <c r="N961" s="1"/>
      <c r="O961" s="6"/>
      <c r="P961" s="5"/>
    </row>
    <row r="962" spans="1:16" ht="13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2"/>
      <c r="K962" s="2"/>
      <c r="L962" s="2"/>
      <c r="M962" s="1"/>
      <c r="N962" s="1"/>
      <c r="O962" s="6"/>
      <c r="P962" s="5"/>
    </row>
    <row r="963" spans="1:16" ht="13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2"/>
      <c r="K963" s="2"/>
      <c r="L963" s="2"/>
      <c r="M963" s="1"/>
      <c r="N963" s="1"/>
      <c r="O963" s="6"/>
      <c r="P963" s="5"/>
    </row>
    <row r="964" spans="1:16" ht="13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2"/>
      <c r="K964" s="2"/>
      <c r="L964" s="2"/>
      <c r="M964" s="1"/>
      <c r="N964" s="1"/>
      <c r="O964" s="6"/>
      <c r="P964" s="5"/>
    </row>
    <row r="965" spans="1:16" ht="13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2"/>
      <c r="K965" s="2"/>
      <c r="L965" s="2"/>
      <c r="M965" s="1"/>
      <c r="N965" s="1"/>
      <c r="O965" s="6"/>
      <c r="P965" s="5"/>
    </row>
    <row r="966" spans="1:16" ht="13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2"/>
      <c r="K966" s="2"/>
      <c r="L966" s="2"/>
      <c r="M966" s="1"/>
      <c r="N966" s="1"/>
      <c r="O966" s="6"/>
      <c r="P966" s="5"/>
    </row>
    <row r="967" spans="1:16" ht="13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2"/>
      <c r="K967" s="2"/>
      <c r="L967" s="2"/>
      <c r="M967" s="1"/>
      <c r="N967" s="1"/>
      <c r="O967" s="6"/>
      <c r="P967" s="5"/>
    </row>
    <row r="968" spans="1:16" ht="13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2"/>
      <c r="K968" s="2"/>
      <c r="L968" s="2"/>
      <c r="M968" s="1"/>
      <c r="N968" s="1"/>
      <c r="O968" s="6"/>
      <c r="P968" s="5"/>
    </row>
    <row r="969" spans="1:16" ht="13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2"/>
      <c r="K969" s="2"/>
      <c r="L969" s="2"/>
      <c r="M969" s="1"/>
      <c r="N969" s="1"/>
      <c r="O969" s="6"/>
      <c r="P969" s="5"/>
    </row>
    <row r="970" spans="1:16" ht="13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2"/>
      <c r="K970" s="2"/>
      <c r="L970" s="2"/>
      <c r="M970" s="1"/>
      <c r="N970" s="1"/>
      <c r="O970" s="6"/>
      <c r="P970" s="5"/>
    </row>
    <row r="971" spans="1:16" ht="13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2"/>
      <c r="K971" s="2"/>
      <c r="L971" s="2"/>
      <c r="M971" s="1"/>
      <c r="N971" s="1"/>
      <c r="O971" s="6"/>
      <c r="P971" s="5"/>
    </row>
    <row r="972" spans="1:16" ht="13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2"/>
      <c r="K972" s="2"/>
      <c r="L972" s="2"/>
      <c r="M972" s="1"/>
      <c r="N972" s="1"/>
      <c r="O972" s="6"/>
      <c r="P972" s="5"/>
    </row>
    <row r="973" spans="1:16" ht="13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2"/>
      <c r="K973" s="2"/>
      <c r="L973" s="2"/>
      <c r="M973" s="1"/>
      <c r="N973" s="1"/>
      <c r="O973" s="6"/>
      <c r="P973" s="5"/>
    </row>
    <row r="974" spans="1:16" ht="13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2"/>
      <c r="K974" s="2"/>
      <c r="L974" s="2"/>
      <c r="M974" s="1"/>
      <c r="N974" s="1"/>
      <c r="O974" s="6"/>
      <c r="P974" s="5"/>
    </row>
    <row r="975" spans="1:16" ht="13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2"/>
      <c r="K975" s="2"/>
      <c r="L975" s="2"/>
      <c r="M975" s="1"/>
      <c r="N975" s="1"/>
      <c r="O975" s="6"/>
      <c r="P975" s="5"/>
    </row>
    <row r="976" spans="1:16" ht="13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2"/>
      <c r="K976" s="2"/>
      <c r="L976" s="2"/>
      <c r="M976" s="1"/>
      <c r="N976" s="1"/>
      <c r="O976" s="6"/>
      <c r="P976" s="5"/>
    </row>
    <row r="977" spans="1:16" ht="13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2"/>
      <c r="K977" s="2"/>
      <c r="L977" s="2"/>
      <c r="M977" s="1"/>
      <c r="N977" s="1"/>
      <c r="O977" s="6"/>
      <c r="P977" s="5"/>
    </row>
    <row r="978" spans="1:16" ht="13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2"/>
      <c r="K978" s="2"/>
      <c r="L978" s="2"/>
      <c r="M978" s="1"/>
      <c r="N978" s="1"/>
      <c r="O978" s="6"/>
      <c r="P978" s="5"/>
    </row>
    <row r="979" spans="1:16" ht="13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2"/>
      <c r="K979" s="2"/>
      <c r="L979" s="2"/>
      <c r="M979" s="1"/>
      <c r="N979" s="1"/>
      <c r="O979" s="6"/>
      <c r="P979" s="5"/>
    </row>
    <row r="980" spans="1:16" ht="13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2"/>
      <c r="K980" s="2"/>
      <c r="L980" s="2"/>
      <c r="M980" s="1"/>
      <c r="N980" s="1"/>
      <c r="O980" s="6"/>
      <c r="P980" s="5"/>
    </row>
    <row r="981" spans="1:16" ht="13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2"/>
      <c r="K981" s="2"/>
      <c r="L981" s="2"/>
      <c r="M981" s="1"/>
      <c r="N981" s="1"/>
      <c r="O981" s="6"/>
      <c r="P981" s="5"/>
    </row>
    <row r="982" spans="1:16" ht="13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2"/>
      <c r="K982" s="2"/>
      <c r="L982" s="2"/>
      <c r="M982" s="1"/>
      <c r="N982" s="1"/>
      <c r="O982" s="6"/>
      <c r="P982" s="5"/>
    </row>
    <row r="983" spans="1:16" ht="13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2"/>
      <c r="K983" s="2"/>
      <c r="L983" s="2"/>
      <c r="M983" s="1"/>
      <c r="N983" s="1"/>
      <c r="O983" s="6"/>
      <c r="P983" s="5"/>
    </row>
    <row r="984" spans="1:16" ht="13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2"/>
      <c r="K984" s="2"/>
      <c r="L984" s="2"/>
      <c r="M984" s="1"/>
      <c r="N984" s="1"/>
      <c r="O984" s="6"/>
      <c r="P984" s="5"/>
    </row>
    <row r="985" spans="1:16" ht="13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2"/>
      <c r="K985" s="2"/>
      <c r="L985" s="2"/>
      <c r="M985" s="1"/>
      <c r="N985" s="1"/>
      <c r="O985" s="6"/>
      <c r="P985" s="5"/>
    </row>
    <row r="986" spans="1:16" ht="13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2"/>
      <c r="K986" s="2"/>
      <c r="L986" s="2"/>
      <c r="M986" s="1"/>
      <c r="N986" s="1"/>
      <c r="O986" s="6"/>
      <c r="P986" s="5"/>
    </row>
    <row r="987" spans="1:16" ht="13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2"/>
      <c r="K987" s="2"/>
      <c r="L987" s="2"/>
      <c r="M987" s="1"/>
      <c r="N987" s="1"/>
      <c r="O987" s="6"/>
      <c r="P987" s="5"/>
    </row>
    <row r="988" spans="1:16" ht="13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2"/>
      <c r="K988" s="2"/>
      <c r="L988" s="2"/>
      <c r="M988" s="1"/>
      <c r="N988" s="1"/>
      <c r="O988" s="6"/>
      <c r="P988" s="5"/>
    </row>
    <row r="989" spans="1:16" ht="13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2"/>
      <c r="K989" s="2"/>
      <c r="L989" s="2"/>
      <c r="M989" s="1"/>
      <c r="N989" s="1"/>
      <c r="O989" s="6"/>
      <c r="P989" s="5"/>
    </row>
    <row r="990" spans="1:16" ht="13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2"/>
      <c r="K990" s="2"/>
      <c r="L990" s="2"/>
      <c r="M990" s="1"/>
      <c r="N990" s="1"/>
      <c r="O990" s="6"/>
      <c r="P990" s="5"/>
    </row>
    <row r="991" spans="1:16" ht="13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2"/>
      <c r="K991" s="2"/>
      <c r="L991" s="2"/>
      <c r="M991" s="1"/>
      <c r="N991" s="1"/>
      <c r="O991" s="6"/>
      <c r="P991" s="5"/>
    </row>
    <row r="992" spans="1:16" ht="13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2"/>
      <c r="K992" s="2"/>
      <c r="L992" s="2"/>
      <c r="M992" s="1"/>
      <c r="N992" s="1"/>
      <c r="O992" s="6"/>
      <c r="P992" s="5"/>
    </row>
    <row r="993" spans="1:16" ht="13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2"/>
      <c r="K993" s="2"/>
      <c r="L993" s="2"/>
      <c r="M993" s="1"/>
      <c r="N993" s="1"/>
      <c r="O993" s="6"/>
      <c r="P993" s="5"/>
    </row>
    <row r="994" spans="1:16" ht="13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2"/>
      <c r="K994" s="2"/>
      <c r="L994" s="2"/>
      <c r="M994" s="1"/>
      <c r="N994" s="1"/>
      <c r="O994" s="6"/>
      <c r="P994" s="5"/>
    </row>
    <row r="995" spans="1:16" ht="13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2"/>
      <c r="K995" s="2"/>
      <c r="L995" s="2"/>
      <c r="M995" s="1"/>
      <c r="N995" s="1"/>
      <c r="O995" s="6"/>
      <c r="P995" s="5"/>
    </row>
    <row r="996" spans="1:16" ht="13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2"/>
      <c r="K996" s="2"/>
      <c r="L996" s="2"/>
      <c r="M996" s="1"/>
      <c r="N996" s="1"/>
      <c r="O996" s="6"/>
      <c r="P996" s="5"/>
    </row>
    <row r="997" spans="1:16" ht="13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2"/>
      <c r="K997" s="2"/>
      <c r="L997" s="2"/>
      <c r="M997" s="1"/>
      <c r="N997" s="1"/>
      <c r="O997" s="6"/>
      <c r="P997" s="5"/>
    </row>
    <row r="998" spans="1:16" ht="13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2"/>
      <c r="K998" s="2"/>
      <c r="L998" s="2"/>
      <c r="M998" s="1"/>
      <c r="N998" s="1"/>
      <c r="O998" s="6"/>
      <c r="P998" s="5"/>
    </row>
    <row r="999" spans="1:16" ht="13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2"/>
      <c r="K999" s="2"/>
      <c r="L999" s="2"/>
      <c r="M999" s="1"/>
      <c r="N999" s="1"/>
      <c r="O999" s="4"/>
      <c r="P999" s="3"/>
    </row>
    <row r="1000" spans="1:16" ht="13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2"/>
      <c r="K1000" s="2"/>
      <c r="L1000" s="2"/>
      <c r="M1000" s="1"/>
    </row>
    <row r="1001" spans="1:16" ht="13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2"/>
      <c r="K1001" s="2"/>
      <c r="L1001" s="2"/>
      <c r="M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CaldorFOUS(22)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2025-08-09T23:44:51Z</dcterms:created>
  <dcterms:modified xsi:type="dcterms:W3CDTF">2025-08-09T23:45:10Z</dcterms:modified>
</cp:coreProperties>
</file>