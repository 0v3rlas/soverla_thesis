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E51FCF0C-ED2D-4938-B897-969B7F5DDE98}" xr6:coauthVersionLast="47" xr6:coauthVersionMax="47" xr10:uidLastSave="{00000000-0000-0000-0000-000000000000}"/>
  <bookViews>
    <workbookView xWindow="28680" yWindow="-120" windowWidth="29040" windowHeight="15720" xr2:uid="{7062D335-9B48-4DC3-A012-606EC35EF5CD}"/>
  </bookViews>
  <sheets>
    <sheet name="CameronPeakFOUS(29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M2" i="1"/>
  <c r="N2" i="1" s="1"/>
  <c r="H3" i="1"/>
  <c r="I3" i="1"/>
  <c r="J3" i="1"/>
  <c r="M3" i="1"/>
  <c r="N3" i="1"/>
  <c r="H4" i="1"/>
  <c r="I4" i="1"/>
  <c r="J4" i="1"/>
  <c r="M4" i="1"/>
  <c r="N4" i="1"/>
  <c r="H5" i="1"/>
  <c r="I5" i="1" s="1"/>
  <c r="J5" i="1"/>
  <c r="M5" i="1"/>
  <c r="N5" i="1"/>
  <c r="H6" i="1"/>
  <c r="I6" i="1"/>
  <c r="J6" i="1"/>
  <c r="M6" i="1"/>
  <c r="N6" i="1"/>
  <c r="H7" i="1"/>
  <c r="I7" i="1" s="1"/>
  <c r="J7" i="1"/>
  <c r="M7" i="1"/>
  <c r="N7" i="1" s="1"/>
  <c r="H8" i="1"/>
  <c r="I8" i="1"/>
  <c r="J8" i="1"/>
  <c r="M8" i="1"/>
  <c r="N8" i="1"/>
  <c r="H9" i="1"/>
  <c r="I9" i="1"/>
  <c r="J9" i="1"/>
  <c r="M9" i="1"/>
  <c r="N9" i="1" s="1"/>
  <c r="H10" i="1"/>
  <c r="I10" i="1"/>
  <c r="J10" i="1"/>
  <c r="M10" i="1"/>
  <c r="N10" i="1" s="1"/>
  <c r="H11" i="1"/>
  <c r="I11" i="1"/>
  <c r="J11" i="1"/>
  <c r="M11" i="1"/>
  <c r="N11" i="1"/>
  <c r="H12" i="1"/>
  <c r="I12" i="1" s="1"/>
  <c r="J12" i="1"/>
  <c r="M12" i="1"/>
  <c r="N12" i="1" s="1"/>
  <c r="H13" i="1"/>
  <c r="I13" i="1"/>
  <c r="J13" i="1"/>
  <c r="M13" i="1"/>
  <c r="N13" i="1" s="1"/>
  <c r="H14" i="1"/>
  <c r="I14" i="1" s="1"/>
  <c r="J14" i="1"/>
  <c r="M14" i="1"/>
  <c r="N14" i="1"/>
  <c r="H15" i="1"/>
  <c r="I15" i="1" s="1"/>
  <c r="J15" i="1"/>
  <c r="M15" i="1"/>
  <c r="N15" i="1"/>
  <c r="H16" i="1"/>
  <c r="I16" i="1"/>
  <c r="J16" i="1"/>
  <c r="M16" i="1"/>
  <c r="N16" i="1"/>
  <c r="H17" i="1"/>
  <c r="I17" i="1" s="1"/>
  <c r="J17" i="1"/>
  <c r="M17" i="1"/>
  <c r="N17" i="1"/>
  <c r="H18" i="1"/>
  <c r="I18" i="1" s="1"/>
  <c r="J18" i="1"/>
  <c r="M18" i="1"/>
  <c r="N18" i="1"/>
  <c r="H19" i="1"/>
  <c r="I19" i="1"/>
  <c r="J19" i="1"/>
  <c r="M19" i="1"/>
  <c r="N19" i="1"/>
  <c r="H20" i="1"/>
  <c r="I20" i="1"/>
  <c r="J20" i="1"/>
  <c r="M20" i="1"/>
  <c r="N20" i="1"/>
  <c r="H21" i="1"/>
  <c r="I21" i="1"/>
  <c r="J21" i="1"/>
  <c r="M21" i="1"/>
  <c r="N21" i="1"/>
  <c r="H22" i="1"/>
  <c r="I22" i="1"/>
  <c r="J22" i="1"/>
  <c r="M22" i="1"/>
  <c r="N22" i="1" s="1"/>
  <c r="H23" i="1"/>
  <c r="I23" i="1"/>
  <c r="J23" i="1"/>
  <c r="M23" i="1"/>
  <c r="N23" i="1"/>
  <c r="H24" i="1"/>
  <c r="I24" i="1"/>
  <c r="J24" i="1"/>
  <c r="M24" i="1"/>
  <c r="N24" i="1" s="1"/>
  <c r="H25" i="1"/>
  <c r="I25" i="1"/>
  <c r="J25" i="1"/>
  <c r="M25" i="1"/>
  <c r="N25" i="1"/>
  <c r="H26" i="1"/>
  <c r="I26" i="1"/>
  <c r="J26" i="1"/>
  <c r="M26" i="1"/>
  <c r="N26" i="1"/>
  <c r="H27" i="1"/>
  <c r="I27" i="1" s="1"/>
  <c r="J27" i="1"/>
  <c r="M27" i="1"/>
  <c r="N27" i="1"/>
  <c r="H28" i="1"/>
  <c r="I28" i="1"/>
  <c r="J28" i="1"/>
  <c r="M28" i="1"/>
  <c r="N28" i="1"/>
  <c r="H29" i="1"/>
  <c r="I29" i="1" s="1"/>
  <c r="J29" i="1"/>
  <c r="M29" i="1"/>
  <c r="N29" i="1" s="1"/>
  <c r="H30" i="1"/>
  <c r="I30" i="1"/>
  <c r="J30" i="1"/>
  <c r="M30" i="1"/>
  <c r="N30" i="1"/>
  <c r="H31" i="1"/>
  <c r="I31" i="1"/>
  <c r="J31" i="1"/>
  <c r="M31" i="1"/>
  <c r="N31" i="1" s="1"/>
  <c r="H32" i="1"/>
  <c r="I32" i="1"/>
  <c r="J32" i="1"/>
  <c r="M32" i="1"/>
  <c r="N32" i="1" s="1"/>
  <c r="H33" i="1"/>
  <c r="I33" i="1"/>
  <c r="J33" i="1"/>
  <c r="M33" i="1"/>
  <c r="N33" i="1" s="1"/>
  <c r="H34" i="1"/>
  <c r="I34" i="1" s="1"/>
  <c r="J34" i="1"/>
  <c r="M34" i="1"/>
  <c r="N34" i="1" s="1"/>
  <c r="H35" i="1"/>
  <c r="I35" i="1"/>
  <c r="J35" i="1"/>
  <c r="M35" i="1"/>
  <c r="N35" i="1" s="1"/>
  <c r="H36" i="1"/>
  <c r="I36" i="1" s="1"/>
  <c r="J36" i="1"/>
  <c r="M36" i="1"/>
  <c r="N36" i="1"/>
  <c r="H37" i="1"/>
  <c r="I37" i="1" s="1"/>
  <c r="J37" i="1"/>
  <c r="M37" i="1"/>
  <c r="N37" i="1"/>
  <c r="H38" i="1"/>
  <c r="I38" i="1"/>
  <c r="J38" i="1"/>
  <c r="M38" i="1"/>
  <c r="N38" i="1"/>
  <c r="H39" i="1"/>
  <c r="I39" i="1" s="1"/>
  <c r="J39" i="1"/>
  <c r="M39" i="1"/>
  <c r="N39" i="1"/>
  <c r="H40" i="1"/>
  <c r="I40" i="1" s="1"/>
  <c r="J40" i="1"/>
  <c r="M40" i="1"/>
  <c r="N40" i="1"/>
  <c r="H41" i="1"/>
  <c r="I41" i="1"/>
  <c r="J41" i="1"/>
  <c r="M41" i="1"/>
  <c r="N41" i="1"/>
  <c r="H42" i="1"/>
  <c r="I42" i="1"/>
  <c r="J42" i="1"/>
  <c r="M42" i="1"/>
  <c r="N42" i="1"/>
  <c r="H43" i="1"/>
  <c r="I43" i="1"/>
  <c r="J43" i="1"/>
  <c r="M43" i="1"/>
  <c r="N43" i="1"/>
  <c r="H44" i="1"/>
  <c r="I44" i="1"/>
  <c r="J44" i="1"/>
  <c r="M44" i="1"/>
  <c r="N44" i="1" s="1"/>
  <c r="H45" i="1"/>
  <c r="I45" i="1"/>
  <c r="J45" i="1"/>
  <c r="M45" i="1"/>
  <c r="N45" i="1"/>
  <c r="H46" i="1"/>
  <c r="I46" i="1"/>
  <c r="J46" i="1"/>
  <c r="M46" i="1"/>
  <c r="N46" i="1" s="1"/>
  <c r="H47" i="1"/>
  <c r="I47" i="1"/>
  <c r="J47" i="1"/>
  <c r="M47" i="1"/>
  <c r="N47" i="1"/>
  <c r="H48" i="1"/>
  <c r="I48" i="1"/>
  <c r="J48" i="1"/>
  <c r="M48" i="1"/>
  <c r="N48" i="1"/>
  <c r="H49" i="1"/>
  <c r="I49" i="1" s="1"/>
  <c r="J49" i="1"/>
  <c r="M49" i="1"/>
  <c r="N49" i="1"/>
  <c r="H50" i="1"/>
  <c r="I50" i="1"/>
  <c r="J50" i="1"/>
  <c r="M50" i="1"/>
  <c r="N50" i="1"/>
  <c r="H51" i="1"/>
  <c r="I51" i="1" s="1"/>
  <c r="J51" i="1"/>
  <c r="M51" i="1"/>
  <c r="N51" i="1" s="1"/>
  <c r="H52" i="1"/>
  <c r="I52" i="1"/>
  <c r="J52" i="1"/>
  <c r="M52" i="1"/>
  <c r="N52" i="1"/>
  <c r="H53" i="1"/>
  <c r="I53" i="1"/>
  <c r="J53" i="1"/>
  <c r="M53" i="1"/>
  <c r="N53" i="1" s="1"/>
  <c r="H54" i="1"/>
  <c r="I54" i="1"/>
  <c r="J54" i="1"/>
  <c r="M54" i="1"/>
  <c r="N54" i="1" s="1"/>
  <c r="H55" i="1"/>
  <c r="I55" i="1"/>
  <c r="J55" i="1"/>
  <c r="M55" i="1"/>
  <c r="N55" i="1"/>
  <c r="H56" i="1"/>
  <c r="I56" i="1" s="1"/>
  <c r="J56" i="1"/>
  <c r="M56" i="1"/>
  <c r="N56" i="1" s="1"/>
  <c r="H57" i="1"/>
  <c r="I57" i="1"/>
  <c r="J57" i="1"/>
  <c r="M57" i="1"/>
  <c r="N57" i="1" s="1"/>
  <c r="H58" i="1"/>
  <c r="I58" i="1" s="1"/>
  <c r="J58" i="1"/>
  <c r="M58" i="1"/>
  <c r="N58" i="1"/>
  <c r="H59" i="1"/>
  <c r="I59" i="1" s="1"/>
  <c r="J59" i="1"/>
  <c r="M59" i="1"/>
  <c r="N59" i="1"/>
  <c r="H60" i="1"/>
  <c r="I60" i="1"/>
  <c r="J60" i="1"/>
  <c r="M60" i="1"/>
  <c r="N60" i="1"/>
  <c r="H61" i="1"/>
  <c r="I61" i="1" s="1"/>
  <c r="J61" i="1"/>
  <c r="M61" i="1"/>
  <c r="N61" i="1"/>
  <c r="H62" i="1"/>
  <c r="I62" i="1" s="1"/>
  <c r="J62" i="1"/>
  <c r="M62" i="1"/>
  <c r="N62" i="1"/>
  <c r="H63" i="1"/>
  <c r="I63" i="1"/>
  <c r="J63" i="1"/>
  <c r="M63" i="1"/>
  <c r="N63" i="1"/>
  <c r="H64" i="1"/>
  <c r="I64" i="1"/>
  <c r="J64" i="1"/>
  <c r="M64" i="1"/>
  <c r="N64" i="1"/>
  <c r="H65" i="1"/>
  <c r="I65" i="1"/>
  <c r="J65" i="1"/>
  <c r="M65" i="1"/>
  <c r="N65" i="1"/>
  <c r="H66" i="1"/>
  <c r="I66" i="1"/>
  <c r="J66" i="1"/>
  <c r="M66" i="1"/>
  <c r="N66" i="1" s="1"/>
  <c r="H67" i="1"/>
  <c r="I67" i="1"/>
  <c r="J67" i="1"/>
  <c r="M67" i="1"/>
  <c r="N67" i="1"/>
  <c r="H68" i="1"/>
  <c r="I68" i="1"/>
  <c r="J68" i="1"/>
  <c r="M68" i="1"/>
  <c r="N68" i="1" s="1"/>
  <c r="H69" i="1"/>
  <c r="I69" i="1"/>
  <c r="J69" i="1"/>
  <c r="M69" i="1"/>
  <c r="N69" i="1"/>
  <c r="H70" i="1"/>
  <c r="I70" i="1"/>
  <c r="J70" i="1"/>
  <c r="M70" i="1"/>
  <c r="N70" i="1"/>
  <c r="H71" i="1"/>
  <c r="I71" i="1" s="1"/>
  <c r="J71" i="1"/>
  <c r="M71" i="1"/>
  <c r="N71" i="1"/>
  <c r="H72" i="1"/>
  <c r="I72" i="1"/>
  <c r="J72" i="1"/>
  <c r="M72" i="1"/>
  <c r="N72" i="1"/>
  <c r="H73" i="1"/>
  <c r="I73" i="1" s="1"/>
  <c r="J73" i="1"/>
  <c r="M73" i="1"/>
  <c r="N73" i="1" s="1"/>
  <c r="H74" i="1"/>
  <c r="I74" i="1"/>
  <c r="J74" i="1"/>
  <c r="M74" i="1"/>
  <c r="N74" i="1"/>
  <c r="H75" i="1"/>
  <c r="I75" i="1"/>
  <c r="M75" i="1"/>
  <c r="N75" i="1" s="1"/>
  <c r="H76" i="1"/>
  <c r="I76" i="1"/>
  <c r="M76" i="1"/>
  <c r="N76" i="1"/>
  <c r="H77" i="1"/>
  <c r="I77" i="1" s="1"/>
  <c r="M77" i="1"/>
  <c r="N77" i="1"/>
  <c r="H78" i="1"/>
  <c r="I78" i="1" s="1"/>
  <c r="M78" i="1"/>
  <c r="N78" i="1"/>
  <c r="H79" i="1"/>
  <c r="I79" i="1"/>
  <c r="M79" i="1"/>
  <c r="N79" i="1" s="1"/>
  <c r="H80" i="1"/>
  <c r="I80" i="1"/>
  <c r="M80" i="1"/>
  <c r="N80" i="1"/>
  <c r="H81" i="1"/>
  <c r="I81" i="1" s="1"/>
  <c r="M81" i="1"/>
  <c r="N81" i="1"/>
  <c r="H82" i="1"/>
  <c r="I82" i="1"/>
  <c r="M82" i="1"/>
  <c r="N82" i="1" s="1"/>
  <c r="H83" i="1"/>
  <c r="I83" i="1"/>
  <c r="M83" i="1"/>
  <c r="N83" i="1" s="1"/>
  <c r="H84" i="1"/>
  <c r="I84" i="1"/>
  <c r="M84" i="1"/>
  <c r="N84" i="1"/>
  <c r="H85" i="1"/>
  <c r="I85" i="1" s="1"/>
  <c r="M85" i="1"/>
  <c r="N85" i="1"/>
  <c r="H86" i="1"/>
  <c r="I86" i="1"/>
  <c r="M86" i="1"/>
  <c r="N86" i="1" s="1"/>
  <c r="H87" i="1"/>
  <c r="I87" i="1"/>
  <c r="M87" i="1"/>
  <c r="N87" i="1"/>
  <c r="H88" i="1"/>
  <c r="I88" i="1" s="1"/>
  <c r="M88" i="1"/>
  <c r="N88" i="1"/>
  <c r="H89" i="1"/>
  <c r="I89" i="1" s="1"/>
  <c r="M89" i="1"/>
  <c r="N89" i="1"/>
  <c r="H90" i="1"/>
  <c r="I90" i="1"/>
  <c r="M90" i="1"/>
  <c r="N90" i="1" s="1"/>
  <c r="H91" i="1"/>
  <c r="I91" i="1"/>
  <c r="M91" i="1"/>
  <c r="N91" i="1"/>
  <c r="H92" i="1"/>
  <c r="I92" i="1" s="1"/>
  <c r="M92" i="1"/>
  <c r="N92" i="1"/>
  <c r="H93" i="1"/>
  <c r="I93" i="1"/>
  <c r="M93" i="1"/>
  <c r="N93" i="1" s="1"/>
  <c r="H94" i="1"/>
  <c r="I94" i="1"/>
  <c r="M94" i="1"/>
  <c r="N94" i="1" s="1"/>
  <c r="H95" i="1"/>
  <c r="I95" i="1"/>
  <c r="M95" i="1"/>
  <c r="N95" i="1"/>
  <c r="H96" i="1"/>
  <c r="I96" i="1" s="1"/>
  <c r="M96" i="1"/>
  <c r="N96" i="1"/>
  <c r="H97" i="1"/>
  <c r="I97" i="1"/>
  <c r="M97" i="1"/>
  <c r="N97" i="1" s="1"/>
  <c r="H98" i="1"/>
  <c r="I98" i="1"/>
  <c r="M98" i="1"/>
  <c r="N98" i="1"/>
  <c r="H99" i="1"/>
  <c r="I99" i="1" s="1"/>
  <c r="M99" i="1"/>
  <c r="N99" i="1"/>
  <c r="H100" i="1"/>
  <c r="I100" i="1" s="1"/>
  <c r="M100" i="1"/>
  <c r="N100" i="1"/>
  <c r="H101" i="1"/>
  <c r="I101" i="1"/>
  <c r="M101" i="1"/>
  <c r="N101" i="1" s="1"/>
  <c r="H102" i="1"/>
  <c r="I102" i="1"/>
  <c r="M102" i="1"/>
  <c r="N102" i="1"/>
  <c r="H103" i="1"/>
  <c r="I103" i="1" s="1"/>
  <c r="M103" i="1"/>
  <c r="N103" i="1"/>
  <c r="H104" i="1"/>
  <c r="I104" i="1"/>
  <c r="M104" i="1"/>
  <c r="N104" i="1" s="1"/>
  <c r="H105" i="1"/>
  <c r="I105" i="1"/>
  <c r="M105" i="1"/>
  <c r="N105" i="1" s="1"/>
  <c r="H106" i="1"/>
  <c r="I106" i="1"/>
  <c r="M106" i="1"/>
  <c r="N106" i="1"/>
  <c r="H107" i="1"/>
  <c r="I107" i="1" s="1"/>
  <c r="M107" i="1"/>
  <c r="N107" i="1"/>
  <c r="H108" i="1"/>
  <c r="I108" i="1"/>
  <c r="M108" i="1"/>
  <c r="N108" i="1" s="1"/>
  <c r="H109" i="1"/>
  <c r="I109" i="1"/>
  <c r="M109" i="1"/>
  <c r="N109" i="1"/>
  <c r="H110" i="1"/>
  <c r="I110" i="1" s="1"/>
  <c r="M110" i="1"/>
  <c r="N110" i="1"/>
  <c r="H111" i="1"/>
  <c r="I111" i="1" s="1"/>
  <c r="M111" i="1"/>
  <c r="N111" i="1"/>
  <c r="H112" i="1"/>
  <c r="I112" i="1"/>
  <c r="M112" i="1"/>
  <c r="N112" i="1" s="1"/>
  <c r="H113" i="1"/>
  <c r="I113" i="1"/>
  <c r="M113" i="1"/>
  <c r="N113" i="1"/>
  <c r="H114" i="1"/>
  <c r="I114" i="1" s="1"/>
  <c r="M114" i="1"/>
  <c r="N114" i="1"/>
  <c r="H115" i="1"/>
  <c r="I115" i="1"/>
  <c r="M115" i="1"/>
  <c r="N115" i="1" s="1"/>
</calcChain>
</file>

<file path=xl/sharedStrings.xml><?xml version="1.0" encoding="utf-8"?>
<sst xmlns="http://schemas.openxmlformats.org/spreadsheetml/2006/main" count="180" uniqueCount="178">
  <si>
    <t>12/05/2020 1000</t>
  </si>
  <si>
    <t>12/04/2020 1700</t>
  </si>
  <si>
    <t>12/03/2020 1630</t>
  </si>
  <si>
    <t>12/02/2020 1700</t>
  </si>
  <si>
    <t>12/01/2020 1700</t>
  </si>
  <si>
    <t>11/30/2020 1700</t>
  </si>
  <si>
    <t>11/29/2020 1730</t>
  </si>
  <si>
    <t>11/28/2020 1700</t>
  </si>
  <si>
    <t>11/27/2020 1700</t>
  </si>
  <si>
    <t>11/26/2020 1630</t>
  </si>
  <si>
    <t>11/25/2020 1700</t>
  </si>
  <si>
    <t>11/24/2020 1730</t>
  </si>
  <si>
    <t>11/23/2020 1700</t>
  </si>
  <si>
    <t>11/22/2020 1715</t>
  </si>
  <si>
    <t>11/21/2020 1630</t>
  </si>
  <si>
    <t>11/20/2020 1715</t>
  </si>
  <si>
    <t>11/19/2020 1715</t>
  </si>
  <si>
    <t>11/18/2020 1730</t>
  </si>
  <si>
    <t>11/17/2020 1700</t>
  </si>
  <si>
    <t>11/16/2020 1630</t>
  </si>
  <si>
    <t>11/15/2020 1700</t>
  </si>
  <si>
    <t>11/14/2020 1700</t>
  </si>
  <si>
    <t>11/13/2020 1730</t>
  </si>
  <si>
    <t>11/12/2020 1700</t>
  </si>
  <si>
    <t>11/11/2020 1515</t>
  </si>
  <si>
    <t>11/10/2020 1730</t>
  </si>
  <si>
    <t>11/09/2020 1745</t>
  </si>
  <si>
    <t>11/08/2020 1600</t>
  </si>
  <si>
    <t>11/07/2020 1600</t>
  </si>
  <si>
    <t>11/06/2020 1700</t>
  </si>
  <si>
    <t>11/05/2020 1700</t>
  </si>
  <si>
    <t>11/04/2020 1730</t>
  </si>
  <si>
    <t>11/03/2020 1700</t>
  </si>
  <si>
    <t>11/02/2020 1700</t>
  </si>
  <si>
    <t>11/01/2020 1645</t>
  </si>
  <si>
    <t>10/31/2020 1800</t>
  </si>
  <si>
    <t>10/30/2020 1700</t>
  </si>
  <si>
    <t>10/29/2020 1700</t>
  </si>
  <si>
    <t>10/28/2020 1800</t>
  </si>
  <si>
    <t>10/27/2020 1730</t>
  </si>
  <si>
    <t>10/26/2020 1630</t>
  </si>
  <si>
    <t>10/25/2020 1700</t>
  </si>
  <si>
    <t>10/24/2020 1730</t>
  </si>
  <si>
    <t>2120 MDT
10/23/2020</t>
  </si>
  <si>
    <t>10/23/2020 1700</t>
  </si>
  <si>
    <t>10/22/2020 1730</t>
  </si>
  <si>
    <t>2100 MDT
10/21/2020</t>
  </si>
  <si>
    <t>10/21/2020 1730</t>
  </si>
  <si>
    <t>10/20/2020 1700</t>
  </si>
  <si>
    <t>0030 MDT
10/20/2020</t>
  </si>
  <si>
    <t>10/19/2020 1700</t>
  </si>
  <si>
    <t>2000 MDT
10/18/2020</t>
  </si>
  <si>
    <t>10/18/2020 1700</t>
  </si>
  <si>
    <t>2147 MDT
10/17/2020</t>
  </si>
  <si>
    <t>10/17/2020 1730</t>
  </si>
  <si>
    <t>2200 MDT
10/16/2020</t>
  </si>
  <si>
    <t>10/16/2020 1730</t>
  </si>
  <si>
    <t>2158 MDT
10/15/2020</t>
  </si>
  <si>
    <t>10/15/2020 1730</t>
  </si>
  <si>
    <t>1951 MDT
10/14/2020</t>
  </si>
  <si>
    <t>10/14/2020 1730</t>
  </si>
  <si>
    <t>1946 MDT
10/13/2020</t>
  </si>
  <si>
    <t>10/13/2020 1800</t>
  </si>
  <si>
    <t>1946 MDT
10/12/2020</t>
  </si>
  <si>
    <t>10/12/2020 1800</t>
  </si>
  <si>
    <t>N/A</t>
  </si>
  <si>
    <t>2200 MDT
10/11/2020</t>
  </si>
  <si>
    <t>10/11/2020 1800</t>
  </si>
  <si>
    <t>2000 10/10/2020</t>
  </si>
  <si>
    <t>10/10/2020 1630</t>
  </si>
  <si>
    <t>2115 10/09/2020</t>
  </si>
  <si>
    <t>10/09/2020 1745</t>
  </si>
  <si>
    <t>2055 10/08/2020</t>
  </si>
  <si>
    <t>10/08/2020 1800</t>
  </si>
  <si>
    <t>0115 10/08/2020</t>
  </si>
  <si>
    <t>10/07/2020 1600</t>
  </si>
  <si>
    <t>2130 10/06/2020</t>
  </si>
  <si>
    <t>10/06/2020 1600</t>
  </si>
  <si>
    <t>2330 10/05/2020</t>
  </si>
  <si>
    <t>10/05/2020 1800</t>
  </si>
  <si>
    <t>2230 10/04/2020</t>
  </si>
  <si>
    <t>10/04/2020 1800</t>
  </si>
  <si>
    <t>2205 10/03/2020</t>
  </si>
  <si>
    <t>10/03/2020 1800</t>
  </si>
  <si>
    <t>2200 10/02/2020</t>
  </si>
  <si>
    <t>10/02/2020 1700</t>
  </si>
  <si>
    <t>2150 10/01/2020</t>
  </si>
  <si>
    <t>10/01/2020 1730</t>
  </si>
  <si>
    <t>2129 9/30/2020</t>
  </si>
  <si>
    <t>09/30/2020 1745</t>
  </si>
  <si>
    <t>2139 09/29/2020</t>
  </si>
  <si>
    <t>09/29/2020 1800</t>
  </si>
  <si>
    <t>2144 09/28//2020</t>
  </si>
  <si>
    <t>09/28/2020 1730</t>
  </si>
  <si>
    <t>09/27/2020 1545</t>
  </si>
  <si>
    <t>2316 09/26/2020</t>
  </si>
  <si>
    <t>09/26/2020 1615</t>
  </si>
  <si>
    <t>09/25/2020 1715</t>
  </si>
  <si>
    <t>2133 9/24/2020</t>
  </si>
  <si>
    <t>09/24/2020 0915</t>
  </si>
  <si>
    <t>2022 9/23/2020</t>
  </si>
  <si>
    <t>09/23/2020 1115</t>
  </si>
  <si>
    <t>09/22/2020 1715</t>
  </si>
  <si>
    <t>09/21/2020 0900</t>
  </si>
  <si>
    <t>09/20/2020 1815</t>
  </si>
  <si>
    <t>09/19/2020 1700</t>
  </si>
  <si>
    <t>09/18/2020 1800</t>
  </si>
  <si>
    <t>09/17/2020 1945</t>
  </si>
  <si>
    <t>09/16/2020 1815</t>
  </si>
  <si>
    <t>09/15/2020 1715</t>
  </si>
  <si>
    <t>09/14/2020 1715</t>
  </si>
  <si>
    <t>09/13/2020 1730</t>
  </si>
  <si>
    <t>09/12/2020 1715</t>
  </si>
  <si>
    <t>09/11/2020 1715</t>
  </si>
  <si>
    <t>09/10/2020 1600</t>
  </si>
  <si>
    <t>102596 
102596</t>
  </si>
  <si>
    <t>09/09/2020 1630</t>
  </si>
  <si>
    <t>09/08/2020 1730</t>
  </si>
  <si>
    <t>1852 09/07/2020</t>
  </si>
  <si>
    <t>09/07/2020 1645</t>
  </si>
  <si>
    <t>0027 09/07/2020</t>
  </si>
  <si>
    <t>37765 
40813</t>
  </si>
  <si>
    <t>09/06/2020 1745</t>
  </si>
  <si>
    <t>0053 9/06/2020</t>
  </si>
  <si>
    <t>09/05/2020 1745</t>
  </si>
  <si>
    <t>0053 09/05/2020</t>
  </si>
  <si>
    <t>09/04/2020 1630</t>
  </si>
  <si>
    <t>0002 09/04/2020</t>
  </si>
  <si>
    <t>09/03/2020 1600</t>
  </si>
  <si>
    <t>2110 9/02/2020</t>
  </si>
  <si>
    <t>09/02/2020 1645</t>
  </si>
  <si>
    <t>0046 9/02/2020</t>
  </si>
  <si>
    <t>09/01/2020 1645</t>
  </si>
  <si>
    <t>08/31/2020 1730</t>
  </si>
  <si>
    <t>0008 8/31/2020</t>
  </si>
  <si>
    <t>08/30/2020 1715</t>
  </si>
  <si>
    <t>2352 8/29/2020</t>
  </si>
  <si>
    <t>08/29/2020 1730</t>
  </si>
  <si>
    <t>0009 8/29/2020</t>
  </si>
  <si>
    <t>08/28/2020 1730</t>
  </si>
  <si>
    <t>2259 8/27/2020</t>
  </si>
  <si>
    <t>08/27/2020 1700</t>
  </si>
  <si>
    <t>2232 8/26/2020</t>
  </si>
  <si>
    <t>08/26/2020 1700</t>
  </si>
  <si>
    <t>08/25/2020 1600</t>
  </si>
  <si>
    <t>2126 8/24/2020</t>
  </si>
  <si>
    <t>08/24/2020 1730</t>
  </si>
  <si>
    <t>2136 8/23/2020</t>
  </si>
  <si>
    <t>08/23/2020 1630</t>
  </si>
  <si>
    <t>2119 8/22/2020</t>
  </si>
  <si>
    <t>08/22/2020 1700</t>
  </si>
  <si>
    <t>2147 8/21/2020</t>
  </si>
  <si>
    <t>08/21/2020 1715</t>
  </si>
  <si>
    <t>2305 8/20/2020</t>
  </si>
  <si>
    <t>08/20/2020 1600</t>
  </si>
  <si>
    <t>2236 8/19/2020</t>
  </si>
  <si>
    <t>08/19/2020 1700</t>
  </si>
  <si>
    <t>0036 8/19/2020</t>
  </si>
  <si>
    <t>08/18/2020 1215</t>
  </si>
  <si>
    <t>2200 8/17/2020</t>
  </si>
  <si>
    <t>08/17/2020 1615</t>
  </si>
  <si>
    <t>08/16/2020 1645</t>
  </si>
  <si>
    <t>08/14/2020 1915</t>
  </si>
  <si>
    <t>08/13/2020 2200</t>
  </si>
  <si>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</si>
  <si>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</si>
  <si>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</si>
  <si>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</si>
  <si>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</si>
  <si>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</si>
  <si>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</si>
  <si>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IR size</t>
  </si>
  <si>
    <t>IR time</t>
  </si>
  <si>
    <t>Final Prog</t>
  </si>
  <si>
    <t>ICS-209 cost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</si>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</sst>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 applyAlignment="1">
      <alignment horizontal="right"/>
    </xf>
    <xf numFmtId="0" fontId="3" fillId="0" borderId="0" xfId="0" applyFont="1"/>
    <xf numFmtId="164" fontId="1" fillId="4" borderId="0" xfId="0" applyNumberFormat="1" applyFont="1" applyFill="1"/>
    <xf numFmtId="164" fontId="1" fillId="5" borderId="0" xfId="0" applyNumberFormat="1" applyFont="1" applyFill="1"/>
    <xf numFmtId="0" fontId="3" fillId="2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wrapText="1"/>
    </xf>
    <xf numFmtId="0" fontId="1" fillId="6" borderId="0" xfId="0" applyFont="1" applyFill="1" applyAlignment="1">
      <alignment wrapText="1"/>
    </xf>
    <xf numFmtId="0" fontId="2" fillId="6" borderId="0" xfId="0" applyFont="1" applyFill="1"/>
    <xf numFmtId="0" fontId="1" fillId="6" borderId="0" xfId="0" applyFont="1" applyFill="1" applyAlignment="1">
      <alignment vertical="top"/>
    </xf>
    <xf numFmtId="3" fontId="1" fillId="6" borderId="0" xfId="0" applyNumberFormat="1" applyFont="1" applyFill="1" applyAlignment="1">
      <alignment wrapText="1"/>
    </xf>
    <xf numFmtId="14" fontId="1" fillId="6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3" fontId="1" fillId="2" borderId="0" xfId="0" applyNumberFormat="1" applyFont="1" applyFill="1" applyAlignment="1">
      <alignment wrapText="1"/>
    </xf>
    <xf numFmtId="165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50C0-5E01-43DB-8BBD-4C0165DB8B25}">
  <sheetPr>
    <outlinePr summaryBelow="0" summaryRight="0"/>
  </sheetPr>
  <dimension ref="A1:AC1000"/>
  <sheetViews>
    <sheetView tabSelected="1" topLeftCell="A92" workbookViewId="0">
      <pane xSplit="1" topLeftCell="B1" activePane="topRight" state="frozen"/>
      <selection pane="topRight" activeCell="H2" sqref="H2:I115"/>
    </sheetView>
  </sheetViews>
  <sheetFormatPr defaultColWidth="12.5703125" defaultRowHeight="15" customHeight="1" x14ac:dyDescent="0.25"/>
  <sheetData>
    <row r="1" spans="1:16" ht="39" x14ac:dyDescent="0.25">
      <c r="A1" s="13" t="s">
        <v>177</v>
      </c>
      <c r="B1" s="13" t="s">
        <v>176</v>
      </c>
      <c r="C1" s="13" t="s">
        <v>175</v>
      </c>
      <c r="D1" s="13" t="s">
        <v>174</v>
      </c>
      <c r="E1" s="13" t="s">
        <v>173</v>
      </c>
      <c r="F1" s="13" t="s">
        <v>172</v>
      </c>
      <c r="G1" s="13" t="s">
        <v>171</v>
      </c>
      <c r="H1" s="2" t="s">
        <v>170</v>
      </c>
      <c r="I1" s="2" t="s">
        <v>169</v>
      </c>
      <c r="J1" s="2" t="s">
        <v>168</v>
      </c>
      <c r="K1" s="19" t="s">
        <v>167</v>
      </c>
      <c r="L1" s="1" t="s">
        <v>166</v>
      </c>
      <c r="M1" s="28" t="s">
        <v>165</v>
      </c>
      <c r="N1" s="27" t="s">
        <v>164</v>
      </c>
    </row>
    <row r="2" spans="1:16" ht="15" customHeight="1" x14ac:dyDescent="0.25">
      <c r="A2" s="24">
        <v>44056</v>
      </c>
      <c r="B2" s="13">
        <v>1</v>
      </c>
      <c r="C2" s="13">
        <v>1537</v>
      </c>
      <c r="D2" s="13"/>
      <c r="E2" s="21">
        <v>1457</v>
      </c>
      <c r="F2" s="20"/>
      <c r="G2" s="20"/>
      <c r="H2" s="12">
        <f>K2</f>
        <v>1457</v>
      </c>
      <c r="I2" s="12">
        <f>114/$K$114*(H2)</f>
        <v>0.79601079252191331</v>
      </c>
      <c r="J2" s="12">
        <f>$B$75/SQRT($K$75)*(SQRT(K3)-SQRT(K2))</f>
        <v>4.5070617611220563</v>
      </c>
      <c r="K2" s="23">
        <v>1457</v>
      </c>
      <c r="L2" s="11">
        <v>50000</v>
      </c>
      <c r="M2" s="10">
        <f>L2*'[1]Inflation Rates by Year'!$D$2</f>
        <v>57216.456000000006</v>
      </c>
      <c r="N2" s="9">
        <f>M2/K2</f>
        <v>39.270045298558685</v>
      </c>
      <c r="O2" s="8" t="s">
        <v>163</v>
      </c>
      <c r="P2" s="7">
        <v>50000</v>
      </c>
    </row>
    <row r="3" spans="1:16" ht="15" customHeight="1" x14ac:dyDescent="0.25">
      <c r="A3" s="24">
        <v>44057</v>
      </c>
      <c r="B3" s="13">
        <v>2</v>
      </c>
      <c r="C3" s="13">
        <v>5100</v>
      </c>
      <c r="D3" s="13"/>
      <c r="E3" s="21">
        <v>4355</v>
      </c>
      <c r="F3" s="20"/>
      <c r="G3" s="20"/>
      <c r="H3" s="12">
        <f>K3-K2</f>
        <v>2898</v>
      </c>
      <c r="I3" s="12">
        <f>114/$K$114*(H3)</f>
        <v>1.5832802173840115</v>
      </c>
      <c r="J3" s="12">
        <f>$B$75/SQRT($K$75)*(SQRT(K4)-SQRT(K3))</f>
        <v>1.5945316157150315</v>
      </c>
      <c r="K3" s="23">
        <v>4355</v>
      </c>
      <c r="L3" s="11">
        <v>0</v>
      </c>
      <c r="M3" s="10">
        <f>L3*'[1]Inflation Rates by Year'!$D$2</f>
        <v>0</v>
      </c>
      <c r="N3" s="9">
        <f>M3/K3</f>
        <v>0</v>
      </c>
      <c r="O3" s="8" t="s">
        <v>162</v>
      </c>
      <c r="P3" s="7">
        <v>0</v>
      </c>
    </row>
    <row r="4" spans="1:16" ht="15" customHeight="1" x14ac:dyDescent="0.25">
      <c r="A4" s="24">
        <v>44058</v>
      </c>
      <c r="B4" s="13">
        <v>3</v>
      </c>
      <c r="C4" s="13">
        <v>5761</v>
      </c>
      <c r="D4" s="13"/>
      <c r="E4" s="21">
        <v>5751</v>
      </c>
      <c r="F4" s="20"/>
      <c r="G4" s="20"/>
      <c r="H4" s="12">
        <f>K4-K3</f>
        <v>1396</v>
      </c>
      <c r="I4" s="12">
        <f>114/$K$114*(H4)</f>
        <v>0.76268432831886823</v>
      </c>
      <c r="J4" s="12">
        <f>$B$75/SQRT($K$75)*(SQRT(K5)-SQRT(K4))</f>
        <v>4.9620899009696062</v>
      </c>
      <c r="K4" s="23">
        <v>5751</v>
      </c>
      <c r="L4" s="11">
        <v>1100000</v>
      </c>
      <c r="M4" s="10">
        <f>L4*'[1]Inflation Rates by Year'!$D$2</f>
        <v>1258762.0320000001</v>
      </c>
      <c r="N4" s="9">
        <f>M4/K4</f>
        <v>218.87707042253524</v>
      </c>
      <c r="O4" s="8" t="s">
        <v>161</v>
      </c>
      <c r="P4" s="7">
        <v>1100000</v>
      </c>
    </row>
    <row r="5" spans="1:16" ht="15" customHeight="1" x14ac:dyDescent="0.25">
      <c r="A5" s="24">
        <v>44059</v>
      </c>
      <c r="B5" s="13">
        <v>4</v>
      </c>
      <c r="C5" s="13">
        <v>12124</v>
      </c>
      <c r="D5" s="13"/>
      <c r="E5" s="21">
        <v>11335</v>
      </c>
      <c r="F5" s="20"/>
      <c r="G5" s="20"/>
      <c r="H5" s="12">
        <f>K5-K4</f>
        <v>5584</v>
      </c>
      <c r="I5" s="12">
        <f>114/$K$114*(H5)</f>
        <v>3.0507373132754729</v>
      </c>
      <c r="J5" s="12">
        <f>$B$75/SQRT($K$75)*(SQRT(K6)-SQRT(K5))</f>
        <v>1.9329050681405704</v>
      </c>
      <c r="K5" s="23">
        <v>11335</v>
      </c>
      <c r="L5" s="11">
        <v>1937000</v>
      </c>
      <c r="M5" s="10">
        <f>L5*'[1]Inflation Rates by Year'!$D$2</f>
        <v>2216565.50544</v>
      </c>
      <c r="N5" s="9">
        <f>M5/K5</f>
        <v>195.55055186943096</v>
      </c>
      <c r="O5" s="8" t="s">
        <v>160</v>
      </c>
      <c r="P5" s="7">
        <v>1937000</v>
      </c>
    </row>
    <row r="6" spans="1:16" ht="15" customHeight="1" x14ac:dyDescent="0.25">
      <c r="A6" s="24">
        <v>44060</v>
      </c>
      <c r="B6" s="13">
        <v>5</v>
      </c>
      <c r="C6" s="13">
        <v>12323</v>
      </c>
      <c r="D6" s="13"/>
      <c r="E6" s="21">
        <v>14026</v>
      </c>
      <c r="F6" s="13" t="s">
        <v>159</v>
      </c>
      <c r="G6" s="21">
        <v>14018</v>
      </c>
      <c r="H6" s="12">
        <f>K6-K5</f>
        <v>2683</v>
      </c>
      <c r="I6" s="12">
        <f>114/$K$114*(H6)</f>
        <v>1.4658180894552459</v>
      </c>
      <c r="J6" s="12">
        <f>$B$75/SQRT($K$75)*(SQRT(K7)-SQRT(K6))</f>
        <v>1.1426593647292513</v>
      </c>
      <c r="K6" s="23">
        <v>14018</v>
      </c>
      <c r="L6" s="11">
        <v>2897000</v>
      </c>
      <c r="M6" s="10">
        <f>L6*'[1]Inflation Rates by Year'!$D$2</f>
        <v>3315121.4606400002</v>
      </c>
      <c r="N6" s="9">
        <f>M6/K6</f>
        <v>236.49033104865174</v>
      </c>
      <c r="O6" s="8" t="s">
        <v>158</v>
      </c>
      <c r="P6" s="7">
        <v>2897000</v>
      </c>
    </row>
    <row r="7" spans="1:16" ht="15" customHeight="1" x14ac:dyDescent="0.25">
      <c r="A7" s="24">
        <v>44061</v>
      </c>
      <c r="B7" s="13">
        <v>6</v>
      </c>
      <c r="C7" s="13">
        <v>14018</v>
      </c>
      <c r="D7" s="13"/>
      <c r="E7" s="20"/>
      <c r="F7" s="13" t="s">
        <v>157</v>
      </c>
      <c r="G7" s="21">
        <v>15738</v>
      </c>
      <c r="H7" s="12">
        <f>K7-K6</f>
        <v>1720</v>
      </c>
      <c r="I7" s="12">
        <f>114/$K$114*(H7)</f>
        <v>0.93969702343012418</v>
      </c>
      <c r="J7" s="12">
        <f>$B$75/SQRT($K$75)*(SQRT(K8)-SQRT(K7))</f>
        <v>0.46157096254811741</v>
      </c>
      <c r="K7" s="23">
        <v>15738</v>
      </c>
      <c r="L7" s="11">
        <v>3833895</v>
      </c>
      <c r="M7" s="10">
        <f>L7*'[1]Inflation Rates by Year'!$D$2</f>
        <v>4387237.6915223999</v>
      </c>
      <c r="N7" s="9">
        <f>M7/K7</f>
        <v>278.76716809775064</v>
      </c>
      <c r="O7" s="8" t="s">
        <v>156</v>
      </c>
      <c r="P7" s="7">
        <v>3833895</v>
      </c>
    </row>
    <row r="8" spans="1:16" ht="15" customHeight="1" x14ac:dyDescent="0.25">
      <c r="A8" s="24">
        <v>44062</v>
      </c>
      <c r="B8" s="13">
        <v>7</v>
      </c>
      <c r="C8" s="13">
        <v>15738</v>
      </c>
      <c r="D8" s="13"/>
      <c r="E8" s="21">
        <v>16449</v>
      </c>
      <c r="F8" s="13" t="s">
        <v>155</v>
      </c>
      <c r="G8" s="25">
        <v>16461</v>
      </c>
      <c r="H8" s="12">
        <f>K8-K7</f>
        <v>723</v>
      </c>
      <c r="I8" s="12">
        <f>114/$K$114*(H8)</f>
        <v>0.39500055112789523</v>
      </c>
      <c r="J8" s="12">
        <f>$B$75/SQRT($K$75)*(SQRT(K9)-SQRT(K8))</f>
        <v>8.1281598061049343E-2</v>
      </c>
      <c r="K8" s="23">
        <v>16461</v>
      </c>
      <c r="L8" s="11">
        <v>4743742</v>
      </c>
      <c r="M8" s="10">
        <f>L8*'[1]Inflation Rates by Year'!$D$2</f>
        <v>5428402.1083670408</v>
      </c>
      <c r="N8" s="9">
        <f>M8/K8</f>
        <v>329.77353188548938</v>
      </c>
      <c r="O8" s="8" t="s">
        <v>154</v>
      </c>
      <c r="P8" s="7">
        <v>4743742</v>
      </c>
    </row>
    <row r="9" spans="1:16" ht="15" customHeight="1" x14ac:dyDescent="0.25">
      <c r="A9" s="24">
        <v>44063</v>
      </c>
      <c r="B9" s="13">
        <v>8</v>
      </c>
      <c r="C9" s="13">
        <v>16461</v>
      </c>
      <c r="D9" s="13"/>
      <c r="E9" s="21">
        <v>16590</v>
      </c>
      <c r="F9" s="13" t="s">
        <v>153</v>
      </c>
      <c r="G9" s="21">
        <v>16602</v>
      </c>
      <c r="H9" s="12">
        <f>K9-K8</f>
        <v>129</v>
      </c>
      <c r="I9" s="12">
        <f>114/$K$114*(H9)</f>
        <v>7.0477276757259316E-2</v>
      </c>
      <c r="J9" s="12">
        <f>$B$75/SQRT($K$75)*(SQRT(K10)-SQRT(K9))</f>
        <v>0.39928069098497548</v>
      </c>
      <c r="K9" s="23">
        <v>16590</v>
      </c>
      <c r="L9" s="11">
        <v>5908527</v>
      </c>
      <c r="M9" s="10">
        <f>L9*'[1]Inflation Rates by Year'!$D$2</f>
        <v>6761299.5024062404</v>
      </c>
      <c r="N9" s="9">
        <f>M9/K9</f>
        <v>407.55271262243764</v>
      </c>
      <c r="O9" s="8" t="s">
        <v>152</v>
      </c>
      <c r="P9" s="7">
        <v>5908527</v>
      </c>
    </row>
    <row r="10" spans="1:16" ht="15" customHeight="1" x14ac:dyDescent="0.25">
      <c r="A10" s="24">
        <v>44064</v>
      </c>
      <c r="B10" s="13">
        <v>9</v>
      </c>
      <c r="C10" s="13">
        <v>16602</v>
      </c>
      <c r="D10" s="13"/>
      <c r="E10" s="21">
        <v>17231</v>
      </c>
      <c r="F10" s="13" t="s">
        <v>151</v>
      </c>
      <c r="G10" s="21">
        <v>17246</v>
      </c>
      <c r="H10" s="12">
        <f>K10-K9</f>
        <v>641</v>
      </c>
      <c r="I10" s="12">
        <f>114/$K$114*(H10)</f>
        <v>0.35020104187134277</v>
      </c>
      <c r="J10" s="12">
        <f>$B$75/SQRT($K$75)*(SQRT(K11)-SQRT(K10))</f>
        <v>0.63233544841953471</v>
      </c>
      <c r="K10" s="23">
        <v>17231</v>
      </c>
      <c r="L10" s="11">
        <v>7041751</v>
      </c>
      <c r="M10" s="10">
        <f>L10*'[1]Inflation Rates by Year'!$D$2</f>
        <v>8058080.7250891207</v>
      </c>
      <c r="N10" s="9">
        <f>M10/K10</f>
        <v>467.65020748007203</v>
      </c>
      <c r="O10" s="8" t="s">
        <v>150</v>
      </c>
      <c r="P10" s="7">
        <v>7041751</v>
      </c>
    </row>
    <row r="11" spans="1:16" ht="15" customHeight="1" x14ac:dyDescent="0.25">
      <c r="A11" s="24">
        <v>44065</v>
      </c>
      <c r="B11" s="13">
        <v>10</v>
      </c>
      <c r="C11" s="13">
        <v>17246</v>
      </c>
      <c r="D11" s="13"/>
      <c r="E11" s="21">
        <v>18271</v>
      </c>
      <c r="F11" s="13" t="s">
        <v>149</v>
      </c>
      <c r="G11" s="21">
        <v>18287</v>
      </c>
      <c r="H11" s="12">
        <f>K11-K10</f>
        <v>1040</v>
      </c>
      <c r="I11" s="12">
        <f>114/$K$114*(H11)</f>
        <v>0.5681888978879821</v>
      </c>
      <c r="J11" s="12">
        <f>$B$75/SQRT($K$75)*(SQRT(K12)-SQRT(K11))</f>
        <v>1.0738654173416682</v>
      </c>
      <c r="K11" s="23">
        <v>18271</v>
      </c>
      <c r="L11" s="11">
        <v>8248898</v>
      </c>
      <c r="M11" s="10">
        <f>L11*'[1]Inflation Rates by Year'!$D$2</f>
        <v>9439454.1893097609</v>
      </c>
      <c r="N11" s="9">
        <f>M11/K11</f>
        <v>516.63588141370269</v>
      </c>
      <c r="O11" s="8" t="s">
        <v>148</v>
      </c>
      <c r="P11" s="7">
        <v>8248898</v>
      </c>
    </row>
    <row r="12" spans="1:16" ht="15" customHeight="1" x14ac:dyDescent="0.25">
      <c r="A12" s="24">
        <v>44066</v>
      </c>
      <c r="B12" s="13">
        <v>11</v>
      </c>
      <c r="C12" s="13">
        <v>18287</v>
      </c>
      <c r="D12" s="13"/>
      <c r="E12" s="21">
        <v>20107</v>
      </c>
      <c r="F12" s="13" t="s">
        <v>147</v>
      </c>
      <c r="G12" s="21">
        <v>20118</v>
      </c>
      <c r="H12" s="12">
        <f>K12-K11</f>
        <v>1836</v>
      </c>
      <c r="I12" s="12">
        <f>114/$K$114*(H12)</f>
        <v>1.0030719389637837</v>
      </c>
      <c r="J12" s="12">
        <f>$B$75/SQRT($K$75)*(SQRT(K13)-SQRT(K12))</f>
        <v>0.50567829572227452</v>
      </c>
      <c r="K12" s="23">
        <v>20107</v>
      </c>
      <c r="L12" s="11">
        <v>9398708</v>
      </c>
      <c r="M12" s="10">
        <f>L12*'[1]Inflation Rates by Year'!$D$2</f>
        <v>10755215.25477696</v>
      </c>
      <c r="N12" s="9">
        <f>M12/K12</f>
        <v>534.89905280633411</v>
      </c>
      <c r="O12" s="8" t="s">
        <v>146</v>
      </c>
      <c r="P12" s="7">
        <v>9398708</v>
      </c>
    </row>
    <row r="13" spans="1:16" ht="15" customHeight="1" x14ac:dyDescent="0.25">
      <c r="A13" s="24">
        <v>44067</v>
      </c>
      <c r="B13" s="13">
        <v>12</v>
      </c>
      <c r="C13" s="13">
        <v>20118</v>
      </c>
      <c r="D13" s="13"/>
      <c r="E13" s="21">
        <v>21002</v>
      </c>
      <c r="F13" s="13" t="s">
        <v>145</v>
      </c>
      <c r="G13" s="21">
        <v>21017</v>
      </c>
      <c r="H13" s="12">
        <f>K13-K12</f>
        <v>895</v>
      </c>
      <c r="I13" s="12">
        <f>114/$K$114*(H13)</f>
        <v>0.48897025347090767</v>
      </c>
      <c r="J13" s="12">
        <f>$B$75/SQRT($K$75)*(SQRT(K14)-SQRT(K13))</f>
        <v>0.8891689429020383</v>
      </c>
      <c r="K13" s="23">
        <v>21002</v>
      </c>
      <c r="L13" s="11">
        <v>10521743</v>
      </c>
      <c r="M13" s="10">
        <f>L13*'[1]Inflation Rates by Year'!$D$2</f>
        <v>12040336.90805616</v>
      </c>
      <c r="N13" s="9">
        <f>M13/K13</f>
        <v>573.29477707152466</v>
      </c>
      <c r="O13" s="8" t="s">
        <v>144</v>
      </c>
      <c r="P13" s="7">
        <v>10521743</v>
      </c>
    </row>
    <row r="14" spans="1:16" ht="15" customHeight="1" x14ac:dyDescent="0.25">
      <c r="A14" s="24">
        <v>44068</v>
      </c>
      <c r="B14" s="13">
        <v>13</v>
      </c>
      <c r="C14" s="13">
        <v>21017</v>
      </c>
      <c r="D14" s="13"/>
      <c r="E14" s="21">
        <v>22623</v>
      </c>
      <c r="F14" s="20"/>
      <c r="G14" s="20"/>
      <c r="H14" s="12">
        <f>K14-K13</f>
        <v>1621</v>
      </c>
      <c r="I14" s="12">
        <f>114/$K$114*(H14)</f>
        <v>0.88560981103501824</v>
      </c>
      <c r="J14" s="12">
        <f>$B$75/SQRT($K$75)*(SQRT(K15)-SQRT(K14))</f>
        <v>0.109075937224531</v>
      </c>
      <c r="K14" s="19">
        <v>22623</v>
      </c>
      <c r="L14" s="11">
        <v>11500000</v>
      </c>
      <c r="M14" s="10">
        <f>L14*'[1]Inflation Rates by Year'!$D$2</f>
        <v>13159784.880000001</v>
      </c>
      <c r="N14" s="9">
        <f>M14/K14</f>
        <v>581.69937143614914</v>
      </c>
      <c r="O14" s="8" t="s">
        <v>143</v>
      </c>
      <c r="P14" s="7">
        <v>11500000</v>
      </c>
    </row>
    <row r="15" spans="1:16" ht="15" customHeight="1" x14ac:dyDescent="0.25">
      <c r="A15" s="24">
        <v>44069</v>
      </c>
      <c r="B15" s="13">
        <v>14</v>
      </c>
      <c r="C15" s="13">
        <v>22654</v>
      </c>
      <c r="D15" s="13"/>
      <c r="E15" s="21">
        <v>22826</v>
      </c>
      <c r="F15" s="13" t="s">
        <v>142</v>
      </c>
      <c r="G15" s="21">
        <v>22845</v>
      </c>
      <c r="H15" s="12">
        <f>K15-K14</f>
        <v>203</v>
      </c>
      <c r="I15" s="12">
        <f>114/$K$114*(H15)</f>
        <v>0.11090610218390419</v>
      </c>
      <c r="J15" s="12">
        <f>$B$75/SQRT($K$75)*(SQRT(K16)-SQRT(K15))</f>
        <v>6.638915815884934E-2</v>
      </c>
      <c r="K15" s="23">
        <v>22826</v>
      </c>
      <c r="L15" s="11">
        <v>12500000</v>
      </c>
      <c r="M15" s="10">
        <f>L15*'[1]Inflation Rates by Year'!$D$2</f>
        <v>14304114.000000002</v>
      </c>
      <c r="N15" s="9">
        <f>M15/K15</f>
        <v>626.65881012880061</v>
      </c>
      <c r="O15" s="8" t="s">
        <v>141</v>
      </c>
      <c r="P15" s="7">
        <v>12500000</v>
      </c>
    </row>
    <row r="16" spans="1:16" ht="15" customHeight="1" x14ac:dyDescent="0.25">
      <c r="A16" s="24">
        <v>44070</v>
      </c>
      <c r="B16" s="13">
        <v>15</v>
      </c>
      <c r="C16" s="13">
        <v>22845</v>
      </c>
      <c r="D16" s="13"/>
      <c r="E16" s="21">
        <v>22950</v>
      </c>
      <c r="F16" s="13" t="s">
        <v>140</v>
      </c>
      <c r="G16" s="21">
        <v>22971</v>
      </c>
      <c r="H16" s="12">
        <f>K16-K15</f>
        <v>124</v>
      </c>
      <c r="I16" s="12">
        <f>114/$K$114*(H16)</f>
        <v>6.7745599363567097E-2</v>
      </c>
      <c r="J16" s="12">
        <f>$B$75/SQRT($K$75)*(SQRT(K17)-SQRT(K16))</f>
        <v>2.9923403966760232E-2</v>
      </c>
      <c r="K16" s="23">
        <v>22950</v>
      </c>
      <c r="L16" s="11">
        <v>13700000</v>
      </c>
      <c r="M16" s="10">
        <f>L16*'[1]Inflation Rates by Year'!$D$2</f>
        <v>15677308.944000002</v>
      </c>
      <c r="N16" s="9">
        <f>M16/K16</f>
        <v>683.10714352941181</v>
      </c>
      <c r="O16" s="8" t="s">
        <v>139</v>
      </c>
      <c r="P16" s="7">
        <v>13700000</v>
      </c>
    </row>
    <row r="17" spans="1:16" ht="15" customHeight="1" x14ac:dyDescent="0.25">
      <c r="A17" s="24">
        <v>44071</v>
      </c>
      <c r="B17" s="13">
        <v>16</v>
      </c>
      <c r="C17" s="13">
        <v>22971</v>
      </c>
      <c r="D17" s="13"/>
      <c r="E17" s="21">
        <v>23006</v>
      </c>
      <c r="F17" s="13" t="s">
        <v>138</v>
      </c>
      <c r="G17" s="21">
        <v>23007</v>
      </c>
      <c r="H17" s="12">
        <f>K17-K16</f>
        <v>56</v>
      </c>
      <c r="I17" s="12">
        <f>114/$K$114*(H17)</f>
        <v>3.0594786809352882E-2</v>
      </c>
      <c r="J17" s="12">
        <f>$B$75/SQRT($K$75)*(SQRT(K18)-SQRT(K17))</f>
        <v>3.2039179072891463E-3</v>
      </c>
      <c r="K17" s="19">
        <v>23006</v>
      </c>
      <c r="L17" s="11">
        <v>14900000</v>
      </c>
      <c r="M17" s="10">
        <f>L17*'[1]Inflation Rates by Year'!$D$2</f>
        <v>17050503.888</v>
      </c>
      <c r="N17" s="9">
        <f>M17/K17</f>
        <v>741.13291697817965</v>
      </c>
      <c r="O17" s="8" t="s">
        <v>137</v>
      </c>
      <c r="P17" s="7">
        <v>14900000</v>
      </c>
    </row>
    <row r="18" spans="1:16" ht="15" customHeight="1" x14ac:dyDescent="0.25">
      <c r="A18" s="24">
        <v>44072</v>
      </c>
      <c r="B18" s="13">
        <v>17</v>
      </c>
      <c r="C18" s="13">
        <v>23007</v>
      </c>
      <c r="D18" s="13"/>
      <c r="E18" s="21">
        <v>23012</v>
      </c>
      <c r="F18" s="26" t="s">
        <v>136</v>
      </c>
      <c r="G18" s="25">
        <v>23013</v>
      </c>
      <c r="H18" s="12">
        <f>K18-K17</f>
        <v>6</v>
      </c>
      <c r="I18" s="12">
        <f>114/$K$114*(H18)</f>
        <v>3.2780128724306658E-3</v>
      </c>
      <c r="J18" s="12">
        <f>$B$75/SQRT($K$75)*(SQRT(K19)-SQRT(K18))</f>
        <v>4.8050938047229774E-3</v>
      </c>
      <c r="K18" s="23">
        <v>23012</v>
      </c>
      <c r="L18" s="11">
        <v>16100000</v>
      </c>
      <c r="M18" s="10">
        <f>L18*'[1]Inflation Rates by Year'!$D$2</f>
        <v>18423698.832000002</v>
      </c>
      <c r="N18" s="9">
        <f>M18/K18</f>
        <v>800.61267304015303</v>
      </c>
      <c r="O18" s="8" t="s">
        <v>135</v>
      </c>
      <c r="P18" s="7">
        <v>16100000</v>
      </c>
    </row>
    <row r="19" spans="1:16" ht="15" customHeight="1" x14ac:dyDescent="0.25">
      <c r="A19" s="24">
        <v>44073</v>
      </c>
      <c r="B19" s="13">
        <v>18</v>
      </c>
      <c r="C19" s="13">
        <v>23013</v>
      </c>
      <c r="D19" s="13"/>
      <c r="E19" s="21">
        <v>23021</v>
      </c>
      <c r="F19" s="13" t="s">
        <v>134</v>
      </c>
      <c r="G19" s="21">
        <v>23022</v>
      </c>
      <c r="H19" s="12">
        <f>K19-K18</f>
        <v>9</v>
      </c>
      <c r="I19" s="12">
        <f>114/$K$114*(H19)</f>
        <v>4.9170193086459984E-3</v>
      </c>
      <c r="J19" s="12">
        <f>$B$75/SQRT($K$75)*(SQRT(K20)-SQRT(K19))</f>
        <v>5.3384132763091216E-4</v>
      </c>
      <c r="K19" s="23">
        <v>23021</v>
      </c>
      <c r="L19" s="11">
        <v>17300000</v>
      </c>
      <c r="M19" s="10">
        <f>L19*'[1]Inflation Rates by Year'!$D$2</f>
        <v>19796893.776000001</v>
      </c>
      <c r="N19" s="9">
        <f>M19/K19</f>
        <v>859.94934086269063</v>
      </c>
      <c r="O19" s="8" t="s">
        <v>133</v>
      </c>
      <c r="P19" s="7">
        <v>17300000</v>
      </c>
    </row>
    <row r="20" spans="1:16" ht="15" customHeight="1" x14ac:dyDescent="0.25">
      <c r="A20" s="24">
        <v>44074</v>
      </c>
      <c r="B20" s="13">
        <v>19</v>
      </c>
      <c r="C20" s="13">
        <v>23022</v>
      </c>
      <c r="D20" s="13"/>
      <c r="E20" s="20"/>
      <c r="F20" s="20"/>
      <c r="G20" s="20"/>
      <c r="H20" s="12">
        <f>K20-K19</f>
        <v>1</v>
      </c>
      <c r="I20" s="12">
        <f>114/$K$114*(H20)</f>
        <v>5.4633547873844429E-4</v>
      </c>
      <c r="J20" s="12">
        <f>$B$75/SQRT($K$75)*(SQRT(K21)-SQRT(K20))</f>
        <v>7.4725615572388982E-3</v>
      </c>
      <c r="K20" s="23">
        <v>23022</v>
      </c>
      <c r="L20" s="11">
        <v>18200000</v>
      </c>
      <c r="M20" s="10">
        <f>L20*'[1]Inflation Rates by Year'!$D$2</f>
        <v>20826789.984000001</v>
      </c>
      <c r="N20" s="9">
        <f>M20/K20</f>
        <v>904.64729319781088</v>
      </c>
      <c r="O20" s="8" t="s">
        <v>132</v>
      </c>
      <c r="P20" s="7">
        <v>18200000</v>
      </c>
    </row>
    <row r="21" spans="1:16" ht="26.25" x14ac:dyDescent="0.25">
      <c r="A21" s="24">
        <v>44075</v>
      </c>
      <c r="B21" s="13">
        <v>20</v>
      </c>
      <c r="C21" s="13">
        <v>23022</v>
      </c>
      <c r="D21" s="13"/>
      <c r="E21" s="21">
        <v>23036</v>
      </c>
      <c r="F21" s="13" t="s">
        <v>131</v>
      </c>
      <c r="G21" s="21">
        <v>23037</v>
      </c>
      <c r="H21" s="12">
        <f>K21-K20</f>
        <v>14</v>
      </c>
      <c r="I21" s="12">
        <f>114/$K$114*(H21)</f>
        <v>7.6486967023382205E-3</v>
      </c>
      <c r="J21" s="12">
        <f>$B$75/SQRT($K$75)*(SQRT(K22)-SQRT(K21))</f>
        <v>5.2777012409533385E-2</v>
      </c>
      <c r="K21" s="23">
        <v>23036</v>
      </c>
      <c r="L21" s="11">
        <v>19100000</v>
      </c>
      <c r="M21" s="10">
        <f>L21*'[1]Inflation Rates by Year'!$D$2</f>
        <v>21856686.192000002</v>
      </c>
      <c r="N21" s="9">
        <f>M21/K21</f>
        <v>948.80561694738674</v>
      </c>
      <c r="O21" s="8" t="s">
        <v>130</v>
      </c>
      <c r="P21" s="7">
        <v>19100000</v>
      </c>
    </row>
    <row r="22" spans="1:16" ht="26.25" x14ac:dyDescent="0.25">
      <c r="A22" s="24">
        <v>44076</v>
      </c>
      <c r="B22" s="13">
        <v>21</v>
      </c>
      <c r="C22" s="13">
        <v>23037</v>
      </c>
      <c r="D22" s="13"/>
      <c r="E22" s="21">
        <v>23135</v>
      </c>
      <c r="F22" s="13" t="s">
        <v>129</v>
      </c>
      <c r="G22" s="21">
        <v>23137</v>
      </c>
      <c r="H22" s="12">
        <f>K22-K21</f>
        <v>99</v>
      </c>
      <c r="I22" s="12">
        <f>114/$K$114*(H22)</f>
        <v>5.4087212395105985E-2</v>
      </c>
      <c r="J22" s="12">
        <f>$B$75/SQRT($K$75)*(SQRT(K23)-SQRT(K22))</f>
        <v>0.4056441971411639</v>
      </c>
      <c r="K22" s="23">
        <v>23135</v>
      </c>
      <c r="L22" s="11">
        <v>20100000</v>
      </c>
      <c r="M22" s="10">
        <f>L22*'[1]Inflation Rates by Year'!$D$2</f>
        <v>23001015.312000003</v>
      </c>
      <c r="N22" s="9">
        <f>M22/K22</f>
        <v>994.20857194726614</v>
      </c>
      <c r="O22" s="8" t="s">
        <v>128</v>
      </c>
      <c r="P22" s="7">
        <v>20100000</v>
      </c>
    </row>
    <row r="23" spans="1:16" ht="26.25" x14ac:dyDescent="0.25">
      <c r="A23" s="24">
        <v>44077</v>
      </c>
      <c r="B23" s="13">
        <v>22</v>
      </c>
      <c r="C23" s="13">
        <v>23137</v>
      </c>
      <c r="D23" s="13"/>
      <c r="E23" s="21">
        <v>23903</v>
      </c>
      <c r="F23" s="13" t="s">
        <v>127</v>
      </c>
      <c r="G23" s="21">
        <v>23986</v>
      </c>
      <c r="H23" s="12">
        <f>K23-K22</f>
        <v>768</v>
      </c>
      <c r="I23" s="12">
        <f>114/$K$114*(H23)</f>
        <v>0.41958564767112522</v>
      </c>
      <c r="J23" s="12">
        <f>$B$75/SQRT($K$75)*(SQRT(K24)-SQRT(K23))</f>
        <v>0.29790216645558754</v>
      </c>
      <c r="K23" s="19">
        <v>23903</v>
      </c>
      <c r="L23" s="11">
        <v>21200000</v>
      </c>
      <c r="M23" s="10">
        <f>L23*'[1]Inflation Rates by Year'!$D$2</f>
        <v>24259777.344000001</v>
      </c>
      <c r="N23" s="9">
        <f>M23/K23</f>
        <v>1014.9260487804878</v>
      </c>
      <c r="O23" s="8" t="s">
        <v>126</v>
      </c>
      <c r="P23" s="7">
        <v>21200000</v>
      </c>
    </row>
    <row r="24" spans="1:16" ht="26.25" x14ac:dyDescent="0.25">
      <c r="A24" s="24">
        <v>44078</v>
      </c>
      <c r="B24" s="13">
        <v>23</v>
      </c>
      <c r="C24" s="13">
        <v>23903</v>
      </c>
      <c r="D24" s="13"/>
      <c r="E24" s="21">
        <v>24475</v>
      </c>
      <c r="F24" s="13" t="s">
        <v>125</v>
      </c>
      <c r="G24" s="21">
        <v>24464</v>
      </c>
      <c r="H24" s="12">
        <f>K24-K23</f>
        <v>572</v>
      </c>
      <c r="I24" s="12">
        <f>114/$K$114*(H24)</f>
        <v>0.31250389383839011</v>
      </c>
      <c r="J24" s="12">
        <f>$B$75/SQRT($K$75)*(SQRT(K25)-SQRT(K24))</f>
        <v>4.6534363027450034</v>
      </c>
      <c r="K24" s="23">
        <v>24475</v>
      </c>
      <c r="L24" s="11">
        <v>22400000</v>
      </c>
      <c r="M24" s="10">
        <f>L24*'[1]Inflation Rates by Year'!$D$2</f>
        <v>25632972.288000003</v>
      </c>
      <c r="N24" s="9">
        <f>M24/K24</f>
        <v>1047.3124530337079</v>
      </c>
      <c r="O24" s="8" t="s">
        <v>124</v>
      </c>
      <c r="P24" s="7">
        <v>22400000</v>
      </c>
    </row>
    <row r="25" spans="1:16" ht="26.25" x14ac:dyDescent="0.25">
      <c r="A25" s="24">
        <v>44079</v>
      </c>
      <c r="B25" s="13">
        <v>24</v>
      </c>
      <c r="C25" s="13">
        <v>24475</v>
      </c>
      <c r="D25" s="13"/>
      <c r="E25" s="21">
        <v>34288</v>
      </c>
      <c r="F25" s="13" t="s">
        <v>123</v>
      </c>
      <c r="G25" s="21">
        <v>24405</v>
      </c>
      <c r="H25" s="12">
        <f>K25-K24</f>
        <v>9813</v>
      </c>
      <c r="I25" s="12">
        <f>114/$K$114*(H25)</f>
        <v>5.361190052860354</v>
      </c>
      <c r="J25" s="12">
        <f>$B$75/SQRT($K$75)*(SQRT(K26)-SQRT(K25))</f>
        <v>9.3436250164057331</v>
      </c>
      <c r="K25" s="19">
        <v>34288</v>
      </c>
      <c r="L25" s="11">
        <v>23500000</v>
      </c>
      <c r="M25" s="10">
        <f>L25*'[1]Inflation Rates by Year'!$D$2</f>
        <v>26891734.32</v>
      </c>
      <c r="N25" s="9">
        <f>M25/K25</f>
        <v>784.28996500233313</v>
      </c>
      <c r="O25" s="8" t="s">
        <v>122</v>
      </c>
      <c r="P25" s="7">
        <v>23500000</v>
      </c>
    </row>
    <row r="26" spans="1:16" ht="39" x14ac:dyDescent="0.25">
      <c r="A26" s="24">
        <v>44080</v>
      </c>
      <c r="B26" s="13">
        <v>25</v>
      </c>
      <c r="C26" s="13" t="s">
        <v>121</v>
      </c>
      <c r="D26" s="13"/>
      <c r="E26" s="21">
        <v>58975</v>
      </c>
      <c r="F26" s="13" t="s">
        <v>120</v>
      </c>
      <c r="G26" s="21">
        <v>59634</v>
      </c>
      <c r="H26" s="12">
        <f>K26-K25</f>
        <v>24687</v>
      </c>
      <c r="I26" s="12">
        <f>114/$K$114*(H26)</f>
        <v>13.487383963615974</v>
      </c>
      <c r="J26" s="12">
        <f>$B$75/SQRT($K$75)*(SQRT(K27)-SQRT(K26))</f>
        <v>12.069967103610709</v>
      </c>
      <c r="K26" s="23">
        <v>58975</v>
      </c>
      <c r="L26" s="11">
        <v>24500000</v>
      </c>
      <c r="M26" s="10">
        <f>L26*'[1]Inflation Rates by Year'!$D$2</f>
        <v>28036063.440000001</v>
      </c>
      <c r="N26" s="9">
        <f>M26/K26</f>
        <v>475.3889519287834</v>
      </c>
      <c r="O26" s="8" t="s">
        <v>119</v>
      </c>
      <c r="P26" s="7">
        <v>24500000</v>
      </c>
    </row>
    <row r="27" spans="1:16" ht="26.25" x14ac:dyDescent="0.25">
      <c r="A27" s="24">
        <v>44081</v>
      </c>
      <c r="B27" s="13">
        <v>26</v>
      </c>
      <c r="C27" s="13">
        <v>96462</v>
      </c>
      <c r="D27" s="13"/>
      <c r="E27" s="21">
        <v>100714</v>
      </c>
      <c r="F27" s="13" t="s">
        <v>118</v>
      </c>
      <c r="G27" s="21">
        <v>99160</v>
      </c>
      <c r="H27" s="12">
        <f>K27-K26</f>
        <v>41739</v>
      </c>
      <c r="I27" s="12">
        <f>114/$K$114*(H27)</f>
        <v>22.803496547063926</v>
      </c>
      <c r="J27" s="12">
        <f>$B$75/SQRT($K$75)*(SQRT(K28)-SQRT(K27))</f>
        <v>0.4781221890022469</v>
      </c>
      <c r="K27" s="23">
        <v>100714</v>
      </c>
      <c r="L27" s="11">
        <v>25900000</v>
      </c>
      <c r="M27" s="10">
        <f>L27*'[1]Inflation Rates by Year'!$D$2</f>
        <v>29638124.208000001</v>
      </c>
      <c r="N27" s="9">
        <f>M27/K27</f>
        <v>294.28008229243204</v>
      </c>
      <c r="O27" s="8" t="s">
        <v>117</v>
      </c>
      <c r="P27" s="7">
        <v>25900000</v>
      </c>
    </row>
    <row r="28" spans="1:16" x14ac:dyDescent="0.25">
      <c r="A28" s="24">
        <v>44082</v>
      </c>
      <c r="B28" s="13">
        <v>27</v>
      </c>
      <c r="C28" s="13">
        <v>102596</v>
      </c>
      <c r="D28" s="13"/>
      <c r="E28" s="20"/>
      <c r="F28" s="20"/>
      <c r="G28" s="20"/>
      <c r="H28" s="12">
        <f>K28-K27</f>
        <v>1882</v>
      </c>
      <c r="I28" s="12">
        <f>114/$K$114*(H28)</f>
        <v>1.0282033709857521</v>
      </c>
      <c r="J28" s="12">
        <f>$B$75/SQRT($K$75)*(SQRT(K29)-SQRT(K28))</f>
        <v>0</v>
      </c>
      <c r="K28" s="19">
        <v>102596</v>
      </c>
      <c r="L28" s="11">
        <v>27300000</v>
      </c>
      <c r="M28" s="10">
        <f>L28*'[1]Inflation Rates by Year'!$D$2</f>
        <v>31240184.976000004</v>
      </c>
      <c r="N28" s="9">
        <f>M28/K28</f>
        <v>304.49710491637103</v>
      </c>
      <c r="O28" s="8" t="s">
        <v>116</v>
      </c>
      <c r="P28" s="7">
        <v>27300000</v>
      </c>
    </row>
    <row r="29" spans="1:16" ht="39" x14ac:dyDescent="0.25">
      <c r="A29" s="24">
        <v>44083</v>
      </c>
      <c r="B29" s="13">
        <v>28</v>
      </c>
      <c r="C29" s="13" t="s">
        <v>115</v>
      </c>
      <c r="D29" s="13"/>
      <c r="E29" s="20"/>
      <c r="F29" s="20"/>
      <c r="G29" s="20"/>
      <c r="H29" s="12">
        <f>K29-K28</f>
        <v>0</v>
      </c>
      <c r="I29" s="12">
        <f>114/$K$114*(H29)</f>
        <v>0</v>
      </c>
      <c r="J29" s="12">
        <f>$B$75/SQRT($K$75)*(SQRT(K30)-SQRT(K29))</f>
        <v>0</v>
      </c>
      <c r="K29" s="19">
        <v>102596</v>
      </c>
      <c r="L29" s="11">
        <v>29000000</v>
      </c>
      <c r="M29" s="10">
        <f>L29*'[1]Inflation Rates by Year'!$D$2</f>
        <v>33185544.480000004</v>
      </c>
      <c r="N29" s="9">
        <f>M29/K29</f>
        <v>323.45846309797656</v>
      </c>
      <c r="O29" s="8" t="s">
        <v>114</v>
      </c>
      <c r="P29" s="7">
        <v>29000000</v>
      </c>
    </row>
    <row r="30" spans="1:16" x14ac:dyDescent="0.25">
      <c r="A30" s="24">
        <v>44084</v>
      </c>
      <c r="B30" s="13">
        <v>29</v>
      </c>
      <c r="C30" s="13">
        <v>102596</v>
      </c>
      <c r="D30" s="13"/>
      <c r="E30" s="20"/>
      <c r="F30" s="20"/>
      <c r="G30" s="20"/>
      <c r="H30" s="12">
        <f>K30-K29</f>
        <v>0</v>
      </c>
      <c r="I30" s="12">
        <f>114/$K$114*(H30)</f>
        <v>0</v>
      </c>
      <c r="J30" s="12">
        <f>$B$75/SQRT($K$75)*(SQRT(K31)-SQRT(K30))</f>
        <v>0</v>
      </c>
      <c r="K30" s="19">
        <v>102596</v>
      </c>
      <c r="L30" s="11">
        <v>30100000</v>
      </c>
      <c r="M30" s="10">
        <f>L30*'[1]Inflation Rates by Year'!$D$2</f>
        <v>34444306.512000002</v>
      </c>
      <c r="N30" s="9">
        <f>M30/K30</f>
        <v>335.72757721548601</v>
      </c>
      <c r="O30" s="8" t="s">
        <v>113</v>
      </c>
      <c r="P30" s="7">
        <v>30100000</v>
      </c>
    </row>
    <row r="31" spans="1:16" x14ac:dyDescent="0.25">
      <c r="A31" s="24">
        <v>44085</v>
      </c>
      <c r="B31" s="13">
        <v>30</v>
      </c>
      <c r="C31" s="13">
        <v>102596</v>
      </c>
      <c r="D31" s="13"/>
      <c r="E31" s="20"/>
      <c r="F31" s="20"/>
      <c r="G31" s="20"/>
      <c r="H31" s="12">
        <f>K31-K30</f>
        <v>0</v>
      </c>
      <c r="I31" s="12">
        <f>114/$K$114*(H31)</f>
        <v>0</v>
      </c>
      <c r="J31" s="12">
        <f>$B$75/SQRT($K$75)*(SQRT(K32)-SQRT(K31))</f>
        <v>-0.45005439842353478</v>
      </c>
      <c r="K31" s="19">
        <v>102596</v>
      </c>
      <c r="L31" s="11">
        <v>30646441</v>
      </c>
      <c r="M31" s="10">
        <f>L31*'[1]Inflation Rates by Year'!$D$2</f>
        <v>35069614.860661924</v>
      </c>
      <c r="N31" s="9">
        <f>M31/K31</f>
        <v>341.82243811320058</v>
      </c>
      <c r="O31" s="8" t="s">
        <v>112</v>
      </c>
      <c r="P31" s="7">
        <v>30646441</v>
      </c>
    </row>
    <row r="32" spans="1:16" x14ac:dyDescent="0.25">
      <c r="A32" s="24">
        <v>44086</v>
      </c>
      <c r="B32" s="13">
        <v>31</v>
      </c>
      <c r="C32" s="13">
        <v>102596</v>
      </c>
      <c r="D32" s="13"/>
      <c r="E32" s="21">
        <v>100824</v>
      </c>
      <c r="F32" s="20"/>
      <c r="G32" s="20"/>
      <c r="H32" s="12">
        <f>K32-K31</f>
        <v>-1772</v>
      </c>
      <c r="I32" s="12">
        <f>114/$K$114*(H32)</f>
        <v>-0.96810646832452329</v>
      </c>
      <c r="J32" s="12">
        <f>$B$75/SQRT($K$75)*(SQRT(K33)-SQRT(K32))</f>
        <v>0</v>
      </c>
      <c r="K32" s="19">
        <v>100824</v>
      </c>
      <c r="L32" s="11">
        <v>17</v>
      </c>
      <c r="M32" s="10">
        <f>L32*'[1]Inflation Rates by Year'!$D$2</f>
        <v>19.453595040000003</v>
      </c>
      <c r="N32" s="9">
        <f>M32/K32</f>
        <v>1.9294607474410857E-4</v>
      </c>
      <c r="O32" s="8" t="s">
        <v>111</v>
      </c>
      <c r="P32" s="7">
        <v>17</v>
      </c>
    </row>
    <row r="33" spans="1:16" x14ac:dyDescent="0.25">
      <c r="A33" s="24">
        <v>44087</v>
      </c>
      <c r="B33" s="13">
        <v>32</v>
      </c>
      <c r="C33" s="13">
        <v>102596</v>
      </c>
      <c r="D33" s="13"/>
      <c r="E33" s="20"/>
      <c r="F33" s="20"/>
      <c r="G33" s="20"/>
      <c r="H33" s="12">
        <f>K33-K32</f>
        <v>0</v>
      </c>
      <c r="I33" s="12">
        <f>114/$K$114*(H33)</f>
        <v>0</v>
      </c>
      <c r="J33" s="12">
        <f>$B$75/SQRT($K$75)*(SQRT(K34)-SQRT(K33))</f>
        <v>0</v>
      </c>
      <c r="K33" s="19">
        <v>100824</v>
      </c>
      <c r="L33" s="11">
        <v>32600000</v>
      </c>
      <c r="M33" s="10">
        <f>L33*'[1]Inflation Rates by Year'!$D$2</f>
        <v>37305129.312000006</v>
      </c>
      <c r="N33" s="9">
        <f>M33/K33</f>
        <v>370.00247274458468</v>
      </c>
      <c r="O33" s="8" t="s">
        <v>110</v>
      </c>
      <c r="P33" s="7">
        <v>32600000</v>
      </c>
    </row>
    <row r="34" spans="1:16" x14ac:dyDescent="0.25">
      <c r="A34" s="24">
        <v>44088</v>
      </c>
      <c r="B34" s="13">
        <v>33</v>
      </c>
      <c r="C34" s="13">
        <v>102596</v>
      </c>
      <c r="D34" s="13"/>
      <c r="E34" s="20"/>
      <c r="F34" s="20"/>
      <c r="G34" s="20"/>
      <c r="H34" s="12">
        <f>K34-K33</f>
        <v>0</v>
      </c>
      <c r="I34" s="12">
        <f>114/$K$114*(H34)</f>
        <v>0</v>
      </c>
      <c r="J34" s="12">
        <f>$B$75/SQRT($K$75)*(SQRT(K35)-SQRT(K34))</f>
        <v>0</v>
      </c>
      <c r="K34" s="19">
        <v>100824</v>
      </c>
      <c r="L34" s="11">
        <v>35500000</v>
      </c>
      <c r="M34" s="10">
        <f>L34*'[1]Inflation Rates by Year'!$D$2</f>
        <v>40623683.760000005</v>
      </c>
      <c r="N34" s="9">
        <f>M34/K34</f>
        <v>402.91680314210907</v>
      </c>
      <c r="O34" s="8" t="s">
        <v>109</v>
      </c>
      <c r="P34" s="7">
        <v>35500000</v>
      </c>
    </row>
    <row r="35" spans="1:16" x14ac:dyDescent="0.25">
      <c r="A35" s="24">
        <v>44089</v>
      </c>
      <c r="B35" s="13">
        <v>34</v>
      </c>
      <c r="C35" s="13">
        <v>102596</v>
      </c>
      <c r="D35" s="13"/>
      <c r="E35" s="20"/>
      <c r="F35" s="20"/>
      <c r="G35" s="20"/>
      <c r="H35" s="12">
        <f>K35-K34</f>
        <v>0</v>
      </c>
      <c r="I35" s="12">
        <f>114/$K$114*(H35)</f>
        <v>0</v>
      </c>
      <c r="J35" s="12">
        <f>$B$75/SQRT($K$75)*(SQRT(K36)-SQRT(K35))</f>
        <v>0.14570632631506089</v>
      </c>
      <c r="K35" s="19">
        <v>100824</v>
      </c>
      <c r="L35" s="11">
        <v>36700000</v>
      </c>
      <c r="M35" s="10">
        <f>L35*'[1]Inflation Rates by Year'!$D$2</f>
        <v>41996878.704000004</v>
      </c>
      <c r="N35" s="9">
        <f>M35/K35</f>
        <v>416.53652606522257</v>
      </c>
      <c r="O35" s="8" t="s">
        <v>108</v>
      </c>
      <c r="P35" s="7">
        <v>36700000</v>
      </c>
    </row>
    <row r="36" spans="1:16" x14ac:dyDescent="0.25">
      <c r="A36" s="24">
        <v>44090</v>
      </c>
      <c r="B36" s="13">
        <v>35</v>
      </c>
      <c r="C36" s="13">
        <v>102596</v>
      </c>
      <c r="D36" s="13"/>
      <c r="E36" s="21">
        <v>101396</v>
      </c>
      <c r="F36" s="20"/>
      <c r="G36" s="20"/>
      <c r="H36" s="12">
        <f>K36-K35</f>
        <v>572</v>
      </c>
      <c r="I36" s="12">
        <f>114/$K$114*(H36)</f>
        <v>0.31250389383839011</v>
      </c>
      <c r="J36" s="12">
        <f>$B$75/SQRT($K$75)*(SQRT(K37)-SQRT(K36))</f>
        <v>0</v>
      </c>
      <c r="K36" s="19">
        <v>101396</v>
      </c>
      <c r="L36" s="11">
        <v>38268237</v>
      </c>
      <c r="M36" s="10">
        <f>L36*'[1]Inflation Rates by Year'!$D$2</f>
        <v>43791457.970161445</v>
      </c>
      <c r="N36" s="9">
        <f>M36/K36</f>
        <v>431.88545869818773</v>
      </c>
      <c r="O36" s="8" t="s">
        <v>107</v>
      </c>
      <c r="P36" s="7">
        <v>38268237</v>
      </c>
    </row>
    <row r="37" spans="1:16" x14ac:dyDescent="0.25">
      <c r="A37" s="24">
        <v>44091</v>
      </c>
      <c r="B37" s="13">
        <v>36</v>
      </c>
      <c r="C37" s="13">
        <v>102596</v>
      </c>
      <c r="D37" s="13"/>
      <c r="E37" s="20"/>
      <c r="F37" s="20"/>
      <c r="G37" s="20"/>
      <c r="H37" s="12">
        <f>K37-K36</f>
        <v>0</v>
      </c>
      <c r="I37" s="12">
        <f>114/$K$114*(H37)</f>
        <v>0</v>
      </c>
      <c r="J37" s="12">
        <f>$B$75/SQRT($K$75)*(SQRT(K38)-SQRT(K37))</f>
        <v>0</v>
      </c>
      <c r="K37" s="19">
        <v>101396</v>
      </c>
      <c r="L37" s="11">
        <v>39771805</v>
      </c>
      <c r="M37" s="10">
        <f>L37*'[1]Inflation Rates by Year'!$D$2</f>
        <v>45512034.616461605</v>
      </c>
      <c r="N37" s="9">
        <f>M37/K37</f>
        <v>448.85433958402308</v>
      </c>
      <c r="O37" s="8" t="s">
        <v>106</v>
      </c>
      <c r="P37" s="7">
        <v>39771805</v>
      </c>
    </row>
    <row r="38" spans="1:16" x14ac:dyDescent="0.25">
      <c r="A38" s="24">
        <v>44092</v>
      </c>
      <c r="B38" s="13">
        <v>37</v>
      </c>
      <c r="C38" s="13">
        <v>102596</v>
      </c>
      <c r="D38" s="13"/>
      <c r="E38" s="20"/>
      <c r="F38" s="20"/>
      <c r="G38" s="20"/>
      <c r="H38" s="12">
        <f>K38-K37</f>
        <v>0</v>
      </c>
      <c r="I38" s="12">
        <f>114/$K$114*(H38)</f>
        <v>0</v>
      </c>
      <c r="J38" s="12">
        <f>$B$75/SQRT($K$75)*(SQRT(K39)-SQRT(K38))</f>
        <v>0</v>
      </c>
      <c r="K38" s="19">
        <v>101396</v>
      </c>
      <c r="L38" s="11">
        <v>40600000</v>
      </c>
      <c r="M38" s="10">
        <f>L38*'[1]Inflation Rates by Year'!$D$2</f>
        <v>46459762.272</v>
      </c>
      <c r="N38" s="9">
        <f>M38/K38</f>
        <v>458.20113487711546</v>
      </c>
      <c r="O38" s="8" t="s">
        <v>105</v>
      </c>
      <c r="P38" s="7">
        <v>40600000</v>
      </c>
    </row>
    <row r="39" spans="1:16" x14ac:dyDescent="0.25">
      <c r="A39" s="24">
        <v>44093</v>
      </c>
      <c r="B39" s="13">
        <v>38</v>
      </c>
      <c r="C39" s="13">
        <v>102596</v>
      </c>
      <c r="D39" s="13"/>
      <c r="E39" s="20"/>
      <c r="F39" s="20"/>
      <c r="G39" s="20"/>
      <c r="H39" s="12">
        <f>K39-K38</f>
        <v>0</v>
      </c>
      <c r="I39" s="12">
        <f>114/$K$114*(H39)</f>
        <v>0</v>
      </c>
      <c r="J39" s="12">
        <f>$B$75/SQRT($K$75)*(SQRT(K40)-SQRT(K39))</f>
        <v>0.36475113799020181</v>
      </c>
      <c r="K39" s="19">
        <v>101396</v>
      </c>
      <c r="L39" s="11">
        <v>42900000</v>
      </c>
      <c r="M39" s="10">
        <f>L39*'[1]Inflation Rates by Year'!$D$2</f>
        <v>49091719.248000003</v>
      </c>
      <c r="N39" s="9">
        <f>M39/K39</f>
        <v>484.15834202532648</v>
      </c>
      <c r="O39" s="8" t="s">
        <v>104</v>
      </c>
      <c r="P39" s="7">
        <v>42900000</v>
      </c>
    </row>
    <row r="40" spans="1:16" x14ac:dyDescent="0.25">
      <c r="A40" s="24">
        <v>44094</v>
      </c>
      <c r="B40" s="13">
        <v>39</v>
      </c>
      <c r="C40" s="13">
        <v>104157</v>
      </c>
      <c r="D40" s="13"/>
      <c r="E40" s="21">
        <v>102835</v>
      </c>
      <c r="F40" s="20"/>
      <c r="G40" s="20"/>
      <c r="H40" s="12">
        <f>K40-K39</f>
        <v>1439</v>
      </c>
      <c r="I40" s="12">
        <f>114/$K$114*(H40)</f>
        <v>0.78617675390462138</v>
      </c>
      <c r="J40" s="12">
        <f>$B$75/SQRT($K$75)*(SQRT(K41)-SQRT(K40))</f>
        <v>9.4129136740233654E-2</v>
      </c>
      <c r="K40" s="19">
        <v>102835</v>
      </c>
      <c r="L40" s="11">
        <v>44200000</v>
      </c>
      <c r="M40" s="10">
        <f>L40*'[1]Inflation Rates by Year'!$D$2</f>
        <v>50579347.104000002</v>
      </c>
      <c r="N40" s="9">
        <f>M40/K40</f>
        <v>491.8495366752565</v>
      </c>
      <c r="O40" s="8" t="s">
        <v>103</v>
      </c>
      <c r="P40" s="7">
        <v>44200000</v>
      </c>
    </row>
    <row r="41" spans="1:16" x14ac:dyDescent="0.25">
      <c r="A41" s="24">
        <v>44095</v>
      </c>
      <c r="B41" s="13">
        <v>40</v>
      </c>
      <c r="C41" s="13">
        <v>104157</v>
      </c>
      <c r="D41" s="13"/>
      <c r="E41" s="21">
        <v>103208</v>
      </c>
      <c r="F41" s="20"/>
      <c r="G41" s="20"/>
      <c r="H41" s="12">
        <f>K41-K40</f>
        <v>373</v>
      </c>
      <c r="I41" s="12">
        <f>114/$K$114*(H41)</f>
        <v>0.20378313356943972</v>
      </c>
      <c r="J41" s="12">
        <f>$B$75/SQRT($K$75)*(SQRT(K42)-SQRT(K41))</f>
        <v>3.0498638695232255E-2</v>
      </c>
      <c r="K41" s="19">
        <v>103208</v>
      </c>
      <c r="L41" s="11">
        <v>45800000</v>
      </c>
      <c r="M41" s="10">
        <f>L41*'[1]Inflation Rates by Year'!$D$2</f>
        <v>52410273.696000002</v>
      </c>
      <c r="N41" s="9">
        <f>M41/K41</f>
        <v>507.81212402139369</v>
      </c>
      <c r="O41" s="8" t="s">
        <v>102</v>
      </c>
      <c r="P41" s="7">
        <v>45800000</v>
      </c>
    </row>
    <row r="42" spans="1:16" x14ac:dyDescent="0.25">
      <c r="A42" s="24">
        <v>44096</v>
      </c>
      <c r="B42" s="13">
        <v>41</v>
      </c>
      <c r="C42" s="13">
        <v>104652</v>
      </c>
      <c r="D42" s="13"/>
      <c r="E42" s="21">
        <v>103329</v>
      </c>
      <c r="F42" s="20"/>
      <c r="G42" s="20"/>
      <c r="H42" s="12">
        <f>K42-K41</f>
        <v>121</v>
      </c>
      <c r="I42" s="12">
        <f>114/$K$114*(H42)</f>
        <v>6.6106592927351757E-2</v>
      </c>
      <c r="J42" s="12">
        <f>$B$75/SQRT($K$75)*(SQRT(K43)-SQRT(K42))</f>
        <v>4.7350909917958976E-2</v>
      </c>
      <c r="K42" s="19">
        <v>103329</v>
      </c>
      <c r="L42" s="11">
        <v>45800000</v>
      </c>
      <c r="M42" s="10">
        <f>L42*'[1]Inflation Rates by Year'!$D$2</f>
        <v>52410273.696000002</v>
      </c>
      <c r="N42" s="9">
        <f>M42/K42</f>
        <v>507.21746746799062</v>
      </c>
      <c r="O42" s="8" t="s">
        <v>101</v>
      </c>
      <c r="P42" s="7">
        <v>45800000</v>
      </c>
    </row>
    <row r="43" spans="1:16" ht="26.25" x14ac:dyDescent="0.25">
      <c r="A43" s="24">
        <v>44097</v>
      </c>
      <c r="B43" s="13">
        <v>42</v>
      </c>
      <c r="C43" s="13">
        <v>104791</v>
      </c>
      <c r="D43" s="13"/>
      <c r="E43" s="20"/>
      <c r="F43" s="13" t="s">
        <v>100</v>
      </c>
      <c r="G43" s="21">
        <v>103517</v>
      </c>
      <c r="H43" s="12">
        <f>K43-K42</f>
        <v>188</v>
      </c>
      <c r="I43" s="12">
        <f>114/$K$114*(H43)</f>
        <v>0.10271107000282753</v>
      </c>
      <c r="J43" s="12">
        <f>$B$75/SQRT($K$75)*(SQRT(K44)-SQRT(K43))</f>
        <v>4.8062497835356127E-2</v>
      </c>
      <c r="K43" s="19">
        <v>103517</v>
      </c>
      <c r="L43" s="11">
        <v>49600000</v>
      </c>
      <c r="M43" s="10">
        <f>L43*'[1]Inflation Rates by Year'!$D$2</f>
        <v>56758724.352000006</v>
      </c>
      <c r="N43" s="9">
        <f>M43/K43</f>
        <v>548.30341250229435</v>
      </c>
      <c r="O43" s="8" t="s">
        <v>99</v>
      </c>
      <c r="P43" s="7">
        <v>49600000</v>
      </c>
    </row>
    <row r="44" spans="1:16" ht="26.25" x14ac:dyDescent="0.25">
      <c r="A44" s="24">
        <v>44098</v>
      </c>
      <c r="B44" s="13">
        <v>43</v>
      </c>
      <c r="C44" s="13">
        <v>104791</v>
      </c>
      <c r="D44" s="13"/>
      <c r="E44" s="21">
        <v>103708</v>
      </c>
      <c r="F44" s="13" t="s">
        <v>98</v>
      </c>
      <c r="G44" s="21">
        <v>103709</v>
      </c>
      <c r="H44" s="12">
        <f>K44-K43</f>
        <v>191</v>
      </c>
      <c r="I44" s="12">
        <f>114/$K$114*(H44)</f>
        <v>0.10435007643904286</v>
      </c>
      <c r="J44" s="12">
        <f>$B$75/SQRT($K$75)*(SQRT(K45)-SQRT(K44))</f>
        <v>1.5446078310002445</v>
      </c>
      <c r="K44" s="19">
        <v>103708</v>
      </c>
      <c r="L44" s="11">
        <v>51000000</v>
      </c>
      <c r="M44" s="10">
        <f>L44*'[1]Inflation Rates by Year'!$D$2</f>
        <v>58360785.120000005</v>
      </c>
      <c r="N44" s="9">
        <f>M44/K44</f>
        <v>562.74140008485369</v>
      </c>
      <c r="O44" s="8" t="s">
        <v>97</v>
      </c>
      <c r="P44" s="7">
        <v>51000000</v>
      </c>
    </row>
    <row r="45" spans="1:16" x14ac:dyDescent="0.25">
      <c r="A45" s="24">
        <v>44099</v>
      </c>
      <c r="B45" s="13">
        <v>44</v>
      </c>
      <c r="C45" s="13">
        <v>105845</v>
      </c>
      <c r="D45" s="13"/>
      <c r="E45" s="21">
        <v>109940</v>
      </c>
      <c r="F45" s="20"/>
      <c r="G45" s="20"/>
      <c r="H45" s="12">
        <f>K45-K44</f>
        <v>6232</v>
      </c>
      <c r="I45" s="12">
        <f>114/$K$114*(H45)</f>
        <v>3.404762703497985</v>
      </c>
      <c r="J45" s="12">
        <f>$B$75/SQRT($K$75)*(SQRT(K46)-SQRT(K45))</f>
        <v>2.7740705364998313</v>
      </c>
      <c r="K45" s="19">
        <v>109940</v>
      </c>
      <c r="L45" s="11">
        <v>5200000</v>
      </c>
      <c r="M45" s="10">
        <f>L45*'[1]Inflation Rates by Year'!$D$2</f>
        <v>5950511.4240000006</v>
      </c>
      <c r="N45" s="9">
        <f>M45/K45</f>
        <v>54.125081171548125</v>
      </c>
      <c r="O45" s="8" t="s">
        <v>96</v>
      </c>
      <c r="P45" s="7">
        <v>5200000</v>
      </c>
    </row>
    <row r="46" spans="1:16" ht="26.25" x14ac:dyDescent="0.25">
      <c r="A46" s="24">
        <v>44100</v>
      </c>
      <c r="B46" s="13">
        <v>45</v>
      </c>
      <c r="C46" s="13">
        <v>120251</v>
      </c>
      <c r="D46" s="13"/>
      <c r="E46" s="21">
        <v>121589</v>
      </c>
      <c r="F46" s="13" t="s">
        <v>95</v>
      </c>
      <c r="G46" s="21">
        <v>122858</v>
      </c>
      <c r="H46" s="12">
        <f>K46-K45</f>
        <v>11649</v>
      </c>
      <c r="I46" s="12">
        <f>114/$K$114*(H46)</f>
        <v>6.3642619918241374</v>
      </c>
      <c r="J46" s="12">
        <f>$B$75/SQRT($K$75)*(SQRT(K47)-SQRT(K46))</f>
        <v>0</v>
      </c>
      <c r="K46" s="23">
        <v>121589</v>
      </c>
      <c r="L46" s="11">
        <v>54300000</v>
      </c>
      <c r="M46" s="10">
        <f>L46*'[1]Inflation Rates by Year'!$D$2</f>
        <v>62137071.216000006</v>
      </c>
      <c r="N46" s="9">
        <f>M46/K46</f>
        <v>511.04188056485378</v>
      </c>
      <c r="O46" s="8" t="s">
        <v>94</v>
      </c>
      <c r="P46" s="7">
        <v>54300000</v>
      </c>
    </row>
    <row r="47" spans="1:16" x14ac:dyDescent="0.25">
      <c r="A47" s="24">
        <v>44101</v>
      </c>
      <c r="B47" s="13">
        <v>46</v>
      </c>
      <c r="C47" s="13">
        <v>124026</v>
      </c>
      <c r="D47" s="13"/>
      <c r="E47" s="20"/>
      <c r="F47" s="20"/>
      <c r="G47" s="20"/>
      <c r="H47" s="12">
        <f>K47-K46</f>
        <v>0</v>
      </c>
      <c r="I47" s="12">
        <f>114/$K$114*(H47)</f>
        <v>0</v>
      </c>
      <c r="J47" s="12">
        <f>$B$75/SQRT($K$75)*(SQRT(K48)-SQRT(K47))</f>
        <v>0.40851594328281654</v>
      </c>
      <c r="K47" s="23">
        <v>121589</v>
      </c>
      <c r="L47" s="11">
        <v>56100000</v>
      </c>
      <c r="M47" s="10">
        <f>L47*'[1]Inflation Rates by Year'!$D$2</f>
        <v>64196863.632000007</v>
      </c>
      <c r="N47" s="9">
        <f>M47/K47</f>
        <v>527.9824953902081</v>
      </c>
      <c r="O47" s="8" t="s">
        <v>93</v>
      </c>
      <c r="P47" s="7">
        <v>56100000</v>
      </c>
    </row>
    <row r="48" spans="1:16" ht="26.25" x14ac:dyDescent="0.25">
      <c r="A48" s="24">
        <v>44102</v>
      </c>
      <c r="B48" s="13">
        <v>47</v>
      </c>
      <c r="C48" s="13">
        <v>124026</v>
      </c>
      <c r="D48" s="13"/>
      <c r="E48" s="21">
        <v>123354</v>
      </c>
      <c r="F48" s="13" t="s">
        <v>92</v>
      </c>
      <c r="G48" s="21">
        <v>123425</v>
      </c>
      <c r="H48" s="12">
        <f>K48-K47</f>
        <v>1765</v>
      </c>
      <c r="I48" s="12">
        <f>114/$K$114*(H48)</f>
        <v>0.96428211997335422</v>
      </c>
      <c r="J48" s="12">
        <f>$B$75/SQRT($K$75)*(SQRT(K49)-SQRT(K48))</f>
        <v>9.3555969402697239E-2</v>
      </c>
      <c r="K48" s="23">
        <v>123354</v>
      </c>
      <c r="L48" s="11">
        <v>58400000</v>
      </c>
      <c r="M48" s="10">
        <f>L48*'[1]Inflation Rates by Year'!$D$2</f>
        <v>66828820.608000003</v>
      </c>
      <c r="N48" s="9">
        <f>M48/K48</f>
        <v>541.7645200642055</v>
      </c>
      <c r="O48" s="8" t="s">
        <v>91</v>
      </c>
      <c r="P48" s="7">
        <v>58400000</v>
      </c>
    </row>
    <row r="49" spans="1:16" ht="26.25" x14ac:dyDescent="0.25">
      <c r="A49" s="24">
        <v>44103</v>
      </c>
      <c r="B49" s="13">
        <v>48</v>
      </c>
      <c r="C49" s="13">
        <v>124026</v>
      </c>
      <c r="D49" s="13"/>
      <c r="E49" s="21">
        <v>123760</v>
      </c>
      <c r="F49" s="13" t="s">
        <v>90</v>
      </c>
      <c r="G49" s="21">
        <v>124974</v>
      </c>
      <c r="H49" s="12">
        <f>K49-K48</f>
        <v>406</v>
      </c>
      <c r="I49" s="12">
        <f>114/$K$114*(H49)</f>
        <v>0.22181220436780838</v>
      </c>
      <c r="J49" s="12">
        <f>$B$75/SQRT($K$75)*(SQRT(K50)-SQRT(K49))</f>
        <v>7.7999434049831048E-2</v>
      </c>
      <c r="K49" s="19">
        <v>123760</v>
      </c>
      <c r="L49" s="11">
        <v>60000000</v>
      </c>
      <c r="M49" s="10">
        <f>L49*'[1]Inflation Rates by Year'!$D$2</f>
        <v>68659747.200000003</v>
      </c>
      <c r="N49" s="9">
        <f>M49/K49</f>
        <v>554.78140917905625</v>
      </c>
      <c r="O49" s="8" t="s">
        <v>89</v>
      </c>
      <c r="P49" s="7">
        <v>60000000</v>
      </c>
    </row>
    <row r="50" spans="1:16" ht="26.25" x14ac:dyDescent="0.25">
      <c r="A50" s="24">
        <v>44104</v>
      </c>
      <c r="B50" s="13">
        <v>49</v>
      </c>
      <c r="C50" s="13">
        <v>125006</v>
      </c>
      <c r="D50" s="13"/>
      <c r="E50" s="21">
        <v>124099</v>
      </c>
      <c r="F50" s="13" t="s">
        <v>88</v>
      </c>
      <c r="G50" s="21">
        <v>125338</v>
      </c>
      <c r="H50" s="12">
        <f>K50-K49</f>
        <v>339</v>
      </c>
      <c r="I50" s="12">
        <f>114/$K$114*(H50)</f>
        <v>0.18520772729233262</v>
      </c>
      <c r="J50" s="12">
        <f>$B$75/SQRT($K$75)*(SQRT(K51)-SQRT(K50))</f>
        <v>7.5137510866009324E-2</v>
      </c>
      <c r="K50" s="19">
        <v>124099</v>
      </c>
      <c r="L50" s="11">
        <v>61000000</v>
      </c>
      <c r="M50" s="10">
        <f>L50*'[1]Inflation Rates by Year'!$D$2</f>
        <v>69804076.320000008</v>
      </c>
      <c r="N50" s="9">
        <f>M50/K50</f>
        <v>562.48701697838021</v>
      </c>
      <c r="O50" s="8" t="s">
        <v>87</v>
      </c>
      <c r="P50" s="7">
        <v>61000000</v>
      </c>
    </row>
    <row r="51" spans="1:16" ht="26.25" x14ac:dyDescent="0.25">
      <c r="A51" s="24">
        <v>44105</v>
      </c>
      <c r="B51" s="13">
        <v>50</v>
      </c>
      <c r="C51" s="13">
        <v>125271</v>
      </c>
      <c r="D51" s="13"/>
      <c r="E51" s="21">
        <v>124426</v>
      </c>
      <c r="F51" s="13" t="s">
        <v>86</v>
      </c>
      <c r="G51" s="21">
        <v>125618</v>
      </c>
      <c r="H51" s="12">
        <f>K51-K50</f>
        <v>327</v>
      </c>
      <c r="I51" s="12">
        <f>114/$K$114*(H51)</f>
        <v>0.17865170154747129</v>
      </c>
      <c r="J51" s="12">
        <f>$B$75/SQRT($K$75)*(SQRT(K52)-SQRT(K51))</f>
        <v>0.12363534037609233</v>
      </c>
      <c r="K51" s="19">
        <v>124426</v>
      </c>
      <c r="L51" s="11">
        <v>63100000</v>
      </c>
      <c r="M51" s="10">
        <f>L51*'[1]Inflation Rates by Year'!$D$2</f>
        <v>72207167.472000003</v>
      </c>
      <c r="N51" s="9">
        <f>M51/K51</f>
        <v>580.32217922299196</v>
      </c>
      <c r="O51" s="8" t="s">
        <v>85</v>
      </c>
      <c r="P51" s="7">
        <v>63100000</v>
      </c>
    </row>
    <row r="52" spans="1:16" ht="26.25" x14ac:dyDescent="0.25">
      <c r="A52" s="24">
        <v>44106</v>
      </c>
      <c r="B52" s="13">
        <v>51</v>
      </c>
      <c r="C52" s="13">
        <v>125598</v>
      </c>
      <c r="D52" s="13"/>
      <c r="E52" s="21">
        <v>124965</v>
      </c>
      <c r="F52" s="13" t="s">
        <v>84</v>
      </c>
      <c r="G52" s="21">
        <v>126148</v>
      </c>
      <c r="H52" s="12">
        <f>K52-K51</f>
        <v>539</v>
      </c>
      <c r="I52" s="12">
        <f>114/$K$114*(H52)</f>
        <v>0.29447482304002148</v>
      </c>
      <c r="J52" s="12">
        <f>$B$75/SQRT($K$75)*(SQRT(K53)-SQRT(K52))</f>
        <v>2.7718203795115783E-2</v>
      </c>
      <c r="K52" s="19">
        <v>124965</v>
      </c>
      <c r="L52" s="11">
        <v>65100000</v>
      </c>
      <c r="M52" s="10">
        <f>L52*'[1]Inflation Rates by Year'!$D$2</f>
        <v>74495825.712000012</v>
      </c>
      <c r="N52" s="9">
        <f>M52/K52</f>
        <v>596.13352308246317</v>
      </c>
      <c r="O52" s="8" t="s">
        <v>83</v>
      </c>
      <c r="P52" s="7">
        <v>65100000</v>
      </c>
    </row>
    <row r="53" spans="1:16" ht="26.25" x14ac:dyDescent="0.25">
      <c r="A53" s="24">
        <v>44107</v>
      </c>
      <c r="B53" s="13">
        <v>52</v>
      </c>
      <c r="C53" s="13">
        <v>125715</v>
      </c>
      <c r="D53" s="13"/>
      <c r="E53" s="21">
        <v>125086</v>
      </c>
      <c r="F53" s="13" t="s">
        <v>82</v>
      </c>
      <c r="G53" s="21">
        <v>126258</v>
      </c>
      <c r="H53" s="12">
        <f>K53-K52</f>
        <v>121</v>
      </c>
      <c r="I53" s="12">
        <f>114/$K$114*(H53)</f>
        <v>6.6106592927351757E-2</v>
      </c>
      <c r="J53" s="12">
        <f>$B$75/SQRT($K$75)*(SQRT(K54)-SQRT(K53))</f>
        <v>7.4154703327273933E-2</v>
      </c>
      <c r="K53" s="19">
        <v>125086</v>
      </c>
      <c r="L53" s="11">
        <v>66500000</v>
      </c>
      <c r="M53" s="10">
        <f>L53*'[1]Inflation Rates by Year'!$D$2</f>
        <v>76097886.480000004</v>
      </c>
      <c r="N53" s="9">
        <f>M53/K53</f>
        <v>608.36453703851748</v>
      </c>
      <c r="O53" s="8" t="s">
        <v>81</v>
      </c>
      <c r="P53" s="7">
        <v>66500000</v>
      </c>
    </row>
    <row r="54" spans="1:16" ht="26.25" x14ac:dyDescent="0.25">
      <c r="A54" s="24">
        <v>44108</v>
      </c>
      <c r="B54" s="13">
        <v>53</v>
      </c>
      <c r="C54" s="13">
        <v>126251</v>
      </c>
      <c r="D54" s="13"/>
      <c r="E54" s="21">
        <v>125410</v>
      </c>
      <c r="F54" s="13" t="s">
        <v>80</v>
      </c>
      <c r="G54" s="21">
        <v>126575</v>
      </c>
      <c r="H54" s="12">
        <f>K54-K53</f>
        <v>324</v>
      </c>
      <c r="I54" s="12">
        <f>114/$K$114*(H54)</f>
        <v>0.17701269511125595</v>
      </c>
      <c r="J54" s="12">
        <f>$B$75/SQRT($K$75)*(SQRT(K55)-SQRT(K54))</f>
        <v>0.36002647479733063</v>
      </c>
      <c r="K54" s="19">
        <v>125410</v>
      </c>
      <c r="L54" s="11">
        <v>68100000</v>
      </c>
      <c r="M54" s="10">
        <f>L54*'[1]Inflation Rates by Year'!$D$2</f>
        <v>77928813.072000012</v>
      </c>
      <c r="N54" s="9">
        <f>M54/K54</f>
        <v>621.39233770831686</v>
      </c>
      <c r="O54" s="8" t="s">
        <v>79</v>
      </c>
      <c r="P54" s="7">
        <v>68100000</v>
      </c>
    </row>
    <row r="55" spans="1:16" ht="26.25" x14ac:dyDescent="0.25">
      <c r="A55" s="24">
        <v>44109</v>
      </c>
      <c r="B55" s="13">
        <v>54</v>
      </c>
      <c r="C55" s="13">
        <v>127398</v>
      </c>
      <c r="D55" s="13"/>
      <c r="E55" s="21">
        <v>126989</v>
      </c>
      <c r="F55" s="13" t="s">
        <v>78</v>
      </c>
      <c r="G55" s="21">
        <v>128146</v>
      </c>
      <c r="H55" s="12">
        <f>K55-K54</f>
        <v>1579</v>
      </c>
      <c r="I55" s="12">
        <f>114/$K$114*(H55)</f>
        <v>0.86266372092800359</v>
      </c>
      <c r="J55" s="12">
        <f>$B$75/SQRT($K$75)*(SQRT(K56)-SQRT(K55))</f>
        <v>0.20760453566785544</v>
      </c>
      <c r="K55" s="19">
        <v>126989</v>
      </c>
      <c r="L55" s="11">
        <v>69300000</v>
      </c>
      <c r="M55" s="10">
        <f>L55*'[1]Inflation Rates by Year'!$D$2</f>
        <v>79302008.016000003</v>
      </c>
      <c r="N55" s="9">
        <f>M55/K55</f>
        <v>624.47934873099246</v>
      </c>
      <c r="O55" s="8" t="s">
        <v>77</v>
      </c>
      <c r="P55" s="7">
        <v>69300000</v>
      </c>
    </row>
    <row r="56" spans="1:16" ht="26.25" x14ac:dyDescent="0.25">
      <c r="A56" s="24">
        <v>44110</v>
      </c>
      <c r="B56" s="13">
        <v>55</v>
      </c>
      <c r="C56" s="13">
        <v>128149</v>
      </c>
      <c r="D56" s="13"/>
      <c r="E56" s="21">
        <v>127904</v>
      </c>
      <c r="F56" s="13" t="s">
        <v>76</v>
      </c>
      <c r="G56" s="21">
        <v>129058</v>
      </c>
      <c r="H56" s="12">
        <f>K56-K55</f>
        <v>915</v>
      </c>
      <c r="I56" s="12">
        <f>114/$K$114*(H56)</f>
        <v>0.49989696304567655</v>
      </c>
      <c r="J56" s="12">
        <f>$B$75/SQRT($K$75)*(SQRT(K57)-SQRT(K56))</f>
        <v>0.49097464567983096</v>
      </c>
      <c r="K56" s="19">
        <v>127904</v>
      </c>
      <c r="L56" s="11">
        <v>71000000</v>
      </c>
      <c r="M56" s="10">
        <f>L56*'[1]Inflation Rates by Year'!$D$2</f>
        <v>81247367.520000011</v>
      </c>
      <c r="N56" s="9">
        <f>M56/K56</f>
        <v>635.22147485614221</v>
      </c>
      <c r="O56" s="8" t="s">
        <v>75</v>
      </c>
      <c r="P56" s="7">
        <v>71000000</v>
      </c>
    </row>
    <row r="57" spans="1:16" ht="26.25" x14ac:dyDescent="0.25">
      <c r="A57" s="24">
        <v>44111</v>
      </c>
      <c r="B57" s="13">
        <v>56</v>
      </c>
      <c r="C57" s="13">
        <v>129055</v>
      </c>
      <c r="D57" s="13"/>
      <c r="E57" s="21">
        <v>130081</v>
      </c>
      <c r="F57" s="13" t="s">
        <v>74</v>
      </c>
      <c r="G57" s="21">
        <v>131253</v>
      </c>
      <c r="H57" s="12">
        <f>K57-K56</f>
        <v>2177</v>
      </c>
      <c r="I57" s="12">
        <f>114/$K$114*(H57)</f>
        <v>1.1893723372135931</v>
      </c>
      <c r="J57" s="12">
        <f>$B$75/SQRT($K$75)*(SQRT(K58)-SQRT(K57))</f>
        <v>0.57479373558795011</v>
      </c>
      <c r="K57" s="23">
        <v>130081</v>
      </c>
      <c r="L57" s="11">
        <v>72500000</v>
      </c>
      <c r="M57" s="10">
        <f>L57*'[1]Inflation Rates by Year'!$D$2</f>
        <v>82963861.200000003</v>
      </c>
      <c r="N57" s="9">
        <f>M57/K57</f>
        <v>637.78615785549005</v>
      </c>
      <c r="O57" s="8" t="s">
        <v>73</v>
      </c>
      <c r="P57" s="7">
        <v>72500000</v>
      </c>
    </row>
    <row r="58" spans="1:16" ht="26.25" x14ac:dyDescent="0.25">
      <c r="A58" s="24">
        <v>44112</v>
      </c>
      <c r="B58" s="13">
        <v>57</v>
      </c>
      <c r="C58" s="13">
        <v>131231</v>
      </c>
      <c r="D58" s="13"/>
      <c r="E58" s="20"/>
      <c r="F58" s="13" t="s">
        <v>72</v>
      </c>
      <c r="G58" s="25">
        <v>132653</v>
      </c>
      <c r="H58" s="12">
        <f>K58-K57</f>
        <v>2572</v>
      </c>
      <c r="I58" s="12">
        <f>114/$K$114*(H58)</f>
        <v>1.4051748513152786</v>
      </c>
      <c r="J58" s="12">
        <f>$B$75/SQRT($K$75)*(SQRT(K59)-SQRT(K58))</f>
        <v>0</v>
      </c>
      <c r="K58" s="19">
        <v>132653</v>
      </c>
      <c r="L58" s="11">
        <v>74000000</v>
      </c>
      <c r="M58" s="10">
        <f>L58*'[1]Inflation Rates by Year'!$D$2</f>
        <v>84680354.88000001</v>
      </c>
      <c r="N58" s="9">
        <f>M58/K58</f>
        <v>638.35989295379682</v>
      </c>
      <c r="O58" s="8" t="s">
        <v>71</v>
      </c>
      <c r="P58" s="7">
        <v>74000000</v>
      </c>
    </row>
    <row r="59" spans="1:16" ht="26.25" x14ac:dyDescent="0.25">
      <c r="A59" s="24">
        <v>44113</v>
      </c>
      <c r="B59" s="13">
        <v>58</v>
      </c>
      <c r="C59" s="13">
        <v>133884</v>
      </c>
      <c r="D59" s="13"/>
      <c r="E59" s="20"/>
      <c r="F59" s="13" t="s">
        <v>70</v>
      </c>
      <c r="G59" s="13" t="s">
        <v>65</v>
      </c>
      <c r="H59" s="12">
        <f>K59-K58</f>
        <v>0</v>
      </c>
      <c r="I59" s="12">
        <f>114/$K$114*(H59)</f>
        <v>0</v>
      </c>
      <c r="J59" s="12">
        <f>$B$75/SQRT($K$75)*(SQRT(K60)-SQRT(K59))</f>
        <v>0.16788999125670484</v>
      </c>
      <c r="K59" s="19">
        <v>132653</v>
      </c>
      <c r="L59" s="11">
        <v>75700000</v>
      </c>
      <c r="M59" s="10">
        <f>L59*'[1]Inflation Rates by Year'!$D$2</f>
        <v>86625714.384000003</v>
      </c>
      <c r="N59" s="9">
        <f>M59/K59</f>
        <v>653.02491752165429</v>
      </c>
      <c r="O59" s="8" t="s">
        <v>69</v>
      </c>
      <c r="P59" s="7">
        <v>75700000</v>
      </c>
    </row>
    <row r="60" spans="1:16" ht="26.25" x14ac:dyDescent="0.25">
      <c r="A60" s="22">
        <v>44114</v>
      </c>
      <c r="B60" s="13">
        <v>59</v>
      </c>
      <c r="C60" s="13">
        <v>134559</v>
      </c>
      <c r="D60" s="13"/>
      <c r="E60" s="21">
        <v>133409</v>
      </c>
      <c r="F60" s="13" t="s">
        <v>68</v>
      </c>
      <c r="G60" s="13" t="s">
        <v>65</v>
      </c>
      <c r="H60" s="12">
        <f>K60-K59</f>
        <v>756</v>
      </c>
      <c r="I60" s="12">
        <f>114/$K$114*(H60)</f>
        <v>0.41302962192626391</v>
      </c>
      <c r="J60" s="12">
        <f>$B$75/SQRT($K$75)*(SQRT(K61)-SQRT(K60))</f>
        <v>0</v>
      </c>
      <c r="K60" s="19">
        <v>133409</v>
      </c>
      <c r="L60" s="11">
        <v>77300000</v>
      </c>
      <c r="M60" s="10">
        <f>L60*'[1]Inflation Rates by Year'!$D$2</f>
        <v>88456640.976000011</v>
      </c>
      <c r="N60" s="9">
        <f>M60/K60</f>
        <v>663.04852728076821</v>
      </c>
      <c r="O60" s="8" t="s">
        <v>67</v>
      </c>
      <c r="P60" s="7">
        <v>77300000</v>
      </c>
    </row>
    <row r="61" spans="1:16" ht="39" x14ac:dyDescent="0.25">
      <c r="A61" s="22">
        <v>44115</v>
      </c>
      <c r="B61" s="13">
        <v>60</v>
      </c>
      <c r="C61" s="13">
        <v>134559</v>
      </c>
      <c r="D61" s="13"/>
      <c r="E61" s="20"/>
      <c r="F61" s="13" t="s">
        <v>66</v>
      </c>
      <c r="G61" s="13" t="s">
        <v>65</v>
      </c>
      <c r="H61" s="12">
        <f>K61-K60</f>
        <v>0</v>
      </c>
      <c r="I61" s="12">
        <f>114/$K$114*(H61)</f>
        <v>0</v>
      </c>
      <c r="J61" s="12">
        <f>$B$75/SQRT($K$75)*(SQRT(K62)-SQRT(K61))</f>
        <v>8.9523980201054523E-2</v>
      </c>
      <c r="K61" s="19">
        <v>133409</v>
      </c>
      <c r="L61" s="11">
        <v>78700000</v>
      </c>
      <c r="M61" s="10">
        <f>L61*'[1]Inflation Rates by Year'!$D$2</f>
        <v>90058701.744000003</v>
      </c>
      <c r="N61" s="9">
        <f>M61/K61</f>
        <v>675.05716813708227</v>
      </c>
      <c r="O61" s="8" t="s">
        <v>64</v>
      </c>
      <c r="P61" s="7">
        <v>78700000</v>
      </c>
    </row>
    <row r="62" spans="1:16" ht="39" x14ac:dyDescent="0.25">
      <c r="A62" s="22">
        <v>44116</v>
      </c>
      <c r="B62" s="13">
        <v>61</v>
      </c>
      <c r="C62" s="13">
        <v>134960</v>
      </c>
      <c r="D62" s="13"/>
      <c r="E62" s="21">
        <v>133813</v>
      </c>
      <c r="F62" s="13" t="s">
        <v>63</v>
      </c>
      <c r="G62" s="21">
        <v>135544</v>
      </c>
      <c r="H62" s="12">
        <f>K62-K61</f>
        <v>404</v>
      </c>
      <c r="I62" s="12">
        <f>114/$K$114*(H62)</f>
        <v>0.22071953341033149</v>
      </c>
      <c r="J62" s="12">
        <f>$B$75/SQRT($K$75)*(SQRT(K63)-SQRT(K62))</f>
        <v>0.12342751926093799</v>
      </c>
      <c r="K62" s="19">
        <v>133813</v>
      </c>
      <c r="L62" s="11">
        <v>80900000</v>
      </c>
      <c r="M62" s="10">
        <f>L62*'[1]Inflation Rates by Year'!$D$2</f>
        <v>92576225.808000013</v>
      </c>
      <c r="N62" s="9">
        <f>M62/K62</f>
        <v>691.83282497216271</v>
      </c>
      <c r="O62" s="8" t="s">
        <v>62</v>
      </c>
      <c r="P62" s="7">
        <v>80900000</v>
      </c>
    </row>
    <row r="63" spans="1:16" ht="39" x14ac:dyDescent="0.25">
      <c r="A63" s="22">
        <v>44117</v>
      </c>
      <c r="B63" s="13">
        <v>62</v>
      </c>
      <c r="C63" s="13">
        <v>135519</v>
      </c>
      <c r="D63" s="13"/>
      <c r="E63" s="21">
        <v>134371</v>
      </c>
      <c r="F63" s="13" t="s">
        <v>61</v>
      </c>
      <c r="G63" s="21">
        <v>135835</v>
      </c>
      <c r="H63" s="12">
        <f>K63-K62</f>
        <v>558</v>
      </c>
      <c r="I63" s="12">
        <f>114/$K$114*(H63)</f>
        <v>0.30485519713605191</v>
      </c>
      <c r="J63" s="12">
        <f>$B$75/SQRT($K$75)*(SQRT(K64)-SQRT(K63))</f>
        <v>0.32261843083615616</v>
      </c>
      <c r="K63" s="19">
        <v>134371</v>
      </c>
      <c r="L63" s="11">
        <v>81900000</v>
      </c>
      <c r="M63" s="10">
        <f>L63*'[1]Inflation Rates by Year'!$D$2</f>
        <v>93720554.928000003</v>
      </c>
      <c r="N63" s="9">
        <f>M63/K63</f>
        <v>697.47605456534518</v>
      </c>
      <c r="O63" s="8" t="s">
        <v>60</v>
      </c>
      <c r="P63" s="7">
        <v>81900000</v>
      </c>
    </row>
    <row r="64" spans="1:16" ht="39" x14ac:dyDescent="0.25">
      <c r="A64" s="22">
        <v>44118</v>
      </c>
      <c r="B64" s="13">
        <v>63</v>
      </c>
      <c r="C64" s="13">
        <v>158300</v>
      </c>
      <c r="D64" s="13"/>
      <c r="E64" s="20"/>
      <c r="F64" s="13" t="s">
        <v>59</v>
      </c>
      <c r="G64" s="21">
        <v>135835</v>
      </c>
      <c r="H64" s="12">
        <f>K64-K63</f>
        <v>1464</v>
      </c>
      <c r="I64" s="12">
        <f>114/$K$114*(H64)</f>
        <v>0.7998351408730825</v>
      </c>
      <c r="J64" s="12">
        <f>$B$75/SQRT($K$75)*(SQRT(K65)-SQRT(K64))</f>
        <v>6.5261589374619122</v>
      </c>
      <c r="K64" s="23">
        <v>135835</v>
      </c>
      <c r="L64" s="11">
        <v>84100000</v>
      </c>
      <c r="M64" s="10">
        <f>L64*'[1]Inflation Rates by Year'!$D$2</f>
        <v>96238078.992000014</v>
      </c>
      <c r="N64" s="9">
        <f>M64/K64</f>
        <v>708.49250187359678</v>
      </c>
      <c r="O64" s="8" t="s">
        <v>58</v>
      </c>
      <c r="P64" s="7">
        <v>84100000</v>
      </c>
    </row>
    <row r="65" spans="1:29" ht="39" x14ac:dyDescent="0.25">
      <c r="A65" s="22">
        <v>44119</v>
      </c>
      <c r="B65" s="13">
        <v>64</v>
      </c>
      <c r="C65" s="13">
        <v>167153</v>
      </c>
      <c r="D65" s="13"/>
      <c r="E65" s="20"/>
      <c r="F65" s="13" t="s">
        <v>57</v>
      </c>
      <c r="G65" s="21">
        <v>169171</v>
      </c>
      <c r="H65" s="12">
        <f>K65-K64</f>
        <v>31318</v>
      </c>
      <c r="I65" s="12">
        <f>114/$K$114*(H65)</f>
        <v>17.110134523130597</v>
      </c>
      <c r="J65" s="12">
        <f>$B$75/SQRT($K$75)*(SQRT(K66)-SQRT(K65))</f>
        <v>3.9222787702435715</v>
      </c>
      <c r="K65" s="19">
        <v>167153</v>
      </c>
      <c r="L65" s="11">
        <v>86500000</v>
      </c>
      <c r="M65" s="10">
        <f>L65*'[1]Inflation Rates by Year'!$D$2</f>
        <v>98984468.88000001</v>
      </c>
      <c r="N65" s="9">
        <f>M65/K65</f>
        <v>592.17883543819141</v>
      </c>
      <c r="O65" s="8" t="s">
        <v>56</v>
      </c>
      <c r="P65" s="7">
        <v>86500000</v>
      </c>
    </row>
    <row r="66" spans="1:29" ht="39" x14ac:dyDescent="0.25">
      <c r="A66" s="22">
        <v>44120</v>
      </c>
      <c r="B66" s="13">
        <v>65</v>
      </c>
      <c r="C66" s="13">
        <v>173536</v>
      </c>
      <c r="D66" s="13"/>
      <c r="E66" s="21">
        <v>172612</v>
      </c>
      <c r="F66" s="13" t="s">
        <v>55</v>
      </c>
      <c r="G66" s="21">
        <v>187537</v>
      </c>
      <c r="H66" s="12">
        <f>K66-K65</f>
        <v>20384</v>
      </c>
      <c r="I66" s="12">
        <f>114/$K$114*(H66)</f>
        <v>11.136502398604449</v>
      </c>
      <c r="J66" s="12">
        <f>$B$75/SQRT($K$75)*(SQRT(K67)-SQRT(K66))</f>
        <v>2.8800363471125134</v>
      </c>
      <c r="K66" s="19">
        <v>187537</v>
      </c>
      <c r="L66" s="11">
        <v>88700000</v>
      </c>
      <c r="M66" s="10">
        <f>L66*'[1]Inflation Rates by Year'!$D$2</f>
        <v>101501992.94400001</v>
      </c>
      <c r="N66" s="9">
        <f>M66/K66</f>
        <v>541.2371582354416</v>
      </c>
      <c r="O66" s="8" t="s">
        <v>54</v>
      </c>
      <c r="P66" s="7">
        <v>88700000</v>
      </c>
    </row>
    <row r="67" spans="1:29" ht="39" x14ac:dyDescent="0.25">
      <c r="A67" s="22">
        <v>44121</v>
      </c>
      <c r="B67" s="13">
        <v>66</v>
      </c>
      <c r="C67" s="13">
        <v>199356</v>
      </c>
      <c r="D67" s="13"/>
      <c r="E67" s="21">
        <v>187578</v>
      </c>
      <c r="F67" s="13" t="s">
        <v>53</v>
      </c>
      <c r="G67" s="21">
        <v>203251</v>
      </c>
      <c r="H67" s="12">
        <f>K67-K66</f>
        <v>15714</v>
      </c>
      <c r="I67" s="12">
        <f>114/$K$114*(H67)</f>
        <v>8.585115712895913</v>
      </c>
      <c r="J67" s="12">
        <f>$B$75/SQRT($K$75)*(SQRT(K68)-SQRT(K67))</f>
        <v>4.6711317291460927E-3</v>
      </c>
      <c r="K67" s="19">
        <v>203251</v>
      </c>
      <c r="L67" s="11">
        <v>90600000</v>
      </c>
      <c r="M67" s="10">
        <f>L67*'[1]Inflation Rates by Year'!$D$2</f>
        <v>103676218.27200001</v>
      </c>
      <c r="N67" s="9">
        <f>M67/K67</f>
        <v>510.08958515333268</v>
      </c>
      <c r="O67" s="8" t="s">
        <v>52</v>
      </c>
      <c r="P67" s="7">
        <v>90600000</v>
      </c>
    </row>
    <row r="68" spans="1:29" ht="39" x14ac:dyDescent="0.25">
      <c r="A68" s="22">
        <v>44122</v>
      </c>
      <c r="B68" s="13">
        <v>67</v>
      </c>
      <c r="C68" s="13">
        <v>203253</v>
      </c>
      <c r="D68" s="13"/>
      <c r="E68" s="21">
        <v>203277</v>
      </c>
      <c r="F68" s="13" t="s">
        <v>51</v>
      </c>
      <c r="G68" s="21">
        <v>203604</v>
      </c>
      <c r="H68" s="12">
        <f>K68-K67</f>
        <v>26</v>
      </c>
      <c r="I68" s="12">
        <f>114/$K$114*(H68)</f>
        <v>1.4204722447199551E-2</v>
      </c>
      <c r="J68" s="12">
        <f>$B$75/SQRT($K$75)*(SQRT(K69)-SQRT(K68))</f>
        <v>0.30978372111345243</v>
      </c>
      <c r="K68" s="23">
        <v>203277</v>
      </c>
      <c r="L68" s="11">
        <v>92000000</v>
      </c>
      <c r="M68" s="10">
        <f>L68*'[1]Inflation Rates by Year'!$D$2</f>
        <v>105278279.04000001</v>
      </c>
      <c r="N68" s="9">
        <f>M68/K68</f>
        <v>517.90551336353849</v>
      </c>
      <c r="O68" s="8" t="s">
        <v>50</v>
      </c>
      <c r="P68" s="7">
        <v>92000000</v>
      </c>
    </row>
    <row r="69" spans="1:29" ht="39" x14ac:dyDescent="0.25">
      <c r="A69" s="22">
        <v>44123</v>
      </c>
      <c r="B69" s="13">
        <v>68</v>
      </c>
      <c r="C69" s="13">
        <v>204404</v>
      </c>
      <c r="D69" s="13"/>
      <c r="E69" s="21">
        <v>203630</v>
      </c>
      <c r="F69" s="13" t="s">
        <v>49</v>
      </c>
      <c r="G69" s="21">
        <v>205005</v>
      </c>
      <c r="H69" s="12">
        <f>K69-K68</f>
        <v>1728</v>
      </c>
      <c r="I69" s="12">
        <f>114/$K$114*(H69)</f>
        <v>0.94406770726003175</v>
      </c>
      <c r="J69" s="12">
        <f>$B$75/SQRT($K$75)*(SQRT(K70)-SQRT(K69))</f>
        <v>1.180608101290059E-2</v>
      </c>
      <c r="K69" s="19">
        <v>205005</v>
      </c>
      <c r="L69" s="11">
        <v>93800000</v>
      </c>
      <c r="M69" s="10">
        <f>L69*'[1]Inflation Rates by Year'!$D$2</f>
        <v>107338071.45600002</v>
      </c>
      <c r="N69" s="9">
        <f>M69/K69</f>
        <v>523.58757813711873</v>
      </c>
      <c r="O69" s="8" t="s">
        <v>48</v>
      </c>
      <c r="P69" s="7">
        <v>93800000</v>
      </c>
    </row>
    <row r="70" spans="1:29" x14ac:dyDescent="0.25">
      <c r="A70" s="22">
        <v>44124</v>
      </c>
      <c r="B70" s="13">
        <v>69</v>
      </c>
      <c r="C70" s="13">
        <v>205005</v>
      </c>
      <c r="D70" s="13"/>
      <c r="E70" s="21">
        <v>205071</v>
      </c>
      <c r="F70" s="20"/>
      <c r="G70" s="20"/>
      <c r="H70" s="12">
        <f>K70-K69</f>
        <v>66</v>
      </c>
      <c r="I70" s="12">
        <f>114/$K$114*(H70)</f>
        <v>3.6058141596737321E-2</v>
      </c>
      <c r="J70" s="12">
        <f>$B$75/SQRT($K$75)*(SQRT(K71)-SQRT(K70))</f>
        <v>0.18007553324006381</v>
      </c>
      <c r="K70" s="19">
        <v>205071</v>
      </c>
      <c r="L70" s="11">
        <v>96400000</v>
      </c>
      <c r="M70" s="10">
        <f>L70*'[1]Inflation Rates by Year'!$D$2</f>
        <v>110313327.16800001</v>
      </c>
      <c r="N70" s="9">
        <f>M70/K70</f>
        <v>537.92748447123199</v>
      </c>
      <c r="O70" s="8" t="s">
        <v>47</v>
      </c>
      <c r="P70" s="7">
        <v>96400000</v>
      </c>
    </row>
    <row r="71" spans="1:29" ht="39" x14ac:dyDescent="0.25">
      <c r="A71" s="22">
        <v>44125</v>
      </c>
      <c r="B71" s="13">
        <v>70</v>
      </c>
      <c r="C71" s="13">
        <v>206667</v>
      </c>
      <c r="D71" s="13"/>
      <c r="E71" s="21">
        <v>206079</v>
      </c>
      <c r="F71" s="13" t="s">
        <v>46</v>
      </c>
      <c r="G71" s="21">
        <v>206977</v>
      </c>
      <c r="H71" s="12">
        <f>K71-K70</f>
        <v>1008</v>
      </c>
      <c r="I71" s="12">
        <f>114/$K$114*(H71)</f>
        <v>0.55070616256835181</v>
      </c>
      <c r="J71" s="12">
        <f>$B$75/SQRT($K$75)*(SQRT(K72)-SQRT(K71))</f>
        <v>0.2362156819372265</v>
      </c>
      <c r="K71" s="19">
        <v>206079</v>
      </c>
      <c r="L71" s="11">
        <v>98600000</v>
      </c>
      <c r="M71" s="10">
        <f>L71*'[1]Inflation Rates by Year'!$D$2</f>
        <v>112830851.23200001</v>
      </c>
      <c r="N71" s="9">
        <f>M71/K71</f>
        <v>547.51261036786866</v>
      </c>
      <c r="O71" s="8" t="s">
        <v>45</v>
      </c>
      <c r="P71" s="7">
        <v>98600000</v>
      </c>
    </row>
    <row r="72" spans="1:29" x14ac:dyDescent="0.25">
      <c r="A72" s="22">
        <v>44126</v>
      </c>
      <c r="B72" s="13">
        <v>71</v>
      </c>
      <c r="C72" s="13">
        <v>206977</v>
      </c>
      <c r="D72" s="13"/>
      <c r="E72" s="21">
        <v>207405</v>
      </c>
      <c r="F72" s="20"/>
      <c r="G72" s="20"/>
      <c r="H72" s="12">
        <f>K72-K71</f>
        <v>1326</v>
      </c>
      <c r="I72" s="12">
        <f>114/$K$114*(H72)</f>
        <v>0.72444084480717719</v>
      </c>
      <c r="J72" s="12">
        <f>$B$75/SQRT($K$75)*(SQRT(K73)-SQRT(K72))</f>
        <v>1.0492778832043725E-2</v>
      </c>
      <c r="K72" s="19">
        <v>207405</v>
      </c>
      <c r="L72" s="11">
        <v>100500000</v>
      </c>
      <c r="M72" s="10">
        <f>L72*'[1]Inflation Rates by Year'!$D$2</f>
        <v>115005076.56</v>
      </c>
      <c r="N72" s="9">
        <f>M72/K72</f>
        <v>554.49519809069216</v>
      </c>
      <c r="O72" s="8" t="s">
        <v>44</v>
      </c>
      <c r="P72" s="7">
        <v>100500000</v>
      </c>
    </row>
    <row r="73" spans="1:29" ht="39" x14ac:dyDescent="0.25">
      <c r="A73" s="22">
        <v>44127</v>
      </c>
      <c r="B73" s="13">
        <v>72</v>
      </c>
      <c r="C73" s="13">
        <v>206977</v>
      </c>
      <c r="D73" s="13"/>
      <c r="E73" s="20"/>
      <c r="F73" s="13" t="s">
        <v>43</v>
      </c>
      <c r="G73" s="21">
        <v>207464</v>
      </c>
      <c r="H73" s="12">
        <f>K73-K72</f>
        <v>59</v>
      </c>
      <c r="I73" s="12">
        <f>114/$K$114*(H73)</f>
        <v>3.2233793245568215E-2</v>
      </c>
      <c r="J73" s="12">
        <f>$B$75/SQRT($K$75)*(SQRT(K74)-SQRT(K73))</f>
        <v>0.13431803175376614</v>
      </c>
      <c r="K73" s="23">
        <v>207464</v>
      </c>
      <c r="L73" s="11">
        <v>101800000</v>
      </c>
      <c r="M73" s="10">
        <f>L73*'[1]Inflation Rates by Year'!$D$2</f>
        <v>116492704.41600001</v>
      </c>
      <c r="N73" s="9">
        <f>M73/K73</f>
        <v>561.50804195426679</v>
      </c>
      <c r="O73" s="8" t="s">
        <v>42</v>
      </c>
      <c r="P73" s="7">
        <v>101800000</v>
      </c>
    </row>
    <row r="74" spans="1:29" x14ac:dyDescent="0.25">
      <c r="A74" s="22">
        <v>44128</v>
      </c>
      <c r="B74" s="13">
        <v>73</v>
      </c>
      <c r="C74" s="13">
        <v>208151</v>
      </c>
      <c r="D74" s="13"/>
      <c r="E74" s="21">
        <v>208220</v>
      </c>
      <c r="F74" s="20"/>
      <c r="G74" s="20"/>
      <c r="H74" s="12">
        <f>K74-K73</f>
        <v>756</v>
      </c>
      <c r="I74" s="12">
        <f>114/$K$114*(H74)</f>
        <v>0.41302962192626391</v>
      </c>
      <c r="J74" s="12">
        <f>$B$75/SQRT($K$75)*(SQRT(K75)-SQRT(K74))</f>
        <v>7.8594235376560809E-2</v>
      </c>
      <c r="K74" s="19">
        <v>208220</v>
      </c>
      <c r="L74" s="11">
        <v>104200000</v>
      </c>
      <c r="M74" s="10">
        <f>L74*'[1]Inflation Rates by Year'!$D$2</f>
        <v>119239094.30400001</v>
      </c>
      <c r="N74" s="9">
        <f>M74/K74</f>
        <v>572.65917925271356</v>
      </c>
      <c r="O74" s="8" t="s">
        <v>41</v>
      </c>
      <c r="P74" s="7">
        <v>104200000</v>
      </c>
    </row>
    <row r="75" spans="1:29" x14ac:dyDescent="0.25">
      <c r="A75" s="18">
        <v>44129</v>
      </c>
      <c r="B75" s="14">
        <v>74</v>
      </c>
      <c r="C75" s="14">
        <v>208663</v>
      </c>
      <c r="D75" s="14"/>
      <c r="E75" s="17">
        <v>208663</v>
      </c>
      <c r="F75" s="16"/>
      <c r="G75" s="16"/>
      <c r="H75" s="12">
        <f>K75-K74</f>
        <v>443</v>
      </c>
      <c r="I75" s="12">
        <f>114/$K$114*(H75)</f>
        <v>0.24202661708113082</v>
      </c>
      <c r="J75" s="12"/>
      <c r="K75" s="1">
        <v>208663</v>
      </c>
      <c r="L75" s="11">
        <v>105800000</v>
      </c>
      <c r="M75" s="10">
        <f>L75*'[1]Inflation Rates by Year'!$D$2</f>
        <v>121070020.89600001</v>
      </c>
      <c r="N75" s="9">
        <f>M75/K75</f>
        <v>580.21796339552293</v>
      </c>
      <c r="O75" s="8" t="s">
        <v>40</v>
      </c>
      <c r="P75" s="7">
        <v>105800000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x14ac:dyDescent="0.25">
      <c r="A76" s="3"/>
      <c r="B76" s="13">
        <v>75</v>
      </c>
      <c r="C76" s="3"/>
      <c r="D76" s="3"/>
      <c r="E76" s="3"/>
      <c r="F76" s="3"/>
      <c r="G76" s="3"/>
      <c r="H76" s="12">
        <f>K76-K75</f>
        <v>0</v>
      </c>
      <c r="I76" s="12">
        <f>114/$K$114*(H76)</f>
        <v>0</v>
      </c>
      <c r="J76" s="2"/>
      <c r="K76" s="1">
        <v>208663</v>
      </c>
      <c r="L76" s="11">
        <v>107000000</v>
      </c>
      <c r="M76" s="10">
        <f>L76*'[1]Inflation Rates by Year'!$D$2</f>
        <v>122443215.84</v>
      </c>
      <c r="N76" s="9">
        <f>M76/K76</f>
        <v>586.79888547562336</v>
      </c>
      <c r="O76" s="8" t="s">
        <v>39</v>
      </c>
      <c r="P76" s="7">
        <v>107000000</v>
      </c>
    </row>
    <row r="77" spans="1:29" x14ac:dyDescent="0.25">
      <c r="A77" s="3"/>
      <c r="B77" s="13">
        <v>76</v>
      </c>
      <c r="C77" s="3"/>
      <c r="D77" s="3"/>
      <c r="E77" s="3"/>
      <c r="F77" s="3"/>
      <c r="G77" s="3"/>
      <c r="H77" s="12">
        <f>K77-K76</f>
        <v>0</v>
      </c>
      <c r="I77" s="12">
        <f>114/$K$114*(H77)</f>
        <v>0</v>
      </c>
      <c r="J77" s="2"/>
      <c r="K77" s="1">
        <v>208663</v>
      </c>
      <c r="L77" s="11">
        <v>108400000</v>
      </c>
      <c r="M77" s="10">
        <f>L77*'[1]Inflation Rates by Year'!$D$2</f>
        <v>124045276.60800001</v>
      </c>
      <c r="N77" s="9">
        <f>M77/K77</f>
        <v>594.47662790240724</v>
      </c>
      <c r="O77" s="8" t="s">
        <v>38</v>
      </c>
      <c r="P77" s="7">
        <v>108400000</v>
      </c>
    </row>
    <row r="78" spans="1:29" x14ac:dyDescent="0.25">
      <c r="A78" s="3"/>
      <c r="B78" s="14">
        <v>77</v>
      </c>
      <c r="C78" s="3"/>
      <c r="D78" s="3"/>
      <c r="E78" s="3"/>
      <c r="F78" s="3"/>
      <c r="G78" s="3"/>
      <c r="H78" s="12">
        <f>K78-K77</f>
        <v>0</v>
      </c>
      <c r="I78" s="12">
        <f>114/$K$114*(H78)</f>
        <v>0</v>
      </c>
      <c r="J78" s="2"/>
      <c r="K78" s="1">
        <v>208663</v>
      </c>
      <c r="L78" s="11">
        <v>109900000</v>
      </c>
      <c r="M78" s="10">
        <f>L78*'[1]Inflation Rates by Year'!$D$2</f>
        <v>125761770.288</v>
      </c>
      <c r="N78" s="9">
        <f>M78/K78</f>
        <v>602.70278050253285</v>
      </c>
      <c r="O78" s="8" t="s">
        <v>37</v>
      </c>
      <c r="P78" s="7">
        <v>109900000</v>
      </c>
    </row>
    <row r="79" spans="1:29" x14ac:dyDescent="0.25">
      <c r="A79" s="3"/>
      <c r="B79" s="13">
        <v>78</v>
      </c>
      <c r="C79" s="3"/>
      <c r="D79" s="3"/>
      <c r="E79" s="3"/>
      <c r="F79" s="3"/>
      <c r="G79" s="3"/>
      <c r="H79" s="12">
        <f>K79-K78</f>
        <v>0</v>
      </c>
      <c r="I79" s="12">
        <f>114/$K$114*(H79)</f>
        <v>0</v>
      </c>
      <c r="J79" s="2"/>
      <c r="K79" s="1">
        <v>208663</v>
      </c>
      <c r="L79" s="11">
        <v>111400000</v>
      </c>
      <c r="M79" s="10">
        <f>L79*'[1]Inflation Rates by Year'!$D$2</f>
        <v>127478263.96800001</v>
      </c>
      <c r="N79" s="9">
        <f>M79/K79</f>
        <v>610.92893310265845</v>
      </c>
      <c r="O79" s="8" t="s">
        <v>36</v>
      </c>
      <c r="P79" s="7">
        <v>111400000</v>
      </c>
    </row>
    <row r="80" spans="1:29" x14ac:dyDescent="0.25">
      <c r="A80" s="3"/>
      <c r="B80" s="13">
        <v>79</v>
      </c>
      <c r="C80" s="3"/>
      <c r="D80" s="3"/>
      <c r="E80" s="3"/>
      <c r="F80" s="3"/>
      <c r="G80" s="3"/>
      <c r="H80" s="12">
        <f>K80-K79</f>
        <v>0</v>
      </c>
      <c r="I80" s="12">
        <f>114/$K$114*(H80)</f>
        <v>0</v>
      </c>
      <c r="J80" s="2"/>
      <c r="K80" s="1">
        <v>208663</v>
      </c>
      <c r="L80" s="11">
        <v>113400000</v>
      </c>
      <c r="M80" s="10">
        <f>L80*'[1]Inflation Rates by Year'!$D$2</f>
        <v>129766922.208</v>
      </c>
      <c r="N80" s="9">
        <f>M80/K80</f>
        <v>621.89713656949243</v>
      </c>
      <c r="O80" s="8" t="s">
        <v>35</v>
      </c>
      <c r="P80" s="7">
        <v>113400000</v>
      </c>
    </row>
    <row r="81" spans="1:16" x14ac:dyDescent="0.25">
      <c r="A81" s="3"/>
      <c r="B81" s="14">
        <v>80</v>
      </c>
      <c r="C81" s="3"/>
      <c r="D81" s="3"/>
      <c r="E81" s="3"/>
      <c r="F81" s="3"/>
      <c r="G81" s="3"/>
      <c r="H81" s="12">
        <f>K81-K80</f>
        <v>0</v>
      </c>
      <c r="I81" s="12">
        <f>114/$K$114*(H81)</f>
        <v>0</v>
      </c>
      <c r="J81" s="2"/>
      <c r="K81" s="1">
        <v>208663</v>
      </c>
      <c r="L81" s="11">
        <v>114900000</v>
      </c>
      <c r="M81" s="10">
        <f>L81*'[1]Inflation Rates by Year'!$D$2</f>
        <v>131483415.88800001</v>
      </c>
      <c r="N81" s="9">
        <f>M81/K81</f>
        <v>630.12328916961803</v>
      </c>
      <c r="O81" s="8" t="s">
        <v>34</v>
      </c>
      <c r="P81" s="7">
        <v>114900000</v>
      </c>
    </row>
    <row r="82" spans="1:16" x14ac:dyDescent="0.25">
      <c r="A82" s="3"/>
      <c r="B82" s="13">
        <v>81</v>
      </c>
      <c r="C82" s="3"/>
      <c r="D82" s="3"/>
      <c r="E82" s="3"/>
      <c r="F82" s="3"/>
      <c r="G82" s="3"/>
      <c r="H82" s="12">
        <f>K82-K81</f>
        <v>0</v>
      </c>
      <c r="I82" s="12">
        <f>114/$K$114*(H82)</f>
        <v>0</v>
      </c>
      <c r="J82" s="2"/>
      <c r="K82" s="1">
        <v>208663</v>
      </c>
      <c r="L82" s="11">
        <v>116200000</v>
      </c>
      <c r="M82" s="10">
        <f>L82*'[1]Inflation Rates by Year'!$D$2</f>
        <v>132971043.74400002</v>
      </c>
      <c r="N82" s="9">
        <f>M82/K82</f>
        <v>637.25262142306019</v>
      </c>
      <c r="O82" s="8" t="s">
        <v>33</v>
      </c>
      <c r="P82" s="7">
        <v>116200000</v>
      </c>
    </row>
    <row r="83" spans="1:16" x14ac:dyDescent="0.25">
      <c r="A83" s="3"/>
      <c r="B83" s="13">
        <v>82</v>
      </c>
      <c r="C83" s="3"/>
      <c r="D83" s="3"/>
      <c r="E83" s="3"/>
      <c r="F83" s="3"/>
      <c r="G83" s="3"/>
      <c r="H83" s="12">
        <f>K83-K82</f>
        <v>0</v>
      </c>
      <c r="I83" s="12">
        <f>114/$K$114*(H83)</f>
        <v>0</v>
      </c>
      <c r="J83" s="2"/>
      <c r="K83" s="1">
        <v>208663</v>
      </c>
      <c r="L83" s="11">
        <v>117500000</v>
      </c>
      <c r="M83" s="10">
        <f>L83*'[1]Inflation Rates by Year'!$D$2</f>
        <v>134458671.60000002</v>
      </c>
      <c r="N83" s="9">
        <f>M83/K83</f>
        <v>644.38195367650246</v>
      </c>
      <c r="O83" s="8" t="s">
        <v>32</v>
      </c>
      <c r="P83" s="7">
        <v>117500000</v>
      </c>
    </row>
    <row r="84" spans="1:16" x14ac:dyDescent="0.25">
      <c r="A84" s="3"/>
      <c r="B84" s="14">
        <v>83</v>
      </c>
      <c r="C84" s="3"/>
      <c r="D84" s="3"/>
      <c r="E84" s="3"/>
      <c r="F84" s="3"/>
      <c r="G84" s="3"/>
      <c r="H84" s="12">
        <f>K84-K83</f>
        <v>0</v>
      </c>
      <c r="I84" s="12">
        <f>114/$K$114*(H84)</f>
        <v>0</v>
      </c>
      <c r="J84" s="2"/>
      <c r="K84" s="1">
        <v>208663</v>
      </c>
      <c r="L84" s="11">
        <v>118800000</v>
      </c>
      <c r="M84" s="10">
        <f>L84*'[1]Inflation Rates by Year'!$D$2</f>
        <v>135946299.456</v>
      </c>
      <c r="N84" s="9">
        <f>M84/K84</f>
        <v>651.51128592994451</v>
      </c>
      <c r="O84" s="8" t="s">
        <v>31</v>
      </c>
      <c r="P84" s="7">
        <v>118800000</v>
      </c>
    </row>
    <row r="85" spans="1:16" x14ac:dyDescent="0.25">
      <c r="A85" s="3"/>
      <c r="B85" s="13">
        <v>84</v>
      </c>
      <c r="C85" s="3"/>
      <c r="D85" s="3"/>
      <c r="E85" s="3"/>
      <c r="F85" s="3"/>
      <c r="G85" s="3"/>
      <c r="H85" s="12">
        <f>K85-K84</f>
        <v>0</v>
      </c>
      <c r="I85" s="12">
        <f>114/$K$114*(H85)</f>
        <v>0</v>
      </c>
      <c r="J85" s="2"/>
      <c r="K85" s="1">
        <v>208663</v>
      </c>
      <c r="L85" s="11">
        <v>119900000</v>
      </c>
      <c r="M85" s="10">
        <f>L85*'[1]Inflation Rates by Year'!$D$2</f>
        <v>137205061.48800001</v>
      </c>
      <c r="N85" s="9">
        <f>M85/K85</f>
        <v>657.54379783670322</v>
      </c>
      <c r="O85" s="8" t="s">
        <v>30</v>
      </c>
      <c r="P85" s="7">
        <v>119900000</v>
      </c>
    </row>
    <row r="86" spans="1:16" x14ac:dyDescent="0.25">
      <c r="A86" s="3"/>
      <c r="B86" s="13">
        <v>85</v>
      </c>
      <c r="C86" s="3"/>
      <c r="D86" s="3"/>
      <c r="E86" s="3"/>
      <c r="F86" s="3"/>
      <c r="G86" s="3"/>
      <c r="H86" s="12">
        <f>K86-K85</f>
        <v>0</v>
      </c>
      <c r="I86" s="12">
        <f>114/$K$114*(H86)</f>
        <v>0</v>
      </c>
      <c r="J86" s="2"/>
      <c r="K86" s="1">
        <v>208663</v>
      </c>
      <c r="L86" s="11">
        <v>120900000</v>
      </c>
      <c r="M86" s="10">
        <f>L86*'[1]Inflation Rates by Year'!$D$2</f>
        <v>138349390.60800001</v>
      </c>
      <c r="N86" s="9">
        <f>M86/K86</f>
        <v>663.02789957012033</v>
      </c>
      <c r="O86" s="8" t="s">
        <v>29</v>
      </c>
      <c r="P86" s="7">
        <v>120900000</v>
      </c>
    </row>
    <row r="87" spans="1:16" x14ac:dyDescent="0.25">
      <c r="A87" s="3"/>
      <c r="B87" s="14">
        <v>86</v>
      </c>
      <c r="C87" s="3"/>
      <c r="D87" s="3"/>
      <c r="E87" s="3"/>
      <c r="F87" s="3"/>
      <c r="G87" s="3"/>
      <c r="H87" s="12">
        <f>K87-K86</f>
        <v>0</v>
      </c>
      <c r="I87" s="12">
        <f>114/$K$114*(H87)</f>
        <v>0</v>
      </c>
      <c r="J87" s="2"/>
      <c r="K87" s="1">
        <v>208663</v>
      </c>
      <c r="L87" s="11">
        <v>121600000</v>
      </c>
      <c r="M87" s="10">
        <f>L87*'[1]Inflation Rates by Year'!$D$2</f>
        <v>139150420.99200001</v>
      </c>
      <c r="N87" s="9">
        <f>M87/K87</f>
        <v>666.86677078351227</v>
      </c>
      <c r="O87" s="8" t="s">
        <v>28</v>
      </c>
      <c r="P87" s="7">
        <v>121600000</v>
      </c>
    </row>
    <row r="88" spans="1:16" x14ac:dyDescent="0.25">
      <c r="A88" s="3"/>
      <c r="B88" s="13">
        <v>87</v>
      </c>
      <c r="C88" s="3"/>
      <c r="D88" s="3"/>
      <c r="E88" s="3"/>
      <c r="F88" s="3"/>
      <c r="G88" s="3"/>
      <c r="H88" s="12">
        <f>K88-K87</f>
        <v>0</v>
      </c>
      <c r="I88" s="12">
        <f>114/$K$114*(H88)</f>
        <v>0</v>
      </c>
      <c r="J88" s="2"/>
      <c r="K88" s="1">
        <v>208663</v>
      </c>
      <c r="L88" s="11">
        <v>123041466</v>
      </c>
      <c r="M88" s="10">
        <f>L88*'[1]Inflation Rates by Year'!$D$2</f>
        <v>140799932.51128992</v>
      </c>
      <c r="N88" s="9">
        <f>M88/K88</f>
        <v>674.77191697277397</v>
      </c>
      <c r="O88" s="8" t="s">
        <v>27</v>
      </c>
      <c r="P88" s="7">
        <v>123041466</v>
      </c>
    </row>
    <row r="89" spans="1:16" x14ac:dyDescent="0.25">
      <c r="A89" s="3"/>
      <c r="B89" s="13">
        <v>88</v>
      </c>
      <c r="C89" s="3"/>
      <c r="D89" s="3"/>
      <c r="E89" s="3"/>
      <c r="F89" s="3"/>
      <c r="G89" s="3"/>
      <c r="H89" s="12">
        <f>K89-K88</f>
        <v>0</v>
      </c>
      <c r="I89" s="12">
        <f>114/$K$114*(H89)</f>
        <v>0</v>
      </c>
      <c r="J89" s="2"/>
      <c r="K89" s="1">
        <v>208663</v>
      </c>
      <c r="L89" s="11">
        <v>122800000</v>
      </c>
      <c r="M89" s="10">
        <f>L89*'[1]Inflation Rates by Year'!$D$2</f>
        <v>140523615.93600002</v>
      </c>
      <c r="N89" s="9">
        <f>M89/K89</f>
        <v>673.4476928636127</v>
      </c>
      <c r="O89" s="8" t="s">
        <v>26</v>
      </c>
      <c r="P89" s="7">
        <v>122800000</v>
      </c>
    </row>
    <row r="90" spans="1:16" x14ac:dyDescent="0.25">
      <c r="A90" s="3"/>
      <c r="B90" s="14">
        <v>89</v>
      </c>
      <c r="C90" s="3"/>
      <c r="D90" s="3"/>
      <c r="E90" s="3"/>
      <c r="F90" s="3"/>
      <c r="G90" s="3"/>
      <c r="H90" s="12">
        <f>K90-K89</f>
        <v>0</v>
      </c>
      <c r="I90" s="12">
        <f>114/$K$114*(H90)</f>
        <v>0</v>
      </c>
      <c r="J90" s="2"/>
      <c r="K90" s="1">
        <v>208663</v>
      </c>
      <c r="L90" s="11">
        <v>123700000</v>
      </c>
      <c r="M90" s="10">
        <f>L90*'[1]Inflation Rates by Year'!$D$2</f>
        <v>141553512.14400002</v>
      </c>
      <c r="N90" s="9">
        <f>M90/K90</f>
        <v>678.38338442368809</v>
      </c>
      <c r="O90" s="8" t="s">
        <v>25</v>
      </c>
      <c r="P90" s="7">
        <v>123700000</v>
      </c>
    </row>
    <row r="91" spans="1:16" x14ac:dyDescent="0.25">
      <c r="A91" s="3"/>
      <c r="B91" s="13">
        <v>90</v>
      </c>
      <c r="C91" s="3"/>
      <c r="D91" s="3"/>
      <c r="E91" s="3"/>
      <c r="F91" s="3"/>
      <c r="G91" s="3"/>
      <c r="H91" s="12">
        <f>K91-K90</f>
        <v>0</v>
      </c>
      <c r="I91" s="12">
        <f>114/$K$114*(H91)</f>
        <v>0</v>
      </c>
      <c r="J91" s="2"/>
      <c r="K91" s="1">
        <v>208663</v>
      </c>
      <c r="L91" s="11">
        <v>124600000</v>
      </c>
      <c r="M91" s="10">
        <f>L91*'[1]Inflation Rates by Year'!$D$2</f>
        <v>142583408.352</v>
      </c>
      <c r="N91" s="9">
        <f>M91/K91</f>
        <v>683.31907598376324</v>
      </c>
      <c r="O91" s="8" t="s">
        <v>24</v>
      </c>
      <c r="P91" s="7">
        <v>124600000</v>
      </c>
    </row>
    <row r="92" spans="1:16" x14ac:dyDescent="0.25">
      <c r="A92" s="3"/>
      <c r="B92" s="13">
        <v>91</v>
      </c>
      <c r="C92" s="3"/>
      <c r="D92" s="3"/>
      <c r="E92" s="3"/>
      <c r="F92" s="3"/>
      <c r="G92" s="3"/>
      <c r="H92" s="12">
        <f>K92-K91</f>
        <v>0</v>
      </c>
      <c r="I92" s="12">
        <f>114/$K$114*(H92)</f>
        <v>0</v>
      </c>
      <c r="J92" s="2"/>
      <c r="K92" s="1">
        <v>208663</v>
      </c>
      <c r="L92" s="11">
        <v>125404000</v>
      </c>
      <c r="M92" s="10">
        <f>L92*'[1]Inflation Rates by Year'!$D$2</f>
        <v>143503448.96448001</v>
      </c>
      <c r="N92" s="9">
        <f>M92/K92</f>
        <v>687.72829377743062</v>
      </c>
      <c r="O92" s="8" t="s">
        <v>23</v>
      </c>
      <c r="P92" s="7">
        <v>125404000</v>
      </c>
    </row>
    <row r="93" spans="1:16" x14ac:dyDescent="0.25">
      <c r="A93" s="3"/>
      <c r="B93" s="14">
        <v>92</v>
      </c>
      <c r="C93" s="3"/>
      <c r="D93" s="3"/>
      <c r="E93" s="3"/>
      <c r="F93" s="3"/>
      <c r="G93" s="3"/>
      <c r="H93" s="12">
        <f>K93-K92</f>
        <v>0</v>
      </c>
      <c r="I93" s="12">
        <f>114/$K$114*(H93)</f>
        <v>0</v>
      </c>
      <c r="J93" s="2"/>
      <c r="K93" s="1">
        <v>208663</v>
      </c>
      <c r="L93" s="11">
        <v>126600000</v>
      </c>
      <c r="M93" s="10">
        <f>L93*'[1]Inflation Rates by Year'!$D$2</f>
        <v>144872066.59200001</v>
      </c>
      <c r="N93" s="9">
        <f>M93/K93</f>
        <v>694.28727945059745</v>
      </c>
      <c r="O93" s="8" t="s">
        <v>22</v>
      </c>
      <c r="P93" s="7">
        <v>126600000</v>
      </c>
    </row>
    <row r="94" spans="1:16" x14ac:dyDescent="0.25">
      <c r="A94" s="3"/>
      <c r="B94" s="13">
        <v>93</v>
      </c>
      <c r="C94" s="3"/>
      <c r="D94" s="3"/>
      <c r="E94" s="3"/>
      <c r="F94" s="3"/>
      <c r="G94" s="3"/>
      <c r="H94" s="12">
        <f>K94-K93</f>
        <v>0</v>
      </c>
      <c r="I94" s="12">
        <f>114/$K$114*(H94)</f>
        <v>0</v>
      </c>
      <c r="J94" s="2"/>
      <c r="K94" s="1">
        <v>208663</v>
      </c>
      <c r="L94" s="11">
        <v>127700000</v>
      </c>
      <c r="M94" s="10">
        <f>L94*'[1]Inflation Rates by Year'!$D$2</f>
        <v>146130828.62400001</v>
      </c>
      <c r="N94" s="9">
        <f>M94/K94</f>
        <v>700.31979135735617</v>
      </c>
      <c r="O94" s="8" t="s">
        <v>21</v>
      </c>
      <c r="P94" s="7">
        <v>127700000</v>
      </c>
    </row>
    <row r="95" spans="1:16" x14ac:dyDescent="0.25">
      <c r="A95" s="3"/>
      <c r="B95" s="13">
        <v>94</v>
      </c>
      <c r="C95" s="3"/>
      <c r="D95" s="3"/>
      <c r="E95" s="3"/>
      <c r="F95" s="3"/>
      <c r="G95" s="3"/>
      <c r="H95" s="12">
        <f>K95-K94</f>
        <v>0</v>
      </c>
      <c r="I95" s="12">
        <f>114/$K$114*(H95)</f>
        <v>0</v>
      </c>
      <c r="J95" s="2"/>
      <c r="K95" s="1">
        <v>208663</v>
      </c>
      <c r="L95" s="11">
        <v>128500000</v>
      </c>
      <c r="M95" s="10">
        <f>L95*'[1]Inflation Rates by Year'!$D$2</f>
        <v>147046291.92000002</v>
      </c>
      <c r="N95" s="9">
        <f>M95/K95</f>
        <v>704.70707274408983</v>
      </c>
      <c r="O95" s="8" t="s">
        <v>20</v>
      </c>
      <c r="P95" s="7">
        <v>128500000</v>
      </c>
    </row>
    <row r="96" spans="1:16" x14ac:dyDescent="0.25">
      <c r="A96" s="3"/>
      <c r="B96" s="14">
        <v>95</v>
      </c>
      <c r="C96" s="3"/>
      <c r="D96" s="3"/>
      <c r="E96" s="3"/>
      <c r="F96" s="3"/>
      <c r="G96" s="3"/>
      <c r="H96" s="12">
        <f>K96-K95</f>
        <v>0</v>
      </c>
      <c r="I96" s="12">
        <f>114/$K$114*(H96)</f>
        <v>0</v>
      </c>
      <c r="J96" s="2"/>
      <c r="K96" s="1">
        <v>208663</v>
      </c>
      <c r="L96" s="11">
        <v>129146000</v>
      </c>
      <c r="M96" s="10">
        <f>L96*'[1]Inflation Rates by Year'!$D$2</f>
        <v>147785528.53152001</v>
      </c>
      <c r="N96" s="9">
        <f>M96/K96</f>
        <v>708.24980246387724</v>
      </c>
      <c r="O96" s="8" t="s">
        <v>19</v>
      </c>
      <c r="P96" s="7">
        <v>129146000</v>
      </c>
    </row>
    <row r="97" spans="1:16" x14ac:dyDescent="0.25">
      <c r="A97" s="3"/>
      <c r="B97" s="13">
        <v>96</v>
      </c>
      <c r="C97" s="3"/>
      <c r="D97" s="3"/>
      <c r="E97" s="3"/>
      <c r="F97" s="3"/>
      <c r="G97" s="3"/>
      <c r="H97" s="12">
        <f>K97-K96</f>
        <v>0</v>
      </c>
      <c r="I97" s="12">
        <f>114/$K$114*(H97)</f>
        <v>0</v>
      </c>
      <c r="J97" s="2"/>
      <c r="K97" s="1">
        <v>208663</v>
      </c>
      <c r="L97" s="11">
        <v>17</v>
      </c>
      <c r="M97" s="10">
        <f>L97*'[1]Inflation Rates by Year'!$D$2</f>
        <v>19.453595040000003</v>
      </c>
      <c r="N97" s="9">
        <f>M97/K97</f>
        <v>9.3229729468089704E-5</v>
      </c>
      <c r="O97" s="8" t="s">
        <v>18</v>
      </c>
      <c r="P97" s="7">
        <v>17</v>
      </c>
    </row>
    <row r="98" spans="1:16" x14ac:dyDescent="0.25">
      <c r="A98" s="3"/>
      <c r="B98" s="13">
        <v>97</v>
      </c>
      <c r="C98" s="3"/>
      <c r="D98" s="3"/>
      <c r="E98" s="3"/>
      <c r="F98" s="3"/>
      <c r="G98" s="3"/>
      <c r="H98" s="12">
        <f>K98-K97</f>
        <v>0</v>
      </c>
      <c r="I98" s="12">
        <f>114/$K$114*(H98)</f>
        <v>0</v>
      </c>
      <c r="J98" s="2"/>
      <c r="K98" s="1">
        <v>208663</v>
      </c>
      <c r="L98" s="11">
        <v>132000000</v>
      </c>
      <c r="M98" s="10">
        <f>L98*'[1]Inflation Rates by Year'!$D$2</f>
        <v>151051443.84</v>
      </c>
      <c r="N98" s="9">
        <f>M98/K98</f>
        <v>723.90142881104941</v>
      </c>
      <c r="O98" s="8" t="s">
        <v>17</v>
      </c>
      <c r="P98" s="7">
        <v>132000000</v>
      </c>
    </row>
    <row r="99" spans="1:16" x14ac:dyDescent="0.25">
      <c r="A99" s="3"/>
      <c r="B99" s="14">
        <v>98</v>
      </c>
      <c r="C99" s="3"/>
      <c r="D99" s="3"/>
      <c r="E99" s="3"/>
      <c r="F99" s="3"/>
      <c r="G99" s="3"/>
      <c r="H99" s="12">
        <f>K99-K98</f>
        <v>0</v>
      </c>
      <c r="I99" s="12">
        <f>114/$K$114*(H99)</f>
        <v>0</v>
      </c>
      <c r="J99" s="2"/>
      <c r="K99" s="1">
        <v>208663</v>
      </c>
      <c r="L99" s="11">
        <v>131000000</v>
      </c>
      <c r="M99" s="10">
        <f>L99*'[1]Inflation Rates by Year'!$D$2</f>
        <v>149907114.72</v>
      </c>
      <c r="N99" s="9">
        <f>M99/K99</f>
        <v>718.41732707763231</v>
      </c>
      <c r="O99" s="8" t="s">
        <v>16</v>
      </c>
      <c r="P99" s="7">
        <v>131000000</v>
      </c>
    </row>
    <row r="100" spans="1:16" x14ac:dyDescent="0.25">
      <c r="A100" s="3"/>
      <c r="B100" s="13">
        <v>99</v>
      </c>
      <c r="C100" s="3"/>
      <c r="D100" s="3"/>
      <c r="E100" s="3"/>
      <c r="F100" s="3"/>
      <c r="G100" s="3"/>
      <c r="H100" s="12">
        <f>K100-K99</f>
        <v>0</v>
      </c>
      <c r="I100" s="12">
        <f>114/$K$114*(H100)</f>
        <v>0</v>
      </c>
      <c r="J100" s="2"/>
      <c r="K100" s="1">
        <v>208663</v>
      </c>
      <c r="L100" s="11">
        <v>131000000</v>
      </c>
      <c r="M100" s="10">
        <f>L100*'[1]Inflation Rates by Year'!$D$2</f>
        <v>149907114.72</v>
      </c>
      <c r="N100" s="9">
        <f>M100/K100</f>
        <v>718.41732707763231</v>
      </c>
      <c r="O100" s="8" t="s">
        <v>15</v>
      </c>
      <c r="P100" s="7">
        <v>131000000</v>
      </c>
    </row>
    <row r="101" spans="1:16" x14ac:dyDescent="0.25">
      <c r="A101" s="3"/>
      <c r="B101" s="13">
        <v>100</v>
      </c>
      <c r="C101" s="3"/>
      <c r="D101" s="3"/>
      <c r="E101" s="3"/>
      <c r="F101" s="3"/>
      <c r="G101" s="3"/>
      <c r="H101" s="12">
        <f>K101-K100</f>
        <v>0</v>
      </c>
      <c r="I101" s="12">
        <f>114/$K$114*(H101)</f>
        <v>0</v>
      </c>
      <c r="J101" s="2"/>
      <c r="K101" s="1">
        <v>208663</v>
      </c>
      <c r="L101" s="11">
        <v>131500000</v>
      </c>
      <c r="M101" s="10">
        <f>L101*'[1]Inflation Rates by Year'!$D$2</f>
        <v>150479279.28</v>
      </c>
      <c r="N101" s="9">
        <f>M101/K101</f>
        <v>721.15937794434092</v>
      </c>
      <c r="O101" s="8" t="s">
        <v>14</v>
      </c>
      <c r="P101" s="7">
        <v>131500000</v>
      </c>
    </row>
    <row r="102" spans="1:16" x14ac:dyDescent="0.25">
      <c r="A102" s="3"/>
      <c r="B102" s="14">
        <v>101</v>
      </c>
      <c r="C102" s="3"/>
      <c r="D102" s="3"/>
      <c r="E102" s="3"/>
      <c r="F102" s="3"/>
      <c r="G102" s="3"/>
      <c r="H102" s="12">
        <f>K102-K101</f>
        <v>0</v>
      </c>
      <c r="I102" s="12">
        <f>114/$K$114*(H102)</f>
        <v>0</v>
      </c>
      <c r="J102" s="2"/>
      <c r="K102" s="1">
        <v>208663</v>
      </c>
      <c r="L102" s="11">
        <v>131700000</v>
      </c>
      <c r="M102" s="10">
        <f>L102*'[1]Inflation Rates by Year'!$D$2</f>
        <v>150708145.104</v>
      </c>
      <c r="N102" s="9">
        <f>M102/K102</f>
        <v>722.25619829102425</v>
      </c>
      <c r="O102" s="8" t="s">
        <v>13</v>
      </c>
      <c r="P102" s="7">
        <v>131700000</v>
      </c>
    </row>
    <row r="103" spans="1:16" x14ac:dyDescent="0.25">
      <c r="A103" s="3"/>
      <c r="B103" s="13">
        <v>102</v>
      </c>
      <c r="C103" s="3"/>
      <c r="D103" s="3"/>
      <c r="E103" s="3"/>
      <c r="F103" s="3"/>
      <c r="G103" s="3"/>
      <c r="H103" s="12">
        <f>K103-K102</f>
        <v>0</v>
      </c>
      <c r="I103" s="12">
        <f>114/$K$114*(H103)</f>
        <v>0</v>
      </c>
      <c r="J103" s="2"/>
      <c r="K103" s="1">
        <v>208663</v>
      </c>
      <c r="L103" s="11">
        <v>132221</v>
      </c>
      <c r="M103" s="10">
        <f>L103*'[1]Inflation Rates by Year'!$D$2</f>
        <v>151304.34057552001</v>
      </c>
      <c r="N103" s="9">
        <f>M103/K103</f>
        <v>0.72511341529413464</v>
      </c>
      <c r="O103" s="8" t="s">
        <v>12</v>
      </c>
      <c r="P103" s="7">
        <v>132221</v>
      </c>
    </row>
    <row r="104" spans="1:16" x14ac:dyDescent="0.25">
      <c r="A104" s="3"/>
      <c r="B104" s="13">
        <v>103</v>
      </c>
      <c r="C104" s="3"/>
      <c r="D104" s="3"/>
      <c r="E104" s="3"/>
      <c r="F104" s="3"/>
      <c r="G104" s="3"/>
      <c r="H104" s="12">
        <f>K104-K103</f>
        <v>0</v>
      </c>
      <c r="I104" s="12">
        <f>114/$K$114*(H104)</f>
        <v>0</v>
      </c>
      <c r="J104" s="2"/>
      <c r="K104" s="1">
        <v>208663</v>
      </c>
      <c r="L104" s="11">
        <v>133127000</v>
      </c>
      <c r="M104" s="10">
        <f>L104*'[1]Inflation Rates by Year'!$D$2</f>
        <v>152341102.75824001</v>
      </c>
      <c r="N104" s="9">
        <f>M104/K104</f>
        <v>730.08201146461045</v>
      </c>
      <c r="O104" s="8" t="s">
        <v>11</v>
      </c>
      <c r="P104" s="7">
        <v>133127000</v>
      </c>
    </row>
    <row r="105" spans="1:16" x14ac:dyDescent="0.25">
      <c r="A105" s="3"/>
      <c r="B105" s="14">
        <v>104</v>
      </c>
      <c r="C105" s="3"/>
      <c r="D105" s="3"/>
      <c r="E105" s="3"/>
      <c r="F105" s="3"/>
      <c r="G105" s="3"/>
      <c r="H105" s="12">
        <f>K105-K104</f>
        <v>0</v>
      </c>
      <c r="I105" s="12">
        <f>114/$K$114*(H105)</f>
        <v>0</v>
      </c>
      <c r="J105" s="2"/>
      <c r="K105" s="1">
        <v>208663</v>
      </c>
      <c r="L105" s="11">
        <v>133275000</v>
      </c>
      <c r="M105" s="10">
        <f>L105*'[1]Inflation Rates by Year'!$D$2</f>
        <v>152510463.46800002</v>
      </c>
      <c r="N105" s="9">
        <f>M105/K105</f>
        <v>730.89365852115623</v>
      </c>
      <c r="O105" s="8" t="s">
        <v>10</v>
      </c>
      <c r="P105" s="7">
        <v>133275000</v>
      </c>
    </row>
    <row r="106" spans="1:16" x14ac:dyDescent="0.25">
      <c r="A106" s="3"/>
      <c r="B106" s="13">
        <v>105</v>
      </c>
      <c r="C106" s="3"/>
      <c r="D106" s="3"/>
      <c r="E106" s="3"/>
      <c r="F106" s="3"/>
      <c r="G106" s="3"/>
      <c r="H106" s="12">
        <f>K106-K105</f>
        <v>0</v>
      </c>
      <c r="I106" s="12">
        <f>114/$K$114*(H106)</f>
        <v>0</v>
      </c>
      <c r="J106" s="2"/>
      <c r="K106" s="1">
        <v>208663</v>
      </c>
      <c r="L106" s="11">
        <v>133800000</v>
      </c>
      <c r="M106" s="10">
        <f>L106*'[1]Inflation Rates by Year'!$D$2</f>
        <v>153111236.25600001</v>
      </c>
      <c r="N106" s="9">
        <f>M106/K106</f>
        <v>733.77281193120018</v>
      </c>
      <c r="O106" s="8" t="s">
        <v>9</v>
      </c>
      <c r="P106" s="7">
        <v>133800000</v>
      </c>
    </row>
    <row r="107" spans="1:16" x14ac:dyDescent="0.25">
      <c r="A107" s="3"/>
      <c r="B107" s="13">
        <v>106</v>
      </c>
      <c r="C107" s="3"/>
      <c r="D107" s="3"/>
      <c r="E107" s="3"/>
      <c r="F107" s="3"/>
      <c r="G107" s="3"/>
      <c r="H107" s="12">
        <f>K107-K106</f>
        <v>0</v>
      </c>
      <c r="I107" s="12">
        <f>114/$K$114*(H107)</f>
        <v>0</v>
      </c>
      <c r="J107" s="2"/>
      <c r="K107" s="1">
        <v>208663</v>
      </c>
      <c r="L107" s="11">
        <v>134900000</v>
      </c>
      <c r="M107" s="10">
        <f>L107*'[1]Inflation Rates by Year'!$D$2</f>
        <v>154369998.28800002</v>
      </c>
      <c r="N107" s="9">
        <f>M107/K107</f>
        <v>739.80532383795889</v>
      </c>
      <c r="O107" s="8" t="s">
        <v>8</v>
      </c>
      <c r="P107" s="7">
        <v>134900000</v>
      </c>
    </row>
    <row r="108" spans="1:16" x14ac:dyDescent="0.25">
      <c r="A108" s="3"/>
      <c r="B108" s="14">
        <v>107</v>
      </c>
      <c r="C108" s="3"/>
      <c r="D108" s="3"/>
      <c r="E108" s="3"/>
      <c r="F108" s="3"/>
      <c r="G108" s="3"/>
      <c r="H108" s="12">
        <f>K108-K107</f>
        <v>0</v>
      </c>
      <c r="I108" s="12">
        <f>114/$K$114*(H108)</f>
        <v>0</v>
      </c>
      <c r="J108" s="2"/>
      <c r="K108" s="1">
        <v>208663</v>
      </c>
      <c r="L108" s="11">
        <v>135100000</v>
      </c>
      <c r="M108" s="10">
        <f>L108*'[1]Inflation Rates by Year'!$D$2</f>
        <v>154598864.11200002</v>
      </c>
      <c r="N108" s="9">
        <f>M108/K108</f>
        <v>740.90214418464234</v>
      </c>
      <c r="O108" s="8" t="s">
        <v>7</v>
      </c>
      <c r="P108" s="7">
        <v>135100000</v>
      </c>
    </row>
    <row r="109" spans="1:16" x14ac:dyDescent="0.25">
      <c r="A109" s="3"/>
      <c r="B109" s="13">
        <v>108</v>
      </c>
      <c r="C109" s="3"/>
      <c r="D109" s="3"/>
      <c r="E109" s="3"/>
      <c r="F109" s="3"/>
      <c r="G109" s="3"/>
      <c r="H109" s="12">
        <f>K109-K108</f>
        <v>0</v>
      </c>
      <c r="I109" s="12">
        <f>114/$K$114*(H109)</f>
        <v>0</v>
      </c>
      <c r="J109" s="2"/>
      <c r="K109" s="1">
        <v>208663</v>
      </c>
      <c r="L109" s="11">
        <v>135268000</v>
      </c>
      <c r="M109" s="10">
        <f>L109*'[1]Inflation Rates by Year'!$D$2</f>
        <v>154791111.40416002</v>
      </c>
      <c r="N109" s="9">
        <f>M109/K109</f>
        <v>741.82347327585637</v>
      </c>
      <c r="O109" s="8" t="s">
        <v>6</v>
      </c>
      <c r="P109" s="7">
        <v>135268000</v>
      </c>
    </row>
    <row r="110" spans="1:16" x14ac:dyDescent="0.25">
      <c r="A110" s="3"/>
      <c r="B110" s="13">
        <v>109</v>
      </c>
      <c r="C110" s="3"/>
      <c r="D110" s="3"/>
      <c r="E110" s="3"/>
      <c r="F110" s="3"/>
      <c r="G110" s="3"/>
      <c r="H110" s="12">
        <f>K110-K109</f>
        <v>0</v>
      </c>
      <c r="I110" s="12">
        <f>114/$K$114*(H110)</f>
        <v>0</v>
      </c>
      <c r="J110" s="2"/>
      <c r="K110" s="1">
        <v>208663</v>
      </c>
      <c r="L110" s="11">
        <v>135510000</v>
      </c>
      <c r="M110" s="10">
        <f>L110*'[1]Inflation Rates by Year'!$D$2</f>
        <v>155068039.0512</v>
      </c>
      <c r="N110" s="9">
        <f>M110/K110</f>
        <v>743.15062589534318</v>
      </c>
      <c r="O110" s="8" t="s">
        <v>5</v>
      </c>
      <c r="P110" s="7">
        <v>135510000</v>
      </c>
    </row>
    <row r="111" spans="1:16" x14ac:dyDescent="0.25">
      <c r="A111" s="3"/>
      <c r="B111" s="14">
        <v>110</v>
      </c>
      <c r="C111" s="3"/>
      <c r="D111" s="3"/>
      <c r="E111" s="3"/>
      <c r="F111" s="3"/>
      <c r="G111" s="3"/>
      <c r="H111" s="12">
        <f>K111-K110</f>
        <v>0</v>
      </c>
      <c r="I111" s="12">
        <f>114/$K$114*(H111)</f>
        <v>0</v>
      </c>
      <c r="J111" s="2"/>
      <c r="K111" s="1">
        <v>208663</v>
      </c>
      <c r="L111" s="11">
        <v>135800000</v>
      </c>
      <c r="M111" s="10">
        <f>L111*'[1]Inflation Rates by Year'!$D$2</f>
        <v>155399894.49600002</v>
      </c>
      <c r="N111" s="9">
        <f>M111/K111</f>
        <v>744.74101539803428</v>
      </c>
      <c r="O111" s="8" t="s">
        <v>4</v>
      </c>
      <c r="P111" s="7">
        <v>135800000</v>
      </c>
    </row>
    <row r="112" spans="1:16" x14ac:dyDescent="0.25">
      <c r="A112" s="3"/>
      <c r="B112" s="13">
        <v>111</v>
      </c>
      <c r="C112" s="3"/>
      <c r="D112" s="3"/>
      <c r="E112" s="3"/>
      <c r="F112" s="3"/>
      <c r="G112" s="3"/>
      <c r="H112" s="12">
        <f>K112-K111</f>
        <v>0</v>
      </c>
      <c r="I112" s="12">
        <f>114/$K$114*(H112)</f>
        <v>0</v>
      </c>
      <c r="J112" s="2"/>
      <c r="K112" s="1">
        <v>208663</v>
      </c>
      <c r="L112" s="11">
        <v>135900000</v>
      </c>
      <c r="M112" s="10">
        <f>L112*'[1]Inflation Rates by Year'!$D$2</f>
        <v>155514327.40800002</v>
      </c>
      <c r="N112" s="9">
        <f>M112/K112</f>
        <v>745.289425571376</v>
      </c>
      <c r="O112" s="8" t="s">
        <v>3</v>
      </c>
      <c r="P112" s="7">
        <v>135900000</v>
      </c>
    </row>
    <row r="113" spans="1:16" x14ac:dyDescent="0.25">
      <c r="A113" s="3"/>
      <c r="B113" s="13">
        <v>112</v>
      </c>
      <c r="C113" s="3"/>
      <c r="D113" s="3"/>
      <c r="E113" s="3"/>
      <c r="F113" s="3"/>
      <c r="G113" s="3"/>
      <c r="H113" s="12">
        <f>K113-K112</f>
        <v>0</v>
      </c>
      <c r="I113" s="12">
        <f>114/$K$114*(H113)</f>
        <v>0</v>
      </c>
      <c r="J113" s="2"/>
      <c r="K113" s="1">
        <v>208663</v>
      </c>
      <c r="L113" s="11">
        <v>134300000</v>
      </c>
      <c r="M113" s="10">
        <f>L113*'[1]Inflation Rates by Year'!$D$2</f>
        <v>153683400.81600001</v>
      </c>
      <c r="N113" s="9">
        <f>M113/K113</f>
        <v>736.51486279790868</v>
      </c>
      <c r="O113" s="8" t="s">
        <v>2</v>
      </c>
      <c r="P113" s="7">
        <v>134300000</v>
      </c>
    </row>
    <row r="114" spans="1:16" x14ac:dyDescent="0.25">
      <c r="A114" s="3"/>
      <c r="B114" s="14">
        <v>113</v>
      </c>
      <c r="C114" s="3"/>
      <c r="D114" s="3"/>
      <c r="E114" s="3"/>
      <c r="F114" s="3"/>
      <c r="G114" s="3"/>
      <c r="H114" s="12">
        <f>K114-K113</f>
        <v>0</v>
      </c>
      <c r="I114" s="12">
        <f>114/$K$114*(H114)</f>
        <v>0</v>
      </c>
      <c r="J114" s="2"/>
      <c r="K114" s="1">
        <v>208663</v>
      </c>
      <c r="L114" s="11">
        <v>133400000</v>
      </c>
      <c r="M114" s="10">
        <f>L114*'[1]Inflation Rates by Year'!$D$2</f>
        <v>152653504.60800001</v>
      </c>
      <c r="N114" s="9">
        <f>M114/K114</f>
        <v>731.57917123783329</v>
      </c>
      <c r="O114" s="8" t="s">
        <v>1</v>
      </c>
      <c r="P114" s="7">
        <v>133400000</v>
      </c>
    </row>
    <row r="115" spans="1:16" x14ac:dyDescent="0.25">
      <c r="A115" s="3"/>
      <c r="B115" s="13">
        <v>114</v>
      </c>
      <c r="C115" s="3"/>
      <c r="D115" s="3"/>
      <c r="E115" s="3"/>
      <c r="F115" s="3"/>
      <c r="G115" s="3"/>
      <c r="H115" s="12">
        <f>K115-K114</f>
        <v>0</v>
      </c>
      <c r="I115" s="12">
        <f>114/$K$114*(H115)</f>
        <v>0</v>
      </c>
      <c r="J115" s="2"/>
      <c r="K115" s="1">
        <v>208663</v>
      </c>
      <c r="L115" s="11">
        <v>133300000</v>
      </c>
      <c r="M115" s="10">
        <f>L115*'[1]Inflation Rates by Year'!$D$2</f>
        <v>152539071.69600001</v>
      </c>
      <c r="N115" s="9">
        <f>M115/K115</f>
        <v>731.03076106449157</v>
      </c>
      <c r="O115" s="8" t="s">
        <v>0</v>
      </c>
      <c r="P115" s="7">
        <v>133300000</v>
      </c>
    </row>
    <row r="116" spans="1:16" ht="13.5" x14ac:dyDescent="0.25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1"/>
      <c r="L116" s="1"/>
      <c r="M116" s="6"/>
      <c r="N116" s="5"/>
    </row>
    <row r="117" spans="1:16" ht="13.5" x14ac:dyDescent="0.25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1"/>
      <c r="L117" s="1"/>
      <c r="M117" s="6"/>
      <c r="N117" s="5"/>
    </row>
    <row r="118" spans="1:16" ht="13.5" x14ac:dyDescent="0.25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1"/>
      <c r="L118" s="1"/>
      <c r="M118" s="6"/>
      <c r="N118" s="5"/>
    </row>
    <row r="119" spans="1:16" ht="13.5" x14ac:dyDescent="0.25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1"/>
      <c r="L119" s="1"/>
      <c r="M119" s="6"/>
      <c r="N119" s="5"/>
    </row>
    <row r="120" spans="1:16" ht="13.5" x14ac:dyDescent="0.25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1"/>
      <c r="L120" s="1"/>
      <c r="M120" s="6"/>
      <c r="N120" s="5"/>
    </row>
    <row r="121" spans="1:16" ht="13.5" x14ac:dyDescent="0.25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1"/>
      <c r="L121" s="1"/>
      <c r="M121" s="6"/>
      <c r="N121" s="5"/>
    </row>
    <row r="122" spans="1:16" ht="13.5" x14ac:dyDescent="0.25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1"/>
      <c r="L122" s="1"/>
      <c r="M122" s="6"/>
      <c r="N122" s="5"/>
    </row>
    <row r="123" spans="1:16" ht="13.5" x14ac:dyDescent="0.25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1"/>
      <c r="L123" s="1"/>
      <c r="M123" s="6"/>
      <c r="N123" s="5"/>
    </row>
    <row r="124" spans="1:16" ht="13.5" x14ac:dyDescent="0.25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1"/>
      <c r="L124" s="1"/>
      <c r="M124" s="6"/>
      <c r="N124" s="5"/>
    </row>
    <row r="125" spans="1:16" ht="13.5" x14ac:dyDescent="0.25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1"/>
      <c r="L125" s="1"/>
      <c r="M125" s="6"/>
      <c r="N125" s="5"/>
    </row>
    <row r="126" spans="1:16" ht="13.5" x14ac:dyDescent="0.25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1"/>
      <c r="L126" s="1"/>
      <c r="M126" s="6"/>
      <c r="N126" s="5"/>
    </row>
    <row r="127" spans="1:16" ht="13.5" x14ac:dyDescent="0.25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1"/>
      <c r="L127" s="1"/>
      <c r="M127" s="6"/>
      <c r="N127" s="5"/>
    </row>
    <row r="128" spans="1:16" ht="13.5" x14ac:dyDescent="0.25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1"/>
      <c r="L128" s="1"/>
      <c r="M128" s="6"/>
      <c r="N128" s="5"/>
    </row>
    <row r="129" spans="1:14" ht="13.5" x14ac:dyDescent="0.25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1"/>
      <c r="L129" s="1"/>
      <c r="M129" s="6"/>
      <c r="N129" s="5"/>
    </row>
    <row r="130" spans="1:14" ht="13.5" x14ac:dyDescent="0.25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1"/>
      <c r="L130" s="1"/>
      <c r="M130" s="6"/>
      <c r="N130" s="5"/>
    </row>
    <row r="131" spans="1:14" ht="13.5" x14ac:dyDescent="0.25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1"/>
      <c r="L131" s="1"/>
      <c r="M131" s="6"/>
      <c r="N131" s="5"/>
    </row>
    <row r="132" spans="1:14" ht="13.5" x14ac:dyDescent="0.25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1"/>
      <c r="L132" s="1"/>
      <c r="M132" s="6"/>
      <c r="N132" s="5"/>
    </row>
    <row r="133" spans="1:14" ht="13.5" x14ac:dyDescent="0.25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1"/>
      <c r="L133" s="1"/>
      <c r="M133" s="6"/>
      <c r="N133" s="5"/>
    </row>
    <row r="134" spans="1:14" ht="13.5" x14ac:dyDescent="0.25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1"/>
      <c r="L134" s="1"/>
      <c r="M134" s="6"/>
      <c r="N134" s="5"/>
    </row>
    <row r="135" spans="1:14" ht="13.5" x14ac:dyDescent="0.25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1"/>
      <c r="L135" s="1"/>
      <c r="M135" s="6"/>
      <c r="N135" s="5"/>
    </row>
    <row r="136" spans="1:14" ht="13.5" x14ac:dyDescent="0.25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1"/>
      <c r="L136" s="1"/>
      <c r="M136" s="6"/>
      <c r="N136" s="5"/>
    </row>
    <row r="137" spans="1:14" ht="13.5" x14ac:dyDescent="0.25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1"/>
      <c r="L137" s="1"/>
      <c r="M137" s="6"/>
      <c r="N137" s="5"/>
    </row>
    <row r="138" spans="1:14" ht="13.5" x14ac:dyDescent="0.25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1"/>
      <c r="L138" s="1"/>
      <c r="M138" s="6"/>
      <c r="N138" s="5"/>
    </row>
    <row r="139" spans="1:14" ht="13.5" x14ac:dyDescent="0.25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1"/>
      <c r="L139" s="1"/>
      <c r="M139" s="6"/>
      <c r="N139" s="5"/>
    </row>
    <row r="140" spans="1:14" ht="13.5" x14ac:dyDescent="0.25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1"/>
      <c r="L140" s="1"/>
      <c r="M140" s="6"/>
      <c r="N140" s="5"/>
    </row>
    <row r="141" spans="1:14" ht="13.5" x14ac:dyDescent="0.25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1"/>
      <c r="L141" s="1"/>
      <c r="M141" s="6"/>
      <c r="N141" s="5"/>
    </row>
    <row r="142" spans="1:14" ht="13.5" x14ac:dyDescent="0.25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1"/>
      <c r="L142" s="1"/>
      <c r="M142" s="6"/>
      <c r="N142" s="5"/>
    </row>
    <row r="143" spans="1:14" ht="13.5" x14ac:dyDescent="0.25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1"/>
      <c r="L143" s="1"/>
      <c r="M143" s="6"/>
      <c r="N143" s="5"/>
    </row>
    <row r="144" spans="1:14" ht="13.5" x14ac:dyDescent="0.25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1"/>
      <c r="L144" s="1"/>
      <c r="M144" s="6"/>
      <c r="N144" s="5"/>
    </row>
    <row r="145" spans="1:14" ht="13.5" x14ac:dyDescent="0.25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1"/>
      <c r="L145" s="1"/>
      <c r="M145" s="6"/>
      <c r="N145" s="5"/>
    </row>
    <row r="146" spans="1:14" ht="13.5" x14ac:dyDescent="0.25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1"/>
      <c r="L146" s="1"/>
      <c r="M146" s="6"/>
      <c r="N146" s="5"/>
    </row>
    <row r="147" spans="1:14" ht="13.5" x14ac:dyDescent="0.25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1"/>
      <c r="L147" s="1"/>
      <c r="M147" s="6"/>
      <c r="N147" s="5"/>
    </row>
    <row r="148" spans="1:14" ht="13.5" x14ac:dyDescent="0.25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1"/>
      <c r="L148" s="1"/>
      <c r="M148" s="6"/>
      <c r="N148" s="5"/>
    </row>
    <row r="149" spans="1:14" ht="13.5" x14ac:dyDescent="0.25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1"/>
      <c r="L149" s="1"/>
      <c r="M149" s="6"/>
      <c r="N149" s="5"/>
    </row>
    <row r="150" spans="1:14" ht="13.5" x14ac:dyDescent="0.25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1"/>
      <c r="L150" s="1"/>
      <c r="M150" s="6"/>
      <c r="N150" s="5"/>
    </row>
    <row r="151" spans="1:14" ht="13.5" x14ac:dyDescent="0.25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1"/>
      <c r="L151" s="1"/>
      <c r="M151" s="6"/>
      <c r="N151" s="5"/>
    </row>
    <row r="152" spans="1:14" ht="13.5" x14ac:dyDescent="0.25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1"/>
      <c r="L152" s="1"/>
      <c r="M152" s="6"/>
      <c r="N152" s="5"/>
    </row>
    <row r="153" spans="1:14" ht="13.5" x14ac:dyDescent="0.25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1"/>
      <c r="L153" s="1"/>
      <c r="M153" s="6"/>
      <c r="N153" s="5"/>
    </row>
    <row r="154" spans="1:14" ht="13.5" x14ac:dyDescent="0.25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1"/>
      <c r="L154" s="1"/>
      <c r="M154" s="6"/>
      <c r="N154" s="5"/>
    </row>
    <row r="155" spans="1:14" ht="13.5" x14ac:dyDescent="0.25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1"/>
      <c r="L155" s="1"/>
      <c r="M155" s="6"/>
      <c r="N155" s="5"/>
    </row>
    <row r="156" spans="1:14" ht="13.5" x14ac:dyDescent="0.25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1"/>
      <c r="L156" s="1"/>
      <c r="M156" s="6"/>
      <c r="N156" s="5"/>
    </row>
    <row r="157" spans="1:14" ht="13.5" x14ac:dyDescent="0.25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1"/>
      <c r="L157" s="1"/>
      <c r="M157" s="6"/>
      <c r="N157" s="5"/>
    </row>
    <row r="158" spans="1:14" ht="13.5" x14ac:dyDescent="0.25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1"/>
      <c r="L158" s="1"/>
      <c r="M158" s="6"/>
      <c r="N158" s="5"/>
    </row>
    <row r="159" spans="1:14" ht="13.5" x14ac:dyDescent="0.25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1"/>
      <c r="L159" s="1"/>
      <c r="M159" s="6"/>
      <c r="N159" s="5"/>
    </row>
    <row r="160" spans="1:14" ht="13.5" x14ac:dyDescent="0.25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1"/>
      <c r="L160" s="1"/>
      <c r="M160" s="6"/>
      <c r="N160" s="5"/>
    </row>
    <row r="161" spans="1:14" ht="13.5" x14ac:dyDescent="0.25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1"/>
      <c r="L161" s="1"/>
      <c r="M161" s="6"/>
      <c r="N161" s="5"/>
    </row>
    <row r="162" spans="1:14" ht="13.5" x14ac:dyDescent="0.25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1"/>
      <c r="L162" s="1"/>
      <c r="M162" s="6"/>
      <c r="N162" s="5"/>
    </row>
    <row r="163" spans="1:14" ht="13.5" x14ac:dyDescent="0.25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1"/>
      <c r="L163" s="1"/>
      <c r="M163" s="6"/>
      <c r="N163" s="5"/>
    </row>
    <row r="164" spans="1:14" ht="13.5" x14ac:dyDescent="0.25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1"/>
      <c r="L164" s="1"/>
      <c r="M164" s="6"/>
      <c r="N164" s="5"/>
    </row>
    <row r="165" spans="1:14" ht="13.5" x14ac:dyDescent="0.25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1"/>
      <c r="L165" s="1"/>
      <c r="M165" s="6"/>
      <c r="N165" s="5"/>
    </row>
    <row r="166" spans="1:14" ht="13.5" x14ac:dyDescent="0.25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1"/>
      <c r="L166" s="1"/>
      <c r="M166" s="6"/>
      <c r="N166" s="5"/>
    </row>
    <row r="167" spans="1:14" ht="13.5" x14ac:dyDescent="0.25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1"/>
      <c r="L167" s="1"/>
      <c r="M167" s="6"/>
      <c r="N167" s="5"/>
    </row>
    <row r="168" spans="1:14" ht="13.5" x14ac:dyDescent="0.25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1"/>
      <c r="L168" s="1"/>
      <c r="M168" s="6"/>
      <c r="N168" s="5"/>
    </row>
    <row r="169" spans="1:14" ht="13.5" x14ac:dyDescent="0.25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1"/>
      <c r="L169" s="1"/>
      <c r="M169" s="6"/>
      <c r="N169" s="5"/>
    </row>
    <row r="170" spans="1:14" ht="13.5" x14ac:dyDescent="0.25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1"/>
      <c r="L170" s="1"/>
      <c r="M170" s="6"/>
      <c r="N170" s="5"/>
    </row>
    <row r="171" spans="1:14" ht="13.5" x14ac:dyDescent="0.25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1"/>
      <c r="L171" s="1"/>
      <c r="M171" s="6"/>
      <c r="N171" s="5"/>
    </row>
    <row r="172" spans="1:14" ht="13.5" x14ac:dyDescent="0.25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1"/>
      <c r="L172" s="1"/>
      <c r="M172" s="6"/>
      <c r="N172" s="5"/>
    </row>
    <row r="173" spans="1:14" ht="13.5" x14ac:dyDescent="0.25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1"/>
      <c r="L173" s="1"/>
      <c r="M173" s="6"/>
      <c r="N173" s="5"/>
    </row>
    <row r="174" spans="1:14" ht="13.5" x14ac:dyDescent="0.25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1"/>
      <c r="L174" s="1"/>
      <c r="M174" s="6"/>
      <c r="N174" s="5"/>
    </row>
    <row r="175" spans="1:14" ht="13.5" x14ac:dyDescent="0.25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1"/>
      <c r="L175" s="1"/>
      <c r="M175" s="6"/>
      <c r="N175" s="5"/>
    </row>
    <row r="176" spans="1:14" ht="13.5" x14ac:dyDescent="0.25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1"/>
      <c r="L176" s="1"/>
      <c r="M176" s="6"/>
      <c r="N176" s="5"/>
    </row>
    <row r="177" spans="1:14" ht="13.5" x14ac:dyDescent="0.25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1"/>
      <c r="L177" s="1"/>
      <c r="M177" s="6"/>
      <c r="N177" s="5"/>
    </row>
    <row r="178" spans="1:14" ht="13.5" x14ac:dyDescent="0.25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1"/>
      <c r="L178" s="1"/>
      <c r="M178" s="6"/>
      <c r="N178" s="5"/>
    </row>
    <row r="179" spans="1:14" ht="13.5" x14ac:dyDescent="0.25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1"/>
      <c r="L179" s="1"/>
      <c r="M179" s="6"/>
      <c r="N179" s="5"/>
    </row>
    <row r="180" spans="1:14" ht="13.5" x14ac:dyDescent="0.25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1"/>
      <c r="L180" s="1"/>
      <c r="M180" s="6"/>
      <c r="N180" s="5"/>
    </row>
    <row r="181" spans="1:14" ht="13.5" x14ac:dyDescent="0.25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1"/>
      <c r="L181" s="1"/>
      <c r="M181" s="6"/>
      <c r="N181" s="5"/>
    </row>
    <row r="182" spans="1:14" ht="13.5" x14ac:dyDescent="0.25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1"/>
      <c r="L182" s="1"/>
      <c r="M182" s="6"/>
      <c r="N182" s="5"/>
    </row>
    <row r="183" spans="1:14" ht="13.5" x14ac:dyDescent="0.25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1"/>
      <c r="L183" s="1"/>
      <c r="M183" s="6"/>
      <c r="N183" s="5"/>
    </row>
    <row r="184" spans="1:14" ht="13.5" x14ac:dyDescent="0.25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1"/>
      <c r="L184" s="1"/>
      <c r="M184" s="6"/>
      <c r="N184" s="5"/>
    </row>
    <row r="185" spans="1:14" ht="13.5" x14ac:dyDescent="0.25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1"/>
      <c r="L185" s="1"/>
      <c r="M185" s="6"/>
      <c r="N185" s="5"/>
    </row>
    <row r="186" spans="1:14" ht="13.5" x14ac:dyDescent="0.25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1"/>
      <c r="L186" s="1"/>
      <c r="M186" s="6"/>
      <c r="N186" s="5"/>
    </row>
    <row r="187" spans="1:14" ht="13.5" x14ac:dyDescent="0.25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1"/>
      <c r="L187" s="1"/>
      <c r="M187" s="6"/>
      <c r="N187" s="5"/>
    </row>
    <row r="188" spans="1:14" ht="13.5" x14ac:dyDescent="0.25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1"/>
      <c r="L188" s="1"/>
      <c r="M188" s="6"/>
      <c r="N188" s="5"/>
    </row>
    <row r="189" spans="1:14" ht="13.5" x14ac:dyDescent="0.25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1"/>
      <c r="L189" s="1"/>
      <c r="M189" s="6"/>
      <c r="N189" s="5"/>
    </row>
    <row r="190" spans="1:14" ht="13.5" x14ac:dyDescent="0.25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1"/>
      <c r="L190" s="1"/>
      <c r="M190" s="6"/>
      <c r="N190" s="5"/>
    </row>
    <row r="191" spans="1:14" ht="13.5" x14ac:dyDescent="0.25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1"/>
      <c r="L191" s="1"/>
      <c r="M191" s="6"/>
      <c r="N191" s="5"/>
    </row>
    <row r="192" spans="1:14" ht="13.5" x14ac:dyDescent="0.25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1"/>
      <c r="L192" s="1"/>
      <c r="M192" s="6"/>
      <c r="N192" s="5"/>
    </row>
    <row r="193" spans="1:14" ht="13.5" x14ac:dyDescent="0.25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1"/>
      <c r="L193" s="1"/>
      <c r="M193" s="6"/>
      <c r="N193" s="5"/>
    </row>
    <row r="194" spans="1:14" ht="13.5" x14ac:dyDescent="0.25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1"/>
      <c r="L194" s="1"/>
      <c r="M194" s="6"/>
      <c r="N194" s="5"/>
    </row>
    <row r="195" spans="1:14" ht="13.5" x14ac:dyDescent="0.25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1"/>
      <c r="L195" s="1"/>
      <c r="M195" s="6"/>
      <c r="N195" s="5"/>
    </row>
    <row r="196" spans="1:14" ht="13.5" x14ac:dyDescent="0.25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1"/>
      <c r="L196" s="1"/>
      <c r="M196" s="6"/>
      <c r="N196" s="5"/>
    </row>
    <row r="197" spans="1:14" ht="13.5" x14ac:dyDescent="0.25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1"/>
      <c r="L197" s="1"/>
      <c r="M197" s="6"/>
      <c r="N197" s="5"/>
    </row>
    <row r="198" spans="1:14" ht="13.5" x14ac:dyDescent="0.25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1"/>
      <c r="L198" s="1"/>
      <c r="M198" s="6"/>
      <c r="N198" s="5"/>
    </row>
    <row r="199" spans="1:14" ht="13.5" x14ac:dyDescent="0.25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1"/>
      <c r="L199" s="1"/>
      <c r="M199" s="6"/>
      <c r="N199" s="5"/>
    </row>
    <row r="200" spans="1:14" ht="13.5" x14ac:dyDescent="0.25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1"/>
      <c r="L200" s="1"/>
      <c r="M200" s="6"/>
      <c r="N200" s="5"/>
    </row>
    <row r="201" spans="1:14" ht="13.5" x14ac:dyDescent="0.25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1"/>
      <c r="L201" s="1"/>
      <c r="M201" s="6"/>
      <c r="N201" s="5"/>
    </row>
    <row r="202" spans="1:14" ht="13.5" x14ac:dyDescent="0.25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1"/>
      <c r="L202" s="1"/>
      <c r="M202" s="6"/>
      <c r="N202" s="5"/>
    </row>
    <row r="203" spans="1:14" ht="13.5" x14ac:dyDescent="0.25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1"/>
      <c r="L203" s="1"/>
      <c r="M203" s="6"/>
      <c r="N203" s="5"/>
    </row>
    <row r="204" spans="1:14" ht="13.5" x14ac:dyDescent="0.25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1"/>
      <c r="L204" s="1"/>
      <c r="M204" s="6"/>
      <c r="N204" s="5"/>
    </row>
    <row r="205" spans="1:14" ht="13.5" x14ac:dyDescent="0.25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1"/>
      <c r="L205" s="1"/>
      <c r="M205" s="6"/>
      <c r="N205" s="5"/>
    </row>
    <row r="206" spans="1:14" ht="13.5" x14ac:dyDescent="0.25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1"/>
      <c r="L206" s="1"/>
      <c r="M206" s="6"/>
      <c r="N206" s="5"/>
    </row>
    <row r="207" spans="1:14" ht="13.5" x14ac:dyDescent="0.25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1"/>
      <c r="L207" s="1"/>
      <c r="M207" s="6"/>
      <c r="N207" s="5"/>
    </row>
    <row r="208" spans="1:14" ht="13.5" x14ac:dyDescent="0.25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1"/>
      <c r="L208" s="1"/>
      <c r="M208" s="6"/>
      <c r="N208" s="5"/>
    </row>
    <row r="209" spans="1:14" ht="13.5" x14ac:dyDescent="0.25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1"/>
      <c r="L209" s="1"/>
      <c r="M209" s="6"/>
      <c r="N209" s="5"/>
    </row>
    <row r="210" spans="1:14" ht="13.5" x14ac:dyDescent="0.25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1"/>
      <c r="L210" s="1"/>
      <c r="M210" s="6"/>
      <c r="N210" s="5"/>
    </row>
    <row r="211" spans="1:14" ht="13.5" x14ac:dyDescent="0.25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1"/>
      <c r="L211" s="1"/>
      <c r="M211" s="6"/>
      <c r="N211" s="5"/>
    </row>
    <row r="212" spans="1:14" ht="13.5" x14ac:dyDescent="0.25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1"/>
      <c r="L212" s="1"/>
      <c r="M212" s="6"/>
      <c r="N212" s="5"/>
    </row>
    <row r="213" spans="1:14" ht="13.5" x14ac:dyDescent="0.25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1"/>
      <c r="L213" s="1"/>
      <c r="M213" s="6"/>
      <c r="N213" s="5"/>
    </row>
    <row r="214" spans="1:14" ht="13.5" x14ac:dyDescent="0.25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1"/>
      <c r="L214" s="1"/>
      <c r="M214" s="6"/>
      <c r="N214" s="5"/>
    </row>
    <row r="215" spans="1:14" ht="13.5" x14ac:dyDescent="0.25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1"/>
      <c r="L215" s="1"/>
      <c r="M215" s="6"/>
      <c r="N215" s="5"/>
    </row>
    <row r="216" spans="1:14" ht="13.5" x14ac:dyDescent="0.25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1"/>
      <c r="L216" s="1"/>
      <c r="M216" s="6"/>
      <c r="N216" s="5"/>
    </row>
    <row r="217" spans="1:14" ht="13.5" x14ac:dyDescent="0.25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1"/>
      <c r="L217" s="1"/>
      <c r="M217" s="6"/>
      <c r="N217" s="5"/>
    </row>
    <row r="218" spans="1:14" ht="13.5" x14ac:dyDescent="0.25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1"/>
      <c r="L218" s="1"/>
      <c r="M218" s="6"/>
      <c r="N218" s="5"/>
    </row>
    <row r="219" spans="1:14" ht="13.5" x14ac:dyDescent="0.25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1"/>
      <c r="L219" s="1"/>
      <c r="M219" s="6"/>
      <c r="N219" s="5"/>
    </row>
    <row r="220" spans="1:14" ht="13.5" x14ac:dyDescent="0.25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1"/>
      <c r="L220" s="1"/>
      <c r="M220" s="6"/>
      <c r="N220" s="5"/>
    </row>
    <row r="221" spans="1:14" ht="13.5" x14ac:dyDescent="0.25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1"/>
      <c r="L221" s="1"/>
      <c r="M221" s="6"/>
      <c r="N221" s="5"/>
    </row>
    <row r="222" spans="1:14" ht="13.5" x14ac:dyDescent="0.25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1"/>
      <c r="L222" s="1"/>
      <c r="M222" s="6"/>
      <c r="N222" s="5"/>
    </row>
    <row r="223" spans="1:14" ht="13.5" x14ac:dyDescent="0.25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1"/>
      <c r="L223" s="1"/>
      <c r="M223" s="6"/>
      <c r="N223" s="5"/>
    </row>
    <row r="224" spans="1:14" ht="13.5" x14ac:dyDescent="0.25">
      <c r="A224" s="3"/>
      <c r="B224" s="3"/>
      <c r="C224" s="3"/>
      <c r="D224" s="3"/>
      <c r="E224" s="3"/>
      <c r="F224" s="3"/>
      <c r="G224" s="3"/>
      <c r="H224" s="2"/>
      <c r="I224" s="2"/>
      <c r="J224" s="2"/>
      <c r="K224" s="1"/>
      <c r="L224" s="1"/>
      <c r="M224" s="6"/>
      <c r="N224" s="5"/>
    </row>
    <row r="225" spans="1:14" ht="13.5" x14ac:dyDescent="0.25">
      <c r="A225" s="3"/>
      <c r="B225" s="3"/>
      <c r="C225" s="3"/>
      <c r="D225" s="3"/>
      <c r="E225" s="3"/>
      <c r="F225" s="3"/>
      <c r="G225" s="3"/>
      <c r="H225" s="2"/>
      <c r="I225" s="2"/>
      <c r="J225" s="2"/>
      <c r="K225" s="1"/>
      <c r="L225" s="1"/>
      <c r="M225" s="6"/>
      <c r="N225" s="5"/>
    </row>
    <row r="226" spans="1:14" ht="13.5" x14ac:dyDescent="0.25">
      <c r="A226" s="3"/>
      <c r="B226" s="3"/>
      <c r="C226" s="3"/>
      <c r="D226" s="3"/>
      <c r="E226" s="3"/>
      <c r="F226" s="3"/>
      <c r="G226" s="3"/>
      <c r="H226" s="2"/>
      <c r="I226" s="2"/>
      <c r="J226" s="2"/>
      <c r="K226" s="1"/>
      <c r="L226" s="1"/>
      <c r="M226" s="6"/>
      <c r="N226" s="5"/>
    </row>
    <row r="227" spans="1:14" ht="13.5" x14ac:dyDescent="0.25">
      <c r="A227" s="3"/>
      <c r="B227" s="3"/>
      <c r="C227" s="3"/>
      <c r="D227" s="3"/>
      <c r="E227" s="3"/>
      <c r="F227" s="3"/>
      <c r="G227" s="3"/>
      <c r="H227" s="2"/>
      <c r="I227" s="2"/>
      <c r="J227" s="2"/>
      <c r="K227" s="1"/>
      <c r="L227" s="1"/>
      <c r="M227" s="6"/>
      <c r="N227" s="5"/>
    </row>
    <row r="228" spans="1:14" ht="13.5" x14ac:dyDescent="0.25">
      <c r="A228" s="3"/>
      <c r="B228" s="3"/>
      <c r="C228" s="3"/>
      <c r="D228" s="3"/>
      <c r="E228" s="3"/>
      <c r="F228" s="3"/>
      <c r="G228" s="3"/>
      <c r="H228" s="2"/>
      <c r="I228" s="2"/>
      <c r="J228" s="2"/>
      <c r="K228" s="1"/>
      <c r="L228" s="1"/>
      <c r="M228" s="6"/>
      <c r="N228" s="5"/>
    </row>
    <row r="229" spans="1:14" ht="13.5" x14ac:dyDescent="0.25">
      <c r="A229" s="3"/>
      <c r="B229" s="3"/>
      <c r="C229" s="3"/>
      <c r="D229" s="3"/>
      <c r="E229" s="3"/>
      <c r="F229" s="3"/>
      <c r="G229" s="3"/>
      <c r="H229" s="2"/>
      <c r="I229" s="2"/>
      <c r="J229" s="2"/>
      <c r="K229" s="1"/>
      <c r="L229" s="1"/>
      <c r="M229" s="6"/>
      <c r="N229" s="5"/>
    </row>
    <row r="230" spans="1:14" ht="13.5" x14ac:dyDescent="0.25">
      <c r="A230" s="3"/>
      <c r="B230" s="3"/>
      <c r="C230" s="3"/>
      <c r="D230" s="3"/>
      <c r="E230" s="3"/>
      <c r="F230" s="3"/>
      <c r="G230" s="3"/>
      <c r="H230" s="2"/>
      <c r="I230" s="2"/>
      <c r="J230" s="2"/>
      <c r="K230" s="1"/>
      <c r="L230" s="1"/>
      <c r="M230" s="6"/>
      <c r="N230" s="5"/>
    </row>
    <row r="231" spans="1:14" ht="13.5" x14ac:dyDescent="0.25">
      <c r="A231" s="3"/>
      <c r="B231" s="3"/>
      <c r="C231" s="3"/>
      <c r="D231" s="3"/>
      <c r="E231" s="3"/>
      <c r="F231" s="3"/>
      <c r="G231" s="3"/>
      <c r="H231" s="2"/>
      <c r="I231" s="2"/>
      <c r="J231" s="2"/>
      <c r="K231" s="1"/>
      <c r="L231" s="1"/>
      <c r="M231" s="6"/>
      <c r="N231" s="5"/>
    </row>
    <row r="232" spans="1:14" ht="13.5" x14ac:dyDescent="0.25">
      <c r="A232" s="3"/>
      <c r="B232" s="3"/>
      <c r="C232" s="3"/>
      <c r="D232" s="3"/>
      <c r="E232" s="3"/>
      <c r="F232" s="3"/>
      <c r="G232" s="3"/>
      <c r="H232" s="2"/>
      <c r="I232" s="2"/>
      <c r="J232" s="2"/>
      <c r="K232" s="1"/>
      <c r="L232" s="1"/>
      <c r="M232" s="6"/>
      <c r="N232" s="5"/>
    </row>
    <row r="233" spans="1:14" ht="13.5" x14ac:dyDescent="0.25">
      <c r="A233" s="3"/>
      <c r="B233" s="3"/>
      <c r="C233" s="3"/>
      <c r="D233" s="3"/>
      <c r="E233" s="3"/>
      <c r="F233" s="3"/>
      <c r="G233" s="3"/>
      <c r="H233" s="2"/>
      <c r="I233" s="2"/>
      <c r="J233" s="2"/>
      <c r="K233" s="1"/>
      <c r="L233" s="1"/>
      <c r="M233" s="6"/>
      <c r="N233" s="5"/>
    </row>
    <row r="234" spans="1:14" ht="13.5" x14ac:dyDescent="0.25">
      <c r="A234" s="3"/>
      <c r="B234" s="3"/>
      <c r="C234" s="3"/>
      <c r="D234" s="3"/>
      <c r="E234" s="3"/>
      <c r="F234" s="3"/>
      <c r="G234" s="3"/>
      <c r="H234" s="2"/>
      <c r="I234" s="2"/>
      <c r="J234" s="2"/>
      <c r="K234" s="1"/>
      <c r="L234" s="1"/>
      <c r="M234" s="6"/>
      <c r="N234" s="5"/>
    </row>
    <row r="235" spans="1:14" ht="13.5" x14ac:dyDescent="0.25">
      <c r="A235" s="3"/>
      <c r="B235" s="3"/>
      <c r="C235" s="3"/>
      <c r="D235" s="3"/>
      <c r="E235" s="3"/>
      <c r="F235" s="3"/>
      <c r="G235" s="3"/>
      <c r="H235" s="2"/>
      <c r="I235" s="2"/>
      <c r="J235" s="2"/>
      <c r="K235" s="1"/>
      <c r="L235" s="1"/>
      <c r="M235" s="6"/>
      <c r="N235" s="5"/>
    </row>
    <row r="236" spans="1:14" ht="13.5" x14ac:dyDescent="0.25">
      <c r="A236" s="3"/>
      <c r="B236" s="3"/>
      <c r="C236" s="3"/>
      <c r="D236" s="3"/>
      <c r="E236" s="3"/>
      <c r="F236" s="3"/>
      <c r="G236" s="3"/>
      <c r="H236" s="2"/>
      <c r="I236" s="2"/>
      <c r="J236" s="2"/>
      <c r="K236" s="1"/>
      <c r="L236" s="1"/>
      <c r="M236" s="6"/>
      <c r="N236" s="5"/>
    </row>
    <row r="237" spans="1:14" ht="13.5" x14ac:dyDescent="0.25">
      <c r="A237" s="3"/>
      <c r="B237" s="3"/>
      <c r="C237" s="3"/>
      <c r="D237" s="3"/>
      <c r="E237" s="3"/>
      <c r="F237" s="3"/>
      <c r="G237" s="3"/>
      <c r="H237" s="2"/>
      <c r="I237" s="2"/>
      <c r="J237" s="2"/>
      <c r="K237" s="1"/>
      <c r="L237" s="1"/>
      <c r="M237" s="6"/>
      <c r="N237" s="5"/>
    </row>
    <row r="238" spans="1:14" ht="13.5" x14ac:dyDescent="0.25">
      <c r="A238" s="3"/>
      <c r="B238" s="3"/>
      <c r="C238" s="3"/>
      <c r="D238" s="3"/>
      <c r="E238" s="3"/>
      <c r="F238" s="3"/>
      <c r="G238" s="3"/>
      <c r="H238" s="2"/>
      <c r="I238" s="2"/>
      <c r="J238" s="2"/>
      <c r="K238" s="1"/>
      <c r="L238" s="1"/>
      <c r="M238" s="6"/>
      <c r="N238" s="5"/>
    </row>
    <row r="239" spans="1:14" ht="13.5" x14ac:dyDescent="0.25">
      <c r="A239" s="3"/>
      <c r="B239" s="3"/>
      <c r="C239" s="3"/>
      <c r="D239" s="3"/>
      <c r="E239" s="3"/>
      <c r="F239" s="3"/>
      <c r="G239" s="3"/>
      <c r="H239" s="2"/>
      <c r="I239" s="2"/>
      <c r="J239" s="2"/>
      <c r="K239" s="1"/>
      <c r="L239" s="1"/>
      <c r="M239" s="6"/>
      <c r="N239" s="5"/>
    </row>
    <row r="240" spans="1:14" ht="13.5" x14ac:dyDescent="0.25">
      <c r="A240" s="3"/>
      <c r="B240" s="3"/>
      <c r="C240" s="3"/>
      <c r="D240" s="3"/>
      <c r="E240" s="3"/>
      <c r="F240" s="3"/>
      <c r="G240" s="3"/>
      <c r="H240" s="2"/>
      <c r="I240" s="2"/>
      <c r="J240" s="2"/>
      <c r="K240" s="1"/>
      <c r="L240" s="1"/>
      <c r="M240" s="6"/>
      <c r="N240" s="5"/>
    </row>
    <row r="241" spans="1:14" ht="13.5" x14ac:dyDescent="0.25">
      <c r="A241" s="3"/>
      <c r="B241" s="3"/>
      <c r="C241" s="3"/>
      <c r="D241" s="3"/>
      <c r="E241" s="3"/>
      <c r="F241" s="3"/>
      <c r="G241" s="3"/>
      <c r="H241" s="2"/>
      <c r="I241" s="2"/>
      <c r="J241" s="2"/>
      <c r="K241" s="1"/>
      <c r="L241" s="1"/>
      <c r="M241" s="6"/>
      <c r="N241" s="5"/>
    </row>
    <row r="242" spans="1:14" ht="13.5" x14ac:dyDescent="0.25">
      <c r="A242" s="3"/>
      <c r="B242" s="3"/>
      <c r="C242" s="3"/>
      <c r="D242" s="3"/>
      <c r="E242" s="3"/>
      <c r="F242" s="3"/>
      <c r="G242" s="3"/>
      <c r="H242" s="2"/>
      <c r="I242" s="2"/>
      <c r="J242" s="2"/>
      <c r="K242" s="1"/>
      <c r="L242" s="1"/>
      <c r="M242" s="6"/>
      <c r="N242" s="5"/>
    </row>
    <row r="243" spans="1:14" ht="13.5" x14ac:dyDescent="0.25">
      <c r="A243" s="3"/>
      <c r="B243" s="3"/>
      <c r="C243" s="3"/>
      <c r="D243" s="3"/>
      <c r="E243" s="3"/>
      <c r="F243" s="3"/>
      <c r="G243" s="3"/>
      <c r="H243" s="2"/>
      <c r="I243" s="2"/>
      <c r="J243" s="2"/>
      <c r="K243" s="1"/>
      <c r="L243" s="1"/>
      <c r="M243" s="6"/>
      <c r="N243" s="5"/>
    </row>
    <row r="244" spans="1:14" ht="13.5" x14ac:dyDescent="0.25">
      <c r="A244" s="3"/>
      <c r="B244" s="3"/>
      <c r="C244" s="3"/>
      <c r="D244" s="3"/>
      <c r="E244" s="3"/>
      <c r="F244" s="3"/>
      <c r="G244" s="3"/>
      <c r="H244" s="2"/>
      <c r="I244" s="2"/>
      <c r="J244" s="2"/>
      <c r="K244" s="1"/>
      <c r="L244" s="1"/>
      <c r="M244" s="6"/>
      <c r="N244" s="5"/>
    </row>
    <row r="245" spans="1:14" ht="13.5" x14ac:dyDescent="0.25">
      <c r="A245" s="3"/>
      <c r="B245" s="3"/>
      <c r="C245" s="3"/>
      <c r="D245" s="3"/>
      <c r="E245" s="3"/>
      <c r="F245" s="3"/>
      <c r="G245" s="3"/>
      <c r="H245" s="2"/>
      <c r="I245" s="2"/>
      <c r="J245" s="2"/>
      <c r="K245" s="1"/>
      <c r="L245" s="1"/>
      <c r="M245" s="6"/>
      <c r="N245" s="5"/>
    </row>
    <row r="246" spans="1:14" ht="13.5" x14ac:dyDescent="0.25">
      <c r="A246" s="3"/>
      <c r="B246" s="3"/>
      <c r="C246" s="3"/>
      <c r="D246" s="3"/>
      <c r="E246" s="3"/>
      <c r="F246" s="3"/>
      <c r="G246" s="3"/>
      <c r="H246" s="2"/>
      <c r="I246" s="2"/>
      <c r="J246" s="2"/>
      <c r="K246" s="1"/>
      <c r="L246" s="1"/>
      <c r="M246" s="6"/>
      <c r="N246" s="5"/>
    </row>
    <row r="247" spans="1:14" ht="13.5" x14ac:dyDescent="0.25">
      <c r="A247" s="3"/>
      <c r="B247" s="3"/>
      <c r="C247" s="3"/>
      <c r="D247" s="3"/>
      <c r="E247" s="3"/>
      <c r="F247" s="3"/>
      <c r="G247" s="3"/>
      <c r="H247" s="2"/>
      <c r="I247" s="2"/>
      <c r="J247" s="2"/>
      <c r="K247" s="1"/>
      <c r="L247" s="1"/>
      <c r="M247" s="6"/>
      <c r="N247" s="5"/>
    </row>
    <row r="248" spans="1:14" ht="13.5" x14ac:dyDescent="0.25">
      <c r="A248" s="3"/>
      <c r="B248" s="3"/>
      <c r="C248" s="3"/>
      <c r="D248" s="3"/>
      <c r="E248" s="3"/>
      <c r="F248" s="3"/>
      <c r="G248" s="3"/>
      <c r="H248" s="2"/>
      <c r="I248" s="2"/>
      <c r="J248" s="2"/>
      <c r="K248" s="1"/>
      <c r="L248" s="1"/>
      <c r="M248" s="6"/>
      <c r="N248" s="5"/>
    </row>
    <row r="249" spans="1:14" ht="13.5" x14ac:dyDescent="0.25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1"/>
      <c r="L249" s="1"/>
      <c r="M249" s="6"/>
      <c r="N249" s="5"/>
    </row>
    <row r="250" spans="1:14" ht="13.5" x14ac:dyDescent="0.25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1"/>
      <c r="L250" s="1"/>
      <c r="M250" s="6"/>
      <c r="N250" s="5"/>
    </row>
    <row r="251" spans="1:14" ht="13.5" x14ac:dyDescent="0.25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1"/>
      <c r="L251" s="1"/>
      <c r="M251" s="6"/>
      <c r="N251" s="5"/>
    </row>
    <row r="252" spans="1:14" ht="13.5" x14ac:dyDescent="0.25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1"/>
      <c r="L252" s="1"/>
      <c r="M252" s="6"/>
      <c r="N252" s="5"/>
    </row>
    <row r="253" spans="1:14" ht="13.5" x14ac:dyDescent="0.25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1"/>
      <c r="L253" s="1"/>
      <c r="M253" s="6"/>
      <c r="N253" s="5"/>
    </row>
    <row r="254" spans="1:14" ht="13.5" x14ac:dyDescent="0.25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1"/>
      <c r="L254" s="1"/>
      <c r="M254" s="6"/>
      <c r="N254" s="5"/>
    </row>
    <row r="255" spans="1:14" ht="13.5" x14ac:dyDescent="0.25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1"/>
      <c r="L255" s="1"/>
      <c r="M255" s="6"/>
      <c r="N255" s="5"/>
    </row>
    <row r="256" spans="1:14" ht="13.5" x14ac:dyDescent="0.25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1"/>
      <c r="L256" s="1"/>
      <c r="M256" s="6"/>
      <c r="N256" s="5"/>
    </row>
    <row r="257" spans="1:14" ht="13.5" x14ac:dyDescent="0.25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1"/>
      <c r="L257" s="1"/>
      <c r="M257" s="6"/>
      <c r="N257" s="5"/>
    </row>
    <row r="258" spans="1:14" ht="13.5" x14ac:dyDescent="0.25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1"/>
      <c r="L258" s="1"/>
      <c r="M258" s="6"/>
      <c r="N258" s="5"/>
    </row>
    <row r="259" spans="1:14" ht="13.5" x14ac:dyDescent="0.25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1"/>
      <c r="L259" s="1"/>
      <c r="M259" s="6"/>
      <c r="N259" s="5"/>
    </row>
    <row r="260" spans="1:14" ht="13.5" x14ac:dyDescent="0.25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1"/>
      <c r="L260" s="1"/>
      <c r="M260" s="6"/>
      <c r="N260" s="5"/>
    </row>
    <row r="261" spans="1:14" ht="13.5" x14ac:dyDescent="0.25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1"/>
      <c r="L261" s="1"/>
      <c r="M261" s="6"/>
      <c r="N261" s="5"/>
    </row>
    <row r="262" spans="1:14" ht="13.5" x14ac:dyDescent="0.25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1"/>
      <c r="L262" s="1"/>
      <c r="M262" s="6"/>
      <c r="N262" s="5"/>
    </row>
    <row r="263" spans="1:14" ht="13.5" x14ac:dyDescent="0.25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1"/>
      <c r="L263" s="1"/>
      <c r="M263" s="6"/>
      <c r="N263" s="5"/>
    </row>
    <row r="264" spans="1:14" ht="13.5" x14ac:dyDescent="0.25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1"/>
      <c r="L264" s="1"/>
      <c r="M264" s="6"/>
      <c r="N264" s="5"/>
    </row>
    <row r="265" spans="1:14" ht="13.5" x14ac:dyDescent="0.25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1"/>
      <c r="L265" s="1"/>
      <c r="M265" s="6"/>
      <c r="N265" s="5"/>
    </row>
    <row r="266" spans="1:14" ht="13.5" x14ac:dyDescent="0.25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1"/>
      <c r="L266" s="1"/>
      <c r="M266" s="6"/>
      <c r="N266" s="5"/>
    </row>
    <row r="267" spans="1:14" ht="13.5" x14ac:dyDescent="0.25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1"/>
      <c r="L267" s="1"/>
      <c r="M267" s="6"/>
      <c r="N267" s="5"/>
    </row>
    <row r="268" spans="1:14" ht="13.5" x14ac:dyDescent="0.25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1"/>
      <c r="L268" s="1"/>
      <c r="M268" s="6"/>
      <c r="N268" s="5"/>
    </row>
    <row r="269" spans="1:14" ht="13.5" x14ac:dyDescent="0.25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1"/>
      <c r="L269" s="1"/>
      <c r="M269" s="6"/>
      <c r="N269" s="5"/>
    </row>
    <row r="270" spans="1:14" ht="13.5" x14ac:dyDescent="0.25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1"/>
      <c r="L270" s="1"/>
      <c r="M270" s="6"/>
      <c r="N270" s="5"/>
    </row>
    <row r="271" spans="1:14" ht="13.5" x14ac:dyDescent="0.25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1"/>
      <c r="L271" s="1"/>
      <c r="M271" s="6"/>
      <c r="N271" s="5"/>
    </row>
    <row r="272" spans="1:14" ht="13.5" x14ac:dyDescent="0.25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1"/>
      <c r="L272" s="1"/>
      <c r="M272" s="6"/>
      <c r="N272" s="5"/>
    </row>
    <row r="273" spans="1:14" ht="13.5" x14ac:dyDescent="0.25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1"/>
      <c r="L273" s="1"/>
      <c r="M273" s="6"/>
      <c r="N273" s="5"/>
    </row>
    <row r="274" spans="1:14" ht="13.5" x14ac:dyDescent="0.25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1"/>
      <c r="L274" s="1"/>
      <c r="M274" s="6"/>
      <c r="N274" s="5"/>
    </row>
    <row r="275" spans="1:14" ht="13.5" x14ac:dyDescent="0.25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1"/>
      <c r="L275" s="1"/>
      <c r="M275" s="6"/>
      <c r="N275" s="5"/>
    </row>
    <row r="276" spans="1:14" ht="13.5" x14ac:dyDescent="0.25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1"/>
      <c r="L276" s="1"/>
      <c r="M276" s="6"/>
      <c r="N276" s="5"/>
    </row>
    <row r="277" spans="1:14" ht="13.5" x14ac:dyDescent="0.25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1"/>
      <c r="L277" s="1"/>
      <c r="M277" s="6"/>
      <c r="N277" s="5"/>
    </row>
    <row r="278" spans="1:14" ht="13.5" x14ac:dyDescent="0.25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1"/>
      <c r="L278" s="1"/>
      <c r="M278" s="6"/>
      <c r="N278" s="5"/>
    </row>
    <row r="279" spans="1:14" ht="13.5" x14ac:dyDescent="0.25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1"/>
      <c r="L279" s="1"/>
      <c r="M279" s="6"/>
      <c r="N279" s="5"/>
    </row>
    <row r="280" spans="1:14" ht="13.5" x14ac:dyDescent="0.25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1"/>
      <c r="L280" s="1"/>
      <c r="M280" s="6"/>
      <c r="N280" s="5"/>
    </row>
    <row r="281" spans="1:14" ht="13.5" x14ac:dyDescent="0.25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1"/>
      <c r="L281" s="1"/>
      <c r="M281" s="6"/>
      <c r="N281" s="5"/>
    </row>
    <row r="282" spans="1:14" ht="13.5" x14ac:dyDescent="0.25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1"/>
      <c r="L282" s="1"/>
      <c r="M282" s="6"/>
      <c r="N282" s="5"/>
    </row>
    <row r="283" spans="1:14" ht="13.5" x14ac:dyDescent="0.25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1"/>
      <c r="L283" s="1"/>
      <c r="M283" s="6"/>
      <c r="N283" s="5"/>
    </row>
    <row r="284" spans="1:14" ht="13.5" x14ac:dyDescent="0.25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1"/>
      <c r="L284" s="1"/>
      <c r="M284" s="6"/>
      <c r="N284" s="5"/>
    </row>
    <row r="285" spans="1:14" ht="13.5" x14ac:dyDescent="0.25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1"/>
      <c r="L285" s="1"/>
      <c r="M285" s="6"/>
      <c r="N285" s="5"/>
    </row>
    <row r="286" spans="1:14" ht="13.5" x14ac:dyDescent="0.25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1"/>
      <c r="L286" s="1"/>
      <c r="M286" s="6"/>
      <c r="N286" s="5"/>
    </row>
    <row r="287" spans="1:14" ht="13.5" x14ac:dyDescent="0.25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1"/>
      <c r="L287" s="1"/>
      <c r="M287" s="6"/>
      <c r="N287" s="5"/>
    </row>
    <row r="288" spans="1:14" ht="13.5" x14ac:dyDescent="0.25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1"/>
      <c r="L288" s="1"/>
      <c r="M288" s="6"/>
      <c r="N288" s="5"/>
    </row>
    <row r="289" spans="1:14" ht="13.5" x14ac:dyDescent="0.25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1"/>
      <c r="L289" s="1"/>
      <c r="M289" s="6"/>
      <c r="N289" s="5"/>
    </row>
    <row r="290" spans="1:14" ht="13.5" x14ac:dyDescent="0.25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1"/>
      <c r="L290" s="1"/>
      <c r="M290" s="6"/>
      <c r="N290" s="5"/>
    </row>
    <row r="291" spans="1:14" ht="13.5" x14ac:dyDescent="0.25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1"/>
      <c r="L291" s="1"/>
      <c r="M291" s="6"/>
      <c r="N291" s="5"/>
    </row>
    <row r="292" spans="1:14" ht="13.5" x14ac:dyDescent="0.25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1"/>
      <c r="L292" s="1"/>
      <c r="M292" s="6"/>
      <c r="N292" s="5"/>
    </row>
    <row r="293" spans="1:14" ht="13.5" x14ac:dyDescent="0.25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1"/>
      <c r="L293" s="1"/>
      <c r="M293" s="6"/>
      <c r="N293" s="5"/>
    </row>
    <row r="294" spans="1:14" ht="13.5" x14ac:dyDescent="0.25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1"/>
      <c r="L294" s="1"/>
      <c r="M294" s="6"/>
      <c r="N294" s="5"/>
    </row>
    <row r="295" spans="1:14" ht="13.5" x14ac:dyDescent="0.25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1"/>
      <c r="L295" s="1"/>
      <c r="M295" s="6"/>
      <c r="N295" s="5"/>
    </row>
    <row r="296" spans="1:14" ht="13.5" x14ac:dyDescent="0.25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1"/>
      <c r="L296" s="1"/>
      <c r="M296" s="6"/>
      <c r="N296" s="5"/>
    </row>
    <row r="297" spans="1:14" ht="13.5" x14ac:dyDescent="0.25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1"/>
      <c r="L297" s="1"/>
      <c r="M297" s="6"/>
      <c r="N297" s="5"/>
    </row>
    <row r="298" spans="1:14" ht="13.5" x14ac:dyDescent="0.25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1"/>
      <c r="L298" s="1"/>
      <c r="M298" s="6"/>
      <c r="N298" s="5"/>
    </row>
    <row r="299" spans="1:14" ht="13.5" x14ac:dyDescent="0.25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1"/>
      <c r="L299" s="1"/>
      <c r="M299" s="6"/>
      <c r="N299" s="5"/>
    </row>
    <row r="300" spans="1:14" ht="13.5" x14ac:dyDescent="0.25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1"/>
      <c r="L300" s="1"/>
      <c r="M300" s="6"/>
      <c r="N300" s="5"/>
    </row>
    <row r="301" spans="1:14" ht="13.5" x14ac:dyDescent="0.25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1"/>
      <c r="L301" s="1"/>
      <c r="M301" s="6"/>
      <c r="N301" s="5"/>
    </row>
    <row r="302" spans="1:14" ht="13.5" x14ac:dyDescent="0.25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1"/>
      <c r="L302" s="1"/>
      <c r="M302" s="6"/>
      <c r="N302" s="5"/>
    </row>
    <row r="303" spans="1:14" ht="13.5" x14ac:dyDescent="0.25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1"/>
      <c r="L303" s="1"/>
      <c r="M303" s="6"/>
      <c r="N303" s="5"/>
    </row>
    <row r="304" spans="1:14" ht="13.5" x14ac:dyDescent="0.25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1"/>
      <c r="L304" s="1"/>
      <c r="M304" s="6"/>
      <c r="N304" s="5"/>
    </row>
    <row r="305" spans="1:14" ht="13.5" x14ac:dyDescent="0.25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1"/>
      <c r="L305" s="1"/>
      <c r="M305" s="6"/>
      <c r="N305" s="5"/>
    </row>
    <row r="306" spans="1:14" ht="13.5" x14ac:dyDescent="0.25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1"/>
      <c r="L306" s="1"/>
      <c r="M306" s="6"/>
      <c r="N306" s="5"/>
    </row>
    <row r="307" spans="1:14" ht="13.5" x14ac:dyDescent="0.25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1"/>
      <c r="L307" s="1"/>
      <c r="M307" s="6"/>
      <c r="N307" s="5"/>
    </row>
    <row r="308" spans="1:14" ht="13.5" x14ac:dyDescent="0.25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1"/>
      <c r="L308" s="1"/>
      <c r="M308" s="6"/>
      <c r="N308" s="5"/>
    </row>
    <row r="309" spans="1:14" ht="13.5" x14ac:dyDescent="0.25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1"/>
      <c r="L309" s="1"/>
      <c r="M309" s="6"/>
      <c r="N309" s="5"/>
    </row>
    <row r="310" spans="1:14" ht="13.5" x14ac:dyDescent="0.25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1"/>
      <c r="L310" s="1"/>
      <c r="M310" s="6"/>
      <c r="N310" s="5"/>
    </row>
    <row r="311" spans="1:14" ht="13.5" x14ac:dyDescent="0.25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1"/>
      <c r="L311" s="1"/>
      <c r="M311" s="6"/>
      <c r="N311" s="5"/>
    </row>
    <row r="312" spans="1:14" ht="13.5" x14ac:dyDescent="0.25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1"/>
      <c r="L312" s="1"/>
      <c r="M312" s="6"/>
      <c r="N312" s="5"/>
    </row>
    <row r="313" spans="1:14" ht="13.5" x14ac:dyDescent="0.25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1"/>
      <c r="L313" s="1"/>
      <c r="M313" s="6"/>
      <c r="N313" s="5"/>
    </row>
    <row r="314" spans="1:14" ht="13.5" x14ac:dyDescent="0.25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1"/>
      <c r="L314" s="1"/>
      <c r="M314" s="6"/>
      <c r="N314" s="5"/>
    </row>
    <row r="315" spans="1:14" ht="13.5" x14ac:dyDescent="0.25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1"/>
      <c r="L315" s="1"/>
      <c r="M315" s="6"/>
      <c r="N315" s="5"/>
    </row>
    <row r="316" spans="1:14" ht="13.5" x14ac:dyDescent="0.25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1"/>
      <c r="L316" s="1"/>
      <c r="M316" s="6"/>
      <c r="N316" s="5"/>
    </row>
    <row r="317" spans="1:14" ht="13.5" x14ac:dyDescent="0.25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1"/>
      <c r="L317" s="1"/>
      <c r="M317" s="6"/>
      <c r="N317" s="5"/>
    </row>
    <row r="318" spans="1:14" ht="13.5" x14ac:dyDescent="0.25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1"/>
      <c r="L318" s="1"/>
      <c r="M318" s="6"/>
      <c r="N318" s="5"/>
    </row>
    <row r="319" spans="1:14" ht="13.5" x14ac:dyDescent="0.25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1"/>
      <c r="L319" s="1"/>
      <c r="M319" s="6"/>
      <c r="N319" s="5"/>
    </row>
    <row r="320" spans="1:14" ht="13.5" x14ac:dyDescent="0.25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1"/>
      <c r="L320" s="1"/>
      <c r="M320" s="6"/>
      <c r="N320" s="5"/>
    </row>
    <row r="321" spans="1:14" ht="13.5" x14ac:dyDescent="0.25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1"/>
      <c r="L321" s="1"/>
      <c r="M321" s="6"/>
      <c r="N321" s="5"/>
    </row>
    <row r="322" spans="1:14" ht="13.5" x14ac:dyDescent="0.25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1"/>
      <c r="L322" s="1"/>
      <c r="M322" s="6"/>
      <c r="N322" s="5"/>
    </row>
    <row r="323" spans="1:14" ht="13.5" x14ac:dyDescent="0.25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1"/>
      <c r="L323" s="1"/>
      <c r="M323" s="6"/>
      <c r="N323" s="5"/>
    </row>
    <row r="324" spans="1:14" ht="13.5" x14ac:dyDescent="0.25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1"/>
      <c r="L324" s="1"/>
      <c r="M324" s="6"/>
      <c r="N324" s="5"/>
    </row>
    <row r="325" spans="1:14" ht="13.5" x14ac:dyDescent="0.25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1"/>
      <c r="L325" s="1"/>
      <c r="M325" s="6"/>
      <c r="N325" s="5"/>
    </row>
    <row r="326" spans="1:14" ht="13.5" x14ac:dyDescent="0.25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1"/>
      <c r="L326" s="1"/>
      <c r="M326" s="6"/>
      <c r="N326" s="5"/>
    </row>
    <row r="327" spans="1:14" ht="13.5" x14ac:dyDescent="0.25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1"/>
      <c r="L327" s="1"/>
      <c r="M327" s="6"/>
      <c r="N327" s="5"/>
    </row>
    <row r="328" spans="1:14" ht="13.5" x14ac:dyDescent="0.25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1"/>
      <c r="L328" s="1"/>
      <c r="M328" s="6"/>
      <c r="N328" s="5"/>
    </row>
    <row r="329" spans="1:14" ht="13.5" x14ac:dyDescent="0.25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1"/>
      <c r="L329" s="1"/>
      <c r="M329" s="6"/>
      <c r="N329" s="5"/>
    </row>
    <row r="330" spans="1:14" ht="13.5" x14ac:dyDescent="0.25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1"/>
      <c r="L330" s="1"/>
      <c r="M330" s="6"/>
      <c r="N330" s="5"/>
    </row>
    <row r="331" spans="1:14" ht="13.5" x14ac:dyDescent="0.25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1"/>
      <c r="L331" s="1"/>
      <c r="M331" s="6"/>
      <c r="N331" s="5"/>
    </row>
    <row r="332" spans="1:14" ht="13.5" x14ac:dyDescent="0.25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1"/>
      <c r="L332" s="1"/>
      <c r="M332" s="6"/>
      <c r="N332" s="5"/>
    </row>
    <row r="333" spans="1:14" ht="13.5" x14ac:dyDescent="0.25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1"/>
      <c r="L333" s="1"/>
      <c r="M333" s="6"/>
      <c r="N333" s="5"/>
    </row>
    <row r="334" spans="1:14" ht="13.5" x14ac:dyDescent="0.25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1"/>
      <c r="L334" s="1"/>
      <c r="M334" s="6"/>
      <c r="N334" s="5"/>
    </row>
    <row r="335" spans="1:14" ht="13.5" x14ac:dyDescent="0.25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1"/>
      <c r="L335" s="1"/>
      <c r="M335" s="6"/>
      <c r="N335" s="5"/>
    </row>
    <row r="336" spans="1:14" ht="13.5" x14ac:dyDescent="0.25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1"/>
      <c r="L336" s="1"/>
      <c r="M336" s="6"/>
      <c r="N336" s="5"/>
    </row>
    <row r="337" spans="1:14" ht="13.5" x14ac:dyDescent="0.25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1"/>
      <c r="L337" s="1"/>
      <c r="M337" s="6"/>
      <c r="N337" s="5"/>
    </row>
    <row r="338" spans="1:14" ht="13.5" x14ac:dyDescent="0.25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1"/>
      <c r="L338" s="1"/>
      <c r="M338" s="6"/>
      <c r="N338" s="5"/>
    </row>
    <row r="339" spans="1:14" ht="13.5" x14ac:dyDescent="0.25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1"/>
      <c r="L339" s="1"/>
      <c r="M339" s="6"/>
      <c r="N339" s="5"/>
    </row>
    <row r="340" spans="1:14" ht="13.5" x14ac:dyDescent="0.25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1"/>
      <c r="L340" s="1"/>
      <c r="M340" s="6"/>
      <c r="N340" s="5"/>
    </row>
    <row r="341" spans="1:14" ht="13.5" x14ac:dyDescent="0.25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1"/>
      <c r="L341" s="1"/>
      <c r="M341" s="6"/>
      <c r="N341" s="5"/>
    </row>
    <row r="342" spans="1:14" ht="13.5" x14ac:dyDescent="0.25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1"/>
      <c r="L342" s="1"/>
      <c r="M342" s="6"/>
      <c r="N342" s="5"/>
    </row>
    <row r="343" spans="1:14" ht="13.5" x14ac:dyDescent="0.25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1"/>
      <c r="L343" s="1"/>
      <c r="M343" s="6"/>
      <c r="N343" s="5"/>
    </row>
    <row r="344" spans="1:14" ht="13.5" x14ac:dyDescent="0.25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1"/>
      <c r="L344" s="1"/>
      <c r="M344" s="6"/>
      <c r="N344" s="5"/>
    </row>
    <row r="345" spans="1:14" ht="13.5" x14ac:dyDescent="0.25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1"/>
      <c r="L345" s="1"/>
      <c r="M345" s="6"/>
      <c r="N345" s="5"/>
    </row>
    <row r="346" spans="1:14" ht="13.5" x14ac:dyDescent="0.25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1"/>
      <c r="L346" s="1"/>
      <c r="M346" s="6"/>
      <c r="N346" s="5"/>
    </row>
    <row r="347" spans="1:14" ht="13.5" x14ac:dyDescent="0.25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1"/>
      <c r="L347" s="1"/>
      <c r="M347" s="6"/>
      <c r="N347" s="5"/>
    </row>
    <row r="348" spans="1:14" ht="13.5" x14ac:dyDescent="0.25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1"/>
      <c r="L348" s="1"/>
      <c r="M348" s="6"/>
      <c r="N348" s="5"/>
    </row>
    <row r="349" spans="1:14" ht="13.5" x14ac:dyDescent="0.25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1"/>
      <c r="L349" s="1"/>
      <c r="M349" s="6"/>
      <c r="N349" s="5"/>
    </row>
    <row r="350" spans="1:14" ht="13.5" x14ac:dyDescent="0.25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1"/>
      <c r="L350" s="1"/>
      <c r="M350" s="6"/>
      <c r="N350" s="5"/>
    </row>
    <row r="351" spans="1:14" ht="13.5" x14ac:dyDescent="0.25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1"/>
      <c r="L351" s="1"/>
      <c r="M351" s="6"/>
      <c r="N351" s="5"/>
    </row>
    <row r="352" spans="1:14" ht="13.5" x14ac:dyDescent="0.25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1"/>
      <c r="L352" s="1"/>
      <c r="M352" s="6"/>
      <c r="N352" s="5"/>
    </row>
    <row r="353" spans="1:14" ht="13.5" x14ac:dyDescent="0.25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1"/>
      <c r="L353" s="1"/>
      <c r="M353" s="6"/>
      <c r="N353" s="5"/>
    </row>
    <row r="354" spans="1:14" ht="13.5" x14ac:dyDescent="0.25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1"/>
      <c r="L354" s="1"/>
      <c r="M354" s="6"/>
      <c r="N354" s="5"/>
    </row>
    <row r="355" spans="1:14" ht="13.5" x14ac:dyDescent="0.25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1"/>
      <c r="L355" s="1"/>
      <c r="M355" s="6"/>
      <c r="N355" s="5"/>
    </row>
    <row r="356" spans="1:14" ht="13.5" x14ac:dyDescent="0.25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1"/>
      <c r="L356" s="1"/>
      <c r="M356" s="6"/>
      <c r="N356" s="5"/>
    </row>
    <row r="357" spans="1:14" ht="13.5" x14ac:dyDescent="0.25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1"/>
      <c r="L357" s="1"/>
      <c r="M357" s="6"/>
      <c r="N357" s="5"/>
    </row>
    <row r="358" spans="1:14" ht="13.5" x14ac:dyDescent="0.25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1"/>
      <c r="L358" s="1"/>
      <c r="M358" s="6"/>
      <c r="N358" s="5"/>
    </row>
    <row r="359" spans="1:14" ht="13.5" x14ac:dyDescent="0.25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1"/>
      <c r="L359" s="1"/>
      <c r="M359" s="6"/>
      <c r="N359" s="5"/>
    </row>
    <row r="360" spans="1:14" ht="13.5" x14ac:dyDescent="0.25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1"/>
      <c r="L360" s="1"/>
      <c r="M360" s="6"/>
      <c r="N360" s="5"/>
    </row>
    <row r="361" spans="1:14" ht="13.5" x14ac:dyDescent="0.25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1"/>
      <c r="L361" s="1"/>
      <c r="M361" s="6"/>
      <c r="N361" s="5"/>
    </row>
    <row r="362" spans="1:14" ht="13.5" x14ac:dyDescent="0.25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1"/>
      <c r="L362" s="1"/>
      <c r="M362" s="6"/>
      <c r="N362" s="5"/>
    </row>
    <row r="363" spans="1:14" ht="13.5" x14ac:dyDescent="0.25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1"/>
      <c r="L363" s="1"/>
      <c r="M363" s="6"/>
      <c r="N363" s="5"/>
    </row>
    <row r="364" spans="1:14" ht="13.5" x14ac:dyDescent="0.25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1"/>
      <c r="L364" s="1"/>
      <c r="M364" s="6"/>
      <c r="N364" s="5"/>
    </row>
    <row r="365" spans="1:14" ht="13.5" x14ac:dyDescent="0.25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1"/>
      <c r="L365" s="1"/>
      <c r="M365" s="6"/>
      <c r="N365" s="5"/>
    </row>
    <row r="366" spans="1:14" ht="13.5" x14ac:dyDescent="0.25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1"/>
      <c r="L366" s="1"/>
      <c r="M366" s="6"/>
      <c r="N366" s="5"/>
    </row>
    <row r="367" spans="1:14" ht="13.5" x14ac:dyDescent="0.25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1"/>
      <c r="L367" s="1"/>
      <c r="M367" s="6"/>
      <c r="N367" s="5"/>
    </row>
    <row r="368" spans="1:14" ht="13.5" x14ac:dyDescent="0.25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1"/>
      <c r="L368" s="1"/>
      <c r="M368" s="6"/>
      <c r="N368" s="5"/>
    </row>
    <row r="369" spans="1:14" ht="13.5" x14ac:dyDescent="0.25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1"/>
      <c r="L369" s="1"/>
      <c r="M369" s="6"/>
      <c r="N369" s="5"/>
    </row>
    <row r="370" spans="1:14" ht="13.5" x14ac:dyDescent="0.25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1"/>
      <c r="L370" s="1"/>
      <c r="M370" s="6"/>
      <c r="N370" s="5"/>
    </row>
    <row r="371" spans="1:14" ht="13.5" x14ac:dyDescent="0.25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1"/>
      <c r="L371" s="1"/>
      <c r="M371" s="6"/>
      <c r="N371" s="5"/>
    </row>
    <row r="372" spans="1:14" ht="13.5" x14ac:dyDescent="0.25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1"/>
      <c r="L372" s="1"/>
      <c r="M372" s="6"/>
      <c r="N372" s="5"/>
    </row>
    <row r="373" spans="1:14" ht="13.5" x14ac:dyDescent="0.25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1"/>
      <c r="L373" s="1"/>
      <c r="M373" s="6"/>
      <c r="N373" s="5"/>
    </row>
    <row r="374" spans="1:14" ht="13.5" x14ac:dyDescent="0.25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1"/>
      <c r="L374" s="1"/>
      <c r="M374" s="6"/>
      <c r="N374" s="5"/>
    </row>
    <row r="375" spans="1:14" ht="13.5" x14ac:dyDescent="0.25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1"/>
      <c r="L375" s="1"/>
      <c r="M375" s="6"/>
      <c r="N375" s="5"/>
    </row>
    <row r="376" spans="1:14" ht="13.5" x14ac:dyDescent="0.25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1"/>
      <c r="L376" s="1"/>
      <c r="M376" s="6"/>
      <c r="N376" s="5"/>
    </row>
    <row r="377" spans="1:14" ht="13.5" x14ac:dyDescent="0.25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1"/>
      <c r="L377" s="1"/>
      <c r="M377" s="6"/>
      <c r="N377" s="5"/>
    </row>
    <row r="378" spans="1:14" ht="13.5" x14ac:dyDescent="0.25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1"/>
      <c r="L378" s="1"/>
      <c r="M378" s="6"/>
      <c r="N378" s="5"/>
    </row>
    <row r="379" spans="1:14" ht="13.5" x14ac:dyDescent="0.25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1"/>
      <c r="L379" s="1"/>
      <c r="M379" s="6"/>
      <c r="N379" s="5"/>
    </row>
    <row r="380" spans="1:14" ht="13.5" x14ac:dyDescent="0.25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1"/>
      <c r="L380" s="1"/>
      <c r="M380" s="6"/>
      <c r="N380" s="5"/>
    </row>
    <row r="381" spans="1:14" ht="13.5" x14ac:dyDescent="0.25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1"/>
      <c r="L381" s="1"/>
      <c r="M381" s="6"/>
      <c r="N381" s="5"/>
    </row>
    <row r="382" spans="1:14" ht="13.5" x14ac:dyDescent="0.25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1"/>
      <c r="L382" s="1"/>
      <c r="M382" s="6"/>
      <c r="N382" s="5"/>
    </row>
    <row r="383" spans="1:14" ht="13.5" x14ac:dyDescent="0.25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1"/>
      <c r="L383" s="1"/>
      <c r="M383" s="6"/>
      <c r="N383" s="5"/>
    </row>
    <row r="384" spans="1:14" ht="13.5" x14ac:dyDescent="0.25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1"/>
      <c r="L384" s="1"/>
      <c r="M384" s="6"/>
      <c r="N384" s="5"/>
    </row>
    <row r="385" spans="1:14" ht="13.5" x14ac:dyDescent="0.25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1"/>
      <c r="L385" s="1"/>
      <c r="M385" s="6"/>
      <c r="N385" s="5"/>
    </row>
    <row r="386" spans="1:14" ht="13.5" x14ac:dyDescent="0.25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1"/>
      <c r="L386" s="1"/>
      <c r="M386" s="6"/>
      <c r="N386" s="5"/>
    </row>
    <row r="387" spans="1:14" ht="13.5" x14ac:dyDescent="0.25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1"/>
      <c r="L387" s="1"/>
      <c r="M387" s="6"/>
      <c r="N387" s="5"/>
    </row>
    <row r="388" spans="1:14" ht="13.5" x14ac:dyDescent="0.25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1"/>
      <c r="L388" s="1"/>
      <c r="M388" s="6"/>
      <c r="N388" s="5"/>
    </row>
    <row r="389" spans="1:14" ht="13.5" x14ac:dyDescent="0.25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1"/>
      <c r="L389" s="1"/>
      <c r="M389" s="6"/>
      <c r="N389" s="5"/>
    </row>
    <row r="390" spans="1:14" ht="13.5" x14ac:dyDescent="0.25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1"/>
      <c r="L390" s="1"/>
      <c r="M390" s="6"/>
      <c r="N390" s="5"/>
    </row>
    <row r="391" spans="1:14" ht="13.5" x14ac:dyDescent="0.25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1"/>
      <c r="L391" s="1"/>
      <c r="M391" s="6"/>
      <c r="N391" s="5"/>
    </row>
    <row r="392" spans="1:14" ht="13.5" x14ac:dyDescent="0.25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1"/>
      <c r="L392" s="1"/>
      <c r="M392" s="6"/>
      <c r="N392" s="5"/>
    </row>
    <row r="393" spans="1:14" ht="13.5" x14ac:dyDescent="0.25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1"/>
      <c r="L393" s="1"/>
      <c r="M393" s="6"/>
      <c r="N393" s="5"/>
    </row>
    <row r="394" spans="1:14" ht="13.5" x14ac:dyDescent="0.25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1"/>
      <c r="L394" s="1"/>
      <c r="M394" s="6"/>
      <c r="N394" s="5"/>
    </row>
    <row r="395" spans="1:14" ht="13.5" x14ac:dyDescent="0.25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1"/>
      <c r="L395" s="1"/>
      <c r="M395" s="6"/>
      <c r="N395" s="5"/>
    </row>
    <row r="396" spans="1:14" ht="13.5" x14ac:dyDescent="0.25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1"/>
      <c r="L396" s="1"/>
      <c r="M396" s="6"/>
      <c r="N396" s="5"/>
    </row>
    <row r="397" spans="1:14" ht="13.5" x14ac:dyDescent="0.25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1"/>
      <c r="L397" s="1"/>
      <c r="M397" s="6"/>
      <c r="N397" s="5"/>
    </row>
    <row r="398" spans="1:14" ht="13.5" x14ac:dyDescent="0.25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1"/>
      <c r="L398" s="1"/>
      <c r="M398" s="6"/>
      <c r="N398" s="5"/>
    </row>
    <row r="399" spans="1:14" ht="13.5" x14ac:dyDescent="0.25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1"/>
      <c r="L399" s="1"/>
      <c r="M399" s="6"/>
      <c r="N399" s="5"/>
    </row>
    <row r="400" spans="1:14" ht="13.5" x14ac:dyDescent="0.25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1"/>
      <c r="L400" s="1"/>
      <c r="M400" s="6"/>
      <c r="N400" s="5"/>
    </row>
    <row r="401" spans="1:14" ht="13.5" x14ac:dyDescent="0.25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1"/>
      <c r="L401" s="1"/>
      <c r="M401" s="6"/>
      <c r="N401" s="5"/>
    </row>
    <row r="402" spans="1:14" ht="13.5" x14ac:dyDescent="0.25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1"/>
      <c r="L402" s="1"/>
      <c r="M402" s="6"/>
      <c r="N402" s="5"/>
    </row>
    <row r="403" spans="1:14" ht="13.5" x14ac:dyDescent="0.25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1"/>
      <c r="L403" s="1"/>
      <c r="M403" s="6"/>
      <c r="N403" s="5"/>
    </row>
    <row r="404" spans="1:14" ht="13.5" x14ac:dyDescent="0.25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1"/>
      <c r="L404" s="1"/>
      <c r="M404" s="6"/>
      <c r="N404" s="5"/>
    </row>
    <row r="405" spans="1:14" ht="13.5" x14ac:dyDescent="0.25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1"/>
      <c r="L405" s="1"/>
      <c r="M405" s="6"/>
      <c r="N405" s="5"/>
    </row>
    <row r="406" spans="1:14" ht="13.5" x14ac:dyDescent="0.25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1"/>
      <c r="L406" s="1"/>
      <c r="M406" s="6"/>
      <c r="N406" s="5"/>
    </row>
    <row r="407" spans="1:14" ht="13.5" x14ac:dyDescent="0.25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1"/>
      <c r="L407" s="1"/>
      <c r="M407" s="6"/>
      <c r="N407" s="5"/>
    </row>
    <row r="408" spans="1:14" ht="13.5" x14ac:dyDescent="0.25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1"/>
      <c r="L408" s="1"/>
      <c r="M408" s="6"/>
      <c r="N408" s="5"/>
    </row>
    <row r="409" spans="1:14" ht="13.5" x14ac:dyDescent="0.25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1"/>
      <c r="L409" s="1"/>
      <c r="M409" s="6"/>
      <c r="N409" s="5"/>
    </row>
    <row r="410" spans="1:14" ht="13.5" x14ac:dyDescent="0.25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1"/>
      <c r="L410" s="1"/>
      <c r="M410" s="6"/>
      <c r="N410" s="5"/>
    </row>
    <row r="411" spans="1:14" ht="13.5" x14ac:dyDescent="0.25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1"/>
      <c r="L411" s="1"/>
      <c r="M411" s="6"/>
      <c r="N411" s="5"/>
    </row>
    <row r="412" spans="1:14" ht="13.5" x14ac:dyDescent="0.25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1"/>
      <c r="L412" s="1"/>
      <c r="M412" s="6"/>
      <c r="N412" s="5"/>
    </row>
    <row r="413" spans="1:14" ht="13.5" x14ac:dyDescent="0.25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1"/>
      <c r="L413" s="1"/>
      <c r="M413" s="6"/>
      <c r="N413" s="5"/>
    </row>
    <row r="414" spans="1:14" ht="13.5" x14ac:dyDescent="0.25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1"/>
      <c r="L414" s="1"/>
      <c r="M414" s="6"/>
      <c r="N414" s="5"/>
    </row>
    <row r="415" spans="1:14" ht="13.5" x14ac:dyDescent="0.25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1"/>
      <c r="L415" s="1"/>
      <c r="M415" s="6"/>
      <c r="N415" s="5"/>
    </row>
    <row r="416" spans="1:14" ht="13.5" x14ac:dyDescent="0.25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1"/>
      <c r="L416" s="1"/>
      <c r="M416" s="6"/>
      <c r="N416" s="5"/>
    </row>
    <row r="417" spans="1:14" ht="13.5" x14ac:dyDescent="0.25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1"/>
      <c r="L417" s="1"/>
      <c r="M417" s="6"/>
      <c r="N417" s="5"/>
    </row>
    <row r="418" spans="1:14" ht="13.5" x14ac:dyDescent="0.25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1"/>
      <c r="L418" s="1"/>
      <c r="M418" s="6"/>
      <c r="N418" s="5"/>
    </row>
    <row r="419" spans="1:14" ht="13.5" x14ac:dyDescent="0.25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1"/>
      <c r="L419" s="1"/>
      <c r="M419" s="6"/>
      <c r="N419" s="5"/>
    </row>
    <row r="420" spans="1:14" ht="13.5" x14ac:dyDescent="0.25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1"/>
      <c r="L420" s="1"/>
      <c r="M420" s="6"/>
      <c r="N420" s="5"/>
    </row>
    <row r="421" spans="1:14" ht="13.5" x14ac:dyDescent="0.25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1"/>
      <c r="L421" s="1"/>
      <c r="M421" s="6"/>
      <c r="N421" s="5"/>
    </row>
    <row r="422" spans="1:14" ht="13.5" x14ac:dyDescent="0.25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1"/>
      <c r="L422" s="1"/>
      <c r="M422" s="6"/>
      <c r="N422" s="5"/>
    </row>
    <row r="423" spans="1:14" ht="13.5" x14ac:dyDescent="0.25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1"/>
      <c r="L423" s="1"/>
      <c r="M423" s="6"/>
      <c r="N423" s="5"/>
    </row>
    <row r="424" spans="1:14" ht="13.5" x14ac:dyDescent="0.25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1"/>
      <c r="L424" s="1"/>
      <c r="M424" s="6"/>
      <c r="N424" s="5"/>
    </row>
    <row r="425" spans="1:14" ht="13.5" x14ac:dyDescent="0.25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1"/>
      <c r="L425" s="1"/>
      <c r="M425" s="6"/>
      <c r="N425" s="5"/>
    </row>
    <row r="426" spans="1:14" ht="13.5" x14ac:dyDescent="0.25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1"/>
      <c r="L426" s="1"/>
      <c r="M426" s="6"/>
      <c r="N426" s="5"/>
    </row>
    <row r="427" spans="1:14" ht="13.5" x14ac:dyDescent="0.25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1"/>
      <c r="L427" s="1"/>
      <c r="M427" s="6"/>
      <c r="N427" s="5"/>
    </row>
    <row r="428" spans="1:14" ht="13.5" x14ac:dyDescent="0.25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1"/>
      <c r="L428" s="1"/>
      <c r="M428" s="6"/>
      <c r="N428" s="5"/>
    </row>
    <row r="429" spans="1:14" ht="13.5" x14ac:dyDescent="0.25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1"/>
      <c r="L429" s="1"/>
      <c r="M429" s="6"/>
      <c r="N429" s="5"/>
    </row>
    <row r="430" spans="1:14" ht="13.5" x14ac:dyDescent="0.25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1"/>
      <c r="L430" s="1"/>
      <c r="M430" s="6"/>
      <c r="N430" s="5"/>
    </row>
    <row r="431" spans="1:14" ht="13.5" x14ac:dyDescent="0.25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1"/>
      <c r="L431" s="1"/>
      <c r="M431" s="6"/>
      <c r="N431" s="5"/>
    </row>
    <row r="432" spans="1:14" ht="13.5" x14ac:dyDescent="0.25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1"/>
      <c r="L432" s="1"/>
      <c r="M432" s="6"/>
      <c r="N432" s="5"/>
    </row>
    <row r="433" spans="1:14" ht="13.5" x14ac:dyDescent="0.25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1"/>
      <c r="L433" s="1"/>
      <c r="M433" s="6"/>
      <c r="N433" s="5"/>
    </row>
    <row r="434" spans="1:14" ht="13.5" x14ac:dyDescent="0.25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1"/>
      <c r="L434" s="1"/>
      <c r="M434" s="6"/>
      <c r="N434" s="5"/>
    </row>
    <row r="435" spans="1:14" ht="13.5" x14ac:dyDescent="0.25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1"/>
      <c r="L435" s="1"/>
      <c r="M435" s="6"/>
      <c r="N435" s="5"/>
    </row>
    <row r="436" spans="1:14" ht="13.5" x14ac:dyDescent="0.25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1"/>
      <c r="L436" s="1"/>
      <c r="M436" s="6"/>
      <c r="N436" s="5"/>
    </row>
    <row r="437" spans="1:14" ht="13.5" x14ac:dyDescent="0.25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1"/>
      <c r="L437" s="1"/>
      <c r="M437" s="6"/>
      <c r="N437" s="5"/>
    </row>
    <row r="438" spans="1:14" ht="13.5" x14ac:dyDescent="0.25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1"/>
      <c r="L438" s="1"/>
      <c r="M438" s="6"/>
      <c r="N438" s="5"/>
    </row>
    <row r="439" spans="1:14" ht="13.5" x14ac:dyDescent="0.25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1"/>
      <c r="L439" s="1"/>
      <c r="M439" s="6"/>
      <c r="N439" s="5"/>
    </row>
    <row r="440" spans="1:14" ht="13.5" x14ac:dyDescent="0.25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1"/>
      <c r="L440" s="1"/>
      <c r="M440" s="6"/>
      <c r="N440" s="5"/>
    </row>
    <row r="441" spans="1:14" ht="13.5" x14ac:dyDescent="0.25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1"/>
      <c r="L441" s="1"/>
      <c r="M441" s="6"/>
      <c r="N441" s="5"/>
    </row>
    <row r="442" spans="1:14" ht="13.5" x14ac:dyDescent="0.25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1"/>
      <c r="L442" s="1"/>
      <c r="M442" s="6"/>
      <c r="N442" s="5"/>
    </row>
    <row r="443" spans="1:14" ht="13.5" x14ac:dyDescent="0.25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1"/>
      <c r="L443" s="1"/>
      <c r="M443" s="6"/>
      <c r="N443" s="5"/>
    </row>
    <row r="444" spans="1:14" ht="13.5" x14ac:dyDescent="0.25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1"/>
      <c r="L444" s="1"/>
      <c r="M444" s="6"/>
      <c r="N444" s="5"/>
    </row>
    <row r="445" spans="1:14" ht="13.5" x14ac:dyDescent="0.25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1"/>
      <c r="L445" s="1"/>
      <c r="M445" s="6"/>
      <c r="N445" s="5"/>
    </row>
    <row r="446" spans="1:14" ht="13.5" x14ac:dyDescent="0.25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1"/>
      <c r="L446" s="1"/>
      <c r="M446" s="6"/>
      <c r="N446" s="5"/>
    </row>
    <row r="447" spans="1:14" ht="13.5" x14ac:dyDescent="0.25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1"/>
      <c r="L447" s="1"/>
      <c r="M447" s="6"/>
      <c r="N447" s="5"/>
    </row>
    <row r="448" spans="1:14" ht="13.5" x14ac:dyDescent="0.25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1"/>
      <c r="L448" s="1"/>
      <c r="M448" s="6"/>
      <c r="N448" s="5"/>
    </row>
    <row r="449" spans="1:14" ht="13.5" x14ac:dyDescent="0.25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1"/>
      <c r="L449" s="1"/>
      <c r="M449" s="6"/>
      <c r="N449" s="5"/>
    </row>
    <row r="450" spans="1:14" ht="13.5" x14ac:dyDescent="0.25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1"/>
      <c r="L450" s="1"/>
      <c r="M450" s="6"/>
      <c r="N450" s="5"/>
    </row>
    <row r="451" spans="1:14" ht="13.5" x14ac:dyDescent="0.25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1"/>
      <c r="L451" s="1"/>
      <c r="M451" s="6"/>
      <c r="N451" s="5"/>
    </row>
    <row r="452" spans="1:14" ht="13.5" x14ac:dyDescent="0.25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1"/>
      <c r="L452" s="1"/>
      <c r="M452" s="6"/>
      <c r="N452" s="5"/>
    </row>
    <row r="453" spans="1:14" ht="13.5" x14ac:dyDescent="0.25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1"/>
      <c r="L453" s="1"/>
      <c r="M453" s="6"/>
      <c r="N453" s="5"/>
    </row>
    <row r="454" spans="1:14" ht="13.5" x14ac:dyDescent="0.25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1"/>
      <c r="L454" s="1"/>
      <c r="M454" s="6"/>
      <c r="N454" s="5"/>
    </row>
    <row r="455" spans="1:14" ht="13.5" x14ac:dyDescent="0.25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1"/>
      <c r="L455" s="1"/>
      <c r="M455" s="6"/>
      <c r="N455" s="5"/>
    </row>
    <row r="456" spans="1:14" ht="13.5" x14ac:dyDescent="0.25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1"/>
      <c r="L456" s="1"/>
      <c r="M456" s="6"/>
      <c r="N456" s="5"/>
    </row>
    <row r="457" spans="1:14" ht="13.5" x14ac:dyDescent="0.25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1"/>
      <c r="L457" s="1"/>
      <c r="M457" s="6"/>
      <c r="N457" s="5"/>
    </row>
    <row r="458" spans="1:14" ht="13.5" x14ac:dyDescent="0.25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1"/>
      <c r="L458" s="1"/>
      <c r="M458" s="6"/>
      <c r="N458" s="5"/>
    </row>
    <row r="459" spans="1:14" ht="13.5" x14ac:dyDescent="0.25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1"/>
      <c r="L459" s="1"/>
      <c r="M459" s="6"/>
      <c r="N459" s="5"/>
    </row>
    <row r="460" spans="1:14" ht="13.5" x14ac:dyDescent="0.25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1"/>
      <c r="L460" s="1"/>
      <c r="M460" s="6"/>
      <c r="N460" s="5"/>
    </row>
    <row r="461" spans="1:14" ht="13.5" x14ac:dyDescent="0.25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1"/>
      <c r="L461" s="1"/>
      <c r="M461" s="6"/>
      <c r="N461" s="5"/>
    </row>
    <row r="462" spans="1:14" ht="13.5" x14ac:dyDescent="0.25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1"/>
      <c r="L462" s="1"/>
      <c r="M462" s="6"/>
      <c r="N462" s="5"/>
    </row>
    <row r="463" spans="1:14" ht="13.5" x14ac:dyDescent="0.25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1"/>
      <c r="L463" s="1"/>
      <c r="M463" s="6"/>
      <c r="N463" s="5"/>
    </row>
    <row r="464" spans="1:14" ht="13.5" x14ac:dyDescent="0.25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1"/>
      <c r="L464" s="1"/>
      <c r="M464" s="6"/>
      <c r="N464" s="5"/>
    </row>
    <row r="465" spans="1:14" ht="13.5" x14ac:dyDescent="0.25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1"/>
      <c r="L465" s="1"/>
      <c r="M465" s="6"/>
      <c r="N465" s="5"/>
    </row>
    <row r="466" spans="1:14" ht="13.5" x14ac:dyDescent="0.25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1"/>
      <c r="L466" s="1"/>
      <c r="M466" s="6"/>
      <c r="N466" s="5"/>
    </row>
    <row r="467" spans="1:14" ht="13.5" x14ac:dyDescent="0.25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1"/>
      <c r="L467" s="1"/>
      <c r="M467" s="6"/>
      <c r="N467" s="5"/>
    </row>
    <row r="468" spans="1:14" ht="13.5" x14ac:dyDescent="0.25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1"/>
      <c r="L468" s="1"/>
      <c r="M468" s="6"/>
      <c r="N468" s="5"/>
    </row>
    <row r="469" spans="1:14" ht="13.5" x14ac:dyDescent="0.25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1"/>
      <c r="L469" s="1"/>
      <c r="M469" s="6"/>
      <c r="N469" s="5"/>
    </row>
    <row r="470" spans="1:14" ht="13.5" x14ac:dyDescent="0.25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1"/>
      <c r="L470" s="1"/>
      <c r="M470" s="6"/>
      <c r="N470" s="5"/>
    </row>
    <row r="471" spans="1:14" ht="13.5" x14ac:dyDescent="0.25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1"/>
      <c r="L471" s="1"/>
      <c r="M471" s="6"/>
      <c r="N471" s="5"/>
    </row>
    <row r="472" spans="1:14" ht="13.5" x14ac:dyDescent="0.25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1"/>
      <c r="L472" s="1"/>
      <c r="M472" s="6"/>
      <c r="N472" s="5"/>
    </row>
    <row r="473" spans="1:14" ht="13.5" x14ac:dyDescent="0.25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1"/>
      <c r="L473" s="1"/>
      <c r="M473" s="6"/>
      <c r="N473" s="5"/>
    </row>
    <row r="474" spans="1:14" ht="13.5" x14ac:dyDescent="0.25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1"/>
      <c r="L474" s="1"/>
      <c r="M474" s="6"/>
      <c r="N474" s="5"/>
    </row>
    <row r="475" spans="1:14" ht="13.5" x14ac:dyDescent="0.25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1"/>
      <c r="L475" s="1"/>
      <c r="M475" s="6"/>
      <c r="N475" s="5"/>
    </row>
    <row r="476" spans="1:14" ht="13.5" x14ac:dyDescent="0.25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1"/>
      <c r="L476" s="1"/>
      <c r="M476" s="6"/>
      <c r="N476" s="5"/>
    </row>
    <row r="477" spans="1:14" ht="13.5" x14ac:dyDescent="0.25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1"/>
      <c r="L477" s="1"/>
      <c r="M477" s="6"/>
      <c r="N477" s="5"/>
    </row>
    <row r="478" spans="1:14" ht="13.5" x14ac:dyDescent="0.25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1"/>
      <c r="L478" s="1"/>
      <c r="M478" s="6"/>
      <c r="N478" s="5"/>
    </row>
    <row r="479" spans="1:14" ht="13.5" x14ac:dyDescent="0.25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1"/>
      <c r="L479" s="1"/>
      <c r="M479" s="6"/>
      <c r="N479" s="5"/>
    </row>
    <row r="480" spans="1:14" ht="13.5" x14ac:dyDescent="0.25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1"/>
      <c r="L480" s="1"/>
      <c r="M480" s="6"/>
      <c r="N480" s="5"/>
    </row>
    <row r="481" spans="1:14" ht="13.5" x14ac:dyDescent="0.25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1"/>
      <c r="L481" s="1"/>
      <c r="M481" s="6"/>
      <c r="N481" s="5"/>
    </row>
    <row r="482" spans="1:14" ht="13.5" x14ac:dyDescent="0.25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1"/>
      <c r="L482" s="1"/>
      <c r="M482" s="6"/>
      <c r="N482" s="5"/>
    </row>
    <row r="483" spans="1:14" ht="13.5" x14ac:dyDescent="0.25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1"/>
      <c r="L483" s="1"/>
      <c r="M483" s="6"/>
      <c r="N483" s="5"/>
    </row>
    <row r="484" spans="1:14" ht="13.5" x14ac:dyDescent="0.25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1"/>
      <c r="L484" s="1"/>
      <c r="M484" s="6"/>
      <c r="N484" s="5"/>
    </row>
    <row r="485" spans="1:14" ht="13.5" x14ac:dyDescent="0.25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1"/>
      <c r="L485" s="1"/>
      <c r="M485" s="6"/>
      <c r="N485" s="5"/>
    </row>
    <row r="486" spans="1:14" ht="13.5" x14ac:dyDescent="0.25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1"/>
      <c r="L486" s="1"/>
      <c r="M486" s="6"/>
      <c r="N486" s="5"/>
    </row>
    <row r="487" spans="1:14" ht="13.5" x14ac:dyDescent="0.25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1"/>
      <c r="L487" s="1"/>
      <c r="M487" s="6"/>
      <c r="N487" s="5"/>
    </row>
    <row r="488" spans="1:14" ht="13.5" x14ac:dyDescent="0.25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1"/>
      <c r="L488" s="1"/>
      <c r="M488" s="6"/>
      <c r="N488" s="5"/>
    </row>
    <row r="489" spans="1:14" ht="13.5" x14ac:dyDescent="0.25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1"/>
      <c r="L489" s="1"/>
      <c r="M489" s="6"/>
      <c r="N489" s="5"/>
    </row>
    <row r="490" spans="1:14" ht="13.5" x14ac:dyDescent="0.25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1"/>
      <c r="L490" s="1"/>
      <c r="M490" s="6"/>
      <c r="N490" s="5"/>
    </row>
    <row r="491" spans="1:14" ht="13.5" x14ac:dyDescent="0.25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1"/>
      <c r="L491" s="1"/>
      <c r="M491" s="6"/>
      <c r="N491" s="5"/>
    </row>
    <row r="492" spans="1:14" ht="13.5" x14ac:dyDescent="0.25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1"/>
      <c r="L492" s="1"/>
      <c r="M492" s="6"/>
      <c r="N492" s="5"/>
    </row>
    <row r="493" spans="1:14" ht="13.5" x14ac:dyDescent="0.25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1"/>
      <c r="L493" s="1"/>
      <c r="M493" s="6"/>
      <c r="N493" s="5"/>
    </row>
    <row r="494" spans="1:14" ht="13.5" x14ac:dyDescent="0.25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1"/>
      <c r="L494" s="1"/>
      <c r="M494" s="6"/>
      <c r="N494" s="5"/>
    </row>
    <row r="495" spans="1:14" ht="13.5" x14ac:dyDescent="0.25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1"/>
      <c r="L495" s="1"/>
      <c r="M495" s="6"/>
      <c r="N495" s="5"/>
    </row>
    <row r="496" spans="1:14" ht="13.5" x14ac:dyDescent="0.25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1"/>
      <c r="L496" s="1"/>
      <c r="M496" s="6"/>
      <c r="N496" s="5"/>
    </row>
    <row r="497" spans="1:14" ht="13.5" x14ac:dyDescent="0.25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1"/>
      <c r="L497" s="1"/>
      <c r="M497" s="6"/>
      <c r="N497" s="5"/>
    </row>
    <row r="498" spans="1:14" ht="13.5" x14ac:dyDescent="0.25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1"/>
      <c r="L498" s="1"/>
      <c r="M498" s="6"/>
      <c r="N498" s="5"/>
    </row>
    <row r="499" spans="1:14" ht="13.5" x14ac:dyDescent="0.25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1"/>
      <c r="L499" s="1"/>
      <c r="M499" s="6"/>
      <c r="N499" s="5"/>
    </row>
    <row r="500" spans="1:14" ht="13.5" x14ac:dyDescent="0.25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1"/>
      <c r="L500" s="1"/>
      <c r="M500" s="6"/>
      <c r="N500" s="5"/>
    </row>
    <row r="501" spans="1:14" ht="13.5" x14ac:dyDescent="0.25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1"/>
      <c r="L501" s="1"/>
      <c r="M501" s="6"/>
      <c r="N501" s="5"/>
    </row>
    <row r="502" spans="1:14" ht="13.5" x14ac:dyDescent="0.25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1"/>
      <c r="L502" s="1"/>
      <c r="M502" s="6"/>
      <c r="N502" s="5"/>
    </row>
    <row r="503" spans="1:14" ht="13.5" x14ac:dyDescent="0.25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1"/>
      <c r="L503" s="1"/>
      <c r="M503" s="6"/>
      <c r="N503" s="5"/>
    </row>
    <row r="504" spans="1:14" ht="13.5" x14ac:dyDescent="0.25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1"/>
      <c r="L504" s="1"/>
      <c r="M504" s="6"/>
      <c r="N504" s="5"/>
    </row>
    <row r="505" spans="1:14" ht="13.5" x14ac:dyDescent="0.25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1"/>
      <c r="L505" s="1"/>
      <c r="M505" s="6"/>
      <c r="N505" s="5"/>
    </row>
    <row r="506" spans="1:14" ht="13.5" x14ac:dyDescent="0.25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1"/>
      <c r="L506" s="1"/>
      <c r="M506" s="6"/>
      <c r="N506" s="5"/>
    </row>
    <row r="507" spans="1:14" ht="13.5" x14ac:dyDescent="0.25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1"/>
      <c r="L507" s="1"/>
      <c r="M507" s="6"/>
      <c r="N507" s="5"/>
    </row>
    <row r="508" spans="1:14" ht="13.5" x14ac:dyDescent="0.25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1"/>
      <c r="L508" s="1"/>
      <c r="M508" s="6"/>
      <c r="N508" s="5"/>
    </row>
    <row r="509" spans="1:14" ht="13.5" x14ac:dyDescent="0.25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1"/>
      <c r="L509" s="1"/>
      <c r="M509" s="6"/>
      <c r="N509" s="5"/>
    </row>
    <row r="510" spans="1:14" ht="13.5" x14ac:dyDescent="0.25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1"/>
      <c r="L510" s="1"/>
      <c r="M510" s="6"/>
      <c r="N510" s="5"/>
    </row>
    <row r="511" spans="1:14" ht="13.5" x14ac:dyDescent="0.25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1"/>
      <c r="L511" s="1"/>
      <c r="M511" s="6"/>
      <c r="N511" s="5"/>
    </row>
    <row r="512" spans="1:14" ht="13.5" x14ac:dyDescent="0.25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1"/>
      <c r="L512" s="1"/>
      <c r="M512" s="6"/>
      <c r="N512" s="5"/>
    </row>
    <row r="513" spans="1:14" ht="13.5" x14ac:dyDescent="0.25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1"/>
      <c r="L513" s="1"/>
      <c r="M513" s="6"/>
      <c r="N513" s="5"/>
    </row>
    <row r="514" spans="1:14" ht="13.5" x14ac:dyDescent="0.25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1"/>
      <c r="L514" s="1"/>
      <c r="M514" s="6"/>
      <c r="N514" s="5"/>
    </row>
    <row r="515" spans="1:14" ht="13.5" x14ac:dyDescent="0.25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1"/>
      <c r="L515" s="1"/>
      <c r="M515" s="6"/>
      <c r="N515" s="5"/>
    </row>
    <row r="516" spans="1:14" ht="13.5" x14ac:dyDescent="0.25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1"/>
      <c r="L516" s="1"/>
      <c r="M516" s="6"/>
      <c r="N516" s="5"/>
    </row>
    <row r="517" spans="1:14" ht="13.5" x14ac:dyDescent="0.25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1"/>
      <c r="L517" s="1"/>
      <c r="M517" s="6"/>
      <c r="N517" s="5"/>
    </row>
    <row r="518" spans="1:14" ht="13.5" x14ac:dyDescent="0.25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1"/>
      <c r="L518" s="1"/>
      <c r="M518" s="6"/>
      <c r="N518" s="5"/>
    </row>
    <row r="519" spans="1:14" ht="13.5" x14ac:dyDescent="0.25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1"/>
      <c r="L519" s="1"/>
      <c r="M519" s="6"/>
      <c r="N519" s="5"/>
    </row>
    <row r="520" spans="1:14" ht="13.5" x14ac:dyDescent="0.25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1"/>
      <c r="L520" s="1"/>
      <c r="M520" s="6"/>
      <c r="N520" s="5"/>
    </row>
    <row r="521" spans="1:14" ht="13.5" x14ac:dyDescent="0.25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1"/>
      <c r="L521" s="1"/>
      <c r="M521" s="6"/>
      <c r="N521" s="5"/>
    </row>
    <row r="522" spans="1:14" ht="13.5" x14ac:dyDescent="0.25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1"/>
      <c r="L522" s="1"/>
      <c r="M522" s="6"/>
      <c r="N522" s="5"/>
    </row>
    <row r="523" spans="1:14" ht="13.5" x14ac:dyDescent="0.25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1"/>
      <c r="L523" s="1"/>
      <c r="M523" s="6"/>
      <c r="N523" s="5"/>
    </row>
    <row r="524" spans="1:14" ht="13.5" x14ac:dyDescent="0.25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1"/>
      <c r="L524" s="1"/>
      <c r="M524" s="6"/>
      <c r="N524" s="5"/>
    </row>
    <row r="525" spans="1:14" ht="13.5" x14ac:dyDescent="0.25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1"/>
      <c r="L525" s="1"/>
      <c r="M525" s="6"/>
      <c r="N525" s="5"/>
    </row>
    <row r="526" spans="1:14" ht="13.5" x14ac:dyDescent="0.25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1"/>
      <c r="L526" s="1"/>
      <c r="M526" s="6"/>
      <c r="N526" s="5"/>
    </row>
    <row r="527" spans="1:14" ht="13.5" x14ac:dyDescent="0.25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1"/>
      <c r="L527" s="1"/>
      <c r="M527" s="6"/>
      <c r="N527" s="5"/>
    </row>
    <row r="528" spans="1:14" ht="13.5" x14ac:dyDescent="0.25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1"/>
      <c r="L528" s="1"/>
      <c r="M528" s="6"/>
      <c r="N528" s="5"/>
    </row>
    <row r="529" spans="1:14" ht="13.5" x14ac:dyDescent="0.25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1"/>
      <c r="L529" s="1"/>
      <c r="M529" s="6"/>
      <c r="N529" s="5"/>
    </row>
    <row r="530" spans="1:14" ht="13.5" x14ac:dyDescent="0.25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1"/>
      <c r="L530" s="1"/>
      <c r="M530" s="6"/>
      <c r="N530" s="5"/>
    </row>
    <row r="531" spans="1:14" ht="13.5" x14ac:dyDescent="0.25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1"/>
      <c r="L531" s="1"/>
      <c r="M531" s="6"/>
      <c r="N531" s="5"/>
    </row>
    <row r="532" spans="1:14" ht="13.5" x14ac:dyDescent="0.25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1"/>
      <c r="L532" s="1"/>
      <c r="M532" s="6"/>
      <c r="N532" s="5"/>
    </row>
    <row r="533" spans="1:14" ht="13.5" x14ac:dyDescent="0.25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1"/>
      <c r="L533" s="1"/>
      <c r="M533" s="6"/>
      <c r="N533" s="5"/>
    </row>
    <row r="534" spans="1:14" ht="13.5" x14ac:dyDescent="0.25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1"/>
      <c r="L534" s="1"/>
      <c r="M534" s="6"/>
      <c r="N534" s="5"/>
    </row>
    <row r="535" spans="1:14" ht="13.5" x14ac:dyDescent="0.25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1"/>
      <c r="L535" s="1"/>
      <c r="M535" s="6"/>
      <c r="N535" s="5"/>
    </row>
    <row r="536" spans="1:14" ht="13.5" x14ac:dyDescent="0.25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1"/>
      <c r="L536" s="1"/>
      <c r="M536" s="6"/>
      <c r="N536" s="5"/>
    </row>
    <row r="537" spans="1:14" ht="13.5" x14ac:dyDescent="0.25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1"/>
      <c r="L537" s="1"/>
      <c r="M537" s="6"/>
      <c r="N537" s="5"/>
    </row>
    <row r="538" spans="1:14" ht="13.5" x14ac:dyDescent="0.25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1"/>
      <c r="L538" s="1"/>
      <c r="M538" s="6"/>
      <c r="N538" s="5"/>
    </row>
    <row r="539" spans="1:14" ht="13.5" x14ac:dyDescent="0.25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1"/>
      <c r="L539" s="1"/>
      <c r="M539" s="6"/>
      <c r="N539" s="5"/>
    </row>
    <row r="540" spans="1:14" ht="13.5" x14ac:dyDescent="0.25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1"/>
      <c r="L540" s="1"/>
      <c r="M540" s="6"/>
      <c r="N540" s="5"/>
    </row>
    <row r="541" spans="1:14" ht="13.5" x14ac:dyDescent="0.25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1"/>
      <c r="L541" s="1"/>
      <c r="M541" s="6"/>
      <c r="N541" s="5"/>
    </row>
    <row r="542" spans="1:14" ht="13.5" x14ac:dyDescent="0.25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1"/>
      <c r="L542" s="1"/>
      <c r="M542" s="6"/>
      <c r="N542" s="5"/>
    </row>
    <row r="543" spans="1:14" ht="13.5" x14ac:dyDescent="0.25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1"/>
      <c r="L543" s="1"/>
      <c r="M543" s="6"/>
      <c r="N543" s="5"/>
    </row>
    <row r="544" spans="1:14" ht="13.5" x14ac:dyDescent="0.25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1"/>
      <c r="L544" s="1"/>
      <c r="M544" s="6"/>
      <c r="N544" s="5"/>
    </row>
    <row r="545" spans="1:14" ht="13.5" x14ac:dyDescent="0.25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1"/>
      <c r="L545" s="1"/>
      <c r="M545" s="6"/>
      <c r="N545" s="5"/>
    </row>
    <row r="546" spans="1:14" ht="13.5" x14ac:dyDescent="0.25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1"/>
      <c r="L546" s="1"/>
      <c r="M546" s="6"/>
      <c r="N546" s="5"/>
    </row>
    <row r="547" spans="1:14" ht="13.5" x14ac:dyDescent="0.25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1"/>
      <c r="L547" s="1"/>
      <c r="M547" s="6"/>
      <c r="N547" s="5"/>
    </row>
    <row r="548" spans="1:14" ht="13.5" x14ac:dyDescent="0.25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1"/>
      <c r="L548" s="1"/>
      <c r="M548" s="6"/>
      <c r="N548" s="5"/>
    </row>
    <row r="549" spans="1:14" ht="13.5" x14ac:dyDescent="0.25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1"/>
      <c r="L549" s="1"/>
      <c r="M549" s="6"/>
      <c r="N549" s="5"/>
    </row>
    <row r="550" spans="1:14" ht="13.5" x14ac:dyDescent="0.25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1"/>
      <c r="L550" s="1"/>
      <c r="M550" s="6"/>
      <c r="N550" s="5"/>
    </row>
    <row r="551" spans="1:14" ht="13.5" x14ac:dyDescent="0.25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1"/>
      <c r="L551" s="1"/>
      <c r="M551" s="6"/>
      <c r="N551" s="5"/>
    </row>
    <row r="552" spans="1:14" ht="13.5" x14ac:dyDescent="0.25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1"/>
      <c r="L552" s="1"/>
      <c r="M552" s="6"/>
      <c r="N552" s="5"/>
    </row>
    <row r="553" spans="1:14" ht="13.5" x14ac:dyDescent="0.25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1"/>
      <c r="L553" s="1"/>
      <c r="M553" s="6"/>
      <c r="N553" s="5"/>
    </row>
    <row r="554" spans="1:14" ht="13.5" x14ac:dyDescent="0.25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1"/>
      <c r="L554" s="1"/>
      <c r="M554" s="6"/>
      <c r="N554" s="5"/>
    </row>
    <row r="555" spans="1:14" ht="13.5" x14ac:dyDescent="0.25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1"/>
      <c r="L555" s="1"/>
      <c r="M555" s="6"/>
      <c r="N555" s="5"/>
    </row>
    <row r="556" spans="1:14" ht="13.5" x14ac:dyDescent="0.25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1"/>
      <c r="L556" s="1"/>
      <c r="M556" s="6"/>
      <c r="N556" s="5"/>
    </row>
    <row r="557" spans="1:14" ht="13.5" x14ac:dyDescent="0.25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1"/>
      <c r="L557" s="1"/>
      <c r="M557" s="6"/>
      <c r="N557" s="5"/>
    </row>
    <row r="558" spans="1:14" ht="13.5" x14ac:dyDescent="0.25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1"/>
      <c r="L558" s="1"/>
      <c r="M558" s="6"/>
      <c r="N558" s="5"/>
    </row>
    <row r="559" spans="1:14" ht="13.5" x14ac:dyDescent="0.25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1"/>
      <c r="L559" s="1"/>
      <c r="M559" s="6"/>
      <c r="N559" s="5"/>
    </row>
    <row r="560" spans="1:14" ht="13.5" x14ac:dyDescent="0.25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1"/>
      <c r="L560" s="1"/>
      <c r="M560" s="6"/>
      <c r="N560" s="5"/>
    </row>
    <row r="561" spans="1:14" ht="13.5" x14ac:dyDescent="0.25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1"/>
      <c r="L561" s="1"/>
      <c r="M561" s="6"/>
      <c r="N561" s="5"/>
    </row>
    <row r="562" spans="1:14" ht="13.5" x14ac:dyDescent="0.25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1"/>
      <c r="L562" s="1"/>
      <c r="M562" s="6"/>
      <c r="N562" s="5"/>
    </row>
    <row r="563" spans="1:14" ht="13.5" x14ac:dyDescent="0.25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1"/>
      <c r="L563" s="1"/>
      <c r="M563" s="6"/>
      <c r="N563" s="5"/>
    </row>
    <row r="564" spans="1:14" ht="13.5" x14ac:dyDescent="0.25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1"/>
      <c r="L564" s="1"/>
      <c r="M564" s="6"/>
      <c r="N564" s="5"/>
    </row>
    <row r="565" spans="1:14" ht="13.5" x14ac:dyDescent="0.25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1"/>
      <c r="L565" s="1"/>
      <c r="M565" s="6"/>
      <c r="N565" s="5"/>
    </row>
    <row r="566" spans="1:14" ht="13.5" x14ac:dyDescent="0.25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1"/>
      <c r="L566" s="1"/>
      <c r="M566" s="6"/>
      <c r="N566" s="5"/>
    </row>
    <row r="567" spans="1:14" ht="13.5" x14ac:dyDescent="0.25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1"/>
      <c r="L567" s="1"/>
      <c r="M567" s="6"/>
      <c r="N567" s="5"/>
    </row>
    <row r="568" spans="1:14" ht="13.5" x14ac:dyDescent="0.25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1"/>
      <c r="L568" s="1"/>
      <c r="M568" s="6"/>
      <c r="N568" s="5"/>
    </row>
    <row r="569" spans="1:14" ht="13.5" x14ac:dyDescent="0.25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1"/>
      <c r="L569" s="1"/>
      <c r="M569" s="6"/>
      <c r="N569" s="5"/>
    </row>
    <row r="570" spans="1:14" ht="13.5" x14ac:dyDescent="0.25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1"/>
      <c r="L570" s="1"/>
      <c r="M570" s="6"/>
      <c r="N570" s="5"/>
    </row>
    <row r="571" spans="1:14" ht="13.5" x14ac:dyDescent="0.25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1"/>
      <c r="L571" s="1"/>
      <c r="M571" s="6"/>
      <c r="N571" s="5"/>
    </row>
    <row r="572" spans="1:14" ht="13.5" x14ac:dyDescent="0.25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1"/>
      <c r="L572" s="1"/>
      <c r="M572" s="6"/>
      <c r="N572" s="5"/>
    </row>
    <row r="573" spans="1:14" ht="13.5" x14ac:dyDescent="0.25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1"/>
      <c r="L573" s="1"/>
      <c r="M573" s="6"/>
      <c r="N573" s="5"/>
    </row>
    <row r="574" spans="1:14" ht="13.5" x14ac:dyDescent="0.25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1"/>
      <c r="L574" s="1"/>
      <c r="M574" s="6"/>
      <c r="N574" s="5"/>
    </row>
    <row r="575" spans="1:14" ht="13.5" x14ac:dyDescent="0.25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1"/>
      <c r="L575" s="1"/>
      <c r="M575" s="6"/>
      <c r="N575" s="5"/>
    </row>
    <row r="576" spans="1:14" ht="13.5" x14ac:dyDescent="0.25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1"/>
      <c r="L576" s="1"/>
      <c r="M576" s="6"/>
      <c r="N576" s="5"/>
    </row>
    <row r="577" spans="1:14" ht="13.5" x14ac:dyDescent="0.25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1"/>
      <c r="L577" s="1"/>
      <c r="M577" s="6"/>
      <c r="N577" s="5"/>
    </row>
    <row r="578" spans="1:14" ht="13.5" x14ac:dyDescent="0.25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1"/>
      <c r="L578" s="1"/>
      <c r="M578" s="6"/>
      <c r="N578" s="5"/>
    </row>
    <row r="579" spans="1:14" ht="13.5" x14ac:dyDescent="0.25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1"/>
      <c r="L579" s="1"/>
      <c r="M579" s="6"/>
      <c r="N579" s="5"/>
    </row>
    <row r="580" spans="1:14" ht="13.5" x14ac:dyDescent="0.25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1"/>
      <c r="L580" s="1"/>
      <c r="M580" s="6"/>
      <c r="N580" s="5"/>
    </row>
    <row r="581" spans="1:14" ht="13.5" x14ac:dyDescent="0.25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1"/>
      <c r="L581" s="1"/>
      <c r="M581" s="6"/>
      <c r="N581" s="5"/>
    </row>
    <row r="582" spans="1:14" ht="13.5" x14ac:dyDescent="0.25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1"/>
      <c r="L582" s="1"/>
      <c r="M582" s="6"/>
      <c r="N582" s="5"/>
    </row>
    <row r="583" spans="1:14" ht="13.5" x14ac:dyDescent="0.25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1"/>
      <c r="L583" s="1"/>
      <c r="M583" s="6"/>
      <c r="N583" s="5"/>
    </row>
    <row r="584" spans="1:14" ht="13.5" x14ac:dyDescent="0.25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1"/>
      <c r="L584" s="1"/>
      <c r="M584" s="6"/>
      <c r="N584" s="5"/>
    </row>
    <row r="585" spans="1:14" ht="13.5" x14ac:dyDescent="0.25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1"/>
      <c r="L585" s="1"/>
      <c r="M585" s="6"/>
      <c r="N585" s="5"/>
    </row>
    <row r="586" spans="1:14" ht="13.5" x14ac:dyDescent="0.25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1"/>
      <c r="L586" s="1"/>
      <c r="M586" s="6"/>
      <c r="N586" s="5"/>
    </row>
    <row r="587" spans="1:14" ht="13.5" x14ac:dyDescent="0.25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1"/>
      <c r="L587" s="1"/>
      <c r="M587" s="6"/>
      <c r="N587" s="5"/>
    </row>
    <row r="588" spans="1:14" ht="13.5" x14ac:dyDescent="0.25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1"/>
      <c r="L588" s="1"/>
      <c r="M588" s="6"/>
      <c r="N588" s="5"/>
    </row>
    <row r="589" spans="1:14" ht="13.5" x14ac:dyDescent="0.25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1"/>
      <c r="L589" s="1"/>
      <c r="M589" s="6"/>
      <c r="N589" s="5"/>
    </row>
    <row r="590" spans="1:14" ht="13.5" x14ac:dyDescent="0.25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1"/>
      <c r="L590" s="1"/>
      <c r="M590" s="6"/>
      <c r="N590" s="5"/>
    </row>
    <row r="591" spans="1:14" ht="13.5" x14ac:dyDescent="0.25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1"/>
      <c r="L591" s="1"/>
      <c r="M591" s="6"/>
      <c r="N591" s="5"/>
    </row>
    <row r="592" spans="1:14" ht="13.5" x14ac:dyDescent="0.25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1"/>
      <c r="L592" s="1"/>
      <c r="M592" s="6"/>
      <c r="N592" s="5"/>
    </row>
    <row r="593" spans="1:14" ht="13.5" x14ac:dyDescent="0.25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1"/>
      <c r="L593" s="1"/>
      <c r="M593" s="6"/>
      <c r="N593" s="5"/>
    </row>
    <row r="594" spans="1:14" ht="13.5" x14ac:dyDescent="0.25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1"/>
      <c r="L594" s="1"/>
      <c r="M594" s="6"/>
      <c r="N594" s="5"/>
    </row>
    <row r="595" spans="1:14" ht="13.5" x14ac:dyDescent="0.25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1"/>
      <c r="L595" s="1"/>
      <c r="M595" s="6"/>
      <c r="N595" s="5"/>
    </row>
    <row r="596" spans="1:14" ht="13.5" x14ac:dyDescent="0.25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1"/>
      <c r="L596" s="1"/>
      <c r="M596" s="6"/>
      <c r="N596" s="5"/>
    </row>
    <row r="597" spans="1:14" ht="13.5" x14ac:dyDescent="0.25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1"/>
      <c r="L597" s="1"/>
      <c r="M597" s="6"/>
      <c r="N597" s="5"/>
    </row>
    <row r="598" spans="1:14" ht="13.5" x14ac:dyDescent="0.25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1"/>
      <c r="L598" s="1"/>
      <c r="M598" s="6"/>
      <c r="N598" s="5"/>
    </row>
    <row r="599" spans="1:14" ht="13.5" x14ac:dyDescent="0.25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1"/>
      <c r="L599" s="1"/>
      <c r="M599" s="6"/>
      <c r="N599" s="5"/>
    </row>
    <row r="600" spans="1:14" ht="13.5" x14ac:dyDescent="0.25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1"/>
      <c r="L600" s="1"/>
      <c r="M600" s="6"/>
      <c r="N600" s="5"/>
    </row>
    <row r="601" spans="1:14" ht="13.5" x14ac:dyDescent="0.25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1"/>
      <c r="L601" s="1"/>
      <c r="M601" s="6"/>
      <c r="N601" s="5"/>
    </row>
    <row r="602" spans="1:14" ht="13.5" x14ac:dyDescent="0.25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1"/>
      <c r="L602" s="1"/>
      <c r="M602" s="6"/>
      <c r="N602" s="5"/>
    </row>
    <row r="603" spans="1:14" ht="13.5" x14ac:dyDescent="0.25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1"/>
      <c r="L603" s="1"/>
      <c r="M603" s="6"/>
      <c r="N603" s="5"/>
    </row>
    <row r="604" spans="1:14" ht="13.5" x14ac:dyDescent="0.25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1"/>
      <c r="L604" s="1"/>
      <c r="M604" s="6"/>
      <c r="N604" s="5"/>
    </row>
    <row r="605" spans="1:14" ht="13.5" x14ac:dyDescent="0.25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1"/>
      <c r="L605" s="1"/>
      <c r="M605" s="6"/>
      <c r="N605" s="5"/>
    </row>
    <row r="606" spans="1:14" ht="13.5" x14ac:dyDescent="0.25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1"/>
      <c r="L606" s="1"/>
      <c r="M606" s="6"/>
      <c r="N606" s="5"/>
    </row>
    <row r="607" spans="1:14" ht="13.5" x14ac:dyDescent="0.25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1"/>
      <c r="L607" s="1"/>
      <c r="M607" s="6"/>
      <c r="N607" s="5"/>
    </row>
    <row r="608" spans="1:14" ht="13.5" x14ac:dyDescent="0.25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1"/>
      <c r="L608" s="1"/>
      <c r="M608" s="6"/>
      <c r="N608" s="5"/>
    </row>
    <row r="609" spans="1:14" ht="13.5" x14ac:dyDescent="0.25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1"/>
      <c r="L609" s="1"/>
      <c r="M609" s="6"/>
      <c r="N609" s="5"/>
    </row>
    <row r="610" spans="1:14" ht="13.5" x14ac:dyDescent="0.25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1"/>
      <c r="L610" s="1"/>
      <c r="M610" s="6"/>
      <c r="N610" s="5"/>
    </row>
    <row r="611" spans="1:14" ht="13.5" x14ac:dyDescent="0.25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1"/>
      <c r="L611" s="1"/>
      <c r="M611" s="6"/>
      <c r="N611" s="5"/>
    </row>
    <row r="612" spans="1:14" ht="13.5" x14ac:dyDescent="0.25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1"/>
      <c r="L612" s="1"/>
      <c r="M612" s="6"/>
      <c r="N612" s="5"/>
    </row>
    <row r="613" spans="1:14" ht="13.5" x14ac:dyDescent="0.25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1"/>
      <c r="L613" s="1"/>
      <c r="M613" s="6"/>
      <c r="N613" s="5"/>
    </row>
    <row r="614" spans="1:14" ht="13.5" x14ac:dyDescent="0.25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1"/>
      <c r="L614" s="1"/>
      <c r="M614" s="6"/>
      <c r="N614" s="5"/>
    </row>
    <row r="615" spans="1:14" ht="13.5" x14ac:dyDescent="0.25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1"/>
      <c r="L615" s="1"/>
      <c r="M615" s="6"/>
      <c r="N615" s="5"/>
    </row>
    <row r="616" spans="1:14" ht="13.5" x14ac:dyDescent="0.25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1"/>
      <c r="L616" s="1"/>
      <c r="M616" s="6"/>
      <c r="N616" s="5"/>
    </row>
    <row r="617" spans="1:14" ht="13.5" x14ac:dyDescent="0.25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1"/>
      <c r="L617" s="1"/>
      <c r="M617" s="6"/>
      <c r="N617" s="5"/>
    </row>
    <row r="618" spans="1:14" ht="13.5" x14ac:dyDescent="0.25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1"/>
      <c r="L618" s="1"/>
      <c r="M618" s="6"/>
      <c r="N618" s="5"/>
    </row>
    <row r="619" spans="1:14" ht="13.5" x14ac:dyDescent="0.25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1"/>
      <c r="L619" s="1"/>
      <c r="M619" s="6"/>
      <c r="N619" s="5"/>
    </row>
    <row r="620" spans="1:14" ht="13.5" x14ac:dyDescent="0.25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1"/>
      <c r="L620" s="1"/>
      <c r="M620" s="6"/>
      <c r="N620" s="5"/>
    </row>
    <row r="621" spans="1:14" ht="13.5" x14ac:dyDescent="0.25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1"/>
      <c r="L621" s="1"/>
      <c r="M621" s="6"/>
      <c r="N621" s="5"/>
    </row>
    <row r="622" spans="1:14" ht="13.5" x14ac:dyDescent="0.25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1"/>
      <c r="L622" s="1"/>
      <c r="M622" s="6"/>
      <c r="N622" s="5"/>
    </row>
    <row r="623" spans="1:14" ht="13.5" x14ac:dyDescent="0.25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1"/>
      <c r="L623" s="1"/>
      <c r="M623" s="6"/>
      <c r="N623" s="5"/>
    </row>
    <row r="624" spans="1:14" ht="13.5" x14ac:dyDescent="0.25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1"/>
      <c r="L624" s="1"/>
      <c r="M624" s="6"/>
      <c r="N624" s="5"/>
    </row>
    <row r="625" spans="1:14" ht="13.5" x14ac:dyDescent="0.25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1"/>
      <c r="L625" s="1"/>
      <c r="M625" s="6"/>
      <c r="N625" s="5"/>
    </row>
    <row r="626" spans="1:14" ht="13.5" x14ac:dyDescent="0.25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1"/>
      <c r="L626" s="1"/>
      <c r="M626" s="6"/>
      <c r="N626" s="5"/>
    </row>
    <row r="627" spans="1:14" ht="13.5" x14ac:dyDescent="0.25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1"/>
      <c r="L627" s="1"/>
      <c r="M627" s="6"/>
      <c r="N627" s="5"/>
    </row>
    <row r="628" spans="1:14" ht="13.5" x14ac:dyDescent="0.25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1"/>
      <c r="L628" s="1"/>
      <c r="M628" s="6"/>
      <c r="N628" s="5"/>
    </row>
    <row r="629" spans="1:14" ht="13.5" x14ac:dyDescent="0.25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1"/>
      <c r="L629" s="1"/>
      <c r="M629" s="6"/>
      <c r="N629" s="5"/>
    </row>
    <row r="630" spans="1:14" ht="13.5" x14ac:dyDescent="0.25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1"/>
      <c r="L630" s="1"/>
      <c r="M630" s="6"/>
      <c r="N630" s="5"/>
    </row>
    <row r="631" spans="1:14" ht="13.5" x14ac:dyDescent="0.25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1"/>
      <c r="L631" s="1"/>
      <c r="M631" s="6"/>
      <c r="N631" s="5"/>
    </row>
    <row r="632" spans="1:14" ht="13.5" x14ac:dyDescent="0.25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1"/>
      <c r="L632" s="1"/>
      <c r="M632" s="6"/>
      <c r="N632" s="5"/>
    </row>
    <row r="633" spans="1:14" ht="13.5" x14ac:dyDescent="0.25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1"/>
      <c r="L633" s="1"/>
      <c r="M633" s="6"/>
      <c r="N633" s="5"/>
    </row>
    <row r="634" spans="1:14" ht="13.5" x14ac:dyDescent="0.25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1"/>
      <c r="L634" s="1"/>
      <c r="M634" s="6"/>
      <c r="N634" s="5"/>
    </row>
    <row r="635" spans="1:14" ht="13.5" x14ac:dyDescent="0.25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1"/>
      <c r="L635" s="1"/>
      <c r="M635" s="6"/>
      <c r="N635" s="5"/>
    </row>
    <row r="636" spans="1:14" ht="13.5" x14ac:dyDescent="0.25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1"/>
      <c r="L636" s="1"/>
      <c r="M636" s="6"/>
      <c r="N636" s="5"/>
    </row>
    <row r="637" spans="1:14" ht="13.5" x14ac:dyDescent="0.25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1"/>
      <c r="L637" s="1"/>
      <c r="M637" s="6"/>
      <c r="N637" s="5"/>
    </row>
    <row r="638" spans="1:14" ht="13.5" x14ac:dyDescent="0.25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1"/>
      <c r="L638" s="1"/>
      <c r="M638" s="6"/>
      <c r="N638" s="5"/>
    </row>
    <row r="639" spans="1:14" ht="13.5" x14ac:dyDescent="0.25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1"/>
      <c r="L639" s="1"/>
      <c r="M639" s="6"/>
      <c r="N639" s="5"/>
    </row>
    <row r="640" spans="1:14" ht="13.5" x14ac:dyDescent="0.25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1"/>
      <c r="L640" s="1"/>
      <c r="M640" s="6"/>
      <c r="N640" s="5"/>
    </row>
    <row r="641" spans="1:14" ht="13.5" x14ac:dyDescent="0.25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1"/>
      <c r="L641" s="1"/>
      <c r="M641" s="6"/>
      <c r="N641" s="5"/>
    </row>
    <row r="642" spans="1:14" ht="13.5" x14ac:dyDescent="0.25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1"/>
      <c r="L642" s="1"/>
      <c r="M642" s="6"/>
      <c r="N642" s="5"/>
    </row>
    <row r="643" spans="1:14" ht="13.5" x14ac:dyDescent="0.25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1"/>
      <c r="L643" s="1"/>
      <c r="M643" s="6"/>
      <c r="N643" s="5"/>
    </row>
    <row r="644" spans="1:14" ht="13.5" x14ac:dyDescent="0.25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1"/>
      <c r="L644" s="1"/>
      <c r="M644" s="6"/>
      <c r="N644" s="5"/>
    </row>
    <row r="645" spans="1:14" ht="13.5" x14ac:dyDescent="0.25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1"/>
      <c r="L645" s="1"/>
      <c r="M645" s="6"/>
      <c r="N645" s="5"/>
    </row>
    <row r="646" spans="1:14" ht="13.5" x14ac:dyDescent="0.25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1"/>
      <c r="L646" s="1"/>
      <c r="M646" s="6"/>
      <c r="N646" s="5"/>
    </row>
    <row r="647" spans="1:14" ht="13.5" x14ac:dyDescent="0.25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1"/>
      <c r="L647" s="1"/>
      <c r="M647" s="6"/>
      <c r="N647" s="5"/>
    </row>
    <row r="648" spans="1:14" ht="13.5" x14ac:dyDescent="0.25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1"/>
      <c r="L648" s="1"/>
      <c r="M648" s="6"/>
      <c r="N648" s="5"/>
    </row>
    <row r="649" spans="1:14" ht="13.5" x14ac:dyDescent="0.25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1"/>
      <c r="L649" s="1"/>
      <c r="M649" s="6"/>
      <c r="N649" s="5"/>
    </row>
    <row r="650" spans="1:14" ht="13.5" x14ac:dyDescent="0.25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1"/>
      <c r="L650" s="1"/>
      <c r="M650" s="6"/>
      <c r="N650" s="5"/>
    </row>
    <row r="651" spans="1:14" ht="13.5" x14ac:dyDescent="0.25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1"/>
      <c r="L651" s="1"/>
      <c r="M651" s="6"/>
      <c r="N651" s="5"/>
    </row>
    <row r="652" spans="1:14" ht="13.5" x14ac:dyDescent="0.25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1"/>
      <c r="L652" s="1"/>
      <c r="M652" s="6"/>
      <c r="N652" s="5"/>
    </row>
    <row r="653" spans="1:14" ht="13.5" x14ac:dyDescent="0.25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1"/>
      <c r="L653" s="1"/>
      <c r="M653" s="6"/>
      <c r="N653" s="5"/>
    </row>
    <row r="654" spans="1:14" ht="13.5" x14ac:dyDescent="0.25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1"/>
      <c r="L654" s="1"/>
      <c r="M654" s="6"/>
      <c r="N654" s="5"/>
    </row>
    <row r="655" spans="1:14" ht="13.5" x14ac:dyDescent="0.25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1"/>
      <c r="L655" s="1"/>
      <c r="M655" s="6"/>
      <c r="N655" s="5"/>
    </row>
    <row r="656" spans="1:14" ht="13.5" x14ac:dyDescent="0.25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1"/>
      <c r="L656" s="1"/>
      <c r="M656" s="6"/>
      <c r="N656" s="5"/>
    </row>
    <row r="657" spans="1:14" ht="13.5" x14ac:dyDescent="0.25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1"/>
      <c r="L657" s="1"/>
      <c r="M657" s="6"/>
      <c r="N657" s="5"/>
    </row>
    <row r="658" spans="1:14" ht="13.5" x14ac:dyDescent="0.25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1"/>
      <c r="L658" s="1"/>
      <c r="M658" s="6"/>
      <c r="N658" s="5"/>
    </row>
    <row r="659" spans="1:14" ht="13.5" x14ac:dyDescent="0.25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1"/>
      <c r="L659" s="1"/>
      <c r="M659" s="6"/>
      <c r="N659" s="5"/>
    </row>
    <row r="660" spans="1:14" ht="13.5" x14ac:dyDescent="0.25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1"/>
      <c r="L660" s="1"/>
      <c r="M660" s="6"/>
      <c r="N660" s="5"/>
    </row>
    <row r="661" spans="1:14" ht="13.5" x14ac:dyDescent="0.25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1"/>
      <c r="L661" s="1"/>
      <c r="M661" s="6"/>
      <c r="N661" s="5"/>
    </row>
    <row r="662" spans="1:14" ht="13.5" x14ac:dyDescent="0.25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1"/>
      <c r="L662" s="1"/>
      <c r="M662" s="6"/>
      <c r="N662" s="5"/>
    </row>
    <row r="663" spans="1:14" ht="13.5" x14ac:dyDescent="0.25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1"/>
      <c r="L663" s="1"/>
      <c r="M663" s="6"/>
      <c r="N663" s="5"/>
    </row>
    <row r="664" spans="1:14" ht="13.5" x14ac:dyDescent="0.25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1"/>
      <c r="L664" s="1"/>
      <c r="M664" s="6"/>
      <c r="N664" s="5"/>
    </row>
    <row r="665" spans="1:14" ht="13.5" x14ac:dyDescent="0.25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1"/>
      <c r="L665" s="1"/>
      <c r="M665" s="6"/>
      <c r="N665" s="5"/>
    </row>
    <row r="666" spans="1:14" ht="13.5" x14ac:dyDescent="0.25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1"/>
      <c r="L666" s="1"/>
      <c r="M666" s="6"/>
      <c r="N666" s="5"/>
    </row>
    <row r="667" spans="1:14" ht="13.5" x14ac:dyDescent="0.25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1"/>
      <c r="L667" s="1"/>
      <c r="M667" s="6"/>
      <c r="N667" s="5"/>
    </row>
    <row r="668" spans="1:14" ht="13.5" x14ac:dyDescent="0.25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1"/>
      <c r="L668" s="1"/>
      <c r="M668" s="6"/>
      <c r="N668" s="5"/>
    </row>
    <row r="669" spans="1:14" ht="13.5" x14ac:dyDescent="0.25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1"/>
      <c r="L669" s="1"/>
      <c r="M669" s="6"/>
      <c r="N669" s="5"/>
    </row>
    <row r="670" spans="1:14" ht="13.5" x14ac:dyDescent="0.25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1"/>
      <c r="L670" s="1"/>
      <c r="M670" s="6"/>
      <c r="N670" s="5"/>
    </row>
    <row r="671" spans="1:14" ht="13.5" x14ac:dyDescent="0.25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1"/>
      <c r="L671" s="1"/>
      <c r="M671" s="6"/>
      <c r="N671" s="5"/>
    </row>
    <row r="672" spans="1:14" ht="13.5" x14ac:dyDescent="0.25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1"/>
      <c r="L672" s="1"/>
      <c r="M672" s="6"/>
      <c r="N672" s="5"/>
    </row>
    <row r="673" spans="1:14" ht="13.5" x14ac:dyDescent="0.25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1"/>
      <c r="L673" s="1"/>
      <c r="M673" s="6"/>
      <c r="N673" s="5"/>
    </row>
    <row r="674" spans="1:14" ht="13.5" x14ac:dyDescent="0.25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1"/>
      <c r="L674" s="1"/>
      <c r="M674" s="6"/>
      <c r="N674" s="5"/>
    </row>
    <row r="675" spans="1:14" ht="13.5" x14ac:dyDescent="0.25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1"/>
      <c r="L675" s="1"/>
      <c r="M675" s="6"/>
      <c r="N675" s="5"/>
    </row>
    <row r="676" spans="1:14" ht="13.5" x14ac:dyDescent="0.25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1"/>
      <c r="L676" s="1"/>
      <c r="M676" s="6"/>
      <c r="N676" s="5"/>
    </row>
    <row r="677" spans="1:14" ht="13.5" x14ac:dyDescent="0.25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1"/>
      <c r="L677" s="1"/>
      <c r="M677" s="6"/>
      <c r="N677" s="5"/>
    </row>
    <row r="678" spans="1:14" ht="13.5" x14ac:dyDescent="0.25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1"/>
      <c r="L678" s="1"/>
      <c r="M678" s="6"/>
      <c r="N678" s="5"/>
    </row>
    <row r="679" spans="1:14" ht="13.5" x14ac:dyDescent="0.25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1"/>
      <c r="L679" s="1"/>
      <c r="M679" s="6"/>
      <c r="N679" s="5"/>
    </row>
    <row r="680" spans="1:14" ht="13.5" x14ac:dyDescent="0.25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1"/>
      <c r="L680" s="1"/>
      <c r="M680" s="6"/>
      <c r="N680" s="5"/>
    </row>
    <row r="681" spans="1:14" ht="13.5" x14ac:dyDescent="0.25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1"/>
      <c r="L681" s="1"/>
      <c r="M681" s="6"/>
      <c r="N681" s="5"/>
    </row>
    <row r="682" spans="1:14" ht="13.5" x14ac:dyDescent="0.25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1"/>
      <c r="L682" s="1"/>
      <c r="M682" s="6"/>
      <c r="N682" s="5"/>
    </row>
    <row r="683" spans="1:14" ht="13.5" x14ac:dyDescent="0.25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1"/>
      <c r="L683" s="1"/>
      <c r="M683" s="6"/>
      <c r="N683" s="5"/>
    </row>
    <row r="684" spans="1:14" ht="13.5" x14ac:dyDescent="0.25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1"/>
      <c r="L684" s="1"/>
      <c r="M684" s="6"/>
      <c r="N684" s="5"/>
    </row>
    <row r="685" spans="1:14" ht="13.5" x14ac:dyDescent="0.25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1"/>
      <c r="L685" s="1"/>
      <c r="M685" s="6"/>
      <c r="N685" s="5"/>
    </row>
    <row r="686" spans="1:14" ht="13.5" x14ac:dyDescent="0.25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1"/>
      <c r="L686" s="1"/>
      <c r="M686" s="6"/>
      <c r="N686" s="5"/>
    </row>
    <row r="687" spans="1:14" ht="13.5" x14ac:dyDescent="0.25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1"/>
      <c r="L687" s="1"/>
      <c r="M687" s="6"/>
      <c r="N687" s="5"/>
    </row>
    <row r="688" spans="1:14" ht="13.5" x14ac:dyDescent="0.25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1"/>
      <c r="L688" s="1"/>
      <c r="M688" s="6"/>
      <c r="N688" s="5"/>
    </row>
    <row r="689" spans="1:14" ht="13.5" x14ac:dyDescent="0.25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1"/>
      <c r="L689" s="1"/>
      <c r="M689" s="6"/>
      <c r="N689" s="5"/>
    </row>
    <row r="690" spans="1:14" ht="13.5" x14ac:dyDescent="0.25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1"/>
      <c r="L690" s="1"/>
      <c r="M690" s="6"/>
      <c r="N690" s="5"/>
    </row>
    <row r="691" spans="1:14" ht="13.5" x14ac:dyDescent="0.25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1"/>
      <c r="L691" s="1"/>
      <c r="M691" s="6"/>
      <c r="N691" s="5"/>
    </row>
    <row r="692" spans="1:14" ht="13.5" x14ac:dyDescent="0.25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1"/>
      <c r="L692" s="1"/>
      <c r="M692" s="6"/>
      <c r="N692" s="5"/>
    </row>
    <row r="693" spans="1:14" ht="13.5" x14ac:dyDescent="0.25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1"/>
      <c r="L693" s="1"/>
      <c r="M693" s="6"/>
      <c r="N693" s="5"/>
    </row>
    <row r="694" spans="1:14" ht="13.5" x14ac:dyDescent="0.25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1"/>
      <c r="L694" s="1"/>
      <c r="M694" s="6"/>
      <c r="N694" s="5"/>
    </row>
    <row r="695" spans="1:14" ht="13.5" x14ac:dyDescent="0.25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1"/>
      <c r="L695" s="1"/>
      <c r="M695" s="6"/>
      <c r="N695" s="5"/>
    </row>
    <row r="696" spans="1:14" ht="13.5" x14ac:dyDescent="0.25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1"/>
      <c r="L696" s="1"/>
      <c r="M696" s="6"/>
      <c r="N696" s="5"/>
    </row>
    <row r="697" spans="1:14" ht="13.5" x14ac:dyDescent="0.25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1"/>
      <c r="L697" s="1"/>
      <c r="M697" s="6"/>
      <c r="N697" s="5"/>
    </row>
    <row r="698" spans="1:14" ht="13.5" x14ac:dyDescent="0.25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1"/>
      <c r="L698" s="1"/>
      <c r="M698" s="6"/>
      <c r="N698" s="5"/>
    </row>
    <row r="699" spans="1:14" ht="13.5" x14ac:dyDescent="0.25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1"/>
      <c r="L699" s="1"/>
      <c r="M699" s="6"/>
      <c r="N699" s="5"/>
    </row>
    <row r="700" spans="1:14" ht="13.5" x14ac:dyDescent="0.25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1"/>
      <c r="L700" s="1"/>
      <c r="M700" s="6"/>
      <c r="N700" s="5"/>
    </row>
    <row r="701" spans="1:14" ht="13.5" x14ac:dyDescent="0.25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1"/>
      <c r="L701" s="1"/>
      <c r="M701" s="6"/>
      <c r="N701" s="5"/>
    </row>
    <row r="702" spans="1:14" ht="13.5" x14ac:dyDescent="0.25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1"/>
      <c r="L702" s="1"/>
      <c r="M702" s="6"/>
      <c r="N702" s="5"/>
    </row>
    <row r="703" spans="1:14" ht="13.5" x14ac:dyDescent="0.25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1"/>
      <c r="L703" s="1"/>
      <c r="M703" s="6"/>
      <c r="N703" s="5"/>
    </row>
    <row r="704" spans="1:14" ht="13.5" x14ac:dyDescent="0.25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1"/>
      <c r="L704" s="1"/>
      <c r="M704" s="6"/>
      <c r="N704" s="5"/>
    </row>
    <row r="705" spans="1:14" ht="13.5" x14ac:dyDescent="0.25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1"/>
      <c r="L705" s="1"/>
      <c r="M705" s="6"/>
      <c r="N705" s="5"/>
    </row>
    <row r="706" spans="1:14" ht="13.5" x14ac:dyDescent="0.25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1"/>
      <c r="L706" s="1"/>
      <c r="M706" s="6"/>
      <c r="N706" s="5"/>
    </row>
    <row r="707" spans="1:14" ht="13.5" x14ac:dyDescent="0.25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1"/>
      <c r="L707" s="1"/>
      <c r="M707" s="6"/>
      <c r="N707" s="5"/>
    </row>
    <row r="708" spans="1:14" ht="13.5" x14ac:dyDescent="0.25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1"/>
      <c r="L708" s="1"/>
      <c r="M708" s="6"/>
      <c r="N708" s="5"/>
    </row>
    <row r="709" spans="1:14" ht="13.5" x14ac:dyDescent="0.25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1"/>
      <c r="L709" s="1"/>
      <c r="M709" s="6"/>
      <c r="N709" s="5"/>
    </row>
    <row r="710" spans="1:14" ht="13.5" x14ac:dyDescent="0.25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1"/>
      <c r="L710" s="1"/>
      <c r="M710" s="6"/>
      <c r="N710" s="5"/>
    </row>
    <row r="711" spans="1:14" ht="13.5" x14ac:dyDescent="0.25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1"/>
      <c r="L711" s="1"/>
      <c r="M711" s="6"/>
      <c r="N711" s="5"/>
    </row>
    <row r="712" spans="1:14" ht="13.5" x14ac:dyDescent="0.25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1"/>
      <c r="L712" s="1"/>
      <c r="M712" s="6"/>
      <c r="N712" s="5"/>
    </row>
    <row r="713" spans="1:14" ht="13.5" x14ac:dyDescent="0.25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1"/>
      <c r="L713" s="1"/>
      <c r="M713" s="6"/>
      <c r="N713" s="5"/>
    </row>
    <row r="714" spans="1:14" ht="13.5" x14ac:dyDescent="0.25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1"/>
      <c r="L714" s="1"/>
      <c r="M714" s="6"/>
      <c r="N714" s="5"/>
    </row>
    <row r="715" spans="1:14" ht="13.5" x14ac:dyDescent="0.25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1"/>
      <c r="L715" s="1"/>
      <c r="M715" s="6"/>
      <c r="N715" s="5"/>
    </row>
    <row r="716" spans="1:14" ht="13.5" x14ac:dyDescent="0.25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1"/>
      <c r="L716" s="1"/>
      <c r="M716" s="6"/>
      <c r="N716" s="5"/>
    </row>
    <row r="717" spans="1:14" ht="13.5" x14ac:dyDescent="0.25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1"/>
      <c r="L717" s="1"/>
      <c r="M717" s="6"/>
      <c r="N717" s="5"/>
    </row>
    <row r="718" spans="1:14" ht="13.5" x14ac:dyDescent="0.25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1"/>
      <c r="L718" s="1"/>
      <c r="M718" s="6"/>
      <c r="N718" s="5"/>
    </row>
    <row r="719" spans="1:14" ht="13.5" x14ac:dyDescent="0.25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1"/>
      <c r="L719" s="1"/>
      <c r="M719" s="6"/>
      <c r="N719" s="5"/>
    </row>
    <row r="720" spans="1:14" ht="13.5" x14ac:dyDescent="0.25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1"/>
      <c r="L720" s="1"/>
      <c r="M720" s="6"/>
      <c r="N720" s="5"/>
    </row>
    <row r="721" spans="1:14" ht="13.5" x14ac:dyDescent="0.25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1"/>
      <c r="L721" s="1"/>
      <c r="M721" s="6"/>
      <c r="N721" s="5"/>
    </row>
    <row r="722" spans="1:14" ht="13.5" x14ac:dyDescent="0.25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1"/>
      <c r="L722" s="1"/>
      <c r="M722" s="6"/>
      <c r="N722" s="5"/>
    </row>
    <row r="723" spans="1:14" ht="13.5" x14ac:dyDescent="0.25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1"/>
      <c r="L723" s="1"/>
      <c r="M723" s="6"/>
      <c r="N723" s="5"/>
    </row>
    <row r="724" spans="1:14" ht="13.5" x14ac:dyDescent="0.25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1"/>
      <c r="L724" s="1"/>
      <c r="M724" s="6"/>
      <c r="N724" s="5"/>
    </row>
    <row r="725" spans="1:14" ht="13.5" x14ac:dyDescent="0.25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1"/>
      <c r="L725" s="1"/>
      <c r="M725" s="6"/>
      <c r="N725" s="5"/>
    </row>
    <row r="726" spans="1:14" ht="13.5" x14ac:dyDescent="0.25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1"/>
      <c r="L726" s="1"/>
      <c r="M726" s="6"/>
      <c r="N726" s="5"/>
    </row>
    <row r="727" spans="1:14" ht="13.5" x14ac:dyDescent="0.25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1"/>
      <c r="L727" s="1"/>
      <c r="M727" s="6"/>
      <c r="N727" s="5"/>
    </row>
    <row r="728" spans="1:14" ht="13.5" x14ac:dyDescent="0.25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1"/>
      <c r="L728" s="1"/>
      <c r="M728" s="6"/>
      <c r="N728" s="5"/>
    </row>
    <row r="729" spans="1:14" ht="13.5" x14ac:dyDescent="0.25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1"/>
      <c r="L729" s="1"/>
      <c r="M729" s="6"/>
      <c r="N729" s="5"/>
    </row>
    <row r="730" spans="1:14" ht="13.5" x14ac:dyDescent="0.25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1"/>
      <c r="L730" s="1"/>
      <c r="M730" s="6"/>
      <c r="N730" s="5"/>
    </row>
    <row r="731" spans="1:14" ht="13.5" x14ac:dyDescent="0.25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1"/>
      <c r="L731" s="1"/>
      <c r="M731" s="6"/>
      <c r="N731" s="5"/>
    </row>
    <row r="732" spans="1:14" ht="13.5" x14ac:dyDescent="0.25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1"/>
      <c r="L732" s="1"/>
      <c r="M732" s="6"/>
      <c r="N732" s="5"/>
    </row>
    <row r="733" spans="1:14" ht="13.5" x14ac:dyDescent="0.25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1"/>
      <c r="L733" s="1"/>
      <c r="M733" s="6"/>
      <c r="N733" s="5"/>
    </row>
    <row r="734" spans="1:14" ht="13.5" x14ac:dyDescent="0.25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1"/>
      <c r="L734" s="1"/>
      <c r="M734" s="6"/>
      <c r="N734" s="5"/>
    </row>
    <row r="735" spans="1:14" ht="13.5" x14ac:dyDescent="0.25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1"/>
      <c r="L735" s="1"/>
      <c r="M735" s="6"/>
      <c r="N735" s="5"/>
    </row>
    <row r="736" spans="1:14" ht="13.5" x14ac:dyDescent="0.25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1"/>
      <c r="L736" s="1"/>
      <c r="M736" s="6"/>
      <c r="N736" s="5"/>
    </row>
    <row r="737" spans="1:14" ht="13.5" x14ac:dyDescent="0.25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1"/>
      <c r="L737" s="1"/>
      <c r="M737" s="6"/>
      <c r="N737" s="5"/>
    </row>
    <row r="738" spans="1:14" ht="13.5" x14ac:dyDescent="0.25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1"/>
      <c r="L738" s="1"/>
      <c r="M738" s="6"/>
      <c r="N738" s="5"/>
    </row>
    <row r="739" spans="1:14" ht="13.5" x14ac:dyDescent="0.25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1"/>
      <c r="L739" s="1"/>
      <c r="M739" s="6"/>
      <c r="N739" s="5"/>
    </row>
    <row r="740" spans="1:14" ht="13.5" x14ac:dyDescent="0.25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1"/>
      <c r="L740" s="1"/>
      <c r="M740" s="6"/>
      <c r="N740" s="5"/>
    </row>
    <row r="741" spans="1:14" ht="13.5" x14ac:dyDescent="0.25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1"/>
      <c r="L741" s="1"/>
      <c r="M741" s="6"/>
      <c r="N741" s="5"/>
    </row>
    <row r="742" spans="1:14" ht="13.5" x14ac:dyDescent="0.25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1"/>
      <c r="L742" s="1"/>
      <c r="M742" s="6"/>
      <c r="N742" s="5"/>
    </row>
    <row r="743" spans="1:14" ht="13.5" x14ac:dyDescent="0.25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1"/>
      <c r="L743" s="1"/>
      <c r="M743" s="6"/>
      <c r="N743" s="5"/>
    </row>
    <row r="744" spans="1:14" ht="13.5" x14ac:dyDescent="0.25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1"/>
      <c r="L744" s="1"/>
      <c r="M744" s="6"/>
      <c r="N744" s="5"/>
    </row>
    <row r="745" spans="1:14" ht="13.5" x14ac:dyDescent="0.25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1"/>
      <c r="L745" s="1"/>
      <c r="M745" s="6"/>
      <c r="N745" s="5"/>
    </row>
    <row r="746" spans="1:14" ht="13.5" x14ac:dyDescent="0.25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1"/>
      <c r="L746" s="1"/>
      <c r="M746" s="6"/>
      <c r="N746" s="5"/>
    </row>
    <row r="747" spans="1:14" ht="13.5" x14ac:dyDescent="0.25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1"/>
      <c r="L747" s="1"/>
      <c r="M747" s="6"/>
      <c r="N747" s="5"/>
    </row>
    <row r="748" spans="1:14" ht="13.5" x14ac:dyDescent="0.25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1"/>
      <c r="L748" s="1"/>
      <c r="M748" s="6"/>
      <c r="N748" s="5"/>
    </row>
    <row r="749" spans="1:14" ht="13.5" x14ac:dyDescent="0.25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1"/>
      <c r="L749" s="1"/>
      <c r="M749" s="6"/>
      <c r="N749" s="5"/>
    </row>
    <row r="750" spans="1:14" ht="13.5" x14ac:dyDescent="0.25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1"/>
      <c r="L750" s="1"/>
      <c r="M750" s="6"/>
      <c r="N750" s="5"/>
    </row>
    <row r="751" spans="1:14" ht="13.5" x14ac:dyDescent="0.25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1"/>
      <c r="L751" s="1"/>
      <c r="M751" s="6"/>
      <c r="N751" s="5"/>
    </row>
    <row r="752" spans="1:14" ht="13.5" x14ac:dyDescent="0.25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1"/>
      <c r="L752" s="1"/>
      <c r="M752" s="6"/>
      <c r="N752" s="5"/>
    </row>
    <row r="753" spans="1:14" ht="13.5" x14ac:dyDescent="0.25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1"/>
      <c r="L753" s="1"/>
      <c r="M753" s="6"/>
      <c r="N753" s="5"/>
    </row>
    <row r="754" spans="1:14" ht="13.5" x14ac:dyDescent="0.25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1"/>
      <c r="L754" s="1"/>
      <c r="M754" s="6"/>
      <c r="N754" s="5"/>
    </row>
    <row r="755" spans="1:14" ht="13.5" x14ac:dyDescent="0.25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1"/>
      <c r="L755" s="1"/>
      <c r="M755" s="6"/>
      <c r="N755" s="5"/>
    </row>
    <row r="756" spans="1:14" ht="13.5" x14ac:dyDescent="0.25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1"/>
      <c r="L756" s="1"/>
      <c r="M756" s="6"/>
      <c r="N756" s="5"/>
    </row>
    <row r="757" spans="1:14" ht="13.5" x14ac:dyDescent="0.25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1"/>
      <c r="L757" s="1"/>
      <c r="M757" s="6"/>
      <c r="N757" s="5"/>
    </row>
    <row r="758" spans="1:14" ht="13.5" x14ac:dyDescent="0.25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1"/>
      <c r="L758" s="1"/>
      <c r="M758" s="6"/>
      <c r="N758" s="5"/>
    </row>
    <row r="759" spans="1:14" ht="13.5" x14ac:dyDescent="0.25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1"/>
      <c r="L759" s="1"/>
      <c r="M759" s="6"/>
      <c r="N759" s="5"/>
    </row>
    <row r="760" spans="1:14" ht="13.5" x14ac:dyDescent="0.25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1"/>
      <c r="L760" s="1"/>
      <c r="M760" s="6"/>
      <c r="N760" s="5"/>
    </row>
    <row r="761" spans="1:14" ht="13.5" x14ac:dyDescent="0.25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1"/>
      <c r="L761" s="1"/>
      <c r="M761" s="6"/>
      <c r="N761" s="5"/>
    </row>
    <row r="762" spans="1:14" ht="13.5" x14ac:dyDescent="0.25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1"/>
      <c r="L762" s="1"/>
      <c r="M762" s="6"/>
      <c r="N762" s="5"/>
    </row>
    <row r="763" spans="1:14" ht="13.5" x14ac:dyDescent="0.25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1"/>
      <c r="L763" s="1"/>
      <c r="M763" s="6"/>
      <c r="N763" s="5"/>
    </row>
    <row r="764" spans="1:14" ht="13.5" x14ac:dyDescent="0.25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1"/>
      <c r="L764" s="1"/>
      <c r="M764" s="6"/>
      <c r="N764" s="5"/>
    </row>
    <row r="765" spans="1:14" ht="13.5" x14ac:dyDescent="0.25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1"/>
      <c r="L765" s="1"/>
      <c r="M765" s="6"/>
      <c r="N765" s="5"/>
    </row>
    <row r="766" spans="1:14" ht="13.5" x14ac:dyDescent="0.25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1"/>
      <c r="L766" s="1"/>
      <c r="M766" s="6"/>
      <c r="N766" s="5"/>
    </row>
    <row r="767" spans="1:14" ht="13.5" x14ac:dyDescent="0.25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1"/>
      <c r="L767" s="1"/>
      <c r="M767" s="6"/>
      <c r="N767" s="5"/>
    </row>
    <row r="768" spans="1:14" ht="13.5" x14ac:dyDescent="0.25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1"/>
      <c r="L768" s="1"/>
      <c r="M768" s="6"/>
      <c r="N768" s="5"/>
    </row>
    <row r="769" spans="1:14" ht="13.5" x14ac:dyDescent="0.25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1"/>
      <c r="L769" s="1"/>
      <c r="M769" s="6"/>
      <c r="N769" s="5"/>
    </row>
    <row r="770" spans="1:14" ht="13.5" x14ac:dyDescent="0.25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1"/>
      <c r="L770" s="1"/>
      <c r="M770" s="6"/>
      <c r="N770" s="5"/>
    </row>
    <row r="771" spans="1:14" ht="13.5" x14ac:dyDescent="0.25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1"/>
      <c r="L771" s="1"/>
      <c r="M771" s="6"/>
      <c r="N771" s="5"/>
    </row>
    <row r="772" spans="1:14" ht="13.5" x14ac:dyDescent="0.25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1"/>
      <c r="L772" s="1"/>
      <c r="M772" s="6"/>
      <c r="N772" s="5"/>
    </row>
    <row r="773" spans="1:14" ht="13.5" x14ac:dyDescent="0.25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1"/>
      <c r="L773" s="1"/>
      <c r="M773" s="6"/>
      <c r="N773" s="5"/>
    </row>
    <row r="774" spans="1:14" ht="13.5" x14ac:dyDescent="0.25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1"/>
      <c r="L774" s="1"/>
      <c r="M774" s="6"/>
      <c r="N774" s="5"/>
    </row>
    <row r="775" spans="1:14" ht="13.5" x14ac:dyDescent="0.25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1"/>
      <c r="L775" s="1"/>
      <c r="M775" s="6"/>
      <c r="N775" s="5"/>
    </row>
    <row r="776" spans="1:14" ht="13.5" x14ac:dyDescent="0.25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1"/>
      <c r="L776" s="1"/>
      <c r="M776" s="6"/>
      <c r="N776" s="5"/>
    </row>
    <row r="777" spans="1:14" ht="13.5" x14ac:dyDescent="0.25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1"/>
      <c r="L777" s="1"/>
      <c r="M777" s="6"/>
      <c r="N777" s="5"/>
    </row>
    <row r="778" spans="1:14" ht="13.5" x14ac:dyDescent="0.25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1"/>
      <c r="L778" s="1"/>
      <c r="M778" s="6"/>
      <c r="N778" s="5"/>
    </row>
    <row r="779" spans="1:14" ht="13.5" x14ac:dyDescent="0.25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1"/>
      <c r="L779" s="1"/>
      <c r="M779" s="6"/>
      <c r="N779" s="5"/>
    </row>
    <row r="780" spans="1:14" ht="13.5" x14ac:dyDescent="0.25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1"/>
      <c r="L780" s="1"/>
      <c r="M780" s="6"/>
      <c r="N780" s="5"/>
    </row>
    <row r="781" spans="1:14" ht="13.5" x14ac:dyDescent="0.25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1"/>
      <c r="L781" s="1"/>
      <c r="M781" s="6"/>
      <c r="N781" s="5"/>
    </row>
    <row r="782" spans="1:14" ht="13.5" x14ac:dyDescent="0.25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1"/>
      <c r="L782" s="1"/>
      <c r="M782" s="6"/>
      <c r="N782" s="5"/>
    </row>
    <row r="783" spans="1:14" ht="13.5" x14ac:dyDescent="0.25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1"/>
      <c r="L783" s="1"/>
      <c r="M783" s="6"/>
      <c r="N783" s="5"/>
    </row>
    <row r="784" spans="1:14" ht="13.5" x14ac:dyDescent="0.25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1"/>
      <c r="L784" s="1"/>
      <c r="M784" s="6"/>
      <c r="N784" s="5"/>
    </row>
    <row r="785" spans="1:14" ht="13.5" x14ac:dyDescent="0.25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1"/>
      <c r="L785" s="1"/>
      <c r="M785" s="6"/>
      <c r="N785" s="5"/>
    </row>
    <row r="786" spans="1:14" ht="13.5" x14ac:dyDescent="0.25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1"/>
      <c r="L786" s="1"/>
      <c r="M786" s="6"/>
      <c r="N786" s="5"/>
    </row>
    <row r="787" spans="1:14" ht="13.5" x14ac:dyDescent="0.25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1"/>
      <c r="L787" s="1"/>
      <c r="M787" s="6"/>
      <c r="N787" s="5"/>
    </row>
    <row r="788" spans="1:14" ht="13.5" x14ac:dyDescent="0.25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1"/>
      <c r="L788" s="1"/>
      <c r="M788" s="6"/>
      <c r="N788" s="5"/>
    </row>
    <row r="789" spans="1:14" ht="13.5" x14ac:dyDescent="0.25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1"/>
      <c r="L789" s="1"/>
      <c r="M789" s="6"/>
      <c r="N789" s="5"/>
    </row>
    <row r="790" spans="1:14" ht="13.5" x14ac:dyDescent="0.25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1"/>
      <c r="L790" s="1"/>
      <c r="M790" s="6"/>
      <c r="N790" s="5"/>
    </row>
    <row r="791" spans="1:14" ht="13.5" x14ac:dyDescent="0.25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1"/>
      <c r="L791" s="1"/>
      <c r="M791" s="6"/>
      <c r="N791" s="5"/>
    </row>
    <row r="792" spans="1:14" ht="13.5" x14ac:dyDescent="0.25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1"/>
      <c r="L792" s="1"/>
      <c r="M792" s="6"/>
      <c r="N792" s="5"/>
    </row>
    <row r="793" spans="1:14" ht="13.5" x14ac:dyDescent="0.25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1"/>
      <c r="L793" s="1"/>
      <c r="M793" s="6"/>
      <c r="N793" s="5"/>
    </row>
    <row r="794" spans="1:14" ht="13.5" x14ac:dyDescent="0.25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1"/>
      <c r="L794" s="1"/>
      <c r="M794" s="6"/>
      <c r="N794" s="5"/>
    </row>
    <row r="795" spans="1:14" ht="13.5" x14ac:dyDescent="0.25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1"/>
      <c r="L795" s="1"/>
      <c r="M795" s="6"/>
      <c r="N795" s="5"/>
    </row>
    <row r="796" spans="1:14" ht="13.5" x14ac:dyDescent="0.25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1"/>
      <c r="L796" s="1"/>
      <c r="M796" s="6"/>
      <c r="N796" s="5"/>
    </row>
    <row r="797" spans="1:14" ht="13.5" x14ac:dyDescent="0.25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1"/>
      <c r="L797" s="1"/>
      <c r="M797" s="6"/>
      <c r="N797" s="5"/>
    </row>
    <row r="798" spans="1:14" ht="13.5" x14ac:dyDescent="0.25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1"/>
      <c r="L798" s="1"/>
      <c r="M798" s="6"/>
      <c r="N798" s="5"/>
    </row>
    <row r="799" spans="1:14" ht="13.5" x14ac:dyDescent="0.25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1"/>
      <c r="L799" s="1"/>
      <c r="M799" s="6"/>
      <c r="N799" s="5"/>
    </row>
    <row r="800" spans="1:14" ht="13.5" x14ac:dyDescent="0.25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1"/>
      <c r="L800" s="1"/>
      <c r="M800" s="6"/>
      <c r="N800" s="5"/>
    </row>
    <row r="801" spans="1:14" ht="13.5" x14ac:dyDescent="0.25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1"/>
      <c r="L801" s="1"/>
      <c r="M801" s="6"/>
      <c r="N801" s="5"/>
    </row>
    <row r="802" spans="1:14" ht="13.5" x14ac:dyDescent="0.25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1"/>
      <c r="L802" s="1"/>
      <c r="M802" s="6"/>
      <c r="N802" s="5"/>
    </row>
    <row r="803" spans="1:14" ht="13.5" x14ac:dyDescent="0.25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1"/>
      <c r="L803" s="1"/>
      <c r="M803" s="6"/>
      <c r="N803" s="5"/>
    </row>
    <row r="804" spans="1:14" ht="13.5" x14ac:dyDescent="0.25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1"/>
      <c r="L804" s="1"/>
      <c r="M804" s="6"/>
      <c r="N804" s="5"/>
    </row>
    <row r="805" spans="1:14" ht="13.5" x14ac:dyDescent="0.25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1"/>
      <c r="L805" s="1"/>
      <c r="M805" s="6"/>
      <c r="N805" s="5"/>
    </row>
    <row r="806" spans="1:14" ht="13.5" x14ac:dyDescent="0.25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1"/>
      <c r="L806" s="1"/>
      <c r="M806" s="6"/>
      <c r="N806" s="5"/>
    </row>
    <row r="807" spans="1:14" ht="13.5" x14ac:dyDescent="0.25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1"/>
      <c r="L807" s="1"/>
      <c r="M807" s="6"/>
      <c r="N807" s="5"/>
    </row>
    <row r="808" spans="1:14" ht="13.5" x14ac:dyDescent="0.25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1"/>
      <c r="L808" s="1"/>
      <c r="M808" s="6"/>
      <c r="N808" s="5"/>
    </row>
    <row r="809" spans="1:14" ht="13.5" x14ac:dyDescent="0.25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1"/>
      <c r="L809" s="1"/>
      <c r="M809" s="6"/>
      <c r="N809" s="5"/>
    </row>
    <row r="810" spans="1:14" ht="13.5" x14ac:dyDescent="0.25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1"/>
      <c r="L810" s="1"/>
      <c r="M810" s="6"/>
      <c r="N810" s="5"/>
    </row>
    <row r="811" spans="1:14" ht="13.5" x14ac:dyDescent="0.25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1"/>
      <c r="L811" s="1"/>
      <c r="M811" s="6"/>
      <c r="N811" s="5"/>
    </row>
    <row r="812" spans="1:14" ht="13.5" x14ac:dyDescent="0.25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1"/>
      <c r="L812" s="1"/>
      <c r="M812" s="6"/>
      <c r="N812" s="5"/>
    </row>
    <row r="813" spans="1:14" ht="13.5" x14ac:dyDescent="0.25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1"/>
      <c r="L813" s="1"/>
      <c r="M813" s="6"/>
      <c r="N813" s="5"/>
    </row>
    <row r="814" spans="1:14" ht="13.5" x14ac:dyDescent="0.25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1"/>
      <c r="L814" s="1"/>
      <c r="M814" s="6"/>
      <c r="N814" s="5"/>
    </row>
    <row r="815" spans="1:14" ht="13.5" x14ac:dyDescent="0.25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1"/>
      <c r="L815" s="1"/>
      <c r="M815" s="6"/>
      <c r="N815" s="5"/>
    </row>
    <row r="816" spans="1:14" ht="13.5" x14ac:dyDescent="0.25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1"/>
      <c r="L816" s="1"/>
      <c r="M816" s="6"/>
      <c r="N816" s="5"/>
    </row>
    <row r="817" spans="1:14" ht="13.5" x14ac:dyDescent="0.25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1"/>
      <c r="L817" s="1"/>
      <c r="M817" s="6"/>
      <c r="N817" s="5"/>
    </row>
    <row r="818" spans="1:14" ht="13.5" x14ac:dyDescent="0.25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1"/>
      <c r="L818" s="1"/>
      <c r="M818" s="6"/>
      <c r="N818" s="5"/>
    </row>
    <row r="819" spans="1:14" ht="13.5" x14ac:dyDescent="0.25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1"/>
      <c r="L819" s="1"/>
      <c r="M819" s="6"/>
      <c r="N819" s="5"/>
    </row>
    <row r="820" spans="1:14" ht="13.5" x14ac:dyDescent="0.25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1"/>
      <c r="L820" s="1"/>
      <c r="M820" s="6"/>
      <c r="N820" s="5"/>
    </row>
    <row r="821" spans="1:14" ht="13.5" x14ac:dyDescent="0.25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1"/>
      <c r="L821" s="1"/>
      <c r="M821" s="6"/>
      <c r="N821" s="5"/>
    </row>
    <row r="822" spans="1:14" ht="13.5" x14ac:dyDescent="0.25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1"/>
      <c r="L822" s="1"/>
      <c r="M822" s="6"/>
      <c r="N822" s="5"/>
    </row>
    <row r="823" spans="1:14" ht="13.5" x14ac:dyDescent="0.25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1"/>
      <c r="L823" s="1"/>
      <c r="M823" s="6"/>
      <c r="N823" s="5"/>
    </row>
    <row r="824" spans="1:14" ht="13.5" x14ac:dyDescent="0.25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1"/>
      <c r="L824" s="1"/>
      <c r="M824" s="6"/>
      <c r="N824" s="5"/>
    </row>
    <row r="825" spans="1:14" ht="13.5" x14ac:dyDescent="0.25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1"/>
      <c r="L825" s="1"/>
      <c r="M825" s="6"/>
      <c r="N825" s="5"/>
    </row>
    <row r="826" spans="1:14" ht="13.5" x14ac:dyDescent="0.25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1"/>
      <c r="L826" s="1"/>
      <c r="M826" s="6"/>
      <c r="N826" s="5"/>
    </row>
    <row r="827" spans="1:14" ht="13.5" x14ac:dyDescent="0.25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1"/>
      <c r="L827" s="1"/>
      <c r="M827" s="6"/>
      <c r="N827" s="5"/>
    </row>
    <row r="828" spans="1:14" ht="13.5" x14ac:dyDescent="0.25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1"/>
      <c r="L828" s="1"/>
      <c r="M828" s="6"/>
      <c r="N828" s="5"/>
    </row>
    <row r="829" spans="1:14" ht="13.5" x14ac:dyDescent="0.25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1"/>
      <c r="L829" s="1"/>
      <c r="M829" s="6"/>
      <c r="N829" s="5"/>
    </row>
    <row r="830" spans="1:14" ht="13.5" x14ac:dyDescent="0.25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1"/>
      <c r="L830" s="1"/>
      <c r="M830" s="6"/>
      <c r="N830" s="5"/>
    </row>
    <row r="831" spans="1:14" ht="13.5" x14ac:dyDescent="0.25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1"/>
      <c r="L831" s="1"/>
      <c r="M831" s="6"/>
      <c r="N831" s="5"/>
    </row>
    <row r="832" spans="1:14" ht="13.5" x14ac:dyDescent="0.25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1"/>
      <c r="L832" s="1"/>
      <c r="M832" s="6"/>
      <c r="N832" s="5"/>
    </row>
    <row r="833" spans="1:14" ht="13.5" x14ac:dyDescent="0.25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1"/>
      <c r="L833" s="1"/>
      <c r="M833" s="6"/>
      <c r="N833" s="5"/>
    </row>
    <row r="834" spans="1:14" ht="13.5" x14ac:dyDescent="0.25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1"/>
      <c r="L834" s="1"/>
      <c r="M834" s="6"/>
      <c r="N834" s="5"/>
    </row>
    <row r="835" spans="1:14" ht="13.5" x14ac:dyDescent="0.25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1"/>
      <c r="L835" s="1"/>
      <c r="M835" s="6"/>
      <c r="N835" s="5"/>
    </row>
    <row r="836" spans="1:14" ht="13.5" x14ac:dyDescent="0.25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1"/>
      <c r="L836" s="1"/>
      <c r="M836" s="6"/>
      <c r="N836" s="5"/>
    </row>
    <row r="837" spans="1:14" ht="13.5" x14ac:dyDescent="0.25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1"/>
      <c r="L837" s="1"/>
      <c r="M837" s="6"/>
      <c r="N837" s="5"/>
    </row>
    <row r="838" spans="1:14" ht="13.5" x14ac:dyDescent="0.25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1"/>
      <c r="L838" s="1"/>
      <c r="M838" s="6"/>
      <c r="N838" s="5"/>
    </row>
    <row r="839" spans="1:14" ht="13.5" x14ac:dyDescent="0.25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1"/>
      <c r="L839" s="1"/>
      <c r="M839" s="6"/>
      <c r="N839" s="5"/>
    </row>
    <row r="840" spans="1:14" ht="13.5" x14ac:dyDescent="0.25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1"/>
      <c r="L840" s="1"/>
      <c r="M840" s="6"/>
      <c r="N840" s="5"/>
    </row>
    <row r="841" spans="1:14" ht="13.5" x14ac:dyDescent="0.25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1"/>
      <c r="L841" s="1"/>
      <c r="M841" s="6"/>
      <c r="N841" s="5"/>
    </row>
    <row r="842" spans="1:14" ht="13.5" x14ac:dyDescent="0.25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1"/>
      <c r="L842" s="1"/>
      <c r="M842" s="6"/>
      <c r="N842" s="5"/>
    </row>
    <row r="843" spans="1:14" ht="13.5" x14ac:dyDescent="0.25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1"/>
      <c r="L843" s="1"/>
      <c r="M843" s="6"/>
      <c r="N843" s="5"/>
    </row>
    <row r="844" spans="1:14" ht="13.5" x14ac:dyDescent="0.25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1"/>
      <c r="L844" s="1"/>
      <c r="M844" s="6"/>
      <c r="N844" s="5"/>
    </row>
    <row r="845" spans="1:14" ht="13.5" x14ac:dyDescent="0.25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1"/>
      <c r="L845" s="1"/>
      <c r="M845" s="6"/>
      <c r="N845" s="5"/>
    </row>
    <row r="846" spans="1:14" ht="13.5" x14ac:dyDescent="0.25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1"/>
      <c r="L846" s="1"/>
      <c r="M846" s="6"/>
      <c r="N846" s="5"/>
    </row>
    <row r="847" spans="1:14" ht="13.5" x14ac:dyDescent="0.25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1"/>
      <c r="L847" s="1"/>
      <c r="M847" s="6"/>
      <c r="N847" s="5"/>
    </row>
    <row r="848" spans="1:14" ht="13.5" x14ac:dyDescent="0.25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1"/>
      <c r="L848" s="1"/>
      <c r="M848" s="6"/>
      <c r="N848" s="5"/>
    </row>
    <row r="849" spans="1:14" ht="13.5" x14ac:dyDescent="0.25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1"/>
      <c r="L849" s="1"/>
      <c r="M849" s="6"/>
      <c r="N849" s="5"/>
    </row>
    <row r="850" spans="1:14" ht="13.5" x14ac:dyDescent="0.25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1"/>
      <c r="L850" s="1"/>
      <c r="M850" s="6"/>
      <c r="N850" s="5"/>
    </row>
    <row r="851" spans="1:14" ht="13.5" x14ac:dyDescent="0.25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1"/>
      <c r="L851" s="1"/>
      <c r="M851" s="6"/>
      <c r="N851" s="5"/>
    </row>
    <row r="852" spans="1:14" ht="13.5" x14ac:dyDescent="0.25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1"/>
      <c r="L852" s="1"/>
      <c r="M852" s="6"/>
      <c r="N852" s="5"/>
    </row>
    <row r="853" spans="1:14" ht="13.5" x14ac:dyDescent="0.25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1"/>
      <c r="L853" s="1"/>
      <c r="M853" s="6"/>
      <c r="N853" s="5"/>
    </row>
    <row r="854" spans="1:14" ht="13.5" x14ac:dyDescent="0.25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1"/>
      <c r="L854" s="1"/>
      <c r="M854" s="6"/>
      <c r="N854" s="5"/>
    </row>
    <row r="855" spans="1:14" ht="13.5" x14ac:dyDescent="0.25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1"/>
      <c r="L855" s="1"/>
      <c r="M855" s="6"/>
      <c r="N855" s="5"/>
    </row>
    <row r="856" spans="1:14" ht="13.5" x14ac:dyDescent="0.25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1"/>
      <c r="L856" s="1"/>
      <c r="M856" s="6"/>
      <c r="N856" s="5"/>
    </row>
    <row r="857" spans="1:14" ht="13.5" x14ac:dyDescent="0.25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1"/>
      <c r="L857" s="1"/>
      <c r="M857" s="6"/>
      <c r="N857" s="5"/>
    </row>
    <row r="858" spans="1:14" ht="13.5" x14ac:dyDescent="0.25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1"/>
      <c r="L858" s="1"/>
      <c r="M858" s="6"/>
      <c r="N858" s="5"/>
    </row>
    <row r="859" spans="1:14" ht="13.5" x14ac:dyDescent="0.25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1"/>
      <c r="L859" s="1"/>
      <c r="M859" s="6"/>
      <c r="N859" s="5"/>
    </row>
    <row r="860" spans="1:14" ht="13.5" x14ac:dyDescent="0.25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1"/>
      <c r="L860" s="1"/>
      <c r="M860" s="6"/>
      <c r="N860" s="5"/>
    </row>
    <row r="861" spans="1:14" ht="13.5" x14ac:dyDescent="0.25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1"/>
      <c r="L861" s="1"/>
      <c r="M861" s="6"/>
      <c r="N861" s="5"/>
    </row>
    <row r="862" spans="1:14" ht="13.5" x14ac:dyDescent="0.25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1"/>
      <c r="L862" s="1"/>
      <c r="M862" s="6"/>
      <c r="N862" s="5"/>
    </row>
    <row r="863" spans="1:14" ht="13.5" x14ac:dyDescent="0.25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1"/>
      <c r="L863" s="1"/>
      <c r="M863" s="6"/>
      <c r="N863" s="5"/>
    </row>
    <row r="864" spans="1:14" ht="13.5" x14ac:dyDescent="0.25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1"/>
      <c r="L864" s="1"/>
      <c r="M864" s="6"/>
      <c r="N864" s="5"/>
    </row>
    <row r="865" spans="1:14" ht="13.5" x14ac:dyDescent="0.25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1"/>
      <c r="L865" s="1"/>
      <c r="M865" s="6"/>
      <c r="N865" s="5"/>
    </row>
    <row r="866" spans="1:14" ht="13.5" x14ac:dyDescent="0.25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1"/>
      <c r="L866" s="1"/>
      <c r="M866" s="6"/>
      <c r="N866" s="5"/>
    </row>
    <row r="867" spans="1:14" ht="13.5" x14ac:dyDescent="0.25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1"/>
      <c r="L867" s="1"/>
      <c r="M867" s="6"/>
      <c r="N867" s="5"/>
    </row>
    <row r="868" spans="1:14" ht="13.5" x14ac:dyDescent="0.25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1"/>
      <c r="L868" s="1"/>
      <c r="M868" s="6"/>
      <c r="N868" s="5"/>
    </row>
    <row r="869" spans="1:14" ht="13.5" x14ac:dyDescent="0.25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1"/>
      <c r="L869" s="1"/>
      <c r="M869" s="6"/>
      <c r="N869" s="5"/>
    </row>
    <row r="870" spans="1:14" ht="13.5" x14ac:dyDescent="0.25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1"/>
      <c r="L870" s="1"/>
      <c r="M870" s="6"/>
      <c r="N870" s="5"/>
    </row>
    <row r="871" spans="1:14" ht="13.5" x14ac:dyDescent="0.25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1"/>
      <c r="L871" s="1"/>
      <c r="M871" s="6"/>
      <c r="N871" s="5"/>
    </row>
    <row r="872" spans="1:14" ht="13.5" x14ac:dyDescent="0.25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1"/>
      <c r="L872" s="1"/>
      <c r="M872" s="6"/>
      <c r="N872" s="5"/>
    </row>
    <row r="873" spans="1:14" ht="13.5" x14ac:dyDescent="0.25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1"/>
      <c r="L873" s="1"/>
      <c r="M873" s="6"/>
      <c r="N873" s="5"/>
    </row>
    <row r="874" spans="1:14" ht="13.5" x14ac:dyDescent="0.25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1"/>
      <c r="L874" s="1"/>
      <c r="M874" s="6"/>
      <c r="N874" s="5"/>
    </row>
    <row r="875" spans="1:14" ht="13.5" x14ac:dyDescent="0.25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1"/>
      <c r="L875" s="1"/>
      <c r="M875" s="6"/>
      <c r="N875" s="5"/>
    </row>
    <row r="876" spans="1:14" ht="13.5" x14ac:dyDescent="0.25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1"/>
      <c r="L876" s="1"/>
      <c r="M876" s="6"/>
      <c r="N876" s="5"/>
    </row>
    <row r="877" spans="1:14" ht="13.5" x14ac:dyDescent="0.25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1"/>
      <c r="L877" s="1"/>
      <c r="M877" s="6"/>
      <c r="N877" s="5"/>
    </row>
    <row r="878" spans="1:14" ht="13.5" x14ac:dyDescent="0.25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1"/>
      <c r="L878" s="1"/>
      <c r="M878" s="6"/>
      <c r="N878" s="5"/>
    </row>
    <row r="879" spans="1:14" ht="13.5" x14ac:dyDescent="0.25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1"/>
      <c r="L879" s="1"/>
      <c r="M879" s="6"/>
      <c r="N879" s="5"/>
    </row>
    <row r="880" spans="1:14" ht="13.5" x14ac:dyDescent="0.25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1"/>
      <c r="L880" s="1"/>
      <c r="M880" s="6"/>
      <c r="N880" s="5"/>
    </row>
    <row r="881" spans="1:14" ht="13.5" x14ac:dyDescent="0.25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1"/>
      <c r="L881" s="1"/>
      <c r="M881" s="6"/>
      <c r="N881" s="5"/>
    </row>
    <row r="882" spans="1:14" ht="13.5" x14ac:dyDescent="0.25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1"/>
      <c r="L882" s="1"/>
      <c r="M882" s="6"/>
      <c r="N882" s="5"/>
    </row>
    <row r="883" spans="1:14" ht="13.5" x14ac:dyDescent="0.25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1"/>
      <c r="L883" s="1"/>
      <c r="M883" s="6"/>
      <c r="N883" s="5"/>
    </row>
    <row r="884" spans="1:14" ht="13.5" x14ac:dyDescent="0.25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1"/>
      <c r="L884" s="1"/>
      <c r="M884" s="6"/>
      <c r="N884" s="5"/>
    </row>
    <row r="885" spans="1:14" ht="13.5" x14ac:dyDescent="0.25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1"/>
      <c r="L885" s="1"/>
      <c r="M885" s="6"/>
      <c r="N885" s="5"/>
    </row>
    <row r="886" spans="1:14" ht="13.5" x14ac:dyDescent="0.25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1"/>
      <c r="L886" s="1"/>
      <c r="M886" s="6"/>
      <c r="N886" s="5"/>
    </row>
    <row r="887" spans="1:14" ht="13.5" x14ac:dyDescent="0.25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1"/>
      <c r="L887" s="1"/>
      <c r="M887" s="6"/>
      <c r="N887" s="5"/>
    </row>
    <row r="888" spans="1:14" ht="13.5" x14ac:dyDescent="0.25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1"/>
      <c r="L888" s="1"/>
      <c r="M888" s="6"/>
      <c r="N888" s="5"/>
    </row>
    <row r="889" spans="1:14" ht="13.5" x14ac:dyDescent="0.25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1"/>
      <c r="L889" s="1"/>
      <c r="M889" s="6"/>
      <c r="N889" s="5"/>
    </row>
    <row r="890" spans="1:14" ht="13.5" x14ac:dyDescent="0.25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1"/>
      <c r="L890" s="1"/>
      <c r="M890" s="6"/>
      <c r="N890" s="5"/>
    </row>
    <row r="891" spans="1:14" ht="13.5" x14ac:dyDescent="0.25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1"/>
      <c r="L891" s="1"/>
      <c r="M891" s="6"/>
      <c r="N891" s="5"/>
    </row>
    <row r="892" spans="1:14" ht="13.5" x14ac:dyDescent="0.25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1"/>
      <c r="L892" s="1"/>
      <c r="M892" s="6"/>
      <c r="N892" s="5"/>
    </row>
    <row r="893" spans="1:14" ht="13.5" x14ac:dyDescent="0.25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1"/>
      <c r="L893" s="1"/>
      <c r="M893" s="6"/>
      <c r="N893" s="5"/>
    </row>
    <row r="894" spans="1:14" ht="13.5" x14ac:dyDescent="0.25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1"/>
      <c r="L894" s="1"/>
      <c r="M894" s="6"/>
      <c r="N894" s="5"/>
    </row>
    <row r="895" spans="1:14" ht="13.5" x14ac:dyDescent="0.25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1"/>
      <c r="L895" s="1"/>
      <c r="M895" s="6"/>
      <c r="N895" s="5"/>
    </row>
    <row r="896" spans="1:14" ht="13.5" x14ac:dyDescent="0.25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1"/>
      <c r="L896" s="1"/>
      <c r="M896" s="6"/>
      <c r="N896" s="5"/>
    </row>
    <row r="897" spans="1:14" ht="13.5" x14ac:dyDescent="0.25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1"/>
      <c r="L897" s="1"/>
      <c r="M897" s="6"/>
      <c r="N897" s="5"/>
    </row>
    <row r="898" spans="1:14" ht="13.5" x14ac:dyDescent="0.25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1"/>
      <c r="L898" s="1"/>
      <c r="M898" s="6"/>
      <c r="N898" s="5"/>
    </row>
    <row r="899" spans="1:14" ht="13.5" x14ac:dyDescent="0.25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1"/>
      <c r="L899" s="1"/>
      <c r="M899" s="6"/>
      <c r="N899" s="5"/>
    </row>
    <row r="900" spans="1:14" ht="13.5" x14ac:dyDescent="0.25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1"/>
      <c r="L900" s="1"/>
      <c r="M900" s="6"/>
      <c r="N900" s="5"/>
    </row>
    <row r="901" spans="1:14" ht="13.5" x14ac:dyDescent="0.25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1"/>
      <c r="L901" s="1"/>
      <c r="M901" s="6"/>
      <c r="N901" s="5"/>
    </row>
    <row r="902" spans="1:14" ht="13.5" x14ac:dyDescent="0.25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1"/>
      <c r="L902" s="1"/>
      <c r="M902" s="6"/>
      <c r="N902" s="5"/>
    </row>
    <row r="903" spans="1:14" ht="13.5" x14ac:dyDescent="0.25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1"/>
      <c r="L903" s="1"/>
      <c r="M903" s="6"/>
      <c r="N903" s="5"/>
    </row>
    <row r="904" spans="1:14" ht="13.5" x14ac:dyDescent="0.25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1"/>
      <c r="L904" s="1"/>
      <c r="M904" s="6"/>
      <c r="N904" s="5"/>
    </row>
    <row r="905" spans="1:14" ht="13.5" x14ac:dyDescent="0.25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1"/>
      <c r="L905" s="1"/>
      <c r="M905" s="6"/>
      <c r="N905" s="5"/>
    </row>
    <row r="906" spans="1:14" ht="13.5" x14ac:dyDescent="0.25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1"/>
      <c r="L906" s="1"/>
      <c r="M906" s="6"/>
      <c r="N906" s="5"/>
    </row>
    <row r="907" spans="1:14" ht="13.5" x14ac:dyDescent="0.25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1"/>
      <c r="L907" s="1"/>
      <c r="M907" s="6"/>
      <c r="N907" s="5"/>
    </row>
    <row r="908" spans="1:14" ht="13.5" x14ac:dyDescent="0.25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1"/>
      <c r="L908" s="1"/>
      <c r="M908" s="6"/>
      <c r="N908" s="5"/>
    </row>
    <row r="909" spans="1:14" ht="13.5" x14ac:dyDescent="0.25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1"/>
      <c r="L909" s="1"/>
      <c r="M909" s="6"/>
      <c r="N909" s="5"/>
    </row>
    <row r="910" spans="1:14" ht="13.5" x14ac:dyDescent="0.25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1"/>
      <c r="L910" s="1"/>
      <c r="M910" s="6"/>
      <c r="N910" s="5"/>
    </row>
    <row r="911" spans="1:14" ht="13.5" x14ac:dyDescent="0.25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1"/>
      <c r="L911" s="1"/>
      <c r="M911" s="6"/>
      <c r="N911" s="5"/>
    </row>
    <row r="912" spans="1:14" ht="13.5" x14ac:dyDescent="0.25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1"/>
      <c r="L912" s="1"/>
      <c r="M912" s="6"/>
      <c r="N912" s="5"/>
    </row>
    <row r="913" spans="1:14" ht="13.5" x14ac:dyDescent="0.25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1"/>
      <c r="L913" s="1"/>
      <c r="M913" s="6"/>
      <c r="N913" s="5"/>
    </row>
    <row r="914" spans="1:14" ht="13.5" x14ac:dyDescent="0.25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1"/>
      <c r="L914" s="1"/>
      <c r="M914" s="6"/>
      <c r="N914" s="5"/>
    </row>
    <row r="915" spans="1:14" ht="13.5" x14ac:dyDescent="0.25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1"/>
      <c r="L915" s="1"/>
      <c r="M915" s="6"/>
      <c r="N915" s="5"/>
    </row>
    <row r="916" spans="1:14" ht="13.5" x14ac:dyDescent="0.25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1"/>
      <c r="L916" s="1"/>
      <c r="M916" s="6"/>
      <c r="N916" s="5"/>
    </row>
    <row r="917" spans="1:14" ht="13.5" x14ac:dyDescent="0.25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1"/>
      <c r="L917" s="1"/>
      <c r="M917" s="6"/>
      <c r="N917" s="5"/>
    </row>
    <row r="918" spans="1:14" ht="13.5" x14ac:dyDescent="0.25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1"/>
      <c r="L918" s="1"/>
      <c r="M918" s="6"/>
      <c r="N918" s="5"/>
    </row>
    <row r="919" spans="1:14" ht="13.5" x14ac:dyDescent="0.25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1"/>
      <c r="L919" s="1"/>
      <c r="M919" s="6"/>
      <c r="N919" s="5"/>
    </row>
    <row r="920" spans="1:14" ht="13.5" x14ac:dyDescent="0.25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1"/>
      <c r="L920" s="1"/>
      <c r="M920" s="6"/>
      <c r="N920" s="5"/>
    </row>
    <row r="921" spans="1:14" ht="13.5" x14ac:dyDescent="0.25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1"/>
      <c r="L921" s="1"/>
      <c r="M921" s="6"/>
      <c r="N921" s="5"/>
    </row>
    <row r="922" spans="1:14" ht="13.5" x14ac:dyDescent="0.25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1"/>
      <c r="L922" s="1"/>
      <c r="M922" s="6"/>
      <c r="N922" s="5"/>
    </row>
    <row r="923" spans="1:14" ht="13.5" x14ac:dyDescent="0.25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1"/>
      <c r="L923" s="1"/>
      <c r="M923" s="6"/>
      <c r="N923" s="5"/>
    </row>
    <row r="924" spans="1:14" ht="13.5" x14ac:dyDescent="0.25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1"/>
      <c r="L924" s="1"/>
      <c r="M924" s="6"/>
      <c r="N924" s="5"/>
    </row>
    <row r="925" spans="1:14" ht="13.5" x14ac:dyDescent="0.25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1"/>
      <c r="L925" s="1"/>
      <c r="M925" s="6"/>
      <c r="N925" s="5"/>
    </row>
    <row r="926" spans="1:14" ht="13.5" x14ac:dyDescent="0.25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1"/>
      <c r="L926" s="1"/>
      <c r="M926" s="6"/>
      <c r="N926" s="5"/>
    </row>
    <row r="927" spans="1:14" ht="13.5" x14ac:dyDescent="0.25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1"/>
      <c r="L927" s="1"/>
      <c r="M927" s="6"/>
      <c r="N927" s="5"/>
    </row>
    <row r="928" spans="1:14" ht="13.5" x14ac:dyDescent="0.25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1"/>
      <c r="L928" s="1"/>
      <c r="M928" s="6"/>
      <c r="N928" s="5"/>
    </row>
    <row r="929" spans="1:14" ht="13.5" x14ac:dyDescent="0.25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1"/>
      <c r="L929" s="1"/>
      <c r="M929" s="6"/>
      <c r="N929" s="5"/>
    </row>
    <row r="930" spans="1:14" ht="13.5" x14ac:dyDescent="0.25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1"/>
      <c r="L930" s="1"/>
      <c r="M930" s="6"/>
      <c r="N930" s="5"/>
    </row>
    <row r="931" spans="1:14" ht="13.5" x14ac:dyDescent="0.25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1"/>
      <c r="L931" s="1"/>
      <c r="M931" s="6"/>
      <c r="N931" s="5"/>
    </row>
    <row r="932" spans="1:14" ht="13.5" x14ac:dyDescent="0.25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1"/>
      <c r="L932" s="1"/>
      <c r="M932" s="6"/>
      <c r="N932" s="5"/>
    </row>
    <row r="933" spans="1:14" ht="13.5" x14ac:dyDescent="0.25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1"/>
      <c r="L933" s="1"/>
      <c r="M933" s="6"/>
      <c r="N933" s="5"/>
    </row>
    <row r="934" spans="1:14" ht="13.5" x14ac:dyDescent="0.25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1"/>
      <c r="L934" s="1"/>
      <c r="M934" s="6"/>
      <c r="N934" s="5"/>
    </row>
    <row r="935" spans="1:14" ht="13.5" x14ac:dyDescent="0.25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1"/>
      <c r="L935" s="1"/>
      <c r="M935" s="6"/>
      <c r="N935" s="5"/>
    </row>
    <row r="936" spans="1:14" ht="13.5" x14ac:dyDescent="0.25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1"/>
      <c r="L936" s="1"/>
      <c r="M936" s="6"/>
      <c r="N936" s="5"/>
    </row>
    <row r="937" spans="1:14" ht="13.5" x14ac:dyDescent="0.25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1"/>
      <c r="L937" s="1"/>
      <c r="M937" s="6"/>
      <c r="N937" s="5"/>
    </row>
    <row r="938" spans="1:14" ht="13.5" x14ac:dyDescent="0.25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1"/>
      <c r="L938" s="1"/>
      <c r="M938" s="6"/>
      <c r="N938" s="5"/>
    </row>
    <row r="939" spans="1:14" ht="13.5" x14ac:dyDescent="0.25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1"/>
      <c r="L939" s="1"/>
      <c r="M939" s="6"/>
      <c r="N939" s="5"/>
    </row>
    <row r="940" spans="1:14" ht="13.5" x14ac:dyDescent="0.25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1"/>
      <c r="L940" s="1"/>
      <c r="M940" s="6"/>
      <c r="N940" s="5"/>
    </row>
    <row r="941" spans="1:14" ht="13.5" x14ac:dyDescent="0.25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1"/>
      <c r="L941" s="1"/>
      <c r="M941" s="6"/>
      <c r="N941" s="5"/>
    </row>
    <row r="942" spans="1:14" ht="13.5" x14ac:dyDescent="0.25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1"/>
      <c r="L942" s="1"/>
      <c r="M942" s="6"/>
      <c r="N942" s="5"/>
    </row>
    <row r="943" spans="1:14" ht="13.5" x14ac:dyDescent="0.25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1"/>
      <c r="L943" s="1"/>
      <c r="M943" s="6"/>
      <c r="N943" s="5"/>
    </row>
    <row r="944" spans="1:14" ht="13.5" x14ac:dyDescent="0.25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1"/>
      <c r="L944" s="1"/>
      <c r="M944" s="6"/>
      <c r="N944" s="5"/>
    </row>
    <row r="945" spans="1:14" ht="13.5" x14ac:dyDescent="0.25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1"/>
      <c r="L945" s="1"/>
      <c r="M945" s="6"/>
      <c r="N945" s="5"/>
    </row>
    <row r="946" spans="1:14" ht="13.5" x14ac:dyDescent="0.25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1"/>
      <c r="L946" s="1"/>
      <c r="M946" s="6"/>
      <c r="N946" s="5"/>
    </row>
    <row r="947" spans="1:14" ht="13.5" x14ac:dyDescent="0.25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1"/>
      <c r="L947" s="1"/>
      <c r="M947" s="6"/>
      <c r="N947" s="5"/>
    </row>
    <row r="948" spans="1:14" ht="13.5" x14ac:dyDescent="0.25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1"/>
      <c r="L948" s="1"/>
      <c r="M948" s="6"/>
      <c r="N948" s="5"/>
    </row>
    <row r="949" spans="1:14" ht="13.5" x14ac:dyDescent="0.25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1"/>
      <c r="L949" s="1"/>
      <c r="M949" s="6"/>
      <c r="N949" s="5"/>
    </row>
    <row r="950" spans="1:14" ht="13.5" x14ac:dyDescent="0.25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1"/>
      <c r="L950" s="1"/>
      <c r="M950" s="6"/>
      <c r="N950" s="5"/>
    </row>
    <row r="951" spans="1:14" ht="13.5" x14ac:dyDescent="0.25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1"/>
      <c r="L951" s="1"/>
      <c r="M951" s="6"/>
      <c r="N951" s="5"/>
    </row>
    <row r="952" spans="1:14" ht="13.5" x14ac:dyDescent="0.25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1"/>
      <c r="L952" s="1"/>
      <c r="M952" s="6"/>
      <c r="N952" s="5"/>
    </row>
    <row r="953" spans="1:14" ht="13.5" x14ac:dyDescent="0.25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1"/>
      <c r="L953" s="1"/>
      <c r="M953" s="6"/>
      <c r="N953" s="5"/>
    </row>
    <row r="954" spans="1:14" ht="13.5" x14ac:dyDescent="0.25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1"/>
      <c r="L954" s="1"/>
      <c r="M954" s="6"/>
      <c r="N954" s="5"/>
    </row>
    <row r="955" spans="1:14" ht="13.5" x14ac:dyDescent="0.25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1"/>
      <c r="L955" s="1"/>
      <c r="M955" s="6"/>
      <c r="N955" s="5"/>
    </row>
    <row r="956" spans="1:14" ht="13.5" x14ac:dyDescent="0.25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1"/>
      <c r="L956" s="1"/>
      <c r="M956" s="6"/>
      <c r="N956" s="5"/>
    </row>
    <row r="957" spans="1:14" ht="13.5" x14ac:dyDescent="0.25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1"/>
      <c r="L957" s="1"/>
      <c r="M957" s="6"/>
      <c r="N957" s="5"/>
    </row>
    <row r="958" spans="1:14" ht="13.5" x14ac:dyDescent="0.25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1"/>
      <c r="L958" s="1"/>
      <c r="M958" s="6"/>
      <c r="N958" s="5"/>
    </row>
    <row r="959" spans="1:14" ht="13.5" x14ac:dyDescent="0.25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1"/>
      <c r="L959" s="1"/>
      <c r="M959" s="6"/>
      <c r="N959" s="5"/>
    </row>
    <row r="960" spans="1:14" ht="13.5" x14ac:dyDescent="0.25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1"/>
      <c r="L960" s="1"/>
      <c r="M960" s="6"/>
      <c r="N960" s="5"/>
    </row>
    <row r="961" spans="1:14" ht="13.5" x14ac:dyDescent="0.25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1"/>
      <c r="L961" s="1"/>
      <c r="M961" s="6"/>
      <c r="N961" s="5"/>
    </row>
    <row r="962" spans="1:14" ht="13.5" x14ac:dyDescent="0.25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1"/>
      <c r="L962" s="1"/>
      <c r="M962" s="6"/>
      <c r="N962" s="5"/>
    </row>
    <row r="963" spans="1:14" ht="13.5" x14ac:dyDescent="0.25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1"/>
      <c r="L963" s="1"/>
      <c r="M963" s="6"/>
      <c r="N963" s="5"/>
    </row>
    <row r="964" spans="1:14" ht="13.5" x14ac:dyDescent="0.25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1"/>
      <c r="L964" s="1"/>
      <c r="M964" s="6"/>
      <c r="N964" s="5"/>
    </row>
    <row r="965" spans="1:14" ht="13.5" x14ac:dyDescent="0.25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1"/>
      <c r="L965" s="1"/>
      <c r="M965" s="6"/>
      <c r="N965" s="5"/>
    </row>
    <row r="966" spans="1:14" ht="13.5" x14ac:dyDescent="0.25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1"/>
      <c r="L966" s="1"/>
      <c r="M966" s="6"/>
      <c r="N966" s="5"/>
    </row>
    <row r="967" spans="1:14" ht="13.5" x14ac:dyDescent="0.25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1"/>
      <c r="L967" s="1"/>
      <c r="M967" s="6"/>
      <c r="N967" s="5"/>
    </row>
    <row r="968" spans="1:14" ht="13.5" x14ac:dyDescent="0.25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1"/>
      <c r="L968" s="1"/>
      <c r="M968" s="6"/>
      <c r="N968" s="5"/>
    </row>
    <row r="969" spans="1:14" ht="13.5" x14ac:dyDescent="0.25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1"/>
      <c r="L969" s="1"/>
      <c r="M969" s="6"/>
      <c r="N969" s="5"/>
    </row>
    <row r="970" spans="1:14" ht="13.5" x14ac:dyDescent="0.25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1"/>
      <c r="L970" s="1"/>
      <c r="M970" s="6"/>
      <c r="N970" s="5"/>
    </row>
    <row r="971" spans="1:14" ht="13.5" x14ac:dyDescent="0.25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1"/>
      <c r="L971" s="1"/>
      <c r="M971" s="6"/>
      <c r="N971" s="5"/>
    </row>
    <row r="972" spans="1:14" ht="13.5" x14ac:dyDescent="0.25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1"/>
      <c r="L972" s="1"/>
      <c r="M972" s="6"/>
      <c r="N972" s="5"/>
    </row>
    <row r="973" spans="1:14" ht="13.5" x14ac:dyDescent="0.25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1"/>
      <c r="L973" s="1"/>
      <c r="M973" s="6"/>
      <c r="N973" s="5"/>
    </row>
    <row r="974" spans="1:14" ht="13.5" x14ac:dyDescent="0.25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1"/>
      <c r="L974" s="1"/>
      <c r="M974" s="6"/>
      <c r="N974" s="5"/>
    </row>
    <row r="975" spans="1:14" ht="13.5" x14ac:dyDescent="0.25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1"/>
      <c r="L975" s="1"/>
      <c r="M975" s="6"/>
      <c r="N975" s="5"/>
    </row>
    <row r="976" spans="1:14" ht="13.5" x14ac:dyDescent="0.25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1"/>
      <c r="L976" s="1"/>
      <c r="M976" s="6"/>
      <c r="N976" s="5"/>
    </row>
    <row r="977" spans="1:14" ht="13.5" x14ac:dyDescent="0.25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1"/>
      <c r="L977" s="1"/>
      <c r="M977" s="6"/>
      <c r="N977" s="5"/>
    </row>
    <row r="978" spans="1:14" ht="13.5" x14ac:dyDescent="0.25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1"/>
      <c r="L978" s="1"/>
      <c r="M978" s="6"/>
      <c r="N978" s="5"/>
    </row>
    <row r="979" spans="1:14" ht="13.5" x14ac:dyDescent="0.25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1"/>
      <c r="L979" s="1"/>
      <c r="M979" s="6"/>
      <c r="N979" s="5"/>
    </row>
    <row r="980" spans="1:14" ht="13.5" x14ac:dyDescent="0.25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1"/>
      <c r="L980" s="1"/>
      <c r="M980" s="6"/>
      <c r="N980" s="5"/>
    </row>
    <row r="981" spans="1:14" ht="13.5" x14ac:dyDescent="0.25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1"/>
      <c r="L981" s="1"/>
      <c r="M981" s="6"/>
      <c r="N981" s="5"/>
    </row>
    <row r="982" spans="1:14" ht="13.5" x14ac:dyDescent="0.25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1"/>
      <c r="L982" s="1"/>
      <c r="M982" s="6"/>
      <c r="N982" s="5"/>
    </row>
    <row r="983" spans="1:14" ht="13.5" x14ac:dyDescent="0.25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1"/>
      <c r="L983" s="1"/>
      <c r="M983" s="6"/>
      <c r="N983" s="5"/>
    </row>
    <row r="984" spans="1:14" ht="13.5" x14ac:dyDescent="0.25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1"/>
      <c r="L984" s="1"/>
      <c r="M984" s="6"/>
      <c r="N984" s="5"/>
    </row>
    <row r="985" spans="1:14" ht="13.5" x14ac:dyDescent="0.25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1"/>
      <c r="L985" s="1"/>
      <c r="M985" s="6"/>
      <c r="N985" s="5"/>
    </row>
    <row r="986" spans="1:14" ht="13.5" x14ac:dyDescent="0.25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1"/>
      <c r="L986" s="1"/>
      <c r="M986" s="6"/>
      <c r="N986" s="5"/>
    </row>
    <row r="987" spans="1:14" ht="13.5" x14ac:dyDescent="0.25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1"/>
      <c r="L987" s="1"/>
      <c r="M987" s="6"/>
      <c r="N987" s="5"/>
    </row>
    <row r="988" spans="1:14" ht="13.5" x14ac:dyDescent="0.25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1"/>
      <c r="L988" s="1"/>
      <c r="M988" s="6"/>
      <c r="N988" s="5"/>
    </row>
    <row r="989" spans="1:14" ht="13.5" x14ac:dyDescent="0.25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1"/>
      <c r="L989" s="1"/>
      <c r="M989" s="6"/>
      <c r="N989" s="5"/>
    </row>
    <row r="990" spans="1:14" ht="13.5" x14ac:dyDescent="0.25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1"/>
      <c r="L990" s="1"/>
      <c r="M990" s="6"/>
      <c r="N990" s="5"/>
    </row>
    <row r="991" spans="1:14" ht="13.5" x14ac:dyDescent="0.25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1"/>
      <c r="L991" s="1"/>
      <c r="M991" s="6"/>
      <c r="N991" s="5"/>
    </row>
    <row r="992" spans="1:14" ht="13.5" x14ac:dyDescent="0.25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1"/>
      <c r="L992" s="1"/>
      <c r="M992" s="6"/>
      <c r="N992" s="5"/>
    </row>
    <row r="993" spans="1:14" ht="13.5" x14ac:dyDescent="0.25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1"/>
      <c r="L993" s="1"/>
      <c r="M993" s="6"/>
      <c r="N993" s="5"/>
    </row>
    <row r="994" spans="1:14" ht="13.5" x14ac:dyDescent="0.25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1"/>
      <c r="L994" s="1"/>
      <c r="M994" s="6"/>
      <c r="N994" s="5"/>
    </row>
    <row r="995" spans="1:14" ht="13.5" x14ac:dyDescent="0.25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1"/>
      <c r="L995" s="1"/>
      <c r="M995" s="6"/>
      <c r="N995" s="5"/>
    </row>
    <row r="996" spans="1:14" ht="13.5" x14ac:dyDescent="0.25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1"/>
      <c r="L996" s="1"/>
      <c r="M996" s="6"/>
      <c r="N996" s="5"/>
    </row>
    <row r="997" spans="1:14" ht="13.5" x14ac:dyDescent="0.25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1"/>
      <c r="L997" s="1"/>
      <c r="M997" s="6"/>
      <c r="N997" s="5"/>
    </row>
    <row r="998" spans="1:14" ht="13.5" x14ac:dyDescent="0.25">
      <c r="A998" s="3"/>
      <c r="B998" s="3"/>
      <c r="C998" s="3"/>
      <c r="D998" s="3"/>
      <c r="E998" s="3"/>
      <c r="F998" s="3"/>
      <c r="G998" s="3"/>
      <c r="H998" s="2"/>
      <c r="I998" s="2"/>
      <c r="J998" s="2"/>
      <c r="K998" s="1"/>
      <c r="L998" s="1"/>
      <c r="M998" s="4"/>
      <c r="N998" s="3"/>
    </row>
    <row r="999" spans="1:14" ht="13.5" x14ac:dyDescent="0.25">
      <c r="A999" s="3"/>
      <c r="B999" s="3"/>
      <c r="C999" s="3"/>
      <c r="D999" s="3"/>
      <c r="E999" s="3"/>
      <c r="F999" s="3"/>
      <c r="G999" s="3"/>
      <c r="H999" s="2"/>
      <c r="I999" s="2"/>
      <c r="J999" s="2"/>
      <c r="K999" s="1"/>
    </row>
    <row r="1000" spans="1:14" ht="13.5" x14ac:dyDescent="0.25">
      <c r="A1000" s="3"/>
      <c r="B1000" s="3"/>
      <c r="C1000" s="3"/>
      <c r="D1000" s="3"/>
      <c r="E1000" s="3"/>
      <c r="F1000" s="3"/>
      <c r="G1000" s="3"/>
      <c r="H1000" s="2"/>
      <c r="I1000" s="2"/>
      <c r="J1000" s="2"/>
      <c r="K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CameronPeakFOUS(29)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2025-08-09T23:51:32Z</dcterms:created>
  <dcterms:modified xsi:type="dcterms:W3CDTF">2025-08-09T23:51:56Z</dcterms:modified>
</cp:coreProperties>
</file>