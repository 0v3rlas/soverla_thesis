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verl\Documents\CWU\Thesis_Project\"/>
    </mc:Choice>
  </mc:AlternateContent>
  <xr:revisionPtr revIDLastSave="0" documentId="13_ncr:1_{85FC8CA1-82E9-48BE-B336-F1ADF8E031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Cau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1" i="1" l="1"/>
  <c r="AQ20" i="1"/>
  <c r="AQ19" i="1"/>
  <c r="AQ18" i="1"/>
  <c r="AQ17" i="1"/>
  <c r="AQ16" i="1"/>
  <c r="AQ15" i="1"/>
  <c r="AQ14" i="1"/>
  <c r="AQ13" i="1"/>
  <c r="AQ12" i="1"/>
  <c r="AQ10" i="1"/>
  <c r="AN6" i="1"/>
  <c r="AQ3" i="1"/>
  <c r="AQ4" i="1"/>
  <c r="AQ5" i="1"/>
  <c r="AQ6" i="1"/>
  <c r="AQ7" i="1"/>
  <c r="AQ8" i="1"/>
  <c r="AQ9" i="1"/>
  <c r="AQ11" i="1"/>
  <c r="AQ22" i="1"/>
  <c r="AQ23" i="1"/>
  <c r="AQ24" i="1"/>
  <c r="AQ25" i="1"/>
  <c r="AQ26" i="1"/>
  <c r="AQ27" i="1"/>
  <c r="AQ28" i="1"/>
  <c r="AQ29" i="1"/>
  <c r="AQ30" i="1"/>
  <c r="AQ31" i="1"/>
  <c r="AQ2" i="1"/>
  <c r="AN4" i="1"/>
  <c r="AN15" i="1"/>
  <c r="AN16" i="1"/>
  <c r="AN17" i="1"/>
  <c r="AN18" i="1"/>
  <c r="AN19" i="1"/>
  <c r="AN20" i="1"/>
  <c r="AN21" i="1"/>
  <c r="AN22" i="1"/>
  <c r="AN23" i="1"/>
  <c r="AN24" i="1"/>
  <c r="AN26" i="1"/>
  <c r="AH49" i="1"/>
  <c r="AH50" i="1"/>
  <c r="AH51" i="1"/>
  <c r="AH52" i="1"/>
  <c r="AO37" i="1"/>
  <c r="AL37" i="1"/>
  <c r="AK37" i="1"/>
  <c r="AI37" i="1"/>
  <c r="AI36" i="1"/>
  <c r="AI35" i="1"/>
  <c r="AI34" i="1"/>
  <c r="AN31" i="1"/>
  <c r="AN30" i="1"/>
  <c r="AN29" i="1"/>
  <c r="AN28" i="1"/>
  <c r="AN27" i="1"/>
  <c r="AN25" i="1"/>
  <c r="AN14" i="1"/>
  <c r="AN13" i="1"/>
  <c r="AN12" i="1"/>
  <c r="AN11" i="1"/>
  <c r="AN10" i="1"/>
  <c r="AN9" i="1"/>
  <c r="AN8" i="1"/>
  <c r="AN7" i="1"/>
  <c r="AN5" i="1"/>
  <c r="AN3" i="1"/>
  <c r="AN2" i="1"/>
  <c r="AG45" i="1"/>
  <c r="AF45" i="1"/>
  <c r="AL36" i="1"/>
  <c r="AL35" i="1"/>
  <c r="AL34" i="1"/>
  <c r="AF44" i="1"/>
  <c r="AH44" i="1" s="1"/>
  <c r="AF43" i="1"/>
  <c r="AH43" i="1" s="1"/>
  <c r="AF42" i="1"/>
  <c r="AH42" i="1" s="1"/>
  <c r="AO36" i="1"/>
  <c r="AO35" i="1"/>
  <c r="AO34" i="1"/>
  <c r="AK36" i="1"/>
  <c r="AK35" i="1"/>
  <c r="AK34" i="1"/>
  <c r="AM37" i="1" l="1"/>
  <c r="AH45" i="1"/>
  <c r="AM35" i="1"/>
  <c r="AM36" i="1"/>
  <c r="AM34" i="1"/>
</calcChain>
</file>

<file path=xl/sharedStrings.xml><?xml version="1.0" encoding="utf-8"?>
<sst xmlns="http://schemas.openxmlformats.org/spreadsheetml/2006/main" count="404" uniqueCount="122">
  <si>
    <t>fire_ID</t>
  </si>
  <si>
    <t>fire_name</t>
  </si>
  <si>
    <t>lat</t>
  </si>
  <si>
    <t>lon</t>
  </si>
  <si>
    <t>state</t>
  </si>
  <si>
    <t>cause</t>
  </si>
  <si>
    <t>size</t>
  </si>
  <si>
    <t>final_size</t>
  </si>
  <si>
    <t>fire_day</t>
  </si>
  <si>
    <t>acres_growth</t>
  </si>
  <si>
    <t>As_growth</t>
  </si>
  <si>
    <t>ECTC</t>
  </si>
  <si>
    <t>EOTC</t>
  </si>
  <si>
    <t>ES</t>
  </si>
  <si>
    <t>MEDS</t>
  </si>
  <si>
    <t>WSC</t>
  </si>
  <si>
    <t>WSC_adj</t>
  </si>
  <si>
    <t>WSC_CPA</t>
  </si>
  <si>
    <t>final_WSC</t>
  </si>
  <si>
    <t>hour_1000</t>
  </si>
  <si>
    <t>manzanita</t>
  </si>
  <si>
    <t xml:space="preserve">pine </t>
  </si>
  <si>
    <t>chamise</t>
  </si>
  <si>
    <t>sagebrush</t>
  </si>
  <si>
    <t>fuel_elev</t>
  </si>
  <si>
    <t>fuel_date</t>
  </si>
  <si>
    <t>t_C_sfc</t>
  </si>
  <si>
    <t>RH_sfc</t>
  </si>
  <si>
    <t xml:space="preserve">VPD_sfc </t>
  </si>
  <si>
    <t>spd_sfc</t>
  </si>
  <si>
    <t>spd_700</t>
  </si>
  <si>
    <t>date</t>
  </si>
  <si>
    <t>antelope</t>
  </si>
  <si>
    <t>CA</t>
  </si>
  <si>
    <t>lightning</t>
  </si>
  <si>
    <t>archiecrk</t>
  </si>
  <si>
    <t>OR</t>
  </si>
  <si>
    <t>human</t>
  </si>
  <si>
    <t>badger</t>
  </si>
  <si>
    <t>ID</t>
  </si>
  <si>
    <t>undetermined</t>
  </si>
  <si>
    <t>beachiecrk</t>
  </si>
  <si>
    <t>bighorn</t>
  </si>
  <si>
    <t>AZ</t>
  </si>
  <si>
    <t>black</t>
  </si>
  <si>
    <t>NM</t>
  </si>
  <si>
    <t>bobcat</t>
  </si>
  <si>
    <t>bootleg</t>
  </si>
  <si>
    <t>bush</t>
  </si>
  <si>
    <t>caldor</t>
  </si>
  <si>
    <t>cameronpk</t>
  </si>
  <si>
    <t>CO</t>
  </si>
  <si>
    <t>cougarpk</t>
  </si>
  <si>
    <t>creek</t>
  </si>
  <si>
    <t>dixie</t>
  </si>
  <si>
    <t>dolan</t>
  </si>
  <si>
    <t>easttrblsm</t>
  </si>
  <si>
    <t>holidayfrm</t>
  </si>
  <si>
    <t>lionshead</t>
  </si>
  <si>
    <t>mcfarland</t>
  </si>
  <si>
    <t>monument</t>
  </si>
  <si>
    <t>moose</t>
  </si>
  <si>
    <t>mullen</t>
  </si>
  <si>
    <t>WY</t>
  </si>
  <si>
    <t>pinegulch</t>
  </si>
  <si>
    <t>richardspr</t>
  </si>
  <si>
    <t>MT</t>
  </si>
  <si>
    <t>riverside</t>
  </si>
  <si>
    <t>schneiderspr</t>
  </si>
  <si>
    <t>WA</t>
  </si>
  <si>
    <t>slater</t>
  </si>
  <si>
    <t>telegraph</t>
  </si>
  <si>
    <t>whitney</t>
  </si>
  <si>
    <t>woodhead</t>
  </si>
  <si>
    <t>final_WSC_CPA</t>
  </si>
  <si>
    <t>zhvi_LF</t>
  </si>
  <si>
    <t>MAX</t>
  </si>
  <si>
    <t>MIN</t>
  </si>
  <si>
    <t>MEDIAN</t>
  </si>
  <si>
    <t>FOUS</t>
  </si>
  <si>
    <t>LF</t>
  </si>
  <si>
    <t>zhvi_not_adj</t>
  </si>
  <si>
    <t>zhvi_FOUS</t>
  </si>
  <si>
    <t xml:space="preserve">LF </t>
  </si>
  <si>
    <t>MEAN</t>
  </si>
  <si>
    <t>Elevation (feet)</t>
  </si>
  <si>
    <t>ZHVI (US Dollar)</t>
  </si>
  <si>
    <t>Difference</t>
  </si>
  <si>
    <t>lava</t>
  </si>
  <si>
    <t>cinderbutte</t>
  </si>
  <si>
    <t>blackpine</t>
  </si>
  <si>
    <t>countyline</t>
  </si>
  <si>
    <t>burro</t>
  </si>
  <si>
    <t>beartrap</t>
  </si>
  <si>
    <t>dome</t>
  </si>
  <si>
    <t>watsoncrk</t>
  </si>
  <si>
    <t>juniper</t>
  </si>
  <si>
    <t>butte</t>
  </si>
  <si>
    <t>highpark</t>
  </si>
  <si>
    <t>brattain</t>
  </si>
  <si>
    <t>donnell</t>
  </si>
  <si>
    <t>walker</t>
  </si>
  <si>
    <t>chimney</t>
  </si>
  <si>
    <t>beavercrk</t>
  </si>
  <si>
    <t>polecrk</t>
  </si>
  <si>
    <t>blackrock</t>
  </si>
  <si>
    <t>zogg</t>
  </si>
  <si>
    <t>delta</t>
  </si>
  <si>
    <t>trailcrk</t>
  </si>
  <si>
    <t>ryan</t>
  </si>
  <si>
    <t>bulldraw</t>
  </si>
  <si>
    <t>sarpy</t>
  </si>
  <si>
    <t>nenasprings</t>
  </si>
  <si>
    <t>jollymtn</t>
  </si>
  <si>
    <t>mckinney</t>
  </si>
  <si>
    <t>mescal</t>
  </si>
  <si>
    <t>williamsflat</t>
  </si>
  <si>
    <t>mesa</t>
  </si>
  <si>
    <t>FOUS_MTBS_elev_ft</t>
  </si>
  <si>
    <t>LF_MTBS_elev_ft</t>
  </si>
  <si>
    <t>LF_RAWS_elev_ft</t>
  </si>
  <si>
    <t>FOUS_RAWS_elev_ft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</si>
</sst>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2" fontId="0" fillId="0" borderId="5" xfId="0" applyNumberFormat="1" applyBorder="1"/>
    <xf numFmtId="2" fontId="0" fillId="0" borderId="7" xfId="0" applyNumberFormat="1" applyBorder="1"/>
    <xf numFmtId="0" fontId="0" fillId="0" borderId="5" xfId="0" applyBorder="1"/>
    <xf numFmtId="0" fontId="0" fillId="0" borderId="7" xfId="0" applyBorder="1"/>
    <xf numFmtId="1" fontId="0" fillId="0" borderId="8" xfId="0" applyNumberFormat="1" applyBorder="1" applyAlignment="1">
      <alignment horizontal="center"/>
    </xf>
    <xf numFmtId="165" fontId="0" fillId="0" borderId="0" xfId="0" applyNumberFormat="1"/>
    <xf numFmtId="165" fontId="0" fillId="0" borderId="8" xfId="0" applyNumberFormat="1" applyBorder="1"/>
    <xf numFmtId="2" fontId="0" fillId="0" borderId="4" xfId="0" applyNumberFormat="1" applyBorder="1"/>
    <xf numFmtId="2" fontId="0" fillId="0" borderId="10" xfId="0" applyNumberFormat="1" applyBorder="1"/>
    <xf numFmtId="0" fontId="0" fillId="0" borderId="11" xfId="0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0" xfId="0" applyBorder="1"/>
    <xf numFmtId="0" fontId="2" fillId="0" borderId="2" xfId="0" applyFont="1" applyBorder="1"/>
    <xf numFmtId="2" fontId="2" fillId="0" borderId="2" xfId="0" applyNumberFormat="1" applyFont="1" applyBorder="1"/>
    <xf numFmtId="165" fontId="0" fillId="0" borderId="6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2" borderId="0" xfId="0" applyFill="1"/>
    <xf numFmtId="0" fontId="1" fillId="0" borderId="13" xfId="0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1" fontId="1" fillId="0" borderId="13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00FF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ZHVI Across Both Fire Types</a:t>
            </a:r>
          </a:p>
        </c:rich>
      </c:tx>
      <c:layout>
        <c:manualLayout>
          <c:xMode val="edge"/>
          <c:yMode val="edge"/>
          <c:x val="0.6597741731530542"/>
          <c:y val="0.146072410135038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8435103706227114"/>
          <c:y val="2.8585092937193433E-2"/>
          <c:w val="0.54093583030594627"/>
          <c:h val="0.87073934485947246"/>
        </c:manualLayout>
      </c:layout>
      <c:barChart>
        <c:barDir val="col"/>
        <c:grouping val="clustered"/>
        <c:varyColors val="0"/>
        <c:ser>
          <c:idx val="0"/>
          <c:order val="0"/>
          <c:tx>
            <c:v>FOUS zhvi</c:v>
          </c:tx>
          <c:spPr>
            <a:solidFill>
              <a:srgbClr val="CC00FF"/>
            </a:solidFill>
            <a:ln>
              <a:solidFill>
                <a:srgbClr val="CC00FF"/>
              </a:solidFill>
            </a:ln>
            <a:effectLst/>
          </c:spPr>
          <c:invertIfNegative val="0"/>
          <c:dLbls>
            <c:delete val="1"/>
          </c:dLbls>
          <c:val>
            <c:numRef>
              <c:f>Sheet1!$AH$2:$AH$31</c:f>
              <c:numCache>
                <c:formatCode>0.00</c:formatCode>
                <c:ptCount val="30"/>
                <c:pt idx="0">
                  <c:v>273957.538037878</c:v>
                </c:pt>
                <c:pt idx="1">
                  <c:v>242382.33872153901</c:v>
                </c:pt>
                <c:pt idx="2">
                  <c:v>212868.047986727</c:v>
                </c:pt>
                <c:pt idx="3">
                  <c:v>331133.89612995298</c:v>
                </c:pt>
                <c:pt idx="4">
                  <c:v>240731.26419698299</c:v>
                </c:pt>
                <c:pt idx="5">
                  <c:v>169613.82930303301</c:v>
                </c:pt>
                <c:pt idx="6">
                  <c:v>669503.674823198</c:v>
                </c:pt>
                <c:pt idx="7">
                  <c:v>247701.46467762801</c:v>
                </c:pt>
                <c:pt idx="8">
                  <c:v>324003.55085106398</c:v>
                </c:pt>
                <c:pt idx="9">
                  <c:v>644146.91922296095</c:v>
                </c:pt>
                <c:pt idx="10">
                  <c:v>422281.52031957201</c:v>
                </c:pt>
                <c:pt idx="11">
                  <c:v>174843.22861728599</c:v>
                </c:pt>
                <c:pt idx="12">
                  <c:v>286994.32546822098</c:v>
                </c:pt>
                <c:pt idx="13">
                  <c:v>395343.329528915</c:v>
                </c:pt>
                <c:pt idx="14">
                  <c:v>621774.52984523203</c:v>
                </c:pt>
                <c:pt idx="15">
                  <c:v>529666.296321286</c:v>
                </c:pt>
                <c:pt idx="16">
                  <c:v>343833.74722017202</c:v>
                </c:pt>
                <c:pt idx="17">
                  <c:v>331133.89612995298</c:v>
                </c:pt>
                <c:pt idx="18">
                  <c:v>349892.784739041</c:v>
                </c:pt>
                <c:pt idx="19">
                  <c:v>317917.38548391301</c:v>
                </c:pt>
                <c:pt idx="20">
                  <c:v>362659.31849936</c:v>
                </c:pt>
                <c:pt idx="21">
                  <c:v>267170.40933129599</c:v>
                </c:pt>
                <c:pt idx="22">
                  <c:v>291878.26061998401</c:v>
                </c:pt>
                <c:pt idx="23">
                  <c:v>161215.857763779</c:v>
                </c:pt>
                <c:pt idx="24">
                  <c:v>476796.90541459899</c:v>
                </c:pt>
                <c:pt idx="25">
                  <c:v>315161.74213064701</c:v>
                </c:pt>
                <c:pt idx="26">
                  <c:v>221523.43356685</c:v>
                </c:pt>
                <c:pt idx="27">
                  <c:v>315853.870677981</c:v>
                </c:pt>
                <c:pt idx="28">
                  <c:v>211602.74736967401</c:v>
                </c:pt>
                <c:pt idx="29">
                  <c:v>263030.84677685198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11-45AB-B35D-2765D033C4D6}"/>
            </c:ext>
          </c:extLst>
        </c:ser>
        <c:ser>
          <c:idx val="1"/>
          <c:order val="1"/>
          <c:tx>
            <c:v>LF zhvi</c:v>
          </c:tx>
          <c:spPr>
            <a:solidFill>
              <a:srgbClr val="00B0F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elete val="1"/>
          </c:dLbls>
          <c:val>
            <c:numRef>
              <c:f>Sheet1!$AK$2:$AK$31</c:f>
              <c:numCache>
                <c:formatCode>General</c:formatCode>
                <c:ptCount val="30"/>
                <c:pt idx="0">
                  <c:v>297435.28153526422</c:v>
                </c:pt>
                <c:pt idx="1">
                  <c:v>130114.6513651165</c:v>
                </c:pt>
                <c:pt idx="2">
                  <c:v>232799.84</c:v>
                </c:pt>
                <c:pt idx="3">
                  <c:v>201201.0602276467</c:v>
                </c:pt>
                <c:pt idx="4">
                  <c:v>244405.84387669351</c:v>
                </c:pt>
                <c:pt idx="5">
                  <c:v>169613.82930303301</c:v>
                </c:pt>
                <c:pt idx="6">
                  <c:v>367115.77849988622</c:v>
                </c:pt>
                <c:pt idx="7">
                  <c:v>130880.1617764493</c:v>
                </c:pt>
                <c:pt idx="8">
                  <c:v>247718.52497034409</c:v>
                </c:pt>
                <c:pt idx="9">
                  <c:v>320326.7550909663</c:v>
                </c:pt>
                <c:pt idx="10">
                  <c:v>318741.45193215553</c:v>
                </c:pt>
                <c:pt idx="11">
                  <c:v>188594.12917409351</c:v>
                </c:pt>
                <c:pt idx="12">
                  <c:v>434750.07275881938</c:v>
                </c:pt>
                <c:pt idx="13">
                  <c:v>221054.5059517991</c:v>
                </c:pt>
                <c:pt idx="14">
                  <c:v>651736.44670897012</c:v>
                </c:pt>
                <c:pt idx="15">
                  <c:v>578726.66864436714</c:v>
                </c:pt>
                <c:pt idx="16">
                  <c:v>150472.8633129276</c:v>
                </c:pt>
                <c:pt idx="17">
                  <c:v>218413.8503915109</c:v>
                </c:pt>
                <c:pt idx="18">
                  <c:v>423698.15472148359</c:v>
                </c:pt>
                <c:pt idx="19">
                  <c:v>242043.53085672759</c:v>
                </c:pt>
                <c:pt idx="20">
                  <c:v>330058.26262077107</c:v>
                </c:pt>
                <c:pt idx="21">
                  <c:v>286780.59380916011</c:v>
                </c:pt>
                <c:pt idx="22">
                  <c:v>309154.01878368319</c:v>
                </c:pt>
                <c:pt idx="23">
                  <c:v>203369.81265135479</c:v>
                </c:pt>
                <c:pt idx="24">
                  <c:v>466946.92637866299</c:v>
                </c:pt>
                <c:pt idx="25">
                  <c:v>338223.25587365963</c:v>
                </c:pt>
                <c:pt idx="26">
                  <c:v>303734.97828925098</c:v>
                </c:pt>
                <c:pt idx="27">
                  <c:v>357167.55696266092</c:v>
                </c:pt>
                <c:pt idx="28">
                  <c:v>275762.4265197395</c:v>
                </c:pt>
                <c:pt idx="29">
                  <c:v>270840.49825447291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11-45AB-B35D-2765D033C4D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0667583"/>
        <c:axId val="410666143"/>
      </c:barChart>
      <c:catAx>
        <c:axId val="4106675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666143"/>
        <c:crosses val="autoZero"/>
        <c:auto val="1"/>
        <c:lblAlgn val="ctr"/>
        <c:lblOffset val="100"/>
        <c:noMultiLvlLbl val="0"/>
      </c:catAx>
      <c:valAx>
        <c:axId val="41066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66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315938018796462"/>
          <c:y val="0.20843895624652076"/>
          <c:w val="0.10685375903103828"/>
          <c:h val="3.00135493290106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Elevation of FOUS</a:t>
            </a:r>
            <a:r>
              <a:rPr lang="en-US" baseline="0"/>
              <a:t> and LF Fire Pairs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FOUS Elevation</c:v>
          </c:tx>
          <c:spPr>
            <a:solidFill>
              <a:srgbClr val="CC00FF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Sheet1!$AM$2:$AM$31</c:f>
              <c:numCache>
                <c:formatCode>0</c:formatCode>
                <c:ptCount val="30"/>
                <c:pt idx="0">
                  <c:v>5334.6458400000001</c:v>
                </c:pt>
                <c:pt idx="1">
                  <c:v>3405.5119199999999</c:v>
                </c:pt>
                <c:pt idx="2">
                  <c:v>7103.0186000000003</c:v>
                </c:pt>
                <c:pt idx="3">
                  <c:v>2450.78748</c:v>
                </c:pt>
                <c:pt idx="4">
                  <c:v>5761.1550399999996</c:v>
                </c:pt>
                <c:pt idx="5">
                  <c:v>8566.2732400000004</c:v>
                </c:pt>
                <c:pt idx="6">
                  <c:v>6345.1445599999997</c:v>
                </c:pt>
                <c:pt idx="7">
                  <c:v>5305.1182799999997</c:v>
                </c:pt>
                <c:pt idx="8">
                  <c:v>4770.3413600000003</c:v>
                </c:pt>
                <c:pt idx="9">
                  <c:v>6122.0474400000003</c:v>
                </c:pt>
                <c:pt idx="10">
                  <c:v>8635.1708799999997</c:v>
                </c:pt>
                <c:pt idx="11">
                  <c:v>6719.16032</c:v>
                </c:pt>
                <c:pt idx="12">
                  <c:v>7303.14984</c:v>
                </c:pt>
                <c:pt idx="13">
                  <c:v>6420.6038799999997</c:v>
                </c:pt>
                <c:pt idx="14">
                  <c:v>3297.2442000000001</c:v>
                </c:pt>
                <c:pt idx="15">
                  <c:v>10134.51476</c:v>
                </c:pt>
                <c:pt idx="16">
                  <c:v>1624.0157999999999</c:v>
                </c:pt>
                <c:pt idx="17">
                  <c:v>4645.6694399999997</c:v>
                </c:pt>
                <c:pt idx="18">
                  <c:v>3143.0447199999999</c:v>
                </c:pt>
                <c:pt idx="19">
                  <c:v>2378.6089999999999</c:v>
                </c:pt>
                <c:pt idx="20">
                  <c:v>7673.8847599999999</c:v>
                </c:pt>
                <c:pt idx="21">
                  <c:v>8805.7745599999998</c:v>
                </c:pt>
                <c:pt idx="22">
                  <c:v>7575.4595600000002</c:v>
                </c:pt>
                <c:pt idx="23">
                  <c:v>3274.2783199999999</c:v>
                </c:pt>
                <c:pt idx="24">
                  <c:v>3759.8426399999998</c:v>
                </c:pt>
                <c:pt idx="25">
                  <c:v>3874.6720399999999</c:v>
                </c:pt>
                <c:pt idx="26">
                  <c:v>5065.6169600000003</c:v>
                </c:pt>
                <c:pt idx="27">
                  <c:v>3435.0394799999999</c:v>
                </c:pt>
                <c:pt idx="28">
                  <c:v>2224.4095200000002</c:v>
                </c:pt>
                <c:pt idx="29">
                  <c:v>6883.2023200000003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D-43A9-9CFF-61B1A87B0292}"/>
            </c:ext>
          </c:extLst>
        </c:ser>
        <c:ser>
          <c:idx val="1"/>
          <c:order val="1"/>
          <c:tx>
            <c:v>LF Elevation</c:v>
          </c:tx>
          <c:spPr>
            <a:solidFill>
              <a:srgbClr val="00B0F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Sheet1!$AP$2:$AP$31</c:f>
              <c:numCache>
                <c:formatCode>0</c:formatCode>
                <c:ptCount val="30"/>
                <c:pt idx="0">
                  <c:v>4543.3540000000003</c:v>
                </c:pt>
                <c:pt idx="1">
                  <c:v>5114.1436000000003</c:v>
                </c:pt>
                <c:pt idx="2">
                  <c:v>6094.9832000000006</c:v>
                </c:pt>
                <c:pt idx="3">
                  <c:v>2676.8064000000004</c:v>
                </c:pt>
                <c:pt idx="4">
                  <c:v>3952.8820000000001</c:v>
                </c:pt>
                <c:pt idx="5">
                  <c:v>8187.8784000000005</c:v>
                </c:pt>
                <c:pt idx="6">
                  <c:v>5281.4440000000004</c:v>
                </c:pt>
                <c:pt idx="7">
                  <c:v>6767.4652000000006</c:v>
                </c:pt>
                <c:pt idx="8">
                  <c:v>6541.1176000000005</c:v>
                </c:pt>
                <c:pt idx="9">
                  <c:v>2109.2972</c:v>
                </c:pt>
                <c:pt idx="10">
                  <c:v>7105.3464000000004</c:v>
                </c:pt>
                <c:pt idx="11">
                  <c:v>5803.0276000000003</c:v>
                </c:pt>
                <c:pt idx="12">
                  <c:v>7144.7112000000006</c:v>
                </c:pt>
                <c:pt idx="13">
                  <c:v>5990.0104000000001</c:v>
                </c:pt>
                <c:pt idx="14">
                  <c:v>1390.8896</c:v>
                </c:pt>
                <c:pt idx="15">
                  <c:v>8804.5936000000002</c:v>
                </c:pt>
                <c:pt idx="16">
                  <c:v>5123.9848000000002</c:v>
                </c:pt>
                <c:pt idx="17">
                  <c:v>3257.4372000000003</c:v>
                </c:pt>
                <c:pt idx="18">
                  <c:v>990.68080000000009</c:v>
                </c:pt>
                <c:pt idx="19">
                  <c:v>3670.7676000000001</c:v>
                </c:pt>
                <c:pt idx="20">
                  <c:v>7059.4208000000008</c:v>
                </c:pt>
                <c:pt idx="21">
                  <c:v>8834.1172000000006</c:v>
                </c:pt>
                <c:pt idx="22">
                  <c:v>7912.3248000000003</c:v>
                </c:pt>
                <c:pt idx="23">
                  <c:v>4011.9292</c:v>
                </c:pt>
                <c:pt idx="24">
                  <c:v>3480.5044000000003</c:v>
                </c:pt>
                <c:pt idx="25">
                  <c:v>4346.5300000000007</c:v>
                </c:pt>
                <c:pt idx="26">
                  <c:v>2801.4616000000001</c:v>
                </c:pt>
                <c:pt idx="27">
                  <c:v>4782.8232000000007</c:v>
                </c:pt>
                <c:pt idx="28">
                  <c:v>3372.2512000000002</c:v>
                </c:pt>
                <c:pt idx="29">
                  <c:v>4090.6588000000002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9D-43A9-9CFF-61B1A87B0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672591"/>
        <c:axId val="810220015"/>
      </c:barChart>
      <c:catAx>
        <c:axId val="766672591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220015"/>
        <c:crosses val="autoZero"/>
        <c:auto val="1"/>
        <c:lblAlgn val="ctr"/>
        <c:lblOffset val="100"/>
        <c:noMultiLvlLbl val="1"/>
      </c:catAx>
      <c:valAx>
        <c:axId val="8102200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67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375228</xdr:colOff>
      <xdr:row>41</xdr:row>
      <xdr:rowOff>92940</xdr:rowOff>
    </xdr:from>
    <xdr:to>
      <xdr:col>27</xdr:col>
      <xdr:colOff>520825</xdr:colOff>
      <xdr:row>79</xdr:row>
      <xdr:rowOff>101022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0F4D4-4C31-A05C-C5AE-CAD54B3B4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379551</xdr:colOff>
      <xdr:row>2</xdr:row>
      <xdr:rowOff>156157</xdr:rowOff>
    </xdr:from>
    <xdr:to>
      <xdr:col>54</xdr:col>
      <xdr:colOff>126376</xdr:colOff>
      <xdr:row>17</xdr:row>
      <xdr:rowOff>119384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342B9F-7904-21EF-A857-E8AE49930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64"/>
  <sheetViews>
    <sheetView showGridLines="0" tabSelected="1" zoomScale="66" workbookViewId="0">
      <pane xSplit="1" topLeftCell="V1" activePane="topRight" state="frozen"/>
      <selection pane="topRight" activeCell="AY22" sqref="AY22"/>
    </sheetView>
  </sheetViews>
  <sheetFormatPr defaultRowHeight="15" x14ac:dyDescent="0.25"/>
  <cols>
    <col min="1" max="1" width="8.85546875" bestFit="1" customWidth="1"/>
    <col min="2" max="2" width="20.5703125" customWidth="1"/>
    <col min="3" max="4" width="9" customWidth="1"/>
    <col min="6" max="6" width="14.140625" customWidth="1"/>
    <col min="7" max="9" width="9" customWidth="1"/>
    <col min="10" max="10" width="13" customWidth="1"/>
    <col min="11" max="11" width="12" customWidth="1"/>
    <col min="12" max="12" width="9" customWidth="1"/>
    <col min="13" max="13" width="9.140625" customWidth="1"/>
    <col min="14" max="14" width="9" customWidth="1"/>
    <col min="15" max="15" width="9.140625" customWidth="1"/>
    <col min="16" max="16" width="9.28515625" customWidth="1"/>
    <col min="17" max="17" width="12" customWidth="1"/>
    <col min="18" max="18" width="12.140625" customWidth="1"/>
    <col min="19" max="19" width="14.85546875" style="5" customWidth="1"/>
    <col min="20" max="20" width="14.85546875" style="3" customWidth="1"/>
    <col min="21" max="21" width="9.28515625" customWidth="1"/>
    <col min="22" max="26" width="9.140625" customWidth="1"/>
    <col min="27" max="27" width="10.42578125" customWidth="1"/>
    <col min="28" max="32" width="12.140625" customWidth="1"/>
    <col min="33" max="33" width="11.5703125" customWidth="1"/>
    <col min="34" max="34" width="13.5703125" style="5" customWidth="1"/>
    <col min="35" max="35" width="10.42578125" style="5" customWidth="1"/>
    <col min="36" max="36" width="6.7109375" style="8" customWidth="1"/>
    <col min="37" max="37" width="12.140625" customWidth="1"/>
    <col min="38" max="38" width="18.85546875" customWidth="1"/>
    <col min="39" max="39" width="18.5703125" customWidth="1"/>
    <col min="40" max="40" width="13.140625" hidden="1" customWidth="1"/>
    <col min="41" max="41" width="17.140625" hidden="1" customWidth="1"/>
    <col min="42" max="42" width="18" style="6" customWidth="1"/>
    <col min="43" max="43" width="15.140625" style="6" hidden="1" customWidth="1"/>
  </cols>
  <sheetData>
    <row r="1" spans="1:4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74</v>
      </c>
      <c r="T1" s="2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4" t="s">
        <v>81</v>
      </c>
      <c r="AI1" s="9" t="s">
        <v>82</v>
      </c>
      <c r="AJ1" s="7" t="s">
        <v>4</v>
      </c>
      <c r="AK1" s="1" t="s">
        <v>75</v>
      </c>
      <c r="AL1" s="1" t="s">
        <v>121</v>
      </c>
      <c r="AM1" s="1" t="s">
        <v>118</v>
      </c>
      <c r="AN1" s="33" t="s">
        <v>87</v>
      </c>
      <c r="AO1" s="1" t="s">
        <v>120</v>
      </c>
      <c r="AP1" s="34" t="s">
        <v>119</v>
      </c>
      <c r="AQ1" s="35" t="s">
        <v>87</v>
      </c>
    </row>
    <row r="2" spans="1:43" x14ac:dyDescent="0.25">
      <c r="A2">
        <v>1</v>
      </c>
      <c r="B2" t="s">
        <v>32</v>
      </c>
      <c r="C2">
        <v>41.64</v>
      </c>
      <c r="D2">
        <v>-121.76900000000001</v>
      </c>
      <c r="E2" t="s">
        <v>33</v>
      </c>
      <c r="F2" t="s">
        <v>34</v>
      </c>
      <c r="G2">
        <v>0</v>
      </c>
      <c r="H2">
        <v>145632</v>
      </c>
      <c r="I2">
        <v>1</v>
      </c>
      <c r="J2">
        <v>0</v>
      </c>
      <c r="K2">
        <v>0</v>
      </c>
      <c r="L2">
        <v>24573</v>
      </c>
      <c r="M2">
        <v>445568</v>
      </c>
      <c r="N2">
        <v>75341</v>
      </c>
      <c r="O2">
        <v>29800</v>
      </c>
      <c r="P2">
        <v>0</v>
      </c>
      <c r="Q2">
        <v>0</v>
      </c>
      <c r="R2">
        <v>0</v>
      </c>
      <c r="S2" s="5">
        <v>581.9517773</v>
      </c>
      <c r="T2" s="3">
        <v>84750801.228</v>
      </c>
      <c r="U2">
        <v>0.09</v>
      </c>
      <c r="V2">
        <v>1.24</v>
      </c>
      <c r="W2">
        <v>1.5</v>
      </c>
      <c r="X2">
        <v>0</v>
      </c>
      <c r="Y2">
        <v>0</v>
      </c>
      <c r="Z2" s="6">
        <v>5334.6458400000001</v>
      </c>
      <c r="AA2">
        <v>20210802</v>
      </c>
      <c r="AB2">
        <v>30.318505859375001</v>
      </c>
      <c r="AC2">
        <v>18.8324038895576</v>
      </c>
      <c r="AD2">
        <v>3.5079545122173701</v>
      </c>
      <c r="AE2">
        <v>2.3984251688448399</v>
      </c>
      <c r="AF2">
        <v>4.0169387194633899</v>
      </c>
      <c r="AG2">
        <v>20210801</v>
      </c>
      <c r="AH2" s="5">
        <v>273957.538037878</v>
      </c>
      <c r="AI2" s="5">
        <v>309791.18401323247</v>
      </c>
      <c r="AJ2" s="8" t="s">
        <v>33</v>
      </c>
      <c r="AK2">
        <v>297435.28153526422</v>
      </c>
      <c r="AL2">
        <v>3590</v>
      </c>
      <c r="AM2" s="6">
        <v>5334.6458400000001</v>
      </c>
      <c r="AN2" s="6">
        <f>AM2-AL2</f>
        <v>1744.6458400000001</v>
      </c>
      <c r="AO2">
        <v>5040</v>
      </c>
      <c r="AP2" s="6">
        <v>4543.3540000000003</v>
      </c>
      <c r="AQ2" s="6">
        <f>AP2-AO2</f>
        <v>-496.64599999999973</v>
      </c>
    </row>
    <row r="3" spans="1:43" x14ac:dyDescent="0.25">
      <c r="A3">
        <v>2</v>
      </c>
      <c r="B3" t="s">
        <v>35</v>
      </c>
      <c r="C3">
        <v>43.366</v>
      </c>
      <c r="D3">
        <v>-122.898</v>
      </c>
      <c r="E3" t="s">
        <v>36</v>
      </c>
      <c r="F3" t="s">
        <v>37</v>
      </c>
      <c r="G3">
        <v>43971</v>
      </c>
      <c r="H3">
        <v>131542</v>
      </c>
      <c r="I3">
        <v>1</v>
      </c>
      <c r="J3">
        <v>43971</v>
      </c>
      <c r="K3">
        <v>6.351195815785073</v>
      </c>
      <c r="L3">
        <v>476209</v>
      </c>
      <c r="M3">
        <v>24424</v>
      </c>
      <c r="N3">
        <v>0</v>
      </c>
      <c r="O3">
        <v>19900</v>
      </c>
      <c r="P3">
        <v>150000</v>
      </c>
      <c r="Q3">
        <v>171649.36799999999</v>
      </c>
      <c r="R3">
        <v>8.6255963819095491</v>
      </c>
      <c r="S3" s="5">
        <v>2300.1590350000001</v>
      </c>
      <c r="T3" s="3">
        <v>45773164.799999997</v>
      </c>
      <c r="U3">
        <v>0.05</v>
      </c>
      <c r="V3">
        <v>0</v>
      </c>
      <c r="W3">
        <v>0</v>
      </c>
      <c r="X3">
        <v>0</v>
      </c>
      <c r="Y3">
        <v>0</v>
      </c>
      <c r="Z3" s="6">
        <v>3405.5119199999999</v>
      </c>
      <c r="AA3">
        <v>20200829</v>
      </c>
      <c r="AB3">
        <v>30.650354003906301</v>
      </c>
      <c r="AC3">
        <v>26.908809456594799</v>
      </c>
      <c r="AD3">
        <v>3.2186910240029301</v>
      </c>
      <c r="AE3">
        <v>3.5343354903436701</v>
      </c>
      <c r="AF3">
        <v>9.7489850690256308</v>
      </c>
      <c r="AG3">
        <v>20200908</v>
      </c>
      <c r="AH3" s="5">
        <v>242382.33872153901</v>
      </c>
      <c r="AI3" s="5">
        <v>277358.11019905709</v>
      </c>
      <c r="AJ3" s="8" t="s">
        <v>36</v>
      </c>
      <c r="AK3">
        <v>130114.6513651165</v>
      </c>
      <c r="AL3">
        <v>3406</v>
      </c>
      <c r="AM3" s="6">
        <v>3405.5119199999999</v>
      </c>
      <c r="AN3" s="6">
        <f t="shared" ref="AN3:AN31" si="0">AM3-AL3</f>
        <v>-0.48808000000008178</v>
      </c>
      <c r="AO3">
        <v>3000</v>
      </c>
      <c r="AP3" s="6">
        <v>5114.1436000000003</v>
      </c>
      <c r="AQ3" s="6">
        <f t="shared" ref="AQ3:AQ31" si="1">AP3-AO3</f>
        <v>2114.1436000000003</v>
      </c>
    </row>
    <row r="4" spans="1:43" x14ac:dyDescent="0.25">
      <c r="A4">
        <v>3</v>
      </c>
      <c r="B4" t="s">
        <v>38</v>
      </c>
      <c r="C4">
        <v>42.243000000000002</v>
      </c>
      <c r="D4">
        <v>-114.17</v>
      </c>
      <c r="E4" t="s">
        <v>39</v>
      </c>
      <c r="F4" t="s">
        <v>40</v>
      </c>
      <c r="G4">
        <v>2</v>
      </c>
      <c r="H4">
        <v>90143</v>
      </c>
      <c r="I4">
        <v>1</v>
      </c>
      <c r="J4">
        <v>2</v>
      </c>
      <c r="K4">
        <v>6.2123514859722885E-4</v>
      </c>
      <c r="L4">
        <v>3304</v>
      </c>
      <c r="M4">
        <v>46951</v>
      </c>
      <c r="N4">
        <v>39516</v>
      </c>
      <c r="O4">
        <v>197231</v>
      </c>
      <c r="P4">
        <v>0</v>
      </c>
      <c r="Q4">
        <v>0</v>
      </c>
      <c r="R4">
        <v>0</v>
      </c>
      <c r="S4" s="5">
        <v>200.5746436</v>
      </c>
      <c r="T4" s="3">
        <v>18080400.096000001</v>
      </c>
      <c r="U4">
        <v>0.1</v>
      </c>
      <c r="V4">
        <v>0</v>
      </c>
      <c r="W4">
        <v>1.1100000000000001</v>
      </c>
      <c r="X4">
        <v>0</v>
      </c>
      <c r="Y4">
        <v>0</v>
      </c>
      <c r="Z4" s="6">
        <v>7103.0186000000003</v>
      </c>
      <c r="AA4">
        <v>20200903</v>
      </c>
      <c r="AB4">
        <v>26.752099609375001</v>
      </c>
      <c r="AC4">
        <v>10.888001504533401</v>
      </c>
      <c r="AD4">
        <v>3.1326554795247001</v>
      </c>
      <c r="AE4">
        <v>4.4501437804088999</v>
      </c>
      <c r="AF4">
        <v>8.7400219483374109</v>
      </c>
      <c r="AG4">
        <v>20200912</v>
      </c>
      <c r="AH4" s="5">
        <v>212868.047986727</v>
      </c>
      <c r="AI4" s="5">
        <v>243584.90731121172</v>
      </c>
      <c r="AJ4" s="8" t="s">
        <v>39</v>
      </c>
      <c r="AK4">
        <v>232799.84</v>
      </c>
      <c r="AL4">
        <v>7574</v>
      </c>
      <c r="AM4" s="6">
        <v>7103.0186000000003</v>
      </c>
      <c r="AN4" s="6">
        <f t="shared" si="0"/>
        <v>-470.98139999999967</v>
      </c>
      <c r="AO4">
        <v>5020</v>
      </c>
      <c r="AP4" s="6">
        <v>6094.9832000000006</v>
      </c>
      <c r="AQ4" s="6">
        <f t="shared" si="1"/>
        <v>1074.9832000000006</v>
      </c>
    </row>
    <row r="5" spans="1:43" x14ac:dyDescent="0.25">
      <c r="A5">
        <v>4</v>
      </c>
      <c r="B5" t="s">
        <v>41</v>
      </c>
      <c r="C5">
        <v>44.859000000000002</v>
      </c>
      <c r="D5">
        <v>-122.379</v>
      </c>
      <c r="E5" t="s">
        <v>36</v>
      </c>
      <c r="F5" t="s">
        <v>34</v>
      </c>
      <c r="G5">
        <v>10</v>
      </c>
      <c r="H5">
        <v>193573</v>
      </c>
      <c r="I5">
        <v>1</v>
      </c>
      <c r="J5">
        <v>0</v>
      </c>
      <c r="K5">
        <v>0</v>
      </c>
      <c r="L5">
        <v>663449</v>
      </c>
      <c r="M5">
        <v>18630</v>
      </c>
      <c r="N5">
        <v>0</v>
      </c>
      <c r="O5">
        <v>15964</v>
      </c>
      <c r="P5">
        <v>0</v>
      </c>
      <c r="Q5">
        <v>0</v>
      </c>
      <c r="R5">
        <v>0</v>
      </c>
      <c r="S5" s="5">
        <v>176.3938886</v>
      </c>
      <c r="T5" s="3">
        <v>34145094.199677117</v>
      </c>
      <c r="U5">
        <v>0.15759999999999999</v>
      </c>
      <c r="V5">
        <v>0</v>
      </c>
      <c r="W5">
        <v>0</v>
      </c>
      <c r="X5">
        <v>0</v>
      </c>
      <c r="Y5">
        <v>0</v>
      </c>
      <c r="Z5" s="6">
        <v>2450.78748</v>
      </c>
      <c r="AB5">
        <v>35.977380371093702</v>
      </c>
      <c r="AC5">
        <v>15.7668345823437</v>
      </c>
      <c r="AD5">
        <v>4.9976700293319096</v>
      </c>
      <c r="AE5">
        <v>2.1518326651120399</v>
      </c>
      <c r="AF5">
        <v>11.812298666576501</v>
      </c>
      <c r="AG5">
        <v>20200816</v>
      </c>
      <c r="AH5" s="5">
        <v>331133.89612995298</v>
      </c>
      <c r="AI5" s="5">
        <v>378916.51734150521</v>
      </c>
      <c r="AJ5" s="8" t="s">
        <v>36</v>
      </c>
      <c r="AK5">
        <v>201201.0602276467</v>
      </c>
      <c r="AL5">
        <v>5160</v>
      </c>
      <c r="AM5" s="6">
        <v>2450.78748</v>
      </c>
      <c r="AN5" s="6">
        <f t="shared" si="0"/>
        <v>-2709.21252</v>
      </c>
      <c r="AO5">
        <v>4492</v>
      </c>
      <c r="AP5" s="6">
        <v>2676.8064000000004</v>
      </c>
      <c r="AQ5" s="6">
        <f t="shared" si="1"/>
        <v>-1815.1935999999996</v>
      </c>
    </row>
    <row r="6" spans="1:43" x14ac:dyDescent="0.25">
      <c r="A6">
        <v>5</v>
      </c>
      <c r="B6" t="s">
        <v>42</v>
      </c>
      <c r="C6">
        <v>32.442999999999998</v>
      </c>
      <c r="D6">
        <v>-110.727</v>
      </c>
      <c r="E6" t="s">
        <v>43</v>
      </c>
      <c r="F6" t="s">
        <v>34</v>
      </c>
      <c r="G6">
        <v>1708</v>
      </c>
      <c r="H6">
        <v>119589</v>
      </c>
      <c r="I6">
        <v>1</v>
      </c>
      <c r="J6">
        <v>1708</v>
      </c>
      <c r="K6">
        <v>0.52844325146961679</v>
      </c>
      <c r="L6">
        <v>14230</v>
      </c>
      <c r="M6">
        <v>293147</v>
      </c>
      <c r="N6">
        <v>79396</v>
      </c>
      <c r="O6">
        <v>154721</v>
      </c>
      <c r="P6">
        <v>1000000</v>
      </c>
      <c r="Q6">
        <v>1144329.1200000001</v>
      </c>
      <c r="R6">
        <v>7.3960814627620044</v>
      </c>
      <c r="S6" s="5">
        <v>326.49571170000002</v>
      </c>
      <c r="T6" s="3">
        <v>50515743.002852157</v>
      </c>
      <c r="U6">
        <v>0.06</v>
      </c>
      <c r="V6">
        <v>0</v>
      </c>
      <c r="W6">
        <v>0.83</v>
      </c>
      <c r="X6">
        <v>0</v>
      </c>
      <c r="Y6">
        <v>0</v>
      </c>
      <c r="Z6" s="6">
        <v>5761.1550399999996</v>
      </c>
      <c r="AA6">
        <v>20200501</v>
      </c>
      <c r="AB6">
        <v>29.939050292968801</v>
      </c>
      <c r="AC6">
        <v>13.492975601901099</v>
      </c>
      <c r="AD6">
        <v>3.6587592318955302</v>
      </c>
      <c r="AE6">
        <v>3.7663687633309801</v>
      </c>
      <c r="AF6">
        <v>8.0384186332129008</v>
      </c>
      <c r="AG6">
        <v>20200607</v>
      </c>
      <c r="AH6" s="5">
        <v>240731.26419698299</v>
      </c>
      <c r="AI6" s="5">
        <v>275468.78562060767</v>
      </c>
      <c r="AJ6" s="8" t="s">
        <v>43</v>
      </c>
      <c r="AK6">
        <v>244405.84387669351</v>
      </c>
      <c r="AL6">
        <v>7554</v>
      </c>
      <c r="AM6" s="6">
        <v>5761.1550399999996</v>
      </c>
      <c r="AN6" s="6">
        <f t="shared" si="0"/>
        <v>-1792.8449600000004</v>
      </c>
      <c r="AO6">
        <v>8686</v>
      </c>
      <c r="AP6" s="6">
        <v>3952.8820000000001</v>
      </c>
      <c r="AQ6" s="6">
        <f t="shared" si="1"/>
        <v>-4733.1180000000004</v>
      </c>
    </row>
    <row r="7" spans="1:43" x14ac:dyDescent="0.25">
      <c r="A7">
        <v>6</v>
      </c>
      <c r="B7" t="s">
        <v>44</v>
      </c>
      <c r="C7">
        <v>33.192999999999998</v>
      </c>
      <c r="D7">
        <v>-107.843</v>
      </c>
      <c r="E7" t="s">
        <v>45</v>
      </c>
      <c r="F7" t="s">
        <v>37</v>
      </c>
      <c r="G7">
        <v>1041</v>
      </c>
      <c r="H7">
        <v>325136</v>
      </c>
      <c r="I7">
        <v>1</v>
      </c>
      <c r="J7">
        <v>1041</v>
      </c>
      <c r="K7">
        <v>7.7613404489999996E-2</v>
      </c>
      <c r="L7">
        <v>78192</v>
      </c>
      <c r="M7">
        <v>1157033</v>
      </c>
      <c r="N7">
        <v>23691</v>
      </c>
      <c r="O7">
        <v>93261</v>
      </c>
      <c r="P7">
        <v>100000</v>
      </c>
      <c r="Q7">
        <v>100000</v>
      </c>
      <c r="R7">
        <v>87.183958151700082</v>
      </c>
      <c r="S7" s="5">
        <v>183.30422039999999</v>
      </c>
      <c r="T7" s="3">
        <v>59598801</v>
      </c>
      <c r="U7">
        <v>0.08</v>
      </c>
      <c r="V7">
        <v>0</v>
      </c>
      <c r="W7">
        <v>0.86</v>
      </c>
      <c r="X7">
        <v>0</v>
      </c>
      <c r="Y7">
        <v>0</v>
      </c>
      <c r="Z7" s="6">
        <v>8566.2732400000004</v>
      </c>
      <c r="AA7">
        <v>20220513</v>
      </c>
      <c r="AB7">
        <v>23.811242675781301</v>
      </c>
      <c r="AC7">
        <v>2.4593165593083999</v>
      </c>
      <c r="AD7">
        <v>2.8787834229192102</v>
      </c>
      <c r="AE7">
        <v>4.9915668300583498</v>
      </c>
      <c r="AF7">
        <v>8.5197233695094194</v>
      </c>
      <c r="AG7">
        <v>20220513</v>
      </c>
      <c r="AH7" s="5">
        <v>169613.82930303301</v>
      </c>
      <c r="AI7" s="5">
        <v>169613.82930303301</v>
      </c>
      <c r="AJ7" s="8" t="s">
        <v>45</v>
      </c>
      <c r="AK7">
        <v>169613.82930303301</v>
      </c>
      <c r="AL7">
        <v>8748</v>
      </c>
      <c r="AM7" s="6">
        <v>8566.2732400000004</v>
      </c>
      <c r="AN7" s="6">
        <f t="shared" si="0"/>
        <v>-181.72675999999956</v>
      </c>
      <c r="AO7">
        <v>8748</v>
      </c>
      <c r="AP7" s="6">
        <v>8187.8784000000005</v>
      </c>
      <c r="AQ7" s="6">
        <f t="shared" si="1"/>
        <v>-560.12159999999949</v>
      </c>
    </row>
    <row r="8" spans="1:43" x14ac:dyDescent="0.25">
      <c r="A8">
        <v>7</v>
      </c>
      <c r="B8" t="s">
        <v>46</v>
      </c>
      <c r="C8">
        <v>34.325000000000003</v>
      </c>
      <c r="D8">
        <v>-117.93600000000001</v>
      </c>
      <c r="E8" t="s">
        <v>33</v>
      </c>
      <c r="F8" t="s">
        <v>40</v>
      </c>
      <c r="G8">
        <v>3256</v>
      </c>
      <c r="H8">
        <v>115796</v>
      </c>
      <c r="I8">
        <v>1</v>
      </c>
      <c r="J8">
        <v>3256</v>
      </c>
      <c r="K8">
        <v>1.5183944177691799</v>
      </c>
      <c r="L8">
        <v>0</v>
      </c>
      <c r="M8">
        <v>157488</v>
      </c>
      <c r="N8">
        <v>220211</v>
      </c>
      <c r="O8">
        <v>44755</v>
      </c>
      <c r="P8">
        <v>100000</v>
      </c>
      <c r="Q8">
        <v>114432.912</v>
      </c>
      <c r="R8">
        <v>35.14524324324325</v>
      </c>
      <c r="S8" s="5">
        <v>988.22853980000002</v>
      </c>
      <c r="T8" s="3">
        <v>114432912</v>
      </c>
      <c r="U8">
        <v>0.08</v>
      </c>
      <c r="V8">
        <v>0</v>
      </c>
      <c r="W8">
        <v>0</v>
      </c>
      <c r="X8">
        <v>0.69</v>
      </c>
      <c r="Y8">
        <v>0</v>
      </c>
      <c r="Z8" s="6">
        <v>6345.1445599999997</v>
      </c>
      <c r="AA8">
        <v>20200830</v>
      </c>
      <c r="AB8">
        <v>40.687280273437501</v>
      </c>
      <c r="AC8">
        <v>9.3452079540476003</v>
      </c>
      <c r="AD8">
        <v>6.9347346516612998</v>
      </c>
      <c r="AE8">
        <v>2.3546082340677401</v>
      </c>
      <c r="AF8">
        <v>4.9951629566890601</v>
      </c>
      <c r="AG8">
        <v>20200906</v>
      </c>
      <c r="AH8" s="5">
        <v>669503.674823198</v>
      </c>
      <c r="AI8" s="5">
        <v>766113.05510018556</v>
      </c>
      <c r="AJ8" s="8" t="s">
        <v>33</v>
      </c>
      <c r="AK8">
        <v>367115.77849988622</v>
      </c>
      <c r="AL8">
        <v>4481</v>
      </c>
      <c r="AM8" s="6">
        <v>6345.1445599999997</v>
      </c>
      <c r="AN8" s="6">
        <f t="shared" si="0"/>
        <v>1864.1445599999997</v>
      </c>
      <c r="AO8">
        <v>7340</v>
      </c>
      <c r="AP8" s="6">
        <v>5281.4440000000004</v>
      </c>
      <c r="AQ8" s="6">
        <f t="shared" si="1"/>
        <v>-2058.5559999999996</v>
      </c>
    </row>
    <row r="9" spans="1:43" x14ac:dyDescent="0.25">
      <c r="A9">
        <v>8</v>
      </c>
      <c r="B9" t="s">
        <v>47</v>
      </c>
      <c r="C9">
        <v>42.656999999999996</v>
      </c>
      <c r="D9">
        <v>-121.07899999999999</v>
      </c>
      <c r="E9" t="s">
        <v>36</v>
      </c>
      <c r="F9" t="s">
        <v>34</v>
      </c>
      <c r="G9">
        <v>7185</v>
      </c>
      <c r="H9">
        <v>412157</v>
      </c>
      <c r="I9">
        <v>1</v>
      </c>
      <c r="J9">
        <v>7185</v>
      </c>
      <c r="K9">
        <v>0.6973070941413102</v>
      </c>
      <c r="L9">
        <v>31977</v>
      </c>
      <c r="M9">
        <v>1303216</v>
      </c>
      <c r="N9">
        <v>41631</v>
      </c>
      <c r="O9">
        <v>257528</v>
      </c>
      <c r="P9">
        <v>0</v>
      </c>
      <c r="Q9">
        <v>0</v>
      </c>
      <c r="R9">
        <v>0</v>
      </c>
      <c r="S9" s="5">
        <v>276.82092990000001</v>
      </c>
      <c r="T9" s="3">
        <v>114093684</v>
      </c>
      <c r="U9">
        <v>7.0000000000000007E-2</v>
      </c>
      <c r="V9">
        <v>0</v>
      </c>
      <c r="W9">
        <v>0</v>
      </c>
      <c r="X9">
        <v>0</v>
      </c>
      <c r="Y9">
        <v>0</v>
      </c>
      <c r="Z9" s="6">
        <v>5305.1182799999997</v>
      </c>
      <c r="AA9">
        <v>20210701</v>
      </c>
      <c r="AB9">
        <v>32.499597167968801</v>
      </c>
      <c r="AC9">
        <v>12.9583487104324</v>
      </c>
      <c r="AD9">
        <v>4.2576278049925298</v>
      </c>
      <c r="AE9">
        <v>2.4234744744005901</v>
      </c>
      <c r="AF9">
        <v>5.1509222394411598</v>
      </c>
      <c r="AG9">
        <v>20210725</v>
      </c>
      <c r="AH9" s="5">
        <v>247701.46467762801</v>
      </c>
      <c r="AI9" s="5">
        <v>280100.81625746179</v>
      </c>
      <c r="AJ9" s="8" t="s">
        <v>36</v>
      </c>
      <c r="AK9">
        <v>130880.1617764493</v>
      </c>
      <c r="AL9">
        <v>4492</v>
      </c>
      <c r="AM9" s="6">
        <v>5305.1182799999997</v>
      </c>
      <c r="AN9" s="6">
        <f t="shared" si="0"/>
        <v>813.11827999999969</v>
      </c>
      <c r="AO9">
        <v>3000</v>
      </c>
      <c r="AP9" s="6">
        <v>6767.4652000000006</v>
      </c>
      <c r="AQ9" s="6">
        <f t="shared" si="1"/>
        <v>3767.4652000000006</v>
      </c>
    </row>
    <row r="10" spans="1:43" x14ac:dyDescent="0.25">
      <c r="A10">
        <v>9</v>
      </c>
      <c r="B10" t="s">
        <v>48</v>
      </c>
      <c r="C10">
        <v>33.811</v>
      </c>
      <c r="D10">
        <v>-111.364</v>
      </c>
      <c r="E10" t="s">
        <v>43</v>
      </c>
      <c r="F10" t="s">
        <v>37</v>
      </c>
      <c r="G10">
        <v>13612</v>
      </c>
      <c r="H10">
        <v>193455</v>
      </c>
      <c r="I10">
        <v>1</v>
      </c>
      <c r="J10">
        <v>13612</v>
      </c>
      <c r="K10">
        <v>1.125801866</v>
      </c>
      <c r="L10">
        <v>11</v>
      </c>
      <c r="M10">
        <v>471955</v>
      </c>
      <c r="N10">
        <v>62951</v>
      </c>
      <c r="O10">
        <v>362579</v>
      </c>
      <c r="P10">
        <v>1000000</v>
      </c>
      <c r="Q10">
        <v>1144329.1200000001</v>
      </c>
      <c r="R10">
        <v>84.067669703203066</v>
      </c>
      <c r="S10" s="5">
        <v>68.868755629999995</v>
      </c>
      <c r="T10" s="3">
        <v>13323005.11970208</v>
      </c>
      <c r="U10">
        <v>0.08</v>
      </c>
      <c r="V10">
        <v>0.82</v>
      </c>
      <c r="W10">
        <v>0</v>
      </c>
      <c r="X10">
        <v>0</v>
      </c>
      <c r="Y10">
        <v>0</v>
      </c>
      <c r="Z10" s="6">
        <v>4770.3413600000003</v>
      </c>
      <c r="AA10">
        <v>20200616</v>
      </c>
      <c r="AB10">
        <v>35.850854492187501</v>
      </c>
      <c r="AC10">
        <v>11.3651150875617</v>
      </c>
      <c r="AD10">
        <v>5.2231586905078498</v>
      </c>
      <c r="AE10">
        <v>4.0902138076526402</v>
      </c>
      <c r="AF10">
        <v>10.4449182290653</v>
      </c>
      <c r="AG10">
        <v>20200613</v>
      </c>
      <c r="AH10" s="5">
        <v>324003.55085106398</v>
      </c>
      <c r="AI10" s="5">
        <v>370757.26323887252</v>
      </c>
      <c r="AJ10" s="8" t="s">
        <v>43</v>
      </c>
      <c r="AK10">
        <v>247718.52497034409</v>
      </c>
      <c r="AL10">
        <v>7260</v>
      </c>
      <c r="AM10" s="6">
        <v>4770.3413600000003</v>
      </c>
      <c r="AN10" s="6">
        <f t="shared" si="0"/>
        <v>-2489.6586399999997</v>
      </c>
      <c r="AO10">
        <v>8200</v>
      </c>
      <c r="AP10" s="6">
        <v>6541.1176000000005</v>
      </c>
      <c r="AQ10" s="6">
        <f t="shared" si="1"/>
        <v>-1658.8823999999995</v>
      </c>
    </row>
    <row r="11" spans="1:43" x14ac:dyDescent="0.25">
      <c r="A11">
        <v>10</v>
      </c>
      <c r="B11" t="s">
        <v>49</v>
      </c>
      <c r="C11">
        <v>38.723999999999997</v>
      </c>
      <c r="D11">
        <v>-120.29</v>
      </c>
      <c r="E11" t="s">
        <v>33</v>
      </c>
      <c r="F11" t="s">
        <v>37</v>
      </c>
      <c r="G11">
        <v>400</v>
      </c>
      <c r="H11">
        <v>219267</v>
      </c>
      <c r="I11">
        <v>1</v>
      </c>
      <c r="J11">
        <v>400</v>
      </c>
      <c r="K11">
        <v>0.1241436597733465</v>
      </c>
      <c r="L11">
        <v>575527</v>
      </c>
      <c r="M11">
        <v>312629</v>
      </c>
      <c r="N11">
        <v>59332</v>
      </c>
      <c r="O11">
        <v>6103</v>
      </c>
      <c r="P11">
        <v>150000</v>
      </c>
      <c r="Q11">
        <v>169614</v>
      </c>
      <c r="R11">
        <v>424.03500000000003</v>
      </c>
      <c r="S11" s="5">
        <v>1399.367236</v>
      </c>
      <c r="T11" s="3">
        <v>306602760.66912001</v>
      </c>
      <c r="U11">
        <v>0.08</v>
      </c>
      <c r="V11">
        <v>0.7</v>
      </c>
      <c r="W11">
        <v>0</v>
      </c>
      <c r="X11">
        <v>0</v>
      </c>
      <c r="Y11">
        <v>0</v>
      </c>
      <c r="Z11" s="6">
        <v>6122.0474400000003</v>
      </c>
      <c r="AA11">
        <v>20210816</v>
      </c>
      <c r="AB11">
        <v>27.365014648437501</v>
      </c>
      <c r="AC11">
        <v>27.747048062281099</v>
      </c>
      <c r="AD11">
        <v>2.6322039581439198</v>
      </c>
      <c r="AE11">
        <v>2.9517694596986699</v>
      </c>
      <c r="AF11">
        <v>3.5383222652647301</v>
      </c>
      <c r="AG11">
        <v>20210815</v>
      </c>
      <c r="AH11" s="5">
        <v>644146.91922296095</v>
      </c>
      <c r="AI11" s="5">
        <v>728401.3362573242</v>
      </c>
      <c r="AJ11" s="8" t="s">
        <v>33</v>
      </c>
      <c r="AK11">
        <v>320326.7550909663</v>
      </c>
      <c r="AL11">
        <v>7100</v>
      </c>
      <c r="AM11" s="6">
        <v>6122.0474400000003</v>
      </c>
      <c r="AN11" s="6">
        <f t="shared" si="0"/>
        <v>-977.95255999999972</v>
      </c>
      <c r="AO11">
        <v>4942</v>
      </c>
      <c r="AP11" s="6">
        <v>2109.2972</v>
      </c>
      <c r="AQ11" s="6">
        <f t="shared" si="1"/>
        <v>-2832.7028</v>
      </c>
    </row>
    <row r="12" spans="1:43" x14ac:dyDescent="0.25">
      <c r="A12">
        <v>11</v>
      </c>
      <c r="B12" t="s">
        <v>50</v>
      </c>
      <c r="C12">
        <v>40.619999999999997</v>
      </c>
      <c r="D12">
        <v>-105.551</v>
      </c>
      <c r="E12" t="s">
        <v>51</v>
      </c>
      <c r="F12" t="s">
        <v>40</v>
      </c>
      <c r="G12">
        <v>1457</v>
      </c>
      <c r="H12">
        <v>208663</v>
      </c>
      <c r="I12">
        <v>1</v>
      </c>
      <c r="J12">
        <v>1457</v>
      </c>
      <c r="K12">
        <v>0.79601079252191331</v>
      </c>
      <c r="L12">
        <v>667808</v>
      </c>
      <c r="M12">
        <v>139946</v>
      </c>
      <c r="N12">
        <v>148</v>
      </c>
      <c r="O12">
        <v>36372</v>
      </c>
      <c r="P12">
        <v>50000</v>
      </c>
      <c r="Q12">
        <v>57216.456000000013</v>
      </c>
      <c r="R12">
        <v>39.270045298558678</v>
      </c>
      <c r="S12" s="5">
        <v>731.03076109999995</v>
      </c>
      <c r="T12" s="3">
        <v>152539071.69600001</v>
      </c>
      <c r="U12">
        <v>0.08</v>
      </c>
      <c r="V12">
        <v>0</v>
      </c>
      <c r="W12">
        <v>0.99</v>
      </c>
      <c r="X12">
        <v>0</v>
      </c>
      <c r="Y12">
        <v>1.02</v>
      </c>
      <c r="Z12" s="6">
        <v>8635.1708799999997</v>
      </c>
      <c r="AA12">
        <v>20200804</v>
      </c>
      <c r="AB12">
        <v>22.063745117187501</v>
      </c>
      <c r="AC12">
        <v>26.6444205023775</v>
      </c>
      <c r="AD12">
        <v>1.94821270103233</v>
      </c>
      <c r="AE12">
        <v>1.1607168944994</v>
      </c>
      <c r="AF12">
        <v>6.1082765293573003</v>
      </c>
      <c r="AG12">
        <v>20200813</v>
      </c>
      <c r="AH12" s="5">
        <v>422281.52031957201</v>
      </c>
      <c r="AI12" s="5">
        <v>483216.74370168627</v>
      </c>
      <c r="AJ12" s="8" t="s">
        <v>51</v>
      </c>
      <c r="AK12">
        <v>318741.45193215553</v>
      </c>
      <c r="AL12">
        <v>8520</v>
      </c>
      <c r="AM12" s="6">
        <v>8635.1708799999997</v>
      </c>
      <c r="AN12" s="6">
        <f t="shared" si="0"/>
        <v>115.17087999999967</v>
      </c>
      <c r="AO12">
        <v>8216</v>
      </c>
      <c r="AP12" s="6">
        <v>7105.3464000000004</v>
      </c>
      <c r="AQ12" s="6">
        <f t="shared" si="1"/>
        <v>-1110.6535999999996</v>
      </c>
    </row>
    <row r="13" spans="1:43" x14ac:dyDescent="0.25">
      <c r="A13">
        <v>12</v>
      </c>
      <c r="B13" t="s">
        <v>52</v>
      </c>
      <c r="C13">
        <v>42.402000000000001</v>
      </c>
      <c r="D13">
        <v>-120.49</v>
      </c>
      <c r="E13" t="s">
        <v>36</v>
      </c>
      <c r="F13" t="s">
        <v>34</v>
      </c>
      <c r="G13">
        <v>1300</v>
      </c>
      <c r="H13">
        <v>91810</v>
      </c>
      <c r="I13">
        <v>1</v>
      </c>
      <c r="J13">
        <v>1300</v>
      </c>
      <c r="K13">
        <v>0.39647097266093018</v>
      </c>
      <c r="L13">
        <v>2599</v>
      </c>
      <c r="M13">
        <v>330210</v>
      </c>
      <c r="N13">
        <v>14366</v>
      </c>
      <c r="O13">
        <v>55220</v>
      </c>
      <c r="P13">
        <v>300000</v>
      </c>
      <c r="Q13">
        <v>339228</v>
      </c>
      <c r="R13">
        <v>260.94461538461542</v>
      </c>
      <c r="S13" s="5">
        <v>320.22394070000001</v>
      </c>
      <c r="T13" s="3">
        <v>29399760</v>
      </c>
      <c r="U13">
        <v>0.09</v>
      </c>
      <c r="V13">
        <v>0</v>
      </c>
      <c r="W13">
        <v>0</v>
      </c>
      <c r="X13">
        <v>0</v>
      </c>
      <c r="Y13">
        <v>0.72</v>
      </c>
      <c r="Z13" s="6">
        <v>6719.16032</v>
      </c>
      <c r="AA13">
        <v>20210801</v>
      </c>
      <c r="AB13">
        <v>31.050683593750001</v>
      </c>
      <c r="AC13">
        <v>8.4861213511339209</v>
      </c>
      <c r="AD13">
        <v>4.1244660475661998</v>
      </c>
      <c r="AE13">
        <v>2.34882715302478</v>
      </c>
      <c r="AF13">
        <v>4.5909068224318199</v>
      </c>
      <c r="AG13">
        <v>20210907</v>
      </c>
      <c r="AH13" s="5">
        <v>174843.22861728599</v>
      </c>
      <c r="AI13" s="5">
        <v>197712.72292042701</v>
      </c>
      <c r="AJ13" s="8" t="s">
        <v>36</v>
      </c>
      <c r="AK13">
        <v>188594.12917409351</v>
      </c>
      <c r="AL13">
        <v>4928</v>
      </c>
      <c r="AM13" s="6">
        <v>6719.16032</v>
      </c>
      <c r="AN13" s="6">
        <f t="shared" si="0"/>
        <v>1791.16032</v>
      </c>
      <c r="AO13">
        <v>4492</v>
      </c>
      <c r="AP13" s="6">
        <v>5803.0276000000003</v>
      </c>
      <c r="AQ13" s="6">
        <f t="shared" si="1"/>
        <v>1311.0276000000003</v>
      </c>
    </row>
    <row r="14" spans="1:43" x14ac:dyDescent="0.25">
      <c r="A14">
        <v>13</v>
      </c>
      <c r="B14" t="s">
        <v>53</v>
      </c>
      <c r="C14">
        <v>37.317</v>
      </c>
      <c r="D14">
        <v>-119.214</v>
      </c>
      <c r="E14" t="s">
        <v>33</v>
      </c>
      <c r="F14" t="s">
        <v>40</v>
      </c>
      <c r="G14">
        <v>0</v>
      </c>
      <c r="H14">
        <v>379895</v>
      </c>
      <c r="I14">
        <v>1</v>
      </c>
      <c r="J14">
        <v>0</v>
      </c>
      <c r="K14">
        <v>0</v>
      </c>
      <c r="L14">
        <v>533489</v>
      </c>
      <c r="M14">
        <v>457214</v>
      </c>
      <c r="N14">
        <v>339178</v>
      </c>
      <c r="O14">
        <v>38593</v>
      </c>
      <c r="P14">
        <v>3000000</v>
      </c>
      <c r="Q14">
        <v>3432987.36</v>
      </c>
      <c r="R14">
        <v>76.254717014660159</v>
      </c>
      <c r="S14" s="5">
        <v>581.359376</v>
      </c>
      <c r="T14" s="3">
        <v>220855520.16</v>
      </c>
      <c r="U14">
        <v>7.0000000000000007E-2</v>
      </c>
      <c r="V14">
        <v>1.06</v>
      </c>
      <c r="W14">
        <v>0</v>
      </c>
      <c r="X14">
        <v>0</v>
      </c>
      <c r="Y14">
        <v>0</v>
      </c>
      <c r="Z14" s="6">
        <v>7303.14984</v>
      </c>
      <c r="AA14">
        <v>20200831</v>
      </c>
      <c r="AB14">
        <v>28.132958984375001</v>
      </c>
      <c r="AC14">
        <v>26.375777258187298</v>
      </c>
      <c r="AD14">
        <v>2.8049610496651498</v>
      </c>
      <c r="AE14">
        <v>2.2630866993940399</v>
      </c>
      <c r="AF14">
        <v>1.8392305597556999</v>
      </c>
      <c r="AG14">
        <v>20200904</v>
      </c>
      <c r="AH14" s="5">
        <v>286994.32546822098</v>
      </c>
      <c r="AI14" s="5">
        <v>328407.60663328529</v>
      </c>
      <c r="AJ14" s="8" t="s">
        <v>33</v>
      </c>
      <c r="AK14">
        <v>434750.07275881938</v>
      </c>
      <c r="AL14">
        <v>6983</v>
      </c>
      <c r="AM14" s="6">
        <v>7303.14984</v>
      </c>
      <c r="AN14" s="6">
        <f t="shared" si="0"/>
        <v>320.14984000000004</v>
      </c>
      <c r="AO14">
        <v>4942</v>
      </c>
      <c r="AP14" s="6">
        <v>7144.7112000000006</v>
      </c>
      <c r="AQ14" s="6">
        <f t="shared" si="1"/>
        <v>2202.7112000000006</v>
      </c>
    </row>
    <row r="15" spans="1:43" x14ac:dyDescent="0.25">
      <c r="A15">
        <v>14</v>
      </c>
      <c r="B15" t="s">
        <v>54</v>
      </c>
      <c r="C15">
        <v>40.323</v>
      </c>
      <c r="D15">
        <v>-120.86499999999999</v>
      </c>
      <c r="E15" t="s">
        <v>33</v>
      </c>
      <c r="F15" t="s">
        <v>37</v>
      </c>
      <c r="G15">
        <v>0</v>
      </c>
      <c r="H15">
        <v>963309</v>
      </c>
      <c r="I15">
        <v>1</v>
      </c>
      <c r="J15">
        <v>0</v>
      </c>
      <c r="K15">
        <v>0</v>
      </c>
      <c r="L15">
        <v>918494</v>
      </c>
      <c r="M15">
        <v>2468957</v>
      </c>
      <c r="N15">
        <v>367812</v>
      </c>
      <c r="O15">
        <v>213773</v>
      </c>
      <c r="P15">
        <v>0</v>
      </c>
      <c r="Q15">
        <v>0</v>
      </c>
      <c r="R15">
        <v>0</v>
      </c>
      <c r="S15" s="5">
        <v>748.2316988</v>
      </c>
      <c r="T15" s="3">
        <v>720778329.52416003</v>
      </c>
      <c r="U15">
        <v>6.8733000000000002E-2</v>
      </c>
      <c r="V15">
        <v>1.08</v>
      </c>
      <c r="W15">
        <v>0</v>
      </c>
      <c r="X15">
        <v>0</v>
      </c>
      <c r="Y15">
        <v>0</v>
      </c>
      <c r="Z15" s="6">
        <v>6420.6038799999997</v>
      </c>
      <c r="AA15">
        <v>20210608</v>
      </c>
      <c r="AB15">
        <v>35.763940429687501</v>
      </c>
      <c r="AC15">
        <v>5.5262796251087698</v>
      </c>
      <c r="AD15">
        <v>5.5414557912533304</v>
      </c>
      <c r="AE15">
        <v>4.4918456950000003</v>
      </c>
      <c r="AF15">
        <v>8.3945491129854606</v>
      </c>
      <c r="AG15">
        <v>20210713</v>
      </c>
      <c r="AH15" s="5">
        <v>395343.329528915</v>
      </c>
      <c r="AI15" s="5">
        <v>447054.23703129712</v>
      </c>
      <c r="AJ15" s="8" t="s">
        <v>33</v>
      </c>
      <c r="AK15">
        <v>221054.5059517991</v>
      </c>
      <c r="AL15">
        <v>3540</v>
      </c>
      <c r="AM15" s="6">
        <v>6420.6038799999997</v>
      </c>
      <c r="AN15" s="6">
        <f t="shared" si="0"/>
        <v>2880.6038799999997</v>
      </c>
      <c r="AO15">
        <v>3652</v>
      </c>
      <c r="AP15" s="6">
        <v>5990.0104000000001</v>
      </c>
      <c r="AQ15" s="6">
        <f t="shared" si="1"/>
        <v>2338.0104000000001</v>
      </c>
    </row>
    <row r="16" spans="1:43" x14ac:dyDescent="0.25">
      <c r="A16">
        <v>15</v>
      </c>
      <c r="B16" t="s">
        <v>55</v>
      </c>
      <c r="C16">
        <v>36.073</v>
      </c>
      <c r="D16">
        <v>-121.468</v>
      </c>
      <c r="E16" t="s">
        <v>33</v>
      </c>
      <c r="F16" t="s">
        <v>37</v>
      </c>
      <c r="G16">
        <v>0</v>
      </c>
      <c r="H16">
        <v>128417</v>
      </c>
      <c r="I16">
        <v>1</v>
      </c>
      <c r="J16">
        <v>0</v>
      </c>
      <c r="K16">
        <v>0</v>
      </c>
      <c r="L16">
        <v>16000</v>
      </c>
      <c r="M16">
        <v>203437</v>
      </c>
      <c r="N16">
        <v>167252</v>
      </c>
      <c r="O16">
        <v>10337</v>
      </c>
      <c r="P16">
        <v>0</v>
      </c>
      <c r="Q16">
        <v>0</v>
      </c>
      <c r="R16">
        <v>0</v>
      </c>
      <c r="S16" s="5">
        <v>659.41701550000005</v>
      </c>
      <c r="T16" s="3">
        <v>84680354.88000001</v>
      </c>
      <c r="U16">
        <v>0.13</v>
      </c>
      <c r="V16">
        <v>0</v>
      </c>
      <c r="W16">
        <v>0</v>
      </c>
      <c r="X16">
        <v>0.61</v>
      </c>
      <c r="Y16">
        <v>0</v>
      </c>
      <c r="Z16" s="6">
        <v>3297.2442000000001</v>
      </c>
      <c r="AA16">
        <v>20200815</v>
      </c>
      <c r="AB16">
        <v>28.047265625000001</v>
      </c>
      <c r="AC16">
        <v>41.1106206309843</v>
      </c>
      <c r="AD16">
        <v>2.2317221486260701</v>
      </c>
      <c r="AE16">
        <v>4.5170705138662903</v>
      </c>
      <c r="AF16">
        <v>6.8529519799107401</v>
      </c>
      <c r="AG16">
        <v>20200818</v>
      </c>
      <c r="AH16" s="5">
        <v>621774.52984523203</v>
      </c>
      <c r="AI16" s="5">
        <v>711496.59450189909</v>
      </c>
      <c r="AJ16" s="8" t="s">
        <v>33</v>
      </c>
      <c r="AK16">
        <v>651736.44670897012</v>
      </c>
      <c r="AL16">
        <v>1300</v>
      </c>
      <c r="AM16" s="6">
        <v>3297.2442000000001</v>
      </c>
      <c r="AN16" s="6">
        <f t="shared" si="0"/>
        <v>1997.2442000000001</v>
      </c>
      <c r="AO16">
        <v>3850</v>
      </c>
      <c r="AP16" s="6">
        <v>1390.8896</v>
      </c>
      <c r="AQ16" s="6">
        <f t="shared" si="1"/>
        <v>-2459.1104</v>
      </c>
    </row>
    <row r="17" spans="1:43" x14ac:dyDescent="0.25">
      <c r="A17">
        <v>16</v>
      </c>
      <c r="B17" t="s">
        <v>56</v>
      </c>
      <c r="C17">
        <v>40.231000000000002</v>
      </c>
      <c r="D17">
        <v>-105.996</v>
      </c>
      <c r="E17" t="s">
        <v>51</v>
      </c>
      <c r="F17" t="s">
        <v>40</v>
      </c>
      <c r="G17">
        <v>388</v>
      </c>
      <c r="H17">
        <v>193812</v>
      </c>
      <c r="I17">
        <v>1</v>
      </c>
      <c r="J17">
        <v>388</v>
      </c>
      <c r="K17">
        <v>6.8065960828018912E-2</v>
      </c>
      <c r="L17">
        <v>627646</v>
      </c>
      <c r="M17">
        <v>23258</v>
      </c>
      <c r="N17">
        <v>280</v>
      </c>
      <c r="O17">
        <v>44565</v>
      </c>
      <c r="P17">
        <v>0</v>
      </c>
      <c r="Q17">
        <v>0</v>
      </c>
      <c r="R17">
        <v>0</v>
      </c>
      <c r="S17" s="5">
        <v>92.595652220000005</v>
      </c>
      <c r="T17" s="3">
        <v>17946148.54797072</v>
      </c>
      <c r="U17">
        <v>0.09</v>
      </c>
      <c r="V17">
        <v>0</v>
      </c>
      <c r="W17">
        <v>1.1599999999999999</v>
      </c>
      <c r="X17">
        <v>0</v>
      </c>
      <c r="Y17">
        <v>0.83</v>
      </c>
      <c r="Z17" s="6">
        <v>10134.51476</v>
      </c>
      <c r="AA17">
        <v>20200914</v>
      </c>
      <c r="AB17">
        <v>11.011437988281299</v>
      </c>
      <c r="AC17">
        <v>28.568011870352802</v>
      </c>
      <c r="AD17">
        <v>0.93987336969290902</v>
      </c>
      <c r="AE17">
        <v>3.1673895469407398</v>
      </c>
      <c r="AF17">
        <v>6.6691003722200097</v>
      </c>
      <c r="AG17">
        <v>20201014</v>
      </c>
      <c r="AH17" s="5">
        <v>529666.296321286</v>
      </c>
      <c r="AI17" s="5">
        <v>606097.14288044767</v>
      </c>
      <c r="AJ17" s="8" t="s">
        <v>51</v>
      </c>
      <c r="AK17">
        <v>578726.66864436714</v>
      </c>
      <c r="AL17">
        <v>10003</v>
      </c>
      <c r="AM17" s="6">
        <v>10134.51476</v>
      </c>
      <c r="AN17" s="6">
        <f t="shared" si="0"/>
        <v>131.51476000000002</v>
      </c>
      <c r="AO17">
        <v>8216</v>
      </c>
      <c r="AP17" s="6">
        <v>8804.5936000000002</v>
      </c>
      <c r="AQ17" s="6">
        <f t="shared" si="1"/>
        <v>588.59360000000015</v>
      </c>
    </row>
    <row r="18" spans="1:43" x14ac:dyDescent="0.25">
      <c r="A18">
        <v>17</v>
      </c>
      <c r="B18" t="s">
        <v>57</v>
      </c>
      <c r="C18">
        <v>44.158999999999999</v>
      </c>
      <c r="D18">
        <v>-122.496</v>
      </c>
      <c r="E18" t="s">
        <v>36</v>
      </c>
      <c r="F18" t="s">
        <v>37</v>
      </c>
      <c r="G18">
        <v>32000</v>
      </c>
      <c r="H18">
        <v>173094</v>
      </c>
      <c r="I18">
        <v>1</v>
      </c>
      <c r="J18">
        <v>32000</v>
      </c>
      <c r="K18">
        <v>9.0586617675944865</v>
      </c>
      <c r="L18">
        <v>577839</v>
      </c>
      <c r="M18">
        <v>34651</v>
      </c>
      <c r="N18">
        <v>0</v>
      </c>
      <c r="O18">
        <v>14228</v>
      </c>
      <c r="P18">
        <v>110000</v>
      </c>
      <c r="Q18">
        <v>125876.2032</v>
      </c>
      <c r="R18">
        <v>3.9336313500000002</v>
      </c>
      <c r="S18" s="5">
        <v>192.3870513</v>
      </c>
      <c r="T18" s="3">
        <v>33301044.26148187</v>
      </c>
      <c r="U18">
        <v>0.05</v>
      </c>
      <c r="V18">
        <v>0</v>
      </c>
      <c r="W18">
        <v>0</v>
      </c>
      <c r="X18">
        <v>0</v>
      </c>
      <c r="Y18">
        <v>0</v>
      </c>
      <c r="Z18" s="6">
        <v>1624.0157999999999</v>
      </c>
      <c r="AB18">
        <v>29.167749023437501</v>
      </c>
      <c r="AC18">
        <v>29.720286419922701</v>
      </c>
      <c r="AD18">
        <v>2.84254800202025</v>
      </c>
      <c r="AE18">
        <v>2.3934126113446199</v>
      </c>
      <c r="AF18">
        <v>2.3388130172257999</v>
      </c>
      <c r="AG18">
        <v>20200907</v>
      </c>
      <c r="AH18" s="5">
        <v>343833.74722017202</v>
      </c>
      <c r="AI18" s="5">
        <v>393448.95694404287</v>
      </c>
      <c r="AJ18" s="8" t="s">
        <v>36</v>
      </c>
      <c r="AK18">
        <v>150472.8633129276</v>
      </c>
      <c r="AL18">
        <v>4492</v>
      </c>
      <c r="AM18" s="6">
        <v>1624.0157999999999</v>
      </c>
      <c r="AN18" s="6">
        <f t="shared" si="0"/>
        <v>-2867.9841999999999</v>
      </c>
      <c r="AO18">
        <v>5105</v>
      </c>
      <c r="AP18" s="6">
        <v>5123.9848000000002</v>
      </c>
      <c r="AQ18" s="6">
        <f t="shared" si="1"/>
        <v>18.984800000000178</v>
      </c>
    </row>
    <row r="19" spans="1:43" x14ac:dyDescent="0.25">
      <c r="A19">
        <v>18</v>
      </c>
      <c r="B19" t="s">
        <v>58</v>
      </c>
      <c r="C19">
        <v>44.776000000000003</v>
      </c>
      <c r="D19">
        <v>-121.84</v>
      </c>
      <c r="E19" t="s">
        <v>36</v>
      </c>
      <c r="F19" t="s">
        <v>34</v>
      </c>
      <c r="G19">
        <v>127</v>
      </c>
      <c r="H19">
        <v>204427</v>
      </c>
      <c r="I19">
        <v>1</v>
      </c>
      <c r="J19">
        <v>127</v>
      </c>
      <c r="K19">
        <v>4.7214898227729223E-2</v>
      </c>
      <c r="L19">
        <v>654076</v>
      </c>
      <c r="M19">
        <v>88188</v>
      </c>
      <c r="N19">
        <v>19</v>
      </c>
      <c r="O19">
        <v>65429</v>
      </c>
      <c r="P19">
        <v>350000</v>
      </c>
      <c r="Q19">
        <v>400515.19199999998</v>
      </c>
      <c r="R19">
        <v>3153.6629291338591</v>
      </c>
      <c r="S19" s="5">
        <v>348.40633759999997</v>
      </c>
      <c r="T19" s="3">
        <v>71223662.366524801</v>
      </c>
      <c r="U19">
        <v>0.05</v>
      </c>
      <c r="V19">
        <v>0.93</v>
      </c>
      <c r="W19">
        <v>0</v>
      </c>
      <c r="X19">
        <v>0</v>
      </c>
      <c r="Y19">
        <v>0</v>
      </c>
      <c r="Z19" s="6">
        <v>4645.6694399999997</v>
      </c>
      <c r="AA19">
        <v>20200815</v>
      </c>
      <c r="AB19">
        <v>29.879205322265602</v>
      </c>
      <c r="AC19">
        <v>24.924761420917399</v>
      </c>
      <c r="AD19">
        <v>3.16362771113047</v>
      </c>
      <c r="AE19">
        <v>3.3511295413045099</v>
      </c>
      <c r="AF19">
        <v>12.9751173915924</v>
      </c>
      <c r="AG19">
        <v>20200818</v>
      </c>
      <c r="AH19" s="5">
        <v>331133.89612995298</v>
      </c>
      <c r="AI19" s="5">
        <v>378916.51734150521</v>
      </c>
      <c r="AJ19" s="8" t="s">
        <v>36</v>
      </c>
      <c r="AK19">
        <v>218413.8503915109</v>
      </c>
      <c r="AL19">
        <v>4492</v>
      </c>
      <c r="AM19" s="6">
        <v>4645.6694399999997</v>
      </c>
      <c r="AN19" s="6">
        <f t="shared" si="0"/>
        <v>153.66943999999967</v>
      </c>
      <c r="AO19">
        <v>4492</v>
      </c>
      <c r="AP19" s="6">
        <v>3257.4372000000003</v>
      </c>
      <c r="AQ19" s="6">
        <f t="shared" si="1"/>
        <v>-1234.5627999999997</v>
      </c>
    </row>
    <row r="20" spans="1:43" x14ac:dyDescent="0.25">
      <c r="A20">
        <v>19</v>
      </c>
      <c r="B20" t="s">
        <v>59</v>
      </c>
      <c r="C20">
        <v>40.277999999999999</v>
      </c>
      <c r="D20">
        <v>-122.919</v>
      </c>
      <c r="E20" t="s">
        <v>33</v>
      </c>
      <c r="F20" t="s">
        <v>34</v>
      </c>
      <c r="G20">
        <v>0</v>
      </c>
      <c r="H20">
        <v>118826</v>
      </c>
      <c r="I20">
        <v>1</v>
      </c>
      <c r="J20">
        <v>0</v>
      </c>
      <c r="K20">
        <v>0</v>
      </c>
      <c r="L20">
        <v>199785</v>
      </c>
      <c r="M20">
        <v>60171</v>
      </c>
      <c r="N20">
        <v>191600</v>
      </c>
      <c r="O20">
        <v>14707</v>
      </c>
      <c r="P20">
        <v>0</v>
      </c>
      <c r="Q20">
        <v>0</v>
      </c>
      <c r="R20">
        <v>0</v>
      </c>
      <c r="S20" s="5">
        <v>418.3277195</v>
      </c>
      <c r="T20" s="3">
        <v>49708209.600000001</v>
      </c>
      <c r="U20">
        <v>0.08</v>
      </c>
      <c r="V20">
        <v>1.02</v>
      </c>
      <c r="W20">
        <v>1.25</v>
      </c>
      <c r="X20">
        <v>0</v>
      </c>
      <c r="Y20">
        <v>0</v>
      </c>
      <c r="Z20" s="6">
        <v>3143.0447199999999</v>
      </c>
      <c r="AA20">
        <v>20210701</v>
      </c>
      <c r="AB20">
        <v>32.157678222656301</v>
      </c>
      <c r="AC20">
        <v>18.8147463924102</v>
      </c>
      <c r="AD20">
        <v>3.89487461436133</v>
      </c>
      <c r="AE20">
        <v>2.3613080960288801</v>
      </c>
      <c r="AF20">
        <v>5.0765982425552503</v>
      </c>
      <c r="AG20">
        <v>20210729</v>
      </c>
      <c r="AH20" s="5">
        <v>349892.784739041</v>
      </c>
      <c r="AI20" s="5">
        <v>395658.76098290755</v>
      </c>
      <c r="AJ20" s="8" t="s">
        <v>33</v>
      </c>
      <c r="AK20">
        <v>423698.15472148359</v>
      </c>
      <c r="AL20">
        <v>4481</v>
      </c>
      <c r="AM20" s="6">
        <v>3143.0447199999999</v>
      </c>
      <c r="AN20" s="6">
        <f t="shared" si="0"/>
        <v>-1337.9552800000001</v>
      </c>
      <c r="AO20">
        <v>4481</v>
      </c>
      <c r="AP20" s="6">
        <v>990.68080000000009</v>
      </c>
      <c r="AQ20" s="6">
        <f t="shared" si="1"/>
        <v>-3490.3191999999999</v>
      </c>
    </row>
    <row r="21" spans="1:43" x14ac:dyDescent="0.25">
      <c r="A21">
        <v>20</v>
      </c>
      <c r="B21" t="s">
        <v>60</v>
      </c>
      <c r="C21">
        <v>40.72</v>
      </c>
      <c r="D21">
        <v>-123.261</v>
      </c>
      <c r="E21" t="s">
        <v>33</v>
      </c>
      <c r="F21" t="s">
        <v>34</v>
      </c>
      <c r="G21">
        <v>0</v>
      </c>
      <c r="H21">
        <v>223124</v>
      </c>
      <c r="I21">
        <v>1</v>
      </c>
      <c r="J21">
        <v>0</v>
      </c>
      <c r="K21">
        <v>0</v>
      </c>
      <c r="L21">
        <v>691895</v>
      </c>
      <c r="M21">
        <v>175487</v>
      </c>
      <c r="N21">
        <v>34911</v>
      </c>
      <c r="O21">
        <v>27943</v>
      </c>
      <c r="P21">
        <v>0</v>
      </c>
      <c r="Q21">
        <v>0</v>
      </c>
      <c r="R21">
        <v>0</v>
      </c>
      <c r="S21" s="5">
        <v>829.8069266</v>
      </c>
      <c r="T21" s="3">
        <v>185149840.69115999</v>
      </c>
      <c r="U21">
        <v>7.0000000000000007E-2</v>
      </c>
      <c r="V21">
        <v>0.83</v>
      </c>
      <c r="W21">
        <v>1.24</v>
      </c>
      <c r="X21">
        <v>0</v>
      </c>
      <c r="Y21">
        <v>0</v>
      </c>
      <c r="Z21" s="6">
        <v>2378.6089999999999</v>
      </c>
      <c r="AA21">
        <v>20210728</v>
      </c>
      <c r="AB21">
        <v>29.558343505859401</v>
      </c>
      <c r="AC21">
        <v>31.173685366365</v>
      </c>
      <c r="AD21">
        <v>2.8469492560257801</v>
      </c>
      <c r="AE21">
        <v>2.1952747755037798</v>
      </c>
      <c r="AF21">
        <v>4.5286252565624299</v>
      </c>
      <c r="AG21">
        <v>20210730</v>
      </c>
      <c r="AH21" s="5">
        <v>317917.38548391301</v>
      </c>
      <c r="AI21" s="5">
        <v>359500.97950520884</v>
      </c>
      <c r="AJ21" s="8" t="s">
        <v>33</v>
      </c>
      <c r="AK21">
        <v>242043.53085672759</v>
      </c>
      <c r="AL21">
        <v>1722</v>
      </c>
      <c r="AM21" s="6">
        <v>2378.6089999999999</v>
      </c>
      <c r="AN21" s="6">
        <f t="shared" si="0"/>
        <v>656.60899999999992</v>
      </c>
      <c r="AO21">
        <v>3259</v>
      </c>
      <c r="AP21" s="6">
        <v>3670.7676000000001</v>
      </c>
      <c r="AQ21" s="6">
        <f t="shared" si="1"/>
        <v>411.76760000000013</v>
      </c>
    </row>
    <row r="22" spans="1:43" x14ac:dyDescent="0.25">
      <c r="A22">
        <v>21</v>
      </c>
      <c r="B22" t="s">
        <v>61</v>
      </c>
      <c r="C22">
        <v>45.31</v>
      </c>
      <c r="D22">
        <v>-114.154</v>
      </c>
      <c r="E22" t="s">
        <v>39</v>
      </c>
      <c r="F22" t="s">
        <v>37</v>
      </c>
      <c r="G22">
        <v>1532</v>
      </c>
      <c r="H22">
        <v>130205</v>
      </c>
      <c r="I22">
        <v>1</v>
      </c>
      <c r="J22">
        <v>2396</v>
      </c>
      <c r="K22">
        <v>0.94498126602248078</v>
      </c>
      <c r="L22">
        <v>374412</v>
      </c>
      <c r="M22">
        <v>74724</v>
      </c>
      <c r="N22">
        <v>1717</v>
      </c>
      <c r="O22">
        <v>128800</v>
      </c>
      <c r="P22">
        <v>200000</v>
      </c>
      <c r="Q22">
        <v>200000</v>
      </c>
      <c r="R22">
        <v>130.54830287206269</v>
      </c>
      <c r="S22" s="5">
        <v>754.19530740000005</v>
      </c>
      <c r="T22" s="3">
        <v>98200000</v>
      </c>
      <c r="U22">
        <v>0.06</v>
      </c>
      <c r="V22">
        <v>0</v>
      </c>
      <c r="W22">
        <v>0</v>
      </c>
      <c r="X22">
        <v>0</v>
      </c>
      <c r="Y22">
        <v>2.23</v>
      </c>
      <c r="Z22" s="6">
        <v>7673.8847599999999</v>
      </c>
      <c r="AA22">
        <v>20220713</v>
      </c>
      <c r="AB22">
        <v>28.955712890625001</v>
      </c>
      <c r="AC22">
        <v>20.923779411645199</v>
      </c>
      <c r="AD22">
        <v>3.1600610381125498</v>
      </c>
      <c r="AE22">
        <v>3.094980418</v>
      </c>
      <c r="AF22">
        <v>9.1669949600838905</v>
      </c>
      <c r="AG22">
        <v>20220717</v>
      </c>
      <c r="AH22" s="5">
        <v>362659.31849936</v>
      </c>
      <c r="AI22" s="5">
        <v>410095.15735907631</v>
      </c>
      <c r="AJ22" s="8" t="s">
        <v>66</v>
      </c>
      <c r="AK22">
        <v>330058.26262077107</v>
      </c>
      <c r="AL22">
        <v>4210</v>
      </c>
      <c r="AM22" s="6">
        <v>7673.8847599999999</v>
      </c>
      <c r="AN22" s="6">
        <f t="shared" si="0"/>
        <v>3463.8847599999999</v>
      </c>
      <c r="AO22">
        <v>7729</v>
      </c>
      <c r="AP22" s="6">
        <v>7059.4208000000008</v>
      </c>
      <c r="AQ22" s="6">
        <f t="shared" si="1"/>
        <v>-669.57919999999922</v>
      </c>
    </row>
    <row r="23" spans="1:43" x14ac:dyDescent="0.25">
      <c r="A23">
        <v>22</v>
      </c>
      <c r="B23" t="s">
        <v>62</v>
      </c>
      <c r="C23">
        <v>41.097999999999999</v>
      </c>
      <c r="D23">
        <v>-106.25</v>
      </c>
      <c r="E23" t="s">
        <v>63</v>
      </c>
      <c r="F23" t="s">
        <v>37</v>
      </c>
      <c r="G23">
        <v>644</v>
      </c>
      <c r="H23">
        <v>176878</v>
      </c>
      <c r="I23">
        <v>1</v>
      </c>
      <c r="J23">
        <v>644</v>
      </c>
      <c r="K23">
        <v>0.1674826716719999</v>
      </c>
      <c r="L23">
        <v>577459</v>
      </c>
      <c r="M23">
        <v>54509</v>
      </c>
      <c r="N23">
        <v>23</v>
      </c>
      <c r="O23">
        <v>74239</v>
      </c>
      <c r="P23">
        <v>150000</v>
      </c>
      <c r="Q23">
        <v>171649.36799999999</v>
      </c>
      <c r="R23">
        <v>266.53628571428573</v>
      </c>
      <c r="S23" s="5">
        <v>274.31085089999999</v>
      </c>
      <c r="T23" s="3">
        <v>48519554.688000001</v>
      </c>
      <c r="U23">
        <v>0.08</v>
      </c>
      <c r="V23">
        <v>0</v>
      </c>
      <c r="W23">
        <v>1.1499999999999999</v>
      </c>
      <c r="X23">
        <v>0</v>
      </c>
      <c r="Y23">
        <v>0.95</v>
      </c>
      <c r="Z23" s="6">
        <v>8805.7745599999998</v>
      </c>
      <c r="AA23">
        <v>20200915</v>
      </c>
      <c r="AB23">
        <v>19.929467773437501</v>
      </c>
      <c r="AC23">
        <v>17.9981360034467</v>
      </c>
      <c r="AD23">
        <v>1.9106258767365401</v>
      </c>
      <c r="AE23">
        <v>1.4423605528371899</v>
      </c>
      <c r="AF23">
        <v>2.5333276231488999</v>
      </c>
      <c r="AG23">
        <v>20200918</v>
      </c>
      <c r="AH23" s="5">
        <v>267170.40933129599</v>
      </c>
      <c r="AI23" s="5">
        <v>305723.09939780203</v>
      </c>
      <c r="AJ23" s="8" t="s">
        <v>63</v>
      </c>
      <c r="AK23">
        <v>286780.59380916011</v>
      </c>
      <c r="AL23">
        <v>8655</v>
      </c>
      <c r="AM23" s="6">
        <v>8805.7745599999998</v>
      </c>
      <c r="AN23" s="6">
        <f t="shared" si="0"/>
        <v>150.77455999999984</v>
      </c>
      <c r="AO23">
        <v>9078</v>
      </c>
      <c r="AP23" s="6">
        <v>8834.1172000000006</v>
      </c>
      <c r="AQ23" s="6">
        <f t="shared" si="1"/>
        <v>-243.88279999999941</v>
      </c>
    </row>
    <row r="24" spans="1:43" x14ac:dyDescent="0.25">
      <c r="A24">
        <v>23</v>
      </c>
      <c r="B24" t="s">
        <v>64</v>
      </c>
      <c r="C24">
        <v>39.409999999999997</v>
      </c>
      <c r="D24">
        <v>-108.536</v>
      </c>
      <c r="E24" t="s">
        <v>51</v>
      </c>
      <c r="F24" t="s">
        <v>34</v>
      </c>
      <c r="G24">
        <v>0</v>
      </c>
      <c r="H24">
        <v>139006</v>
      </c>
      <c r="I24">
        <v>1</v>
      </c>
      <c r="J24">
        <v>0</v>
      </c>
      <c r="K24">
        <v>0</v>
      </c>
      <c r="L24">
        <v>134738</v>
      </c>
      <c r="M24">
        <v>212558</v>
      </c>
      <c r="N24">
        <v>24784</v>
      </c>
      <c r="O24">
        <v>114959</v>
      </c>
      <c r="P24">
        <v>0</v>
      </c>
      <c r="Q24">
        <v>0</v>
      </c>
      <c r="R24">
        <v>0</v>
      </c>
      <c r="S24" s="5">
        <v>288.12591600000002</v>
      </c>
      <c r="T24" s="3">
        <v>40051519.200000003</v>
      </c>
      <c r="U24">
        <v>0.12</v>
      </c>
      <c r="V24">
        <v>0</v>
      </c>
      <c r="W24">
        <v>0.98</v>
      </c>
      <c r="X24">
        <v>0</v>
      </c>
      <c r="Y24">
        <v>1.04</v>
      </c>
      <c r="Z24" s="6">
        <v>7575.4595600000002</v>
      </c>
      <c r="AA24">
        <v>20200728</v>
      </c>
      <c r="AB24">
        <v>31.945458984375001</v>
      </c>
      <c r="AC24">
        <v>10.582439077120799</v>
      </c>
      <c r="AD24">
        <v>4.2395273111533696</v>
      </c>
      <c r="AE24">
        <v>3.8527324211286702</v>
      </c>
      <c r="AF24">
        <v>6.7883607037777196</v>
      </c>
      <c r="AG24">
        <v>20200731</v>
      </c>
      <c r="AH24" s="5">
        <v>291878.26061998401</v>
      </c>
      <c r="AI24" s="5">
        <v>333996.29362744774</v>
      </c>
      <c r="AJ24" s="8" t="s">
        <v>51</v>
      </c>
      <c r="AK24">
        <v>309154.01878368319</v>
      </c>
      <c r="AL24">
        <v>8137</v>
      </c>
      <c r="AM24" s="6">
        <v>7575.4595600000002</v>
      </c>
      <c r="AN24" s="6">
        <f t="shared" si="0"/>
        <v>-561.54043999999976</v>
      </c>
      <c r="AO24">
        <v>8137</v>
      </c>
      <c r="AP24" s="6">
        <v>7912.3248000000003</v>
      </c>
      <c r="AQ24" s="6">
        <f t="shared" si="1"/>
        <v>-224.67519999999968</v>
      </c>
    </row>
    <row r="25" spans="1:43" x14ac:dyDescent="0.25">
      <c r="A25">
        <v>24</v>
      </c>
      <c r="B25" t="s">
        <v>65</v>
      </c>
      <c r="C25">
        <v>45.716000000000001</v>
      </c>
      <c r="D25">
        <v>-106.53100000000001</v>
      </c>
      <c r="E25" t="s">
        <v>66</v>
      </c>
      <c r="F25" t="s">
        <v>37</v>
      </c>
      <c r="G25">
        <v>29125</v>
      </c>
      <c r="H25">
        <v>171130</v>
      </c>
      <c r="I25">
        <v>1</v>
      </c>
      <c r="J25">
        <v>29125</v>
      </c>
      <c r="K25">
        <v>2.3826915210658561</v>
      </c>
      <c r="L25">
        <v>0</v>
      </c>
      <c r="M25">
        <v>172160</v>
      </c>
      <c r="N25">
        <v>453</v>
      </c>
      <c r="O25">
        <v>179561</v>
      </c>
      <c r="P25">
        <v>75000</v>
      </c>
      <c r="Q25">
        <v>84807</v>
      </c>
      <c r="R25">
        <v>2.9118283261802569</v>
      </c>
      <c r="S25" s="5">
        <v>42.949453630000001</v>
      </c>
      <c r="T25" s="3">
        <v>7349940</v>
      </c>
      <c r="U25">
        <v>0.06</v>
      </c>
      <c r="V25">
        <v>0</v>
      </c>
      <c r="W25">
        <v>1.0900000000000001</v>
      </c>
      <c r="X25">
        <v>0</v>
      </c>
      <c r="Y25">
        <v>1.68</v>
      </c>
      <c r="Z25" s="6">
        <v>3274.2783199999999</v>
      </c>
      <c r="AA25">
        <v>20210803</v>
      </c>
      <c r="AB25">
        <v>32.424005126953098</v>
      </c>
      <c r="AC25">
        <v>16.9514229583455</v>
      </c>
      <c r="AD25">
        <v>4.0446820442212301</v>
      </c>
      <c r="AE25">
        <v>4.7386782020020402</v>
      </c>
      <c r="AF25">
        <v>8.5208833484908197</v>
      </c>
      <c r="AG25">
        <v>20210808</v>
      </c>
      <c r="AH25" s="5">
        <v>161215.857763779</v>
      </c>
      <c r="AI25" s="5">
        <v>182302.89195928129</v>
      </c>
      <c r="AJ25" s="8" t="s">
        <v>66</v>
      </c>
      <c r="AK25">
        <v>203369.81265135479</v>
      </c>
      <c r="AL25">
        <v>3120</v>
      </c>
      <c r="AM25" s="6">
        <v>3274.2783199999999</v>
      </c>
      <c r="AN25" s="6">
        <f t="shared" si="0"/>
        <v>154.27831999999989</v>
      </c>
      <c r="AO25">
        <v>3910</v>
      </c>
      <c r="AP25" s="6">
        <v>4011.9292</v>
      </c>
      <c r="AQ25" s="6">
        <f t="shared" si="1"/>
        <v>101.92920000000004</v>
      </c>
    </row>
    <row r="26" spans="1:43" x14ac:dyDescent="0.25">
      <c r="A26">
        <v>25</v>
      </c>
      <c r="B26" t="s">
        <v>67</v>
      </c>
      <c r="C26">
        <v>45.128999999999998</v>
      </c>
      <c r="D26">
        <v>-122.224</v>
      </c>
      <c r="E26" t="s">
        <v>36</v>
      </c>
      <c r="F26" t="s">
        <v>37</v>
      </c>
      <c r="G26">
        <v>77515</v>
      </c>
      <c r="H26">
        <v>138085</v>
      </c>
      <c r="I26">
        <v>1</v>
      </c>
      <c r="J26">
        <v>77515</v>
      </c>
      <c r="K26">
        <v>25.261071079407611</v>
      </c>
      <c r="L26">
        <v>526799</v>
      </c>
      <c r="M26">
        <v>15633</v>
      </c>
      <c r="N26">
        <v>0</v>
      </c>
      <c r="O26">
        <v>12803</v>
      </c>
      <c r="P26">
        <v>100000</v>
      </c>
      <c r="Q26">
        <v>114432.912</v>
      </c>
      <c r="R26">
        <v>1.476267973940528</v>
      </c>
      <c r="S26" s="5">
        <v>169.7371115</v>
      </c>
      <c r="T26" s="3">
        <v>23438149.035840001</v>
      </c>
      <c r="U26">
        <v>0.05</v>
      </c>
      <c r="V26">
        <v>0</v>
      </c>
      <c r="W26">
        <v>0</v>
      </c>
      <c r="X26">
        <v>0</v>
      </c>
      <c r="Y26">
        <v>0</v>
      </c>
      <c r="Z26" s="6">
        <v>3759.8426399999998</v>
      </c>
      <c r="AB26">
        <v>27.794824218750001</v>
      </c>
      <c r="AC26">
        <v>18.633143415615699</v>
      </c>
      <c r="AD26">
        <v>3.0400079712082202</v>
      </c>
      <c r="AE26">
        <v>6.3737625349684102</v>
      </c>
      <c r="AF26">
        <v>10.3040618903715</v>
      </c>
      <c r="AG26">
        <v>20200908</v>
      </c>
      <c r="AH26" s="5">
        <v>476796.90541459899</v>
      </c>
      <c r="AI26" s="5">
        <v>545598.69886592566</v>
      </c>
      <c r="AJ26" s="8" t="s">
        <v>36</v>
      </c>
      <c r="AK26">
        <v>466946.92637866299</v>
      </c>
      <c r="AL26">
        <v>7554</v>
      </c>
      <c r="AM26" s="6">
        <v>3759.8426399999998</v>
      </c>
      <c r="AN26" s="6">
        <f t="shared" si="0"/>
        <v>-3794.1573600000002</v>
      </c>
      <c r="AO26">
        <v>3000</v>
      </c>
      <c r="AP26" s="6">
        <v>3480.5044000000003</v>
      </c>
      <c r="AQ26" s="6">
        <f t="shared" si="1"/>
        <v>480.50440000000026</v>
      </c>
    </row>
    <row r="27" spans="1:43" x14ac:dyDescent="0.25">
      <c r="A27">
        <v>26</v>
      </c>
      <c r="B27" t="s">
        <v>68</v>
      </c>
      <c r="C27">
        <v>46.84</v>
      </c>
      <c r="D27">
        <v>-121.1</v>
      </c>
      <c r="E27" t="s">
        <v>69</v>
      </c>
      <c r="F27" t="s">
        <v>34</v>
      </c>
      <c r="G27">
        <v>3099</v>
      </c>
      <c r="H27">
        <v>107072</v>
      </c>
      <c r="I27">
        <v>1</v>
      </c>
      <c r="J27">
        <v>3099</v>
      </c>
      <c r="K27">
        <v>1.5050433350000001</v>
      </c>
      <c r="L27">
        <v>420765</v>
      </c>
      <c r="M27">
        <v>26667</v>
      </c>
      <c r="N27">
        <v>244</v>
      </c>
      <c r="O27">
        <v>29467</v>
      </c>
      <c r="P27">
        <v>0</v>
      </c>
      <c r="Q27">
        <v>0</v>
      </c>
      <c r="R27">
        <v>0</v>
      </c>
      <c r="S27" s="5">
        <v>820.4</v>
      </c>
      <c r="T27" s="3">
        <v>30197283.088795468</v>
      </c>
      <c r="U27">
        <v>0.06</v>
      </c>
      <c r="V27">
        <v>0</v>
      </c>
      <c r="W27">
        <v>0</v>
      </c>
      <c r="X27">
        <v>0</v>
      </c>
      <c r="Y27">
        <v>0</v>
      </c>
      <c r="Z27" s="6">
        <v>3874.6720399999999</v>
      </c>
      <c r="AB27">
        <v>30.615380859375001</v>
      </c>
      <c r="AC27">
        <v>22.612720793890499</v>
      </c>
      <c r="AD27">
        <v>3.4014495444344499</v>
      </c>
      <c r="AE27">
        <v>0.770489053654977</v>
      </c>
      <c r="AF27">
        <v>3.6246820719678898</v>
      </c>
      <c r="AG27">
        <v>20210805</v>
      </c>
      <c r="AH27" s="5">
        <v>315161.74213064701</v>
      </c>
      <c r="AI27" s="5">
        <v>356384.89800133562</v>
      </c>
      <c r="AJ27" s="8" t="s">
        <v>69</v>
      </c>
      <c r="AK27">
        <v>338223.25587365963</v>
      </c>
      <c r="AL27">
        <v>4400</v>
      </c>
      <c r="AM27" s="6">
        <v>3874.6720399999999</v>
      </c>
      <c r="AN27" s="6">
        <f t="shared" si="0"/>
        <v>-525.32796000000008</v>
      </c>
      <c r="AO27">
        <v>4400</v>
      </c>
      <c r="AP27" s="6">
        <v>4346.5300000000007</v>
      </c>
      <c r="AQ27" s="6">
        <f t="shared" si="1"/>
        <v>-53.469999999999345</v>
      </c>
    </row>
    <row r="28" spans="1:43" x14ac:dyDescent="0.25">
      <c r="A28">
        <v>27</v>
      </c>
      <c r="B28" t="s">
        <v>70</v>
      </c>
      <c r="C28">
        <v>41.932000000000002</v>
      </c>
      <c r="D28">
        <v>-123.539</v>
      </c>
      <c r="E28" t="s">
        <v>33</v>
      </c>
      <c r="F28" t="s">
        <v>40</v>
      </c>
      <c r="G28">
        <v>25000</v>
      </c>
      <c r="H28">
        <v>157270</v>
      </c>
      <c r="I28">
        <v>1</v>
      </c>
      <c r="J28">
        <v>25000</v>
      </c>
      <c r="K28">
        <v>11.127360590068029</v>
      </c>
      <c r="L28">
        <v>611715</v>
      </c>
      <c r="M28">
        <v>58229</v>
      </c>
      <c r="N28">
        <v>9113</v>
      </c>
      <c r="O28">
        <v>2262</v>
      </c>
      <c r="P28">
        <v>25000</v>
      </c>
      <c r="Q28">
        <v>28608.227999999999</v>
      </c>
      <c r="R28">
        <v>0.87387446716378225</v>
      </c>
      <c r="S28" s="5">
        <v>400.51082630000002</v>
      </c>
      <c r="T28" s="3">
        <v>62988337.648368008</v>
      </c>
      <c r="U28">
        <v>0.08</v>
      </c>
      <c r="V28">
        <v>0.87</v>
      </c>
      <c r="W28">
        <v>0</v>
      </c>
      <c r="X28">
        <v>0</v>
      </c>
      <c r="Y28">
        <v>0</v>
      </c>
      <c r="Z28" s="6">
        <v>5065.6169600000003</v>
      </c>
      <c r="AA28">
        <v>20200902</v>
      </c>
      <c r="AB28">
        <v>32.289025878906301</v>
      </c>
      <c r="AC28">
        <v>19.187430971585801</v>
      </c>
      <c r="AD28">
        <v>3.9057617384835801</v>
      </c>
      <c r="AE28">
        <v>1.86358134190592</v>
      </c>
      <c r="AF28">
        <v>6.6181412173555598</v>
      </c>
      <c r="AG28">
        <v>20200908</v>
      </c>
      <c r="AH28" s="5">
        <v>221523.43356685</v>
      </c>
      <c r="AI28" s="5">
        <v>253489.26503054646</v>
      </c>
      <c r="AJ28" s="8" t="s">
        <v>33</v>
      </c>
      <c r="AK28">
        <v>303734.97828925098</v>
      </c>
      <c r="AL28">
        <v>700</v>
      </c>
      <c r="AM28" s="6">
        <v>5065.6169600000003</v>
      </c>
      <c r="AN28" s="6">
        <f t="shared" si="0"/>
        <v>4365.6169600000003</v>
      </c>
      <c r="AO28">
        <v>1940</v>
      </c>
      <c r="AP28" s="6">
        <v>2801.4616000000001</v>
      </c>
      <c r="AQ28" s="6">
        <f t="shared" si="1"/>
        <v>861.46160000000009</v>
      </c>
    </row>
    <row r="29" spans="1:43" x14ac:dyDescent="0.25">
      <c r="A29">
        <v>28</v>
      </c>
      <c r="B29" t="s">
        <v>71</v>
      </c>
      <c r="C29">
        <v>33.259</v>
      </c>
      <c r="D29">
        <v>-110.94</v>
      </c>
      <c r="E29" t="s">
        <v>43</v>
      </c>
      <c r="F29" t="s">
        <v>37</v>
      </c>
      <c r="G29">
        <v>16214</v>
      </c>
      <c r="H29">
        <v>180757</v>
      </c>
      <c r="I29">
        <v>1</v>
      </c>
      <c r="J29">
        <v>16214</v>
      </c>
      <c r="K29">
        <v>2.8704171899290212</v>
      </c>
      <c r="L29">
        <v>521</v>
      </c>
      <c r="M29">
        <v>495017</v>
      </c>
      <c r="N29">
        <v>124544</v>
      </c>
      <c r="O29">
        <v>195662</v>
      </c>
      <c r="P29">
        <v>200000</v>
      </c>
      <c r="Q29">
        <v>226152</v>
      </c>
      <c r="R29">
        <v>13.947946219316639</v>
      </c>
      <c r="S29" s="5">
        <v>227.70716490000001</v>
      </c>
      <c r="T29" s="3">
        <v>41159664</v>
      </c>
      <c r="U29">
        <v>0.05</v>
      </c>
      <c r="V29">
        <v>0.53</v>
      </c>
      <c r="W29">
        <v>0</v>
      </c>
      <c r="X29">
        <v>0</v>
      </c>
      <c r="Y29">
        <v>0</v>
      </c>
      <c r="Z29" s="6">
        <v>3435.0394799999999</v>
      </c>
      <c r="AA29">
        <v>20210517</v>
      </c>
      <c r="AB29">
        <v>34.994378662109398</v>
      </c>
      <c r="AC29">
        <v>9.8918544314820096</v>
      </c>
      <c r="AD29">
        <v>5.0655821697977501</v>
      </c>
      <c r="AE29">
        <v>5.4503531415412603</v>
      </c>
      <c r="AF29">
        <v>6.07277060555354</v>
      </c>
      <c r="AG29">
        <v>20210604</v>
      </c>
      <c r="AH29" s="5">
        <v>315853.870677981</v>
      </c>
      <c r="AI29" s="5">
        <v>356384.89800133562</v>
      </c>
      <c r="AJ29" s="8" t="s">
        <v>43</v>
      </c>
      <c r="AK29">
        <v>357167.55696266092</v>
      </c>
      <c r="AL29">
        <v>7554</v>
      </c>
      <c r="AM29" s="6">
        <v>3435.0394799999999</v>
      </c>
      <c r="AN29" s="6">
        <f t="shared" si="0"/>
        <v>-4118.9605200000005</v>
      </c>
      <c r="AO29">
        <v>6900</v>
      </c>
      <c r="AP29" s="6">
        <v>4782.8232000000007</v>
      </c>
      <c r="AQ29" s="6">
        <f t="shared" si="1"/>
        <v>-2117.1767999999993</v>
      </c>
    </row>
    <row r="30" spans="1:43" x14ac:dyDescent="0.25">
      <c r="A30">
        <v>29</v>
      </c>
      <c r="B30" t="s">
        <v>72</v>
      </c>
      <c r="C30">
        <v>47.613999999999997</v>
      </c>
      <c r="D30">
        <v>-118.569</v>
      </c>
      <c r="E30" t="s">
        <v>69</v>
      </c>
      <c r="F30" t="s">
        <v>37</v>
      </c>
      <c r="G30">
        <v>102925</v>
      </c>
      <c r="H30">
        <v>127430</v>
      </c>
      <c r="I30">
        <v>1</v>
      </c>
      <c r="J30">
        <v>102925</v>
      </c>
      <c r="K30">
        <v>6.4615867539999998</v>
      </c>
      <c r="L30">
        <v>2205</v>
      </c>
      <c r="M30">
        <v>7652</v>
      </c>
      <c r="N30">
        <v>116316</v>
      </c>
      <c r="O30">
        <v>178280</v>
      </c>
      <c r="P30">
        <v>0</v>
      </c>
      <c r="Q30">
        <v>0</v>
      </c>
      <c r="R30">
        <v>0</v>
      </c>
      <c r="S30" s="5">
        <v>29.63419992</v>
      </c>
      <c r="T30" s="3">
        <v>3776286.0959999999</v>
      </c>
      <c r="U30">
        <v>0.09</v>
      </c>
      <c r="V30">
        <v>0</v>
      </c>
      <c r="W30">
        <v>0</v>
      </c>
      <c r="X30">
        <v>0</v>
      </c>
      <c r="Y30">
        <v>0.92</v>
      </c>
      <c r="Z30" s="6">
        <v>2224.4095200000002</v>
      </c>
      <c r="AA30">
        <v>20200828</v>
      </c>
      <c r="AB30">
        <v>20.615197753906301</v>
      </c>
      <c r="AC30">
        <v>18.0981320945255</v>
      </c>
      <c r="AD30">
        <v>1.99077896435607</v>
      </c>
      <c r="AE30">
        <v>10.510041848157901</v>
      </c>
      <c r="AF30">
        <v>19.568140566208399</v>
      </c>
      <c r="AG30">
        <v>20200908</v>
      </c>
      <c r="AH30" s="10">
        <v>211602.74736967401</v>
      </c>
      <c r="AI30" s="10">
        <v>242137.02381511798</v>
      </c>
      <c r="AJ30" s="8" t="s">
        <v>69</v>
      </c>
      <c r="AK30">
        <v>275762.4265197395</v>
      </c>
      <c r="AL30">
        <v>2800</v>
      </c>
      <c r="AM30" s="6">
        <v>2224.4095200000002</v>
      </c>
      <c r="AN30" s="6">
        <f t="shared" si="0"/>
        <v>-575.59047999999984</v>
      </c>
      <c r="AO30">
        <v>4400</v>
      </c>
      <c r="AP30" s="6">
        <v>3372.2512000000002</v>
      </c>
      <c r="AQ30" s="6">
        <f t="shared" si="1"/>
        <v>-1027.7487999999998</v>
      </c>
    </row>
    <row r="31" spans="1:43" x14ac:dyDescent="0.25">
      <c r="A31">
        <v>30</v>
      </c>
      <c r="B31" t="s">
        <v>73</v>
      </c>
      <c r="C31">
        <v>44.747</v>
      </c>
      <c r="D31">
        <v>-116.77200000000001</v>
      </c>
      <c r="E31" t="s">
        <v>39</v>
      </c>
      <c r="F31" t="s">
        <v>40</v>
      </c>
      <c r="G31">
        <v>1500</v>
      </c>
      <c r="H31">
        <v>96614</v>
      </c>
      <c r="I31">
        <v>1</v>
      </c>
      <c r="J31">
        <v>0</v>
      </c>
      <c r="K31">
        <v>0</v>
      </c>
      <c r="L31">
        <v>218447</v>
      </c>
      <c r="M31">
        <v>28642</v>
      </c>
      <c r="N31">
        <v>3057</v>
      </c>
      <c r="O31">
        <v>114857</v>
      </c>
      <c r="P31">
        <v>0</v>
      </c>
      <c r="Q31">
        <v>0</v>
      </c>
      <c r="R31">
        <v>0</v>
      </c>
      <c r="S31" s="5">
        <v>132.9527229</v>
      </c>
      <c r="T31" s="3">
        <v>12845094.372</v>
      </c>
      <c r="U31">
        <v>0.05</v>
      </c>
      <c r="V31">
        <v>0</v>
      </c>
      <c r="W31">
        <v>1</v>
      </c>
      <c r="X31">
        <v>0</v>
      </c>
      <c r="Y31">
        <v>0</v>
      </c>
      <c r="Z31" s="6">
        <v>6883.2023200000003</v>
      </c>
      <c r="AA31">
        <v>20200829</v>
      </c>
      <c r="AB31">
        <v>30.800561523437501</v>
      </c>
      <c r="AC31">
        <v>13.7819829626977</v>
      </c>
      <c r="AD31">
        <v>3.8305485595612101</v>
      </c>
      <c r="AE31">
        <v>2.4701798991811699</v>
      </c>
      <c r="AF31">
        <v>7.51258086892833</v>
      </c>
      <c r="AG31">
        <v>20200907</v>
      </c>
      <c r="AH31" s="10">
        <v>263030.84677685198</v>
      </c>
      <c r="AI31" s="10">
        <v>297435.28153526422</v>
      </c>
      <c r="AJ31" s="8" t="s">
        <v>39</v>
      </c>
      <c r="AK31">
        <v>270840.49825447291</v>
      </c>
      <c r="AL31">
        <v>3900</v>
      </c>
      <c r="AM31" s="6">
        <v>6883.2023200000003</v>
      </c>
      <c r="AN31" s="6">
        <f t="shared" si="0"/>
        <v>2983.2023200000003</v>
      </c>
      <c r="AO31">
        <v>4400</v>
      </c>
      <c r="AP31" s="6">
        <v>4090.6588000000002</v>
      </c>
      <c r="AQ31" s="6">
        <f t="shared" si="1"/>
        <v>-309.34119999999984</v>
      </c>
    </row>
    <row r="34" spans="2:41" x14ac:dyDescent="0.25">
      <c r="B34" s="1" t="s">
        <v>1</v>
      </c>
      <c r="C34" s="1" t="s">
        <v>7</v>
      </c>
      <c r="AH34" t="s">
        <v>76</v>
      </c>
      <c r="AI34" s="5">
        <f>MAX(AI2:AI31)</f>
        <v>766113.05510018556</v>
      </c>
      <c r="AK34">
        <f>MAX(AK2:AK31)</f>
        <v>651736.44670897012</v>
      </c>
      <c r="AL34">
        <f>MAX(AL2:AL31)</f>
        <v>10003</v>
      </c>
      <c r="AM34">
        <f>MAX(AM2:AM31)</f>
        <v>10134.51476</v>
      </c>
      <c r="AO34">
        <f>MAX(AO2:AO31)</f>
        <v>9078</v>
      </c>
    </row>
    <row r="35" spans="2:41" x14ac:dyDescent="0.25">
      <c r="B35" t="s">
        <v>32</v>
      </c>
      <c r="C35">
        <v>145632</v>
      </c>
      <c r="AH35" t="s">
        <v>77</v>
      </c>
      <c r="AI35" s="5">
        <f>MIN(AI2:AI31)</f>
        <v>169613.82930303301</v>
      </c>
      <c r="AK35">
        <f>MIN(AK2:AK31)</f>
        <v>130114.6513651165</v>
      </c>
      <c r="AL35">
        <f>MIN(AL2:AL31)</f>
        <v>700</v>
      </c>
      <c r="AM35">
        <f>MIN(AM2:AM31)</f>
        <v>1624.0157999999999</v>
      </c>
      <c r="AO35">
        <f>MIN(AO2:AO31)</f>
        <v>1940</v>
      </c>
    </row>
    <row r="36" spans="2:41" x14ac:dyDescent="0.25">
      <c r="B36" t="s">
        <v>35</v>
      </c>
      <c r="C36">
        <v>131542</v>
      </c>
      <c r="AH36" t="s">
        <v>84</v>
      </c>
      <c r="AI36" s="5">
        <f>AVERAGE(AI2:AI31)</f>
        <v>379505.4524892777</v>
      </c>
      <c r="AK36">
        <f>AVERAGE(AK2:AK31)</f>
        <v>297062.7243747224</v>
      </c>
      <c r="AL36">
        <f>AVERAGE(AL2:AL31)</f>
        <v>5361.8666666666668</v>
      </c>
      <c r="AM36">
        <f>AVERAGE(AM2:AM31)</f>
        <v>5401.2468920000001</v>
      </c>
      <c r="AO36">
        <f>AVERAGE(AO2:AO31)</f>
        <v>5435.5666666666666</v>
      </c>
    </row>
    <row r="37" spans="2:41" x14ac:dyDescent="0.25">
      <c r="B37" t="s">
        <v>38</v>
      </c>
      <c r="C37">
        <v>90143</v>
      </c>
      <c r="AH37" s="5" t="s">
        <v>78</v>
      </c>
      <c r="AI37" s="5">
        <f>MEDIAN(AI2:AI31)</f>
        <v>356384.89800133562</v>
      </c>
      <c r="AK37" s="5">
        <f>MEDIAN(AK2:AK31)</f>
        <v>281271.51016444981</v>
      </c>
      <c r="AL37" s="5">
        <f>MEDIAN(AL2:AL31)</f>
        <v>4492</v>
      </c>
      <c r="AM37" s="5">
        <f>MEDIAN(AM2:AM31)</f>
        <v>5319.8820599999999</v>
      </c>
      <c r="AO37" s="5">
        <f>MEDIAN(AO2:AO31)</f>
        <v>4717</v>
      </c>
    </row>
    <row r="38" spans="2:41" x14ac:dyDescent="0.25">
      <c r="B38" t="s">
        <v>41</v>
      </c>
      <c r="C38">
        <v>193573</v>
      </c>
    </row>
    <row r="39" spans="2:41" ht="15.75" thickBot="1" x14ac:dyDescent="0.3">
      <c r="B39" t="s">
        <v>42</v>
      </c>
      <c r="C39">
        <v>119589</v>
      </c>
    </row>
    <row r="40" spans="2:41" ht="15.75" thickBot="1" x14ac:dyDescent="0.3">
      <c r="B40" t="s">
        <v>44</v>
      </c>
      <c r="C40">
        <v>325136</v>
      </c>
      <c r="AE40" s="26" t="s">
        <v>85</v>
      </c>
      <c r="AF40" s="11"/>
      <c r="AG40" s="11"/>
      <c r="AH40" s="19"/>
    </row>
    <row r="41" spans="2:41" ht="15.75" thickBot="1" x14ac:dyDescent="0.3">
      <c r="B41" t="s">
        <v>46</v>
      </c>
      <c r="C41">
        <v>115796</v>
      </c>
      <c r="AE41" s="25"/>
      <c r="AF41" s="21" t="s">
        <v>79</v>
      </c>
      <c r="AG41" s="21" t="s">
        <v>83</v>
      </c>
      <c r="AH41" s="24" t="s">
        <v>87</v>
      </c>
    </row>
    <row r="42" spans="2:41" x14ac:dyDescent="0.25">
      <c r="B42" t="s">
        <v>47</v>
      </c>
      <c r="C42">
        <v>412157</v>
      </c>
      <c r="AE42" s="14" t="s">
        <v>76</v>
      </c>
      <c r="AF42" s="8">
        <f>MAX(Z2:Z31)</f>
        <v>10134.51476</v>
      </c>
      <c r="AG42" s="8">
        <v>2751</v>
      </c>
      <c r="AH42" s="30">
        <f>AF42-AG42</f>
        <v>7383.51476</v>
      </c>
    </row>
    <row r="43" spans="2:41" x14ac:dyDescent="0.25">
      <c r="B43" t="s">
        <v>48</v>
      </c>
      <c r="C43">
        <v>193455</v>
      </c>
      <c r="AE43" s="14" t="s">
        <v>77</v>
      </c>
      <c r="AF43" s="8">
        <f>MIN(Z2:Z31)</f>
        <v>1624.0157999999999</v>
      </c>
      <c r="AG43" s="8">
        <v>301</v>
      </c>
      <c r="AH43" s="30">
        <f t="shared" ref="AH43:AH52" si="2">AF43-AG43</f>
        <v>1323.0157999999999</v>
      </c>
    </row>
    <row r="44" spans="2:41" x14ac:dyDescent="0.25">
      <c r="B44" t="s">
        <v>49</v>
      </c>
      <c r="C44">
        <v>219267</v>
      </c>
      <c r="AE44" s="14" t="s">
        <v>84</v>
      </c>
      <c r="AF44" s="8">
        <f>AVERAGE(Z2:Z31)</f>
        <v>5401.2468920000001</v>
      </c>
      <c r="AG44" s="22">
        <v>1535.7333333333333</v>
      </c>
      <c r="AH44" s="30">
        <f t="shared" si="2"/>
        <v>3865.5135586666665</v>
      </c>
    </row>
    <row r="45" spans="2:41" ht="15.75" thickBot="1" x14ac:dyDescent="0.3">
      <c r="B45" t="s">
        <v>50</v>
      </c>
      <c r="C45">
        <v>208663</v>
      </c>
      <c r="AE45" s="15" t="s">
        <v>78</v>
      </c>
      <c r="AF45" s="16">
        <f>MEDIAN(Z2:Z31)</f>
        <v>5319.8820599999999</v>
      </c>
      <c r="AG45" s="16">
        <f>MEDIAN(AO2:AO31)</f>
        <v>4717</v>
      </c>
      <c r="AH45" s="31">
        <f t="shared" si="2"/>
        <v>602.88205999999991</v>
      </c>
    </row>
    <row r="46" spans="2:41" ht="15.75" thickBot="1" x14ac:dyDescent="0.3">
      <c r="B46" t="s">
        <v>52</v>
      </c>
      <c r="C46">
        <v>91810</v>
      </c>
      <c r="AF46" s="8"/>
      <c r="AG46" s="8"/>
      <c r="AH46" s="10"/>
    </row>
    <row r="47" spans="2:41" ht="15.75" thickBot="1" x14ac:dyDescent="0.3">
      <c r="B47" t="s">
        <v>53</v>
      </c>
      <c r="C47">
        <v>379895</v>
      </c>
      <c r="AE47" s="27" t="s">
        <v>86</v>
      </c>
      <c r="AF47" s="11"/>
      <c r="AG47" s="11"/>
      <c r="AH47" s="23"/>
    </row>
    <row r="48" spans="2:41" ht="15.75" thickBot="1" x14ac:dyDescent="0.3">
      <c r="B48" t="s">
        <v>54</v>
      </c>
      <c r="C48">
        <v>963309</v>
      </c>
      <c r="AE48" s="20"/>
      <c r="AF48" s="21" t="s">
        <v>79</v>
      </c>
      <c r="AG48" s="21" t="s">
        <v>80</v>
      </c>
      <c r="AH48" s="24" t="s">
        <v>87</v>
      </c>
    </row>
    <row r="49" spans="2:34" x14ac:dyDescent="0.25">
      <c r="B49" t="s">
        <v>55</v>
      </c>
      <c r="C49">
        <v>128417</v>
      </c>
      <c r="AE49" s="12" t="s">
        <v>76</v>
      </c>
      <c r="AF49" s="17">
        <v>766113.05510018556</v>
      </c>
      <c r="AG49" s="17">
        <v>651736.44670897012</v>
      </c>
      <c r="AH49" s="28">
        <f t="shared" si="2"/>
        <v>114376.60839121544</v>
      </c>
    </row>
    <row r="50" spans="2:34" x14ac:dyDescent="0.25">
      <c r="B50" t="s">
        <v>56</v>
      </c>
      <c r="C50">
        <v>193812</v>
      </c>
      <c r="AE50" s="12" t="s">
        <v>77</v>
      </c>
      <c r="AF50" s="17">
        <v>169613.82930303301</v>
      </c>
      <c r="AG50" s="17">
        <v>130114.6513651165</v>
      </c>
      <c r="AH50" s="28">
        <f t="shared" si="2"/>
        <v>39499.177937916509</v>
      </c>
    </row>
    <row r="51" spans="2:34" x14ac:dyDescent="0.25">
      <c r="B51" t="s">
        <v>57</v>
      </c>
      <c r="C51">
        <v>173094</v>
      </c>
      <c r="AE51" s="12" t="s">
        <v>84</v>
      </c>
      <c r="AF51" s="17">
        <v>379505.4524892777</v>
      </c>
      <c r="AG51" s="17">
        <v>297062.7243747224</v>
      </c>
      <c r="AH51" s="28">
        <f t="shared" si="2"/>
        <v>82442.728114555299</v>
      </c>
    </row>
    <row r="52" spans="2:34" ht="15.75" thickBot="1" x14ac:dyDescent="0.3">
      <c r="B52" t="s">
        <v>58</v>
      </c>
      <c r="C52">
        <v>204427</v>
      </c>
      <c r="AE52" s="13" t="s">
        <v>78</v>
      </c>
      <c r="AF52" s="18">
        <v>356384.89800133562</v>
      </c>
      <c r="AG52" s="18">
        <v>281271.51016444981</v>
      </c>
      <c r="AH52" s="29">
        <f t="shared" si="2"/>
        <v>75113.387836885813</v>
      </c>
    </row>
    <row r="53" spans="2:34" x14ac:dyDescent="0.25">
      <c r="B53" t="s">
        <v>59</v>
      </c>
      <c r="C53">
        <v>118826</v>
      </c>
    </row>
    <row r="54" spans="2:34" x14ac:dyDescent="0.25">
      <c r="B54" t="s">
        <v>60</v>
      </c>
      <c r="C54">
        <v>223124</v>
      </c>
    </row>
    <row r="55" spans="2:34" x14ac:dyDescent="0.25">
      <c r="B55" t="s">
        <v>61</v>
      </c>
      <c r="C55">
        <v>130205</v>
      </c>
    </row>
    <row r="56" spans="2:34" x14ac:dyDescent="0.25">
      <c r="B56" t="s">
        <v>62</v>
      </c>
      <c r="C56">
        <v>176878</v>
      </c>
    </row>
    <row r="57" spans="2:34" x14ac:dyDescent="0.25">
      <c r="B57" t="s">
        <v>64</v>
      </c>
      <c r="C57">
        <v>139006</v>
      </c>
    </row>
    <row r="58" spans="2:34" x14ac:dyDescent="0.25">
      <c r="B58" t="s">
        <v>65</v>
      </c>
      <c r="C58">
        <v>171130</v>
      </c>
    </row>
    <row r="59" spans="2:34" x14ac:dyDescent="0.25">
      <c r="B59" t="s">
        <v>67</v>
      </c>
      <c r="C59">
        <v>138085</v>
      </c>
    </row>
    <row r="60" spans="2:34" x14ac:dyDescent="0.25">
      <c r="B60" t="s">
        <v>68</v>
      </c>
      <c r="C60">
        <v>107072</v>
      </c>
    </row>
    <row r="61" spans="2:34" x14ac:dyDescent="0.25">
      <c r="B61" t="s">
        <v>70</v>
      </c>
      <c r="C61">
        <v>157270</v>
      </c>
    </row>
    <row r="62" spans="2:34" x14ac:dyDescent="0.25">
      <c r="B62" t="s">
        <v>71</v>
      </c>
      <c r="C62">
        <v>180757</v>
      </c>
    </row>
    <row r="63" spans="2:34" x14ac:dyDescent="0.25">
      <c r="B63" t="s">
        <v>72</v>
      </c>
      <c r="C63">
        <v>127430</v>
      </c>
    </row>
    <row r="64" spans="2:34" x14ac:dyDescent="0.25">
      <c r="B64" t="s">
        <v>73</v>
      </c>
      <c r="C64">
        <v>96614</v>
      </c>
    </row>
  </sheetData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A3C3-ECD6-4245-9146-1D916F17A3C6}">
  <dimension ref="B2:J32"/>
  <sheetViews>
    <sheetView showGridLines="0" workbookViewId="0">
      <selection activeCell="A11" sqref="A11:A21"/>
    </sheetView>
  </sheetViews>
  <sheetFormatPr defaultRowHeight="15" x14ac:dyDescent="0.25"/>
  <cols>
    <col min="2" max="2" width="8.85546875" bestFit="1" customWidth="1"/>
    <col min="3" max="3" width="20.5703125" customWidth="1"/>
    <col min="4" max="5" width="0" hidden="1" customWidth="1"/>
    <col min="7" max="7" width="14.140625" customWidth="1"/>
    <col min="8" max="8" width="16.7109375" customWidth="1"/>
    <col min="9" max="9" width="11.85546875" customWidth="1"/>
    <col min="10" max="10" width="17.140625" customWidth="1"/>
  </cols>
  <sheetData>
    <row r="2" spans="2:10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1</v>
      </c>
      <c r="I2" s="1" t="s">
        <v>4</v>
      </c>
      <c r="J2" s="1" t="s">
        <v>5</v>
      </c>
    </row>
    <row r="3" spans="2:10" s="32" customFormat="1" x14ac:dyDescent="0.25">
      <c r="B3" s="32">
        <v>1</v>
      </c>
      <c r="C3" s="32" t="s">
        <v>32</v>
      </c>
      <c r="D3" s="32">
        <v>41.64</v>
      </c>
      <c r="E3" s="32">
        <v>-121.76900000000001</v>
      </c>
      <c r="F3" s="32" t="s">
        <v>33</v>
      </c>
      <c r="G3" s="32" t="s">
        <v>34</v>
      </c>
      <c r="H3" s="32" t="s">
        <v>88</v>
      </c>
      <c r="I3" s="32" t="s">
        <v>33</v>
      </c>
      <c r="J3" s="32" t="s">
        <v>34</v>
      </c>
    </row>
    <row r="4" spans="2:10" x14ac:dyDescent="0.25">
      <c r="B4">
        <v>2</v>
      </c>
      <c r="C4" t="s">
        <v>35</v>
      </c>
      <c r="D4">
        <v>43.366</v>
      </c>
      <c r="E4">
        <v>-122.898</v>
      </c>
      <c r="F4" t="s">
        <v>36</v>
      </c>
      <c r="G4" t="s">
        <v>37</v>
      </c>
      <c r="H4" t="s">
        <v>89</v>
      </c>
      <c r="I4" t="s">
        <v>36</v>
      </c>
      <c r="J4" t="s">
        <v>40</v>
      </c>
    </row>
    <row r="5" spans="2:10" x14ac:dyDescent="0.25">
      <c r="B5">
        <v>3</v>
      </c>
      <c r="C5" t="s">
        <v>38</v>
      </c>
      <c r="D5">
        <v>42.243000000000002</v>
      </c>
      <c r="E5">
        <v>-114.17</v>
      </c>
      <c r="F5" t="s">
        <v>39</v>
      </c>
      <c r="G5" t="s">
        <v>40</v>
      </c>
      <c r="H5" t="s">
        <v>90</v>
      </c>
      <c r="I5" t="s">
        <v>39</v>
      </c>
      <c r="J5" t="s">
        <v>34</v>
      </c>
    </row>
    <row r="6" spans="2:10" x14ac:dyDescent="0.25">
      <c r="B6">
        <v>4</v>
      </c>
      <c r="C6" t="s">
        <v>41</v>
      </c>
      <c r="D6">
        <v>44.859000000000002</v>
      </c>
      <c r="E6">
        <v>-122.379</v>
      </c>
      <c r="F6" t="s">
        <v>36</v>
      </c>
      <c r="G6" t="s">
        <v>34</v>
      </c>
      <c r="H6" t="s">
        <v>91</v>
      </c>
      <c r="I6" t="s">
        <v>36</v>
      </c>
      <c r="J6" t="s">
        <v>37</v>
      </c>
    </row>
    <row r="7" spans="2:10" x14ac:dyDescent="0.25">
      <c r="B7">
        <v>5</v>
      </c>
      <c r="C7" t="s">
        <v>42</v>
      </c>
      <c r="D7">
        <v>32.442999999999998</v>
      </c>
      <c r="E7">
        <v>-110.727</v>
      </c>
      <c r="F7" t="s">
        <v>43</v>
      </c>
      <c r="G7" t="s">
        <v>34</v>
      </c>
      <c r="H7" t="s">
        <v>92</v>
      </c>
      <c r="I7" t="s">
        <v>43</v>
      </c>
      <c r="J7" t="s">
        <v>40</v>
      </c>
    </row>
    <row r="8" spans="2:10" x14ac:dyDescent="0.25">
      <c r="B8">
        <v>6</v>
      </c>
      <c r="C8" t="s">
        <v>44</v>
      </c>
      <c r="D8">
        <v>33.192999999999998</v>
      </c>
      <c r="E8">
        <v>-107.843</v>
      </c>
      <c r="F8" t="s">
        <v>45</v>
      </c>
      <c r="G8" t="s">
        <v>37</v>
      </c>
      <c r="H8" t="s">
        <v>93</v>
      </c>
      <c r="I8" t="s">
        <v>45</v>
      </c>
      <c r="J8" t="s">
        <v>40</v>
      </c>
    </row>
    <row r="9" spans="2:10" x14ac:dyDescent="0.25">
      <c r="B9">
        <v>7</v>
      </c>
      <c r="C9" t="s">
        <v>46</v>
      </c>
      <c r="D9">
        <v>34.325000000000003</v>
      </c>
      <c r="E9">
        <v>-117.93600000000001</v>
      </c>
      <c r="F9" t="s">
        <v>33</v>
      </c>
      <c r="G9" t="s">
        <v>40</v>
      </c>
      <c r="H9" t="s">
        <v>94</v>
      </c>
      <c r="I9" t="s">
        <v>33</v>
      </c>
      <c r="J9" t="s">
        <v>34</v>
      </c>
    </row>
    <row r="10" spans="2:10" x14ac:dyDescent="0.25">
      <c r="B10">
        <v>8</v>
      </c>
      <c r="C10" t="s">
        <v>47</v>
      </c>
      <c r="D10">
        <v>42.656999999999996</v>
      </c>
      <c r="E10">
        <v>-121.07899999999999</v>
      </c>
      <c r="F10" t="s">
        <v>36</v>
      </c>
      <c r="G10" t="s">
        <v>34</v>
      </c>
      <c r="H10" t="s">
        <v>95</v>
      </c>
      <c r="I10" t="s">
        <v>36</v>
      </c>
      <c r="J10" t="s">
        <v>37</v>
      </c>
    </row>
    <row r="11" spans="2:10" x14ac:dyDescent="0.25">
      <c r="B11">
        <v>9</v>
      </c>
      <c r="C11" t="s">
        <v>48</v>
      </c>
      <c r="D11">
        <v>33.811</v>
      </c>
      <c r="E11">
        <v>-111.364</v>
      </c>
      <c r="F11" t="s">
        <v>43</v>
      </c>
      <c r="G11" t="s">
        <v>37</v>
      </c>
      <c r="H11" t="s">
        <v>96</v>
      </c>
      <c r="I11" t="s">
        <v>43</v>
      </c>
      <c r="J11" t="s">
        <v>34</v>
      </c>
    </row>
    <row r="12" spans="2:10" x14ac:dyDescent="0.25">
      <c r="B12">
        <v>10</v>
      </c>
      <c r="C12" t="s">
        <v>49</v>
      </c>
      <c r="D12">
        <v>38.723999999999997</v>
      </c>
      <c r="E12">
        <v>-120.29</v>
      </c>
      <c r="F12" t="s">
        <v>33</v>
      </c>
      <c r="G12" t="s">
        <v>37</v>
      </c>
      <c r="H12" t="s">
        <v>97</v>
      </c>
      <c r="I12" t="s">
        <v>33</v>
      </c>
      <c r="J12" t="s">
        <v>40</v>
      </c>
    </row>
    <row r="13" spans="2:10" x14ac:dyDescent="0.25">
      <c r="B13">
        <v>11</v>
      </c>
      <c r="C13" t="s">
        <v>50</v>
      </c>
      <c r="D13">
        <v>40.619999999999997</v>
      </c>
      <c r="E13">
        <v>-105.551</v>
      </c>
      <c r="F13" t="s">
        <v>51</v>
      </c>
      <c r="G13" t="s">
        <v>40</v>
      </c>
      <c r="H13" t="s">
        <v>98</v>
      </c>
      <c r="I13" t="s">
        <v>51</v>
      </c>
      <c r="J13" t="s">
        <v>34</v>
      </c>
    </row>
    <row r="14" spans="2:10" x14ac:dyDescent="0.25">
      <c r="B14">
        <v>12</v>
      </c>
      <c r="C14" t="s">
        <v>52</v>
      </c>
      <c r="D14">
        <v>42.402000000000001</v>
      </c>
      <c r="E14">
        <v>-120.49</v>
      </c>
      <c r="F14" t="s">
        <v>36</v>
      </c>
      <c r="G14" t="s">
        <v>34</v>
      </c>
      <c r="H14" t="s">
        <v>99</v>
      </c>
      <c r="I14" t="s">
        <v>36</v>
      </c>
      <c r="J14" t="s">
        <v>37</v>
      </c>
    </row>
    <row r="15" spans="2:10" s="32" customFormat="1" x14ac:dyDescent="0.25">
      <c r="B15" s="32">
        <v>13</v>
      </c>
      <c r="C15" s="32" t="s">
        <v>53</v>
      </c>
      <c r="D15" s="32">
        <v>37.317</v>
      </c>
      <c r="E15" s="32">
        <v>-119.214</v>
      </c>
      <c r="F15" s="32" t="s">
        <v>33</v>
      </c>
      <c r="G15" s="32" t="s">
        <v>40</v>
      </c>
      <c r="H15" s="32" t="s">
        <v>100</v>
      </c>
      <c r="I15" s="32" t="s">
        <v>33</v>
      </c>
      <c r="J15" s="32" t="s">
        <v>40</v>
      </c>
    </row>
    <row r="16" spans="2:10" x14ac:dyDescent="0.25">
      <c r="B16">
        <v>14</v>
      </c>
      <c r="C16" t="s">
        <v>54</v>
      </c>
      <c r="D16">
        <v>40.323</v>
      </c>
      <c r="E16">
        <v>-120.86499999999999</v>
      </c>
      <c r="F16" t="s">
        <v>33</v>
      </c>
      <c r="G16" t="s">
        <v>37</v>
      </c>
      <c r="H16" t="s">
        <v>101</v>
      </c>
      <c r="I16" t="s">
        <v>33</v>
      </c>
      <c r="J16" t="s">
        <v>40</v>
      </c>
    </row>
    <row r="17" spans="2:10" s="32" customFormat="1" x14ac:dyDescent="0.25">
      <c r="B17" s="32">
        <v>15</v>
      </c>
      <c r="C17" s="32" t="s">
        <v>55</v>
      </c>
      <c r="D17" s="32">
        <v>36.073</v>
      </c>
      <c r="E17" s="32">
        <v>-121.468</v>
      </c>
      <c r="F17" s="32" t="s">
        <v>33</v>
      </c>
      <c r="G17" s="32" t="s">
        <v>37</v>
      </c>
      <c r="H17" s="32" t="s">
        <v>102</v>
      </c>
      <c r="I17" s="32" t="s">
        <v>33</v>
      </c>
      <c r="J17" s="32" t="s">
        <v>37</v>
      </c>
    </row>
    <row r="18" spans="2:10" s="32" customFormat="1" x14ac:dyDescent="0.25">
      <c r="B18" s="32">
        <v>16</v>
      </c>
      <c r="C18" s="32" t="s">
        <v>56</v>
      </c>
      <c r="D18" s="32">
        <v>40.231000000000002</v>
      </c>
      <c r="E18" s="32">
        <v>-105.996</v>
      </c>
      <c r="F18" s="32" t="s">
        <v>51</v>
      </c>
      <c r="G18" s="32" t="s">
        <v>40</v>
      </c>
      <c r="H18" s="32" t="s">
        <v>103</v>
      </c>
      <c r="I18" s="32" t="s">
        <v>51</v>
      </c>
      <c r="J18" s="32" t="s">
        <v>40</v>
      </c>
    </row>
    <row r="19" spans="2:10" x14ac:dyDescent="0.25">
      <c r="B19">
        <v>17</v>
      </c>
      <c r="C19" t="s">
        <v>57</v>
      </c>
      <c r="D19">
        <v>44.158999999999999</v>
      </c>
      <c r="E19">
        <v>-122.496</v>
      </c>
      <c r="F19" t="s">
        <v>36</v>
      </c>
      <c r="G19" t="s">
        <v>37</v>
      </c>
      <c r="H19" t="s">
        <v>104</v>
      </c>
      <c r="I19" t="s">
        <v>36</v>
      </c>
      <c r="J19" t="s">
        <v>40</v>
      </c>
    </row>
    <row r="20" spans="2:10" x14ac:dyDescent="0.25">
      <c r="B20">
        <v>18</v>
      </c>
      <c r="C20" t="s">
        <v>58</v>
      </c>
      <c r="D20">
        <v>44.776000000000003</v>
      </c>
      <c r="E20">
        <v>-121.84</v>
      </c>
      <c r="F20" t="s">
        <v>36</v>
      </c>
      <c r="G20" t="s">
        <v>34</v>
      </c>
      <c r="H20" t="s">
        <v>105</v>
      </c>
      <c r="I20" t="s">
        <v>36</v>
      </c>
      <c r="J20" t="s">
        <v>40</v>
      </c>
    </row>
    <row r="21" spans="2:10" x14ac:dyDescent="0.25">
      <c r="B21">
        <v>19</v>
      </c>
      <c r="C21" t="s">
        <v>59</v>
      </c>
      <c r="D21">
        <v>40.277999999999999</v>
      </c>
      <c r="E21">
        <v>-122.919</v>
      </c>
      <c r="F21" t="s">
        <v>33</v>
      </c>
      <c r="G21" t="s">
        <v>34</v>
      </c>
      <c r="H21" t="s">
        <v>106</v>
      </c>
      <c r="I21" t="s">
        <v>33</v>
      </c>
      <c r="J21" t="s">
        <v>40</v>
      </c>
    </row>
    <row r="22" spans="2:10" x14ac:dyDescent="0.25">
      <c r="B22">
        <v>20</v>
      </c>
      <c r="C22" t="s">
        <v>60</v>
      </c>
      <c r="D22">
        <v>40.72</v>
      </c>
      <c r="E22">
        <v>-123.261</v>
      </c>
      <c r="F22" t="s">
        <v>33</v>
      </c>
      <c r="G22" t="s">
        <v>34</v>
      </c>
      <c r="H22" t="s">
        <v>107</v>
      </c>
      <c r="I22" t="s">
        <v>33</v>
      </c>
      <c r="J22" t="s">
        <v>37</v>
      </c>
    </row>
    <row r="23" spans="2:10" x14ac:dyDescent="0.25">
      <c r="B23">
        <v>21</v>
      </c>
      <c r="C23" t="s">
        <v>61</v>
      </c>
      <c r="D23">
        <v>45.31</v>
      </c>
      <c r="E23">
        <v>-114.154</v>
      </c>
      <c r="F23" t="s">
        <v>39</v>
      </c>
      <c r="G23" t="s">
        <v>37</v>
      </c>
      <c r="H23" t="s">
        <v>108</v>
      </c>
      <c r="I23" t="s">
        <v>66</v>
      </c>
      <c r="J23" t="s">
        <v>34</v>
      </c>
    </row>
    <row r="24" spans="2:10" x14ac:dyDescent="0.25">
      <c r="B24">
        <v>22</v>
      </c>
      <c r="C24" t="s">
        <v>62</v>
      </c>
      <c r="D24">
        <v>41.097999999999999</v>
      </c>
      <c r="E24">
        <v>-106.25</v>
      </c>
      <c r="F24" t="s">
        <v>63</v>
      </c>
      <c r="G24" t="s">
        <v>37</v>
      </c>
      <c r="H24" t="s">
        <v>109</v>
      </c>
      <c r="I24" t="s">
        <v>63</v>
      </c>
      <c r="J24" t="s">
        <v>40</v>
      </c>
    </row>
    <row r="25" spans="2:10" x14ac:dyDescent="0.25">
      <c r="B25">
        <v>23</v>
      </c>
      <c r="C25" t="s">
        <v>64</v>
      </c>
      <c r="D25">
        <v>39.409999999999997</v>
      </c>
      <c r="E25">
        <v>-108.536</v>
      </c>
      <c r="F25" t="s">
        <v>51</v>
      </c>
      <c r="G25" t="s">
        <v>34</v>
      </c>
      <c r="H25" t="s">
        <v>110</v>
      </c>
      <c r="I25" t="s">
        <v>51</v>
      </c>
      <c r="J25" t="s">
        <v>40</v>
      </c>
    </row>
    <row r="26" spans="2:10" x14ac:dyDescent="0.25">
      <c r="B26">
        <v>24</v>
      </c>
      <c r="C26" t="s">
        <v>65</v>
      </c>
      <c r="D26">
        <v>45.716000000000001</v>
      </c>
      <c r="E26">
        <v>-106.53100000000001</v>
      </c>
      <c r="F26" t="s">
        <v>66</v>
      </c>
      <c r="G26" t="s">
        <v>37</v>
      </c>
      <c r="H26" t="s">
        <v>111</v>
      </c>
      <c r="I26" t="s">
        <v>66</v>
      </c>
      <c r="J26" t="s">
        <v>40</v>
      </c>
    </row>
    <row r="27" spans="2:10" s="32" customFormat="1" x14ac:dyDescent="0.25">
      <c r="B27" s="32">
        <v>25</v>
      </c>
      <c r="C27" s="32" t="s">
        <v>67</v>
      </c>
      <c r="D27" s="32">
        <v>45.128999999999998</v>
      </c>
      <c r="E27" s="32">
        <v>-122.224</v>
      </c>
      <c r="F27" s="32" t="s">
        <v>36</v>
      </c>
      <c r="G27" s="32" t="s">
        <v>37</v>
      </c>
      <c r="H27" s="32" t="s">
        <v>112</v>
      </c>
      <c r="I27" s="32" t="s">
        <v>36</v>
      </c>
      <c r="J27" s="32" t="s">
        <v>37</v>
      </c>
    </row>
    <row r="28" spans="2:10" x14ac:dyDescent="0.25">
      <c r="B28">
        <v>26</v>
      </c>
      <c r="C28" t="s">
        <v>68</v>
      </c>
      <c r="D28">
        <v>46.84</v>
      </c>
      <c r="E28">
        <v>-121.1</v>
      </c>
      <c r="F28" t="s">
        <v>69</v>
      </c>
      <c r="G28" t="s">
        <v>34</v>
      </c>
      <c r="H28" t="s">
        <v>113</v>
      </c>
      <c r="I28" t="s">
        <v>69</v>
      </c>
      <c r="J28" t="s">
        <v>40</v>
      </c>
    </row>
    <row r="29" spans="2:10" s="32" customFormat="1" x14ac:dyDescent="0.25">
      <c r="B29" s="32">
        <v>27</v>
      </c>
      <c r="C29" s="32" t="s">
        <v>70</v>
      </c>
      <c r="D29" s="32">
        <v>41.932000000000002</v>
      </c>
      <c r="E29" s="32">
        <v>-123.539</v>
      </c>
      <c r="F29" s="32" t="s">
        <v>33</v>
      </c>
      <c r="G29" s="32" t="s">
        <v>40</v>
      </c>
      <c r="H29" s="32" t="s">
        <v>114</v>
      </c>
      <c r="I29" s="32" t="s">
        <v>33</v>
      </c>
      <c r="J29" s="32" t="s">
        <v>40</v>
      </c>
    </row>
    <row r="30" spans="2:10" x14ac:dyDescent="0.25">
      <c r="B30">
        <v>28</v>
      </c>
      <c r="C30" t="s">
        <v>71</v>
      </c>
      <c r="D30">
        <v>33.259</v>
      </c>
      <c r="E30">
        <v>-110.94</v>
      </c>
      <c r="F30" t="s">
        <v>43</v>
      </c>
      <c r="G30" t="s">
        <v>37</v>
      </c>
      <c r="H30" t="s">
        <v>115</v>
      </c>
      <c r="I30" t="s">
        <v>43</v>
      </c>
      <c r="J30" t="s">
        <v>40</v>
      </c>
    </row>
    <row r="31" spans="2:10" x14ac:dyDescent="0.25">
      <c r="B31">
        <v>29</v>
      </c>
      <c r="C31" t="s">
        <v>72</v>
      </c>
      <c r="D31">
        <v>47.613999999999997</v>
      </c>
      <c r="E31">
        <v>-118.569</v>
      </c>
      <c r="F31" t="s">
        <v>69</v>
      </c>
      <c r="G31" t="s">
        <v>37</v>
      </c>
      <c r="H31" t="s">
        <v>116</v>
      </c>
      <c r="I31" t="s">
        <v>69</v>
      </c>
      <c r="J31" t="s">
        <v>40</v>
      </c>
    </row>
    <row r="32" spans="2:10" x14ac:dyDescent="0.25">
      <c r="B32">
        <v>30</v>
      </c>
      <c r="C32" t="s">
        <v>73</v>
      </c>
      <c r="D32">
        <v>44.747</v>
      </c>
      <c r="E32">
        <v>-116.77200000000001</v>
      </c>
      <c r="F32" t="s">
        <v>39</v>
      </c>
      <c r="G32" t="s">
        <v>40</v>
      </c>
      <c r="H32" t="s">
        <v>117</v>
      </c>
      <c r="I32" t="s">
        <v>39</v>
      </c>
      <c r="J3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Stephanie Overla</cp:lastModifiedBy>
  <dcterms:created xsi:type="dcterms:W3CDTF">2025-09-10T22:52:50Z</dcterms:created>
  <dcterms:modified xsi:type="dcterms:W3CDTF">2026-02-03T05:49:29Z</dcterms:modified>
</cp:coreProperties>
</file>