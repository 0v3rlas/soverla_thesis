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verl\Documents\CWU\Thesis_Project\Exploring_Data\"/>
    </mc:Choice>
  </mc:AlternateContent>
  <xr:revisionPtr revIDLastSave="0" documentId="8_{370CA287-1663-4393-9428-60DC450B1C40}" xr6:coauthVersionLast="47" xr6:coauthVersionMax="47" xr10:uidLastSave="{00000000-0000-0000-0000-000000000000}"/>
  <bookViews>
    <workbookView xWindow="28680" yWindow="-120" windowWidth="29040" windowHeight="15720" xr2:uid="{2C0BB53E-84E3-4F19-B9B0-48349DECF4BC}"/>
  </bookViews>
  <sheets>
    <sheet name="(1)SlaterFOUS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H2" i="1"/>
  <c r="I2" i="1"/>
  <c r="L2" i="1"/>
  <c r="M2" i="1" s="1"/>
  <c r="N2" i="1"/>
  <c r="G3" i="1"/>
  <c r="H3" i="1" s="1"/>
  <c r="I3" i="1"/>
  <c r="L3" i="1"/>
  <c r="M3" i="1" s="1"/>
  <c r="N3" i="1"/>
  <c r="G4" i="1"/>
  <c r="H4" i="1"/>
  <c r="I4" i="1"/>
  <c r="L4" i="1"/>
  <c r="M4" i="1"/>
  <c r="N4" i="1"/>
  <c r="G5" i="1"/>
  <c r="H5" i="1"/>
  <c r="I5" i="1"/>
  <c r="L5" i="1"/>
  <c r="M5" i="1"/>
  <c r="N5" i="1"/>
  <c r="G6" i="1"/>
  <c r="H6" i="1"/>
  <c r="I6" i="1"/>
  <c r="L6" i="1"/>
  <c r="M6" i="1" s="1"/>
  <c r="N6" i="1"/>
  <c r="G7" i="1"/>
  <c r="H7" i="1"/>
  <c r="I7" i="1"/>
  <c r="L7" i="1"/>
  <c r="M7" i="1" s="1"/>
  <c r="N7" i="1"/>
  <c r="G8" i="1"/>
  <c r="H8" i="1"/>
  <c r="I8" i="1"/>
  <c r="L8" i="1"/>
  <c r="M8" i="1" s="1"/>
  <c r="N8" i="1"/>
  <c r="G9" i="1"/>
  <c r="H9" i="1"/>
  <c r="I9" i="1"/>
  <c r="L9" i="1"/>
  <c r="M9" i="1" s="1"/>
  <c r="N9" i="1"/>
  <c r="G10" i="1"/>
  <c r="H10" i="1" s="1"/>
  <c r="I10" i="1"/>
  <c r="L10" i="1"/>
  <c r="M10" i="1" s="1"/>
  <c r="N10" i="1"/>
  <c r="G11" i="1"/>
  <c r="H11" i="1"/>
  <c r="I11" i="1"/>
  <c r="L11" i="1"/>
  <c r="M11" i="1"/>
  <c r="G12" i="1"/>
  <c r="H12" i="1" s="1"/>
  <c r="I12" i="1"/>
  <c r="L12" i="1"/>
  <c r="M12" i="1"/>
  <c r="G13" i="1"/>
  <c r="H13" i="1" s="1"/>
  <c r="I13" i="1"/>
  <c r="L13" i="1"/>
  <c r="M13" i="1" s="1"/>
  <c r="N13" i="1"/>
  <c r="G14" i="1"/>
  <c r="H14" i="1" s="1"/>
  <c r="I14" i="1"/>
  <c r="L14" i="1"/>
  <c r="M14" i="1"/>
  <c r="G15" i="1"/>
  <c r="H15" i="1" s="1"/>
  <c r="I15" i="1"/>
  <c r="L15" i="1"/>
  <c r="M15" i="1"/>
  <c r="G16" i="1"/>
  <c r="H16" i="1" s="1"/>
  <c r="I16" i="1"/>
  <c r="L16" i="1"/>
  <c r="M16" i="1" s="1"/>
  <c r="N16" i="1"/>
  <c r="G17" i="1"/>
  <c r="H17" i="1"/>
  <c r="I17" i="1"/>
  <c r="L17" i="1"/>
  <c r="M17" i="1"/>
  <c r="N17" i="1"/>
  <c r="G18" i="1"/>
  <c r="H18" i="1"/>
  <c r="I18" i="1"/>
  <c r="L18" i="1"/>
  <c r="M18" i="1"/>
  <c r="N18" i="1"/>
  <c r="G19" i="1"/>
  <c r="H19" i="1"/>
  <c r="I19" i="1"/>
  <c r="L19" i="1"/>
  <c r="M19" i="1" s="1"/>
  <c r="G20" i="1"/>
  <c r="H20" i="1" s="1"/>
  <c r="I20" i="1"/>
  <c r="L20" i="1"/>
  <c r="M20" i="1"/>
  <c r="G21" i="1"/>
  <c r="H21" i="1"/>
  <c r="I21" i="1"/>
  <c r="L21" i="1"/>
  <c r="M21" i="1"/>
  <c r="G22" i="1"/>
  <c r="H22" i="1" s="1"/>
  <c r="I22" i="1"/>
  <c r="L22" i="1"/>
  <c r="M22" i="1"/>
  <c r="G23" i="1"/>
  <c r="H23" i="1"/>
  <c r="I23" i="1"/>
  <c r="L23" i="1"/>
  <c r="M23" i="1"/>
  <c r="G24" i="1"/>
  <c r="H24" i="1" s="1"/>
  <c r="I24" i="1"/>
  <c r="L24" i="1"/>
  <c r="M24" i="1"/>
  <c r="G25" i="1"/>
  <c r="H25" i="1" s="1"/>
  <c r="I25" i="1"/>
  <c r="L25" i="1"/>
  <c r="M25" i="1" s="1"/>
  <c r="N25" i="1"/>
  <c r="G26" i="1"/>
  <c r="H26" i="1"/>
  <c r="I26" i="1"/>
  <c r="L26" i="1"/>
  <c r="M26" i="1"/>
  <c r="N26" i="1"/>
  <c r="G27" i="1"/>
  <c r="H27" i="1"/>
  <c r="I27" i="1"/>
  <c r="L27" i="1"/>
  <c r="M27" i="1"/>
  <c r="N27" i="1"/>
  <c r="G28" i="1"/>
  <c r="H28" i="1"/>
  <c r="I28" i="1"/>
  <c r="L28" i="1"/>
  <c r="M28" i="1" s="1"/>
  <c r="N28" i="1"/>
  <c r="G29" i="1"/>
  <c r="H29" i="1" s="1"/>
  <c r="I29" i="1"/>
  <c r="L29" i="1"/>
  <c r="M29" i="1" s="1"/>
  <c r="N29" i="1"/>
  <c r="G30" i="1"/>
  <c r="H30" i="1"/>
  <c r="I30" i="1"/>
  <c r="L30" i="1"/>
  <c r="M30" i="1"/>
  <c r="N30" i="1"/>
  <c r="G31" i="1"/>
  <c r="H31" i="1"/>
  <c r="I31" i="1"/>
  <c r="L31" i="1"/>
  <c r="M31" i="1"/>
  <c r="N31" i="1"/>
  <c r="G32" i="1"/>
  <c r="H32" i="1"/>
  <c r="I32" i="1"/>
  <c r="L32" i="1"/>
  <c r="M32" i="1" s="1"/>
  <c r="G33" i="1"/>
  <c r="H33" i="1"/>
  <c r="I33" i="1"/>
  <c r="L33" i="1"/>
  <c r="M33" i="1" s="1"/>
  <c r="G34" i="1"/>
  <c r="H34" i="1"/>
  <c r="I34" i="1"/>
  <c r="L34" i="1"/>
  <c r="M34" i="1"/>
  <c r="N34" i="1"/>
  <c r="G35" i="1"/>
  <c r="H35" i="1"/>
  <c r="I35" i="1"/>
  <c r="L35" i="1"/>
  <c r="M35" i="1" s="1"/>
  <c r="G36" i="1"/>
  <c r="H36" i="1"/>
  <c r="I36" i="1"/>
  <c r="L36" i="1"/>
  <c r="M36" i="1" s="1"/>
  <c r="G37" i="1"/>
  <c r="H37" i="1"/>
  <c r="I37" i="1"/>
  <c r="L37" i="1"/>
  <c r="M37" i="1"/>
  <c r="G38" i="1"/>
  <c r="H38" i="1"/>
  <c r="I38" i="1"/>
  <c r="L38" i="1"/>
  <c r="M38" i="1"/>
  <c r="G39" i="1"/>
  <c r="H39" i="1"/>
  <c r="I39" i="1"/>
  <c r="L39" i="1"/>
  <c r="M39" i="1"/>
  <c r="G40" i="1"/>
  <c r="H40" i="1" s="1"/>
  <c r="I40" i="1"/>
  <c r="L40" i="1"/>
  <c r="M40" i="1"/>
  <c r="N40" i="1"/>
  <c r="G41" i="1"/>
  <c r="H41" i="1"/>
  <c r="I41" i="1"/>
  <c r="L41" i="1"/>
  <c r="M41" i="1"/>
  <c r="G42" i="1"/>
  <c r="H42" i="1"/>
  <c r="I42" i="1"/>
  <c r="L42" i="1"/>
  <c r="M42" i="1"/>
  <c r="G43" i="1"/>
  <c r="H43" i="1" s="1"/>
  <c r="I43" i="1"/>
  <c r="L43" i="1"/>
  <c r="M43" i="1"/>
  <c r="N43" i="1"/>
  <c r="G44" i="1"/>
  <c r="H44" i="1"/>
  <c r="I44" i="1"/>
  <c r="L44" i="1"/>
  <c r="M44" i="1"/>
  <c r="N44" i="1"/>
  <c r="G45" i="1"/>
  <c r="H45" i="1"/>
  <c r="I45" i="1"/>
  <c r="L45" i="1"/>
  <c r="M45" i="1" s="1"/>
  <c r="N45" i="1"/>
  <c r="G46" i="1"/>
  <c r="H46" i="1" s="1"/>
  <c r="I46" i="1"/>
  <c r="L46" i="1"/>
  <c r="M46" i="1"/>
  <c r="N46" i="1"/>
  <c r="G47" i="1"/>
  <c r="H47" i="1" s="1"/>
  <c r="I47" i="1"/>
  <c r="L47" i="1"/>
  <c r="M47" i="1"/>
  <c r="G48" i="1"/>
  <c r="H48" i="1"/>
  <c r="I48" i="1"/>
  <c r="L48" i="1"/>
  <c r="M48" i="1" s="1"/>
  <c r="G49" i="1"/>
  <c r="H49" i="1" s="1"/>
  <c r="I49" i="1"/>
  <c r="L49" i="1"/>
  <c r="M49" i="1"/>
  <c r="G50" i="1"/>
  <c r="H50" i="1"/>
  <c r="I50" i="1"/>
  <c r="L50" i="1"/>
  <c r="M50" i="1" s="1"/>
  <c r="G51" i="1"/>
  <c r="H51" i="1"/>
  <c r="I51" i="1"/>
  <c r="L51" i="1"/>
  <c r="M51" i="1" s="1"/>
  <c r="G52" i="1"/>
  <c r="H52" i="1"/>
  <c r="I52" i="1"/>
  <c r="L52" i="1"/>
  <c r="M52" i="1"/>
  <c r="G53" i="1"/>
  <c r="H53" i="1"/>
  <c r="I53" i="1"/>
  <c r="L53" i="1"/>
  <c r="M53" i="1"/>
  <c r="G54" i="1"/>
  <c r="H54" i="1"/>
  <c r="I54" i="1"/>
  <c r="L54" i="1"/>
  <c r="N54" i="1"/>
  <c r="G55" i="1"/>
  <c r="H55" i="1" s="1"/>
  <c r="I55" i="1"/>
  <c r="L55" i="1"/>
  <c r="M55" i="1"/>
  <c r="N55" i="1"/>
  <c r="G56" i="1"/>
  <c r="H56" i="1"/>
  <c r="I56" i="1"/>
  <c r="L56" i="1"/>
  <c r="M56" i="1"/>
  <c r="N56" i="1"/>
  <c r="G57" i="1"/>
  <c r="H57" i="1"/>
  <c r="I57" i="1"/>
  <c r="L57" i="1"/>
  <c r="M57" i="1" s="1"/>
  <c r="N57" i="1"/>
  <c r="G58" i="1"/>
  <c r="H58" i="1" s="1"/>
  <c r="I58" i="1"/>
  <c r="L58" i="1"/>
  <c r="M58" i="1"/>
  <c r="N58" i="1"/>
  <c r="G59" i="1"/>
  <c r="H59" i="1" s="1"/>
  <c r="L59" i="1"/>
  <c r="M59" i="1" s="1"/>
  <c r="G60" i="1"/>
  <c r="H60" i="1"/>
  <c r="L60" i="1"/>
  <c r="M60" i="1"/>
  <c r="G61" i="1"/>
  <c r="H61" i="1" s="1"/>
  <c r="L61" i="1"/>
  <c r="M61" i="1" s="1"/>
  <c r="G62" i="1"/>
  <c r="H62" i="1" s="1"/>
  <c r="L62" i="1"/>
  <c r="M62" i="1"/>
  <c r="L63" i="1"/>
  <c r="G64" i="1"/>
  <c r="H64" i="1"/>
  <c r="L64" i="1"/>
  <c r="L65" i="1"/>
  <c r="M65" i="1" s="1"/>
  <c r="G66" i="1"/>
  <c r="L66" i="1"/>
  <c r="M66" i="1"/>
  <c r="G67" i="1"/>
  <c r="H67" i="1" s="1"/>
  <c r="L67" i="1"/>
  <c r="M67" i="1"/>
  <c r="G68" i="1"/>
  <c r="H68" i="1"/>
  <c r="L68" i="1"/>
  <c r="M68" i="1"/>
  <c r="G69" i="1"/>
  <c r="H69" i="1" s="1"/>
  <c r="L69" i="1"/>
  <c r="M69" i="1"/>
  <c r="G70" i="1"/>
  <c r="H70" i="1"/>
  <c r="L70" i="1"/>
  <c r="M70" i="1"/>
  <c r="G71" i="1"/>
  <c r="H71" i="1"/>
  <c r="L71" i="1"/>
  <c r="M71" i="1"/>
  <c r="O72" i="1"/>
  <c r="O45" i="1" l="1"/>
  <c r="O4" i="1"/>
  <c r="O29" i="1"/>
  <c r="O19" i="1"/>
  <c r="O36" i="1"/>
  <c r="O13" i="1"/>
  <c r="O8" i="1"/>
  <c r="O70" i="1"/>
  <c r="M73" i="1"/>
  <c r="O69" i="1" s="1"/>
  <c r="O2" i="1"/>
  <c r="P2" i="1" s="1"/>
  <c r="O58" i="1"/>
  <c r="O71" i="1"/>
  <c r="O16" i="1"/>
  <c r="O6" i="1"/>
  <c r="O47" i="1"/>
  <c r="O20" i="1"/>
  <c r="O49" i="1"/>
  <c r="O50" i="1" l="1"/>
  <c r="O57" i="1"/>
  <c r="O41" i="1"/>
  <c r="O65" i="1"/>
  <c r="O60" i="1"/>
  <c r="O3" i="1"/>
  <c r="P3" i="1" s="1"/>
  <c r="P4" i="1" s="1"/>
  <c r="O32" i="1"/>
  <c r="O44" i="1"/>
  <c r="O66" i="1"/>
  <c r="O37" i="1"/>
  <c r="O40" i="1"/>
  <c r="O43" i="1"/>
  <c r="O52" i="1"/>
  <c r="O55" i="1"/>
  <c r="O31" i="1"/>
  <c r="O34" i="1"/>
  <c r="O64" i="1"/>
  <c r="O18" i="1"/>
  <c r="O27" i="1"/>
  <c r="O11" i="1"/>
  <c r="O14" i="1"/>
  <c r="O23" i="1"/>
  <c r="O62" i="1"/>
  <c r="O12" i="1"/>
  <c r="O17" i="1"/>
  <c r="O26" i="1"/>
  <c r="O15" i="1"/>
  <c r="O63" i="1"/>
  <c r="O24" i="1"/>
  <c r="O68" i="1"/>
  <c r="O21" i="1"/>
  <c r="O54" i="1"/>
  <c r="O67" i="1"/>
  <c r="O39" i="1"/>
  <c r="O48" i="1"/>
  <c r="O61" i="1"/>
  <c r="O53" i="1"/>
  <c r="O46" i="1"/>
  <c r="O9" i="1"/>
  <c r="O28" i="1"/>
  <c r="O51" i="1"/>
  <c r="O35" i="1"/>
  <c r="O5" i="1"/>
  <c r="O25" i="1"/>
  <c r="O22" i="1"/>
  <c r="O42" i="1"/>
  <c r="O38" i="1"/>
  <c r="O59" i="1"/>
  <c r="O56" i="1"/>
  <c r="O30" i="1"/>
  <c r="O7" i="1"/>
  <c r="O33" i="1"/>
  <c r="O10" i="1"/>
  <c r="P5" i="1" l="1"/>
  <c r="P6" i="1" s="1"/>
  <c r="P7" i="1" s="1"/>
  <c r="P8" i="1" s="1"/>
  <c r="P9" i="1" s="1"/>
  <c r="P10" i="1" s="1"/>
  <c r="P11" i="1" s="1"/>
  <c r="P12" i="1" s="1"/>
  <c r="P13" i="1" s="1"/>
  <c r="P14" i="1" s="1"/>
  <c r="P15" i="1" s="1"/>
  <c r="P16" i="1" s="1"/>
  <c r="P17" i="1" s="1"/>
  <c r="P18" i="1" s="1"/>
  <c r="P19" i="1" s="1"/>
  <c r="P20" i="1" s="1"/>
  <c r="P21" i="1" s="1"/>
  <c r="P22" i="1" s="1"/>
  <c r="P23" i="1" s="1"/>
  <c r="P24" i="1" s="1"/>
  <c r="P25" i="1" s="1"/>
  <c r="P26" i="1" s="1"/>
  <c r="P27" i="1" s="1"/>
  <c r="P28" i="1" s="1"/>
  <c r="P29" i="1" s="1"/>
  <c r="P30" i="1" s="1"/>
  <c r="P31" i="1" s="1"/>
  <c r="P32" i="1" s="1"/>
  <c r="P33" i="1" s="1"/>
  <c r="P34" i="1" s="1"/>
  <c r="P35" i="1" s="1"/>
  <c r="P36" i="1" s="1"/>
  <c r="P37" i="1" s="1"/>
  <c r="P38" i="1" s="1"/>
  <c r="P39" i="1" s="1"/>
  <c r="P40" i="1" s="1"/>
  <c r="P41" i="1" s="1"/>
  <c r="P42" i="1" s="1"/>
  <c r="P43" i="1" s="1"/>
  <c r="P44" i="1" s="1"/>
  <c r="P45" i="1" s="1"/>
  <c r="P46" i="1" s="1"/>
  <c r="P47" i="1" s="1"/>
  <c r="P48" i="1" s="1"/>
  <c r="P49" i="1" s="1"/>
  <c r="P50" i="1" s="1"/>
  <c r="P51" i="1" s="1"/>
  <c r="P52" i="1" s="1"/>
  <c r="P53" i="1" s="1"/>
  <c r="P54" i="1" s="1"/>
  <c r="P55" i="1" s="1"/>
  <c r="P56" i="1" s="1"/>
  <c r="P57" i="1" s="1"/>
  <c r="P58" i="1" s="1"/>
  <c r="P59" i="1" s="1"/>
  <c r="P60" i="1" s="1"/>
  <c r="P61" i="1" s="1"/>
  <c r="P62" i="1" s="1"/>
  <c r="P63" i="1" s="1"/>
  <c r="P64" i="1" s="1"/>
  <c r="P65" i="1" s="1"/>
  <c r="P66" i="1" s="1"/>
  <c r="P67" i="1" s="1"/>
  <c r="P68" i="1" s="1"/>
  <c r="P69" i="1" s="1"/>
  <c r="P70" i="1" s="1"/>
  <c r="P7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5900-000001000000}">
      <text>
        <r>
          <rPr>
            <sz val="10"/>
            <color rgb="FF000000"/>
            <rFont val="Aptos Narrow"/>
            <family val="2"/>
            <scheme val="minor"/>
          </rPr>
          <t>======
ID#AAABb20Iq5w
Stephanie Overla    (2025-01-18 01:43:16)
was to reports with exact same info</t>
        </r>
      </text>
    </comment>
  </commentList>
</comments>
</file>

<file path=xl/sharedStrings.xml><?xml version="1.0" encoding="utf-8"?>
<sst xmlns="http://schemas.openxmlformats.org/spreadsheetml/2006/main" count="16" uniqueCount="15">
  <si>
    <t>ScaledSumCPD</t>
  </si>
  <si>
    <t>ScaledCPD</t>
  </si>
  <si>
    <t>Ls_Best</t>
  </si>
  <si>
    <t>Cost per day per acre</t>
  </si>
  <si>
    <t>Real Cost (Adjusted for Inflation)</t>
  </si>
  <si>
    <t>ICS209 Cost</t>
  </si>
  <si>
    <t>Best</t>
  </si>
  <si>
    <t>Ls_Growth</t>
  </si>
  <si>
    <t>As</t>
  </si>
  <si>
    <t>Growth</t>
  </si>
  <si>
    <t>Prog 1019</t>
  </si>
  <si>
    <t>IR size</t>
  </si>
  <si>
    <t>ICS209 size</t>
  </si>
  <si>
    <t>Fire Day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</si>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</sst>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3" x14ac:knownFonts="1">
    <font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00FF00"/>
        <bgColor rgb="FF00FF00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/>
    <xf numFmtId="0" fontId="1" fillId="3" borderId="0" xfId="0" applyFont="1" applyFill="1"/>
    <xf numFmtId="164" fontId="2" fillId="2" borderId="0" xfId="0" applyNumberFormat="1" applyFont="1" applyFill="1"/>
    <xf numFmtId="164" fontId="2" fillId="0" borderId="0" xfId="0" applyNumberFormat="1" applyFont="1"/>
    <xf numFmtId="164" fontId="2" fillId="4" borderId="0" xfId="0" applyNumberFormat="1" applyFont="1" applyFill="1"/>
    <xf numFmtId="164" fontId="2" fillId="5" borderId="0" xfId="0" applyNumberFormat="1" applyFont="1" applyFill="1"/>
    <xf numFmtId="164" fontId="2" fillId="2" borderId="0" xfId="0" applyNumberFormat="1" applyFont="1" applyFill="1" applyAlignment="1">
      <alignment wrapText="1"/>
    </xf>
    <xf numFmtId="164" fontId="2" fillId="0" borderId="0" xfId="0" applyNumberFormat="1" applyFont="1" applyAlignment="1">
      <alignment wrapText="1"/>
    </xf>
    <xf numFmtId="164" fontId="2" fillId="4" borderId="1" xfId="0" applyNumberFormat="1" applyFont="1" applyFill="1" applyBorder="1" applyAlignment="1">
      <alignment wrapText="1"/>
    </xf>
    <xf numFmtId="164" fontId="2" fillId="5" borderId="1" xfId="0" applyNumberFormat="1" applyFont="1" applyFill="1" applyBorder="1" applyAlignment="1">
      <alignment wrapText="1"/>
    </xf>
    <xf numFmtId="0" fontId="1" fillId="0" borderId="0" xfId="0" applyFont="1"/>
    <xf numFmtId="14" fontId="2" fillId="0" borderId="0" xfId="0" applyNumberFormat="1" applyFont="1"/>
    <xf numFmtId="0" fontId="2" fillId="2" borderId="0" xfId="0" applyFont="1" applyFill="1" applyAlignment="1">
      <alignment horizontal="right"/>
    </xf>
    <xf numFmtId="0" fontId="2" fillId="3" borderId="0" xfId="0" applyFont="1" applyFill="1" applyAlignment="1">
      <alignment horizontal="right"/>
    </xf>
    <xf numFmtId="0" fontId="2" fillId="0" borderId="0" xfId="0" applyFont="1" applyAlignment="1">
      <alignment horizontal="right"/>
    </xf>
    <xf numFmtId="0" fontId="2" fillId="0" borderId="0" xfId="0" applyFont="1"/>
    <xf numFmtId="2" fontId="2" fillId="0" borderId="0" xfId="0" applyNumberFormat="1" applyFont="1"/>
    <xf numFmtId="14" fontId="2" fillId="0" borderId="0" xfId="0" applyNumberFormat="1" applyFont="1" applyAlignment="1">
      <alignment horizontal="right"/>
    </xf>
    <xf numFmtId="0" fontId="1" fillId="6" borderId="0" xfId="0" applyFont="1" applyFill="1"/>
    <xf numFmtId="2" fontId="2" fillId="6" borderId="0" xfId="0" applyNumberFormat="1" applyFont="1" applyFill="1" applyAlignment="1">
      <alignment horizontal="right"/>
    </xf>
    <xf numFmtId="164" fontId="2" fillId="6" borderId="1" xfId="0" applyNumberFormat="1" applyFont="1" applyFill="1" applyBorder="1" applyAlignment="1">
      <alignment wrapText="1"/>
    </xf>
    <xf numFmtId="164" fontId="2" fillId="6" borderId="0" xfId="0" applyNumberFormat="1" applyFont="1" applyFill="1" applyAlignment="1">
      <alignment wrapText="1"/>
    </xf>
    <xf numFmtId="0" fontId="2" fillId="6" borderId="0" xfId="0" applyFont="1" applyFill="1" applyAlignment="1">
      <alignment horizontal="right"/>
    </xf>
    <xf numFmtId="0" fontId="2" fillId="6" borderId="0" xfId="0" applyFont="1" applyFill="1"/>
    <xf numFmtId="14" fontId="2" fillId="6" borderId="0" xfId="0" applyNumberFormat="1" applyFont="1" applyFill="1" applyAlignment="1">
      <alignment horizontal="right"/>
    </xf>
    <xf numFmtId="2" fontId="2" fillId="0" borderId="0" xfId="0" applyNumberFormat="1" applyFont="1" applyAlignment="1">
      <alignment horizontal="right"/>
    </xf>
    <xf numFmtId="0" fontId="2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verl\Downloads\Research%20Project%20-%20pairs,%20Ls,%20cost.xlsx" TargetMode="External"/><Relationship Id="rId1" Type="http://schemas.openxmlformats.org/officeDocument/2006/relationships/externalLinkPath" Target="/Users/overl/Downloads/Research%20Project%20-%20pairs,%20Ls,%20co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SCPD"/>
      <sheetName val="Inflation Rates by Year"/>
      <sheetName val="XLFCandidates"/>
      <sheetName val="Project Pairs"/>
      <sheetName val="Project Pairs 2"/>
      <sheetName val="DryGulchLF(39)"/>
      <sheetName val="CubCreek2LF(38)"/>
      <sheetName val="BackboneLF(37)"/>
      <sheetName val="CooksPeakLF(36)"/>
      <sheetName val="HirzLF(34)"/>
      <sheetName val="PierLF(33)"/>
      <sheetName val="IslandLF(31)"/>
      <sheetName val="WhitmoreLF(32)"/>
      <sheetName val="Road702LF(29)"/>
      <sheetName val="RiverLF(42)"/>
      <sheetName val="McCashXLF(1)"/>
      <sheetName val="SoberanesXLF(30)"/>
      <sheetName val="KlondikeXLF(28)"/>
      <sheetName val="BoxcarXLF(23)"/>
      <sheetName val="MosquitoXLF(22)"/>
      <sheetName val="GooseCreekXLF(21)"/>
      <sheetName val="EvansCanyonXLF(20)"/>
      <sheetName val="RafaelXLF(19)"/>
      <sheetName val="EastForkXLF(18)"/>
      <sheetName val="CaldwellXLF(17)"/>
      <sheetName val="DiamondCreekXLF(16)"/>
      <sheetName val="HighlineXLF(13)"/>
      <sheetName val="WoodburyXLF(11)"/>
      <sheetName val="SpringCreekXLF(10)"/>
      <sheetName val="SartinDrawXLF(9)"/>
      <sheetName val="BoundaryXLF(8)"/>
      <sheetName val="CampXLF(7)"/>
      <sheetName val="GrassValleyXLF(5)"/>
      <sheetName val="NorthStarXLF(2)"/>
      <sheetName val="RoughXLF(4)"/>
      <sheetName val="CarrXLF(6)"/>
      <sheetName val="CarltonCplxFOUS (33)"/>
      <sheetName val="BasinFOUS(32)"/>
      <sheetName val="ChetcoBarFOUS(34)"/>
      <sheetName val="AshCreekFOUS(31)"/>
      <sheetName val="ChimneyLF(30)"/>
      <sheetName val="HighParkLF(29)"/>
      <sheetName val="WatsonCreekLF(28)"/>
      <sheetName val="BlackRockLF(27)"/>
      <sheetName val="PoleCreekLF(26)"/>
      <sheetName val="ZoggLF(25)"/>
      <sheetName val="BurroLF(24)"/>
      <sheetName val="CinderButteLF(23)"/>
      <sheetName val="ButteLF(22)"/>
      <sheetName val="JohnsonXLF(3)"/>
      <sheetName val="BlackPineLF(21)"/>
      <sheetName val="SchneiderSpringsFOUS(20)"/>
      <sheetName val="JollyMountainLF(20)"/>
      <sheetName val="JuniperLF(19)"/>
      <sheetName val="BeaverCreekLF(18)"/>
      <sheetName val="LavaLF(17)"/>
      <sheetName val="NenaSpringsLF(16)"/>
      <sheetName val="BrattainLF(15)"/>
      <sheetName val="RyanLF(14)"/>
      <sheetName val="TrailCreekLF(13)"/>
      <sheetName val="DomeLF(12)"/>
      <sheetName val="TelegraphFOUS(11)"/>
      <sheetName val="MescalLF(11)"/>
      <sheetName val="(5)WhitneyFOUS"/>
      <sheetName val="BullDrawLF(10)"/>
      <sheetName val="SarpyLF(9)"/>
      <sheetName val="WoodheadFOUS(8)"/>
      <sheetName val="MesaLF(8)"/>
      <sheetName val="WalkerLF(7)"/>
      <sheetName val="(1)McKinneyLF"/>
      <sheetName val="(2)CountyLine2LF"/>
      <sheetName val="(3)Bear TrapLF"/>
      <sheetName val="(4)DonnellLF"/>
      <sheetName val="(5)WilliamsFlatLF"/>
      <sheetName val="(6)DeltaLF"/>
    </sheetNames>
    <sheetDataSet>
      <sheetData sheetId="0"/>
      <sheetData sheetId="1">
        <row r="2">
          <cell r="D2">
            <v>1.1443291200000001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D4724-C579-4AD6-AFBB-0822B2D8DED7}">
  <sheetPr>
    <outlinePr summaryBelow="0" summaryRight="0"/>
  </sheetPr>
  <dimension ref="A1:AF999"/>
  <sheetViews>
    <sheetView tabSelected="1" workbookViewId="0">
      <selection activeCell="G2" sqref="G2:H62"/>
    </sheetView>
  </sheetViews>
  <sheetFormatPr defaultColWidth="12.5703125" defaultRowHeight="15" customHeight="1" x14ac:dyDescent="0.25"/>
  <cols>
    <col min="4" max="4" width="12" customWidth="1"/>
    <col min="11" max="13" width="12" customWidth="1"/>
    <col min="15" max="15" width="14.140625" customWidth="1"/>
    <col min="16" max="16" width="18" customWidth="1"/>
  </cols>
  <sheetData>
    <row r="1" spans="1:16" ht="39.75" thickBot="1" x14ac:dyDescent="0.3">
      <c r="A1" s="16" t="s">
        <v>14</v>
      </c>
      <c r="B1" s="16" t="s">
        <v>13</v>
      </c>
      <c r="C1" s="16" t="s">
        <v>12</v>
      </c>
      <c r="D1" s="8" t="s">
        <v>5</v>
      </c>
      <c r="E1" s="16" t="s">
        <v>11</v>
      </c>
      <c r="F1" s="16" t="s">
        <v>10</v>
      </c>
      <c r="G1" s="16" t="s">
        <v>9</v>
      </c>
      <c r="H1" s="28" t="s">
        <v>8</v>
      </c>
      <c r="I1" s="28" t="s">
        <v>7</v>
      </c>
      <c r="J1" s="27" t="s">
        <v>6</v>
      </c>
      <c r="K1" s="7" t="s">
        <v>5</v>
      </c>
      <c r="L1" s="10" t="s">
        <v>4</v>
      </c>
      <c r="M1" s="9" t="s">
        <v>3</v>
      </c>
      <c r="N1" s="17" t="s">
        <v>2</v>
      </c>
      <c r="O1" s="11" t="s">
        <v>1</v>
      </c>
      <c r="P1" s="11" t="s">
        <v>0</v>
      </c>
    </row>
    <row r="2" spans="1:16" ht="14.25" thickBot="1" x14ac:dyDescent="0.3">
      <c r="A2" s="18">
        <v>44082</v>
      </c>
      <c r="B2" s="15">
        <v>1</v>
      </c>
      <c r="C2" s="15">
        <v>25000</v>
      </c>
      <c r="D2" s="8">
        <v>25000</v>
      </c>
      <c r="E2" s="16"/>
      <c r="F2" s="16"/>
      <c r="G2" s="11">
        <f>J2</f>
        <v>25000</v>
      </c>
      <c r="H2" s="14">
        <f>70/$J$71*(G2)</f>
        <v>11.127360590068035</v>
      </c>
      <c r="I2" s="14">
        <f>$B$58/SQRT($J$58)*(SQRT(J2)-SQRT(0))</f>
        <v>22.725943185559995</v>
      </c>
      <c r="J2" s="13">
        <v>25000</v>
      </c>
      <c r="K2" s="7">
        <v>25000</v>
      </c>
      <c r="L2" s="10">
        <f>K2*'[1]Inflation Rates by Year'!D$2</f>
        <v>28608.228000000003</v>
      </c>
      <c r="M2" s="9">
        <f>J2/L2</f>
        <v>0.87387446716378225</v>
      </c>
      <c r="N2" s="26" t="e">
        <f>$B$58/SQRT($J$58)*(SQRT(J2)-SQRT(#REF!))</f>
        <v>#REF!</v>
      </c>
      <c r="O2" s="11">
        <f>M2/M$73</f>
        <v>5.0974520515362397E-5</v>
      </c>
      <c r="P2" s="11">
        <f>O2</f>
        <v>5.0974520515362397E-5</v>
      </c>
    </row>
    <row r="3" spans="1:16" ht="14.25" thickBot="1" x14ac:dyDescent="0.3">
      <c r="A3" s="18">
        <v>44083</v>
      </c>
      <c r="B3" s="15">
        <v>2</v>
      </c>
      <c r="C3" s="15">
        <v>90000</v>
      </c>
      <c r="D3" s="8">
        <v>500000</v>
      </c>
      <c r="E3" s="16"/>
      <c r="F3" s="15">
        <v>95935</v>
      </c>
      <c r="G3" s="15">
        <f>J3-J2</f>
        <v>70935</v>
      </c>
      <c r="H3" s="14">
        <f>70/$J$71*(G3)</f>
        <v>31.572772938259043</v>
      </c>
      <c r="I3" s="14">
        <f>$B$58/SQRT($J$58)*(SQRT(J3)-SQRT(J2))</f>
        <v>21.792549574437217</v>
      </c>
      <c r="J3" s="13">
        <v>95935</v>
      </c>
      <c r="K3" s="7">
        <v>500000</v>
      </c>
      <c r="L3" s="10">
        <f>K3*'[1]Inflation Rates by Year'!D$2</f>
        <v>572164.56000000006</v>
      </c>
      <c r="M3" s="9">
        <f>L3/J3</f>
        <v>5.9640856830145417</v>
      </c>
      <c r="N3" s="26">
        <f>$B$58/SQRT($J$58)*(SQRT(J3)-SQRT(J2))</f>
        <v>21.792549574437217</v>
      </c>
      <c r="O3" s="11">
        <f>M3/M$73</f>
        <v>3.4789482863701167E-4</v>
      </c>
      <c r="P3" s="11" t="e">
        <f>O3+#REF!</f>
        <v>#REF!</v>
      </c>
    </row>
    <row r="4" spans="1:16" ht="14.25" thickBot="1" x14ac:dyDescent="0.3">
      <c r="A4" s="18">
        <v>44084</v>
      </c>
      <c r="B4" s="15">
        <v>3</v>
      </c>
      <c r="C4" s="15">
        <v>127000</v>
      </c>
      <c r="D4" s="8">
        <v>500000</v>
      </c>
      <c r="E4" s="16"/>
      <c r="F4" s="15">
        <v>119493</v>
      </c>
      <c r="G4" s="15">
        <f>J4-J3</f>
        <v>23558</v>
      </c>
      <c r="H4" s="14">
        <f>70/$J$71*(G4)</f>
        <v>10.48553443123291</v>
      </c>
      <c r="I4" s="14">
        <f>$B$58/SQRT($J$58)*(SQRT(J4)-SQRT(J3))</f>
        <v>5.1662613259409458</v>
      </c>
      <c r="J4" s="13">
        <v>119493</v>
      </c>
      <c r="K4" s="7">
        <v>500000</v>
      </c>
      <c r="L4" s="10">
        <f>K4*'[1]Inflation Rates by Year'!D$2</f>
        <v>572164.56000000006</v>
      </c>
      <c r="M4" s="9">
        <f>L4/J4</f>
        <v>4.7882684341342179</v>
      </c>
      <c r="N4" s="26">
        <f>$B$58/SQRT($J$58)*(SQRT(J4)-SQRT(J3))</f>
        <v>5.1662613259409458</v>
      </c>
      <c r="O4" s="11">
        <f>M4/M$73</f>
        <v>2.793074940397489E-4</v>
      </c>
      <c r="P4" s="11" t="e">
        <f>O4+P3</f>
        <v>#REF!</v>
      </c>
    </row>
    <row r="5" spans="1:16" ht="14.25" thickBot="1" x14ac:dyDescent="0.3">
      <c r="A5" s="18">
        <v>44085</v>
      </c>
      <c r="B5" s="15">
        <v>4</v>
      </c>
      <c r="C5" s="15">
        <v>137000</v>
      </c>
      <c r="D5" s="8">
        <v>1200000</v>
      </c>
      <c r="E5" s="15">
        <v>122006</v>
      </c>
      <c r="F5" s="15">
        <v>123037</v>
      </c>
      <c r="G5" s="15">
        <f>J5-J4</f>
        <v>2513</v>
      </c>
      <c r="H5" s="14">
        <f>70/$J$71*(G5)</f>
        <v>1.1185222865136388</v>
      </c>
      <c r="I5" s="14">
        <f>$B$58/SQRT($J$58)*(SQRT(J5)-SQRT(J4))</f>
        <v>0.51972979313571777</v>
      </c>
      <c r="J5" s="13">
        <v>122006</v>
      </c>
      <c r="K5" s="7">
        <v>1200000</v>
      </c>
      <c r="L5" s="10">
        <f>K5*'[1]Inflation Rates by Year'!D$2</f>
        <v>1373194.9440000001</v>
      </c>
      <c r="M5" s="9">
        <f>L5/J5</f>
        <v>11.255142730685376</v>
      </c>
      <c r="N5" s="26">
        <f>$B$58/SQRT($J$58)*(SQRT(J5)-SQRT(J4))</f>
        <v>0.51972979313571777</v>
      </c>
      <c r="O5" s="11">
        <f>M5/M$73</f>
        <v>6.5653080114666583E-4</v>
      </c>
      <c r="P5" s="11" t="e">
        <f>O5+P4</f>
        <v>#REF!</v>
      </c>
    </row>
    <row r="6" spans="1:16" ht="14.25" thickBot="1" x14ac:dyDescent="0.3">
      <c r="A6" s="18">
        <v>44086</v>
      </c>
      <c r="B6" s="15">
        <v>5</v>
      </c>
      <c r="C6" s="15">
        <v>122006</v>
      </c>
      <c r="D6" s="8">
        <v>1900000</v>
      </c>
      <c r="E6" s="15">
        <v>126333</v>
      </c>
      <c r="F6" s="15">
        <v>127344</v>
      </c>
      <c r="G6" s="15">
        <f>J6-J5</f>
        <v>4327</v>
      </c>
      <c r="H6" s="14">
        <f>70/$J$71*(G6)</f>
        <v>1.9259235709289755</v>
      </c>
      <c r="I6" s="14">
        <f>$B$58/SQRT($J$58)*(SQRT(J6)-SQRT(J5))</f>
        <v>0.8825063283083171</v>
      </c>
      <c r="J6" s="13">
        <v>126333</v>
      </c>
      <c r="K6" s="7">
        <v>1900000</v>
      </c>
      <c r="L6" s="10">
        <f>K6*'[1]Inflation Rates by Year'!D$2</f>
        <v>2174225.3280000002</v>
      </c>
      <c r="M6" s="9">
        <f>L6/J6</f>
        <v>17.210272280401796</v>
      </c>
      <c r="N6" s="26">
        <f>$B$58/SQRT($J$58)*(SQRT(J6)-SQRT(J5))</f>
        <v>0.8825063283083171</v>
      </c>
      <c r="O6" s="11">
        <f>M6/M$73</f>
        <v>1.0039032039459879E-3</v>
      </c>
      <c r="P6" s="11" t="e">
        <f>O6+P5</f>
        <v>#REF!</v>
      </c>
    </row>
    <row r="7" spans="1:16" ht="14.25" thickBot="1" x14ac:dyDescent="0.3">
      <c r="A7" s="18">
        <v>44087</v>
      </c>
      <c r="B7" s="15">
        <v>6</v>
      </c>
      <c r="C7" s="15">
        <v>126333</v>
      </c>
      <c r="D7" s="8">
        <v>2300000</v>
      </c>
      <c r="E7" s="15">
        <v>131601</v>
      </c>
      <c r="F7" s="15">
        <v>132544</v>
      </c>
      <c r="G7" s="15">
        <f>J7-J6</f>
        <v>5268</v>
      </c>
      <c r="H7" s="14">
        <f>70/$J$71*(G7)</f>
        <v>2.3447574235391362</v>
      </c>
      <c r="I7" s="14">
        <f>$B$58/SQRT($J$58)*(SQRT(J7)-SQRT(J6))</f>
        <v>1.0542680190549758</v>
      </c>
      <c r="J7" s="13">
        <v>131601</v>
      </c>
      <c r="K7" s="7">
        <v>2300000</v>
      </c>
      <c r="L7" s="10">
        <f>K7*'[1]Inflation Rates by Year'!D$2</f>
        <v>2631956.9760000003</v>
      </c>
      <c r="M7" s="9">
        <f>L7/J7</f>
        <v>19.999521097864001</v>
      </c>
      <c r="N7" s="26">
        <f>$B$58/SQRT($J$58)*(SQRT(J7)-SQRT(J6))</f>
        <v>1.0542680190549758</v>
      </c>
      <c r="O7" s="11">
        <f>M7/M$73</f>
        <v>1.166604628933989E-3</v>
      </c>
      <c r="P7" s="11" t="e">
        <f>O7+P6</f>
        <v>#REF!</v>
      </c>
    </row>
    <row r="8" spans="1:16" ht="14.25" thickBot="1" x14ac:dyDescent="0.3">
      <c r="A8" s="18">
        <v>44088</v>
      </c>
      <c r="B8" s="15">
        <v>7</v>
      </c>
      <c r="C8" s="15">
        <v>131601</v>
      </c>
      <c r="D8" s="8">
        <v>3200000</v>
      </c>
      <c r="E8" s="16"/>
      <c r="F8" s="15">
        <v>138019</v>
      </c>
      <c r="G8" s="15">
        <f>J8-J7</f>
        <v>6418</v>
      </c>
      <c r="H8" s="14">
        <f>70/$J$71*(G8)</f>
        <v>2.856616010682266</v>
      </c>
      <c r="I8" s="14">
        <f>$B$58/SQRT($J$58)*(SQRT(J8)-SQRT(J7))</f>
        <v>1.2562941625236121</v>
      </c>
      <c r="J8" s="13">
        <v>138019</v>
      </c>
      <c r="K8" s="7">
        <v>3200000</v>
      </c>
      <c r="L8" s="10">
        <f>K8*'[1]Inflation Rates by Year'!D$2</f>
        <v>3661853.1840000004</v>
      </c>
      <c r="M8" s="9">
        <f>L8/J8</f>
        <v>26.531515110238448</v>
      </c>
      <c r="N8" s="26">
        <f>$B$58/SQRT($J$58)*(SQRT(J8)-SQRT(J7))</f>
        <v>1.2562941625236121</v>
      </c>
      <c r="O8" s="11">
        <f>M8/M$73</f>
        <v>1.5476264750930451E-3</v>
      </c>
      <c r="P8" s="11" t="e">
        <f>O8+P7</f>
        <v>#REF!</v>
      </c>
    </row>
    <row r="9" spans="1:16" ht="14.25" thickBot="1" x14ac:dyDescent="0.3">
      <c r="A9" s="18">
        <v>44089</v>
      </c>
      <c r="B9" s="15">
        <v>8</v>
      </c>
      <c r="C9" s="15">
        <v>137111</v>
      </c>
      <c r="D9" s="8">
        <v>3900000</v>
      </c>
      <c r="E9" s="15">
        <v>141403</v>
      </c>
      <c r="F9" s="15">
        <v>142334</v>
      </c>
      <c r="G9" s="15">
        <f>J9-J8</f>
        <v>3384</v>
      </c>
      <c r="H9" s="14">
        <f>70/$J$71*(G9)</f>
        <v>1.5061995294716093</v>
      </c>
      <c r="I9" s="14">
        <f>$B$58/SQRT($J$58)*(SQRT(J9)-SQRT(J8))</f>
        <v>0.65064625294984535</v>
      </c>
      <c r="J9" s="13">
        <v>141403</v>
      </c>
      <c r="K9" s="7">
        <v>3900000</v>
      </c>
      <c r="L9" s="10">
        <f>K9*'[1]Inflation Rates by Year'!D$2</f>
        <v>4462883.568</v>
      </c>
      <c r="M9" s="9">
        <f>L9/J9</f>
        <v>31.561448965014886</v>
      </c>
      <c r="N9" s="26">
        <f>$B$58/SQRT($J$58)*(SQRT(J9)-SQRT(J8))</f>
        <v>0.65064625294984535</v>
      </c>
      <c r="O9" s="11">
        <f>M9/M$73</f>
        <v>1.8410307065994027E-3</v>
      </c>
      <c r="P9" s="11" t="e">
        <f>O9+P8</f>
        <v>#REF!</v>
      </c>
    </row>
    <row r="10" spans="1:16" ht="14.25" thickBot="1" x14ac:dyDescent="0.3">
      <c r="A10" s="18">
        <v>44090</v>
      </c>
      <c r="B10" s="15">
        <v>9</v>
      </c>
      <c r="C10" s="15">
        <v>141403</v>
      </c>
      <c r="D10" s="8">
        <v>4900000</v>
      </c>
      <c r="E10" s="15">
        <v>143092</v>
      </c>
      <c r="F10" s="15">
        <v>144031</v>
      </c>
      <c r="G10" s="15">
        <f>J10-J9</f>
        <v>1689</v>
      </c>
      <c r="H10" s="14">
        <f>70/$J$71*(G10)</f>
        <v>0.75176448146499641</v>
      </c>
      <c r="I10" s="14">
        <f>$B$58/SQRT($J$58)*(SQRT(J10)-SQRT(J9))</f>
        <v>0.32183343337876757</v>
      </c>
      <c r="J10" s="13">
        <v>143092</v>
      </c>
      <c r="K10" s="7">
        <v>4900000</v>
      </c>
      <c r="L10" s="10">
        <f>K10*'[1]Inflation Rates by Year'!D$2</f>
        <v>5607212.6880000001</v>
      </c>
      <c r="M10" s="9">
        <f>L10/J10</f>
        <v>39.186066921980263</v>
      </c>
      <c r="N10" s="26">
        <f>$B$58/SQRT($J$58)*(SQRT(J10)-SQRT(J9))</f>
        <v>0.32183343337876757</v>
      </c>
      <c r="O10" s="11">
        <f>M10/M$73</f>
        <v>2.2857870864608698E-3</v>
      </c>
      <c r="P10" s="11" t="e">
        <f>O10+P9</f>
        <v>#REF!</v>
      </c>
    </row>
    <row r="11" spans="1:16" ht="14.25" thickBot="1" x14ac:dyDescent="0.3">
      <c r="A11" s="18">
        <v>44091</v>
      </c>
      <c r="B11" s="15">
        <v>10</v>
      </c>
      <c r="C11" s="15">
        <v>143092</v>
      </c>
      <c r="D11" s="8">
        <v>6300000</v>
      </c>
      <c r="E11" s="16"/>
      <c r="F11" s="16"/>
      <c r="G11" s="15">
        <f>J11-J10</f>
        <v>0</v>
      </c>
      <c r="H11" s="14">
        <f>70/$J$71*(G11)</f>
        <v>0</v>
      </c>
      <c r="I11" s="14">
        <f>$B$58/SQRT($J$58)*(SQRT(J11)-SQRT(J10))</f>
        <v>0</v>
      </c>
      <c r="J11" s="13">
        <v>143092</v>
      </c>
      <c r="K11" s="7">
        <v>6300000</v>
      </c>
      <c r="L11" s="10">
        <f>K11*'[1]Inflation Rates by Year'!D$2</f>
        <v>7209273.4560000002</v>
      </c>
      <c r="M11" s="9">
        <f>L11/J11</f>
        <v>50.382086042546057</v>
      </c>
      <c r="N11" s="17"/>
      <c r="O11" s="11">
        <f>M11/M$73</f>
        <v>2.9388691111639754E-3</v>
      </c>
      <c r="P11" s="11" t="e">
        <f>O11+P10</f>
        <v>#REF!</v>
      </c>
    </row>
    <row r="12" spans="1:16" ht="14.25" thickBot="1" x14ac:dyDescent="0.3">
      <c r="A12" s="18">
        <v>44092</v>
      </c>
      <c r="B12" s="15">
        <v>11</v>
      </c>
      <c r="C12" s="15">
        <v>146698</v>
      </c>
      <c r="D12" s="4">
        <v>8600000</v>
      </c>
      <c r="E12" s="15">
        <v>146714</v>
      </c>
      <c r="F12" s="15">
        <v>147701</v>
      </c>
      <c r="G12" s="15">
        <f>J12-J11</f>
        <v>3622</v>
      </c>
      <c r="H12" s="14">
        <f>70/$J$71*(G12)</f>
        <v>1.6121320022890571</v>
      </c>
      <c r="I12" s="14">
        <f>$B$58/SQRT($J$58)*(SQRT(J12)-SQRT(J11))</f>
        <v>0.68381741074913838</v>
      </c>
      <c r="J12" s="13">
        <v>146714</v>
      </c>
      <c r="K12" s="3">
        <v>8600000</v>
      </c>
      <c r="L12" s="10">
        <f>K12*'[1]Inflation Rates by Year'!D$2</f>
        <v>9841230.432</v>
      </c>
      <c r="M12" s="9">
        <f>L12/J12</f>
        <v>67.077650612756798</v>
      </c>
      <c r="N12" s="17"/>
      <c r="O12" s="11">
        <f>M12/M$73</f>
        <v>3.9127485763254871E-3</v>
      </c>
      <c r="P12" s="11" t="e">
        <f>O12+P11</f>
        <v>#REF!</v>
      </c>
    </row>
    <row r="13" spans="1:16" ht="14.25" thickBot="1" x14ac:dyDescent="0.3">
      <c r="A13" s="18">
        <v>44093</v>
      </c>
      <c r="B13" s="15">
        <v>12</v>
      </c>
      <c r="C13" s="15">
        <v>146698</v>
      </c>
      <c r="D13" s="8">
        <v>12000000</v>
      </c>
      <c r="E13" s="15">
        <v>148583</v>
      </c>
      <c r="F13" s="15">
        <v>149600</v>
      </c>
      <c r="G13" s="15">
        <f>J13-J12</f>
        <v>1869</v>
      </c>
      <c r="H13" s="14">
        <f>70/$J$71*(G13)</f>
        <v>0.83188147771348631</v>
      </c>
      <c r="I13" s="14">
        <f>$B$58/SQRT($J$58)*(SQRT(J13)-SQRT(J12))</f>
        <v>0.34955769996765074</v>
      </c>
      <c r="J13" s="13">
        <v>148583</v>
      </c>
      <c r="K13" s="7">
        <v>12000000</v>
      </c>
      <c r="L13" s="10">
        <f>K13*'[1]Inflation Rates by Year'!D$2</f>
        <v>13731949.440000001</v>
      </c>
      <c r="M13" s="9">
        <f>L13/J13</f>
        <v>92.419384720997698</v>
      </c>
      <c r="N13" s="26">
        <f>$B$58/SQRT($J$58)*(SQRT(J13)-SQRT(J12))</f>
        <v>0.34955769996765074</v>
      </c>
      <c r="O13" s="11">
        <f>M13/M$73</f>
        <v>5.390973188366106E-3</v>
      </c>
      <c r="P13" s="11" t="e">
        <f>O13+P12</f>
        <v>#REF!</v>
      </c>
    </row>
    <row r="14" spans="1:16" ht="14.25" thickBot="1" x14ac:dyDescent="0.3">
      <c r="A14" s="18">
        <v>44094</v>
      </c>
      <c r="B14" s="15">
        <v>13</v>
      </c>
      <c r="C14" s="15">
        <v>148583</v>
      </c>
      <c r="D14" s="4">
        <v>14000000</v>
      </c>
      <c r="E14" s="16"/>
      <c r="F14" s="16"/>
      <c r="G14" s="15">
        <f>J14-J13</f>
        <v>0</v>
      </c>
      <c r="H14" s="14">
        <f>70/$J$71*(G14)</f>
        <v>0</v>
      </c>
      <c r="I14" s="14">
        <f>$B$58/SQRT($J$58)*(SQRT(J14)-SQRT(J13))</f>
        <v>0</v>
      </c>
      <c r="J14" s="13">
        <v>148583</v>
      </c>
      <c r="K14" s="3">
        <v>14000000</v>
      </c>
      <c r="L14" s="10">
        <f>K14*'[1]Inflation Rates by Year'!D$2</f>
        <v>16020607.680000002</v>
      </c>
      <c r="M14" s="9">
        <f>L14/J14</f>
        <v>107.82261550783065</v>
      </c>
      <c r="N14" s="17"/>
      <c r="O14" s="11">
        <f>M14/M$73</f>
        <v>6.2894687197604573E-3</v>
      </c>
      <c r="P14" s="11" t="e">
        <f>O14+P13</f>
        <v>#REF!</v>
      </c>
    </row>
    <row r="15" spans="1:16" ht="14.25" thickBot="1" x14ac:dyDescent="0.3">
      <c r="A15" s="18">
        <v>44095</v>
      </c>
      <c r="B15" s="15">
        <v>14</v>
      </c>
      <c r="C15" s="15">
        <v>148677</v>
      </c>
      <c r="D15" s="4">
        <v>15400000</v>
      </c>
      <c r="E15" s="15">
        <v>150230</v>
      </c>
      <c r="F15" s="15">
        <v>151273</v>
      </c>
      <c r="G15" s="15">
        <f>J15-J14</f>
        <v>1647</v>
      </c>
      <c r="H15" s="14">
        <f>70/$J$71*(G15)</f>
        <v>0.7330705156736822</v>
      </c>
      <c r="I15" s="14">
        <f>$B$58/SQRT($J$58)*(SQRT(J15)-SQRT(J14))</f>
        <v>0.30621920101600281</v>
      </c>
      <c r="J15" s="13">
        <v>150230</v>
      </c>
      <c r="K15" s="3">
        <v>15400000</v>
      </c>
      <c r="L15" s="10">
        <f>K15*'[1]Inflation Rates by Year'!D$2</f>
        <v>17622668.448000003</v>
      </c>
      <c r="M15" s="9">
        <f>L15/J15</f>
        <v>117.30458928309926</v>
      </c>
      <c r="N15" s="17"/>
      <c r="O15" s="11">
        <f>M15/M$73</f>
        <v>6.8425676886572908E-3</v>
      </c>
      <c r="P15" s="11" t="e">
        <f>O15+P14</f>
        <v>#REF!</v>
      </c>
    </row>
    <row r="16" spans="1:16" ht="14.25" thickBot="1" x14ac:dyDescent="0.3">
      <c r="A16" s="18">
        <v>44096</v>
      </c>
      <c r="B16" s="15">
        <v>15</v>
      </c>
      <c r="C16" s="15">
        <v>150230</v>
      </c>
      <c r="D16" s="8">
        <v>17000000</v>
      </c>
      <c r="E16" s="15">
        <v>150956</v>
      </c>
      <c r="F16" s="16"/>
      <c r="G16" s="15">
        <f>J16-J15</f>
        <v>726</v>
      </c>
      <c r="H16" s="14">
        <f>70/$J$71*(G16)</f>
        <v>0.32313855153557575</v>
      </c>
      <c r="I16" s="14">
        <f>$B$58/SQRT($J$58)*(SQRT(J16)-SQRT(J15))</f>
        <v>0.13444865445263574</v>
      </c>
      <c r="J16" s="13">
        <v>150956</v>
      </c>
      <c r="K16" s="7">
        <v>17000000</v>
      </c>
      <c r="L16" s="10">
        <f>K16*'[1]Inflation Rates by Year'!D$2</f>
        <v>19453595.040000003</v>
      </c>
      <c r="M16" s="9">
        <f>L16/J16</f>
        <v>128.86930655290286</v>
      </c>
      <c r="N16" s="26">
        <f>$B$58/SQRT($J$58)*(SQRT(J16)-SQRT(J15))</f>
        <v>0.13444865445263574</v>
      </c>
      <c r="O16" s="11">
        <f>M16/M$73</f>
        <v>7.5171564767211527E-3</v>
      </c>
      <c r="P16" s="11" t="e">
        <f>O16+P15</f>
        <v>#REF!</v>
      </c>
    </row>
    <row r="17" spans="1:16" ht="14.25" thickBot="1" x14ac:dyDescent="0.3">
      <c r="A17" s="18">
        <v>44097</v>
      </c>
      <c r="B17" s="15">
        <v>16</v>
      </c>
      <c r="C17" s="15">
        <v>150956</v>
      </c>
      <c r="D17" s="8">
        <v>18700000</v>
      </c>
      <c r="E17" s="16"/>
      <c r="F17" s="15">
        <v>152002</v>
      </c>
      <c r="G17" s="15">
        <f>J17-J16</f>
        <v>1046</v>
      </c>
      <c r="H17" s="14">
        <f>70/$J$71*(G17)</f>
        <v>0.46556876708844658</v>
      </c>
      <c r="I17" s="14">
        <f>$B$58/SQRT($J$58)*(SQRT(J17)-SQRT(J16))</f>
        <v>0.19314258228984696</v>
      </c>
      <c r="J17" s="13">
        <v>152002</v>
      </c>
      <c r="K17" s="7">
        <v>18700000</v>
      </c>
      <c r="L17" s="10">
        <f>K17*'[1]Inflation Rates by Year'!D$2</f>
        <v>21398954.544000003</v>
      </c>
      <c r="M17" s="9">
        <f>L17/J17</f>
        <v>140.78074330600916</v>
      </c>
      <c r="N17" s="26">
        <f>$B$58/SQRT($J$58)*(SQRT(J17)-SQRT(J16))</f>
        <v>0.19314258228984696</v>
      </c>
      <c r="O17" s="11">
        <f>M17/M$73</f>
        <v>8.2119699767760311E-3</v>
      </c>
      <c r="P17" s="11" t="e">
        <f>O17+P16</f>
        <v>#REF!</v>
      </c>
    </row>
    <row r="18" spans="1:16" ht="14.25" thickBot="1" x14ac:dyDescent="0.3">
      <c r="A18" s="18">
        <v>44098</v>
      </c>
      <c r="B18" s="15">
        <v>17</v>
      </c>
      <c r="C18" s="15">
        <v>152232</v>
      </c>
      <c r="D18" s="8">
        <v>20500000</v>
      </c>
      <c r="E18" s="15">
        <v>153850</v>
      </c>
      <c r="F18" s="15">
        <v>153557</v>
      </c>
      <c r="G18" s="15">
        <f>J18-J17</f>
        <v>1848</v>
      </c>
      <c r="H18" s="14">
        <f>70/$J$71*(G18)</f>
        <v>0.82253449481782914</v>
      </c>
      <c r="I18" s="14">
        <f>$B$58/SQRT($J$58)*(SQRT(J18)-SQRT(J17))</f>
        <v>0.33961369962111171</v>
      </c>
      <c r="J18" s="13">
        <v>153850</v>
      </c>
      <c r="K18" s="7">
        <v>20500000</v>
      </c>
      <c r="L18" s="10">
        <f>K18*'[1]Inflation Rates by Year'!D$2</f>
        <v>23458746.960000001</v>
      </c>
      <c r="M18" s="9">
        <f>L18/J18</f>
        <v>152.47804328891777</v>
      </c>
      <c r="N18" s="26">
        <f>$B$58/SQRT($J$58)*(SQRT(J18)-SQRT(J17))</f>
        <v>0.33961369962111171</v>
      </c>
      <c r="O18" s="11">
        <f>M18/M$73</f>
        <v>8.8942925303669811E-3</v>
      </c>
      <c r="P18" s="11" t="e">
        <f>O18+P17</f>
        <v>#REF!</v>
      </c>
    </row>
    <row r="19" spans="1:16" ht="14.25" thickBot="1" x14ac:dyDescent="0.3">
      <c r="A19" s="18">
        <v>44099</v>
      </c>
      <c r="B19" s="15">
        <v>18</v>
      </c>
      <c r="C19" s="15">
        <v>153850</v>
      </c>
      <c r="D19" s="8">
        <v>21800000</v>
      </c>
      <c r="E19" s="16"/>
      <c r="F19" s="16"/>
      <c r="G19" s="15">
        <f>J19-J18</f>
        <v>0</v>
      </c>
      <c r="H19" s="14">
        <f>70/$J$71*(G19)</f>
        <v>0</v>
      </c>
      <c r="I19" s="14">
        <f>$B$58/SQRT($J$58)*(SQRT(J19)-SQRT(J18))</f>
        <v>0</v>
      </c>
      <c r="J19" s="13">
        <v>153850</v>
      </c>
      <c r="K19" s="7">
        <v>21800000</v>
      </c>
      <c r="L19" s="10">
        <f>K19*'[1]Inflation Rates by Year'!D$2</f>
        <v>24946374.816000003</v>
      </c>
      <c r="M19" s="9">
        <f>L19/J19</f>
        <v>162.14738261943452</v>
      </c>
      <c r="N19" s="17"/>
      <c r="O19" s="11">
        <f>M19/M$73</f>
        <v>9.4583208371707417E-3</v>
      </c>
      <c r="P19" s="11" t="e">
        <f>O19+P18</f>
        <v>#REF!</v>
      </c>
    </row>
    <row r="20" spans="1:16" ht="14.25" thickBot="1" x14ac:dyDescent="0.3">
      <c r="A20" s="18">
        <v>44100</v>
      </c>
      <c r="B20" s="15">
        <v>19</v>
      </c>
      <c r="C20" s="15">
        <v>153850</v>
      </c>
      <c r="D20" s="8">
        <v>23600000</v>
      </c>
      <c r="E20" s="15">
        <v>154102</v>
      </c>
      <c r="F20" s="15">
        <v>153850</v>
      </c>
      <c r="G20" s="15">
        <f>J20-J19</f>
        <v>252</v>
      </c>
      <c r="H20" s="14">
        <f>70/$J$71*(G20)</f>
        <v>0.11216379474788579</v>
      </c>
      <c r="I20" s="14">
        <f>$B$58/SQRT($J$58)*(SQRT(J20)-SQRT(J19))</f>
        <v>4.6152579290963058E-2</v>
      </c>
      <c r="J20" s="13">
        <v>154102</v>
      </c>
      <c r="K20" s="7">
        <v>23600000</v>
      </c>
      <c r="L20" s="10">
        <f>K20*'[1]Inflation Rates by Year'!D$2</f>
        <v>27006167.232000001</v>
      </c>
      <c r="M20" s="9">
        <f>L20/J20</f>
        <v>175.2486485055353</v>
      </c>
      <c r="N20" s="17"/>
      <c r="O20" s="11">
        <f>M20/M$73</f>
        <v>1.0222539007837464E-2</v>
      </c>
      <c r="P20" s="11" t="e">
        <f>O20+P19</f>
        <v>#REF!</v>
      </c>
    </row>
    <row r="21" spans="1:16" ht="14.25" thickBot="1" x14ac:dyDescent="0.3">
      <c r="A21" s="18">
        <v>44101</v>
      </c>
      <c r="B21" s="15">
        <v>20</v>
      </c>
      <c r="C21" s="15">
        <v>154102</v>
      </c>
      <c r="D21" s="8">
        <v>24800000</v>
      </c>
      <c r="E21" s="16"/>
      <c r="F21" s="16"/>
      <c r="G21" s="15">
        <f>J21-J20</f>
        <v>0</v>
      </c>
      <c r="H21" s="14">
        <f>70/$J$71*(G21)</f>
        <v>0</v>
      </c>
      <c r="I21" s="14">
        <f>$B$58/SQRT($J$58)*(SQRT(J21)-SQRT(J20))</f>
        <v>0</v>
      </c>
      <c r="J21" s="13">
        <v>154102</v>
      </c>
      <c r="K21" s="7">
        <v>24800000</v>
      </c>
      <c r="L21" s="10">
        <f>K21*'[1]Inflation Rates by Year'!D$2</f>
        <v>28379362.176000003</v>
      </c>
      <c r="M21" s="9">
        <f>L21/J21</f>
        <v>184.15959673463033</v>
      </c>
      <c r="N21" s="17"/>
      <c r="O21" s="11">
        <f>M21/M$73</f>
        <v>1.0742329126880047E-2</v>
      </c>
      <c r="P21" s="11" t="e">
        <f>O21+P20</f>
        <v>#REF!</v>
      </c>
    </row>
    <row r="22" spans="1:16" ht="14.25" thickBot="1" x14ac:dyDescent="0.3">
      <c r="A22" s="18">
        <v>44102</v>
      </c>
      <c r="B22" s="15">
        <v>21</v>
      </c>
      <c r="C22" s="15">
        <v>154102</v>
      </c>
      <c r="D22" s="8">
        <v>26800000</v>
      </c>
      <c r="E22" s="16"/>
      <c r="F22" s="16"/>
      <c r="G22" s="15">
        <f>J22-J21</f>
        <v>0</v>
      </c>
      <c r="H22" s="14">
        <f>70/$J$71*(G22)</f>
        <v>0</v>
      </c>
      <c r="I22" s="14">
        <f>$B$58/SQRT($J$58)*(SQRT(J22)-SQRT(J21))</f>
        <v>0</v>
      </c>
      <c r="J22" s="13">
        <v>154102</v>
      </c>
      <c r="K22" s="7">
        <v>26800000</v>
      </c>
      <c r="L22" s="10">
        <f>K22*'[1]Inflation Rates by Year'!D$2</f>
        <v>30668020.416000001</v>
      </c>
      <c r="M22" s="9">
        <f>L22/J22</f>
        <v>199.01117711645534</v>
      </c>
      <c r="N22" s="17"/>
      <c r="O22" s="11">
        <f>M22/M$73</f>
        <v>1.1608645991951019E-2</v>
      </c>
      <c r="P22" s="11" t="e">
        <f>O22+P21</f>
        <v>#REF!</v>
      </c>
    </row>
    <row r="23" spans="1:16" ht="14.25" thickBot="1" x14ac:dyDescent="0.3">
      <c r="A23" s="18">
        <v>44103</v>
      </c>
      <c r="B23" s="15">
        <v>22</v>
      </c>
      <c r="C23" s="15">
        <v>154145</v>
      </c>
      <c r="D23" s="8">
        <v>28200000</v>
      </c>
      <c r="E23" s="16"/>
      <c r="F23" s="16"/>
      <c r="G23" s="15">
        <f>J23-J22</f>
        <v>43</v>
      </c>
      <c r="H23" s="14">
        <f>70/$J$71*(G23)</f>
        <v>1.9139060214917021E-2</v>
      </c>
      <c r="I23" s="14">
        <f>$B$58/SQRT($J$58)*(SQRT(J23)-SQRT(J22))</f>
        <v>7.8714717621368707E-3</v>
      </c>
      <c r="J23" s="13">
        <v>154145</v>
      </c>
      <c r="K23" s="7">
        <v>28200000</v>
      </c>
      <c r="L23" s="10">
        <f>K23*'[1]Inflation Rates by Year'!D$2</f>
        <v>32270081.184000004</v>
      </c>
      <c r="M23" s="9">
        <f>L23/J23</f>
        <v>209.3488675208408</v>
      </c>
      <c r="N23" s="17"/>
      <c r="O23" s="11">
        <f>M23/M$73</f>
        <v>1.2211660305105275E-2</v>
      </c>
      <c r="P23" s="11" t="e">
        <f>O23+P22</f>
        <v>#REF!</v>
      </c>
    </row>
    <row r="24" spans="1:16" ht="14.25" thickBot="1" x14ac:dyDescent="0.3">
      <c r="A24" s="18">
        <v>44104</v>
      </c>
      <c r="B24" s="15">
        <v>23</v>
      </c>
      <c r="C24" s="15">
        <v>154145</v>
      </c>
      <c r="D24" s="8">
        <v>29600000</v>
      </c>
      <c r="E24" s="15">
        <v>154507</v>
      </c>
      <c r="F24" s="15">
        <v>154146</v>
      </c>
      <c r="G24" s="15">
        <f>J24-J23</f>
        <v>362</v>
      </c>
      <c r="H24" s="14">
        <f>70/$J$71*(G24)</f>
        <v>0.16112418134418516</v>
      </c>
      <c r="I24" s="14">
        <f>$B$58/SQRT($J$58)*(SQRT(J24)-SQRT(J23))</f>
        <v>6.6223329501435543E-2</v>
      </c>
      <c r="J24" s="13">
        <v>154507</v>
      </c>
      <c r="K24" s="7">
        <v>29600000</v>
      </c>
      <c r="L24" s="10">
        <f>K24*'[1]Inflation Rates by Year'!D$2</f>
        <v>33872141.952</v>
      </c>
      <c r="M24" s="9">
        <f>L24/J24</f>
        <v>219.22723211246091</v>
      </c>
      <c r="N24" s="17"/>
      <c r="O24" s="11">
        <f>M24/M$73</f>
        <v>1.2787881395724914E-2</v>
      </c>
      <c r="P24" s="11" t="e">
        <f>O24+P23</f>
        <v>#REF!</v>
      </c>
    </row>
    <row r="25" spans="1:16" ht="14.25" thickBot="1" x14ac:dyDescent="0.3">
      <c r="A25" s="18">
        <v>44105</v>
      </c>
      <c r="B25" s="15">
        <v>24</v>
      </c>
      <c r="C25" s="15">
        <v>154445</v>
      </c>
      <c r="D25" s="8">
        <v>30700000</v>
      </c>
      <c r="E25" s="15">
        <v>154563</v>
      </c>
      <c r="F25" s="15">
        <v>154445</v>
      </c>
      <c r="G25" s="15">
        <f>J25-J24</f>
        <v>56</v>
      </c>
      <c r="H25" s="14">
        <f>70/$J$71*(G25)</f>
        <v>2.4925287721752398E-2</v>
      </c>
      <c r="I25" s="14">
        <f>$B$58/SQRT($J$58)*(SQRT(J25)-SQRT(J24))</f>
        <v>1.0237561345672936E-2</v>
      </c>
      <c r="J25" s="13">
        <v>154563</v>
      </c>
      <c r="K25" s="7">
        <v>30700000</v>
      </c>
      <c r="L25" s="10">
        <f>K25*'[1]Inflation Rates by Year'!D$2</f>
        <v>35130903.984000005</v>
      </c>
      <c r="M25" s="9">
        <f>L25/J25</f>
        <v>227.29180970866253</v>
      </c>
      <c r="N25" s="26">
        <f>$B$58/SQRT($J$58)*(SQRT(J25)-SQRT(J24))</f>
        <v>1.0237561345672936E-2</v>
      </c>
      <c r="O25" s="11">
        <f>M25/M$73</f>
        <v>1.3258301337686972E-2</v>
      </c>
      <c r="P25" s="11" t="e">
        <f>O25+P24</f>
        <v>#REF!</v>
      </c>
    </row>
    <row r="26" spans="1:16" ht="14.25" thickBot="1" x14ac:dyDescent="0.3">
      <c r="A26" s="18">
        <v>44106</v>
      </c>
      <c r="B26" s="15">
        <v>25</v>
      </c>
      <c r="C26" s="15">
        <v>154597</v>
      </c>
      <c r="D26" s="8">
        <v>31900000</v>
      </c>
      <c r="E26" s="15">
        <v>154780</v>
      </c>
      <c r="F26" s="16"/>
      <c r="G26" s="15">
        <f>J26-J25</f>
        <v>217</v>
      </c>
      <c r="H26" s="14">
        <f>70/$J$71*(G26)</f>
        <v>9.6585489921790543E-2</v>
      </c>
      <c r="I26" s="14">
        <f>$B$58/SQRT($J$58)*(SQRT(J26)-SQRT(J25))</f>
        <v>3.9653043688823872E-2</v>
      </c>
      <c r="J26" s="13">
        <v>154780</v>
      </c>
      <c r="K26" s="7">
        <v>31900000</v>
      </c>
      <c r="L26" s="10">
        <f>K26*'[1]Inflation Rates by Year'!D$2</f>
        <v>36504098.928000003</v>
      </c>
      <c r="M26" s="9">
        <f>L26/J26</f>
        <v>235.84506349657582</v>
      </c>
      <c r="N26" s="26">
        <f>$B$58/SQRT($J$58)*(SQRT(J26)-SQRT(J25))</f>
        <v>3.9653043688823872E-2</v>
      </c>
      <c r="O26" s="11">
        <f>M26/M$73</f>
        <v>1.3757226557575988E-2</v>
      </c>
      <c r="P26" s="11" t="e">
        <f>O26+P25</f>
        <v>#REF!</v>
      </c>
    </row>
    <row r="27" spans="1:16" ht="14.25" thickBot="1" x14ac:dyDescent="0.3">
      <c r="A27" s="18">
        <v>44107</v>
      </c>
      <c r="B27" s="15">
        <v>26</v>
      </c>
      <c r="C27" s="15">
        <v>154814</v>
      </c>
      <c r="D27" s="8">
        <v>32997000</v>
      </c>
      <c r="E27" s="15">
        <v>154974</v>
      </c>
      <c r="F27" s="16"/>
      <c r="G27" s="15">
        <f>J27-J26</f>
        <v>194</v>
      </c>
      <c r="H27" s="14">
        <f>70/$J$71*(G27)</f>
        <v>8.6348318178927949E-2</v>
      </c>
      <c r="I27" s="14">
        <f>$B$58/SQRT($J$58)*(SQRT(J27)-SQRT(J26))</f>
        <v>3.542665956865753E-2</v>
      </c>
      <c r="J27" s="13">
        <v>154974</v>
      </c>
      <c r="K27" s="7">
        <v>32997000</v>
      </c>
      <c r="L27" s="10">
        <f>K27*'[1]Inflation Rates by Year'!D$2</f>
        <v>37759427.97264</v>
      </c>
      <c r="M27" s="9">
        <f>L27/J27</f>
        <v>243.65008306322352</v>
      </c>
      <c r="N27" s="26">
        <f>$B$58/SQRT($J$58)*(SQRT(J27)-SQRT(J26))</f>
        <v>3.542665956865753E-2</v>
      </c>
      <c r="O27" s="11">
        <f>M27/M$73</f>
        <v>1.4212506057060805E-2</v>
      </c>
      <c r="P27" s="11" t="e">
        <f>O27+P26</f>
        <v>#REF!</v>
      </c>
    </row>
    <row r="28" spans="1:16" ht="14.25" thickBot="1" x14ac:dyDescent="0.3">
      <c r="A28" s="18">
        <v>44108</v>
      </c>
      <c r="B28" s="15">
        <v>27</v>
      </c>
      <c r="C28" s="15">
        <v>155004</v>
      </c>
      <c r="D28" s="8">
        <v>34224549</v>
      </c>
      <c r="E28" s="15">
        <v>155096</v>
      </c>
      <c r="F28" s="16"/>
      <c r="G28" s="15">
        <f>J28-J27</f>
        <v>122</v>
      </c>
      <c r="H28" s="14">
        <f>70/$J$71*(G28)</f>
        <v>5.4301519679532013E-2</v>
      </c>
      <c r="I28" s="14">
        <f>$B$58/SQRT($J$58)*(SQRT(J28)-SQRT(J27))</f>
        <v>2.2267265064498477E-2</v>
      </c>
      <c r="J28" s="13">
        <v>155096</v>
      </c>
      <c r="K28" s="7">
        <v>34224549</v>
      </c>
      <c r="L28" s="10">
        <f>K28*'[1]Inflation Rates by Year'!D$2</f>
        <v>39164148.039566882</v>
      </c>
      <c r="M28" s="9">
        <f>L28/J28</f>
        <v>252.5155261229618</v>
      </c>
      <c r="N28" s="26">
        <f>$B$58/SQRT($J$58)*(SQRT(J28)-SQRT(J27))</f>
        <v>2.2267265064498477E-2</v>
      </c>
      <c r="O28" s="11">
        <f>M28/M$73</f>
        <v>1.4729641785483121E-2</v>
      </c>
      <c r="P28" s="11" t="e">
        <f>O28+P27</f>
        <v>#REF!</v>
      </c>
    </row>
    <row r="29" spans="1:16" ht="14.25" thickBot="1" x14ac:dyDescent="0.3">
      <c r="A29" s="18">
        <v>44109</v>
      </c>
      <c r="B29" s="15">
        <v>28</v>
      </c>
      <c r="C29" s="15">
        <v>155096</v>
      </c>
      <c r="D29" s="8">
        <v>34224549</v>
      </c>
      <c r="E29" s="15">
        <v>155287</v>
      </c>
      <c r="F29" s="16"/>
      <c r="G29" s="15">
        <f>J29-J28</f>
        <v>191</v>
      </c>
      <c r="H29" s="14">
        <f>70/$J$71*(G29)</f>
        <v>8.5013034908119789E-2</v>
      </c>
      <c r="I29" s="14">
        <f>$B$58/SQRT($J$58)*(SQRT(J29)-SQRT(J28))</f>
        <v>3.4843465178115207E-2</v>
      </c>
      <c r="J29" s="13">
        <v>155287</v>
      </c>
      <c r="K29" s="7">
        <v>34224549</v>
      </c>
      <c r="L29" s="10">
        <f>K29*'[1]Inflation Rates by Year'!D$2</f>
        <v>39164148.039566882</v>
      </c>
      <c r="M29" s="9">
        <f>L29/J29</f>
        <v>252.20493692045619</v>
      </c>
      <c r="N29" s="26">
        <f>$B$58/SQRT($J$58)*(SQRT(J29)-SQRT(J28))</f>
        <v>3.4843465178115207E-2</v>
      </c>
      <c r="O29" s="11">
        <f>M29/M$73</f>
        <v>1.471152461159846E-2</v>
      </c>
      <c r="P29" s="11" t="e">
        <f>O29+P28</f>
        <v>#REF!</v>
      </c>
    </row>
    <row r="30" spans="1:16" ht="14.25" thickBot="1" x14ac:dyDescent="0.3">
      <c r="A30" s="18">
        <v>44110</v>
      </c>
      <c r="B30" s="15">
        <v>29</v>
      </c>
      <c r="C30" s="15">
        <v>155287</v>
      </c>
      <c r="D30" s="8">
        <v>38202995</v>
      </c>
      <c r="E30" s="15">
        <v>155510</v>
      </c>
      <c r="F30" s="15">
        <v>155510</v>
      </c>
      <c r="G30" s="15">
        <f>J30-J29</f>
        <v>223</v>
      </c>
      <c r="H30" s="14">
        <f>70/$J$71*(G30)</f>
        <v>9.9256056463406878E-2</v>
      </c>
      <c r="I30" s="14">
        <f>$B$58/SQRT($J$58)*(SQRT(J30)-SQRT(J29))</f>
        <v>4.0654010631452929E-2</v>
      </c>
      <c r="J30" s="13">
        <v>155510</v>
      </c>
      <c r="K30" s="7">
        <v>38202995</v>
      </c>
      <c r="L30" s="10">
        <f>K30*'[1]Inflation Rates by Year'!D$2</f>
        <v>43716799.649714403</v>
      </c>
      <c r="M30" s="9">
        <f>L30/J30</f>
        <v>281.11889685367117</v>
      </c>
      <c r="N30" s="26">
        <f>$B$58/SQRT($J$58)*(SQRT(J30)-SQRT(J29))</f>
        <v>4.0654010631452929E-2</v>
      </c>
      <c r="O30" s="11">
        <f>M30/M$73</f>
        <v>1.639812297232136E-2</v>
      </c>
      <c r="P30" s="11" t="e">
        <f>O30+P29</f>
        <v>#REF!</v>
      </c>
    </row>
    <row r="31" spans="1:16" ht="14.25" thickBot="1" x14ac:dyDescent="0.3">
      <c r="A31" s="18">
        <v>44111</v>
      </c>
      <c r="B31" s="15">
        <v>30</v>
      </c>
      <c r="C31" s="15">
        <v>155510</v>
      </c>
      <c r="D31" s="8">
        <v>37937412</v>
      </c>
      <c r="E31" s="15">
        <v>155726</v>
      </c>
      <c r="F31" s="16"/>
      <c r="G31" s="15">
        <f>J31-J30</f>
        <v>216</v>
      </c>
      <c r="H31" s="14">
        <f>70/$J$71*(G31)</f>
        <v>9.6140395498187828E-2</v>
      </c>
      <c r="I31" s="14">
        <f>$B$58/SQRT($J$58)*(SQRT(J31)-SQRT(J30))</f>
        <v>3.9350094456087462E-2</v>
      </c>
      <c r="J31" s="13">
        <v>155726</v>
      </c>
      <c r="K31" s="7">
        <v>37937412</v>
      </c>
      <c r="L31" s="10">
        <f>K31*'[1]Inflation Rates by Year'!D$2</f>
        <v>43412885.289037444</v>
      </c>
      <c r="M31" s="9">
        <f>L31/J31</f>
        <v>278.77737365011268</v>
      </c>
      <c r="N31" s="26">
        <f>$B$58/SQRT($J$58)*(SQRT(J31)-SQRT(J30))</f>
        <v>3.9350094456087462E-2</v>
      </c>
      <c r="O31" s="11">
        <f>M31/M$73</f>
        <v>1.6261538111380893E-2</v>
      </c>
      <c r="P31" s="11" t="e">
        <f>O31+P30</f>
        <v>#REF!</v>
      </c>
    </row>
    <row r="32" spans="1:16" ht="14.25" thickBot="1" x14ac:dyDescent="0.3">
      <c r="A32" s="18">
        <v>44112</v>
      </c>
      <c r="B32" s="15">
        <v>31</v>
      </c>
      <c r="C32" s="15">
        <v>155726</v>
      </c>
      <c r="D32" s="8">
        <v>39177610</v>
      </c>
      <c r="E32" s="16"/>
      <c r="F32" s="16"/>
      <c r="G32" s="15">
        <f>J32-J31</f>
        <v>0</v>
      </c>
      <c r="H32" s="14">
        <f>70/$J$71*(G32)</f>
        <v>0</v>
      </c>
      <c r="I32" s="14">
        <f>$B$58/SQRT($J$58)*(SQRT(J32)-SQRT(J31))</f>
        <v>0</v>
      </c>
      <c r="J32" s="13">
        <v>155726</v>
      </c>
      <c r="K32" s="7">
        <v>39177610</v>
      </c>
      <c r="L32" s="10">
        <f>K32*'[1]Inflation Rates by Year'!D$2</f>
        <v>44832079.975003205</v>
      </c>
      <c r="M32" s="9">
        <f>L32/J32</f>
        <v>287.89078236776908</v>
      </c>
      <c r="N32" s="17"/>
      <c r="O32" s="11">
        <f>M32/M$73</f>
        <v>1.6793138080368194E-2</v>
      </c>
      <c r="P32" s="11" t="e">
        <f>O32+P31</f>
        <v>#REF!</v>
      </c>
    </row>
    <row r="33" spans="1:16" ht="14.25" thickBot="1" x14ac:dyDescent="0.3">
      <c r="A33" s="18">
        <v>44113</v>
      </c>
      <c r="B33" s="15">
        <v>32</v>
      </c>
      <c r="C33" s="15">
        <v>155800</v>
      </c>
      <c r="D33" s="8">
        <v>40217732</v>
      </c>
      <c r="E33" s="15">
        <v>156392</v>
      </c>
      <c r="F33" s="16"/>
      <c r="G33" s="15">
        <f>J33-J32</f>
        <v>666</v>
      </c>
      <c r="H33" s="14">
        <f>70/$J$71*(G33)</f>
        <v>0.29643288611941249</v>
      </c>
      <c r="I33" s="14">
        <f>$B$58/SQRT($J$58)*(SQRT(J33)-SQRT(J32))</f>
        <v>0.12115796860119075</v>
      </c>
      <c r="J33" s="13">
        <v>156392</v>
      </c>
      <c r="K33" s="7">
        <v>40217732</v>
      </c>
      <c r="L33" s="10">
        <f>K33*'[1]Inflation Rates by Year'!D$2</f>
        <v>46022321.867955841</v>
      </c>
      <c r="M33" s="9">
        <f>L33/J33</f>
        <v>294.27542245099391</v>
      </c>
      <c r="N33" s="17"/>
      <c r="O33" s="11">
        <f>M33/M$73</f>
        <v>1.716556453191773E-2</v>
      </c>
      <c r="P33" s="11" t="e">
        <f>O33+P32</f>
        <v>#REF!</v>
      </c>
    </row>
    <row r="34" spans="1:16" ht="14.25" thickBot="1" x14ac:dyDescent="0.3">
      <c r="A34" s="18">
        <v>44114</v>
      </c>
      <c r="B34" s="15">
        <v>33</v>
      </c>
      <c r="C34" s="15">
        <v>156392</v>
      </c>
      <c r="D34" s="8">
        <v>41289388</v>
      </c>
      <c r="E34" s="15">
        <v>156417</v>
      </c>
      <c r="F34" s="16"/>
      <c r="G34" s="15">
        <f>J34-J33</f>
        <v>25</v>
      </c>
      <c r="H34" s="14">
        <f>70/$J$71*(G34)</f>
        <v>1.1127360590068035E-2</v>
      </c>
      <c r="I34" s="14">
        <f>$B$58/SQRT($J$58)*(SQRT(J34)-SQRT(J33))</f>
        <v>4.5429431645837466E-3</v>
      </c>
      <c r="J34" s="13">
        <v>156417</v>
      </c>
      <c r="K34" s="7">
        <v>41289388</v>
      </c>
      <c r="L34" s="10">
        <f>K34*'[1]Inflation Rates by Year'!D$2</f>
        <v>47248649.03537856</v>
      </c>
      <c r="M34" s="9">
        <f>L34/J34</f>
        <v>302.06850301040527</v>
      </c>
      <c r="N34" s="26">
        <f>$B$58/SQRT($J$58)*(SQRT(J34)-SQRT(J33))</f>
        <v>4.5429431645837466E-3</v>
      </c>
      <c r="O34" s="11">
        <f>M34/M$73</f>
        <v>1.7620147609671313E-2</v>
      </c>
      <c r="P34" s="11" t="e">
        <f>O34+P33</f>
        <v>#REF!</v>
      </c>
    </row>
    <row r="35" spans="1:16" ht="14.25" thickBot="1" x14ac:dyDescent="0.3">
      <c r="A35" s="18">
        <v>44115</v>
      </c>
      <c r="B35" s="15">
        <v>34</v>
      </c>
      <c r="C35" s="15">
        <v>156417</v>
      </c>
      <c r="D35" s="8">
        <v>40895339</v>
      </c>
      <c r="E35" s="15">
        <v>156417</v>
      </c>
      <c r="F35" s="16"/>
      <c r="G35" s="15">
        <f>J35-J34</f>
        <v>0</v>
      </c>
      <c r="H35" s="14">
        <f>70/$J$71*(G35)</f>
        <v>0</v>
      </c>
      <c r="I35" s="14">
        <f>$B$58/SQRT($J$58)*(SQRT(J35)-SQRT(J34))</f>
        <v>0</v>
      </c>
      <c r="J35" s="13">
        <v>156417</v>
      </c>
      <c r="K35" s="7">
        <v>40895339</v>
      </c>
      <c r="L35" s="10">
        <f>K35*'[1]Inflation Rates by Year'!D$2</f>
        <v>46797727.289971687</v>
      </c>
      <c r="M35" s="9">
        <f>L35/J35</f>
        <v>299.1856849956954</v>
      </c>
      <c r="N35" s="17"/>
      <c r="O35" s="11">
        <f>M35/M$73</f>
        <v>1.7451988141058136E-2</v>
      </c>
      <c r="P35" s="11" t="e">
        <f>O35+P34</f>
        <v>#REF!</v>
      </c>
    </row>
    <row r="36" spans="1:16" ht="14.25" thickBot="1" x14ac:dyDescent="0.3">
      <c r="A36" s="18">
        <v>44116</v>
      </c>
      <c r="B36" s="15">
        <v>35</v>
      </c>
      <c r="C36" s="15">
        <v>156417</v>
      </c>
      <c r="D36" s="8">
        <v>43403702</v>
      </c>
      <c r="E36" s="15">
        <v>156417</v>
      </c>
      <c r="F36" s="16"/>
      <c r="G36" s="15">
        <f>J36-J35</f>
        <v>0</v>
      </c>
      <c r="H36" s="14">
        <f>70/$J$71*(G36)</f>
        <v>0</v>
      </c>
      <c r="I36" s="14">
        <f>$B$58/SQRT($J$58)*(SQRT(J36)-SQRT(J35))</f>
        <v>0</v>
      </c>
      <c r="J36" s="13">
        <v>156417</v>
      </c>
      <c r="K36" s="7">
        <v>43403702</v>
      </c>
      <c r="L36" s="10">
        <f>K36*'[1]Inflation Rates by Year'!D$2</f>
        <v>49668120.114402242</v>
      </c>
      <c r="M36" s="9">
        <f>L36/J36</f>
        <v>317.53658562945361</v>
      </c>
      <c r="N36" s="17"/>
      <c r="O36" s="11">
        <f>M36/M$73</f>
        <v>1.8522426054030785E-2</v>
      </c>
      <c r="P36" s="11" t="e">
        <f>O36+P35</f>
        <v>#REF!</v>
      </c>
    </row>
    <row r="37" spans="1:16" ht="14.25" thickBot="1" x14ac:dyDescent="0.3">
      <c r="A37" s="18">
        <v>44117</v>
      </c>
      <c r="B37" s="15">
        <v>36</v>
      </c>
      <c r="C37" s="15">
        <v>156417</v>
      </c>
      <c r="D37" s="8">
        <v>43403702</v>
      </c>
      <c r="E37" s="15">
        <v>156610</v>
      </c>
      <c r="F37" s="16"/>
      <c r="G37" s="15">
        <f>J37-J36</f>
        <v>193</v>
      </c>
      <c r="H37" s="14">
        <f>70/$J$71*(G37)</f>
        <v>8.5903223755325234E-2</v>
      </c>
      <c r="I37" s="14">
        <f>$B$58/SQRT($J$58)*(SQRT(J37)-SQRT(J36))</f>
        <v>3.505930838988329E-2</v>
      </c>
      <c r="J37" s="13">
        <v>156610</v>
      </c>
      <c r="K37" s="7">
        <v>43403702</v>
      </c>
      <c r="L37" s="10">
        <f>K37*'[1]Inflation Rates by Year'!D$2</f>
        <v>49668120.114402242</v>
      </c>
      <c r="M37" s="9">
        <f>L37/J37</f>
        <v>317.14526603921996</v>
      </c>
      <c r="N37" s="17"/>
      <c r="O37" s="11">
        <f>M37/M$73</f>
        <v>1.8499599745184427E-2</v>
      </c>
      <c r="P37" s="11" t="e">
        <f>O37+P36</f>
        <v>#REF!</v>
      </c>
    </row>
    <row r="38" spans="1:16" ht="14.25" thickBot="1" x14ac:dyDescent="0.3">
      <c r="A38" s="18">
        <v>44118</v>
      </c>
      <c r="B38" s="15">
        <v>37</v>
      </c>
      <c r="C38" s="15">
        <v>156610</v>
      </c>
      <c r="D38" s="8">
        <v>44341235</v>
      </c>
      <c r="E38" s="15">
        <v>156610</v>
      </c>
      <c r="F38" s="16"/>
      <c r="G38" s="15">
        <f>J38-J37</f>
        <v>0</v>
      </c>
      <c r="H38" s="14">
        <f>70/$J$71*(G38)</f>
        <v>0</v>
      </c>
      <c r="I38" s="14">
        <f>$B$58/SQRT($J$58)*(SQRT(J38)-SQRT(J37))</f>
        <v>0</v>
      </c>
      <c r="J38" s="13">
        <v>156610</v>
      </c>
      <c r="K38" s="7">
        <v>44341235</v>
      </c>
      <c r="L38" s="10">
        <f>K38*'[1]Inflation Rates by Year'!D$2</f>
        <v>50740966.4272632</v>
      </c>
      <c r="M38" s="9">
        <f>L38/J38</f>
        <v>323.99569904388738</v>
      </c>
      <c r="N38" s="17"/>
      <c r="O38" s="11">
        <f>M38/M$73</f>
        <v>1.8899196656247497E-2</v>
      </c>
      <c r="P38" s="11" t="e">
        <f>O38+P37</f>
        <v>#REF!</v>
      </c>
    </row>
    <row r="39" spans="1:16" ht="14.25" thickBot="1" x14ac:dyDescent="0.3">
      <c r="A39" s="18">
        <v>44119</v>
      </c>
      <c r="B39" s="15">
        <v>38</v>
      </c>
      <c r="C39" s="15">
        <v>156610</v>
      </c>
      <c r="D39" s="8">
        <v>44802354</v>
      </c>
      <c r="E39" s="15">
        <v>156612</v>
      </c>
      <c r="F39" s="16"/>
      <c r="G39" s="15">
        <f>J39-J38</f>
        <v>2</v>
      </c>
      <c r="H39" s="14">
        <f>70/$J$71*(G39)</f>
        <v>8.9018884720544283E-4</v>
      </c>
      <c r="I39" s="14">
        <f>$B$58/SQRT($J$58)*(SQRT(J39)-SQRT(J38))</f>
        <v>3.6319576927533475E-4</v>
      </c>
      <c r="J39" s="13">
        <v>156612</v>
      </c>
      <c r="K39" s="7">
        <v>44802354</v>
      </c>
      <c r="L39" s="10">
        <f>K39*'[1]Inflation Rates by Year'!D$2</f>
        <v>51268638.326748483</v>
      </c>
      <c r="M39" s="9">
        <f>L39/J39</f>
        <v>327.36085566079538</v>
      </c>
      <c r="N39" s="17"/>
      <c r="O39" s="11">
        <f>M39/M$73</f>
        <v>1.909549172087242E-2</v>
      </c>
      <c r="P39" s="11" t="e">
        <f>O39+P38</f>
        <v>#REF!</v>
      </c>
    </row>
    <row r="40" spans="1:16" ht="14.25" thickBot="1" x14ac:dyDescent="0.3">
      <c r="A40" s="18">
        <v>44120</v>
      </c>
      <c r="B40" s="15">
        <v>39</v>
      </c>
      <c r="C40" s="15">
        <v>156612</v>
      </c>
      <c r="D40" s="8">
        <v>42916027</v>
      </c>
      <c r="E40" s="15">
        <v>156618</v>
      </c>
      <c r="F40" s="15">
        <v>156618</v>
      </c>
      <c r="G40" s="15">
        <f>J40-J39</f>
        <v>6</v>
      </c>
      <c r="H40" s="14">
        <f>70/$J$71*(G40)</f>
        <v>2.6705665416163283E-3</v>
      </c>
      <c r="I40" s="14">
        <f>$B$58/SQRT($J$58)*(SQRT(J40)-SQRT(J39))</f>
        <v>1.0895733935774598E-3</v>
      </c>
      <c r="J40" s="13">
        <v>156618</v>
      </c>
      <c r="K40" s="7">
        <v>42916027</v>
      </c>
      <c r="L40" s="10">
        <f>K40*'[1]Inflation Rates by Year'!D$2</f>
        <v>49110059.410806246</v>
      </c>
      <c r="M40" s="9">
        <f>L40/J40</f>
        <v>313.5658698923894</v>
      </c>
      <c r="N40" s="26">
        <f>$B$58/SQRT($J$58)*(SQRT(J40)-SQRT(J39))</f>
        <v>1.0895733935774598E-3</v>
      </c>
      <c r="O40" s="11">
        <f>M40/M$73</f>
        <v>1.8290807739953511E-2</v>
      </c>
      <c r="P40" s="11" t="e">
        <f>O40+P39</f>
        <v>#REF!</v>
      </c>
    </row>
    <row r="41" spans="1:16" ht="14.25" thickBot="1" x14ac:dyDescent="0.3">
      <c r="A41" s="18">
        <v>44121</v>
      </c>
      <c r="B41" s="15">
        <v>40</v>
      </c>
      <c r="C41" s="15">
        <v>156618</v>
      </c>
      <c r="D41" s="8">
        <v>44386317</v>
      </c>
      <c r="E41" s="15">
        <v>156618</v>
      </c>
      <c r="F41" s="16"/>
      <c r="G41" s="15">
        <f>J41-J40</f>
        <v>0</v>
      </c>
      <c r="H41" s="14">
        <f>70/$J$71*(G41)</f>
        <v>0</v>
      </c>
      <c r="I41" s="14">
        <f>$B$58/SQRT($J$58)*(SQRT(J41)-SQRT(J40))</f>
        <v>0</v>
      </c>
      <c r="J41" s="13">
        <v>156618</v>
      </c>
      <c r="K41" s="7">
        <v>44386317</v>
      </c>
      <c r="L41" s="10">
        <f>K41*'[1]Inflation Rates by Year'!D$2</f>
        <v>50792555.072651044</v>
      </c>
      <c r="M41" s="9">
        <f>L41/J41</f>
        <v>324.30854098922885</v>
      </c>
      <c r="N41" s="17"/>
      <c r="O41" s="11">
        <f>M41/M$73</f>
        <v>1.8917445236289701E-2</v>
      </c>
      <c r="P41" s="11" t="e">
        <f>O41+P40</f>
        <v>#REF!</v>
      </c>
    </row>
    <row r="42" spans="1:16" ht="14.25" thickBot="1" x14ac:dyDescent="0.3">
      <c r="A42" s="18">
        <v>44122</v>
      </c>
      <c r="B42" s="15">
        <v>41</v>
      </c>
      <c r="C42" s="15">
        <v>156618</v>
      </c>
      <c r="D42" s="8">
        <v>44106020</v>
      </c>
      <c r="E42" s="15">
        <v>156624</v>
      </c>
      <c r="F42" s="16"/>
      <c r="G42" s="15">
        <f>J42-J41</f>
        <v>6</v>
      </c>
      <c r="H42" s="14">
        <f>70/$J$71*(G42)</f>
        <v>2.6705665416163283E-3</v>
      </c>
      <c r="I42" s="14">
        <f>$B$58/SQRT($J$58)*(SQRT(J42)-SQRT(J41))</f>
        <v>1.0895525231237892E-3</v>
      </c>
      <c r="J42" s="13">
        <v>156624</v>
      </c>
      <c r="K42" s="7">
        <v>44106020</v>
      </c>
      <c r="L42" s="10">
        <f>K42*'[1]Inflation Rates by Year'!D$2</f>
        <v>50471803.053302407</v>
      </c>
      <c r="M42" s="9">
        <f>L42/J42</f>
        <v>322.24820623469202</v>
      </c>
      <c r="N42" s="17"/>
      <c r="O42" s="11">
        <f>M42/M$73</f>
        <v>1.879726255541276E-2</v>
      </c>
      <c r="P42" s="11" t="e">
        <f>O42+P41</f>
        <v>#REF!</v>
      </c>
    </row>
    <row r="43" spans="1:16" ht="14.25" thickBot="1" x14ac:dyDescent="0.3">
      <c r="A43" s="18">
        <v>44123</v>
      </c>
      <c r="B43" s="15">
        <v>42</v>
      </c>
      <c r="C43" s="15">
        <v>156624</v>
      </c>
      <c r="D43" s="8">
        <v>44753963</v>
      </c>
      <c r="E43" s="15">
        <v>156637</v>
      </c>
      <c r="F43" s="16"/>
      <c r="G43" s="15">
        <f>J43-J42</f>
        <v>13</v>
      </c>
      <c r="H43" s="14">
        <f>70/$J$71*(G43)</f>
        <v>5.786227506835378E-3</v>
      </c>
      <c r="I43" s="14">
        <f>$B$58/SQRT($J$58)*(SQRT(J43)-SQRT(J42))</f>
        <v>2.3606255418909677E-3</v>
      </c>
      <c r="J43" s="13">
        <v>156637</v>
      </c>
      <c r="K43" s="7">
        <v>44753963</v>
      </c>
      <c r="L43" s="10">
        <f>K43*'[1]Inflation Rates by Year'!D$2</f>
        <v>51213263.096302561</v>
      </c>
      <c r="M43" s="9">
        <f>L43/J43</f>
        <v>326.95508147055011</v>
      </c>
      <c r="N43" s="26">
        <f>$B$58/SQRT($J$58)*(SQRT(J43)-SQRT(J42))</f>
        <v>2.3606255418909677E-3</v>
      </c>
      <c r="O43" s="11">
        <f>M43/M$73</f>
        <v>1.9071822251672348E-2</v>
      </c>
      <c r="P43" s="11" t="e">
        <f>O43+P42</f>
        <v>#REF!</v>
      </c>
    </row>
    <row r="44" spans="1:16" ht="14.25" thickBot="1" x14ac:dyDescent="0.3">
      <c r="A44" s="18">
        <v>44124</v>
      </c>
      <c r="B44" s="15">
        <v>43</v>
      </c>
      <c r="C44" s="15">
        <v>156637</v>
      </c>
      <c r="D44" s="8">
        <v>45233455</v>
      </c>
      <c r="E44" s="15">
        <v>156645</v>
      </c>
      <c r="F44" s="16"/>
      <c r="G44" s="15">
        <f>J44-J43</f>
        <v>8</v>
      </c>
      <c r="H44" s="14">
        <f>70/$J$71*(G44)</f>
        <v>3.5607553888217713E-3</v>
      </c>
      <c r="I44" s="14">
        <f>$B$58/SQRT($J$58)*(SQRT(J44)-SQRT(J43))</f>
        <v>1.4526439515200151E-3</v>
      </c>
      <c r="J44" s="13">
        <v>156645</v>
      </c>
      <c r="K44" s="7">
        <v>45233455</v>
      </c>
      <c r="L44" s="10">
        <f>K44*'[1]Inflation Rates by Year'!D$2</f>
        <v>51761959.754709601</v>
      </c>
      <c r="M44" s="9">
        <f>L44/J44</f>
        <v>330.44118710912954</v>
      </c>
      <c r="N44" s="26">
        <f>$B$58/SQRT($J$58)*(SQRT(J44)-SQRT(J43))</f>
        <v>1.4526439515200151E-3</v>
      </c>
      <c r="O44" s="11">
        <f>M44/M$73</f>
        <v>1.9275172469661019E-2</v>
      </c>
      <c r="P44" s="11" t="e">
        <f>O44+P43</f>
        <v>#REF!</v>
      </c>
    </row>
    <row r="45" spans="1:16" ht="14.25" thickBot="1" x14ac:dyDescent="0.3">
      <c r="A45" s="18">
        <v>44125</v>
      </c>
      <c r="B45" s="15">
        <v>44</v>
      </c>
      <c r="C45" s="15">
        <v>156645</v>
      </c>
      <c r="D45" s="8">
        <v>47459804</v>
      </c>
      <c r="E45" s="15">
        <v>156648</v>
      </c>
      <c r="F45" s="16"/>
      <c r="G45" s="15">
        <f>J45-J44</f>
        <v>3</v>
      </c>
      <c r="H45" s="14">
        <f>70/$J$71*(G45)</f>
        <v>1.3352832708081641E-3</v>
      </c>
      <c r="I45" s="14">
        <f>$B$58/SQRT($J$58)*(SQRT(J45)-SQRT(J44))</f>
        <v>5.4473191851880421E-4</v>
      </c>
      <c r="J45" s="13">
        <v>156648</v>
      </c>
      <c r="K45" s="7">
        <v>47459804</v>
      </c>
      <c r="L45" s="10">
        <f>K45*'[1]Inflation Rates by Year'!D$2</f>
        <v>54309635.746692486</v>
      </c>
      <c r="M45" s="9">
        <f>L45/J45</f>
        <v>346.69855821135593</v>
      </c>
      <c r="N45" s="26">
        <f>$B$58/SQRT($J$58)*(SQRT(J45)-SQRT(J44))</f>
        <v>5.4473191851880421E-4</v>
      </c>
      <c r="O45" s="11">
        <f>M45/M$73</f>
        <v>2.0223491396366748E-2</v>
      </c>
      <c r="P45" s="11" t="e">
        <f>O45+P44</f>
        <v>#REF!</v>
      </c>
    </row>
    <row r="46" spans="1:16" ht="14.25" thickBot="1" x14ac:dyDescent="0.3">
      <c r="A46" s="18">
        <v>44126</v>
      </c>
      <c r="B46" s="15">
        <v>45</v>
      </c>
      <c r="C46" s="15">
        <v>156648</v>
      </c>
      <c r="D46" s="8">
        <v>48188253</v>
      </c>
      <c r="E46" s="15">
        <v>156666</v>
      </c>
      <c r="F46" s="16"/>
      <c r="G46" s="15">
        <f>J46-J45</f>
        <v>18</v>
      </c>
      <c r="H46" s="14">
        <f>70/$J$71*(G46)</f>
        <v>8.0116996248489857E-3</v>
      </c>
      <c r="I46" s="14">
        <f>$B$58/SQRT($J$58)*(SQRT(J46)-SQRT(J45))</f>
        <v>3.2682819779233738E-3</v>
      </c>
      <c r="J46" s="13">
        <v>156666</v>
      </c>
      <c r="K46" s="7">
        <v>48188253</v>
      </c>
      <c r="L46" s="10">
        <f>K46*'[1]Inflation Rates by Year'!D$2</f>
        <v>55143221.149827361</v>
      </c>
      <c r="M46" s="9">
        <f>L46/J46</f>
        <v>351.97950512445175</v>
      </c>
      <c r="N46" s="26">
        <f>$B$58/SQRT($J$58)*(SQRT(J46)-SQRT(J45))</f>
        <v>3.2682819779233738E-3</v>
      </c>
      <c r="O46" s="11">
        <f>M46/M$73</f>
        <v>2.0531537628265283E-2</v>
      </c>
      <c r="P46" s="11" t="e">
        <f>O46+P45</f>
        <v>#REF!</v>
      </c>
    </row>
    <row r="47" spans="1:16" ht="14.25" thickBot="1" x14ac:dyDescent="0.3">
      <c r="A47" s="18">
        <v>44127</v>
      </c>
      <c r="B47" s="15">
        <v>46</v>
      </c>
      <c r="C47" s="15">
        <v>156666</v>
      </c>
      <c r="D47" s="8">
        <v>49334237</v>
      </c>
      <c r="E47" s="16"/>
      <c r="F47" s="16"/>
      <c r="G47" s="15">
        <f>J47-J46</f>
        <v>0</v>
      </c>
      <c r="H47" s="14">
        <f>70/$J$71*(G47)</f>
        <v>0</v>
      </c>
      <c r="I47" s="14">
        <f>$B$58/SQRT($J$58)*(SQRT(J47)-SQRT(J46))</f>
        <v>0</v>
      </c>
      <c r="J47" s="13">
        <v>156666</v>
      </c>
      <c r="K47" s="7">
        <v>49334237</v>
      </c>
      <c r="L47" s="10">
        <f>K47*'[1]Inflation Rates by Year'!D$2</f>
        <v>56454604.012081444</v>
      </c>
      <c r="M47" s="9">
        <f>L47/J47</f>
        <v>360.35006965188006</v>
      </c>
      <c r="N47" s="17"/>
      <c r="O47" s="11">
        <f>M47/M$73</f>
        <v>2.1019806286134868E-2</v>
      </c>
      <c r="P47" s="11" t="e">
        <f>O47+P46</f>
        <v>#REF!</v>
      </c>
    </row>
    <row r="48" spans="1:16" ht="14.25" thickBot="1" x14ac:dyDescent="0.3">
      <c r="A48" s="18">
        <v>44128</v>
      </c>
      <c r="B48" s="15">
        <v>47</v>
      </c>
      <c r="C48" s="15">
        <v>156682</v>
      </c>
      <c r="D48" s="8">
        <v>49104596</v>
      </c>
      <c r="E48" s="15">
        <v>156688</v>
      </c>
      <c r="F48" s="16"/>
      <c r="G48" s="15">
        <f>J48-J47</f>
        <v>22</v>
      </c>
      <c r="H48" s="14">
        <f>70/$J$71*(G48)</f>
        <v>9.7920773192598717E-3</v>
      </c>
      <c r="I48" s="14">
        <f>$B$58/SQRT($J$58)*(SQRT(J48)-SQRT(J47))</f>
        <v>3.9943118990395264E-3</v>
      </c>
      <c r="J48" s="13">
        <v>156688</v>
      </c>
      <c r="K48" s="7">
        <v>49104596</v>
      </c>
      <c r="L48" s="10">
        <f>K48*'[1]Inflation Rates by Year'!D$2</f>
        <v>56191819.128635526</v>
      </c>
      <c r="M48" s="9">
        <f>L48/J48</f>
        <v>358.62235224545293</v>
      </c>
      <c r="N48" s="17"/>
      <c r="O48" s="11">
        <f>M48/M$73</f>
        <v>2.0919025716741986E-2</v>
      </c>
      <c r="P48" s="11" t="e">
        <f>O48+P47</f>
        <v>#REF!</v>
      </c>
    </row>
    <row r="49" spans="1:32" ht="14.25" thickBot="1" x14ac:dyDescent="0.3">
      <c r="A49" s="18">
        <v>44129</v>
      </c>
      <c r="B49" s="15">
        <v>48</v>
      </c>
      <c r="C49" s="15">
        <v>156688</v>
      </c>
      <c r="D49" s="8">
        <v>50459804</v>
      </c>
      <c r="E49" s="16"/>
      <c r="F49" s="16"/>
      <c r="G49" s="15">
        <f>J49-J48</f>
        <v>0</v>
      </c>
      <c r="H49" s="14">
        <f>70/$J$71*(G49)</f>
        <v>0</v>
      </c>
      <c r="I49" s="14">
        <f>$B$58/SQRT($J$58)*(SQRT(J49)-SQRT(J48))</f>
        <v>0</v>
      </c>
      <c r="J49" s="13">
        <v>156688</v>
      </c>
      <c r="K49" s="7">
        <v>50459804</v>
      </c>
      <c r="L49" s="10">
        <f>K49*'[1]Inflation Rates by Year'!D$2</f>
        <v>57742623.106692486</v>
      </c>
      <c r="M49" s="9">
        <f>L49/J49</f>
        <v>368.51975331035231</v>
      </c>
      <c r="N49" s="17"/>
      <c r="O49" s="11">
        <f>M49/M$73</f>
        <v>2.1496357235843259E-2</v>
      </c>
      <c r="P49" s="11" t="e">
        <f>O49+P48</f>
        <v>#REF!</v>
      </c>
    </row>
    <row r="50" spans="1:32" ht="14.25" thickBot="1" x14ac:dyDescent="0.3">
      <c r="A50" s="18">
        <v>44130</v>
      </c>
      <c r="B50" s="15">
        <v>49</v>
      </c>
      <c r="C50" s="15">
        <v>156688</v>
      </c>
      <c r="D50" s="8">
        <v>50500904</v>
      </c>
      <c r="E50" s="15">
        <v>156773</v>
      </c>
      <c r="F50" s="16"/>
      <c r="G50" s="15">
        <f>J50-J49</f>
        <v>-15</v>
      </c>
      <c r="H50" s="14">
        <f>70/$J$71*(G50)</f>
        <v>-6.6764163540408211E-3</v>
      </c>
      <c r="I50" s="14">
        <f>$B$58/SQRT($J$58)*(SQRT(J50)-SQRT(J49))</f>
        <v>-2.7233640573393549E-3</v>
      </c>
      <c r="J50" s="13">
        <v>156673</v>
      </c>
      <c r="K50" s="7">
        <v>50500904</v>
      </c>
      <c r="L50" s="10">
        <f>K50*'[1]Inflation Rates by Year'!D$2</f>
        <v>57789655.033524483</v>
      </c>
      <c r="M50" s="9">
        <f>L50/J50</f>
        <v>368.85522734309347</v>
      </c>
      <c r="N50" s="17"/>
      <c r="O50" s="11">
        <f>M50/M$73</f>
        <v>2.1515925982393134E-2</v>
      </c>
      <c r="P50" s="11" t="e">
        <f>O50+P49</f>
        <v>#REF!</v>
      </c>
    </row>
    <row r="51" spans="1:32" ht="14.25" thickBot="1" x14ac:dyDescent="0.3">
      <c r="A51" s="18">
        <v>44131</v>
      </c>
      <c r="B51" s="15">
        <v>50</v>
      </c>
      <c r="C51" s="15">
        <v>156773</v>
      </c>
      <c r="D51" s="8">
        <v>50600904</v>
      </c>
      <c r="E51" s="15">
        <v>156773</v>
      </c>
      <c r="F51" s="16"/>
      <c r="G51" s="15">
        <f>J51-J50</f>
        <v>100</v>
      </c>
      <c r="H51" s="14">
        <f>70/$J$71*(G51)</f>
        <v>4.4509442360272142E-2</v>
      </c>
      <c r="I51" s="14">
        <f>$B$58/SQRT($J$58)*(SQRT(J51)-SQRT(J50))</f>
        <v>1.815329870987822E-2</v>
      </c>
      <c r="J51" s="13">
        <v>156773</v>
      </c>
      <c r="K51" s="7">
        <v>50600904</v>
      </c>
      <c r="L51" s="10">
        <f>K51*'[1]Inflation Rates by Year'!D$2</f>
        <v>57904087.945524484</v>
      </c>
      <c r="M51" s="9">
        <f>L51/J51</f>
        <v>369.3498749499243</v>
      </c>
      <c r="N51" s="17"/>
      <c r="O51" s="11">
        <f>M51/M$73</f>
        <v>2.1544779582686673E-2</v>
      </c>
      <c r="P51" s="11" t="e">
        <f>O51+P50</f>
        <v>#REF!</v>
      </c>
    </row>
    <row r="52" spans="1:32" ht="14.25" thickBot="1" x14ac:dyDescent="0.3">
      <c r="A52" s="18">
        <v>44132</v>
      </c>
      <c r="B52" s="15">
        <v>51</v>
      </c>
      <c r="C52" s="15">
        <v>156832</v>
      </c>
      <c r="D52" s="8">
        <v>50600904</v>
      </c>
      <c r="E52" s="16"/>
      <c r="F52" s="16"/>
      <c r="G52" s="15">
        <f>J52-J51</f>
        <v>59</v>
      </c>
      <c r="H52" s="14">
        <f>70/$J$71*(G52)</f>
        <v>2.6260570992560562E-2</v>
      </c>
      <c r="I52" s="14">
        <f>$B$58/SQRT($J$58)*(SQRT(J52)-SQRT(J51))</f>
        <v>1.0707730668943741E-2</v>
      </c>
      <c r="J52" s="13">
        <v>156832</v>
      </c>
      <c r="K52" s="7">
        <v>50600904</v>
      </c>
      <c r="L52" s="10">
        <f>K52*'[1]Inflation Rates by Year'!D$2</f>
        <v>57904087.945524484</v>
      </c>
      <c r="M52" s="9">
        <f>L52/J52</f>
        <v>369.21092599421343</v>
      </c>
      <c r="N52" s="17"/>
      <c r="O52" s="11">
        <f>M52/M$73</f>
        <v>2.1536674463862846E-2</v>
      </c>
      <c r="P52" s="11" t="e">
        <f>O52+P51</f>
        <v>#REF!</v>
      </c>
    </row>
    <row r="53" spans="1:32" ht="14.25" thickBot="1" x14ac:dyDescent="0.3">
      <c r="A53" s="18">
        <v>44133</v>
      </c>
      <c r="B53" s="15">
        <v>52</v>
      </c>
      <c r="C53" s="15">
        <v>156832</v>
      </c>
      <c r="D53" s="8">
        <v>50406162</v>
      </c>
      <c r="E53" s="15">
        <v>156801</v>
      </c>
      <c r="F53" s="16"/>
      <c r="G53" s="15">
        <f>J53-J52</f>
        <v>-31</v>
      </c>
      <c r="H53" s="14">
        <f>70/$J$71*(G53)</f>
        <v>-1.3797927131684365E-2</v>
      </c>
      <c r="I53" s="14">
        <f>$B$58/SQRT($J$58)*(SQRT(J53)-SQRT(J52))</f>
        <v>-5.6258446130205584E-3</v>
      </c>
      <c r="J53" s="13">
        <v>156801</v>
      </c>
      <c r="K53" s="7">
        <v>50406162</v>
      </c>
      <c r="L53" s="10">
        <f>K53*'[1]Inflation Rates by Year'!D$2</f>
        <v>57681239.004037447</v>
      </c>
      <c r="M53" s="9">
        <f>L53/J53</f>
        <v>367.86269860547731</v>
      </c>
      <c r="N53" s="17"/>
      <c r="O53" s="11">
        <f>M53/M$73</f>
        <v>2.1458030165088956E-2</v>
      </c>
      <c r="P53" s="11" t="e">
        <f>O53+P52</f>
        <v>#REF!</v>
      </c>
    </row>
    <row r="54" spans="1:32" ht="14.25" thickBot="1" x14ac:dyDescent="0.3">
      <c r="A54" s="18">
        <v>44134</v>
      </c>
      <c r="B54" s="15">
        <v>53</v>
      </c>
      <c r="C54" s="15">
        <v>157095</v>
      </c>
      <c r="D54" s="8">
        <v>157095</v>
      </c>
      <c r="E54" s="15">
        <v>157087</v>
      </c>
      <c r="F54" s="16"/>
      <c r="G54" s="15">
        <f>J54-J53</f>
        <v>286</v>
      </c>
      <c r="H54" s="14">
        <f>70/$J$71*(G54)</f>
        <v>0.12729700515037831</v>
      </c>
      <c r="I54" s="14">
        <f>$B$58/SQRT($J$58)*(SQRT(J54)-SQRT(J53))</f>
        <v>5.1881871799777067E-2</v>
      </c>
      <c r="J54" s="13">
        <v>157087</v>
      </c>
      <c r="K54" s="7">
        <v>157095</v>
      </c>
      <c r="L54" s="10">
        <f>K54*'[1]Inflation Rates by Year'!D$2</f>
        <v>179768.38310640003</v>
      </c>
      <c r="M54" s="9"/>
      <c r="N54" s="26">
        <f>$B$58/SQRT($J$58)*(SQRT(J54)-SQRT(J53))</f>
        <v>5.1881871799777067E-2</v>
      </c>
      <c r="O54" s="11">
        <f>M54/M$73</f>
        <v>0</v>
      </c>
      <c r="P54" s="11" t="e">
        <f>O54+P53</f>
        <v>#REF!</v>
      </c>
    </row>
    <row r="55" spans="1:32" ht="14.25" thickBot="1" x14ac:dyDescent="0.3">
      <c r="A55" s="18">
        <v>44135</v>
      </c>
      <c r="B55" s="15">
        <v>54</v>
      </c>
      <c r="C55" s="15">
        <v>157095</v>
      </c>
      <c r="D55" s="11">
        <v>50209751</v>
      </c>
      <c r="E55" s="15">
        <v>157126</v>
      </c>
      <c r="F55" s="16"/>
      <c r="G55" s="15">
        <f>J55-J54</f>
        <v>39</v>
      </c>
      <c r="H55" s="14">
        <f>70/$J$71*(G55)</f>
        <v>1.7358682520506135E-2</v>
      </c>
      <c r="I55" s="14">
        <f>$B$58/SQRT($J$58)*(SQRT(J55)-SQRT(J54))</f>
        <v>7.071140193112343E-3</v>
      </c>
      <c r="J55" s="13">
        <v>157126</v>
      </c>
      <c r="K55" s="1">
        <v>50209751</v>
      </c>
      <c r="L55" s="10">
        <f>K55*'[1]Inflation Rates by Year'!D$2</f>
        <v>57456480.177249126</v>
      </c>
      <c r="M55" s="9">
        <f>L55/J55</f>
        <v>365.67137314797759</v>
      </c>
      <c r="N55" s="26">
        <f>$B$58/SQRT($J$58)*(SQRT(J55)-SQRT(J54))</f>
        <v>7.071140193112343E-3</v>
      </c>
      <c r="O55" s="11">
        <f>M55/M$73</f>
        <v>2.1330206583228633E-2</v>
      </c>
      <c r="P55" s="11" t="e">
        <f>O55+P54</f>
        <v>#REF!</v>
      </c>
    </row>
    <row r="56" spans="1:32" ht="14.25" thickBot="1" x14ac:dyDescent="0.3">
      <c r="A56" s="18">
        <v>44136</v>
      </c>
      <c r="B56" s="15">
        <v>55</v>
      </c>
      <c r="C56" s="15">
        <v>157126</v>
      </c>
      <c r="D56" s="8">
        <v>51337530</v>
      </c>
      <c r="E56" s="15">
        <v>157173</v>
      </c>
      <c r="F56" s="16"/>
      <c r="G56" s="15">
        <f>J56-J55</f>
        <v>47</v>
      </c>
      <c r="H56" s="14">
        <f>70/$J$71*(G56)</f>
        <v>2.0919437909327907E-2</v>
      </c>
      <c r="I56" s="14">
        <f>$B$58/SQRT($J$58)*(SQRT(J56)-SQRT(J55))</f>
        <v>8.5204645520777032E-3</v>
      </c>
      <c r="J56" s="13">
        <v>157173</v>
      </c>
      <c r="K56" s="7">
        <v>51337530</v>
      </c>
      <c r="L56" s="10">
        <f>K56*'[1]Inflation Rates by Year'!D$2</f>
        <v>58747030.527873605</v>
      </c>
      <c r="M56" s="9">
        <f>L56/J56</f>
        <v>373.7730432572618</v>
      </c>
      <c r="N56" s="26">
        <f>$B$58/SQRT($J$58)*(SQRT(J56)-SQRT(J55))</f>
        <v>8.5204645520777032E-3</v>
      </c>
      <c r="O56" s="11">
        <f>M56/M$73</f>
        <v>2.1802790191872968E-2</v>
      </c>
      <c r="P56" s="11" t="e">
        <f>O56+P55</f>
        <v>#REF!</v>
      </c>
    </row>
    <row r="57" spans="1:32" ht="14.25" thickBot="1" x14ac:dyDescent="0.3">
      <c r="A57" s="18">
        <v>44137</v>
      </c>
      <c r="B57" s="15">
        <v>56</v>
      </c>
      <c r="C57" s="15">
        <v>157173</v>
      </c>
      <c r="D57" s="8">
        <v>51653236</v>
      </c>
      <c r="E57" s="15">
        <v>157229</v>
      </c>
      <c r="F57" s="16"/>
      <c r="G57" s="15">
        <f>J57-J56</f>
        <v>56</v>
      </c>
      <c r="H57" s="14">
        <f>70/$J$71*(G57)</f>
        <v>2.4925287721752398E-2</v>
      </c>
      <c r="I57" s="14">
        <f>$B$58/SQRT($J$58)*(SQRT(J57)-SQRT(J56))</f>
        <v>1.0150379810842238E-2</v>
      </c>
      <c r="J57" s="13">
        <v>157229</v>
      </c>
      <c r="K57" s="7">
        <v>51653236</v>
      </c>
      <c r="L57" s="10">
        <f>K57*'[1]Inflation Rates by Year'!D$2</f>
        <v>59108302.097032323</v>
      </c>
      <c r="M57" s="9">
        <f>L57/J57</f>
        <v>375.93765842835813</v>
      </c>
      <c r="N57" s="26">
        <f>$B$58/SQRT($J$58)*(SQRT(J57)-SQRT(J56))</f>
        <v>1.0150379810842238E-2</v>
      </c>
      <c r="O57" s="11">
        <f>M57/M$73</f>
        <v>2.1929055719237592E-2</v>
      </c>
      <c r="P57" s="11" t="e">
        <f>O57+P56</f>
        <v>#REF!</v>
      </c>
    </row>
    <row r="58" spans="1:32" ht="14.25" thickBot="1" x14ac:dyDescent="0.3">
      <c r="A58" s="25">
        <v>44138</v>
      </c>
      <c r="B58" s="23">
        <v>57</v>
      </c>
      <c r="C58" s="23">
        <v>157229</v>
      </c>
      <c r="D58" s="22">
        <v>51653236</v>
      </c>
      <c r="E58" s="23">
        <v>157270</v>
      </c>
      <c r="F58" s="24"/>
      <c r="G58" s="15">
        <f>J58-J57</f>
        <v>41</v>
      </c>
      <c r="H58" s="14">
        <f>70/$J$71*(G58)</f>
        <v>1.8248871367711576E-2</v>
      </c>
      <c r="I58" s="14">
        <f>$B$58/SQRT($J$58)*(SQRT(J58)-SQRT(J57))</f>
        <v>7.4303819315764867E-3</v>
      </c>
      <c r="J58" s="23">
        <v>157270</v>
      </c>
      <c r="K58" s="22">
        <v>51653236</v>
      </c>
      <c r="L58" s="21">
        <f>K58*'[1]Inflation Rates by Year'!D$2</f>
        <v>59108302.097032323</v>
      </c>
      <c r="M58" s="21">
        <f>L58/J58</f>
        <v>375.83965217163046</v>
      </c>
      <c r="N58" s="20">
        <f>$B$58/SQRT($J$58)*(SQRT(J58)-SQRT(J57))</f>
        <v>7.4303819315764867E-3</v>
      </c>
      <c r="O58" s="19">
        <f>M58/M$73</f>
        <v>2.1923338854708509E-2</v>
      </c>
      <c r="P58" s="19" t="e">
        <f>O58+P57</f>
        <v>#REF!</v>
      </c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</row>
    <row r="59" spans="1:32" ht="14.25" thickBot="1" x14ac:dyDescent="0.3">
      <c r="A59" s="18">
        <v>44139</v>
      </c>
      <c r="B59" s="15">
        <v>58</v>
      </c>
      <c r="C59" s="15">
        <v>157270</v>
      </c>
      <c r="D59" s="8">
        <v>52805958</v>
      </c>
      <c r="E59" s="16"/>
      <c r="F59" s="16"/>
      <c r="G59" s="15">
        <f>J59-J58</f>
        <v>0</v>
      </c>
      <c r="H59" s="14">
        <f>70/$J$71*(G59)</f>
        <v>0</v>
      </c>
      <c r="I59" s="14"/>
      <c r="J59" s="13">
        <v>157270</v>
      </c>
      <c r="K59" s="7">
        <v>52805958</v>
      </c>
      <c r="L59" s="10">
        <f>K59*'[1]Inflation Rates by Year'!D$2</f>
        <v>60427395.448896967</v>
      </c>
      <c r="M59" s="9">
        <f>L59/J59</f>
        <v>384.22709638772153</v>
      </c>
      <c r="N59" s="17"/>
      <c r="O59" s="11">
        <f>M59/M$73</f>
        <v>2.2412592132301366E-2</v>
      </c>
      <c r="P59" s="11" t="e">
        <f>O59+P58</f>
        <v>#REF!</v>
      </c>
    </row>
    <row r="60" spans="1:32" ht="14.25" thickBot="1" x14ac:dyDescent="0.3">
      <c r="A60" s="18">
        <v>44140</v>
      </c>
      <c r="B60" s="15">
        <v>59</v>
      </c>
      <c r="C60" s="16">
        <v>157270</v>
      </c>
      <c r="D60" s="8">
        <v>52997591</v>
      </c>
      <c r="E60" s="16"/>
      <c r="F60" s="16"/>
      <c r="G60" s="15">
        <f>J60-J59</f>
        <v>0</v>
      </c>
      <c r="H60" s="14">
        <f>70/$J$71*(G60)</f>
        <v>0</v>
      </c>
      <c r="I60" s="14"/>
      <c r="J60" s="13">
        <v>157270</v>
      </c>
      <c r="K60" s="7">
        <v>52997591</v>
      </c>
      <c r="L60" s="10">
        <f>K60*'[1]Inflation Rates by Year'!D$2</f>
        <v>60646686.671149924</v>
      </c>
      <c r="M60" s="9">
        <f>L60/J60</f>
        <v>385.62145781871891</v>
      </c>
      <c r="N60" s="17"/>
      <c r="O60" s="11">
        <f>M60/M$73</f>
        <v>2.2493927504875978E-2</v>
      </c>
      <c r="P60" s="11" t="e">
        <f>O60+P59</f>
        <v>#REF!</v>
      </c>
    </row>
    <row r="61" spans="1:32" ht="14.25" thickBot="1" x14ac:dyDescent="0.3">
      <c r="A61" s="18">
        <v>44141</v>
      </c>
      <c r="B61" s="15">
        <v>60</v>
      </c>
      <c r="C61" s="16">
        <v>157270</v>
      </c>
      <c r="D61" s="8">
        <v>53403552</v>
      </c>
      <c r="E61" s="16"/>
      <c r="F61" s="16"/>
      <c r="G61" s="15">
        <f>J61-J60</f>
        <v>0</v>
      </c>
      <c r="H61" s="14">
        <f>70/$J$71*(G61)</f>
        <v>0</v>
      </c>
      <c r="I61" s="14"/>
      <c r="J61" s="13">
        <v>157270</v>
      </c>
      <c r="K61" s="7">
        <v>53403552</v>
      </c>
      <c r="L61" s="10">
        <f>K61*'[1]Inflation Rates by Year'!D$2</f>
        <v>61111239.665034242</v>
      </c>
      <c r="M61" s="9">
        <f>L61/J61</f>
        <v>388.57531420508832</v>
      </c>
      <c r="N61" s="17"/>
      <c r="O61" s="11">
        <f>M61/M$73</f>
        <v>2.2666230757373E-2</v>
      </c>
      <c r="P61" s="11" t="e">
        <f>O61+P60</f>
        <v>#REF!</v>
      </c>
    </row>
    <row r="62" spans="1:32" ht="14.25" thickBot="1" x14ac:dyDescent="0.3">
      <c r="A62" s="18">
        <v>44142</v>
      </c>
      <c r="B62" s="15">
        <v>61</v>
      </c>
      <c r="C62" s="16">
        <v>157270</v>
      </c>
      <c r="D62" s="8">
        <v>53878886</v>
      </c>
      <c r="E62" s="16"/>
      <c r="F62" s="16"/>
      <c r="G62" s="15">
        <f>J62-J61</f>
        <v>0</v>
      </c>
      <c r="H62" s="14">
        <f>70/$J$71*(G62)</f>
        <v>0</v>
      </c>
      <c r="I62" s="14"/>
      <c r="J62" s="13">
        <v>157270</v>
      </c>
      <c r="K62" s="7">
        <v>53878886</v>
      </c>
      <c r="L62" s="10">
        <f>K62*'[1]Inflation Rates by Year'!D$2</f>
        <v>61655178.202960327</v>
      </c>
      <c r="M62" s="9">
        <f>L62/J62</f>
        <v>392.03394291956715</v>
      </c>
      <c r="N62" s="17"/>
      <c r="O62" s="11">
        <f>M62/M$73</f>
        <v>2.286797820164085E-2</v>
      </c>
      <c r="P62" s="11" t="e">
        <f>O62+P61</f>
        <v>#REF!</v>
      </c>
    </row>
    <row r="63" spans="1:32" ht="14.25" thickBot="1" x14ac:dyDescent="0.3">
      <c r="A63" s="18">
        <v>44143</v>
      </c>
      <c r="B63" s="15">
        <v>62</v>
      </c>
      <c r="C63" s="16"/>
      <c r="D63" s="8"/>
      <c r="E63" s="16"/>
      <c r="F63" s="16"/>
      <c r="G63" s="15">
        <v>0</v>
      </c>
      <c r="H63" s="14">
        <v>0</v>
      </c>
      <c r="I63" s="14"/>
      <c r="J63" s="13"/>
      <c r="K63" s="7"/>
      <c r="L63" s="10">
        <f>K63*'[1]Inflation Rates by Year'!D$2</f>
        <v>0</v>
      </c>
      <c r="M63" s="9"/>
      <c r="N63" s="17"/>
      <c r="O63" s="11">
        <f>M63/M$73</f>
        <v>0</v>
      </c>
      <c r="P63" s="11" t="e">
        <f>O63+P62</f>
        <v>#REF!</v>
      </c>
    </row>
    <row r="64" spans="1:32" ht="14.25" thickBot="1" x14ac:dyDescent="0.3">
      <c r="A64" s="18">
        <v>44144</v>
      </c>
      <c r="B64" s="15">
        <v>63</v>
      </c>
      <c r="C64" s="16"/>
      <c r="D64" s="8"/>
      <c r="E64" s="16"/>
      <c r="F64" s="16"/>
      <c r="G64" s="15">
        <f>J64-J63</f>
        <v>0</v>
      </c>
      <c r="H64" s="14">
        <f>70/$J$71*(G64)</f>
        <v>0</v>
      </c>
      <c r="I64" s="14"/>
      <c r="J64" s="13"/>
      <c r="K64" s="7"/>
      <c r="L64" s="10">
        <f>K64*'[1]Inflation Rates by Year'!D$2</f>
        <v>0</v>
      </c>
      <c r="M64" s="9"/>
      <c r="N64" s="17"/>
      <c r="O64" s="11">
        <f>M64/M$73</f>
        <v>0</v>
      </c>
      <c r="P64" s="11" t="e">
        <f>O64+P63</f>
        <v>#REF!</v>
      </c>
    </row>
    <row r="65" spans="1:16" ht="14.25" thickBot="1" x14ac:dyDescent="0.3">
      <c r="A65" s="12">
        <v>44145</v>
      </c>
      <c r="B65" s="15">
        <v>64</v>
      </c>
      <c r="C65" s="16">
        <v>157270</v>
      </c>
      <c r="D65" s="8">
        <v>52878886</v>
      </c>
      <c r="E65" s="16"/>
      <c r="F65" s="16"/>
      <c r="G65" s="15">
        <v>0</v>
      </c>
      <c r="H65" s="14">
        <v>0</v>
      </c>
      <c r="I65" s="14"/>
      <c r="J65" s="13">
        <v>157270</v>
      </c>
      <c r="K65" s="7">
        <v>52878886</v>
      </c>
      <c r="L65" s="10">
        <f>K65*'[1]Inflation Rates by Year'!D$2</f>
        <v>60510849.082960322</v>
      </c>
      <c r="M65" s="9">
        <f>L65/J65</f>
        <v>384.75773563273555</v>
      </c>
      <c r="N65" s="17"/>
      <c r="O65" s="11">
        <f>M65/M$73</f>
        <v>2.2443545183451853E-2</v>
      </c>
      <c r="P65" s="11" t="e">
        <f>O65+P64</f>
        <v>#REF!</v>
      </c>
    </row>
    <row r="66" spans="1:16" ht="14.25" thickBot="1" x14ac:dyDescent="0.3">
      <c r="A66" s="12">
        <v>44146</v>
      </c>
      <c r="B66" s="15">
        <v>65</v>
      </c>
      <c r="C66" s="16">
        <v>157270</v>
      </c>
      <c r="D66" s="8">
        <v>52878900</v>
      </c>
      <c r="E66" s="16"/>
      <c r="F66" s="16"/>
      <c r="G66" s="15">
        <f>J66-J65</f>
        <v>0</v>
      </c>
      <c r="H66" s="14">
        <v>0</v>
      </c>
      <c r="I66" s="14"/>
      <c r="J66" s="13">
        <v>157270</v>
      </c>
      <c r="K66" s="7">
        <v>52878900</v>
      </c>
      <c r="L66" s="10">
        <f>K66*'[1]Inflation Rates by Year'!D$2</f>
        <v>60510865.103568003</v>
      </c>
      <c r="M66" s="9">
        <f>L66/J66</f>
        <v>384.75783749963756</v>
      </c>
      <c r="N66" s="17"/>
      <c r="O66" s="11">
        <f>M66/M$73</f>
        <v>2.2443551125514109E-2</v>
      </c>
      <c r="P66" s="11" t="e">
        <f>O66+P65</f>
        <v>#REF!</v>
      </c>
    </row>
    <row r="67" spans="1:16" ht="14.25" thickBot="1" x14ac:dyDescent="0.3">
      <c r="A67" s="12">
        <v>44147</v>
      </c>
      <c r="B67" s="15">
        <v>66</v>
      </c>
      <c r="C67" s="16">
        <v>157270</v>
      </c>
      <c r="D67" s="8">
        <v>52878900</v>
      </c>
      <c r="G67" s="15">
        <f>J67-J66</f>
        <v>0</v>
      </c>
      <c r="H67" s="14">
        <f>70/$J$71*(G67)</f>
        <v>0</v>
      </c>
      <c r="I67" s="14"/>
      <c r="J67" s="13">
        <v>157270</v>
      </c>
      <c r="K67" s="7">
        <v>52878900</v>
      </c>
      <c r="L67" s="10">
        <f>K67*'[1]Inflation Rates by Year'!D$2</f>
        <v>60510865.103568003</v>
      </c>
      <c r="M67" s="9">
        <f>L67/J67</f>
        <v>384.75783749963756</v>
      </c>
      <c r="O67" s="11">
        <f>M67/M$73</f>
        <v>2.2443551125514109E-2</v>
      </c>
      <c r="P67" s="11" t="e">
        <f>O67+P66</f>
        <v>#REF!</v>
      </c>
    </row>
    <row r="68" spans="1:16" ht="14.25" thickBot="1" x14ac:dyDescent="0.3">
      <c r="A68" s="12">
        <v>44148</v>
      </c>
      <c r="B68" s="15">
        <v>67</v>
      </c>
      <c r="C68" s="16">
        <v>157270</v>
      </c>
      <c r="D68" s="8">
        <v>57878900</v>
      </c>
      <c r="G68" s="15">
        <f>J68-J67</f>
        <v>0</v>
      </c>
      <c r="H68" s="14">
        <f>70/$J$71*(G68)</f>
        <v>0</v>
      </c>
      <c r="I68" s="14"/>
      <c r="J68" s="13">
        <v>157270</v>
      </c>
      <c r="K68" s="7">
        <v>57878900</v>
      </c>
      <c r="L68" s="10">
        <f>K68*'[1]Inflation Rates by Year'!D$2</f>
        <v>66232510.703568004</v>
      </c>
      <c r="M68" s="9">
        <f>L68/J68</f>
        <v>421.13887393379542</v>
      </c>
      <c r="O68" s="11">
        <f>M68/M$73</f>
        <v>2.4565716216459092E-2</v>
      </c>
      <c r="P68" s="11" t="e">
        <f>O68+P67</f>
        <v>#REF!</v>
      </c>
    </row>
    <row r="69" spans="1:16" ht="14.25" thickBot="1" x14ac:dyDescent="0.3">
      <c r="A69" s="12">
        <v>44149</v>
      </c>
      <c r="B69" s="15">
        <v>68</v>
      </c>
      <c r="C69" s="16">
        <v>157270</v>
      </c>
      <c r="D69" s="8">
        <v>57878900</v>
      </c>
      <c r="G69" s="15">
        <f>J69-J68</f>
        <v>0</v>
      </c>
      <c r="H69" s="14">
        <f>70/$J$71*(G69)</f>
        <v>0</v>
      </c>
      <c r="I69" s="14"/>
      <c r="J69" s="13">
        <v>157270</v>
      </c>
      <c r="K69" s="7">
        <v>57878900</v>
      </c>
      <c r="L69" s="10">
        <f>K69*'[1]Inflation Rates by Year'!D$2</f>
        <v>66232510.703568004</v>
      </c>
      <c r="M69" s="9">
        <f>L69/J69</f>
        <v>421.13887393379542</v>
      </c>
      <c r="O69" s="11">
        <f>M69/M$73</f>
        <v>2.4565716216459092E-2</v>
      </c>
      <c r="P69" s="11" t="e">
        <f>O69+P68</f>
        <v>#REF!</v>
      </c>
    </row>
    <row r="70" spans="1:16" ht="14.25" thickBot="1" x14ac:dyDescent="0.3">
      <c r="A70" s="12">
        <v>44150</v>
      </c>
      <c r="B70" s="15">
        <v>69</v>
      </c>
      <c r="C70" s="16">
        <v>157270</v>
      </c>
      <c r="D70" s="8">
        <v>57878900</v>
      </c>
      <c r="G70" s="15">
        <f>J70-J69</f>
        <v>0</v>
      </c>
      <c r="H70" s="14">
        <f>70/$J$71*(G70)</f>
        <v>0</v>
      </c>
      <c r="I70" s="14"/>
      <c r="J70" s="13">
        <v>157270</v>
      </c>
      <c r="K70" s="7">
        <v>57878900</v>
      </c>
      <c r="L70" s="10">
        <f>K70*'[1]Inflation Rates by Year'!D$2</f>
        <v>66232510.703568004</v>
      </c>
      <c r="M70" s="9">
        <f>L70/J70</f>
        <v>421.13887393379542</v>
      </c>
      <c r="O70" s="11">
        <f>M70/M$73</f>
        <v>2.4565716216459092E-2</v>
      </c>
      <c r="P70" s="11" t="e">
        <f>O70+P69</f>
        <v>#REF!</v>
      </c>
    </row>
    <row r="71" spans="1:16" ht="14.25" thickBot="1" x14ac:dyDescent="0.3">
      <c r="A71" s="12">
        <v>44151</v>
      </c>
      <c r="B71" s="15">
        <v>70</v>
      </c>
      <c r="C71" s="16">
        <v>157270</v>
      </c>
      <c r="D71" s="8">
        <v>55043900</v>
      </c>
      <c r="G71" s="15">
        <f>J71-J70</f>
        <v>0</v>
      </c>
      <c r="H71" s="14">
        <f>70/$J$71*(G71)</f>
        <v>0</v>
      </c>
      <c r="I71" s="14"/>
      <c r="J71" s="13">
        <v>157270</v>
      </c>
      <c r="K71" s="7">
        <v>55043900</v>
      </c>
      <c r="L71" s="10">
        <f>K71*'[1]Inflation Rates by Year'!D$2</f>
        <v>62988337.648368008</v>
      </c>
      <c r="M71" s="9">
        <f>L71/J71</f>
        <v>400.51082627562795</v>
      </c>
      <c r="O71" s="11">
        <f>M71/M$73</f>
        <v>2.3362448609893286E-2</v>
      </c>
      <c r="P71" s="11" t="e">
        <f>O71+P70</f>
        <v>#REF!</v>
      </c>
    </row>
    <row r="72" spans="1:16" ht="14.25" thickBot="1" x14ac:dyDescent="0.3">
      <c r="A72" s="12"/>
      <c r="D72" s="8"/>
      <c r="H72" s="2"/>
      <c r="I72" s="2"/>
      <c r="J72" s="1"/>
      <c r="K72" s="7"/>
      <c r="L72" s="10"/>
      <c r="M72" s="9"/>
      <c r="O72" s="11">
        <f>M72/16985</f>
        <v>0</v>
      </c>
    </row>
    <row r="73" spans="1:16" ht="14.25" thickBot="1" x14ac:dyDescent="0.3">
      <c r="D73" s="8"/>
      <c r="H73" s="2"/>
      <c r="I73" s="2"/>
      <c r="J73" s="1"/>
      <c r="K73" s="7"/>
      <c r="L73" s="10"/>
      <c r="M73" s="9">
        <f>SUM(M2:M71)</f>
        <v>17143.358256806343</v>
      </c>
    </row>
    <row r="74" spans="1:16" ht="14.25" thickBot="1" x14ac:dyDescent="0.3">
      <c r="D74" s="8"/>
      <c r="H74" s="2"/>
      <c r="I74" s="2"/>
      <c r="J74" s="1"/>
      <c r="K74" s="7"/>
      <c r="L74" s="10"/>
      <c r="M74" s="9"/>
    </row>
    <row r="75" spans="1:16" ht="14.25" thickBot="1" x14ac:dyDescent="0.3">
      <c r="D75" s="8"/>
      <c r="H75" s="2"/>
      <c r="I75" s="2"/>
      <c r="J75" s="1"/>
      <c r="K75" s="7"/>
      <c r="L75" s="10"/>
      <c r="M75" s="9"/>
    </row>
    <row r="76" spans="1:16" ht="14.25" thickBot="1" x14ac:dyDescent="0.3">
      <c r="D76" s="8"/>
      <c r="H76" s="2"/>
      <c r="I76" s="2"/>
      <c r="J76" s="1"/>
      <c r="K76" s="7"/>
      <c r="L76" s="10"/>
      <c r="M76" s="9"/>
    </row>
    <row r="77" spans="1:16" ht="14.25" thickBot="1" x14ac:dyDescent="0.3">
      <c r="D77" s="8"/>
      <c r="H77" s="2"/>
      <c r="I77" s="2"/>
      <c r="J77" s="1"/>
      <c r="K77" s="7"/>
      <c r="L77" s="10"/>
      <c r="M77" s="9"/>
    </row>
    <row r="78" spans="1:16" ht="14.25" thickBot="1" x14ac:dyDescent="0.3">
      <c r="D78" s="8"/>
      <c r="H78" s="2"/>
      <c r="I78" s="2"/>
      <c r="J78" s="1"/>
      <c r="K78" s="7"/>
      <c r="L78" s="10"/>
      <c r="M78" s="9"/>
    </row>
    <row r="79" spans="1:16" ht="14.25" thickBot="1" x14ac:dyDescent="0.3">
      <c r="D79" s="8"/>
      <c r="H79" s="2"/>
      <c r="I79" s="2"/>
      <c r="J79" s="1"/>
      <c r="K79" s="7"/>
      <c r="L79" s="10"/>
      <c r="M79" s="9"/>
    </row>
    <row r="80" spans="1:16" ht="14.25" thickBot="1" x14ac:dyDescent="0.3">
      <c r="D80" s="8"/>
      <c r="H80" s="2"/>
      <c r="I80" s="2"/>
      <c r="J80" s="1"/>
      <c r="K80" s="7"/>
      <c r="L80" s="10"/>
      <c r="M80" s="9"/>
    </row>
    <row r="81" spans="4:13" ht="14.25" thickBot="1" x14ac:dyDescent="0.3">
      <c r="D81" s="8"/>
      <c r="H81" s="2"/>
      <c r="I81" s="2"/>
      <c r="J81" s="1"/>
      <c r="K81" s="7"/>
      <c r="L81" s="10"/>
      <c r="M81" s="9"/>
    </row>
    <row r="82" spans="4:13" ht="14.25" thickBot="1" x14ac:dyDescent="0.3">
      <c r="D82" s="8"/>
      <c r="H82" s="2"/>
      <c r="I82" s="2"/>
      <c r="J82" s="1"/>
      <c r="K82" s="7"/>
      <c r="L82" s="10"/>
      <c r="M82" s="9"/>
    </row>
    <row r="83" spans="4:13" ht="14.25" thickBot="1" x14ac:dyDescent="0.3">
      <c r="D83" s="8"/>
      <c r="H83" s="2"/>
      <c r="I83" s="2"/>
      <c r="J83" s="1"/>
      <c r="K83" s="7"/>
      <c r="L83" s="10"/>
      <c r="M83" s="9"/>
    </row>
    <row r="84" spans="4:13" ht="14.25" thickBot="1" x14ac:dyDescent="0.3">
      <c r="D84" s="8"/>
      <c r="H84" s="2"/>
      <c r="I84" s="2"/>
      <c r="J84" s="1"/>
      <c r="K84" s="7"/>
      <c r="L84" s="10"/>
      <c r="M84" s="9"/>
    </row>
    <row r="85" spans="4:13" ht="14.25" thickBot="1" x14ac:dyDescent="0.3">
      <c r="D85" s="8"/>
      <c r="H85" s="2"/>
      <c r="I85" s="2"/>
      <c r="J85" s="1"/>
      <c r="K85" s="7"/>
      <c r="L85" s="10"/>
      <c r="M85" s="9"/>
    </row>
    <row r="86" spans="4:13" ht="14.25" thickBot="1" x14ac:dyDescent="0.3">
      <c r="D86" s="8"/>
      <c r="H86" s="2"/>
      <c r="I86" s="2"/>
      <c r="J86" s="1"/>
      <c r="K86" s="7"/>
      <c r="L86" s="10"/>
      <c r="M86" s="9"/>
    </row>
    <row r="87" spans="4:13" ht="14.25" thickBot="1" x14ac:dyDescent="0.3">
      <c r="D87" s="8"/>
      <c r="H87" s="2"/>
      <c r="I87" s="2"/>
      <c r="J87" s="1"/>
      <c r="K87" s="7"/>
      <c r="L87" s="10"/>
      <c r="M87" s="9"/>
    </row>
    <row r="88" spans="4:13" ht="14.25" thickBot="1" x14ac:dyDescent="0.3">
      <c r="D88" s="8"/>
      <c r="H88" s="2"/>
      <c r="I88" s="2"/>
      <c r="J88" s="1"/>
      <c r="K88" s="7"/>
      <c r="L88" s="10"/>
      <c r="M88" s="9"/>
    </row>
    <row r="89" spans="4:13" ht="14.25" thickBot="1" x14ac:dyDescent="0.3">
      <c r="D89" s="8"/>
      <c r="H89" s="2"/>
      <c r="I89" s="2"/>
      <c r="J89" s="1"/>
      <c r="K89" s="7"/>
      <c r="L89" s="10"/>
      <c r="M89" s="9"/>
    </row>
    <row r="90" spans="4:13" ht="14.25" thickBot="1" x14ac:dyDescent="0.3">
      <c r="D90" s="8"/>
      <c r="H90" s="2"/>
      <c r="I90" s="2"/>
      <c r="J90" s="1"/>
      <c r="K90" s="7"/>
      <c r="L90" s="10"/>
      <c r="M90" s="9"/>
    </row>
    <row r="91" spans="4:13" ht="14.25" thickBot="1" x14ac:dyDescent="0.3">
      <c r="D91" s="8"/>
      <c r="H91" s="2"/>
      <c r="I91" s="2"/>
      <c r="J91" s="1"/>
      <c r="K91" s="7"/>
      <c r="L91" s="10"/>
      <c r="M91" s="9"/>
    </row>
    <row r="92" spans="4:13" ht="14.25" thickBot="1" x14ac:dyDescent="0.3">
      <c r="D92" s="8"/>
      <c r="H92" s="2"/>
      <c r="I92" s="2"/>
      <c r="J92" s="1"/>
      <c r="K92" s="7"/>
      <c r="L92" s="10"/>
      <c r="M92" s="9"/>
    </row>
    <row r="93" spans="4:13" ht="14.25" thickBot="1" x14ac:dyDescent="0.3">
      <c r="D93" s="8"/>
      <c r="H93" s="2"/>
      <c r="I93" s="2"/>
      <c r="J93" s="1"/>
      <c r="K93" s="7"/>
      <c r="L93" s="10"/>
      <c r="M93" s="9"/>
    </row>
    <row r="94" spans="4:13" ht="14.25" thickBot="1" x14ac:dyDescent="0.3">
      <c r="D94" s="8"/>
      <c r="H94" s="2"/>
      <c r="I94" s="2"/>
      <c r="J94" s="1"/>
      <c r="K94" s="7"/>
      <c r="L94" s="10"/>
      <c r="M94" s="9"/>
    </row>
    <row r="95" spans="4:13" ht="14.25" thickBot="1" x14ac:dyDescent="0.3">
      <c r="D95" s="8"/>
      <c r="H95" s="2"/>
      <c r="I95" s="2"/>
      <c r="J95" s="1"/>
      <c r="K95" s="7"/>
      <c r="L95" s="10"/>
      <c r="M95" s="9"/>
    </row>
    <row r="96" spans="4:13" ht="14.25" thickBot="1" x14ac:dyDescent="0.3">
      <c r="D96" s="8"/>
      <c r="H96" s="2"/>
      <c r="I96" s="2"/>
      <c r="J96" s="1"/>
      <c r="K96" s="7"/>
      <c r="L96" s="10"/>
      <c r="M96" s="9"/>
    </row>
    <row r="97" spans="4:13" ht="14.25" thickBot="1" x14ac:dyDescent="0.3">
      <c r="D97" s="8"/>
      <c r="H97" s="2"/>
      <c r="I97" s="2"/>
      <c r="J97" s="1"/>
      <c r="K97" s="7"/>
      <c r="L97" s="10"/>
      <c r="M97" s="9"/>
    </row>
    <row r="98" spans="4:13" ht="14.25" thickBot="1" x14ac:dyDescent="0.3">
      <c r="D98" s="8"/>
      <c r="H98" s="2"/>
      <c r="I98" s="2"/>
      <c r="J98" s="1"/>
      <c r="K98" s="7"/>
      <c r="L98" s="10"/>
      <c r="M98" s="9"/>
    </row>
    <row r="99" spans="4:13" ht="14.25" thickBot="1" x14ac:dyDescent="0.3">
      <c r="D99" s="8"/>
      <c r="H99" s="2"/>
      <c r="I99" s="2"/>
      <c r="J99" s="1"/>
      <c r="K99" s="7"/>
      <c r="L99" s="10"/>
      <c r="M99" s="9"/>
    </row>
    <row r="100" spans="4:13" ht="14.25" thickBot="1" x14ac:dyDescent="0.3">
      <c r="D100" s="8"/>
      <c r="H100" s="2"/>
      <c r="I100" s="2"/>
      <c r="J100" s="1"/>
      <c r="K100" s="7"/>
      <c r="L100" s="10"/>
      <c r="M100" s="9"/>
    </row>
    <row r="101" spans="4:13" ht="14.25" thickBot="1" x14ac:dyDescent="0.3">
      <c r="D101" s="8"/>
      <c r="H101" s="2"/>
      <c r="I101" s="2"/>
      <c r="J101" s="1"/>
      <c r="K101" s="7"/>
      <c r="L101" s="10"/>
      <c r="M101" s="9"/>
    </row>
    <row r="102" spans="4:13" ht="14.25" thickBot="1" x14ac:dyDescent="0.3">
      <c r="D102" s="8"/>
      <c r="H102" s="2"/>
      <c r="I102" s="2"/>
      <c r="J102" s="1"/>
      <c r="K102" s="7"/>
      <c r="L102" s="10"/>
      <c r="M102" s="9"/>
    </row>
    <row r="103" spans="4:13" ht="14.25" thickBot="1" x14ac:dyDescent="0.3">
      <c r="D103" s="8"/>
      <c r="H103" s="2"/>
      <c r="I103" s="2"/>
      <c r="J103" s="1"/>
      <c r="K103" s="7"/>
      <c r="L103" s="10"/>
      <c r="M103" s="9"/>
    </row>
    <row r="104" spans="4:13" ht="14.25" thickBot="1" x14ac:dyDescent="0.3">
      <c r="D104" s="8"/>
      <c r="H104" s="2"/>
      <c r="I104" s="2"/>
      <c r="J104" s="1"/>
      <c r="K104" s="7"/>
      <c r="L104" s="10"/>
      <c r="M104" s="9"/>
    </row>
    <row r="105" spans="4:13" ht="14.25" thickBot="1" x14ac:dyDescent="0.3">
      <c r="D105" s="8"/>
      <c r="H105" s="2"/>
      <c r="I105" s="2"/>
      <c r="J105" s="1"/>
      <c r="K105" s="7"/>
      <c r="L105" s="10"/>
      <c r="M105" s="9"/>
    </row>
    <row r="106" spans="4:13" ht="14.25" thickBot="1" x14ac:dyDescent="0.3">
      <c r="D106" s="8"/>
      <c r="H106" s="2"/>
      <c r="I106" s="2"/>
      <c r="J106" s="1"/>
      <c r="K106" s="7"/>
      <c r="L106" s="10"/>
      <c r="M106" s="9"/>
    </row>
    <row r="107" spans="4:13" ht="14.25" thickBot="1" x14ac:dyDescent="0.3">
      <c r="D107" s="8"/>
      <c r="H107" s="2"/>
      <c r="I107" s="2"/>
      <c r="J107" s="1"/>
      <c r="K107" s="7"/>
      <c r="L107" s="10"/>
      <c r="M107" s="9"/>
    </row>
    <row r="108" spans="4:13" ht="14.25" thickBot="1" x14ac:dyDescent="0.3">
      <c r="D108" s="8"/>
      <c r="H108" s="2"/>
      <c r="I108" s="2"/>
      <c r="J108" s="1"/>
      <c r="K108" s="7"/>
      <c r="L108" s="10"/>
      <c r="M108" s="9"/>
    </row>
    <row r="109" spans="4:13" ht="14.25" thickBot="1" x14ac:dyDescent="0.3">
      <c r="D109" s="8"/>
      <c r="H109" s="2"/>
      <c r="I109" s="2"/>
      <c r="J109" s="1"/>
      <c r="K109" s="7"/>
      <c r="L109" s="10"/>
      <c r="M109" s="9"/>
    </row>
    <row r="110" spans="4:13" ht="14.25" thickBot="1" x14ac:dyDescent="0.3">
      <c r="D110" s="8"/>
      <c r="H110" s="2"/>
      <c r="I110" s="2"/>
      <c r="J110" s="1"/>
      <c r="K110" s="7"/>
      <c r="L110" s="10"/>
      <c r="M110" s="9"/>
    </row>
    <row r="111" spans="4:13" ht="14.25" thickBot="1" x14ac:dyDescent="0.3">
      <c r="D111" s="8"/>
      <c r="H111" s="2"/>
      <c r="I111" s="2"/>
      <c r="J111" s="1"/>
      <c r="K111" s="7"/>
      <c r="L111" s="10"/>
      <c r="M111" s="9"/>
    </row>
    <row r="112" spans="4:13" ht="14.25" thickBot="1" x14ac:dyDescent="0.3">
      <c r="D112" s="8"/>
      <c r="H112" s="2"/>
      <c r="I112" s="2"/>
      <c r="J112" s="1"/>
      <c r="K112" s="7"/>
      <c r="L112" s="10"/>
      <c r="M112" s="9"/>
    </row>
    <row r="113" spans="4:13" ht="14.25" thickBot="1" x14ac:dyDescent="0.3">
      <c r="D113" s="8"/>
      <c r="H113" s="2"/>
      <c r="I113" s="2"/>
      <c r="J113" s="1"/>
      <c r="K113" s="7"/>
      <c r="L113" s="10"/>
      <c r="M113" s="9"/>
    </row>
    <row r="114" spans="4:13" ht="14.25" thickBot="1" x14ac:dyDescent="0.3">
      <c r="D114" s="8"/>
      <c r="H114" s="2"/>
      <c r="I114" s="2"/>
      <c r="J114" s="1"/>
      <c r="K114" s="7"/>
      <c r="L114" s="10"/>
      <c r="M114" s="9"/>
    </row>
    <row r="115" spans="4:13" ht="13.5" x14ac:dyDescent="0.25">
      <c r="D115" s="8"/>
      <c r="H115" s="2"/>
      <c r="I115" s="2"/>
      <c r="J115" s="1"/>
      <c r="K115" s="7"/>
      <c r="L115" s="6"/>
      <c r="M115" s="5"/>
    </row>
    <row r="116" spans="4:13" ht="13.5" x14ac:dyDescent="0.25">
      <c r="D116" s="4"/>
      <c r="H116" s="2"/>
      <c r="I116" s="2"/>
      <c r="J116" s="1"/>
      <c r="K116" s="3"/>
      <c r="L116" s="6"/>
      <c r="M116" s="5"/>
    </row>
    <row r="117" spans="4:13" ht="13.5" x14ac:dyDescent="0.25">
      <c r="D117" s="4"/>
      <c r="H117" s="2"/>
      <c r="I117" s="2"/>
      <c r="J117" s="1"/>
      <c r="K117" s="3"/>
      <c r="L117" s="6"/>
      <c r="M117" s="5"/>
    </row>
    <row r="118" spans="4:13" ht="13.5" x14ac:dyDescent="0.25">
      <c r="D118" s="4"/>
      <c r="H118" s="2"/>
      <c r="I118" s="2"/>
      <c r="J118" s="1"/>
      <c r="K118" s="3"/>
      <c r="L118" s="6"/>
      <c r="M118" s="5"/>
    </row>
    <row r="119" spans="4:13" ht="13.5" x14ac:dyDescent="0.25">
      <c r="D119" s="4"/>
      <c r="H119" s="2"/>
      <c r="I119" s="2"/>
      <c r="J119" s="1"/>
      <c r="K119" s="3"/>
      <c r="L119" s="6"/>
      <c r="M119" s="5"/>
    </row>
    <row r="120" spans="4:13" ht="13.5" x14ac:dyDescent="0.25">
      <c r="D120" s="4"/>
      <c r="H120" s="2"/>
      <c r="I120" s="2"/>
      <c r="J120" s="1"/>
      <c r="K120" s="3"/>
      <c r="L120" s="6"/>
      <c r="M120" s="5"/>
    </row>
    <row r="121" spans="4:13" ht="13.5" x14ac:dyDescent="0.25">
      <c r="D121" s="4"/>
      <c r="H121" s="2"/>
      <c r="I121" s="2"/>
      <c r="J121" s="1"/>
      <c r="K121" s="3"/>
      <c r="L121" s="6"/>
      <c r="M121" s="5"/>
    </row>
    <row r="122" spans="4:13" ht="13.5" x14ac:dyDescent="0.25">
      <c r="D122" s="4"/>
      <c r="H122" s="2"/>
      <c r="I122" s="2"/>
      <c r="J122" s="1"/>
      <c r="K122" s="3"/>
      <c r="L122" s="6"/>
      <c r="M122" s="5"/>
    </row>
    <row r="123" spans="4:13" ht="13.5" x14ac:dyDescent="0.25">
      <c r="D123" s="4"/>
      <c r="H123" s="2"/>
      <c r="I123" s="2"/>
      <c r="J123" s="1"/>
      <c r="K123" s="3"/>
      <c r="L123" s="6"/>
      <c r="M123" s="5"/>
    </row>
    <row r="124" spans="4:13" ht="13.5" x14ac:dyDescent="0.25">
      <c r="D124" s="4"/>
      <c r="H124" s="2"/>
      <c r="I124" s="2"/>
      <c r="J124" s="1"/>
      <c r="K124" s="3"/>
      <c r="L124" s="6"/>
      <c r="M124" s="5"/>
    </row>
    <row r="125" spans="4:13" ht="13.5" x14ac:dyDescent="0.25">
      <c r="D125" s="4"/>
      <c r="H125" s="2"/>
      <c r="I125" s="2"/>
      <c r="J125" s="1"/>
      <c r="K125" s="3"/>
      <c r="L125" s="6"/>
      <c r="M125" s="5"/>
    </row>
    <row r="126" spans="4:13" ht="13.5" x14ac:dyDescent="0.25">
      <c r="D126" s="4"/>
      <c r="H126" s="2"/>
      <c r="I126" s="2"/>
      <c r="J126" s="1"/>
      <c r="K126" s="3"/>
      <c r="L126" s="6"/>
      <c r="M126" s="5"/>
    </row>
    <row r="127" spans="4:13" ht="13.5" x14ac:dyDescent="0.25">
      <c r="D127" s="4"/>
      <c r="H127" s="2"/>
      <c r="I127" s="2"/>
      <c r="J127" s="1"/>
      <c r="K127" s="3"/>
      <c r="L127" s="6"/>
      <c r="M127" s="5"/>
    </row>
    <row r="128" spans="4:13" ht="13.5" x14ac:dyDescent="0.25">
      <c r="D128" s="4"/>
      <c r="H128" s="2"/>
      <c r="I128" s="2"/>
      <c r="J128" s="1"/>
      <c r="K128" s="3"/>
      <c r="L128" s="6"/>
      <c r="M128" s="5"/>
    </row>
    <row r="129" spans="4:13" ht="13.5" x14ac:dyDescent="0.25">
      <c r="D129" s="4"/>
      <c r="H129" s="2"/>
      <c r="I129" s="2"/>
      <c r="J129" s="1"/>
      <c r="K129" s="3"/>
      <c r="L129" s="6"/>
      <c r="M129" s="5"/>
    </row>
    <row r="130" spans="4:13" ht="13.5" x14ac:dyDescent="0.25">
      <c r="D130" s="4"/>
      <c r="H130" s="2"/>
      <c r="I130" s="2"/>
      <c r="J130" s="1"/>
      <c r="K130" s="3"/>
      <c r="L130" s="6"/>
      <c r="M130" s="5"/>
    </row>
    <row r="131" spans="4:13" ht="13.5" x14ac:dyDescent="0.25">
      <c r="D131" s="4"/>
      <c r="H131" s="2"/>
      <c r="I131" s="2"/>
      <c r="J131" s="1"/>
      <c r="K131" s="3"/>
      <c r="L131" s="6"/>
      <c r="M131" s="5"/>
    </row>
    <row r="132" spans="4:13" ht="13.5" x14ac:dyDescent="0.25">
      <c r="D132" s="4"/>
      <c r="H132" s="2"/>
      <c r="I132" s="2"/>
      <c r="J132" s="1"/>
      <c r="K132" s="3"/>
      <c r="L132" s="6"/>
      <c r="M132" s="5"/>
    </row>
    <row r="133" spans="4:13" ht="13.5" x14ac:dyDescent="0.25">
      <c r="D133" s="4"/>
      <c r="H133" s="2"/>
      <c r="I133" s="2"/>
      <c r="J133" s="1"/>
      <c r="K133" s="3"/>
      <c r="L133" s="6"/>
      <c r="M133" s="5"/>
    </row>
    <row r="134" spans="4:13" ht="13.5" x14ac:dyDescent="0.25">
      <c r="D134" s="4"/>
      <c r="H134" s="2"/>
      <c r="I134" s="2"/>
      <c r="J134" s="1"/>
      <c r="K134" s="3"/>
      <c r="L134" s="6"/>
      <c r="M134" s="5"/>
    </row>
    <row r="135" spans="4:13" ht="13.5" x14ac:dyDescent="0.25">
      <c r="D135" s="4"/>
      <c r="H135" s="2"/>
      <c r="I135" s="2"/>
      <c r="J135" s="1"/>
      <c r="K135" s="3"/>
      <c r="L135" s="6"/>
      <c r="M135" s="5"/>
    </row>
    <row r="136" spans="4:13" ht="13.5" x14ac:dyDescent="0.25">
      <c r="D136" s="4"/>
      <c r="H136" s="2"/>
      <c r="I136" s="2"/>
      <c r="J136" s="1"/>
      <c r="K136" s="3"/>
      <c r="L136" s="6"/>
      <c r="M136" s="5"/>
    </row>
    <row r="137" spans="4:13" ht="13.5" x14ac:dyDescent="0.25">
      <c r="D137" s="4"/>
      <c r="H137" s="2"/>
      <c r="I137" s="2"/>
      <c r="J137" s="1"/>
      <c r="K137" s="3"/>
      <c r="L137" s="6"/>
      <c r="M137" s="5"/>
    </row>
    <row r="138" spans="4:13" ht="13.5" x14ac:dyDescent="0.25">
      <c r="D138" s="4"/>
      <c r="H138" s="2"/>
      <c r="I138" s="2"/>
      <c r="J138" s="1"/>
      <c r="K138" s="3"/>
      <c r="L138" s="6"/>
      <c r="M138" s="5"/>
    </row>
    <row r="139" spans="4:13" ht="13.5" x14ac:dyDescent="0.25">
      <c r="D139" s="4"/>
      <c r="H139" s="2"/>
      <c r="I139" s="2"/>
      <c r="J139" s="1"/>
      <c r="K139" s="3"/>
      <c r="L139" s="6"/>
      <c r="M139" s="5"/>
    </row>
    <row r="140" spans="4:13" ht="13.5" x14ac:dyDescent="0.25">
      <c r="D140" s="4"/>
      <c r="H140" s="2"/>
      <c r="I140" s="2"/>
      <c r="J140" s="1"/>
      <c r="K140" s="3"/>
      <c r="L140" s="6"/>
      <c r="M140" s="5"/>
    </row>
    <row r="141" spans="4:13" ht="13.5" x14ac:dyDescent="0.25">
      <c r="D141" s="4"/>
      <c r="H141" s="2"/>
      <c r="I141" s="2"/>
      <c r="J141" s="1"/>
      <c r="K141" s="3"/>
      <c r="L141" s="6"/>
      <c r="M141" s="5"/>
    </row>
    <row r="142" spans="4:13" ht="13.5" x14ac:dyDescent="0.25">
      <c r="D142" s="4"/>
      <c r="H142" s="2"/>
      <c r="I142" s="2"/>
      <c r="J142" s="1"/>
      <c r="K142" s="3"/>
      <c r="L142" s="6"/>
      <c r="M142" s="5"/>
    </row>
    <row r="143" spans="4:13" ht="13.5" x14ac:dyDescent="0.25">
      <c r="D143" s="4"/>
      <c r="H143" s="2"/>
      <c r="I143" s="2"/>
      <c r="J143" s="1"/>
      <c r="K143" s="3"/>
      <c r="L143" s="6"/>
      <c r="M143" s="5"/>
    </row>
    <row r="144" spans="4:13" ht="13.5" x14ac:dyDescent="0.25">
      <c r="D144" s="4"/>
      <c r="H144" s="2"/>
      <c r="I144" s="2"/>
      <c r="J144" s="1"/>
      <c r="K144" s="3"/>
      <c r="L144" s="6"/>
      <c r="M144" s="5"/>
    </row>
    <row r="145" spans="4:13" ht="13.5" x14ac:dyDescent="0.25">
      <c r="D145" s="4"/>
      <c r="H145" s="2"/>
      <c r="I145" s="2"/>
      <c r="J145" s="1"/>
      <c r="K145" s="3"/>
      <c r="L145" s="6"/>
      <c r="M145" s="5"/>
    </row>
    <row r="146" spans="4:13" ht="13.5" x14ac:dyDescent="0.25">
      <c r="D146" s="4"/>
      <c r="H146" s="2"/>
      <c r="I146" s="2"/>
      <c r="J146" s="1"/>
      <c r="K146" s="3"/>
      <c r="L146" s="6"/>
      <c r="M146" s="5"/>
    </row>
    <row r="147" spans="4:13" ht="13.5" x14ac:dyDescent="0.25">
      <c r="D147" s="4"/>
      <c r="H147" s="2"/>
      <c r="I147" s="2"/>
      <c r="J147" s="1"/>
      <c r="K147" s="3"/>
      <c r="L147" s="6"/>
      <c r="M147" s="5"/>
    </row>
    <row r="148" spans="4:13" ht="13.5" x14ac:dyDescent="0.25">
      <c r="D148" s="4"/>
      <c r="H148" s="2"/>
      <c r="I148" s="2"/>
      <c r="J148" s="1"/>
      <c r="K148" s="3"/>
      <c r="L148" s="6"/>
      <c r="M148" s="5"/>
    </row>
    <row r="149" spans="4:13" ht="13.5" x14ac:dyDescent="0.25">
      <c r="D149" s="4"/>
      <c r="H149" s="2"/>
      <c r="I149" s="2"/>
      <c r="J149" s="1"/>
      <c r="K149" s="3"/>
      <c r="L149" s="6"/>
      <c r="M149" s="5"/>
    </row>
    <row r="150" spans="4:13" ht="13.5" x14ac:dyDescent="0.25">
      <c r="D150" s="4"/>
      <c r="H150" s="2"/>
      <c r="I150" s="2"/>
      <c r="J150" s="1"/>
      <c r="K150" s="3"/>
      <c r="L150" s="6"/>
      <c r="M150" s="5"/>
    </row>
    <row r="151" spans="4:13" ht="13.5" x14ac:dyDescent="0.25">
      <c r="D151" s="4"/>
      <c r="H151" s="2"/>
      <c r="I151" s="2"/>
      <c r="J151" s="1"/>
      <c r="K151" s="3"/>
      <c r="L151" s="6"/>
      <c r="M151" s="5"/>
    </row>
    <row r="152" spans="4:13" ht="13.5" x14ac:dyDescent="0.25">
      <c r="D152" s="4"/>
      <c r="H152" s="2"/>
      <c r="I152" s="2"/>
      <c r="J152" s="1"/>
      <c r="K152" s="3"/>
      <c r="L152" s="6"/>
      <c r="M152" s="5"/>
    </row>
    <row r="153" spans="4:13" ht="13.5" x14ac:dyDescent="0.25">
      <c r="D153" s="4"/>
      <c r="H153" s="2"/>
      <c r="I153" s="2"/>
      <c r="J153" s="1"/>
      <c r="K153" s="3"/>
      <c r="L153" s="6"/>
      <c r="M153" s="5"/>
    </row>
    <row r="154" spans="4:13" ht="13.5" x14ac:dyDescent="0.25">
      <c r="D154" s="4"/>
      <c r="H154" s="2"/>
      <c r="I154" s="2"/>
      <c r="J154" s="1"/>
      <c r="K154" s="3"/>
      <c r="L154" s="6"/>
      <c r="M154" s="5"/>
    </row>
    <row r="155" spans="4:13" ht="13.5" x14ac:dyDescent="0.25">
      <c r="D155" s="4"/>
      <c r="H155" s="2"/>
      <c r="I155" s="2"/>
      <c r="J155" s="1"/>
      <c r="K155" s="3"/>
      <c r="L155" s="6"/>
      <c r="M155" s="5"/>
    </row>
    <row r="156" spans="4:13" ht="13.5" x14ac:dyDescent="0.25">
      <c r="D156" s="4"/>
      <c r="H156" s="2"/>
      <c r="I156" s="2"/>
      <c r="J156" s="1"/>
      <c r="K156" s="3"/>
      <c r="L156" s="6"/>
      <c r="M156" s="5"/>
    </row>
    <row r="157" spans="4:13" ht="13.5" x14ac:dyDescent="0.25">
      <c r="D157" s="4"/>
      <c r="H157" s="2"/>
      <c r="I157" s="2"/>
      <c r="J157" s="1"/>
      <c r="K157" s="3"/>
      <c r="L157" s="6"/>
      <c r="M157" s="5"/>
    </row>
    <row r="158" spans="4:13" ht="13.5" x14ac:dyDescent="0.25">
      <c r="D158" s="4"/>
      <c r="H158" s="2"/>
      <c r="I158" s="2"/>
      <c r="J158" s="1"/>
      <c r="K158" s="3"/>
      <c r="L158" s="6"/>
      <c r="M158" s="5"/>
    </row>
    <row r="159" spans="4:13" ht="13.5" x14ac:dyDescent="0.25">
      <c r="D159" s="4"/>
      <c r="H159" s="2"/>
      <c r="I159" s="2"/>
      <c r="J159" s="1"/>
      <c r="K159" s="3"/>
      <c r="L159" s="6"/>
      <c r="M159" s="5"/>
    </row>
    <row r="160" spans="4:13" ht="13.5" x14ac:dyDescent="0.25">
      <c r="D160" s="4"/>
      <c r="H160" s="2"/>
      <c r="I160" s="2"/>
      <c r="J160" s="1"/>
      <c r="K160" s="3"/>
      <c r="L160" s="6"/>
      <c r="M160" s="5"/>
    </row>
    <row r="161" spans="4:13" ht="13.5" x14ac:dyDescent="0.25">
      <c r="D161" s="4"/>
      <c r="H161" s="2"/>
      <c r="I161" s="2"/>
      <c r="J161" s="1"/>
      <c r="K161" s="3"/>
      <c r="L161" s="6"/>
      <c r="M161" s="5"/>
    </row>
    <row r="162" spans="4:13" ht="13.5" x14ac:dyDescent="0.25">
      <c r="D162" s="4"/>
      <c r="H162" s="2"/>
      <c r="I162" s="2"/>
      <c r="J162" s="1"/>
      <c r="K162" s="3"/>
      <c r="L162" s="6"/>
      <c r="M162" s="5"/>
    </row>
    <row r="163" spans="4:13" ht="13.5" x14ac:dyDescent="0.25">
      <c r="D163" s="4"/>
      <c r="H163" s="2"/>
      <c r="I163" s="2"/>
      <c r="J163" s="1"/>
      <c r="K163" s="3"/>
      <c r="L163" s="6"/>
      <c r="M163" s="5"/>
    </row>
    <row r="164" spans="4:13" ht="13.5" x14ac:dyDescent="0.25">
      <c r="D164" s="4"/>
      <c r="H164" s="2"/>
      <c r="I164" s="2"/>
      <c r="J164" s="1"/>
      <c r="K164" s="3"/>
      <c r="L164" s="6"/>
      <c r="M164" s="5"/>
    </row>
    <row r="165" spans="4:13" ht="13.5" x14ac:dyDescent="0.25">
      <c r="D165" s="4"/>
      <c r="H165" s="2"/>
      <c r="I165" s="2"/>
      <c r="J165" s="1"/>
      <c r="K165" s="3"/>
      <c r="L165" s="6"/>
      <c r="M165" s="5"/>
    </row>
    <row r="166" spans="4:13" ht="13.5" x14ac:dyDescent="0.25">
      <c r="D166" s="4"/>
      <c r="H166" s="2"/>
      <c r="I166" s="2"/>
      <c r="J166" s="1"/>
      <c r="K166" s="3"/>
      <c r="L166" s="6"/>
      <c r="M166" s="5"/>
    </row>
    <row r="167" spans="4:13" ht="13.5" x14ac:dyDescent="0.25">
      <c r="D167" s="4"/>
      <c r="H167" s="2"/>
      <c r="I167" s="2"/>
      <c r="J167" s="1"/>
      <c r="K167" s="3"/>
      <c r="L167" s="6"/>
      <c r="M167" s="5"/>
    </row>
    <row r="168" spans="4:13" ht="13.5" x14ac:dyDescent="0.25">
      <c r="D168" s="4"/>
      <c r="H168" s="2"/>
      <c r="I168" s="2"/>
      <c r="J168" s="1"/>
      <c r="K168" s="3"/>
      <c r="L168" s="6"/>
      <c r="M168" s="5"/>
    </row>
    <row r="169" spans="4:13" ht="13.5" x14ac:dyDescent="0.25">
      <c r="D169" s="4"/>
      <c r="H169" s="2"/>
      <c r="I169" s="2"/>
      <c r="J169" s="1"/>
      <c r="K169" s="3"/>
      <c r="L169" s="6"/>
      <c r="M169" s="5"/>
    </row>
    <row r="170" spans="4:13" ht="13.5" x14ac:dyDescent="0.25">
      <c r="D170" s="4"/>
      <c r="H170" s="2"/>
      <c r="I170" s="2"/>
      <c r="J170" s="1"/>
      <c r="K170" s="3"/>
      <c r="L170" s="6"/>
      <c r="M170" s="5"/>
    </row>
    <row r="171" spans="4:13" ht="13.5" x14ac:dyDescent="0.25">
      <c r="D171" s="4"/>
      <c r="H171" s="2"/>
      <c r="I171" s="2"/>
      <c r="J171" s="1"/>
      <c r="K171" s="3"/>
      <c r="L171" s="6"/>
      <c r="M171" s="5"/>
    </row>
    <row r="172" spans="4:13" ht="13.5" x14ac:dyDescent="0.25">
      <c r="D172" s="4"/>
      <c r="H172" s="2"/>
      <c r="I172" s="2"/>
      <c r="J172" s="1"/>
      <c r="K172" s="3"/>
      <c r="L172" s="6"/>
      <c r="M172" s="5"/>
    </row>
    <row r="173" spans="4:13" ht="13.5" x14ac:dyDescent="0.25">
      <c r="D173" s="4"/>
      <c r="H173" s="2"/>
      <c r="I173" s="2"/>
      <c r="J173" s="1"/>
      <c r="K173" s="3"/>
      <c r="L173" s="6"/>
      <c r="M173" s="5"/>
    </row>
    <row r="174" spans="4:13" ht="13.5" x14ac:dyDescent="0.25">
      <c r="D174" s="4"/>
      <c r="H174" s="2"/>
      <c r="I174" s="2"/>
      <c r="J174" s="1"/>
      <c r="K174" s="3"/>
      <c r="L174" s="6"/>
      <c r="M174" s="5"/>
    </row>
    <row r="175" spans="4:13" ht="13.5" x14ac:dyDescent="0.25">
      <c r="D175" s="4"/>
      <c r="H175" s="2"/>
      <c r="I175" s="2"/>
      <c r="J175" s="1"/>
      <c r="K175" s="3"/>
      <c r="L175" s="6"/>
      <c r="M175" s="5"/>
    </row>
    <row r="176" spans="4:13" ht="13.5" x14ac:dyDescent="0.25">
      <c r="D176" s="4"/>
      <c r="H176" s="2"/>
      <c r="I176" s="2"/>
      <c r="J176" s="1"/>
      <c r="K176" s="3"/>
      <c r="L176" s="6"/>
      <c r="M176" s="5"/>
    </row>
    <row r="177" spans="4:13" ht="13.5" x14ac:dyDescent="0.25">
      <c r="D177" s="4"/>
      <c r="H177" s="2"/>
      <c r="I177" s="2"/>
      <c r="J177" s="1"/>
      <c r="K177" s="3"/>
      <c r="L177" s="6"/>
      <c r="M177" s="5"/>
    </row>
    <row r="178" spans="4:13" ht="13.5" x14ac:dyDescent="0.25">
      <c r="D178" s="4"/>
      <c r="H178" s="2"/>
      <c r="I178" s="2"/>
      <c r="J178" s="1"/>
      <c r="K178" s="3"/>
      <c r="L178" s="6"/>
      <c r="M178" s="5"/>
    </row>
    <row r="179" spans="4:13" ht="13.5" x14ac:dyDescent="0.25">
      <c r="D179" s="4"/>
      <c r="H179" s="2"/>
      <c r="I179" s="2"/>
      <c r="J179" s="1"/>
      <c r="K179" s="3"/>
      <c r="L179" s="6"/>
      <c r="M179" s="5"/>
    </row>
    <row r="180" spans="4:13" ht="13.5" x14ac:dyDescent="0.25">
      <c r="D180" s="4"/>
      <c r="H180" s="2"/>
      <c r="I180" s="2"/>
      <c r="J180" s="1"/>
      <c r="K180" s="3"/>
      <c r="L180" s="6"/>
      <c r="M180" s="5"/>
    </row>
    <row r="181" spans="4:13" ht="13.5" x14ac:dyDescent="0.25">
      <c r="D181" s="4"/>
      <c r="H181" s="2"/>
      <c r="I181" s="2"/>
      <c r="J181" s="1"/>
      <c r="K181" s="3"/>
      <c r="L181" s="6"/>
      <c r="M181" s="5"/>
    </row>
    <row r="182" spans="4:13" ht="13.5" x14ac:dyDescent="0.25">
      <c r="D182" s="4"/>
      <c r="H182" s="2"/>
      <c r="I182" s="2"/>
      <c r="J182" s="1"/>
      <c r="K182" s="3"/>
      <c r="L182" s="6"/>
      <c r="M182" s="5"/>
    </row>
    <row r="183" spans="4:13" ht="13.5" x14ac:dyDescent="0.25">
      <c r="D183" s="4"/>
      <c r="H183" s="2"/>
      <c r="I183" s="2"/>
      <c r="J183" s="1"/>
      <c r="K183" s="3"/>
      <c r="L183" s="6"/>
      <c r="M183" s="5"/>
    </row>
    <row r="184" spans="4:13" ht="13.5" x14ac:dyDescent="0.25">
      <c r="D184" s="4"/>
      <c r="H184" s="2"/>
      <c r="I184" s="2"/>
      <c r="J184" s="1"/>
      <c r="K184" s="3"/>
      <c r="L184" s="6"/>
      <c r="M184" s="5"/>
    </row>
    <row r="185" spans="4:13" ht="13.5" x14ac:dyDescent="0.25">
      <c r="D185" s="4"/>
      <c r="H185" s="2"/>
      <c r="I185" s="2"/>
      <c r="J185" s="1"/>
      <c r="K185" s="3"/>
      <c r="L185" s="6"/>
      <c r="M185" s="5"/>
    </row>
    <row r="186" spans="4:13" ht="13.5" x14ac:dyDescent="0.25">
      <c r="D186" s="4"/>
      <c r="H186" s="2"/>
      <c r="I186" s="2"/>
      <c r="J186" s="1"/>
      <c r="K186" s="3"/>
      <c r="L186" s="6"/>
      <c r="M186" s="5"/>
    </row>
    <row r="187" spans="4:13" ht="13.5" x14ac:dyDescent="0.25">
      <c r="D187" s="4"/>
      <c r="H187" s="2"/>
      <c r="I187" s="2"/>
      <c r="J187" s="1"/>
      <c r="K187" s="3"/>
      <c r="L187" s="6"/>
      <c r="M187" s="5"/>
    </row>
    <row r="188" spans="4:13" ht="13.5" x14ac:dyDescent="0.25">
      <c r="D188" s="4"/>
      <c r="H188" s="2"/>
      <c r="I188" s="2"/>
      <c r="J188" s="1"/>
      <c r="K188" s="3"/>
      <c r="L188" s="6"/>
      <c r="M188" s="5"/>
    </row>
    <row r="189" spans="4:13" ht="13.5" x14ac:dyDescent="0.25">
      <c r="D189" s="4"/>
      <c r="H189" s="2"/>
      <c r="I189" s="2"/>
      <c r="J189" s="1"/>
      <c r="K189" s="3"/>
      <c r="L189" s="6"/>
      <c r="M189" s="5"/>
    </row>
    <row r="190" spans="4:13" ht="13.5" x14ac:dyDescent="0.25">
      <c r="D190" s="4"/>
      <c r="H190" s="2"/>
      <c r="I190" s="2"/>
      <c r="J190" s="1"/>
      <c r="K190" s="3"/>
      <c r="L190" s="6"/>
      <c r="M190" s="5"/>
    </row>
    <row r="191" spans="4:13" ht="13.5" x14ac:dyDescent="0.25">
      <c r="D191" s="4"/>
      <c r="H191" s="2"/>
      <c r="I191" s="2"/>
      <c r="J191" s="1"/>
      <c r="K191" s="3"/>
      <c r="L191" s="6"/>
      <c r="M191" s="5"/>
    </row>
    <row r="192" spans="4:13" ht="13.5" x14ac:dyDescent="0.25">
      <c r="D192" s="4"/>
      <c r="H192" s="2"/>
      <c r="I192" s="2"/>
      <c r="J192" s="1"/>
      <c r="K192" s="3"/>
      <c r="L192" s="6"/>
      <c r="M192" s="5"/>
    </row>
    <row r="193" spans="4:13" ht="13.5" x14ac:dyDescent="0.25">
      <c r="D193" s="4"/>
      <c r="H193" s="2"/>
      <c r="I193" s="2"/>
      <c r="J193" s="1"/>
      <c r="K193" s="3"/>
      <c r="L193" s="6"/>
      <c r="M193" s="5"/>
    </row>
    <row r="194" spans="4:13" ht="13.5" x14ac:dyDescent="0.25">
      <c r="D194" s="4"/>
      <c r="H194" s="2"/>
      <c r="I194" s="2"/>
      <c r="J194" s="1"/>
      <c r="K194" s="3"/>
      <c r="L194" s="6"/>
      <c r="M194" s="5"/>
    </row>
    <row r="195" spans="4:13" ht="13.5" x14ac:dyDescent="0.25">
      <c r="D195" s="4"/>
      <c r="H195" s="2"/>
      <c r="I195" s="2"/>
      <c r="J195" s="1"/>
      <c r="K195" s="3"/>
      <c r="L195" s="6"/>
      <c r="M195" s="5"/>
    </row>
    <row r="196" spans="4:13" ht="13.5" x14ac:dyDescent="0.25">
      <c r="D196" s="4"/>
      <c r="H196" s="2"/>
      <c r="I196" s="2"/>
      <c r="J196" s="1"/>
      <c r="K196" s="3"/>
      <c r="L196" s="6"/>
      <c r="M196" s="5"/>
    </row>
    <row r="197" spans="4:13" ht="13.5" x14ac:dyDescent="0.25">
      <c r="D197" s="4"/>
      <c r="H197" s="2"/>
      <c r="I197" s="2"/>
      <c r="J197" s="1"/>
      <c r="K197" s="3"/>
      <c r="L197" s="6"/>
      <c r="M197" s="5"/>
    </row>
    <row r="198" spans="4:13" ht="13.5" x14ac:dyDescent="0.25">
      <c r="D198" s="4"/>
      <c r="H198" s="2"/>
      <c r="I198" s="2"/>
      <c r="J198" s="1"/>
      <c r="K198" s="3"/>
      <c r="L198" s="6"/>
      <c r="M198" s="5"/>
    </row>
    <row r="199" spans="4:13" ht="13.5" x14ac:dyDescent="0.25">
      <c r="D199" s="4"/>
      <c r="H199" s="2"/>
      <c r="I199" s="2"/>
      <c r="J199" s="1"/>
      <c r="K199" s="3"/>
      <c r="L199" s="6"/>
      <c r="M199" s="5"/>
    </row>
    <row r="200" spans="4:13" ht="13.5" x14ac:dyDescent="0.25">
      <c r="D200" s="4"/>
      <c r="H200" s="2"/>
      <c r="I200" s="2"/>
      <c r="J200" s="1"/>
      <c r="K200" s="3"/>
      <c r="L200" s="6"/>
      <c r="M200" s="5"/>
    </row>
    <row r="201" spans="4:13" ht="13.5" x14ac:dyDescent="0.25">
      <c r="D201" s="4"/>
      <c r="H201" s="2"/>
      <c r="I201" s="2"/>
      <c r="J201" s="1"/>
      <c r="K201" s="3"/>
      <c r="L201" s="6"/>
      <c r="M201" s="5"/>
    </row>
    <row r="202" spans="4:13" ht="13.5" x14ac:dyDescent="0.25">
      <c r="D202" s="4"/>
      <c r="H202" s="2"/>
      <c r="I202" s="2"/>
      <c r="J202" s="1"/>
      <c r="K202" s="3"/>
      <c r="L202" s="6"/>
      <c r="M202" s="5"/>
    </row>
    <row r="203" spans="4:13" ht="13.5" x14ac:dyDescent="0.25">
      <c r="D203" s="4"/>
      <c r="H203" s="2"/>
      <c r="I203" s="2"/>
      <c r="J203" s="1"/>
      <c r="K203" s="3"/>
      <c r="L203" s="6"/>
      <c r="M203" s="5"/>
    </row>
    <row r="204" spans="4:13" ht="13.5" x14ac:dyDescent="0.25">
      <c r="D204" s="4"/>
      <c r="H204" s="2"/>
      <c r="I204" s="2"/>
      <c r="J204" s="1"/>
      <c r="K204" s="3"/>
      <c r="L204" s="6"/>
      <c r="M204" s="5"/>
    </row>
    <row r="205" spans="4:13" ht="13.5" x14ac:dyDescent="0.25">
      <c r="D205" s="4"/>
      <c r="H205" s="2"/>
      <c r="I205" s="2"/>
      <c r="J205" s="1"/>
      <c r="K205" s="3"/>
      <c r="L205" s="6"/>
      <c r="M205" s="5"/>
    </row>
    <row r="206" spans="4:13" ht="13.5" x14ac:dyDescent="0.25">
      <c r="D206" s="4"/>
      <c r="H206" s="2"/>
      <c r="I206" s="2"/>
      <c r="J206" s="1"/>
      <c r="K206" s="3"/>
      <c r="L206" s="6"/>
      <c r="M206" s="5"/>
    </row>
    <row r="207" spans="4:13" ht="13.5" x14ac:dyDescent="0.25">
      <c r="D207" s="4"/>
      <c r="H207" s="2"/>
      <c r="I207" s="2"/>
      <c r="J207" s="1"/>
      <c r="K207" s="3"/>
      <c r="L207" s="6"/>
      <c r="M207" s="5"/>
    </row>
    <row r="208" spans="4:13" ht="13.5" x14ac:dyDescent="0.25">
      <c r="D208" s="4"/>
      <c r="H208" s="2"/>
      <c r="I208" s="2"/>
      <c r="J208" s="1"/>
      <c r="K208" s="3"/>
      <c r="L208" s="6"/>
      <c r="M208" s="5"/>
    </row>
    <row r="209" spans="4:13" ht="13.5" x14ac:dyDescent="0.25">
      <c r="D209" s="4"/>
      <c r="H209" s="2"/>
      <c r="I209" s="2"/>
      <c r="J209" s="1"/>
      <c r="K209" s="3"/>
      <c r="L209" s="6"/>
      <c r="M209" s="5"/>
    </row>
    <row r="210" spans="4:13" ht="13.5" x14ac:dyDescent="0.25">
      <c r="D210" s="4"/>
      <c r="H210" s="2"/>
      <c r="I210" s="2"/>
      <c r="J210" s="1"/>
      <c r="K210" s="3"/>
      <c r="L210" s="6"/>
      <c r="M210" s="5"/>
    </row>
    <row r="211" spans="4:13" ht="13.5" x14ac:dyDescent="0.25">
      <c r="D211" s="4"/>
      <c r="H211" s="2"/>
      <c r="I211" s="2"/>
      <c r="J211" s="1"/>
      <c r="K211" s="3"/>
      <c r="L211" s="6"/>
      <c r="M211" s="5"/>
    </row>
    <row r="212" spans="4:13" ht="13.5" x14ac:dyDescent="0.25">
      <c r="D212" s="4"/>
      <c r="H212" s="2"/>
      <c r="I212" s="2"/>
      <c r="J212" s="1"/>
      <c r="K212" s="3"/>
      <c r="L212" s="6"/>
      <c r="M212" s="5"/>
    </row>
    <row r="213" spans="4:13" ht="13.5" x14ac:dyDescent="0.25">
      <c r="D213" s="4"/>
      <c r="H213" s="2"/>
      <c r="I213" s="2"/>
      <c r="J213" s="1"/>
      <c r="K213" s="3"/>
      <c r="L213" s="6"/>
      <c r="M213" s="5"/>
    </row>
    <row r="214" spans="4:13" ht="13.5" x14ac:dyDescent="0.25">
      <c r="D214" s="4"/>
      <c r="H214" s="2"/>
      <c r="I214" s="2"/>
      <c r="J214" s="1"/>
      <c r="K214" s="3"/>
      <c r="L214" s="6"/>
      <c r="M214" s="5"/>
    </row>
    <row r="215" spans="4:13" ht="13.5" x14ac:dyDescent="0.25">
      <c r="D215" s="4"/>
      <c r="H215" s="2"/>
      <c r="I215" s="2"/>
      <c r="J215" s="1"/>
      <c r="K215" s="3"/>
      <c r="L215" s="6"/>
      <c r="M215" s="5"/>
    </row>
    <row r="216" spans="4:13" ht="13.5" x14ac:dyDescent="0.25">
      <c r="D216" s="4"/>
      <c r="H216" s="2"/>
      <c r="I216" s="2"/>
      <c r="J216" s="1"/>
      <c r="K216" s="3"/>
      <c r="L216" s="6"/>
      <c r="M216" s="5"/>
    </row>
    <row r="217" spans="4:13" ht="13.5" x14ac:dyDescent="0.25">
      <c r="D217" s="4"/>
      <c r="H217" s="2"/>
      <c r="I217" s="2"/>
      <c r="J217" s="1"/>
      <c r="K217" s="3"/>
      <c r="L217" s="6"/>
      <c r="M217" s="5"/>
    </row>
    <row r="218" spans="4:13" ht="13.5" x14ac:dyDescent="0.25">
      <c r="D218" s="4"/>
      <c r="H218" s="2"/>
      <c r="I218" s="2"/>
      <c r="J218" s="1"/>
      <c r="K218" s="3"/>
      <c r="L218" s="6"/>
      <c r="M218" s="5"/>
    </row>
    <row r="219" spans="4:13" ht="13.5" x14ac:dyDescent="0.25">
      <c r="D219" s="4"/>
      <c r="H219" s="2"/>
      <c r="I219" s="2"/>
      <c r="J219" s="1"/>
      <c r="K219" s="3"/>
      <c r="L219" s="6"/>
      <c r="M219" s="5"/>
    </row>
    <row r="220" spans="4:13" ht="13.5" x14ac:dyDescent="0.25">
      <c r="D220" s="4"/>
      <c r="H220" s="2"/>
      <c r="I220" s="2"/>
      <c r="J220" s="1"/>
      <c r="K220" s="3"/>
      <c r="L220" s="6"/>
      <c r="M220" s="5"/>
    </row>
    <row r="221" spans="4:13" ht="13.5" x14ac:dyDescent="0.25">
      <c r="D221" s="4"/>
      <c r="H221" s="2"/>
      <c r="I221" s="2"/>
      <c r="J221" s="1"/>
      <c r="K221" s="3"/>
      <c r="L221" s="6"/>
      <c r="M221" s="5"/>
    </row>
    <row r="222" spans="4:13" ht="13.5" x14ac:dyDescent="0.25">
      <c r="D222" s="4"/>
      <c r="H222" s="2"/>
      <c r="I222" s="2"/>
      <c r="J222" s="1"/>
      <c r="K222" s="3"/>
      <c r="L222" s="6"/>
      <c r="M222" s="5"/>
    </row>
    <row r="223" spans="4:13" ht="13.5" x14ac:dyDescent="0.25">
      <c r="D223" s="4"/>
      <c r="H223" s="2"/>
      <c r="I223" s="2"/>
      <c r="J223" s="1"/>
      <c r="K223" s="3"/>
      <c r="L223" s="6"/>
      <c r="M223" s="5"/>
    </row>
    <row r="224" spans="4:13" ht="13.5" x14ac:dyDescent="0.25">
      <c r="D224" s="4"/>
      <c r="H224" s="2"/>
      <c r="I224" s="2"/>
      <c r="J224" s="1"/>
      <c r="K224" s="3"/>
      <c r="L224" s="6"/>
      <c r="M224" s="5"/>
    </row>
    <row r="225" spans="4:13" ht="13.5" x14ac:dyDescent="0.25">
      <c r="D225" s="4"/>
      <c r="H225" s="2"/>
      <c r="I225" s="2"/>
      <c r="J225" s="1"/>
      <c r="K225" s="3"/>
      <c r="L225" s="6"/>
      <c r="M225" s="5"/>
    </row>
    <row r="226" spans="4:13" ht="13.5" x14ac:dyDescent="0.25">
      <c r="D226" s="4"/>
      <c r="H226" s="2"/>
      <c r="I226" s="2"/>
      <c r="J226" s="1"/>
      <c r="K226" s="3"/>
      <c r="L226" s="6"/>
      <c r="M226" s="5"/>
    </row>
    <row r="227" spans="4:13" ht="13.5" x14ac:dyDescent="0.25">
      <c r="D227" s="4"/>
      <c r="H227" s="2"/>
      <c r="I227" s="2"/>
      <c r="J227" s="1"/>
      <c r="K227" s="3"/>
      <c r="L227" s="6"/>
      <c r="M227" s="5"/>
    </row>
    <row r="228" spans="4:13" ht="13.5" x14ac:dyDescent="0.25">
      <c r="D228" s="4"/>
      <c r="H228" s="2"/>
      <c r="I228" s="2"/>
      <c r="J228" s="1"/>
      <c r="K228" s="3"/>
      <c r="L228" s="6"/>
      <c r="M228" s="5"/>
    </row>
    <row r="229" spans="4:13" ht="13.5" x14ac:dyDescent="0.25">
      <c r="D229" s="4"/>
      <c r="H229" s="2"/>
      <c r="I229" s="2"/>
      <c r="J229" s="1"/>
      <c r="K229" s="3"/>
      <c r="L229" s="6"/>
      <c r="M229" s="5"/>
    </row>
    <row r="230" spans="4:13" ht="13.5" x14ac:dyDescent="0.25">
      <c r="D230" s="4"/>
      <c r="H230" s="2"/>
      <c r="I230" s="2"/>
      <c r="J230" s="1"/>
      <c r="K230" s="3"/>
      <c r="L230" s="6"/>
      <c r="M230" s="5"/>
    </row>
    <row r="231" spans="4:13" ht="13.5" x14ac:dyDescent="0.25">
      <c r="D231" s="4"/>
      <c r="H231" s="2"/>
      <c r="I231" s="2"/>
      <c r="J231" s="1"/>
      <c r="K231" s="3"/>
      <c r="L231" s="6"/>
      <c r="M231" s="5"/>
    </row>
    <row r="232" spans="4:13" ht="13.5" x14ac:dyDescent="0.25">
      <c r="D232" s="4"/>
      <c r="H232" s="2"/>
      <c r="I232" s="2"/>
      <c r="J232" s="1"/>
      <c r="K232" s="3"/>
      <c r="L232" s="6"/>
      <c r="M232" s="5"/>
    </row>
    <row r="233" spans="4:13" ht="13.5" x14ac:dyDescent="0.25">
      <c r="D233" s="4"/>
      <c r="H233" s="2"/>
      <c r="I233" s="2"/>
      <c r="J233" s="1"/>
      <c r="K233" s="3"/>
      <c r="L233" s="6"/>
      <c r="M233" s="5"/>
    </row>
    <row r="234" spans="4:13" ht="13.5" x14ac:dyDescent="0.25">
      <c r="D234" s="4"/>
      <c r="H234" s="2"/>
      <c r="I234" s="2"/>
      <c r="J234" s="1"/>
      <c r="K234" s="3"/>
      <c r="L234" s="6"/>
      <c r="M234" s="5"/>
    </row>
    <row r="235" spans="4:13" ht="13.5" x14ac:dyDescent="0.25">
      <c r="D235" s="4"/>
      <c r="H235" s="2"/>
      <c r="I235" s="2"/>
      <c r="J235" s="1"/>
      <c r="K235" s="3"/>
      <c r="L235" s="6"/>
      <c r="M235" s="5"/>
    </row>
    <row r="236" spans="4:13" ht="13.5" x14ac:dyDescent="0.25">
      <c r="D236" s="4"/>
      <c r="H236" s="2"/>
      <c r="I236" s="2"/>
      <c r="J236" s="1"/>
      <c r="K236" s="3"/>
      <c r="L236" s="6"/>
      <c r="M236" s="5"/>
    </row>
    <row r="237" spans="4:13" ht="13.5" x14ac:dyDescent="0.25">
      <c r="D237" s="4"/>
      <c r="H237" s="2"/>
      <c r="I237" s="2"/>
      <c r="J237" s="1"/>
      <c r="K237" s="3"/>
      <c r="L237" s="6"/>
      <c r="M237" s="5"/>
    </row>
    <row r="238" spans="4:13" ht="13.5" x14ac:dyDescent="0.25">
      <c r="D238" s="4"/>
      <c r="H238" s="2"/>
      <c r="I238" s="2"/>
      <c r="J238" s="1"/>
      <c r="K238" s="3"/>
      <c r="L238" s="6"/>
      <c r="M238" s="5"/>
    </row>
    <row r="239" spans="4:13" ht="13.5" x14ac:dyDescent="0.25">
      <c r="D239" s="4"/>
      <c r="H239" s="2"/>
      <c r="I239" s="2"/>
      <c r="J239" s="1"/>
      <c r="K239" s="3"/>
      <c r="L239" s="6"/>
      <c r="M239" s="5"/>
    </row>
    <row r="240" spans="4:13" ht="13.5" x14ac:dyDescent="0.25">
      <c r="D240" s="4"/>
      <c r="H240" s="2"/>
      <c r="I240" s="2"/>
      <c r="J240" s="1"/>
      <c r="K240" s="3"/>
      <c r="L240" s="6"/>
      <c r="M240" s="5"/>
    </row>
    <row r="241" spans="4:13" ht="13.5" x14ac:dyDescent="0.25">
      <c r="D241" s="4"/>
      <c r="H241" s="2"/>
      <c r="I241" s="2"/>
      <c r="J241" s="1"/>
      <c r="K241" s="3"/>
      <c r="L241" s="6"/>
      <c r="M241" s="5"/>
    </row>
    <row r="242" spans="4:13" ht="13.5" x14ac:dyDescent="0.25">
      <c r="D242" s="4"/>
      <c r="H242" s="2"/>
      <c r="I242" s="2"/>
      <c r="J242" s="1"/>
      <c r="K242" s="3"/>
      <c r="L242" s="6"/>
      <c r="M242" s="5"/>
    </row>
    <row r="243" spans="4:13" ht="13.5" x14ac:dyDescent="0.25">
      <c r="D243" s="4"/>
      <c r="H243" s="2"/>
      <c r="I243" s="2"/>
      <c r="J243" s="1"/>
      <c r="K243" s="3"/>
      <c r="L243" s="6"/>
      <c r="M243" s="5"/>
    </row>
    <row r="244" spans="4:13" ht="13.5" x14ac:dyDescent="0.25">
      <c r="D244" s="4"/>
      <c r="H244" s="2"/>
      <c r="I244" s="2"/>
      <c r="J244" s="1"/>
      <c r="K244" s="3"/>
      <c r="L244" s="6"/>
      <c r="M244" s="5"/>
    </row>
    <row r="245" spans="4:13" ht="13.5" x14ac:dyDescent="0.25">
      <c r="D245" s="4"/>
      <c r="H245" s="2"/>
      <c r="I245" s="2"/>
      <c r="J245" s="1"/>
      <c r="K245" s="3"/>
      <c r="L245" s="6"/>
      <c r="M245" s="5"/>
    </row>
    <row r="246" spans="4:13" ht="13.5" x14ac:dyDescent="0.25">
      <c r="D246" s="4"/>
      <c r="H246" s="2"/>
      <c r="I246" s="2"/>
      <c r="J246" s="1"/>
      <c r="K246" s="3"/>
      <c r="L246" s="6"/>
      <c r="M246" s="5"/>
    </row>
    <row r="247" spans="4:13" ht="13.5" x14ac:dyDescent="0.25">
      <c r="D247" s="4"/>
      <c r="H247" s="2"/>
      <c r="I247" s="2"/>
      <c r="J247" s="1"/>
      <c r="K247" s="3"/>
      <c r="L247" s="6"/>
      <c r="M247" s="5"/>
    </row>
    <row r="248" spans="4:13" ht="13.5" x14ac:dyDescent="0.25">
      <c r="D248" s="4"/>
      <c r="H248" s="2"/>
      <c r="I248" s="2"/>
      <c r="J248" s="1"/>
      <c r="K248" s="3"/>
      <c r="L248" s="6"/>
      <c r="M248" s="5"/>
    </row>
    <row r="249" spans="4:13" ht="13.5" x14ac:dyDescent="0.25">
      <c r="D249" s="4"/>
      <c r="H249" s="2"/>
      <c r="I249" s="2"/>
      <c r="J249" s="1"/>
      <c r="K249" s="3"/>
      <c r="L249" s="6"/>
      <c r="M249" s="5"/>
    </row>
    <row r="250" spans="4:13" ht="13.5" x14ac:dyDescent="0.25">
      <c r="D250" s="4"/>
      <c r="H250" s="2"/>
      <c r="I250" s="2"/>
      <c r="J250" s="1"/>
      <c r="K250" s="3"/>
      <c r="L250" s="6"/>
      <c r="M250" s="5"/>
    </row>
    <row r="251" spans="4:13" ht="13.5" x14ac:dyDescent="0.25">
      <c r="D251" s="4"/>
      <c r="H251" s="2"/>
      <c r="I251" s="2"/>
      <c r="J251" s="1"/>
      <c r="K251" s="3"/>
      <c r="L251" s="6"/>
      <c r="M251" s="5"/>
    </row>
    <row r="252" spans="4:13" ht="13.5" x14ac:dyDescent="0.25">
      <c r="D252" s="4"/>
      <c r="H252" s="2"/>
      <c r="I252" s="2"/>
      <c r="J252" s="1"/>
      <c r="K252" s="3"/>
      <c r="L252" s="6"/>
      <c r="M252" s="5"/>
    </row>
    <row r="253" spans="4:13" ht="13.5" x14ac:dyDescent="0.25">
      <c r="D253" s="4"/>
      <c r="H253" s="2"/>
      <c r="I253" s="2"/>
      <c r="J253" s="1"/>
      <c r="K253" s="3"/>
      <c r="L253" s="6"/>
      <c r="M253" s="5"/>
    </row>
    <row r="254" spans="4:13" ht="13.5" x14ac:dyDescent="0.25">
      <c r="D254" s="4"/>
      <c r="H254" s="2"/>
      <c r="I254" s="2"/>
      <c r="J254" s="1"/>
      <c r="K254" s="3"/>
      <c r="L254" s="6"/>
      <c r="M254" s="5"/>
    </row>
    <row r="255" spans="4:13" ht="13.5" x14ac:dyDescent="0.25">
      <c r="D255" s="4"/>
      <c r="H255" s="2"/>
      <c r="I255" s="2"/>
      <c r="J255" s="1"/>
      <c r="K255" s="3"/>
      <c r="L255" s="6"/>
      <c r="M255" s="5"/>
    </row>
    <row r="256" spans="4:13" ht="13.5" x14ac:dyDescent="0.25">
      <c r="D256" s="4"/>
      <c r="H256" s="2"/>
      <c r="I256" s="2"/>
      <c r="J256" s="1"/>
      <c r="K256" s="3"/>
      <c r="L256" s="6"/>
      <c r="M256" s="5"/>
    </row>
    <row r="257" spans="4:13" ht="13.5" x14ac:dyDescent="0.25">
      <c r="D257" s="4"/>
      <c r="H257" s="2"/>
      <c r="I257" s="2"/>
      <c r="J257" s="1"/>
      <c r="K257" s="3"/>
      <c r="L257" s="6"/>
      <c r="M257" s="5"/>
    </row>
    <row r="258" spans="4:13" ht="13.5" x14ac:dyDescent="0.25">
      <c r="D258" s="4"/>
      <c r="H258" s="2"/>
      <c r="I258" s="2"/>
      <c r="J258" s="1"/>
      <c r="K258" s="3"/>
      <c r="L258" s="6"/>
      <c r="M258" s="5"/>
    </row>
    <row r="259" spans="4:13" ht="13.5" x14ac:dyDescent="0.25">
      <c r="D259" s="4"/>
      <c r="H259" s="2"/>
      <c r="I259" s="2"/>
      <c r="J259" s="1"/>
      <c r="K259" s="3"/>
      <c r="L259" s="6"/>
      <c r="M259" s="5"/>
    </row>
    <row r="260" spans="4:13" ht="13.5" x14ac:dyDescent="0.25">
      <c r="D260" s="4"/>
      <c r="H260" s="2"/>
      <c r="I260" s="2"/>
      <c r="J260" s="1"/>
      <c r="K260" s="3"/>
      <c r="L260" s="6"/>
      <c r="M260" s="5"/>
    </row>
    <row r="261" spans="4:13" ht="13.5" x14ac:dyDescent="0.25">
      <c r="D261" s="4"/>
      <c r="H261" s="2"/>
      <c r="I261" s="2"/>
      <c r="J261" s="1"/>
      <c r="K261" s="3"/>
      <c r="L261" s="6"/>
      <c r="M261" s="5"/>
    </row>
    <row r="262" spans="4:13" ht="13.5" x14ac:dyDescent="0.25">
      <c r="D262" s="4"/>
      <c r="H262" s="2"/>
      <c r="I262" s="2"/>
      <c r="J262" s="1"/>
      <c r="K262" s="3"/>
      <c r="L262" s="6"/>
      <c r="M262" s="5"/>
    </row>
    <row r="263" spans="4:13" ht="13.5" x14ac:dyDescent="0.25">
      <c r="D263" s="4"/>
      <c r="H263" s="2"/>
      <c r="I263" s="2"/>
      <c r="J263" s="1"/>
      <c r="K263" s="3"/>
      <c r="L263" s="6"/>
      <c r="M263" s="5"/>
    </row>
    <row r="264" spans="4:13" ht="13.5" x14ac:dyDescent="0.25">
      <c r="D264" s="4"/>
      <c r="H264" s="2"/>
      <c r="I264" s="2"/>
      <c r="J264" s="1"/>
      <c r="K264" s="3"/>
      <c r="L264" s="6"/>
      <c r="M264" s="5"/>
    </row>
    <row r="265" spans="4:13" ht="13.5" x14ac:dyDescent="0.25">
      <c r="D265" s="4"/>
      <c r="H265" s="2"/>
      <c r="I265" s="2"/>
      <c r="J265" s="1"/>
      <c r="K265" s="3"/>
      <c r="L265" s="6"/>
      <c r="M265" s="5"/>
    </row>
    <row r="266" spans="4:13" ht="13.5" x14ac:dyDescent="0.25">
      <c r="D266" s="4"/>
      <c r="H266" s="2"/>
      <c r="I266" s="2"/>
      <c r="J266" s="1"/>
      <c r="K266" s="3"/>
      <c r="L266" s="6"/>
      <c r="M266" s="5"/>
    </row>
    <row r="267" spans="4:13" ht="13.5" x14ac:dyDescent="0.25">
      <c r="D267" s="4"/>
      <c r="H267" s="2"/>
      <c r="I267" s="2"/>
      <c r="J267" s="1"/>
      <c r="K267" s="3"/>
      <c r="L267" s="6"/>
      <c r="M267" s="5"/>
    </row>
    <row r="268" spans="4:13" ht="13.5" x14ac:dyDescent="0.25">
      <c r="D268" s="4"/>
      <c r="H268" s="2"/>
      <c r="I268" s="2"/>
      <c r="J268" s="1"/>
      <c r="K268" s="3"/>
      <c r="L268" s="6"/>
      <c r="M268" s="5"/>
    </row>
    <row r="269" spans="4:13" ht="13.5" x14ac:dyDescent="0.25">
      <c r="D269" s="4"/>
      <c r="H269" s="2"/>
      <c r="I269" s="2"/>
      <c r="J269" s="1"/>
      <c r="K269" s="3"/>
      <c r="L269" s="6"/>
      <c r="M269" s="5"/>
    </row>
    <row r="270" spans="4:13" ht="13.5" x14ac:dyDescent="0.25">
      <c r="D270" s="4"/>
      <c r="H270" s="2"/>
      <c r="I270" s="2"/>
      <c r="J270" s="1"/>
      <c r="K270" s="3"/>
      <c r="L270" s="6"/>
      <c r="M270" s="5"/>
    </row>
    <row r="271" spans="4:13" ht="13.5" x14ac:dyDescent="0.25">
      <c r="D271" s="4"/>
      <c r="H271" s="2"/>
      <c r="I271" s="2"/>
      <c r="J271" s="1"/>
      <c r="K271" s="3"/>
      <c r="L271" s="6"/>
      <c r="M271" s="5"/>
    </row>
    <row r="272" spans="4:13" ht="13.5" x14ac:dyDescent="0.25">
      <c r="D272" s="4"/>
      <c r="H272" s="2"/>
      <c r="I272" s="2"/>
      <c r="J272" s="1"/>
      <c r="K272" s="3"/>
      <c r="L272" s="6"/>
      <c r="M272" s="5"/>
    </row>
    <row r="273" spans="4:13" ht="13.5" x14ac:dyDescent="0.25">
      <c r="D273" s="4"/>
      <c r="H273" s="2"/>
      <c r="I273" s="2"/>
      <c r="J273" s="1"/>
      <c r="K273" s="3"/>
      <c r="L273" s="6"/>
      <c r="M273" s="5"/>
    </row>
    <row r="274" spans="4:13" ht="13.5" x14ac:dyDescent="0.25">
      <c r="D274" s="4"/>
      <c r="H274" s="2"/>
      <c r="I274" s="2"/>
      <c r="J274" s="1"/>
      <c r="K274" s="3"/>
      <c r="L274" s="6"/>
      <c r="M274" s="5"/>
    </row>
    <row r="275" spans="4:13" ht="13.5" x14ac:dyDescent="0.25">
      <c r="D275" s="4"/>
      <c r="H275" s="2"/>
      <c r="I275" s="2"/>
      <c r="J275" s="1"/>
      <c r="K275" s="3"/>
      <c r="L275" s="6"/>
      <c r="M275" s="5"/>
    </row>
    <row r="276" spans="4:13" ht="13.5" x14ac:dyDescent="0.25">
      <c r="D276" s="4"/>
      <c r="H276" s="2"/>
      <c r="I276" s="2"/>
      <c r="J276" s="1"/>
      <c r="K276" s="3"/>
      <c r="L276" s="6"/>
      <c r="M276" s="5"/>
    </row>
    <row r="277" spans="4:13" ht="13.5" x14ac:dyDescent="0.25">
      <c r="D277" s="4"/>
      <c r="H277" s="2"/>
      <c r="I277" s="2"/>
      <c r="J277" s="1"/>
      <c r="K277" s="3"/>
      <c r="L277" s="6"/>
      <c r="M277" s="5"/>
    </row>
    <row r="278" spans="4:13" ht="13.5" x14ac:dyDescent="0.25">
      <c r="D278" s="4"/>
      <c r="H278" s="2"/>
      <c r="I278" s="2"/>
      <c r="J278" s="1"/>
      <c r="K278" s="3"/>
      <c r="L278" s="6"/>
      <c r="M278" s="5"/>
    </row>
    <row r="279" spans="4:13" ht="13.5" x14ac:dyDescent="0.25">
      <c r="D279" s="4"/>
      <c r="H279" s="2"/>
      <c r="I279" s="2"/>
      <c r="J279" s="1"/>
      <c r="K279" s="3"/>
      <c r="L279" s="6"/>
      <c r="M279" s="5"/>
    </row>
    <row r="280" spans="4:13" ht="13.5" x14ac:dyDescent="0.25">
      <c r="D280" s="4"/>
      <c r="H280" s="2"/>
      <c r="I280" s="2"/>
      <c r="J280" s="1"/>
      <c r="K280" s="3"/>
      <c r="L280" s="6"/>
      <c r="M280" s="5"/>
    </row>
    <row r="281" spans="4:13" ht="13.5" x14ac:dyDescent="0.25">
      <c r="D281" s="4"/>
      <c r="H281" s="2"/>
      <c r="I281" s="2"/>
      <c r="J281" s="1"/>
      <c r="K281" s="3"/>
      <c r="L281" s="6"/>
      <c r="M281" s="5"/>
    </row>
    <row r="282" spans="4:13" ht="13.5" x14ac:dyDescent="0.25">
      <c r="D282" s="4"/>
      <c r="H282" s="2"/>
      <c r="I282" s="2"/>
      <c r="J282" s="1"/>
      <c r="K282" s="3"/>
      <c r="L282" s="6"/>
      <c r="M282" s="5"/>
    </row>
    <row r="283" spans="4:13" ht="13.5" x14ac:dyDescent="0.25">
      <c r="D283" s="4"/>
      <c r="H283" s="2"/>
      <c r="I283" s="2"/>
      <c r="J283" s="1"/>
      <c r="K283" s="3"/>
      <c r="L283" s="6"/>
      <c r="M283" s="5"/>
    </row>
    <row r="284" spans="4:13" ht="13.5" x14ac:dyDescent="0.25">
      <c r="D284" s="4"/>
      <c r="H284" s="2"/>
      <c r="I284" s="2"/>
      <c r="J284" s="1"/>
      <c r="K284" s="3"/>
      <c r="L284" s="6"/>
      <c r="M284" s="5"/>
    </row>
    <row r="285" spans="4:13" ht="13.5" x14ac:dyDescent="0.25">
      <c r="D285" s="4"/>
      <c r="H285" s="2"/>
      <c r="I285" s="2"/>
      <c r="J285" s="1"/>
      <c r="K285" s="3"/>
      <c r="L285" s="6"/>
      <c r="M285" s="5"/>
    </row>
    <row r="286" spans="4:13" ht="13.5" x14ac:dyDescent="0.25">
      <c r="D286" s="4"/>
      <c r="H286" s="2"/>
      <c r="I286" s="2"/>
      <c r="J286" s="1"/>
      <c r="K286" s="3"/>
      <c r="L286" s="6"/>
      <c r="M286" s="5"/>
    </row>
    <row r="287" spans="4:13" ht="13.5" x14ac:dyDescent="0.25">
      <c r="D287" s="4"/>
      <c r="H287" s="2"/>
      <c r="I287" s="2"/>
      <c r="J287" s="1"/>
      <c r="K287" s="3"/>
      <c r="L287" s="6"/>
      <c r="M287" s="5"/>
    </row>
    <row r="288" spans="4:13" ht="13.5" x14ac:dyDescent="0.25">
      <c r="D288" s="4"/>
      <c r="H288" s="2"/>
      <c r="I288" s="2"/>
      <c r="J288" s="1"/>
      <c r="K288" s="3"/>
      <c r="L288" s="6"/>
      <c r="M288" s="5"/>
    </row>
    <row r="289" spans="4:13" ht="13.5" x14ac:dyDescent="0.25">
      <c r="D289" s="4"/>
      <c r="H289" s="2"/>
      <c r="I289" s="2"/>
      <c r="J289" s="1"/>
      <c r="K289" s="3"/>
      <c r="L289" s="6"/>
      <c r="M289" s="5"/>
    </row>
    <row r="290" spans="4:13" ht="13.5" x14ac:dyDescent="0.25">
      <c r="D290" s="4"/>
      <c r="H290" s="2"/>
      <c r="I290" s="2"/>
      <c r="J290" s="1"/>
      <c r="K290" s="3"/>
      <c r="L290" s="6"/>
      <c r="M290" s="5"/>
    </row>
    <row r="291" spans="4:13" ht="13.5" x14ac:dyDescent="0.25">
      <c r="D291" s="4"/>
      <c r="H291" s="2"/>
      <c r="I291" s="2"/>
      <c r="J291" s="1"/>
      <c r="K291" s="3"/>
      <c r="L291" s="6"/>
      <c r="M291" s="5"/>
    </row>
    <row r="292" spans="4:13" ht="13.5" x14ac:dyDescent="0.25">
      <c r="D292" s="4"/>
      <c r="H292" s="2"/>
      <c r="I292" s="2"/>
      <c r="J292" s="1"/>
      <c r="K292" s="3"/>
      <c r="L292" s="6"/>
      <c r="M292" s="5"/>
    </row>
    <row r="293" spans="4:13" ht="13.5" x14ac:dyDescent="0.25">
      <c r="D293" s="4"/>
      <c r="H293" s="2"/>
      <c r="I293" s="2"/>
      <c r="J293" s="1"/>
      <c r="K293" s="3"/>
      <c r="L293" s="6"/>
      <c r="M293" s="5"/>
    </row>
    <row r="294" spans="4:13" ht="13.5" x14ac:dyDescent="0.25">
      <c r="D294" s="4"/>
      <c r="H294" s="2"/>
      <c r="I294" s="2"/>
      <c r="J294" s="1"/>
      <c r="K294" s="3"/>
      <c r="L294" s="6"/>
      <c r="M294" s="5"/>
    </row>
    <row r="295" spans="4:13" ht="13.5" x14ac:dyDescent="0.25">
      <c r="D295" s="4"/>
      <c r="H295" s="2"/>
      <c r="I295" s="2"/>
      <c r="J295" s="1"/>
      <c r="K295" s="3"/>
      <c r="L295" s="6"/>
      <c r="M295" s="5"/>
    </row>
    <row r="296" spans="4:13" ht="13.5" x14ac:dyDescent="0.25">
      <c r="D296" s="4"/>
      <c r="H296" s="2"/>
      <c r="I296" s="2"/>
      <c r="J296" s="1"/>
      <c r="K296" s="3"/>
      <c r="L296" s="6"/>
      <c r="M296" s="5"/>
    </row>
    <row r="297" spans="4:13" ht="13.5" x14ac:dyDescent="0.25">
      <c r="D297" s="4"/>
      <c r="H297" s="2"/>
      <c r="I297" s="2"/>
      <c r="J297" s="1"/>
      <c r="K297" s="3"/>
      <c r="L297" s="6"/>
      <c r="M297" s="5"/>
    </row>
    <row r="298" spans="4:13" ht="13.5" x14ac:dyDescent="0.25">
      <c r="D298" s="4"/>
      <c r="H298" s="2"/>
      <c r="I298" s="2"/>
      <c r="J298" s="1"/>
      <c r="K298" s="3"/>
      <c r="L298" s="6"/>
      <c r="M298" s="5"/>
    </row>
    <row r="299" spans="4:13" ht="13.5" x14ac:dyDescent="0.25">
      <c r="D299" s="4"/>
      <c r="H299" s="2"/>
      <c r="I299" s="2"/>
      <c r="J299" s="1"/>
      <c r="K299" s="3"/>
      <c r="L299" s="6"/>
      <c r="M299" s="5"/>
    </row>
    <row r="300" spans="4:13" ht="13.5" x14ac:dyDescent="0.25">
      <c r="D300" s="4"/>
      <c r="H300" s="2"/>
      <c r="I300" s="2"/>
      <c r="J300" s="1"/>
      <c r="K300" s="3"/>
      <c r="L300" s="6"/>
      <c r="M300" s="5"/>
    </row>
    <row r="301" spans="4:13" ht="13.5" x14ac:dyDescent="0.25">
      <c r="D301" s="4"/>
      <c r="H301" s="2"/>
      <c r="I301" s="2"/>
      <c r="J301" s="1"/>
      <c r="K301" s="3"/>
      <c r="L301" s="6"/>
      <c r="M301" s="5"/>
    </row>
    <row r="302" spans="4:13" ht="13.5" x14ac:dyDescent="0.25">
      <c r="D302" s="4"/>
      <c r="H302" s="2"/>
      <c r="I302" s="2"/>
      <c r="J302" s="1"/>
      <c r="K302" s="3"/>
      <c r="L302" s="6"/>
      <c r="M302" s="5"/>
    </row>
    <row r="303" spans="4:13" ht="13.5" x14ac:dyDescent="0.25">
      <c r="D303" s="4"/>
      <c r="H303" s="2"/>
      <c r="I303" s="2"/>
      <c r="J303" s="1"/>
      <c r="K303" s="3"/>
      <c r="L303" s="6"/>
      <c r="M303" s="5"/>
    </row>
    <row r="304" spans="4:13" ht="13.5" x14ac:dyDescent="0.25">
      <c r="D304" s="4"/>
      <c r="H304" s="2"/>
      <c r="I304" s="2"/>
      <c r="J304" s="1"/>
      <c r="K304" s="3"/>
      <c r="L304" s="6"/>
      <c r="M304" s="5"/>
    </row>
    <row r="305" spans="4:13" ht="13.5" x14ac:dyDescent="0.25">
      <c r="D305" s="4"/>
      <c r="H305" s="2"/>
      <c r="I305" s="2"/>
      <c r="J305" s="1"/>
      <c r="K305" s="3"/>
      <c r="L305" s="6"/>
      <c r="M305" s="5"/>
    </row>
    <row r="306" spans="4:13" ht="13.5" x14ac:dyDescent="0.25">
      <c r="D306" s="4"/>
      <c r="H306" s="2"/>
      <c r="I306" s="2"/>
      <c r="J306" s="1"/>
      <c r="K306" s="3"/>
      <c r="L306" s="6"/>
      <c r="M306" s="5"/>
    </row>
    <row r="307" spans="4:13" ht="13.5" x14ac:dyDescent="0.25">
      <c r="D307" s="4"/>
      <c r="H307" s="2"/>
      <c r="I307" s="2"/>
      <c r="J307" s="1"/>
      <c r="K307" s="3"/>
      <c r="L307" s="6"/>
      <c r="M307" s="5"/>
    </row>
    <row r="308" spans="4:13" ht="13.5" x14ac:dyDescent="0.25">
      <c r="D308" s="4"/>
      <c r="H308" s="2"/>
      <c r="I308" s="2"/>
      <c r="J308" s="1"/>
      <c r="K308" s="3"/>
      <c r="L308" s="6"/>
      <c r="M308" s="5"/>
    </row>
    <row r="309" spans="4:13" ht="13.5" x14ac:dyDescent="0.25">
      <c r="D309" s="4"/>
      <c r="H309" s="2"/>
      <c r="I309" s="2"/>
      <c r="J309" s="1"/>
      <c r="K309" s="3"/>
      <c r="L309" s="6"/>
      <c r="M309" s="5"/>
    </row>
    <row r="310" spans="4:13" ht="13.5" x14ac:dyDescent="0.25">
      <c r="D310" s="4"/>
      <c r="H310" s="2"/>
      <c r="I310" s="2"/>
      <c r="J310" s="1"/>
      <c r="K310" s="3"/>
      <c r="L310" s="6"/>
      <c r="M310" s="5"/>
    </row>
    <row r="311" spans="4:13" ht="13.5" x14ac:dyDescent="0.25">
      <c r="D311" s="4"/>
      <c r="H311" s="2"/>
      <c r="I311" s="2"/>
      <c r="J311" s="1"/>
      <c r="K311" s="3"/>
      <c r="L311" s="6"/>
      <c r="M311" s="5"/>
    </row>
    <row r="312" spans="4:13" ht="13.5" x14ac:dyDescent="0.25">
      <c r="D312" s="4"/>
      <c r="H312" s="2"/>
      <c r="I312" s="2"/>
      <c r="J312" s="1"/>
      <c r="K312" s="3"/>
      <c r="L312" s="6"/>
      <c r="M312" s="5"/>
    </row>
    <row r="313" spans="4:13" ht="13.5" x14ac:dyDescent="0.25">
      <c r="D313" s="4"/>
      <c r="H313" s="2"/>
      <c r="I313" s="2"/>
      <c r="J313" s="1"/>
      <c r="K313" s="3"/>
      <c r="L313" s="6"/>
      <c r="M313" s="5"/>
    </row>
    <row r="314" spans="4:13" ht="13.5" x14ac:dyDescent="0.25">
      <c r="D314" s="4"/>
      <c r="H314" s="2"/>
      <c r="I314" s="2"/>
      <c r="J314" s="1"/>
      <c r="K314" s="3"/>
      <c r="L314" s="6"/>
      <c r="M314" s="5"/>
    </row>
    <row r="315" spans="4:13" ht="13.5" x14ac:dyDescent="0.25">
      <c r="D315" s="4"/>
      <c r="H315" s="2"/>
      <c r="I315" s="2"/>
      <c r="J315" s="1"/>
      <c r="K315" s="3"/>
    </row>
    <row r="316" spans="4:13" ht="13.5" x14ac:dyDescent="0.25">
      <c r="H316" s="2"/>
      <c r="I316" s="2"/>
      <c r="J316" s="1"/>
      <c r="K316" s="1"/>
    </row>
    <row r="317" spans="4:13" ht="13.5" x14ac:dyDescent="0.25">
      <c r="H317" s="2"/>
      <c r="I317" s="2"/>
      <c r="J317" s="1"/>
      <c r="K317" s="1"/>
    </row>
    <row r="318" spans="4:13" ht="13.5" x14ac:dyDescent="0.25">
      <c r="H318" s="2"/>
      <c r="I318" s="2"/>
      <c r="J318" s="1"/>
      <c r="K318" s="1"/>
    </row>
    <row r="319" spans="4:13" ht="13.5" x14ac:dyDescent="0.25">
      <c r="H319" s="2"/>
      <c r="I319" s="2"/>
      <c r="J319" s="1"/>
      <c r="K319" s="1"/>
    </row>
    <row r="320" spans="4:13" ht="13.5" x14ac:dyDescent="0.25">
      <c r="H320" s="2"/>
      <c r="I320" s="2"/>
      <c r="J320" s="1"/>
      <c r="K320" s="1"/>
    </row>
    <row r="321" spans="8:11" ht="13.5" x14ac:dyDescent="0.25">
      <c r="H321" s="2"/>
      <c r="I321" s="2"/>
      <c r="J321" s="1"/>
      <c r="K321" s="1"/>
    </row>
    <row r="322" spans="8:11" ht="13.5" x14ac:dyDescent="0.25">
      <c r="H322" s="2"/>
      <c r="I322" s="2"/>
      <c r="J322" s="1"/>
      <c r="K322" s="1"/>
    </row>
    <row r="323" spans="8:11" ht="13.5" x14ac:dyDescent="0.25">
      <c r="H323" s="2"/>
      <c r="I323" s="2"/>
      <c r="J323" s="1"/>
      <c r="K323" s="1"/>
    </row>
    <row r="324" spans="8:11" ht="13.5" x14ac:dyDescent="0.25">
      <c r="H324" s="2"/>
      <c r="I324" s="2"/>
      <c r="J324" s="1"/>
      <c r="K324" s="1"/>
    </row>
    <row r="325" spans="8:11" ht="13.5" x14ac:dyDescent="0.25">
      <c r="H325" s="2"/>
      <c r="I325" s="2"/>
      <c r="J325" s="1"/>
      <c r="K325" s="1"/>
    </row>
    <row r="326" spans="8:11" ht="13.5" x14ac:dyDescent="0.25">
      <c r="H326" s="2"/>
      <c r="I326" s="2"/>
      <c r="J326" s="1"/>
      <c r="K326" s="1"/>
    </row>
    <row r="327" spans="8:11" ht="13.5" x14ac:dyDescent="0.25">
      <c r="H327" s="2"/>
      <c r="I327" s="2"/>
      <c r="J327" s="1"/>
      <c r="K327" s="1"/>
    </row>
    <row r="328" spans="8:11" ht="13.5" x14ac:dyDescent="0.25">
      <c r="H328" s="2"/>
      <c r="I328" s="2"/>
      <c r="J328" s="1"/>
      <c r="K328" s="1"/>
    </row>
    <row r="329" spans="8:11" ht="13.5" x14ac:dyDescent="0.25">
      <c r="H329" s="2"/>
      <c r="I329" s="2"/>
      <c r="J329" s="1"/>
      <c r="K329" s="1"/>
    </row>
    <row r="330" spans="8:11" ht="13.5" x14ac:dyDescent="0.25">
      <c r="H330" s="2"/>
      <c r="I330" s="2"/>
      <c r="J330" s="1"/>
      <c r="K330" s="1"/>
    </row>
    <row r="331" spans="8:11" ht="13.5" x14ac:dyDescent="0.25">
      <c r="H331" s="2"/>
      <c r="I331" s="2"/>
      <c r="J331" s="1"/>
      <c r="K331" s="1"/>
    </row>
    <row r="332" spans="8:11" ht="13.5" x14ac:dyDescent="0.25">
      <c r="H332" s="2"/>
      <c r="I332" s="2"/>
      <c r="J332" s="1"/>
      <c r="K332" s="1"/>
    </row>
    <row r="333" spans="8:11" ht="13.5" x14ac:dyDescent="0.25">
      <c r="H333" s="2"/>
      <c r="I333" s="2"/>
      <c r="J333" s="1"/>
      <c r="K333" s="1"/>
    </row>
    <row r="334" spans="8:11" ht="13.5" x14ac:dyDescent="0.25">
      <c r="H334" s="2"/>
      <c r="I334" s="2"/>
      <c r="J334" s="1"/>
      <c r="K334" s="1"/>
    </row>
    <row r="335" spans="8:11" ht="13.5" x14ac:dyDescent="0.25">
      <c r="H335" s="2"/>
      <c r="I335" s="2"/>
      <c r="J335" s="1"/>
      <c r="K335" s="1"/>
    </row>
    <row r="336" spans="8:11" ht="13.5" x14ac:dyDescent="0.25">
      <c r="H336" s="2"/>
      <c r="I336" s="2"/>
      <c r="J336" s="1"/>
      <c r="K336" s="1"/>
    </row>
    <row r="337" spans="8:11" ht="13.5" x14ac:dyDescent="0.25">
      <c r="H337" s="2"/>
      <c r="I337" s="2"/>
      <c r="J337" s="1"/>
      <c r="K337" s="1"/>
    </row>
    <row r="338" spans="8:11" ht="13.5" x14ac:dyDescent="0.25">
      <c r="H338" s="2"/>
      <c r="I338" s="2"/>
      <c r="J338" s="1"/>
      <c r="K338" s="1"/>
    </row>
    <row r="339" spans="8:11" ht="13.5" x14ac:dyDescent="0.25">
      <c r="H339" s="2"/>
      <c r="I339" s="2"/>
      <c r="J339" s="1"/>
      <c r="K339" s="1"/>
    </row>
    <row r="340" spans="8:11" ht="13.5" x14ac:dyDescent="0.25">
      <c r="H340" s="2"/>
      <c r="I340" s="2"/>
      <c r="J340" s="1"/>
      <c r="K340" s="1"/>
    </row>
    <row r="341" spans="8:11" ht="13.5" x14ac:dyDescent="0.25">
      <c r="H341" s="2"/>
      <c r="I341" s="2"/>
      <c r="J341" s="1"/>
      <c r="K341" s="1"/>
    </row>
    <row r="342" spans="8:11" ht="13.5" x14ac:dyDescent="0.25">
      <c r="H342" s="2"/>
      <c r="I342" s="2"/>
      <c r="J342" s="1"/>
      <c r="K342" s="1"/>
    </row>
    <row r="343" spans="8:11" ht="13.5" x14ac:dyDescent="0.25">
      <c r="H343" s="2"/>
      <c r="I343" s="2"/>
      <c r="J343" s="1"/>
      <c r="K343" s="1"/>
    </row>
    <row r="344" spans="8:11" ht="13.5" x14ac:dyDescent="0.25">
      <c r="H344" s="2"/>
      <c r="I344" s="2"/>
      <c r="J344" s="1"/>
      <c r="K344" s="1"/>
    </row>
    <row r="345" spans="8:11" ht="13.5" x14ac:dyDescent="0.25">
      <c r="H345" s="2"/>
      <c r="I345" s="2"/>
      <c r="J345" s="1"/>
      <c r="K345" s="1"/>
    </row>
    <row r="346" spans="8:11" ht="13.5" x14ac:dyDescent="0.25">
      <c r="H346" s="2"/>
      <c r="I346" s="2"/>
      <c r="J346" s="1"/>
      <c r="K346" s="1"/>
    </row>
    <row r="347" spans="8:11" ht="13.5" x14ac:dyDescent="0.25">
      <c r="H347" s="2"/>
      <c r="I347" s="2"/>
      <c r="J347" s="1"/>
      <c r="K347" s="1"/>
    </row>
    <row r="348" spans="8:11" ht="13.5" x14ac:dyDescent="0.25">
      <c r="H348" s="2"/>
      <c r="I348" s="2"/>
      <c r="J348" s="1"/>
      <c r="K348" s="1"/>
    </row>
    <row r="349" spans="8:11" ht="13.5" x14ac:dyDescent="0.25">
      <c r="H349" s="2"/>
      <c r="I349" s="2"/>
      <c r="J349" s="1"/>
      <c r="K349" s="1"/>
    </row>
    <row r="350" spans="8:11" ht="13.5" x14ac:dyDescent="0.25">
      <c r="H350" s="2"/>
      <c r="I350" s="2"/>
      <c r="J350" s="1"/>
      <c r="K350" s="1"/>
    </row>
    <row r="351" spans="8:11" ht="13.5" x14ac:dyDescent="0.25">
      <c r="H351" s="2"/>
      <c r="I351" s="2"/>
      <c r="J351" s="1"/>
      <c r="K351" s="1"/>
    </row>
    <row r="352" spans="8:11" ht="13.5" x14ac:dyDescent="0.25">
      <c r="H352" s="2"/>
      <c r="I352" s="2"/>
      <c r="J352" s="1"/>
      <c r="K352" s="1"/>
    </row>
    <row r="353" spans="8:11" ht="13.5" x14ac:dyDescent="0.25">
      <c r="H353" s="2"/>
      <c r="I353" s="2"/>
      <c r="J353" s="1"/>
      <c r="K353" s="1"/>
    </row>
    <row r="354" spans="8:11" ht="13.5" x14ac:dyDescent="0.25">
      <c r="H354" s="2"/>
      <c r="I354" s="2"/>
      <c r="J354" s="1"/>
      <c r="K354" s="1"/>
    </row>
    <row r="355" spans="8:11" ht="13.5" x14ac:dyDescent="0.25">
      <c r="H355" s="2"/>
      <c r="I355" s="2"/>
      <c r="J355" s="1"/>
      <c r="K355" s="1"/>
    </row>
    <row r="356" spans="8:11" ht="13.5" x14ac:dyDescent="0.25">
      <c r="H356" s="2"/>
      <c r="I356" s="2"/>
      <c r="J356" s="1"/>
      <c r="K356" s="1"/>
    </row>
    <row r="357" spans="8:11" ht="13.5" x14ac:dyDescent="0.25">
      <c r="H357" s="2"/>
      <c r="I357" s="2"/>
      <c r="J357" s="1"/>
      <c r="K357" s="1"/>
    </row>
    <row r="358" spans="8:11" ht="13.5" x14ac:dyDescent="0.25">
      <c r="H358" s="2"/>
      <c r="I358" s="2"/>
      <c r="J358" s="1"/>
      <c r="K358" s="1"/>
    </row>
    <row r="359" spans="8:11" ht="13.5" x14ac:dyDescent="0.25">
      <c r="H359" s="2"/>
      <c r="I359" s="2"/>
      <c r="J359" s="1"/>
      <c r="K359" s="1"/>
    </row>
    <row r="360" spans="8:11" ht="13.5" x14ac:dyDescent="0.25">
      <c r="H360" s="2"/>
      <c r="I360" s="2"/>
      <c r="J360" s="1"/>
      <c r="K360" s="1"/>
    </row>
    <row r="361" spans="8:11" ht="13.5" x14ac:dyDescent="0.25">
      <c r="H361" s="2"/>
      <c r="I361" s="2"/>
      <c r="J361" s="1"/>
      <c r="K361" s="1"/>
    </row>
    <row r="362" spans="8:11" ht="13.5" x14ac:dyDescent="0.25">
      <c r="H362" s="2"/>
      <c r="I362" s="2"/>
      <c r="J362" s="1"/>
      <c r="K362" s="1"/>
    </row>
    <row r="363" spans="8:11" ht="13.5" x14ac:dyDescent="0.25">
      <c r="H363" s="2"/>
      <c r="I363" s="2"/>
      <c r="J363" s="1"/>
      <c r="K363" s="1"/>
    </row>
    <row r="364" spans="8:11" ht="13.5" x14ac:dyDescent="0.25">
      <c r="H364" s="2"/>
      <c r="I364" s="2"/>
      <c r="J364" s="1"/>
      <c r="K364" s="1"/>
    </row>
    <row r="365" spans="8:11" ht="13.5" x14ac:dyDescent="0.25">
      <c r="H365" s="2"/>
      <c r="I365" s="2"/>
      <c r="J365" s="1"/>
      <c r="K365" s="1"/>
    </row>
    <row r="366" spans="8:11" ht="13.5" x14ac:dyDescent="0.25">
      <c r="H366" s="2"/>
      <c r="I366" s="2"/>
      <c r="J366" s="1"/>
      <c r="K366" s="1"/>
    </row>
    <row r="367" spans="8:11" ht="13.5" x14ac:dyDescent="0.25">
      <c r="H367" s="2"/>
      <c r="I367" s="2"/>
      <c r="J367" s="1"/>
      <c r="K367" s="1"/>
    </row>
    <row r="368" spans="8:11" ht="13.5" x14ac:dyDescent="0.25">
      <c r="H368" s="2"/>
      <c r="I368" s="2"/>
      <c r="J368" s="1"/>
      <c r="K368" s="1"/>
    </row>
    <row r="369" spans="8:11" ht="13.5" x14ac:dyDescent="0.25">
      <c r="H369" s="2"/>
      <c r="I369" s="2"/>
      <c r="J369" s="1"/>
      <c r="K369" s="1"/>
    </row>
    <row r="370" spans="8:11" ht="13.5" x14ac:dyDescent="0.25">
      <c r="H370" s="2"/>
      <c r="I370" s="2"/>
      <c r="J370" s="1"/>
      <c r="K370" s="1"/>
    </row>
    <row r="371" spans="8:11" ht="13.5" x14ac:dyDescent="0.25">
      <c r="H371" s="2"/>
      <c r="I371" s="2"/>
      <c r="J371" s="1"/>
      <c r="K371" s="1"/>
    </row>
    <row r="372" spans="8:11" ht="13.5" x14ac:dyDescent="0.25">
      <c r="H372" s="2"/>
      <c r="I372" s="2"/>
      <c r="J372" s="1"/>
      <c r="K372" s="1"/>
    </row>
    <row r="373" spans="8:11" ht="13.5" x14ac:dyDescent="0.25">
      <c r="H373" s="2"/>
      <c r="I373" s="2"/>
      <c r="J373" s="1"/>
      <c r="K373" s="1"/>
    </row>
    <row r="374" spans="8:11" ht="13.5" x14ac:dyDescent="0.25">
      <c r="H374" s="2"/>
      <c r="I374" s="2"/>
      <c r="J374" s="1"/>
      <c r="K374" s="1"/>
    </row>
    <row r="375" spans="8:11" ht="13.5" x14ac:dyDescent="0.25">
      <c r="H375" s="2"/>
      <c r="I375" s="2"/>
      <c r="J375" s="1"/>
      <c r="K375" s="1"/>
    </row>
    <row r="376" spans="8:11" ht="13.5" x14ac:dyDescent="0.25">
      <c r="H376" s="2"/>
      <c r="I376" s="2"/>
      <c r="J376" s="1"/>
      <c r="K376" s="1"/>
    </row>
    <row r="377" spans="8:11" ht="13.5" x14ac:dyDescent="0.25">
      <c r="H377" s="2"/>
      <c r="I377" s="2"/>
      <c r="J377" s="1"/>
      <c r="K377" s="1"/>
    </row>
    <row r="378" spans="8:11" ht="13.5" x14ac:dyDescent="0.25">
      <c r="H378" s="2"/>
      <c r="I378" s="2"/>
      <c r="J378" s="1"/>
      <c r="K378" s="1"/>
    </row>
    <row r="379" spans="8:11" ht="13.5" x14ac:dyDescent="0.25">
      <c r="H379" s="2"/>
      <c r="I379" s="2"/>
      <c r="J379" s="1"/>
      <c r="K379" s="1"/>
    </row>
    <row r="380" spans="8:11" ht="13.5" x14ac:dyDescent="0.25">
      <c r="H380" s="2"/>
      <c r="I380" s="2"/>
      <c r="J380" s="1"/>
      <c r="K380" s="1"/>
    </row>
    <row r="381" spans="8:11" ht="13.5" x14ac:dyDescent="0.25">
      <c r="H381" s="2"/>
      <c r="I381" s="2"/>
      <c r="J381" s="1"/>
      <c r="K381" s="1"/>
    </row>
    <row r="382" spans="8:11" ht="13.5" x14ac:dyDescent="0.25">
      <c r="H382" s="2"/>
      <c r="I382" s="2"/>
      <c r="J382" s="1"/>
      <c r="K382" s="1"/>
    </row>
    <row r="383" spans="8:11" ht="13.5" x14ac:dyDescent="0.25">
      <c r="H383" s="2"/>
      <c r="I383" s="2"/>
      <c r="J383" s="1"/>
      <c r="K383" s="1"/>
    </row>
    <row r="384" spans="8:11" ht="13.5" x14ac:dyDescent="0.25">
      <c r="H384" s="2"/>
      <c r="I384" s="2"/>
      <c r="J384" s="1"/>
      <c r="K384" s="1"/>
    </row>
    <row r="385" spans="8:11" ht="13.5" x14ac:dyDescent="0.25">
      <c r="H385" s="2"/>
      <c r="I385" s="2"/>
      <c r="J385" s="1"/>
      <c r="K385" s="1"/>
    </row>
    <row r="386" spans="8:11" ht="13.5" x14ac:dyDescent="0.25">
      <c r="H386" s="2"/>
      <c r="I386" s="2"/>
      <c r="J386" s="1"/>
      <c r="K386" s="1"/>
    </row>
    <row r="387" spans="8:11" ht="13.5" x14ac:dyDescent="0.25">
      <c r="H387" s="2"/>
      <c r="I387" s="2"/>
      <c r="J387" s="1"/>
      <c r="K387" s="1"/>
    </row>
    <row r="388" spans="8:11" ht="13.5" x14ac:dyDescent="0.25">
      <c r="H388" s="2"/>
      <c r="I388" s="2"/>
      <c r="J388" s="1"/>
      <c r="K388" s="1"/>
    </row>
    <row r="389" spans="8:11" ht="13.5" x14ac:dyDescent="0.25">
      <c r="H389" s="2"/>
      <c r="I389" s="2"/>
      <c r="J389" s="1"/>
      <c r="K389" s="1"/>
    </row>
    <row r="390" spans="8:11" ht="13.5" x14ac:dyDescent="0.25">
      <c r="H390" s="2"/>
      <c r="I390" s="2"/>
      <c r="J390" s="1"/>
      <c r="K390" s="1"/>
    </row>
    <row r="391" spans="8:11" ht="13.5" x14ac:dyDescent="0.25">
      <c r="H391" s="2"/>
      <c r="I391" s="2"/>
      <c r="J391" s="1"/>
      <c r="K391" s="1"/>
    </row>
    <row r="392" spans="8:11" ht="13.5" x14ac:dyDescent="0.25">
      <c r="H392" s="2"/>
      <c r="I392" s="2"/>
      <c r="J392" s="1"/>
      <c r="K392" s="1"/>
    </row>
    <row r="393" spans="8:11" ht="13.5" x14ac:dyDescent="0.25">
      <c r="H393" s="2"/>
      <c r="I393" s="2"/>
      <c r="J393" s="1"/>
      <c r="K393" s="1"/>
    </row>
    <row r="394" spans="8:11" ht="13.5" x14ac:dyDescent="0.25">
      <c r="H394" s="2"/>
      <c r="I394" s="2"/>
      <c r="J394" s="1"/>
      <c r="K394" s="1"/>
    </row>
    <row r="395" spans="8:11" ht="13.5" x14ac:dyDescent="0.25">
      <c r="H395" s="2"/>
      <c r="I395" s="2"/>
      <c r="J395" s="1"/>
      <c r="K395" s="1"/>
    </row>
    <row r="396" spans="8:11" ht="13.5" x14ac:dyDescent="0.25">
      <c r="H396" s="2"/>
      <c r="I396" s="2"/>
      <c r="J396" s="1"/>
      <c r="K396" s="1"/>
    </row>
    <row r="397" spans="8:11" ht="13.5" x14ac:dyDescent="0.25">
      <c r="H397" s="2"/>
      <c r="I397" s="2"/>
      <c r="J397" s="1"/>
      <c r="K397" s="1"/>
    </row>
    <row r="398" spans="8:11" ht="13.5" x14ac:dyDescent="0.25">
      <c r="H398" s="2"/>
      <c r="I398" s="2"/>
      <c r="J398" s="1"/>
      <c r="K398" s="1"/>
    </row>
    <row r="399" spans="8:11" ht="13.5" x14ac:dyDescent="0.25">
      <c r="H399" s="2"/>
      <c r="I399" s="2"/>
      <c r="J399" s="1"/>
      <c r="K399" s="1"/>
    </row>
    <row r="400" spans="8:11" ht="13.5" x14ac:dyDescent="0.25">
      <c r="H400" s="2"/>
      <c r="I400" s="2"/>
      <c r="J400" s="1"/>
      <c r="K400" s="1"/>
    </row>
    <row r="401" spans="8:11" ht="13.5" x14ac:dyDescent="0.25">
      <c r="H401" s="2"/>
      <c r="I401" s="2"/>
      <c r="J401" s="1"/>
      <c r="K401" s="1"/>
    </row>
    <row r="402" spans="8:11" ht="13.5" x14ac:dyDescent="0.25">
      <c r="H402" s="2"/>
      <c r="I402" s="2"/>
      <c r="J402" s="1"/>
      <c r="K402" s="1"/>
    </row>
    <row r="403" spans="8:11" ht="13.5" x14ac:dyDescent="0.25">
      <c r="H403" s="2"/>
      <c r="I403" s="2"/>
      <c r="J403" s="1"/>
      <c r="K403" s="1"/>
    </row>
    <row r="404" spans="8:11" ht="13.5" x14ac:dyDescent="0.25">
      <c r="H404" s="2"/>
      <c r="I404" s="2"/>
      <c r="J404" s="1"/>
      <c r="K404" s="1"/>
    </row>
    <row r="405" spans="8:11" ht="13.5" x14ac:dyDescent="0.25">
      <c r="H405" s="2"/>
      <c r="I405" s="2"/>
      <c r="J405" s="1"/>
      <c r="K405" s="1"/>
    </row>
    <row r="406" spans="8:11" ht="13.5" x14ac:dyDescent="0.25">
      <c r="H406" s="2"/>
      <c r="I406" s="2"/>
      <c r="J406" s="1"/>
      <c r="K406" s="1"/>
    </row>
    <row r="407" spans="8:11" ht="13.5" x14ac:dyDescent="0.25">
      <c r="H407" s="2"/>
      <c r="I407" s="2"/>
      <c r="J407" s="1"/>
      <c r="K407" s="1"/>
    </row>
    <row r="408" spans="8:11" ht="13.5" x14ac:dyDescent="0.25">
      <c r="H408" s="2"/>
      <c r="I408" s="2"/>
      <c r="J408" s="1"/>
      <c r="K408" s="1"/>
    </row>
    <row r="409" spans="8:11" ht="13.5" x14ac:dyDescent="0.25">
      <c r="H409" s="2"/>
      <c r="I409" s="2"/>
      <c r="J409" s="1"/>
      <c r="K409" s="1"/>
    </row>
    <row r="410" spans="8:11" ht="13.5" x14ac:dyDescent="0.25">
      <c r="H410" s="2"/>
      <c r="I410" s="2"/>
      <c r="J410" s="1"/>
      <c r="K410" s="1"/>
    </row>
    <row r="411" spans="8:11" ht="13.5" x14ac:dyDescent="0.25">
      <c r="H411" s="2"/>
      <c r="I411" s="2"/>
      <c r="J411" s="1"/>
      <c r="K411" s="1"/>
    </row>
    <row r="412" spans="8:11" ht="13.5" x14ac:dyDescent="0.25">
      <c r="H412" s="2"/>
      <c r="I412" s="2"/>
      <c r="J412" s="1"/>
      <c r="K412" s="1"/>
    </row>
    <row r="413" spans="8:11" ht="13.5" x14ac:dyDescent="0.25">
      <c r="H413" s="2"/>
      <c r="I413" s="2"/>
      <c r="J413" s="1"/>
      <c r="K413" s="1"/>
    </row>
    <row r="414" spans="8:11" ht="13.5" x14ac:dyDescent="0.25">
      <c r="H414" s="2"/>
      <c r="I414" s="2"/>
      <c r="J414" s="1"/>
      <c r="K414" s="1"/>
    </row>
    <row r="415" spans="8:11" ht="13.5" x14ac:dyDescent="0.25">
      <c r="H415" s="2"/>
      <c r="I415" s="2"/>
      <c r="J415" s="1"/>
      <c r="K415" s="1"/>
    </row>
    <row r="416" spans="8:11" ht="13.5" x14ac:dyDescent="0.25">
      <c r="H416" s="2"/>
      <c r="I416" s="2"/>
      <c r="J416" s="1"/>
      <c r="K416" s="1"/>
    </row>
    <row r="417" spans="8:11" ht="13.5" x14ac:dyDescent="0.25">
      <c r="H417" s="2"/>
      <c r="I417" s="2"/>
      <c r="J417" s="1"/>
      <c r="K417" s="1"/>
    </row>
    <row r="418" spans="8:11" ht="13.5" x14ac:dyDescent="0.25">
      <c r="H418" s="2"/>
      <c r="I418" s="2"/>
      <c r="J418" s="1"/>
      <c r="K418" s="1"/>
    </row>
    <row r="419" spans="8:11" ht="13.5" x14ac:dyDescent="0.25">
      <c r="H419" s="2"/>
      <c r="I419" s="2"/>
      <c r="J419" s="1"/>
      <c r="K419" s="1"/>
    </row>
    <row r="420" spans="8:11" ht="13.5" x14ac:dyDescent="0.25">
      <c r="H420" s="2"/>
      <c r="I420" s="2"/>
      <c r="J420" s="1"/>
      <c r="K420" s="1"/>
    </row>
    <row r="421" spans="8:11" ht="13.5" x14ac:dyDescent="0.25">
      <c r="H421" s="2"/>
      <c r="I421" s="2"/>
      <c r="J421" s="1"/>
      <c r="K421" s="1"/>
    </row>
    <row r="422" spans="8:11" ht="13.5" x14ac:dyDescent="0.25">
      <c r="H422" s="2"/>
      <c r="I422" s="2"/>
      <c r="J422" s="1"/>
      <c r="K422" s="1"/>
    </row>
    <row r="423" spans="8:11" ht="13.5" x14ac:dyDescent="0.25">
      <c r="H423" s="2"/>
      <c r="I423" s="2"/>
      <c r="J423" s="1"/>
      <c r="K423" s="1"/>
    </row>
    <row r="424" spans="8:11" ht="13.5" x14ac:dyDescent="0.25">
      <c r="H424" s="2"/>
      <c r="I424" s="2"/>
      <c r="J424" s="1"/>
      <c r="K424" s="1"/>
    </row>
    <row r="425" spans="8:11" ht="13.5" x14ac:dyDescent="0.25">
      <c r="H425" s="2"/>
      <c r="I425" s="2"/>
      <c r="J425" s="1"/>
      <c r="K425" s="1"/>
    </row>
    <row r="426" spans="8:11" ht="13.5" x14ac:dyDescent="0.25">
      <c r="H426" s="2"/>
      <c r="I426" s="2"/>
      <c r="J426" s="1"/>
      <c r="K426" s="1"/>
    </row>
    <row r="427" spans="8:11" ht="13.5" x14ac:dyDescent="0.25">
      <c r="H427" s="2"/>
      <c r="I427" s="2"/>
      <c r="J427" s="1"/>
      <c r="K427" s="1"/>
    </row>
    <row r="428" spans="8:11" ht="13.5" x14ac:dyDescent="0.25">
      <c r="H428" s="2"/>
      <c r="I428" s="2"/>
      <c r="J428" s="1"/>
      <c r="K428" s="1"/>
    </row>
    <row r="429" spans="8:11" ht="13.5" x14ac:dyDescent="0.25">
      <c r="H429" s="2"/>
      <c r="I429" s="2"/>
      <c r="J429" s="1"/>
      <c r="K429" s="1"/>
    </row>
    <row r="430" spans="8:11" ht="13.5" x14ac:dyDescent="0.25">
      <c r="H430" s="2"/>
      <c r="I430" s="2"/>
      <c r="J430" s="1"/>
      <c r="K430" s="1"/>
    </row>
    <row r="431" spans="8:11" ht="13.5" x14ac:dyDescent="0.25">
      <c r="H431" s="2"/>
      <c r="I431" s="2"/>
      <c r="J431" s="1"/>
      <c r="K431" s="1"/>
    </row>
    <row r="432" spans="8:11" ht="13.5" x14ac:dyDescent="0.25">
      <c r="H432" s="2"/>
      <c r="I432" s="2"/>
      <c r="J432" s="1"/>
      <c r="K432" s="1"/>
    </row>
    <row r="433" spans="8:11" ht="13.5" x14ac:dyDescent="0.25">
      <c r="H433" s="2"/>
      <c r="I433" s="2"/>
      <c r="J433" s="1"/>
      <c r="K433" s="1"/>
    </row>
    <row r="434" spans="8:11" ht="13.5" x14ac:dyDescent="0.25">
      <c r="H434" s="2"/>
      <c r="I434" s="2"/>
      <c r="J434" s="1"/>
      <c r="K434" s="1"/>
    </row>
    <row r="435" spans="8:11" ht="13.5" x14ac:dyDescent="0.25">
      <c r="H435" s="2"/>
      <c r="I435" s="2"/>
      <c r="J435" s="1"/>
      <c r="K435" s="1"/>
    </row>
    <row r="436" spans="8:11" ht="13.5" x14ac:dyDescent="0.25">
      <c r="H436" s="2"/>
      <c r="I436" s="2"/>
      <c r="J436" s="1"/>
      <c r="K436" s="1"/>
    </row>
    <row r="437" spans="8:11" ht="13.5" x14ac:dyDescent="0.25">
      <c r="H437" s="2"/>
      <c r="I437" s="2"/>
      <c r="J437" s="1"/>
      <c r="K437" s="1"/>
    </row>
    <row r="438" spans="8:11" ht="13.5" x14ac:dyDescent="0.25">
      <c r="H438" s="2"/>
      <c r="I438" s="2"/>
      <c r="J438" s="1"/>
      <c r="K438" s="1"/>
    </row>
    <row r="439" spans="8:11" ht="13.5" x14ac:dyDescent="0.25">
      <c r="H439" s="2"/>
      <c r="I439" s="2"/>
      <c r="J439" s="1"/>
      <c r="K439" s="1"/>
    </row>
    <row r="440" spans="8:11" ht="13.5" x14ac:dyDescent="0.25">
      <c r="H440" s="2"/>
      <c r="I440" s="2"/>
      <c r="J440" s="1"/>
      <c r="K440" s="1"/>
    </row>
    <row r="441" spans="8:11" ht="13.5" x14ac:dyDescent="0.25">
      <c r="H441" s="2"/>
      <c r="I441" s="2"/>
      <c r="J441" s="1"/>
      <c r="K441" s="1"/>
    </row>
    <row r="442" spans="8:11" ht="13.5" x14ac:dyDescent="0.25">
      <c r="H442" s="2"/>
      <c r="I442" s="2"/>
      <c r="J442" s="1"/>
      <c r="K442" s="1"/>
    </row>
    <row r="443" spans="8:11" ht="13.5" x14ac:dyDescent="0.25">
      <c r="H443" s="2"/>
      <c r="I443" s="2"/>
      <c r="J443" s="1"/>
      <c r="K443" s="1"/>
    </row>
    <row r="444" spans="8:11" ht="13.5" x14ac:dyDescent="0.25">
      <c r="H444" s="2"/>
      <c r="I444" s="2"/>
      <c r="J444" s="1"/>
      <c r="K444" s="1"/>
    </row>
    <row r="445" spans="8:11" ht="13.5" x14ac:dyDescent="0.25">
      <c r="H445" s="2"/>
      <c r="I445" s="2"/>
      <c r="J445" s="1"/>
      <c r="K445" s="1"/>
    </row>
    <row r="446" spans="8:11" ht="13.5" x14ac:dyDescent="0.25">
      <c r="H446" s="2"/>
      <c r="I446" s="2"/>
      <c r="J446" s="1"/>
      <c r="K446" s="1"/>
    </row>
    <row r="447" spans="8:11" ht="13.5" x14ac:dyDescent="0.25">
      <c r="H447" s="2"/>
      <c r="I447" s="2"/>
      <c r="J447" s="1"/>
      <c r="K447" s="1"/>
    </row>
    <row r="448" spans="8:11" ht="13.5" x14ac:dyDescent="0.25">
      <c r="H448" s="2"/>
      <c r="I448" s="2"/>
      <c r="J448" s="1"/>
      <c r="K448" s="1"/>
    </row>
    <row r="449" spans="8:11" ht="13.5" x14ac:dyDescent="0.25">
      <c r="H449" s="2"/>
      <c r="I449" s="2"/>
      <c r="J449" s="1"/>
      <c r="K449" s="1"/>
    </row>
    <row r="450" spans="8:11" ht="13.5" x14ac:dyDescent="0.25">
      <c r="H450" s="2"/>
      <c r="I450" s="2"/>
      <c r="J450" s="1"/>
      <c r="K450" s="1"/>
    </row>
    <row r="451" spans="8:11" ht="13.5" x14ac:dyDescent="0.25">
      <c r="H451" s="2"/>
      <c r="I451" s="2"/>
      <c r="J451" s="1"/>
      <c r="K451" s="1"/>
    </row>
    <row r="452" spans="8:11" ht="13.5" x14ac:dyDescent="0.25">
      <c r="H452" s="2"/>
      <c r="I452" s="2"/>
      <c r="J452" s="1"/>
      <c r="K452" s="1"/>
    </row>
    <row r="453" spans="8:11" ht="13.5" x14ac:dyDescent="0.25">
      <c r="H453" s="2"/>
      <c r="I453" s="2"/>
      <c r="J453" s="1"/>
      <c r="K453" s="1"/>
    </row>
    <row r="454" spans="8:11" ht="13.5" x14ac:dyDescent="0.25">
      <c r="H454" s="2"/>
      <c r="I454" s="2"/>
      <c r="J454" s="1"/>
      <c r="K454" s="1"/>
    </row>
    <row r="455" spans="8:11" ht="13.5" x14ac:dyDescent="0.25">
      <c r="H455" s="2"/>
      <c r="I455" s="2"/>
      <c r="J455" s="1"/>
      <c r="K455" s="1"/>
    </row>
    <row r="456" spans="8:11" ht="13.5" x14ac:dyDescent="0.25">
      <c r="H456" s="2"/>
      <c r="I456" s="2"/>
      <c r="J456" s="1"/>
      <c r="K456" s="1"/>
    </row>
    <row r="457" spans="8:11" ht="13.5" x14ac:dyDescent="0.25">
      <c r="H457" s="2"/>
      <c r="I457" s="2"/>
      <c r="J457" s="1"/>
      <c r="K457" s="1"/>
    </row>
    <row r="458" spans="8:11" ht="13.5" x14ac:dyDescent="0.25">
      <c r="H458" s="2"/>
      <c r="I458" s="2"/>
      <c r="J458" s="1"/>
      <c r="K458" s="1"/>
    </row>
    <row r="459" spans="8:11" ht="13.5" x14ac:dyDescent="0.25">
      <c r="H459" s="2"/>
      <c r="I459" s="2"/>
      <c r="J459" s="1"/>
      <c r="K459" s="1"/>
    </row>
    <row r="460" spans="8:11" ht="13.5" x14ac:dyDescent="0.25">
      <c r="H460" s="2"/>
      <c r="I460" s="2"/>
      <c r="J460" s="1"/>
      <c r="K460" s="1"/>
    </row>
    <row r="461" spans="8:11" ht="13.5" x14ac:dyDescent="0.25">
      <c r="H461" s="2"/>
      <c r="I461" s="2"/>
      <c r="J461" s="1"/>
      <c r="K461" s="1"/>
    </row>
    <row r="462" spans="8:11" ht="13.5" x14ac:dyDescent="0.25">
      <c r="H462" s="2"/>
      <c r="I462" s="2"/>
      <c r="J462" s="1"/>
      <c r="K462" s="1"/>
    </row>
    <row r="463" spans="8:11" ht="13.5" x14ac:dyDescent="0.25">
      <c r="H463" s="2"/>
      <c r="I463" s="2"/>
      <c r="J463" s="1"/>
      <c r="K463" s="1"/>
    </row>
    <row r="464" spans="8:11" ht="13.5" x14ac:dyDescent="0.25">
      <c r="H464" s="2"/>
      <c r="I464" s="2"/>
      <c r="J464" s="1"/>
      <c r="K464" s="1"/>
    </row>
    <row r="465" spans="8:11" ht="13.5" x14ac:dyDescent="0.25">
      <c r="H465" s="2"/>
      <c r="I465" s="2"/>
      <c r="J465" s="1"/>
      <c r="K465" s="1"/>
    </row>
    <row r="466" spans="8:11" ht="13.5" x14ac:dyDescent="0.25">
      <c r="H466" s="2"/>
      <c r="I466" s="2"/>
      <c r="J466" s="1"/>
      <c r="K466" s="1"/>
    </row>
    <row r="467" spans="8:11" ht="13.5" x14ac:dyDescent="0.25">
      <c r="H467" s="2"/>
      <c r="I467" s="2"/>
      <c r="J467" s="1"/>
      <c r="K467" s="1"/>
    </row>
    <row r="468" spans="8:11" ht="13.5" x14ac:dyDescent="0.25">
      <c r="H468" s="2"/>
      <c r="I468" s="2"/>
      <c r="J468" s="1"/>
      <c r="K468" s="1"/>
    </row>
    <row r="469" spans="8:11" ht="13.5" x14ac:dyDescent="0.25">
      <c r="H469" s="2"/>
      <c r="I469" s="2"/>
      <c r="J469" s="1"/>
      <c r="K469" s="1"/>
    </row>
    <row r="470" spans="8:11" ht="13.5" x14ac:dyDescent="0.25">
      <c r="H470" s="2"/>
      <c r="I470" s="2"/>
      <c r="J470" s="1"/>
      <c r="K470" s="1"/>
    </row>
    <row r="471" spans="8:11" ht="13.5" x14ac:dyDescent="0.25">
      <c r="H471" s="2"/>
      <c r="I471" s="2"/>
      <c r="J471" s="1"/>
      <c r="K471" s="1"/>
    </row>
    <row r="472" spans="8:11" ht="13.5" x14ac:dyDescent="0.25">
      <c r="H472" s="2"/>
      <c r="I472" s="2"/>
      <c r="J472" s="1"/>
      <c r="K472" s="1"/>
    </row>
    <row r="473" spans="8:11" ht="13.5" x14ac:dyDescent="0.25">
      <c r="H473" s="2"/>
      <c r="I473" s="2"/>
      <c r="J473" s="1"/>
      <c r="K473" s="1"/>
    </row>
    <row r="474" spans="8:11" ht="13.5" x14ac:dyDescent="0.25">
      <c r="H474" s="2"/>
      <c r="I474" s="2"/>
      <c r="J474" s="1"/>
      <c r="K474" s="1"/>
    </row>
    <row r="475" spans="8:11" ht="13.5" x14ac:dyDescent="0.25">
      <c r="H475" s="2"/>
      <c r="I475" s="2"/>
      <c r="J475" s="1"/>
      <c r="K475" s="1"/>
    </row>
    <row r="476" spans="8:11" ht="13.5" x14ac:dyDescent="0.25">
      <c r="H476" s="2"/>
      <c r="I476" s="2"/>
      <c r="J476" s="1"/>
      <c r="K476" s="1"/>
    </row>
    <row r="477" spans="8:11" ht="13.5" x14ac:dyDescent="0.25">
      <c r="H477" s="2"/>
      <c r="I477" s="2"/>
      <c r="J477" s="1"/>
      <c r="K477" s="1"/>
    </row>
    <row r="478" spans="8:11" ht="13.5" x14ac:dyDescent="0.25">
      <c r="H478" s="2"/>
      <c r="I478" s="2"/>
      <c r="J478" s="1"/>
      <c r="K478" s="1"/>
    </row>
    <row r="479" spans="8:11" ht="13.5" x14ac:dyDescent="0.25">
      <c r="H479" s="2"/>
      <c r="I479" s="2"/>
      <c r="J479" s="1"/>
      <c r="K479" s="1"/>
    </row>
    <row r="480" spans="8:11" ht="13.5" x14ac:dyDescent="0.25">
      <c r="H480" s="2"/>
      <c r="I480" s="2"/>
      <c r="J480" s="1"/>
      <c r="K480" s="1"/>
    </row>
    <row r="481" spans="8:11" ht="13.5" x14ac:dyDescent="0.25">
      <c r="H481" s="2"/>
      <c r="I481" s="2"/>
      <c r="J481" s="1"/>
      <c r="K481" s="1"/>
    </row>
    <row r="482" spans="8:11" ht="13.5" x14ac:dyDescent="0.25">
      <c r="H482" s="2"/>
      <c r="I482" s="2"/>
      <c r="J482" s="1"/>
      <c r="K482" s="1"/>
    </row>
    <row r="483" spans="8:11" ht="13.5" x14ac:dyDescent="0.25">
      <c r="H483" s="2"/>
      <c r="I483" s="2"/>
      <c r="J483" s="1"/>
      <c r="K483" s="1"/>
    </row>
    <row r="484" spans="8:11" ht="13.5" x14ac:dyDescent="0.25">
      <c r="H484" s="2"/>
      <c r="I484" s="2"/>
      <c r="J484" s="1"/>
      <c r="K484" s="1"/>
    </row>
    <row r="485" spans="8:11" ht="13.5" x14ac:dyDescent="0.25">
      <c r="H485" s="2"/>
      <c r="I485" s="2"/>
      <c r="J485" s="1"/>
      <c r="K485" s="1"/>
    </row>
    <row r="486" spans="8:11" ht="13.5" x14ac:dyDescent="0.25">
      <c r="H486" s="2"/>
      <c r="I486" s="2"/>
      <c r="J486" s="1"/>
      <c r="K486" s="1"/>
    </row>
    <row r="487" spans="8:11" ht="13.5" x14ac:dyDescent="0.25">
      <c r="H487" s="2"/>
      <c r="I487" s="2"/>
      <c r="J487" s="1"/>
      <c r="K487" s="1"/>
    </row>
    <row r="488" spans="8:11" ht="13.5" x14ac:dyDescent="0.25">
      <c r="H488" s="2"/>
      <c r="I488" s="2"/>
      <c r="J488" s="1"/>
      <c r="K488" s="1"/>
    </row>
    <row r="489" spans="8:11" ht="13.5" x14ac:dyDescent="0.25">
      <c r="H489" s="2"/>
      <c r="I489" s="2"/>
      <c r="J489" s="1"/>
      <c r="K489" s="1"/>
    </row>
    <row r="490" spans="8:11" ht="13.5" x14ac:dyDescent="0.25">
      <c r="H490" s="2"/>
      <c r="I490" s="2"/>
      <c r="J490" s="1"/>
      <c r="K490" s="1"/>
    </row>
    <row r="491" spans="8:11" ht="13.5" x14ac:dyDescent="0.25">
      <c r="H491" s="2"/>
      <c r="I491" s="2"/>
      <c r="J491" s="1"/>
      <c r="K491" s="1"/>
    </row>
    <row r="492" spans="8:11" ht="13.5" x14ac:dyDescent="0.25">
      <c r="H492" s="2"/>
      <c r="I492" s="2"/>
      <c r="J492" s="1"/>
      <c r="K492" s="1"/>
    </row>
    <row r="493" spans="8:11" ht="13.5" x14ac:dyDescent="0.25">
      <c r="H493" s="2"/>
      <c r="I493" s="2"/>
      <c r="J493" s="1"/>
      <c r="K493" s="1"/>
    </row>
    <row r="494" spans="8:11" ht="13.5" x14ac:dyDescent="0.25">
      <c r="H494" s="2"/>
      <c r="I494" s="2"/>
      <c r="J494" s="1"/>
      <c r="K494" s="1"/>
    </row>
    <row r="495" spans="8:11" ht="13.5" x14ac:dyDescent="0.25">
      <c r="H495" s="2"/>
      <c r="I495" s="2"/>
      <c r="J495" s="1"/>
      <c r="K495" s="1"/>
    </row>
    <row r="496" spans="8:11" ht="13.5" x14ac:dyDescent="0.25">
      <c r="H496" s="2"/>
      <c r="I496" s="2"/>
      <c r="J496" s="1"/>
      <c r="K496" s="1"/>
    </row>
    <row r="497" spans="8:11" ht="13.5" x14ac:dyDescent="0.25">
      <c r="H497" s="2"/>
      <c r="I497" s="2"/>
      <c r="J497" s="1"/>
      <c r="K497" s="1"/>
    </row>
    <row r="498" spans="8:11" ht="13.5" x14ac:dyDescent="0.25">
      <c r="H498" s="2"/>
      <c r="I498" s="2"/>
      <c r="J498" s="1"/>
      <c r="K498" s="1"/>
    </row>
    <row r="499" spans="8:11" ht="13.5" x14ac:dyDescent="0.25">
      <c r="H499" s="2"/>
      <c r="I499" s="2"/>
      <c r="J499" s="1"/>
      <c r="K499" s="1"/>
    </row>
    <row r="500" spans="8:11" ht="13.5" x14ac:dyDescent="0.25">
      <c r="H500" s="2"/>
      <c r="I500" s="2"/>
      <c r="J500" s="1"/>
      <c r="K500" s="1"/>
    </row>
    <row r="501" spans="8:11" ht="13.5" x14ac:dyDescent="0.25">
      <c r="H501" s="2"/>
      <c r="I501" s="2"/>
      <c r="J501" s="1"/>
      <c r="K501" s="1"/>
    </row>
    <row r="502" spans="8:11" ht="13.5" x14ac:dyDescent="0.25">
      <c r="H502" s="2"/>
      <c r="I502" s="2"/>
      <c r="J502" s="1"/>
      <c r="K502" s="1"/>
    </row>
    <row r="503" spans="8:11" ht="13.5" x14ac:dyDescent="0.25">
      <c r="H503" s="2"/>
      <c r="I503" s="2"/>
      <c r="J503" s="1"/>
      <c r="K503" s="1"/>
    </row>
    <row r="504" spans="8:11" ht="13.5" x14ac:dyDescent="0.25">
      <c r="H504" s="2"/>
      <c r="I504" s="2"/>
      <c r="J504" s="1"/>
      <c r="K504" s="1"/>
    </row>
    <row r="505" spans="8:11" ht="13.5" x14ac:dyDescent="0.25">
      <c r="H505" s="2"/>
      <c r="I505" s="2"/>
      <c r="J505" s="1"/>
      <c r="K505" s="1"/>
    </row>
    <row r="506" spans="8:11" ht="13.5" x14ac:dyDescent="0.25">
      <c r="H506" s="2"/>
      <c r="I506" s="2"/>
      <c r="J506" s="1"/>
      <c r="K506" s="1"/>
    </row>
    <row r="507" spans="8:11" ht="13.5" x14ac:dyDescent="0.25">
      <c r="H507" s="2"/>
      <c r="I507" s="2"/>
      <c r="J507" s="1"/>
      <c r="K507" s="1"/>
    </row>
    <row r="508" spans="8:11" ht="13.5" x14ac:dyDescent="0.25">
      <c r="H508" s="2"/>
      <c r="I508" s="2"/>
      <c r="J508" s="1"/>
      <c r="K508" s="1"/>
    </row>
    <row r="509" spans="8:11" ht="13.5" x14ac:dyDescent="0.25">
      <c r="H509" s="2"/>
      <c r="I509" s="2"/>
      <c r="J509" s="1"/>
      <c r="K509" s="1"/>
    </row>
    <row r="510" spans="8:11" ht="13.5" x14ac:dyDescent="0.25">
      <c r="H510" s="2"/>
      <c r="I510" s="2"/>
      <c r="J510" s="1"/>
      <c r="K510" s="1"/>
    </row>
    <row r="511" spans="8:11" ht="13.5" x14ac:dyDescent="0.25">
      <c r="H511" s="2"/>
      <c r="I511" s="2"/>
      <c r="J511" s="1"/>
      <c r="K511" s="1"/>
    </row>
    <row r="512" spans="8:11" ht="13.5" x14ac:dyDescent="0.25">
      <c r="H512" s="2"/>
      <c r="I512" s="2"/>
      <c r="J512" s="1"/>
      <c r="K512" s="1"/>
    </row>
    <row r="513" spans="8:11" ht="13.5" x14ac:dyDescent="0.25">
      <c r="H513" s="2"/>
      <c r="I513" s="2"/>
      <c r="J513" s="1"/>
      <c r="K513" s="1"/>
    </row>
    <row r="514" spans="8:11" ht="13.5" x14ac:dyDescent="0.25">
      <c r="H514" s="2"/>
      <c r="I514" s="2"/>
      <c r="J514" s="1"/>
      <c r="K514" s="1"/>
    </row>
    <row r="515" spans="8:11" ht="13.5" x14ac:dyDescent="0.25">
      <c r="H515" s="2"/>
      <c r="I515" s="2"/>
      <c r="J515" s="1"/>
      <c r="K515" s="1"/>
    </row>
    <row r="516" spans="8:11" ht="13.5" x14ac:dyDescent="0.25">
      <c r="H516" s="2"/>
      <c r="I516" s="2"/>
      <c r="J516" s="1"/>
      <c r="K516" s="1"/>
    </row>
    <row r="517" spans="8:11" ht="13.5" x14ac:dyDescent="0.25">
      <c r="H517" s="2"/>
      <c r="I517" s="2"/>
      <c r="J517" s="1"/>
      <c r="K517" s="1"/>
    </row>
    <row r="518" spans="8:11" ht="13.5" x14ac:dyDescent="0.25">
      <c r="H518" s="2"/>
      <c r="I518" s="2"/>
      <c r="J518" s="1"/>
      <c r="K518" s="1"/>
    </row>
    <row r="519" spans="8:11" ht="13.5" x14ac:dyDescent="0.25">
      <c r="H519" s="2"/>
      <c r="I519" s="2"/>
      <c r="J519" s="1"/>
      <c r="K519" s="1"/>
    </row>
    <row r="520" spans="8:11" ht="13.5" x14ac:dyDescent="0.25">
      <c r="H520" s="2"/>
      <c r="I520" s="2"/>
      <c r="J520" s="1"/>
      <c r="K520" s="1"/>
    </row>
    <row r="521" spans="8:11" ht="13.5" x14ac:dyDescent="0.25">
      <c r="H521" s="2"/>
      <c r="I521" s="2"/>
      <c r="J521" s="1"/>
      <c r="K521" s="1"/>
    </row>
    <row r="522" spans="8:11" ht="13.5" x14ac:dyDescent="0.25">
      <c r="H522" s="2"/>
      <c r="I522" s="2"/>
      <c r="J522" s="1"/>
      <c r="K522" s="1"/>
    </row>
    <row r="523" spans="8:11" ht="13.5" x14ac:dyDescent="0.25">
      <c r="H523" s="2"/>
      <c r="I523" s="2"/>
      <c r="J523" s="1"/>
      <c r="K523" s="1"/>
    </row>
    <row r="524" spans="8:11" ht="13.5" x14ac:dyDescent="0.25">
      <c r="H524" s="2"/>
      <c r="I524" s="2"/>
      <c r="J524" s="1"/>
      <c r="K524" s="1"/>
    </row>
    <row r="525" spans="8:11" ht="13.5" x14ac:dyDescent="0.25">
      <c r="H525" s="2"/>
      <c r="I525" s="2"/>
      <c r="J525" s="1"/>
      <c r="K525" s="1"/>
    </row>
    <row r="526" spans="8:11" ht="13.5" x14ac:dyDescent="0.25">
      <c r="H526" s="2"/>
      <c r="I526" s="2"/>
      <c r="J526" s="1"/>
      <c r="K526" s="1"/>
    </row>
    <row r="527" spans="8:11" ht="13.5" x14ac:dyDescent="0.25">
      <c r="H527" s="2"/>
      <c r="I527" s="2"/>
      <c r="J527" s="1"/>
      <c r="K527" s="1"/>
    </row>
    <row r="528" spans="8:11" ht="13.5" x14ac:dyDescent="0.25">
      <c r="H528" s="2"/>
      <c r="I528" s="2"/>
      <c r="J528" s="1"/>
      <c r="K528" s="1"/>
    </row>
    <row r="529" spans="8:11" ht="13.5" x14ac:dyDescent="0.25">
      <c r="H529" s="2"/>
      <c r="I529" s="2"/>
      <c r="J529" s="1"/>
      <c r="K529" s="1"/>
    </row>
    <row r="530" spans="8:11" ht="13.5" x14ac:dyDescent="0.25">
      <c r="H530" s="2"/>
      <c r="I530" s="2"/>
      <c r="J530" s="1"/>
      <c r="K530" s="1"/>
    </row>
    <row r="531" spans="8:11" ht="13.5" x14ac:dyDescent="0.25">
      <c r="H531" s="2"/>
      <c r="I531" s="2"/>
      <c r="J531" s="1"/>
      <c r="K531" s="1"/>
    </row>
    <row r="532" spans="8:11" ht="13.5" x14ac:dyDescent="0.25">
      <c r="H532" s="2"/>
      <c r="I532" s="2"/>
      <c r="J532" s="1"/>
      <c r="K532" s="1"/>
    </row>
    <row r="533" spans="8:11" ht="13.5" x14ac:dyDescent="0.25">
      <c r="H533" s="2"/>
      <c r="I533" s="2"/>
      <c r="J533" s="1"/>
      <c r="K533" s="1"/>
    </row>
    <row r="534" spans="8:11" ht="13.5" x14ac:dyDescent="0.25">
      <c r="H534" s="2"/>
      <c r="I534" s="2"/>
      <c r="J534" s="1"/>
      <c r="K534" s="1"/>
    </row>
    <row r="535" spans="8:11" ht="13.5" x14ac:dyDescent="0.25">
      <c r="H535" s="2"/>
      <c r="I535" s="2"/>
      <c r="J535" s="1"/>
      <c r="K535" s="1"/>
    </row>
    <row r="536" spans="8:11" ht="13.5" x14ac:dyDescent="0.25">
      <c r="H536" s="2"/>
      <c r="I536" s="2"/>
      <c r="J536" s="1"/>
      <c r="K536" s="1"/>
    </row>
    <row r="537" spans="8:11" ht="13.5" x14ac:dyDescent="0.25">
      <c r="H537" s="2"/>
      <c r="I537" s="2"/>
      <c r="J537" s="1"/>
      <c r="K537" s="1"/>
    </row>
    <row r="538" spans="8:11" ht="13.5" x14ac:dyDescent="0.25">
      <c r="H538" s="2"/>
      <c r="I538" s="2"/>
      <c r="J538" s="1"/>
      <c r="K538" s="1"/>
    </row>
    <row r="539" spans="8:11" ht="13.5" x14ac:dyDescent="0.25">
      <c r="H539" s="2"/>
      <c r="I539" s="2"/>
      <c r="J539" s="1"/>
      <c r="K539" s="1"/>
    </row>
    <row r="540" spans="8:11" ht="13.5" x14ac:dyDescent="0.25">
      <c r="H540" s="2"/>
      <c r="I540" s="2"/>
      <c r="J540" s="1"/>
      <c r="K540" s="1"/>
    </row>
    <row r="541" spans="8:11" ht="13.5" x14ac:dyDescent="0.25">
      <c r="H541" s="2"/>
      <c r="I541" s="2"/>
      <c r="J541" s="1"/>
      <c r="K541" s="1"/>
    </row>
    <row r="542" spans="8:11" ht="13.5" x14ac:dyDescent="0.25">
      <c r="H542" s="2"/>
      <c r="I542" s="2"/>
      <c r="J542" s="1"/>
      <c r="K542" s="1"/>
    </row>
    <row r="543" spans="8:11" ht="13.5" x14ac:dyDescent="0.25">
      <c r="H543" s="2"/>
      <c r="I543" s="2"/>
      <c r="J543" s="1"/>
      <c r="K543" s="1"/>
    </row>
    <row r="544" spans="8:11" ht="13.5" x14ac:dyDescent="0.25">
      <c r="H544" s="2"/>
      <c r="I544" s="2"/>
      <c r="J544" s="1"/>
      <c r="K544" s="1"/>
    </row>
    <row r="545" spans="8:11" ht="13.5" x14ac:dyDescent="0.25">
      <c r="H545" s="2"/>
      <c r="I545" s="2"/>
      <c r="J545" s="1"/>
      <c r="K545" s="1"/>
    </row>
    <row r="546" spans="8:11" ht="13.5" x14ac:dyDescent="0.25">
      <c r="H546" s="2"/>
      <c r="I546" s="2"/>
      <c r="J546" s="1"/>
      <c r="K546" s="1"/>
    </row>
    <row r="547" spans="8:11" ht="13.5" x14ac:dyDescent="0.25">
      <c r="H547" s="2"/>
      <c r="I547" s="2"/>
      <c r="J547" s="1"/>
      <c r="K547" s="1"/>
    </row>
    <row r="548" spans="8:11" ht="13.5" x14ac:dyDescent="0.25">
      <c r="H548" s="2"/>
      <c r="I548" s="2"/>
      <c r="J548" s="1"/>
      <c r="K548" s="1"/>
    </row>
    <row r="549" spans="8:11" ht="13.5" x14ac:dyDescent="0.25">
      <c r="H549" s="2"/>
      <c r="I549" s="2"/>
      <c r="J549" s="1"/>
      <c r="K549" s="1"/>
    </row>
    <row r="550" spans="8:11" ht="13.5" x14ac:dyDescent="0.25">
      <c r="H550" s="2"/>
      <c r="I550" s="2"/>
      <c r="J550" s="1"/>
      <c r="K550" s="1"/>
    </row>
    <row r="551" spans="8:11" ht="13.5" x14ac:dyDescent="0.25">
      <c r="H551" s="2"/>
      <c r="I551" s="2"/>
      <c r="J551" s="1"/>
      <c r="K551" s="1"/>
    </row>
    <row r="552" spans="8:11" ht="13.5" x14ac:dyDescent="0.25">
      <c r="H552" s="2"/>
      <c r="I552" s="2"/>
      <c r="J552" s="1"/>
      <c r="K552" s="1"/>
    </row>
    <row r="553" spans="8:11" ht="13.5" x14ac:dyDescent="0.25">
      <c r="H553" s="2"/>
      <c r="I553" s="2"/>
      <c r="J553" s="1"/>
      <c r="K553" s="1"/>
    </row>
    <row r="554" spans="8:11" ht="13.5" x14ac:dyDescent="0.25">
      <c r="H554" s="2"/>
      <c r="I554" s="2"/>
      <c r="J554" s="1"/>
      <c r="K554" s="1"/>
    </row>
    <row r="555" spans="8:11" ht="13.5" x14ac:dyDescent="0.25">
      <c r="H555" s="2"/>
      <c r="I555" s="2"/>
      <c r="J555" s="1"/>
      <c r="K555" s="1"/>
    </row>
    <row r="556" spans="8:11" ht="13.5" x14ac:dyDescent="0.25">
      <c r="H556" s="2"/>
      <c r="I556" s="2"/>
      <c r="J556" s="1"/>
      <c r="K556" s="1"/>
    </row>
    <row r="557" spans="8:11" ht="13.5" x14ac:dyDescent="0.25">
      <c r="H557" s="2"/>
      <c r="I557" s="2"/>
      <c r="J557" s="1"/>
      <c r="K557" s="1"/>
    </row>
    <row r="558" spans="8:11" ht="13.5" x14ac:dyDescent="0.25">
      <c r="H558" s="2"/>
      <c r="I558" s="2"/>
      <c r="J558" s="1"/>
      <c r="K558" s="1"/>
    </row>
    <row r="559" spans="8:11" ht="13.5" x14ac:dyDescent="0.25">
      <c r="H559" s="2"/>
      <c r="I559" s="2"/>
      <c r="J559" s="1"/>
      <c r="K559" s="1"/>
    </row>
    <row r="560" spans="8:11" ht="13.5" x14ac:dyDescent="0.25">
      <c r="H560" s="2"/>
      <c r="I560" s="2"/>
      <c r="J560" s="1"/>
      <c r="K560" s="1"/>
    </row>
    <row r="561" spans="8:11" ht="13.5" x14ac:dyDescent="0.25">
      <c r="H561" s="2"/>
      <c r="I561" s="2"/>
      <c r="J561" s="1"/>
      <c r="K561" s="1"/>
    </row>
    <row r="562" spans="8:11" ht="13.5" x14ac:dyDescent="0.25">
      <c r="H562" s="2"/>
      <c r="I562" s="2"/>
      <c r="J562" s="1"/>
      <c r="K562" s="1"/>
    </row>
    <row r="563" spans="8:11" ht="13.5" x14ac:dyDescent="0.25">
      <c r="H563" s="2"/>
      <c r="I563" s="2"/>
      <c r="J563" s="1"/>
      <c r="K563" s="1"/>
    </row>
    <row r="564" spans="8:11" ht="13.5" x14ac:dyDescent="0.25">
      <c r="H564" s="2"/>
      <c r="I564" s="2"/>
      <c r="J564" s="1"/>
      <c r="K564" s="1"/>
    </row>
    <row r="565" spans="8:11" ht="13.5" x14ac:dyDescent="0.25">
      <c r="H565" s="2"/>
      <c r="I565" s="2"/>
      <c r="J565" s="1"/>
      <c r="K565" s="1"/>
    </row>
    <row r="566" spans="8:11" ht="13.5" x14ac:dyDescent="0.25">
      <c r="H566" s="2"/>
      <c r="I566" s="2"/>
      <c r="J566" s="1"/>
      <c r="K566" s="1"/>
    </row>
    <row r="567" spans="8:11" ht="13.5" x14ac:dyDescent="0.25">
      <c r="H567" s="2"/>
      <c r="I567" s="2"/>
      <c r="J567" s="1"/>
      <c r="K567" s="1"/>
    </row>
    <row r="568" spans="8:11" ht="13.5" x14ac:dyDescent="0.25">
      <c r="H568" s="2"/>
      <c r="I568" s="2"/>
      <c r="J568" s="1"/>
      <c r="K568" s="1"/>
    </row>
    <row r="569" spans="8:11" ht="13.5" x14ac:dyDescent="0.25">
      <c r="H569" s="2"/>
      <c r="I569" s="2"/>
      <c r="J569" s="1"/>
      <c r="K569" s="1"/>
    </row>
    <row r="570" spans="8:11" ht="13.5" x14ac:dyDescent="0.25">
      <c r="H570" s="2"/>
      <c r="I570" s="2"/>
      <c r="J570" s="1"/>
      <c r="K570" s="1"/>
    </row>
    <row r="571" spans="8:11" ht="13.5" x14ac:dyDescent="0.25">
      <c r="H571" s="2"/>
      <c r="I571" s="2"/>
      <c r="J571" s="1"/>
      <c r="K571" s="1"/>
    </row>
    <row r="572" spans="8:11" ht="13.5" x14ac:dyDescent="0.25">
      <c r="H572" s="2"/>
      <c r="I572" s="2"/>
      <c r="J572" s="1"/>
      <c r="K572" s="1"/>
    </row>
    <row r="573" spans="8:11" ht="13.5" x14ac:dyDescent="0.25">
      <c r="H573" s="2"/>
      <c r="I573" s="2"/>
      <c r="J573" s="1"/>
      <c r="K573" s="1"/>
    </row>
    <row r="574" spans="8:11" ht="13.5" x14ac:dyDescent="0.25">
      <c r="H574" s="2"/>
      <c r="I574" s="2"/>
      <c r="J574" s="1"/>
      <c r="K574" s="1"/>
    </row>
    <row r="575" spans="8:11" ht="13.5" x14ac:dyDescent="0.25">
      <c r="H575" s="2"/>
      <c r="I575" s="2"/>
      <c r="J575" s="1"/>
      <c r="K575" s="1"/>
    </row>
    <row r="576" spans="8:11" ht="13.5" x14ac:dyDescent="0.25">
      <c r="H576" s="2"/>
      <c r="I576" s="2"/>
      <c r="J576" s="1"/>
      <c r="K576" s="1"/>
    </row>
    <row r="577" spans="8:11" ht="13.5" x14ac:dyDescent="0.25">
      <c r="H577" s="2"/>
      <c r="I577" s="2"/>
      <c r="J577" s="1"/>
      <c r="K577" s="1"/>
    </row>
    <row r="578" spans="8:11" ht="13.5" x14ac:dyDescent="0.25">
      <c r="H578" s="2"/>
      <c r="I578" s="2"/>
      <c r="J578" s="1"/>
      <c r="K578" s="1"/>
    </row>
    <row r="579" spans="8:11" ht="13.5" x14ac:dyDescent="0.25">
      <c r="H579" s="2"/>
      <c r="I579" s="2"/>
      <c r="J579" s="1"/>
      <c r="K579" s="1"/>
    </row>
    <row r="580" spans="8:11" ht="13.5" x14ac:dyDescent="0.25">
      <c r="H580" s="2"/>
      <c r="I580" s="2"/>
      <c r="J580" s="1"/>
      <c r="K580" s="1"/>
    </row>
    <row r="581" spans="8:11" ht="13.5" x14ac:dyDescent="0.25">
      <c r="H581" s="2"/>
      <c r="I581" s="2"/>
      <c r="J581" s="1"/>
      <c r="K581" s="1"/>
    </row>
    <row r="582" spans="8:11" ht="13.5" x14ac:dyDescent="0.25">
      <c r="H582" s="2"/>
      <c r="I582" s="2"/>
      <c r="J582" s="1"/>
      <c r="K582" s="1"/>
    </row>
    <row r="583" spans="8:11" ht="13.5" x14ac:dyDescent="0.25">
      <c r="H583" s="2"/>
      <c r="I583" s="2"/>
      <c r="J583" s="1"/>
      <c r="K583" s="1"/>
    </row>
    <row r="584" spans="8:11" ht="13.5" x14ac:dyDescent="0.25">
      <c r="H584" s="2"/>
      <c r="I584" s="2"/>
      <c r="J584" s="1"/>
      <c r="K584" s="1"/>
    </row>
    <row r="585" spans="8:11" ht="13.5" x14ac:dyDescent="0.25">
      <c r="H585" s="2"/>
      <c r="I585" s="2"/>
      <c r="J585" s="1"/>
      <c r="K585" s="1"/>
    </row>
    <row r="586" spans="8:11" ht="13.5" x14ac:dyDescent="0.25">
      <c r="H586" s="2"/>
      <c r="I586" s="2"/>
      <c r="J586" s="1"/>
      <c r="K586" s="1"/>
    </row>
    <row r="587" spans="8:11" ht="13.5" x14ac:dyDescent="0.25">
      <c r="H587" s="2"/>
      <c r="I587" s="2"/>
      <c r="J587" s="1"/>
      <c r="K587" s="1"/>
    </row>
    <row r="588" spans="8:11" ht="13.5" x14ac:dyDescent="0.25">
      <c r="H588" s="2"/>
      <c r="I588" s="2"/>
      <c r="J588" s="1"/>
      <c r="K588" s="1"/>
    </row>
    <row r="589" spans="8:11" ht="13.5" x14ac:dyDescent="0.25">
      <c r="H589" s="2"/>
      <c r="I589" s="2"/>
      <c r="J589" s="1"/>
      <c r="K589" s="1"/>
    </row>
    <row r="590" spans="8:11" ht="13.5" x14ac:dyDescent="0.25">
      <c r="H590" s="2"/>
      <c r="I590" s="2"/>
      <c r="J590" s="1"/>
      <c r="K590" s="1"/>
    </row>
    <row r="591" spans="8:11" ht="13.5" x14ac:dyDescent="0.25">
      <c r="H591" s="2"/>
      <c r="I591" s="2"/>
      <c r="J591" s="1"/>
      <c r="K591" s="1"/>
    </row>
    <row r="592" spans="8:11" ht="13.5" x14ac:dyDescent="0.25">
      <c r="H592" s="2"/>
      <c r="I592" s="2"/>
      <c r="J592" s="1"/>
      <c r="K592" s="1"/>
    </row>
    <row r="593" spans="8:11" ht="13.5" x14ac:dyDescent="0.25">
      <c r="H593" s="2"/>
      <c r="I593" s="2"/>
      <c r="J593" s="1"/>
      <c r="K593" s="1"/>
    </row>
    <row r="594" spans="8:11" ht="13.5" x14ac:dyDescent="0.25">
      <c r="H594" s="2"/>
      <c r="I594" s="2"/>
      <c r="J594" s="1"/>
      <c r="K594" s="1"/>
    </row>
    <row r="595" spans="8:11" ht="13.5" x14ac:dyDescent="0.25">
      <c r="H595" s="2"/>
      <c r="I595" s="2"/>
      <c r="J595" s="1"/>
      <c r="K595" s="1"/>
    </row>
    <row r="596" spans="8:11" ht="13.5" x14ac:dyDescent="0.25">
      <c r="H596" s="2"/>
      <c r="I596" s="2"/>
      <c r="J596" s="1"/>
      <c r="K596" s="1"/>
    </row>
    <row r="597" spans="8:11" ht="13.5" x14ac:dyDescent="0.25">
      <c r="H597" s="2"/>
      <c r="I597" s="2"/>
      <c r="J597" s="1"/>
      <c r="K597" s="1"/>
    </row>
    <row r="598" spans="8:11" ht="13.5" x14ac:dyDescent="0.25">
      <c r="H598" s="2"/>
      <c r="I598" s="2"/>
      <c r="J598" s="1"/>
      <c r="K598" s="1"/>
    </row>
    <row r="599" spans="8:11" ht="13.5" x14ac:dyDescent="0.25">
      <c r="H599" s="2"/>
      <c r="I599" s="2"/>
      <c r="J599" s="1"/>
      <c r="K599" s="1"/>
    </row>
    <row r="600" spans="8:11" ht="13.5" x14ac:dyDescent="0.25">
      <c r="H600" s="2"/>
      <c r="I600" s="2"/>
      <c r="J600" s="1"/>
      <c r="K600" s="1"/>
    </row>
    <row r="601" spans="8:11" ht="13.5" x14ac:dyDescent="0.25">
      <c r="H601" s="2"/>
      <c r="I601" s="2"/>
      <c r="J601" s="1"/>
      <c r="K601" s="1"/>
    </row>
    <row r="602" spans="8:11" ht="13.5" x14ac:dyDescent="0.25">
      <c r="H602" s="2"/>
      <c r="I602" s="2"/>
      <c r="J602" s="1"/>
      <c r="K602" s="1"/>
    </row>
    <row r="603" spans="8:11" ht="13.5" x14ac:dyDescent="0.25">
      <c r="H603" s="2"/>
      <c r="I603" s="2"/>
      <c r="J603" s="1"/>
      <c r="K603" s="1"/>
    </row>
    <row r="604" spans="8:11" ht="13.5" x14ac:dyDescent="0.25">
      <c r="H604" s="2"/>
      <c r="I604" s="2"/>
      <c r="J604" s="1"/>
      <c r="K604" s="1"/>
    </row>
    <row r="605" spans="8:11" ht="13.5" x14ac:dyDescent="0.25">
      <c r="H605" s="2"/>
      <c r="I605" s="2"/>
      <c r="J605" s="1"/>
      <c r="K605" s="1"/>
    </row>
    <row r="606" spans="8:11" ht="13.5" x14ac:dyDescent="0.25">
      <c r="H606" s="2"/>
      <c r="I606" s="2"/>
      <c r="J606" s="1"/>
      <c r="K606" s="1"/>
    </row>
    <row r="607" spans="8:11" ht="13.5" x14ac:dyDescent="0.25">
      <c r="H607" s="2"/>
      <c r="I607" s="2"/>
      <c r="J607" s="1"/>
      <c r="K607" s="1"/>
    </row>
    <row r="608" spans="8:11" ht="13.5" x14ac:dyDescent="0.25">
      <c r="H608" s="2"/>
      <c r="I608" s="2"/>
      <c r="J608" s="1"/>
      <c r="K608" s="1"/>
    </row>
    <row r="609" spans="8:11" ht="13.5" x14ac:dyDescent="0.25">
      <c r="H609" s="2"/>
      <c r="I609" s="2"/>
      <c r="J609" s="1"/>
      <c r="K609" s="1"/>
    </row>
    <row r="610" spans="8:11" ht="13.5" x14ac:dyDescent="0.25">
      <c r="H610" s="2"/>
      <c r="I610" s="2"/>
      <c r="J610" s="1"/>
      <c r="K610" s="1"/>
    </row>
    <row r="611" spans="8:11" ht="13.5" x14ac:dyDescent="0.25">
      <c r="H611" s="2"/>
      <c r="I611" s="2"/>
      <c r="J611" s="1"/>
      <c r="K611" s="1"/>
    </row>
    <row r="612" spans="8:11" ht="13.5" x14ac:dyDescent="0.25">
      <c r="H612" s="2"/>
      <c r="I612" s="2"/>
      <c r="J612" s="1"/>
      <c r="K612" s="1"/>
    </row>
    <row r="613" spans="8:11" ht="13.5" x14ac:dyDescent="0.25">
      <c r="H613" s="2"/>
      <c r="I613" s="2"/>
      <c r="J613" s="1"/>
      <c r="K613" s="1"/>
    </row>
    <row r="614" spans="8:11" ht="13.5" x14ac:dyDescent="0.25">
      <c r="H614" s="2"/>
      <c r="I614" s="2"/>
      <c r="J614" s="1"/>
      <c r="K614" s="1"/>
    </row>
    <row r="615" spans="8:11" ht="13.5" x14ac:dyDescent="0.25">
      <c r="H615" s="2"/>
      <c r="I615" s="2"/>
      <c r="J615" s="1"/>
      <c r="K615" s="1"/>
    </row>
    <row r="616" spans="8:11" ht="13.5" x14ac:dyDescent="0.25">
      <c r="H616" s="2"/>
      <c r="I616" s="2"/>
      <c r="J616" s="1"/>
      <c r="K616" s="1"/>
    </row>
    <row r="617" spans="8:11" ht="13.5" x14ac:dyDescent="0.25">
      <c r="H617" s="2"/>
      <c r="I617" s="2"/>
      <c r="J617" s="1"/>
      <c r="K617" s="1"/>
    </row>
    <row r="618" spans="8:11" ht="13.5" x14ac:dyDescent="0.25">
      <c r="H618" s="2"/>
      <c r="I618" s="2"/>
      <c r="J618" s="1"/>
      <c r="K618" s="1"/>
    </row>
    <row r="619" spans="8:11" ht="13.5" x14ac:dyDescent="0.25">
      <c r="H619" s="2"/>
      <c r="I619" s="2"/>
      <c r="J619" s="1"/>
      <c r="K619" s="1"/>
    </row>
    <row r="620" spans="8:11" ht="13.5" x14ac:dyDescent="0.25">
      <c r="H620" s="2"/>
      <c r="I620" s="2"/>
      <c r="J620" s="1"/>
      <c r="K620" s="1"/>
    </row>
    <row r="621" spans="8:11" ht="13.5" x14ac:dyDescent="0.25">
      <c r="H621" s="2"/>
      <c r="I621" s="2"/>
      <c r="J621" s="1"/>
      <c r="K621" s="1"/>
    </row>
    <row r="622" spans="8:11" ht="13.5" x14ac:dyDescent="0.25">
      <c r="H622" s="2"/>
      <c r="I622" s="2"/>
      <c r="J622" s="1"/>
      <c r="K622" s="1"/>
    </row>
    <row r="623" spans="8:11" ht="13.5" x14ac:dyDescent="0.25">
      <c r="H623" s="2"/>
      <c r="I623" s="2"/>
      <c r="J623" s="1"/>
      <c r="K623" s="1"/>
    </row>
    <row r="624" spans="8:11" ht="13.5" x14ac:dyDescent="0.25">
      <c r="H624" s="2"/>
      <c r="I624" s="2"/>
      <c r="J624" s="1"/>
      <c r="K624" s="1"/>
    </row>
    <row r="625" spans="8:11" ht="13.5" x14ac:dyDescent="0.25">
      <c r="H625" s="2"/>
      <c r="I625" s="2"/>
      <c r="J625" s="1"/>
      <c r="K625" s="1"/>
    </row>
    <row r="626" spans="8:11" ht="13.5" x14ac:dyDescent="0.25">
      <c r="H626" s="2"/>
      <c r="I626" s="2"/>
      <c r="J626" s="1"/>
      <c r="K626" s="1"/>
    </row>
    <row r="627" spans="8:11" ht="13.5" x14ac:dyDescent="0.25">
      <c r="H627" s="2"/>
      <c r="I627" s="2"/>
      <c r="J627" s="1"/>
      <c r="K627" s="1"/>
    </row>
    <row r="628" spans="8:11" ht="13.5" x14ac:dyDescent="0.25">
      <c r="H628" s="2"/>
      <c r="I628" s="2"/>
      <c r="J628" s="1"/>
      <c r="K628" s="1"/>
    </row>
    <row r="629" spans="8:11" ht="13.5" x14ac:dyDescent="0.25">
      <c r="H629" s="2"/>
      <c r="I629" s="2"/>
      <c r="J629" s="1"/>
      <c r="K629" s="1"/>
    </row>
    <row r="630" spans="8:11" ht="13.5" x14ac:dyDescent="0.25">
      <c r="H630" s="2"/>
      <c r="I630" s="2"/>
      <c r="J630" s="1"/>
      <c r="K630" s="1"/>
    </row>
    <row r="631" spans="8:11" ht="13.5" x14ac:dyDescent="0.25">
      <c r="H631" s="2"/>
      <c r="I631" s="2"/>
      <c r="J631" s="1"/>
      <c r="K631" s="1"/>
    </row>
    <row r="632" spans="8:11" ht="13.5" x14ac:dyDescent="0.25">
      <c r="H632" s="2"/>
      <c r="I632" s="2"/>
      <c r="J632" s="1"/>
      <c r="K632" s="1"/>
    </row>
    <row r="633" spans="8:11" ht="13.5" x14ac:dyDescent="0.25">
      <c r="H633" s="2"/>
      <c r="I633" s="2"/>
      <c r="J633" s="1"/>
      <c r="K633" s="1"/>
    </row>
    <row r="634" spans="8:11" ht="13.5" x14ac:dyDescent="0.25">
      <c r="H634" s="2"/>
      <c r="I634" s="2"/>
      <c r="J634" s="1"/>
      <c r="K634" s="1"/>
    </row>
    <row r="635" spans="8:11" ht="13.5" x14ac:dyDescent="0.25">
      <c r="H635" s="2"/>
      <c r="I635" s="2"/>
      <c r="J635" s="1"/>
      <c r="K635" s="1"/>
    </row>
    <row r="636" spans="8:11" ht="13.5" x14ac:dyDescent="0.25">
      <c r="H636" s="2"/>
      <c r="I636" s="2"/>
      <c r="J636" s="1"/>
      <c r="K636" s="1"/>
    </row>
    <row r="637" spans="8:11" ht="13.5" x14ac:dyDescent="0.25">
      <c r="H637" s="2"/>
      <c r="I637" s="2"/>
      <c r="J637" s="1"/>
      <c r="K637" s="1"/>
    </row>
    <row r="638" spans="8:11" ht="13.5" x14ac:dyDescent="0.25">
      <c r="H638" s="2"/>
      <c r="I638" s="2"/>
      <c r="J638" s="1"/>
      <c r="K638" s="1"/>
    </row>
    <row r="639" spans="8:11" ht="13.5" x14ac:dyDescent="0.25">
      <c r="H639" s="2"/>
      <c r="I639" s="2"/>
      <c r="J639" s="1"/>
      <c r="K639" s="1"/>
    </row>
    <row r="640" spans="8:11" ht="13.5" x14ac:dyDescent="0.25">
      <c r="H640" s="2"/>
      <c r="I640" s="2"/>
      <c r="J640" s="1"/>
      <c r="K640" s="1"/>
    </row>
    <row r="641" spans="8:11" ht="13.5" x14ac:dyDescent="0.25">
      <c r="H641" s="2"/>
      <c r="I641" s="2"/>
      <c r="J641" s="1"/>
      <c r="K641" s="1"/>
    </row>
    <row r="642" spans="8:11" ht="13.5" x14ac:dyDescent="0.25">
      <c r="H642" s="2"/>
      <c r="I642" s="2"/>
      <c r="J642" s="1"/>
      <c r="K642" s="1"/>
    </row>
    <row r="643" spans="8:11" ht="13.5" x14ac:dyDescent="0.25">
      <c r="H643" s="2"/>
      <c r="I643" s="2"/>
      <c r="J643" s="1"/>
      <c r="K643" s="1"/>
    </row>
    <row r="644" spans="8:11" ht="13.5" x14ac:dyDescent="0.25">
      <c r="H644" s="2"/>
      <c r="I644" s="2"/>
      <c r="J644" s="1"/>
      <c r="K644" s="1"/>
    </row>
    <row r="645" spans="8:11" ht="13.5" x14ac:dyDescent="0.25">
      <c r="H645" s="2"/>
      <c r="I645" s="2"/>
      <c r="J645" s="1"/>
      <c r="K645" s="1"/>
    </row>
    <row r="646" spans="8:11" ht="13.5" x14ac:dyDescent="0.25">
      <c r="H646" s="2"/>
      <c r="I646" s="2"/>
      <c r="J646" s="1"/>
      <c r="K646" s="1"/>
    </row>
    <row r="647" spans="8:11" ht="13.5" x14ac:dyDescent="0.25">
      <c r="H647" s="2"/>
      <c r="I647" s="2"/>
      <c r="J647" s="1"/>
      <c r="K647" s="1"/>
    </row>
    <row r="648" spans="8:11" ht="13.5" x14ac:dyDescent="0.25">
      <c r="H648" s="2"/>
      <c r="I648" s="2"/>
      <c r="J648" s="1"/>
      <c r="K648" s="1"/>
    </row>
    <row r="649" spans="8:11" ht="13.5" x14ac:dyDescent="0.25">
      <c r="H649" s="2"/>
      <c r="I649" s="2"/>
      <c r="J649" s="1"/>
      <c r="K649" s="1"/>
    </row>
    <row r="650" spans="8:11" ht="13.5" x14ac:dyDescent="0.25">
      <c r="H650" s="2"/>
      <c r="I650" s="2"/>
      <c r="J650" s="1"/>
      <c r="K650" s="1"/>
    </row>
    <row r="651" spans="8:11" ht="13.5" x14ac:dyDescent="0.25">
      <c r="H651" s="2"/>
      <c r="I651" s="2"/>
      <c r="J651" s="1"/>
      <c r="K651" s="1"/>
    </row>
    <row r="652" spans="8:11" ht="13.5" x14ac:dyDescent="0.25">
      <c r="H652" s="2"/>
      <c r="I652" s="2"/>
      <c r="J652" s="1"/>
      <c r="K652" s="1"/>
    </row>
    <row r="653" spans="8:11" ht="13.5" x14ac:dyDescent="0.25">
      <c r="H653" s="2"/>
      <c r="I653" s="2"/>
      <c r="J653" s="1"/>
      <c r="K653" s="1"/>
    </row>
    <row r="654" spans="8:11" ht="13.5" x14ac:dyDescent="0.25">
      <c r="H654" s="2"/>
      <c r="I654" s="2"/>
      <c r="J654" s="1"/>
      <c r="K654" s="1"/>
    </row>
    <row r="655" spans="8:11" ht="13.5" x14ac:dyDescent="0.25">
      <c r="H655" s="2"/>
      <c r="I655" s="2"/>
      <c r="J655" s="1"/>
      <c r="K655" s="1"/>
    </row>
    <row r="656" spans="8:11" ht="13.5" x14ac:dyDescent="0.25">
      <c r="H656" s="2"/>
      <c r="I656" s="2"/>
      <c r="J656" s="1"/>
      <c r="K656" s="1"/>
    </row>
    <row r="657" spans="8:11" ht="13.5" x14ac:dyDescent="0.25">
      <c r="H657" s="2"/>
      <c r="I657" s="2"/>
      <c r="J657" s="1"/>
      <c r="K657" s="1"/>
    </row>
    <row r="658" spans="8:11" ht="13.5" x14ac:dyDescent="0.25">
      <c r="H658" s="2"/>
      <c r="I658" s="2"/>
      <c r="J658" s="1"/>
      <c r="K658" s="1"/>
    </row>
    <row r="659" spans="8:11" ht="13.5" x14ac:dyDescent="0.25">
      <c r="H659" s="2"/>
      <c r="I659" s="2"/>
      <c r="J659" s="1"/>
      <c r="K659" s="1"/>
    </row>
    <row r="660" spans="8:11" ht="13.5" x14ac:dyDescent="0.25">
      <c r="H660" s="2"/>
      <c r="I660" s="2"/>
      <c r="J660" s="1"/>
      <c r="K660" s="1"/>
    </row>
    <row r="661" spans="8:11" ht="13.5" x14ac:dyDescent="0.25">
      <c r="H661" s="2"/>
      <c r="I661" s="2"/>
      <c r="J661" s="1"/>
      <c r="K661" s="1"/>
    </row>
    <row r="662" spans="8:11" ht="13.5" x14ac:dyDescent="0.25">
      <c r="H662" s="2"/>
      <c r="I662" s="2"/>
      <c r="J662" s="1"/>
      <c r="K662" s="1"/>
    </row>
    <row r="663" spans="8:11" ht="13.5" x14ac:dyDescent="0.25">
      <c r="H663" s="2"/>
      <c r="I663" s="2"/>
      <c r="J663" s="1"/>
      <c r="K663" s="1"/>
    </row>
    <row r="664" spans="8:11" ht="13.5" x14ac:dyDescent="0.25">
      <c r="H664" s="2"/>
      <c r="I664" s="2"/>
      <c r="J664" s="1"/>
      <c r="K664" s="1"/>
    </row>
    <row r="665" spans="8:11" ht="13.5" x14ac:dyDescent="0.25">
      <c r="H665" s="2"/>
      <c r="I665" s="2"/>
      <c r="J665" s="1"/>
      <c r="K665" s="1"/>
    </row>
    <row r="666" spans="8:11" ht="13.5" x14ac:dyDescent="0.25">
      <c r="H666" s="2"/>
      <c r="I666" s="2"/>
      <c r="J666" s="1"/>
      <c r="K666" s="1"/>
    </row>
    <row r="667" spans="8:11" ht="13.5" x14ac:dyDescent="0.25">
      <c r="H667" s="2"/>
      <c r="I667" s="2"/>
      <c r="J667" s="1"/>
      <c r="K667" s="1"/>
    </row>
    <row r="668" spans="8:11" ht="13.5" x14ac:dyDescent="0.25">
      <c r="H668" s="2"/>
      <c r="I668" s="2"/>
      <c r="J668" s="1"/>
      <c r="K668" s="1"/>
    </row>
    <row r="669" spans="8:11" ht="13.5" x14ac:dyDescent="0.25">
      <c r="H669" s="2"/>
      <c r="I669" s="2"/>
      <c r="J669" s="1"/>
      <c r="K669" s="1"/>
    </row>
    <row r="670" spans="8:11" ht="13.5" x14ac:dyDescent="0.25">
      <c r="H670" s="2"/>
      <c r="I670" s="2"/>
      <c r="J670" s="1"/>
      <c r="K670" s="1"/>
    </row>
    <row r="671" spans="8:11" ht="13.5" x14ac:dyDescent="0.25">
      <c r="H671" s="2"/>
      <c r="I671" s="2"/>
      <c r="J671" s="1"/>
      <c r="K671" s="1"/>
    </row>
    <row r="672" spans="8:11" ht="13.5" x14ac:dyDescent="0.25">
      <c r="H672" s="2"/>
      <c r="I672" s="2"/>
      <c r="J672" s="1"/>
      <c r="K672" s="1"/>
    </row>
    <row r="673" spans="8:11" ht="13.5" x14ac:dyDescent="0.25">
      <c r="H673" s="2"/>
      <c r="I673" s="2"/>
      <c r="J673" s="1"/>
      <c r="K673" s="1"/>
    </row>
    <row r="674" spans="8:11" ht="13.5" x14ac:dyDescent="0.25">
      <c r="H674" s="2"/>
      <c r="I674" s="2"/>
      <c r="J674" s="1"/>
      <c r="K674" s="1"/>
    </row>
    <row r="675" spans="8:11" ht="13.5" x14ac:dyDescent="0.25">
      <c r="H675" s="2"/>
      <c r="I675" s="2"/>
      <c r="J675" s="1"/>
      <c r="K675" s="1"/>
    </row>
    <row r="676" spans="8:11" ht="13.5" x14ac:dyDescent="0.25">
      <c r="H676" s="2"/>
      <c r="I676" s="2"/>
      <c r="J676" s="1"/>
      <c r="K676" s="1"/>
    </row>
    <row r="677" spans="8:11" ht="13.5" x14ac:dyDescent="0.25">
      <c r="H677" s="2"/>
      <c r="I677" s="2"/>
      <c r="J677" s="1"/>
      <c r="K677" s="1"/>
    </row>
    <row r="678" spans="8:11" ht="13.5" x14ac:dyDescent="0.25">
      <c r="H678" s="2"/>
      <c r="I678" s="2"/>
      <c r="J678" s="1"/>
      <c r="K678" s="1"/>
    </row>
    <row r="679" spans="8:11" ht="13.5" x14ac:dyDescent="0.25">
      <c r="H679" s="2"/>
      <c r="I679" s="2"/>
      <c r="J679" s="1"/>
      <c r="K679" s="1"/>
    </row>
    <row r="680" spans="8:11" ht="13.5" x14ac:dyDescent="0.25">
      <c r="H680" s="2"/>
      <c r="I680" s="2"/>
      <c r="J680" s="1"/>
      <c r="K680" s="1"/>
    </row>
    <row r="681" spans="8:11" ht="13.5" x14ac:dyDescent="0.25">
      <c r="H681" s="2"/>
      <c r="I681" s="2"/>
      <c r="J681" s="1"/>
      <c r="K681" s="1"/>
    </row>
    <row r="682" spans="8:11" ht="13.5" x14ac:dyDescent="0.25">
      <c r="H682" s="2"/>
      <c r="I682" s="2"/>
      <c r="J682" s="1"/>
      <c r="K682" s="1"/>
    </row>
    <row r="683" spans="8:11" ht="13.5" x14ac:dyDescent="0.25">
      <c r="H683" s="2"/>
      <c r="I683" s="2"/>
      <c r="J683" s="1"/>
      <c r="K683" s="1"/>
    </row>
    <row r="684" spans="8:11" ht="13.5" x14ac:dyDescent="0.25">
      <c r="H684" s="2"/>
      <c r="I684" s="2"/>
      <c r="J684" s="1"/>
      <c r="K684" s="1"/>
    </row>
    <row r="685" spans="8:11" ht="13.5" x14ac:dyDescent="0.25">
      <c r="H685" s="2"/>
      <c r="I685" s="2"/>
      <c r="J685" s="1"/>
      <c r="K685" s="1"/>
    </row>
    <row r="686" spans="8:11" ht="13.5" x14ac:dyDescent="0.25">
      <c r="H686" s="2"/>
      <c r="I686" s="2"/>
      <c r="J686" s="1"/>
      <c r="K686" s="1"/>
    </row>
    <row r="687" spans="8:11" ht="13.5" x14ac:dyDescent="0.25">
      <c r="H687" s="2"/>
      <c r="I687" s="2"/>
      <c r="J687" s="1"/>
      <c r="K687" s="1"/>
    </row>
    <row r="688" spans="8:11" ht="13.5" x14ac:dyDescent="0.25">
      <c r="H688" s="2"/>
      <c r="I688" s="2"/>
      <c r="J688" s="1"/>
      <c r="K688" s="1"/>
    </row>
    <row r="689" spans="8:11" ht="13.5" x14ac:dyDescent="0.25">
      <c r="H689" s="2"/>
      <c r="I689" s="2"/>
      <c r="J689" s="1"/>
      <c r="K689" s="1"/>
    </row>
    <row r="690" spans="8:11" ht="13.5" x14ac:dyDescent="0.25">
      <c r="H690" s="2"/>
      <c r="I690" s="2"/>
      <c r="J690" s="1"/>
      <c r="K690" s="1"/>
    </row>
    <row r="691" spans="8:11" ht="13.5" x14ac:dyDescent="0.25">
      <c r="H691" s="2"/>
      <c r="I691" s="2"/>
      <c r="J691" s="1"/>
      <c r="K691" s="1"/>
    </row>
    <row r="692" spans="8:11" ht="13.5" x14ac:dyDescent="0.25">
      <c r="H692" s="2"/>
      <c r="I692" s="2"/>
      <c r="J692" s="1"/>
      <c r="K692" s="1"/>
    </row>
    <row r="693" spans="8:11" ht="13.5" x14ac:dyDescent="0.25">
      <c r="H693" s="2"/>
      <c r="I693" s="2"/>
      <c r="J693" s="1"/>
      <c r="K693" s="1"/>
    </row>
    <row r="694" spans="8:11" ht="13.5" x14ac:dyDescent="0.25">
      <c r="H694" s="2"/>
      <c r="I694" s="2"/>
      <c r="J694" s="1"/>
      <c r="K694" s="1"/>
    </row>
    <row r="695" spans="8:11" ht="13.5" x14ac:dyDescent="0.25">
      <c r="H695" s="2"/>
      <c r="I695" s="2"/>
      <c r="J695" s="1"/>
      <c r="K695" s="1"/>
    </row>
    <row r="696" spans="8:11" ht="13.5" x14ac:dyDescent="0.25">
      <c r="H696" s="2"/>
      <c r="I696" s="2"/>
      <c r="J696" s="1"/>
      <c r="K696" s="1"/>
    </row>
    <row r="697" spans="8:11" ht="13.5" x14ac:dyDescent="0.25">
      <c r="H697" s="2"/>
      <c r="I697" s="2"/>
      <c r="J697" s="1"/>
      <c r="K697" s="1"/>
    </row>
    <row r="698" spans="8:11" ht="13.5" x14ac:dyDescent="0.25">
      <c r="H698" s="2"/>
      <c r="I698" s="2"/>
      <c r="J698" s="1"/>
      <c r="K698" s="1"/>
    </row>
    <row r="699" spans="8:11" ht="13.5" x14ac:dyDescent="0.25">
      <c r="H699" s="2"/>
      <c r="I699" s="2"/>
      <c r="J699" s="1"/>
      <c r="K699" s="1"/>
    </row>
    <row r="700" spans="8:11" ht="13.5" x14ac:dyDescent="0.25">
      <c r="H700" s="2"/>
      <c r="I700" s="2"/>
      <c r="J700" s="1"/>
      <c r="K700" s="1"/>
    </row>
    <row r="701" spans="8:11" ht="13.5" x14ac:dyDescent="0.25">
      <c r="H701" s="2"/>
      <c r="I701" s="2"/>
      <c r="J701" s="1"/>
      <c r="K701" s="1"/>
    </row>
    <row r="702" spans="8:11" ht="13.5" x14ac:dyDescent="0.25">
      <c r="H702" s="2"/>
      <c r="I702" s="2"/>
      <c r="J702" s="1"/>
      <c r="K702" s="1"/>
    </row>
    <row r="703" spans="8:11" ht="13.5" x14ac:dyDescent="0.25">
      <c r="H703" s="2"/>
      <c r="I703" s="2"/>
      <c r="J703" s="1"/>
      <c r="K703" s="1"/>
    </row>
    <row r="704" spans="8:11" ht="13.5" x14ac:dyDescent="0.25">
      <c r="H704" s="2"/>
      <c r="I704" s="2"/>
      <c r="J704" s="1"/>
      <c r="K704" s="1"/>
    </row>
    <row r="705" spans="8:11" ht="13.5" x14ac:dyDescent="0.25">
      <c r="H705" s="2"/>
      <c r="I705" s="2"/>
      <c r="J705" s="1"/>
      <c r="K705" s="1"/>
    </row>
    <row r="706" spans="8:11" ht="13.5" x14ac:dyDescent="0.25">
      <c r="H706" s="2"/>
      <c r="I706" s="2"/>
      <c r="J706" s="1"/>
      <c r="K706" s="1"/>
    </row>
    <row r="707" spans="8:11" ht="13.5" x14ac:dyDescent="0.25">
      <c r="H707" s="2"/>
      <c r="I707" s="2"/>
      <c r="J707" s="1"/>
      <c r="K707" s="1"/>
    </row>
    <row r="708" spans="8:11" ht="13.5" x14ac:dyDescent="0.25">
      <c r="H708" s="2"/>
      <c r="I708" s="2"/>
      <c r="J708" s="1"/>
      <c r="K708" s="1"/>
    </row>
    <row r="709" spans="8:11" ht="13.5" x14ac:dyDescent="0.25">
      <c r="H709" s="2"/>
      <c r="I709" s="2"/>
      <c r="J709" s="1"/>
      <c r="K709" s="1"/>
    </row>
    <row r="710" spans="8:11" ht="13.5" x14ac:dyDescent="0.25">
      <c r="H710" s="2"/>
      <c r="I710" s="2"/>
      <c r="J710" s="1"/>
      <c r="K710" s="1"/>
    </row>
    <row r="711" spans="8:11" ht="13.5" x14ac:dyDescent="0.25">
      <c r="H711" s="2"/>
      <c r="I711" s="2"/>
      <c r="J711" s="1"/>
      <c r="K711" s="1"/>
    </row>
    <row r="712" spans="8:11" ht="13.5" x14ac:dyDescent="0.25">
      <c r="H712" s="2"/>
      <c r="I712" s="2"/>
      <c r="J712" s="1"/>
      <c r="K712" s="1"/>
    </row>
    <row r="713" spans="8:11" ht="13.5" x14ac:dyDescent="0.25">
      <c r="H713" s="2"/>
      <c r="I713" s="2"/>
      <c r="J713" s="1"/>
      <c r="K713" s="1"/>
    </row>
    <row r="714" spans="8:11" ht="13.5" x14ac:dyDescent="0.25">
      <c r="H714" s="2"/>
      <c r="I714" s="2"/>
      <c r="J714" s="1"/>
      <c r="K714" s="1"/>
    </row>
    <row r="715" spans="8:11" ht="13.5" x14ac:dyDescent="0.25">
      <c r="H715" s="2"/>
      <c r="I715" s="2"/>
      <c r="J715" s="1"/>
      <c r="K715" s="1"/>
    </row>
    <row r="716" spans="8:11" ht="13.5" x14ac:dyDescent="0.25">
      <c r="H716" s="2"/>
      <c r="I716" s="2"/>
      <c r="J716" s="1"/>
      <c r="K716" s="1"/>
    </row>
    <row r="717" spans="8:11" ht="13.5" x14ac:dyDescent="0.25">
      <c r="H717" s="2"/>
      <c r="I717" s="2"/>
      <c r="J717" s="1"/>
      <c r="K717" s="1"/>
    </row>
    <row r="718" spans="8:11" ht="13.5" x14ac:dyDescent="0.25">
      <c r="H718" s="2"/>
      <c r="I718" s="2"/>
      <c r="J718" s="1"/>
      <c r="K718" s="1"/>
    </row>
    <row r="719" spans="8:11" ht="13.5" x14ac:dyDescent="0.25">
      <c r="H719" s="2"/>
      <c r="I719" s="2"/>
      <c r="J719" s="1"/>
      <c r="K719" s="1"/>
    </row>
    <row r="720" spans="8:11" ht="13.5" x14ac:dyDescent="0.25">
      <c r="H720" s="2"/>
      <c r="I720" s="2"/>
      <c r="J720" s="1"/>
      <c r="K720" s="1"/>
    </row>
    <row r="721" spans="8:11" ht="13.5" x14ac:dyDescent="0.25">
      <c r="H721" s="2"/>
      <c r="I721" s="2"/>
      <c r="J721" s="1"/>
      <c r="K721" s="1"/>
    </row>
    <row r="722" spans="8:11" ht="13.5" x14ac:dyDescent="0.25">
      <c r="H722" s="2"/>
      <c r="I722" s="2"/>
      <c r="J722" s="1"/>
      <c r="K722" s="1"/>
    </row>
    <row r="723" spans="8:11" ht="13.5" x14ac:dyDescent="0.25">
      <c r="H723" s="2"/>
      <c r="I723" s="2"/>
      <c r="J723" s="1"/>
      <c r="K723" s="1"/>
    </row>
    <row r="724" spans="8:11" ht="13.5" x14ac:dyDescent="0.25">
      <c r="H724" s="2"/>
      <c r="I724" s="2"/>
      <c r="J724" s="1"/>
      <c r="K724" s="1"/>
    </row>
    <row r="725" spans="8:11" ht="13.5" x14ac:dyDescent="0.25">
      <c r="H725" s="2"/>
      <c r="I725" s="2"/>
      <c r="J725" s="1"/>
      <c r="K725" s="1"/>
    </row>
    <row r="726" spans="8:11" ht="13.5" x14ac:dyDescent="0.25">
      <c r="H726" s="2"/>
      <c r="I726" s="2"/>
      <c r="J726" s="1"/>
      <c r="K726" s="1"/>
    </row>
    <row r="727" spans="8:11" ht="13.5" x14ac:dyDescent="0.25">
      <c r="H727" s="2"/>
      <c r="I727" s="2"/>
      <c r="J727" s="1"/>
      <c r="K727" s="1"/>
    </row>
    <row r="728" spans="8:11" ht="13.5" x14ac:dyDescent="0.25">
      <c r="H728" s="2"/>
      <c r="I728" s="2"/>
      <c r="J728" s="1"/>
      <c r="K728" s="1"/>
    </row>
    <row r="729" spans="8:11" ht="13.5" x14ac:dyDescent="0.25">
      <c r="H729" s="2"/>
      <c r="I729" s="2"/>
      <c r="J729" s="1"/>
      <c r="K729" s="1"/>
    </row>
    <row r="730" spans="8:11" ht="13.5" x14ac:dyDescent="0.25">
      <c r="H730" s="2"/>
      <c r="I730" s="2"/>
      <c r="J730" s="1"/>
      <c r="K730" s="1"/>
    </row>
    <row r="731" spans="8:11" ht="13.5" x14ac:dyDescent="0.25">
      <c r="H731" s="2"/>
      <c r="I731" s="2"/>
      <c r="J731" s="1"/>
      <c r="K731" s="1"/>
    </row>
    <row r="732" spans="8:11" ht="13.5" x14ac:dyDescent="0.25">
      <c r="H732" s="2"/>
      <c r="I732" s="2"/>
      <c r="J732" s="1"/>
      <c r="K732" s="1"/>
    </row>
    <row r="733" spans="8:11" ht="13.5" x14ac:dyDescent="0.25">
      <c r="H733" s="2"/>
      <c r="I733" s="2"/>
      <c r="J733" s="1"/>
      <c r="K733" s="1"/>
    </row>
    <row r="734" spans="8:11" ht="13.5" x14ac:dyDescent="0.25">
      <c r="H734" s="2"/>
      <c r="I734" s="2"/>
      <c r="J734" s="1"/>
      <c r="K734" s="1"/>
    </row>
    <row r="735" spans="8:11" ht="13.5" x14ac:dyDescent="0.25">
      <c r="H735" s="2"/>
      <c r="I735" s="2"/>
      <c r="J735" s="1"/>
      <c r="K735" s="1"/>
    </row>
    <row r="736" spans="8:11" ht="13.5" x14ac:dyDescent="0.25">
      <c r="H736" s="2"/>
      <c r="I736" s="2"/>
      <c r="J736" s="1"/>
      <c r="K736" s="1"/>
    </row>
    <row r="737" spans="8:11" ht="13.5" x14ac:dyDescent="0.25">
      <c r="H737" s="2"/>
      <c r="I737" s="2"/>
      <c r="J737" s="1"/>
      <c r="K737" s="1"/>
    </row>
    <row r="738" spans="8:11" ht="13.5" x14ac:dyDescent="0.25">
      <c r="H738" s="2"/>
      <c r="I738" s="2"/>
      <c r="J738" s="1"/>
      <c r="K738" s="1"/>
    </row>
    <row r="739" spans="8:11" ht="13.5" x14ac:dyDescent="0.25">
      <c r="H739" s="2"/>
      <c r="I739" s="2"/>
      <c r="J739" s="1"/>
      <c r="K739" s="1"/>
    </row>
    <row r="740" spans="8:11" ht="13.5" x14ac:dyDescent="0.25">
      <c r="H740" s="2"/>
      <c r="I740" s="2"/>
      <c r="J740" s="1"/>
      <c r="K740" s="1"/>
    </row>
    <row r="741" spans="8:11" ht="13.5" x14ac:dyDescent="0.25">
      <c r="H741" s="2"/>
      <c r="I741" s="2"/>
      <c r="J741" s="1"/>
      <c r="K741" s="1"/>
    </row>
    <row r="742" spans="8:11" ht="13.5" x14ac:dyDescent="0.25">
      <c r="H742" s="2"/>
      <c r="I742" s="2"/>
      <c r="J742" s="1"/>
      <c r="K742" s="1"/>
    </row>
    <row r="743" spans="8:11" ht="13.5" x14ac:dyDescent="0.25">
      <c r="H743" s="2"/>
      <c r="I743" s="2"/>
      <c r="J743" s="1"/>
      <c r="K743" s="1"/>
    </row>
    <row r="744" spans="8:11" ht="13.5" x14ac:dyDescent="0.25">
      <c r="H744" s="2"/>
      <c r="I744" s="2"/>
      <c r="J744" s="1"/>
      <c r="K744" s="1"/>
    </row>
    <row r="745" spans="8:11" ht="13.5" x14ac:dyDescent="0.25">
      <c r="H745" s="2"/>
      <c r="I745" s="2"/>
      <c r="J745" s="1"/>
      <c r="K745" s="1"/>
    </row>
    <row r="746" spans="8:11" ht="13.5" x14ac:dyDescent="0.25">
      <c r="H746" s="2"/>
      <c r="I746" s="2"/>
      <c r="J746" s="1"/>
      <c r="K746" s="1"/>
    </row>
    <row r="747" spans="8:11" ht="13.5" x14ac:dyDescent="0.25">
      <c r="H747" s="2"/>
      <c r="I747" s="2"/>
      <c r="J747" s="1"/>
      <c r="K747" s="1"/>
    </row>
    <row r="748" spans="8:11" ht="13.5" x14ac:dyDescent="0.25">
      <c r="H748" s="2"/>
      <c r="I748" s="2"/>
      <c r="J748" s="1"/>
      <c r="K748" s="1"/>
    </row>
    <row r="749" spans="8:11" ht="13.5" x14ac:dyDescent="0.25">
      <c r="H749" s="2"/>
      <c r="I749" s="2"/>
      <c r="J749" s="1"/>
      <c r="K749" s="1"/>
    </row>
    <row r="750" spans="8:11" ht="13.5" x14ac:dyDescent="0.25">
      <c r="H750" s="2"/>
      <c r="I750" s="2"/>
      <c r="J750" s="1"/>
      <c r="K750" s="1"/>
    </row>
    <row r="751" spans="8:11" ht="13.5" x14ac:dyDescent="0.25">
      <c r="H751" s="2"/>
      <c r="I751" s="2"/>
      <c r="J751" s="1"/>
      <c r="K751" s="1"/>
    </row>
    <row r="752" spans="8:11" ht="13.5" x14ac:dyDescent="0.25">
      <c r="H752" s="2"/>
      <c r="I752" s="2"/>
      <c r="J752" s="1"/>
      <c r="K752" s="1"/>
    </row>
    <row r="753" spans="8:11" ht="13.5" x14ac:dyDescent="0.25">
      <c r="H753" s="2"/>
      <c r="I753" s="2"/>
      <c r="J753" s="1"/>
      <c r="K753" s="1"/>
    </row>
    <row r="754" spans="8:11" ht="13.5" x14ac:dyDescent="0.25">
      <c r="H754" s="2"/>
      <c r="I754" s="2"/>
      <c r="J754" s="1"/>
      <c r="K754" s="1"/>
    </row>
    <row r="755" spans="8:11" ht="13.5" x14ac:dyDescent="0.25">
      <c r="H755" s="2"/>
      <c r="I755" s="2"/>
      <c r="J755" s="1"/>
      <c r="K755" s="1"/>
    </row>
    <row r="756" spans="8:11" ht="13.5" x14ac:dyDescent="0.25">
      <c r="H756" s="2"/>
      <c r="I756" s="2"/>
      <c r="J756" s="1"/>
      <c r="K756" s="1"/>
    </row>
    <row r="757" spans="8:11" ht="13.5" x14ac:dyDescent="0.25">
      <c r="H757" s="2"/>
      <c r="I757" s="2"/>
      <c r="J757" s="1"/>
      <c r="K757" s="1"/>
    </row>
    <row r="758" spans="8:11" ht="13.5" x14ac:dyDescent="0.25">
      <c r="H758" s="2"/>
      <c r="I758" s="2"/>
      <c r="J758" s="1"/>
      <c r="K758" s="1"/>
    </row>
    <row r="759" spans="8:11" ht="13.5" x14ac:dyDescent="0.25">
      <c r="H759" s="2"/>
      <c r="I759" s="2"/>
      <c r="J759" s="1"/>
      <c r="K759" s="1"/>
    </row>
    <row r="760" spans="8:11" ht="13.5" x14ac:dyDescent="0.25">
      <c r="H760" s="2"/>
      <c r="I760" s="2"/>
      <c r="J760" s="1"/>
      <c r="K760" s="1"/>
    </row>
    <row r="761" spans="8:11" ht="13.5" x14ac:dyDescent="0.25">
      <c r="H761" s="2"/>
      <c r="I761" s="2"/>
      <c r="J761" s="1"/>
      <c r="K761" s="1"/>
    </row>
    <row r="762" spans="8:11" ht="13.5" x14ac:dyDescent="0.25">
      <c r="H762" s="2"/>
      <c r="I762" s="2"/>
      <c r="J762" s="1"/>
      <c r="K762" s="1"/>
    </row>
    <row r="763" spans="8:11" ht="13.5" x14ac:dyDescent="0.25">
      <c r="H763" s="2"/>
      <c r="I763" s="2"/>
      <c r="J763" s="1"/>
      <c r="K763" s="1"/>
    </row>
    <row r="764" spans="8:11" ht="13.5" x14ac:dyDescent="0.25">
      <c r="H764" s="2"/>
      <c r="I764" s="2"/>
      <c r="J764" s="1"/>
      <c r="K764" s="1"/>
    </row>
    <row r="765" spans="8:11" ht="13.5" x14ac:dyDescent="0.25">
      <c r="H765" s="2"/>
      <c r="I765" s="2"/>
      <c r="J765" s="1"/>
      <c r="K765" s="1"/>
    </row>
    <row r="766" spans="8:11" ht="13.5" x14ac:dyDescent="0.25">
      <c r="H766" s="2"/>
      <c r="I766" s="2"/>
      <c r="J766" s="1"/>
      <c r="K766" s="1"/>
    </row>
    <row r="767" spans="8:11" ht="13.5" x14ac:dyDescent="0.25">
      <c r="H767" s="2"/>
      <c r="I767" s="2"/>
      <c r="J767" s="1"/>
      <c r="K767" s="1"/>
    </row>
    <row r="768" spans="8:11" ht="13.5" x14ac:dyDescent="0.25">
      <c r="H768" s="2"/>
      <c r="I768" s="2"/>
      <c r="J768" s="1"/>
      <c r="K768" s="1"/>
    </row>
    <row r="769" spans="8:11" ht="13.5" x14ac:dyDescent="0.25">
      <c r="H769" s="2"/>
      <c r="I769" s="2"/>
      <c r="J769" s="1"/>
      <c r="K769" s="1"/>
    </row>
    <row r="770" spans="8:11" ht="13.5" x14ac:dyDescent="0.25">
      <c r="H770" s="2"/>
      <c r="I770" s="2"/>
      <c r="J770" s="1"/>
      <c r="K770" s="1"/>
    </row>
    <row r="771" spans="8:11" ht="13.5" x14ac:dyDescent="0.25">
      <c r="H771" s="2"/>
      <c r="I771" s="2"/>
      <c r="J771" s="1"/>
      <c r="K771" s="1"/>
    </row>
    <row r="772" spans="8:11" ht="13.5" x14ac:dyDescent="0.25">
      <c r="H772" s="2"/>
      <c r="I772" s="2"/>
      <c r="J772" s="1"/>
      <c r="K772" s="1"/>
    </row>
    <row r="773" spans="8:11" ht="13.5" x14ac:dyDescent="0.25">
      <c r="H773" s="2"/>
      <c r="I773" s="2"/>
      <c r="J773" s="1"/>
      <c r="K773" s="1"/>
    </row>
    <row r="774" spans="8:11" ht="13.5" x14ac:dyDescent="0.25">
      <c r="H774" s="2"/>
      <c r="I774" s="2"/>
      <c r="J774" s="1"/>
      <c r="K774" s="1"/>
    </row>
    <row r="775" spans="8:11" ht="13.5" x14ac:dyDescent="0.25">
      <c r="H775" s="2"/>
      <c r="I775" s="2"/>
      <c r="J775" s="1"/>
      <c r="K775" s="1"/>
    </row>
    <row r="776" spans="8:11" ht="13.5" x14ac:dyDescent="0.25">
      <c r="H776" s="2"/>
      <c r="I776" s="2"/>
      <c r="J776" s="1"/>
      <c r="K776" s="1"/>
    </row>
    <row r="777" spans="8:11" ht="13.5" x14ac:dyDescent="0.25">
      <c r="H777" s="2"/>
      <c r="I777" s="2"/>
      <c r="J777" s="1"/>
      <c r="K777" s="1"/>
    </row>
    <row r="778" spans="8:11" ht="13.5" x14ac:dyDescent="0.25">
      <c r="H778" s="2"/>
      <c r="I778" s="2"/>
      <c r="J778" s="1"/>
      <c r="K778" s="1"/>
    </row>
    <row r="779" spans="8:11" ht="13.5" x14ac:dyDescent="0.25">
      <c r="H779" s="2"/>
      <c r="I779" s="2"/>
      <c r="J779" s="1"/>
      <c r="K779" s="1"/>
    </row>
    <row r="780" spans="8:11" ht="13.5" x14ac:dyDescent="0.25">
      <c r="H780" s="2"/>
      <c r="I780" s="2"/>
      <c r="J780" s="1"/>
      <c r="K780" s="1"/>
    </row>
    <row r="781" spans="8:11" ht="13.5" x14ac:dyDescent="0.25">
      <c r="H781" s="2"/>
      <c r="I781" s="2"/>
      <c r="J781" s="1"/>
      <c r="K781" s="1"/>
    </row>
    <row r="782" spans="8:11" ht="13.5" x14ac:dyDescent="0.25">
      <c r="H782" s="2"/>
      <c r="I782" s="2"/>
      <c r="J782" s="1"/>
      <c r="K782" s="1"/>
    </row>
    <row r="783" spans="8:11" ht="13.5" x14ac:dyDescent="0.25">
      <c r="H783" s="2"/>
      <c r="I783" s="2"/>
      <c r="J783" s="1"/>
      <c r="K783" s="1"/>
    </row>
    <row r="784" spans="8:11" ht="13.5" x14ac:dyDescent="0.25">
      <c r="H784" s="2"/>
      <c r="I784" s="2"/>
      <c r="J784" s="1"/>
      <c r="K784" s="1"/>
    </row>
    <row r="785" spans="8:11" ht="13.5" x14ac:dyDescent="0.25">
      <c r="H785" s="2"/>
      <c r="I785" s="2"/>
      <c r="J785" s="1"/>
      <c r="K785" s="1"/>
    </row>
    <row r="786" spans="8:11" ht="13.5" x14ac:dyDescent="0.25">
      <c r="H786" s="2"/>
      <c r="I786" s="2"/>
      <c r="J786" s="1"/>
      <c r="K786" s="1"/>
    </row>
    <row r="787" spans="8:11" ht="13.5" x14ac:dyDescent="0.25">
      <c r="H787" s="2"/>
      <c r="I787" s="2"/>
      <c r="J787" s="1"/>
      <c r="K787" s="1"/>
    </row>
    <row r="788" spans="8:11" ht="13.5" x14ac:dyDescent="0.25">
      <c r="H788" s="2"/>
      <c r="I788" s="2"/>
      <c r="J788" s="1"/>
      <c r="K788" s="1"/>
    </row>
    <row r="789" spans="8:11" ht="13.5" x14ac:dyDescent="0.25">
      <c r="H789" s="2"/>
      <c r="I789" s="2"/>
      <c r="J789" s="1"/>
      <c r="K789" s="1"/>
    </row>
    <row r="790" spans="8:11" ht="13.5" x14ac:dyDescent="0.25">
      <c r="H790" s="2"/>
      <c r="I790" s="2"/>
      <c r="J790" s="1"/>
      <c r="K790" s="1"/>
    </row>
    <row r="791" spans="8:11" ht="13.5" x14ac:dyDescent="0.25">
      <c r="H791" s="2"/>
      <c r="I791" s="2"/>
      <c r="J791" s="1"/>
      <c r="K791" s="1"/>
    </row>
    <row r="792" spans="8:11" ht="13.5" x14ac:dyDescent="0.25">
      <c r="H792" s="2"/>
      <c r="I792" s="2"/>
      <c r="J792" s="1"/>
      <c r="K792" s="1"/>
    </row>
    <row r="793" spans="8:11" ht="13.5" x14ac:dyDescent="0.25">
      <c r="H793" s="2"/>
      <c r="I793" s="2"/>
      <c r="J793" s="1"/>
      <c r="K793" s="1"/>
    </row>
    <row r="794" spans="8:11" ht="13.5" x14ac:dyDescent="0.25">
      <c r="H794" s="2"/>
      <c r="I794" s="2"/>
      <c r="J794" s="1"/>
      <c r="K794" s="1"/>
    </row>
    <row r="795" spans="8:11" ht="13.5" x14ac:dyDescent="0.25">
      <c r="H795" s="2"/>
      <c r="I795" s="2"/>
      <c r="J795" s="1"/>
      <c r="K795" s="1"/>
    </row>
    <row r="796" spans="8:11" ht="13.5" x14ac:dyDescent="0.25">
      <c r="H796" s="2"/>
      <c r="I796" s="2"/>
      <c r="J796" s="1"/>
      <c r="K796" s="1"/>
    </row>
    <row r="797" spans="8:11" ht="13.5" x14ac:dyDescent="0.25">
      <c r="H797" s="2"/>
      <c r="I797" s="2"/>
      <c r="J797" s="1"/>
      <c r="K797" s="1"/>
    </row>
    <row r="798" spans="8:11" ht="13.5" x14ac:dyDescent="0.25">
      <c r="H798" s="2"/>
      <c r="I798" s="2"/>
      <c r="J798" s="1"/>
      <c r="K798" s="1"/>
    </row>
    <row r="799" spans="8:11" ht="13.5" x14ac:dyDescent="0.25">
      <c r="H799" s="2"/>
      <c r="I799" s="2"/>
      <c r="J799" s="1"/>
      <c r="K799" s="1"/>
    </row>
    <row r="800" spans="8:11" ht="13.5" x14ac:dyDescent="0.25">
      <c r="H800" s="2"/>
      <c r="I800" s="2"/>
      <c r="J800" s="1"/>
      <c r="K800" s="1"/>
    </row>
    <row r="801" spans="8:11" ht="13.5" x14ac:dyDescent="0.25">
      <c r="H801" s="2"/>
      <c r="I801" s="2"/>
      <c r="J801" s="1"/>
      <c r="K801" s="1"/>
    </row>
    <row r="802" spans="8:11" ht="13.5" x14ac:dyDescent="0.25">
      <c r="H802" s="2"/>
      <c r="I802" s="2"/>
      <c r="J802" s="1"/>
      <c r="K802" s="1"/>
    </row>
    <row r="803" spans="8:11" ht="13.5" x14ac:dyDescent="0.25">
      <c r="H803" s="2"/>
      <c r="I803" s="2"/>
      <c r="J803" s="1"/>
      <c r="K803" s="1"/>
    </row>
    <row r="804" spans="8:11" ht="13.5" x14ac:dyDescent="0.25">
      <c r="H804" s="2"/>
      <c r="I804" s="2"/>
      <c r="J804" s="1"/>
      <c r="K804" s="1"/>
    </row>
    <row r="805" spans="8:11" ht="13.5" x14ac:dyDescent="0.25">
      <c r="H805" s="2"/>
      <c r="I805" s="2"/>
      <c r="J805" s="1"/>
      <c r="K805" s="1"/>
    </row>
    <row r="806" spans="8:11" ht="13.5" x14ac:dyDescent="0.25">
      <c r="H806" s="2"/>
      <c r="I806" s="2"/>
      <c r="J806" s="1"/>
      <c r="K806" s="1"/>
    </row>
    <row r="807" spans="8:11" ht="13.5" x14ac:dyDescent="0.25">
      <c r="H807" s="2"/>
      <c r="I807" s="2"/>
      <c r="J807" s="1"/>
      <c r="K807" s="1"/>
    </row>
    <row r="808" spans="8:11" ht="13.5" x14ac:dyDescent="0.25">
      <c r="H808" s="2"/>
      <c r="I808" s="2"/>
      <c r="J808" s="1"/>
      <c r="K808" s="1"/>
    </row>
    <row r="809" spans="8:11" ht="13.5" x14ac:dyDescent="0.25">
      <c r="H809" s="2"/>
      <c r="I809" s="2"/>
      <c r="J809" s="1"/>
      <c r="K809" s="1"/>
    </row>
    <row r="810" spans="8:11" ht="13.5" x14ac:dyDescent="0.25">
      <c r="H810" s="2"/>
      <c r="I810" s="2"/>
      <c r="J810" s="1"/>
      <c r="K810" s="1"/>
    </row>
    <row r="811" spans="8:11" ht="13.5" x14ac:dyDescent="0.25">
      <c r="H811" s="2"/>
      <c r="I811" s="2"/>
      <c r="J811" s="1"/>
      <c r="K811" s="1"/>
    </row>
    <row r="812" spans="8:11" ht="13.5" x14ac:dyDescent="0.25">
      <c r="H812" s="2"/>
      <c r="I812" s="2"/>
      <c r="J812" s="1"/>
      <c r="K812" s="1"/>
    </row>
    <row r="813" spans="8:11" ht="13.5" x14ac:dyDescent="0.25">
      <c r="H813" s="2"/>
      <c r="I813" s="2"/>
      <c r="J813" s="1"/>
      <c r="K813" s="1"/>
    </row>
    <row r="814" spans="8:11" ht="13.5" x14ac:dyDescent="0.25">
      <c r="H814" s="2"/>
      <c r="I814" s="2"/>
      <c r="J814" s="1"/>
      <c r="K814" s="1"/>
    </row>
    <row r="815" spans="8:11" ht="13.5" x14ac:dyDescent="0.25">
      <c r="H815" s="2"/>
      <c r="I815" s="2"/>
      <c r="J815" s="1"/>
      <c r="K815" s="1"/>
    </row>
    <row r="816" spans="8:11" ht="13.5" x14ac:dyDescent="0.25">
      <c r="H816" s="2"/>
      <c r="I816" s="2"/>
      <c r="J816" s="1"/>
      <c r="K816" s="1"/>
    </row>
    <row r="817" spans="8:11" ht="13.5" x14ac:dyDescent="0.25">
      <c r="H817" s="2"/>
      <c r="I817" s="2"/>
      <c r="J817" s="1"/>
      <c r="K817" s="1"/>
    </row>
    <row r="818" spans="8:11" ht="13.5" x14ac:dyDescent="0.25">
      <c r="H818" s="2"/>
      <c r="I818" s="2"/>
      <c r="J818" s="1"/>
      <c r="K818" s="1"/>
    </row>
    <row r="819" spans="8:11" ht="13.5" x14ac:dyDescent="0.25">
      <c r="H819" s="2"/>
      <c r="I819" s="2"/>
      <c r="J819" s="1"/>
      <c r="K819" s="1"/>
    </row>
    <row r="820" spans="8:11" ht="13.5" x14ac:dyDescent="0.25">
      <c r="H820" s="2"/>
      <c r="I820" s="2"/>
      <c r="J820" s="1"/>
      <c r="K820" s="1"/>
    </row>
    <row r="821" spans="8:11" ht="13.5" x14ac:dyDescent="0.25">
      <c r="H821" s="2"/>
      <c r="I821" s="2"/>
      <c r="J821" s="1"/>
      <c r="K821" s="1"/>
    </row>
    <row r="822" spans="8:11" ht="13.5" x14ac:dyDescent="0.25">
      <c r="H822" s="2"/>
      <c r="I822" s="2"/>
      <c r="J822" s="1"/>
      <c r="K822" s="1"/>
    </row>
    <row r="823" spans="8:11" ht="13.5" x14ac:dyDescent="0.25">
      <c r="H823" s="2"/>
      <c r="I823" s="2"/>
      <c r="J823" s="1"/>
      <c r="K823" s="1"/>
    </row>
    <row r="824" spans="8:11" ht="13.5" x14ac:dyDescent="0.25">
      <c r="H824" s="2"/>
      <c r="I824" s="2"/>
      <c r="J824" s="1"/>
      <c r="K824" s="1"/>
    </row>
    <row r="825" spans="8:11" ht="13.5" x14ac:dyDescent="0.25">
      <c r="H825" s="2"/>
      <c r="I825" s="2"/>
      <c r="J825" s="1"/>
      <c r="K825" s="1"/>
    </row>
    <row r="826" spans="8:11" ht="13.5" x14ac:dyDescent="0.25">
      <c r="H826" s="2"/>
      <c r="I826" s="2"/>
      <c r="J826" s="1"/>
      <c r="K826" s="1"/>
    </row>
    <row r="827" spans="8:11" ht="13.5" x14ac:dyDescent="0.25">
      <c r="H827" s="2"/>
      <c r="I827" s="2"/>
      <c r="J827" s="1"/>
      <c r="K827" s="1"/>
    </row>
    <row r="828" spans="8:11" ht="13.5" x14ac:dyDescent="0.25">
      <c r="H828" s="2"/>
      <c r="I828" s="2"/>
      <c r="J828" s="1"/>
      <c r="K828" s="1"/>
    </row>
    <row r="829" spans="8:11" ht="13.5" x14ac:dyDescent="0.25">
      <c r="H829" s="2"/>
      <c r="I829" s="2"/>
      <c r="J829" s="1"/>
      <c r="K829" s="1"/>
    </row>
    <row r="830" spans="8:11" ht="13.5" x14ac:dyDescent="0.25">
      <c r="H830" s="2"/>
      <c r="I830" s="2"/>
      <c r="J830" s="1"/>
      <c r="K830" s="1"/>
    </row>
    <row r="831" spans="8:11" ht="13.5" x14ac:dyDescent="0.25">
      <c r="H831" s="2"/>
      <c r="I831" s="2"/>
      <c r="J831" s="1"/>
      <c r="K831" s="1"/>
    </row>
    <row r="832" spans="8:11" ht="13.5" x14ac:dyDescent="0.25">
      <c r="H832" s="2"/>
      <c r="I832" s="2"/>
      <c r="J832" s="1"/>
      <c r="K832" s="1"/>
    </row>
    <row r="833" spans="8:11" ht="13.5" x14ac:dyDescent="0.25">
      <c r="H833" s="2"/>
      <c r="I833" s="2"/>
      <c r="J833" s="1"/>
      <c r="K833" s="1"/>
    </row>
    <row r="834" spans="8:11" ht="13.5" x14ac:dyDescent="0.25">
      <c r="H834" s="2"/>
      <c r="I834" s="2"/>
      <c r="J834" s="1"/>
      <c r="K834" s="1"/>
    </row>
    <row r="835" spans="8:11" ht="13.5" x14ac:dyDescent="0.25">
      <c r="H835" s="2"/>
      <c r="I835" s="2"/>
      <c r="J835" s="1"/>
      <c r="K835" s="1"/>
    </row>
    <row r="836" spans="8:11" ht="13.5" x14ac:dyDescent="0.25">
      <c r="H836" s="2"/>
      <c r="I836" s="2"/>
      <c r="J836" s="1"/>
      <c r="K836" s="1"/>
    </row>
    <row r="837" spans="8:11" ht="13.5" x14ac:dyDescent="0.25">
      <c r="H837" s="2"/>
      <c r="I837" s="2"/>
      <c r="J837" s="1"/>
      <c r="K837" s="1"/>
    </row>
    <row r="838" spans="8:11" ht="13.5" x14ac:dyDescent="0.25">
      <c r="H838" s="2"/>
      <c r="I838" s="2"/>
      <c r="J838" s="1"/>
      <c r="K838" s="1"/>
    </row>
    <row r="839" spans="8:11" ht="13.5" x14ac:dyDescent="0.25">
      <c r="H839" s="2"/>
      <c r="I839" s="2"/>
      <c r="J839" s="1"/>
      <c r="K839" s="1"/>
    </row>
    <row r="840" spans="8:11" ht="13.5" x14ac:dyDescent="0.25">
      <c r="H840" s="2"/>
      <c r="I840" s="2"/>
      <c r="J840" s="1"/>
      <c r="K840" s="1"/>
    </row>
    <row r="841" spans="8:11" ht="13.5" x14ac:dyDescent="0.25">
      <c r="H841" s="2"/>
      <c r="I841" s="2"/>
      <c r="J841" s="1"/>
      <c r="K841" s="1"/>
    </row>
    <row r="842" spans="8:11" ht="13.5" x14ac:dyDescent="0.25">
      <c r="H842" s="2"/>
      <c r="I842" s="2"/>
      <c r="J842" s="1"/>
      <c r="K842" s="1"/>
    </row>
    <row r="843" spans="8:11" ht="13.5" x14ac:dyDescent="0.25">
      <c r="H843" s="2"/>
      <c r="I843" s="2"/>
      <c r="J843" s="1"/>
      <c r="K843" s="1"/>
    </row>
    <row r="844" spans="8:11" ht="13.5" x14ac:dyDescent="0.25">
      <c r="H844" s="2"/>
      <c r="I844" s="2"/>
      <c r="J844" s="1"/>
      <c r="K844" s="1"/>
    </row>
    <row r="845" spans="8:11" ht="13.5" x14ac:dyDescent="0.25">
      <c r="H845" s="2"/>
      <c r="I845" s="2"/>
      <c r="J845" s="1"/>
      <c r="K845" s="1"/>
    </row>
    <row r="846" spans="8:11" ht="13.5" x14ac:dyDescent="0.25">
      <c r="H846" s="2"/>
      <c r="I846" s="2"/>
      <c r="J846" s="1"/>
      <c r="K846" s="1"/>
    </row>
    <row r="847" spans="8:11" ht="13.5" x14ac:dyDescent="0.25">
      <c r="H847" s="2"/>
      <c r="I847" s="2"/>
      <c r="J847" s="1"/>
      <c r="K847" s="1"/>
    </row>
    <row r="848" spans="8:11" ht="13.5" x14ac:dyDescent="0.25">
      <c r="H848" s="2"/>
      <c r="I848" s="2"/>
      <c r="J848" s="1"/>
      <c r="K848" s="1"/>
    </row>
    <row r="849" spans="8:11" ht="13.5" x14ac:dyDescent="0.25">
      <c r="H849" s="2"/>
      <c r="I849" s="2"/>
      <c r="J849" s="1"/>
      <c r="K849" s="1"/>
    </row>
    <row r="850" spans="8:11" ht="13.5" x14ac:dyDescent="0.25">
      <c r="H850" s="2"/>
      <c r="I850" s="2"/>
      <c r="J850" s="1"/>
      <c r="K850" s="1"/>
    </row>
    <row r="851" spans="8:11" ht="13.5" x14ac:dyDescent="0.25">
      <c r="H851" s="2"/>
      <c r="I851" s="2"/>
      <c r="J851" s="1"/>
      <c r="K851" s="1"/>
    </row>
    <row r="852" spans="8:11" ht="13.5" x14ac:dyDescent="0.25">
      <c r="H852" s="2"/>
      <c r="I852" s="2"/>
      <c r="J852" s="1"/>
      <c r="K852" s="1"/>
    </row>
    <row r="853" spans="8:11" ht="13.5" x14ac:dyDescent="0.25">
      <c r="H853" s="2"/>
      <c r="I853" s="2"/>
      <c r="J853" s="1"/>
      <c r="K853" s="1"/>
    </row>
    <row r="854" spans="8:11" ht="13.5" x14ac:dyDescent="0.25">
      <c r="H854" s="2"/>
      <c r="I854" s="2"/>
      <c r="J854" s="1"/>
      <c r="K854" s="1"/>
    </row>
    <row r="855" spans="8:11" ht="13.5" x14ac:dyDescent="0.25">
      <c r="H855" s="2"/>
      <c r="I855" s="2"/>
      <c r="J855" s="1"/>
      <c r="K855" s="1"/>
    </row>
    <row r="856" spans="8:11" ht="13.5" x14ac:dyDescent="0.25">
      <c r="H856" s="2"/>
      <c r="I856" s="2"/>
      <c r="J856" s="1"/>
      <c r="K856" s="1"/>
    </row>
    <row r="857" spans="8:11" ht="13.5" x14ac:dyDescent="0.25">
      <c r="H857" s="2"/>
      <c r="I857" s="2"/>
      <c r="J857" s="1"/>
      <c r="K857" s="1"/>
    </row>
    <row r="858" spans="8:11" ht="13.5" x14ac:dyDescent="0.25">
      <c r="H858" s="2"/>
      <c r="I858" s="2"/>
      <c r="J858" s="1"/>
      <c r="K858" s="1"/>
    </row>
    <row r="859" spans="8:11" ht="13.5" x14ac:dyDescent="0.25">
      <c r="H859" s="2"/>
      <c r="I859" s="2"/>
      <c r="J859" s="1"/>
      <c r="K859" s="1"/>
    </row>
    <row r="860" spans="8:11" ht="13.5" x14ac:dyDescent="0.25">
      <c r="H860" s="2"/>
      <c r="I860" s="2"/>
      <c r="J860" s="1"/>
      <c r="K860" s="1"/>
    </row>
    <row r="861" spans="8:11" ht="13.5" x14ac:dyDescent="0.25">
      <c r="H861" s="2"/>
      <c r="I861" s="2"/>
      <c r="J861" s="1"/>
      <c r="K861" s="1"/>
    </row>
    <row r="862" spans="8:11" ht="13.5" x14ac:dyDescent="0.25">
      <c r="H862" s="2"/>
      <c r="I862" s="2"/>
      <c r="J862" s="1"/>
      <c r="K862" s="1"/>
    </row>
    <row r="863" spans="8:11" ht="13.5" x14ac:dyDescent="0.25">
      <c r="H863" s="2"/>
      <c r="I863" s="2"/>
      <c r="J863" s="1"/>
      <c r="K863" s="1"/>
    </row>
    <row r="864" spans="8:11" ht="13.5" x14ac:dyDescent="0.25">
      <c r="H864" s="2"/>
      <c r="I864" s="2"/>
      <c r="J864" s="1"/>
      <c r="K864" s="1"/>
    </row>
    <row r="865" spans="8:11" ht="13.5" x14ac:dyDescent="0.25">
      <c r="H865" s="2"/>
      <c r="I865" s="2"/>
      <c r="J865" s="1"/>
      <c r="K865" s="1"/>
    </row>
    <row r="866" spans="8:11" ht="13.5" x14ac:dyDescent="0.25">
      <c r="H866" s="2"/>
      <c r="I866" s="2"/>
      <c r="J866" s="1"/>
      <c r="K866" s="1"/>
    </row>
    <row r="867" spans="8:11" ht="13.5" x14ac:dyDescent="0.25">
      <c r="H867" s="2"/>
      <c r="I867" s="2"/>
      <c r="J867" s="1"/>
      <c r="K867" s="1"/>
    </row>
    <row r="868" spans="8:11" ht="13.5" x14ac:dyDescent="0.25">
      <c r="H868" s="2"/>
      <c r="I868" s="2"/>
      <c r="J868" s="1"/>
      <c r="K868" s="1"/>
    </row>
    <row r="869" spans="8:11" ht="13.5" x14ac:dyDescent="0.25">
      <c r="H869" s="2"/>
      <c r="I869" s="2"/>
      <c r="J869" s="1"/>
      <c r="K869" s="1"/>
    </row>
    <row r="870" spans="8:11" ht="13.5" x14ac:dyDescent="0.25">
      <c r="H870" s="2"/>
      <c r="I870" s="2"/>
      <c r="J870" s="1"/>
      <c r="K870" s="1"/>
    </row>
    <row r="871" spans="8:11" ht="13.5" x14ac:dyDescent="0.25">
      <c r="H871" s="2"/>
      <c r="I871" s="2"/>
      <c r="J871" s="1"/>
      <c r="K871" s="1"/>
    </row>
    <row r="872" spans="8:11" ht="13.5" x14ac:dyDescent="0.25">
      <c r="H872" s="2"/>
      <c r="I872" s="2"/>
      <c r="J872" s="1"/>
      <c r="K872" s="1"/>
    </row>
    <row r="873" spans="8:11" ht="13.5" x14ac:dyDescent="0.25">
      <c r="H873" s="2"/>
      <c r="I873" s="2"/>
      <c r="J873" s="1"/>
      <c r="K873" s="1"/>
    </row>
    <row r="874" spans="8:11" ht="13.5" x14ac:dyDescent="0.25">
      <c r="H874" s="2"/>
      <c r="I874" s="2"/>
      <c r="J874" s="1"/>
      <c r="K874" s="1"/>
    </row>
    <row r="875" spans="8:11" ht="13.5" x14ac:dyDescent="0.25">
      <c r="H875" s="2"/>
      <c r="I875" s="2"/>
      <c r="J875" s="1"/>
      <c r="K875" s="1"/>
    </row>
    <row r="876" spans="8:11" ht="13.5" x14ac:dyDescent="0.25">
      <c r="H876" s="2"/>
      <c r="I876" s="2"/>
      <c r="J876" s="1"/>
      <c r="K876" s="1"/>
    </row>
    <row r="877" spans="8:11" ht="13.5" x14ac:dyDescent="0.25">
      <c r="H877" s="2"/>
      <c r="I877" s="2"/>
      <c r="J877" s="1"/>
      <c r="K877" s="1"/>
    </row>
    <row r="878" spans="8:11" ht="13.5" x14ac:dyDescent="0.25">
      <c r="H878" s="2"/>
      <c r="I878" s="2"/>
      <c r="J878" s="1"/>
      <c r="K878" s="1"/>
    </row>
    <row r="879" spans="8:11" ht="13.5" x14ac:dyDescent="0.25">
      <c r="H879" s="2"/>
      <c r="I879" s="2"/>
      <c r="J879" s="1"/>
      <c r="K879" s="1"/>
    </row>
    <row r="880" spans="8:11" ht="13.5" x14ac:dyDescent="0.25">
      <c r="H880" s="2"/>
      <c r="I880" s="2"/>
      <c r="J880" s="1"/>
      <c r="K880" s="1"/>
    </row>
    <row r="881" spans="8:11" ht="13.5" x14ac:dyDescent="0.25">
      <c r="H881" s="2"/>
      <c r="I881" s="2"/>
      <c r="J881" s="1"/>
      <c r="K881" s="1"/>
    </row>
    <row r="882" spans="8:11" ht="13.5" x14ac:dyDescent="0.25">
      <c r="H882" s="2"/>
      <c r="I882" s="2"/>
      <c r="J882" s="1"/>
      <c r="K882" s="1"/>
    </row>
    <row r="883" spans="8:11" ht="13.5" x14ac:dyDescent="0.25">
      <c r="H883" s="2"/>
      <c r="I883" s="2"/>
      <c r="J883" s="1"/>
      <c r="K883" s="1"/>
    </row>
    <row r="884" spans="8:11" ht="13.5" x14ac:dyDescent="0.25">
      <c r="H884" s="2"/>
      <c r="I884" s="2"/>
      <c r="J884" s="1"/>
      <c r="K884" s="1"/>
    </row>
    <row r="885" spans="8:11" ht="13.5" x14ac:dyDescent="0.25">
      <c r="H885" s="2"/>
      <c r="I885" s="2"/>
      <c r="J885" s="1"/>
      <c r="K885" s="1"/>
    </row>
    <row r="886" spans="8:11" ht="13.5" x14ac:dyDescent="0.25">
      <c r="H886" s="2"/>
      <c r="I886" s="2"/>
      <c r="J886" s="1"/>
      <c r="K886" s="1"/>
    </row>
    <row r="887" spans="8:11" ht="13.5" x14ac:dyDescent="0.25">
      <c r="H887" s="2"/>
      <c r="I887" s="2"/>
      <c r="J887" s="1"/>
      <c r="K887" s="1"/>
    </row>
    <row r="888" spans="8:11" ht="13.5" x14ac:dyDescent="0.25">
      <c r="H888" s="2"/>
      <c r="I888" s="2"/>
      <c r="J888" s="1"/>
      <c r="K888" s="1"/>
    </row>
    <row r="889" spans="8:11" ht="13.5" x14ac:dyDescent="0.25">
      <c r="H889" s="2"/>
      <c r="I889" s="2"/>
      <c r="J889" s="1"/>
      <c r="K889" s="1"/>
    </row>
    <row r="890" spans="8:11" ht="13.5" x14ac:dyDescent="0.25">
      <c r="H890" s="2"/>
      <c r="I890" s="2"/>
      <c r="J890" s="1"/>
      <c r="K890" s="1"/>
    </row>
    <row r="891" spans="8:11" ht="13.5" x14ac:dyDescent="0.25">
      <c r="H891" s="2"/>
      <c r="I891" s="2"/>
      <c r="J891" s="1"/>
      <c r="K891" s="1"/>
    </row>
    <row r="892" spans="8:11" ht="13.5" x14ac:dyDescent="0.25">
      <c r="H892" s="2"/>
      <c r="I892" s="2"/>
      <c r="J892" s="1"/>
      <c r="K892" s="1"/>
    </row>
    <row r="893" spans="8:11" ht="13.5" x14ac:dyDescent="0.25">
      <c r="H893" s="2"/>
      <c r="I893" s="2"/>
      <c r="J893" s="1"/>
      <c r="K893" s="1"/>
    </row>
    <row r="894" spans="8:11" ht="13.5" x14ac:dyDescent="0.25">
      <c r="H894" s="2"/>
      <c r="I894" s="2"/>
      <c r="J894" s="1"/>
      <c r="K894" s="1"/>
    </row>
    <row r="895" spans="8:11" ht="13.5" x14ac:dyDescent="0.25">
      <c r="H895" s="2"/>
      <c r="I895" s="2"/>
      <c r="J895" s="1"/>
      <c r="K895" s="1"/>
    </row>
    <row r="896" spans="8:11" ht="13.5" x14ac:dyDescent="0.25">
      <c r="H896" s="2"/>
      <c r="I896" s="2"/>
      <c r="J896" s="1"/>
      <c r="K896" s="1"/>
    </row>
    <row r="897" spans="8:11" ht="13.5" x14ac:dyDescent="0.25">
      <c r="H897" s="2"/>
      <c r="I897" s="2"/>
      <c r="J897" s="1"/>
      <c r="K897" s="1"/>
    </row>
    <row r="898" spans="8:11" ht="13.5" x14ac:dyDescent="0.25">
      <c r="H898" s="2"/>
      <c r="I898" s="2"/>
      <c r="J898" s="1"/>
      <c r="K898" s="1"/>
    </row>
    <row r="899" spans="8:11" ht="13.5" x14ac:dyDescent="0.25">
      <c r="H899" s="2"/>
      <c r="I899" s="2"/>
      <c r="J899" s="1"/>
      <c r="K899" s="1"/>
    </row>
    <row r="900" spans="8:11" ht="13.5" x14ac:dyDescent="0.25">
      <c r="H900" s="2"/>
      <c r="I900" s="2"/>
      <c r="J900" s="1"/>
      <c r="K900" s="1"/>
    </row>
    <row r="901" spans="8:11" ht="13.5" x14ac:dyDescent="0.25">
      <c r="H901" s="2"/>
      <c r="I901" s="2"/>
      <c r="J901" s="1"/>
      <c r="K901" s="1"/>
    </row>
    <row r="902" spans="8:11" ht="13.5" x14ac:dyDescent="0.25">
      <c r="H902" s="2"/>
      <c r="I902" s="2"/>
      <c r="J902" s="1"/>
      <c r="K902" s="1"/>
    </row>
    <row r="903" spans="8:11" ht="13.5" x14ac:dyDescent="0.25">
      <c r="H903" s="2"/>
      <c r="I903" s="2"/>
      <c r="J903" s="1"/>
      <c r="K903" s="1"/>
    </row>
    <row r="904" spans="8:11" ht="13.5" x14ac:dyDescent="0.25">
      <c r="H904" s="2"/>
      <c r="I904" s="2"/>
      <c r="J904" s="1"/>
      <c r="K904" s="1"/>
    </row>
    <row r="905" spans="8:11" ht="13.5" x14ac:dyDescent="0.25">
      <c r="H905" s="2"/>
      <c r="I905" s="2"/>
      <c r="J905" s="1"/>
      <c r="K905" s="1"/>
    </row>
    <row r="906" spans="8:11" ht="13.5" x14ac:dyDescent="0.25">
      <c r="H906" s="2"/>
      <c r="I906" s="2"/>
      <c r="J906" s="1"/>
      <c r="K906" s="1"/>
    </row>
    <row r="907" spans="8:11" ht="13.5" x14ac:dyDescent="0.25">
      <c r="H907" s="2"/>
      <c r="I907" s="2"/>
      <c r="J907" s="1"/>
      <c r="K907" s="1"/>
    </row>
    <row r="908" spans="8:11" ht="13.5" x14ac:dyDescent="0.25">
      <c r="H908" s="2"/>
      <c r="I908" s="2"/>
      <c r="J908" s="1"/>
      <c r="K908" s="1"/>
    </row>
    <row r="909" spans="8:11" ht="13.5" x14ac:dyDescent="0.25">
      <c r="H909" s="2"/>
      <c r="I909" s="2"/>
      <c r="J909" s="1"/>
      <c r="K909" s="1"/>
    </row>
    <row r="910" spans="8:11" ht="13.5" x14ac:dyDescent="0.25">
      <c r="H910" s="2"/>
      <c r="I910" s="2"/>
      <c r="J910" s="1"/>
      <c r="K910" s="1"/>
    </row>
    <row r="911" spans="8:11" ht="13.5" x14ac:dyDescent="0.25">
      <c r="H911" s="2"/>
      <c r="I911" s="2"/>
      <c r="J911" s="1"/>
      <c r="K911" s="1"/>
    </row>
    <row r="912" spans="8:11" ht="13.5" x14ac:dyDescent="0.25">
      <c r="H912" s="2"/>
      <c r="I912" s="2"/>
      <c r="J912" s="1"/>
      <c r="K912" s="1"/>
    </row>
    <row r="913" spans="8:11" ht="13.5" x14ac:dyDescent="0.25">
      <c r="H913" s="2"/>
      <c r="I913" s="2"/>
      <c r="J913" s="1"/>
      <c r="K913" s="1"/>
    </row>
    <row r="914" spans="8:11" ht="13.5" x14ac:dyDescent="0.25">
      <c r="H914" s="2"/>
      <c r="I914" s="2"/>
      <c r="J914" s="1"/>
      <c r="K914" s="1"/>
    </row>
    <row r="915" spans="8:11" ht="13.5" x14ac:dyDescent="0.25">
      <c r="H915" s="2"/>
      <c r="I915" s="2"/>
      <c r="J915" s="1"/>
      <c r="K915" s="1"/>
    </row>
    <row r="916" spans="8:11" ht="13.5" x14ac:dyDescent="0.25">
      <c r="H916" s="2"/>
      <c r="I916" s="2"/>
      <c r="J916" s="1"/>
      <c r="K916" s="1"/>
    </row>
    <row r="917" spans="8:11" ht="13.5" x14ac:dyDescent="0.25">
      <c r="H917" s="2"/>
      <c r="I917" s="2"/>
      <c r="J917" s="1"/>
      <c r="K917" s="1"/>
    </row>
    <row r="918" spans="8:11" ht="13.5" x14ac:dyDescent="0.25">
      <c r="H918" s="2"/>
      <c r="I918" s="2"/>
      <c r="J918" s="1"/>
      <c r="K918" s="1"/>
    </row>
    <row r="919" spans="8:11" ht="13.5" x14ac:dyDescent="0.25">
      <c r="H919" s="2"/>
      <c r="I919" s="2"/>
      <c r="J919" s="1"/>
      <c r="K919" s="1"/>
    </row>
    <row r="920" spans="8:11" ht="13.5" x14ac:dyDescent="0.25">
      <c r="H920" s="2"/>
      <c r="I920" s="2"/>
      <c r="J920" s="1"/>
      <c r="K920" s="1"/>
    </row>
    <row r="921" spans="8:11" ht="13.5" x14ac:dyDescent="0.25">
      <c r="H921" s="2"/>
      <c r="I921" s="2"/>
      <c r="J921" s="1"/>
      <c r="K921" s="1"/>
    </row>
    <row r="922" spans="8:11" ht="13.5" x14ac:dyDescent="0.25">
      <c r="H922" s="2"/>
      <c r="I922" s="2"/>
      <c r="J922" s="1"/>
      <c r="K922" s="1"/>
    </row>
    <row r="923" spans="8:11" ht="13.5" x14ac:dyDescent="0.25">
      <c r="H923" s="2"/>
      <c r="I923" s="2"/>
      <c r="J923" s="1"/>
      <c r="K923" s="1"/>
    </row>
    <row r="924" spans="8:11" ht="13.5" x14ac:dyDescent="0.25">
      <c r="H924" s="2"/>
      <c r="I924" s="2"/>
      <c r="J924" s="1"/>
      <c r="K924" s="1"/>
    </row>
    <row r="925" spans="8:11" ht="13.5" x14ac:dyDescent="0.25">
      <c r="H925" s="2"/>
      <c r="I925" s="2"/>
      <c r="J925" s="1"/>
      <c r="K925" s="1"/>
    </row>
    <row r="926" spans="8:11" ht="13.5" x14ac:dyDescent="0.25">
      <c r="H926" s="2"/>
      <c r="I926" s="2"/>
      <c r="J926" s="1"/>
      <c r="K926" s="1"/>
    </row>
    <row r="927" spans="8:11" ht="13.5" x14ac:dyDescent="0.25">
      <c r="H927" s="2"/>
      <c r="I927" s="2"/>
      <c r="J927" s="1"/>
      <c r="K927" s="1"/>
    </row>
    <row r="928" spans="8:11" ht="13.5" x14ac:dyDescent="0.25">
      <c r="H928" s="2"/>
      <c r="I928" s="2"/>
      <c r="J928" s="1"/>
      <c r="K928" s="1"/>
    </row>
    <row r="929" spans="8:11" ht="13.5" x14ac:dyDescent="0.25">
      <c r="H929" s="2"/>
      <c r="I929" s="2"/>
      <c r="J929" s="1"/>
      <c r="K929" s="1"/>
    </row>
    <row r="930" spans="8:11" ht="13.5" x14ac:dyDescent="0.25">
      <c r="H930" s="2"/>
      <c r="I930" s="2"/>
      <c r="J930" s="1"/>
      <c r="K930" s="1"/>
    </row>
    <row r="931" spans="8:11" ht="13.5" x14ac:dyDescent="0.25">
      <c r="H931" s="2"/>
      <c r="I931" s="2"/>
      <c r="J931" s="1"/>
      <c r="K931" s="1"/>
    </row>
    <row r="932" spans="8:11" ht="13.5" x14ac:dyDescent="0.25">
      <c r="H932" s="2"/>
      <c r="I932" s="2"/>
      <c r="J932" s="1"/>
      <c r="K932" s="1"/>
    </row>
    <row r="933" spans="8:11" ht="13.5" x14ac:dyDescent="0.25">
      <c r="H933" s="2"/>
      <c r="I933" s="2"/>
      <c r="J933" s="1"/>
      <c r="K933" s="1"/>
    </row>
    <row r="934" spans="8:11" ht="13.5" x14ac:dyDescent="0.25">
      <c r="H934" s="2"/>
      <c r="I934" s="2"/>
      <c r="J934" s="1"/>
      <c r="K934" s="1"/>
    </row>
    <row r="935" spans="8:11" ht="13.5" x14ac:dyDescent="0.25">
      <c r="H935" s="2"/>
      <c r="I935" s="2"/>
      <c r="J935" s="1"/>
      <c r="K935" s="1"/>
    </row>
    <row r="936" spans="8:11" ht="13.5" x14ac:dyDescent="0.25">
      <c r="H936" s="2"/>
      <c r="I936" s="2"/>
      <c r="J936" s="1"/>
      <c r="K936" s="1"/>
    </row>
    <row r="937" spans="8:11" ht="13.5" x14ac:dyDescent="0.25">
      <c r="H937" s="2"/>
      <c r="I937" s="2"/>
      <c r="J937" s="1"/>
      <c r="K937" s="1"/>
    </row>
    <row r="938" spans="8:11" ht="13.5" x14ac:dyDescent="0.25">
      <c r="H938" s="2"/>
      <c r="I938" s="2"/>
      <c r="J938" s="1"/>
      <c r="K938" s="1"/>
    </row>
    <row r="939" spans="8:11" ht="13.5" x14ac:dyDescent="0.25">
      <c r="H939" s="2"/>
      <c r="I939" s="2"/>
      <c r="J939" s="1"/>
      <c r="K939" s="1"/>
    </row>
    <row r="940" spans="8:11" ht="13.5" x14ac:dyDescent="0.25">
      <c r="H940" s="2"/>
      <c r="I940" s="2"/>
      <c r="J940" s="1"/>
      <c r="K940" s="1"/>
    </row>
    <row r="941" spans="8:11" ht="13.5" x14ac:dyDescent="0.25">
      <c r="H941" s="2"/>
      <c r="I941" s="2"/>
      <c r="J941" s="1"/>
      <c r="K941" s="1"/>
    </row>
    <row r="942" spans="8:11" ht="13.5" x14ac:dyDescent="0.25">
      <c r="H942" s="2"/>
      <c r="I942" s="2"/>
      <c r="J942" s="1"/>
      <c r="K942" s="1"/>
    </row>
    <row r="943" spans="8:11" ht="13.5" x14ac:dyDescent="0.25">
      <c r="H943" s="2"/>
      <c r="I943" s="2"/>
      <c r="J943" s="1"/>
      <c r="K943" s="1"/>
    </row>
    <row r="944" spans="8:11" ht="13.5" x14ac:dyDescent="0.25">
      <c r="H944" s="2"/>
      <c r="I944" s="2"/>
      <c r="J944" s="1"/>
      <c r="K944" s="1"/>
    </row>
    <row r="945" spans="8:11" ht="13.5" x14ac:dyDescent="0.25">
      <c r="H945" s="2"/>
      <c r="I945" s="2"/>
      <c r="J945" s="1"/>
      <c r="K945" s="1"/>
    </row>
    <row r="946" spans="8:11" ht="13.5" x14ac:dyDescent="0.25">
      <c r="H946" s="2"/>
      <c r="I946" s="2"/>
      <c r="J946" s="1"/>
      <c r="K946" s="1"/>
    </row>
    <row r="947" spans="8:11" ht="13.5" x14ac:dyDescent="0.25">
      <c r="H947" s="2"/>
      <c r="I947" s="2"/>
      <c r="J947" s="1"/>
      <c r="K947" s="1"/>
    </row>
    <row r="948" spans="8:11" ht="13.5" x14ac:dyDescent="0.25">
      <c r="H948" s="2"/>
      <c r="I948" s="2"/>
      <c r="J948" s="1"/>
      <c r="K948" s="1"/>
    </row>
    <row r="949" spans="8:11" ht="13.5" x14ac:dyDescent="0.25">
      <c r="H949" s="2"/>
      <c r="I949" s="2"/>
      <c r="J949" s="1"/>
      <c r="K949" s="1"/>
    </row>
    <row r="950" spans="8:11" ht="13.5" x14ac:dyDescent="0.25">
      <c r="H950" s="2"/>
      <c r="I950" s="2"/>
      <c r="J950" s="1"/>
      <c r="K950" s="1"/>
    </row>
    <row r="951" spans="8:11" ht="13.5" x14ac:dyDescent="0.25">
      <c r="H951" s="2"/>
      <c r="I951" s="2"/>
      <c r="J951" s="1"/>
      <c r="K951" s="1"/>
    </row>
    <row r="952" spans="8:11" ht="13.5" x14ac:dyDescent="0.25">
      <c r="H952" s="2"/>
      <c r="I952" s="2"/>
      <c r="J952" s="1"/>
      <c r="K952" s="1"/>
    </row>
    <row r="953" spans="8:11" ht="13.5" x14ac:dyDescent="0.25">
      <c r="H953" s="2"/>
      <c r="I953" s="2"/>
      <c r="J953" s="1"/>
      <c r="K953" s="1"/>
    </row>
    <row r="954" spans="8:11" ht="13.5" x14ac:dyDescent="0.25">
      <c r="H954" s="2"/>
      <c r="I954" s="2"/>
      <c r="J954" s="1"/>
      <c r="K954" s="1"/>
    </row>
    <row r="955" spans="8:11" ht="13.5" x14ac:dyDescent="0.25">
      <c r="H955" s="2"/>
      <c r="I955" s="2"/>
      <c r="J955" s="1"/>
      <c r="K955" s="1"/>
    </row>
    <row r="956" spans="8:11" ht="13.5" x14ac:dyDescent="0.25">
      <c r="H956" s="2"/>
      <c r="I956" s="2"/>
      <c r="J956" s="1"/>
      <c r="K956" s="1"/>
    </row>
    <row r="957" spans="8:11" ht="13.5" x14ac:dyDescent="0.25">
      <c r="H957" s="2"/>
      <c r="I957" s="2"/>
      <c r="J957" s="1"/>
      <c r="K957" s="1"/>
    </row>
    <row r="958" spans="8:11" ht="13.5" x14ac:dyDescent="0.25">
      <c r="H958" s="2"/>
      <c r="I958" s="2"/>
      <c r="J958" s="1"/>
      <c r="K958" s="1"/>
    </row>
    <row r="959" spans="8:11" ht="13.5" x14ac:dyDescent="0.25">
      <c r="H959" s="2"/>
      <c r="I959" s="2"/>
      <c r="J959" s="1"/>
      <c r="K959" s="1"/>
    </row>
    <row r="960" spans="8:11" ht="13.5" x14ac:dyDescent="0.25">
      <c r="H960" s="2"/>
      <c r="I960" s="2"/>
      <c r="J960" s="1"/>
      <c r="K960" s="1"/>
    </row>
    <row r="961" spans="8:11" ht="13.5" x14ac:dyDescent="0.25">
      <c r="H961" s="2"/>
      <c r="I961" s="2"/>
      <c r="J961" s="1"/>
      <c r="K961" s="1"/>
    </row>
    <row r="962" spans="8:11" ht="13.5" x14ac:dyDescent="0.25">
      <c r="H962" s="2"/>
      <c r="I962" s="2"/>
      <c r="J962" s="1"/>
      <c r="K962" s="1"/>
    </row>
    <row r="963" spans="8:11" ht="13.5" x14ac:dyDescent="0.25">
      <c r="H963" s="2"/>
      <c r="I963" s="2"/>
      <c r="J963" s="1"/>
      <c r="K963" s="1"/>
    </row>
    <row r="964" spans="8:11" ht="13.5" x14ac:dyDescent="0.25">
      <c r="H964" s="2"/>
      <c r="I964" s="2"/>
      <c r="J964" s="1"/>
      <c r="K964" s="1"/>
    </row>
    <row r="965" spans="8:11" ht="13.5" x14ac:dyDescent="0.25">
      <c r="H965" s="2"/>
      <c r="I965" s="2"/>
      <c r="J965" s="1"/>
      <c r="K965" s="1"/>
    </row>
    <row r="966" spans="8:11" ht="13.5" x14ac:dyDescent="0.25">
      <c r="H966" s="2"/>
      <c r="I966" s="2"/>
      <c r="J966" s="1"/>
      <c r="K966" s="1"/>
    </row>
    <row r="967" spans="8:11" ht="13.5" x14ac:dyDescent="0.25">
      <c r="H967" s="2"/>
      <c r="I967" s="2"/>
      <c r="J967" s="1"/>
      <c r="K967" s="1"/>
    </row>
    <row r="968" spans="8:11" ht="13.5" x14ac:dyDescent="0.25">
      <c r="H968" s="2"/>
      <c r="I968" s="2"/>
      <c r="J968" s="1"/>
      <c r="K968" s="1"/>
    </row>
    <row r="969" spans="8:11" ht="13.5" x14ac:dyDescent="0.25">
      <c r="H969" s="2"/>
      <c r="I969" s="2"/>
      <c r="J969" s="1"/>
      <c r="K969" s="1"/>
    </row>
    <row r="970" spans="8:11" ht="13.5" x14ac:dyDescent="0.25">
      <c r="H970" s="2"/>
      <c r="I970" s="2"/>
      <c r="J970" s="1"/>
      <c r="K970" s="1"/>
    </row>
    <row r="971" spans="8:11" ht="13.5" x14ac:dyDescent="0.25">
      <c r="H971" s="2"/>
      <c r="I971" s="2"/>
      <c r="J971" s="1"/>
      <c r="K971" s="1"/>
    </row>
    <row r="972" spans="8:11" ht="13.5" x14ac:dyDescent="0.25">
      <c r="H972" s="2"/>
      <c r="I972" s="2"/>
      <c r="J972" s="1"/>
      <c r="K972" s="1"/>
    </row>
    <row r="973" spans="8:11" ht="13.5" x14ac:dyDescent="0.25">
      <c r="H973" s="2"/>
      <c r="I973" s="2"/>
      <c r="J973" s="1"/>
      <c r="K973" s="1"/>
    </row>
    <row r="974" spans="8:11" ht="13.5" x14ac:dyDescent="0.25">
      <c r="H974" s="2"/>
      <c r="I974" s="2"/>
      <c r="J974" s="1"/>
      <c r="K974" s="1"/>
    </row>
    <row r="975" spans="8:11" ht="13.5" x14ac:dyDescent="0.25">
      <c r="H975" s="2"/>
      <c r="I975" s="2"/>
      <c r="J975" s="1"/>
      <c r="K975" s="1"/>
    </row>
    <row r="976" spans="8:11" ht="13.5" x14ac:dyDescent="0.25">
      <c r="H976" s="2"/>
      <c r="I976" s="2"/>
      <c r="J976" s="1"/>
      <c r="K976" s="1"/>
    </row>
    <row r="977" spans="8:11" ht="13.5" x14ac:dyDescent="0.25">
      <c r="H977" s="2"/>
      <c r="I977" s="2"/>
      <c r="J977" s="1"/>
      <c r="K977" s="1"/>
    </row>
    <row r="978" spans="8:11" ht="13.5" x14ac:dyDescent="0.25">
      <c r="H978" s="2"/>
      <c r="I978" s="2"/>
      <c r="J978" s="1"/>
      <c r="K978" s="1"/>
    </row>
    <row r="979" spans="8:11" ht="13.5" x14ac:dyDescent="0.25">
      <c r="H979" s="2"/>
      <c r="I979" s="2"/>
      <c r="J979" s="1"/>
      <c r="K979" s="1"/>
    </row>
    <row r="980" spans="8:11" ht="13.5" x14ac:dyDescent="0.25">
      <c r="H980" s="2"/>
      <c r="I980" s="2"/>
      <c r="J980" s="1"/>
      <c r="K980" s="1"/>
    </row>
    <row r="981" spans="8:11" ht="13.5" x14ac:dyDescent="0.25">
      <c r="H981" s="2"/>
      <c r="I981" s="2"/>
      <c r="J981" s="1"/>
      <c r="K981" s="1"/>
    </row>
    <row r="982" spans="8:11" ht="13.5" x14ac:dyDescent="0.25">
      <c r="H982" s="2"/>
      <c r="I982" s="2"/>
      <c r="J982" s="1"/>
      <c r="K982" s="1"/>
    </row>
    <row r="983" spans="8:11" ht="13.5" x14ac:dyDescent="0.25">
      <c r="H983" s="2"/>
      <c r="I983" s="2"/>
      <c r="J983" s="1"/>
      <c r="K983" s="1"/>
    </row>
    <row r="984" spans="8:11" ht="13.5" x14ac:dyDescent="0.25">
      <c r="H984" s="2"/>
      <c r="I984" s="2"/>
      <c r="J984" s="1"/>
      <c r="K984" s="1"/>
    </row>
    <row r="985" spans="8:11" ht="13.5" x14ac:dyDescent="0.25">
      <c r="H985" s="2"/>
      <c r="I985" s="2"/>
      <c r="J985" s="1"/>
      <c r="K985" s="1"/>
    </row>
    <row r="986" spans="8:11" ht="13.5" x14ac:dyDescent="0.25">
      <c r="H986" s="2"/>
      <c r="I986" s="2"/>
      <c r="J986" s="1"/>
      <c r="K986" s="1"/>
    </row>
    <row r="987" spans="8:11" ht="13.5" x14ac:dyDescent="0.25">
      <c r="H987" s="2"/>
      <c r="I987" s="2"/>
      <c r="J987" s="1"/>
      <c r="K987" s="1"/>
    </row>
    <row r="988" spans="8:11" ht="13.5" x14ac:dyDescent="0.25">
      <c r="H988" s="2"/>
      <c r="I988" s="2"/>
      <c r="J988" s="1"/>
      <c r="K988" s="1"/>
    </row>
    <row r="989" spans="8:11" ht="13.5" x14ac:dyDescent="0.25">
      <c r="H989" s="2"/>
      <c r="I989" s="2"/>
      <c r="J989" s="1"/>
      <c r="K989" s="1"/>
    </row>
    <row r="990" spans="8:11" ht="13.5" x14ac:dyDescent="0.25">
      <c r="H990" s="2"/>
      <c r="I990" s="2"/>
      <c r="J990" s="1"/>
      <c r="K990" s="1"/>
    </row>
    <row r="991" spans="8:11" ht="13.5" x14ac:dyDescent="0.25">
      <c r="H991" s="2"/>
      <c r="I991" s="2"/>
      <c r="J991" s="1"/>
      <c r="K991" s="1"/>
    </row>
    <row r="992" spans="8:11" ht="13.5" x14ac:dyDescent="0.25">
      <c r="H992" s="2"/>
      <c r="I992" s="2"/>
      <c r="J992" s="1"/>
      <c r="K992" s="1"/>
    </row>
    <row r="993" spans="8:13" ht="13.5" x14ac:dyDescent="0.25">
      <c r="H993" s="2"/>
      <c r="I993" s="2"/>
      <c r="J993" s="1"/>
      <c r="K993" s="1"/>
    </row>
    <row r="994" spans="8:13" ht="13.5" x14ac:dyDescent="0.25">
      <c r="H994" s="2"/>
      <c r="I994" s="2"/>
      <c r="J994" s="1"/>
      <c r="K994" s="1"/>
    </row>
    <row r="995" spans="8:13" ht="13.5" x14ac:dyDescent="0.25">
      <c r="H995" s="2"/>
      <c r="I995" s="2"/>
      <c r="J995" s="1"/>
      <c r="K995" s="1"/>
    </row>
    <row r="996" spans="8:13" ht="13.5" x14ac:dyDescent="0.25">
      <c r="H996" s="2"/>
      <c r="I996" s="2"/>
      <c r="J996" s="1"/>
      <c r="K996" s="1"/>
    </row>
    <row r="997" spans="8:13" ht="13.5" x14ac:dyDescent="0.25">
      <c r="H997" s="2"/>
      <c r="I997" s="2"/>
      <c r="J997" s="1"/>
      <c r="K997" s="1"/>
    </row>
    <row r="998" spans="8:13" ht="13.5" x14ac:dyDescent="0.25">
      <c r="H998" s="2"/>
      <c r="I998" s="2"/>
      <c r="J998" s="1"/>
      <c r="K998" s="1"/>
    </row>
    <row r="999" spans="8:13" ht="13.5" x14ac:dyDescent="0.25">
      <c r="H999" s="2"/>
      <c r="I999" s="2"/>
      <c r="J999" s="1"/>
      <c r="K999" s="1"/>
      <c r="L999" s="1"/>
      <c r="M999" s="1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(1)SlaterFOUS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Overla</dc:creator>
  <cp:lastModifiedBy>Stephanie Overla</cp:lastModifiedBy>
  <dcterms:created xsi:type="dcterms:W3CDTF">2025-08-10T03:24:08Z</dcterms:created>
  <dcterms:modified xsi:type="dcterms:W3CDTF">2025-08-10T03:24:27Z</dcterms:modified>
</cp:coreProperties>
</file>