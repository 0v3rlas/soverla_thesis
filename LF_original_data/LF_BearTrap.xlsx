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73B732BD-0DCC-49F6-BF2A-3B950190CF76}" xr6:coauthVersionLast="47" xr6:coauthVersionMax="47" xr10:uidLastSave="{00000000-0000-0000-0000-000000000000}"/>
  <bookViews>
    <workbookView xWindow="28680" yWindow="-120" windowWidth="29040" windowHeight="15720" xr2:uid="{9E167299-955C-4260-8F6F-DDF12DF3A1BE}"/>
  </bookViews>
  <sheets>
    <sheet name="(3)Bear TrapL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W2" i="1"/>
  <c r="X2" i="1"/>
  <c r="W3" i="1"/>
  <c r="V3" i="1" s="1"/>
  <c r="X3" i="1"/>
  <c r="AB3" i="1"/>
  <c r="W4" i="1"/>
  <c r="V4" i="1" s="1"/>
  <c r="X4" i="1"/>
  <c r="AB4" i="1"/>
  <c r="W5" i="1"/>
  <c r="V5" i="1" s="1"/>
  <c r="X5" i="1"/>
  <c r="AB5" i="1"/>
  <c r="W6" i="1"/>
  <c r="V6" i="1" s="1"/>
  <c r="X6" i="1"/>
  <c r="AB6" i="1"/>
  <c r="AC6" i="1" s="1"/>
  <c r="W7" i="1"/>
  <c r="V7" i="1" s="1"/>
  <c r="X7" i="1"/>
  <c r="AB7" i="1"/>
  <c r="W8" i="1"/>
  <c r="V8" i="1" s="1"/>
  <c r="X8" i="1"/>
  <c r="AB8" i="1"/>
  <c r="V9" i="1"/>
  <c r="W9" i="1"/>
  <c r="X9" i="1"/>
  <c r="AB9" i="1"/>
  <c r="AC9" i="1" s="1"/>
  <c r="W10" i="1"/>
  <c r="V10" i="1" s="1"/>
  <c r="X10" i="1"/>
  <c r="AB10" i="1"/>
  <c r="W11" i="1"/>
  <c r="V11" i="1" s="1"/>
  <c r="X11" i="1"/>
  <c r="AB11" i="1"/>
  <c r="V12" i="1"/>
  <c r="W12" i="1"/>
  <c r="X12" i="1"/>
  <c r="AB12" i="1"/>
  <c r="V13" i="1"/>
  <c r="W13" i="1"/>
  <c r="X13" i="1"/>
  <c r="AB13" i="1"/>
  <c r="W14" i="1"/>
  <c r="V14" i="1" s="1"/>
  <c r="X14" i="1"/>
  <c r="AB14" i="1"/>
  <c r="W15" i="1"/>
  <c r="V15" i="1" s="1"/>
  <c r="X15" i="1"/>
  <c r="AB15" i="1"/>
  <c r="W16" i="1"/>
  <c r="V16" i="1" s="1"/>
  <c r="X16" i="1"/>
  <c r="AB16" i="1"/>
  <c r="W17" i="1"/>
  <c r="V17" i="1" s="1"/>
  <c r="X17" i="1"/>
  <c r="AB17" i="1"/>
  <c r="AC17" i="1" s="1"/>
  <c r="W18" i="1"/>
  <c r="V18" i="1" s="1"/>
  <c r="X18" i="1"/>
  <c r="AB18" i="1"/>
  <c r="W19" i="1"/>
  <c r="V19" i="1" s="1"/>
  <c r="X19" i="1"/>
  <c r="AB19" i="1"/>
  <c r="V20" i="1"/>
  <c r="W20" i="1"/>
  <c r="X20" i="1"/>
  <c r="AB20" i="1"/>
  <c r="AC20" i="1" s="1"/>
  <c r="W21" i="1"/>
  <c r="V21" i="1" s="1"/>
  <c r="X21" i="1"/>
  <c r="AB21" i="1"/>
  <c r="W22" i="1"/>
  <c r="V22" i="1" s="1"/>
  <c r="X22" i="1"/>
  <c r="AB22" i="1"/>
  <c r="W23" i="1"/>
  <c r="V23" i="1" s="1"/>
  <c r="X23" i="1"/>
  <c r="AB23" i="1"/>
  <c r="V24" i="1"/>
  <c r="W24" i="1"/>
  <c r="X24" i="1"/>
  <c r="AB24" i="1"/>
  <c r="W25" i="1"/>
  <c r="V25" i="1" s="1"/>
  <c r="X25" i="1"/>
  <c r="AB25" i="1"/>
  <c r="W26" i="1"/>
  <c r="V26" i="1" s="1"/>
  <c r="X26" i="1"/>
  <c r="AB26" i="1"/>
  <c r="W27" i="1"/>
  <c r="V27" i="1" s="1"/>
  <c r="X27" i="1"/>
  <c r="AB27" i="1"/>
  <c r="W28" i="1"/>
  <c r="V28" i="1" s="1"/>
  <c r="X28" i="1"/>
  <c r="AB28" i="1"/>
  <c r="AC28" i="1" s="1"/>
  <c r="W29" i="1"/>
  <c r="V29" i="1" s="1"/>
  <c r="X29" i="1"/>
  <c r="AB29" i="1"/>
  <c r="W30" i="1"/>
  <c r="V30" i="1" s="1"/>
  <c r="X30" i="1"/>
  <c r="AB30" i="1"/>
  <c r="V31" i="1"/>
  <c r="W31" i="1"/>
  <c r="X31" i="1"/>
  <c r="AB31" i="1"/>
  <c r="AC31" i="1" s="1"/>
  <c r="W32" i="1"/>
  <c r="V32" i="1" s="1"/>
  <c r="X32" i="1"/>
  <c r="AB32" i="1"/>
  <c r="W33" i="1"/>
  <c r="V33" i="1" s="1"/>
  <c r="X33" i="1"/>
  <c r="AB33" i="1"/>
  <c r="W34" i="1"/>
  <c r="V34" i="1" s="1"/>
  <c r="X34" i="1"/>
  <c r="AB34" i="1"/>
  <c r="V35" i="1"/>
  <c r="W35" i="1"/>
  <c r="X35" i="1"/>
  <c r="AB35" i="1"/>
  <c r="W36" i="1"/>
  <c r="V36" i="1" s="1"/>
  <c r="X36" i="1"/>
  <c r="AB36" i="1"/>
  <c r="W37" i="1"/>
  <c r="V37" i="1" s="1"/>
  <c r="X37" i="1"/>
  <c r="AB37" i="1"/>
  <c r="W38" i="1"/>
  <c r="V38" i="1" s="1"/>
  <c r="X38" i="1"/>
  <c r="AB38" i="1"/>
  <c r="W39" i="1"/>
  <c r="V39" i="1" s="1"/>
  <c r="X39" i="1"/>
  <c r="AB39" i="1"/>
  <c r="AC39" i="1" s="1"/>
  <c r="W40" i="1"/>
  <c r="V40" i="1" s="1"/>
  <c r="X40" i="1"/>
  <c r="AB40" i="1"/>
  <c r="AC2" i="1" s="1"/>
  <c r="AD2" i="1" s="1"/>
  <c r="V41" i="1"/>
  <c r="V42" i="1"/>
  <c r="AB42" i="1"/>
  <c r="AC13" i="1" s="1"/>
  <c r="V43" i="1"/>
  <c r="V44" i="1"/>
  <c r="V45" i="1"/>
  <c r="V46" i="1"/>
  <c r="V47" i="1"/>
  <c r="V48" i="1"/>
  <c r="V49" i="1"/>
  <c r="V50" i="1"/>
  <c r="V51" i="1"/>
  <c r="V52" i="1"/>
  <c r="AC5" i="1" l="1"/>
  <c r="AC23" i="1"/>
  <c r="AC38" i="1"/>
  <c r="AC27" i="1"/>
  <c r="AC34" i="1"/>
  <c r="AC37" i="1"/>
  <c r="AC26" i="1"/>
  <c r="AC4" i="1"/>
  <c r="AC33" i="1"/>
  <c r="AC22" i="1"/>
  <c r="AC36" i="1"/>
  <c r="AC25" i="1"/>
  <c r="AC14" i="1"/>
  <c r="AC3" i="1"/>
  <c r="AD3" i="1" s="1"/>
  <c r="AC32" i="1"/>
  <c r="AC21" i="1"/>
  <c r="AC10" i="1"/>
  <c r="AC18" i="1"/>
  <c r="AC30" i="1"/>
  <c r="AC19" i="1"/>
  <c r="AC8" i="1"/>
  <c r="AC11" i="1"/>
  <c r="AC16" i="1"/>
  <c r="AC12" i="1"/>
  <c r="AC15" i="1"/>
  <c r="AC40" i="1"/>
  <c r="AC29" i="1"/>
  <c r="AC7" i="1"/>
  <c r="AC35" i="1"/>
  <c r="AC24" i="1"/>
  <c r="AD4" i="1" l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</calcChain>
</file>

<file path=xl/sharedStrings.xml><?xml version="1.0" encoding="utf-8"?>
<sst xmlns="http://schemas.openxmlformats.org/spreadsheetml/2006/main" count="33" uniqueCount="32">
  <si>
    <t>same year</t>
  </si>
  <si>
    <t>As</t>
  </si>
  <si>
    <t>Ls</t>
  </si>
  <si>
    <t>ScaledSumCPD</t>
  </si>
  <si>
    <t>ScaledCPD</t>
  </si>
  <si>
    <t>Cost per acre per day</t>
  </si>
  <si>
    <t>Real Cost (Adjusted for Inflation)</t>
  </si>
  <si>
    <t>Best cost</t>
  </si>
  <si>
    <t>Best acreage</t>
  </si>
  <si>
    <t>Ls_Growth</t>
  </si>
  <si>
    <t>Growth</t>
  </si>
  <si>
    <t>IR infrared data - daily acres</t>
  </si>
  <si>
    <t>Prog_20220528</t>
  </si>
  <si>
    <t>Prog_20220527</t>
  </si>
  <si>
    <t>Prog_20220526</t>
  </si>
  <si>
    <t>Prog_20220525</t>
  </si>
  <si>
    <t>Prog_20220524</t>
  </si>
  <si>
    <t>Prog_20220523</t>
  </si>
  <si>
    <t>Prog_20220522</t>
  </si>
  <si>
    <t>Prog_20220521</t>
  </si>
  <si>
    <t>Prog_20220520</t>
  </si>
  <si>
    <t>Prog_20220519</t>
  </si>
  <si>
    <t>Prog_20220518</t>
  </si>
  <si>
    <t>Prog_20220517</t>
  </si>
  <si>
    <t>Prog_20220516</t>
  </si>
  <si>
    <t>Prog_20220515 progression map &amp; date</t>
  </si>
  <si>
    <t>IMSR cost</t>
  </si>
  <si>
    <t>IMSR daily acres</t>
  </si>
  <si>
    <t>ICS209 Cost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</si>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</sst>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2" fillId="4" borderId="0" xfId="0" applyNumberFormat="1" applyFont="1" applyFill="1"/>
    <xf numFmtId="0" fontId="2" fillId="5" borderId="0" xfId="0" applyFont="1" applyFill="1"/>
    <xf numFmtId="164" fontId="2" fillId="0" borderId="0" xfId="0" applyNumberFormat="1" applyFont="1"/>
    <xf numFmtId="164" fontId="2" fillId="4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right" wrapText="1"/>
    </xf>
    <xf numFmtId="0" fontId="1" fillId="0" borderId="0" xfId="0" applyFont="1"/>
    <xf numFmtId="164" fontId="2" fillId="3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2" fillId="0" borderId="0" xfId="0" applyFont="1"/>
    <xf numFmtId="0" fontId="2" fillId="6" borderId="1" xfId="0" applyFont="1" applyFill="1" applyBorder="1" applyAlignment="1">
      <alignment horizontal="right" wrapText="1"/>
    </xf>
    <xf numFmtId="0" fontId="1" fillId="6" borderId="0" xfId="0" applyFont="1" applyFill="1"/>
    <xf numFmtId="164" fontId="2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4" fontId="2" fillId="6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9540-DB53-45C3-A672-832A6B2153BD}">
  <dimension ref="A1:AG1001"/>
  <sheetViews>
    <sheetView tabSelected="1" topLeftCell="A11" workbookViewId="0">
      <pane xSplit="2" topLeftCell="L1" activePane="topRight" state="frozen"/>
      <selection pane="topRight" activeCell="Z2" sqref="Z2:AB40"/>
    </sheetView>
  </sheetViews>
  <sheetFormatPr defaultColWidth="12.5703125" defaultRowHeight="15" customHeight="1" x14ac:dyDescent="0.25"/>
  <cols>
    <col min="1" max="1" width="11.140625" customWidth="1"/>
    <col min="2" max="3" width="8.5703125" customWidth="1"/>
    <col min="4" max="4" width="12" customWidth="1"/>
    <col min="5" max="5" width="8.5703125" customWidth="1"/>
    <col min="6" max="6" width="12.5703125" customWidth="1"/>
    <col min="7" max="7" width="11.7109375" customWidth="1"/>
    <col min="8" max="12" width="10.42578125" customWidth="1"/>
    <col min="13" max="14" width="8.5703125" customWidth="1"/>
    <col min="15" max="17" width="12" customWidth="1"/>
    <col min="18" max="21" width="8.5703125" customWidth="1"/>
    <col min="22" max="24" width="10.85546875" customWidth="1"/>
    <col min="25" max="25" width="8.5703125" customWidth="1"/>
    <col min="26" max="26" width="15.5703125" customWidth="1"/>
    <col min="27" max="27" width="12" customWidth="1"/>
    <col min="28" max="28" width="8.5703125" customWidth="1"/>
    <col min="29" max="29" width="12" customWidth="1"/>
    <col min="30" max="30" width="12.42578125" customWidth="1"/>
    <col min="31" max="33" width="8.5703125" customWidth="1"/>
  </cols>
  <sheetData>
    <row r="1" spans="1:33" ht="50.25" customHeight="1" thickBot="1" x14ac:dyDescent="0.3">
      <c r="A1" s="12" t="s">
        <v>31</v>
      </c>
      <c r="B1" s="12" t="s">
        <v>30</v>
      </c>
      <c r="C1" s="12" t="s">
        <v>29</v>
      </c>
      <c r="D1" s="13" t="s">
        <v>28</v>
      </c>
      <c r="E1" s="12" t="s">
        <v>27</v>
      </c>
      <c r="F1" s="13" t="s">
        <v>26</v>
      </c>
      <c r="G1" s="12" t="s">
        <v>25</v>
      </c>
      <c r="H1" s="12" t="s">
        <v>24</v>
      </c>
      <c r="I1" s="12" t="s">
        <v>23</v>
      </c>
      <c r="J1" s="12" t="s">
        <v>22</v>
      </c>
      <c r="K1" s="12" t="s">
        <v>21</v>
      </c>
      <c r="L1" s="12" t="s">
        <v>20</v>
      </c>
      <c r="M1" s="12" t="s">
        <v>19</v>
      </c>
      <c r="N1" s="12" t="s">
        <v>18</v>
      </c>
      <c r="O1" s="12" t="s">
        <v>17</v>
      </c>
      <c r="P1" s="12" t="s">
        <v>16</v>
      </c>
      <c r="Q1" s="12" t="s">
        <v>15</v>
      </c>
      <c r="R1" s="12" t="s">
        <v>14</v>
      </c>
      <c r="S1" s="12" t="s">
        <v>13</v>
      </c>
      <c r="T1" s="12" t="s">
        <v>12</v>
      </c>
      <c r="U1" s="12" t="s">
        <v>11</v>
      </c>
      <c r="V1" s="11" t="s">
        <v>1</v>
      </c>
      <c r="W1" s="11" t="s">
        <v>10</v>
      </c>
      <c r="X1" s="11" t="s">
        <v>9</v>
      </c>
      <c r="Y1" s="10" t="s">
        <v>8</v>
      </c>
      <c r="Z1" s="10" t="s">
        <v>7</v>
      </c>
      <c r="AA1" s="6" t="s">
        <v>6</v>
      </c>
      <c r="AB1" s="27" t="s">
        <v>5</v>
      </c>
      <c r="AC1" s="18" t="s">
        <v>4</v>
      </c>
      <c r="AD1" s="18" t="s">
        <v>3</v>
      </c>
      <c r="AE1" s="12" t="s">
        <v>2</v>
      </c>
      <c r="AF1" s="12"/>
      <c r="AG1" s="12" t="s">
        <v>1</v>
      </c>
    </row>
    <row r="2" spans="1:33" ht="14.25" customHeight="1" thickBot="1" x14ac:dyDescent="0.3">
      <c r="A2" s="14">
        <v>44682</v>
      </c>
      <c r="B2" s="7">
        <v>1</v>
      </c>
      <c r="C2" s="12"/>
      <c r="D2" s="13"/>
      <c r="E2" s="12"/>
      <c r="F2" s="13"/>
      <c r="G2" s="12">
        <v>1097</v>
      </c>
      <c r="H2" s="12">
        <v>1097</v>
      </c>
      <c r="I2" s="12">
        <v>1097</v>
      </c>
      <c r="J2" s="12">
        <v>1097</v>
      </c>
      <c r="K2" s="12">
        <v>1097</v>
      </c>
      <c r="L2" s="12">
        <v>1097</v>
      </c>
      <c r="M2" s="12"/>
      <c r="N2" s="12">
        <v>1097</v>
      </c>
      <c r="O2" s="12">
        <v>1097</v>
      </c>
      <c r="P2" s="12">
        <v>1097</v>
      </c>
      <c r="Q2" s="12">
        <v>1097</v>
      </c>
      <c r="R2" s="12">
        <v>1097</v>
      </c>
      <c r="S2" s="12">
        <v>1097</v>
      </c>
      <c r="T2" s="12">
        <v>1097</v>
      </c>
      <c r="U2" s="12"/>
      <c r="V2" s="11">
        <f>39/$Y$40*(W2)</f>
        <v>1.1192413342053631</v>
      </c>
      <c r="W2" s="11">
        <f>Y2</f>
        <v>1097</v>
      </c>
      <c r="X2" s="11">
        <f>$B$29/SQRT($Y$29)*(SQRT(Y2)-SQRT(0))</f>
        <v>4.7433765048858065</v>
      </c>
      <c r="Y2" s="10">
        <v>1097</v>
      </c>
      <c r="Z2" s="9"/>
      <c r="AA2" s="6" t="s">
        <v>0</v>
      </c>
      <c r="AB2" s="8">
        <v>0</v>
      </c>
      <c r="AC2" s="18">
        <f>AB2/AB$40</f>
        <v>0</v>
      </c>
      <c r="AD2" s="18">
        <f>AC2</f>
        <v>0</v>
      </c>
      <c r="AE2" s="7">
        <v>0</v>
      </c>
      <c r="AF2" s="7">
        <v>0</v>
      </c>
      <c r="AG2" s="7">
        <v>0</v>
      </c>
    </row>
    <row r="3" spans="1:33" ht="14.25" customHeight="1" thickBot="1" x14ac:dyDescent="0.3">
      <c r="A3" s="14">
        <v>44683</v>
      </c>
      <c r="B3" s="7">
        <v>2</v>
      </c>
      <c r="C3" s="12">
        <v>800</v>
      </c>
      <c r="D3" s="13">
        <v>400000</v>
      </c>
      <c r="G3" s="12">
        <v>1906</v>
      </c>
      <c r="H3" s="12">
        <v>1906</v>
      </c>
      <c r="I3" s="12">
        <v>1906</v>
      </c>
      <c r="J3" s="12">
        <v>1906</v>
      </c>
      <c r="K3" s="12">
        <v>1906</v>
      </c>
      <c r="L3" s="12">
        <v>1906</v>
      </c>
      <c r="M3" s="12">
        <v>1906</v>
      </c>
      <c r="N3" s="12">
        <v>1906</v>
      </c>
      <c r="O3" s="12">
        <v>1906</v>
      </c>
      <c r="P3" s="12">
        <v>1906</v>
      </c>
      <c r="Q3" s="12">
        <v>1906</v>
      </c>
      <c r="R3" s="12">
        <v>1906</v>
      </c>
      <c r="S3" s="12">
        <v>1906</v>
      </c>
      <c r="T3" s="12">
        <v>1906</v>
      </c>
      <c r="U3" s="12"/>
      <c r="V3" s="11">
        <f>39/$Y$40*(W3)</f>
        <v>0.82540222367560501</v>
      </c>
      <c r="W3" s="11">
        <f>Y3-Y2</f>
        <v>809</v>
      </c>
      <c r="X3" s="11">
        <f>$B$29/SQRT($Y$29)*(SQRT(Y3)-SQRT(Y2))</f>
        <v>1.5090087822618503</v>
      </c>
      <c r="Y3" s="10">
        <v>1906</v>
      </c>
      <c r="Z3" s="20">
        <v>400000</v>
      </c>
      <c r="AA3" s="6"/>
      <c r="AB3" s="19">
        <f>Z3/Y3</f>
        <v>209.8635886673662</v>
      </c>
      <c r="AC3" s="18">
        <f>AB3/AB$42</f>
        <v>1.2145775900702352E-2</v>
      </c>
      <c r="AD3" s="18">
        <f>AC3+AD2</f>
        <v>1.2145775900702352E-2</v>
      </c>
      <c r="AE3" s="7">
        <v>0</v>
      </c>
      <c r="AF3" s="7">
        <v>0</v>
      </c>
      <c r="AG3" s="7">
        <v>0</v>
      </c>
    </row>
    <row r="4" spans="1:33" ht="14.25" customHeight="1" thickBot="1" x14ac:dyDescent="0.3">
      <c r="A4" s="14">
        <v>44684</v>
      </c>
      <c r="B4" s="7">
        <v>3</v>
      </c>
      <c r="C4" s="12">
        <v>1900</v>
      </c>
      <c r="D4" s="13">
        <v>584268</v>
      </c>
      <c r="E4" s="7">
        <v>800</v>
      </c>
      <c r="F4" s="16">
        <v>400000</v>
      </c>
      <c r="G4" s="12">
        <v>2309</v>
      </c>
      <c r="H4" s="12">
        <v>2309</v>
      </c>
      <c r="I4" s="12">
        <v>2309</v>
      </c>
      <c r="J4" s="12">
        <v>2309</v>
      </c>
      <c r="K4" s="12">
        <v>2309</v>
      </c>
      <c r="L4" s="12">
        <v>2309</v>
      </c>
      <c r="M4" s="12">
        <v>2309</v>
      </c>
      <c r="N4" s="12">
        <v>2309</v>
      </c>
      <c r="O4" s="12">
        <v>2309</v>
      </c>
      <c r="P4" s="12">
        <v>2309</v>
      </c>
      <c r="Q4" s="12">
        <v>2309</v>
      </c>
      <c r="R4" s="12">
        <v>2309</v>
      </c>
      <c r="S4" s="12">
        <v>2309</v>
      </c>
      <c r="T4" s="12">
        <v>2309</v>
      </c>
      <c r="U4" s="12">
        <v>2309</v>
      </c>
      <c r="V4" s="11">
        <f>39/$Y$40*(W4)</f>
        <v>0.41117069980379334</v>
      </c>
      <c r="W4" s="11">
        <f>Y4-Y3</f>
        <v>403</v>
      </c>
      <c r="X4" s="11">
        <f>$B$29/SQRT($Y$29)*(SQRT(Y4)-SQRT(Y3))</f>
        <v>0.62932286772511348</v>
      </c>
      <c r="Y4" s="10">
        <v>2309</v>
      </c>
      <c r="Z4" s="20">
        <v>584268</v>
      </c>
      <c r="AA4" s="6"/>
      <c r="AB4" s="19">
        <f>Z4/Y4</f>
        <v>253.03941100043309</v>
      </c>
      <c r="AC4" s="18">
        <f>AB4/AB$42</f>
        <v>1.46445603049715E-2</v>
      </c>
      <c r="AD4" s="18">
        <f>AC4+AD3</f>
        <v>2.6790336205673851E-2</v>
      </c>
      <c r="AE4" s="7">
        <v>0</v>
      </c>
      <c r="AF4" s="7">
        <v>0</v>
      </c>
      <c r="AG4" s="7">
        <v>0</v>
      </c>
    </row>
    <row r="5" spans="1:33" ht="14.25" customHeight="1" thickBot="1" x14ac:dyDescent="0.3">
      <c r="A5" s="14">
        <v>44685</v>
      </c>
      <c r="B5" s="7">
        <v>4</v>
      </c>
      <c r="C5" s="12">
        <v>2309</v>
      </c>
      <c r="D5" s="13">
        <v>1097731</v>
      </c>
      <c r="E5" s="12">
        <v>1900</v>
      </c>
      <c r="F5" s="13">
        <v>584000</v>
      </c>
      <c r="G5" s="12">
        <v>2694</v>
      </c>
      <c r="H5" s="12">
        <v>2694</v>
      </c>
      <c r="I5" s="12">
        <v>2694</v>
      </c>
      <c r="J5" s="12">
        <v>2694</v>
      </c>
      <c r="K5" s="12">
        <v>2694</v>
      </c>
      <c r="L5" s="12">
        <v>2694</v>
      </c>
      <c r="M5" s="12">
        <v>2694</v>
      </c>
      <c r="N5" s="12">
        <v>2694</v>
      </c>
      <c r="O5" s="12">
        <v>2694</v>
      </c>
      <c r="P5" s="12">
        <v>2694</v>
      </c>
      <c r="Q5" s="12">
        <v>2694</v>
      </c>
      <c r="R5" s="12">
        <v>2694</v>
      </c>
      <c r="S5" s="12">
        <v>2694</v>
      </c>
      <c r="T5" s="12">
        <v>2694</v>
      </c>
      <c r="U5" s="12">
        <v>2694</v>
      </c>
      <c r="V5" s="11">
        <f>39/$Y$40*(W5)</f>
        <v>0.39280575539568346</v>
      </c>
      <c r="W5" s="11">
        <f>Y5-Y4</f>
        <v>385</v>
      </c>
      <c r="X5" s="11">
        <f>$B$29/SQRT($Y$29)*(SQRT(Y5)-SQRT(Y4))</f>
        <v>0.55161613554670752</v>
      </c>
      <c r="Y5" s="10">
        <v>2694</v>
      </c>
      <c r="Z5" s="20">
        <v>1097731</v>
      </c>
      <c r="AA5" s="6"/>
      <c r="AB5" s="19">
        <f>Z5/Y5</f>
        <v>407.47253155159615</v>
      </c>
      <c r="AC5" s="18">
        <f>AB5/AB$42</f>
        <v>2.3582318806917153E-2</v>
      </c>
      <c r="AD5" s="18">
        <f>AC5+AD4</f>
        <v>5.0372655012591E-2</v>
      </c>
      <c r="AE5" s="7">
        <v>0</v>
      </c>
      <c r="AF5" s="7">
        <v>0</v>
      </c>
      <c r="AG5" s="7">
        <v>0</v>
      </c>
    </row>
    <row r="6" spans="1:33" ht="14.25" customHeight="1" thickBot="1" x14ac:dyDescent="0.3">
      <c r="A6" s="14">
        <v>44686</v>
      </c>
      <c r="B6" s="7">
        <v>5</v>
      </c>
      <c r="C6" s="12">
        <v>2694</v>
      </c>
      <c r="D6" s="13">
        <v>1432000</v>
      </c>
      <c r="E6" s="12">
        <v>2309</v>
      </c>
      <c r="F6" s="13">
        <v>1100000</v>
      </c>
      <c r="G6" s="12">
        <v>3237</v>
      </c>
      <c r="H6" s="12">
        <v>3237</v>
      </c>
      <c r="I6" s="12">
        <v>3237</v>
      </c>
      <c r="J6" s="12">
        <v>3237</v>
      </c>
      <c r="K6" s="12">
        <v>3237</v>
      </c>
      <c r="L6" s="12">
        <v>3237</v>
      </c>
      <c r="M6" s="12">
        <v>3237</v>
      </c>
      <c r="N6" s="12">
        <v>3237</v>
      </c>
      <c r="O6" s="12">
        <v>3237</v>
      </c>
      <c r="P6" s="12">
        <v>3237</v>
      </c>
      <c r="Q6" s="12">
        <v>3237</v>
      </c>
      <c r="R6" s="12">
        <v>3237</v>
      </c>
      <c r="S6" s="12">
        <v>3237</v>
      </c>
      <c r="T6" s="12">
        <v>3237</v>
      </c>
      <c r="U6" s="12">
        <v>3237</v>
      </c>
      <c r="V6" s="11">
        <f>39/$Y$40*(W6)</f>
        <v>0.55400915631131464</v>
      </c>
      <c r="W6" s="11">
        <f>Y6-Y5</f>
        <v>543</v>
      </c>
      <c r="X6" s="11">
        <f>$B$29/SQRT($Y$29)*(SQRT(Y6)-SQRT(Y5))</f>
        <v>0.71476226930090203</v>
      </c>
      <c r="Y6" s="10">
        <v>3237</v>
      </c>
      <c r="Z6" s="20">
        <v>1432000</v>
      </c>
      <c r="AA6" s="6"/>
      <c r="AB6" s="19">
        <f>Z6/Y6</f>
        <v>442.38492431263518</v>
      </c>
      <c r="AC6" s="18">
        <f>AB6/AB$42</f>
        <v>2.5602860346902841E-2</v>
      </c>
      <c r="AD6" s="18">
        <f>AC6+AD5</f>
        <v>7.5975515359493845E-2</v>
      </c>
      <c r="AE6" s="7">
        <v>0</v>
      </c>
      <c r="AF6" s="7">
        <v>0</v>
      </c>
      <c r="AG6" s="7">
        <v>0</v>
      </c>
    </row>
    <row r="7" spans="1:33" ht="14.25" customHeight="1" thickBot="1" x14ac:dyDescent="0.3">
      <c r="A7" s="14">
        <v>44687</v>
      </c>
      <c r="B7" s="7">
        <v>6</v>
      </c>
      <c r="C7" s="12">
        <v>2694</v>
      </c>
      <c r="D7" s="13">
        <v>1432000</v>
      </c>
      <c r="E7" s="12">
        <v>2694</v>
      </c>
      <c r="F7" s="13">
        <v>1400000</v>
      </c>
      <c r="G7" s="12">
        <v>4406</v>
      </c>
      <c r="H7" s="12">
        <v>4406</v>
      </c>
      <c r="I7" s="12">
        <v>4406</v>
      </c>
      <c r="J7" s="12">
        <v>4406</v>
      </c>
      <c r="K7" s="12">
        <v>4406</v>
      </c>
      <c r="L7" s="12">
        <v>4406</v>
      </c>
      <c r="M7" s="12">
        <v>4406</v>
      </c>
      <c r="N7" s="12">
        <v>4406</v>
      </c>
      <c r="O7" s="12">
        <v>4406</v>
      </c>
      <c r="P7" s="12">
        <v>4406</v>
      </c>
      <c r="Q7" s="12">
        <v>4406</v>
      </c>
      <c r="R7" s="12">
        <v>4406</v>
      </c>
      <c r="S7" s="12">
        <v>4406</v>
      </c>
      <c r="T7" s="12">
        <v>4406</v>
      </c>
      <c r="U7" s="12">
        <v>4406</v>
      </c>
      <c r="V7" s="11">
        <f>39/$Y$40*(W7)</f>
        <v>1.1927011118378026</v>
      </c>
      <c r="W7" s="11">
        <f>Y7-Y6</f>
        <v>1169</v>
      </c>
      <c r="X7" s="11">
        <f>$B$29/SQRT($Y$29)*(SQRT(Y7)-SQRT(Y6))</f>
        <v>1.3581043252037601</v>
      </c>
      <c r="Y7" s="10">
        <v>4406</v>
      </c>
      <c r="Z7" s="20">
        <v>1432000</v>
      </c>
      <c r="AA7" s="6"/>
      <c r="AB7" s="19">
        <f>Z7/Y7</f>
        <v>325.01134816159782</v>
      </c>
      <c r="AC7" s="18">
        <f>AB7/AB$42</f>
        <v>1.8809908974789943E-2</v>
      </c>
      <c r="AD7" s="18">
        <f>AC7+AD6</f>
        <v>9.4785424334283788E-2</v>
      </c>
      <c r="AE7" s="7">
        <v>0</v>
      </c>
      <c r="AF7" s="7">
        <v>0</v>
      </c>
      <c r="AG7" s="7">
        <v>0</v>
      </c>
    </row>
    <row r="8" spans="1:33" ht="14.25" customHeight="1" thickBot="1" x14ac:dyDescent="0.3">
      <c r="A8" s="14">
        <v>44688</v>
      </c>
      <c r="B8" s="7">
        <v>7</v>
      </c>
      <c r="C8" s="12">
        <v>4406</v>
      </c>
      <c r="D8" s="13">
        <v>2162950</v>
      </c>
      <c r="E8" s="12"/>
      <c r="F8" s="13"/>
      <c r="G8" s="12">
        <v>5619</v>
      </c>
      <c r="H8" s="12">
        <v>5619</v>
      </c>
      <c r="I8" s="12">
        <v>5619</v>
      </c>
      <c r="J8" s="12">
        <v>5619</v>
      </c>
      <c r="K8" s="12">
        <v>5619</v>
      </c>
      <c r="L8" s="12">
        <v>5619</v>
      </c>
      <c r="M8" s="12">
        <v>5619</v>
      </c>
      <c r="N8" s="12">
        <v>5619</v>
      </c>
      <c r="O8" s="12">
        <v>5619</v>
      </c>
      <c r="P8" s="12">
        <v>5619</v>
      </c>
      <c r="Q8" s="12">
        <v>5619</v>
      </c>
      <c r="R8" s="12">
        <v>5619</v>
      </c>
      <c r="S8" s="12">
        <v>5619</v>
      </c>
      <c r="T8" s="12">
        <v>5619</v>
      </c>
      <c r="U8" s="12">
        <v>5619</v>
      </c>
      <c r="V8" s="11">
        <f>39/$Y$40*(W8)</f>
        <v>1.2375931981687378</v>
      </c>
      <c r="W8" s="11">
        <f>Y8-Y7</f>
        <v>1213</v>
      </c>
      <c r="X8" s="11">
        <f>$B$29/SQRT($Y$29)*(SQRT(Y8)-SQRT(Y7))</f>
        <v>1.2290995973916106</v>
      </c>
      <c r="Y8" s="10">
        <v>5619</v>
      </c>
      <c r="Z8" s="20">
        <v>2162950</v>
      </c>
      <c r="AA8" s="6"/>
      <c r="AB8" s="19">
        <f>Z8/Y8</f>
        <v>384.93504182238831</v>
      </c>
      <c r="AC8" s="18">
        <f>AB8/AB$42</f>
        <v>2.2277970104250061E-2</v>
      </c>
      <c r="AD8" s="18">
        <f>AC8+AD7</f>
        <v>0.11706339443853385</v>
      </c>
      <c r="AE8" s="7"/>
      <c r="AF8" s="7"/>
      <c r="AG8" s="7"/>
    </row>
    <row r="9" spans="1:33" ht="14.25" customHeight="1" thickBot="1" x14ac:dyDescent="0.3">
      <c r="A9" s="14">
        <v>44689</v>
      </c>
      <c r="B9" s="7">
        <v>8</v>
      </c>
      <c r="C9" s="12">
        <v>5619</v>
      </c>
      <c r="D9" s="13">
        <v>2636846</v>
      </c>
      <c r="E9" s="12"/>
      <c r="F9" s="13"/>
      <c r="G9" s="12">
        <v>6144</v>
      </c>
      <c r="H9" s="12">
        <v>6144</v>
      </c>
      <c r="I9" s="12">
        <v>6144</v>
      </c>
      <c r="J9" s="12">
        <v>6144</v>
      </c>
      <c r="K9" s="12">
        <v>6144</v>
      </c>
      <c r="L9" s="12">
        <v>6144</v>
      </c>
      <c r="M9" s="12">
        <v>6144</v>
      </c>
      <c r="N9" s="12">
        <v>6144</v>
      </c>
      <c r="O9" s="12">
        <v>6144</v>
      </c>
      <c r="P9" s="12">
        <v>6144</v>
      </c>
      <c r="Q9" s="12">
        <v>6144</v>
      </c>
      <c r="R9" s="12">
        <v>6144</v>
      </c>
      <c r="S9" s="12">
        <v>6144</v>
      </c>
      <c r="T9" s="12">
        <v>6144</v>
      </c>
      <c r="U9" s="12">
        <v>6134</v>
      </c>
      <c r="V9" s="11">
        <f>39/$Y$40*(W9)</f>
        <v>0.52544146500981037</v>
      </c>
      <c r="W9" s="11">
        <f>Y9-Y8</f>
        <v>515</v>
      </c>
      <c r="X9" s="11">
        <f>$B$29/SQRT($Y$29)*(SQRT(Y9)-SQRT(Y8))</f>
        <v>0.48117876928941244</v>
      </c>
      <c r="Y9" s="10">
        <v>6134</v>
      </c>
      <c r="Z9" s="20">
        <v>2636846</v>
      </c>
      <c r="AA9" s="6"/>
      <c r="AB9" s="19">
        <f>Z9/Y9</f>
        <v>429.87381806325402</v>
      </c>
      <c r="AC9" s="18">
        <f>AB9/AB$42</f>
        <v>2.4878784799830633E-2</v>
      </c>
      <c r="AD9" s="18">
        <f>AC9+AD8</f>
        <v>0.1419421792383645</v>
      </c>
      <c r="AE9" s="7"/>
      <c r="AF9" s="7"/>
      <c r="AG9" s="7"/>
    </row>
    <row r="10" spans="1:33" ht="14.25" customHeight="1" thickBot="1" x14ac:dyDescent="0.3">
      <c r="A10" s="14">
        <v>44690</v>
      </c>
      <c r="B10" s="7">
        <v>9</v>
      </c>
      <c r="C10" s="12">
        <v>6143</v>
      </c>
      <c r="D10" s="13">
        <v>3005750</v>
      </c>
      <c r="E10" s="12">
        <v>5619</v>
      </c>
      <c r="F10" s="13">
        <v>2600000</v>
      </c>
      <c r="G10" s="12">
        <v>6655</v>
      </c>
      <c r="H10" s="12">
        <v>6655</v>
      </c>
      <c r="I10" s="12">
        <v>6655</v>
      </c>
      <c r="J10" s="12">
        <v>6655</v>
      </c>
      <c r="K10" s="12">
        <v>6655</v>
      </c>
      <c r="L10" s="12">
        <v>6655</v>
      </c>
      <c r="M10" s="12">
        <v>6655</v>
      </c>
      <c r="N10" s="12">
        <v>6655</v>
      </c>
      <c r="O10" s="12">
        <v>6655</v>
      </c>
      <c r="P10" s="12">
        <v>6655</v>
      </c>
      <c r="Q10" s="12">
        <v>6655</v>
      </c>
      <c r="R10" s="12">
        <v>6655</v>
      </c>
      <c r="S10" s="12">
        <v>6655</v>
      </c>
      <c r="T10" s="12">
        <v>6655</v>
      </c>
      <c r="U10" s="12">
        <v>6655</v>
      </c>
      <c r="V10" s="11">
        <f>39/$Y$40*(W10)</f>
        <v>0.53156311314584703</v>
      </c>
      <c r="W10" s="11">
        <f>Y10-Y9</f>
        <v>521</v>
      </c>
      <c r="X10" s="11">
        <f>$B$29/SQRT($Y$29)*(SQRT(Y10)-SQRT(Y9))</f>
        <v>0.46663667228241296</v>
      </c>
      <c r="Y10" s="10">
        <v>6655</v>
      </c>
      <c r="Z10" s="20">
        <v>3005750</v>
      </c>
      <c r="AA10" s="6"/>
      <c r="AB10" s="19">
        <f>Z10/Y10</f>
        <v>451.65289256198349</v>
      </c>
      <c r="AC10" s="18">
        <f>AB10/AB$42</f>
        <v>2.6139240507588205E-2</v>
      </c>
      <c r="AD10" s="18">
        <f>AC10+AD9</f>
        <v>0.1680814197459527</v>
      </c>
      <c r="AE10" s="12"/>
      <c r="AF10" s="12"/>
      <c r="AG10" s="12"/>
    </row>
    <row r="11" spans="1:33" ht="14.25" customHeight="1" thickBot="1" x14ac:dyDescent="0.3">
      <c r="A11" s="14">
        <v>44691</v>
      </c>
      <c r="B11" s="7">
        <v>10</v>
      </c>
      <c r="C11" s="12">
        <v>6655</v>
      </c>
      <c r="D11" s="13">
        <v>3372282</v>
      </c>
      <c r="E11" s="12">
        <v>6143</v>
      </c>
      <c r="F11" s="13">
        <v>3000000</v>
      </c>
      <c r="G11" s="12">
        <v>7249</v>
      </c>
      <c r="H11" s="12">
        <v>7249</v>
      </c>
      <c r="I11" s="12">
        <v>7249</v>
      </c>
      <c r="J11" s="12">
        <v>7249</v>
      </c>
      <c r="K11" s="12">
        <v>7249</v>
      </c>
      <c r="L11" s="12">
        <v>7249</v>
      </c>
      <c r="M11" s="12">
        <v>7249</v>
      </c>
      <c r="N11" s="12">
        <v>7249</v>
      </c>
      <c r="O11" s="12">
        <v>7249</v>
      </c>
      <c r="P11" s="12">
        <v>7249</v>
      </c>
      <c r="Q11" s="12">
        <v>7249</v>
      </c>
      <c r="R11" s="12">
        <v>7249</v>
      </c>
      <c r="S11" s="12">
        <v>7249</v>
      </c>
      <c r="T11" s="12">
        <v>7249</v>
      </c>
      <c r="U11" s="12">
        <v>7249</v>
      </c>
      <c r="V11" s="11">
        <f>39/$Y$40*(W11)</f>
        <v>0.60604316546762593</v>
      </c>
      <c r="W11" s="11">
        <f>Y11-Y10</f>
        <v>594</v>
      </c>
      <c r="X11" s="11">
        <f>$B$29/SQRT($Y$29)*(SQRT(Y11)-SQRT(Y10))</f>
        <v>0.51025233425897953</v>
      </c>
      <c r="Y11" s="10">
        <v>7249</v>
      </c>
      <c r="Z11" s="20">
        <v>3372282</v>
      </c>
      <c r="AA11" s="6"/>
      <c r="AB11" s="19">
        <f>Z11/Y11</f>
        <v>465.20651124293005</v>
      </c>
      <c r="AC11" s="18">
        <f>AB11/AB$42</f>
        <v>2.6923651067741503E-2</v>
      </c>
      <c r="AD11" s="18">
        <f>AC11+AD10</f>
        <v>0.1950050708136942</v>
      </c>
      <c r="AE11" s="12"/>
      <c r="AF11" s="12"/>
      <c r="AG11" s="12"/>
    </row>
    <row r="12" spans="1:33" ht="14.25" customHeight="1" thickBot="1" x14ac:dyDescent="0.3">
      <c r="A12" s="14">
        <v>44692</v>
      </c>
      <c r="B12" s="7">
        <v>11</v>
      </c>
      <c r="D12" s="13"/>
      <c r="E12" s="12">
        <v>6655</v>
      </c>
      <c r="F12" s="13">
        <v>3400000</v>
      </c>
      <c r="G12" s="12">
        <v>7552</v>
      </c>
      <c r="H12" s="12">
        <v>7552</v>
      </c>
      <c r="I12" s="12">
        <v>7552</v>
      </c>
      <c r="J12" s="12">
        <v>7552</v>
      </c>
      <c r="K12" s="12">
        <v>7552</v>
      </c>
      <c r="L12" s="12">
        <v>7552</v>
      </c>
      <c r="M12" s="12">
        <v>7552</v>
      </c>
      <c r="N12" s="12">
        <v>7552</v>
      </c>
      <c r="O12" s="12">
        <v>7552</v>
      </c>
      <c r="P12" s="12">
        <v>7552</v>
      </c>
      <c r="Q12" s="12">
        <v>7552</v>
      </c>
      <c r="R12" s="12">
        <v>7552</v>
      </c>
      <c r="S12" s="12">
        <v>7552</v>
      </c>
      <c r="T12" s="12">
        <v>7552</v>
      </c>
      <c r="U12" s="12">
        <v>7552</v>
      </c>
      <c r="V12" s="11">
        <f>39/$Y$40*(W12)</f>
        <v>0.30914323086984957</v>
      </c>
      <c r="W12" s="11">
        <f>Y12-Y11</f>
        <v>303</v>
      </c>
      <c r="X12" s="11">
        <f>$B$29/SQRT($Y$29)*(SQRT(Y12)-SQRT(Y11))</f>
        <v>0.25222558621147945</v>
      </c>
      <c r="Y12" s="10">
        <v>7552</v>
      </c>
      <c r="Z12" s="20">
        <v>3400000</v>
      </c>
      <c r="AA12" s="6"/>
      <c r="AB12" s="19">
        <f>Z12/Y12</f>
        <v>450.21186440677968</v>
      </c>
      <c r="AC12" s="18">
        <f>AB12/AB$42</f>
        <v>2.6055841547573996E-2</v>
      </c>
      <c r="AD12" s="18">
        <f>AC12+AD11</f>
        <v>0.22106091236126818</v>
      </c>
      <c r="AE12" s="12"/>
      <c r="AF12" s="12"/>
      <c r="AG12" s="12"/>
    </row>
    <row r="13" spans="1:33" ht="14.25" customHeight="1" thickBot="1" x14ac:dyDescent="0.3">
      <c r="A13" s="14">
        <v>44693</v>
      </c>
      <c r="B13" s="7">
        <v>12</v>
      </c>
      <c r="C13" s="12">
        <v>7552</v>
      </c>
      <c r="D13" s="13">
        <v>4404663</v>
      </c>
      <c r="E13" s="12">
        <v>6655</v>
      </c>
      <c r="F13" s="13">
        <v>3400000</v>
      </c>
      <c r="G13" s="12">
        <v>8157</v>
      </c>
      <c r="H13" s="12">
        <v>8157</v>
      </c>
      <c r="I13" s="12">
        <v>8157</v>
      </c>
      <c r="J13" s="12">
        <v>8157</v>
      </c>
      <c r="K13" s="12">
        <v>8157</v>
      </c>
      <c r="L13" s="12">
        <v>8157</v>
      </c>
      <c r="M13" s="12">
        <v>8157</v>
      </c>
      <c r="N13" s="12">
        <v>8157</v>
      </c>
      <c r="O13" s="12">
        <v>8157</v>
      </c>
      <c r="P13" s="12">
        <v>8157</v>
      </c>
      <c r="Q13" s="12">
        <v>8157</v>
      </c>
      <c r="R13" s="12">
        <v>8157</v>
      </c>
      <c r="S13" s="12">
        <v>8157</v>
      </c>
      <c r="T13" s="12">
        <v>8157</v>
      </c>
      <c r="U13" s="12">
        <v>8158</v>
      </c>
      <c r="V13" s="11">
        <f>39/$Y$40*(W13)</f>
        <v>0.61828646173969914</v>
      </c>
      <c r="W13" s="11">
        <f>Y13-Y12</f>
        <v>606</v>
      </c>
      <c r="X13" s="11">
        <f>$B$29/SQRT($Y$29)*(SQRT(Y13)-SQRT(Y12))</f>
        <v>0.4897051148347813</v>
      </c>
      <c r="Y13" s="10">
        <v>8158</v>
      </c>
      <c r="Z13" s="20">
        <v>4404663</v>
      </c>
      <c r="AA13" s="6"/>
      <c r="AB13" s="19">
        <f>Z13/Y13</f>
        <v>539.91946555528318</v>
      </c>
      <c r="AC13" s="18">
        <f>AB13/AB$42</f>
        <v>3.1247635069537823E-2</v>
      </c>
      <c r="AD13" s="18">
        <f>AC13+AD12</f>
        <v>0.252308547430806</v>
      </c>
      <c r="AE13" s="12"/>
      <c r="AF13" s="12"/>
      <c r="AG13" s="12"/>
    </row>
    <row r="14" spans="1:33" ht="14.25" customHeight="1" thickBot="1" x14ac:dyDescent="0.3">
      <c r="A14" s="14">
        <v>44694</v>
      </c>
      <c r="B14" s="7">
        <v>13</v>
      </c>
      <c r="C14" s="12">
        <v>8158</v>
      </c>
      <c r="D14" s="13">
        <v>4842762</v>
      </c>
      <c r="E14" s="12">
        <v>7552</v>
      </c>
      <c r="F14" s="13">
        <v>4400000</v>
      </c>
      <c r="G14" s="7">
        <v>9563</v>
      </c>
      <c r="H14" s="7">
        <v>9563</v>
      </c>
      <c r="I14" s="7">
        <v>9563</v>
      </c>
      <c r="J14" s="7">
        <v>9563</v>
      </c>
      <c r="K14" s="7">
        <v>9563</v>
      </c>
      <c r="L14" s="7">
        <v>9563</v>
      </c>
      <c r="M14" s="7">
        <v>9563</v>
      </c>
      <c r="N14" s="7">
        <v>9563</v>
      </c>
      <c r="O14" s="7">
        <v>9563</v>
      </c>
      <c r="P14" s="7">
        <v>9563</v>
      </c>
      <c r="Q14" s="7">
        <v>9563</v>
      </c>
      <c r="R14" s="7">
        <v>9563</v>
      </c>
      <c r="S14" s="7">
        <v>9563</v>
      </c>
      <c r="T14" s="7">
        <v>9563</v>
      </c>
      <c r="U14" s="7">
        <v>9563</v>
      </c>
      <c r="V14" s="11">
        <f>39/$Y$40*(W14)</f>
        <v>1.4334859385219099</v>
      </c>
      <c r="W14" s="11">
        <f>Y14-Y13</f>
        <v>1405</v>
      </c>
      <c r="X14" s="11">
        <f>$B$29/SQRT($Y$29)*(SQRT(Y14)-SQRT(Y13))</f>
        <v>1.0696545761120142</v>
      </c>
      <c r="Y14" s="9">
        <v>9563</v>
      </c>
      <c r="Z14" s="20">
        <v>4842762</v>
      </c>
      <c r="AA14" s="6"/>
      <c r="AB14" s="19">
        <f>Z14/Y14</f>
        <v>506.4061486981073</v>
      </c>
      <c r="AC14" s="18">
        <f>AB14/AB$42</f>
        <v>2.9308064518870955E-2</v>
      </c>
      <c r="AD14" s="18">
        <f>AC14+AD13</f>
        <v>0.28161661194967696</v>
      </c>
      <c r="AE14" s="7"/>
      <c r="AF14" s="7"/>
      <c r="AG14" s="7"/>
    </row>
    <row r="15" spans="1:33" ht="14.25" customHeight="1" thickBot="1" x14ac:dyDescent="0.3">
      <c r="A15" s="14">
        <v>44695</v>
      </c>
      <c r="B15" s="7">
        <v>14</v>
      </c>
      <c r="C15" s="12">
        <v>9563</v>
      </c>
      <c r="D15" s="13">
        <v>5552990.9400000004</v>
      </c>
      <c r="E15" s="12">
        <v>8158</v>
      </c>
      <c r="F15" s="13">
        <v>4800000</v>
      </c>
      <c r="G15" s="12">
        <v>11551</v>
      </c>
      <c r="H15" s="12">
        <v>11551</v>
      </c>
      <c r="I15" s="12">
        <v>11551</v>
      </c>
      <c r="J15" s="12">
        <v>11551</v>
      </c>
      <c r="K15" s="12">
        <v>11551</v>
      </c>
      <c r="L15" s="12">
        <v>11550</v>
      </c>
      <c r="M15" s="12">
        <v>11550</v>
      </c>
      <c r="N15" s="12">
        <v>11550</v>
      </c>
      <c r="O15" s="12">
        <v>11550</v>
      </c>
      <c r="P15" s="12">
        <v>11550</v>
      </c>
      <c r="Q15" s="12">
        <v>11550</v>
      </c>
      <c r="R15" s="12">
        <v>11550</v>
      </c>
      <c r="S15" s="12">
        <v>11550</v>
      </c>
      <c r="T15" s="12">
        <v>11550</v>
      </c>
      <c r="U15" s="12">
        <v>11550</v>
      </c>
      <c r="V15" s="11">
        <f>39/$Y$40*(W15)</f>
        <v>2.0272858077174623</v>
      </c>
      <c r="W15" s="11">
        <f>Y15-Y14</f>
        <v>1987</v>
      </c>
      <c r="X15" s="11">
        <f>$B$29/SQRT($Y$29)*(SQRT(Y15)-SQRT(Y14))</f>
        <v>1.3863555109399426</v>
      </c>
      <c r="Y15" s="10">
        <v>11550</v>
      </c>
      <c r="Z15" s="20">
        <v>5552990.9400000004</v>
      </c>
      <c r="AA15" s="6"/>
      <c r="AB15" s="19">
        <f>Z15/Y15</f>
        <v>480.77843636363639</v>
      </c>
      <c r="AC15" s="18">
        <f>AB15/AB$42</f>
        <v>2.7824870350512811E-2</v>
      </c>
      <c r="AD15" s="18">
        <f>AC15+AD14</f>
        <v>0.30944148230018975</v>
      </c>
      <c r="AE15" s="7"/>
      <c r="AF15" s="7"/>
      <c r="AG15" s="7"/>
    </row>
    <row r="16" spans="1:33" ht="14.25" customHeight="1" thickBot="1" x14ac:dyDescent="0.3">
      <c r="A16" s="14">
        <v>44696</v>
      </c>
      <c r="B16" s="7">
        <v>15</v>
      </c>
      <c r="C16" s="12">
        <v>11150</v>
      </c>
      <c r="D16" s="13">
        <v>6102173.1299999999</v>
      </c>
      <c r="E16" s="12">
        <v>9563</v>
      </c>
      <c r="F16" s="13">
        <v>5600000</v>
      </c>
      <c r="G16" s="12"/>
      <c r="H16" s="7">
        <v>13506</v>
      </c>
      <c r="I16" s="7">
        <v>13506</v>
      </c>
      <c r="J16" s="7">
        <v>13506</v>
      </c>
      <c r="K16" s="7">
        <v>13506</v>
      </c>
      <c r="L16" s="7">
        <v>13504</v>
      </c>
      <c r="M16" s="7">
        <v>13504</v>
      </c>
      <c r="N16" s="7">
        <v>13504</v>
      </c>
      <c r="O16" s="7">
        <v>13504</v>
      </c>
      <c r="P16" s="7">
        <v>13504</v>
      </c>
      <c r="Q16" s="7">
        <v>13504</v>
      </c>
      <c r="R16" s="7">
        <v>13504</v>
      </c>
      <c r="S16" s="7">
        <v>13504</v>
      </c>
      <c r="T16" s="7">
        <v>13504</v>
      </c>
      <c r="U16" s="7">
        <v>13504</v>
      </c>
      <c r="V16" s="11">
        <f>39/$Y$40*(W16)</f>
        <v>1.9936167429692611</v>
      </c>
      <c r="W16" s="11">
        <f>Y16-Y15</f>
        <v>1954</v>
      </c>
      <c r="X16" s="11">
        <f>$B$29/SQRT($Y$29)*(SQRT(Y16)-SQRT(Y15))</f>
        <v>1.2510834365135139</v>
      </c>
      <c r="Y16" s="9">
        <v>13504</v>
      </c>
      <c r="Z16" s="20">
        <v>6102173.1299999999</v>
      </c>
      <c r="AA16" s="6"/>
      <c r="AB16" s="19">
        <f>Z16/Y16</f>
        <v>451.87893438981041</v>
      </c>
      <c r="AC16" s="18">
        <f>AB16/AB$42</f>
        <v>2.6152322592967594E-2</v>
      </c>
      <c r="AD16" s="18">
        <f>AC16+AD15</f>
        <v>0.33559380489315732</v>
      </c>
      <c r="AE16" s="7"/>
      <c r="AF16" s="7"/>
      <c r="AG16" s="7"/>
    </row>
    <row r="17" spans="1:33" ht="14.25" customHeight="1" thickBot="1" x14ac:dyDescent="0.3">
      <c r="A17" s="14">
        <v>44697</v>
      </c>
      <c r="B17" s="7">
        <v>16</v>
      </c>
      <c r="C17" s="12">
        <v>13504</v>
      </c>
      <c r="D17" s="13">
        <v>6926815.9000000004</v>
      </c>
      <c r="E17" s="12">
        <v>11150</v>
      </c>
      <c r="F17" s="13">
        <v>6100000</v>
      </c>
      <c r="G17" s="12"/>
      <c r="H17" s="7"/>
      <c r="I17" s="7">
        <v>15208</v>
      </c>
      <c r="J17" s="7">
        <v>15208</v>
      </c>
      <c r="K17" s="7">
        <v>15208</v>
      </c>
      <c r="L17" s="7">
        <v>15208</v>
      </c>
      <c r="M17" s="7">
        <v>15207</v>
      </c>
      <c r="N17" s="7">
        <v>15207</v>
      </c>
      <c r="O17" s="7">
        <v>15207</v>
      </c>
      <c r="P17" s="7">
        <v>15207</v>
      </c>
      <c r="Q17" s="7">
        <v>15207</v>
      </c>
      <c r="R17" s="7">
        <v>15207</v>
      </c>
      <c r="S17" s="7">
        <v>15207</v>
      </c>
      <c r="T17" s="7">
        <v>15207</v>
      </c>
      <c r="U17" s="7">
        <v>15215</v>
      </c>
      <c r="V17" s="11">
        <f>39/$Y$40*(W17)</f>
        <v>1.7456899934597776</v>
      </c>
      <c r="W17" s="11">
        <f>Y17-Y16</f>
        <v>1711</v>
      </c>
      <c r="X17" s="11">
        <f>$B$29/SQRT($Y$29)*(SQRT(Y17)-SQRT(Y16))</f>
        <v>1.0228868245336282</v>
      </c>
      <c r="Y17" s="9">
        <v>15215</v>
      </c>
      <c r="Z17" s="20">
        <v>6926815.9000000004</v>
      </c>
      <c r="AA17" s="6"/>
      <c r="AB17" s="19">
        <f>Z17/Y17</f>
        <v>455.26230036148542</v>
      </c>
      <c r="AC17" s="18">
        <f>AB17/AB$42</f>
        <v>2.634813362023045E-2</v>
      </c>
      <c r="AD17" s="18">
        <f>AC17+AD16</f>
        <v>0.3619419385133878</v>
      </c>
      <c r="AE17" s="7"/>
      <c r="AF17" s="7"/>
      <c r="AG17" s="7"/>
    </row>
    <row r="18" spans="1:33" ht="14.25" customHeight="1" thickBot="1" x14ac:dyDescent="0.3">
      <c r="A18" s="14">
        <v>44698</v>
      </c>
      <c r="B18" s="7">
        <v>17</v>
      </c>
      <c r="C18" s="12">
        <v>15207</v>
      </c>
      <c r="D18" s="13">
        <v>7747032.4100000001</v>
      </c>
      <c r="E18" s="12">
        <v>13504</v>
      </c>
      <c r="F18" s="13">
        <v>6900000</v>
      </c>
      <c r="G18" s="12"/>
      <c r="H18" s="7"/>
      <c r="I18" s="7"/>
      <c r="J18" s="7">
        <v>17122</v>
      </c>
      <c r="K18" s="7">
        <v>17122</v>
      </c>
      <c r="L18" s="7">
        <v>17122</v>
      </c>
      <c r="M18" s="7">
        <v>17122</v>
      </c>
      <c r="N18" s="7">
        <v>17122</v>
      </c>
      <c r="O18" s="7">
        <v>17122</v>
      </c>
      <c r="P18" s="7">
        <v>17122</v>
      </c>
      <c r="Q18" s="7">
        <v>17122</v>
      </c>
      <c r="R18" s="7">
        <v>17122</v>
      </c>
      <c r="S18" s="7">
        <v>17122</v>
      </c>
      <c r="T18" s="7">
        <v>17122</v>
      </c>
      <c r="U18" s="7">
        <v>17122</v>
      </c>
      <c r="V18" s="11">
        <f>39/$Y$40*(W18)</f>
        <v>1.9456638325703075</v>
      </c>
      <c r="W18" s="11">
        <f>Y18-Y17</f>
        <v>1907</v>
      </c>
      <c r="X18" s="11">
        <f>$B$29/SQRT($Y$29)*(SQRT(Y18)-SQRT(Y17))</f>
        <v>1.0743830805042607</v>
      </c>
      <c r="Y18" s="9">
        <v>17122</v>
      </c>
      <c r="Z18" s="20">
        <v>7747032.4100000001</v>
      </c>
      <c r="AA18" s="6"/>
      <c r="AB18" s="19">
        <f>Z18/Y18</f>
        <v>452.46071778997782</v>
      </c>
      <c r="AC18" s="18">
        <f>AB18/AB$42</f>
        <v>2.6185993087435227E-2</v>
      </c>
      <c r="AD18" s="18">
        <f>AC18+AD17</f>
        <v>0.38812793160082304</v>
      </c>
      <c r="AE18" s="7"/>
      <c r="AF18" s="7"/>
      <c r="AG18" s="7"/>
    </row>
    <row r="19" spans="1:33" ht="14.25" customHeight="1" thickBot="1" x14ac:dyDescent="0.3">
      <c r="A19" s="14">
        <v>44699</v>
      </c>
      <c r="B19" s="7">
        <v>18</v>
      </c>
      <c r="C19" s="12">
        <v>17122</v>
      </c>
      <c r="D19" s="13">
        <v>8660423.25</v>
      </c>
      <c r="E19" s="12">
        <v>15207</v>
      </c>
      <c r="F19" s="13">
        <v>7700000</v>
      </c>
      <c r="G19" s="12"/>
      <c r="H19" s="7"/>
      <c r="I19" s="7"/>
      <c r="J19" s="7"/>
      <c r="K19" s="7">
        <v>19148</v>
      </c>
      <c r="L19" s="7">
        <v>19147</v>
      </c>
      <c r="M19" s="7">
        <v>19147</v>
      </c>
      <c r="N19" s="7">
        <v>19146</v>
      </c>
      <c r="O19" s="7">
        <v>19146</v>
      </c>
      <c r="P19" s="7">
        <v>19146</v>
      </c>
      <c r="Q19" s="7">
        <v>19146</v>
      </c>
      <c r="R19" s="7">
        <v>19146</v>
      </c>
      <c r="S19" s="7">
        <v>19146</v>
      </c>
      <c r="T19" s="7">
        <v>19146</v>
      </c>
      <c r="U19" s="7">
        <v>19148</v>
      </c>
      <c r="V19" s="11">
        <f>39/$Y$40*(W19)</f>
        <v>2.0670765206017006</v>
      </c>
      <c r="W19" s="11">
        <f>Y19-Y18</f>
        <v>2026</v>
      </c>
      <c r="X19" s="11">
        <f>$B$29/SQRT($Y$29)*(SQRT(Y19)-SQRT(Y18))</f>
        <v>1.0777165060740648</v>
      </c>
      <c r="Y19" s="9">
        <v>19148</v>
      </c>
      <c r="Z19" s="20">
        <v>8660423.25</v>
      </c>
      <c r="AA19" s="6"/>
      <c r="AB19" s="19">
        <f>Z19/Y19</f>
        <v>452.28865939001463</v>
      </c>
      <c r="AC19" s="18">
        <f>AB19/AB$42</f>
        <v>2.6176035272546722E-2</v>
      </c>
      <c r="AD19" s="18">
        <f>AC19+AD18</f>
        <v>0.41430396687336979</v>
      </c>
      <c r="AE19" s="7"/>
      <c r="AF19" s="7"/>
      <c r="AG19" s="7"/>
    </row>
    <row r="20" spans="1:33" ht="14.25" customHeight="1" thickBot="1" x14ac:dyDescent="0.3">
      <c r="A20" s="14">
        <v>44700</v>
      </c>
      <c r="B20" s="7">
        <v>19</v>
      </c>
      <c r="C20" s="12">
        <v>19148</v>
      </c>
      <c r="D20" s="13">
        <v>9411489.2699999996</v>
      </c>
      <c r="E20" s="12">
        <v>17122</v>
      </c>
      <c r="F20" s="13">
        <v>8600000</v>
      </c>
      <c r="G20" s="12"/>
      <c r="H20" s="7"/>
      <c r="I20" s="7"/>
      <c r="J20" s="7"/>
      <c r="K20" s="7"/>
      <c r="L20" s="7">
        <v>21687</v>
      </c>
      <c r="M20" s="21">
        <v>20942</v>
      </c>
      <c r="N20" s="21">
        <v>20940</v>
      </c>
      <c r="O20" s="21">
        <v>20940</v>
      </c>
      <c r="P20" s="21">
        <v>20940</v>
      </c>
      <c r="Q20" s="21">
        <v>20940</v>
      </c>
      <c r="R20" s="21">
        <v>20940</v>
      </c>
      <c r="S20" s="21">
        <v>20940</v>
      </c>
      <c r="T20" s="21">
        <v>20940</v>
      </c>
      <c r="U20" s="21"/>
      <c r="V20" s="11">
        <f>39/$Y$40*(W20)</f>
        <v>1.8283322432962721</v>
      </c>
      <c r="W20" s="11">
        <f>Y20-Y19</f>
        <v>1792</v>
      </c>
      <c r="X20" s="11">
        <f>$B$29/SQRT($Y$29)*(SQRT(Y20)-SQRT(Y19))</f>
        <v>0.90658526544462426</v>
      </c>
      <c r="Y20" s="4">
        <v>20940</v>
      </c>
      <c r="Z20" s="20">
        <v>9411489.2699999996</v>
      </c>
      <c r="AA20" s="6"/>
      <c r="AB20" s="19">
        <f>Z20/Y20</f>
        <v>449.45029942693407</v>
      </c>
      <c r="AC20" s="18">
        <f>AB20/AB$42</f>
        <v>2.601176626210993E-2</v>
      </c>
      <c r="AD20" s="18">
        <f>AC20+AD19</f>
        <v>0.44031573313547973</v>
      </c>
      <c r="AE20" s="7"/>
      <c r="AF20" s="7"/>
      <c r="AG20" s="7"/>
    </row>
    <row r="21" spans="1:33" ht="14.25" customHeight="1" thickBot="1" x14ac:dyDescent="0.3">
      <c r="A21" s="14">
        <v>44701</v>
      </c>
      <c r="B21" s="7">
        <v>20</v>
      </c>
      <c r="C21" s="12">
        <v>21687</v>
      </c>
      <c r="D21" s="13">
        <v>10234989.199999999</v>
      </c>
      <c r="E21" s="12">
        <v>19148</v>
      </c>
      <c r="F21" s="13">
        <v>9400000</v>
      </c>
      <c r="G21" s="12"/>
      <c r="H21" s="7"/>
      <c r="I21" s="7"/>
      <c r="J21" s="7"/>
      <c r="K21" s="7"/>
      <c r="L21" s="7"/>
      <c r="M21" s="7">
        <v>21732</v>
      </c>
      <c r="N21" s="7">
        <v>21724</v>
      </c>
      <c r="O21" s="7">
        <v>21724</v>
      </c>
      <c r="P21" s="7">
        <v>21724</v>
      </c>
      <c r="Q21" s="7">
        <v>21724</v>
      </c>
      <c r="R21" s="7">
        <v>21724</v>
      </c>
      <c r="S21" s="7">
        <v>21724</v>
      </c>
      <c r="T21" s="7">
        <v>21724</v>
      </c>
      <c r="U21" s="7">
        <v>21723</v>
      </c>
      <c r="V21" s="11">
        <f>39/$Y$40*(W21)</f>
        <v>0.79887508175277966</v>
      </c>
      <c r="W21" s="11">
        <f>Y21-Y20</f>
        <v>783</v>
      </c>
      <c r="X21" s="11">
        <f>$B$29/SQRT($Y$29)*(SQRT(Y21)-SQRT(Y20))</f>
        <v>0.38390488745395623</v>
      </c>
      <c r="Y21" s="9">
        <v>21723</v>
      </c>
      <c r="Z21" s="20">
        <v>10234989.199999999</v>
      </c>
      <c r="AA21" s="6"/>
      <c r="AB21" s="19">
        <f>Z21/Y21</f>
        <v>471.15910325461488</v>
      </c>
      <c r="AC21" s="18">
        <f>AB21/AB$42</f>
        <v>2.7268155081331152E-2</v>
      </c>
      <c r="AD21" s="18">
        <f>AC21+AD20</f>
        <v>0.46758388821681085</v>
      </c>
      <c r="AE21" s="7"/>
      <c r="AF21" s="7"/>
      <c r="AG21" s="7"/>
    </row>
    <row r="22" spans="1:33" ht="14.25" customHeight="1" thickBot="1" x14ac:dyDescent="0.3">
      <c r="A22" s="14">
        <v>44702</v>
      </c>
      <c r="B22" s="7">
        <v>21</v>
      </c>
      <c r="C22" s="12">
        <v>21995</v>
      </c>
      <c r="D22" s="13">
        <v>11096616.32</v>
      </c>
      <c r="E22" s="12">
        <v>21687</v>
      </c>
      <c r="F22" s="13">
        <v>10200000</v>
      </c>
      <c r="G22" s="12"/>
      <c r="H22" s="7"/>
      <c r="I22" s="7"/>
      <c r="J22" s="7"/>
      <c r="K22" s="7"/>
      <c r="L22" s="7"/>
      <c r="M22" s="7"/>
      <c r="N22" s="7">
        <v>23310</v>
      </c>
      <c r="O22" s="7">
        <v>23310</v>
      </c>
      <c r="P22" s="7">
        <v>23310</v>
      </c>
      <c r="Q22" s="7">
        <v>23310</v>
      </c>
      <c r="R22" s="7">
        <v>23310</v>
      </c>
      <c r="S22" s="7">
        <v>23310</v>
      </c>
      <c r="T22" s="7">
        <v>23310</v>
      </c>
      <c r="U22" s="7">
        <v>23043</v>
      </c>
      <c r="V22" s="11">
        <f>39/$Y$40*(W22)</f>
        <v>1.3467625899280575</v>
      </c>
      <c r="W22" s="11">
        <f>Y22-Y21</f>
        <v>1320</v>
      </c>
      <c r="X22" s="11">
        <f>$B$29/SQRT($Y$29)*(SQRT(Y22)-SQRT(Y21))</f>
        <v>0.63185334399716875</v>
      </c>
      <c r="Y22" s="9">
        <v>23043</v>
      </c>
      <c r="Z22" s="20">
        <v>11096616.32</v>
      </c>
      <c r="AA22" s="6"/>
      <c r="AB22" s="19">
        <f>Z22/Y22</f>
        <v>481.56126893199672</v>
      </c>
      <c r="AC22" s="18">
        <f>AB22/AB$42</f>
        <v>2.7870176489626568E-2</v>
      </c>
      <c r="AD22" s="18">
        <f>AC22+AD21</f>
        <v>0.49545406470643744</v>
      </c>
      <c r="AE22" s="7"/>
      <c r="AF22" s="7"/>
      <c r="AG22" s="7"/>
    </row>
    <row r="23" spans="1:33" ht="14.25" customHeight="1" thickBot="1" x14ac:dyDescent="0.3">
      <c r="A23" s="14">
        <v>44703</v>
      </c>
      <c r="B23" s="7">
        <v>22</v>
      </c>
      <c r="C23" s="12">
        <v>23170</v>
      </c>
      <c r="D23" s="13">
        <v>11922487.35</v>
      </c>
      <c r="E23" s="12">
        <v>21995</v>
      </c>
      <c r="F23" s="13">
        <v>11100000</v>
      </c>
      <c r="G23" s="12"/>
      <c r="H23" s="7"/>
      <c r="I23" s="7"/>
      <c r="J23" s="7"/>
      <c r="K23" s="7"/>
      <c r="L23" s="7"/>
      <c r="M23" s="7"/>
      <c r="N23" s="7"/>
      <c r="O23" s="7">
        <v>24243</v>
      </c>
      <c r="P23" s="7">
        <v>24243</v>
      </c>
      <c r="Q23" s="7">
        <v>24243</v>
      </c>
      <c r="R23" s="7">
        <v>24243</v>
      </c>
      <c r="S23" s="7">
        <v>24243</v>
      </c>
      <c r="T23" s="7">
        <v>24243</v>
      </c>
      <c r="U23" s="7">
        <v>24243</v>
      </c>
      <c r="V23" s="11">
        <f>39/$Y$40*(W23)</f>
        <v>1.2243296272073252</v>
      </c>
      <c r="W23" s="11">
        <f>Y23-Y22</f>
        <v>1200</v>
      </c>
      <c r="X23" s="11">
        <f>$B$29/SQRT($Y$29)*(SQRT(Y23)-SQRT(Y22))</f>
        <v>0.55888083048516679</v>
      </c>
      <c r="Y23" s="9">
        <v>24243</v>
      </c>
      <c r="Z23" s="20">
        <v>11922487.35</v>
      </c>
      <c r="AA23" s="6"/>
      <c r="AB23" s="19">
        <f>Z23/Y23</f>
        <v>491.79092315307508</v>
      </c>
      <c r="AC23" s="18">
        <f>AB23/AB$42</f>
        <v>2.8462213862568968E-2</v>
      </c>
      <c r="AD23" s="18">
        <f>AC23+AD22</f>
        <v>0.52391627856900636</v>
      </c>
      <c r="AE23" s="7"/>
      <c r="AF23" s="7"/>
      <c r="AG23" s="7"/>
    </row>
    <row r="24" spans="1:33" ht="14.25" customHeight="1" thickBot="1" x14ac:dyDescent="0.3">
      <c r="A24" s="14">
        <v>44704</v>
      </c>
      <c r="B24" s="7">
        <v>23</v>
      </c>
      <c r="C24" s="12">
        <v>24242</v>
      </c>
      <c r="D24" s="13">
        <v>12684798.09</v>
      </c>
      <c r="E24" s="12">
        <v>23170</v>
      </c>
      <c r="F24" s="13">
        <v>11900000</v>
      </c>
      <c r="G24" s="12"/>
      <c r="H24" s="7"/>
      <c r="I24" s="7"/>
      <c r="J24" s="7"/>
      <c r="K24" s="7"/>
      <c r="L24" s="7"/>
      <c r="M24" s="7"/>
      <c r="N24" s="7"/>
      <c r="O24" s="7"/>
      <c r="P24" s="7">
        <v>26128</v>
      </c>
      <c r="Q24" s="7">
        <v>26128</v>
      </c>
      <c r="R24" s="7">
        <v>26128</v>
      </c>
      <c r="S24" s="7">
        <v>26128</v>
      </c>
      <c r="T24" s="7">
        <v>26115</v>
      </c>
      <c r="U24" s="7">
        <v>26128</v>
      </c>
      <c r="V24" s="11">
        <f>39/$Y$40*(W24)</f>
        <v>1.9232177894048399</v>
      </c>
      <c r="W24" s="11">
        <f>Y24-Y23</f>
        <v>1885</v>
      </c>
      <c r="X24" s="11">
        <f>$B$29/SQRT($Y$29)*(SQRT(Y24)-SQRT(Y23))</f>
        <v>0.85068038596015871</v>
      </c>
      <c r="Y24" s="9">
        <v>26128</v>
      </c>
      <c r="Z24" s="20">
        <v>12684798.09</v>
      </c>
      <c r="AA24" s="6"/>
      <c r="AB24" s="19">
        <f>Z24/Y24</f>
        <v>485.48676094611147</v>
      </c>
      <c r="AC24" s="18">
        <f>AB24/AB$42</f>
        <v>2.8097362856762433E-2</v>
      </c>
      <c r="AD24" s="18">
        <f>AC24+AD23</f>
        <v>0.55201364142576881</v>
      </c>
      <c r="AE24" s="7"/>
      <c r="AF24" s="7"/>
      <c r="AG24" s="7"/>
    </row>
    <row r="25" spans="1:33" ht="14.25" customHeight="1" thickBot="1" x14ac:dyDescent="0.3">
      <c r="A25" s="14">
        <v>44705</v>
      </c>
      <c r="B25" s="7">
        <v>24</v>
      </c>
      <c r="C25" s="12">
        <v>26128</v>
      </c>
      <c r="D25" s="13">
        <v>13900000</v>
      </c>
      <c r="E25" s="12">
        <v>24242</v>
      </c>
      <c r="F25" s="13">
        <v>12700000</v>
      </c>
      <c r="G25" s="12"/>
      <c r="H25" s="7"/>
      <c r="I25" s="7"/>
      <c r="J25" s="7"/>
      <c r="K25" s="7"/>
      <c r="L25" s="7"/>
      <c r="M25" s="7"/>
      <c r="N25" s="7"/>
      <c r="O25" s="7"/>
      <c r="P25" s="7"/>
      <c r="U25" s="7"/>
      <c r="V25" s="11">
        <f>39/$Y$40*(W25)</f>
        <v>2.9026814911707</v>
      </c>
      <c r="W25" s="11">
        <f>Y25-Y24</f>
        <v>2845</v>
      </c>
      <c r="X25" s="11">
        <f>$B$29/SQRT($Y$29)*(SQRT(Y25)-SQRT(Y24))</f>
        <v>1.227769061806512</v>
      </c>
      <c r="Y25" s="9">
        <v>28973</v>
      </c>
      <c r="Z25" s="20">
        <v>13900000</v>
      </c>
      <c r="AA25" s="6"/>
      <c r="AB25" s="19">
        <f>Z25/Y25</f>
        <v>479.75701515203809</v>
      </c>
      <c r="AC25" s="18">
        <f>AB25/AB$42</f>
        <v>2.776575598381836E-2</v>
      </c>
      <c r="AD25" s="18">
        <f>AC25+AD24</f>
        <v>0.57977939740958717</v>
      </c>
      <c r="AE25" s="7"/>
      <c r="AF25" s="7"/>
      <c r="AG25" s="7"/>
    </row>
    <row r="26" spans="1:33" ht="14.25" customHeight="1" thickBot="1" x14ac:dyDescent="0.3">
      <c r="A26" s="14">
        <v>44706</v>
      </c>
      <c r="B26" s="7">
        <v>25</v>
      </c>
      <c r="C26" s="12">
        <v>28988</v>
      </c>
      <c r="D26" s="13">
        <v>14500000</v>
      </c>
      <c r="E26" s="12">
        <v>26128</v>
      </c>
      <c r="F26" s="13">
        <v>13900000</v>
      </c>
      <c r="G26" s="12"/>
      <c r="H26" s="7"/>
      <c r="I26" s="7"/>
      <c r="J26" s="7"/>
      <c r="K26" s="7"/>
      <c r="L26" s="7"/>
      <c r="M26" s="7"/>
      <c r="N26" s="7"/>
      <c r="O26" s="7"/>
      <c r="P26" s="7"/>
      <c r="Q26" s="7">
        <v>28988</v>
      </c>
      <c r="R26" s="7">
        <v>28988</v>
      </c>
      <c r="S26" s="7">
        <v>28988</v>
      </c>
      <c r="T26" s="7">
        <v>28973</v>
      </c>
      <c r="U26" s="7">
        <v>28988</v>
      </c>
      <c r="V26" s="11">
        <f>39/$Y$40*(W26)</f>
        <v>1.5304120340091563E-2</v>
      </c>
      <c r="W26" s="11">
        <f>Y26-Y25</f>
        <v>15</v>
      </c>
      <c r="X26" s="11">
        <f>$B$29/SQRT($Y$29)*(SQRT(Y26)-SQRT(Y25))</f>
        <v>6.3094661436914152E-3</v>
      </c>
      <c r="Y26" s="9">
        <v>28988</v>
      </c>
      <c r="Z26" s="20">
        <v>14500000</v>
      </c>
      <c r="AA26" s="6"/>
      <c r="AB26" s="19">
        <f>Z26/Y26</f>
        <v>500.20698219953084</v>
      </c>
      <c r="AC26" s="18">
        <f>AB26/AB$42</f>
        <v>2.8949290100016466E-2</v>
      </c>
      <c r="AD26" s="18">
        <f>AC26+AD25</f>
        <v>0.60872868750960363</v>
      </c>
      <c r="AE26" s="7"/>
      <c r="AF26" s="7"/>
      <c r="AG26" s="7"/>
    </row>
    <row r="27" spans="1:33" ht="14.25" customHeight="1" thickBot="1" x14ac:dyDescent="0.3">
      <c r="A27" s="14">
        <v>44707</v>
      </c>
      <c r="B27" s="7">
        <v>26</v>
      </c>
      <c r="C27" s="12">
        <v>38091</v>
      </c>
      <c r="D27" s="13">
        <v>15400000</v>
      </c>
      <c r="E27" s="12">
        <v>28988</v>
      </c>
      <c r="F27" s="13">
        <v>14500000</v>
      </c>
      <c r="G27" s="12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33218</v>
      </c>
      <c r="S27" s="7">
        <v>33218</v>
      </c>
      <c r="T27" s="7">
        <v>33180</v>
      </c>
      <c r="U27" s="7">
        <v>33196</v>
      </c>
      <c r="V27" s="11">
        <f>39/$Y$40*(W27)</f>
        <v>4.2933158927403534</v>
      </c>
      <c r="W27" s="11">
        <f>Y27-Y26</f>
        <v>4208</v>
      </c>
      <c r="X27" s="11">
        <f>$B$29/SQRT($Y$29)*(SQRT(Y27)-SQRT(Y26))</f>
        <v>1.7098370009647132</v>
      </c>
      <c r="Y27" s="9">
        <v>33196</v>
      </c>
      <c r="Z27" s="20">
        <v>15400000</v>
      </c>
      <c r="AA27" s="6"/>
      <c r="AB27" s="19">
        <f>Z27/Y27</f>
        <v>463.91131461621882</v>
      </c>
      <c r="AC27" s="18">
        <f>AB27/AB$42</f>
        <v>2.6848692052338818E-2</v>
      </c>
      <c r="AD27" s="18">
        <f>AC27+AD26</f>
        <v>0.63557737956194249</v>
      </c>
      <c r="AE27" s="7"/>
      <c r="AF27" s="7"/>
      <c r="AG27" s="7"/>
    </row>
    <row r="28" spans="1:33" ht="14.25" customHeight="1" thickBot="1" x14ac:dyDescent="0.3">
      <c r="A28" s="14">
        <v>44708</v>
      </c>
      <c r="B28" s="7">
        <v>27</v>
      </c>
      <c r="C28" s="12">
        <v>38091</v>
      </c>
      <c r="D28" s="13">
        <v>16100000</v>
      </c>
      <c r="E28" s="12">
        <v>38091</v>
      </c>
      <c r="F28" s="13">
        <v>15400000</v>
      </c>
      <c r="G28" s="1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>
        <v>35383</v>
      </c>
      <c r="T28" s="7">
        <v>35380</v>
      </c>
      <c r="U28" s="7">
        <v>35382</v>
      </c>
      <c r="V28" s="11">
        <f>39/$Y$40*(W28)</f>
        <v>2.2303204708960105</v>
      </c>
      <c r="W28" s="11">
        <f>Y28-Y27</f>
        <v>2186</v>
      </c>
      <c r="X28" s="11">
        <f>$B$29/SQRT($Y$29)*(SQRT(Y28)-SQRT(Y27))</f>
        <v>0.84543888255920441</v>
      </c>
      <c r="Y28" s="9">
        <v>35382</v>
      </c>
      <c r="Z28" s="20">
        <v>16100000</v>
      </c>
      <c r="AA28" s="6"/>
      <c r="AB28" s="19">
        <f>Z28/Y28</f>
        <v>455.03363292069412</v>
      </c>
      <c r="AC28" s="18">
        <f>AB28/AB$42</f>
        <v>2.6334899578492794E-2</v>
      </c>
      <c r="AD28" s="18">
        <f>AC28+AD27</f>
        <v>0.66191227914043527</v>
      </c>
      <c r="AE28" s="7"/>
      <c r="AF28" s="7"/>
      <c r="AG28" s="7"/>
    </row>
    <row r="29" spans="1:33" ht="14.25" customHeight="1" thickBot="1" x14ac:dyDescent="0.3">
      <c r="A29" s="26">
        <v>44709</v>
      </c>
      <c r="B29" s="22">
        <v>28</v>
      </c>
      <c r="C29" s="25">
        <v>38225</v>
      </c>
      <c r="D29" s="24">
        <v>17000000</v>
      </c>
      <c r="E29" s="25">
        <v>38091</v>
      </c>
      <c r="F29" s="24">
        <v>16100000</v>
      </c>
      <c r="G29" s="2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>
        <v>38225</v>
      </c>
      <c r="U29" s="22">
        <v>38225</v>
      </c>
      <c r="V29" s="11">
        <f>39/$Y$40*(W29)</f>
        <v>2.9006409417920209</v>
      </c>
      <c r="W29" s="11">
        <f>Y29-Y28</f>
        <v>2843</v>
      </c>
      <c r="X29" s="11">
        <f>$B$29/SQRT($Y$29)*(SQRT(Y29)-SQRT(Y28))</f>
        <v>1.0613719813145646</v>
      </c>
      <c r="Y29" s="22">
        <v>38225</v>
      </c>
      <c r="Z29" s="24">
        <v>17000000</v>
      </c>
      <c r="AA29" s="24"/>
      <c r="AB29" s="24">
        <f>Z29/Y29</f>
        <v>444.7351209941138</v>
      </c>
      <c r="AC29" s="23">
        <f>AB29/AB$42</f>
        <v>2.5738877091861193E-2</v>
      </c>
      <c r="AD29" s="23">
        <f>AC29+AD28</f>
        <v>0.68765115623229645</v>
      </c>
      <c r="AE29" s="22"/>
      <c r="AF29" s="22"/>
      <c r="AG29" s="22"/>
    </row>
    <row r="30" spans="1:33" ht="14.25" customHeight="1" thickBot="1" x14ac:dyDescent="0.3">
      <c r="A30" s="14">
        <v>44710</v>
      </c>
      <c r="B30" s="7">
        <v>29</v>
      </c>
      <c r="C30" s="12">
        <v>38225</v>
      </c>
      <c r="D30" s="13">
        <v>17700000</v>
      </c>
      <c r="E30" s="12">
        <v>38225</v>
      </c>
      <c r="F30" s="13">
        <v>17000000</v>
      </c>
      <c r="G30" s="12"/>
      <c r="H30" s="1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21">
        <v>38225</v>
      </c>
      <c r="V30" s="11">
        <f>39/$Y$40*(W30)</f>
        <v>0</v>
      </c>
      <c r="W30" s="11">
        <f>Y30-Y29</f>
        <v>0</v>
      </c>
      <c r="X30" s="11">
        <f>$B$29/SQRT($Y$29)*(SQRT(Y30)-SQRT(Y29))</f>
        <v>0</v>
      </c>
      <c r="Y30" s="4">
        <v>38225</v>
      </c>
      <c r="Z30" s="20">
        <v>17700000</v>
      </c>
      <c r="AA30" s="6"/>
      <c r="AB30" s="19">
        <f>Z30/Y30</f>
        <v>463.04774362328317</v>
      </c>
      <c r="AC30" s="18">
        <f>AB30/AB$42</f>
        <v>2.6798713207408419E-2</v>
      </c>
      <c r="AD30" s="18">
        <f>AC30+AD29</f>
        <v>0.7144498694397049</v>
      </c>
      <c r="AE30" s="7"/>
      <c r="AF30" s="7"/>
      <c r="AG30" s="7"/>
    </row>
    <row r="31" spans="1:33" ht="14.25" customHeight="1" thickBot="1" x14ac:dyDescent="0.3">
      <c r="A31" s="14">
        <v>44711</v>
      </c>
      <c r="B31" s="7">
        <v>30</v>
      </c>
      <c r="C31" s="12">
        <v>38225</v>
      </c>
      <c r="D31" s="13">
        <v>18200000</v>
      </c>
      <c r="E31" s="12">
        <v>38225</v>
      </c>
      <c r="F31" s="13">
        <v>17700000</v>
      </c>
      <c r="G31" s="12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>
        <v>38225</v>
      </c>
      <c r="V31" s="11">
        <f>39/$Y$40*(W31)</f>
        <v>0</v>
      </c>
      <c r="W31" s="11">
        <f>Y31-Y30</f>
        <v>0</v>
      </c>
      <c r="X31" s="11">
        <f>$B$29/SQRT($Y$29)*(SQRT(Y31)-SQRT(Y30))</f>
        <v>0</v>
      </c>
      <c r="Y31" s="9">
        <v>38225</v>
      </c>
      <c r="Z31" s="20">
        <v>18200000</v>
      </c>
      <c r="AA31" s="6"/>
      <c r="AB31" s="19">
        <f>Z31/Y31</f>
        <v>476.1281883584042</v>
      </c>
      <c r="AC31" s="18">
        <f>AB31/AB$42</f>
        <v>2.7555739004227867E-2</v>
      </c>
      <c r="AD31" s="18">
        <f>AC31+AD30</f>
        <v>0.74200560844393282</v>
      </c>
      <c r="AE31" s="7"/>
      <c r="AF31" s="7"/>
      <c r="AG31" s="7"/>
    </row>
    <row r="32" spans="1:33" ht="14.25" customHeight="1" thickBot="1" x14ac:dyDescent="0.3">
      <c r="A32" s="14">
        <v>44712</v>
      </c>
      <c r="B32" s="7">
        <v>31</v>
      </c>
      <c r="C32" s="12">
        <v>38225</v>
      </c>
      <c r="D32" s="13">
        <v>18700000</v>
      </c>
      <c r="E32" s="12">
        <v>38225</v>
      </c>
      <c r="F32" s="13">
        <v>18200000</v>
      </c>
      <c r="G32" s="12"/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>
        <v>38225</v>
      </c>
      <c r="V32" s="11">
        <f>39/$Y$40*(W32)</f>
        <v>0</v>
      </c>
      <c r="W32" s="11">
        <f>Y32-Y31</f>
        <v>0</v>
      </c>
      <c r="X32" s="11">
        <f>$B$29/SQRT($Y$29)*(SQRT(Y32)-SQRT(Y31))</f>
        <v>0</v>
      </c>
      <c r="Y32" s="9">
        <v>38225</v>
      </c>
      <c r="Z32" s="20">
        <v>18700000</v>
      </c>
      <c r="AA32" s="6"/>
      <c r="AB32" s="19">
        <f>Z32/Y32</f>
        <v>489.20863309352518</v>
      </c>
      <c r="AC32" s="18">
        <f>AB32/AB$42</f>
        <v>2.8312764801047312E-2</v>
      </c>
      <c r="AD32" s="18">
        <f>AC32+AD31</f>
        <v>0.77031837324498009</v>
      </c>
      <c r="AE32" s="7"/>
      <c r="AF32" s="7"/>
      <c r="AG32" s="7"/>
    </row>
    <row r="33" spans="1:33" ht="14.25" customHeight="1" thickBot="1" x14ac:dyDescent="0.3">
      <c r="A33" s="14">
        <v>44713</v>
      </c>
      <c r="B33" s="7">
        <v>32</v>
      </c>
      <c r="C33" s="12">
        <v>38225</v>
      </c>
      <c r="D33" s="13">
        <v>18700000</v>
      </c>
      <c r="E33" s="12">
        <v>38225</v>
      </c>
      <c r="F33" s="13">
        <v>18700000</v>
      </c>
      <c r="G33" s="12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11">
        <f>39/$Y$40*(W33)</f>
        <v>0</v>
      </c>
      <c r="W33" s="11">
        <f>Y33-Y32</f>
        <v>0</v>
      </c>
      <c r="X33" s="11">
        <f>$B$29/SQRT($Y$29)*(SQRT(Y33)-SQRT(Y32))</f>
        <v>0</v>
      </c>
      <c r="Y33" s="9">
        <v>38225</v>
      </c>
      <c r="Z33" s="20">
        <v>18700000</v>
      </c>
      <c r="AA33" s="6"/>
      <c r="AB33" s="19">
        <f>Z33/Y33</f>
        <v>489.20863309352518</v>
      </c>
      <c r="AC33" s="18">
        <f>AB33/AB$42</f>
        <v>2.8312764801047312E-2</v>
      </c>
      <c r="AD33" s="18">
        <f>AC33+AD32</f>
        <v>0.79863113804602737</v>
      </c>
      <c r="AE33" s="12"/>
      <c r="AF33" s="12"/>
      <c r="AG33" s="12"/>
    </row>
    <row r="34" spans="1:33" ht="14.25" customHeight="1" thickBot="1" x14ac:dyDescent="0.3">
      <c r="A34" s="14">
        <v>44714</v>
      </c>
      <c r="B34" s="7">
        <v>33</v>
      </c>
      <c r="C34" s="12">
        <v>38225</v>
      </c>
      <c r="D34" s="13">
        <v>19000000</v>
      </c>
      <c r="E34" s="12">
        <v>38225</v>
      </c>
      <c r="F34" s="13">
        <v>18700000</v>
      </c>
      <c r="G34" s="12"/>
      <c r="H34" s="1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11">
        <f>39/$Y$40*(W34)</f>
        <v>0</v>
      </c>
      <c r="W34" s="11">
        <f>Y34-Y33</f>
        <v>0</v>
      </c>
      <c r="X34" s="11">
        <f>$B$29/SQRT($Y$29)*(SQRT(Y34)-SQRT(Y33))</f>
        <v>0</v>
      </c>
      <c r="Y34" s="9">
        <v>38225</v>
      </c>
      <c r="Z34" s="20">
        <v>19000000</v>
      </c>
      <c r="AA34" s="6"/>
      <c r="AB34" s="19">
        <f>Z34/Y34</f>
        <v>497.05689993459777</v>
      </c>
      <c r="AC34" s="18">
        <f>AB34/AB$42</f>
        <v>2.876698027913898E-2</v>
      </c>
      <c r="AD34" s="18">
        <f>AC34+AD33</f>
        <v>0.8273981183251663</v>
      </c>
      <c r="AE34" s="12"/>
      <c r="AF34" s="12"/>
      <c r="AG34" s="12"/>
    </row>
    <row r="35" spans="1:33" ht="14.25" customHeight="1" thickBot="1" x14ac:dyDescent="0.3">
      <c r="A35" s="14">
        <v>44715</v>
      </c>
      <c r="B35" s="7">
        <v>34</v>
      </c>
      <c r="C35" s="12"/>
      <c r="D35" s="13"/>
      <c r="E35" s="12">
        <v>38225</v>
      </c>
      <c r="F35" s="13">
        <v>19000000</v>
      </c>
      <c r="G35" s="12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11">
        <f>39/$Y$40*(W35)</f>
        <v>0</v>
      </c>
      <c r="W35" s="11">
        <f>Y35-Y34</f>
        <v>0</v>
      </c>
      <c r="X35" s="11">
        <f>$B$29/SQRT($Y$29)*(SQRT(Y35)-SQRT(Y34))</f>
        <v>0</v>
      </c>
      <c r="Y35" s="9">
        <v>38225</v>
      </c>
      <c r="Z35" s="20">
        <v>19000000</v>
      </c>
      <c r="AA35" s="6"/>
      <c r="AB35" s="19">
        <f>Z35/Y35</f>
        <v>497.05689993459777</v>
      </c>
      <c r="AC35" s="18">
        <f>AB35/AB$42</f>
        <v>2.876698027913898E-2</v>
      </c>
      <c r="AD35" s="18">
        <f>AC35+AD34</f>
        <v>0.85616509860430523</v>
      </c>
      <c r="AE35" s="7"/>
      <c r="AF35" s="7"/>
      <c r="AG35" s="7"/>
    </row>
    <row r="36" spans="1:33" ht="14.25" customHeight="1" thickBot="1" x14ac:dyDescent="0.3">
      <c r="A36" s="14">
        <v>44716</v>
      </c>
      <c r="B36" s="7">
        <v>35</v>
      </c>
      <c r="C36" s="12">
        <v>38225</v>
      </c>
      <c r="D36" s="13">
        <v>19000000</v>
      </c>
      <c r="E36" s="12">
        <v>38225</v>
      </c>
      <c r="F36" s="13">
        <v>19000000</v>
      </c>
      <c r="G36" s="12"/>
      <c r="H36" s="1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11">
        <f>39/$Y$40*(W36)</f>
        <v>0</v>
      </c>
      <c r="W36" s="11">
        <f>Y36-Y35</f>
        <v>0</v>
      </c>
      <c r="X36" s="11">
        <f>$B$29/SQRT($Y$29)*(SQRT(Y36)-SQRT(Y35))</f>
        <v>0</v>
      </c>
      <c r="Y36" s="9">
        <v>38225</v>
      </c>
      <c r="Z36" s="20">
        <v>19000000</v>
      </c>
      <c r="AA36" s="6"/>
      <c r="AB36" s="19">
        <f>Z36/Y36</f>
        <v>497.05689993459777</v>
      </c>
      <c r="AC36" s="18">
        <f>AB36/AB$42</f>
        <v>2.876698027913898E-2</v>
      </c>
      <c r="AD36" s="18">
        <f>AC36+AD35</f>
        <v>0.88493207888344416</v>
      </c>
      <c r="AE36" s="7"/>
      <c r="AF36" s="7"/>
      <c r="AG36" s="7"/>
    </row>
    <row r="37" spans="1:33" ht="14.25" customHeight="1" thickBot="1" x14ac:dyDescent="0.3">
      <c r="A37" s="14">
        <v>44717</v>
      </c>
      <c r="B37" s="7">
        <v>36</v>
      </c>
      <c r="D37" s="13"/>
      <c r="E37" s="12">
        <v>38225</v>
      </c>
      <c r="F37" s="13">
        <v>19000000</v>
      </c>
      <c r="G37" s="12"/>
      <c r="H37" s="1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11">
        <f>39/$Y$40*(W37)</f>
        <v>0</v>
      </c>
      <c r="W37" s="11">
        <f>Y37-Y36</f>
        <v>0</v>
      </c>
      <c r="X37" s="11">
        <f>$B$29/SQRT($Y$29)*(SQRT(Y37)-SQRT(Y36))</f>
        <v>0</v>
      </c>
      <c r="Y37" s="9">
        <v>38225</v>
      </c>
      <c r="Z37" s="20">
        <v>19000000</v>
      </c>
      <c r="AA37" s="6"/>
      <c r="AB37" s="19">
        <f>Z37/Y37</f>
        <v>497.05689993459777</v>
      </c>
      <c r="AC37" s="18">
        <f>AB37/AB$42</f>
        <v>2.876698027913898E-2</v>
      </c>
      <c r="AD37" s="18">
        <f>AC37+AD36</f>
        <v>0.91369905916258309</v>
      </c>
      <c r="AE37" s="7"/>
      <c r="AF37" s="7"/>
      <c r="AG37" s="7"/>
    </row>
    <row r="38" spans="1:33" ht="14.25" customHeight="1" thickBot="1" x14ac:dyDescent="0.3">
      <c r="A38" s="14">
        <v>44718</v>
      </c>
      <c r="B38" s="7">
        <v>37</v>
      </c>
      <c r="C38" s="12">
        <v>38225</v>
      </c>
      <c r="D38" s="13">
        <v>19000000</v>
      </c>
      <c r="E38" s="12">
        <v>38225</v>
      </c>
      <c r="F38" s="13">
        <v>19000000</v>
      </c>
      <c r="G38" s="12"/>
      <c r="H38" s="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11">
        <f>39/$Y$40*(W38)</f>
        <v>0</v>
      </c>
      <c r="W38" s="11">
        <f>Y38-Y37</f>
        <v>0</v>
      </c>
      <c r="X38" s="11">
        <f>$B$29/SQRT($Y$29)*(SQRT(Y38)-SQRT(Y37))</f>
        <v>0</v>
      </c>
      <c r="Y38" s="9">
        <v>38225</v>
      </c>
      <c r="Z38" s="20">
        <v>19000000</v>
      </c>
      <c r="AA38" s="6"/>
      <c r="AB38" s="19">
        <f>Z38/Y38</f>
        <v>497.05689993459777</v>
      </c>
      <c r="AC38" s="18">
        <f>AB38/AB$42</f>
        <v>2.876698027913898E-2</v>
      </c>
      <c r="AD38" s="18">
        <f>AC38+AD37</f>
        <v>0.94246603944172203</v>
      </c>
      <c r="AE38" s="7"/>
      <c r="AF38" s="7"/>
      <c r="AG38" s="7"/>
    </row>
    <row r="39" spans="1:33" ht="14.25" customHeight="1" thickBot="1" x14ac:dyDescent="0.3">
      <c r="A39" s="14">
        <v>44719</v>
      </c>
      <c r="B39" s="7">
        <v>38</v>
      </c>
      <c r="C39" s="12">
        <v>38225</v>
      </c>
      <c r="D39" s="13">
        <v>19000000</v>
      </c>
      <c r="E39" s="12">
        <v>38225</v>
      </c>
      <c r="F39" s="13">
        <v>19000000</v>
      </c>
      <c r="G39" s="12"/>
      <c r="H39" s="1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11">
        <f>39/$Y$40*(W39)</f>
        <v>0</v>
      </c>
      <c r="W39" s="11">
        <f>Y39-Y38</f>
        <v>0</v>
      </c>
      <c r="X39" s="11">
        <f>$B$29/SQRT($Y$29)*(SQRT(Y39)-SQRT(Y38))</f>
        <v>0</v>
      </c>
      <c r="Y39" s="9">
        <v>38225</v>
      </c>
      <c r="Z39" s="20">
        <v>19000000</v>
      </c>
      <c r="AA39" s="6"/>
      <c r="AB39" s="19">
        <f>Z39/Y39</f>
        <v>497.05689993459777</v>
      </c>
      <c r="AC39" s="18">
        <f>AB39/AB$42</f>
        <v>2.876698027913898E-2</v>
      </c>
      <c r="AD39" s="18">
        <f>AC39+AD38</f>
        <v>0.97123301972086096</v>
      </c>
      <c r="AE39" s="7"/>
      <c r="AF39" s="7"/>
      <c r="AG39" s="7"/>
    </row>
    <row r="40" spans="1:33" ht="14.25" customHeight="1" thickBot="1" x14ac:dyDescent="0.3">
      <c r="A40" s="14">
        <v>44720</v>
      </c>
      <c r="B40" s="7">
        <v>39</v>
      </c>
      <c r="C40" s="12">
        <v>38225</v>
      </c>
      <c r="D40" s="13">
        <v>19000000</v>
      </c>
      <c r="E40" s="12">
        <v>38225</v>
      </c>
      <c r="F40" s="13">
        <v>19000000</v>
      </c>
      <c r="G40" s="12"/>
      <c r="H40" s="1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11">
        <f>39/$Y$40*(W40)</f>
        <v>0</v>
      </c>
      <c r="W40" s="11">
        <f>Y40-Y39</f>
        <v>0</v>
      </c>
      <c r="X40" s="11">
        <f>$B$29/SQRT($Y$29)*(SQRT(Y40)-SQRT(Y39))</f>
        <v>0</v>
      </c>
      <c r="Y40" s="9">
        <v>38225</v>
      </c>
      <c r="Z40" s="20">
        <v>19000000</v>
      </c>
      <c r="AA40" s="6"/>
      <c r="AB40" s="19">
        <f>Z40/Y40</f>
        <v>497.05689993459777</v>
      </c>
      <c r="AC40" s="18">
        <f>AB40/AB$42</f>
        <v>2.876698027913898E-2</v>
      </c>
      <c r="AD40" s="18">
        <f>AC40+AD39</f>
        <v>0.99999999999999989</v>
      </c>
      <c r="AE40" s="7"/>
      <c r="AF40" s="7"/>
      <c r="AG40" s="7"/>
    </row>
    <row r="41" spans="1:33" ht="14.25" customHeight="1" thickBot="1" x14ac:dyDescent="0.3">
      <c r="A41" s="14">
        <v>44721</v>
      </c>
      <c r="B41" s="7">
        <v>40</v>
      </c>
      <c r="C41" s="12"/>
      <c r="D41" s="13"/>
      <c r="E41" s="12">
        <v>38225</v>
      </c>
      <c r="F41" s="13">
        <v>19000000</v>
      </c>
      <c r="G41" s="12"/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11">
        <f>28/$Y$29*(W41)</f>
        <v>0</v>
      </c>
      <c r="W41" s="15"/>
      <c r="X41" s="15"/>
      <c r="Y41" s="9"/>
      <c r="Z41" s="9"/>
      <c r="AA41" s="6"/>
      <c r="AB41" s="8"/>
      <c r="AE41" s="7"/>
      <c r="AF41" s="7"/>
      <c r="AG41" s="7"/>
    </row>
    <row r="42" spans="1:33" ht="14.25" customHeight="1" thickBot="1" x14ac:dyDescent="0.3">
      <c r="A42" s="14">
        <v>44722</v>
      </c>
      <c r="B42" s="7">
        <v>41</v>
      </c>
      <c r="C42" s="12"/>
      <c r="D42" s="13"/>
      <c r="E42" s="7"/>
      <c r="F42" s="16"/>
      <c r="G42" s="12"/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11">
        <f>28/$Y$29*(W42)</f>
        <v>0</v>
      </c>
      <c r="W42" s="15"/>
      <c r="X42" s="15"/>
      <c r="Y42" s="9"/>
      <c r="Z42" s="9"/>
      <c r="AA42" s="6"/>
      <c r="AB42" s="17">
        <f>SUM(AB3:AB40)</f>
        <v>17278.730513645525</v>
      </c>
      <c r="AE42" s="7"/>
      <c r="AF42" s="7"/>
      <c r="AG42" s="7"/>
    </row>
    <row r="43" spans="1:33" ht="14.25" customHeight="1" thickBot="1" x14ac:dyDescent="0.3">
      <c r="A43" s="14">
        <v>44723</v>
      </c>
      <c r="B43" s="7">
        <v>42</v>
      </c>
      <c r="C43" s="12"/>
      <c r="D43" s="13"/>
      <c r="E43" s="7"/>
      <c r="F43" s="16"/>
      <c r="G43" s="12"/>
      <c r="H43" s="1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11">
        <f>28/$Y$29*(W43)</f>
        <v>0</v>
      </c>
      <c r="W43" s="15"/>
      <c r="X43" s="15"/>
      <c r="Y43" s="9"/>
      <c r="Z43" s="9"/>
      <c r="AA43" s="6"/>
      <c r="AB43" s="8"/>
      <c r="AE43" s="7"/>
      <c r="AF43" s="7"/>
      <c r="AG43" s="7"/>
    </row>
    <row r="44" spans="1:33" ht="14.25" customHeight="1" thickBot="1" x14ac:dyDescent="0.3">
      <c r="A44" s="14">
        <v>44724</v>
      </c>
      <c r="B44" s="7">
        <v>43</v>
      </c>
      <c r="C44" s="12"/>
      <c r="D44" s="13"/>
      <c r="E44" s="7"/>
      <c r="F44" s="16"/>
      <c r="G44" s="12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11">
        <f>28/$Y$29*(W44)</f>
        <v>0</v>
      </c>
      <c r="W44" s="15"/>
      <c r="X44" s="15"/>
      <c r="Y44" s="9"/>
      <c r="Z44" s="9"/>
      <c r="AA44" s="6"/>
      <c r="AB44" s="8"/>
      <c r="AE44" s="7"/>
      <c r="AF44" s="7"/>
      <c r="AG44" s="7"/>
    </row>
    <row r="45" spans="1:33" ht="14.25" customHeight="1" thickBot="1" x14ac:dyDescent="0.3">
      <c r="A45" s="14">
        <v>44725</v>
      </c>
      <c r="B45" s="7">
        <v>44</v>
      </c>
      <c r="C45" s="12"/>
      <c r="D45" s="13"/>
      <c r="E45" s="7"/>
      <c r="F45" s="16"/>
      <c r="G45" s="12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11">
        <f>28/$Y$29*(W45)</f>
        <v>0</v>
      </c>
      <c r="W45" s="15"/>
      <c r="X45" s="15"/>
      <c r="Y45" s="9"/>
      <c r="Z45" s="9"/>
      <c r="AA45" s="6"/>
      <c r="AB45" s="8"/>
      <c r="AE45" s="7"/>
      <c r="AF45" s="7"/>
      <c r="AG45" s="7"/>
    </row>
    <row r="46" spans="1:33" ht="14.25" customHeight="1" thickBot="1" x14ac:dyDescent="0.3">
      <c r="A46" s="14">
        <v>44726</v>
      </c>
      <c r="B46" s="7">
        <v>45</v>
      </c>
      <c r="C46" s="12"/>
      <c r="D46" s="13"/>
      <c r="E46" s="7"/>
      <c r="F46" s="16"/>
      <c r="G46" s="12"/>
      <c r="H46" s="1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11">
        <f>28/$Y$29*(W46)</f>
        <v>0</v>
      </c>
      <c r="W46" s="15"/>
      <c r="X46" s="15"/>
      <c r="Y46" s="9"/>
      <c r="Z46" s="9"/>
      <c r="AA46" s="6"/>
      <c r="AB46" s="8"/>
      <c r="AE46" s="7"/>
      <c r="AF46" s="7"/>
      <c r="AG46" s="7"/>
    </row>
    <row r="47" spans="1:33" ht="14.25" customHeight="1" thickBot="1" x14ac:dyDescent="0.3">
      <c r="A47" s="14">
        <v>44727</v>
      </c>
      <c r="B47" s="7">
        <v>46</v>
      </c>
      <c r="C47" s="12"/>
      <c r="D47" s="13"/>
      <c r="E47" s="7"/>
      <c r="F47" s="16"/>
      <c r="G47" s="12"/>
      <c r="H47" s="1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11">
        <f>28/$Y$29*(W47)</f>
        <v>0</v>
      </c>
      <c r="W47" s="15"/>
      <c r="X47" s="15"/>
      <c r="Y47" s="9"/>
      <c r="Z47" s="9"/>
      <c r="AA47" s="6"/>
      <c r="AB47" s="8"/>
      <c r="AE47" s="7"/>
      <c r="AF47" s="7"/>
      <c r="AG47" s="7"/>
    </row>
    <row r="48" spans="1:33" ht="14.25" customHeight="1" thickBot="1" x14ac:dyDescent="0.3">
      <c r="A48" s="14">
        <v>44728</v>
      </c>
      <c r="B48" s="7">
        <v>47</v>
      </c>
      <c r="C48" s="12"/>
      <c r="D48" s="13"/>
      <c r="E48" s="7"/>
      <c r="F48" s="16"/>
      <c r="G48" s="12"/>
      <c r="H48" s="1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11">
        <f>28/$Y$29*(W48)</f>
        <v>0</v>
      </c>
      <c r="W48" s="15"/>
      <c r="X48" s="15"/>
      <c r="Y48" s="9"/>
      <c r="Z48" s="9"/>
      <c r="AA48" s="6"/>
      <c r="AB48" s="8"/>
      <c r="AE48" s="7"/>
      <c r="AF48" s="7"/>
      <c r="AG48" s="7"/>
    </row>
    <row r="49" spans="1:33" ht="14.25" customHeight="1" thickBot="1" x14ac:dyDescent="0.3">
      <c r="A49" s="14">
        <v>44729</v>
      </c>
      <c r="B49" s="7">
        <v>48</v>
      </c>
      <c r="C49" s="12"/>
      <c r="D49" s="13"/>
      <c r="E49" s="7"/>
      <c r="F49" s="16"/>
      <c r="G49" s="12"/>
      <c r="H49" s="1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11">
        <f>28/$Y$29*(W49)</f>
        <v>0</v>
      </c>
      <c r="W49" s="15"/>
      <c r="X49" s="15"/>
      <c r="Y49" s="9"/>
      <c r="Z49" s="9"/>
      <c r="AA49" s="6"/>
      <c r="AB49" s="8"/>
      <c r="AE49" s="7"/>
      <c r="AF49" s="7"/>
      <c r="AG49" s="7"/>
    </row>
    <row r="50" spans="1:33" ht="14.25" customHeight="1" thickBot="1" x14ac:dyDescent="0.3">
      <c r="A50" s="14">
        <v>44730</v>
      </c>
      <c r="B50" s="7">
        <v>49</v>
      </c>
      <c r="C50" s="12"/>
      <c r="D50" s="13"/>
      <c r="E50" s="12"/>
      <c r="F50" s="13"/>
      <c r="G50" s="12"/>
      <c r="H50" s="1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11">
        <f>28/$Y$29*(W50)</f>
        <v>0</v>
      </c>
      <c r="W50" s="15"/>
      <c r="X50" s="15"/>
      <c r="Y50" s="9"/>
      <c r="Z50" s="9"/>
      <c r="AA50" s="6"/>
      <c r="AB50" s="8"/>
      <c r="AE50" s="7"/>
      <c r="AF50" s="7"/>
      <c r="AG50" s="7"/>
    </row>
    <row r="51" spans="1:33" ht="14.25" customHeight="1" thickBot="1" x14ac:dyDescent="0.3">
      <c r="A51" s="14">
        <v>44731</v>
      </c>
      <c r="B51" s="7">
        <v>50</v>
      </c>
      <c r="C51" s="12"/>
      <c r="D51" s="13"/>
      <c r="E51" s="12"/>
      <c r="F51" s="13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1">
        <f>28/$Y$29*(W51)</f>
        <v>0</v>
      </c>
      <c r="W51" s="11"/>
      <c r="X51" s="11"/>
      <c r="Y51" s="10"/>
      <c r="Z51" s="9"/>
      <c r="AA51" s="6"/>
      <c r="AB51" s="8"/>
      <c r="AE51" s="7"/>
      <c r="AF51" s="7"/>
      <c r="AG51" s="7"/>
    </row>
    <row r="52" spans="1:33" ht="14.25" customHeight="1" thickBot="1" x14ac:dyDescent="0.3">
      <c r="A52" s="14">
        <v>44732</v>
      </c>
      <c r="B52" s="7">
        <v>51</v>
      </c>
      <c r="C52" s="12"/>
      <c r="D52" s="13"/>
      <c r="E52" s="12"/>
      <c r="F52" s="13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1">
        <f>28/$Y$29*(W52)</f>
        <v>0</v>
      </c>
      <c r="W52" s="11"/>
      <c r="X52" s="11"/>
      <c r="Y52" s="10"/>
      <c r="Z52" s="9"/>
      <c r="AA52" s="6"/>
      <c r="AB52" s="8"/>
      <c r="AE52" s="7"/>
      <c r="AF52" s="7"/>
      <c r="AG52" s="7"/>
    </row>
    <row r="53" spans="1:33" ht="14.25" customHeight="1" thickBot="1" x14ac:dyDescent="0.3">
      <c r="D53" s="5"/>
      <c r="F53" s="5"/>
      <c r="V53" s="1"/>
      <c r="W53" s="1"/>
      <c r="X53" s="1"/>
      <c r="Y53" s="4"/>
      <c r="Z53" s="4"/>
      <c r="AA53" s="6"/>
      <c r="AB53" s="2"/>
    </row>
    <row r="54" spans="1:33" ht="14.25" customHeight="1" thickBot="1" x14ac:dyDescent="0.3">
      <c r="D54" s="5"/>
      <c r="F54" s="5"/>
      <c r="V54" s="1"/>
      <c r="W54" s="1"/>
      <c r="X54" s="1"/>
      <c r="Y54" s="4"/>
      <c r="Z54" s="4"/>
      <c r="AA54" s="6"/>
      <c r="AB54" s="2"/>
    </row>
    <row r="55" spans="1:33" ht="14.25" customHeight="1" thickBot="1" x14ac:dyDescent="0.3">
      <c r="D55" s="5"/>
      <c r="F55" s="5"/>
      <c r="V55" s="1"/>
      <c r="W55" s="1"/>
      <c r="X55" s="1"/>
      <c r="Y55" s="4"/>
      <c r="Z55" s="4"/>
      <c r="AA55" s="6"/>
      <c r="AB55" s="2"/>
    </row>
    <row r="56" spans="1:33" ht="14.25" customHeight="1" thickBot="1" x14ac:dyDescent="0.3">
      <c r="D56" s="5"/>
      <c r="F56" s="5"/>
      <c r="V56" s="1"/>
      <c r="W56" s="1"/>
      <c r="X56" s="1"/>
      <c r="Y56" s="4"/>
      <c r="Z56" s="4"/>
      <c r="AA56" s="6"/>
      <c r="AB56" s="2"/>
    </row>
    <row r="57" spans="1:33" ht="14.25" customHeight="1" thickBot="1" x14ac:dyDescent="0.3">
      <c r="D57" s="5"/>
      <c r="F57" s="5"/>
      <c r="V57" s="1"/>
      <c r="W57" s="1"/>
      <c r="X57" s="1"/>
      <c r="Y57" s="4"/>
      <c r="Z57" s="4"/>
      <c r="AA57" s="6"/>
      <c r="AB57" s="2"/>
    </row>
    <row r="58" spans="1:33" ht="14.25" customHeight="1" thickBot="1" x14ac:dyDescent="0.3">
      <c r="D58" s="5"/>
      <c r="F58" s="5"/>
      <c r="V58" s="1"/>
      <c r="W58" s="1"/>
      <c r="X58" s="1"/>
      <c r="Y58" s="4"/>
      <c r="Z58" s="4"/>
      <c r="AA58" s="6"/>
      <c r="AB58" s="2"/>
    </row>
    <row r="59" spans="1:33" ht="14.25" customHeight="1" thickBot="1" x14ac:dyDescent="0.3">
      <c r="D59" s="5"/>
      <c r="F59" s="5"/>
      <c r="V59" s="1"/>
      <c r="W59" s="1"/>
      <c r="X59" s="1"/>
      <c r="Y59" s="4"/>
      <c r="Z59" s="4"/>
      <c r="AA59" s="6"/>
      <c r="AB59" s="2"/>
    </row>
    <row r="60" spans="1:33" ht="14.25" customHeight="1" thickBot="1" x14ac:dyDescent="0.3">
      <c r="D60" s="5"/>
      <c r="F60" s="5"/>
      <c r="V60" s="1"/>
      <c r="W60" s="1"/>
      <c r="X60" s="1"/>
      <c r="Y60" s="4"/>
      <c r="Z60" s="4"/>
      <c r="AA60" s="6"/>
      <c r="AB60" s="2"/>
    </row>
    <row r="61" spans="1:33" ht="14.25" customHeight="1" thickBot="1" x14ac:dyDescent="0.3">
      <c r="D61" s="5"/>
      <c r="F61" s="5"/>
      <c r="V61" s="1"/>
      <c r="W61" s="1"/>
      <c r="X61" s="1"/>
      <c r="Y61" s="4"/>
      <c r="Z61" s="4"/>
      <c r="AA61" s="6"/>
      <c r="AB61" s="2"/>
    </row>
    <row r="62" spans="1:33" ht="14.25" customHeight="1" thickBot="1" x14ac:dyDescent="0.3">
      <c r="D62" s="5"/>
      <c r="F62" s="5"/>
      <c r="V62" s="1"/>
      <c r="W62" s="1"/>
      <c r="X62" s="1"/>
      <c r="Y62" s="4"/>
      <c r="Z62" s="4"/>
      <c r="AA62" s="6"/>
      <c r="AB62" s="2"/>
    </row>
    <row r="63" spans="1:33" ht="14.25" customHeight="1" thickBot="1" x14ac:dyDescent="0.3">
      <c r="D63" s="5"/>
      <c r="F63" s="5"/>
      <c r="V63" s="1"/>
      <c r="W63" s="1"/>
      <c r="X63" s="1"/>
      <c r="Y63" s="4"/>
      <c r="Z63" s="4"/>
      <c r="AA63" s="6"/>
      <c r="AB63" s="2"/>
    </row>
    <row r="64" spans="1:33" ht="14.25" customHeight="1" thickBot="1" x14ac:dyDescent="0.3">
      <c r="D64" s="5"/>
      <c r="F64" s="5"/>
      <c r="V64" s="1"/>
      <c r="W64" s="1"/>
      <c r="X64" s="1"/>
      <c r="Y64" s="4"/>
      <c r="Z64" s="4"/>
      <c r="AA64" s="6"/>
      <c r="AB64" s="2"/>
    </row>
    <row r="65" spans="4:28" ht="14.25" customHeight="1" thickBot="1" x14ac:dyDescent="0.3">
      <c r="D65" s="5"/>
      <c r="F65" s="5"/>
      <c r="V65" s="1"/>
      <c r="W65" s="1"/>
      <c r="X65" s="1"/>
      <c r="Y65" s="4"/>
      <c r="Z65" s="4"/>
      <c r="AA65" s="6"/>
      <c r="AB65" s="2"/>
    </row>
    <row r="66" spans="4:28" ht="14.25" customHeight="1" thickBot="1" x14ac:dyDescent="0.3">
      <c r="D66" s="5"/>
      <c r="F66" s="5"/>
      <c r="V66" s="1"/>
      <c r="W66" s="1"/>
      <c r="X66" s="1"/>
      <c r="Y66" s="4"/>
      <c r="Z66" s="4"/>
      <c r="AA66" s="6"/>
      <c r="AB66" s="2"/>
    </row>
    <row r="67" spans="4:28" ht="14.25" customHeight="1" thickBot="1" x14ac:dyDescent="0.3">
      <c r="D67" s="5"/>
      <c r="F67" s="5"/>
      <c r="V67" s="1"/>
      <c r="W67" s="1"/>
      <c r="X67" s="1"/>
      <c r="Y67" s="4"/>
      <c r="Z67" s="4"/>
      <c r="AA67" s="6"/>
      <c r="AB67" s="2"/>
    </row>
    <row r="68" spans="4:28" ht="14.25" customHeight="1" thickBot="1" x14ac:dyDescent="0.3">
      <c r="D68" s="5"/>
      <c r="F68" s="5"/>
      <c r="V68" s="1"/>
      <c r="W68" s="1"/>
      <c r="X68" s="1"/>
      <c r="Y68" s="4"/>
      <c r="Z68" s="4"/>
      <c r="AA68" s="6"/>
      <c r="AB68" s="2"/>
    </row>
    <row r="69" spans="4:28" ht="14.25" customHeight="1" thickBot="1" x14ac:dyDescent="0.3">
      <c r="D69" s="5"/>
      <c r="F69" s="5"/>
      <c r="V69" s="1"/>
      <c r="W69" s="1"/>
      <c r="X69" s="1"/>
      <c r="Y69" s="4"/>
      <c r="Z69" s="4"/>
      <c r="AA69" s="6"/>
      <c r="AB69" s="2"/>
    </row>
    <row r="70" spans="4:28" ht="14.25" customHeight="1" thickBot="1" x14ac:dyDescent="0.3">
      <c r="D70" s="5"/>
      <c r="F70" s="5"/>
      <c r="V70" s="1"/>
      <c r="W70" s="1"/>
      <c r="X70" s="1"/>
      <c r="Y70" s="4"/>
      <c r="Z70" s="4"/>
      <c r="AA70" s="6"/>
      <c r="AB70" s="2"/>
    </row>
    <row r="71" spans="4:28" ht="14.25" customHeight="1" thickBot="1" x14ac:dyDescent="0.3">
      <c r="D71" s="5"/>
      <c r="F71" s="5"/>
      <c r="V71" s="1"/>
      <c r="W71" s="1"/>
      <c r="X71" s="1"/>
      <c r="Y71" s="4"/>
      <c r="Z71" s="4"/>
      <c r="AA71" s="6"/>
      <c r="AB71" s="2"/>
    </row>
    <row r="72" spans="4:28" ht="14.25" customHeight="1" thickBot="1" x14ac:dyDescent="0.3">
      <c r="D72" s="5"/>
      <c r="F72" s="5"/>
      <c r="V72" s="1"/>
      <c r="W72" s="1"/>
      <c r="X72" s="1"/>
      <c r="Y72" s="4"/>
      <c r="Z72" s="4"/>
      <c r="AA72" s="6"/>
      <c r="AB72" s="2"/>
    </row>
    <row r="73" spans="4:28" ht="14.25" customHeight="1" thickBot="1" x14ac:dyDescent="0.3">
      <c r="D73" s="5"/>
      <c r="F73" s="5"/>
      <c r="V73" s="1"/>
      <c r="W73" s="1"/>
      <c r="X73" s="1"/>
      <c r="Y73" s="4"/>
      <c r="Z73" s="4"/>
      <c r="AA73" s="6"/>
      <c r="AB73" s="2"/>
    </row>
    <row r="74" spans="4:28" ht="14.25" customHeight="1" thickBot="1" x14ac:dyDescent="0.3">
      <c r="D74" s="5"/>
      <c r="F74" s="5"/>
      <c r="V74" s="1"/>
      <c r="W74" s="1"/>
      <c r="X74" s="1"/>
      <c r="Y74" s="4"/>
      <c r="Z74" s="4"/>
      <c r="AA74" s="6"/>
      <c r="AB74" s="2"/>
    </row>
    <row r="75" spans="4:28" ht="14.25" customHeight="1" thickBot="1" x14ac:dyDescent="0.3">
      <c r="D75" s="5"/>
      <c r="F75" s="5"/>
      <c r="V75" s="1"/>
      <c r="W75" s="1"/>
      <c r="X75" s="1"/>
      <c r="Y75" s="4"/>
      <c r="Z75" s="4"/>
      <c r="AA75" s="6"/>
      <c r="AB75" s="2"/>
    </row>
    <row r="76" spans="4:28" ht="14.25" customHeight="1" thickBot="1" x14ac:dyDescent="0.3">
      <c r="D76" s="5"/>
      <c r="F76" s="5"/>
      <c r="V76" s="1"/>
      <c r="W76" s="1"/>
      <c r="X76" s="1"/>
      <c r="Y76" s="4"/>
      <c r="Z76" s="4"/>
      <c r="AA76" s="6"/>
      <c r="AB76" s="2"/>
    </row>
    <row r="77" spans="4:28" ht="14.25" customHeight="1" thickBot="1" x14ac:dyDescent="0.3">
      <c r="D77" s="5"/>
      <c r="F77" s="5"/>
      <c r="V77" s="1"/>
      <c r="W77" s="1"/>
      <c r="X77" s="1"/>
      <c r="Y77" s="4"/>
      <c r="Z77" s="4"/>
      <c r="AA77" s="6"/>
      <c r="AB77" s="2"/>
    </row>
    <row r="78" spans="4:28" ht="14.25" customHeight="1" thickBot="1" x14ac:dyDescent="0.3">
      <c r="D78" s="5"/>
      <c r="F78" s="5"/>
      <c r="V78" s="1"/>
      <c r="W78" s="1"/>
      <c r="X78" s="1"/>
      <c r="Y78" s="4"/>
      <c r="Z78" s="4"/>
      <c r="AA78" s="6"/>
      <c r="AB78" s="2"/>
    </row>
    <row r="79" spans="4:28" ht="14.25" customHeight="1" thickBot="1" x14ac:dyDescent="0.3">
      <c r="D79" s="5"/>
      <c r="F79" s="5"/>
      <c r="V79" s="1"/>
      <c r="W79" s="1"/>
      <c r="X79" s="1"/>
      <c r="Y79" s="4"/>
      <c r="Z79" s="4"/>
      <c r="AA79" s="6"/>
      <c r="AB79" s="2"/>
    </row>
    <row r="80" spans="4:28" ht="14.25" customHeight="1" thickBot="1" x14ac:dyDescent="0.3">
      <c r="D80" s="5"/>
      <c r="F80" s="5"/>
      <c r="V80" s="1"/>
      <c r="W80" s="1"/>
      <c r="X80" s="1"/>
      <c r="Y80" s="4"/>
      <c r="Z80" s="4"/>
      <c r="AA80" s="6"/>
      <c r="AB80" s="2"/>
    </row>
    <row r="81" spans="4:28" ht="14.25" customHeight="1" thickBot="1" x14ac:dyDescent="0.3">
      <c r="D81" s="5"/>
      <c r="F81" s="5"/>
      <c r="V81" s="1"/>
      <c r="W81" s="1"/>
      <c r="X81" s="1"/>
      <c r="Y81" s="4"/>
      <c r="Z81" s="4"/>
      <c r="AA81" s="6"/>
      <c r="AB81" s="2"/>
    </row>
    <row r="82" spans="4:28" ht="14.25" customHeight="1" thickBot="1" x14ac:dyDescent="0.3">
      <c r="D82" s="5"/>
      <c r="F82" s="5"/>
      <c r="V82" s="1"/>
      <c r="W82" s="1"/>
      <c r="X82" s="1"/>
      <c r="Y82" s="4"/>
      <c r="Z82" s="4"/>
      <c r="AA82" s="6"/>
      <c r="AB82" s="2"/>
    </row>
    <row r="83" spans="4:28" ht="14.25" customHeight="1" thickBot="1" x14ac:dyDescent="0.3">
      <c r="D83" s="5"/>
      <c r="F83" s="5"/>
      <c r="V83" s="1"/>
      <c r="W83" s="1"/>
      <c r="X83" s="1"/>
      <c r="Y83" s="4"/>
      <c r="Z83" s="4"/>
      <c r="AA83" s="6"/>
      <c r="AB83" s="2"/>
    </row>
    <row r="84" spans="4:28" ht="14.25" customHeight="1" thickBot="1" x14ac:dyDescent="0.3">
      <c r="D84" s="5"/>
      <c r="F84" s="5"/>
      <c r="V84" s="1"/>
      <c r="W84" s="1"/>
      <c r="X84" s="1"/>
      <c r="Y84" s="4"/>
      <c r="Z84" s="4"/>
      <c r="AA84" s="6"/>
      <c r="AB84" s="2"/>
    </row>
    <row r="85" spans="4:28" ht="14.25" customHeight="1" thickBot="1" x14ac:dyDescent="0.3">
      <c r="D85" s="5"/>
      <c r="F85" s="5"/>
      <c r="V85" s="1"/>
      <c r="W85" s="1"/>
      <c r="X85" s="1"/>
      <c r="Y85" s="4"/>
      <c r="Z85" s="4"/>
      <c r="AA85" s="6"/>
      <c r="AB85" s="2"/>
    </row>
    <row r="86" spans="4:28" ht="14.25" customHeight="1" thickBot="1" x14ac:dyDescent="0.3">
      <c r="D86" s="5"/>
      <c r="F86" s="5"/>
      <c r="V86" s="1"/>
      <c r="W86" s="1"/>
      <c r="X86" s="1"/>
      <c r="Y86" s="4"/>
      <c r="Z86" s="4"/>
      <c r="AA86" s="6"/>
      <c r="AB86" s="2"/>
    </row>
    <row r="87" spans="4:28" ht="14.25" customHeight="1" thickBot="1" x14ac:dyDescent="0.3">
      <c r="D87" s="5"/>
      <c r="F87" s="5"/>
      <c r="V87" s="1"/>
      <c r="W87" s="1"/>
      <c r="X87" s="1"/>
      <c r="Y87" s="4"/>
      <c r="Z87" s="4"/>
      <c r="AA87" s="6"/>
      <c r="AB87" s="2"/>
    </row>
    <row r="88" spans="4:28" ht="14.25" customHeight="1" thickBot="1" x14ac:dyDescent="0.3">
      <c r="D88" s="5"/>
      <c r="F88" s="5"/>
      <c r="V88" s="1"/>
      <c r="W88" s="1"/>
      <c r="X88" s="1"/>
      <c r="Y88" s="4"/>
      <c r="Z88" s="4"/>
      <c r="AA88" s="6"/>
      <c r="AB88" s="2"/>
    </row>
    <row r="89" spans="4:28" ht="14.25" customHeight="1" thickBot="1" x14ac:dyDescent="0.3">
      <c r="D89" s="5"/>
      <c r="F89" s="5"/>
      <c r="V89" s="1"/>
      <c r="W89" s="1"/>
      <c r="X89" s="1"/>
      <c r="Y89" s="4"/>
      <c r="Z89" s="4"/>
      <c r="AA89" s="6"/>
      <c r="AB89" s="2"/>
    </row>
    <row r="90" spans="4:28" ht="14.25" customHeight="1" thickBot="1" x14ac:dyDescent="0.3">
      <c r="D90" s="5"/>
      <c r="F90" s="5"/>
      <c r="V90" s="1"/>
      <c r="W90" s="1"/>
      <c r="X90" s="1"/>
      <c r="Y90" s="4"/>
      <c r="Z90" s="4"/>
      <c r="AA90" s="6"/>
      <c r="AB90" s="2"/>
    </row>
    <row r="91" spans="4:28" ht="14.25" customHeight="1" thickBot="1" x14ac:dyDescent="0.3">
      <c r="D91" s="5"/>
      <c r="F91" s="5"/>
      <c r="V91" s="1"/>
      <c r="W91" s="1"/>
      <c r="X91" s="1"/>
      <c r="Y91" s="4"/>
      <c r="Z91" s="4"/>
      <c r="AA91" s="6"/>
      <c r="AB91" s="2"/>
    </row>
    <row r="92" spans="4:28" ht="14.25" customHeight="1" thickBot="1" x14ac:dyDescent="0.3">
      <c r="D92" s="5"/>
      <c r="F92" s="5"/>
      <c r="V92" s="1"/>
      <c r="W92" s="1"/>
      <c r="X92" s="1"/>
      <c r="Y92" s="4"/>
      <c r="Z92" s="4"/>
      <c r="AA92" s="6"/>
      <c r="AB92" s="2"/>
    </row>
    <row r="93" spans="4:28" ht="14.25" customHeight="1" thickBot="1" x14ac:dyDescent="0.3">
      <c r="D93" s="5"/>
      <c r="F93" s="5"/>
      <c r="V93" s="1"/>
      <c r="W93" s="1"/>
      <c r="X93" s="1"/>
      <c r="Y93" s="4"/>
      <c r="Z93" s="4"/>
      <c r="AA93" s="6"/>
      <c r="AB93" s="2"/>
    </row>
    <row r="94" spans="4:28" ht="14.25" customHeight="1" thickBot="1" x14ac:dyDescent="0.3">
      <c r="D94" s="5"/>
      <c r="F94" s="5"/>
      <c r="V94" s="1"/>
      <c r="W94" s="1"/>
      <c r="X94" s="1"/>
      <c r="Y94" s="4"/>
      <c r="Z94" s="4"/>
      <c r="AA94" s="6"/>
      <c r="AB94" s="2"/>
    </row>
    <row r="95" spans="4:28" ht="14.25" customHeight="1" thickBot="1" x14ac:dyDescent="0.3">
      <c r="D95" s="5"/>
      <c r="F95" s="5"/>
      <c r="V95" s="1"/>
      <c r="W95" s="1"/>
      <c r="X95" s="1"/>
      <c r="Y95" s="4"/>
      <c r="Z95" s="4"/>
      <c r="AA95" s="6"/>
      <c r="AB95" s="2"/>
    </row>
    <row r="96" spans="4:28" ht="14.25" customHeight="1" thickBot="1" x14ac:dyDescent="0.3">
      <c r="D96" s="5"/>
      <c r="F96" s="5"/>
      <c r="V96" s="1"/>
      <c r="W96" s="1"/>
      <c r="X96" s="1"/>
      <c r="Y96" s="4"/>
      <c r="Z96" s="4"/>
      <c r="AA96" s="6"/>
      <c r="AB96" s="2"/>
    </row>
    <row r="97" spans="4:28" ht="14.25" customHeight="1" thickBot="1" x14ac:dyDescent="0.3">
      <c r="D97" s="5"/>
      <c r="F97" s="5"/>
      <c r="V97" s="1"/>
      <c r="W97" s="1"/>
      <c r="X97" s="1"/>
      <c r="Y97" s="4"/>
      <c r="Z97" s="4"/>
      <c r="AA97" s="6"/>
      <c r="AB97" s="2"/>
    </row>
    <row r="98" spans="4:28" ht="14.25" customHeight="1" thickBot="1" x14ac:dyDescent="0.3">
      <c r="D98" s="5"/>
      <c r="F98" s="5"/>
      <c r="V98" s="1"/>
      <c r="W98" s="1"/>
      <c r="X98" s="1"/>
      <c r="Y98" s="4"/>
      <c r="Z98" s="4"/>
      <c r="AA98" s="6"/>
      <c r="AB98" s="2"/>
    </row>
    <row r="99" spans="4:28" ht="14.25" customHeight="1" thickBot="1" x14ac:dyDescent="0.3">
      <c r="D99" s="5"/>
      <c r="F99" s="5"/>
      <c r="V99" s="1"/>
      <c r="W99" s="1"/>
      <c r="X99" s="1"/>
      <c r="Y99" s="4"/>
      <c r="Z99" s="4"/>
      <c r="AA99" s="6"/>
      <c r="AB99" s="2"/>
    </row>
    <row r="100" spans="4:28" ht="14.25" customHeight="1" thickBot="1" x14ac:dyDescent="0.3">
      <c r="D100" s="5"/>
      <c r="F100" s="5"/>
      <c r="V100" s="1"/>
      <c r="W100" s="1"/>
      <c r="X100" s="1"/>
      <c r="Y100" s="4"/>
      <c r="Z100" s="4"/>
      <c r="AA100" s="6"/>
      <c r="AB100" s="2"/>
    </row>
    <row r="101" spans="4:28" ht="14.25" customHeight="1" thickBot="1" x14ac:dyDescent="0.3">
      <c r="D101" s="5"/>
      <c r="F101" s="5"/>
      <c r="V101" s="1"/>
      <c r="W101" s="1"/>
      <c r="X101" s="1"/>
      <c r="Y101" s="4"/>
      <c r="Z101" s="4"/>
      <c r="AA101" s="6"/>
      <c r="AB101" s="2"/>
    </row>
    <row r="102" spans="4:28" ht="14.25" customHeight="1" thickBot="1" x14ac:dyDescent="0.3">
      <c r="D102" s="5"/>
      <c r="F102" s="5"/>
      <c r="V102" s="1"/>
      <c r="W102" s="1"/>
      <c r="X102" s="1"/>
      <c r="Y102" s="4"/>
      <c r="Z102" s="4"/>
      <c r="AA102" s="6"/>
      <c r="AB102" s="2"/>
    </row>
    <row r="103" spans="4:28" ht="14.25" customHeight="1" thickBot="1" x14ac:dyDescent="0.3">
      <c r="D103" s="5"/>
      <c r="F103" s="5"/>
      <c r="V103" s="1"/>
      <c r="W103" s="1"/>
      <c r="X103" s="1"/>
      <c r="Y103" s="4"/>
      <c r="Z103" s="4"/>
      <c r="AA103" s="6"/>
      <c r="AB103" s="2"/>
    </row>
    <row r="104" spans="4:28" ht="14.25" customHeight="1" thickBot="1" x14ac:dyDescent="0.3">
      <c r="D104" s="5"/>
      <c r="F104" s="5"/>
      <c r="V104" s="1"/>
      <c r="W104" s="1"/>
      <c r="X104" s="1"/>
      <c r="Y104" s="4"/>
      <c r="Z104" s="4"/>
      <c r="AA104" s="6"/>
      <c r="AB104" s="2"/>
    </row>
    <row r="105" spans="4:28" ht="14.25" customHeight="1" thickBot="1" x14ac:dyDescent="0.3">
      <c r="D105" s="5"/>
      <c r="F105" s="5"/>
      <c r="V105" s="1"/>
      <c r="W105" s="1"/>
      <c r="X105" s="1"/>
      <c r="Y105" s="4"/>
      <c r="Z105" s="4"/>
      <c r="AA105" s="6"/>
      <c r="AB105" s="2"/>
    </row>
    <row r="106" spans="4:28" ht="14.25" customHeight="1" thickBot="1" x14ac:dyDescent="0.3">
      <c r="D106" s="5"/>
      <c r="F106" s="5"/>
      <c r="V106" s="1"/>
      <c r="W106" s="1"/>
      <c r="X106" s="1"/>
      <c r="Y106" s="4"/>
      <c r="Z106" s="4"/>
      <c r="AA106" s="6"/>
      <c r="AB106" s="2"/>
    </row>
    <row r="107" spans="4:28" ht="14.25" customHeight="1" thickBot="1" x14ac:dyDescent="0.3">
      <c r="D107" s="5"/>
      <c r="F107" s="5"/>
      <c r="V107" s="1"/>
      <c r="W107" s="1"/>
      <c r="X107" s="1"/>
      <c r="Y107" s="4"/>
      <c r="Z107" s="4"/>
      <c r="AA107" s="6"/>
      <c r="AB107" s="2"/>
    </row>
    <row r="108" spans="4:28" ht="14.25" customHeight="1" thickBot="1" x14ac:dyDescent="0.3">
      <c r="D108" s="5"/>
      <c r="F108" s="5"/>
      <c r="V108" s="1"/>
      <c r="W108" s="1"/>
      <c r="X108" s="1"/>
      <c r="Y108" s="4"/>
      <c r="Z108" s="4"/>
      <c r="AA108" s="6"/>
      <c r="AB108" s="2"/>
    </row>
    <row r="109" spans="4:28" ht="14.25" customHeight="1" thickBot="1" x14ac:dyDescent="0.3">
      <c r="D109" s="5"/>
      <c r="F109" s="5"/>
      <c r="V109" s="1"/>
      <c r="W109" s="1"/>
      <c r="X109" s="1"/>
      <c r="Y109" s="4"/>
      <c r="Z109" s="4"/>
      <c r="AA109" s="6"/>
      <c r="AB109" s="2"/>
    </row>
    <row r="110" spans="4:28" ht="14.25" customHeight="1" thickBot="1" x14ac:dyDescent="0.3">
      <c r="D110" s="5"/>
      <c r="F110" s="5"/>
      <c r="V110" s="1"/>
      <c r="W110" s="1"/>
      <c r="X110" s="1"/>
      <c r="Y110" s="4"/>
      <c r="Z110" s="4"/>
      <c r="AA110" s="6"/>
      <c r="AB110" s="2"/>
    </row>
    <row r="111" spans="4:28" ht="14.25" customHeight="1" thickBot="1" x14ac:dyDescent="0.3">
      <c r="D111" s="5"/>
      <c r="F111" s="5"/>
      <c r="V111" s="1"/>
      <c r="W111" s="1"/>
      <c r="X111" s="1"/>
      <c r="Y111" s="4"/>
      <c r="Z111" s="4"/>
      <c r="AA111" s="6"/>
      <c r="AB111" s="2"/>
    </row>
    <row r="112" spans="4:28" ht="14.25" customHeight="1" thickBot="1" x14ac:dyDescent="0.3">
      <c r="D112" s="5"/>
      <c r="F112" s="5"/>
      <c r="V112" s="1"/>
      <c r="W112" s="1"/>
      <c r="X112" s="1"/>
      <c r="Y112" s="4"/>
      <c r="Z112" s="4"/>
      <c r="AA112" s="6"/>
      <c r="AB112" s="2"/>
    </row>
    <row r="113" spans="4:28" ht="14.25" customHeight="1" thickBot="1" x14ac:dyDescent="0.3">
      <c r="D113" s="5"/>
      <c r="F113" s="5"/>
      <c r="V113" s="1"/>
      <c r="W113" s="1"/>
      <c r="X113" s="1"/>
      <c r="Y113" s="4"/>
      <c r="Z113" s="4"/>
      <c r="AA113" s="6"/>
      <c r="AB113" s="2"/>
    </row>
    <row r="114" spans="4:28" ht="14.25" customHeight="1" thickBot="1" x14ac:dyDescent="0.3">
      <c r="D114" s="5"/>
      <c r="F114" s="5"/>
      <c r="V114" s="1"/>
      <c r="W114" s="1"/>
      <c r="X114" s="1"/>
      <c r="Y114" s="4"/>
      <c r="Z114" s="4"/>
      <c r="AA114" s="6"/>
      <c r="AB114" s="2"/>
    </row>
    <row r="115" spans="4:28" ht="14.25" customHeight="1" thickBot="1" x14ac:dyDescent="0.3">
      <c r="D115" s="5"/>
      <c r="F115" s="5"/>
      <c r="V115" s="1"/>
      <c r="W115" s="1"/>
      <c r="X115" s="1"/>
      <c r="Y115" s="4"/>
      <c r="Z115" s="4"/>
      <c r="AA115" s="6"/>
      <c r="AB115" s="2"/>
    </row>
    <row r="116" spans="4:28" ht="14.25" customHeight="1" x14ac:dyDescent="0.25">
      <c r="D116" s="5"/>
      <c r="F116" s="5"/>
      <c r="V116" s="1"/>
      <c r="W116" s="1"/>
      <c r="X116" s="1"/>
      <c r="Y116" s="4"/>
      <c r="Z116" s="4"/>
      <c r="AA116" s="3"/>
      <c r="AB116" s="2"/>
    </row>
    <row r="117" spans="4:28" ht="14.25" customHeight="1" x14ac:dyDescent="0.25">
      <c r="D117" s="5"/>
      <c r="F117" s="5"/>
      <c r="V117" s="1"/>
      <c r="W117" s="1"/>
      <c r="X117" s="1"/>
      <c r="Y117" s="4"/>
      <c r="Z117" s="4"/>
      <c r="AA117" s="3"/>
      <c r="AB117" s="2"/>
    </row>
    <row r="118" spans="4:28" ht="14.25" customHeight="1" x14ac:dyDescent="0.25">
      <c r="D118" s="5"/>
      <c r="F118" s="5"/>
      <c r="V118" s="1"/>
      <c r="W118" s="1"/>
      <c r="X118" s="1"/>
      <c r="Y118" s="4"/>
      <c r="Z118" s="4"/>
      <c r="AA118" s="3"/>
      <c r="AB118" s="2"/>
    </row>
    <row r="119" spans="4:28" ht="14.25" customHeight="1" x14ac:dyDescent="0.25">
      <c r="D119" s="5"/>
      <c r="F119" s="5"/>
      <c r="V119" s="1"/>
      <c r="W119" s="1"/>
      <c r="X119" s="1"/>
      <c r="Y119" s="4"/>
      <c r="Z119" s="4"/>
      <c r="AA119" s="3"/>
      <c r="AB119" s="2"/>
    </row>
    <row r="120" spans="4:28" ht="14.25" customHeight="1" x14ac:dyDescent="0.25">
      <c r="D120" s="5"/>
      <c r="F120" s="5"/>
      <c r="V120" s="1"/>
      <c r="W120" s="1"/>
      <c r="X120" s="1"/>
      <c r="Y120" s="4"/>
      <c r="Z120" s="4"/>
      <c r="AA120" s="3"/>
      <c r="AB120" s="2"/>
    </row>
    <row r="121" spans="4:28" ht="14.25" customHeight="1" x14ac:dyDescent="0.25">
      <c r="D121" s="5"/>
      <c r="F121" s="5"/>
      <c r="V121" s="1"/>
      <c r="W121" s="1"/>
      <c r="X121" s="1"/>
      <c r="Y121" s="4"/>
      <c r="Z121" s="4"/>
      <c r="AA121" s="3"/>
      <c r="AB121" s="2"/>
    </row>
    <row r="122" spans="4:28" ht="14.25" customHeight="1" x14ac:dyDescent="0.25">
      <c r="D122" s="5"/>
      <c r="F122" s="5"/>
      <c r="V122" s="1"/>
      <c r="W122" s="1"/>
      <c r="X122" s="1"/>
      <c r="Y122" s="4"/>
      <c r="Z122" s="4"/>
      <c r="AA122" s="3"/>
      <c r="AB122" s="2"/>
    </row>
    <row r="123" spans="4:28" ht="14.25" customHeight="1" x14ac:dyDescent="0.25">
      <c r="D123" s="5"/>
      <c r="F123" s="5"/>
      <c r="V123" s="1"/>
      <c r="W123" s="1"/>
      <c r="X123" s="1"/>
      <c r="Y123" s="4"/>
      <c r="Z123" s="4"/>
      <c r="AA123" s="3"/>
      <c r="AB123" s="2"/>
    </row>
    <row r="124" spans="4:28" ht="14.25" customHeight="1" x14ac:dyDescent="0.25">
      <c r="D124" s="5"/>
      <c r="F124" s="5"/>
      <c r="V124" s="1"/>
      <c r="W124" s="1"/>
      <c r="X124" s="1"/>
      <c r="Y124" s="4"/>
      <c r="Z124" s="4"/>
      <c r="AA124" s="3"/>
      <c r="AB124" s="2"/>
    </row>
    <row r="125" spans="4:28" ht="14.25" customHeight="1" x14ac:dyDescent="0.25">
      <c r="D125" s="5"/>
      <c r="F125" s="5"/>
      <c r="V125" s="1"/>
      <c r="W125" s="1"/>
      <c r="X125" s="1"/>
      <c r="Y125" s="4"/>
      <c r="Z125" s="4"/>
      <c r="AA125" s="3"/>
      <c r="AB125" s="2"/>
    </row>
    <row r="126" spans="4:28" ht="14.25" customHeight="1" x14ac:dyDescent="0.25">
      <c r="D126" s="5"/>
      <c r="F126" s="5"/>
      <c r="V126" s="1"/>
      <c r="W126" s="1"/>
      <c r="X126" s="1"/>
      <c r="Y126" s="4"/>
      <c r="Z126" s="4"/>
      <c r="AA126" s="3"/>
      <c r="AB126" s="2"/>
    </row>
    <row r="127" spans="4:28" ht="14.25" customHeight="1" x14ac:dyDescent="0.25">
      <c r="D127" s="5"/>
      <c r="F127" s="5"/>
      <c r="V127" s="1"/>
      <c r="W127" s="1"/>
      <c r="X127" s="1"/>
      <c r="Y127" s="4"/>
      <c r="Z127" s="4"/>
      <c r="AA127" s="3"/>
      <c r="AB127" s="2"/>
    </row>
    <row r="128" spans="4:28" ht="14.25" customHeight="1" x14ac:dyDescent="0.25">
      <c r="D128" s="5"/>
      <c r="F128" s="5"/>
      <c r="V128" s="1"/>
      <c r="W128" s="1"/>
      <c r="X128" s="1"/>
      <c r="Y128" s="4"/>
      <c r="Z128" s="4"/>
      <c r="AA128" s="3"/>
      <c r="AB128" s="2"/>
    </row>
    <row r="129" spans="4:28" ht="14.25" customHeight="1" x14ac:dyDescent="0.25">
      <c r="D129" s="5"/>
      <c r="F129" s="5"/>
      <c r="V129" s="1"/>
      <c r="W129" s="1"/>
      <c r="X129" s="1"/>
      <c r="Y129" s="4"/>
      <c r="Z129" s="4"/>
      <c r="AA129" s="3"/>
      <c r="AB129" s="2"/>
    </row>
    <row r="130" spans="4:28" ht="14.25" customHeight="1" x14ac:dyDescent="0.25">
      <c r="D130" s="5"/>
      <c r="F130" s="5"/>
      <c r="V130" s="1"/>
      <c r="W130" s="1"/>
      <c r="X130" s="1"/>
      <c r="Y130" s="4"/>
      <c r="Z130" s="4"/>
      <c r="AA130" s="3"/>
      <c r="AB130" s="2"/>
    </row>
    <row r="131" spans="4:28" ht="14.25" customHeight="1" x14ac:dyDescent="0.25">
      <c r="D131" s="5"/>
      <c r="F131" s="5"/>
      <c r="V131" s="1"/>
      <c r="W131" s="1"/>
      <c r="X131" s="1"/>
      <c r="Y131" s="4"/>
      <c r="Z131" s="4"/>
      <c r="AA131" s="3"/>
      <c r="AB131" s="2"/>
    </row>
    <row r="132" spans="4:28" ht="14.25" customHeight="1" x14ac:dyDescent="0.25">
      <c r="D132" s="5"/>
      <c r="F132" s="5"/>
      <c r="V132" s="1"/>
      <c r="W132" s="1"/>
      <c r="X132" s="1"/>
      <c r="Y132" s="4"/>
      <c r="Z132" s="4"/>
      <c r="AA132" s="3"/>
      <c r="AB132" s="2"/>
    </row>
    <row r="133" spans="4:28" ht="14.25" customHeight="1" x14ac:dyDescent="0.25">
      <c r="D133" s="5"/>
      <c r="F133" s="5"/>
      <c r="V133" s="1"/>
      <c r="W133" s="1"/>
      <c r="X133" s="1"/>
      <c r="Y133" s="4"/>
      <c r="Z133" s="4"/>
      <c r="AA133" s="3"/>
      <c r="AB133" s="2"/>
    </row>
    <row r="134" spans="4:28" ht="14.25" customHeight="1" x14ac:dyDescent="0.25">
      <c r="D134" s="5"/>
      <c r="F134" s="5"/>
      <c r="V134" s="1"/>
      <c r="W134" s="1"/>
      <c r="X134" s="1"/>
      <c r="Y134" s="4"/>
      <c r="Z134" s="4"/>
      <c r="AA134" s="3"/>
      <c r="AB134" s="2"/>
    </row>
    <row r="135" spans="4:28" ht="14.25" customHeight="1" x14ac:dyDescent="0.25">
      <c r="D135" s="5"/>
      <c r="F135" s="5"/>
      <c r="V135" s="1"/>
      <c r="W135" s="1"/>
      <c r="X135" s="1"/>
      <c r="Y135" s="4"/>
      <c r="Z135" s="4"/>
      <c r="AA135" s="3"/>
      <c r="AB135" s="2"/>
    </row>
    <row r="136" spans="4:28" ht="14.25" customHeight="1" x14ac:dyDescent="0.25">
      <c r="D136" s="5"/>
      <c r="F136" s="5"/>
      <c r="V136" s="1"/>
      <c r="W136" s="1"/>
      <c r="X136" s="1"/>
      <c r="Y136" s="4"/>
      <c r="Z136" s="4"/>
      <c r="AA136" s="3"/>
      <c r="AB136" s="2"/>
    </row>
    <row r="137" spans="4:28" ht="14.25" customHeight="1" x14ac:dyDescent="0.25">
      <c r="D137" s="5"/>
      <c r="F137" s="5"/>
      <c r="V137" s="1"/>
      <c r="W137" s="1"/>
      <c r="X137" s="1"/>
      <c r="Y137" s="4"/>
      <c r="Z137" s="4"/>
      <c r="AA137" s="3"/>
      <c r="AB137" s="2"/>
    </row>
    <row r="138" spans="4:28" ht="14.25" customHeight="1" x14ac:dyDescent="0.25">
      <c r="D138" s="5"/>
      <c r="F138" s="5"/>
      <c r="V138" s="1"/>
      <c r="W138" s="1"/>
      <c r="X138" s="1"/>
      <c r="Y138" s="4"/>
      <c r="Z138" s="4"/>
      <c r="AA138" s="3"/>
      <c r="AB138" s="2"/>
    </row>
    <row r="139" spans="4:28" ht="14.25" customHeight="1" x14ac:dyDescent="0.25">
      <c r="D139" s="5"/>
      <c r="F139" s="5"/>
      <c r="V139" s="1"/>
      <c r="W139" s="1"/>
      <c r="X139" s="1"/>
      <c r="Y139" s="4"/>
      <c r="Z139" s="4"/>
      <c r="AA139" s="3"/>
      <c r="AB139" s="2"/>
    </row>
    <row r="140" spans="4:28" ht="14.25" customHeight="1" x14ac:dyDescent="0.25">
      <c r="D140" s="5"/>
      <c r="F140" s="5"/>
      <c r="V140" s="1"/>
      <c r="W140" s="1"/>
      <c r="X140" s="1"/>
      <c r="Y140" s="4"/>
      <c r="Z140" s="4"/>
      <c r="AA140" s="3"/>
      <c r="AB140" s="2"/>
    </row>
    <row r="141" spans="4:28" ht="14.25" customHeight="1" x14ac:dyDescent="0.25">
      <c r="D141" s="5"/>
      <c r="F141" s="5"/>
      <c r="V141" s="1"/>
      <c r="W141" s="1"/>
      <c r="X141" s="1"/>
      <c r="Y141" s="4"/>
      <c r="Z141" s="4"/>
      <c r="AA141" s="3"/>
      <c r="AB141" s="2"/>
    </row>
    <row r="142" spans="4:28" ht="14.25" customHeight="1" x14ac:dyDescent="0.25">
      <c r="D142" s="5"/>
      <c r="F142" s="5"/>
      <c r="V142" s="1"/>
      <c r="W142" s="1"/>
      <c r="X142" s="1"/>
      <c r="Y142" s="4"/>
      <c r="Z142" s="4"/>
      <c r="AA142" s="3"/>
      <c r="AB142" s="2"/>
    </row>
    <row r="143" spans="4:28" ht="14.25" customHeight="1" x14ac:dyDescent="0.25">
      <c r="D143" s="5"/>
      <c r="F143" s="5"/>
      <c r="V143" s="1"/>
      <c r="W143" s="1"/>
      <c r="X143" s="1"/>
      <c r="Y143" s="4"/>
      <c r="Z143" s="4"/>
      <c r="AA143" s="3"/>
      <c r="AB143" s="2"/>
    </row>
    <row r="144" spans="4:28" ht="14.25" customHeight="1" x14ac:dyDescent="0.25">
      <c r="D144" s="5"/>
      <c r="F144" s="5"/>
      <c r="V144" s="1"/>
      <c r="W144" s="1"/>
      <c r="X144" s="1"/>
      <c r="Y144" s="4"/>
      <c r="Z144" s="4"/>
      <c r="AA144" s="3"/>
      <c r="AB144" s="2"/>
    </row>
    <row r="145" spans="4:28" ht="14.25" customHeight="1" x14ac:dyDescent="0.25">
      <c r="D145" s="5"/>
      <c r="F145" s="5"/>
      <c r="V145" s="1"/>
      <c r="W145" s="1"/>
      <c r="X145" s="1"/>
      <c r="Y145" s="4"/>
      <c r="Z145" s="4"/>
      <c r="AA145" s="3"/>
      <c r="AB145" s="2"/>
    </row>
    <row r="146" spans="4:28" ht="14.25" customHeight="1" x14ac:dyDescent="0.25">
      <c r="D146" s="5"/>
      <c r="F146" s="5"/>
      <c r="V146" s="1"/>
      <c r="W146" s="1"/>
      <c r="X146" s="1"/>
      <c r="Y146" s="4"/>
      <c r="Z146" s="4"/>
      <c r="AA146" s="3"/>
      <c r="AB146" s="2"/>
    </row>
    <row r="147" spans="4:28" ht="14.25" customHeight="1" x14ac:dyDescent="0.25">
      <c r="D147" s="5"/>
      <c r="F147" s="5"/>
      <c r="V147" s="1"/>
      <c r="W147" s="1"/>
      <c r="X147" s="1"/>
      <c r="Y147" s="4"/>
      <c r="Z147" s="4"/>
      <c r="AA147" s="3"/>
      <c r="AB147" s="2"/>
    </row>
    <row r="148" spans="4:28" ht="14.25" customHeight="1" x14ac:dyDescent="0.25">
      <c r="D148" s="5"/>
      <c r="F148" s="5"/>
      <c r="V148" s="1"/>
      <c r="W148" s="1"/>
      <c r="X148" s="1"/>
      <c r="Y148" s="4"/>
      <c r="Z148" s="4"/>
      <c r="AA148" s="3"/>
      <c r="AB148" s="2"/>
    </row>
    <row r="149" spans="4:28" ht="14.25" customHeight="1" x14ac:dyDescent="0.25">
      <c r="D149" s="5"/>
      <c r="F149" s="5"/>
      <c r="V149" s="1"/>
      <c r="W149" s="1"/>
      <c r="X149" s="1"/>
      <c r="Y149" s="4"/>
      <c r="Z149" s="4"/>
      <c r="AA149" s="3"/>
      <c r="AB149" s="2"/>
    </row>
    <row r="150" spans="4:28" ht="14.25" customHeight="1" x14ac:dyDescent="0.25">
      <c r="D150" s="5"/>
      <c r="F150" s="5"/>
      <c r="V150" s="1"/>
      <c r="W150" s="1"/>
      <c r="X150" s="1"/>
      <c r="Y150" s="4"/>
      <c r="Z150" s="4"/>
      <c r="AA150" s="3"/>
      <c r="AB150" s="2"/>
    </row>
    <row r="151" spans="4:28" ht="14.25" customHeight="1" x14ac:dyDescent="0.25">
      <c r="D151" s="5"/>
      <c r="F151" s="5"/>
      <c r="V151" s="1"/>
      <c r="W151" s="1"/>
      <c r="X151" s="1"/>
      <c r="Y151" s="4"/>
      <c r="Z151" s="4"/>
      <c r="AA151" s="3"/>
      <c r="AB151" s="2"/>
    </row>
    <row r="152" spans="4:28" ht="14.25" customHeight="1" x14ac:dyDescent="0.25">
      <c r="D152" s="5"/>
      <c r="F152" s="5"/>
      <c r="V152" s="1"/>
      <c r="W152" s="1"/>
      <c r="X152" s="1"/>
      <c r="Y152" s="4"/>
      <c r="Z152" s="4"/>
      <c r="AA152" s="3"/>
      <c r="AB152" s="2"/>
    </row>
    <row r="153" spans="4:28" ht="14.25" customHeight="1" x14ac:dyDescent="0.25">
      <c r="D153" s="5"/>
      <c r="F153" s="5"/>
      <c r="V153" s="1"/>
      <c r="W153" s="1"/>
      <c r="X153" s="1"/>
      <c r="Y153" s="4"/>
      <c r="Z153" s="4"/>
      <c r="AA153" s="3"/>
      <c r="AB153" s="2"/>
    </row>
    <row r="154" spans="4:28" ht="14.25" customHeight="1" x14ac:dyDescent="0.25">
      <c r="D154" s="5"/>
      <c r="F154" s="5"/>
      <c r="V154" s="1"/>
      <c r="W154" s="1"/>
      <c r="X154" s="1"/>
      <c r="Y154" s="4"/>
      <c r="Z154" s="4"/>
      <c r="AA154" s="3"/>
      <c r="AB154" s="2"/>
    </row>
    <row r="155" spans="4:28" ht="14.25" customHeight="1" x14ac:dyDescent="0.25">
      <c r="D155" s="5"/>
      <c r="F155" s="5"/>
      <c r="V155" s="1"/>
      <c r="W155" s="1"/>
      <c r="X155" s="1"/>
      <c r="Y155" s="4"/>
      <c r="Z155" s="4"/>
      <c r="AA155" s="3"/>
      <c r="AB155" s="2"/>
    </row>
    <row r="156" spans="4:28" ht="14.25" customHeight="1" x14ac:dyDescent="0.25">
      <c r="D156" s="5"/>
      <c r="F156" s="5"/>
      <c r="V156" s="1"/>
      <c r="W156" s="1"/>
      <c r="X156" s="1"/>
      <c r="Y156" s="4"/>
      <c r="Z156" s="4"/>
      <c r="AA156" s="3"/>
      <c r="AB156" s="2"/>
    </row>
    <row r="157" spans="4:28" ht="14.25" customHeight="1" x14ac:dyDescent="0.25">
      <c r="D157" s="5"/>
      <c r="F157" s="5"/>
      <c r="V157" s="1"/>
      <c r="W157" s="1"/>
      <c r="X157" s="1"/>
      <c r="Y157" s="4"/>
      <c r="Z157" s="4"/>
      <c r="AA157" s="3"/>
      <c r="AB157" s="2"/>
    </row>
    <row r="158" spans="4:28" ht="14.25" customHeight="1" x14ac:dyDescent="0.25">
      <c r="D158" s="5"/>
      <c r="F158" s="5"/>
      <c r="V158" s="1"/>
      <c r="W158" s="1"/>
      <c r="X158" s="1"/>
      <c r="Y158" s="4"/>
      <c r="Z158" s="4"/>
      <c r="AA158" s="3"/>
      <c r="AB158" s="2"/>
    </row>
    <row r="159" spans="4:28" ht="14.25" customHeight="1" x14ac:dyDescent="0.25">
      <c r="D159" s="5"/>
      <c r="F159" s="5"/>
      <c r="V159" s="1"/>
      <c r="W159" s="1"/>
      <c r="X159" s="1"/>
      <c r="Y159" s="4"/>
      <c r="Z159" s="4"/>
      <c r="AA159" s="3"/>
      <c r="AB159" s="2"/>
    </row>
    <row r="160" spans="4:28" ht="14.25" customHeight="1" x14ac:dyDescent="0.25">
      <c r="D160" s="5"/>
      <c r="F160" s="5"/>
      <c r="V160" s="1"/>
      <c r="W160" s="1"/>
      <c r="X160" s="1"/>
      <c r="Y160" s="4"/>
      <c r="Z160" s="4"/>
      <c r="AA160" s="3"/>
      <c r="AB160" s="2"/>
    </row>
    <row r="161" spans="4:28" ht="14.25" customHeight="1" x14ac:dyDescent="0.25">
      <c r="D161" s="5"/>
      <c r="F161" s="5"/>
      <c r="V161" s="1"/>
      <c r="W161" s="1"/>
      <c r="X161" s="1"/>
      <c r="Y161" s="4"/>
      <c r="Z161" s="4"/>
      <c r="AA161" s="3"/>
      <c r="AB161" s="2"/>
    </row>
    <row r="162" spans="4:28" ht="14.25" customHeight="1" x14ac:dyDescent="0.25">
      <c r="D162" s="5"/>
      <c r="F162" s="5"/>
      <c r="V162" s="1"/>
      <c r="W162" s="1"/>
      <c r="X162" s="1"/>
      <c r="Y162" s="4"/>
      <c r="Z162" s="4"/>
      <c r="AA162" s="3"/>
      <c r="AB162" s="2"/>
    </row>
    <row r="163" spans="4:28" ht="14.25" customHeight="1" x14ac:dyDescent="0.25">
      <c r="D163" s="5"/>
      <c r="F163" s="5"/>
      <c r="V163" s="1"/>
      <c r="W163" s="1"/>
      <c r="X163" s="1"/>
      <c r="Y163" s="4"/>
      <c r="Z163" s="4"/>
      <c r="AA163" s="3"/>
      <c r="AB163" s="2"/>
    </row>
    <row r="164" spans="4:28" ht="14.25" customHeight="1" x14ac:dyDescent="0.25">
      <c r="D164" s="5"/>
      <c r="F164" s="5"/>
      <c r="V164" s="1"/>
      <c r="W164" s="1"/>
      <c r="X164" s="1"/>
      <c r="Y164" s="4"/>
      <c r="Z164" s="4"/>
      <c r="AA164" s="3"/>
      <c r="AB164" s="2"/>
    </row>
    <row r="165" spans="4:28" ht="14.25" customHeight="1" x14ac:dyDescent="0.25">
      <c r="D165" s="5"/>
      <c r="F165" s="5"/>
      <c r="V165" s="1"/>
      <c r="W165" s="1"/>
      <c r="X165" s="1"/>
      <c r="Y165" s="4"/>
      <c r="Z165" s="4"/>
      <c r="AA165" s="3"/>
      <c r="AB165" s="2"/>
    </row>
    <row r="166" spans="4:28" ht="14.25" customHeight="1" x14ac:dyDescent="0.25">
      <c r="D166" s="5"/>
      <c r="F166" s="5"/>
      <c r="V166" s="1"/>
      <c r="W166" s="1"/>
      <c r="X166" s="1"/>
      <c r="Y166" s="4"/>
      <c r="Z166" s="4"/>
      <c r="AA166" s="3"/>
      <c r="AB166" s="2"/>
    </row>
    <row r="167" spans="4:28" ht="14.25" customHeight="1" x14ac:dyDescent="0.25">
      <c r="D167" s="5"/>
      <c r="F167" s="5"/>
      <c r="V167" s="1"/>
      <c r="W167" s="1"/>
      <c r="X167" s="1"/>
      <c r="Y167" s="4"/>
      <c r="Z167" s="4"/>
      <c r="AA167" s="3"/>
      <c r="AB167" s="2"/>
    </row>
    <row r="168" spans="4:28" ht="14.25" customHeight="1" x14ac:dyDescent="0.25">
      <c r="D168" s="5"/>
      <c r="F168" s="5"/>
      <c r="V168" s="1"/>
      <c r="W168" s="1"/>
      <c r="X168" s="1"/>
      <c r="Y168" s="4"/>
      <c r="Z168" s="4"/>
      <c r="AA168" s="3"/>
      <c r="AB168" s="2"/>
    </row>
    <row r="169" spans="4:28" ht="14.25" customHeight="1" x14ac:dyDescent="0.25">
      <c r="D169" s="5"/>
      <c r="F169" s="5"/>
      <c r="V169" s="1"/>
      <c r="W169" s="1"/>
      <c r="X169" s="1"/>
      <c r="Y169" s="4"/>
      <c r="Z169" s="4"/>
      <c r="AA169" s="3"/>
      <c r="AB169" s="2"/>
    </row>
    <row r="170" spans="4:28" ht="14.25" customHeight="1" x14ac:dyDescent="0.25">
      <c r="D170" s="5"/>
      <c r="F170" s="5"/>
      <c r="V170" s="1"/>
      <c r="W170" s="1"/>
      <c r="X170" s="1"/>
      <c r="Y170" s="4"/>
      <c r="Z170" s="4"/>
      <c r="AA170" s="3"/>
      <c r="AB170" s="2"/>
    </row>
    <row r="171" spans="4:28" ht="14.25" customHeight="1" x14ac:dyDescent="0.25">
      <c r="D171" s="5"/>
      <c r="F171" s="5"/>
      <c r="V171" s="1"/>
      <c r="W171" s="1"/>
      <c r="X171" s="1"/>
      <c r="Y171" s="4"/>
      <c r="Z171" s="4"/>
      <c r="AA171" s="3"/>
      <c r="AB171" s="2"/>
    </row>
    <row r="172" spans="4:28" ht="14.25" customHeight="1" x14ac:dyDescent="0.25">
      <c r="D172" s="5"/>
      <c r="F172" s="5"/>
      <c r="V172" s="1"/>
      <c r="W172" s="1"/>
      <c r="X172" s="1"/>
      <c r="Y172" s="4"/>
      <c r="Z172" s="4"/>
      <c r="AA172" s="3"/>
      <c r="AB172" s="2"/>
    </row>
    <row r="173" spans="4:28" ht="14.25" customHeight="1" x14ac:dyDescent="0.25">
      <c r="D173" s="5"/>
      <c r="F173" s="5"/>
      <c r="V173" s="1"/>
      <c r="W173" s="1"/>
      <c r="X173" s="1"/>
      <c r="Y173" s="4"/>
      <c r="Z173" s="4"/>
      <c r="AA173" s="3"/>
      <c r="AB173" s="2"/>
    </row>
    <row r="174" spans="4:28" ht="14.25" customHeight="1" x14ac:dyDescent="0.25">
      <c r="D174" s="5"/>
      <c r="F174" s="5"/>
      <c r="V174" s="1"/>
      <c r="W174" s="1"/>
      <c r="X174" s="1"/>
      <c r="Y174" s="4"/>
      <c r="Z174" s="4"/>
      <c r="AA174" s="3"/>
      <c r="AB174" s="2"/>
    </row>
    <row r="175" spans="4:28" ht="14.25" customHeight="1" x14ac:dyDescent="0.25">
      <c r="D175" s="5"/>
      <c r="F175" s="5"/>
      <c r="V175" s="1"/>
      <c r="W175" s="1"/>
      <c r="X175" s="1"/>
      <c r="Y175" s="4"/>
      <c r="Z175" s="4"/>
      <c r="AA175" s="3"/>
      <c r="AB175" s="2"/>
    </row>
    <row r="176" spans="4:28" ht="14.25" customHeight="1" x14ac:dyDescent="0.25">
      <c r="D176" s="5"/>
      <c r="F176" s="5"/>
      <c r="V176" s="1"/>
      <c r="W176" s="1"/>
      <c r="X176" s="1"/>
      <c r="Y176" s="4"/>
      <c r="Z176" s="4"/>
      <c r="AA176" s="3"/>
      <c r="AB176" s="2"/>
    </row>
    <row r="177" spans="4:28" ht="14.25" customHeight="1" x14ac:dyDescent="0.25">
      <c r="D177" s="5"/>
      <c r="F177" s="5"/>
      <c r="V177" s="1"/>
      <c r="W177" s="1"/>
      <c r="X177" s="1"/>
      <c r="Y177" s="4"/>
      <c r="Z177" s="4"/>
      <c r="AA177" s="3"/>
      <c r="AB177" s="2"/>
    </row>
    <row r="178" spans="4:28" ht="14.25" customHeight="1" x14ac:dyDescent="0.25">
      <c r="D178" s="5"/>
      <c r="F178" s="5"/>
      <c r="V178" s="1"/>
      <c r="W178" s="1"/>
      <c r="X178" s="1"/>
      <c r="Y178" s="4"/>
      <c r="Z178" s="4"/>
      <c r="AA178" s="3"/>
      <c r="AB178" s="2"/>
    </row>
    <row r="179" spans="4:28" ht="14.25" customHeight="1" x14ac:dyDescent="0.25">
      <c r="D179" s="5"/>
      <c r="F179" s="5"/>
      <c r="V179" s="1"/>
      <c r="W179" s="1"/>
      <c r="X179" s="1"/>
      <c r="Y179" s="4"/>
      <c r="Z179" s="4"/>
      <c r="AA179" s="3"/>
      <c r="AB179" s="2"/>
    </row>
    <row r="180" spans="4:28" ht="14.25" customHeight="1" x14ac:dyDescent="0.25">
      <c r="D180" s="5"/>
      <c r="F180" s="5"/>
      <c r="V180" s="1"/>
      <c r="W180" s="1"/>
      <c r="X180" s="1"/>
      <c r="Y180" s="4"/>
      <c r="Z180" s="4"/>
      <c r="AA180" s="3"/>
      <c r="AB180" s="2"/>
    </row>
    <row r="181" spans="4:28" ht="14.25" customHeight="1" x14ac:dyDescent="0.25">
      <c r="D181" s="5"/>
      <c r="F181" s="5"/>
      <c r="V181" s="1"/>
      <c r="W181" s="1"/>
      <c r="X181" s="1"/>
      <c r="Y181" s="4"/>
      <c r="Z181" s="4"/>
      <c r="AA181" s="3"/>
      <c r="AB181" s="2"/>
    </row>
    <row r="182" spans="4:28" ht="14.25" customHeight="1" x14ac:dyDescent="0.25">
      <c r="D182" s="5"/>
      <c r="F182" s="5"/>
      <c r="V182" s="1"/>
      <c r="W182" s="1"/>
      <c r="X182" s="1"/>
      <c r="Y182" s="4"/>
      <c r="Z182" s="4"/>
      <c r="AA182" s="3"/>
      <c r="AB182" s="2"/>
    </row>
    <row r="183" spans="4:28" ht="14.25" customHeight="1" x14ac:dyDescent="0.25">
      <c r="D183" s="5"/>
      <c r="F183" s="5"/>
      <c r="V183" s="1"/>
      <c r="W183" s="1"/>
      <c r="X183" s="1"/>
      <c r="Y183" s="4"/>
      <c r="Z183" s="4"/>
      <c r="AA183" s="3"/>
      <c r="AB183" s="2"/>
    </row>
    <row r="184" spans="4:28" ht="14.25" customHeight="1" x14ac:dyDescent="0.25">
      <c r="D184" s="5"/>
      <c r="F184" s="5"/>
      <c r="V184" s="1"/>
      <c r="W184" s="1"/>
      <c r="X184" s="1"/>
      <c r="Y184" s="4"/>
      <c r="Z184" s="4"/>
      <c r="AA184" s="3"/>
      <c r="AB184" s="2"/>
    </row>
    <row r="185" spans="4:28" ht="14.25" customHeight="1" x14ac:dyDescent="0.25">
      <c r="D185" s="5"/>
      <c r="F185" s="5"/>
      <c r="V185" s="1"/>
      <c r="W185" s="1"/>
      <c r="X185" s="1"/>
      <c r="Y185" s="4"/>
      <c r="Z185" s="4"/>
      <c r="AA185" s="3"/>
      <c r="AB185" s="2"/>
    </row>
    <row r="186" spans="4:28" ht="14.25" customHeight="1" x14ac:dyDescent="0.25">
      <c r="D186" s="5"/>
      <c r="F186" s="5"/>
      <c r="V186" s="1"/>
      <c r="W186" s="1"/>
      <c r="X186" s="1"/>
      <c r="Y186" s="4"/>
      <c r="Z186" s="4"/>
      <c r="AA186" s="3"/>
      <c r="AB186" s="2"/>
    </row>
    <row r="187" spans="4:28" ht="14.25" customHeight="1" x14ac:dyDescent="0.25">
      <c r="D187" s="5"/>
      <c r="F187" s="5"/>
      <c r="V187" s="1"/>
      <c r="W187" s="1"/>
      <c r="X187" s="1"/>
      <c r="Y187" s="4"/>
      <c r="Z187" s="4"/>
      <c r="AA187" s="3"/>
      <c r="AB187" s="2"/>
    </row>
    <row r="188" spans="4:28" ht="14.25" customHeight="1" x14ac:dyDescent="0.25">
      <c r="D188" s="5"/>
      <c r="F188" s="5"/>
      <c r="V188" s="1"/>
      <c r="W188" s="1"/>
      <c r="X188" s="1"/>
      <c r="Y188" s="4"/>
      <c r="Z188" s="4"/>
      <c r="AA188" s="3"/>
      <c r="AB188" s="2"/>
    </row>
    <row r="189" spans="4:28" ht="14.25" customHeight="1" x14ac:dyDescent="0.25">
      <c r="D189" s="5"/>
      <c r="F189" s="5"/>
      <c r="V189" s="1"/>
      <c r="W189" s="1"/>
      <c r="X189" s="1"/>
      <c r="Y189" s="4"/>
      <c r="Z189" s="4"/>
      <c r="AA189" s="3"/>
      <c r="AB189" s="2"/>
    </row>
    <row r="190" spans="4:28" ht="14.25" customHeight="1" x14ac:dyDescent="0.25">
      <c r="D190" s="5"/>
      <c r="F190" s="5"/>
      <c r="V190" s="1"/>
      <c r="W190" s="1"/>
      <c r="X190" s="1"/>
      <c r="Y190" s="4"/>
      <c r="Z190" s="4"/>
      <c r="AA190" s="3"/>
      <c r="AB190" s="2"/>
    </row>
    <row r="191" spans="4:28" ht="14.25" customHeight="1" x14ac:dyDescent="0.25">
      <c r="D191" s="5"/>
      <c r="F191" s="5"/>
      <c r="V191" s="1"/>
      <c r="W191" s="1"/>
      <c r="X191" s="1"/>
      <c r="Y191" s="4"/>
      <c r="Z191" s="4"/>
      <c r="AA191" s="3"/>
      <c r="AB191" s="2"/>
    </row>
    <row r="192" spans="4:28" ht="14.25" customHeight="1" x14ac:dyDescent="0.25">
      <c r="D192" s="5"/>
      <c r="F192" s="5"/>
      <c r="V192" s="1"/>
      <c r="W192" s="1"/>
      <c r="X192" s="1"/>
      <c r="Y192" s="4"/>
      <c r="Z192" s="4"/>
      <c r="AA192" s="3"/>
      <c r="AB192" s="2"/>
    </row>
    <row r="193" spans="4:28" ht="14.25" customHeight="1" x14ac:dyDescent="0.25">
      <c r="D193" s="5"/>
      <c r="F193" s="5"/>
      <c r="V193" s="1"/>
      <c r="W193" s="1"/>
      <c r="X193" s="1"/>
      <c r="Y193" s="4"/>
      <c r="Z193" s="4"/>
      <c r="AA193" s="3"/>
      <c r="AB193" s="2"/>
    </row>
    <row r="194" spans="4:28" ht="14.25" customHeight="1" x14ac:dyDescent="0.25">
      <c r="D194" s="5"/>
      <c r="F194" s="5"/>
      <c r="V194" s="1"/>
      <c r="W194" s="1"/>
      <c r="X194" s="1"/>
      <c r="Y194" s="4"/>
      <c r="Z194" s="4"/>
      <c r="AA194" s="3"/>
      <c r="AB194" s="2"/>
    </row>
    <row r="195" spans="4:28" ht="14.25" customHeight="1" x14ac:dyDescent="0.25">
      <c r="D195" s="5"/>
      <c r="F195" s="5"/>
      <c r="V195" s="1"/>
      <c r="W195" s="1"/>
      <c r="X195" s="1"/>
      <c r="Y195" s="4"/>
      <c r="Z195" s="4"/>
      <c r="AA195" s="3"/>
      <c r="AB195" s="2"/>
    </row>
    <row r="196" spans="4:28" ht="14.25" customHeight="1" x14ac:dyDescent="0.25">
      <c r="D196" s="5"/>
      <c r="F196" s="5"/>
      <c r="V196" s="1"/>
      <c r="W196" s="1"/>
      <c r="X196" s="1"/>
      <c r="Y196" s="4"/>
      <c r="Z196" s="4"/>
      <c r="AA196" s="3"/>
      <c r="AB196" s="2"/>
    </row>
    <row r="197" spans="4:28" ht="14.25" customHeight="1" x14ac:dyDescent="0.25">
      <c r="D197" s="5"/>
      <c r="F197" s="5"/>
      <c r="V197" s="1"/>
      <c r="W197" s="1"/>
      <c r="X197" s="1"/>
      <c r="Y197" s="4"/>
      <c r="Z197" s="4"/>
      <c r="AA197" s="3"/>
      <c r="AB197" s="2"/>
    </row>
    <row r="198" spans="4:28" ht="14.25" customHeight="1" x14ac:dyDescent="0.25">
      <c r="D198" s="5"/>
      <c r="F198" s="5"/>
      <c r="V198" s="1"/>
      <c r="W198" s="1"/>
      <c r="X198" s="1"/>
      <c r="Y198" s="4"/>
      <c r="Z198" s="4"/>
      <c r="AA198" s="3"/>
      <c r="AB198" s="2"/>
    </row>
    <row r="199" spans="4:28" ht="14.25" customHeight="1" x14ac:dyDescent="0.25">
      <c r="D199" s="5"/>
      <c r="F199" s="5"/>
      <c r="V199" s="1"/>
      <c r="W199" s="1"/>
      <c r="X199" s="1"/>
      <c r="Y199" s="4"/>
      <c r="Z199" s="4"/>
      <c r="AA199" s="3"/>
      <c r="AB199" s="2"/>
    </row>
    <row r="200" spans="4:28" ht="14.25" customHeight="1" x14ac:dyDescent="0.25">
      <c r="D200" s="5"/>
      <c r="F200" s="5"/>
      <c r="V200" s="1"/>
      <c r="W200" s="1"/>
      <c r="X200" s="1"/>
      <c r="Y200" s="4"/>
      <c r="Z200" s="4"/>
      <c r="AA200" s="3"/>
      <c r="AB200" s="2"/>
    </row>
    <row r="201" spans="4:28" ht="14.25" customHeight="1" x14ac:dyDescent="0.25">
      <c r="D201" s="5"/>
      <c r="F201" s="5"/>
      <c r="V201" s="1"/>
      <c r="W201" s="1"/>
      <c r="X201" s="1"/>
      <c r="Y201" s="4"/>
      <c r="Z201" s="4"/>
      <c r="AA201" s="3"/>
      <c r="AB201" s="2"/>
    </row>
    <row r="202" spans="4:28" ht="14.25" customHeight="1" x14ac:dyDescent="0.25">
      <c r="D202" s="5"/>
      <c r="F202" s="5"/>
      <c r="V202" s="1"/>
      <c r="W202" s="1"/>
      <c r="X202" s="1"/>
      <c r="Y202" s="4"/>
      <c r="Z202" s="4"/>
      <c r="AA202" s="3"/>
      <c r="AB202" s="2"/>
    </row>
    <row r="203" spans="4:28" ht="14.25" customHeight="1" x14ac:dyDescent="0.25">
      <c r="D203" s="5"/>
      <c r="F203" s="5"/>
      <c r="V203" s="1"/>
      <c r="W203" s="1"/>
      <c r="X203" s="1"/>
      <c r="Y203" s="4"/>
      <c r="Z203" s="4"/>
      <c r="AA203" s="3"/>
      <c r="AB203" s="2"/>
    </row>
    <row r="204" spans="4:28" ht="14.25" customHeight="1" x14ac:dyDescent="0.25">
      <c r="D204" s="5"/>
      <c r="F204" s="5"/>
      <c r="V204" s="1"/>
      <c r="W204" s="1"/>
      <c r="X204" s="1"/>
      <c r="Y204" s="4"/>
      <c r="Z204" s="4"/>
      <c r="AA204" s="3"/>
      <c r="AB204" s="2"/>
    </row>
    <row r="205" spans="4:28" ht="14.25" customHeight="1" x14ac:dyDescent="0.25">
      <c r="D205" s="5"/>
      <c r="F205" s="5"/>
      <c r="V205" s="1"/>
      <c r="W205" s="1"/>
      <c r="X205" s="1"/>
      <c r="Y205" s="4"/>
      <c r="Z205" s="4"/>
      <c r="AA205" s="3"/>
      <c r="AB205" s="2"/>
    </row>
    <row r="206" spans="4:28" ht="14.25" customHeight="1" x14ac:dyDescent="0.25">
      <c r="D206" s="5"/>
      <c r="F206" s="5"/>
      <c r="V206" s="1"/>
      <c r="W206" s="1"/>
      <c r="X206" s="1"/>
      <c r="Y206" s="4"/>
      <c r="Z206" s="4"/>
      <c r="AA206" s="3"/>
      <c r="AB206" s="2"/>
    </row>
    <row r="207" spans="4:28" ht="14.25" customHeight="1" x14ac:dyDescent="0.25">
      <c r="D207" s="5"/>
      <c r="F207" s="5"/>
      <c r="V207" s="1"/>
      <c r="W207" s="1"/>
      <c r="X207" s="1"/>
      <c r="Y207" s="4"/>
      <c r="Z207" s="4"/>
      <c r="AA207" s="3"/>
      <c r="AB207" s="2"/>
    </row>
    <row r="208" spans="4:28" ht="14.25" customHeight="1" x14ac:dyDescent="0.25">
      <c r="D208" s="5"/>
      <c r="F208" s="5"/>
      <c r="V208" s="1"/>
      <c r="W208" s="1"/>
      <c r="X208" s="1"/>
      <c r="Y208" s="4"/>
      <c r="Z208" s="4"/>
      <c r="AA208" s="3"/>
      <c r="AB208" s="2"/>
    </row>
    <row r="209" spans="4:28" ht="14.25" customHeight="1" x14ac:dyDescent="0.25">
      <c r="D209" s="5"/>
      <c r="F209" s="5"/>
      <c r="V209" s="1"/>
      <c r="W209" s="1"/>
      <c r="X209" s="1"/>
      <c r="Y209" s="4"/>
      <c r="Z209" s="4"/>
      <c r="AA209" s="3"/>
      <c r="AB209" s="2"/>
    </row>
    <row r="210" spans="4:28" ht="14.25" customHeight="1" x14ac:dyDescent="0.25">
      <c r="D210" s="5"/>
      <c r="F210" s="5"/>
      <c r="V210" s="1"/>
      <c r="W210" s="1"/>
      <c r="X210" s="1"/>
      <c r="Y210" s="4"/>
      <c r="Z210" s="4"/>
      <c r="AA210" s="3"/>
      <c r="AB210" s="2"/>
    </row>
    <row r="211" spans="4:28" ht="14.25" customHeight="1" x14ac:dyDescent="0.25">
      <c r="D211" s="5"/>
      <c r="F211" s="5"/>
      <c r="V211" s="1"/>
      <c r="W211" s="1"/>
      <c r="X211" s="1"/>
      <c r="Y211" s="4"/>
      <c r="Z211" s="4"/>
      <c r="AA211" s="3"/>
      <c r="AB211" s="2"/>
    </row>
    <row r="212" spans="4:28" ht="14.25" customHeight="1" x14ac:dyDescent="0.25">
      <c r="D212" s="5"/>
      <c r="F212" s="5"/>
      <c r="V212" s="1"/>
      <c r="W212" s="1"/>
      <c r="X212" s="1"/>
      <c r="Y212" s="4"/>
      <c r="Z212" s="4"/>
      <c r="AA212" s="3"/>
      <c r="AB212" s="2"/>
    </row>
    <row r="213" spans="4:28" ht="14.25" customHeight="1" x14ac:dyDescent="0.25">
      <c r="D213" s="5"/>
      <c r="F213" s="5"/>
      <c r="V213" s="1"/>
      <c r="W213" s="1"/>
      <c r="X213" s="1"/>
      <c r="Y213" s="4"/>
      <c r="Z213" s="4"/>
      <c r="AA213" s="3"/>
      <c r="AB213" s="2"/>
    </row>
    <row r="214" spans="4:28" ht="14.25" customHeight="1" x14ac:dyDescent="0.25">
      <c r="D214" s="5"/>
      <c r="F214" s="5"/>
      <c r="V214" s="1"/>
      <c r="W214" s="1"/>
      <c r="X214" s="1"/>
      <c r="Y214" s="4"/>
      <c r="Z214" s="4"/>
      <c r="AA214" s="3"/>
      <c r="AB214" s="2"/>
    </row>
    <row r="215" spans="4:28" ht="14.25" customHeight="1" x14ac:dyDescent="0.25">
      <c r="D215" s="5"/>
      <c r="F215" s="5"/>
      <c r="V215" s="1"/>
      <c r="W215" s="1"/>
      <c r="X215" s="1"/>
      <c r="Y215" s="4"/>
      <c r="Z215" s="4"/>
      <c r="AA215" s="3"/>
      <c r="AB215" s="2"/>
    </row>
    <row r="216" spans="4:28" ht="14.25" customHeight="1" x14ac:dyDescent="0.25">
      <c r="D216" s="5"/>
      <c r="F216" s="5"/>
      <c r="V216" s="1"/>
      <c r="W216" s="1"/>
      <c r="X216" s="1"/>
      <c r="Y216" s="4"/>
      <c r="Z216" s="4"/>
      <c r="AA216" s="3"/>
      <c r="AB216" s="2"/>
    </row>
    <row r="217" spans="4:28" ht="14.25" customHeight="1" x14ac:dyDescent="0.25">
      <c r="D217" s="5"/>
      <c r="F217" s="5"/>
      <c r="V217" s="1"/>
      <c r="W217" s="1"/>
      <c r="X217" s="1"/>
      <c r="Y217" s="4"/>
      <c r="Z217" s="4"/>
      <c r="AA217" s="3"/>
      <c r="AB217" s="2"/>
    </row>
    <row r="218" spans="4:28" ht="14.25" customHeight="1" x14ac:dyDescent="0.25">
      <c r="D218" s="5"/>
      <c r="F218" s="5"/>
      <c r="V218" s="1"/>
      <c r="W218" s="1"/>
      <c r="X218" s="1"/>
      <c r="Y218" s="4"/>
      <c r="Z218" s="4"/>
      <c r="AA218" s="3"/>
      <c r="AB218" s="2"/>
    </row>
    <row r="219" spans="4:28" ht="14.25" customHeight="1" x14ac:dyDescent="0.25">
      <c r="D219" s="5"/>
      <c r="F219" s="5"/>
      <c r="V219" s="1"/>
      <c r="W219" s="1"/>
      <c r="X219" s="1"/>
      <c r="Y219" s="4"/>
      <c r="Z219" s="4"/>
      <c r="AA219" s="3"/>
      <c r="AB219" s="2"/>
    </row>
    <row r="220" spans="4:28" ht="14.25" customHeight="1" x14ac:dyDescent="0.25">
      <c r="D220" s="5"/>
      <c r="F220" s="5"/>
      <c r="V220" s="1"/>
      <c r="W220" s="1"/>
      <c r="X220" s="1"/>
      <c r="Y220" s="4"/>
      <c r="Z220" s="4"/>
      <c r="AA220" s="3"/>
      <c r="AB220" s="2"/>
    </row>
    <row r="221" spans="4:28" ht="14.25" customHeight="1" x14ac:dyDescent="0.25">
      <c r="D221" s="5"/>
      <c r="F221" s="5"/>
      <c r="V221" s="1"/>
      <c r="W221" s="1"/>
      <c r="X221" s="1"/>
      <c r="Y221" s="4"/>
      <c r="Z221" s="4"/>
      <c r="AA221" s="3"/>
      <c r="AB221" s="2"/>
    </row>
    <row r="222" spans="4:28" ht="14.25" customHeight="1" x14ac:dyDescent="0.25">
      <c r="D222" s="5"/>
      <c r="F222" s="5"/>
      <c r="V222" s="1"/>
      <c r="W222" s="1"/>
      <c r="X222" s="1"/>
      <c r="Y222" s="4"/>
      <c r="Z222" s="4"/>
      <c r="AA222" s="3"/>
      <c r="AB222" s="2"/>
    </row>
    <row r="223" spans="4:28" ht="14.25" customHeight="1" x14ac:dyDescent="0.25">
      <c r="D223" s="5"/>
      <c r="F223" s="5"/>
      <c r="V223" s="1"/>
      <c r="W223" s="1"/>
      <c r="X223" s="1"/>
      <c r="Y223" s="4"/>
      <c r="Z223" s="4"/>
      <c r="AA223" s="3"/>
      <c r="AB223" s="2"/>
    </row>
    <row r="224" spans="4:28" ht="14.25" customHeight="1" x14ac:dyDescent="0.25">
      <c r="D224" s="5"/>
      <c r="F224" s="5"/>
      <c r="V224" s="1"/>
      <c r="W224" s="1"/>
      <c r="X224" s="1"/>
      <c r="Y224" s="4"/>
      <c r="Z224" s="4"/>
      <c r="AA224" s="3"/>
      <c r="AB224" s="2"/>
    </row>
    <row r="225" spans="4:28" ht="14.25" customHeight="1" x14ac:dyDescent="0.25">
      <c r="D225" s="5"/>
      <c r="F225" s="5"/>
      <c r="V225" s="1"/>
      <c r="W225" s="1"/>
      <c r="X225" s="1"/>
      <c r="Y225" s="4"/>
      <c r="Z225" s="4"/>
      <c r="AA225" s="3"/>
      <c r="AB225" s="2"/>
    </row>
    <row r="226" spans="4:28" ht="14.25" customHeight="1" x14ac:dyDescent="0.25">
      <c r="D226" s="5"/>
      <c r="F226" s="5"/>
      <c r="V226" s="1"/>
      <c r="W226" s="1"/>
      <c r="X226" s="1"/>
      <c r="Y226" s="4"/>
      <c r="Z226" s="4"/>
      <c r="AA226" s="3"/>
      <c r="AB226" s="2"/>
    </row>
    <row r="227" spans="4:28" ht="14.25" customHeight="1" x14ac:dyDescent="0.25">
      <c r="D227" s="5"/>
      <c r="F227" s="5"/>
      <c r="V227" s="1"/>
      <c r="W227" s="1"/>
      <c r="X227" s="1"/>
      <c r="Y227" s="4"/>
      <c r="Z227" s="4"/>
      <c r="AA227" s="3"/>
      <c r="AB227" s="2"/>
    </row>
    <row r="228" spans="4:28" ht="14.25" customHeight="1" x14ac:dyDescent="0.25">
      <c r="D228" s="5"/>
      <c r="F228" s="5"/>
      <c r="V228" s="1"/>
      <c r="W228" s="1"/>
      <c r="X228" s="1"/>
      <c r="Y228" s="4"/>
      <c r="Z228" s="4"/>
      <c r="AA228" s="3"/>
      <c r="AB228" s="2"/>
    </row>
    <row r="229" spans="4:28" ht="14.25" customHeight="1" x14ac:dyDescent="0.25">
      <c r="D229" s="5"/>
      <c r="F229" s="5"/>
      <c r="V229" s="1"/>
      <c r="W229" s="1"/>
      <c r="X229" s="1"/>
      <c r="Y229" s="4"/>
      <c r="Z229" s="4"/>
      <c r="AA229" s="3"/>
      <c r="AB229" s="2"/>
    </row>
    <row r="230" spans="4:28" ht="14.25" customHeight="1" x14ac:dyDescent="0.25">
      <c r="D230" s="5"/>
      <c r="F230" s="5"/>
      <c r="V230" s="1"/>
      <c r="W230" s="1"/>
      <c r="X230" s="1"/>
      <c r="Y230" s="4"/>
      <c r="Z230" s="4"/>
      <c r="AA230" s="3"/>
      <c r="AB230" s="2"/>
    </row>
    <row r="231" spans="4:28" ht="14.25" customHeight="1" x14ac:dyDescent="0.25">
      <c r="D231" s="5"/>
      <c r="F231" s="5"/>
      <c r="V231" s="1"/>
      <c r="W231" s="1"/>
      <c r="X231" s="1"/>
      <c r="Y231" s="4"/>
      <c r="Z231" s="4"/>
      <c r="AA231" s="3"/>
      <c r="AB231" s="2"/>
    </row>
    <row r="232" spans="4:28" ht="14.25" customHeight="1" x14ac:dyDescent="0.25">
      <c r="D232" s="5"/>
      <c r="F232" s="5"/>
      <c r="V232" s="1"/>
      <c r="W232" s="1"/>
      <c r="X232" s="1"/>
      <c r="Y232" s="4"/>
      <c r="Z232" s="4"/>
      <c r="AA232" s="3"/>
      <c r="AB232" s="2"/>
    </row>
    <row r="233" spans="4:28" ht="14.25" customHeight="1" x14ac:dyDescent="0.25">
      <c r="D233" s="5"/>
      <c r="F233" s="5"/>
      <c r="V233" s="1"/>
      <c r="W233" s="1"/>
      <c r="X233" s="1"/>
      <c r="Y233" s="4"/>
      <c r="Z233" s="4"/>
      <c r="AA233" s="3"/>
      <c r="AB233" s="2"/>
    </row>
    <row r="234" spans="4:28" ht="14.25" customHeight="1" x14ac:dyDescent="0.25">
      <c r="D234" s="5"/>
      <c r="F234" s="5"/>
      <c r="V234" s="1"/>
      <c r="W234" s="1"/>
      <c r="X234" s="1"/>
      <c r="Y234" s="4"/>
      <c r="Z234" s="4"/>
      <c r="AA234" s="3"/>
      <c r="AB234" s="2"/>
    </row>
    <row r="235" spans="4:28" ht="14.25" customHeight="1" x14ac:dyDescent="0.25">
      <c r="D235" s="5"/>
      <c r="F235" s="5"/>
      <c r="V235" s="1"/>
      <c r="W235" s="1"/>
      <c r="X235" s="1"/>
      <c r="Y235" s="4"/>
      <c r="Z235" s="4"/>
      <c r="AA235" s="3"/>
      <c r="AB235" s="2"/>
    </row>
    <row r="236" spans="4:28" ht="14.25" customHeight="1" x14ac:dyDescent="0.25">
      <c r="D236" s="5"/>
      <c r="F236" s="5"/>
      <c r="V236" s="1"/>
      <c r="W236" s="1"/>
      <c r="X236" s="1"/>
      <c r="Y236" s="4"/>
      <c r="Z236" s="4"/>
      <c r="AA236" s="3"/>
      <c r="AB236" s="2"/>
    </row>
    <row r="237" spans="4:28" ht="14.25" customHeight="1" x14ac:dyDescent="0.25">
      <c r="D237" s="5"/>
      <c r="F237" s="5"/>
      <c r="V237" s="1"/>
      <c r="W237" s="1"/>
      <c r="X237" s="1"/>
      <c r="Y237" s="4"/>
      <c r="Z237" s="4"/>
      <c r="AA237" s="3"/>
      <c r="AB237" s="2"/>
    </row>
    <row r="238" spans="4:28" ht="14.25" customHeight="1" x14ac:dyDescent="0.25">
      <c r="D238" s="5"/>
      <c r="F238" s="5"/>
      <c r="V238" s="1"/>
      <c r="W238" s="1"/>
      <c r="X238" s="1"/>
      <c r="Y238" s="4"/>
      <c r="Z238" s="4"/>
      <c r="AA238" s="3"/>
      <c r="AB238" s="2"/>
    </row>
    <row r="239" spans="4:28" ht="14.25" customHeight="1" x14ac:dyDescent="0.25">
      <c r="D239" s="5"/>
      <c r="F239" s="5"/>
      <c r="V239" s="1"/>
      <c r="W239" s="1"/>
      <c r="X239" s="1"/>
      <c r="Y239" s="4"/>
      <c r="Z239" s="4"/>
      <c r="AA239" s="3"/>
      <c r="AB239" s="2"/>
    </row>
    <row r="240" spans="4:28" ht="14.25" customHeight="1" x14ac:dyDescent="0.25">
      <c r="D240" s="5"/>
      <c r="F240" s="5"/>
      <c r="V240" s="1"/>
      <c r="W240" s="1"/>
      <c r="X240" s="1"/>
      <c r="Y240" s="4"/>
      <c r="Z240" s="4"/>
      <c r="AA240" s="3"/>
      <c r="AB240" s="2"/>
    </row>
    <row r="241" spans="4:28" ht="14.25" customHeight="1" x14ac:dyDescent="0.25">
      <c r="D241" s="5"/>
      <c r="F241" s="5"/>
      <c r="V241" s="1"/>
      <c r="W241" s="1"/>
      <c r="X241" s="1"/>
      <c r="Y241" s="4"/>
      <c r="Z241" s="4"/>
      <c r="AA241" s="3"/>
      <c r="AB241" s="2"/>
    </row>
    <row r="242" spans="4:28" ht="14.25" customHeight="1" x14ac:dyDescent="0.25">
      <c r="D242" s="5"/>
      <c r="F242" s="5"/>
      <c r="V242" s="1"/>
      <c r="W242" s="1"/>
      <c r="X242" s="1"/>
      <c r="Y242" s="4"/>
      <c r="Z242" s="4"/>
      <c r="AA242" s="3"/>
      <c r="AB242" s="2"/>
    </row>
    <row r="243" spans="4:28" ht="14.25" customHeight="1" x14ac:dyDescent="0.25">
      <c r="D243" s="5"/>
      <c r="F243" s="5"/>
      <c r="V243" s="1"/>
      <c r="W243" s="1"/>
      <c r="X243" s="1"/>
      <c r="Y243" s="4"/>
      <c r="Z243" s="4"/>
      <c r="AA243" s="3"/>
      <c r="AB243" s="2"/>
    </row>
    <row r="244" spans="4:28" ht="14.25" customHeight="1" x14ac:dyDescent="0.25">
      <c r="D244" s="5"/>
      <c r="F244" s="5"/>
      <c r="V244" s="1"/>
      <c r="W244" s="1"/>
      <c r="X244" s="1"/>
      <c r="Y244" s="4"/>
      <c r="Z244" s="4"/>
      <c r="AA244" s="3"/>
      <c r="AB244" s="2"/>
    </row>
    <row r="245" spans="4:28" ht="14.25" customHeight="1" x14ac:dyDescent="0.25">
      <c r="D245" s="5"/>
      <c r="F245" s="5"/>
      <c r="V245" s="1"/>
      <c r="W245" s="1"/>
      <c r="X245" s="1"/>
      <c r="Y245" s="4"/>
      <c r="Z245" s="4"/>
      <c r="AA245" s="3"/>
      <c r="AB245" s="2"/>
    </row>
    <row r="246" spans="4:28" ht="14.25" customHeight="1" x14ac:dyDescent="0.25">
      <c r="D246" s="5"/>
      <c r="F246" s="5"/>
      <c r="V246" s="1"/>
      <c r="W246" s="1"/>
      <c r="X246" s="1"/>
      <c r="Y246" s="4"/>
      <c r="Z246" s="4"/>
      <c r="AA246" s="3"/>
      <c r="AB246" s="2"/>
    </row>
    <row r="247" spans="4:28" ht="14.25" customHeight="1" x14ac:dyDescent="0.25">
      <c r="D247" s="5"/>
      <c r="F247" s="5"/>
      <c r="V247" s="1"/>
      <c r="W247" s="1"/>
      <c r="X247" s="1"/>
      <c r="Y247" s="4"/>
      <c r="Z247" s="4"/>
      <c r="AA247" s="3"/>
      <c r="AB247" s="2"/>
    </row>
    <row r="248" spans="4:28" ht="14.25" customHeight="1" x14ac:dyDescent="0.25">
      <c r="D248" s="5"/>
      <c r="F248" s="5"/>
      <c r="V248" s="1"/>
      <c r="W248" s="1"/>
      <c r="X248" s="1"/>
      <c r="Y248" s="4"/>
      <c r="Z248" s="4"/>
      <c r="AA248" s="3"/>
      <c r="AB248" s="2"/>
    </row>
    <row r="249" spans="4:28" ht="14.25" customHeight="1" x14ac:dyDescent="0.25">
      <c r="D249" s="5"/>
      <c r="F249" s="5"/>
      <c r="V249" s="1"/>
      <c r="W249" s="1"/>
      <c r="X249" s="1"/>
      <c r="Y249" s="4"/>
      <c r="Z249" s="4"/>
      <c r="AA249" s="3"/>
      <c r="AB249" s="2"/>
    </row>
    <row r="250" spans="4:28" ht="14.25" customHeight="1" x14ac:dyDescent="0.25">
      <c r="D250" s="5"/>
      <c r="F250" s="5"/>
      <c r="V250" s="1"/>
      <c r="W250" s="1"/>
      <c r="X250" s="1"/>
      <c r="Y250" s="4"/>
      <c r="Z250" s="4"/>
      <c r="AA250" s="3"/>
      <c r="AB250" s="2"/>
    </row>
    <row r="251" spans="4:28" ht="14.25" customHeight="1" x14ac:dyDescent="0.25">
      <c r="D251" s="5"/>
      <c r="F251" s="5"/>
      <c r="V251" s="1"/>
      <c r="W251" s="1"/>
      <c r="X251" s="1"/>
      <c r="Y251" s="4"/>
      <c r="Z251" s="4"/>
      <c r="AA251" s="3"/>
      <c r="AB251" s="2"/>
    </row>
    <row r="252" spans="4:28" ht="14.25" customHeight="1" x14ac:dyDescent="0.25">
      <c r="D252" s="5"/>
      <c r="F252" s="5"/>
      <c r="V252" s="1"/>
      <c r="W252" s="1"/>
      <c r="X252" s="1"/>
      <c r="Y252" s="4"/>
      <c r="Z252" s="4"/>
      <c r="AA252" s="3"/>
      <c r="AB252" s="2"/>
    </row>
    <row r="253" spans="4:28" ht="15.75" customHeight="1" x14ac:dyDescent="0.25">
      <c r="V253" s="1"/>
      <c r="W253" s="1"/>
      <c r="X253" s="1"/>
    </row>
    <row r="254" spans="4:28" ht="15.75" customHeight="1" x14ac:dyDescent="0.25">
      <c r="V254" s="1"/>
      <c r="W254" s="1"/>
      <c r="X254" s="1"/>
    </row>
    <row r="255" spans="4:28" ht="15.75" customHeight="1" x14ac:dyDescent="0.25">
      <c r="V255" s="1"/>
      <c r="W255" s="1"/>
      <c r="X255" s="1"/>
    </row>
    <row r="256" spans="4:28" ht="15.75" customHeight="1" x14ac:dyDescent="0.25">
      <c r="V256" s="1"/>
      <c r="W256" s="1"/>
      <c r="X256" s="1"/>
    </row>
    <row r="257" spans="22:24" ht="15.75" customHeight="1" x14ac:dyDescent="0.25">
      <c r="V257" s="1"/>
      <c r="W257" s="1"/>
      <c r="X257" s="1"/>
    </row>
    <row r="258" spans="22:24" ht="15.75" customHeight="1" x14ac:dyDescent="0.25">
      <c r="V258" s="1"/>
      <c r="W258" s="1"/>
      <c r="X258" s="1"/>
    </row>
    <row r="259" spans="22:24" ht="15.75" customHeight="1" x14ac:dyDescent="0.25">
      <c r="V259" s="1"/>
      <c r="W259" s="1"/>
      <c r="X259" s="1"/>
    </row>
    <row r="260" spans="22:24" ht="15.75" customHeight="1" x14ac:dyDescent="0.25">
      <c r="V260" s="1"/>
      <c r="W260" s="1"/>
      <c r="X260" s="1"/>
    </row>
    <row r="261" spans="22:24" ht="15.75" customHeight="1" x14ac:dyDescent="0.25">
      <c r="V261" s="1"/>
      <c r="W261" s="1"/>
      <c r="X261" s="1"/>
    </row>
    <row r="262" spans="22:24" ht="15.75" customHeight="1" x14ac:dyDescent="0.25">
      <c r="V262" s="1"/>
      <c r="W262" s="1"/>
      <c r="X262" s="1"/>
    </row>
    <row r="263" spans="22:24" ht="15.75" customHeight="1" x14ac:dyDescent="0.25">
      <c r="V263" s="1"/>
      <c r="W263" s="1"/>
      <c r="X263" s="1"/>
    </row>
    <row r="264" spans="22:24" ht="15.75" customHeight="1" x14ac:dyDescent="0.25">
      <c r="V264" s="1"/>
      <c r="W264" s="1"/>
      <c r="X264" s="1"/>
    </row>
    <row r="265" spans="22:24" ht="15.75" customHeight="1" x14ac:dyDescent="0.25">
      <c r="V265" s="1"/>
      <c r="W265" s="1"/>
      <c r="X265" s="1"/>
    </row>
    <row r="266" spans="22:24" ht="15.75" customHeight="1" x14ac:dyDescent="0.25">
      <c r="V266" s="1"/>
      <c r="W266" s="1"/>
      <c r="X266" s="1"/>
    </row>
    <row r="267" spans="22:24" ht="15.75" customHeight="1" x14ac:dyDescent="0.25">
      <c r="V267" s="1"/>
      <c r="W267" s="1"/>
      <c r="X267" s="1"/>
    </row>
    <row r="268" spans="22:24" ht="15.75" customHeight="1" x14ac:dyDescent="0.25">
      <c r="V268" s="1"/>
      <c r="W268" s="1"/>
      <c r="X268" s="1"/>
    </row>
    <row r="269" spans="22:24" ht="15.75" customHeight="1" x14ac:dyDescent="0.25">
      <c r="V269" s="1"/>
      <c r="W269" s="1"/>
      <c r="X269" s="1"/>
    </row>
    <row r="270" spans="22:24" ht="15.75" customHeight="1" x14ac:dyDescent="0.25">
      <c r="V270" s="1"/>
      <c r="W270" s="1"/>
      <c r="X270" s="1"/>
    </row>
    <row r="271" spans="22:24" ht="15.75" customHeight="1" x14ac:dyDescent="0.25">
      <c r="V271" s="1"/>
      <c r="W271" s="1"/>
      <c r="X271" s="1"/>
    </row>
    <row r="272" spans="22:24" ht="15.75" customHeight="1" x14ac:dyDescent="0.25">
      <c r="V272" s="1"/>
      <c r="W272" s="1"/>
      <c r="X272" s="1"/>
    </row>
    <row r="273" spans="22:24" ht="15.75" customHeight="1" x14ac:dyDescent="0.25">
      <c r="V273" s="1"/>
      <c r="W273" s="1"/>
      <c r="X273" s="1"/>
    </row>
    <row r="274" spans="22:24" ht="15.75" customHeight="1" x14ac:dyDescent="0.25">
      <c r="V274" s="1"/>
      <c r="W274" s="1"/>
      <c r="X274" s="1"/>
    </row>
    <row r="275" spans="22:24" ht="15.75" customHeight="1" x14ac:dyDescent="0.25">
      <c r="V275" s="1"/>
      <c r="W275" s="1"/>
      <c r="X275" s="1"/>
    </row>
    <row r="276" spans="22:24" ht="15.75" customHeight="1" x14ac:dyDescent="0.25">
      <c r="V276" s="1"/>
      <c r="W276" s="1"/>
      <c r="X276" s="1"/>
    </row>
    <row r="277" spans="22:24" ht="15.75" customHeight="1" x14ac:dyDescent="0.25">
      <c r="V277" s="1"/>
      <c r="W277" s="1"/>
      <c r="X277" s="1"/>
    </row>
    <row r="278" spans="22:24" ht="15.75" customHeight="1" x14ac:dyDescent="0.25">
      <c r="V278" s="1"/>
      <c r="W278" s="1"/>
      <c r="X278" s="1"/>
    </row>
    <row r="279" spans="22:24" ht="15.75" customHeight="1" x14ac:dyDescent="0.25">
      <c r="V279" s="1"/>
      <c r="W279" s="1"/>
      <c r="X279" s="1"/>
    </row>
    <row r="280" spans="22:24" ht="15.75" customHeight="1" x14ac:dyDescent="0.25">
      <c r="V280" s="1"/>
      <c r="W280" s="1"/>
      <c r="X280" s="1"/>
    </row>
    <row r="281" spans="22:24" ht="15.75" customHeight="1" x14ac:dyDescent="0.25">
      <c r="V281" s="1"/>
      <c r="W281" s="1"/>
      <c r="X281" s="1"/>
    </row>
    <row r="282" spans="22:24" ht="15.75" customHeight="1" x14ac:dyDescent="0.25">
      <c r="V282" s="1"/>
      <c r="W282" s="1"/>
      <c r="X282" s="1"/>
    </row>
    <row r="283" spans="22:24" ht="15.75" customHeight="1" x14ac:dyDescent="0.25">
      <c r="V283" s="1"/>
      <c r="W283" s="1"/>
      <c r="X283" s="1"/>
    </row>
    <row r="284" spans="22:24" ht="15.75" customHeight="1" x14ac:dyDescent="0.25">
      <c r="V284" s="1"/>
      <c r="W284" s="1"/>
      <c r="X284" s="1"/>
    </row>
    <row r="285" spans="22:24" ht="15.75" customHeight="1" x14ac:dyDescent="0.25">
      <c r="V285" s="1"/>
      <c r="W285" s="1"/>
      <c r="X285" s="1"/>
    </row>
    <row r="286" spans="22:24" ht="15.75" customHeight="1" x14ac:dyDescent="0.25">
      <c r="V286" s="1"/>
      <c r="W286" s="1"/>
      <c r="X286" s="1"/>
    </row>
    <row r="287" spans="22:24" ht="15.75" customHeight="1" x14ac:dyDescent="0.25">
      <c r="V287" s="1"/>
      <c r="W287" s="1"/>
      <c r="X287" s="1"/>
    </row>
    <row r="288" spans="22:24" ht="15.75" customHeight="1" x14ac:dyDescent="0.25">
      <c r="V288" s="1"/>
      <c r="W288" s="1"/>
      <c r="X288" s="1"/>
    </row>
    <row r="289" spans="22:24" ht="15.75" customHeight="1" x14ac:dyDescent="0.25">
      <c r="V289" s="1"/>
      <c r="W289" s="1"/>
      <c r="X289" s="1"/>
    </row>
    <row r="290" spans="22:24" ht="15.75" customHeight="1" x14ac:dyDescent="0.25">
      <c r="V290" s="1"/>
      <c r="W290" s="1"/>
      <c r="X290" s="1"/>
    </row>
    <row r="291" spans="22:24" ht="15.75" customHeight="1" x14ac:dyDescent="0.25">
      <c r="V291" s="1"/>
      <c r="W291" s="1"/>
      <c r="X291" s="1"/>
    </row>
    <row r="292" spans="22:24" ht="15.75" customHeight="1" x14ac:dyDescent="0.25">
      <c r="V292" s="1"/>
      <c r="W292" s="1"/>
      <c r="X292" s="1"/>
    </row>
    <row r="293" spans="22:24" ht="15.75" customHeight="1" x14ac:dyDescent="0.25">
      <c r="V293" s="1"/>
      <c r="W293" s="1"/>
      <c r="X293" s="1"/>
    </row>
    <row r="294" spans="22:24" ht="15.75" customHeight="1" x14ac:dyDescent="0.25">
      <c r="V294" s="1"/>
      <c r="W294" s="1"/>
      <c r="X294" s="1"/>
    </row>
    <row r="295" spans="22:24" ht="15.75" customHeight="1" x14ac:dyDescent="0.25">
      <c r="V295" s="1"/>
      <c r="W295" s="1"/>
      <c r="X295" s="1"/>
    </row>
    <row r="296" spans="22:24" ht="15.75" customHeight="1" x14ac:dyDescent="0.25">
      <c r="V296" s="1"/>
      <c r="W296" s="1"/>
      <c r="X296" s="1"/>
    </row>
    <row r="297" spans="22:24" ht="15.75" customHeight="1" x14ac:dyDescent="0.25">
      <c r="V297" s="1"/>
      <c r="W297" s="1"/>
      <c r="X297" s="1"/>
    </row>
    <row r="298" spans="22:24" ht="15.75" customHeight="1" x14ac:dyDescent="0.25">
      <c r="V298" s="1"/>
      <c r="W298" s="1"/>
      <c r="X298" s="1"/>
    </row>
    <row r="299" spans="22:24" ht="15.75" customHeight="1" x14ac:dyDescent="0.25">
      <c r="V299" s="1"/>
      <c r="W299" s="1"/>
      <c r="X299" s="1"/>
    </row>
    <row r="300" spans="22:24" ht="15.75" customHeight="1" x14ac:dyDescent="0.25">
      <c r="V300" s="1"/>
      <c r="W300" s="1"/>
      <c r="X300" s="1"/>
    </row>
    <row r="301" spans="22:24" ht="15.75" customHeight="1" x14ac:dyDescent="0.25">
      <c r="V301" s="1"/>
      <c r="W301" s="1"/>
      <c r="X301" s="1"/>
    </row>
    <row r="302" spans="22:24" ht="15.75" customHeight="1" x14ac:dyDescent="0.25">
      <c r="V302" s="1"/>
      <c r="W302" s="1"/>
      <c r="X302" s="1"/>
    </row>
    <row r="303" spans="22:24" ht="15.75" customHeight="1" x14ac:dyDescent="0.25">
      <c r="V303" s="1"/>
      <c r="W303" s="1"/>
      <c r="X303" s="1"/>
    </row>
    <row r="304" spans="22:24" ht="15.75" customHeight="1" x14ac:dyDescent="0.25">
      <c r="V304" s="1"/>
      <c r="W304" s="1"/>
      <c r="X304" s="1"/>
    </row>
    <row r="305" spans="22:24" ht="15.75" customHeight="1" x14ac:dyDescent="0.25">
      <c r="V305" s="1"/>
      <c r="W305" s="1"/>
      <c r="X305" s="1"/>
    </row>
    <row r="306" spans="22:24" ht="15.75" customHeight="1" x14ac:dyDescent="0.25">
      <c r="V306" s="1"/>
      <c r="W306" s="1"/>
      <c r="X306" s="1"/>
    </row>
    <row r="307" spans="22:24" ht="15.75" customHeight="1" x14ac:dyDescent="0.25">
      <c r="V307" s="1"/>
      <c r="W307" s="1"/>
      <c r="X307" s="1"/>
    </row>
    <row r="308" spans="22:24" ht="15.75" customHeight="1" x14ac:dyDescent="0.25">
      <c r="V308" s="1"/>
      <c r="W308" s="1"/>
      <c r="X308" s="1"/>
    </row>
    <row r="309" spans="22:24" ht="15.75" customHeight="1" x14ac:dyDescent="0.25">
      <c r="V309" s="1"/>
      <c r="W309" s="1"/>
      <c r="X309" s="1"/>
    </row>
    <row r="310" spans="22:24" ht="15.75" customHeight="1" x14ac:dyDescent="0.25">
      <c r="V310" s="1"/>
      <c r="W310" s="1"/>
      <c r="X310" s="1"/>
    </row>
    <row r="311" spans="22:24" ht="15.75" customHeight="1" x14ac:dyDescent="0.25">
      <c r="V311" s="1"/>
      <c r="W311" s="1"/>
      <c r="X311" s="1"/>
    </row>
    <row r="312" spans="22:24" ht="15.75" customHeight="1" x14ac:dyDescent="0.25">
      <c r="V312" s="1"/>
      <c r="W312" s="1"/>
      <c r="X312" s="1"/>
    </row>
    <row r="313" spans="22:24" ht="15.75" customHeight="1" x14ac:dyDescent="0.25">
      <c r="V313" s="1"/>
      <c r="W313" s="1"/>
      <c r="X313" s="1"/>
    </row>
    <row r="314" spans="22:24" ht="15.75" customHeight="1" x14ac:dyDescent="0.25">
      <c r="V314" s="1"/>
      <c r="W314" s="1"/>
      <c r="X314" s="1"/>
    </row>
    <row r="315" spans="22:24" ht="15.75" customHeight="1" x14ac:dyDescent="0.25">
      <c r="V315" s="1"/>
      <c r="W315" s="1"/>
      <c r="X315" s="1"/>
    </row>
    <row r="316" spans="22:24" ht="15.75" customHeight="1" x14ac:dyDescent="0.25">
      <c r="V316" s="1"/>
      <c r="W316" s="1"/>
      <c r="X316" s="1"/>
    </row>
    <row r="317" spans="22:24" ht="15.75" customHeight="1" x14ac:dyDescent="0.25">
      <c r="V317" s="1"/>
      <c r="W317" s="1"/>
      <c r="X317" s="1"/>
    </row>
    <row r="318" spans="22:24" ht="15.75" customHeight="1" x14ac:dyDescent="0.25">
      <c r="V318" s="1"/>
      <c r="W318" s="1"/>
      <c r="X318" s="1"/>
    </row>
    <row r="319" spans="22:24" ht="15.75" customHeight="1" x14ac:dyDescent="0.25">
      <c r="V319" s="1"/>
      <c r="W319" s="1"/>
      <c r="X319" s="1"/>
    </row>
    <row r="320" spans="22:24" ht="15.75" customHeight="1" x14ac:dyDescent="0.25">
      <c r="V320" s="1"/>
      <c r="W320" s="1"/>
      <c r="X320" s="1"/>
    </row>
    <row r="321" spans="22:24" ht="15.75" customHeight="1" x14ac:dyDescent="0.25">
      <c r="V321" s="1"/>
      <c r="W321" s="1"/>
      <c r="X321" s="1"/>
    </row>
    <row r="322" spans="22:24" ht="15.75" customHeight="1" x14ac:dyDescent="0.25">
      <c r="V322" s="1"/>
      <c r="W322" s="1"/>
      <c r="X322" s="1"/>
    </row>
    <row r="323" spans="22:24" ht="15.75" customHeight="1" x14ac:dyDescent="0.25">
      <c r="V323" s="1"/>
      <c r="W323" s="1"/>
      <c r="X323" s="1"/>
    </row>
    <row r="324" spans="22:24" ht="15.75" customHeight="1" x14ac:dyDescent="0.25">
      <c r="V324" s="1"/>
      <c r="W324" s="1"/>
      <c r="X324" s="1"/>
    </row>
    <row r="325" spans="22:24" ht="15.75" customHeight="1" x14ac:dyDescent="0.25">
      <c r="V325" s="1"/>
      <c r="W325" s="1"/>
      <c r="X325" s="1"/>
    </row>
    <row r="326" spans="22:24" ht="15.75" customHeight="1" x14ac:dyDescent="0.25">
      <c r="V326" s="1"/>
      <c r="W326" s="1"/>
      <c r="X326" s="1"/>
    </row>
    <row r="327" spans="22:24" ht="15.75" customHeight="1" x14ac:dyDescent="0.25">
      <c r="V327" s="1"/>
      <c r="W327" s="1"/>
      <c r="X327" s="1"/>
    </row>
    <row r="328" spans="22:24" ht="15.75" customHeight="1" x14ac:dyDescent="0.25">
      <c r="V328" s="1"/>
      <c r="W328" s="1"/>
      <c r="X328" s="1"/>
    </row>
    <row r="329" spans="22:24" ht="15.75" customHeight="1" x14ac:dyDescent="0.25">
      <c r="V329" s="1"/>
      <c r="W329" s="1"/>
      <c r="X329" s="1"/>
    </row>
    <row r="330" spans="22:24" ht="15.75" customHeight="1" x14ac:dyDescent="0.25">
      <c r="V330" s="1"/>
      <c r="W330" s="1"/>
      <c r="X330" s="1"/>
    </row>
    <row r="331" spans="22:24" ht="15.75" customHeight="1" x14ac:dyDescent="0.25">
      <c r="V331" s="1"/>
      <c r="W331" s="1"/>
      <c r="X331" s="1"/>
    </row>
    <row r="332" spans="22:24" ht="15.75" customHeight="1" x14ac:dyDescent="0.25">
      <c r="V332" s="1"/>
      <c r="W332" s="1"/>
      <c r="X332" s="1"/>
    </row>
    <row r="333" spans="22:24" ht="15.75" customHeight="1" x14ac:dyDescent="0.25">
      <c r="V333" s="1"/>
      <c r="W333" s="1"/>
      <c r="X333" s="1"/>
    </row>
    <row r="334" spans="22:24" ht="15.75" customHeight="1" x14ac:dyDescent="0.25">
      <c r="V334" s="1"/>
      <c r="W334" s="1"/>
      <c r="X334" s="1"/>
    </row>
    <row r="335" spans="22:24" ht="15.75" customHeight="1" x14ac:dyDescent="0.25">
      <c r="V335" s="1"/>
      <c r="W335" s="1"/>
      <c r="X335" s="1"/>
    </row>
    <row r="336" spans="22:24" ht="15.75" customHeight="1" x14ac:dyDescent="0.25">
      <c r="V336" s="1"/>
      <c r="W336" s="1"/>
      <c r="X336" s="1"/>
    </row>
    <row r="337" spans="22:24" ht="15.75" customHeight="1" x14ac:dyDescent="0.25">
      <c r="V337" s="1"/>
      <c r="W337" s="1"/>
      <c r="X337" s="1"/>
    </row>
    <row r="338" spans="22:24" ht="15.75" customHeight="1" x14ac:dyDescent="0.25">
      <c r="V338" s="1"/>
      <c r="W338" s="1"/>
      <c r="X338" s="1"/>
    </row>
    <row r="339" spans="22:24" ht="15.75" customHeight="1" x14ac:dyDescent="0.25">
      <c r="V339" s="1"/>
      <c r="W339" s="1"/>
      <c r="X339" s="1"/>
    </row>
    <row r="340" spans="22:24" ht="15.75" customHeight="1" x14ac:dyDescent="0.25">
      <c r="V340" s="1"/>
      <c r="W340" s="1"/>
      <c r="X340" s="1"/>
    </row>
    <row r="341" spans="22:24" ht="15.75" customHeight="1" x14ac:dyDescent="0.25">
      <c r="V341" s="1"/>
      <c r="W341" s="1"/>
      <c r="X341" s="1"/>
    </row>
    <row r="342" spans="22:24" ht="15.75" customHeight="1" x14ac:dyDescent="0.25">
      <c r="V342" s="1"/>
      <c r="W342" s="1"/>
      <c r="X342" s="1"/>
    </row>
    <row r="343" spans="22:24" ht="15.75" customHeight="1" x14ac:dyDescent="0.25">
      <c r="V343" s="1"/>
      <c r="W343" s="1"/>
      <c r="X343" s="1"/>
    </row>
    <row r="344" spans="22:24" ht="15.75" customHeight="1" x14ac:dyDescent="0.25">
      <c r="V344" s="1"/>
      <c r="W344" s="1"/>
      <c r="X344" s="1"/>
    </row>
    <row r="345" spans="22:24" ht="15.75" customHeight="1" x14ac:dyDescent="0.25">
      <c r="V345" s="1"/>
      <c r="W345" s="1"/>
      <c r="X345" s="1"/>
    </row>
    <row r="346" spans="22:24" ht="15.75" customHeight="1" x14ac:dyDescent="0.25">
      <c r="V346" s="1"/>
      <c r="W346" s="1"/>
      <c r="X346" s="1"/>
    </row>
    <row r="347" spans="22:24" ht="15.75" customHeight="1" x14ac:dyDescent="0.25">
      <c r="V347" s="1"/>
      <c r="W347" s="1"/>
      <c r="X347" s="1"/>
    </row>
    <row r="348" spans="22:24" ht="15.75" customHeight="1" x14ac:dyDescent="0.25">
      <c r="V348" s="1"/>
      <c r="W348" s="1"/>
      <c r="X348" s="1"/>
    </row>
    <row r="349" spans="22:24" ht="15.75" customHeight="1" x14ac:dyDescent="0.25">
      <c r="V349" s="1"/>
      <c r="W349" s="1"/>
      <c r="X349" s="1"/>
    </row>
    <row r="350" spans="22:24" ht="15.75" customHeight="1" x14ac:dyDescent="0.25">
      <c r="V350" s="1"/>
      <c r="W350" s="1"/>
      <c r="X350" s="1"/>
    </row>
    <row r="351" spans="22:24" ht="15.75" customHeight="1" x14ac:dyDescent="0.25">
      <c r="V351" s="1"/>
      <c r="W351" s="1"/>
      <c r="X351" s="1"/>
    </row>
    <row r="352" spans="22:24" ht="15.75" customHeight="1" x14ac:dyDescent="0.25">
      <c r="V352" s="1"/>
      <c r="W352" s="1"/>
      <c r="X352" s="1"/>
    </row>
    <row r="353" spans="22:24" ht="15.75" customHeight="1" x14ac:dyDescent="0.25">
      <c r="V353" s="1"/>
      <c r="W353" s="1"/>
      <c r="X353" s="1"/>
    </row>
    <row r="354" spans="22:24" ht="15.75" customHeight="1" x14ac:dyDescent="0.25">
      <c r="V354" s="1"/>
      <c r="W354" s="1"/>
      <c r="X354" s="1"/>
    </row>
    <row r="355" spans="22:24" ht="15.75" customHeight="1" x14ac:dyDescent="0.25">
      <c r="V355" s="1"/>
      <c r="W355" s="1"/>
      <c r="X355" s="1"/>
    </row>
    <row r="356" spans="22:24" ht="15.75" customHeight="1" x14ac:dyDescent="0.25">
      <c r="V356" s="1"/>
      <c r="W356" s="1"/>
      <c r="X356" s="1"/>
    </row>
    <row r="357" spans="22:24" ht="15.75" customHeight="1" x14ac:dyDescent="0.25">
      <c r="V357" s="1"/>
      <c r="W357" s="1"/>
      <c r="X357" s="1"/>
    </row>
    <row r="358" spans="22:24" ht="15.75" customHeight="1" x14ac:dyDescent="0.25">
      <c r="V358" s="1"/>
      <c r="W358" s="1"/>
      <c r="X358" s="1"/>
    </row>
    <row r="359" spans="22:24" ht="15.75" customHeight="1" x14ac:dyDescent="0.25">
      <c r="V359" s="1"/>
      <c r="W359" s="1"/>
      <c r="X359" s="1"/>
    </row>
    <row r="360" spans="22:24" ht="15.75" customHeight="1" x14ac:dyDescent="0.25">
      <c r="V360" s="1"/>
      <c r="W360" s="1"/>
      <c r="X360" s="1"/>
    </row>
    <row r="361" spans="22:24" ht="15.75" customHeight="1" x14ac:dyDescent="0.25">
      <c r="V361" s="1"/>
      <c r="W361" s="1"/>
      <c r="X361" s="1"/>
    </row>
    <row r="362" spans="22:24" ht="15.75" customHeight="1" x14ac:dyDescent="0.25">
      <c r="V362" s="1"/>
      <c r="W362" s="1"/>
      <c r="X362" s="1"/>
    </row>
    <row r="363" spans="22:24" ht="15.75" customHeight="1" x14ac:dyDescent="0.25">
      <c r="V363" s="1"/>
      <c r="W363" s="1"/>
      <c r="X363" s="1"/>
    </row>
    <row r="364" spans="22:24" ht="15.75" customHeight="1" x14ac:dyDescent="0.25">
      <c r="V364" s="1"/>
      <c r="W364" s="1"/>
      <c r="X364" s="1"/>
    </row>
    <row r="365" spans="22:24" ht="15.75" customHeight="1" x14ac:dyDescent="0.25">
      <c r="V365" s="1"/>
      <c r="W365" s="1"/>
      <c r="X365" s="1"/>
    </row>
    <row r="366" spans="22:24" ht="15.75" customHeight="1" x14ac:dyDescent="0.25">
      <c r="V366" s="1"/>
      <c r="W366" s="1"/>
      <c r="X366" s="1"/>
    </row>
    <row r="367" spans="22:24" ht="15.75" customHeight="1" x14ac:dyDescent="0.25">
      <c r="V367" s="1"/>
      <c r="W367" s="1"/>
      <c r="X367" s="1"/>
    </row>
    <row r="368" spans="22:24" ht="15.75" customHeight="1" x14ac:dyDescent="0.25">
      <c r="V368" s="1"/>
      <c r="W368" s="1"/>
      <c r="X368" s="1"/>
    </row>
    <row r="369" spans="22:24" ht="15.75" customHeight="1" x14ac:dyDescent="0.25">
      <c r="V369" s="1"/>
      <c r="W369" s="1"/>
      <c r="X369" s="1"/>
    </row>
    <row r="370" spans="22:24" ht="15.75" customHeight="1" x14ac:dyDescent="0.25">
      <c r="V370" s="1"/>
      <c r="W370" s="1"/>
      <c r="X370" s="1"/>
    </row>
    <row r="371" spans="22:24" ht="15.75" customHeight="1" x14ac:dyDescent="0.25">
      <c r="V371" s="1"/>
      <c r="W371" s="1"/>
      <c r="X371" s="1"/>
    </row>
    <row r="372" spans="22:24" ht="15.75" customHeight="1" x14ac:dyDescent="0.25">
      <c r="V372" s="1"/>
      <c r="W372" s="1"/>
      <c r="X372" s="1"/>
    </row>
    <row r="373" spans="22:24" ht="15.75" customHeight="1" x14ac:dyDescent="0.25">
      <c r="V373" s="1"/>
      <c r="W373" s="1"/>
      <c r="X373" s="1"/>
    </row>
    <row r="374" spans="22:24" ht="15.75" customHeight="1" x14ac:dyDescent="0.25">
      <c r="V374" s="1"/>
      <c r="W374" s="1"/>
      <c r="X374" s="1"/>
    </row>
    <row r="375" spans="22:24" ht="15.75" customHeight="1" x14ac:dyDescent="0.25">
      <c r="V375" s="1"/>
      <c r="W375" s="1"/>
      <c r="X375" s="1"/>
    </row>
    <row r="376" spans="22:24" ht="15.75" customHeight="1" x14ac:dyDescent="0.25">
      <c r="V376" s="1"/>
      <c r="W376" s="1"/>
      <c r="X376" s="1"/>
    </row>
    <row r="377" spans="22:24" ht="15.75" customHeight="1" x14ac:dyDescent="0.25">
      <c r="V377" s="1"/>
      <c r="W377" s="1"/>
      <c r="X377" s="1"/>
    </row>
    <row r="378" spans="22:24" ht="15.75" customHeight="1" x14ac:dyDescent="0.25">
      <c r="V378" s="1"/>
      <c r="W378" s="1"/>
      <c r="X378" s="1"/>
    </row>
    <row r="379" spans="22:24" ht="15.75" customHeight="1" x14ac:dyDescent="0.25">
      <c r="V379" s="1"/>
      <c r="W379" s="1"/>
      <c r="X379" s="1"/>
    </row>
    <row r="380" spans="22:24" ht="15.75" customHeight="1" x14ac:dyDescent="0.25">
      <c r="V380" s="1"/>
      <c r="W380" s="1"/>
      <c r="X380" s="1"/>
    </row>
    <row r="381" spans="22:24" ht="15.75" customHeight="1" x14ac:dyDescent="0.25">
      <c r="V381" s="1"/>
      <c r="W381" s="1"/>
      <c r="X381" s="1"/>
    </row>
    <row r="382" spans="22:24" ht="15.75" customHeight="1" x14ac:dyDescent="0.25">
      <c r="V382" s="1"/>
      <c r="W382" s="1"/>
      <c r="X382" s="1"/>
    </row>
    <row r="383" spans="22:24" ht="15.75" customHeight="1" x14ac:dyDescent="0.25">
      <c r="V383" s="1"/>
      <c r="W383" s="1"/>
      <c r="X383" s="1"/>
    </row>
    <row r="384" spans="22:24" ht="15.75" customHeight="1" x14ac:dyDescent="0.25">
      <c r="V384" s="1"/>
      <c r="W384" s="1"/>
      <c r="X384" s="1"/>
    </row>
    <row r="385" spans="22:24" ht="15.75" customHeight="1" x14ac:dyDescent="0.25">
      <c r="V385" s="1"/>
      <c r="W385" s="1"/>
      <c r="X385" s="1"/>
    </row>
    <row r="386" spans="22:24" ht="15.75" customHeight="1" x14ac:dyDescent="0.25">
      <c r="V386" s="1"/>
      <c r="W386" s="1"/>
      <c r="X386" s="1"/>
    </row>
    <row r="387" spans="22:24" ht="15.75" customHeight="1" x14ac:dyDescent="0.25">
      <c r="V387" s="1"/>
      <c r="W387" s="1"/>
      <c r="X387" s="1"/>
    </row>
    <row r="388" spans="22:24" ht="15.75" customHeight="1" x14ac:dyDescent="0.25">
      <c r="V388" s="1"/>
      <c r="W388" s="1"/>
      <c r="X388" s="1"/>
    </row>
    <row r="389" spans="22:24" ht="15.75" customHeight="1" x14ac:dyDescent="0.25">
      <c r="V389" s="1"/>
      <c r="W389" s="1"/>
      <c r="X389" s="1"/>
    </row>
    <row r="390" spans="22:24" ht="15.75" customHeight="1" x14ac:dyDescent="0.25">
      <c r="V390" s="1"/>
      <c r="W390" s="1"/>
      <c r="X390" s="1"/>
    </row>
    <row r="391" spans="22:24" ht="15.75" customHeight="1" x14ac:dyDescent="0.25">
      <c r="V391" s="1"/>
      <c r="W391" s="1"/>
      <c r="X391" s="1"/>
    </row>
    <row r="392" spans="22:24" ht="15.75" customHeight="1" x14ac:dyDescent="0.25">
      <c r="V392" s="1"/>
      <c r="W392" s="1"/>
      <c r="X392" s="1"/>
    </row>
    <row r="393" spans="22:24" ht="15.75" customHeight="1" x14ac:dyDescent="0.25">
      <c r="V393" s="1"/>
      <c r="W393" s="1"/>
      <c r="X393" s="1"/>
    </row>
    <row r="394" spans="22:24" ht="15.75" customHeight="1" x14ac:dyDescent="0.25">
      <c r="V394" s="1"/>
      <c r="W394" s="1"/>
      <c r="X394" s="1"/>
    </row>
    <row r="395" spans="22:24" ht="15.75" customHeight="1" x14ac:dyDescent="0.25">
      <c r="V395" s="1"/>
      <c r="W395" s="1"/>
      <c r="X395" s="1"/>
    </row>
    <row r="396" spans="22:24" ht="15.75" customHeight="1" x14ac:dyDescent="0.25">
      <c r="V396" s="1"/>
      <c r="W396" s="1"/>
      <c r="X396" s="1"/>
    </row>
    <row r="397" spans="22:24" ht="15.75" customHeight="1" x14ac:dyDescent="0.25">
      <c r="V397" s="1"/>
      <c r="W397" s="1"/>
      <c r="X397" s="1"/>
    </row>
    <row r="398" spans="22:24" ht="15.75" customHeight="1" x14ac:dyDescent="0.25">
      <c r="V398" s="1"/>
      <c r="W398" s="1"/>
      <c r="X398" s="1"/>
    </row>
    <row r="399" spans="22:24" ht="15.75" customHeight="1" x14ac:dyDescent="0.25">
      <c r="V399" s="1"/>
      <c r="W399" s="1"/>
      <c r="X399" s="1"/>
    </row>
    <row r="400" spans="22:24" ht="15.75" customHeight="1" x14ac:dyDescent="0.25">
      <c r="V400" s="1"/>
      <c r="W400" s="1"/>
      <c r="X400" s="1"/>
    </row>
    <row r="401" spans="22:24" ht="15.75" customHeight="1" x14ac:dyDescent="0.25">
      <c r="V401" s="1"/>
      <c r="W401" s="1"/>
      <c r="X401" s="1"/>
    </row>
    <row r="402" spans="22:24" ht="15.75" customHeight="1" x14ac:dyDescent="0.25">
      <c r="V402" s="1"/>
      <c r="W402" s="1"/>
      <c r="X402" s="1"/>
    </row>
    <row r="403" spans="22:24" ht="15.75" customHeight="1" x14ac:dyDescent="0.25">
      <c r="V403" s="1"/>
      <c r="W403" s="1"/>
      <c r="X403" s="1"/>
    </row>
    <row r="404" spans="22:24" ht="15.75" customHeight="1" x14ac:dyDescent="0.25">
      <c r="V404" s="1"/>
      <c r="W404" s="1"/>
      <c r="X404" s="1"/>
    </row>
    <row r="405" spans="22:24" ht="15.75" customHeight="1" x14ac:dyDescent="0.25">
      <c r="V405" s="1"/>
      <c r="W405" s="1"/>
      <c r="X405" s="1"/>
    </row>
    <row r="406" spans="22:24" ht="15.75" customHeight="1" x14ac:dyDescent="0.25">
      <c r="V406" s="1"/>
      <c r="W406" s="1"/>
      <c r="X406" s="1"/>
    </row>
    <row r="407" spans="22:24" ht="15.75" customHeight="1" x14ac:dyDescent="0.25">
      <c r="V407" s="1"/>
      <c r="W407" s="1"/>
      <c r="X407" s="1"/>
    </row>
    <row r="408" spans="22:24" ht="15.75" customHeight="1" x14ac:dyDescent="0.25">
      <c r="V408" s="1"/>
      <c r="W408" s="1"/>
      <c r="X408" s="1"/>
    </row>
    <row r="409" spans="22:24" ht="15.75" customHeight="1" x14ac:dyDescent="0.25">
      <c r="V409" s="1"/>
      <c r="W409" s="1"/>
      <c r="X409" s="1"/>
    </row>
    <row r="410" spans="22:24" ht="15.75" customHeight="1" x14ac:dyDescent="0.25">
      <c r="V410" s="1"/>
      <c r="W410" s="1"/>
      <c r="X410" s="1"/>
    </row>
    <row r="411" spans="22:24" ht="15.75" customHeight="1" x14ac:dyDescent="0.25">
      <c r="V411" s="1"/>
      <c r="W411" s="1"/>
      <c r="X411" s="1"/>
    </row>
    <row r="412" spans="22:24" ht="15.75" customHeight="1" x14ac:dyDescent="0.25">
      <c r="V412" s="1"/>
      <c r="W412" s="1"/>
      <c r="X412" s="1"/>
    </row>
    <row r="413" spans="22:24" ht="15.75" customHeight="1" x14ac:dyDescent="0.25">
      <c r="V413" s="1"/>
      <c r="W413" s="1"/>
      <c r="X413" s="1"/>
    </row>
    <row r="414" spans="22:24" ht="15.75" customHeight="1" x14ac:dyDescent="0.25">
      <c r="V414" s="1"/>
      <c r="W414" s="1"/>
      <c r="X414" s="1"/>
    </row>
    <row r="415" spans="22:24" ht="15.75" customHeight="1" x14ac:dyDescent="0.25">
      <c r="V415" s="1"/>
      <c r="W415" s="1"/>
      <c r="X415" s="1"/>
    </row>
    <row r="416" spans="22:24" ht="15.75" customHeight="1" x14ac:dyDescent="0.25">
      <c r="V416" s="1"/>
      <c r="W416" s="1"/>
      <c r="X416" s="1"/>
    </row>
    <row r="417" spans="22:24" ht="15.75" customHeight="1" x14ac:dyDescent="0.25">
      <c r="V417" s="1"/>
      <c r="W417" s="1"/>
      <c r="X417" s="1"/>
    </row>
    <row r="418" spans="22:24" ht="15.75" customHeight="1" x14ac:dyDescent="0.25">
      <c r="V418" s="1"/>
      <c r="W418" s="1"/>
      <c r="X418" s="1"/>
    </row>
    <row r="419" spans="22:24" ht="15.75" customHeight="1" x14ac:dyDescent="0.25">
      <c r="V419" s="1"/>
      <c r="W419" s="1"/>
      <c r="X419" s="1"/>
    </row>
    <row r="420" spans="22:24" ht="15.75" customHeight="1" x14ac:dyDescent="0.25">
      <c r="V420" s="1"/>
      <c r="W420" s="1"/>
      <c r="X420" s="1"/>
    </row>
    <row r="421" spans="22:24" ht="15.75" customHeight="1" x14ac:dyDescent="0.25">
      <c r="V421" s="1"/>
      <c r="W421" s="1"/>
      <c r="X421" s="1"/>
    </row>
    <row r="422" spans="22:24" ht="15.75" customHeight="1" x14ac:dyDescent="0.25">
      <c r="V422" s="1"/>
      <c r="W422" s="1"/>
      <c r="X422" s="1"/>
    </row>
    <row r="423" spans="22:24" ht="15.75" customHeight="1" x14ac:dyDescent="0.25">
      <c r="V423" s="1"/>
      <c r="W423" s="1"/>
      <c r="X423" s="1"/>
    </row>
    <row r="424" spans="22:24" ht="15.75" customHeight="1" x14ac:dyDescent="0.25">
      <c r="V424" s="1"/>
      <c r="W424" s="1"/>
      <c r="X424" s="1"/>
    </row>
    <row r="425" spans="22:24" ht="15.75" customHeight="1" x14ac:dyDescent="0.25">
      <c r="V425" s="1"/>
      <c r="W425" s="1"/>
      <c r="X425" s="1"/>
    </row>
    <row r="426" spans="22:24" ht="15.75" customHeight="1" x14ac:dyDescent="0.25">
      <c r="V426" s="1"/>
      <c r="W426" s="1"/>
      <c r="X426" s="1"/>
    </row>
    <row r="427" spans="22:24" ht="15.75" customHeight="1" x14ac:dyDescent="0.25">
      <c r="V427" s="1"/>
      <c r="W427" s="1"/>
      <c r="X427" s="1"/>
    </row>
    <row r="428" spans="22:24" ht="15.75" customHeight="1" x14ac:dyDescent="0.25">
      <c r="V428" s="1"/>
      <c r="W428" s="1"/>
      <c r="X428" s="1"/>
    </row>
    <row r="429" spans="22:24" ht="15.75" customHeight="1" x14ac:dyDescent="0.25">
      <c r="V429" s="1"/>
      <c r="W429" s="1"/>
      <c r="X429" s="1"/>
    </row>
    <row r="430" spans="22:24" ht="15.75" customHeight="1" x14ac:dyDescent="0.25">
      <c r="V430" s="1"/>
      <c r="W430" s="1"/>
      <c r="X430" s="1"/>
    </row>
    <row r="431" spans="22:24" ht="15.75" customHeight="1" x14ac:dyDescent="0.25">
      <c r="V431" s="1"/>
      <c r="W431" s="1"/>
      <c r="X431" s="1"/>
    </row>
    <row r="432" spans="22:24" ht="15.75" customHeight="1" x14ac:dyDescent="0.25">
      <c r="V432" s="1"/>
      <c r="W432" s="1"/>
      <c r="X432" s="1"/>
    </row>
    <row r="433" spans="22:24" ht="15.75" customHeight="1" x14ac:dyDescent="0.25">
      <c r="V433" s="1"/>
      <c r="W433" s="1"/>
      <c r="X433" s="1"/>
    </row>
    <row r="434" spans="22:24" ht="15.75" customHeight="1" x14ac:dyDescent="0.25">
      <c r="V434" s="1"/>
      <c r="W434" s="1"/>
      <c r="X434" s="1"/>
    </row>
    <row r="435" spans="22:24" ht="15.75" customHeight="1" x14ac:dyDescent="0.25">
      <c r="V435" s="1"/>
      <c r="W435" s="1"/>
      <c r="X435" s="1"/>
    </row>
    <row r="436" spans="22:24" ht="15.75" customHeight="1" x14ac:dyDescent="0.25">
      <c r="V436" s="1"/>
      <c r="W436" s="1"/>
      <c r="X436" s="1"/>
    </row>
    <row r="437" spans="22:24" ht="15.75" customHeight="1" x14ac:dyDescent="0.25">
      <c r="V437" s="1"/>
      <c r="W437" s="1"/>
      <c r="X437" s="1"/>
    </row>
    <row r="438" spans="22:24" ht="15.75" customHeight="1" x14ac:dyDescent="0.25">
      <c r="V438" s="1"/>
      <c r="W438" s="1"/>
      <c r="X438" s="1"/>
    </row>
    <row r="439" spans="22:24" ht="15.75" customHeight="1" x14ac:dyDescent="0.25">
      <c r="V439" s="1"/>
      <c r="W439" s="1"/>
      <c r="X439" s="1"/>
    </row>
    <row r="440" spans="22:24" ht="15.75" customHeight="1" x14ac:dyDescent="0.25">
      <c r="V440" s="1"/>
      <c r="W440" s="1"/>
      <c r="X440" s="1"/>
    </row>
    <row r="441" spans="22:24" ht="15.75" customHeight="1" x14ac:dyDescent="0.25">
      <c r="V441" s="1"/>
      <c r="W441" s="1"/>
      <c r="X441" s="1"/>
    </row>
    <row r="442" spans="22:24" ht="15.75" customHeight="1" x14ac:dyDescent="0.25">
      <c r="V442" s="1"/>
      <c r="W442" s="1"/>
      <c r="X442" s="1"/>
    </row>
    <row r="443" spans="22:24" ht="15.75" customHeight="1" x14ac:dyDescent="0.25">
      <c r="V443" s="1"/>
      <c r="W443" s="1"/>
      <c r="X443" s="1"/>
    </row>
    <row r="444" spans="22:24" ht="15.75" customHeight="1" x14ac:dyDescent="0.25">
      <c r="V444" s="1"/>
      <c r="W444" s="1"/>
      <c r="X444" s="1"/>
    </row>
    <row r="445" spans="22:24" ht="15.75" customHeight="1" x14ac:dyDescent="0.25">
      <c r="V445" s="1"/>
      <c r="W445" s="1"/>
      <c r="X445" s="1"/>
    </row>
    <row r="446" spans="22:24" ht="15.75" customHeight="1" x14ac:dyDescent="0.25">
      <c r="V446" s="1"/>
      <c r="W446" s="1"/>
      <c r="X446" s="1"/>
    </row>
    <row r="447" spans="22:24" ht="15.75" customHeight="1" x14ac:dyDescent="0.25">
      <c r="V447" s="1"/>
      <c r="W447" s="1"/>
      <c r="X447" s="1"/>
    </row>
    <row r="448" spans="22:24" ht="15.75" customHeight="1" x14ac:dyDescent="0.25">
      <c r="V448" s="1"/>
      <c r="W448" s="1"/>
      <c r="X448" s="1"/>
    </row>
    <row r="449" spans="22:24" ht="15.75" customHeight="1" x14ac:dyDescent="0.25">
      <c r="V449" s="1"/>
      <c r="W449" s="1"/>
      <c r="X449" s="1"/>
    </row>
    <row r="450" spans="22:24" ht="15.75" customHeight="1" x14ac:dyDescent="0.25">
      <c r="V450" s="1"/>
      <c r="W450" s="1"/>
      <c r="X450" s="1"/>
    </row>
    <row r="451" spans="22:24" ht="15.75" customHeight="1" x14ac:dyDescent="0.25">
      <c r="V451" s="1"/>
      <c r="W451" s="1"/>
      <c r="X451" s="1"/>
    </row>
    <row r="452" spans="22:24" ht="15.75" customHeight="1" x14ac:dyDescent="0.25">
      <c r="V452" s="1"/>
      <c r="W452" s="1"/>
      <c r="X452" s="1"/>
    </row>
    <row r="453" spans="22:24" ht="15.75" customHeight="1" x14ac:dyDescent="0.25">
      <c r="V453" s="1"/>
      <c r="W453" s="1"/>
      <c r="X453" s="1"/>
    </row>
    <row r="454" spans="22:24" ht="15.75" customHeight="1" x14ac:dyDescent="0.25">
      <c r="V454" s="1"/>
      <c r="W454" s="1"/>
      <c r="X454" s="1"/>
    </row>
    <row r="455" spans="22:24" ht="15.75" customHeight="1" x14ac:dyDescent="0.25">
      <c r="V455" s="1"/>
      <c r="W455" s="1"/>
      <c r="X455" s="1"/>
    </row>
    <row r="456" spans="22:24" ht="15.75" customHeight="1" x14ac:dyDescent="0.25">
      <c r="V456" s="1"/>
      <c r="W456" s="1"/>
      <c r="X456" s="1"/>
    </row>
    <row r="457" spans="22:24" ht="15.75" customHeight="1" x14ac:dyDescent="0.25">
      <c r="V457" s="1"/>
      <c r="W457" s="1"/>
      <c r="X457" s="1"/>
    </row>
    <row r="458" spans="22:24" ht="15.75" customHeight="1" x14ac:dyDescent="0.25">
      <c r="V458" s="1"/>
      <c r="W458" s="1"/>
      <c r="X458" s="1"/>
    </row>
    <row r="459" spans="22:24" ht="15.75" customHeight="1" x14ac:dyDescent="0.25">
      <c r="V459" s="1"/>
      <c r="W459" s="1"/>
      <c r="X459" s="1"/>
    </row>
    <row r="460" spans="22:24" ht="15.75" customHeight="1" x14ac:dyDescent="0.25">
      <c r="V460" s="1"/>
      <c r="W460" s="1"/>
      <c r="X460" s="1"/>
    </row>
    <row r="461" spans="22:24" ht="15.75" customHeight="1" x14ac:dyDescent="0.25">
      <c r="V461" s="1"/>
      <c r="W461" s="1"/>
      <c r="X461" s="1"/>
    </row>
    <row r="462" spans="22:24" ht="15.75" customHeight="1" x14ac:dyDescent="0.25">
      <c r="V462" s="1"/>
      <c r="W462" s="1"/>
      <c r="X462" s="1"/>
    </row>
    <row r="463" spans="22:24" ht="15.75" customHeight="1" x14ac:dyDescent="0.25">
      <c r="V463" s="1"/>
      <c r="W463" s="1"/>
      <c r="X463" s="1"/>
    </row>
    <row r="464" spans="22:24" ht="15.75" customHeight="1" x14ac:dyDescent="0.25">
      <c r="V464" s="1"/>
      <c r="W464" s="1"/>
      <c r="X464" s="1"/>
    </row>
    <row r="465" spans="22:24" ht="15.75" customHeight="1" x14ac:dyDescent="0.25">
      <c r="V465" s="1"/>
      <c r="W465" s="1"/>
      <c r="X465" s="1"/>
    </row>
    <row r="466" spans="22:24" ht="15.75" customHeight="1" x14ac:dyDescent="0.25">
      <c r="V466" s="1"/>
      <c r="W466" s="1"/>
      <c r="X466" s="1"/>
    </row>
    <row r="467" spans="22:24" ht="15.75" customHeight="1" x14ac:dyDescent="0.25">
      <c r="V467" s="1"/>
      <c r="W467" s="1"/>
      <c r="X467" s="1"/>
    </row>
    <row r="468" spans="22:24" ht="15.75" customHeight="1" x14ac:dyDescent="0.25">
      <c r="V468" s="1"/>
      <c r="W468" s="1"/>
      <c r="X468" s="1"/>
    </row>
    <row r="469" spans="22:24" ht="15.75" customHeight="1" x14ac:dyDescent="0.25">
      <c r="V469" s="1"/>
      <c r="W469" s="1"/>
      <c r="X469" s="1"/>
    </row>
    <row r="470" spans="22:24" ht="15.75" customHeight="1" x14ac:dyDescent="0.25">
      <c r="V470" s="1"/>
      <c r="W470" s="1"/>
      <c r="X470" s="1"/>
    </row>
    <row r="471" spans="22:24" ht="15.75" customHeight="1" x14ac:dyDescent="0.25">
      <c r="V471" s="1"/>
      <c r="W471" s="1"/>
      <c r="X471" s="1"/>
    </row>
    <row r="472" spans="22:24" ht="15.75" customHeight="1" x14ac:dyDescent="0.25">
      <c r="V472" s="1"/>
      <c r="W472" s="1"/>
      <c r="X472" s="1"/>
    </row>
    <row r="473" spans="22:24" ht="15.75" customHeight="1" x14ac:dyDescent="0.25">
      <c r="V473" s="1"/>
      <c r="W473" s="1"/>
      <c r="X473" s="1"/>
    </row>
    <row r="474" spans="22:24" ht="15.75" customHeight="1" x14ac:dyDescent="0.25">
      <c r="V474" s="1"/>
      <c r="W474" s="1"/>
      <c r="X474" s="1"/>
    </row>
    <row r="475" spans="22:24" ht="15.75" customHeight="1" x14ac:dyDescent="0.25">
      <c r="V475" s="1"/>
      <c r="W475" s="1"/>
      <c r="X475" s="1"/>
    </row>
    <row r="476" spans="22:24" ht="15.75" customHeight="1" x14ac:dyDescent="0.25">
      <c r="V476" s="1"/>
      <c r="W476" s="1"/>
      <c r="X476" s="1"/>
    </row>
    <row r="477" spans="22:24" ht="15.75" customHeight="1" x14ac:dyDescent="0.25">
      <c r="V477" s="1"/>
      <c r="W477" s="1"/>
      <c r="X477" s="1"/>
    </row>
    <row r="478" spans="22:24" ht="15.75" customHeight="1" x14ac:dyDescent="0.25">
      <c r="V478" s="1"/>
      <c r="W478" s="1"/>
      <c r="X478" s="1"/>
    </row>
    <row r="479" spans="22:24" ht="15.75" customHeight="1" x14ac:dyDescent="0.25">
      <c r="V479" s="1"/>
      <c r="W479" s="1"/>
      <c r="X479" s="1"/>
    </row>
    <row r="480" spans="22:24" ht="15.75" customHeight="1" x14ac:dyDescent="0.25">
      <c r="V480" s="1"/>
      <c r="W480" s="1"/>
      <c r="X480" s="1"/>
    </row>
    <row r="481" spans="22:24" ht="15.75" customHeight="1" x14ac:dyDescent="0.25">
      <c r="V481" s="1"/>
      <c r="W481" s="1"/>
      <c r="X481" s="1"/>
    </row>
    <row r="482" spans="22:24" ht="15.75" customHeight="1" x14ac:dyDescent="0.25">
      <c r="V482" s="1"/>
      <c r="W482" s="1"/>
      <c r="X482" s="1"/>
    </row>
    <row r="483" spans="22:24" ht="15.75" customHeight="1" x14ac:dyDescent="0.25">
      <c r="V483" s="1"/>
      <c r="W483" s="1"/>
      <c r="X483" s="1"/>
    </row>
    <row r="484" spans="22:24" ht="15.75" customHeight="1" x14ac:dyDescent="0.25">
      <c r="V484" s="1"/>
      <c r="W484" s="1"/>
      <c r="X484" s="1"/>
    </row>
    <row r="485" spans="22:24" ht="15.75" customHeight="1" x14ac:dyDescent="0.25">
      <c r="V485" s="1"/>
      <c r="W485" s="1"/>
      <c r="X485" s="1"/>
    </row>
    <row r="486" spans="22:24" ht="15.75" customHeight="1" x14ac:dyDescent="0.25">
      <c r="V486" s="1"/>
      <c r="W486" s="1"/>
      <c r="X486" s="1"/>
    </row>
    <row r="487" spans="22:24" ht="15.75" customHeight="1" x14ac:dyDescent="0.25">
      <c r="V487" s="1"/>
      <c r="W487" s="1"/>
      <c r="X487" s="1"/>
    </row>
    <row r="488" spans="22:24" ht="15.75" customHeight="1" x14ac:dyDescent="0.25">
      <c r="V488" s="1"/>
      <c r="W488" s="1"/>
      <c r="X488" s="1"/>
    </row>
    <row r="489" spans="22:24" ht="15.75" customHeight="1" x14ac:dyDescent="0.25">
      <c r="V489" s="1"/>
      <c r="W489" s="1"/>
      <c r="X489" s="1"/>
    </row>
    <row r="490" spans="22:24" ht="15.75" customHeight="1" x14ac:dyDescent="0.25">
      <c r="V490" s="1"/>
      <c r="W490" s="1"/>
      <c r="X490" s="1"/>
    </row>
    <row r="491" spans="22:24" ht="15.75" customHeight="1" x14ac:dyDescent="0.25">
      <c r="V491" s="1"/>
      <c r="W491" s="1"/>
      <c r="X491" s="1"/>
    </row>
    <row r="492" spans="22:24" ht="15.75" customHeight="1" x14ac:dyDescent="0.25">
      <c r="V492" s="1"/>
      <c r="W492" s="1"/>
      <c r="X492" s="1"/>
    </row>
    <row r="493" spans="22:24" ht="15.75" customHeight="1" x14ac:dyDescent="0.25">
      <c r="V493" s="1"/>
      <c r="W493" s="1"/>
      <c r="X493" s="1"/>
    </row>
    <row r="494" spans="22:24" ht="15.75" customHeight="1" x14ac:dyDescent="0.25">
      <c r="V494" s="1"/>
      <c r="W494" s="1"/>
      <c r="X494" s="1"/>
    </row>
    <row r="495" spans="22:24" ht="15.75" customHeight="1" x14ac:dyDescent="0.25">
      <c r="V495" s="1"/>
      <c r="W495" s="1"/>
      <c r="X495" s="1"/>
    </row>
    <row r="496" spans="22:24" ht="15.75" customHeight="1" x14ac:dyDescent="0.25">
      <c r="V496" s="1"/>
      <c r="W496" s="1"/>
      <c r="X496" s="1"/>
    </row>
    <row r="497" spans="22:24" ht="15.75" customHeight="1" x14ac:dyDescent="0.25">
      <c r="V497" s="1"/>
      <c r="W497" s="1"/>
      <c r="X497" s="1"/>
    </row>
    <row r="498" spans="22:24" ht="15.75" customHeight="1" x14ac:dyDescent="0.25">
      <c r="V498" s="1"/>
      <c r="W498" s="1"/>
      <c r="X498" s="1"/>
    </row>
    <row r="499" spans="22:24" ht="15.75" customHeight="1" x14ac:dyDescent="0.25">
      <c r="V499" s="1"/>
      <c r="W499" s="1"/>
      <c r="X499" s="1"/>
    </row>
    <row r="500" spans="22:24" ht="15.75" customHeight="1" x14ac:dyDescent="0.25">
      <c r="V500" s="1"/>
      <c r="W500" s="1"/>
      <c r="X500" s="1"/>
    </row>
    <row r="501" spans="22:24" ht="15.75" customHeight="1" x14ac:dyDescent="0.25">
      <c r="V501" s="1"/>
      <c r="W501" s="1"/>
      <c r="X501" s="1"/>
    </row>
    <row r="502" spans="22:24" ht="15.75" customHeight="1" x14ac:dyDescent="0.25">
      <c r="V502" s="1"/>
      <c r="W502" s="1"/>
      <c r="X502" s="1"/>
    </row>
    <row r="503" spans="22:24" ht="15.75" customHeight="1" x14ac:dyDescent="0.25">
      <c r="V503" s="1"/>
      <c r="W503" s="1"/>
      <c r="X503" s="1"/>
    </row>
    <row r="504" spans="22:24" ht="15.75" customHeight="1" x14ac:dyDescent="0.25">
      <c r="V504" s="1"/>
      <c r="W504" s="1"/>
      <c r="X504" s="1"/>
    </row>
    <row r="505" spans="22:24" ht="15.75" customHeight="1" x14ac:dyDescent="0.25">
      <c r="V505" s="1"/>
      <c r="W505" s="1"/>
      <c r="X505" s="1"/>
    </row>
    <row r="506" spans="22:24" ht="15.75" customHeight="1" x14ac:dyDescent="0.25">
      <c r="V506" s="1"/>
      <c r="W506" s="1"/>
      <c r="X506" s="1"/>
    </row>
    <row r="507" spans="22:24" ht="15.75" customHeight="1" x14ac:dyDescent="0.25">
      <c r="V507" s="1"/>
      <c r="W507" s="1"/>
      <c r="X507" s="1"/>
    </row>
    <row r="508" spans="22:24" ht="15.75" customHeight="1" x14ac:dyDescent="0.25">
      <c r="V508" s="1"/>
      <c r="W508" s="1"/>
      <c r="X508" s="1"/>
    </row>
    <row r="509" spans="22:24" ht="15.75" customHeight="1" x14ac:dyDescent="0.25">
      <c r="V509" s="1"/>
      <c r="W509" s="1"/>
      <c r="X509" s="1"/>
    </row>
    <row r="510" spans="22:24" ht="15.75" customHeight="1" x14ac:dyDescent="0.25">
      <c r="V510" s="1"/>
      <c r="W510" s="1"/>
      <c r="X510" s="1"/>
    </row>
    <row r="511" spans="22:24" ht="15.75" customHeight="1" x14ac:dyDescent="0.25">
      <c r="V511" s="1"/>
      <c r="W511" s="1"/>
      <c r="X511" s="1"/>
    </row>
    <row r="512" spans="22:24" ht="15.75" customHeight="1" x14ac:dyDescent="0.25">
      <c r="V512" s="1"/>
      <c r="W512" s="1"/>
      <c r="X512" s="1"/>
    </row>
    <row r="513" spans="22:24" ht="15.75" customHeight="1" x14ac:dyDescent="0.25">
      <c r="V513" s="1"/>
      <c r="W513" s="1"/>
      <c r="X513" s="1"/>
    </row>
    <row r="514" spans="22:24" ht="15.75" customHeight="1" x14ac:dyDescent="0.25">
      <c r="V514" s="1"/>
      <c r="W514" s="1"/>
      <c r="X514" s="1"/>
    </row>
    <row r="515" spans="22:24" ht="15.75" customHeight="1" x14ac:dyDescent="0.25">
      <c r="V515" s="1"/>
      <c r="W515" s="1"/>
      <c r="X515" s="1"/>
    </row>
    <row r="516" spans="22:24" ht="15.75" customHeight="1" x14ac:dyDescent="0.25">
      <c r="V516" s="1"/>
      <c r="W516" s="1"/>
      <c r="X516" s="1"/>
    </row>
    <row r="517" spans="22:24" ht="15.75" customHeight="1" x14ac:dyDescent="0.25">
      <c r="V517" s="1"/>
      <c r="W517" s="1"/>
      <c r="X517" s="1"/>
    </row>
    <row r="518" spans="22:24" ht="15.75" customHeight="1" x14ac:dyDescent="0.25">
      <c r="V518" s="1"/>
      <c r="W518" s="1"/>
      <c r="X518" s="1"/>
    </row>
    <row r="519" spans="22:24" ht="15.75" customHeight="1" x14ac:dyDescent="0.25">
      <c r="V519" s="1"/>
      <c r="W519" s="1"/>
      <c r="X519" s="1"/>
    </row>
    <row r="520" spans="22:24" ht="15.75" customHeight="1" x14ac:dyDescent="0.25">
      <c r="V520" s="1"/>
      <c r="W520" s="1"/>
      <c r="X520" s="1"/>
    </row>
    <row r="521" spans="22:24" ht="15.75" customHeight="1" x14ac:dyDescent="0.25">
      <c r="V521" s="1"/>
      <c r="W521" s="1"/>
      <c r="X521" s="1"/>
    </row>
    <row r="522" spans="22:24" ht="15.75" customHeight="1" x14ac:dyDescent="0.25">
      <c r="V522" s="1"/>
      <c r="W522" s="1"/>
      <c r="X522" s="1"/>
    </row>
    <row r="523" spans="22:24" ht="15.75" customHeight="1" x14ac:dyDescent="0.25">
      <c r="V523" s="1"/>
      <c r="W523" s="1"/>
      <c r="X523" s="1"/>
    </row>
    <row r="524" spans="22:24" ht="15.75" customHeight="1" x14ac:dyDescent="0.25">
      <c r="V524" s="1"/>
      <c r="W524" s="1"/>
      <c r="X524" s="1"/>
    </row>
    <row r="525" spans="22:24" ht="15.75" customHeight="1" x14ac:dyDescent="0.25">
      <c r="V525" s="1"/>
      <c r="W525" s="1"/>
      <c r="X525" s="1"/>
    </row>
    <row r="526" spans="22:24" ht="15.75" customHeight="1" x14ac:dyDescent="0.25">
      <c r="V526" s="1"/>
      <c r="W526" s="1"/>
      <c r="X526" s="1"/>
    </row>
    <row r="527" spans="22:24" ht="15.75" customHeight="1" x14ac:dyDescent="0.25">
      <c r="V527" s="1"/>
      <c r="W527" s="1"/>
      <c r="X527" s="1"/>
    </row>
    <row r="528" spans="22:24" ht="15.75" customHeight="1" x14ac:dyDescent="0.25">
      <c r="V528" s="1"/>
      <c r="W528" s="1"/>
      <c r="X528" s="1"/>
    </row>
    <row r="529" spans="22:24" ht="15.75" customHeight="1" x14ac:dyDescent="0.25">
      <c r="V529" s="1"/>
      <c r="W529" s="1"/>
      <c r="X529" s="1"/>
    </row>
    <row r="530" spans="22:24" ht="15.75" customHeight="1" x14ac:dyDescent="0.25">
      <c r="V530" s="1"/>
      <c r="W530" s="1"/>
      <c r="X530" s="1"/>
    </row>
    <row r="531" spans="22:24" ht="15.75" customHeight="1" x14ac:dyDescent="0.25">
      <c r="V531" s="1"/>
      <c r="W531" s="1"/>
      <c r="X531" s="1"/>
    </row>
    <row r="532" spans="22:24" ht="15.75" customHeight="1" x14ac:dyDescent="0.25">
      <c r="V532" s="1"/>
      <c r="W532" s="1"/>
      <c r="X532" s="1"/>
    </row>
    <row r="533" spans="22:24" ht="15.75" customHeight="1" x14ac:dyDescent="0.25">
      <c r="V533" s="1"/>
      <c r="W533" s="1"/>
      <c r="X533" s="1"/>
    </row>
    <row r="534" spans="22:24" ht="15.75" customHeight="1" x14ac:dyDescent="0.25">
      <c r="V534" s="1"/>
      <c r="W534" s="1"/>
      <c r="X534" s="1"/>
    </row>
    <row r="535" spans="22:24" ht="15.75" customHeight="1" x14ac:dyDescent="0.25">
      <c r="V535" s="1"/>
      <c r="W535" s="1"/>
      <c r="X535" s="1"/>
    </row>
    <row r="536" spans="22:24" ht="15.75" customHeight="1" x14ac:dyDescent="0.25">
      <c r="V536" s="1"/>
      <c r="W536" s="1"/>
      <c r="X536" s="1"/>
    </row>
    <row r="537" spans="22:24" ht="15.75" customHeight="1" x14ac:dyDescent="0.25">
      <c r="V537" s="1"/>
      <c r="W537" s="1"/>
      <c r="X537" s="1"/>
    </row>
    <row r="538" spans="22:24" ht="15.75" customHeight="1" x14ac:dyDescent="0.25">
      <c r="V538" s="1"/>
      <c r="W538" s="1"/>
      <c r="X538" s="1"/>
    </row>
    <row r="539" spans="22:24" ht="15.75" customHeight="1" x14ac:dyDescent="0.25">
      <c r="V539" s="1"/>
      <c r="W539" s="1"/>
      <c r="X539" s="1"/>
    </row>
    <row r="540" spans="22:24" ht="15.75" customHeight="1" x14ac:dyDescent="0.25">
      <c r="V540" s="1"/>
      <c r="W540" s="1"/>
      <c r="X540" s="1"/>
    </row>
    <row r="541" spans="22:24" ht="15.75" customHeight="1" x14ac:dyDescent="0.25">
      <c r="V541" s="1"/>
      <c r="W541" s="1"/>
      <c r="X541" s="1"/>
    </row>
    <row r="542" spans="22:24" ht="15.75" customHeight="1" x14ac:dyDescent="0.25">
      <c r="V542" s="1"/>
      <c r="W542" s="1"/>
      <c r="X542" s="1"/>
    </row>
    <row r="543" spans="22:24" ht="15.75" customHeight="1" x14ac:dyDescent="0.25">
      <c r="V543" s="1"/>
      <c r="W543" s="1"/>
      <c r="X543" s="1"/>
    </row>
    <row r="544" spans="22:24" ht="15.75" customHeight="1" x14ac:dyDescent="0.25">
      <c r="V544" s="1"/>
      <c r="W544" s="1"/>
      <c r="X544" s="1"/>
    </row>
    <row r="545" spans="22:24" ht="15.75" customHeight="1" x14ac:dyDescent="0.25">
      <c r="V545" s="1"/>
      <c r="W545" s="1"/>
      <c r="X545" s="1"/>
    </row>
    <row r="546" spans="22:24" ht="15.75" customHeight="1" x14ac:dyDescent="0.25">
      <c r="V546" s="1"/>
      <c r="W546" s="1"/>
      <c r="X546" s="1"/>
    </row>
    <row r="547" spans="22:24" ht="15.75" customHeight="1" x14ac:dyDescent="0.25">
      <c r="V547" s="1"/>
      <c r="W547" s="1"/>
      <c r="X547" s="1"/>
    </row>
    <row r="548" spans="22:24" ht="15.75" customHeight="1" x14ac:dyDescent="0.25">
      <c r="V548" s="1"/>
      <c r="W548" s="1"/>
      <c r="X548" s="1"/>
    </row>
    <row r="549" spans="22:24" ht="15.75" customHeight="1" x14ac:dyDescent="0.25">
      <c r="V549" s="1"/>
      <c r="W549" s="1"/>
      <c r="X549" s="1"/>
    </row>
    <row r="550" spans="22:24" ht="15.75" customHeight="1" x14ac:dyDescent="0.25">
      <c r="V550" s="1"/>
      <c r="W550" s="1"/>
      <c r="X550" s="1"/>
    </row>
    <row r="551" spans="22:24" ht="15.75" customHeight="1" x14ac:dyDescent="0.25">
      <c r="V551" s="1"/>
      <c r="W551" s="1"/>
      <c r="X551" s="1"/>
    </row>
    <row r="552" spans="22:24" ht="15.75" customHeight="1" x14ac:dyDescent="0.25">
      <c r="V552" s="1"/>
      <c r="W552" s="1"/>
      <c r="X552" s="1"/>
    </row>
    <row r="553" spans="22:24" ht="15.75" customHeight="1" x14ac:dyDescent="0.25">
      <c r="V553" s="1"/>
      <c r="W553" s="1"/>
      <c r="X553" s="1"/>
    </row>
    <row r="554" spans="22:24" ht="15.75" customHeight="1" x14ac:dyDescent="0.25">
      <c r="V554" s="1"/>
      <c r="W554" s="1"/>
      <c r="X554" s="1"/>
    </row>
    <row r="555" spans="22:24" ht="15.75" customHeight="1" x14ac:dyDescent="0.25">
      <c r="V555" s="1"/>
      <c r="W555" s="1"/>
      <c r="X555" s="1"/>
    </row>
    <row r="556" spans="22:24" ht="15.75" customHeight="1" x14ac:dyDescent="0.25">
      <c r="V556" s="1"/>
      <c r="W556" s="1"/>
      <c r="X556" s="1"/>
    </row>
    <row r="557" spans="22:24" ht="15.75" customHeight="1" x14ac:dyDescent="0.25">
      <c r="V557" s="1"/>
      <c r="W557" s="1"/>
      <c r="X557" s="1"/>
    </row>
    <row r="558" spans="22:24" ht="15.75" customHeight="1" x14ac:dyDescent="0.25">
      <c r="V558" s="1"/>
      <c r="W558" s="1"/>
      <c r="X558" s="1"/>
    </row>
    <row r="559" spans="22:24" ht="15.75" customHeight="1" x14ac:dyDescent="0.25">
      <c r="V559" s="1"/>
      <c r="W559" s="1"/>
      <c r="X559" s="1"/>
    </row>
    <row r="560" spans="22:24" ht="15.75" customHeight="1" x14ac:dyDescent="0.25">
      <c r="V560" s="1"/>
      <c r="W560" s="1"/>
      <c r="X560" s="1"/>
    </row>
    <row r="561" spans="22:24" ht="15.75" customHeight="1" x14ac:dyDescent="0.25">
      <c r="V561" s="1"/>
      <c r="W561" s="1"/>
      <c r="X561" s="1"/>
    </row>
    <row r="562" spans="22:24" ht="15.75" customHeight="1" x14ac:dyDescent="0.25">
      <c r="V562" s="1"/>
      <c r="W562" s="1"/>
      <c r="X562" s="1"/>
    </row>
    <row r="563" spans="22:24" ht="15.75" customHeight="1" x14ac:dyDescent="0.25">
      <c r="V563" s="1"/>
      <c r="W563" s="1"/>
      <c r="X563" s="1"/>
    </row>
    <row r="564" spans="22:24" ht="15.75" customHeight="1" x14ac:dyDescent="0.25">
      <c r="V564" s="1"/>
      <c r="W564" s="1"/>
      <c r="X564" s="1"/>
    </row>
    <row r="565" spans="22:24" ht="15.75" customHeight="1" x14ac:dyDescent="0.25">
      <c r="V565" s="1"/>
      <c r="W565" s="1"/>
      <c r="X565" s="1"/>
    </row>
    <row r="566" spans="22:24" ht="15.75" customHeight="1" x14ac:dyDescent="0.25">
      <c r="V566" s="1"/>
      <c r="W566" s="1"/>
      <c r="X566" s="1"/>
    </row>
    <row r="567" spans="22:24" ht="15.75" customHeight="1" x14ac:dyDescent="0.25">
      <c r="V567" s="1"/>
      <c r="W567" s="1"/>
      <c r="X567" s="1"/>
    </row>
    <row r="568" spans="22:24" ht="15.75" customHeight="1" x14ac:dyDescent="0.25">
      <c r="V568" s="1"/>
      <c r="W568" s="1"/>
      <c r="X568" s="1"/>
    </row>
    <row r="569" spans="22:24" ht="15.75" customHeight="1" x14ac:dyDescent="0.25">
      <c r="V569" s="1"/>
      <c r="W569" s="1"/>
      <c r="X569" s="1"/>
    </row>
    <row r="570" spans="22:24" ht="15.75" customHeight="1" x14ac:dyDescent="0.25">
      <c r="V570" s="1"/>
      <c r="W570" s="1"/>
      <c r="X570" s="1"/>
    </row>
    <row r="571" spans="22:24" ht="15.75" customHeight="1" x14ac:dyDescent="0.25">
      <c r="V571" s="1"/>
      <c r="W571" s="1"/>
      <c r="X571" s="1"/>
    </row>
    <row r="572" spans="22:24" ht="15.75" customHeight="1" x14ac:dyDescent="0.25">
      <c r="V572" s="1"/>
      <c r="W572" s="1"/>
      <c r="X572" s="1"/>
    </row>
    <row r="573" spans="22:24" ht="15.75" customHeight="1" x14ac:dyDescent="0.25">
      <c r="V573" s="1"/>
      <c r="W573" s="1"/>
      <c r="X573" s="1"/>
    </row>
    <row r="574" spans="22:24" ht="15.75" customHeight="1" x14ac:dyDescent="0.25">
      <c r="V574" s="1"/>
      <c r="W574" s="1"/>
      <c r="X574" s="1"/>
    </row>
    <row r="575" spans="22:24" ht="15.75" customHeight="1" x14ac:dyDescent="0.25">
      <c r="V575" s="1"/>
      <c r="W575" s="1"/>
      <c r="X575" s="1"/>
    </row>
    <row r="576" spans="22:24" ht="15.75" customHeight="1" x14ac:dyDescent="0.25">
      <c r="V576" s="1"/>
      <c r="W576" s="1"/>
      <c r="X576" s="1"/>
    </row>
    <row r="577" spans="22:24" ht="15.75" customHeight="1" x14ac:dyDescent="0.25">
      <c r="V577" s="1"/>
      <c r="W577" s="1"/>
      <c r="X577" s="1"/>
    </row>
    <row r="578" spans="22:24" ht="15.75" customHeight="1" x14ac:dyDescent="0.25">
      <c r="V578" s="1"/>
      <c r="W578" s="1"/>
      <c r="X578" s="1"/>
    </row>
    <row r="579" spans="22:24" ht="15.75" customHeight="1" x14ac:dyDescent="0.25">
      <c r="V579" s="1"/>
      <c r="W579" s="1"/>
      <c r="X579" s="1"/>
    </row>
    <row r="580" spans="22:24" ht="15.75" customHeight="1" x14ac:dyDescent="0.25">
      <c r="V580" s="1"/>
      <c r="W580" s="1"/>
      <c r="X580" s="1"/>
    </row>
    <row r="581" spans="22:24" ht="15.75" customHeight="1" x14ac:dyDescent="0.25">
      <c r="V581" s="1"/>
      <c r="W581" s="1"/>
      <c r="X581" s="1"/>
    </row>
    <row r="582" spans="22:24" ht="15.75" customHeight="1" x14ac:dyDescent="0.25">
      <c r="V582" s="1"/>
      <c r="W582" s="1"/>
      <c r="X582" s="1"/>
    </row>
    <row r="583" spans="22:24" ht="15.75" customHeight="1" x14ac:dyDescent="0.25">
      <c r="V583" s="1"/>
      <c r="W583" s="1"/>
      <c r="X583" s="1"/>
    </row>
    <row r="584" spans="22:24" ht="15.75" customHeight="1" x14ac:dyDescent="0.25">
      <c r="V584" s="1"/>
      <c r="W584" s="1"/>
      <c r="X584" s="1"/>
    </row>
    <row r="585" spans="22:24" ht="15.75" customHeight="1" x14ac:dyDescent="0.25">
      <c r="V585" s="1"/>
      <c r="W585" s="1"/>
      <c r="X585" s="1"/>
    </row>
    <row r="586" spans="22:24" ht="15.75" customHeight="1" x14ac:dyDescent="0.25">
      <c r="V586" s="1"/>
      <c r="W586" s="1"/>
      <c r="X586" s="1"/>
    </row>
    <row r="587" spans="22:24" ht="15.75" customHeight="1" x14ac:dyDescent="0.25">
      <c r="V587" s="1"/>
      <c r="W587" s="1"/>
      <c r="X587" s="1"/>
    </row>
    <row r="588" spans="22:24" ht="15.75" customHeight="1" x14ac:dyDescent="0.25">
      <c r="V588" s="1"/>
      <c r="W588" s="1"/>
      <c r="X588" s="1"/>
    </row>
    <row r="589" spans="22:24" ht="15.75" customHeight="1" x14ac:dyDescent="0.25">
      <c r="V589" s="1"/>
      <c r="W589" s="1"/>
      <c r="X589" s="1"/>
    </row>
    <row r="590" spans="22:24" ht="15.75" customHeight="1" x14ac:dyDescent="0.25">
      <c r="V590" s="1"/>
      <c r="W590" s="1"/>
      <c r="X590" s="1"/>
    </row>
    <row r="591" spans="22:24" ht="15.75" customHeight="1" x14ac:dyDescent="0.25">
      <c r="V591" s="1"/>
      <c r="W591" s="1"/>
      <c r="X591" s="1"/>
    </row>
    <row r="592" spans="22:24" ht="15.75" customHeight="1" x14ac:dyDescent="0.25">
      <c r="V592" s="1"/>
      <c r="W592" s="1"/>
      <c r="X592" s="1"/>
    </row>
    <row r="593" spans="22:24" ht="15.75" customHeight="1" x14ac:dyDescent="0.25">
      <c r="V593" s="1"/>
      <c r="W593" s="1"/>
      <c r="X593" s="1"/>
    </row>
    <row r="594" spans="22:24" ht="15.75" customHeight="1" x14ac:dyDescent="0.25">
      <c r="V594" s="1"/>
      <c r="W594" s="1"/>
      <c r="X594" s="1"/>
    </row>
    <row r="595" spans="22:24" ht="15.75" customHeight="1" x14ac:dyDescent="0.25">
      <c r="V595" s="1"/>
      <c r="W595" s="1"/>
      <c r="X595" s="1"/>
    </row>
    <row r="596" spans="22:24" ht="15.75" customHeight="1" x14ac:dyDescent="0.25">
      <c r="V596" s="1"/>
      <c r="W596" s="1"/>
      <c r="X596" s="1"/>
    </row>
    <row r="597" spans="22:24" ht="15.75" customHeight="1" x14ac:dyDescent="0.25">
      <c r="V597" s="1"/>
      <c r="W597" s="1"/>
      <c r="X597" s="1"/>
    </row>
    <row r="598" spans="22:24" ht="15.75" customHeight="1" x14ac:dyDescent="0.25">
      <c r="V598" s="1"/>
      <c r="W598" s="1"/>
      <c r="X598" s="1"/>
    </row>
    <row r="599" spans="22:24" ht="15.75" customHeight="1" x14ac:dyDescent="0.25">
      <c r="V599" s="1"/>
      <c r="W599" s="1"/>
      <c r="X599" s="1"/>
    </row>
    <row r="600" spans="22:24" ht="15.75" customHeight="1" x14ac:dyDescent="0.25">
      <c r="V600" s="1"/>
      <c r="W600" s="1"/>
      <c r="X600" s="1"/>
    </row>
    <row r="601" spans="22:24" ht="15.75" customHeight="1" x14ac:dyDescent="0.25">
      <c r="V601" s="1"/>
      <c r="W601" s="1"/>
      <c r="X601" s="1"/>
    </row>
    <row r="602" spans="22:24" ht="15.75" customHeight="1" x14ac:dyDescent="0.25">
      <c r="V602" s="1"/>
      <c r="W602" s="1"/>
      <c r="X602" s="1"/>
    </row>
    <row r="603" spans="22:24" ht="15.75" customHeight="1" x14ac:dyDescent="0.25">
      <c r="V603" s="1"/>
      <c r="W603" s="1"/>
      <c r="X603" s="1"/>
    </row>
    <row r="604" spans="22:24" ht="15.75" customHeight="1" x14ac:dyDescent="0.25">
      <c r="V604" s="1"/>
      <c r="W604" s="1"/>
      <c r="X604" s="1"/>
    </row>
    <row r="605" spans="22:24" ht="15.75" customHeight="1" x14ac:dyDescent="0.25">
      <c r="V605" s="1"/>
      <c r="W605" s="1"/>
      <c r="X605" s="1"/>
    </row>
    <row r="606" spans="22:24" ht="15.75" customHeight="1" x14ac:dyDescent="0.25">
      <c r="V606" s="1"/>
      <c r="W606" s="1"/>
      <c r="X606" s="1"/>
    </row>
    <row r="607" spans="22:24" ht="15.75" customHeight="1" x14ac:dyDescent="0.25">
      <c r="V607" s="1"/>
      <c r="W607" s="1"/>
      <c r="X607" s="1"/>
    </row>
    <row r="608" spans="22:24" ht="15.75" customHeight="1" x14ac:dyDescent="0.25">
      <c r="V608" s="1"/>
      <c r="W608" s="1"/>
      <c r="X608" s="1"/>
    </row>
    <row r="609" spans="22:24" ht="15.75" customHeight="1" x14ac:dyDescent="0.25">
      <c r="V609" s="1"/>
      <c r="W609" s="1"/>
      <c r="X609" s="1"/>
    </row>
    <row r="610" spans="22:24" ht="15.75" customHeight="1" x14ac:dyDescent="0.25">
      <c r="V610" s="1"/>
      <c r="W610" s="1"/>
      <c r="X610" s="1"/>
    </row>
    <row r="611" spans="22:24" ht="15.75" customHeight="1" x14ac:dyDescent="0.25">
      <c r="V611" s="1"/>
      <c r="W611" s="1"/>
      <c r="X611" s="1"/>
    </row>
    <row r="612" spans="22:24" ht="15.75" customHeight="1" x14ac:dyDescent="0.25">
      <c r="V612" s="1"/>
      <c r="W612" s="1"/>
      <c r="X612" s="1"/>
    </row>
    <row r="613" spans="22:24" ht="15.75" customHeight="1" x14ac:dyDescent="0.25">
      <c r="V613" s="1"/>
      <c r="W613" s="1"/>
      <c r="X613" s="1"/>
    </row>
    <row r="614" spans="22:24" ht="15.75" customHeight="1" x14ac:dyDescent="0.25">
      <c r="V614" s="1"/>
      <c r="W614" s="1"/>
      <c r="X614" s="1"/>
    </row>
    <row r="615" spans="22:24" ht="15.75" customHeight="1" x14ac:dyDescent="0.25">
      <c r="V615" s="1"/>
      <c r="W615" s="1"/>
      <c r="X615" s="1"/>
    </row>
    <row r="616" spans="22:24" ht="15.75" customHeight="1" x14ac:dyDescent="0.25">
      <c r="V616" s="1"/>
      <c r="W616" s="1"/>
      <c r="X616" s="1"/>
    </row>
    <row r="617" spans="22:24" ht="15.75" customHeight="1" x14ac:dyDescent="0.25">
      <c r="V617" s="1"/>
      <c r="W617" s="1"/>
      <c r="X617" s="1"/>
    </row>
    <row r="618" spans="22:24" ht="15.75" customHeight="1" x14ac:dyDescent="0.25">
      <c r="V618" s="1"/>
      <c r="W618" s="1"/>
      <c r="X618" s="1"/>
    </row>
    <row r="619" spans="22:24" ht="15.75" customHeight="1" x14ac:dyDescent="0.25">
      <c r="V619" s="1"/>
      <c r="W619" s="1"/>
      <c r="X619" s="1"/>
    </row>
    <row r="620" spans="22:24" ht="15.75" customHeight="1" x14ac:dyDescent="0.25">
      <c r="V620" s="1"/>
      <c r="W620" s="1"/>
      <c r="X620" s="1"/>
    </row>
    <row r="621" spans="22:24" ht="15.75" customHeight="1" x14ac:dyDescent="0.25">
      <c r="V621" s="1"/>
      <c r="W621" s="1"/>
      <c r="X621" s="1"/>
    </row>
    <row r="622" spans="22:24" ht="15.75" customHeight="1" x14ac:dyDescent="0.25">
      <c r="V622" s="1"/>
      <c r="W622" s="1"/>
      <c r="X622" s="1"/>
    </row>
    <row r="623" spans="22:24" ht="15.75" customHeight="1" x14ac:dyDescent="0.25">
      <c r="V623" s="1"/>
      <c r="W623" s="1"/>
      <c r="X623" s="1"/>
    </row>
    <row r="624" spans="22:24" ht="15.75" customHeight="1" x14ac:dyDescent="0.25">
      <c r="V624" s="1"/>
      <c r="W624" s="1"/>
      <c r="X624" s="1"/>
    </row>
    <row r="625" spans="22:24" ht="15.75" customHeight="1" x14ac:dyDescent="0.25">
      <c r="V625" s="1"/>
      <c r="W625" s="1"/>
      <c r="X625" s="1"/>
    </row>
    <row r="626" spans="22:24" ht="15.75" customHeight="1" x14ac:dyDescent="0.25">
      <c r="V626" s="1"/>
      <c r="W626" s="1"/>
      <c r="X626" s="1"/>
    </row>
    <row r="627" spans="22:24" ht="15.75" customHeight="1" x14ac:dyDescent="0.25">
      <c r="V627" s="1"/>
      <c r="W627" s="1"/>
      <c r="X627" s="1"/>
    </row>
    <row r="628" spans="22:24" ht="15.75" customHeight="1" x14ac:dyDescent="0.25">
      <c r="V628" s="1"/>
      <c r="W628" s="1"/>
      <c r="X628" s="1"/>
    </row>
    <row r="629" spans="22:24" ht="15.75" customHeight="1" x14ac:dyDescent="0.25">
      <c r="V629" s="1"/>
      <c r="W629" s="1"/>
      <c r="X629" s="1"/>
    </row>
    <row r="630" spans="22:24" ht="15.75" customHeight="1" x14ac:dyDescent="0.25">
      <c r="V630" s="1"/>
      <c r="W630" s="1"/>
      <c r="X630" s="1"/>
    </row>
    <row r="631" spans="22:24" ht="15.75" customHeight="1" x14ac:dyDescent="0.25">
      <c r="V631" s="1"/>
      <c r="W631" s="1"/>
      <c r="X631" s="1"/>
    </row>
    <row r="632" spans="22:24" ht="15.75" customHeight="1" x14ac:dyDescent="0.25">
      <c r="V632" s="1"/>
      <c r="W632" s="1"/>
      <c r="X632" s="1"/>
    </row>
    <row r="633" spans="22:24" ht="15.75" customHeight="1" x14ac:dyDescent="0.25">
      <c r="V633" s="1"/>
      <c r="W633" s="1"/>
      <c r="X633" s="1"/>
    </row>
    <row r="634" spans="22:24" ht="15.75" customHeight="1" x14ac:dyDescent="0.25">
      <c r="V634" s="1"/>
      <c r="W634" s="1"/>
      <c r="X634" s="1"/>
    </row>
    <row r="635" spans="22:24" ht="15.75" customHeight="1" x14ac:dyDescent="0.25">
      <c r="V635" s="1"/>
      <c r="W635" s="1"/>
      <c r="X635" s="1"/>
    </row>
    <row r="636" spans="22:24" ht="15.75" customHeight="1" x14ac:dyDescent="0.25">
      <c r="V636" s="1"/>
      <c r="W636" s="1"/>
      <c r="X636" s="1"/>
    </row>
    <row r="637" spans="22:24" ht="15.75" customHeight="1" x14ac:dyDescent="0.25">
      <c r="V637" s="1"/>
      <c r="W637" s="1"/>
      <c r="X637" s="1"/>
    </row>
    <row r="638" spans="22:24" ht="15.75" customHeight="1" x14ac:dyDescent="0.25">
      <c r="V638" s="1"/>
      <c r="W638" s="1"/>
      <c r="X638" s="1"/>
    </row>
    <row r="639" spans="22:24" ht="15.75" customHeight="1" x14ac:dyDescent="0.25">
      <c r="V639" s="1"/>
      <c r="W639" s="1"/>
      <c r="X639" s="1"/>
    </row>
    <row r="640" spans="22:24" ht="15.75" customHeight="1" x14ac:dyDescent="0.25">
      <c r="V640" s="1"/>
      <c r="W640" s="1"/>
      <c r="X640" s="1"/>
    </row>
    <row r="641" spans="22:24" ht="15.75" customHeight="1" x14ac:dyDescent="0.25">
      <c r="V641" s="1"/>
      <c r="W641" s="1"/>
      <c r="X641" s="1"/>
    </row>
    <row r="642" spans="22:24" ht="15.75" customHeight="1" x14ac:dyDescent="0.25">
      <c r="V642" s="1"/>
      <c r="W642" s="1"/>
      <c r="X642" s="1"/>
    </row>
    <row r="643" spans="22:24" ht="15.75" customHeight="1" x14ac:dyDescent="0.25">
      <c r="V643" s="1"/>
      <c r="W643" s="1"/>
      <c r="X643" s="1"/>
    </row>
    <row r="644" spans="22:24" ht="15.75" customHeight="1" x14ac:dyDescent="0.25">
      <c r="V644" s="1"/>
      <c r="W644" s="1"/>
      <c r="X644" s="1"/>
    </row>
    <row r="645" spans="22:24" ht="15.75" customHeight="1" x14ac:dyDescent="0.25">
      <c r="V645" s="1"/>
      <c r="W645" s="1"/>
      <c r="X645" s="1"/>
    </row>
    <row r="646" spans="22:24" ht="15.75" customHeight="1" x14ac:dyDescent="0.25">
      <c r="V646" s="1"/>
      <c r="W646" s="1"/>
      <c r="X646" s="1"/>
    </row>
    <row r="647" spans="22:24" ht="15.75" customHeight="1" x14ac:dyDescent="0.25">
      <c r="V647" s="1"/>
      <c r="W647" s="1"/>
      <c r="X647" s="1"/>
    </row>
    <row r="648" spans="22:24" ht="15.75" customHeight="1" x14ac:dyDescent="0.25">
      <c r="V648" s="1"/>
      <c r="W648" s="1"/>
      <c r="X648" s="1"/>
    </row>
    <row r="649" spans="22:24" ht="15.75" customHeight="1" x14ac:dyDescent="0.25">
      <c r="V649" s="1"/>
      <c r="W649" s="1"/>
      <c r="X649" s="1"/>
    </row>
    <row r="650" spans="22:24" ht="15.75" customHeight="1" x14ac:dyDescent="0.25">
      <c r="V650" s="1"/>
      <c r="W650" s="1"/>
      <c r="X650" s="1"/>
    </row>
    <row r="651" spans="22:24" ht="15.75" customHeight="1" x14ac:dyDescent="0.25">
      <c r="V651" s="1"/>
      <c r="W651" s="1"/>
      <c r="X651" s="1"/>
    </row>
    <row r="652" spans="22:24" ht="15.75" customHeight="1" x14ac:dyDescent="0.25">
      <c r="V652" s="1"/>
      <c r="W652" s="1"/>
      <c r="X652" s="1"/>
    </row>
    <row r="653" spans="22:24" ht="15.75" customHeight="1" x14ac:dyDescent="0.25">
      <c r="V653" s="1"/>
      <c r="W653" s="1"/>
      <c r="X653" s="1"/>
    </row>
    <row r="654" spans="22:24" ht="15.75" customHeight="1" x14ac:dyDescent="0.25">
      <c r="V654" s="1"/>
      <c r="W654" s="1"/>
      <c r="X654" s="1"/>
    </row>
    <row r="655" spans="22:24" ht="15.75" customHeight="1" x14ac:dyDescent="0.25">
      <c r="V655" s="1"/>
      <c r="W655" s="1"/>
      <c r="X655" s="1"/>
    </row>
    <row r="656" spans="22:24" ht="15.75" customHeight="1" x14ac:dyDescent="0.25">
      <c r="V656" s="1"/>
      <c r="W656" s="1"/>
      <c r="X656" s="1"/>
    </row>
    <row r="657" spans="22:24" ht="15.75" customHeight="1" x14ac:dyDescent="0.25">
      <c r="V657" s="1"/>
      <c r="W657" s="1"/>
      <c r="X657" s="1"/>
    </row>
    <row r="658" spans="22:24" ht="15.75" customHeight="1" x14ac:dyDescent="0.25">
      <c r="V658" s="1"/>
      <c r="W658" s="1"/>
      <c r="X658" s="1"/>
    </row>
    <row r="659" spans="22:24" ht="15.75" customHeight="1" x14ac:dyDescent="0.25">
      <c r="V659" s="1"/>
      <c r="W659" s="1"/>
      <c r="X659" s="1"/>
    </row>
    <row r="660" spans="22:24" ht="15.75" customHeight="1" x14ac:dyDescent="0.25">
      <c r="V660" s="1"/>
      <c r="W660" s="1"/>
      <c r="X660" s="1"/>
    </row>
    <row r="661" spans="22:24" ht="15.75" customHeight="1" x14ac:dyDescent="0.25">
      <c r="V661" s="1"/>
      <c r="W661" s="1"/>
      <c r="X661" s="1"/>
    </row>
    <row r="662" spans="22:24" ht="15.75" customHeight="1" x14ac:dyDescent="0.25">
      <c r="V662" s="1"/>
      <c r="W662" s="1"/>
      <c r="X662" s="1"/>
    </row>
    <row r="663" spans="22:24" ht="15.75" customHeight="1" x14ac:dyDescent="0.25">
      <c r="V663" s="1"/>
      <c r="W663" s="1"/>
      <c r="X663" s="1"/>
    </row>
    <row r="664" spans="22:24" ht="15.75" customHeight="1" x14ac:dyDescent="0.25">
      <c r="V664" s="1"/>
      <c r="W664" s="1"/>
      <c r="X664" s="1"/>
    </row>
    <row r="665" spans="22:24" ht="15.75" customHeight="1" x14ac:dyDescent="0.25">
      <c r="V665" s="1"/>
      <c r="W665" s="1"/>
      <c r="X665" s="1"/>
    </row>
    <row r="666" spans="22:24" ht="15.75" customHeight="1" x14ac:dyDescent="0.25">
      <c r="V666" s="1"/>
      <c r="W666" s="1"/>
      <c r="X666" s="1"/>
    </row>
    <row r="667" spans="22:24" ht="15.75" customHeight="1" x14ac:dyDescent="0.25">
      <c r="V667" s="1"/>
      <c r="W667" s="1"/>
      <c r="X667" s="1"/>
    </row>
    <row r="668" spans="22:24" ht="15.75" customHeight="1" x14ac:dyDescent="0.25">
      <c r="V668" s="1"/>
      <c r="W668" s="1"/>
      <c r="X668" s="1"/>
    </row>
    <row r="669" spans="22:24" ht="15.75" customHeight="1" x14ac:dyDescent="0.25">
      <c r="V669" s="1"/>
      <c r="W669" s="1"/>
      <c r="X669" s="1"/>
    </row>
    <row r="670" spans="22:24" ht="15.75" customHeight="1" x14ac:dyDescent="0.25">
      <c r="V670" s="1"/>
      <c r="W670" s="1"/>
      <c r="X670" s="1"/>
    </row>
    <row r="671" spans="22:24" ht="15.75" customHeight="1" x14ac:dyDescent="0.25">
      <c r="V671" s="1"/>
      <c r="W671" s="1"/>
      <c r="X671" s="1"/>
    </row>
    <row r="672" spans="22:24" ht="15.75" customHeight="1" x14ac:dyDescent="0.25">
      <c r="V672" s="1"/>
      <c r="W672" s="1"/>
      <c r="X672" s="1"/>
    </row>
    <row r="673" spans="22:24" ht="15.75" customHeight="1" x14ac:dyDescent="0.25">
      <c r="V673" s="1"/>
      <c r="W673" s="1"/>
      <c r="X673" s="1"/>
    </row>
    <row r="674" spans="22:24" ht="15.75" customHeight="1" x14ac:dyDescent="0.25">
      <c r="V674" s="1"/>
      <c r="W674" s="1"/>
      <c r="X674" s="1"/>
    </row>
    <row r="675" spans="22:24" ht="15.75" customHeight="1" x14ac:dyDescent="0.25">
      <c r="V675" s="1"/>
      <c r="W675" s="1"/>
      <c r="X675" s="1"/>
    </row>
    <row r="676" spans="22:24" ht="15.75" customHeight="1" x14ac:dyDescent="0.25">
      <c r="V676" s="1"/>
      <c r="W676" s="1"/>
      <c r="X676" s="1"/>
    </row>
    <row r="677" spans="22:24" ht="15.75" customHeight="1" x14ac:dyDescent="0.25">
      <c r="V677" s="1"/>
      <c r="W677" s="1"/>
      <c r="X677" s="1"/>
    </row>
    <row r="678" spans="22:24" ht="15.75" customHeight="1" x14ac:dyDescent="0.25">
      <c r="V678" s="1"/>
      <c r="W678" s="1"/>
      <c r="X678" s="1"/>
    </row>
    <row r="679" spans="22:24" ht="15.75" customHeight="1" x14ac:dyDescent="0.25">
      <c r="V679" s="1"/>
      <c r="W679" s="1"/>
      <c r="X679" s="1"/>
    </row>
    <row r="680" spans="22:24" ht="15.75" customHeight="1" x14ac:dyDescent="0.25">
      <c r="V680" s="1"/>
      <c r="W680" s="1"/>
      <c r="X680" s="1"/>
    </row>
    <row r="681" spans="22:24" ht="15.75" customHeight="1" x14ac:dyDescent="0.25">
      <c r="V681" s="1"/>
      <c r="W681" s="1"/>
      <c r="X681" s="1"/>
    </row>
    <row r="682" spans="22:24" ht="15.75" customHeight="1" x14ac:dyDescent="0.25">
      <c r="V682" s="1"/>
      <c r="W682" s="1"/>
      <c r="X682" s="1"/>
    </row>
    <row r="683" spans="22:24" ht="15.75" customHeight="1" x14ac:dyDescent="0.25">
      <c r="V683" s="1"/>
      <c r="W683" s="1"/>
      <c r="X683" s="1"/>
    </row>
    <row r="684" spans="22:24" ht="15.75" customHeight="1" x14ac:dyDescent="0.25">
      <c r="V684" s="1"/>
      <c r="W684" s="1"/>
      <c r="X684" s="1"/>
    </row>
    <row r="685" spans="22:24" ht="15.75" customHeight="1" x14ac:dyDescent="0.25">
      <c r="V685" s="1"/>
      <c r="W685" s="1"/>
      <c r="X685" s="1"/>
    </row>
    <row r="686" spans="22:24" ht="15.75" customHeight="1" x14ac:dyDescent="0.25">
      <c r="V686" s="1"/>
      <c r="W686" s="1"/>
      <c r="X686" s="1"/>
    </row>
    <row r="687" spans="22:24" ht="15.75" customHeight="1" x14ac:dyDescent="0.25">
      <c r="V687" s="1"/>
      <c r="W687" s="1"/>
      <c r="X687" s="1"/>
    </row>
    <row r="688" spans="22:24" ht="15.75" customHeight="1" x14ac:dyDescent="0.25">
      <c r="V688" s="1"/>
      <c r="W688" s="1"/>
      <c r="X688" s="1"/>
    </row>
    <row r="689" spans="22:24" ht="15.75" customHeight="1" x14ac:dyDescent="0.25">
      <c r="V689" s="1"/>
      <c r="W689" s="1"/>
      <c r="X689" s="1"/>
    </row>
    <row r="690" spans="22:24" ht="15.75" customHeight="1" x14ac:dyDescent="0.25">
      <c r="V690" s="1"/>
      <c r="W690" s="1"/>
      <c r="X690" s="1"/>
    </row>
    <row r="691" spans="22:24" ht="15.75" customHeight="1" x14ac:dyDescent="0.25">
      <c r="V691" s="1"/>
      <c r="W691" s="1"/>
      <c r="X691" s="1"/>
    </row>
    <row r="692" spans="22:24" ht="15.75" customHeight="1" x14ac:dyDescent="0.25">
      <c r="V692" s="1"/>
      <c r="W692" s="1"/>
      <c r="X692" s="1"/>
    </row>
    <row r="693" spans="22:24" ht="15.75" customHeight="1" x14ac:dyDescent="0.25">
      <c r="V693" s="1"/>
      <c r="W693" s="1"/>
      <c r="X693" s="1"/>
    </row>
    <row r="694" spans="22:24" ht="15.75" customHeight="1" x14ac:dyDescent="0.25">
      <c r="V694" s="1"/>
      <c r="W694" s="1"/>
      <c r="X694" s="1"/>
    </row>
    <row r="695" spans="22:24" ht="15.75" customHeight="1" x14ac:dyDescent="0.25">
      <c r="V695" s="1"/>
      <c r="W695" s="1"/>
      <c r="X695" s="1"/>
    </row>
    <row r="696" spans="22:24" ht="15.75" customHeight="1" x14ac:dyDescent="0.25">
      <c r="V696" s="1"/>
      <c r="W696" s="1"/>
      <c r="X696" s="1"/>
    </row>
    <row r="697" spans="22:24" ht="15.75" customHeight="1" x14ac:dyDescent="0.25">
      <c r="V697" s="1"/>
      <c r="W697" s="1"/>
      <c r="X697" s="1"/>
    </row>
    <row r="698" spans="22:24" ht="15.75" customHeight="1" x14ac:dyDescent="0.25">
      <c r="V698" s="1"/>
      <c r="W698" s="1"/>
      <c r="X698" s="1"/>
    </row>
    <row r="699" spans="22:24" ht="15.75" customHeight="1" x14ac:dyDescent="0.25">
      <c r="V699" s="1"/>
      <c r="W699" s="1"/>
      <c r="X699" s="1"/>
    </row>
    <row r="700" spans="22:24" ht="15.75" customHeight="1" x14ac:dyDescent="0.25">
      <c r="V700" s="1"/>
      <c r="W700" s="1"/>
      <c r="X700" s="1"/>
    </row>
    <row r="701" spans="22:24" ht="15.75" customHeight="1" x14ac:dyDescent="0.25">
      <c r="V701" s="1"/>
      <c r="W701" s="1"/>
      <c r="X701" s="1"/>
    </row>
    <row r="702" spans="22:24" ht="15.75" customHeight="1" x14ac:dyDescent="0.25">
      <c r="V702" s="1"/>
      <c r="W702" s="1"/>
      <c r="X702" s="1"/>
    </row>
    <row r="703" spans="22:24" ht="15.75" customHeight="1" x14ac:dyDescent="0.25">
      <c r="V703" s="1"/>
      <c r="W703" s="1"/>
      <c r="X703" s="1"/>
    </row>
    <row r="704" spans="22:24" ht="15.75" customHeight="1" x14ac:dyDescent="0.25">
      <c r="V704" s="1"/>
      <c r="W704" s="1"/>
      <c r="X704" s="1"/>
    </row>
    <row r="705" spans="22:24" ht="15.75" customHeight="1" x14ac:dyDescent="0.25">
      <c r="V705" s="1"/>
      <c r="W705" s="1"/>
      <c r="X705" s="1"/>
    </row>
    <row r="706" spans="22:24" ht="15.75" customHeight="1" x14ac:dyDescent="0.25">
      <c r="V706" s="1"/>
      <c r="W706" s="1"/>
      <c r="X706" s="1"/>
    </row>
    <row r="707" spans="22:24" ht="15.75" customHeight="1" x14ac:dyDescent="0.25">
      <c r="V707" s="1"/>
      <c r="W707" s="1"/>
      <c r="X707" s="1"/>
    </row>
    <row r="708" spans="22:24" ht="15.75" customHeight="1" x14ac:dyDescent="0.25">
      <c r="V708" s="1"/>
      <c r="W708" s="1"/>
      <c r="X708" s="1"/>
    </row>
    <row r="709" spans="22:24" ht="15.75" customHeight="1" x14ac:dyDescent="0.25">
      <c r="V709" s="1"/>
      <c r="W709" s="1"/>
      <c r="X709" s="1"/>
    </row>
    <row r="710" spans="22:24" ht="15.75" customHeight="1" x14ac:dyDescent="0.25">
      <c r="V710" s="1"/>
      <c r="W710" s="1"/>
      <c r="X710" s="1"/>
    </row>
    <row r="711" spans="22:24" ht="15.75" customHeight="1" x14ac:dyDescent="0.25">
      <c r="V711" s="1"/>
      <c r="W711" s="1"/>
      <c r="X711" s="1"/>
    </row>
    <row r="712" spans="22:24" ht="15.75" customHeight="1" x14ac:dyDescent="0.25">
      <c r="V712" s="1"/>
      <c r="W712" s="1"/>
      <c r="X712" s="1"/>
    </row>
    <row r="713" spans="22:24" ht="15.75" customHeight="1" x14ac:dyDescent="0.25">
      <c r="V713" s="1"/>
      <c r="W713" s="1"/>
      <c r="X713" s="1"/>
    </row>
    <row r="714" spans="22:24" ht="15.75" customHeight="1" x14ac:dyDescent="0.25">
      <c r="V714" s="1"/>
      <c r="W714" s="1"/>
      <c r="X714" s="1"/>
    </row>
    <row r="715" spans="22:24" ht="15.75" customHeight="1" x14ac:dyDescent="0.25">
      <c r="V715" s="1"/>
      <c r="W715" s="1"/>
      <c r="X715" s="1"/>
    </row>
    <row r="716" spans="22:24" ht="15.75" customHeight="1" x14ac:dyDescent="0.25">
      <c r="V716" s="1"/>
      <c r="W716" s="1"/>
      <c r="X716" s="1"/>
    </row>
    <row r="717" spans="22:24" ht="15.75" customHeight="1" x14ac:dyDescent="0.25">
      <c r="V717" s="1"/>
      <c r="W717" s="1"/>
      <c r="X717" s="1"/>
    </row>
    <row r="718" spans="22:24" ht="15.75" customHeight="1" x14ac:dyDescent="0.25">
      <c r="V718" s="1"/>
      <c r="W718" s="1"/>
      <c r="X718" s="1"/>
    </row>
    <row r="719" spans="22:24" ht="15.75" customHeight="1" x14ac:dyDescent="0.25">
      <c r="V719" s="1"/>
      <c r="W719" s="1"/>
      <c r="X719" s="1"/>
    </row>
    <row r="720" spans="22:24" ht="15.75" customHeight="1" x14ac:dyDescent="0.25">
      <c r="V720" s="1"/>
      <c r="W720" s="1"/>
      <c r="X720" s="1"/>
    </row>
    <row r="721" spans="22:24" ht="15.75" customHeight="1" x14ac:dyDescent="0.25">
      <c r="V721" s="1"/>
      <c r="W721" s="1"/>
      <c r="X721" s="1"/>
    </row>
    <row r="722" spans="22:24" ht="15.75" customHeight="1" x14ac:dyDescent="0.25">
      <c r="V722" s="1"/>
      <c r="W722" s="1"/>
      <c r="X722" s="1"/>
    </row>
    <row r="723" spans="22:24" ht="15.75" customHeight="1" x14ac:dyDescent="0.25">
      <c r="V723" s="1"/>
      <c r="W723" s="1"/>
      <c r="X723" s="1"/>
    </row>
    <row r="724" spans="22:24" ht="15.75" customHeight="1" x14ac:dyDescent="0.25">
      <c r="V724" s="1"/>
      <c r="W724" s="1"/>
      <c r="X724" s="1"/>
    </row>
    <row r="725" spans="22:24" ht="15.75" customHeight="1" x14ac:dyDescent="0.25">
      <c r="V725" s="1"/>
      <c r="W725" s="1"/>
      <c r="X725" s="1"/>
    </row>
    <row r="726" spans="22:24" ht="15.75" customHeight="1" x14ac:dyDescent="0.25">
      <c r="V726" s="1"/>
      <c r="W726" s="1"/>
      <c r="X726" s="1"/>
    </row>
    <row r="727" spans="22:24" ht="15.75" customHeight="1" x14ac:dyDescent="0.25">
      <c r="V727" s="1"/>
      <c r="W727" s="1"/>
      <c r="X727" s="1"/>
    </row>
    <row r="728" spans="22:24" ht="15.75" customHeight="1" x14ac:dyDescent="0.25">
      <c r="V728" s="1"/>
      <c r="W728" s="1"/>
      <c r="X728" s="1"/>
    </row>
    <row r="729" spans="22:24" ht="15.75" customHeight="1" x14ac:dyDescent="0.25">
      <c r="V729" s="1"/>
      <c r="W729" s="1"/>
      <c r="X729" s="1"/>
    </row>
    <row r="730" spans="22:24" ht="15.75" customHeight="1" x14ac:dyDescent="0.25">
      <c r="V730" s="1"/>
      <c r="W730" s="1"/>
      <c r="X730" s="1"/>
    </row>
    <row r="731" spans="22:24" ht="15.75" customHeight="1" x14ac:dyDescent="0.25">
      <c r="V731" s="1"/>
      <c r="W731" s="1"/>
      <c r="X731" s="1"/>
    </row>
    <row r="732" spans="22:24" ht="15.75" customHeight="1" x14ac:dyDescent="0.25">
      <c r="V732" s="1"/>
      <c r="W732" s="1"/>
      <c r="X732" s="1"/>
    </row>
    <row r="733" spans="22:24" ht="15.75" customHeight="1" x14ac:dyDescent="0.25">
      <c r="V733" s="1"/>
      <c r="W733" s="1"/>
      <c r="X733" s="1"/>
    </row>
    <row r="734" spans="22:24" ht="15.75" customHeight="1" x14ac:dyDescent="0.25">
      <c r="V734" s="1"/>
      <c r="W734" s="1"/>
      <c r="X734" s="1"/>
    </row>
    <row r="735" spans="22:24" ht="15.75" customHeight="1" x14ac:dyDescent="0.25">
      <c r="V735" s="1"/>
      <c r="W735" s="1"/>
      <c r="X735" s="1"/>
    </row>
    <row r="736" spans="22:24" ht="15.75" customHeight="1" x14ac:dyDescent="0.25">
      <c r="V736" s="1"/>
      <c r="W736" s="1"/>
      <c r="X736" s="1"/>
    </row>
    <row r="737" spans="22:24" ht="15.75" customHeight="1" x14ac:dyDescent="0.25">
      <c r="V737" s="1"/>
      <c r="W737" s="1"/>
      <c r="X737" s="1"/>
    </row>
    <row r="738" spans="22:24" ht="15.75" customHeight="1" x14ac:dyDescent="0.25">
      <c r="V738" s="1"/>
      <c r="W738" s="1"/>
      <c r="X738" s="1"/>
    </row>
    <row r="739" spans="22:24" ht="15.75" customHeight="1" x14ac:dyDescent="0.25">
      <c r="V739" s="1"/>
      <c r="W739" s="1"/>
      <c r="X739" s="1"/>
    </row>
    <row r="740" spans="22:24" ht="15.75" customHeight="1" x14ac:dyDescent="0.25">
      <c r="V740" s="1"/>
      <c r="W740" s="1"/>
      <c r="X740" s="1"/>
    </row>
    <row r="741" spans="22:24" ht="15.75" customHeight="1" x14ac:dyDescent="0.25">
      <c r="V741" s="1"/>
      <c r="W741" s="1"/>
      <c r="X741" s="1"/>
    </row>
    <row r="742" spans="22:24" ht="15.75" customHeight="1" x14ac:dyDescent="0.25">
      <c r="V742" s="1"/>
      <c r="W742" s="1"/>
      <c r="X742" s="1"/>
    </row>
    <row r="743" spans="22:24" ht="15.75" customHeight="1" x14ac:dyDescent="0.25">
      <c r="V743" s="1"/>
      <c r="W743" s="1"/>
      <c r="X743" s="1"/>
    </row>
    <row r="744" spans="22:24" ht="15.75" customHeight="1" x14ac:dyDescent="0.25">
      <c r="V744" s="1"/>
      <c r="W744" s="1"/>
      <c r="X744" s="1"/>
    </row>
    <row r="745" spans="22:24" ht="15.75" customHeight="1" x14ac:dyDescent="0.25">
      <c r="V745" s="1"/>
      <c r="W745" s="1"/>
      <c r="X745" s="1"/>
    </row>
    <row r="746" spans="22:24" ht="15.75" customHeight="1" x14ac:dyDescent="0.25">
      <c r="V746" s="1"/>
      <c r="W746" s="1"/>
      <c r="X746" s="1"/>
    </row>
    <row r="747" spans="22:24" ht="15.75" customHeight="1" x14ac:dyDescent="0.25">
      <c r="V747" s="1"/>
      <c r="W747" s="1"/>
      <c r="X747" s="1"/>
    </row>
    <row r="748" spans="22:24" ht="15.75" customHeight="1" x14ac:dyDescent="0.25">
      <c r="V748" s="1"/>
      <c r="W748" s="1"/>
      <c r="X748" s="1"/>
    </row>
    <row r="749" spans="22:24" ht="15.75" customHeight="1" x14ac:dyDescent="0.25">
      <c r="V749" s="1"/>
      <c r="W749" s="1"/>
      <c r="X749" s="1"/>
    </row>
    <row r="750" spans="22:24" ht="15.75" customHeight="1" x14ac:dyDescent="0.25">
      <c r="V750" s="1"/>
      <c r="W750" s="1"/>
      <c r="X750" s="1"/>
    </row>
    <row r="751" spans="22:24" ht="15.75" customHeight="1" x14ac:dyDescent="0.25">
      <c r="V751" s="1"/>
      <c r="W751" s="1"/>
      <c r="X751" s="1"/>
    </row>
    <row r="752" spans="22:24" ht="15.75" customHeight="1" x14ac:dyDescent="0.25">
      <c r="V752" s="1"/>
      <c r="W752" s="1"/>
      <c r="X752" s="1"/>
    </row>
    <row r="753" spans="22:24" ht="15.75" customHeight="1" x14ac:dyDescent="0.25">
      <c r="V753" s="1"/>
      <c r="W753" s="1"/>
      <c r="X753" s="1"/>
    </row>
    <row r="754" spans="22:24" ht="15.75" customHeight="1" x14ac:dyDescent="0.25">
      <c r="V754" s="1"/>
      <c r="W754" s="1"/>
      <c r="X754" s="1"/>
    </row>
    <row r="755" spans="22:24" ht="15.75" customHeight="1" x14ac:dyDescent="0.25">
      <c r="V755" s="1"/>
      <c r="W755" s="1"/>
      <c r="X755" s="1"/>
    </row>
    <row r="756" spans="22:24" ht="15.75" customHeight="1" x14ac:dyDescent="0.25">
      <c r="V756" s="1"/>
      <c r="W756" s="1"/>
      <c r="X756" s="1"/>
    </row>
    <row r="757" spans="22:24" ht="15.75" customHeight="1" x14ac:dyDescent="0.25">
      <c r="V757" s="1"/>
      <c r="W757" s="1"/>
      <c r="X757" s="1"/>
    </row>
    <row r="758" spans="22:24" ht="15.75" customHeight="1" x14ac:dyDescent="0.25">
      <c r="V758" s="1"/>
      <c r="W758" s="1"/>
      <c r="X758" s="1"/>
    </row>
    <row r="759" spans="22:24" ht="15.75" customHeight="1" x14ac:dyDescent="0.25">
      <c r="V759" s="1"/>
      <c r="W759" s="1"/>
      <c r="X759" s="1"/>
    </row>
    <row r="760" spans="22:24" ht="15.75" customHeight="1" x14ac:dyDescent="0.25">
      <c r="V760" s="1"/>
      <c r="W760" s="1"/>
      <c r="X760" s="1"/>
    </row>
    <row r="761" spans="22:24" ht="15.75" customHeight="1" x14ac:dyDescent="0.25">
      <c r="V761" s="1"/>
      <c r="W761" s="1"/>
      <c r="X761" s="1"/>
    </row>
    <row r="762" spans="22:24" ht="15.75" customHeight="1" x14ac:dyDescent="0.25">
      <c r="V762" s="1"/>
      <c r="W762" s="1"/>
      <c r="X762" s="1"/>
    </row>
    <row r="763" spans="22:24" ht="15.75" customHeight="1" x14ac:dyDescent="0.25">
      <c r="V763" s="1"/>
      <c r="W763" s="1"/>
      <c r="X763" s="1"/>
    </row>
    <row r="764" spans="22:24" ht="15.75" customHeight="1" x14ac:dyDescent="0.25">
      <c r="V764" s="1"/>
      <c r="W764" s="1"/>
      <c r="X764" s="1"/>
    </row>
    <row r="765" spans="22:24" ht="15.75" customHeight="1" x14ac:dyDescent="0.25">
      <c r="V765" s="1"/>
      <c r="W765" s="1"/>
      <c r="X765" s="1"/>
    </row>
    <row r="766" spans="22:24" ht="15.75" customHeight="1" x14ac:dyDescent="0.25">
      <c r="V766" s="1"/>
      <c r="W766" s="1"/>
      <c r="X766" s="1"/>
    </row>
    <row r="767" spans="22:24" ht="15.75" customHeight="1" x14ac:dyDescent="0.25">
      <c r="V767" s="1"/>
      <c r="W767" s="1"/>
      <c r="X767" s="1"/>
    </row>
    <row r="768" spans="22:24" ht="15.75" customHeight="1" x14ac:dyDescent="0.25">
      <c r="V768" s="1"/>
      <c r="W768" s="1"/>
      <c r="X768" s="1"/>
    </row>
    <row r="769" spans="22:24" ht="15.75" customHeight="1" x14ac:dyDescent="0.25">
      <c r="V769" s="1"/>
      <c r="W769" s="1"/>
      <c r="X769" s="1"/>
    </row>
    <row r="770" spans="22:24" ht="15.75" customHeight="1" x14ac:dyDescent="0.25">
      <c r="V770" s="1"/>
      <c r="W770" s="1"/>
      <c r="X770" s="1"/>
    </row>
    <row r="771" spans="22:24" ht="15.75" customHeight="1" x14ac:dyDescent="0.25">
      <c r="V771" s="1"/>
      <c r="W771" s="1"/>
      <c r="X771" s="1"/>
    </row>
    <row r="772" spans="22:24" ht="15.75" customHeight="1" x14ac:dyDescent="0.25">
      <c r="V772" s="1"/>
      <c r="W772" s="1"/>
      <c r="X772" s="1"/>
    </row>
    <row r="773" spans="22:24" ht="15.75" customHeight="1" x14ac:dyDescent="0.25">
      <c r="V773" s="1"/>
      <c r="W773" s="1"/>
      <c r="X773" s="1"/>
    </row>
    <row r="774" spans="22:24" ht="15.75" customHeight="1" x14ac:dyDescent="0.25">
      <c r="V774" s="1"/>
      <c r="W774" s="1"/>
      <c r="X774" s="1"/>
    </row>
    <row r="775" spans="22:24" ht="15.75" customHeight="1" x14ac:dyDescent="0.25">
      <c r="V775" s="1"/>
      <c r="W775" s="1"/>
      <c r="X775" s="1"/>
    </row>
    <row r="776" spans="22:24" ht="15.75" customHeight="1" x14ac:dyDescent="0.25">
      <c r="V776" s="1"/>
      <c r="W776" s="1"/>
      <c r="X776" s="1"/>
    </row>
    <row r="777" spans="22:24" ht="15.75" customHeight="1" x14ac:dyDescent="0.25">
      <c r="V777" s="1"/>
      <c r="W777" s="1"/>
      <c r="X777" s="1"/>
    </row>
    <row r="778" spans="22:24" ht="15.75" customHeight="1" x14ac:dyDescent="0.25">
      <c r="V778" s="1"/>
      <c r="W778" s="1"/>
      <c r="X778" s="1"/>
    </row>
    <row r="779" spans="22:24" ht="15.75" customHeight="1" x14ac:dyDescent="0.25">
      <c r="V779" s="1"/>
      <c r="W779" s="1"/>
      <c r="X779" s="1"/>
    </row>
    <row r="780" spans="22:24" ht="15.75" customHeight="1" x14ac:dyDescent="0.25">
      <c r="V780" s="1"/>
      <c r="W780" s="1"/>
      <c r="X780" s="1"/>
    </row>
    <row r="781" spans="22:24" ht="15.75" customHeight="1" x14ac:dyDescent="0.25">
      <c r="V781" s="1"/>
      <c r="W781" s="1"/>
      <c r="X781" s="1"/>
    </row>
    <row r="782" spans="22:24" ht="15.75" customHeight="1" x14ac:dyDescent="0.25">
      <c r="V782" s="1"/>
      <c r="W782" s="1"/>
      <c r="X782" s="1"/>
    </row>
    <row r="783" spans="22:24" ht="15.75" customHeight="1" x14ac:dyDescent="0.25">
      <c r="V783" s="1"/>
      <c r="W783" s="1"/>
      <c r="X783" s="1"/>
    </row>
    <row r="784" spans="22:24" ht="15.75" customHeight="1" x14ac:dyDescent="0.25">
      <c r="V784" s="1"/>
      <c r="W784" s="1"/>
      <c r="X784" s="1"/>
    </row>
    <row r="785" spans="22:24" ht="15.75" customHeight="1" x14ac:dyDescent="0.25">
      <c r="V785" s="1"/>
      <c r="W785" s="1"/>
      <c r="X785" s="1"/>
    </row>
    <row r="786" spans="22:24" ht="15.75" customHeight="1" x14ac:dyDescent="0.25">
      <c r="V786" s="1"/>
      <c r="W786" s="1"/>
      <c r="X786" s="1"/>
    </row>
    <row r="787" spans="22:24" ht="15.75" customHeight="1" x14ac:dyDescent="0.25">
      <c r="V787" s="1"/>
      <c r="W787" s="1"/>
      <c r="X787" s="1"/>
    </row>
    <row r="788" spans="22:24" ht="15.75" customHeight="1" x14ac:dyDescent="0.25">
      <c r="V788" s="1"/>
      <c r="W788" s="1"/>
      <c r="X788" s="1"/>
    </row>
    <row r="789" spans="22:24" ht="15.75" customHeight="1" x14ac:dyDescent="0.25">
      <c r="V789" s="1"/>
      <c r="W789" s="1"/>
      <c r="X789" s="1"/>
    </row>
    <row r="790" spans="22:24" ht="15.75" customHeight="1" x14ac:dyDescent="0.25">
      <c r="V790" s="1"/>
      <c r="W790" s="1"/>
      <c r="X790" s="1"/>
    </row>
    <row r="791" spans="22:24" ht="15.75" customHeight="1" x14ac:dyDescent="0.25">
      <c r="V791" s="1"/>
      <c r="W791" s="1"/>
      <c r="X791" s="1"/>
    </row>
    <row r="792" spans="22:24" ht="15.75" customHeight="1" x14ac:dyDescent="0.25">
      <c r="V792" s="1"/>
      <c r="W792" s="1"/>
      <c r="X792" s="1"/>
    </row>
    <row r="793" spans="22:24" ht="15.75" customHeight="1" x14ac:dyDescent="0.25">
      <c r="V793" s="1"/>
      <c r="W793" s="1"/>
      <c r="X793" s="1"/>
    </row>
    <row r="794" spans="22:24" ht="15.75" customHeight="1" x14ac:dyDescent="0.25">
      <c r="V794" s="1"/>
      <c r="W794" s="1"/>
      <c r="X794" s="1"/>
    </row>
    <row r="795" spans="22:24" ht="15.75" customHeight="1" x14ac:dyDescent="0.25">
      <c r="V795" s="1"/>
      <c r="W795" s="1"/>
      <c r="X795" s="1"/>
    </row>
    <row r="796" spans="22:24" ht="15.75" customHeight="1" x14ac:dyDescent="0.25">
      <c r="V796" s="1"/>
      <c r="W796" s="1"/>
      <c r="X796" s="1"/>
    </row>
    <row r="797" spans="22:24" ht="15.75" customHeight="1" x14ac:dyDescent="0.25">
      <c r="V797" s="1"/>
      <c r="W797" s="1"/>
      <c r="X797" s="1"/>
    </row>
    <row r="798" spans="22:24" ht="15.75" customHeight="1" x14ac:dyDescent="0.25">
      <c r="V798" s="1"/>
      <c r="W798" s="1"/>
      <c r="X798" s="1"/>
    </row>
    <row r="799" spans="22:24" ht="15.75" customHeight="1" x14ac:dyDescent="0.25">
      <c r="V799" s="1"/>
      <c r="W799" s="1"/>
      <c r="X799" s="1"/>
    </row>
    <row r="800" spans="22:24" ht="15.75" customHeight="1" x14ac:dyDescent="0.25">
      <c r="V800" s="1"/>
      <c r="W800" s="1"/>
      <c r="X800" s="1"/>
    </row>
    <row r="801" spans="22:24" ht="15.75" customHeight="1" x14ac:dyDescent="0.25">
      <c r="V801" s="1"/>
      <c r="W801" s="1"/>
      <c r="X801" s="1"/>
    </row>
    <row r="802" spans="22:24" ht="15.75" customHeight="1" x14ac:dyDescent="0.25">
      <c r="V802" s="1"/>
      <c r="W802" s="1"/>
      <c r="X802" s="1"/>
    </row>
    <row r="803" spans="22:24" ht="15.75" customHeight="1" x14ac:dyDescent="0.25">
      <c r="V803" s="1"/>
      <c r="W803" s="1"/>
      <c r="X803" s="1"/>
    </row>
    <row r="804" spans="22:24" ht="15.75" customHeight="1" x14ac:dyDescent="0.25">
      <c r="V804" s="1"/>
      <c r="W804" s="1"/>
      <c r="X804" s="1"/>
    </row>
    <row r="805" spans="22:24" ht="15.75" customHeight="1" x14ac:dyDescent="0.25">
      <c r="V805" s="1"/>
      <c r="W805" s="1"/>
      <c r="X805" s="1"/>
    </row>
    <row r="806" spans="22:24" ht="15.75" customHeight="1" x14ac:dyDescent="0.25">
      <c r="V806" s="1"/>
      <c r="W806" s="1"/>
      <c r="X806" s="1"/>
    </row>
    <row r="807" spans="22:24" ht="15.75" customHeight="1" x14ac:dyDescent="0.25">
      <c r="V807" s="1"/>
      <c r="W807" s="1"/>
      <c r="X807" s="1"/>
    </row>
    <row r="808" spans="22:24" ht="15.75" customHeight="1" x14ac:dyDescent="0.25">
      <c r="V808" s="1"/>
      <c r="W808" s="1"/>
      <c r="X808" s="1"/>
    </row>
    <row r="809" spans="22:24" ht="15.75" customHeight="1" x14ac:dyDescent="0.25">
      <c r="V809" s="1"/>
      <c r="W809" s="1"/>
      <c r="X809" s="1"/>
    </row>
    <row r="810" spans="22:24" ht="15.75" customHeight="1" x14ac:dyDescent="0.25">
      <c r="V810" s="1"/>
      <c r="W810" s="1"/>
      <c r="X810" s="1"/>
    </row>
    <row r="811" spans="22:24" ht="15.75" customHeight="1" x14ac:dyDescent="0.25">
      <c r="V811" s="1"/>
      <c r="W811" s="1"/>
      <c r="X811" s="1"/>
    </row>
    <row r="812" spans="22:24" ht="15.75" customHeight="1" x14ac:dyDescent="0.25">
      <c r="V812" s="1"/>
      <c r="W812" s="1"/>
      <c r="X812" s="1"/>
    </row>
    <row r="813" spans="22:24" ht="15.75" customHeight="1" x14ac:dyDescent="0.25">
      <c r="V813" s="1"/>
      <c r="W813" s="1"/>
      <c r="X813" s="1"/>
    </row>
    <row r="814" spans="22:24" ht="15.75" customHeight="1" x14ac:dyDescent="0.25">
      <c r="V814" s="1"/>
      <c r="W814" s="1"/>
      <c r="X814" s="1"/>
    </row>
    <row r="815" spans="22:24" ht="15.75" customHeight="1" x14ac:dyDescent="0.25">
      <c r="V815" s="1"/>
      <c r="W815" s="1"/>
      <c r="X815" s="1"/>
    </row>
    <row r="816" spans="22:24" ht="15.75" customHeight="1" x14ac:dyDescent="0.25">
      <c r="V816" s="1"/>
      <c r="W816" s="1"/>
      <c r="X816" s="1"/>
    </row>
    <row r="817" spans="22:24" ht="15.75" customHeight="1" x14ac:dyDescent="0.25">
      <c r="V817" s="1"/>
      <c r="W817" s="1"/>
      <c r="X817" s="1"/>
    </row>
    <row r="818" spans="22:24" ht="15.75" customHeight="1" x14ac:dyDescent="0.25">
      <c r="V818" s="1"/>
      <c r="W818" s="1"/>
      <c r="X818" s="1"/>
    </row>
    <row r="819" spans="22:24" ht="15.75" customHeight="1" x14ac:dyDescent="0.25">
      <c r="V819" s="1"/>
      <c r="W819" s="1"/>
      <c r="X819" s="1"/>
    </row>
    <row r="820" spans="22:24" ht="15.75" customHeight="1" x14ac:dyDescent="0.25">
      <c r="V820" s="1"/>
      <c r="W820" s="1"/>
      <c r="X820" s="1"/>
    </row>
    <row r="821" spans="22:24" ht="15.75" customHeight="1" x14ac:dyDescent="0.25">
      <c r="V821" s="1"/>
      <c r="W821" s="1"/>
      <c r="X821" s="1"/>
    </row>
    <row r="822" spans="22:24" ht="15.75" customHeight="1" x14ac:dyDescent="0.25">
      <c r="V822" s="1"/>
      <c r="W822" s="1"/>
      <c r="X822" s="1"/>
    </row>
    <row r="823" spans="22:24" ht="15.75" customHeight="1" x14ac:dyDescent="0.25">
      <c r="V823" s="1"/>
      <c r="W823" s="1"/>
      <c r="X823" s="1"/>
    </row>
    <row r="824" spans="22:24" ht="15.75" customHeight="1" x14ac:dyDescent="0.25">
      <c r="V824" s="1"/>
      <c r="W824" s="1"/>
      <c r="X824" s="1"/>
    </row>
    <row r="825" spans="22:24" ht="15.75" customHeight="1" x14ac:dyDescent="0.25">
      <c r="V825" s="1"/>
      <c r="W825" s="1"/>
      <c r="X825" s="1"/>
    </row>
    <row r="826" spans="22:24" ht="15.75" customHeight="1" x14ac:dyDescent="0.25">
      <c r="V826" s="1"/>
      <c r="W826" s="1"/>
      <c r="X826" s="1"/>
    </row>
    <row r="827" spans="22:24" ht="15.75" customHeight="1" x14ac:dyDescent="0.25">
      <c r="V827" s="1"/>
      <c r="W827" s="1"/>
      <c r="X827" s="1"/>
    </row>
    <row r="828" spans="22:24" ht="15.75" customHeight="1" x14ac:dyDescent="0.25">
      <c r="V828" s="1"/>
      <c r="W828" s="1"/>
      <c r="X828" s="1"/>
    </row>
    <row r="829" spans="22:24" ht="15.75" customHeight="1" x14ac:dyDescent="0.25">
      <c r="V829" s="1"/>
      <c r="W829" s="1"/>
      <c r="X829" s="1"/>
    </row>
    <row r="830" spans="22:24" ht="15.75" customHeight="1" x14ac:dyDescent="0.25">
      <c r="V830" s="1"/>
      <c r="W830" s="1"/>
      <c r="X830" s="1"/>
    </row>
    <row r="831" spans="22:24" ht="15.75" customHeight="1" x14ac:dyDescent="0.25">
      <c r="V831" s="1"/>
      <c r="W831" s="1"/>
      <c r="X831" s="1"/>
    </row>
    <row r="832" spans="22:24" ht="15.75" customHeight="1" x14ac:dyDescent="0.25">
      <c r="V832" s="1"/>
      <c r="W832" s="1"/>
      <c r="X832" s="1"/>
    </row>
    <row r="833" spans="22:24" ht="15.75" customHeight="1" x14ac:dyDescent="0.25">
      <c r="V833" s="1"/>
      <c r="W833" s="1"/>
      <c r="X833" s="1"/>
    </row>
    <row r="834" spans="22:24" ht="15.75" customHeight="1" x14ac:dyDescent="0.25">
      <c r="V834" s="1"/>
      <c r="W834" s="1"/>
      <c r="X834" s="1"/>
    </row>
    <row r="835" spans="22:24" ht="15.75" customHeight="1" x14ac:dyDescent="0.25">
      <c r="V835" s="1"/>
      <c r="W835" s="1"/>
      <c r="X835" s="1"/>
    </row>
    <row r="836" spans="22:24" ht="15.75" customHeight="1" x14ac:dyDescent="0.25">
      <c r="V836" s="1"/>
      <c r="W836" s="1"/>
      <c r="X836" s="1"/>
    </row>
    <row r="837" spans="22:24" ht="15.75" customHeight="1" x14ac:dyDescent="0.25">
      <c r="V837" s="1"/>
      <c r="W837" s="1"/>
      <c r="X837" s="1"/>
    </row>
    <row r="838" spans="22:24" ht="15.75" customHeight="1" x14ac:dyDescent="0.25">
      <c r="V838" s="1"/>
      <c r="W838" s="1"/>
      <c r="X838" s="1"/>
    </row>
    <row r="839" spans="22:24" ht="15.75" customHeight="1" x14ac:dyDescent="0.25">
      <c r="V839" s="1"/>
      <c r="W839" s="1"/>
      <c r="X839" s="1"/>
    </row>
    <row r="840" spans="22:24" ht="15.75" customHeight="1" x14ac:dyDescent="0.25">
      <c r="V840" s="1"/>
      <c r="W840" s="1"/>
      <c r="X840" s="1"/>
    </row>
    <row r="841" spans="22:24" ht="15.75" customHeight="1" x14ac:dyDescent="0.25">
      <c r="V841" s="1"/>
      <c r="W841" s="1"/>
      <c r="X841" s="1"/>
    </row>
    <row r="842" spans="22:24" ht="15.75" customHeight="1" x14ac:dyDescent="0.25">
      <c r="V842" s="1"/>
      <c r="W842" s="1"/>
      <c r="X842" s="1"/>
    </row>
    <row r="843" spans="22:24" ht="15.75" customHeight="1" x14ac:dyDescent="0.25">
      <c r="V843" s="1"/>
      <c r="W843" s="1"/>
      <c r="X843" s="1"/>
    </row>
    <row r="844" spans="22:24" ht="15.75" customHeight="1" x14ac:dyDescent="0.25">
      <c r="V844" s="1"/>
      <c r="W844" s="1"/>
      <c r="X844" s="1"/>
    </row>
    <row r="845" spans="22:24" ht="15.75" customHeight="1" x14ac:dyDescent="0.25">
      <c r="V845" s="1"/>
      <c r="W845" s="1"/>
      <c r="X845" s="1"/>
    </row>
    <row r="846" spans="22:24" ht="15.75" customHeight="1" x14ac:dyDescent="0.25">
      <c r="V846" s="1"/>
      <c r="W846" s="1"/>
      <c r="X846" s="1"/>
    </row>
    <row r="847" spans="22:24" ht="15.75" customHeight="1" x14ac:dyDescent="0.25">
      <c r="V847" s="1"/>
      <c r="W847" s="1"/>
      <c r="X847" s="1"/>
    </row>
    <row r="848" spans="22:24" ht="15.75" customHeight="1" x14ac:dyDescent="0.25">
      <c r="V848" s="1"/>
      <c r="W848" s="1"/>
      <c r="X848" s="1"/>
    </row>
    <row r="849" spans="22:24" ht="15.75" customHeight="1" x14ac:dyDescent="0.25">
      <c r="V849" s="1"/>
      <c r="W849" s="1"/>
      <c r="X849" s="1"/>
    </row>
    <row r="850" spans="22:24" ht="15.75" customHeight="1" x14ac:dyDescent="0.25">
      <c r="V850" s="1"/>
      <c r="W850" s="1"/>
      <c r="X850" s="1"/>
    </row>
    <row r="851" spans="22:24" ht="15.75" customHeight="1" x14ac:dyDescent="0.25">
      <c r="V851" s="1"/>
      <c r="W851" s="1"/>
      <c r="X851" s="1"/>
    </row>
    <row r="852" spans="22:24" ht="15.75" customHeight="1" x14ac:dyDescent="0.25">
      <c r="V852" s="1"/>
      <c r="W852" s="1"/>
      <c r="X852" s="1"/>
    </row>
    <row r="853" spans="22:24" ht="15.75" customHeight="1" x14ac:dyDescent="0.25">
      <c r="V853" s="1"/>
      <c r="W853" s="1"/>
      <c r="X853" s="1"/>
    </row>
    <row r="854" spans="22:24" ht="15.75" customHeight="1" x14ac:dyDescent="0.25">
      <c r="V854" s="1"/>
      <c r="W854" s="1"/>
      <c r="X854" s="1"/>
    </row>
    <row r="855" spans="22:24" ht="15.75" customHeight="1" x14ac:dyDescent="0.25">
      <c r="V855" s="1"/>
      <c r="W855" s="1"/>
      <c r="X855" s="1"/>
    </row>
    <row r="856" spans="22:24" ht="15.75" customHeight="1" x14ac:dyDescent="0.25">
      <c r="V856" s="1"/>
      <c r="W856" s="1"/>
      <c r="X856" s="1"/>
    </row>
    <row r="857" spans="22:24" ht="15.75" customHeight="1" x14ac:dyDescent="0.25">
      <c r="V857" s="1"/>
      <c r="W857" s="1"/>
      <c r="X857" s="1"/>
    </row>
    <row r="858" spans="22:24" ht="15.75" customHeight="1" x14ac:dyDescent="0.25">
      <c r="V858" s="1"/>
      <c r="W858" s="1"/>
      <c r="X858" s="1"/>
    </row>
    <row r="859" spans="22:24" ht="15.75" customHeight="1" x14ac:dyDescent="0.25">
      <c r="V859" s="1"/>
      <c r="W859" s="1"/>
      <c r="X859" s="1"/>
    </row>
    <row r="860" spans="22:24" ht="15.75" customHeight="1" x14ac:dyDescent="0.25">
      <c r="V860" s="1"/>
      <c r="W860" s="1"/>
      <c r="X860" s="1"/>
    </row>
    <row r="861" spans="22:24" ht="15.75" customHeight="1" x14ac:dyDescent="0.25">
      <c r="V861" s="1"/>
      <c r="W861" s="1"/>
      <c r="X861" s="1"/>
    </row>
    <row r="862" spans="22:24" ht="15.75" customHeight="1" x14ac:dyDescent="0.25">
      <c r="V862" s="1"/>
      <c r="W862" s="1"/>
      <c r="X862" s="1"/>
    </row>
    <row r="863" spans="22:24" ht="15.75" customHeight="1" x14ac:dyDescent="0.25">
      <c r="V863" s="1"/>
      <c r="W863" s="1"/>
      <c r="X863" s="1"/>
    </row>
    <row r="864" spans="22:24" ht="15.75" customHeight="1" x14ac:dyDescent="0.25">
      <c r="V864" s="1"/>
      <c r="W864" s="1"/>
      <c r="X864" s="1"/>
    </row>
    <row r="865" spans="22:24" ht="15.75" customHeight="1" x14ac:dyDescent="0.25">
      <c r="V865" s="1"/>
      <c r="W865" s="1"/>
      <c r="X865" s="1"/>
    </row>
    <row r="866" spans="22:24" ht="15.75" customHeight="1" x14ac:dyDescent="0.25">
      <c r="V866" s="1"/>
      <c r="W866" s="1"/>
      <c r="X866" s="1"/>
    </row>
    <row r="867" spans="22:24" ht="15.75" customHeight="1" x14ac:dyDescent="0.25">
      <c r="V867" s="1"/>
      <c r="W867" s="1"/>
      <c r="X867" s="1"/>
    </row>
    <row r="868" spans="22:24" ht="15.75" customHeight="1" x14ac:dyDescent="0.25">
      <c r="V868" s="1"/>
      <c r="W868" s="1"/>
      <c r="X868" s="1"/>
    </row>
    <row r="869" spans="22:24" ht="15.75" customHeight="1" x14ac:dyDescent="0.25">
      <c r="V869" s="1"/>
      <c r="W869" s="1"/>
      <c r="X869" s="1"/>
    </row>
    <row r="870" spans="22:24" ht="15.75" customHeight="1" x14ac:dyDescent="0.25">
      <c r="V870" s="1"/>
      <c r="W870" s="1"/>
      <c r="X870" s="1"/>
    </row>
    <row r="871" spans="22:24" ht="15.75" customHeight="1" x14ac:dyDescent="0.25">
      <c r="V871" s="1"/>
      <c r="W871" s="1"/>
      <c r="X871" s="1"/>
    </row>
    <row r="872" spans="22:24" ht="15.75" customHeight="1" x14ac:dyDescent="0.25">
      <c r="V872" s="1"/>
      <c r="W872" s="1"/>
      <c r="X872" s="1"/>
    </row>
    <row r="873" spans="22:24" ht="15.75" customHeight="1" x14ac:dyDescent="0.25">
      <c r="V873" s="1"/>
      <c r="W873" s="1"/>
      <c r="X873" s="1"/>
    </row>
    <row r="874" spans="22:24" ht="15.75" customHeight="1" x14ac:dyDescent="0.25">
      <c r="V874" s="1"/>
      <c r="W874" s="1"/>
      <c r="X874" s="1"/>
    </row>
    <row r="875" spans="22:24" ht="15.75" customHeight="1" x14ac:dyDescent="0.25">
      <c r="V875" s="1"/>
      <c r="W875" s="1"/>
      <c r="X875" s="1"/>
    </row>
    <row r="876" spans="22:24" ht="15.75" customHeight="1" x14ac:dyDescent="0.25">
      <c r="V876" s="1"/>
      <c r="W876" s="1"/>
      <c r="X876" s="1"/>
    </row>
    <row r="877" spans="22:24" ht="15.75" customHeight="1" x14ac:dyDescent="0.25">
      <c r="V877" s="1"/>
      <c r="W877" s="1"/>
      <c r="X877" s="1"/>
    </row>
    <row r="878" spans="22:24" ht="15.75" customHeight="1" x14ac:dyDescent="0.25">
      <c r="V878" s="1"/>
      <c r="W878" s="1"/>
      <c r="X878" s="1"/>
    </row>
    <row r="879" spans="22:24" ht="15.75" customHeight="1" x14ac:dyDescent="0.25">
      <c r="V879" s="1"/>
      <c r="W879" s="1"/>
      <c r="X879" s="1"/>
    </row>
    <row r="880" spans="22:24" ht="15.75" customHeight="1" x14ac:dyDescent="0.25">
      <c r="V880" s="1"/>
      <c r="W880" s="1"/>
      <c r="X880" s="1"/>
    </row>
    <row r="881" spans="22:24" ht="15.75" customHeight="1" x14ac:dyDescent="0.25">
      <c r="V881" s="1"/>
      <c r="W881" s="1"/>
      <c r="X881" s="1"/>
    </row>
    <row r="882" spans="22:24" ht="15.75" customHeight="1" x14ac:dyDescent="0.25">
      <c r="V882" s="1"/>
      <c r="W882" s="1"/>
      <c r="X882" s="1"/>
    </row>
    <row r="883" spans="22:24" ht="15.75" customHeight="1" x14ac:dyDescent="0.25">
      <c r="V883" s="1"/>
      <c r="W883" s="1"/>
      <c r="X883" s="1"/>
    </row>
    <row r="884" spans="22:24" ht="15.75" customHeight="1" x14ac:dyDescent="0.25">
      <c r="V884" s="1"/>
      <c r="W884" s="1"/>
      <c r="X884" s="1"/>
    </row>
    <row r="885" spans="22:24" ht="15.75" customHeight="1" x14ac:dyDescent="0.25">
      <c r="V885" s="1"/>
      <c r="W885" s="1"/>
      <c r="X885" s="1"/>
    </row>
    <row r="886" spans="22:24" ht="15.75" customHeight="1" x14ac:dyDescent="0.25">
      <c r="V886" s="1"/>
      <c r="W886" s="1"/>
      <c r="X886" s="1"/>
    </row>
    <row r="887" spans="22:24" ht="15.75" customHeight="1" x14ac:dyDescent="0.25">
      <c r="V887" s="1"/>
      <c r="W887" s="1"/>
      <c r="X887" s="1"/>
    </row>
    <row r="888" spans="22:24" ht="15.75" customHeight="1" x14ac:dyDescent="0.25">
      <c r="V888" s="1"/>
      <c r="W888" s="1"/>
      <c r="X888" s="1"/>
    </row>
    <row r="889" spans="22:24" ht="15.75" customHeight="1" x14ac:dyDescent="0.25">
      <c r="V889" s="1"/>
      <c r="W889" s="1"/>
      <c r="X889" s="1"/>
    </row>
    <row r="890" spans="22:24" ht="15.75" customHeight="1" x14ac:dyDescent="0.25">
      <c r="V890" s="1"/>
      <c r="W890" s="1"/>
      <c r="X890" s="1"/>
    </row>
    <row r="891" spans="22:24" ht="15.75" customHeight="1" x14ac:dyDescent="0.25">
      <c r="V891" s="1"/>
      <c r="W891" s="1"/>
      <c r="X891" s="1"/>
    </row>
    <row r="892" spans="22:24" ht="15.75" customHeight="1" x14ac:dyDescent="0.25">
      <c r="V892" s="1"/>
      <c r="W892" s="1"/>
      <c r="X892" s="1"/>
    </row>
    <row r="893" spans="22:24" ht="15.75" customHeight="1" x14ac:dyDescent="0.25">
      <c r="V893" s="1"/>
      <c r="W893" s="1"/>
      <c r="X893" s="1"/>
    </row>
    <row r="894" spans="22:24" ht="15.75" customHeight="1" x14ac:dyDescent="0.25">
      <c r="V894" s="1"/>
      <c r="W894" s="1"/>
      <c r="X894" s="1"/>
    </row>
    <row r="895" spans="22:24" ht="15.75" customHeight="1" x14ac:dyDescent="0.25">
      <c r="V895" s="1"/>
      <c r="W895" s="1"/>
      <c r="X895" s="1"/>
    </row>
    <row r="896" spans="22:24" ht="15.75" customHeight="1" x14ac:dyDescent="0.25">
      <c r="V896" s="1"/>
      <c r="W896" s="1"/>
      <c r="X896" s="1"/>
    </row>
    <row r="897" spans="22:24" ht="15.75" customHeight="1" x14ac:dyDescent="0.25">
      <c r="V897" s="1"/>
      <c r="W897" s="1"/>
      <c r="X897" s="1"/>
    </row>
    <row r="898" spans="22:24" ht="15.75" customHeight="1" x14ac:dyDescent="0.25">
      <c r="V898" s="1"/>
      <c r="W898" s="1"/>
      <c r="X898" s="1"/>
    </row>
    <row r="899" spans="22:24" ht="15.75" customHeight="1" x14ac:dyDescent="0.25">
      <c r="V899" s="1"/>
      <c r="W899" s="1"/>
      <c r="X899" s="1"/>
    </row>
    <row r="900" spans="22:24" ht="15.75" customHeight="1" x14ac:dyDescent="0.25">
      <c r="V900" s="1"/>
      <c r="W900" s="1"/>
      <c r="X900" s="1"/>
    </row>
    <row r="901" spans="22:24" ht="15.75" customHeight="1" x14ac:dyDescent="0.25">
      <c r="V901" s="1"/>
      <c r="W901" s="1"/>
      <c r="X901" s="1"/>
    </row>
    <row r="902" spans="22:24" ht="15.75" customHeight="1" x14ac:dyDescent="0.25">
      <c r="V902" s="1"/>
      <c r="W902" s="1"/>
      <c r="X902" s="1"/>
    </row>
    <row r="903" spans="22:24" ht="15.75" customHeight="1" x14ac:dyDescent="0.25">
      <c r="V903" s="1"/>
      <c r="W903" s="1"/>
      <c r="X903" s="1"/>
    </row>
    <row r="904" spans="22:24" ht="15.75" customHeight="1" x14ac:dyDescent="0.25">
      <c r="V904" s="1"/>
      <c r="W904" s="1"/>
      <c r="X904" s="1"/>
    </row>
    <row r="905" spans="22:24" ht="15.75" customHeight="1" x14ac:dyDescent="0.25">
      <c r="V905" s="1"/>
      <c r="W905" s="1"/>
      <c r="X905" s="1"/>
    </row>
    <row r="906" spans="22:24" ht="15.75" customHeight="1" x14ac:dyDescent="0.25">
      <c r="V906" s="1"/>
      <c r="W906" s="1"/>
      <c r="X906" s="1"/>
    </row>
    <row r="907" spans="22:24" ht="15.75" customHeight="1" x14ac:dyDescent="0.25">
      <c r="V907" s="1"/>
      <c r="W907" s="1"/>
      <c r="X907" s="1"/>
    </row>
    <row r="908" spans="22:24" ht="15.75" customHeight="1" x14ac:dyDescent="0.25">
      <c r="V908" s="1"/>
      <c r="W908" s="1"/>
      <c r="X908" s="1"/>
    </row>
    <row r="909" spans="22:24" ht="15.75" customHeight="1" x14ac:dyDescent="0.25">
      <c r="V909" s="1"/>
      <c r="W909" s="1"/>
      <c r="X909" s="1"/>
    </row>
    <row r="910" spans="22:24" ht="15.75" customHeight="1" x14ac:dyDescent="0.25">
      <c r="V910" s="1"/>
      <c r="W910" s="1"/>
      <c r="X910" s="1"/>
    </row>
    <row r="911" spans="22:24" ht="15.75" customHeight="1" x14ac:dyDescent="0.25">
      <c r="V911" s="1"/>
      <c r="W911" s="1"/>
      <c r="X911" s="1"/>
    </row>
    <row r="912" spans="22:24" ht="15.75" customHeight="1" x14ac:dyDescent="0.25">
      <c r="V912" s="1"/>
      <c r="W912" s="1"/>
      <c r="X912" s="1"/>
    </row>
    <row r="913" spans="22:24" ht="15.75" customHeight="1" x14ac:dyDescent="0.25">
      <c r="V913" s="1"/>
      <c r="W913" s="1"/>
      <c r="X913" s="1"/>
    </row>
    <row r="914" spans="22:24" ht="15.75" customHeight="1" x14ac:dyDescent="0.25">
      <c r="V914" s="1"/>
      <c r="W914" s="1"/>
      <c r="X914" s="1"/>
    </row>
    <row r="915" spans="22:24" ht="15.75" customHeight="1" x14ac:dyDescent="0.25">
      <c r="V915" s="1"/>
      <c r="W915" s="1"/>
      <c r="X915" s="1"/>
    </row>
    <row r="916" spans="22:24" ht="15.75" customHeight="1" x14ac:dyDescent="0.25">
      <c r="V916" s="1"/>
      <c r="W916" s="1"/>
      <c r="X916" s="1"/>
    </row>
    <row r="917" spans="22:24" ht="15.75" customHeight="1" x14ac:dyDescent="0.25">
      <c r="V917" s="1"/>
      <c r="W917" s="1"/>
      <c r="X917" s="1"/>
    </row>
    <row r="918" spans="22:24" ht="15.75" customHeight="1" x14ac:dyDescent="0.25">
      <c r="V918" s="1"/>
      <c r="W918" s="1"/>
      <c r="X918" s="1"/>
    </row>
    <row r="919" spans="22:24" ht="15.75" customHeight="1" x14ac:dyDescent="0.25">
      <c r="V919" s="1"/>
      <c r="W919" s="1"/>
      <c r="X919" s="1"/>
    </row>
    <row r="920" spans="22:24" ht="15.75" customHeight="1" x14ac:dyDescent="0.25">
      <c r="V920" s="1"/>
      <c r="W920" s="1"/>
      <c r="X920" s="1"/>
    </row>
    <row r="921" spans="22:24" ht="15.75" customHeight="1" x14ac:dyDescent="0.25">
      <c r="V921" s="1"/>
      <c r="W921" s="1"/>
      <c r="X921" s="1"/>
    </row>
    <row r="922" spans="22:24" ht="15.75" customHeight="1" x14ac:dyDescent="0.25">
      <c r="V922" s="1"/>
      <c r="W922" s="1"/>
      <c r="X922" s="1"/>
    </row>
    <row r="923" spans="22:24" ht="15.75" customHeight="1" x14ac:dyDescent="0.25">
      <c r="V923" s="1"/>
      <c r="W923" s="1"/>
      <c r="X923" s="1"/>
    </row>
    <row r="924" spans="22:24" ht="15.75" customHeight="1" x14ac:dyDescent="0.25">
      <c r="V924" s="1"/>
      <c r="W924" s="1"/>
      <c r="X924" s="1"/>
    </row>
    <row r="925" spans="22:24" ht="15.75" customHeight="1" x14ac:dyDescent="0.25">
      <c r="V925" s="1"/>
      <c r="W925" s="1"/>
      <c r="X925" s="1"/>
    </row>
    <row r="926" spans="22:24" ht="15.75" customHeight="1" x14ac:dyDescent="0.25">
      <c r="V926" s="1"/>
      <c r="W926" s="1"/>
      <c r="X926" s="1"/>
    </row>
    <row r="927" spans="22:24" ht="15.75" customHeight="1" x14ac:dyDescent="0.25">
      <c r="V927" s="1"/>
      <c r="W927" s="1"/>
      <c r="X927" s="1"/>
    </row>
    <row r="928" spans="22:24" ht="15.75" customHeight="1" x14ac:dyDescent="0.25">
      <c r="V928" s="1"/>
      <c r="W928" s="1"/>
      <c r="X928" s="1"/>
    </row>
    <row r="929" spans="22:24" ht="15.75" customHeight="1" x14ac:dyDescent="0.25">
      <c r="V929" s="1"/>
      <c r="W929" s="1"/>
      <c r="X929" s="1"/>
    </row>
    <row r="930" spans="22:24" ht="15.75" customHeight="1" x14ac:dyDescent="0.25">
      <c r="V930" s="1"/>
      <c r="W930" s="1"/>
      <c r="X930" s="1"/>
    </row>
    <row r="931" spans="22:24" ht="15.75" customHeight="1" x14ac:dyDescent="0.25">
      <c r="V931" s="1"/>
      <c r="W931" s="1"/>
      <c r="X931" s="1"/>
    </row>
    <row r="932" spans="22:24" ht="15.75" customHeight="1" x14ac:dyDescent="0.25">
      <c r="V932" s="1"/>
      <c r="W932" s="1"/>
      <c r="X932" s="1"/>
    </row>
    <row r="933" spans="22:24" ht="15.75" customHeight="1" x14ac:dyDescent="0.25">
      <c r="V933" s="1"/>
      <c r="W933" s="1"/>
      <c r="X933" s="1"/>
    </row>
    <row r="934" spans="22:24" ht="15.75" customHeight="1" x14ac:dyDescent="0.25">
      <c r="V934" s="1"/>
      <c r="W934" s="1"/>
      <c r="X934" s="1"/>
    </row>
    <row r="935" spans="22:24" ht="15.75" customHeight="1" x14ac:dyDescent="0.25">
      <c r="V935" s="1"/>
      <c r="W935" s="1"/>
      <c r="X935" s="1"/>
    </row>
    <row r="936" spans="22:24" ht="15.75" customHeight="1" x14ac:dyDescent="0.25">
      <c r="V936" s="1"/>
      <c r="W936" s="1"/>
      <c r="X936" s="1"/>
    </row>
    <row r="937" spans="22:24" ht="15.75" customHeight="1" x14ac:dyDescent="0.25">
      <c r="V937" s="1"/>
      <c r="W937" s="1"/>
      <c r="X937" s="1"/>
    </row>
    <row r="938" spans="22:24" ht="15.75" customHeight="1" x14ac:dyDescent="0.25">
      <c r="V938" s="1"/>
      <c r="W938" s="1"/>
      <c r="X938" s="1"/>
    </row>
    <row r="939" spans="22:24" ht="15.75" customHeight="1" x14ac:dyDescent="0.25">
      <c r="V939" s="1"/>
      <c r="W939" s="1"/>
      <c r="X939" s="1"/>
    </row>
    <row r="940" spans="22:24" ht="15.75" customHeight="1" x14ac:dyDescent="0.25">
      <c r="V940" s="1"/>
      <c r="W940" s="1"/>
      <c r="X940" s="1"/>
    </row>
    <row r="941" spans="22:24" ht="15.75" customHeight="1" x14ac:dyDescent="0.25">
      <c r="V941" s="1"/>
      <c r="W941" s="1"/>
      <c r="X941" s="1"/>
    </row>
    <row r="942" spans="22:24" ht="15.75" customHeight="1" x14ac:dyDescent="0.25">
      <c r="V942" s="1"/>
      <c r="W942" s="1"/>
      <c r="X942" s="1"/>
    </row>
    <row r="943" spans="22:24" ht="15.75" customHeight="1" x14ac:dyDescent="0.25">
      <c r="V943" s="1"/>
      <c r="W943" s="1"/>
      <c r="X943" s="1"/>
    </row>
    <row r="944" spans="22:24" ht="15.75" customHeight="1" x14ac:dyDescent="0.25">
      <c r="V944" s="1"/>
      <c r="W944" s="1"/>
      <c r="X944" s="1"/>
    </row>
    <row r="945" spans="22:24" ht="15.75" customHeight="1" x14ac:dyDescent="0.25">
      <c r="V945" s="1"/>
      <c r="W945" s="1"/>
      <c r="X945" s="1"/>
    </row>
    <row r="946" spans="22:24" ht="15.75" customHeight="1" x14ac:dyDescent="0.25">
      <c r="V946" s="1"/>
      <c r="W946" s="1"/>
      <c r="X946" s="1"/>
    </row>
    <row r="947" spans="22:24" ht="15.75" customHeight="1" x14ac:dyDescent="0.25">
      <c r="V947" s="1"/>
      <c r="W947" s="1"/>
      <c r="X947" s="1"/>
    </row>
    <row r="948" spans="22:24" ht="15.75" customHeight="1" x14ac:dyDescent="0.25">
      <c r="V948" s="1"/>
      <c r="W948" s="1"/>
      <c r="X948" s="1"/>
    </row>
    <row r="949" spans="22:24" ht="15.75" customHeight="1" x14ac:dyDescent="0.25">
      <c r="V949" s="1"/>
      <c r="W949" s="1"/>
      <c r="X949" s="1"/>
    </row>
    <row r="950" spans="22:24" ht="15.75" customHeight="1" x14ac:dyDescent="0.25">
      <c r="V950" s="1"/>
      <c r="W950" s="1"/>
      <c r="X950" s="1"/>
    </row>
    <row r="951" spans="22:24" ht="15.75" customHeight="1" x14ac:dyDescent="0.25">
      <c r="V951" s="1"/>
      <c r="W951" s="1"/>
      <c r="X951" s="1"/>
    </row>
    <row r="952" spans="22:24" ht="15.75" customHeight="1" x14ac:dyDescent="0.25">
      <c r="V952" s="1"/>
      <c r="W952" s="1"/>
      <c r="X952" s="1"/>
    </row>
    <row r="953" spans="22:24" ht="15.75" customHeight="1" x14ac:dyDescent="0.25">
      <c r="V953" s="1"/>
      <c r="W953" s="1"/>
      <c r="X953" s="1"/>
    </row>
    <row r="954" spans="22:24" ht="15.75" customHeight="1" x14ac:dyDescent="0.25">
      <c r="V954" s="1"/>
      <c r="W954" s="1"/>
      <c r="X954" s="1"/>
    </row>
    <row r="955" spans="22:24" ht="15.75" customHeight="1" x14ac:dyDescent="0.25">
      <c r="V955" s="1"/>
      <c r="W955" s="1"/>
      <c r="X955" s="1"/>
    </row>
    <row r="956" spans="22:24" ht="15.75" customHeight="1" x14ac:dyDescent="0.25">
      <c r="V956" s="1"/>
      <c r="W956" s="1"/>
      <c r="X956" s="1"/>
    </row>
    <row r="957" spans="22:24" ht="15.75" customHeight="1" x14ac:dyDescent="0.25">
      <c r="V957" s="1"/>
      <c r="W957" s="1"/>
      <c r="X957" s="1"/>
    </row>
    <row r="958" spans="22:24" ht="15.75" customHeight="1" x14ac:dyDescent="0.25">
      <c r="V958" s="1"/>
      <c r="W958" s="1"/>
      <c r="X958" s="1"/>
    </row>
    <row r="959" spans="22:24" ht="15.75" customHeight="1" x14ac:dyDescent="0.25">
      <c r="V959" s="1"/>
      <c r="W959" s="1"/>
      <c r="X959" s="1"/>
    </row>
    <row r="960" spans="22:24" ht="15.75" customHeight="1" x14ac:dyDescent="0.25">
      <c r="V960" s="1"/>
      <c r="W960" s="1"/>
      <c r="X960" s="1"/>
    </row>
    <row r="961" spans="22:24" ht="15.75" customHeight="1" x14ac:dyDescent="0.25">
      <c r="V961" s="1"/>
      <c r="W961" s="1"/>
      <c r="X961" s="1"/>
    </row>
    <row r="962" spans="22:24" ht="15.75" customHeight="1" x14ac:dyDescent="0.25">
      <c r="V962" s="1"/>
      <c r="W962" s="1"/>
      <c r="X962" s="1"/>
    </row>
    <row r="963" spans="22:24" ht="15.75" customHeight="1" x14ac:dyDescent="0.25">
      <c r="V963" s="1"/>
      <c r="W963" s="1"/>
      <c r="X963" s="1"/>
    </row>
    <row r="964" spans="22:24" ht="15.75" customHeight="1" x14ac:dyDescent="0.25">
      <c r="V964" s="1"/>
      <c r="W964" s="1"/>
      <c r="X964" s="1"/>
    </row>
    <row r="965" spans="22:24" ht="15.75" customHeight="1" x14ac:dyDescent="0.25">
      <c r="V965" s="1"/>
      <c r="W965" s="1"/>
      <c r="X965" s="1"/>
    </row>
    <row r="966" spans="22:24" ht="15.75" customHeight="1" x14ac:dyDescent="0.25">
      <c r="V966" s="1"/>
      <c r="W966" s="1"/>
      <c r="X966" s="1"/>
    </row>
    <row r="967" spans="22:24" ht="15.75" customHeight="1" x14ac:dyDescent="0.25">
      <c r="V967" s="1"/>
      <c r="W967" s="1"/>
      <c r="X967" s="1"/>
    </row>
    <row r="968" spans="22:24" ht="15.75" customHeight="1" x14ac:dyDescent="0.25">
      <c r="V968" s="1"/>
      <c r="W968" s="1"/>
      <c r="X968" s="1"/>
    </row>
    <row r="969" spans="22:24" ht="15.75" customHeight="1" x14ac:dyDescent="0.25">
      <c r="V969" s="1"/>
      <c r="W969" s="1"/>
      <c r="X969" s="1"/>
    </row>
    <row r="970" spans="22:24" ht="15.75" customHeight="1" x14ac:dyDescent="0.25">
      <c r="V970" s="1"/>
      <c r="W970" s="1"/>
      <c r="X970" s="1"/>
    </row>
    <row r="971" spans="22:24" ht="15.75" customHeight="1" x14ac:dyDescent="0.25">
      <c r="V971" s="1"/>
      <c r="W971" s="1"/>
      <c r="X971" s="1"/>
    </row>
    <row r="972" spans="22:24" ht="15.75" customHeight="1" x14ac:dyDescent="0.25">
      <c r="V972" s="1"/>
      <c r="W972" s="1"/>
      <c r="X972" s="1"/>
    </row>
    <row r="973" spans="22:24" ht="15.75" customHeight="1" x14ac:dyDescent="0.25">
      <c r="V973" s="1"/>
      <c r="W973" s="1"/>
      <c r="X973" s="1"/>
    </row>
    <row r="974" spans="22:24" ht="15.75" customHeight="1" x14ac:dyDescent="0.25">
      <c r="V974" s="1"/>
      <c r="W974" s="1"/>
      <c r="X974" s="1"/>
    </row>
    <row r="975" spans="22:24" ht="15.75" customHeight="1" x14ac:dyDescent="0.25">
      <c r="V975" s="1"/>
      <c r="W975" s="1"/>
      <c r="X975" s="1"/>
    </row>
    <row r="976" spans="22:24" ht="15.75" customHeight="1" x14ac:dyDescent="0.25">
      <c r="V976" s="1"/>
      <c r="W976" s="1"/>
      <c r="X976" s="1"/>
    </row>
    <row r="977" spans="22:24" ht="15.75" customHeight="1" x14ac:dyDescent="0.25">
      <c r="V977" s="1"/>
      <c r="W977" s="1"/>
      <c r="X977" s="1"/>
    </row>
    <row r="978" spans="22:24" ht="15.75" customHeight="1" x14ac:dyDescent="0.25">
      <c r="V978" s="1"/>
      <c r="W978" s="1"/>
      <c r="X978" s="1"/>
    </row>
    <row r="979" spans="22:24" ht="15.75" customHeight="1" x14ac:dyDescent="0.25">
      <c r="V979" s="1"/>
      <c r="W979" s="1"/>
      <c r="X979" s="1"/>
    </row>
    <row r="980" spans="22:24" ht="15.75" customHeight="1" x14ac:dyDescent="0.25">
      <c r="V980" s="1"/>
      <c r="W980" s="1"/>
      <c r="X980" s="1"/>
    </row>
    <row r="981" spans="22:24" ht="15.75" customHeight="1" x14ac:dyDescent="0.25">
      <c r="V981" s="1"/>
      <c r="W981" s="1"/>
      <c r="X981" s="1"/>
    </row>
    <row r="982" spans="22:24" ht="15.75" customHeight="1" x14ac:dyDescent="0.25">
      <c r="V982" s="1"/>
      <c r="W982" s="1"/>
      <c r="X982" s="1"/>
    </row>
    <row r="983" spans="22:24" ht="15.75" customHeight="1" x14ac:dyDescent="0.25">
      <c r="V983" s="1"/>
      <c r="W983" s="1"/>
      <c r="X983" s="1"/>
    </row>
    <row r="984" spans="22:24" ht="15.75" customHeight="1" x14ac:dyDescent="0.25">
      <c r="V984" s="1"/>
      <c r="W984" s="1"/>
      <c r="X984" s="1"/>
    </row>
    <row r="985" spans="22:24" ht="15.75" customHeight="1" x14ac:dyDescent="0.25">
      <c r="V985" s="1"/>
      <c r="W985" s="1"/>
      <c r="X985" s="1"/>
    </row>
    <row r="986" spans="22:24" ht="15.75" customHeight="1" x14ac:dyDescent="0.25">
      <c r="V986" s="1"/>
      <c r="W986" s="1"/>
      <c r="X986" s="1"/>
    </row>
    <row r="987" spans="22:24" ht="15.75" customHeight="1" x14ac:dyDescent="0.25">
      <c r="V987" s="1"/>
      <c r="W987" s="1"/>
      <c r="X987" s="1"/>
    </row>
    <row r="988" spans="22:24" ht="15.75" customHeight="1" x14ac:dyDescent="0.25">
      <c r="V988" s="1"/>
      <c r="W988" s="1"/>
      <c r="X988" s="1"/>
    </row>
    <row r="989" spans="22:24" ht="15.75" customHeight="1" x14ac:dyDescent="0.25">
      <c r="V989" s="1"/>
      <c r="W989" s="1"/>
      <c r="X989" s="1"/>
    </row>
    <row r="990" spans="22:24" ht="15.75" customHeight="1" x14ac:dyDescent="0.25">
      <c r="V990" s="1"/>
      <c r="W990" s="1"/>
      <c r="X990" s="1"/>
    </row>
    <row r="991" spans="22:24" ht="15.75" customHeight="1" x14ac:dyDescent="0.25">
      <c r="V991" s="1"/>
      <c r="W991" s="1"/>
      <c r="X991" s="1"/>
    </row>
    <row r="992" spans="22:24" ht="15.75" customHeight="1" x14ac:dyDescent="0.25">
      <c r="V992" s="1"/>
      <c r="W992" s="1"/>
      <c r="X992" s="1"/>
    </row>
    <row r="993" spans="22:24" ht="15.75" customHeight="1" x14ac:dyDescent="0.25">
      <c r="V993" s="1"/>
      <c r="W993" s="1"/>
      <c r="X993" s="1"/>
    </row>
    <row r="994" spans="22:24" ht="15.75" customHeight="1" x14ac:dyDescent="0.25">
      <c r="V994" s="1"/>
      <c r="W994" s="1"/>
      <c r="X994" s="1"/>
    </row>
    <row r="995" spans="22:24" ht="15.75" customHeight="1" x14ac:dyDescent="0.25">
      <c r="V995" s="1"/>
      <c r="W995" s="1"/>
      <c r="X995" s="1"/>
    </row>
    <row r="996" spans="22:24" ht="15.75" customHeight="1" x14ac:dyDescent="0.25">
      <c r="V996" s="1"/>
      <c r="W996" s="1"/>
      <c r="X996" s="1"/>
    </row>
    <row r="997" spans="22:24" ht="15.75" customHeight="1" x14ac:dyDescent="0.25">
      <c r="V997" s="1"/>
      <c r="W997" s="1"/>
      <c r="X997" s="1"/>
    </row>
    <row r="998" spans="22:24" ht="15.75" customHeight="1" x14ac:dyDescent="0.25">
      <c r="V998" s="1"/>
      <c r="W998" s="1"/>
      <c r="X998" s="1"/>
    </row>
    <row r="999" spans="22:24" ht="15.75" customHeight="1" x14ac:dyDescent="0.25">
      <c r="V999" s="1"/>
      <c r="W999" s="1"/>
      <c r="X999" s="1"/>
    </row>
    <row r="1000" spans="22:24" ht="15.75" customHeight="1" x14ac:dyDescent="0.25">
      <c r="V1000" s="1"/>
      <c r="W1000" s="1"/>
      <c r="X1000" s="1"/>
    </row>
    <row r="1001" spans="22:24" ht="15.75" customHeight="1" x14ac:dyDescent="0.25">
      <c r="V1001" s="1"/>
      <c r="W1001" s="1"/>
      <c r="X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(3)Bear TrapLF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2025-08-17T16:30:07Z</dcterms:created>
  <dcterms:modified xsi:type="dcterms:W3CDTF">2025-08-17T16:30:59Z</dcterms:modified>
</cp:coreProperties>
</file>