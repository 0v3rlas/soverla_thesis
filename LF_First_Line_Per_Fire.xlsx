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573127F7-FA13-46DC-8688-0154387A4F13}" xr6:coauthVersionLast="47" xr6:coauthVersionMax="47" xr10:uidLastSave="{00000000-0000-0000-0000-000000000000}"/>
  <bookViews>
    <workbookView xWindow="9420" yWindow="1069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" i="1" l="1"/>
  <c r="AV10" i="1"/>
  <c r="AV11" i="1"/>
  <c r="AV15" i="1"/>
  <c r="AV16" i="1"/>
  <c r="AV17" i="1"/>
  <c r="AV18" i="1"/>
  <c r="AV22" i="1"/>
  <c r="AV23" i="1"/>
  <c r="AV24" i="1"/>
  <c r="AV25" i="1"/>
  <c r="AV8" i="1"/>
  <c r="F36" i="1"/>
  <c r="F35" i="1"/>
  <c r="F34" i="1"/>
  <c r="F33" i="1"/>
  <c r="AI36" i="1"/>
  <c r="AI35" i="1"/>
  <c r="AI34" i="1"/>
  <c r="AI33" i="1"/>
  <c r="AH36" i="1"/>
  <c r="AH35" i="1"/>
  <c r="AH34" i="1"/>
  <c r="AH33" i="1"/>
  <c r="AG36" i="1"/>
  <c r="AG35" i="1"/>
  <c r="AG34" i="1"/>
  <c r="AG33" i="1"/>
  <c r="AK36" i="1"/>
  <c r="AK35" i="1"/>
  <c r="AK34" i="1"/>
  <c r="AK33" i="1"/>
  <c r="AE34" i="1"/>
  <c r="AE33" i="1"/>
  <c r="AJ34" i="1"/>
  <c r="AJ33" i="1"/>
  <c r="N34" i="1"/>
  <c r="AE36" i="1"/>
  <c r="N33" i="1"/>
  <c r="AE35" i="1"/>
</calcChain>
</file>

<file path=xl/sharedStrings.xml><?xml version="1.0" encoding="utf-8"?>
<sst xmlns="http://schemas.openxmlformats.org/spreadsheetml/2006/main" count="167" uniqueCount="90">
  <si>
    <t>fire_ID</t>
  </si>
  <si>
    <t>fire_name</t>
  </si>
  <si>
    <t>state</t>
  </si>
  <si>
    <t>cause</t>
  </si>
  <si>
    <t>size</t>
  </si>
  <si>
    <t>final_size</t>
  </si>
  <si>
    <t>fire_day</t>
  </si>
  <si>
    <t>As_growth</t>
  </si>
  <si>
    <t>ECTC</t>
  </si>
  <si>
    <t>EOTC</t>
  </si>
  <si>
    <t>ES</t>
  </si>
  <si>
    <t>MEDS</t>
  </si>
  <si>
    <t>WSC_adj</t>
  </si>
  <si>
    <t>final_WSC</t>
  </si>
  <si>
    <t>fuel_elev</t>
  </si>
  <si>
    <t>t_C_sfc</t>
  </si>
  <si>
    <t>RH_sfc</t>
  </si>
  <si>
    <t xml:space="preserve">VPD_sfc </t>
  </si>
  <si>
    <t>spd_sfc</t>
  </si>
  <si>
    <t>spd_700</t>
  </si>
  <si>
    <t>hour_1000</t>
  </si>
  <si>
    <t>zhvi_not_adj</t>
  </si>
  <si>
    <t>zhvi</t>
  </si>
  <si>
    <t>FOUS_True</t>
  </si>
  <si>
    <t>lat</t>
  </si>
  <si>
    <t>lon</t>
  </si>
  <si>
    <t>acres_growth</t>
  </si>
  <si>
    <t>WSC</t>
  </si>
  <si>
    <t>WSC_CPA</t>
  </si>
  <si>
    <t>date</t>
  </si>
  <si>
    <t>lava</t>
  </si>
  <si>
    <t>CA</t>
  </si>
  <si>
    <t>lightning</t>
  </si>
  <si>
    <t>cinderbutte</t>
  </si>
  <si>
    <t>OR</t>
  </si>
  <si>
    <t>undetermined</t>
  </si>
  <si>
    <t>blackpine</t>
  </si>
  <si>
    <t>ID</t>
  </si>
  <si>
    <t>countyline</t>
  </si>
  <si>
    <t>human</t>
  </si>
  <si>
    <t>burro</t>
  </si>
  <si>
    <t>AZ</t>
  </si>
  <si>
    <t>beartrap</t>
  </si>
  <si>
    <t>NM</t>
  </si>
  <si>
    <t>dome</t>
  </si>
  <si>
    <t>watsoncrk</t>
  </si>
  <si>
    <t>juniper</t>
  </si>
  <si>
    <t>butte</t>
  </si>
  <si>
    <t>highpark</t>
  </si>
  <si>
    <t>CO</t>
  </si>
  <si>
    <t>brattain</t>
  </si>
  <si>
    <t>donnell</t>
  </si>
  <si>
    <t>walker</t>
  </si>
  <si>
    <t>chimney</t>
  </si>
  <si>
    <t>beavercrk</t>
  </si>
  <si>
    <t>polecrk</t>
  </si>
  <si>
    <t>blackrock</t>
  </si>
  <si>
    <t>zogg</t>
  </si>
  <si>
    <t>delta</t>
  </si>
  <si>
    <t>trailcrk</t>
  </si>
  <si>
    <t>MT</t>
  </si>
  <si>
    <t>ryan</t>
  </si>
  <si>
    <t>bulldraw</t>
  </si>
  <si>
    <t>sarpy</t>
  </si>
  <si>
    <t>nenasprings</t>
  </si>
  <si>
    <t>jollymtn</t>
  </si>
  <si>
    <t>WA</t>
  </si>
  <si>
    <t>mckinney</t>
  </si>
  <si>
    <t>mescal</t>
  </si>
  <si>
    <t>williamsflat</t>
  </si>
  <si>
    <t>mesa</t>
  </si>
  <si>
    <t>final_WSC_FOUS</t>
  </si>
  <si>
    <t>final_size_FOUS</t>
  </si>
  <si>
    <t>final_WSC_LF</t>
  </si>
  <si>
    <t>final_size_LF</t>
  </si>
  <si>
    <t>final_WSC_CPA_FOUS</t>
  </si>
  <si>
    <t>LF</t>
  </si>
  <si>
    <t>FOUS</t>
  </si>
  <si>
    <t>final_WSC_CPA_LF</t>
  </si>
  <si>
    <t>MIN</t>
  </si>
  <si>
    <t>MAX</t>
  </si>
  <si>
    <t>MEAN</t>
  </si>
  <si>
    <t>MEDIAN</t>
  </si>
  <si>
    <t>Final WSC</t>
  </si>
  <si>
    <t>Difference</t>
  </si>
  <si>
    <t>Elevation (feet)</t>
  </si>
  <si>
    <t xml:space="preserve">LF </t>
  </si>
  <si>
    <t>Final Fire Size (acres)</t>
  </si>
  <si>
    <t>ZHVI (US dollar)</t>
  </si>
  <si>
    <t>Final WSC Cost Per 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</si>
</sst>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3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2" xfId="0" applyFont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CCFF"/>
      <color rgb="FFCC00FF"/>
      <color rgb="FFFF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Final Wildfire Suppression Cost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FOUS</c:v>
          </c:tx>
          <c:spPr>
            <a:solidFill>
              <a:srgbClr val="CC00FF"/>
            </a:solidFill>
            <a:ln>
              <a:noFill/>
            </a:ln>
            <a:effectLst/>
          </c:spPr>
          <c:invertIfNegative val="0"/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Sheet1!$AG$2:$AG$31</c:f>
              <c:numCache>
                <c:formatCode>"$"#,##0.00</c:formatCode>
                <c:ptCount val="30"/>
                <c:pt idx="0">
                  <c:v>84750801.228</c:v>
                </c:pt>
                <c:pt idx="1">
                  <c:v>45773164.799999997</c:v>
                </c:pt>
                <c:pt idx="2">
                  <c:v>18080400.096000001</c:v>
                </c:pt>
                <c:pt idx="3">
                  <c:v>34145094.199677117</c:v>
                </c:pt>
                <c:pt idx="4">
                  <c:v>50515743.002852157</c:v>
                </c:pt>
                <c:pt idx="5">
                  <c:v>59598801</c:v>
                </c:pt>
                <c:pt idx="6">
                  <c:v>114432912</c:v>
                </c:pt>
                <c:pt idx="7">
                  <c:v>114093684</c:v>
                </c:pt>
                <c:pt idx="8">
                  <c:v>13323005.11970208</c:v>
                </c:pt>
                <c:pt idx="9">
                  <c:v>306602760.66912001</c:v>
                </c:pt>
                <c:pt idx="10">
                  <c:v>152539071.69600001</c:v>
                </c:pt>
                <c:pt idx="11">
                  <c:v>29399760</c:v>
                </c:pt>
                <c:pt idx="12">
                  <c:v>220855520.16</c:v>
                </c:pt>
                <c:pt idx="13">
                  <c:v>720778329.52416003</c:v>
                </c:pt>
                <c:pt idx="14">
                  <c:v>84680354.88000001</c:v>
                </c:pt>
                <c:pt idx="15">
                  <c:v>17946148.54797072</c:v>
                </c:pt>
                <c:pt idx="16">
                  <c:v>33301044.26148187</c:v>
                </c:pt>
                <c:pt idx="17">
                  <c:v>71223662.366524801</c:v>
                </c:pt>
                <c:pt idx="18">
                  <c:v>49708209.600000001</c:v>
                </c:pt>
                <c:pt idx="19">
                  <c:v>185149840.69115999</c:v>
                </c:pt>
                <c:pt idx="20">
                  <c:v>98200000</c:v>
                </c:pt>
                <c:pt idx="21">
                  <c:v>48519554.688000001</c:v>
                </c:pt>
                <c:pt idx="22">
                  <c:v>40051519.200000003</c:v>
                </c:pt>
                <c:pt idx="23">
                  <c:v>7349940</c:v>
                </c:pt>
                <c:pt idx="24">
                  <c:v>23438149.035840001</c:v>
                </c:pt>
                <c:pt idx="25">
                  <c:v>30197283.088795468</c:v>
                </c:pt>
                <c:pt idx="26">
                  <c:v>62988337.648368008</c:v>
                </c:pt>
                <c:pt idx="27">
                  <c:v>41159664</c:v>
                </c:pt>
                <c:pt idx="28">
                  <c:v>3776286.0959999999</c:v>
                </c:pt>
                <c:pt idx="29">
                  <c:v>12845094.372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1-447A-95CD-462BAEA0458C}"/>
            </c:ext>
          </c:extLst>
        </c:ser>
        <c:ser>
          <c:idx val="1"/>
          <c:order val="1"/>
          <c:tx>
            <c:v>LF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Sheet1!$AI$2:$AI$31</c:f>
              <c:numCache>
                <c:formatCode>General</c:formatCode>
                <c:ptCount val="30"/>
                <c:pt idx="0">
                  <c:v>39802752</c:v>
                </c:pt>
                <c:pt idx="1">
                  <c:v>5358917.8912608093</c:v>
                </c:pt>
                <c:pt idx="2">
                  <c:v>4791315.4110000003</c:v>
                </c:pt>
                <c:pt idx="3">
                  <c:v>15327112.919012221</c:v>
                </c:pt>
                <c:pt idx="4">
                  <c:v>10900526.165178239</c:v>
                </c:pt>
                <c:pt idx="5">
                  <c:v>19000000</c:v>
                </c:pt>
                <c:pt idx="6">
                  <c:v>2517524.0639999998</c:v>
                </c:pt>
                <c:pt idx="7">
                  <c:v>22538374.730095658</c:v>
                </c:pt>
                <c:pt idx="8">
                  <c:v>14311720.990142619</c:v>
                </c:pt>
                <c:pt idx="9">
                  <c:v>93110072.66383101</c:v>
                </c:pt>
                <c:pt idx="10">
                  <c:v>50380800</c:v>
                </c:pt>
                <c:pt idx="11">
                  <c:v>10928343.096000001</c:v>
                </c:pt>
                <c:pt idx="12">
                  <c:v>40080945.852186628</c:v>
                </c:pt>
                <c:pt idx="13">
                  <c:v>41471402.772096008</c:v>
                </c:pt>
                <c:pt idx="14">
                  <c:v>96357362.873287797</c:v>
                </c:pt>
                <c:pt idx="15">
                  <c:v>43181916.780602723</c:v>
                </c:pt>
                <c:pt idx="16">
                  <c:v>22744977.031440981</c:v>
                </c:pt>
                <c:pt idx="17">
                  <c:v>569720.0021603565</c:v>
                </c:pt>
                <c:pt idx="18">
                  <c:v>35479347.623723522</c:v>
                </c:pt>
                <c:pt idx="19">
                  <c:v>65489402.597769223</c:v>
                </c:pt>
                <c:pt idx="20">
                  <c:v>36937930.286399998</c:v>
                </c:pt>
                <c:pt idx="21">
                  <c:v>9543082.3457587212</c:v>
                </c:pt>
                <c:pt idx="22">
                  <c:v>14433912.047960071</c:v>
                </c:pt>
                <c:pt idx="23">
                  <c:v>1087112.6640000001</c:v>
                </c:pt>
                <c:pt idx="24">
                  <c:v>10839629.37095936</c:v>
                </c:pt>
                <c:pt idx="25">
                  <c:v>30387500.31521754</c:v>
                </c:pt>
                <c:pt idx="26">
                  <c:v>96580000</c:v>
                </c:pt>
                <c:pt idx="27">
                  <c:v>13653927</c:v>
                </c:pt>
                <c:pt idx="28">
                  <c:v>22636862.32211712</c:v>
                </c:pt>
                <c:pt idx="29">
                  <c:v>18131856.456941571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1-447A-95CD-462BAEA04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15945503"/>
        <c:axId val="1815943583"/>
      </c:barChart>
      <c:catAx>
        <c:axId val="181594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fire pair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43583"/>
        <c:crosses val="autoZero"/>
        <c:auto val="1"/>
        <c:lblAlgn val="ctr"/>
        <c:lblOffset val="100"/>
        <c:noMultiLvlLbl val="1"/>
      </c:catAx>
      <c:valAx>
        <c:axId val="181594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WSC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Cost per Acre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68235169482587"/>
          <c:y val="0.16327538203861"/>
          <c:w val="0.8945095057533281"/>
          <c:h val="0.8007628514634122"/>
        </c:manualLayout>
      </c:layout>
      <c:barChart>
        <c:barDir val="col"/>
        <c:grouping val="clustered"/>
        <c:varyColors val="0"/>
        <c:ser>
          <c:idx val="0"/>
          <c:order val="0"/>
          <c:tx>
            <c:v>LF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Sheet1!$AE$2:$AE$31</c:f>
              <c:numCache>
                <c:formatCode>General</c:formatCode>
                <c:ptCount val="30"/>
                <c:pt idx="0">
                  <c:v>1507.166193</c:v>
                </c:pt>
                <c:pt idx="1">
                  <c:v>102.0143894</c:v>
                </c:pt>
                <c:pt idx="2">
                  <c:v>65.524054140000004</c:v>
                </c:pt>
                <c:pt idx="3">
                  <c:v>183.01665009999999</c:v>
                </c:pt>
                <c:pt idx="4">
                  <c:v>398.8775675</c:v>
                </c:pt>
                <c:pt idx="5">
                  <c:v>497.05689990000002</c:v>
                </c:pt>
                <c:pt idx="6">
                  <c:v>58.177710439999998</c:v>
                </c:pt>
                <c:pt idx="7">
                  <c:v>381.3793379</c:v>
                </c:pt>
                <c:pt idx="8">
                  <c:v>467.22996280000001</c:v>
                </c:pt>
                <c:pt idx="9">
                  <c:v>1313.8521290000001</c:v>
                </c:pt>
                <c:pt idx="10">
                  <c:v>577.20544429999995</c:v>
                </c:pt>
                <c:pt idx="11">
                  <c:v>214.48731319999999</c:v>
                </c:pt>
                <c:pt idx="12">
                  <c:v>1099.614427</c:v>
                </c:pt>
                <c:pt idx="13">
                  <c:v>759.43822829999999</c:v>
                </c:pt>
                <c:pt idx="14">
                  <c:v>1634.255913</c:v>
                </c:pt>
                <c:pt idx="15">
                  <c:v>1124.4412359999999</c:v>
                </c:pt>
                <c:pt idx="16">
                  <c:v>848.85154060000002</c:v>
                </c:pt>
                <c:pt idx="17">
                  <c:v>15.852857759999999</c:v>
                </c:pt>
                <c:pt idx="18">
                  <c:v>629.75873520000005</c:v>
                </c:pt>
                <c:pt idx="19">
                  <c:v>1030.144914</c:v>
                </c:pt>
                <c:pt idx="20">
                  <c:v>595.64817519999997</c:v>
                </c:pt>
                <c:pt idx="21">
                  <c:v>333.84930370000001</c:v>
                </c:pt>
                <c:pt idx="22">
                  <c:v>394.91947929999998</c:v>
                </c:pt>
                <c:pt idx="23">
                  <c:v>20.90199316</c:v>
                </c:pt>
                <c:pt idx="24">
                  <c:v>159.3899065</c:v>
                </c:pt>
                <c:pt idx="25">
                  <c:v>825.56781990000002</c:v>
                </c:pt>
                <c:pt idx="26">
                  <c:v>1605.972929</c:v>
                </c:pt>
                <c:pt idx="27">
                  <c:v>188.98168860000001</c:v>
                </c:pt>
                <c:pt idx="28">
                  <c:v>509.31157630000001</c:v>
                </c:pt>
                <c:pt idx="29">
                  <c:v>522.24593040000002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2-4379-A982-0C8CF433F2D0}"/>
            </c:ext>
          </c:extLst>
        </c:ser>
        <c:ser>
          <c:idx val="1"/>
          <c:order val="1"/>
          <c:tx>
            <c:v>FOUS</c:v>
          </c:tx>
          <c:spPr>
            <a:solidFill>
              <a:srgbClr val="CC00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Sheet1!$AK$2:$AK$31</c:f>
              <c:numCache>
                <c:formatCode>0.00</c:formatCode>
                <c:ptCount val="30"/>
                <c:pt idx="0">
                  <c:v>581.9517773</c:v>
                </c:pt>
                <c:pt idx="1">
                  <c:v>2300.1590350000001</c:v>
                </c:pt>
                <c:pt idx="2">
                  <c:v>200.5746436</c:v>
                </c:pt>
                <c:pt idx="3">
                  <c:v>176.3938886</c:v>
                </c:pt>
                <c:pt idx="4">
                  <c:v>326.49571170000002</c:v>
                </c:pt>
                <c:pt idx="5">
                  <c:v>183.30422039999999</c:v>
                </c:pt>
                <c:pt idx="6">
                  <c:v>988.22853980000002</c:v>
                </c:pt>
                <c:pt idx="7">
                  <c:v>276.82092990000001</c:v>
                </c:pt>
                <c:pt idx="8">
                  <c:v>68.868755629999995</c:v>
                </c:pt>
                <c:pt idx="9">
                  <c:v>1399.367236</c:v>
                </c:pt>
                <c:pt idx="10">
                  <c:v>731.03076109999995</c:v>
                </c:pt>
                <c:pt idx="11">
                  <c:v>320.22394070000001</c:v>
                </c:pt>
                <c:pt idx="12">
                  <c:v>581.359376</c:v>
                </c:pt>
                <c:pt idx="13">
                  <c:v>748.2316988</c:v>
                </c:pt>
                <c:pt idx="14">
                  <c:v>659.41701550000005</c:v>
                </c:pt>
                <c:pt idx="15">
                  <c:v>92.595652220000005</c:v>
                </c:pt>
                <c:pt idx="16">
                  <c:v>192.3870513</c:v>
                </c:pt>
                <c:pt idx="17">
                  <c:v>348.40633759999997</c:v>
                </c:pt>
                <c:pt idx="18">
                  <c:v>418.3277195</c:v>
                </c:pt>
                <c:pt idx="19">
                  <c:v>829.8069266</c:v>
                </c:pt>
                <c:pt idx="20">
                  <c:v>754.19530740000005</c:v>
                </c:pt>
                <c:pt idx="21">
                  <c:v>274.31085089999999</c:v>
                </c:pt>
                <c:pt idx="22">
                  <c:v>288.12591600000002</c:v>
                </c:pt>
                <c:pt idx="23">
                  <c:v>42.949453630000001</c:v>
                </c:pt>
                <c:pt idx="24">
                  <c:v>169.7371115</c:v>
                </c:pt>
                <c:pt idx="25">
                  <c:v>820.4</c:v>
                </c:pt>
                <c:pt idx="26">
                  <c:v>400.51082630000002</c:v>
                </c:pt>
                <c:pt idx="27">
                  <c:v>227.70716490000001</c:v>
                </c:pt>
                <c:pt idx="28">
                  <c:v>29.63419992</c:v>
                </c:pt>
                <c:pt idx="29">
                  <c:v>132.9527229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2-4379-A982-0C8CF433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618239"/>
        <c:axId val="196617759"/>
      </c:barChart>
      <c:catAx>
        <c:axId val="19661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Fire Pair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7759"/>
        <c:crosses val="autoZero"/>
        <c:auto val="1"/>
        <c:lblAlgn val="ctr"/>
        <c:lblOffset val="100"/>
        <c:noMultiLvlLbl val="0"/>
      </c:catAx>
      <c:valAx>
        <c:axId val="1966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WSC_CPA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Size of Fires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FOUS</c:v>
          </c:tx>
          <c:spPr>
            <a:solidFill>
              <a:srgbClr val="CC00FF"/>
            </a:solidFill>
            <a:ln>
              <a:noFill/>
            </a:ln>
            <a:effectLst/>
            <a:sp3d/>
          </c:spPr>
          <c:invertIfNegative val="0"/>
          <c:val>
            <c:numRef>
              <c:f>Sheet1!$AL$2:$AL$31</c:f>
              <c:numCache>
                <c:formatCode>General</c:formatCode>
                <c:ptCount val="30"/>
                <c:pt idx="0">
                  <c:v>145632</c:v>
                </c:pt>
                <c:pt idx="1">
                  <c:v>131542</c:v>
                </c:pt>
                <c:pt idx="2">
                  <c:v>90143</c:v>
                </c:pt>
                <c:pt idx="3">
                  <c:v>193573</c:v>
                </c:pt>
                <c:pt idx="4">
                  <c:v>119589</c:v>
                </c:pt>
                <c:pt idx="5">
                  <c:v>325136</c:v>
                </c:pt>
                <c:pt idx="6">
                  <c:v>115796</c:v>
                </c:pt>
                <c:pt idx="7">
                  <c:v>412157</c:v>
                </c:pt>
                <c:pt idx="8">
                  <c:v>193455</c:v>
                </c:pt>
                <c:pt idx="9">
                  <c:v>219267</c:v>
                </c:pt>
                <c:pt idx="10">
                  <c:v>208663</c:v>
                </c:pt>
                <c:pt idx="11">
                  <c:v>91810</c:v>
                </c:pt>
                <c:pt idx="12">
                  <c:v>379895</c:v>
                </c:pt>
                <c:pt idx="13">
                  <c:v>963309</c:v>
                </c:pt>
                <c:pt idx="14">
                  <c:v>128417</c:v>
                </c:pt>
                <c:pt idx="15">
                  <c:v>193812</c:v>
                </c:pt>
                <c:pt idx="16">
                  <c:v>173094</c:v>
                </c:pt>
                <c:pt idx="17">
                  <c:v>204427</c:v>
                </c:pt>
                <c:pt idx="18">
                  <c:v>118826</c:v>
                </c:pt>
                <c:pt idx="19">
                  <c:v>223124</c:v>
                </c:pt>
                <c:pt idx="20">
                  <c:v>130205</c:v>
                </c:pt>
                <c:pt idx="21">
                  <c:v>176878</c:v>
                </c:pt>
                <c:pt idx="22">
                  <c:v>139006</c:v>
                </c:pt>
                <c:pt idx="23">
                  <c:v>171130</c:v>
                </c:pt>
                <c:pt idx="24">
                  <c:v>138085</c:v>
                </c:pt>
                <c:pt idx="25">
                  <c:v>107072</c:v>
                </c:pt>
                <c:pt idx="26">
                  <c:v>157270</c:v>
                </c:pt>
                <c:pt idx="27">
                  <c:v>180757</c:v>
                </c:pt>
                <c:pt idx="28">
                  <c:v>127430</c:v>
                </c:pt>
                <c:pt idx="29">
                  <c:v>96614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B-4B51-9202-F481AED35A1C}"/>
            </c:ext>
          </c:extLst>
        </c:ser>
        <c:ser>
          <c:idx val="2"/>
          <c:order val="1"/>
          <c:tx>
            <c:v>LF</c:v>
          </c:tx>
          <c:spPr>
            <a:solidFill>
              <a:srgbClr val="66CCFF"/>
            </a:solidFill>
            <a:ln>
              <a:noFill/>
            </a:ln>
            <a:effectLst/>
            <a:sp3d/>
          </c:spPr>
          <c:invertIfNegative val="0"/>
          <c:val>
            <c:numRef>
              <c:f>Sheet1!$F$2:$F$31</c:f>
              <c:numCache>
                <c:formatCode>General</c:formatCode>
                <c:ptCount val="30"/>
                <c:pt idx="0">
                  <c:v>26365</c:v>
                </c:pt>
                <c:pt idx="1">
                  <c:v>52465</c:v>
                </c:pt>
                <c:pt idx="2">
                  <c:v>72000</c:v>
                </c:pt>
                <c:pt idx="3">
                  <c:v>67207</c:v>
                </c:pt>
                <c:pt idx="4">
                  <c:v>27328</c:v>
                </c:pt>
                <c:pt idx="5">
                  <c:v>38225</c:v>
                </c:pt>
                <c:pt idx="6">
                  <c:v>43273</c:v>
                </c:pt>
                <c:pt idx="7">
                  <c:v>59097</c:v>
                </c:pt>
                <c:pt idx="8">
                  <c:v>30631</c:v>
                </c:pt>
                <c:pt idx="9">
                  <c:v>70868</c:v>
                </c:pt>
                <c:pt idx="10">
                  <c:v>87284</c:v>
                </c:pt>
                <c:pt idx="11">
                  <c:v>50753</c:v>
                </c:pt>
                <c:pt idx="12">
                  <c:v>36366</c:v>
                </c:pt>
                <c:pt idx="13">
                  <c:v>54612</c:v>
                </c:pt>
                <c:pt idx="14">
                  <c:v>58961</c:v>
                </c:pt>
                <c:pt idx="15">
                  <c:v>38403</c:v>
                </c:pt>
                <c:pt idx="16">
                  <c:v>35938</c:v>
                </c:pt>
                <c:pt idx="17">
                  <c:v>35938</c:v>
                </c:pt>
                <c:pt idx="18">
                  <c:v>63573</c:v>
                </c:pt>
                <c:pt idx="19">
                  <c:v>63573</c:v>
                </c:pt>
                <c:pt idx="20">
                  <c:v>62013</c:v>
                </c:pt>
                <c:pt idx="21">
                  <c:v>28408</c:v>
                </c:pt>
                <c:pt idx="22">
                  <c:v>36549</c:v>
                </c:pt>
                <c:pt idx="23">
                  <c:v>52010</c:v>
                </c:pt>
                <c:pt idx="24">
                  <c:v>68135</c:v>
                </c:pt>
                <c:pt idx="25">
                  <c:v>36808</c:v>
                </c:pt>
                <c:pt idx="26">
                  <c:v>60108</c:v>
                </c:pt>
                <c:pt idx="27">
                  <c:v>72250</c:v>
                </c:pt>
                <c:pt idx="28">
                  <c:v>44446</c:v>
                </c:pt>
                <c:pt idx="29">
                  <c:v>34700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B-4B51-9202-F481AED35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3763648"/>
        <c:axId val="643766048"/>
        <c:axId val="0"/>
      </c:bar3DChart>
      <c:catAx>
        <c:axId val="64376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66048"/>
        <c:crosses val="autoZero"/>
        <c:auto val="1"/>
        <c:lblAlgn val="ctr"/>
        <c:lblOffset val="100"/>
        <c:noMultiLvlLbl val="0"/>
      </c:catAx>
      <c:valAx>
        <c:axId val="6437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Fire size in 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6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612828</xdr:colOff>
      <xdr:row>37</xdr:row>
      <xdr:rowOff>133618</xdr:rowOff>
    </xdr:from>
    <xdr:to>
      <xdr:col>18</xdr:col>
      <xdr:colOff>473128</xdr:colOff>
      <xdr:row>73</xdr:row>
      <xdr:rowOff>44512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A009F9-BF46-71F6-3007-D69F4266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562641</xdr:colOff>
      <xdr:row>41</xdr:row>
      <xdr:rowOff>125939</xdr:rowOff>
    </xdr:from>
    <xdr:to>
      <xdr:col>30</xdr:col>
      <xdr:colOff>138625</xdr:colOff>
      <xdr:row>77</xdr:row>
      <xdr:rowOff>42438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11C0B-B464-0223-5A9C-DCD7D15B1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242718</xdr:colOff>
      <xdr:row>42</xdr:row>
      <xdr:rowOff>74490</xdr:rowOff>
    </xdr:from>
    <xdr:to>
      <xdr:col>40</xdr:col>
      <xdr:colOff>126295</xdr:colOff>
      <xdr:row>64</xdr:row>
      <xdr:rowOff>80738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94827-C61A-20C4-9344-DDD16A7C4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9"/>
  <sheetViews>
    <sheetView showGridLines="0" tabSelected="1" zoomScale="94" zoomScaleNormal="148" workbookViewId="0">
      <pane xSplit="1" topLeftCell="X1" activePane="topRight" state="frozen"/>
      <selection pane="topRight" activeCell="R36" sqref="R36"/>
    </sheetView>
  </sheetViews>
  <sheetFormatPr defaultRowHeight="14.5" x14ac:dyDescent="0.35"/>
  <cols>
    <col min="1" max="1" width="8.81640625" bestFit="1" customWidth="1"/>
    <col min="2" max="2" width="16.7265625" customWidth="1"/>
    <col min="3" max="3" width="11.81640625" customWidth="1"/>
    <col min="4" max="4" width="11.1796875" customWidth="1"/>
    <col min="5" max="5" width="9.1796875" bestFit="1" customWidth="1"/>
    <col min="6" max="6" width="12" bestFit="1" customWidth="1"/>
    <col min="7" max="7" width="9.1796875" bestFit="1" customWidth="1"/>
    <col min="8" max="8" width="10.81640625" customWidth="1"/>
    <col min="9" max="12" width="9.1796875" bestFit="1" customWidth="1"/>
    <col min="13" max="13" width="12.1796875" bestFit="1" customWidth="1"/>
    <col min="14" max="14" width="14.54296875" customWidth="1"/>
    <col min="15" max="15" width="12.26953125" customWidth="1"/>
    <col min="16" max="20" width="12.1796875" bestFit="1" customWidth="1"/>
    <col min="21" max="21" width="11.6328125" customWidth="1"/>
    <col min="22" max="22" width="12.7265625" customWidth="1"/>
    <col min="23" max="23" width="12.1796875" bestFit="1" customWidth="1"/>
    <col min="24" max="24" width="10.453125" customWidth="1"/>
    <col min="25" max="26" width="9.1796875" bestFit="1" customWidth="1"/>
    <col min="27" max="27" width="13.7265625" customWidth="1"/>
    <col min="28" max="28" width="9.1796875" bestFit="1" customWidth="1"/>
    <col min="29" max="29" width="12.1796875" bestFit="1" customWidth="1"/>
    <col min="30" max="30" width="13.1796875" customWidth="1"/>
    <col min="31" max="31" width="18" customWidth="1"/>
    <col min="33" max="33" width="17" style="5" customWidth="1"/>
    <col min="34" max="34" width="16.26953125" customWidth="1"/>
    <col min="35" max="35" width="17.453125" customWidth="1"/>
    <col min="36" max="36" width="14.1796875" customWidth="1"/>
    <col min="37" max="37" width="23.453125" style="4" customWidth="1"/>
    <col min="38" max="38" width="14.453125" customWidth="1"/>
    <col min="44" max="44" width="8.7265625" customWidth="1"/>
    <col min="45" max="45" width="27.7265625" customWidth="1"/>
    <col min="46" max="46" width="18.54296875" customWidth="1"/>
    <col min="47" max="47" width="19.1796875" customWidth="1"/>
    <col min="48" max="48" width="20" customWidth="1"/>
  </cols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78</v>
      </c>
      <c r="AG1" s="6" t="s">
        <v>71</v>
      </c>
      <c r="AH1" s="2" t="s">
        <v>72</v>
      </c>
      <c r="AI1" s="2" t="s">
        <v>73</v>
      </c>
      <c r="AJ1" s="2" t="s">
        <v>74</v>
      </c>
      <c r="AK1" s="3" t="s">
        <v>75</v>
      </c>
      <c r="AL1" s="1" t="s">
        <v>72</v>
      </c>
    </row>
    <row r="2" spans="1:48" x14ac:dyDescent="0.35">
      <c r="A2">
        <v>1</v>
      </c>
      <c r="B2" t="s">
        <v>30</v>
      </c>
      <c r="C2" t="s">
        <v>31</v>
      </c>
      <c r="D2" t="s">
        <v>32</v>
      </c>
      <c r="E2">
        <v>0</v>
      </c>
      <c r="F2">
        <v>26365</v>
      </c>
      <c r="G2">
        <v>1</v>
      </c>
      <c r="H2">
        <v>0</v>
      </c>
      <c r="I2">
        <v>542</v>
      </c>
      <c r="J2">
        <v>66181</v>
      </c>
      <c r="K2">
        <v>32986</v>
      </c>
      <c r="L2">
        <v>2092</v>
      </c>
      <c r="M2">
        <v>0</v>
      </c>
      <c r="N2">
        <v>39802752</v>
      </c>
      <c r="O2" s="31">
        <v>4543.3540000000003</v>
      </c>
      <c r="P2">
        <v>26.301904296875001</v>
      </c>
      <c r="Q2">
        <v>20.1033610972754</v>
      </c>
      <c r="R2">
        <v>2.7350332273084099</v>
      </c>
      <c r="S2">
        <v>3.7404042527213099</v>
      </c>
      <c r="T2">
        <v>7.2857591862276099</v>
      </c>
      <c r="U2">
        <v>7.0000000000000007E-2</v>
      </c>
      <c r="V2">
        <v>263030.84677685198</v>
      </c>
      <c r="W2">
        <v>297435.28153526422</v>
      </c>
      <c r="X2">
        <v>0</v>
      </c>
      <c r="Y2">
        <v>41.494999999999997</v>
      </c>
      <c r="Z2">
        <v>-122.276</v>
      </c>
      <c r="AA2">
        <v>0</v>
      </c>
      <c r="AB2">
        <v>0</v>
      </c>
      <c r="AC2">
        <v>0</v>
      </c>
      <c r="AD2">
        <v>20210624</v>
      </c>
      <c r="AE2">
        <v>1507.166193</v>
      </c>
      <c r="AG2" s="5">
        <v>84750801.228</v>
      </c>
      <c r="AH2">
        <v>145632</v>
      </c>
      <c r="AI2">
        <v>39802752</v>
      </c>
      <c r="AJ2">
        <v>26365</v>
      </c>
      <c r="AK2" s="4">
        <v>581.9517773</v>
      </c>
      <c r="AL2">
        <v>145632</v>
      </c>
    </row>
    <row r="3" spans="1:48" x14ac:dyDescent="0.35">
      <c r="A3">
        <v>2</v>
      </c>
      <c r="B3" t="s">
        <v>33</v>
      </c>
      <c r="C3" t="s">
        <v>34</v>
      </c>
      <c r="D3" t="s">
        <v>35</v>
      </c>
      <c r="E3">
        <v>10714</v>
      </c>
      <c r="F3">
        <v>52465</v>
      </c>
      <c r="G3">
        <v>1</v>
      </c>
      <c r="H3">
        <v>1.429486324</v>
      </c>
      <c r="I3">
        <v>18</v>
      </c>
      <c r="J3">
        <v>23034</v>
      </c>
      <c r="K3">
        <v>3911</v>
      </c>
      <c r="L3">
        <v>204752</v>
      </c>
      <c r="M3">
        <v>365380.76531323697</v>
      </c>
      <c r="N3">
        <v>5358917.8912608093</v>
      </c>
      <c r="O3" s="31">
        <v>5114.1436000000003</v>
      </c>
      <c r="P3">
        <v>36.015222167968801</v>
      </c>
      <c r="Q3">
        <v>18.8076782226562</v>
      </c>
      <c r="R3">
        <v>5.5051591851286599</v>
      </c>
      <c r="S3">
        <v>4.2296305368522997</v>
      </c>
      <c r="T3">
        <v>4.8698462380202798</v>
      </c>
      <c r="U3">
        <v>0.13</v>
      </c>
      <c r="V3">
        <v>106835.250320319</v>
      </c>
      <c r="W3">
        <v>130114.6513651165</v>
      </c>
      <c r="X3">
        <v>0</v>
      </c>
      <c r="Y3">
        <v>43.43</v>
      </c>
      <c r="Z3">
        <v>-119.88800000000001</v>
      </c>
      <c r="AA3">
        <v>10714</v>
      </c>
      <c r="AB3">
        <v>300000</v>
      </c>
      <c r="AC3">
        <v>34.103114178946889</v>
      </c>
      <c r="AD3">
        <v>20170802</v>
      </c>
      <c r="AE3">
        <v>102.0143894</v>
      </c>
      <c r="AG3" s="5">
        <v>45773164.799999997</v>
      </c>
      <c r="AH3">
        <v>131542</v>
      </c>
      <c r="AI3">
        <v>5358917.8912608093</v>
      </c>
      <c r="AJ3">
        <v>52465</v>
      </c>
      <c r="AK3" s="4">
        <v>2300.1590350000001</v>
      </c>
      <c r="AL3">
        <v>131542</v>
      </c>
    </row>
    <row r="4" spans="1:48" x14ac:dyDescent="0.35">
      <c r="A4">
        <v>3</v>
      </c>
      <c r="B4" t="s">
        <v>36</v>
      </c>
      <c r="C4" t="s">
        <v>37</v>
      </c>
      <c r="D4" t="s">
        <v>32</v>
      </c>
      <c r="E4">
        <v>4800</v>
      </c>
      <c r="F4">
        <v>72000</v>
      </c>
      <c r="G4">
        <v>1</v>
      </c>
      <c r="H4">
        <v>0.53333333329999999</v>
      </c>
      <c r="I4">
        <v>2776</v>
      </c>
      <c r="J4">
        <v>11896</v>
      </c>
      <c r="K4">
        <v>51962</v>
      </c>
      <c r="L4">
        <v>178332</v>
      </c>
      <c r="M4">
        <v>0</v>
      </c>
      <c r="N4">
        <v>4791315.4110000003</v>
      </c>
      <c r="O4" s="31">
        <v>6094.9832000000006</v>
      </c>
      <c r="P4">
        <v>36.707025146484398</v>
      </c>
      <c r="Q4">
        <v>8.6181185023867606</v>
      </c>
      <c r="R4">
        <v>5.6437368679446704</v>
      </c>
      <c r="S4">
        <v>1.3608147671369999</v>
      </c>
      <c r="T4">
        <v>0.79242339196032197</v>
      </c>
      <c r="U4">
        <v>0.12</v>
      </c>
      <c r="V4">
        <v>165200</v>
      </c>
      <c r="W4">
        <v>232799.84</v>
      </c>
      <c r="X4">
        <v>0</v>
      </c>
      <c r="Y4">
        <v>42.220999999999997</v>
      </c>
      <c r="Z4">
        <v>-113.193</v>
      </c>
      <c r="AA4">
        <v>4800</v>
      </c>
      <c r="AB4">
        <v>0</v>
      </c>
      <c r="AC4">
        <v>0</v>
      </c>
      <c r="AD4">
        <v>20070706</v>
      </c>
      <c r="AE4">
        <v>65.524054140000004</v>
      </c>
      <c r="AG4" s="5">
        <v>18080400.096000001</v>
      </c>
      <c r="AH4">
        <v>90143</v>
      </c>
      <c r="AI4">
        <v>4791315.4110000003</v>
      </c>
      <c r="AJ4">
        <v>72000</v>
      </c>
      <c r="AK4" s="4">
        <v>200.5746436</v>
      </c>
      <c r="AL4">
        <v>90143</v>
      </c>
    </row>
    <row r="5" spans="1:48" ht="15" thickBot="1" x14ac:dyDescent="0.4">
      <c r="A5">
        <v>4</v>
      </c>
      <c r="B5" t="s">
        <v>38</v>
      </c>
      <c r="C5" t="s">
        <v>34</v>
      </c>
      <c r="D5" t="s">
        <v>39</v>
      </c>
      <c r="E5">
        <v>9000</v>
      </c>
      <c r="F5">
        <v>67207</v>
      </c>
      <c r="G5">
        <v>1</v>
      </c>
      <c r="H5">
        <v>2.946121684</v>
      </c>
      <c r="I5">
        <v>5524</v>
      </c>
      <c r="J5">
        <v>23398</v>
      </c>
      <c r="K5">
        <v>49192</v>
      </c>
      <c r="L5">
        <v>113703</v>
      </c>
      <c r="M5">
        <v>155763.34267288839</v>
      </c>
      <c r="N5">
        <v>15327112.919012221</v>
      </c>
      <c r="O5" s="31">
        <v>2676.8064000000004</v>
      </c>
      <c r="P5">
        <v>30.228631591796901</v>
      </c>
      <c r="Q5">
        <v>19.971292767026199</v>
      </c>
      <c r="R5">
        <v>3.4409181206482602</v>
      </c>
      <c r="S5">
        <v>3.0572026860662702</v>
      </c>
      <c r="T5">
        <v>4.6521489745838904</v>
      </c>
      <c r="U5">
        <v>0.08</v>
      </c>
      <c r="V5">
        <v>161464.617789621</v>
      </c>
      <c r="W5">
        <v>201201.0602276467</v>
      </c>
      <c r="X5">
        <v>0</v>
      </c>
      <c r="Y5">
        <v>44.829000000000001</v>
      </c>
      <c r="Z5">
        <v>-121.41200000000001</v>
      </c>
      <c r="AA5">
        <v>9000</v>
      </c>
      <c r="AB5">
        <v>125000</v>
      </c>
      <c r="AC5">
        <v>13.888888888888889</v>
      </c>
      <c r="AD5">
        <v>20150812</v>
      </c>
      <c r="AE5">
        <v>183.01665009999999</v>
      </c>
      <c r="AG5" s="5">
        <v>34145094.199677117</v>
      </c>
      <c r="AH5">
        <v>193573</v>
      </c>
      <c r="AI5">
        <v>15327112.919012221</v>
      </c>
      <c r="AJ5">
        <v>67207</v>
      </c>
      <c r="AK5" s="4">
        <v>176.3938886</v>
      </c>
      <c r="AL5">
        <v>193573</v>
      </c>
    </row>
    <row r="6" spans="1:48" ht="15" thickBot="1" x14ac:dyDescent="0.4">
      <c r="A6">
        <v>5</v>
      </c>
      <c r="B6" t="s">
        <v>40</v>
      </c>
      <c r="C6" t="s">
        <v>41</v>
      </c>
      <c r="D6" t="s">
        <v>35</v>
      </c>
      <c r="E6">
        <v>329</v>
      </c>
      <c r="F6">
        <v>27328</v>
      </c>
      <c r="G6">
        <v>1</v>
      </c>
      <c r="H6">
        <v>0.10835040980000001</v>
      </c>
      <c r="I6">
        <v>244</v>
      </c>
      <c r="J6">
        <v>27504</v>
      </c>
      <c r="K6">
        <v>16155</v>
      </c>
      <c r="L6">
        <v>72980</v>
      </c>
      <c r="M6">
        <v>1217935.884377457</v>
      </c>
      <c r="N6">
        <v>10900526.165178239</v>
      </c>
      <c r="O6" s="31">
        <v>3952.8820000000001</v>
      </c>
      <c r="P6">
        <v>34.784936523437501</v>
      </c>
      <c r="Q6">
        <v>9.8849541023322303</v>
      </c>
      <c r="R6">
        <v>5.0076587279524398</v>
      </c>
      <c r="S6">
        <v>3.4058535504351499</v>
      </c>
      <c r="T6">
        <v>5.5142500497931701</v>
      </c>
      <c r="U6">
        <v>0.11</v>
      </c>
      <c r="V6">
        <v>200678.08841176899</v>
      </c>
      <c r="W6">
        <v>244405.84387669351</v>
      </c>
      <c r="X6">
        <v>0</v>
      </c>
      <c r="Y6">
        <v>32.378</v>
      </c>
      <c r="Z6">
        <v>-110.60899999999999</v>
      </c>
      <c r="AA6">
        <v>329</v>
      </c>
      <c r="AB6">
        <v>1000000</v>
      </c>
      <c r="AC6">
        <v>3701.932779262786</v>
      </c>
      <c r="AD6">
        <v>20170630</v>
      </c>
      <c r="AE6">
        <v>398.8775675</v>
      </c>
      <c r="AG6" s="5">
        <v>50515743.002852157</v>
      </c>
      <c r="AH6">
        <v>119589</v>
      </c>
      <c r="AI6">
        <v>10900526.165178239</v>
      </c>
      <c r="AJ6">
        <v>27328</v>
      </c>
      <c r="AK6" s="4">
        <v>326.49571170000002</v>
      </c>
      <c r="AL6">
        <v>119589</v>
      </c>
      <c r="AS6" s="12" t="s">
        <v>83</v>
      </c>
      <c r="AT6" s="8"/>
      <c r="AU6" s="8"/>
      <c r="AV6" s="9"/>
    </row>
    <row r="7" spans="1:48" ht="15" thickBot="1" x14ac:dyDescent="0.4">
      <c r="A7">
        <v>6</v>
      </c>
      <c r="B7" t="s">
        <v>42</v>
      </c>
      <c r="C7" t="s">
        <v>43</v>
      </c>
      <c r="D7" t="s">
        <v>35</v>
      </c>
      <c r="E7">
        <v>1097</v>
      </c>
      <c r="F7">
        <v>38225</v>
      </c>
      <c r="G7">
        <v>1</v>
      </c>
      <c r="H7">
        <v>0.80355788100000003</v>
      </c>
      <c r="I7">
        <v>5781</v>
      </c>
      <c r="J7">
        <v>151147</v>
      </c>
      <c r="K7">
        <v>456</v>
      </c>
      <c r="L7">
        <v>8113</v>
      </c>
      <c r="M7">
        <v>0</v>
      </c>
      <c r="N7">
        <v>19000000</v>
      </c>
      <c r="O7" s="31">
        <v>8187.8784000000005</v>
      </c>
      <c r="P7">
        <v>26.926721191406301</v>
      </c>
      <c r="Q7">
        <v>6.5717350314022003</v>
      </c>
      <c r="R7">
        <v>3.3181975714916701</v>
      </c>
      <c r="S7">
        <v>6.1684577005695997</v>
      </c>
      <c r="T7">
        <v>10.891058298890099</v>
      </c>
      <c r="U7">
        <v>0.08</v>
      </c>
      <c r="V7">
        <v>169613.82930303301</v>
      </c>
      <c r="W7">
        <v>169613.82930303301</v>
      </c>
      <c r="X7">
        <v>0</v>
      </c>
      <c r="Y7">
        <v>33.798000000000002</v>
      </c>
      <c r="Z7">
        <v>-107.51900000000001</v>
      </c>
      <c r="AA7">
        <v>1097</v>
      </c>
      <c r="AB7">
        <v>0</v>
      </c>
      <c r="AC7">
        <v>0</v>
      </c>
      <c r="AD7">
        <v>20220528</v>
      </c>
      <c r="AE7">
        <v>497.05689990000002</v>
      </c>
      <c r="AG7" s="5">
        <v>59598801</v>
      </c>
      <c r="AH7">
        <v>325136</v>
      </c>
      <c r="AI7">
        <v>19000000</v>
      </c>
      <c r="AJ7">
        <v>38225</v>
      </c>
      <c r="AK7" s="4">
        <v>183.30422039999999</v>
      </c>
      <c r="AL7">
        <v>325136</v>
      </c>
      <c r="AS7" s="13"/>
      <c r="AT7" s="14" t="s">
        <v>77</v>
      </c>
      <c r="AU7" s="14" t="s">
        <v>76</v>
      </c>
      <c r="AV7" s="15" t="s">
        <v>84</v>
      </c>
    </row>
    <row r="8" spans="1:48" x14ac:dyDescent="0.35">
      <c r="A8">
        <v>7</v>
      </c>
      <c r="B8" t="s">
        <v>44</v>
      </c>
      <c r="C8" t="s">
        <v>31</v>
      </c>
      <c r="D8" t="s">
        <v>32</v>
      </c>
      <c r="E8">
        <v>2560</v>
      </c>
      <c r="F8">
        <v>43273</v>
      </c>
      <c r="G8">
        <v>1</v>
      </c>
      <c r="H8">
        <v>0.47327432810297421</v>
      </c>
      <c r="I8">
        <v>0</v>
      </c>
      <c r="J8">
        <v>423</v>
      </c>
      <c r="K8">
        <v>54</v>
      </c>
      <c r="L8">
        <v>194776</v>
      </c>
      <c r="M8">
        <v>28608.227999999999</v>
      </c>
      <c r="N8">
        <v>2517524.0639999998</v>
      </c>
      <c r="O8" s="31">
        <v>5281.4440000000004</v>
      </c>
      <c r="P8">
        <v>38.430261230468801</v>
      </c>
      <c r="Q8">
        <v>12.0873995697327</v>
      </c>
      <c r="R8">
        <v>5.9604175949619096</v>
      </c>
      <c r="S8">
        <v>4.20132742780123</v>
      </c>
      <c r="T8">
        <v>5.4849918184099398</v>
      </c>
      <c r="U8">
        <v>0.06</v>
      </c>
      <c r="V8">
        <v>254411.48891191001</v>
      </c>
      <c r="W8">
        <v>367115.77849988622</v>
      </c>
      <c r="X8">
        <v>0</v>
      </c>
      <c r="Y8">
        <v>35.302</v>
      </c>
      <c r="Z8">
        <v>-115.589</v>
      </c>
      <c r="AA8">
        <v>2560</v>
      </c>
      <c r="AB8">
        <v>25000</v>
      </c>
      <c r="AC8">
        <v>11.1750890625</v>
      </c>
      <c r="AD8">
        <v>20200815</v>
      </c>
      <c r="AE8">
        <v>58.177710439999998</v>
      </c>
      <c r="AG8" s="5">
        <v>114432912</v>
      </c>
      <c r="AH8">
        <v>115796</v>
      </c>
      <c r="AI8">
        <v>2517524.0639999998</v>
      </c>
      <c r="AJ8">
        <v>43273</v>
      </c>
      <c r="AK8" s="4">
        <v>988.22853980000002</v>
      </c>
      <c r="AL8">
        <v>115796</v>
      </c>
      <c r="AS8" s="10" t="s">
        <v>79</v>
      </c>
      <c r="AT8" s="16">
        <v>3776286.0959999999</v>
      </c>
      <c r="AU8" s="16">
        <v>569720.0021603565</v>
      </c>
      <c r="AV8" s="17">
        <f>AT8-AU8</f>
        <v>3206566.0938396435</v>
      </c>
    </row>
    <row r="9" spans="1:48" x14ac:dyDescent="0.35">
      <c r="A9">
        <v>8</v>
      </c>
      <c r="B9" t="s">
        <v>45</v>
      </c>
      <c r="C9" t="s">
        <v>34</v>
      </c>
      <c r="D9" t="s">
        <v>39</v>
      </c>
      <c r="E9">
        <v>0</v>
      </c>
      <c r="F9">
        <v>59097</v>
      </c>
      <c r="G9">
        <v>1</v>
      </c>
      <c r="H9">
        <v>0</v>
      </c>
      <c r="I9">
        <v>11752</v>
      </c>
      <c r="J9">
        <v>206628</v>
      </c>
      <c r="K9">
        <v>3097</v>
      </c>
      <c r="L9">
        <v>38448</v>
      </c>
      <c r="M9">
        <v>417509.85262694408</v>
      </c>
      <c r="N9">
        <v>22538374.730095658</v>
      </c>
      <c r="O9" s="31">
        <v>6767.4652000000006</v>
      </c>
      <c r="P9">
        <v>29.608300781250001</v>
      </c>
      <c r="Q9">
        <v>29.608300781250001</v>
      </c>
      <c r="R9">
        <v>3.73668654452013</v>
      </c>
      <c r="S9">
        <v>3.0218615001049098</v>
      </c>
      <c r="T9">
        <v>4.9828735426847697</v>
      </c>
      <c r="U9">
        <v>0.06</v>
      </c>
      <c r="V9">
        <v>109715.95420944699</v>
      </c>
      <c r="W9">
        <v>130880.1617764493</v>
      </c>
      <c r="X9">
        <v>0</v>
      </c>
      <c r="Y9">
        <v>42.597000000000001</v>
      </c>
      <c r="Z9">
        <v>-120.74299999999999</v>
      </c>
      <c r="AA9">
        <v>0</v>
      </c>
      <c r="AB9">
        <v>350000</v>
      </c>
      <c r="AC9">
        <v>0</v>
      </c>
      <c r="AD9">
        <v>20180815</v>
      </c>
      <c r="AE9">
        <v>381.3793379</v>
      </c>
      <c r="AG9" s="5">
        <v>114093684</v>
      </c>
      <c r="AH9">
        <v>412157</v>
      </c>
      <c r="AI9">
        <v>22538374.730095658</v>
      </c>
      <c r="AJ9">
        <v>59097</v>
      </c>
      <c r="AK9" s="4">
        <v>276.82092990000001</v>
      </c>
      <c r="AL9">
        <v>412157</v>
      </c>
      <c r="AS9" s="10" t="s">
        <v>80</v>
      </c>
      <c r="AT9" s="16">
        <v>720778329.52416003</v>
      </c>
      <c r="AU9" s="16">
        <v>96580000</v>
      </c>
      <c r="AV9" s="17">
        <f t="shared" ref="AV9:AV11" si="0">AT9-AU9</f>
        <v>624198329.52416003</v>
      </c>
    </row>
    <row r="10" spans="1:48" x14ac:dyDescent="0.35">
      <c r="A10">
        <v>9</v>
      </c>
      <c r="B10" t="s">
        <v>46</v>
      </c>
      <c r="C10" t="s">
        <v>41</v>
      </c>
      <c r="D10" t="s">
        <v>32</v>
      </c>
      <c r="E10">
        <v>0</v>
      </c>
      <c r="F10">
        <v>30631</v>
      </c>
      <c r="G10">
        <v>1</v>
      </c>
      <c r="H10">
        <v>0</v>
      </c>
      <c r="I10">
        <v>1480</v>
      </c>
      <c r="J10">
        <v>109859</v>
      </c>
      <c r="K10">
        <v>3576</v>
      </c>
      <c r="L10">
        <v>1749</v>
      </c>
      <c r="M10">
        <v>0</v>
      </c>
      <c r="N10">
        <v>14311720.990142619</v>
      </c>
      <c r="O10" s="31">
        <v>6541.1176000000005</v>
      </c>
      <c r="P10">
        <v>25.517175292968801</v>
      </c>
      <c r="Q10">
        <v>24.3114035240019</v>
      </c>
      <c r="R10">
        <v>2.4734373444850699</v>
      </c>
      <c r="S10">
        <v>2.63563061239861</v>
      </c>
      <c r="T10">
        <v>1.99791030921649</v>
      </c>
      <c r="U10">
        <v>0.05</v>
      </c>
      <c r="V10">
        <v>200776.888450595</v>
      </c>
      <c r="W10">
        <v>247718.52497034409</v>
      </c>
      <c r="X10">
        <v>0</v>
      </c>
      <c r="Y10">
        <v>33.863999999999997</v>
      </c>
      <c r="Z10">
        <v>-110.926</v>
      </c>
      <c r="AA10">
        <v>0</v>
      </c>
      <c r="AB10">
        <v>0</v>
      </c>
      <c r="AC10">
        <v>0</v>
      </c>
      <c r="AD10">
        <v>20160520</v>
      </c>
      <c r="AE10">
        <v>467.22996280000001</v>
      </c>
      <c r="AG10" s="5">
        <v>13323005.11970208</v>
      </c>
      <c r="AH10">
        <v>193455</v>
      </c>
      <c r="AI10">
        <v>14311720.990142619</v>
      </c>
      <c r="AJ10">
        <v>30631</v>
      </c>
      <c r="AK10" s="4">
        <v>68.868755629999995</v>
      </c>
      <c r="AL10">
        <v>193455</v>
      </c>
      <c r="AS10" s="10" t="s">
        <v>81</v>
      </c>
      <c r="AT10" s="16">
        <v>92514137.865721762</v>
      </c>
      <c r="AU10" s="16">
        <v>29619144.942438073</v>
      </c>
      <c r="AV10" s="17">
        <f t="shared" si="0"/>
        <v>62894992.923283689</v>
      </c>
    </row>
    <row r="11" spans="1:48" ht="15" thickBot="1" x14ac:dyDescent="0.4">
      <c r="A11">
        <v>10</v>
      </c>
      <c r="B11" t="s">
        <v>47</v>
      </c>
      <c r="C11" t="s">
        <v>31</v>
      </c>
      <c r="D11" t="s">
        <v>35</v>
      </c>
      <c r="E11">
        <v>0</v>
      </c>
      <c r="F11">
        <v>70868</v>
      </c>
      <c r="G11">
        <v>1</v>
      </c>
      <c r="H11">
        <v>0</v>
      </c>
      <c r="I11">
        <v>618</v>
      </c>
      <c r="J11">
        <v>23146</v>
      </c>
      <c r="K11">
        <v>13584</v>
      </c>
      <c r="L11">
        <v>84506</v>
      </c>
      <c r="M11">
        <v>311526.68534577679</v>
      </c>
      <c r="N11">
        <v>93110072.66383101</v>
      </c>
      <c r="O11" s="31">
        <v>2109.2972</v>
      </c>
      <c r="P11">
        <v>34.100244140625001</v>
      </c>
      <c r="Q11">
        <v>6.8613175401483204</v>
      </c>
      <c r="R11">
        <v>4.9831048935289903</v>
      </c>
      <c r="S11">
        <v>1.49159800729294</v>
      </c>
      <c r="T11">
        <v>10.0139326124437</v>
      </c>
      <c r="U11">
        <v>0.06</v>
      </c>
      <c r="V11">
        <v>257063.44201185001</v>
      </c>
      <c r="W11">
        <v>320326.7550909663</v>
      </c>
      <c r="X11">
        <v>0</v>
      </c>
      <c r="Y11">
        <v>38.265999999999998</v>
      </c>
      <c r="Z11">
        <v>-120.592</v>
      </c>
      <c r="AA11">
        <v>0</v>
      </c>
      <c r="AB11">
        <v>250000</v>
      </c>
      <c r="AC11">
        <v>77.881671336444199</v>
      </c>
      <c r="AD11">
        <v>20150909</v>
      </c>
      <c r="AE11">
        <v>1313.8521290000001</v>
      </c>
      <c r="AG11" s="5">
        <v>306602760.66912001</v>
      </c>
      <c r="AH11">
        <v>219267</v>
      </c>
      <c r="AI11">
        <v>93110072.66383101</v>
      </c>
      <c r="AJ11">
        <v>70868</v>
      </c>
      <c r="AK11" s="4">
        <v>1399.367236</v>
      </c>
      <c r="AL11">
        <v>219267</v>
      </c>
      <c r="AS11" s="11" t="s">
        <v>82</v>
      </c>
      <c r="AT11" s="18">
        <v>49113882.144000001</v>
      </c>
      <c r="AU11" s="18">
        <v>20769187.365047827</v>
      </c>
      <c r="AV11" s="19">
        <f t="shared" si="0"/>
        <v>28344694.778952174</v>
      </c>
    </row>
    <row r="12" spans="1:48" ht="15" thickBot="1" x14ac:dyDescent="0.4">
      <c r="A12">
        <v>11</v>
      </c>
      <c r="B12" t="s">
        <v>48</v>
      </c>
      <c r="C12" t="s">
        <v>49</v>
      </c>
      <c r="D12" t="s">
        <v>32</v>
      </c>
      <c r="E12">
        <v>3000</v>
      </c>
      <c r="F12">
        <v>87284</v>
      </c>
      <c r="G12">
        <v>1</v>
      </c>
      <c r="H12">
        <v>0.89363457219999998</v>
      </c>
      <c r="I12">
        <v>13938</v>
      </c>
      <c r="J12">
        <v>156421</v>
      </c>
      <c r="K12">
        <v>17</v>
      </c>
      <c r="L12">
        <v>124613</v>
      </c>
      <c r="M12">
        <v>1312</v>
      </c>
      <c r="N12">
        <v>50380800</v>
      </c>
      <c r="O12" s="31">
        <v>7105.3464000000004</v>
      </c>
      <c r="P12">
        <v>28.417626953125001</v>
      </c>
      <c r="Q12">
        <v>18.478199189706899</v>
      </c>
      <c r="R12">
        <v>3.1580708163634501</v>
      </c>
      <c r="S12">
        <v>4.4531360415114696</v>
      </c>
      <c r="T12">
        <v>6.6696996423524997</v>
      </c>
      <c r="U12">
        <v>0.12</v>
      </c>
      <c r="V12">
        <v>242943.17982633799</v>
      </c>
      <c r="W12">
        <v>318741.45193215553</v>
      </c>
      <c r="X12">
        <v>0</v>
      </c>
      <c r="Y12">
        <v>40.658000000000001</v>
      </c>
      <c r="Z12">
        <v>-105.357</v>
      </c>
      <c r="AA12">
        <v>3000</v>
      </c>
      <c r="AB12">
        <v>1000</v>
      </c>
      <c r="AC12">
        <v>0.43733333333333341</v>
      </c>
      <c r="AD12">
        <v>20120609</v>
      </c>
      <c r="AE12">
        <v>577.20544429999995</v>
      </c>
      <c r="AG12" s="5">
        <v>152539071.69600001</v>
      </c>
      <c r="AH12">
        <v>208663</v>
      </c>
      <c r="AI12">
        <v>50380800</v>
      </c>
      <c r="AJ12">
        <v>87284</v>
      </c>
      <c r="AK12" s="4">
        <v>731.03076109999995</v>
      </c>
      <c r="AL12">
        <v>208663</v>
      </c>
      <c r="AT12" s="20"/>
      <c r="AU12" s="20"/>
      <c r="AV12" s="20"/>
    </row>
    <row r="13" spans="1:48" ht="15" thickBot="1" x14ac:dyDescent="0.4">
      <c r="A13">
        <v>12</v>
      </c>
      <c r="B13" t="s">
        <v>50</v>
      </c>
      <c r="C13" t="s">
        <v>34</v>
      </c>
      <c r="D13" t="s">
        <v>39</v>
      </c>
      <c r="E13">
        <v>0</v>
      </c>
      <c r="F13">
        <v>50753</v>
      </c>
      <c r="G13">
        <v>1</v>
      </c>
      <c r="H13">
        <v>0</v>
      </c>
      <c r="I13">
        <v>812</v>
      </c>
      <c r="J13">
        <v>106903</v>
      </c>
      <c r="K13">
        <v>18509</v>
      </c>
      <c r="L13">
        <v>66465</v>
      </c>
      <c r="M13">
        <v>228865.82399999999</v>
      </c>
      <c r="N13">
        <v>10928343.096000001</v>
      </c>
      <c r="O13" s="31">
        <v>5803.0276000000003</v>
      </c>
      <c r="P13">
        <v>31.884545898437501</v>
      </c>
      <c r="Q13">
        <v>13.745185128689799</v>
      </c>
      <c r="R13">
        <v>4.0752711606894296</v>
      </c>
      <c r="S13">
        <v>2.9329045100102702</v>
      </c>
      <c r="T13">
        <v>5.9526436568615502</v>
      </c>
      <c r="U13">
        <v>0.05</v>
      </c>
      <c r="V13">
        <v>130695.862213509</v>
      </c>
      <c r="W13">
        <v>188594.12917409351</v>
      </c>
      <c r="X13">
        <v>0</v>
      </c>
      <c r="Y13">
        <v>42.619</v>
      </c>
      <c r="Z13">
        <v>-120.577</v>
      </c>
      <c r="AA13">
        <v>0</v>
      </c>
      <c r="AB13">
        <v>200000</v>
      </c>
      <c r="AC13">
        <v>0</v>
      </c>
      <c r="AD13">
        <v>20200907</v>
      </c>
      <c r="AE13">
        <v>214.48731319999999</v>
      </c>
      <c r="AG13" s="5">
        <v>29399760</v>
      </c>
      <c r="AH13">
        <v>91810</v>
      </c>
      <c r="AI13">
        <v>10928343.096000001</v>
      </c>
      <c r="AJ13">
        <v>50753</v>
      </c>
      <c r="AK13" s="4">
        <v>320.22394070000001</v>
      </c>
      <c r="AL13">
        <v>91810</v>
      </c>
      <c r="AS13" s="12" t="s">
        <v>89</v>
      </c>
      <c r="AT13" s="21"/>
      <c r="AU13" s="21"/>
      <c r="AV13" s="22"/>
    </row>
    <row r="14" spans="1:48" ht="15" thickBot="1" x14ac:dyDescent="0.4">
      <c r="A14">
        <v>13</v>
      </c>
      <c r="B14" t="s">
        <v>51</v>
      </c>
      <c r="C14" t="s">
        <v>31</v>
      </c>
      <c r="D14" t="s">
        <v>35</v>
      </c>
      <c r="E14">
        <v>0</v>
      </c>
      <c r="F14">
        <v>36366</v>
      </c>
      <c r="G14">
        <v>1</v>
      </c>
      <c r="H14">
        <v>0</v>
      </c>
      <c r="I14">
        <v>73696</v>
      </c>
      <c r="J14">
        <v>65359</v>
      </c>
      <c r="K14">
        <v>12516</v>
      </c>
      <c r="L14">
        <v>543</v>
      </c>
      <c r="M14">
        <v>0</v>
      </c>
      <c r="N14">
        <v>40080945.852186628</v>
      </c>
      <c r="O14" s="31">
        <v>7144.7112000000006</v>
      </c>
      <c r="P14">
        <v>25.679528808593702</v>
      </c>
      <c r="Q14">
        <v>32.283332995444702</v>
      </c>
      <c r="R14">
        <v>2.2339980736559402</v>
      </c>
      <c r="S14">
        <v>3.18908518521933</v>
      </c>
      <c r="T14">
        <v>5.4643336359473604</v>
      </c>
      <c r="U14">
        <v>0.08</v>
      </c>
      <c r="V14">
        <v>364448.04489799601</v>
      </c>
      <c r="W14">
        <v>434750.07275881938</v>
      </c>
      <c r="X14">
        <v>0</v>
      </c>
      <c r="Y14">
        <v>38.383000000000003</v>
      </c>
      <c r="Z14">
        <v>-119.822</v>
      </c>
      <c r="AA14">
        <v>0</v>
      </c>
      <c r="AB14">
        <v>0</v>
      </c>
      <c r="AC14">
        <v>0</v>
      </c>
      <c r="AD14">
        <v>20180801</v>
      </c>
      <c r="AE14">
        <v>1099.614427</v>
      </c>
      <c r="AG14" s="5">
        <v>220855520.16</v>
      </c>
      <c r="AH14">
        <v>379895</v>
      </c>
      <c r="AI14">
        <v>40080945.852186628</v>
      </c>
      <c r="AJ14">
        <v>36366</v>
      </c>
      <c r="AK14" s="4">
        <v>581.359376</v>
      </c>
      <c r="AL14">
        <v>379895</v>
      </c>
      <c r="AS14" s="13"/>
      <c r="AT14" s="14" t="s">
        <v>77</v>
      </c>
      <c r="AU14" s="14" t="s">
        <v>76</v>
      </c>
      <c r="AV14" s="15" t="s">
        <v>84</v>
      </c>
    </row>
    <row r="15" spans="1:48" x14ac:dyDescent="0.35">
      <c r="A15">
        <v>14</v>
      </c>
      <c r="B15" t="s">
        <v>52</v>
      </c>
      <c r="C15" t="s">
        <v>31</v>
      </c>
      <c r="D15" t="s">
        <v>35</v>
      </c>
      <c r="E15">
        <v>0</v>
      </c>
      <c r="F15">
        <v>54612</v>
      </c>
      <c r="G15">
        <v>1</v>
      </c>
      <c r="H15">
        <v>0</v>
      </c>
      <c r="I15">
        <v>53233</v>
      </c>
      <c r="J15">
        <v>153420</v>
      </c>
      <c r="K15">
        <v>27081</v>
      </c>
      <c r="L15">
        <v>11825</v>
      </c>
      <c r="M15">
        <v>0</v>
      </c>
      <c r="N15">
        <v>41471402.772096008</v>
      </c>
      <c r="O15" s="31">
        <v>5990.0104000000001</v>
      </c>
      <c r="P15">
        <v>30.091607666015602</v>
      </c>
      <c r="Q15">
        <v>14.502097850137201</v>
      </c>
      <c r="R15">
        <v>3.6477644623916299</v>
      </c>
      <c r="S15">
        <v>3.7220545622853698</v>
      </c>
      <c r="T15">
        <v>6.7879145621131602</v>
      </c>
      <c r="U15">
        <v>0.09</v>
      </c>
      <c r="V15">
        <v>189762.64567928499</v>
      </c>
      <c r="W15">
        <v>221054.5059517991</v>
      </c>
      <c r="X15">
        <v>0</v>
      </c>
      <c r="Y15">
        <v>40.090000000000003</v>
      </c>
      <c r="Z15">
        <v>-120.58499999999999</v>
      </c>
      <c r="AA15">
        <v>0</v>
      </c>
      <c r="AB15">
        <v>0</v>
      </c>
      <c r="AC15">
        <v>0</v>
      </c>
      <c r="AD15">
        <v>20190904</v>
      </c>
      <c r="AE15">
        <v>759.43822829999999</v>
      </c>
      <c r="AG15" s="5">
        <v>720778329.52416003</v>
      </c>
      <c r="AH15">
        <v>963309</v>
      </c>
      <c r="AI15">
        <v>41471402.772096008</v>
      </c>
      <c r="AJ15">
        <v>54612</v>
      </c>
      <c r="AK15" s="4">
        <v>748.2316988</v>
      </c>
      <c r="AL15">
        <v>963309</v>
      </c>
      <c r="AS15" s="10" t="s">
        <v>79</v>
      </c>
      <c r="AT15" s="16">
        <v>29.63419992</v>
      </c>
      <c r="AU15" s="16">
        <v>15.852857759999999</v>
      </c>
      <c r="AV15" s="17">
        <f>AT15-AU15</f>
        <v>13.781342160000001</v>
      </c>
    </row>
    <row r="16" spans="1:48" x14ac:dyDescent="0.35">
      <c r="A16">
        <v>15</v>
      </c>
      <c r="B16" t="s">
        <v>53</v>
      </c>
      <c r="C16" t="s">
        <v>31</v>
      </c>
      <c r="D16" t="s">
        <v>39</v>
      </c>
      <c r="E16">
        <v>0</v>
      </c>
      <c r="F16">
        <v>58961</v>
      </c>
      <c r="G16">
        <v>1</v>
      </c>
      <c r="H16">
        <v>0</v>
      </c>
      <c r="I16">
        <v>180</v>
      </c>
      <c r="J16">
        <v>4675</v>
      </c>
      <c r="K16">
        <v>50043</v>
      </c>
      <c r="L16">
        <v>930</v>
      </c>
      <c r="M16">
        <v>0</v>
      </c>
      <c r="N16">
        <v>96357362.873287797</v>
      </c>
      <c r="O16" s="31">
        <v>1390.8896</v>
      </c>
      <c r="P16">
        <v>22.812524414062501</v>
      </c>
      <c r="Q16">
        <v>55.164779815309302</v>
      </c>
      <c r="R16">
        <v>1.2455659797007399</v>
      </c>
      <c r="S16">
        <v>2.5027521648049298</v>
      </c>
      <c r="T16">
        <v>5.8985025045660802</v>
      </c>
      <c r="U16">
        <v>0.09</v>
      </c>
      <c r="V16">
        <v>528235.08405654901</v>
      </c>
      <c r="W16">
        <v>651736.44670897012</v>
      </c>
      <c r="X16">
        <v>0</v>
      </c>
      <c r="Y16">
        <v>35.738</v>
      </c>
      <c r="Z16">
        <v>-121.075</v>
      </c>
      <c r="AA16">
        <v>0</v>
      </c>
      <c r="AB16">
        <v>0</v>
      </c>
      <c r="AC16">
        <v>0</v>
      </c>
      <c r="AD16">
        <v>20160813</v>
      </c>
      <c r="AE16">
        <v>1634.255913</v>
      </c>
      <c r="AG16" s="5">
        <v>84680354.88000001</v>
      </c>
      <c r="AH16">
        <v>128417</v>
      </c>
      <c r="AI16">
        <v>96357362.873287797</v>
      </c>
      <c r="AJ16">
        <v>58961</v>
      </c>
      <c r="AK16" s="4">
        <v>659.41701550000005</v>
      </c>
      <c r="AL16">
        <v>128417</v>
      </c>
      <c r="AS16" s="10" t="s">
        <v>80</v>
      </c>
      <c r="AT16" s="16">
        <v>2300.1590350000001</v>
      </c>
      <c r="AU16" s="16">
        <v>1634.255913</v>
      </c>
      <c r="AV16" s="17">
        <f>AT16-AU16</f>
        <v>665.90312200000017</v>
      </c>
    </row>
    <row r="17" spans="1:48" x14ac:dyDescent="0.35">
      <c r="A17">
        <v>16</v>
      </c>
      <c r="B17" t="s">
        <v>54</v>
      </c>
      <c r="C17" t="s">
        <v>49</v>
      </c>
      <c r="D17" t="s">
        <v>35</v>
      </c>
      <c r="E17">
        <v>500</v>
      </c>
      <c r="F17">
        <v>38403</v>
      </c>
      <c r="G17">
        <v>1</v>
      </c>
      <c r="H17">
        <v>1.3410410645001689</v>
      </c>
      <c r="I17">
        <v>43963</v>
      </c>
      <c r="J17">
        <v>2119</v>
      </c>
      <c r="K17">
        <v>834</v>
      </c>
      <c r="L17">
        <v>8869</v>
      </c>
      <c r="M17">
        <v>0</v>
      </c>
      <c r="N17">
        <v>43181916.780602723</v>
      </c>
      <c r="O17" s="31">
        <v>8804.5936000000002</v>
      </c>
      <c r="P17">
        <v>24.078424072265602</v>
      </c>
      <c r="Q17">
        <v>18.385446927829701</v>
      </c>
      <c r="R17">
        <v>2.4481353041815401</v>
      </c>
      <c r="S17">
        <v>3.0373749846812799</v>
      </c>
      <c r="T17">
        <v>5.6044861053926303</v>
      </c>
      <c r="U17">
        <v>0.17</v>
      </c>
      <c r="V17">
        <v>469060.35714408098</v>
      </c>
      <c r="W17">
        <v>578726.66864436714</v>
      </c>
      <c r="X17">
        <v>0</v>
      </c>
      <c r="Y17">
        <v>40.957000000000001</v>
      </c>
      <c r="Z17">
        <v>-106.505</v>
      </c>
      <c r="AA17">
        <v>500</v>
      </c>
      <c r="AB17">
        <v>0</v>
      </c>
      <c r="AC17">
        <v>0</v>
      </c>
      <c r="AD17">
        <v>20160619</v>
      </c>
      <c r="AE17">
        <v>1124.4412359999999</v>
      </c>
      <c r="AG17" s="5">
        <v>17946148.54797072</v>
      </c>
      <c r="AH17">
        <v>193812</v>
      </c>
      <c r="AI17">
        <v>43181916.780602723</v>
      </c>
      <c r="AJ17">
        <v>38403</v>
      </c>
      <c r="AK17" s="4">
        <v>92.595652220000005</v>
      </c>
      <c r="AL17">
        <v>193812</v>
      </c>
      <c r="AS17" s="10" t="s">
        <v>81</v>
      </c>
      <c r="AT17" s="16">
        <v>485.48249235666663</v>
      </c>
      <c r="AU17" s="16">
        <v>602.17114351999999</v>
      </c>
      <c r="AV17" s="17">
        <f>AT17-AU17</f>
        <v>-116.68865116333336</v>
      </c>
    </row>
    <row r="18" spans="1:48" ht="15" thickBot="1" x14ac:dyDescent="0.4">
      <c r="A18">
        <v>17</v>
      </c>
      <c r="B18" t="s">
        <v>55</v>
      </c>
      <c r="C18" t="s">
        <v>34</v>
      </c>
      <c r="D18" t="s">
        <v>35</v>
      </c>
      <c r="E18">
        <v>1500</v>
      </c>
      <c r="F18">
        <v>35938</v>
      </c>
      <c r="G18">
        <v>1</v>
      </c>
      <c r="H18">
        <v>0.9130682899</v>
      </c>
      <c r="I18">
        <v>12729</v>
      </c>
      <c r="J18">
        <v>21903</v>
      </c>
      <c r="K18">
        <v>0</v>
      </c>
      <c r="L18">
        <v>73756</v>
      </c>
      <c r="M18">
        <v>328005.21335489431</v>
      </c>
      <c r="N18">
        <v>22744977.031440981</v>
      </c>
      <c r="O18" s="31">
        <v>5123.9848000000002</v>
      </c>
      <c r="P18">
        <v>24.132714843750001</v>
      </c>
      <c r="Q18">
        <v>33.616702030862001</v>
      </c>
      <c r="R18">
        <v>1.99734342046423</v>
      </c>
      <c r="S18">
        <v>2.3387026478562798</v>
      </c>
      <c r="T18">
        <v>7.5920553776301301</v>
      </c>
      <c r="U18">
        <v>0.14000000000000001</v>
      </c>
      <c r="V18">
        <v>114689.682403146</v>
      </c>
      <c r="W18">
        <v>150472.8633129276</v>
      </c>
      <c r="X18">
        <v>0</v>
      </c>
      <c r="Y18">
        <v>44.177999999999997</v>
      </c>
      <c r="Z18">
        <v>-121.675</v>
      </c>
      <c r="AA18">
        <v>1500</v>
      </c>
      <c r="AB18">
        <v>250000</v>
      </c>
      <c r="AC18">
        <v>218.67014223659621</v>
      </c>
      <c r="AD18">
        <v>20120909</v>
      </c>
      <c r="AE18">
        <v>848.85154060000002</v>
      </c>
      <c r="AG18" s="5">
        <v>33301044.26148187</v>
      </c>
      <c r="AH18">
        <v>173094</v>
      </c>
      <c r="AI18">
        <v>22744977.031440981</v>
      </c>
      <c r="AJ18">
        <v>35938</v>
      </c>
      <c r="AK18" s="4">
        <v>192.3870513</v>
      </c>
      <c r="AL18">
        <v>173094</v>
      </c>
      <c r="AS18" s="11" t="s">
        <v>82</v>
      </c>
      <c r="AT18" s="18">
        <v>323.35982620000004</v>
      </c>
      <c r="AU18" s="18">
        <v>503.18423810000002</v>
      </c>
      <c r="AV18" s="19">
        <f>AT18-AU18</f>
        <v>-179.82441189999997</v>
      </c>
    </row>
    <row r="19" spans="1:48" ht="15" thickBot="1" x14ac:dyDescent="0.4">
      <c r="A19">
        <v>18</v>
      </c>
      <c r="B19" t="s">
        <v>56</v>
      </c>
      <c r="C19" t="s">
        <v>34</v>
      </c>
      <c r="D19" t="s">
        <v>35</v>
      </c>
      <c r="E19">
        <v>0</v>
      </c>
      <c r="F19">
        <v>35938</v>
      </c>
      <c r="G19">
        <v>1</v>
      </c>
      <c r="H19">
        <v>0</v>
      </c>
      <c r="I19">
        <v>28</v>
      </c>
      <c r="J19">
        <v>4241</v>
      </c>
      <c r="K19">
        <v>45491</v>
      </c>
      <c r="L19">
        <v>32786</v>
      </c>
      <c r="M19">
        <v>0</v>
      </c>
      <c r="N19">
        <v>569720.0021603565</v>
      </c>
      <c r="O19" s="31">
        <v>3257.4372000000003</v>
      </c>
      <c r="P19">
        <v>31.964379882812501</v>
      </c>
      <c r="Q19">
        <v>17.285284598659601</v>
      </c>
      <c r="R19">
        <v>3.9253553437851001</v>
      </c>
      <c r="S19">
        <v>3.90598471515588</v>
      </c>
      <c r="T19">
        <v>6.3810249696608601</v>
      </c>
      <c r="U19">
        <v>0.05</v>
      </c>
      <c r="V19">
        <v>172522.78861888699</v>
      </c>
      <c r="W19">
        <v>218413.8503915109</v>
      </c>
      <c r="X19">
        <v>0</v>
      </c>
      <c r="Y19">
        <v>45.01</v>
      </c>
      <c r="Z19">
        <v>-120.554</v>
      </c>
      <c r="AA19">
        <v>0</v>
      </c>
      <c r="AB19">
        <v>0</v>
      </c>
      <c r="AC19">
        <v>0</v>
      </c>
      <c r="AD19">
        <v>20140714</v>
      </c>
      <c r="AE19">
        <v>15.852857759999999</v>
      </c>
      <c r="AG19" s="5">
        <v>71223662.366524801</v>
      </c>
      <c r="AH19">
        <v>204427</v>
      </c>
      <c r="AI19">
        <v>569720.0021603565</v>
      </c>
      <c r="AJ19">
        <v>35938</v>
      </c>
      <c r="AK19" s="4">
        <v>348.40633759999997</v>
      </c>
      <c r="AL19">
        <v>204427</v>
      </c>
      <c r="AT19" s="20"/>
      <c r="AU19" s="20"/>
      <c r="AV19" s="20"/>
    </row>
    <row r="20" spans="1:48" ht="15" thickBot="1" x14ac:dyDescent="0.4">
      <c r="A20">
        <v>19</v>
      </c>
      <c r="B20" t="s">
        <v>57</v>
      </c>
      <c r="C20" t="s">
        <v>31</v>
      </c>
      <c r="D20" t="s">
        <v>35</v>
      </c>
      <c r="E20">
        <v>7000</v>
      </c>
      <c r="F20">
        <v>63573</v>
      </c>
      <c r="G20">
        <v>1</v>
      </c>
      <c r="H20">
        <v>1.366750683</v>
      </c>
      <c r="I20">
        <v>2655</v>
      </c>
      <c r="J20">
        <v>20055</v>
      </c>
      <c r="K20">
        <v>21756</v>
      </c>
      <c r="L20">
        <v>9392</v>
      </c>
      <c r="M20">
        <v>724077.68366736011</v>
      </c>
      <c r="N20">
        <v>35479347.623723522</v>
      </c>
      <c r="O20" s="31">
        <v>990.68080000000009</v>
      </c>
      <c r="P20">
        <v>27.855310058593702</v>
      </c>
      <c r="Q20">
        <v>27.219068391598601</v>
      </c>
      <c r="R20">
        <v>2.7283757536401501</v>
      </c>
      <c r="S20">
        <v>2.6752646505292401</v>
      </c>
      <c r="T20">
        <v>9.5683288088482108</v>
      </c>
      <c r="U20">
        <v>0.08</v>
      </c>
      <c r="V20">
        <v>293623.114845103</v>
      </c>
      <c r="W20">
        <v>423698.15472148359</v>
      </c>
      <c r="X20">
        <v>0</v>
      </c>
      <c r="Y20">
        <v>40.421999999999997</v>
      </c>
      <c r="Z20">
        <v>-122.62</v>
      </c>
      <c r="AA20">
        <v>7000</v>
      </c>
      <c r="AB20">
        <v>632753</v>
      </c>
      <c r="AC20">
        <v>103.43966909533719</v>
      </c>
      <c r="AD20">
        <v>20200927</v>
      </c>
      <c r="AE20">
        <v>629.75873520000005</v>
      </c>
      <c r="AG20" s="5">
        <v>49708209.600000001</v>
      </c>
      <c r="AH20">
        <v>118826</v>
      </c>
      <c r="AI20">
        <v>35479347.623723522</v>
      </c>
      <c r="AJ20">
        <v>63573</v>
      </c>
      <c r="AK20" s="4">
        <v>418.3277195</v>
      </c>
      <c r="AL20">
        <v>118826</v>
      </c>
      <c r="AS20" s="12" t="s">
        <v>87</v>
      </c>
      <c r="AT20" s="21"/>
      <c r="AU20" s="21"/>
      <c r="AV20" s="22"/>
    </row>
    <row r="21" spans="1:48" ht="15" thickBot="1" x14ac:dyDescent="0.4">
      <c r="A21">
        <v>20</v>
      </c>
      <c r="B21" t="s">
        <v>58</v>
      </c>
      <c r="C21" t="s">
        <v>31</v>
      </c>
      <c r="D21" t="s">
        <v>39</v>
      </c>
      <c r="E21">
        <v>15249</v>
      </c>
      <c r="F21">
        <v>63573</v>
      </c>
      <c r="G21">
        <v>1</v>
      </c>
      <c r="H21">
        <v>7.4358454060000003</v>
      </c>
      <c r="I21">
        <v>142481</v>
      </c>
      <c r="J21">
        <v>112772</v>
      </c>
      <c r="K21">
        <v>10792</v>
      </c>
      <c r="L21">
        <v>1911</v>
      </c>
      <c r="M21">
        <v>596442.64660992008</v>
      </c>
      <c r="N21">
        <v>65489402.597769223</v>
      </c>
      <c r="O21" s="31">
        <v>3670.7676000000001</v>
      </c>
      <c r="P21">
        <v>30.587792968750001</v>
      </c>
      <c r="Q21">
        <v>15.9229821592664</v>
      </c>
      <c r="R21">
        <v>3.6902347605961401</v>
      </c>
      <c r="S21">
        <v>3.3713997103089399</v>
      </c>
      <c r="T21">
        <v>2.1504573906937501</v>
      </c>
      <c r="U21">
        <v>7.0000000000000007E-2</v>
      </c>
      <c r="V21">
        <v>202903.454486317</v>
      </c>
      <c r="W21">
        <v>242043.53085672759</v>
      </c>
      <c r="X21">
        <v>0</v>
      </c>
      <c r="Y21">
        <v>41.006999999999998</v>
      </c>
      <c r="Z21">
        <v>-122.462</v>
      </c>
      <c r="AA21">
        <v>15249</v>
      </c>
      <c r="AB21">
        <v>500000</v>
      </c>
      <c r="AC21">
        <v>39.113558043800907</v>
      </c>
      <c r="AD21">
        <v>20180905</v>
      </c>
      <c r="AE21">
        <v>1030.144914</v>
      </c>
      <c r="AG21" s="5">
        <v>185149840.69115999</v>
      </c>
      <c r="AH21">
        <v>223124</v>
      </c>
      <c r="AI21">
        <v>65489402.597769223</v>
      </c>
      <c r="AJ21">
        <v>63573</v>
      </c>
      <c r="AK21" s="4">
        <v>829.8069266</v>
      </c>
      <c r="AL21">
        <v>223124</v>
      </c>
      <c r="AS21" s="13"/>
      <c r="AT21" s="14" t="s">
        <v>77</v>
      </c>
      <c r="AU21" s="14" t="s">
        <v>76</v>
      </c>
      <c r="AV21" s="15" t="s">
        <v>84</v>
      </c>
    </row>
    <row r="22" spans="1:48" x14ac:dyDescent="0.35">
      <c r="A22">
        <v>21</v>
      </c>
      <c r="B22" t="s">
        <v>59</v>
      </c>
      <c r="C22" t="s">
        <v>60</v>
      </c>
      <c r="D22" t="s">
        <v>32</v>
      </c>
      <c r="E22">
        <v>0</v>
      </c>
      <c r="F22">
        <v>62013</v>
      </c>
      <c r="G22">
        <v>1</v>
      </c>
      <c r="H22">
        <v>0</v>
      </c>
      <c r="I22">
        <v>222582</v>
      </c>
      <c r="J22">
        <v>14400</v>
      </c>
      <c r="K22">
        <v>0</v>
      </c>
      <c r="L22">
        <v>22066</v>
      </c>
      <c r="M22">
        <v>0</v>
      </c>
      <c r="N22">
        <v>36937930.286399998</v>
      </c>
      <c r="O22" s="31">
        <v>7059.4208000000008</v>
      </c>
      <c r="P22">
        <v>19.888085937500001</v>
      </c>
      <c r="Q22">
        <v>52.951283244715</v>
      </c>
      <c r="R22">
        <v>1.09309821721298</v>
      </c>
      <c r="S22">
        <v>0.41898598312378299</v>
      </c>
      <c r="T22">
        <v>6.5509765821358901</v>
      </c>
      <c r="U22">
        <v>0.15</v>
      </c>
      <c r="V22">
        <v>291880.31713899103</v>
      </c>
      <c r="W22">
        <v>330058.26262077107</v>
      </c>
      <c r="X22">
        <v>0</v>
      </c>
      <c r="Y22">
        <v>45.624000000000002</v>
      </c>
      <c r="Z22">
        <v>-113.76600000000001</v>
      </c>
      <c r="AA22">
        <v>0</v>
      </c>
      <c r="AB22">
        <v>0</v>
      </c>
      <c r="AC22">
        <v>0</v>
      </c>
      <c r="AD22">
        <v>20210708</v>
      </c>
      <c r="AE22">
        <v>595.64817519999997</v>
      </c>
      <c r="AG22" s="5">
        <v>98200000</v>
      </c>
      <c r="AH22">
        <v>130205</v>
      </c>
      <c r="AI22">
        <v>36937930.286399998</v>
      </c>
      <c r="AJ22">
        <v>62013</v>
      </c>
      <c r="AK22" s="4">
        <v>754.19530740000005</v>
      </c>
      <c r="AL22">
        <v>130205</v>
      </c>
      <c r="AS22" s="10" t="s">
        <v>79</v>
      </c>
      <c r="AT22" s="23">
        <v>90143</v>
      </c>
      <c r="AU22" s="23">
        <v>26365</v>
      </c>
      <c r="AV22" s="24">
        <f>AT22-AU22</f>
        <v>63778</v>
      </c>
    </row>
    <row r="23" spans="1:48" x14ac:dyDescent="0.35">
      <c r="A23">
        <v>22</v>
      </c>
      <c r="B23" t="s">
        <v>61</v>
      </c>
      <c r="C23" t="s">
        <v>49</v>
      </c>
      <c r="D23" t="s">
        <v>35</v>
      </c>
      <c r="E23">
        <v>0</v>
      </c>
      <c r="F23">
        <v>28408</v>
      </c>
      <c r="G23">
        <v>1</v>
      </c>
      <c r="H23">
        <v>0</v>
      </c>
      <c r="I23">
        <v>72677</v>
      </c>
      <c r="J23">
        <v>7990</v>
      </c>
      <c r="K23">
        <v>642</v>
      </c>
      <c r="L23">
        <v>21291</v>
      </c>
      <c r="M23">
        <v>0</v>
      </c>
      <c r="N23">
        <v>9543082.3457587212</v>
      </c>
      <c r="O23" s="31">
        <v>8834.1172000000006</v>
      </c>
      <c r="P23">
        <v>22.827386474609298</v>
      </c>
      <c r="Q23">
        <v>13.2840231944039</v>
      </c>
      <c r="R23">
        <v>2.4124505476726998</v>
      </c>
      <c r="S23">
        <v>1.70483501807952</v>
      </c>
      <c r="T23">
        <v>4.5436210055691699</v>
      </c>
      <c r="U23">
        <v>0.09</v>
      </c>
      <c r="V23">
        <v>240406.23171192899</v>
      </c>
      <c r="W23">
        <v>286780.59380916011</v>
      </c>
      <c r="X23">
        <v>0</v>
      </c>
      <c r="Y23">
        <v>41.04</v>
      </c>
      <c r="Z23">
        <v>-106.613</v>
      </c>
      <c r="AA23">
        <v>0</v>
      </c>
      <c r="AB23">
        <v>0</v>
      </c>
      <c r="AC23">
        <v>0</v>
      </c>
      <c r="AD23">
        <v>20180915</v>
      </c>
      <c r="AE23">
        <v>333.84930370000001</v>
      </c>
      <c r="AG23" s="5">
        <v>48519554.688000001</v>
      </c>
      <c r="AH23">
        <v>176878</v>
      </c>
      <c r="AI23">
        <v>9543082.3457587212</v>
      </c>
      <c r="AJ23">
        <v>28408</v>
      </c>
      <c r="AK23" s="4">
        <v>274.31085089999999</v>
      </c>
      <c r="AL23">
        <v>176878</v>
      </c>
      <c r="AS23" s="10" t="s">
        <v>80</v>
      </c>
      <c r="AT23" s="23">
        <v>963309</v>
      </c>
      <c r="AU23" s="23">
        <v>87284</v>
      </c>
      <c r="AV23" s="24">
        <f>AT23-AU23</f>
        <v>876025</v>
      </c>
    </row>
    <row r="24" spans="1:48" x14ac:dyDescent="0.35">
      <c r="A24">
        <v>23</v>
      </c>
      <c r="B24" t="s">
        <v>62</v>
      </c>
      <c r="C24" t="s">
        <v>49</v>
      </c>
      <c r="D24" t="s">
        <v>35</v>
      </c>
      <c r="E24">
        <v>847</v>
      </c>
      <c r="F24">
        <v>36549</v>
      </c>
      <c r="G24">
        <v>1</v>
      </c>
      <c r="H24">
        <v>1.3441133820350759</v>
      </c>
      <c r="I24">
        <v>9809</v>
      </c>
      <c r="J24">
        <v>80032</v>
      </c>
      <c r="K24">
        <v>384</v>
      </c>
      <c r="L24">
        <v>29332</v>
      </c>
      <c r="M24">
        <v>0</v>
      </c>
      <c r="N24">
        <v>14433912.047960071</v>
      </c>
      <c r="O24" s="31">
        <v>7912.3248000000003</v>
      </c>
      <c r="P24">
        <v>25.772851562500001</v>
      </c>
      <c r="Q24">
        <v>28.5731637673248</v>
      </c>
      <c r="R24">
        <v>2.3695977125550902</v>
      </c>
      <c r="S24">
        <v>2.5720485847866801</v>
      </c>
      <c r="T24">
        <v>8.3722052731393504</v>
      </c>
      <c r="U24">
        <v>7.0000000000000007E-2</v>
      </c>
      <c r="V24">
        <v>259161.722511261</v>
      </c>
      <c r="W24">
        <v>309154.01878368319</v>
      </c>
      <c r="X24">
        <v>0</v>
      </c>
      <c r="Y24">
        <v>38.511000000000003</v>
      </c>
      <c r="Z24">
        <v>-108.658</v>
      </c>
      <c r="AA24">
        <v>847</v>
      </c>
      <c r="AB24">
        <v>0</v>
      </c>
      <c r="AC24">
        <v>0</v>
      </c>
      <c r="AD24">
        <v>20180729</v>
      </c>
      <c r="AE24">
        <v>394.91947929999998</v>
      </c>
      <c r="AG24" s="5">
        <v>40051519.200000003</v>
      </c>
      <c r="AH24">
        <v>139006</v>
      </c>
      <c r="AI24">
        <v>14433912.047960071</v>
      </c>
      <c r="AJ24">
        <v>36549</v>
      </c>
      <c r="AK24" s="4">
        <v>288.12591600000002</v>
      </c>
      <c r="AL24">
        <v>139006</v>
      </c>
      <c r="AS24" s="10" t="s">
        <v>81</v>
      </c>
      <c r="AT24" s="23">
        <v>201870.46666666667</v>
      </c>
      <c r="AU24" s="23">
        <v>50276.23333333333</v>
      </c>
      <c r="AV24" s="24">
        <f>AT24-AU24</f>
        <v>151594.23333333334</v>
      </c>
    </row>
    <row r="25" spans="1:48" ht="15" thickBot="1" x14ac:dyDescent="0.4">
      <c r="A25">
        <v>24</v>
      </c>
      <c r="B25" t="s">
        <v>63</v>
      </c>
      <c r="C25" t="s">
        <v>60</v>
      </c>
      <c r="D25" t="s">
        <v>35</v>
      </c>
      <c r="E25">
        <v>0</v>
      </c>
      <c r="F25">
        <v>52010</v>
      </c>
      <c r="G25">
        <v>1</v>
      </c>
      <c r="H25">
        <v>0</v>
      </c>
      <c r="I25">
        <v>0</v>
      </c>
      <c r="J25">
        <v>50380</v>
      </c>
      <c r="K25">
        <v>0</v>
      </c>
      <c r="L25">
        <v>28373</v>
      </c>
      <c r="M25">
        <v>0</v>
      </c>
      <c r="N25">
        <v>1087112.6640000001</v>
      </c>
      <c r="O25" s="31">
        <v>4011.9292</v>
      </c>
      <c r="P25">
        <v>27.530877685546798</v>
      </c>
      <c r="Q25">
        <v>19.797897820290402</v>
      </c>
      <c r="R25">
        <v>2.9506672938408398</v>
      </c>
      <c r="S25">
        <v>5.8310483704423897</v>
      </c>
      <c r="T25">
        <v>12.5058448464082</v>
      </c>
      <c r="U25">
        <v>0.05</v>
      </c>
      <c r="V25">
        <v>140935.42110281001</v>
      </c>
      <c r="W25">
        <v>203369.81265135479</v>
      </c>
      <c r="X25">
        <v>0</v>
      </c>
      <c r="Y25">
        <v>45.658000000000001</v>
      </c>
      <c r="Z25">
        <v>-107.00700000000001</v>
      </c>
      <c r="AA25">
        <v>0</v>
      </c>
      <c r="AB25">
        <v>0</v>
      </c>
      <c r="AC25">
        <v>0</v>
      </c>
      <c r="AD25">
        <v>20200902</v>
      </c>
      <c r="AE25">
        <v>20.90199316</v>
      </c>
      <c r="AG25" s="5">
        <v>7349940</v>
      </c>
      <c r="AH25">
        <v>171130</v>
      </c>
      <c r="AI25">
        <v>1087112.6640000001</v>
      </c>
      <c r="AJ25">
        <v>52010</v>
      </c>
      <c r="AK25" s="4">
        <v>42.949453630000001</v>
      </c>
      <c r="AL25">
        <v>171130</v>
      </c>
      <c r="AS25" s="11" t="s">
        <v>82</v>
      </c>
      <c r="AT25" s="25">
        <v>164200</v>
      </c>
      <c r="AU25" s="25">
        <v>51381.5</v>
      </c>
      <c r="AV25" s="26">
        <f>AT25-AU25</f>
        <v>112818.5</v>
      </c>
    </row>
    <row r="26" spans="1:48" ht="15" thickBot="1" x14ac:dyDescent="0.4">
      <c r="A26">
        <v>25</v>
      </c>
      <c r="B26" t="s">
        <v>64</v>
      </c>
      <c r="C26" t="s">
        <v>34</v>
      </c>
      <c r="D26" t="s">
        <v>39</v>
      </c>
      <c r="E26">
        <v>0</v>
      </c>
      <c r="F26">
        <v>68135</v>
      </c>
      <c r="G26">
        <v>1</v>
      </c>
      <c r="H26">
        <v>0</v>
      </c>
      <c r="I26">
        <v>4527</v>
      </c>
      <c r="J26">
        <v>29409</v>
      </c>
      <c r="K26">
        <v>39339</v>
      </c>
      <c r="L26">
        <v>123433</v>
      </c>
      <c r="M26">
        <v>0</v>
      </c>
      <c r="N26">
        <v>10839629.37095936</v>
      </c>
      <c r="O26" s="31">
        <v>3480.5044000000003</v>
      </c>
      <c r="P26">
        <v>34.667108154296898</v>
      </c>
      <c r="Q26">
        <v>13.076445690460201</v>
      </c>
      <c r="R26">
        <v>4.7985231114891498</v>
      </c>
      <c r="S26">
        <v>2.5235758837970299</v>
      </c>
      <c r="T26">
        <v>3.6946537492198299</v>
      </c>
      <c r="U26">
        <v>0.04</v>
      </c>
      <c r="V26">
        <v>383403.33884445601</v>
      </c>
      <c r="W26">
        <v>466946.92637866299</v>
      </c>
      <c r="X26">
        <v>0</v>
      </c>
      <c r="Y26">
        <v>44.973999999999997</v>
      </c>
      <c r="Z26">
        <v>-121.19799999999999</v>
      </c>
      <c r="AA26">
        <v>0</v>
      </c>
      <c r="AB26">
        <v>0</v>
      </c>
      <c r="AC26">
        <v>0</v>
      </c>
      <c r="AD26">
        <v>20170808</v>
      </c>
      <c r="AE26">
        <v>159.3899065</v>
      </c>
      <c r="AG26" s="5">
        <v>23438149.035840001</v>
      </c>
      <c r="AH26">
        <v>138085</v>
      </c>
      <c r="AI26">
        <v>10839629.37095936</v>
      </c>
      <c r="AJ26">
        <v>68135</v>
      </c>
      <c r="AK26" s="4">
        <v>169.7371115</v>
      </c>
      <c r="AL26">
        <v>138085</v>
      </c>
      <c r="AT26" s="20"/>
      <c r="AU26" s="20"/>
      <c r="AV26" s="20"/>
    </row>
    <row r="27" spans="1:48" ht="15" thickBot="1" x14ac:dyDescent="0.4">
      <c r="A27">
        <v>26</v>
      </c>
      <c r="B27" t="s">
        <v>65</v>
      </c>
      <c r="C27" t="s">
        <v>66</v>
      </c>
      <c r="D27" t="s">
        <v>35</v>
      </c>
      <c r="E27">
        <v>240</v>
      </c>
      <c r="F27">
        <v>36808</v>
      </c>
      <c r="G27">
        <v>1</v>
      </c>
      <c r="H27">
        <v>0.36513801347533148</v>
      </c>
      <c r="I27">
        <v>142165</v>
      </c>
      <c r="J27">
        <v>1922</v>
      </c>
      <c r="K27">
        <v>1</v>
      </c>
      <c r="L27">
        <v>21410</v>
      </c>
      <c r="M27">
        <v>0</v>
      </c>
      <c r="N27">
        <v>30387500.31521754</v>
      </c>
      <c r="O27" s="31">
        <v>4346.5300000000007</v>
      </c>
      <c r="P27">
        <v>29.781945800781301</v>
      </c>
      <c r="Q27">
        <v>17.8257241930114</v>
      </c>
      <c r="R27">
        <v>3.4440506836215898</v>
      </c>
      <c r="S27">
        <v>2.4213586089930899</v>
      </c>
      <c r="T27">
        <v>1.2120302015565301</v>
      </c>
      <c r="U27">
        <v>0.11</v>
      </c>
      <c r="V27">
        <v>277710.20270437602</v>
      </c>
      <c r="W27">
        <v>338223.25587365963</v>
      </c>
      <c r="X27">
        <v>0</v>
      </c>
      <c r="Y27">
        <v>47.341000000000001</v>
      </c>
      <c r="Z27">
        <v>-120.97799999999999</v>
      </c>
      <c r="AA27">
        <v>240</v>
      </c>
      <c r="AB27">
        <v>0</v>
      </c>
      <c r="AC27">
        <v>0</v>
      </c>
      <c r="AD27">
        <v>20170811</v>
      </c>
      <c r="AE27">
        <v>825.56781990000002</v>
      </c>
      <c r="AG27" s="5">
        <v>30197283.088795468</v>
      </c>
      <c r="AH27">
        <v>107072</v>
      </c>
      <c r="AI27">
        <v>30387500.31521754</v>
      </c>
      <c r="AJ27">
        <v>36808</v>
      </c>
      <c r="AK27" s="4">
        <v>820.4</v>
      </c>
      <c r="AL27">
        <v>107072</v>
      </c>
      <c r="AS27" s="12" t="s">
        <v>85</v>
      </c>
      <c r="AT27" s="21"/>
      <c r="AU27" s="21"/>
      <c r="AV27" s="27"/>
    </row>
    <row r="28" spans="1:48" ht="15" thickBot="1" x14ac:dyDescent="0.4">
      <c r="A28">
        <v>27</v>
      </c>
      <c r="B28" t="s">
        <v>67</v>
      </c>
      <c r="C28" t="s">
        <v>31</v>
      </c>
      <c r="D28" t="s">
        <v>35</v>
      </c>
      <c r="E28">
        <v>158</v>
      </c>
      <c r="F28">
        <v>60108</v>
      </c>
      <c r="G28">
        <v>1</v>
      </c>
      <c r="H28">
        <v>0.26535634706840933</v>
      </c>
      <c r="I28">
        <v>77020</v>
      </c>
      <c r="J28">
        <v>87843</v>
      </c>
      <c r="K28">
        <v>46648</v>
      </c>
      <c r="L28">
        <v>12334</v>
      </c>
      <c r="M28">
        <v>0</v>
      </c>
      <c r="N28">
        <v>96580000</v>
      </c>
      <c r="O28" s="31">
        <v>2801.4616000000001</v>
      </c>
      <c r="P28">
        <v>38.395166015625001</v>
      </c>
      <c r="Q28">
        <v>14.7627163711346</v>
      </c>
      <c r="R28">
        <v>5.7675603571806802</v>
      </c>
      <c r="S28">
        <v>0.95961697114328304</v>
      </c>
      <c r="T28">
        <v>1.6272696843097301</v>
      </c>
      <c r="U28">
        <v>0.05</v>
      </c>
      <c r="V28">
        <v>303734.97828925098</v>
      </c>
      <c r="W28">
        <v>303734.97828925098</v>
      </c>
      <c r="X28">
        <v>0</v>
      </c>
      <c r="Y28">
        <v>41.811999999999998</v>
      </c>
      <c r="Z28">
        <v>-122.833</v>
      </c>
      <c r="AA28">
        <v>158</v>
      </c>
      <c r="AB28">
        <v>0</v>
      </c>
      <c r="AC28">
        <v>0</v>
      </c>
      <c r="AD28">
        <v>20220729</v>
      </c>
      <c r="AE28">
        <v>1605.972929</v>
      </c>
      <c r="AG28" s="5">
        <v>62988337.648368008</v>
      </c>
      <c r="AH28">
        <v>157270</v>
      </c>
      <c r="AI28">
        <v>96580000</v>
      </c>
      <c r="AJ28">
        <v>60108</v>
      </c>
      <c r="AK28" s="4">
        <v>400.51082630000002</v>
      </c>
      <c r="AL28">
        <v>157270</v>
      </c>
      <c r="AS28" s="13"/>
      <c r="AT28" s="14" t="s">
        <v>77</v>
      </c>
      <c r="AU28" s="14" t="s">
        <v>86</v>
      </c>
      <c r="AV28" s="15" t="s">
        <v>84</v>
      </c>
    </row>
    <row r="29" spans="1:48" x14ac:dyDescent="0.35">
      <c r="A29">
        <v>28</v>
      </c>
      <c r="B29" t="s">
        <v>68</v>
      </c>
      <c r="C29" t="s">
        <v>41</v>
      </c>
      <c r="D29" t="s">
        <v>35</v>
      </c>
      <c r="E29">
        <v>1300</v>
      </c>
      <c r="F29">
        <v>72250</v>
      </c>
      <c r="G29">
        <v>1</v>
      </c>
      <c r="H29">
        <v>0.30588235294117649</v>
      </c>
      <c r="I29">
        <v>1</v>
      </c>
      <c r="J29">
        <v>124994</v>
      </c>
      <c r="K29">
        <v>81724</v>
      </c>
      <c r="L29">
        <v>137659</v>
      </c>
      <c r="M29">
        <v>56538</v>
      </c>
      <c r="N29">
        <v>13653927</v>
      </c>
      <c r="O29" s="31">
        <v>4782.8232000000007</v>
      </c>
      <c r="P29">
        <v>34.211389160156202</v>
      </c>
      <c r="Q29">
        <v>8.8684867857446896</v>
      </c>
      <c r="R29">
        <v>4.9057641454434897</v>
      </c>
      <c r="S29">
        <v>2.3923590669777801</v>
      </c>
      <c r="T29">
        <v>1.7545960030224901</v>
      </c>
      <c r="U29">
        <v>0.06</v>
      </c>
      <c r="V29">
        <v>315853.870677981</v>
      </c>
      <c r="W29">
        <v>357167.55696266092</v>
      </c>
      <c r="X29">
        <v>0</v>
      </c>
      <c r="Y29">
        <v>33.244</v>
      </c>
      <c r="Z29">
        <v>-110.61499999999999</v>
      </c>
      <c r="AA29">
        <v>1300</v>
      </c>
      <c r="AB29">
        <v>50000</v>
      </c>
      <c r="AC29">
        <v>43.490769230769232</v>
      </c>
      <c r="AD29">
        <v>20210601</v>
      </c>
      <c r="AE29">
        <v>188.98168860000001</v>
      </c>
      <c r="AG29" s="5">
        <v>41159664</v>
      </c>
      <c r="AH29">
        <v>180757</v>
      </c>
      <c r="AI29">
        <v>13653927</v>
      </c>
      <c r="AJ29">
        <v>72250</v>
      </c>
      <c r="AK29" s="4">
        <v>227.70716490000001</v>
      </c>
      <c r="AL29">
        <v>180757</v>
      </c>
      <c r="AS29" s="10" t="s">
        <v>80</v>
      </c>
      <c r="AT29" s="20">
        <v>10003</v>
      </c>
      <c r="AU29" s="20">
        <v>2751</v>
      </c>
      <c r="AV29" s="28">
        <v>7252</v>
      </c>
    </row>
    <row r="30" spans="1:48" x14ac:dyDescent="0.35">
      <c r="A30">
        <v>29</v>
      </c>
      <c r="B30" t="s">
        <v>69</v>
      </c>
      <c r="C30" t="s">
        <v>66</v>
      </c>
      <c r="D30" t="s">
        <v>35</v>
      </c>
      <c r="E30">
        <v>1540</v>
      </c>
      <c r="F30">
        <v>44446</v>
      </c>
      <c r="G30">
        <v>1</v>
      </c>
      <c r="H30">
        <v>0.83157089501867432</v>
      </c>
      <c r="I30">
        <v>69682</v>
      </c>
      <c r="J30">
        <v>75028</v>
      </c>
      <c r="K30">
        <v>765</v>
      </c>
      <c r="L30">
        <v>43528</v>
      </c>
      <c r="M30">
        <v>174739.05662399999</v>
      </c>
      <c r="N30">
        <v>22636862.32211712</v>
      </c>
      <c r="O30" s="31">
        <v>3372.2512000000002</v>
      </c>
      <c r="P30">
        <v>31.406213378906202</v>
      </c>
      <c r="Q30">
        <v>17.595461349232199</v>
      </c>
      <c r="R30">
        <v>3.78902664873439</v>
      </c>
      <c r="S30">
        <v>3.8252849215633402</v>
      </c>
      <c r="T30">
        <v>9.3887357958102999</v>
      </c>
      <c r="U30">
        <v>0.15</v>
      </c>
      <c r="V30">
        <v>236726.26536161001</v>
      </c>
      <c r="W30">
        <v>275762.4265197395</v>
      </c>
      <c r="X30">
        <v>0</v>
      </c>
      <c r="Y30">
        <v>47.976999999999997</v>
      </c>
      <c r="Z30">
        <v>-118.498</v>
      </c>
      <c r="AA30">
        <v>1540</v>
      </c>
      <c r="AB30">
        <v>150000</v>
      </c>
      <c r="AC30">
        <v>113.4669198857143</v>
      </c>
      <c r="AD30">
        <v>20190802</v>
      </c>
      <c r="AE30">
        <v>509.31157630000001</v>
      </c>
      <c r="AG30" s="5">
        <v>3776286.0959999999</v>
      </c>
      <c r="AH30">
        <v>127430</v>
      </c>
      <c r="AI30">
        <v>22636862.32211712</v>
      </c>
      <c r="AJ30">
        <v>44446</v>
      </c>
      <c r="AK30" s="4">
        <v>29.63419992</v>
      </c>
      <c r="AL30">
        <v>127430</v>
      </c>
      <c r="AS30" s="10" t="s">
        <v>79</v>
      </c>
      <c r="AT30" s="20">
        <v>661</v>
      </c>
      <c r="AU30" s="20">
        <v>301</v>
      </c>
      <c r="AV30" s="28">
        <v>360</v>
      </c>
    </row>
    <row r="31" spans="1:48" x14ac:dyDescent="0.35">
      <c r="A31">
        <v>30</v>
      </c>
      <c r="B31" t="s">
        <v>70</v>
      </c>
      <c r="C31" t="s">
        <v>37</v>
      </c>
      <c r="D31" t="s">
        <v>39</v>
      </c>
      <c r="E31">
        <v>6000</v>
      </c>
      <c r="F31">
        <v>34700</v>
      </c>
      <c r="G31">
        <v>1</v>
      </c>
      <c r="H31">
        <v>5.3572971571761858</v>
      </c>
      <c r="I31">
        <v>27307</v>
      </c>
      <c r="J31">
        <v>16230</v>
      </c>
      <c r="K31">
        <v>3</v>
      </c>
      <c r="L31">
        <v>55662</v>
      </c>
      <c r="M31">
        <v>238577.05864396799</v>
      </c>
      <c r="N31">
        <v>18131856.456941571</v>
      </c>
      <c r="O31" s="31">
        <v>4090.6588000000002</v>
      </c>
      <c r="P31">
        <v>30.316186523437501</v>
      </c>
      <c r="Q31">
        <v>16.780422217965899</v>
      </c>
      <c r="R31">
        <v>3.5963186355604999</v>
      </c>
      <c r="S31">
        <v>2.9526504627388599</v>
      </c>
      <c r="T31">
        <v>5.8215800847777199</v>
      </c>
      <c r="U31">
        <v>0.12</v>
      </c>
      <c r="V31">
        <v>227043.75744360199</v>
      </c>
      <c r="W31">
        <v>270840.49825447291</v>
      </c>
      <c r="X31">
        <v>0</v>
      </c>
      <c r="Y31">
        <v>44.662999999999997</v>
      </c>
      <c r="Z31">
        <v>-116.35</v>
      </c>
      <c r="AA31">
        <v>6000</v>
      </c>
      <c r="AB31">
        <v>200000</v>
      </c>
      <c r="AC31">
        <v>39.762843107328003</v>
      </c>
      <c r="AD31">
        <v>20180726</v>
      </c>
      <c r="AE31">
        <v>522.24593040000002</v>
      </c>
      <c r="AG31" s="5">
        <v>12845094.372</v>
      </c>
      <c r="AH31">
        <v>96614</v>
      </c>
      <c r="AI31">
        <v>18131856.456941571</v>
      </c>
      <c r="AJ31">
        <v>34700</v>
      </c>
      <c r="AK31" s="4">
        <v>132.9527229</v>
      </c>
      <c r="AL31">
        <v>96614</v>
      </c>
      <c r="AS31" s="10" t="s">
        <v>81</v>
      </c>
      <c r="AT31" s="20">
        <v>4167</v>
      </c>
      <c r="AU31" s="20">
        <v>1535.7333333333333</v>
      </c>
      <c r="AV31" s="28">
        <v>2631.2666666666664</v>
      </c>
    </row>
    <row r="32" spans="1:48" ht="15" thickBot="1" x14ac:dyDescent="0.4">
      <c r="AS32" s="11" t="s">
        <v>82</v>
      </c>
      <c r="AT32" s="29">
        <v>3894.5</v>
      </c>
      <c r="AU32" s="29">
        <v>1488.5</v>
      </c>
      <c r="AV32" s="30">
        <v>2406</v>
      </c>
    </row>
    <row r="33" spans="3:48" ht="15" thickBot="1" x14ac:dyDescent="0.4">
      <c r="F33">
        <f>MIN(F2:F31)</f>
        <v>26365</v>
      </c>
      <c r="N33" s="5">
        <f>AVERAGE(N2:N31)</f>
        <v>29619144.942438073</v>
      </c>
      <c r="AE33">
        <f>MIN(AE2:AE31)</f>
        <v>15.852857759999999</v>
      </c>
      <c r="AG33">
        <f>MIN(AG2:AG31)</f>
        <v>3776286.0959999999</v>
      </c>
      <c r="AH33">
        <f>MIN(AH2:AH31)</f>
        <v>90143</v>
      </c>
      <c r="AI33">
        <f>MIN(AI2:AI31)</f>
        <v>569720.0021603565</v>
      </c>
      <c r="AJ33" s="7">
        <f>AVERAGE(AJ2:AJ31)</f>
        <v>50276.23333333333</v>
      </c>
      <c r="AK33">
        <f>MIN(AK2:AK31)</f>
        <v>29.63419992</v>
      </c>
      <c r="AT33" s="20"/>
      <c r="AU33" s="20"/>
      <c r="AV33" s="20"/>
    </row>
    <row r="34" spans="3:48" ht="15" thickBot="1" x14ac:dyDescent="0.4">
      <c r="F34">
        <f>MAX(F2:F31)</f>
        <v>87284</v>
      </c>
      <c r="N34" s="5">
        <f>MEDIAN(N2:N31)</f>
        <v>20769187.365047827</v>
      </c>
      <c r="AE34">
        <f>MAX(AE2:AE31)</f>
        <v>1634.255913</v>
      </c>
      <c r="AG34">
        <f>MAX(AG2:AG31)</f>
        <v>720778329.52416003</v>
      </c>
      <c r="AH34">
        <f>MAX(AH2:AH31)</f>
        <v>963309</v>
      </c>
      <c r="AI34">
        <f>MAX(AI2:AI31)</f>
        <v>96580000</v>
      </c>
      <c r="AJ34" s="7">
        <f>MEDIAN(AJ2:AJ31)</f>
        <v>51381.5</v>
      </c>
      <c r="AK34">
        <f>MAX(AK2:AK31)</f>
        <v>2300.1590350000001</v>
      </c>
      <c r="AS34" s="12" t="s">
        <v>88</v>
      </c>
      <c r="AT34" s="21"/>
      <c r="AU34" s="21"/>
      <c r="AV34" s="27"/>
    </row>
    <row r="35" spans="3:48" ht="15" thickBot="1" x14ac:dyDescent="0.4">
      <c r="F35">
        <f>AVERAGE(F2:F31)</f>
        <v>50276.23333333333</v>
      </c>
      <c r="AE35">
        <f>AVERAGE(AE2:AE31)</f>
        <v>602.17114351999999</v>
      </c>
      <c r="AG35">
        <f>AVERAGE(AG2:AG31)</f>
        <v>92514137.865721762</v>
      </c>
      <c r="AH35">
        <f>AVERAGE(AH2:AH31)</f>
        <v>201870.46666666667</v>
      </c>
      <c r="AI35">
        <f>AVERAGE(AI2:AI31)</f>
        <v>29619144.942438073</v>
      </c>
      <c r="AK35">
        <f>AVERAGE(AK2:AK31)</f>
        <v>485.48249235666663</v>
      </c>
      <c r="AS35" s="13"/>
      <c r="AT35" s="14" t="s">
        <v>77</v>
      </c>
      <c r="AU35" s="14" t="s">
        <v>76</v>
      </c>
      <c r="AV35" s="15" t="s">
        <v>84</v>
      </c>
    </row>
    <row r="36" spans="3:48" x14ac:dyDescent="0.35">
      <c r="C36" s="1"/>
      <c r="D36" s="1"/>
      <c r="F36" s="4">
        <f>MEDIAN(F2:F31)</f>
        <v>51381.5</v>
      </c>
      <c r="AE36" s="4">
        <f>MEDIAN(AE2:AE31)</f>
        <v>503.18423810000002</v>
      </c>
      <c r="AG36" s="4">
        <f>MEDIAN(AG2:AG31)</f>
        <v>49113882.144000001</v>
      </c>
      <c r="AH36" s="4">
        <f>MEDIAN(AH2:AH31)</f>
        <v>164200</v>
      </c>
      <c r="AI36" s="4">
        <f>MEDIAN(AI2:AI31)</f>
        <v>20769187.365047827</v>
      </c>
      <c r="AK36" s="4">
        <f>MEDIAN(AK2:AK31)</f>
        <v>323.35982620000004</v>
      </c>
      <c r="AS36" s="10" t="s">
        <v>80</v>
      </c>
      <c r="AT36" s="20">
        <v>766113.05510018556</v>
      </c>
      <c r="AU36" s="20">
        <v>651736.44670897012</v>
      </c>
      <c r="AV36" s="28">
        <v>114376.60839121544</v>
      </c>
    </row>
    <row r="37" spans="3:48" x14ac:dyDescent="0.35">
      <c r="AS37" s="10" t="s">
        <v>79</v>
      </c>
      <c r="AT37" s="20">
        <v>169613.82930303301</v>
      </c>
      <c r="AU37" s="20">
        <v>130114.6513651165</v>
      </c>
      <c r="AV37" s="28">
        <v>39499.177937916509</v>
      </c>
    </row>
    <row r="38" spans="3:48" x14ac:dyDescent="0.35">
      <c r="AS38" s="10" t="s">
        <v>81</v>
      </c>
      <c r="AT38" s="20">
        <v>379505.4524892777</v>
      </c>
      <c r="AU38" s="20">
        <v>297062.7243747224</v>
      </c>
      <c r="AV38" s="28">
        <v>82442.728114555299</v>
      </c>
    </row>
    <row r="39" spans="3:48" ht="15" thickBot="1" x14ac:dyDescent="0.4">
      <c r="AS39" s="11" t="s">
        <v>82</v>
      </c>
      <c r="AT39" s="29">
        <v>356384.89800133562</v>
      </c>
      <c r="AU39" s="29">
        <v>281271.51016444981</v>
      </c>
      <c r="AV39" s="30">
        <v>75113.387836885813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Overla</cp:lastModifiedBy>
  <dcterms:created xsi:type="dcterms:W3CDTF">2025-09-10T22:50:27Z</dcterms:created>
  <dcterms:modified xsi:type="dcterms:W3CDTF">2026-02-02T16:43:44Z</dcterms:modified>
</cp:coreProperties>
</file>