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9FE0D7B0-1A18-45E4-AFAE-A8C7A1E19A78}" xr6:coauthVersionLast="47" xr6:coauthVersionMax="47" xr10:uidLastSave="{00000000-0000-0000-0000-000000000000}"/>
  <bookViews>
    <workbookView xWindow="28680" yWindow="-120" windowWidth="29040" windowHeight="15720" xr2:uid="{FFB216CD-1BBA-4FD3-BBF8-AC2464741B9E}"/>
  </bookViews>
  <sheets>
    <sheet name="(1)McKinneyL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 s="1"/>
  <c r="P2" i="1"/>
  <c r="G3" i="1"/>
  <c r="G4" i="1" s="1"/>
  <c r="H3" i="1"/>
  <c r="I3" i="1"/>
  <c r="I4" i="1" s="1"/>
  <c r="J3" i="1"/>
  <c r="J4" i="1" s="1"/>
  <c r="K3" i="1"/>
  <c r="K4" i="1" s="1"/>
  <c r="L3" i="1"/>
  <c r="L4" i="1" s="1"/>
  <c r="O3" i="1"/>
  <c r="N3" i="1" s="1"/>
  <c r="Q3" i="1"/>
  <c r="P3" i="1" s="1"/>
  <c r="S3" i="1"/>
  <c r="T3" i="1"/>
  <c r="H4" i="1"/>
  <c r="O4" i="1"/>
  <c r="N4" i="1" s="1"/>
  <c r="P4" i="1"/>
  <c r="S4" i="1"/>
  <c r="T4" i="1"/>
  <c r="O5" i="1"/>
  <c r="N5" i="1" s="1"/>
  <c r="P5" i="1"/>
  <c r="S5" i="1"/>
  <c r="T5" i="1"/>
  <c r="O6" i="1"/>
  <c r="N6" i="1" s="1"/>
  <c r="P6" i="1"/>
  <c r="S6" i="1"/>
  <c r="T6" i="1"/>
  <c r="O7" i="1"/>
  <c r="N7" i="1" s="1"/>
  <c r="P7" i="1"/>
  <c r="S7" i="1"/>
  <c r="T7" i="1"/>
  <c r="N8" i="1"/>
  <c r="O8" i="1"/>
  <c r="P8" i="1"/>
  <c r="S8" i="1"/>
  <c r="T8" i="1" s="1"/>
  <c r="N9" i="1"/>
  <c r="O9" i="1"/>
  <c r="P9" i="1"/>
  <c r="S9" i="1"/>
  <c r="T9" i="1"/>
  <c r="N10" i="1"/>
  <c r="O10" i="1"/>
  <c r="P10" i="1"/>
  <c r="S10" i="1"/>
  <c r="T10" i="1"/>
  <c r="O11" i="1"/>
  <c r="N11" i="1" s="1"/>
  <c r="P11" i="1"/>
  <c r="S11" i="1"/>
  <c r="T11" i="1" s="1"/>
  <c r="O12" i="1"/>
  <c r="N12" i="1" s="1"/>
  <c r="P12" i="1"/>
  <c r="S12" i="1"/>
  <c r="T12" i="1" s="1"/>
  <c r="O13" i="1"/>
  <c r="N13" i="1" s="1"/>
  <c r="P13" i="1"/>
  <c r="S13" i="1"/>
  <c r="T13" i="1"/>
  <c r="O14" i="1"/>
  <c r="N14" i="1" s="1"/>
  <c r="P14" i="1"/>
  <c r="S14" i="1"/>
  <c r="T14" i="1"/>
  <c r="N15" i="1"/>
  <c r="O15" i="1"/>
  <c r="P15" i="1"/>
  <c r="S15" i="1"/>
  <c r="T15" i="1"/>
  <c r="N16" i="1"/>
  <c r="O16" i="1"/>
  <c r="P16" i="1"/>
  <c r="S16" i="1"/>
  <c r="T16" i="1"/>
  <c r="O17" i="1"/>
  <c r="N17" i="1" s="1"/>
  <c r="P17" i="1"/>
  <c r="S17" i="1"/>
  <c r="T17" i="1"/>
  <c r="O18" i="1"/>
  <c r="N18" i="1" s="1"/>
  <c r="P18" i="1"/>
  <c r="S18" i="1"/>
  <c r="T18" i="1" s="1"/>
  <c r="O19" i="1"/>
  <c r="N19" i="1" s="1"/>
  <c r="P19" i="1"/>
  <c r="S19" i="1"/>
  <c r="T19" i="1" s="1"/>
  <c r="O20" i="1"/>
  <c r="N20" i="1" s="1"/>
  <c r="P20" i="1"/>
  <c r="S20" i="1"/>
  <c r="T20" i="1"/>
  <c r="N21" i="1"/>
  <c r="O21" i="1"/>
  <c r="P21" i="1"/>
  <c r="S21" i="1"/>
  <c r="T21" i="1"/>
  <c r="O22" i="1"/>
  <c r="N22" i="1" s="1"/>
  <c r="P22" i="1"/>
  <c r="S22" i="1"/>
  <c r="T22" i="1"/>
  <c r="O23" i="1"/>
  <c r="N23" i="1" s="1"/>
  <c r="P23" i="1"/>
  <c r="S23" i="1"/>
  <c r="T23" i="1"/>
  <c r="O24" i="1"/>
  <c r="N24" i="1" s="1"/>
  <c r="P24" i="1"/>
  <c r="S24" i="1"/>
  <c r="T24" i="1" s="1"/>
  <c r="N25" i="1"/>
  <c r="O25" i="1"/>
  <c r="P25" i="1"/>
  <c r="S25" i="1"/>
  <c r="T25" i="1" s="1"/>
  <c r="O26" i="1"/>
  <c r="N26" i="1" s="1"/>
  <c r="P26" i="1"/>
  <c r="S26" i="1"/>
  <c r="T26" i="1"/>
  <c r="O27" i="1"/>
  <c r="N27" i="1" s="1"/>
  <c r="P27" i="1"/>
  <c r="S27" i="1"/>
  <c r="T27" i="1"/>
  <c r="O28" i="1"/>
  <c r="N28" i="1" s="1"/>
  <c r="P28" i="1"/>
  <c r="S28" i="1"/>
  <c r="T28" i="1"/>
  <c r="O29" i="1"/>
  <c r="N29" i="1" s="1"/>
  <c r="P29" i="1"/>
  <c r="S29" i="1"/>
  <c r="T29" i="1"/>
  <c r="O30" i="1"/>
  <c r="N30" i="1" s="1"/>
  <c r="P30" i="1"/>
  <c r="S30" i="1"/>
  <c r="T30" i="1" s="1"/>
  <c r="N31" i="1"/>
  <c r="O31" i="1"/>
  <c r="P31" i="1"/>
  <c r="S31" i="1"/>
  <c r="T31" i="1"/>
  <c r="N32" i="1"/>
  <c r="O32" i="1"/>
  <c r="P32" i="1"/>
  <c r="S32" i="1"/>
  <c r="T32" i="1"/>
  <c r="O33" i="1"/>
  <c r="N33" i="1" s="1"/>
  <c r="P33" i="1"/>
  <c r="S33" i="1"/>
  <c r="T33" i="1" s="1"/>
  <c r="O34" i="1"/>
  <c r="N34" i="1" s="1"/>
  <c r="P34" i="1"/>
  <c r="S34" i="1"/>
  <c r="T34" i="1" s="1"/>
  <c r="O35" i="1"/>
  <c r="N35" i="1" s="1"/>
  <c r="P35" i="1"/>
  <c r="S35" i="1"/>
  <c r="T35" i="1"/>
  <c r="O36" i="1"/>
  <c r="N36" i="1" s="1"/>
  <c r="P36" i="1"/>
  <c r="S36" i="1"/>
  <c r="T36" i="1"/>
  <c r="N37" i="1"/>
  <c r="O37" i="1"/>
  <c r="P37" i="1"/>
  <c r="S37" i="1"/>
  <c r="T37" i="1"/>
  <c r="N38" i="1"/>
  <c r="O38" i="1"/>
  <c r="P38" i="1"/>
  <c r="S38" i="1"/>
  <c r="T38" i="1"/>
  <c r="O39" i="1"/>
  <c r="N39" i="1" s="1"/>
  <c r="P39" i="1"/>
  <c r="S39" i="1"/>
  <c r="T39" i="1" s="1"/>
  <c r="O40" i="1"/>
  <c r="N40" i="1" s="1"/>
  <c r="P40" i="1"/>
  <c r="S40" i="1"/>
  <c r="T40" i="1" s="1"/>
  <c r="O41" i="1"/>
  <c r="N41" i="1" s="1"/>
  <c r="P41" i="1"/>
  <c r="S41" i="1"/>
  <c r="T41" i="1" s="1"/>
  <c r="O42" i="1"/>
  <c r="N42" i="1" s="1"/>
  <c r="P42" i="1"/>
  <c r="S42" i="1"/>
  <c r="T42" i="1"/>
  <c r="N43" i="1"/>
  <c r="O43" i="1"/>
  <c r="P43" i="1"/>
  <c r="S43" i="1"/>
  <c r="T43" i="1"/>
  <c r="O44" i="1"/>
  <c r="N44" i="1" s="1"/>
  <c r="P44" i="1"/>
  <c r="S44" i="1"/>
  <c r="T44" i="1"/>
  <c r="O45" i="1"/>
  <c r="N45" i="1" s="1"/>
  <c r="P45" i="1"/>
  <c r="S45" i="1"/>
  <c r="T45" i="1"/>
  <c r="N46" i="1"/>
  <c r="O46" i="1"/>
  <c r="P46" i="1"/>
  <c r="S46" i="1"/>
  <c r="T46" i="1" s="1"/>
  <c r="N47" i="1"/>
  <c r="O47" i="1"/>
  <c r="P47" i="1"/>
  <c r="S47" i="1"/>
  <c r="T47" i="1" s="1"/>
  <c r="O48" i="1"/>
  <c r="N48" i="1" s="1"/>
  <c r="P48" i="1"/>
  <c r="S48" i="1"/>
  <c r="T48" i="1"/>
  <c r="N49" i="1"/>
  <c r="O49" i="1"/>
  <c r="P49" i="1"/>
  <c r="S49" i="1"/>
  <c r="T49" i="1"/>
  <c r="O50" i="1"/>
  <c r="N50" i="1" s="1"/>
  <c r="P50" i="1"/>
  <c r="S50" i="1"/>
  <c r="T50" i="1"/>
  <c r="O51" i="1"/>
  <c r="N51" i="1" s="1"/>
  <c r="P51" i="1"/>
  <c r="S51" i="1"/>
  <c r="T51" i="1"/>
  <c r="O52" i="1"/>
  <c r="N52" i="1" s="1"/>
  <c r="P52" i="1"/>
  <c r="S52" i="1"/>
  <c r="T52" i="1" s="1"/>
  <c r="N53" i="1"/>
  <c r="O53" i="1"/>
  <c r="P53" i="1"/>
  <c r="S53" i="1"/>
  <c r="T53" i="1"/>
  <c r="N54" i="1"/>
  <c r="O54" i="1"/>
  <c r="P54" i="1"/>
  <c r="S54" i="1"/>
  <c r="T54" i="1"/>
  <c r="O55" i="1"/>
  <c r="N55" i="1" s="1"/>
  <c r="P55" i="1"/>
  <c r="S55" i="1"/>
  <c r="T55" i="1"/>
  <c r="O56" i="1"/>
  <c r="N56" i="1" s="1"/>
  <c r="P56" i="1"/>
  <c r="S56" i="1"/>
  <c r="T56" i="1" s="1"/>
  <c r="O57" i="1"/>
  <c r="N57" i="1" s="1"/>
  <c r="P57" i="1"/>
  <c r="S57" i="1"/>
  <c r="T57" i="1"/>
  <c r="O58" i="1"/>
  <c r="N58" i="1" s="1"/>
  <c r="P58" i="1"/>
  <c r="S58" i="1"/>
  <c r="T58" i="1" s="1"/>
  <c r="N59" i="1"/>
  <c r="O59" i="1"/>
  <c r="P59" i="1"/>
  <c r="S59" i="1"/>
  <c r="O60" i="1"/>
  <c r="N60" i="1" s="1"/>
  <c r="P60" i="1"/>
  <c r="S60" i="1"/>
  <c r="T60" i="1" s="1"/>
  <c r="O61" i="1"/>
  <c r="N61" i="1" s="1"/>
  <c r="P61" i="1"/>
  <c r="S61" i="1"/>
  <c r="T61" i="1"/>
  <c r="N62" i="1"/>
  <c r="O62" i="1"/>
  <c r="P62" i="1"/>
  <c r="S62" i="1"/>
  <c r="T62" i="1"/>
  <c r="O63" i="1"/>
  <c r="N63" i="1" s="1"/>
  <c r="P63" i="1"/>
  <c r="S63" i="1"/>
  <c r="T63" i="1"/>
  <c r="O64" i="1"/>
  <c r="N64" i="1" s="1"/>
  <c r="P64" i="1"/>
  <c r="S64" i="1"/>
  <c r="T64" i="1"/>
  <c r="O65" i="1"/>
  <c r="N65" i="1" s="1"/>
  <c r="P65" i="1"/>
  <c r="S65" i="1"/>
  <c r="T65" i="1" s="1"/>
  <c r="N66" i="1"/>
  <c r="O66" i="1"/>
  <c r="P66" i="1"/>
  <c r="S66" i="1"/>
  <c r="T66" i="1" s="1"/>
  <c r="O67" i="1"/>
  <c r="N67" i="1" s="1"/>
  <c r="P67" i="1"/>
  <c r="S67" i="1"/>
  <c r="T67" i="1"/>
  <c r="N68" i="1"/>
  <c r="O68" i="1"/>
  <c r="P68" i="1"/>
  <c r="S68" i="1"/>
  <c r="T68" i="1"/>
  <c r="O69" i="1"/>
  <c r="N69" i="1" s="1"/>
  <c r="P69" i="1"/>
  <c r="S69" i="1"/>
  <c r="T69" i="1"/>
  <c r="O70" i="1"/>
  <c r="N70" i="1" s="1"/>
  <c r="P70" i="1"/>
  <c r="S70" i="1"/>
  <c r="T70" i="1"/>
  <c r="N71" i="1"/>
  <c r="O71" i="1"/>
  <c r="P71" i="1"/>
  <c r="S71" i="1"/>
  <c r="T71" i="1" s="1"/>
  <c r="N72" i="1"/>
  <c r="O72" i="1"/>
  <c r="P72" i="1"/>
  <c r="S72" i="1"/>
  <c r="T72" i="1"/>
  <c r="N73" i="1"/>
  <c r="O73" i="1"/>
  <c r="P73" i="1"/>
  <c r="O74" i="1"/>
  <c r="N74" i="1" s="1"/>
  <c r="P74" i="1"/>
  <c r="S74" i="1"/>
  <c r="T74" i="1"/>
  <c r="O75" i="1"/>
  <c r="N75" i="1" s="1"/>
  <c r="P75" i="1"/>
  <c r="S75" i="1"/>
  <c r="T75" i="1" s="1"/>
  <c r="O76" i="1"/>
  <c r="N76" i="1" s="1"/>
  <c r="P76" i="1"/>
  <c r="S76" i="1"/>
  <c r="T76" i="1" s="1"/>
  <c r="O77" i="1"/>
  <c r="N77" i="1" s="1"/>
  <c r="P77" i="1"/>
  <c r="S77" i="1"/>
  <c r="T77" i="1"/>
  <c r="N78" i="1"/>
  <c r="O78" i="1"/>
  <c r="P78" i="1"/>
  <c r="S78" i="1"/>
  <c r="T78" i="1"/>
  <c r="O79" i="1"/>
  <c r="N79" i="1" s="1"/>
  <c r="P79" i="1"/>
  <c r="S79" i="1"/>
  <c r="T79" i="1"/>
  <c r="O80" i="1"/>
  <c r="N80" i="1" s="1"/>
  <c r="P80" i="1"/>
  <c r="S80" i="1"/>
  <c r="T80" i="1"/>
  <c r="O81" i="1"/>
  <c r="N81" i="1" s="1"/>
  <c r="P81" i="1"/>
  <c r="S81" i="1"/>
  <c r="T81" i="1" s="1"/>
  <c r="N82" i="1"/>
  <c r="O82" i="1"/>
  <c r="P82" i="1"/>
  <c r="S82" i="1"/>
  <c r="T82" i="1" s="1"/>
  <c r="O83" i="1"/>
  <c r="N83" i="1" s="1"/>
  <c r="P83" i="1"/>
  <c r="S83" i="1"/>
  <c r="T83" i="1"/>
  <c r="O84" i="1"/>
  <c r="N84" i="1" s="1"/>
  <c r="P84" i="1"/>
  <c r="S84" i="1"/>
  <c r="T84" i="1"/>
  <c r="O85" i="1"/>
  <c r="N85" i="1" s="1"/>
  <c r="P85" i="1"/>
  <c r="S85" i="1"/>
  <c r="T85" i="1"/>
  <c r="O86" i="1"/>
  <c r="N86" i="1" s="1"/>
  <c r="P86" i="1"/>
  <c r="S86" i="1"/>
  <c r="T86" i="1"/>
  <c r="O87" i="1"/>
  <c r="N87" i="1" s="1"/>
  <c r="P87" i="1"/>
  <c r="S87" i="1"/>
  <c r="T87" i="1" s="1"/>
  <c r="N88" i="1"/>
  <c r="O88" i="1"/>
  <c r="P88" i="1"/>
  <c r="S88" i="1"/>
  <c r="T88" i="1"/>
  <c r="N89" i="1"/>
  <c r="O89" i="1"/>
  <c r="P89" i="1"/>
  <c r="S89" i="1"/>
  <c r="T89" i="1"/>
  <c r="O90" i="1"/>
  <c r="N90" i="1" s="1"/>
  <c r="P90" i="1"/>
  <c r="S90" i="1"/>
  <c r="T90" i="1"/>
  <c r="O91" i="1"/>
  <c r="N91" i="1" s="1"/>
  <c r="P91" i="1"/>
  <c r="S91" i="1"/>
  <c r="T91" i="1" s="1"/>
  <c r="O92" i="1"/>
  <c r="N92" i="1" s="1"/>
  <c r="P92" i="1"/>
  <c r="S92" i="1"/>
  <c r="T92" i="1"/>
  <c r="O93" i="1"/>
  <c r="N93" i="1" s="1"/>
  <c r="P93" i="1"/>
  <c r="S93" i="1"/>
  <c r="T93" i="1" s="1"/>
  <c r="N94" i="1"/>
  <c r="O94" i="1"/>
  <c r="P94" i="1"/>
  <c r="S94" i="1"/>
  <c r="T94" i="1"/>
  <c r="N95" i="1"/>
  <c r="O95" i="1"/>
  <c r="P95" i="1"/>
  <c r="S95" i="1"/>
  <c r="T95" i="1"/>
  <c r="O96" i="1"/>
  <c r="N96" i="1" s="1"/>
  <c r="P96" i="1"/>
  <c r="S96" i="1"/>
  <c r="T96" i="1"/>
  <c r="O97" i="1"/>
  <c r="N97" i="1" s="1"/>
  <c r="P97" i="1"/>
  <c r="S97" i="1"/>
  <c r="T97" i="1" s="1"/>
  <c r="O98" i="1"/>
  <c r="N98" i="1" s="1"/>
  <c r="P98" i="1"/>
  <c r="S98" i="1"/>
  <c r="T98" i="1" s="1"/>
  <c r="O99" i="1"/>
  <c r="N99" i="1" s="1"/>
  <c r="P99" i="1"/>
  <c r="S99" i="1"/>
  <c r="T99" i="1"/>
  <c r="N100" i="1"/>
  <c r="O100" i="1"/>
  <c r="P100" i="1"/>
  <c r="S100" i="1"/>
  <c r="T100" i="1"/>
  <c r="O101" i="1"/>
  <c r="N101" i="1" s="1"/>
  <c r="P101" i="1"/>
  <c r="S101" i="1"/>
  <c r="T101" i="1"/>
  <c r="O102" i="1"/>
  <c r="N102" i="1" s="1"/>
  <c r="P102" i="1"/>
  <c r="S102" i="1"/>
  <c r="T102" i="1"/>
  <c r="N103" i="1"/>
  <c r="S103" i="1"/>
  <c r="N104" i="1"/>
  <c r="S104" i="1"/>
  <c r="N105" i="1"/>
  <c r="S105" i="1"/>
  <c r="N106" i="1"/>
  <c r="S106" i="1"/>
  <c r="N107" i="1"/>
  <c r="S107" i="1"/>
  <c r="N108" i="1"/>
  <c r="S108" i="1"/>
  <c r="N109" i="1"/>
  <c r="S109" i="1"/>
  <c r="U11" i="1" l="1"/>
  <c r="U61" i="1"/>
  <c r="U33" i="1"/>
  <c r="U27" i="1"/>
  <c r="U44" i="1"/>
  <c r="U24" i="1"/>
  <c r="U19" i="1"/>
  <c r="U98" i="1"/>
  <c r="U78" i="1"/>
  <c r="U63" i="1"/>
  <c r="U28" i="1"/>
  <c r="T104" i="1"/>
  <c r="U20" i="1" s="1"/>
  <c r="U97" i="1"/>
  <c r="U62" i="1"/>
  <c r="U52" i="1"/>
  <c r="U47" i="1"/>
  <c r="U81" i="1"/>
  <c r="U12" i="1"/>
  <c r="U21" i="1"/>
  <c r="U100" i="1"/>
  <c r="U76" i="1"/>
  <c r="U6" i="1"/>
  <c r="U75" i="1"/>
  <c r="U90" i="1"/>
  <c r="U85" i="1"/>
  <c r="U41" i="1"/>
  <c r="U65" i="1"/>
  <c r="U50" i="1"/>
  <c r="U84" i="1"/>
  <c r="U22" i="1" l="1"/>
  <c r="U43" i="1"/>
  <c r="V43" i="1" s="1"/>
  <c r="U56" i="1"/>
  <c r="U34" i="1"/>
  <c r="U3" i="1"/>
  <c r="V3" i="1" s="1"/>
  <c r="U46" i="1"/>
  <c r="U68" i="1"/>
  <c r="U15" i="1"/>
  <c r="U66" i="1"/>
  <c r="U49" i="1"/>
  <c r="U30" i="1"/>
  <c r="U71" i="1"/>
  <c r="U69" i="1"/>
  <c r="U60" i="1"/>
  <c r="U91" i="1"/>
  <c r="U94" i="1"/>
  <c r="V44" i="1"/>
  <c r="U55" i="1"/>
  <c r="U101" i="1"/>
  <c r="U79" i="1"/>
  <c r="U39" i="1"/>
  <c r="U5" i="1"/>
  <c r="U82" i="1"/>
  <c r="U58" i="1"/>
  <c r="U37" i="1"/>
  <c r="U25" i="1"/>
  <c r="U87" i="1"/>
  <c r="U16" i="1"/>
  <c r="U38" i="1"/>
  <c r="U73" i="1"/>
  <c r="U95" i="1"/>
  <c r="U13" i="1"/>
  <c r="U35" i="1"/>
  <c r="U57" i="1"/>
  <c r="U92" i="1"/>
  <c r="U10" i="1"/>
  <c r="V10" i="1" s="1"/>
  <c r="V11" i="1" s="1"/>
  <c r="V12" i="1" s="1"/>
  <c r="U32" i="1"/>
  <c r="U54" i="1"/>
  <c r="U89" i="1"/>
  <c r="U7" i="1"/>
  <c r="U29" i="1"/>
  <c r="U51" i="1"/>
  <c r="U70" i="1"/>
  <c r="U86" i="1"/>
  <c r="U26" i="1"/>
  <c r="U48" i="1"/>
  <c r="U67" i="1"/>
  <c r="U83" i="1"/>
  <c r="U23" i="1"/>
  <c r="U8" i="1"/>
  <c r="U53" i="1"/>
  <c r="U88" i="1"/>
  <c r="U31" i="1"/>
  <c r="U72" i="1"/>
  <c r="U59" i="1"/>
  <c r="U9" i="1"/>
  <c r="V9" i="1" s="1"/>
  <c r="U4" i="1"/>
  <c r="V4" i="1" s="1"/>
  <c r="U80" i="1"/>
  <c r="U36" i="1"/>
  <c r="U42" i="1"/>
  <c r="U96" i="1"/>
  <c r="U77" i="1"/>
  <c r="U17" i="1"/>
  <c r="U45" i="1"/>
  <c r="U102" i="1"/>
  <c r="U14" i="1"/>
  <c r="U64" i="1"/>
  <c r="U74" i="1"/>
  <c r="U99" i="1"/>
  <c r="U40" i="1"/>
  <c r="U18" i="1"/>
  <c r="U93" i="1"/>
  <c r="V13" i="1" l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5" i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5" i="1"/>
  <c r="V6" i="1" s="1"/>
  <c r="V7" i="1" s="1"/>
  <c r="V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5A00-000003000000}">
      <text>
        <r>
          <rPr>
            <sz val="10"/>
            <color rgb="FF000000"/>
            <rFont val="Aptos Narrow"/>
            <family val="2"/>
            <scheme val="minor"/>
          </rPr>
          <t>======
ID#AAABZCE7ZSY
Stephanie Overla    (2024-11-20 19:04:27)
@sipictoni@gmail.com I figured out where my mistake is with McKinney. McKinney is a 2022 LF, its pair is a 2020 FOUS, so what I should have done/will do is adjust the inflation from 2020-22 on the paired FOUS, not McKinney. Thank you for pointing that out.
_Assigned to sipictoni@gmail.com_</t>
        </r>
      </text>
    </comment>
    <comment ref="A8" authorId="0" shapeId="0" xr:uid="{00000000-0006-0000-5A00-000001000000}">
      <text>
        <r>
          <rPr>
            <sz val="10"/>
            <color rgb="FF000000"/>
            <rFont val="Aptos Narrow"/>
            <family val="2"/>
            <scheme val="minor"/>
          </rPr>
          <t>======
ID#AAABb20Iq54
Stephanie Overla    (2025-01-18 01:48:50)
report deleted 57519	$11,000,000</t>
        </r>
      </text>
    </comment>
    <comment ref="A19" authorId="0" shapeId="0" xr:uid="{00000000-0006-0000-5A00-000002000000}">
      <text>
        <r>
          <rPr>
            <sz val="10"/>
            <color rgb="FF000000"/>
            <rFont val="Aptos Narrow"/>
            <family val="2"/>
            <scheme val="minor"/>
          </rPr>
          <t>======
ID#AAABb20Iq50
Stephanie Overla    (2025-01-18 01:48:00)
1 report deleted 8/15 60392	$56,713,130</t>
        </r>
      </text>
    </comment>
  </commentList>
</comments>
</file>

<file path=xl/sharedStrings.xml><?xml version="1.0" encoding="utf-8"?>
<sst xmlns="http://schemas.openxmlformats.org/spreadsheetml/2006/main" count="24" uniqueCount="22">
  <si>
    <t>As</t>
  </si>
  <si>
    <t>Ls</t>
  </si>
  <si>
    <t>ScaledSumCPD</t>
  </si>
  <si>
    <t>ScaledCPD</t>
  </si>
  <si>
    <t>Cost per day per acre</t>
  </si>
  <si>
    <t>Real Cost (Adjusted for Inflation)</t>
  </si>
  <si>
    <t>ICS209 Cost</t>
  </si>
  <si>
    <t>Best</t>
  </si>
  <si>
    <t>Ls_Growth</t>
  </si>
  <si>
    <t>Growth</t>
  </si>
  <si>
    <t>IR infrared data - daily acres</t>
  </si>
  <si>
    <t>Prog_0811</t>
  </si>
  <si>
    <t>Prog_0809</t>
  </si>
  <si>
    <t>Prog_0808</t>
  </si>
  <si>
    <t>Prog_0804</t>
  </si>
  <si>
    <t>Prog_0801</t>
  </si>
  <si>
    <t>Prog_0731 progression map &amp; date</t>
  </si>
  <si>
    <t>IMSR cost</t>
  </si>
  <si>
    <t>IMSR daily acres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</si>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</sst>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164" fontId="2" fillId="3" borderId="0" xfId="0" applyNumberFormat="1" applyFont="1" applyFill="1"/>
    <xf numFmtId="164" fontId="2" fillId="4" borderId="0" xfId="0" applyNumberFormat="1" applyFont="1" applyFill="1"/>
    <xf numFmtId="164" fontId="2" fillId="5" borderId="0" xfId="0" applyNumberFormat="1" applyFont="1" applyFill="1"/>
    <xf numFmtId="0" fontId="2" fillId="5" borderId="0" xfId="0" applyFont="1" applyFill="1"/>
    <xf numFmtId="0" fontId="2" fillId="2" borderId="0" xfId="0" applyFont="1" applyFill="1"/>
    <xf numFmtId="164" fontId="2" fillId="0" borderId="0" xfId="0" applyNumberFormat="1" applyFont="1"/>
    <xf numFmtId="0" fontId="2" fillId="0" borderId="0" xfId="0" applyFont="1" applyAlignment="1">
      <alignment horizontal="right" wrapText="1"/>
    </xf>
    <xf numFmtId="164" fontId="2" fillId="3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right" wrapText="1"/>
    </xf>
    <xf numFmtId="0" fontId="0" fillId="6" borderId="0" xfId="0" applyFill="1"/>
    <xf numFmtId="0" fontId="2" fillId="6" borderId="0" xfId="0" applyFont="1" applyFill="1" applyAlignment="1">
      <alignment horizontal="right" wrapText="1"/>
    </xf>
    <xf numFmtId="164" fontId="2" fillId="7" borderId="0" xfId="0" applyNumberFormat="1" applyFont="1" applyFill="1" applyAlignment="1">
      <alignment wrapText="1"/>
    </xf>
    <xf numFmtId="164" fontId="2" fillId="8" borderId="0" xfId="0" applyNumberFormat="1" applyFont="1" applyFill="1" applyAlignment="1">
      <alignment wrapText="1"/>
    </xf>
    <xf numFmtId="164" fontId="2" fillId="9" borderId="0" xfId="0" applyNumberFormat="1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164" fontId="2" fillId="6" borderId="0" xfId="0" applyNumberFormat="1" applyFont="1" applyFill="1" applyAlignment="1">
      <alignment wrapText="1"/>
    </xf>
    <xf numFmtId="14" fontId="2" fillId="6" borderId="0" xfId="0" applyNumberFormat="1" applyFon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5" borderId="0" xfId="0" applyFont="1" applyFill="1" applyAlignment="1">
      <alignment horizontal="right" wrapText="1"/>
    </xf>
    <xf numFmtId="0" fontId="1" fillId="11" borderId="0" xfId="0" applyFont="1" applyFill="1"/>
    <xf numFmtId="0" fontId="2" fillId="11" borderId="0" xfId="0" applyFont="1" applyFill="1" applyAlignment="1">
      <alignment horizontal="right" wrapText="1"/>
    </xf>
    <xf numFmtId="164" fontId="2" fillId="11" borderId="0" xfId="0" applyNumberFormat="1" applyFont="1" applyFill="1" applyAlignment="1">
      <alignment wrapText="1"/>
    </xf>
    <xf numFmtId="0" fontId="2" fillId="11" borderId="0" xfId="0" applyFont="1" applyFill="1" applyAlignment="1">
      <alignment wrapText="1"/>
    </xf>
    <xf numFmtId="164" fontId="2" fillId="11" borderId="0" xfId="0" applyNumberFormat="1" applyFont="1" applyFill="1" applyAlignment="1">
      <alignment horizontal="right" wrapText="1"/>
    </xf>
    <xf numFmtId="14" fontId="2" fillId="11" borderId="0" xfId="0" applyNumberFormat="1" applyFont="1" applyFill="1" applyAlignment="1">
      <alignment horizontal="right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464-BA7B-4B95-873A-EDBF3CD60717}">
  <dimension ref="A1:AE993"/>
  <sheetViews>
    <sheetView tabSelected="1" topLeftCell="A70" workbookViewId="0">
      <pane xSplit="2" topLeftCell="C1" activePane="topRight" state="frozen"/>
      <selection pane="topRight" activeCell="R2" sqref="R2:T102"/>
    </sheetView>
  </sheetViews>
  <sheetFormatPr defaultColWidth="12.5703125" defaultRowHeight="15" customHeight="1" x14ac:dyDescent="0.25"/>
  <cols>
    <col min="1" max="1" width="10.140625" customWidth="1"/>
    <col min="2" max="3" width="8.5703125" customWidth="1"/>
    <col min="4" max="4" width="12" customWidth="1"/>
    <col min="5" max="5" width="8.5703125" customWidth="1"/>
    <col min="6" max="6" width="13.28515625" customWidth="1"/>
    <col min="7" max="7" width="11.7109375" customWidth="1"/>
    <col min="8" max="12" width="10.42578125" customWidth="1"/>
    <col min="13" max="13" width="8.5703125" customWidth="1"/>
    <col min="14" max="16" width="15.140625" customWidth="1"/>
    <col min="17" max="17" width="8.5703125" customWidth="1"/>
    <col min="18" max="20" width="12" customWidth="1"/>
    <col min="21" max="21" width="10.42578125" customWidth="1"/>
    <col min="22" max="22" width="12.42578125" customWidth="1"/>
    <col min="23" max="25" width="8.5703125" customWidth="1"/>
  </cols>
  <sheetData>
    <row r="1" spans="1:25" ht="51" customHeight="1" x14ac:dyDescent="0.25">
      <c r="A1" s="14" t="s">
        <v>21</v>
      </c>
      <c r="B1" s="14" t="s">
        <v>20</v>
      </c>
      <c r="C1" s="14" t="s">
        <v>19</v>
      </c>
      <c r="D1" s="15" t="s">
        <v>6</v>
      </c>
      <c r="E1" s="14" t="s">
        <v>18</v>
      </c>
      <c r="F1" s="15" t="s">
        <v>17</v>
      </c>
      <c r="G1" s="14" t="s">
        <v>16</v>
      </c>
      <c r="H1" s="14" t="s">
        <v>15</v>
      </c>
      <c r="I1" s="14" t="s">
        <v>14</v>
      </c>
      <c r="J1" s="14" t="s">
        <v>13</v>
      </c>
      <c r="K1" s="14" t="s">
        <v>12</v>
      </c>
      <c r="L1" s="14" t="s">
        <v>11</v>
      </c>
      <c r="M1" s="14" t="s">
        <v>10</v>
      </c>
      <c r="N1" s="13" t="s">
        <v>0</v>
      </c>
      <c r="O1" s="13" t="s">
        <v>9</v>
      </c>
      <c r="P1" s="13" t="s">
        <v>8</v>
      </c>
      <c r="Q1" s="12" t="s">
        <v>7</v>
      </c>
      <c r="R1" s="11" t="s">
        <v>6</v>
      </c>
      <c r="S1" s="10" t="s">
        <v>5</v>
      </c>
      <c r="T1" s="9" t="s">
        <v>4</v>
      </c>
      <c r="U1" s="14" t="s">
        <v>3</v>
      </c>
      <c r="V1" s="36" t="s">
        <v>2</v>
      </c>
      <c r="W1" s="14" t="s">
        <v>1</v>
      </c>
      <c r="X1" s="14"/>
      <c r="Y1" s="14" t="s">
        <v>0</v>
      </c>
    </row>
    <row r="2" spans="1:25" ht="14.25" customHeight="1" x14ac:dyDescent="0.25">
      <c r="A2" s="16">
        <v>44771</v>
      </c>
      <c r="B2" s="8">
        <v>1</v>
      </c>
      <c r="C2" s="14"/>
      <c r="D2" s="15"/>
      <c r="E2" s="14"/>
      <c r="F2" s="15"/>
      <c r="G2" s="14">
        <v>158</v>
      </c>
      <c r="H2" s="14">
        <v>158</v>
      </c>
      <c r="I2" s="14">
        <v>158</v>
      </c>
      <c r="J2" s="14">
        <v>158</v>
      </c>
      <c r="K2" s="14">
        <v>158</v>
      </c>
      <c r="L2" s="14">
        <v>158</v>
      </c>
      <c r="M2" s="14"/>
      <c r="N2" s="13">
        <f>101/$Q$102*(O2)</f>
        <v>0.26535634706840933</v>
      </c>
      <c r="O2" s="13">
        <f>Q2</f>
        <v>158</v>
      </c>
      <c r="P2" s="13">
        <f>$B$26/SQRT($Q$26)*(SQRT(Q2)-SQRT(0))</f>
        <v>1.2817473059273734</v>
      </c>
      <c r="Q2" s="12">
        <v>158</v>
      </c>
      <c r="R2" s="11">
        <v>0</v>
      </c>
      <c r="S2" s="10"/>
      <c r="T2" s="9">
        <v>0</v>
      </c>
      <c r="U2" s="8"/>
      <c r="V2" s="8"/>
      <c r="W2" s="8">
        <v>0</v>
      </c>
      <c r="X2" s="8">
        <v>0</v>
      </c>
      <c r="Y2" s="8">
        <v>0</v>
      </c>
    </row>
    <row r="3" spans="1:25" ht="14.25" customHeight="1" x14ac:dyDescent="0.25">
      <c r="A3" s="16">
        <v>44772</v>
      </c>
      <c r="B3" s="8">
        <v>2</v>
      </c>
      <c r="C3" s="14">
        <v>30000</v>
      </c>
      <c r="D3" s="15">
        <v>400000</v>
      </c>
      <c r="E3" s="14">
        <v>200</v>
      </c>
      <c r="F3" s="15">
        <v>1000000</v>
      </c>
      <c r="G3" s="14">
        <f>G2+29519</f>
        <v>29677</v>
      </c>
      <c r="H3" s="14">
        <f>H2+29519</f>
        <v>29677</v>
      </c>
      <c r="I3" s="14">
        <f>I2+29519</f>
        <v>29677</v>
      </c>
      <c r="J3" s="14">
        <f>J2+29519</f>
        <v>29677</v>
      </c>
      <c r="K3" s="14">
        <f>K2+29519</f>
        <v>29677</v>
      </c>
      <c r="L3" s="14">
        <f>L2+29519</f>
        <v>29677</v>
      </c>
      <c r="M3" s="14"/>
      <c r="N3" s="13">
        <f>101/$Q$102*(O3)</f>
        <v>49.576291196913765</v>
      </c>
      <c r="O3" s="13">
        <f>Q3-Q2</f>
        <v>29519</v>
      </c>
      <c r="P3" s="13">
        <f>$B$26/SQRT($Q$26)*(SQRT(Q3)-SQRT(0))</f>
        <v>17.56644450979703</v>
      </c>
      <c r="Q3" s="12">
        <f>Q2+29519</f>
        <v>29677</v>
      </c>
      <c r="R3" s="11">
        <v>400000</v>
      </c>
      <c r="S3" s="10">
        <f>R3</f>
        <v>400000</v>
      </c>
      <c r="T3" s="9">
        <f>S3/Q3</f>
        <v>13.478451325942649</v>
      </c>
      <c r="U3" s="8">
        <f>T3/T$104</f>
        <v>1.1254584816332061E-4</v>
      </c>
      <c r="V3" s="8">
        <f>U3</f>
        <v>1.1254584816332061E-4</v>
      </c>
      <c r="W3" s="8">
        <v>0</v>
      </c>
      <c r="X3" s="8">
        <v>0</v>
      </c>
      <c r="Y3" s="8">
        <v>0</v>
      </c>
    </row>
    <row r="4" spans="1:25" ht="14.25" customHeight="1" x14ac:dyDescent="0.25">
      <c r="A4" s="16">
        <v>44773</v>
      </c>
      <c r="B4" s="8">
        <v>3</v>
      </c>
      <c r="C4" s="14">
        <v>51468</v>
      </c>
      <c r="D4" s="15">
        <v>600000</v>
      </c>
      <c r="E4" s="14">
        <v>30000</v>
      </c>
      <c r="F4" s="15">
        <v>400000</v>
      </c>
      <c r="G4" s="14">
        <f>G3+21716+1023</f>
        <v>52416</v>
      </c>
      <c r="H4" s="14">
        <f>H3+21716+1023</f>
        <v>52416</v>
      </c>
      <c r="I4" s="14">
        <f>I3+21716+1023</f>
        <v>52416</v>
      </c>
      <c r="J4" s="14">
        <f>J3+21716+1023</f>
        <v>52416</v>
      </c>
      <c r="K4" s="14">
        <f>K3+21716+1023</f>
        <v>52416</v>
      </c>
      <c r="L4" s="14">
        <f>L3+21716+1023</f>
        <v>52416</v>
      </c>
      <c r="M4" s="14">
        <v>51468</v>
      </c>
      <c r="N4" s="13">
        <f>101/$Q$102*(O4)</f>
        <v>36.597342778276634</v>
      </c>
      <c r="O4" s="13">
        <f>Q4-Q3</f>
        <v>21791</v>
      </c>
      <c r="P4" s="13">
        <f>$B$26/SQRT($Q$26)*(SQRT(Q4)-SQRT(Q3))</f>
        <v>5.5671178817572997</v>
      </c>
      <c r="Q4" s="12">
        <v>51468</v>
      </c>
      <c r="R4" s="11">
        <v>600000</v>
      </c>
      <c r="S4" s="10">
        <f>R4</f>
        <v>600000</v>
      </c>
      <c r="T4" s="9">
        <f>S4/Q4</f>
        <v>11.657729074376311</v>
      </c>
      <c r="U4" s="8">
        <f>T4/T$104</f>
        <v>9.7342712052426723E-5</v>
      </c>
      <c r="V4" s="8">
        <f>U4+V3</f>
        <v>2.0988856021574733E-4</v>
      </c>
      <c r="W4" s="8">
        <v>0</v>
      </c>
      <c r="X4" s="8">
        <v>0</v>
      </c>
      <c r="Y4" s="8">
        <v>0</v>
      </c>
    </row>
    <row r="5" spans="1:25" ht="14.25" customHeight="1" x14ac:dyDescent="0.25">
      <c r="A5" s="16">
        <v>44774</v>
      </c>
      <c r="B5" s="8">
        <v>4</v>
      </c>
      <c r="C5" s="14">
        <v>52498</v>
      </c>
      <c r="D5" s="15">
        <v>1000000</v>
      </c>
      <c r="E5" s="14">
        <v>52498</v>
      </c>
      <c r="F5" s="15">
        <v>1000000</v>
      </c>
      <c r="G5" s="14"/>
      <c r="H5" s="14"/>
      <c r="I5" s="14">
        <v>56309</v>
      </c>
      <c r="J5" s="14">
        <v>56309</v>
      </c>
      <c r="K5" s="14">
        <v>56309</v>
      </c>
      <c r="L5" s="14">
        <v>56309</v>
      </c>
      <c r="M5" s="14"/>
      <c r="N5" s="13">
        <f>101/$Q$102*(O5)</f>
        <v>6.7598689680401751</v>
      </c>
      <c r="O5" s="13">
        <f>Q5-Q4</f>
        <v>4025</v>
      </c>
      <c r="P5" s="13">
        <f>$B$26/SQRT($Q$26)*(SQRT(Q5)-SQRT(Q4))</f>
        <v>0.88754206071723685</v>
      </c>
      <c r="Q5" s="12">
        <v>55493</v>
      </c>
      <c r="R5" s="11">
        <v>1000000</v>
      </c>
      <c r="S5" s="10">
        <f>R5</f>
        <v>1000000</v>
      </c>
      <c r="T5" s="9">
        <f>S5/Q5</f>
        <v>18.02029084749428</v>
      </c>
      <c r="U5" s="8">
        <f>T5/T$104</f>
        <v>1.5047047086762591E-4</v>
      </c>
      <c r="V5" s="8">
        <f>U5+V4</f>
        <v>3.6035903108337327E-4</v>
      </c>
      <c r="W5" s="8">
        <v>0</v>
      </c>
      <c r="X5" s="8">
        <v>0</v>
      </c>
      <c r="Y5" s="8">
        <v>0</v>
      </c>
    </row>
    <row r="6" spans="1:25" ht="14.25" customHeight="1" x14ac:dyDescent="0.25">
      <c r="A6" s="16">
        <v>44775</v>
      </c>
      <c r="B6" s="8">
        <v>5</v>
      </c>
      <c r="C6" s="14">
        <v>55493</v>
      </c>
      <c r="D6" s="15">
        <v>2700000</v>
      </c>
      <c r="E6" s="14">
        <v>55493</v>
      </c>
      <c r="F6" s="15">
        <v>2300000</v>
      </c>
      <c r="G6" s="14"/>
      <c r="H6" s="14"/>
      <c r="I6" s="14">
        <v>57521</v>
      </c>
      <c r="J6" s="14">
        <v>57521</v>
      </c>
      <c r="K6" s="14">
        <v>57521</v>
      </c>
      <c r="L6" s="14">
        <v>57521</v>
      </c>
      <c r="M6" s="14">
        <v>57519</v>
      </c>
      <c r="N6" s="13">
        <f>101/$Q$102*(O6)</f>
        <v>1.3704479696697596</v>
      </c>
      <c r="O6" s="13">
        <f>Q6-Q5</f>
        <v>816</v>
      </c>
      <c r="P6" s="13">
        <f>$B$26/SQRT($Q$26)*(SQRT(Q6)-SQRT(Q5))</f>
        <v>0.17596534135133512</v>
      </c>
      <c r="Q6" s="12">
        <v>56309</v>
      </c>
      <c r="R6" s="11">
        <v>2700000</v>
      </c>
      <c r="S6" s="10">
        <f>R6</f>
        <v>2700000</v>
      </c>
      <c r="T6" s="9">
        <f>S6/Q6</f>
        <v>47.949706086060843</v>
      </c>
      <c r="U6" s="8">
        <f>T6/T$104</f>
        <v>4.0038281922275914E-4</v>
      </c>
      <c r="V6" s="8">
        <f>U6+V5</f>
        <v>7.6074185030613247E-4</v>
      </c>
      <c r="W6" s="8">
        <v>0</v>
      </c>
      <c r="X6" s="8">
        <v>0</v>
      </c>
      <c r="Y6" s="8">
        <v>0</v>
      </c>
    </row>
    <row r="7" spans="1:25" ht="14.25" customHeight="1" x14ac:dyDescent="0.25">
      <c r="A7" s="16">
        <v>44776</v>
      </c>
      <c r="B7" s="8">
        <v>6</v>
      </c>
      <c r="C7" s="14">
        <v>56459</v>
      </c>
      <c r="D7" s="15">
        <v>7000000</v>
      </c>
      <c r="E7" s="14">
        <v>56459</v>
      </c>
      <c r="F7" s="15">
        <v>7000000</v>
      </c>
      <c r="G7" s="14"/>
      <c r="H7" s="14"/>
      <c r="I7" s="14">
        <v>58667</v>
      </c>
      <c r="J7" s="14">
        <v>58667</v>
      </c>
      <c r="K7" s="14">
        <v>58667</v>
      </c>
      <c r="L7" s="14">
        <v>58667</v>
      </c>
      <c r="M7" s="14">
        <v>58668</v>
      </c>
      <c r="N7" s="13">
        <f>101/$Q$102*(O7)</f>
        <v>2.0355183078918491</v>
      </c>
      <c r="O7" s="13">
        <f>Q7-Q6</f>
        <v>1212</v>
      </c>
      <c r="P7" s="13">
        <f>$B$26/SQRT($Q$26)*(SQRT(Q7)-SQRT(Q6))</f>
        <v>0.25902356629378737</v>
      </c>
      <c r="Q7" s="12">
        <v>57521</v>
      </c>
      <c r="R7" s="11">
        <v>7000000</v>
      </c>
      <c r="S7" s="10">
        <f>R7</f>
        <v>7000000</v>
      </c>
      <c r="T7" s="9">
        <f>S7/Q7</f>
        <v>121.6946854192382</v>
      </c>
      <c r="U7" s="8">
        <f>T7/T$104</f>
        <v>1.0161576620538613E-3</v>
      </c>
      <c r="V7" s="8">
        <f>U7+V6</f>
        <v>1.7768995123599938E-3</v>
      </c>
      <c r="W7" s="8">
        <v>0</v>
      </c>
      <c r="X7" s="8">
        <v>0</v>
      </c>
      <c r="Y7" s="8">
        <v>0</v>
      </c>
    </row>
    <row r="8" spans="1:25" ht="14.25" customHeight="1" x14ac:dyDescent="0.25">
      <c r="A8" s="16">
        <v>44777</v>
      </c>
      <c r="B8" s="8">
        <v>7</v>
      </c>
      <c r="C8" s="14">
        <v>58668</v>
      </c>
      <c r="D8" s="15">
        <v>12500000</v>
      </c>
      <c r="F8" s="7"/>
      <c r="G8" s="14"/>
      <c r="H8" s="14"/>
      <c r="I8" s="14"/>
      <c r="M8" s="14"/>
      <c r="N8" s="13">
        <f>101/$Q$102*(O8)</f>
        <v>3.6058232731384483</v>
      </c>
      <c r="O8" s="13">
        <f>Q8-Q7</f>
        <v>2147</v>
      </c>
      <c r="P8" s="13" t="e">
        <f>$B$26/SQRT($Q$26)*(SQRT(Q8)-SQRT(#REF!))</f>
        <v>#REF!</v>
      </c>
      <c r="Q8" s="12">
        <v>59668</v>
      </c>
      <c r="R8" s="11">
        <v>12500000</v>
      </c>
      <c r="S8" s="10">
        <f>R8</f>
        <v>12500000</v>
      </c>
      <c r="T8" s="9">
        <f>S8/Q8</f>
        <v>209.49252530669705</v>
      </c>
      <c r="U8" s="8" t="e">
        <f>#REF!/T$104</f>
        <v>#REF!</v>
      </c>
      <c r="V8" s="8" t="e">
        <f>U8+V7</f>
        <v>#REF!</v>
      </c>
      <c r="W8" s="8"/>
      <c r="X8" s="8"/>
      <c r="Y8" s="8"/>
    </row>
    <row r="9" spans="1:25" ht="14.25" customHeight="1" x14ac:dyDescent="0.25">
      <c r="A9" s="16">
        <v>44778</v>
      </c>
      <c r="B9" s="8">
        <v>8</v>
      </c>
      <c r="C9" s="14">
        <v>59666</v>
      </c>
      <c r="D9" s="15">
        <v>17200000</v>
      </c>
      <c r="E9" s="14">
        <v>58668</v>
      </c>
      <c r="F9" s="15">
        <v>12500000</v>
      </c>
      <c r="G9" s="14"/>
      <c r="H9" s="14"/>
      <c r="I9" s="14"/>
      <c r="J9" s="14"/>
      <c r="K9" s="14"/>
      <c r="L9" s="14"/>
      <c r="M9" s="14">
        <v>60044</v>
      </c>
      <c r="N9" s="13">
        <f>101/$Q$102*(O9)</f>
        <v>0.63148092720077165</v>
      </c>
      <c r="O9" s="13">
        <f>Q9-Q8</f>
        <v>376</v>
      </c>
      <c r="P9" s="13">
        <f>$B$26/SQRT($Q$26)*(SQRT(Q9)-SQRT(Q8))</f>
        <v>7.8357109891694143E-2</v>
      </c>
      <c r="Q9" s="12">
        <v>60044</v>
      </c>
      <c r="R9" s="11">
        <v>17200000</v>
      </c>
      <c r="S9" s="10">
        <f>R9</f>
        <v>17200000</v>
      </c>
      <c r="T9" s="9">
        <f>S9/Q9</f>
        <v>286.4565984944374</v>
      </c>
      <c r="U9" s="8">
        <f>T9/T$104</f>
        <v>2.391929166037293E-3</v>
      </c>
      <c r="V9" s="8" t="e">
        <f>U9+#REF!</f>
        <v>#REF!</v>
      </c>
      <c r="W9" s="8"/>
      <c r="X9" s="8"/>
      <c r="Y9" s="8"/>
    </row>
    <row r="10" spans="1:25" ht="14.25" customHeight="1" x14ac:dyDescent="0.25">
      <c r="A10" s="16">
        <v>44779</v>
      </c>
      <c r="B10" s="8">
        <v>9</v>
      </c>
      <c r="D10" s="7"/>
      <c r="E10" s="14">
        <v>59668</v>
      </c>
      <c r="F10" s="15">
        <v>17200000</v>
      </c>
      <c r="G10" s="14"/>
      <c r="H10" s="8"/>
      <c r="I10" s="8"/>
      <c r="J10" s="8"/>
      <c r="K10" s="8"/>
      <c r="L10" s="8"/>
      <c r="M10" s="8">
        <v>60271</v>
      </c>
      <c r="N10" s="13">
        <f>101/$Q$102*(O10)</f>
        <v>0.3812398150919552</v>
      </c>
      <c r="O10" s="13">
        <f>Q10-Q9</f>
        <v>227</v>
      </c>
      <c r="P10" s="13">
        <f>$B$26/SQRT($Q$26)*(SQRT(Q10)-SQRT(Q9))</f>
        <v>4.7187289836635678E-2</v>
      </c>
      <c r="Q10" s="28">
        <v>60271</v>
      </c>
      <c r="R10" s="11">
        <v>17200000</v>
      </c>
      <c r="S10" s="10">
        <f>R10</f>
        <v>17200000</v>
      </c>
      <c r="T10" s="9">
        <f>S10/Q10</f>
        <v>285.37771067345824</v>
      </c>
      <c r="U10" s="8">
        <f>T10/T$104</f>
        <v>2.3829203903293996E-3</v>
      </c>
      <c r="V10" s="8" t="e">
        <f>U10+V9</f>
        <v>#REF!</v>
      </c>
      <c r="W10" s="14"/>
      <c r="X10" s="14"/>
      <c r="Y10" s="14"/>
    </row>
    <row r="11" spans="1:25" ht="14.25" customHeight="1" x14ac:dyDescent="0.25">
      <c r="A11" s="16">
        <v>44780</v>
      </c>
      <c r="B11" s="8">
        <v>10</v>
      </c>
      <c r="C11" s="14">
        <v>60271</v>
      </c>
      <c r="D11" s="15">
        <v>24000000</v>
      </c>
      <c r="E11" s="14">
        <v>60109</v>
      </c>
      <c r="F11" s="15">
        <v>21000000</v>
      </c>
      <c r="G11" s="14"/>
      <c r="H11" s="14"/>
      <c r="I11" s="14"/>
      <c r="J11" s="14">
        <v>60305</v>
      </c>
      <c r="K11" s="14">
        <v>60305</v>
      </c>
      <c r="L11" s="14">
        <v>60305</v>
      </c>
      <c r="M11" s="14">
        <v>60302</v>
      </c>
      <c r="N11" s="13">
        <f>101/$Q$102*(O11)</f>
        <v>5.2063587083042338E-2</v>
      </c>
      <c r="O11" s="13">
        <f>Q11-Q10</f>
        <v>31</v>
      </c>
      <c r="P11" s="13">
        <f>$B$26/SQRT($Q$26)*(SQRT(Q11)-SQRT(Q10))</f>
        <v>6.4371782614647197E-3</v>
      </c>
      <c r="Q11" s="12">
        <v>60302</v>
      </c>
      <c r="R11" s="11">
        <v>24000000</v>
      </c>
      <c r="S11" s="10">
        <f>R11</f>
        <v>24000000</v>
      </c>
      <c r="T11" s="9">
        <f>S11/Q11</f>
        <v>397.99674969321086</v>
      </c>
      <c r="U11" s="8">
        <f>T11/T$104</f>
        <v>3.3232958800134649E-3</v>
      </c>
      <c r="V11" s="8" t="e">
        <f>U11+V10</f>
        <v>#REF!</v>
      </c>
      <c r="W11" s="14"/>
      <c r="X11" s="14"/>
      <c r="Y11" s="14"/>
    </row>
    <row r="12" spans="1:25" ht="14.25" customHeight="1" x14ac:dyDescent="0.25">
      <c r="A12" s="16">
        <v>44781</v>
      </c>
      <c r="B12" s="8">
        <v>11</v>
      </c>
      <c r="C12" s="35">
        <v>60379</v>
      </c>
      <c r="D12" s="7">
        <v>31000000</v>
      </c>
      <c r="E12" s="14">
        <v>60271</v>
      </c>
      <c r="F12" s="15">
        <v>28000000</v>
      </c>
      <c r="G12" s="14"/>
      <c r="H12" s="14"/>
      <c r="I12" s="14"/>
      <c r="J12" s="14"/>
      <c r="K12" s="14">
        <v>60336</v>
      </c>
      <c r="L12" s="14">
        <v>60336</v>
      </c>
      <c r="M12" s="14">
        <v>60312</v>
      </c>
      <c r="N12" s="13">
        <f>101/$Q$102*(O12)</f>
        <v>1.6794705510658821E-2</v>
      </c>
      <c r="O12" s="13">
        <f>Q12-Q11</f>
        <v>10</v>
      </c>
      <c r="P12" s="13">
        <f>$B$26/SQRT($Q$26)*(SQRT(Q12)-SQRT(Q11))</f>
        <v>2.0761561400894431E-3</v>
      </c>
      <c r="Q12" s="12">
        <v>60312</v>
      </c>
      <c r="R12" s="4">
        <v>31000000</v>
      </c>
      <c r="S12" s="10">
        <f>R12</f>
        <v>31000000</v>
      </c>
      <c r="T12" s="9">
        <f>S12/Q12</f>
        <v>513.99389839501259</v>
      </c>
      <c r="U12" s="8">
        <f>T12/T$104</f>
        <v>4.291878780932022E-3</v>
      </c>
      <c r="V12" s="8" t="e">
        <f>U12+V11</f>
        <v>#REF!</v>
      </c>
      <c r="W12" s="14"/>
      <c r="X12" s="14"/>
      <c r="Y12" s="14"/>
    </row>
    <row r="13" spans="1:25" ht="14.25" customHeight="1" x14ac:dyDescent="0.25">
      <c r="A13" s="16">
        <v>44782</v>
      </c>
      <c r="B13" s="8">
        <v>12</v>
      </c>
      <c r="C13" s="14">
        <v>60389</v>
      </c>
      <c r="D13" s="15">
        <v>37000000</v>
      </c>
      <c r="E13" s="35">
        <v>60379</v>
      </c>
      <c r="F13" s="7">
        <v>31000000</v>
      </c>
      <c r="G13" s="14"/>
      <c r="H13" s="8"/>
      <c r="I13" s="8"/>
      <c r="J13" s="8"/>
      <c r="K13" s="8"/>
      <c r="L13" s="8">
        <v>60348</v>
      </c>
      <c r="M13" s="14">
        <v>60320</v>
      </c>
      <c r="N13" s="13">
        <f>101/$Q$102*(O13)</f>
        <v>1.3435764408527055E-2</v>
      </c>
      <c r="O13" s="13">
        <f>Q13-Q12</f>
        <v>8</v>
      </c>
      <c r="P13" s="13">
        <f>$B$26/SQRT($Q$26)*(SQRT(Q13)-SQRT(Q12))</f>
        <v>1.6608009901939887E-3</v>
      </c>
      <c r="Q13" s="12">
        <v>60320</v>
      </c>
      <c r="R13" s="11">
        <v>37000000</v>
      </c>
      <c r="S13" s="10">
        <f>R13</f>
        <v>37000000</v>
      </c>
      <c r="T13" s="9">
        <f>S13/Q13</f>
        <v>613.39522546419096</v>
      </c>
      <c r="U13" s="8">
        <f>T13/T$104</f>
        <v>5.1218856113182205E-3</v>
      </c>
      <c r="V13" s="8" t="e">
        <f>U13+V12</f>
        <v>#REF!</v>
      </c>
      <c r="W13" s="14"/>
      <c r="X13" s="14"/>
      <c r="Y13" s="14"/>
    </row>
    <row r="14" spans="1:25" ht="14.25" customHeight="1" x14ac:dyDescent="0.25">
      <c r="A14" s="16">
        <v>44783</v>
      </c>
      <c r="B14" s="8">
        <v>13</v>
      </c>
      <c r="C14" s="14">
        <v>60389</v>
      </c>
      <c r="D14" s="15">
        <v>41700000</v>
      </c>
      <c r="E14" s="14">
        <v>60389</v>
      </c>
      <c r="F14" s="15">
        <v>37000000</v>
      </c>
      <c r="G14" s="8"/>
      <c r="H14" s="8"/>
      <c r="I14" s="8"/>
      <c r="J14" s="8"/>
      <c r="K14" s="8"/>
      <c r="L14" s="8">
        <v>60356</v>
      </c>
      <c r="M14" s="14">
        <v>60320</v>
      </c>
      <c r="N14" s="13">
        <f>101/$Q$102*(O14)</f>
        <v>0</v>
      </c>
      <c r="O14" s="13">
        <f>Q14-Q13</f>
        <v>0</v>
      </c>
      <c r="P14" s="13">
        <f>$B$26/SQRT($Q$26)*(SQRT(Q14)-SQRT(Q13))</f>
        <v>0</v>
      </c>
      <c r="Q14" s="12">
        <v>60320</v>
      </c>
      <c r="R14" s="11">
        <v>41700000</v>
      </c>
      <c r="S14" s="10">
        <f>R14</f>
        <v>41700000</v>
      </c>
      <c r="T14" s="9">
        <f>S14/Q14</f>
        <v>691.31299734748006</v>
      </c>
      <c r="U14" s="8">
        <f>T14/T$104</f>
        <v>5.7725035132964808E-3</v>
      </c>
      <c r="V14" s="8" t="e">
        <f>U14+V13</f>
        <v>#REF!</v>
      </c>
      <c r="W14" s="8"/>
      <c r="X14" s="8"/>
      <c r="Y14" s="8"/>
    </row>
    <row r="15" spans="1:25" ht="14.25" customHeight="1" x14ac:dyDescent="0.25">
      <c r="A15" s="16">
        <v>44784</v>
      </c>
      <c r="B15" s="8">
        <v>14</v>
      </c>
      <c r="C15" s="14">
        <v>60389</v>
      </c>
      <c r="D15" s="15">
        <v>41700000</v>
      </c>
      <c r="E15" s="14">
        <v>60389</v>
      </c>
      <c r="F15" s="15">
        <v>41700000</v>
      </c>
      <c r="G15" s="14"/>
      <c r="H15" s="8"/>
      <c r="I15" s="8"/>
      <c r="J15" s="8"/>
      <c r="K15" s="8"/>
      <c r="L15" s="8"/>
      <c r="M15" s="14">
        <v>60320</v>
      </c>
      <c r="N15" s="13">
        <f>101/$Q$102*(O15)</f>
        <v>0</v>
      </c>
      <c r="O15" s="13">
        <f>Q15-Q14</f>
        <v>0</v>
      </c>
      <c r="P15" s="13">
        <f>$B$26/SQRT($Q$26)*(SQRT(Q15)-SQRT(Q14))</f>
        <v>0</v>
      </c>
      <c r="Q15" s="12">
        <v>60320</v>
      </c>
      <c r="R15" s="11">
        <v>41700000</v>
      </c>
      <c r="S15" s="10">
        <f>R15</f>
        <v>41700000</v>
      </c>
      <c r="T15" s="9">
        <f>S15/Q15</f>
        <v>691.31299734748006</v>
      </c>
      <c r="U15" s="8">
        <f>T15/T$104</f>
        <v>5.7725035132964808E-3</v>
      </c>
      <c r="V15" s="8" t="e">
        <f>U15+V14</f>
        <v>#REF!</v>
      </c>
      <c r="W15" s="8"/>
      <c r="X15" s="8"/>
      <c r="Y15" s="8"/>
    </row>
    <row r="16" spans="1:25" ht="14.25" customHeight="1" x14ac:dyDescent="0.25">
      <c r="A16" s="16">
        <v>44785</v>
      </c>
      <c r="B16" s="8">
        <v>15</v>
      </c>
      <c r="C16" s="14">
        <v>60392</v>
      </c>
      <c r="D16" s="15">
        <v>48800000</v>
      </c>
      <c r="E16" s="14">
        <v>60389</v>
      </c>
      <c r="F16" s="27">
        <v>44500000</v>
      </c>
      <c r="G16" s="14"/>
      <c r="H16" s="8"/>
      <c r="I16" s="8"/>
      <c r="J16" s="8"/>
      <c r="K16" s="8"/>
      <c r="L16" s="8"/>
      <c r="M16" s="14">
        <v>60320</v>
      </c>
      <c r="N16" s="13">
        <f>101/$Q$102*(O16)</f>
        <v>0</v>
      </c>
      <c r="O16" s="13">
        <f>Q16-Q15</f>
        <v>0</v>
      </c>
      <c r="P16" s="13">
        <f>$B$26/SQRT($Q$26)*(SQRT(Q16)-SQRT(Q15))</f>
        <v>0</v>
      </c>
      <c r="Q16" s="12">
        <v>60320</v>
      </c>
      <c r="R16" s="11">
        <v>48800000</v>
      </c>
      <c r="S16" s="10">
        <f>R16</f>
        <v>48800000</v>
      </c>
      <c r="T16" s="9">
        <f>S16/Q16</f>
        <v>809.0185676392573</v>
      </c>
      <c r="U16" s="8">
        <f>T16/T$104</f>
        <v>6.7553518333061937E-3</v>
      </c>
      <c r="V16" s="8" t="e">
        <f>U16+V15</f>
        <v>#REF!</v>
      </c>
      <c r="W16" s="8"/>
      <c r="X16" s="8"/>
      <c r="Y16" s="8"/>
    </row>
    <row r="17" spans="1:31" ht="14.25" customHeight="1" x14ac:dyDescent="0.25">
      <c r="A17" s="16">
        <v>44786</v>
      </c>
      <c r="B17" s="8">
        <v>16</v>
      </c>
      <c r="C17" s="14">
        <v>60392</v>
      </c>
      <c r="D17" s="15">
        <v>51400000</v>
      </c>
      <c r="E17" s="8">
        <v>60392</v>
      </c>
      <c r="F17" s="27">
        <v>48800000</v>
      </c>
      <c r="G17" s="14"/>
      <c r="H17" s="8"/>
      <c r="I17" s="8"/>
      <c r="J17" s="8"/>
      <c r="K17" s="8"/>
      <c r="L17" s="8"/>
      <c r="M17" s="14">
        <v>60320</v>
      </c>
      <c r="N17" s="13">
        <f>101/$Q$102*(O17)</f>
        <v>0</v>
      </c>
      <c r="O17" s="13">
        <f>Q17-Q16</f>
        <v>0</v>
      </c>
      <c r="P17" s="13">
        <f>$B$26/SQRT($Q$26)*(SQRT(Q17)-SQRT(Q16))</f>
        <v>0</v>
      </c>
      <c r="Q17" s="12">
        <v>60320</v>
      </c>
      <c r="R17" s="11">
        <v>51400000</v>
      </c>
      <c r="S17" s="10">
        <f>R17</f>
        <v>51400000</v>
      </c>
      <c r="T17" s="9">
        <f>S17/Q17</f>
        <v>852.12201591511939</v>
      </c>
      <c r="U17" s="8">
        <f>T17/T$104</f>
        <v>7.115268119506934E-3</v>
      </c>
      <c r="V17" s="8" t="e">
        <f>U17+V16</f>
        <v>#REF!</v>
      </c>
      <c r="W17" s="8"/>
      <c r="X17" s="8"/>
      <c r="Y17" s="8"/>
    </row>
    <row r="18" spans="1:31" ht="14.25" customHeight="1" x14ac:dyDescent="0.25">
      <c r="A18" s="16">
        <v>44787</v>
      </c>
      <c r="B18" s="8">
        <v>17</v>
      </c>
      <c r="C18" s="14"/>
      <c r="D18" s="15"/>
      <c r="E18" s="8">
        <v>60392</v>
      </c>
      <c r="F18" s="27">
        <v>51400000</v>
      </c>
      <c r="G18" s="14"/>
      <c r="H18" s="8"/>
      <c r="I18" s="8"/>
      <c r="J18" s="8"/>
      <c r="K18" s="8"/>
      <c r="L18" s="8"/>
      <c r="M18" s="14">
        <v>60320</v>
      </c>
      <c r="N18" s="13">
        <f>101/$Q$102*(O18)</f>
        <v>0</v>
      </c>
      <c r="O18" s="13">
        <f>Q18-Q17</f>
        <v>0</v>
      </c>
      <c r="P18" s="13">
        <f>$B$26/SQRT($Q$26)*(SQRT(Q18)-SQRT(Q17))</f>
        <v>0</v>
      </c>
      <c r="Q18" s="12">
        <v>60320</v>
      </c>
      <c r="R18" s="11">
        <v>51400000</v>
      </c>
      <c r="S18" s="10">
        <f>R18</f>
        <v>51400000</v>
      </c>
      <c r="T18" s="9">
        <f>S18/Q18</f>
        <v>852.12201591511939</v>
      </c>
      <c r="U18" s="8">
        <f>T18/T$104</f>
        <v>7.115268119506934E-3</v>
      </c>
      <c r="V18" s="8" t="e">
        <f>U18+V17</f>
        <v>#REF!</v>
      </c>
      <c r="W18" s="8"/>
      <c r="X18" s="8"/>
      <c r="Y18" s="8"/>
    </row>
    <row r="19" spans="1:31" ht="14.25" customHeight="1" x14ac:dyDescent="0.25">
      <c r="A19" s="16">
        <v>44788</v>
      </c>
      <c r="B19" s="8">
        <v>18</v>
      </c>
      <c r="C19" s="14">
        <v>60392</v>
      </c>
      <c r="D19" s="15">
        <v>57800000</v>
      </c>
      <c r="G19" s="14"/>
      <c r="H19" s="8"/>
      <c r="I19" s="8"/>
      <c r="J19" s="8"/>
      <c r="K19" s="8"/>
      <c r="L19" s="8"/>
      <c r="M19" s="14">
        <v>60320</v>
      </c>
      <c r="N19" s="13">
        <f>101/$Q$102*(O19)</f>
        <v>0</v>
      </c>
      <c r="O19" s="13">
        <f>Q19-Q18</f>
        <v>0</v>
      </c>
      <c r="P19" s="13">
        <f>$B$26/SQRT($Q$26)*(SQRT(Q19)-SQRT(Q18))</f>
        <v>0</v>
      </c>
      <c r="Q19" s="12">
        <v>60320</v>
      </c>
      <c r="R19" s="11">
        <v>57800000</v>
      </c>
      <c r="S19" s="10">
        <f>R19</f>
        <v>57800000</v>
      </c>
      <c r="T19" s="9">
        <f>S19/Q19</f>
        <v>958.22281167108758</v>
      </c>
      <c r="U19" s="8">
        <f>T19/T$104</f>
        <v>8.0012159009241399E-3</v>
      </c>
      <c r="V19" s="8" t="e">
        <f>U19+V18</f>
        <v>#REF!</v>
      </c>
      <c r="W19" s="8"/>
      <c r="X19" s="8"/>
      <c r="Y19" s="8"/>
    </row>
    <row r="20" spans="1:31" ht="14.25" customHeight="1" x14ac:dyDescent="0.25">
      <c r="A20" s="16">
        <v>44789</v>
      </c>
      <c r="B20" s="8">
        <v>19</v>
      </c>
      <c r="C20" s="14">
        <v>60392</v>
      </c>
      <c r="D20" s="15">
        <v>59500000</v>
      </c>
      <c r="E20" s="8">
        <v>60392</v>
      </c>
      <c r="F20" s="27">
        <v>57800000</v>
      </c>
      <c r="G20" s="14"/>
      <c r="H20" s="8"/>
      <c r="I20" s="8"/>
      <c r="J20" s="8"/>
      <c r="K20" s="8"/>
      <c r="L20" s="8"/>
      <c r="M20" s="8">
        <v>60232</v>
      </c>
      <c r="N20" s="13">
        <f>101/$Q$102*(O20)</f>
        <v>0.1209218796767435</v>
      </c>
      <c r="O20" s="13">
        <f>Q20-Q19</f>
        <v>72</v>
      </c>
      <c r="P20" s="13">
        <f>$B$26/SQRT($Q$26)*(SQRT(Q20)-SQRT(Q19))</f>
        <v>1.4942255732037852E-2</v>
      </c>
      <c r="Q20" s="28">
        <v>60392</v>
      </c>
      <c r="R20" s="11">
        <v>59500000</v>
      </c>
      <c r="S20" s="10">
        <f>R20</f>
        <v>59500000</v>
      </c>
      <c r="T20" s="9">
        <f>S20/Q20</f>
        <v>985.2298317657968</v>
      </c>
      <c r="U20" s="8">
        <f>T20/T$104</f>
        <v>8.2267260807971469E-3</v>
      </c>
      <c r="V20" s="8" t="e">
        <f>U20+V19</f>
        <v>#REF!</v>
      </c>
      <c r="W20" s="8"/>
      <c r="X20" s="8"/>
      <c r="Y20" s="8"/>
    </row>
    <row r="21" spans="1:31" ht="14.25" customHeight="1" x14ac:dyDescent="0.25">
      <c r="A21" s="16">
        <v>44790</v>
      </c>
      <c r="B21" s="8">
        <v>20</v>
      </c>
      <c r="C21" s="14">
        <v>60392</v>
      </c>
      <c r="D21" s="15">
        <v>60900000</v>
      </c>
      <c r="E21" s="8">
        <v>60392</v>
      </c>
      <c r="F21" s="27">
        <v>59500000</v>
      </c>
      <c r="G21" s="14"/>
      <c r="H21" s="8"/>
      <c r="I21" s="8"/>
      <c r="J21" s="8"/>
      <c r="K21" s="8"/>
      <c r="L21" s="8"/>
      <c r="M21" s="8"/>
      <c r="N21" s="13">
        <f>101/$Q$102*(O21)</f>
        <v>0</v>
      </c>
      <c r="O21" s="13">
        <f>Q21-Q20</f>
        <v>0</v>
      </c>
      <c r="P21" s="13">
        <f>$B$26/SQRT($Q$26)*(SQRT(Q21)-SQRT(Q20))</f>
        <v>0</v>
      </c>
      <c r="Q21" s="12">
        <v>60392</v>
      </c>
      <c r="R21" s="11">
        <v>60900000</v>
      </c>
      <c r="S21" s="10">
        <f>R21</f>
        <v>60900000</v>
      </c>
      <c r="T21" s="9">
        <f>S21/Q21</f>
        <v>1008.4117101602861</v>
      </c>
      <c r="U21" s="8">
        <f>T21/T$104</f>
        <v>8.420296106227668E-3</v>
      </c>
      <c r="V21" s="8" t="e">
        <f>U21+V20</f>
        <v>#REF!</v>
      </c>
      <c r="W21" s="8"/>
      <c r="X21" s="8"/>
      <c r="Y21" s="8"/>
    </row>
    <row r="22" spans="1:31" ht="14.25" customHeight="1" x14ac:dyDescent="0.25">
      <c r="A22" s="16">
        <v>44791</v>
      </c>
      <c r="B22" s="8">
        <v>21</v>
      </c>
      <c r="C22" s="14">
        <v>60392</v>
      </c>
      <c r="D22" s="15">
        <v>62500000</v>
      </c>
      <c r="E22" s="8">
        <v>60392</v>
      </c>
      <c r="F22" s="27">
        <v>60900000</v>
      </c>
      <c r="G22" s="14"/>
      <c r="H22" s="8"/>
      <c r="I22" s="8"/>
      <c r="J22" s="8"/>
      <c r="K22" s="8"/>
      <c r="L22" s="8"/>
      <c r="M22" s="8"/>
      <c r="N22" s="13">
        <f>101/$Q$102*(O22)</f>
        <v>0</v>
      </c>
      <c r="O22" s="13">
        <f>Q22-Q21</f>
        <v>0</v>
      </c>
      <c r="P22" s="13">
        <f>$B$26/SQRT($Q$26)*(SQRT(Q22)-SQRT(Q21))</f>
        <v>0</v>
      </c>
      <c r="Q22" s="12">
        <v>60392</v>
      </c>
      <c r="R22" s="11">
        <v>62500000</v>
      </c>
      <c r="S22" s="10">
        <f>R22</f>
        <v>62500000</v>
      </c>
      <c r="T22" s="9">
        <f>S22/Q22</f>
        <v>1034.9052854682739</v>
      </c>
      <c r="U22" s="8">
        <f>T22/T$104</f>
        <v>8.6415189924339761E-3</v>
      </c>
      <c r="V22" s="8" t="e">
        <f>U22+V21</f>
        <v>#REF!</v>
      </c>
      <c r="W22" s="8"/>
      <c r="X22" s="8"/>
      <c r="Y22" s="8"/>
    </row>
    <row r="23" spans="1:31" ht="14.25" customHeight="1" x14ac:dyDescent="0.25">
      <c r="A23" s="16">
        <v>44792</v>
      </c>
      <c r="B23" s="8">
        <v>22</v>
      </c>
      <c r="D23" s="15"/>
      <c r="E23" s="8">
        <v>60392</v>
      </c>
      <c r="F23" s="27">
        <v>62500000</v>
      </c>
      <c r="G23" s="14"/>
      <c r="H23" s="8"/>
      <c r="I23" s="8"/>
      <c r="J23" s="8"/>
      <c r="K23" s="8"/>
      <c r="L23" s="8"/>
      <c r="M23" s="8">
        <v>60146</v>
      </c>
      <c r="N23" s="13">
        <f>101/$Q$102*(O23)</f>
        <v>-0.41314975556220696</v>
      </c>
      <c r="O23" s="13">
        <f>Q23-Q22</f>
        <v>-246</v>
      </c>
      <c r="P23" s="13">
        <f>$B$26/SQRT($Q$26)*(SQRT(Q23)-SQRT(Q22))</f>
        <v>-5.1089566133983695E-2</v>
      </c>
      <c r="Q23" s="28">
        <v>60146</v>
      </c>
      <c r="R23" s="11">
        <v>62500000</v>
      </c>
      <c r="S23" s="10">
        <f>R23</f>
        <v>62500000</v>
      </c>
      <c r="T23" s="9">
        <f>S23/Q23</f>
        <v>1039.1380972965783</v>
      </c>
      <c r="U23" s="8">
        <f>T23/T$104</f>
        <v>8.6768632160255498E-3</v>
      </c>
      <c r="V23" s="8" t="e">
        <f>U23+V22</f>
        <v>#REF!</v>
      </c>
      <c r="W23" s="8"/>
      <c r="X23" s="8"/>
      <c r="Y23" s="8"/>
    </row>
    <row r="24" spans="1:31" ht="14.25" customHeight="1" x14ac:dyDescent="0.25">
      <c r="A24" s="16">
        <v>44793</v>
      </c>
      <c r="B24" s="8">
        <v>23</v>
      </c>
      <c r="C24" s="14">
        <v>60138</v>
      </c>
      <c r="D24" s="15">
        <v>63700000</v>
      </c>
      <c r="E24" s="8">
        <v>60392</v>
      </c>
      <c r="F24" s="27">
        <v>64900000</v>
      </c>
      <c r="G24" s="14"/>
      <c r="H24" s="8"/>
      <c r="I24" s="8"/>
      <c r="J24" s="8"/>
      <c r="K24" s="8"/>
      <c r="L24" s="8"/>
      <c r="M24" s="8">
        <v>60097</v>
      </c>
      <c r="N24" s="13">
        <f>101/$Q$102*(O24)</f>
        <v>-8.2294057002228208E-2</v>
      </c>
      <c r="O24" s="13">
        <f>Q24-Q23</f>
        <v>-49</v>
      </c>
      <c r="P24" s="13">
        <f>$B$26/SQRT($Q$26)*(SQRT(Q24)-SQRT(Q23))</f>
        <v>-1.0188847438864109E-2</v>
      </c>
      <c r="Q24" s="28">
        <v>60097</v>
      </c>
      <c r="R24" s="11">
        <v>63700000</v>
      </c>
      <c r="S24" s="10">
        <f>R24</f>
        <v>63700000</v>
      </c>
      <c r="T24" s="9">
        <f>S24/Q24</f>
        <v>1059.9530758606918</v>
      </c>
      <c r="U24" s="8">
        <f>T24/T$104</f>
        <v>8.8506694909712847E-3</v>
      </c>
      <c r="V24" s="8" t="e">
        <f>U24+V23</f>
        <v>#REF!</v>
      </c>
      <c r="W24" s="8"/>
      <c r="X24" s="8"/>
      <c r="Y24" s="8"/>
    </row>
    <row r="25" spans="1:31" ht="14.25" customHeight="1" x14ac:dyDescent="0.25">
      <c r="A25" s="16">
        <v>44794</v>
      </c>
      <c r="B25" s="8">
        <v>24</v>
      </c>
      <c r="C25" s="14">
        <v>60138</v>
      </c>
      <c r="D25" s="15">
        <v>67300000</v>
      </c>
      <c r="E25" s="8">
        <v>60138</v>
      </c>
      <c r="F25" s="27">
        <v>67300000</v>
      </c>
      <c r="G25" s="14"/>
      <c r="H25" s="8"/>
      <c r="I25" s="8"/>
      <c r="J25" s="8"/>
      <c r="K25" s="8"/>
      <c r="L25" s="8"/>
      <c r="M25" s="8">
        <v>60075</v>
      </c>
      <c r="N25" s="13">
        <f>101/$Q$102*(O25)</f>
        <v>-3.69483521234494E-2</v>
      </c>
      <c r="O25" s="13">
        <f>Q25-Q24</f>
        <v>-22</v>
      </c>
      <c r="P25" s="13">
        <f>$B$26/SQRT($Q$26)*(SQRT(Q25)-SQRT(Q24))</f>
        <v>-4.5759356666480741E-3</v>
      </c>
      <c r="Q25" s="28">
        <v>60075</v>
      </c>
      <c r="R25" s="11">
        <v>67300000</v>
      </c>
      <c r="S25" s="10">
        <f>R25</f>
        <v>67300000</v>
      </c>
      <c r="T25" s="9">
        <f>S25/Q25</f>
        <v>1120.2663337494798</v>
      </c>
      <c r="U25" s="8">
        <f>T25/T$104</f>
        <v>9.3542886828528876E-3</v>
      </c>
      <c r="V25" s="8" t="e">
        <f>U25+V24</f>
        <v>#REF!</v>
      </c>
      <c r="W25" s="8"/>
      <c r="X25" s="8"/>
      <c r="Y25" s="8"/>
    </row>
    <row r="26" spans="1:31" ht="14.25" customHeight="1" x14ac:dyDescent="0.25">
      <c r="A26" s="34">
        <v>44795</v>
      </c>
      <c r="B26" s="8">
        <v>25</v>
      </c>
      <c r="C26" s="32">
        <v>60138</v>
      </c>
      <c r="D26" s="31">
        <v>68000000</v>
      </c>
      <c r="E26" s="30">
        <v>60138</v>
      </c>
      <c r="F26" s="33">
        <v>67300000</v>
      </c>
      <c r="G26" s="32"/>
      <c r="H26" s="30"/>
      <c r="I26" s="30"/>
      <c r="J26" s="30"/>
      <c r="K26" s="30"/>
      <c r="L26" s="30"/>
      <c r="M26" s="30">
        <v>60138</v>
      </c>
      <c r="N26" s="13">
        <f>101/$Q$102*(O26)</f>
        <v>5.5422528185174104E-2</v>
      </c>
      <c r="O26" s="13">
        <f>Q26-Q25</f>
        <v>33</v>
      </c>
      <c r="P26" s="13">
        <f>$B$26/SQRT($Q$26)*(SQRT(Q26)-SQRT(Q25))</f>
        <v>6.8635894121692378E-3</v>
      </c>
      <c r="Q26" s="30">
        <v>60108</v>
      </c>
      <c r="R26" s="31">
        <v>68000000</v>
      </c>
      <c r="S26" s="31">
        <f>R26</f>
        <v>68000000</v>
      </c>
      <c r="T26" s="31">
        <f>S26/Q26</f>
        <v>1131.2969987356093</v>
      </c>
      <c r="U26" s="30">
        <f>T26/T$104</f>
        <v>9.446395373499155E-3</v>
      </c>
      <c r="V26" s="30" t="e">
        <f>U26+V25</f>
        <v>#REF!</v>
      </c>
      <c r="W26" s="30"/>
      <c r="X26" s="30"/>
      <c r="Y26" s="30"/>
      <c r="Z26" s="29"/>
      <c r="AA26" s="29"/>
      <c r="AB26" s="29"/>
      <c r="AC26" s="29"/>
      <c r="AD26" s="29"/>
      <c r="AE26" s="29"/>
    </row>
    <row r="27" spans="1:31" ht="14.25" customHeight="1" x14ac:dyDescent="0.25">
      <c r="A27" s="16">
        <v>44796</v>
      </c>
      <c r="B27" s="8">
        <v>26</v>
      </c>
      <c r="C27" s="14">
        <v>60138</v>
      </c>
      <c r="D27" s="15">
        <v>69000000</v>
      </c>
      <c r="E27" s="8">
        <v>60138</v>
      </c>
      <c r="F27" s="27">
        <v>68000000</v>
      </c>
      <c r="G27" s="14"/>
      <c r="H27" s="8"/>
      <c r="I27" s="8"/>
      <c r="J27" s="8"/>
      <c r="K27" s="8"/>
      <c r="L27" s="8"/>
      <c r="M27" s="8">
        <v>60107</v>
      </c>
      <c r="N27" s="13">
        <f>101/$Q$102*(O27)</f>
        <v>-1.6794705510658819E-3</v>
      </c>
      <c r="O27" s="13">
        <f>Q27-Q26</f>
        <v>-1</v>
      </c>
      <c r="P27" s="13">
        <f>$B$26/SQRT($Q$26)*(SQRT(Q27)-SQRT(Q26))</f>
        <v>-2.0795987206812593E-4</v>
      </c>
      <c r="Q27" s="28">
        <v>60107</v>
      </c>
      <c r="R27" s="11">
        <v>69000000</v>
      </c>
      <c r="S27" s="10">
        <f>R27</f>
        <v>69000000</v>
      </c>
      <c r="T27" s="9">
        <f>S27/Q27</f>
        <v>1147.9528174755021</v>
      </c>
      <c r="U27" s="8">
        <f>T27/T$104</f>
        <v>9.5854724233474364E-3</v>
      </c>
      <c r="V27" s="8" t="e">
        <f>U27+V26</f>
        <v>#REF!</v>
      </c>
      <c r="W27" s="8"/>
      <c r="X27" s="8"/>
      <c r="Y27" s="8"/>
    </row>
    <row r="28" spans="1:31" ht="14.25" customHeight="1" x14ac:dyDescent="0.25">
      <c r="A28" s="16">
        <v>44797</v>
      </c>
      <c r="B28" s="8">
        <v>27</v>
      </c>
      <c r="C28" s="14">
        <v>60138</v>
      </c>
      <c r="D28" s="15">
        <v>70100000</v>
      </c>
      <c r="E28" s="8">
        <v>60138</v>
      </c>
      <c r="F28" s="27">
        <v>69000000</v>
      </c>
      <c r="G28" s="14"/>
      <c r="H28" s="8"/>
      <c r="I28" s="8"/>
      <c r="J28" s="8"/>
      <c r="K28" s="8"/>
      <c r="L28" s="8"/>
      <c r="M28" s="8"/>
      <c r="N28" s="13">
        <f>101/$Q$102*(O28)</f>
        <v>5.2063587083042338E-2</v>
      </c>
      <c r="O28" s="13">
        <f>Q28-Q27</f>
        <v>31</v>
      </c>
      <c r="P28" s="13">
        <f>$B$26/SQRT($Q$26)*(SQRT(Q28)-SQRT(Q27))</f>
        <v>6.4459518348092271E-3</v>
      </c>
      <c r="Q28" s="12">
        <v>60138</v>
      </c>
      <c r="R28" s="11">
        <v>70100000</v>
      </c>
      <c r="S28" s="10">
        <f>R28</f>
        <v>70100000</v>
      </c>
      <c r="T28" s="9">
        <f>S28/Q28</f>
        <v>1165.6523329675081</v>
      </c>
      <c r="U28" s="8">
        <f>T28/T$104</f>
        <v>9.7332644014431341E-3</v>
      </c>
      <c r="V28" s="8" t="e">
        <f>U28+V27</f>
        <v>#REF!</v>
      </c>
      <c r="W28" s="8"/>
      <c r="X28" s="8"/>
      <c r="Y28" s="8"/>
    </row>
    <row r="29" spans="1:31" ht="14.25" customHeight="1" x14ac:dyDescent="0.25">
      <c r="A29" s="16">
        <v>44798</v>
      </c>
      <c r="B29" s="8">
        <v>28</v>
      </c>
      <c r="C29" s="14">
        <v>60138</v>
      </c>
      <c r="D29" s="15">
        <v>71000000</v>
      </c>
      <c r="E29" s="8">
        <v>60138</v>
      </c>
      <c r="F29" s="27">
        <v>70100000</v>
      </c>
      <c r="G29" s="14"/>
      <c r="H29" s="8"/>
      <c r="I29" s="8"/>
      <c r="J29" s="8"/>
      <c r="K29" s="8"/>
      <c r="L29" s="8"/>
      <c r="M29" s="8"/>
      <c r="N29" s="13">
        <f>101/$Q$102*(O29)</f>
        <v>0</v>
      </c>
      <c r="O29" s="13">
        <f>Q29-Q28</f>
        <v>0</v>
      </c>
      <c r="P29" s="13">
        <f>$B$26/SQRT($Q$26)*(SQRT(Q29)-SQRT(Q28))</f>
        <v>0</v>
      </c>
      <c r="Q29" s="12">
        <v>60138</v>
      </c>
      <c r="R29" s="11">
        <v>71000000</v>
      </c>
      <c r="S29" s="10">
        <f>R29</f>
        <v>71000000</v>
      </c>
      <c r="T29" s="9">
        <f>S29/Q29</f>
        <v>1180.6179121354219</v>
      </c>
      <c r="U29" s="8">
        <f>T29/T$104</f>
        <v>9.8582278531021764E-3</v>
      </c>
      <c r="V29" s="8" t="e">
        <f>U29+V28</f>
        <v>#REF!</v>
      </c>
      <c r="W29" s="8"/>
      <c r="X29" s="8"/>
      <c r="Y29" s="8"/>
    </row>
    <row r="30" spans="1:31" ht="14.25" customHeight="1" x14ac:dyDescent="0.25">
      <c r="A30" s="16">
        <v>44799</v>
      </c>
      <c r="B30" s="8">
        <v>29</v>
      </c>
      <c r="C30" s="14">
        <v>60138</v>
      </c>
      <c r="D30" s="15">
        <v>71900000</v>
      </c>
      <c r="E30" s="8">
        <v>60138</v>
      </c>
      <c r="F30" s="27">
        <v>71000000</v>
      </c>
      <c r="G30" s="14"/>
      <c r="H30" s="14"/>
      <c r="I30" s="14"/>
      <c r="J30" s="14"/>
      <c r="K30" s="14"/>
      <c r="L30" s="14"/>
      <c r="M30" s="8">
        <v>60107</v>
      </c>
      <c r="N30" s="13">
        <f>101/$Q$102*(O30)</f>
        <v>0</v>
      </c>
      <c r="O30" s="13">
        <f>Q30-Q29</f>
        <v>0</v>
      </c>
      <c r="P30" s="13">
        <f>$B$26/SQRT($Q$26)*(SQRT(Q30)-SQRT(Q29))</f>
        <v>0</v>
      </c>
      <c r="Q30" s="12">
        <v>60138</v>
      </c>
      <c r="R30" s="11">
        <v>71900000</v>
      </c>
      <c r="S30" s="10">
        <f>R30</f>
        <v>71900000</v>
      </c>
      <c r="T30" s="9">
        <f>S30/Q30</f>
        <v>1195.5834913033357</v>
      </c>
      <c r="U30" s="8">
        <f>T30/T$104</f>
        <v>9.9831913047612186E-3</v>
      </c>
      <c r="V30" s="8" t="e">
        <f>U30+V29</f>
        <v>#REF!</v>
      </c>
      <c r="W30" s="8"/>
      <c r="X30" s="8"/>
      <c r="Y30" s="8"/>
    </row>
    <row r="31" spans="1:31" ht="14.25" customHeight="1" x14ac:dyDescent="0.25">
      <c r="A31" s="16">
        <v>44800</v>
      </c>
      <c r="B31" s="8">
        <v>30</v>
      </c>
      <c r="C31" s="14">
        <v>60138</v>
      </c>
      <c r="D31" s="15">
        <v>72800000</v>
      </c>
      <c r="E31" s="8">
        <v>60138</v>
      </c>
      <c r="F31" s="27">
        <v>71900000</v>
      </c>
      <c r="G31" s="14"/>
      <c r="H31" s="8"/>
      <c r="I31" s="8"/>
      <c r="J31" s="8"/>
      <c r="K31" s="8"/>
      <c r="L31" s="8"/>
      <c r="M31" s="8"/>
      <c r="N31" s="13">
        <f>101/$Q$102*(O31)</f>
        <v>0</v>
      </c>
      <c r="O31" s="13">
        <f>Q31-Q30</f>
        <v>0</v>
      </c>
      <c r="P31" s="13">
        <f>$B$26/SQRT($Q$26)*(SQRT(Q31)-SQRT(Q30))</f>
        <v>0</v>
      </c>
      <c r="Q31" s="12">
        <v>60138</v>
      </c>
      <c r="R31" s="11">
        <v>72800000</v>
      </c>
      <c r="S31" s="10">
        <f>R31</f>
        <v>72800000</v>
      </c>
      <c r="T31" s="9">
        <f>S31/Q31</f>
        <v>1210.5490704712495</v>
      </c>
      <c r="U31" s="8">
        <f>T31/T$104</f>
        <v>1.0108154756420259E-2</v>
      </c>
      <c r="V31" s="8" t="e">
        <f>U31+V30</f>
        <v>#REF!</v>
      </c>
      <c r="W31" s="8"/>
      <c r="X31" s="8"/>
      <c r="Y31" s="8"/>
    </row>
    <row r="32" spans="1:31" ht="14.25" customHeight="1" x14ac:dyDescent="0.25">
      <c r="A32" s="16">
        <v>44801</v>
      </c>
      <c r="B32" s="8">
        <v>31</v>
      </c>
      <c r="C32" s="14">
        <v>60138</v>
      </c>
      <c r="D32" s="15">
        <v>73300000</v>
      </c>
      <c r="E32" s="8">
        <v>60138</v>
      </c>
      <c r="F32" s="27">
        <v>72800000</v>
      </c>
      <c r="G32" s="14"/>
      <c r="H32" s="14"/>
      <c r="I32" s="14"/>
      <c r="J32" s="14"/>
      <c r="K32" s="14"/>
      <c r="L32" s="14"/>
      <c r="M32" s="8"/>
      <c r="N32" s="13">
        <f>101/$Q$102*(O32)</f>
        <v>0</v>
      </c>
      <c r="O32" s="13">
        <f>Q32-Q31</f>
        <v>0</v>
      </c>
      <c r="P32" s="13">
        <f>$B$26/SQRT($Q$26)*(SQRT(Q32)-SQRT(Q31))</f>
        <v>0</v>
      </c>
      <c r="Q32" s="12">
        <v>60138</v>
      </c>
      <c r="R32" s="11">
        <v>73300000</v>
      </c>
      <c r="S32" s="10">
        <f>R32</f>
        <v>73300000</v>
      </c>
      <c r="T32" s="9">
        <f>S32/Q32</f>
        <v>1218.8632811200905</v>
      </c>
      <c r="U32" s="8">
        <f>T32/T$104</f>
        <v>1.0177578896230839E-2</v>
      </c>
      <c r="V32" s="8" t="e">
        <f>U32+V31</f>
        <v>#REF!</v>
      </c>
      <c r="W32" s="8"/>
      <c r="X32" s="8"/>
      <c r="Y32" s="8"/>
    </row>
    <row r="33" spans="1:25" ht="14.25" customHeight="1" x14ac:dyDescent="0.25">
      <c r="A33" s="16">
        <v>44802</v>
      </c>
      <c r="B33" s="8">
        <v>32</v>
      </c>
      <c r="C33" s="14">
        <v>60138</v>
      </c>
      <c r="D33" s="15">
        <v>73400000</v>
      </c>
      <c r="E33" s="8">
        <v>60138</v>
      </c>
      <c r="F33" s="27">
        <v>73300000</v>
      </c>
      <c r="G33" s="14"/>
      <c r="H33" s="8"/>
      <c r="I33" s="8"/>
      <c r="J33" s="8"/>
      <c r="K33" s="8"/>
      <c r="L33" s="8"/>
      <c r="M33" s="8"/>
      <c r="N33" s="13">
        <f>101/$Q$102*(O33)</f>
        <v>0</v>
      </c>
      <c r="O33" s="13">
        <f>Q33-Q32</f>
        <v>0</v>
      </c>
      <c r="P33" s="13">
        <f>$B$26/SQRT($Q$26)*(SQRT(Q33)-SQRT(Q32))</f>
        <v>0</v>
      </c>
      <c r="Q33" s="12">
        <v>60138</v>
      </c>
      <c r="R33" s="11">
        <v>73400000</v>
      </c>
      <c r="S33" s="10">
        <f>R33</f>
        <v>73400000</v>
      </c>
      <c r="T33" s="9">
        <f>S33/Q33</f>
        <v>1220.5261232498588</v>
      </c>
      <c r="U33" s="8">
        <f>T33/T$104</f>
        <v>1.0191463724192955E-2</v>
      </c>
      <c r="V33" s="8" t="e">
        <f>U33+V32</f>
        <v>#REF!</v>
      </c>
      <c r="W33" s="14"/>
      <c r="X33" s="14"/>
      <c r="Y33" s="14"/>
    </row>
    <row r="34" spans="1:25" ht="14.25" customHeight="1" x14ac:dyDescent="0.25">
      <c r="A34" s="16">
        <v>44803</v>
      </c>
      <c r="B34" s="8">
        <v>33</v>
      </c>
      <c r="C34" s="14">
        <v>60138</v>
      </c>
      <c r="D34" s="15">
        <v>73700000</v>
      </c>
      <c r="E34" s="8">
        <v>60138</v>
      </c>
      <c r="F34" s="27">
        <v>73400000</v>
      </c>
      <c r="G34" s="14"/>
      <c r="H34" s="14"/>
      <c r="I34" s="14"/>
      <c r="J34" s="14"/>
      <c r="K34" s="14"/>
      <c r="L34" s="14"/>
      <c r="M34" s="8"/>
      <c r="N34" s="13">
        <f>101/$Q$102*(O34)</f>
        <v>0</v>
      </c>
      <c r="O34" s="13">
        <f>Q34-Q33</f>
        <v>0</v>
      </c>
      <c r="P34" s="13">
        <f>$B$26/SQRT($Q$26)*(SQRT(Q34)-SQRT(Q33))</f>
        <v>0</v>
      </c>
      <c r="Q34" s="12">
        <v>60138</v>
      </c>
      <c r="R34" s="11">
        <v>73700000</v>
      </c>
      <c r="S34" s="10">
        <f>R34</f>
        <v>73700000</v>
      </c>
      <c r="T34" s="9">
        <f>S34/Q34</f>
        <v>1225.5146496391633</v>
      </c>
      <c r="U34" s="8">
        <f>T34/T$104</f>
        <v>1.0233118208079301E-2</v>
      </c>
      <c r="V34" s="8" t="e">
        <f>U34+V33</f>
        <v>#REF!</v>
      </c>
      <c r="W34" s="14"/>
      <c r="X34" s="14"/>
      <c r="Y34" s="14"/>
    </row>
    <row r="35" spans="1:25" ht="14.25" customHeight="1" x14ac:dyDescent="0.25">
      <c r="A35" s="16">
        <v>44804</v>
      </c>
      <c r="B35" s="8">
        <v>34</v>
      </c>
      <c r="C35" s="14">
        <v>60138</v>
      </c>
      <c r="D35" s="15">
        <v>74000000</v>
      </c>
      <c r="E35" s="8">
        <v>60138</v>
      </c>
      <c r="F35" s="27">
        <v>73700000</v>
      </c>
      <c r="G35" s="14"/>
      <c r="H35" s="8"/>
      <c r="I35" s="8"/>
      <c r="J35" s="8"/>
      <c r="K35" s="8"/>
      <c r="L35" s="8"/>
      <c r="M35" s="8"/>
      <c r="N35" s="13">
        <f>101/$Q$102*(O35)</f>
        <v>0</v>
      </c>
      <c r="O35" s="13">
        <f>Q35-Q34</f>
        <v>0</v>
      </c>
      <c r="P35" s="13">
        <f>$B$26/SQRT($Q$26)*(SQRT(Q35)-SQRT(Q34))</f>
        <v>0</v>
      </c>
      <c r="Q35" s="12">
        <v>60138</v>
      </c>
      <c r="R35" s="11">
        <v>74000000</v>
      </c>
      <c r="S35" s="10">
        <f>R35</f>
        <v>74000000</v>
      </c>
      <c r="T35" s="9">
        <f>S35/Q35</f>
        <v>1230.5031760284678</v>
      </c>
      <c r="U35" s="8">
        <f>T35/T$104</f>
        <v>1.0274772691965648E-2</v>
      </c>
      <c r="V35" s="8" t="e">
        <f>U35+V34</f>
        <v>#REF!</v>
      </c>
      <c r="W35" s="8"/>
      <c r="X35" s="8"/>
      <c r="Y35" s="8"/>
    </row>
    <row r="36" spans="1:25" ht="14.25" customHeight="1" x14ac:dyDescent="0.25">
      <c r="A36" s="16">
        <v>44805</v>
      </c>
      <c r="B36" s="8">
        <v>35</v>
      </c>
      <c r="C36" s="14">
        <v>60138</v>
      </c>
      <c r="D36" s="15">
        <v>74500000</v>
      </c>
      <c r="E36" s="8">
        <v>60138</v>
      </c>
      <c r="F36" s="27">
        <v>4000000</v>
      </c>
      <c r="G36" s="14"/>
      <c r="H36" s="14"/>
      <c r="I36" s="14"/>
      <c r="J36" s="14"/>
      <c r="K36" s="14"/>
      <c r="L36" s="14"/>
      <c r="M36" s="8"/>
      <c r="N36" s="13">
        <f>101/$Q$102*(O36)</f>
        <v>0</v>
      </c>
      <c r="O36" s="13">
        <f>Q36-Q35</f>
        <v>0</v>
      </c>
      <c r="P36" s="13">
        <f>$B$26/SQRT($Q$26)*(SQRT(Q36)-SQRT(Q35))</f>
        <v>0</v>
      </c>
      <c r="Q36" s="12">
        <v>60138</v>
      </c>
      <c r="R36" s="11">
        <v>74500000</v>
      </c>
      <c r="S36" s="10">
        <f>R36</f>
        <v>74500000</v>
      </c>
      <c r="T36" s="9">
        <f>S36/Q36</f>
        <v>1238.8173866773088</v>
      </c>
      <c r="U36" s="8">
        <f>T36/T$104</f>
        <v>1.0344196831776228E-2</v>
      </c>
      <c r="V36" s="8" t="e">
        <f>U36+V35</f>
        <v>#REF!</v>
      </c>
      <c r="W36" s="8"/>
      <c r="X36" s="8"/>
      <c r="Y36" s="8"/>
    </row>
    <row r="37" spans="1:25" ht="14.25" customHeight="1" x14ac:dyDescent="0.25">
      <c r="A37" s="16">
        <v>44806</v>
      </c>
      <c r="B37" s="8">
        <v>36</v>
      </c>
      <c r="C37" s="14">
        <v>60138</v>
      </c>
      <c r="D37" s="15">
        <v>74700000</v>
      </c>
      <c r="E37" s="8">
        <v>60138</v>
      </c>
      <c r="F37" s="27">
        <v>74500000</v>
      </c>
      <c r="G37" s="14"/>
      <c r="H37" s="14"/>
      <c r="I37" s="14"/>
      <c r="J37" s="14"/>
      <c r="K37" s="14"/>
      <c r="L37" s="14"/>
      <c r="M37" s="8"/>
      <c r="N37" s="13">
        <f>101/$Q$102*(O37)</f>
        <v>0</v>
      </c>
      <c r="O37" s="13">
        <f>Q37-Q36</f>
        <v>0</v>
      </c>
      <c r="P37" s="13">
        <f>$B$26/SQRT($Q$26)*(SQRT(Q37)-SQRT(Q36))</f>
        <v>0</v>
      </c>
      <c r="Q37" s="12">
        <v>60138</v>
      </c>
      <c r="R37" s="11">
        <v>74700000</v>
      </c>
      <c r="S37" s="10">
        <f>R37</f>
        <v>74700000</v>
      </c>
      <c r="T37" s="9">
        <f>S37/Q37</f>
        <v>1242.1430709368453</v>
      </c>
      <c r="U37" s="8">
        <f>T37/T$104</f>
        <v>1.037196648770046E-2</v>
      </c>
      <c r="V37" s="8" t="e">
        <f>U37+V36</f>
        <v>#REF!</v>
      </c>
      <c r="W37" s="8"/>
      <c r="X37" s="8"/>
      <c r="Y37" s="8"/>
    </row>
    <row r="38" spans="1:25" ht="14.25" customHeight="1" x14ac:dyDescent="0.25">
      <c r="A38" s="16">
        <v>44807</v>
      </c>
      <c r="B38" s="8">
        <v>37</v>
      </c>
      <c r="C38" s="14">
        <v>60138</v>
      </c>
      <c r="D38" s="15">
        <v>74600000</v>
      </c>
      <c r="E38" s="8">
        <v>60138</v>
      </c>
      <c r="F38" s="27">
        <v>74700000</v>
      </c>
      <c r="G38" s="14"/>
      <c r="H38" s="14"/>
      <c r="I38" s="14"/>
      <c r="J38" s="14"/>
      <c r="K38" s="14"/>
      <c r="L38" s="14"/>
      <c r="M38" s="8"/>
      <c r="N38" s="13">
        <f>101/$Q$102*(O38)</f>
        <v>0</v>
      </c>
      <c r="O38" s="13">
        <f>Q38-Q37</f>
        <v>0</v>
      </c>
      <c r="P38" s="13">
        <f>$B$26/SQRT($Q$26)*(SQRT(Q38)-SQRT(Q37))</f>
        <v>0</v>
      </c>
      <c r="Q38" s="12">
        <v>60138</v>
      </c>
      <c r="R38" s="11">
        <v>74600000</v>
      </c>
      <c r="S38" s="10">
        <f>R38</f>
        <v>74600000</v>
      </c>
      <c r="T38" s="9">
        <f>S38/Q38</f>
        <v>1240.4802288070771</v>
      </c>
      <c r="U38" s="8">
        <f>T38/T$104</f>
        <v>1.0358081659738344E-2</v>
      </c>
      <c r="V38" s="8" t="e">
        <f>U38+V37</f>
        <v>#REF!</v>
      </c>
      <c r="W38" s="8"/>
      <c r="X38" s="8"/>
      <c r="Y38" s="8"/>
    </row>
    <row r="39" spans="1:25" ht="14.25" customHeight="1" x14ac:dyDescent="0.25">
      <c r="A39" s="16">
        <v>44808</v>
      </c>
      <c r="B39" s="8">
        <v>38</v>
      </c>
      <c r="C39" s="14">
        <v>60138</v>
      </c>
      <c r="D39" s="15">
        <v>75100000</v>
      </c>
      <c r="E39" s="8">
        <v>60138</v>
      </c>
      <c r="F39" s="27">
        <v>74600000</v>
      </c>
      <c r="G39" s="14"/>
      <c r="H39" s="14"/>
      <c r="I39" s="14"/>
      <c r="J39" s="14"/>
      <c r="K39" s="14"/>
      <c r="L39" s="14"/>
      <c r="M39" s="8"/>
      <c r="N39" s="13">
        <f>101/$Q$102*(O39)</f>
        <v>0</v>
      </c>
      <c r="O39" s="13">
        <f>Q39-Q38</f>
        <v>0</v>
      </c>
      <c r="P39" s="13">
        <f>$B$26/SQRT($Q$26)*(SQRT(Q39)-SQRT(Q38))</f>
        <v>0</v>
      </c>
      <c r="Q39" s="12">
        <v>60138</v>
      </c>
      <c r="R39" s="11">
        <v>75100000</v>
      </c>
      <c r="S39" s="10">
        <f>R39</f>
        <v>75100000</v>
      </c>
      <c r="T39" s="9">
        <f>S39/Q39</f>
        <v>1248.7944394559181</v>
      </c>
      <c r="U39" s="8">
        <f>T39/T$104</f>
        <v>1.0427505799548922E-2</v>
      </c>
      <c r="V39" s="8" t="e">
        <f>U39+V38</f>
        <v>#REF!</v>
      </c>
      <c r="W39" s="8"/>
      <c r="X39" s="8"/>
      <c r="Y39" s="8"/>
    </row>
    <row r="40" spans="1:25" ht="14.25" customHeight="1" x14ac:dyDescent="0.25">
      <c r="A40" s="16">
        <v>44809</v>
      </c>
      <c r="B40" s="8">
        <v>39</v>
      </c>
      <c r="C40" s="14">
        <v>60138</v>
      </c>
      <c r="D40" s="15">
        <v>75400000</v>
      </c>
      <c r="E40" s="8">
        <v>60138</v>
      </c>
      <c r="F40" s="27">
        <v>75100000</v>
      </c>
      <c r="G40" s="14"/>
      <c r="H40" s="14"/>
      <c r="I40" s="14"/>
      <c r="J40" s="14"/>
      <c r="K40" s="14"/>
      <c r="L40" s="14"/>
      <c r="M40" s="8"/>
      <c r="N40" s="13">
        <f>101/$Q$102*(O40)</f>
        <v>0</v>
      </c>
      <c r="O40" s="13">
        <f>Q40-Q39</f>
        <v>0</v>
      </c>
      <c r="P40" s="13">
        <f>$B$26/SQRT($Q$26)*(SQRT(Q40)-SQRT(Q39))</f>
        <v>0</v>
      </c>
      <c r="Q40" s="12">
        <v>60138</v>
      </c>
      <c r="R40" s="11">
        <v>75400000</v>
      </c>
      <c r="S40" s="10">
        <f>R40</f>
        <v>75400000</v>
      </c>
      <c r="T40" s="9">
        <f>S40/Q40</f>
        <v>1253.7829658452226</v>
      </c>
      <c r="U40" s="8">
        <f>T40/T$104</f>
        <v>1.0469160283435268E-2</v>
      </c>
      <c r="V40" s="8" t="e">
        <f>U40+V39</f>
        <v>#REF!</v>
      </c>
      <c r="W40" s="8"/>
      <c r="X40" s="8"/>
      <c r="Y40" s="8"/>
    </row>
    <row r="41" spans="1:25" ht="14.25" customHeight="1" x14ac:dyDescent="0.25">
      <c r="A41" s="16">
        <v>44810</v>
      </c>
      <c r="B41" s="8">
        <v>40</v>
      </c>
      <c r="C41" s="14">
        <v>60138</v>
      </c>
      <c r="D41" s="15">
        <v>75800000</v>
      </c>
      <c r="E41" s="8">
        <v>60138</v>
      </c>
      <c r="F41" s="27">
        <v>75400000</v>
      </c>
      <c r="G41" s="14"/>
      <c r="H41" s="14"/>
      <c r="I41" s="14"/>
      <c r="J41" s="14"/>
      <c r="K41" s="14"/>
      <c r="L41" s="14"/>
      <c r="M41" s="8"/>
      <c r="N41" s="13">
        <f>101/$Q$102*(O41)</f>
        <v>0</v>
      </c>
      <c r="O41" s="13">
        <f>Q41-Q40</f>
        <v>0</v>
      </c>
      <c r="P41" s="13">
        <f>$B$26/SQRT($Q$26)*(SQRT(Q41)-SQRT(Q40))</f>
        <v>0</v>
      </c>
      <c r="Q41" s="12">
        <v>60138</v>
      </c>
      <c r="R41" s="11">
        <v>75800000</v>
      </c>
      <c r="S41" s="10">
        <f>R41</f>
        <v>75800000</v>
      </c>
      <c r="T41" s="9">
        <f>S41/Q41</f>
        <v>1260.4343343642954</v>
      </c>
      <c r="U41" s="8">
        <f>T41/T$104</f>
        <v>1.0524699595283732E-2</v>
      </c>
      <c r="V41" s="8" t="e">
        <f>U41+V40</f>
        <v>#REF!</v>
      </c>
      <c r="W41" s="8"/>
      <c r="X41" s="8"/>
      <c r="Y41" s="8"/>
    </row>
    <row r="42" spans="1:25" ht="14.25" customHeight="1" x14ac:dyDescent="0.25">
      <c r="A42" s="16">
        <v>44811</v>
      </c>
      <c r="B42" s="8">
        <v>41</v>
      </c>
      <c r="C42" s="14">
        <v>60138</v>
      </c>
      <c r="D42" s="15">
        <v>75900000</v>
      </c>
      <c r="E42" s="8">
        <v>60138</v>
      </c>
      <c r="F42" s="27">
        <v>75800000</v>
      </c>
      <c r="G42" s="14"/>
      <c r="H42" s="14"/>
      <c r="I42" s="14"/>
      <c r="J42" s="14"/>
      <c r="K42" s="14"/>
      <c r="L42" s="14"/>
      <c r="M42" s="8"/>
      <c r="N42" s="13">
        <f>101/$Q$102*(O42)</f>
        <v>0</v>
      </c>
      <c r="O42" s="13">
        <f>Q42-Q41</f>
        <v>0</v>
      </c>
      <c r="P42" s="13">
        <f>$B$26/SQRT($Q$26)*(SQRT(Q42)-SQRT(Q41))</f>
        <v>0</v>
      </c>
      <c r="Q42" s="12">
        <v>60138</v>
      </c>
      <c r="R42" s="11">
        <v>75900000</v>
      </c>
      <c r="S42" s="10">
        <f>R42</f>
        <v>75900000</v>
      </c>
      <c r="T42" s="9">
        <f>S42/Q42</f>
        <v>1262.0971764940637</v>
      </c>
      <c r="U42" s="8">
        <f>T42/T$104</f>
        <v>1.0538584423245848E-2</v>
      </c>
      <c r="V42" s="8" t="e">
        <f>U42+V41</f>
        <v>#REF!</v>
      </c>
      <c r="W42" s="8"/>
      <c r="X42" s="8"/>
      <c r="Y42" s="8"/>
    </row>
    <row r="43" spans="1:25" ht="14.25" customHeight="1" x14ac:dyDescent="0.25">
      <c r="A43" s="16">
        <v>44813</v>
      </c>
      <c r="B43" s="8">
        <v>42</v>
      </c>
      <c r="C43" s="14">
        <v>60138</v>
      </c>
      <c r="D43" s="15">
        <v>76700000</v>
      </c>
      <c r="E43" s="8"/>
      <c r="F43" s="27"/>
      <c r="G43" s="14"/>
      <c r="H43" s="14"/>
      <c r="I43" s="14"/>
      <c r="J43" s="14"/>
      <c r="K43" s="14"/>
      <c r="L43" s="14"/>
      <c r="M43" s="8"/>
      <c r="N43" s="13">
        <f>101/$Q$102*(O43)</f>
        <v>0</v>
      </c>
      <c r="O43" s="13">
        <f>Q43-Q42</f>
        <v>0</v>
      </c>
      <c r="P43" s="13" t="e">
        <f>$B$26/SQRT($Q$26)*(SQRT(Q43)-SQRT(#REF!))</f>
        <v>#REF!</v>
      </c>
      <c r="Q43" s="12">
        <v>60138</v>
      </c>
      <c r="R43" s="11">
        <v>76700000</v>
      </c>
      <c r="S43" s="10">
        <f>R43</f>
        <v>76700000</v>
      </c>
      <c r="T43" s="9">
        <f>S43/Q43</f>
        <v>1275.3999135322092</v>
      </c>
      <c r="U43" s="8">
        <f>T43/T$104</f>
        <v>1.0649663046942773E-2</v>
      </c>
      <c r="V43" s="8" t="e">
        <f>U43+#REF!</f>
        <v>#REF!</v>
      </c>
      <c r="W43" s="8"/>
      <c r="X43" s="8"/>
      <c r="Y43" s="8"/>
    </row>
    <row r="44" spans="1:25" ht="14.25" customHeight="1" x14ac:dyDescent="0.25">
      <c r="A44" s="16">
        <v>44814</v>
      </c>
      <c r="B44" s="8">
        <v>43</v>
      </c>
      <c r="C44" s="14">
        <v>60138</v>
      </c>
      <c r="D44" s="15">
        <v>77000000</v>
      </c>
      <c r="E44" s="8"/>
      <c r="F44" s="27"/>
      <c r="G44" s="14"/>
      <c r="H44" s="14"/>
      <c r="I44" s="14"/>
      <c r="J44" s="14"/>
      <c r="K44" s="14"/>
      <c r="L44" s="14"/>
      <c r="M44" s="8"/>
      <c r="N44" s="13">
        <f>101/$Q$102*(O44)</f>
        <v>0</v>
      </c>
      <c r="O44" s="13">
        <f>Q44-Q43</f>
        <v>0</v>
      </c>
      <c r="P44" s="13">
        <f>$B$26/SQRT($Q$26)*(SQRT(Q44)-SQRT(Q43))</f>
        <v>0</v>
      </c>
      <c r="Q44" s="12">
        <v>60138</v>
      </c>
      <c r="R44" s="11">
        <v>77000000</v>
      </c>
      <c r="S44" s="10">
        <f>R44</f>
        <v>77000000</v>
      </c>
      <c r="T44" s="9">
        <f>S44/Q44</f>
        <v>1280.388439921514</v>
      </c>
      <c r="U44" s="8">
        <f>T44/T$104</f>
        <v>1.0691317530829123E-2</v>
      </c>
      <c r="V44" s="8" t="e">
        <f>U44+V43</f>
        <v>#REF!</v>
      </c>
      <c r="W44" s="8"/>
      <c r="X44" s="8"/>
      <c r="Y44" s="8"/>
    </row>
    <row r="45" spans="1:25" ht="14.25" customHeight="1" x14ac:dyDescent="0.25">
      <c r="A45" s="16">
        <v>44815</v>
      </c>
      <c r="B45" s="8">
        <v>44</v>
      </c>
      <c r="C45" s="14">
        <v>60138</v>
      </c>
      <c r="D45" s="15">
        <v>77200000</v>
      </c>
      <c r="E45" s="8"/>
      <c r="F45" s="27"/>
      <c r="G45" s="14"/>
      <c r="H45" s="14"/>
      <c r="I45" s="14"/>
      <c r="J45" s="14"/>
      <c r="K45" s="14"/>
      <c r="L45" s="14"/>
      <c r="M45" s="8"/>
      <c r="N45" s="13">
        <f>101/$Q$102*(O45)</f>
        <v>0</v>
      </c>
      <c r="O45" s="13">
        <f>Q45-Q44</f>
        <v>0</v>
      </c>
      <c r="P45" s="13">
        <f>$B$26/SQRT($Q$26)*(SQRT(Q45)-SQRT(Q44))</f>
        <v>0</v>
      </c>
      <c r="Q45" s="12">
        <v>60138</v>
      </c>
      <c r="R45" s="11">
        <v>77200000</v>
      </c>
      <c r="S45" s="10">
        <f>R45</f>
        <v>77200000</v>
      </c>
      <c r="T45" s="9">
        <f>S45/Q45</f>
        <v>1283.7141241810502</v>
      </c>
      <c r="U45" s="8">
        <f>T45/T$104</f>
        <v>1.0719087186753353E-2</v>
      </c>
      <c r="V45" s="8" t="e">
        <f>U45+V44</f>
        <v>#REF!</v>
      </c>
      <c r="W45" s="8"/>
      <c r="X45" s="8"/>
      <c r="Y45" s="8"/>
    </row>
    <row r="46" spans="1:25" ht="14.25" customHeight="1" x14ac:dyDescent="0.25">
      <c r="A46" s="16">
        <v>44816</v>
      </c>
      <c r="B46" s="8">
        <v>45</v>
      </c>
      <c r="C46" s="14">
        <v>60138</v>
      </c>
      <c r="D46" s="15">
        <v>77500000</v>
      </c>
      <c r="E46" s="8"/>
      <c r="F46" s="27"/>
      <c r="G46" s="14"/>
      <c r="H46" s="14"/>
      <c r="I46" s="14"/>
      <c r="J46" s="14"/>
      <c r="K46" s="14"/>
      <c r="L46" s="14"/>
      <c r="M46" s="8"/>
      <c r="N46" s="13">
        <f>101/$Q$102*(O46)</f>
        <v>0</v>
      </c>
      <c r="O46" s="13">
        <f>Q46-Q45</f>
        <v>0</v>
      </c>
      <c r="P46" s="13">
        <f>$B$26/SQRT($Q$26)*(SQRT(Q46)-SQRT(Q45))</f>
        <v>0</v>
      </c>
      <c r="Q46" s="12">
        <v>60138</v>
      </c>
      <c r="R46" s="11">
        <v>77500000</v>
      </c>
      <c r="S46" s="10">
        <f>R46</f>
        <v>77500000</v>
      </c>
      <c r="T46" s="9">
        <f>S46/Q46</f>
        <v>1288.7026505703548</v>
      </c>
      <c r="U46" s="8">
        <f>T46/T$104</f>
        <v>1.0760741670639699E-2</v>
      </c>
      <c r="V46" s="8" t="e">
        <f>U46+V45</f>
        <v>#REF!</v>
      </c>
      <c r="W46" s="8"/>
      <c r="X46" s="8"/>
      <c r="Y46" s="8"/>
    </row>
    <row r="47" spans="1:25" ht="14.25" customHeight="1" x14ac:dyDescent="0.25">
      <c r="A47" s="16">
        <v>44817</v>
      </c>
      <c r="B47" s="8">
        <v>46</v>
      </c>
      <c r="C47" s="14">
        <v>60138</v>
      </c>
      <c r="D47" s="15">
        <v>78080000</v>
      </c>
      <c r="E47" s="8"/>
      <c r="F47" s="27"/>
      <c r="G47" s="14"/>
      <c r="H47" s="14"/>
      <c r="I47" s="14"/>
      <c r="J47" s="14"/>
      <c r="K47" s="14"/>
      <c r="L47" s="14"/>
      <c r="M47" s="8"/>
      <c r="N47" s="13">
        <f>101/$Q$102*(O47)</f>
        <v>0</v>
      </c>
      <c r="O47" s="13">
        <f>Q47-Q46</f>
        <v>0</v>
      </c>
      <c r="P47" s="13">
        <f>$B$26/SQRT($Q$26)*(SQRT(Q47)-SQRT(Q46))</f>
        <v>0</v>
      </c>
      <c r="Q47" s="12">
        <v>60138</v>
      </c>
      <c r="R47" s="11">
        <v>78080000</v>
      </c>
      <c r="S47" s="10">
        <f>R47</f>
        <v>78080000</v>
      </c>
      <c r="T47" s="9">
        <f>S47/Q47</f>
        <v>1298.3471349230103</v>
      </c>
      <c r="U47" s="8">
        <f>T47/T$104</f>
        <v>1.084127367281997E-2</v>
      </c>
      <c r="V47" s="8" t="e">
        <f>U47+V46</f>
        <v>#REF!</v>
      </c>
      <c r="W47" s="8"/>
      <c r="X47" s="8"/>
      <c r="Y47" s="8"/>
    </row>
    <row r="48" spans="1:25" ht="14.25" customHeight="1" x14ac:dyDescent="0.25">
      <c r="A48" s="16">
        <v>44818</v>
      </c>
      <c r="B48" s="8">
        <v>47</v>
      </c>
      <c r="C48" s="14">
        <v>60138</v>
      </c>
      <c r="D48" s="15">
        <v>79100000</v>
      </c>
      <c r="E48" s="8"/>
      <c r="F48" s="27"/>
      <c r="G48" s="14"/>
      <c r="H48" s="14"/>
      <c r="I48" s="14"/>
      <c r="J48" s="14"/>
      <c r="K48" s="14"/>
      <c r="L48" s="14"/>
      <c r="M48" s="8"/>
      <c r="N48" s="13">
        <f>101/$Q$102*(O48)</f>
        <v>0</v>
      </c>
      <c r="O48" s="13">
        <f>Q48-Q47</f>
        <v>0</v>
      </c>
      <c r="P48" s="13">
        <f>$B$26/SQRT($Q$26)*(SQRT(Q48)-SQRT(Q47))</f>
        <v>0</v>
      </c>
      <c r="Q48" s="12">
        <v>60138</v>
      </c>
      <c r="R48" s="11">
        <v>79100000</v>
      </c>
      <c r="S48" s="10">
        <f>R48</f>
        <v>79100000</v>
      </c>
      <c r="T48" s="9">
        <f>S48/Q48</f>
        <v>1315.3081246466461</v>
      </c>
      <c r="U48" s="8">
        <f>T48/T$104</f>
        <v>1.0982898918033552E-2</v>
      </c>
      <c r="V48" s="8" t="e">
        <f>U48+V47</f>
        <v>#REF!</v>
      </c>
      <c r="W48" s="8"/>
      <c r="X48" s="8"/>
      <c r="Y48" s="8"/>
    </row>
    <row r="49" spans="1:25" ht="14.25" customHeight="1" x14ac:dyDescent="0.25">
      <c r="A49" s="16">
        <v>44819</v>
      </c>
      <c r="B49" s="8">
        <v>48</v>
      </c>
      <c r="C49" s="14">
        <v>60138</v>
      </c>
      <c r="D49" s="15">
        <v>78600000</v>
      </c>
      <c r="E49" s="14"/>
      <c r="F49" s="15"/>
      <c r="G49" s="14"/>
      <c r="H49" s="14"/>
      <c r="I49" s="14"/>
      <c r="J49" s="14"/>
      <c r="K49" s="14"/>
      <c r="L49" s="14"/>
      <c r="M49" s="8"/>
      <c r="N49" s="13">
        <f>101/$Q$102*(O49)</f>
        <v>0</v>
      </c>
      <c r="O49" s="13">
        <f>Q49-Q48</f>
        <v>0</v>
      </c>
      <c r="P49" s="13">
        <f>$B$26/SQRT($Q$26)*(SQRT(Q49)-SQRT(Q48))</f>
        <v>0</v>
      </c>
      <c r="Q49" s="12">
        <v>60138</v>
      </c>
      <c r="R49" s="11">
        <v>78600000</v>
      </c>
      <c r="S49" s="10">
        <f>R49</f>
        <v>78600000</v>
      </c>
      <c r="T49" s="9">
        <f>S49/Q49</f>
        <v>1306.9939139978051</v>
      </c>
      <c r="U49" s="8">
        <f>T49/T$104</f>
        <v>1.0913474778222973E-2</v>
      </c>
      <c r="V49" s="8" t="e">
        <f>U49+V48</f>
        <v>#REF!</v>
      </c>
      <c r="W49" s="8"/>
      <c r="X49" s="8"/>
      <c r="Y49" s="8"/>
    </row>
    <row r="50" spans="1:25" ht="14.25" customHeight="1" x14ac:dyDescent="0.25">
      <c r="A50" s="16">
        <v>44820</v>
      </c>
      <c r="B50" s="8">
        <v>49</v>
      </c>
      <c r="C50" s="14">
        <v>60138</v>
      </c>
      <c r="D50" s="15">
        <v>79000000</v>
      </c>
      <c r="E50" s="14"/>
      <c r="F50" s="15"/>
      <c r="G50" s="14"/>
      <c r="H50" s="14"/>
      <c r="I50" s="14"/>
      <c r="J50" s="14"/>
      <c r="K50" s="14"/>
      <c r="L50" s="14"/>
      <c r="M50" s="14"/>
      <c r="N50" s="13">
        <f>101/$Q$102*(O50)</f>
        <v>0</v>
      </c>
      <c r="O50" s="13">
        <f>Q50-Q49</f>
        <v>0</v>
      </c>
      <c r="P50" s="13">
        <f>$B$26/SQRT($Q$26)*(SQRT(Q50)-SQRT(Q49))</f>
        <v>0</v>
      </c>
      <c r="Q50" s="12">
        <v>60138</v>
      </c>
      <c r="R50" s="11">
        <v>79000000</v>
      </c>
      <c r="S50" s="10">
        <f>R50</f>
        <v>79000000</v>
      </c>
      <c r="T50" s="9">
        <f>S50/Q50</f>
        <v>1313.6452825168778</v>
      </c>
      <c r="U50" s="8">
        <f>T50/T$104</f>
        <v>1.0969014090071436E-2</v>
      </c>
      <c r="V50" s="8" t="e">
        <f>U50+V49</f>
        <v>#REF!</v>
      </c>
      <c r="W50" s="8"/>
      <c r="X50" s="8"/>
      <c r="Y50" s="8"/>
    </row>
    <row r="51" spans="1:25" ht="14.25" customHeight="1" x14ac:dyDescent="0.25">
      <c r="A51" s="16">
        <v>44821</v>
      </c>
      <c r="B51" s="8">
        <v>50</v>
      </c>
      <c r="C51" s="14">
        <v>60138</v>
      </c>
      <c r="D51" s="15">
        <v>79300000</v>
      </c>
      <c r="E51" s="14"/>
      <c r="F51" s="15"/>
      <c r="G51" s="14"/>
      <c r="H51" s="14"/>
      <c r="I51" s="14"/>
      <c r="J51" s="14"/>
      <c r="K51" s="14"/>
      <c r="L51" s="14"/>
      <c r="M51" s="14"/>
      <c r="N51" s="13">
        <f>101/$Q$102*(O51)</f>
        <v>0</v>
      </c>
      <c r="O51" s="13">
        <f>Q51-Q50</f>
        <v>0</v>
      </c>
      <c r="P51" s="13">
        <f>$B$26/SQRT($Q$26)*(SQRT(Q51)-SQRT(Q50))</f>
        <v>0</v>
      </c>
      <c r="Q51" s="12">
        <v>60138</v>
      </c>
      <c r="R51" s="11">
        <v>79300000</v>
      </c>
      <c r="S51" s="10">
        <f>R51</f>
        <v>79300000</v>
      </c>
      <c r="T51" s="9">
        <f>S51/Q51</f>
        <v>1318.6338089061824</v>
      </c>
      <c r="U51" s="8">
        <f>T51/T$104</f>
        <v>1.1010668573957782E-2</v>
      </c>
      <c r="V51" s="8" t="e">
        <f>U51+V50</f>
        <v>#REF!</v>
      </c>
      <c r="W51" s="8"/>
      <c r="X51" s="8"/>
      <c r="Y51" s="8"/>
    </row>
    <row r="52" spans="1:25" ht="14.25" customHeight="1" x14ac:dyDescent="0.25">
      <c r="A52" s="16">
        <v>44822</v>
      </c>
      <c r="B52" s="8">
        <v>51</v>
      </c>
      <c r="C52" s="14">
        <v>60138</v>
      </c>
      <c r="D52" s="15">
        <v>79762745</v>
      </c>
      <c r="E52" s="14"/>
      <c r="F52" s="15"/>
      <c r="G52" s="14"/>
      <c r="H52" s="14"/>
      <c r="I52" s="14"/>
      <c r="J52" s="14"/>
      <c r="K52" s="14"/>
      <c r="L52" s="14"/>
      <c r="M52" s="14"/>
      <c r="N52" s="13">
        <f>101/$Q$102*(O52)</f>
        <v>0</v>
      </c>
      <c r="O52" s="13">
        <f>Q52-Q51</f>
        <v>0</v>
      </c>
      <c r="P52" s="13">
        <f>$B$26/SQRT($Q$26)*(SQRT(Q52)-SQRT(Q51))</f>
        <v>0</v>
      </c>
      <c r="Q52" s="12">
        <v>60138</v>
      </c>
      <c r="R52" s="11">
        <v>79762745</v>
      </c>
      <c r="S52" s="10">
        <f>R52</f>
        <v>79762745</v>
      </c>
      <c r="T52" s="9">
        <f>S52/Q52</f>
        <v>1326.3285277195782</v>
      </c>
      <c r="U52" s="8">
        <f>T52/T$104</f>
        <v>1.1074919921111075E-2</v>
      </c>
      <c r="V52" s="8" t="e">
        <f>U52+V51</f>
        <v>#REF!</v>
      </c>
      <c r="W52" s="8"/>
      <c r="X52" s="8"/>
      <c r="Y52" s="8"/>
    </row>
    <row r="53" spans="1:25" ht="14.25" customHeight="1" x14ac:dyDescent="0.25">
      <c r="A53" s="16">
        <v>44823</v>
      </c>
      <c r="B53" s="8">
        <v>52</v>
      </c>
      <c r="C53" s="14">
        <v>60138</v>
      </c>
      <c r="D53" s="15">
        <v>80120000</v>
      </c>
      <c r="E53" s="14"/>
      <c r="F53" s="15"/>
      <c r="G53" s="14"/>
      <c r="H53" s="14"/>
      <c r="I53" s="14"/>
      <c r="J53" s="14"/>
      <c r="K53" s="14"/>
      <c r="L53" s="14"/>
      <c r="M53" s="14"/>
      <c r="N53" s="13">
        <f>101/$Q$102*(O53)</f>
        <v>0</v>
      </c>
      <c r="O53" s="13">
        <f>Q53-Q52</f>
        <v>0</v>
      </c>
      <c r="P53" s="13">
        <f>$B$26/SQRT($Q$26)*(SQRT(Q53)-SQRT(Q52))</f>
        <v>0</v>
      </c>
      <c r="Q53" s="12">
        <v>60138</v>
      </c>
      <c r="R53" s="11">
        <v>80120000</v>
      </c>
      <c r="S53" s="10">
        <f>R53</f>
        <v>80120000</v>
      </c>
      <c r="T53" s="9">
        <f>S53/Q53</f>
        <v>1332.2691143702816</v>
      </c>
      <c r="U53" s="8">
        <f>T53/T$104</f>
        <v>1.1124524163247131E-2</v>
      </c>
      <c r="V53" s="8" t="e">
        <f>U53+V52</f>
        <v>#REF!</v>
      </c>
      <c r="W53" s="8"/>
      <c r="X53" s="8"/>
      <c r="Y53" s="8"/>
    </row>
    <row r="54" spans="1:25" ht="14.25" customHeight="1" x14ac:dyDescent="0.25">
      <c r="A54" s="16">
        <v>44824</v>
      </c>
      <c r="B54" s="8">
        <v>53</v>
      </c>
      <c r="C54" s="14">
        <v>60138</v>
      </c>
      <c r="D54" s="15">
        <v>80486000</v>
      </c>
      <c r="E54" s="14"/>
      <c r="F54" s="15"/>
      <c r="G54" s="14"/>
      <c r="H54" s="14"/>
      <c r="I54" s="14"/>
      <c r="J54" s="14"/>
      <c r="K54" s="14"/>
      <c r="L54" s="14"/>
      <c r="M54" s="14"/>
      <c r="N54" s="13">
        <f>101/$Q$102*(O54)</f>
        <v>0</v>
      </c>
      <c r="O54" s="13">
        <f>Q54-Q53</f>
        <v>0</v>
      </c>
      <c r="P54" s="13">
        <f>$B$26/SQRT($Q$26)*(SQRT(Q54)-SQRT(Q53))</f>
        <v>0</v>
      </c>
      <c r="Q54" s="12">
        <v>60138</v>
      </c>
      <c r="R54" s="11">
        <v>80486000</v>
      </c>
      <c r="S54" s="10">
        <f>R54</f>
        <v>80486000</v>
      </c>
      <c r="T54" s="9">
        <f>S54/Q54</f>
        <v>1338.3551165652334</v>
      </c>
      <c r="U54" s="8">
        <f>T54/T$104</f>
        <v>1.1175342633588476E-2</v>
      </c>
      <c r="V54" s="8" t="e">
        <f>U54+V53</f>
        <v>#REF!</v>
      </c>
      <c r="W54" s="8"/>
      <c r="X54" s="8"/>
      <c r="Y54" s="8"/>
    </row>
    <row r="55" spans="1:25" ht="14.25" customHeight="1" x14ac:dyDescent="0.25">
      <c r="A55" s="16">
        <v>44825</v>
      </c>
      <c r="B55" s="8">
        <v>54</v>
      </c>
      <c r="C55" s="14">
        <v>60138</v>
      </c>
      <c r="D55" s="15">
        <v>80786000</v>
      </c>
      <c r="E55" s="14"/>
      <c r="F55" s="15"/>
      <c r="G55" s="14"/>
      <c r="H55" s="14"/>
      <c r="I55" s="14"/>
      <c r="J55" s="14"/>
      <c r="K55" s="14"/>
      <c r="L55" s="14"/>
      <c r="M55" s="14"/>
      <c r="N55" s="13">
        <f>101/$Q$102*(O55)</f>
        <v>0</v>
      </c>
      <c r="O55" s="13">
        <f>Q55-Q54</f>
        <v>0</v>
      </c>
      <c r="P55" s="13">
        <f>$B$26/SQRT($Q$26)*(SQRT(Q55)-SQRT(Q54))</f>
        <v>0</v>
      </c>
      <c r="Q55" s="12">
        <v>60138</v>
      </c>
      <c r="R55" s="11">
        <v>80786000</v>
      </c>
      <c r="S55" s="10">
        <f>R55</f>
        <v>80786000</v>
      </c>
      <c r="T55" s="9">
        <f>S55/Q55</f>
        <v>1343.3436429545379</v>
      </c>
      <c r="U55" s="8">
        <f>T55/T$104</f>
        <v>1.1216997117474823E-2</v>
      </c>
      <c r="V55" s="8" t="e">
        <f>U55+V54</f>
        <v>#REF!</v>
      </c>
      <c r="W55" s="8"/>
      <c r="X55" s="8"/>
      <c r="Y55" s="8"/>
    </row>
    <row r="56" spans="1:25" ht="14.25" customHeight="1" x14ac:dyDescent="0.25">
      <c r="A56" s="16">
        <v>44826</v>
      </c>
      <c r="B56" s="8">
        <v>55</v>
      </c>
      <c r="C56" s="14">
        <v>60138</v>
      </c>
      <c r="D56" s="15">
        <v>81380000</v>
      </c>
      <c r="E56" s="14"/>
      <c r="F56" s="15"/>
      <c r="G56" s="14"/>
      <c r="H56" s="14"/>
      <c r="I56" s="14"/>
      <c r="J56" s="14"/>
      <c r="K56" s="14"/>
      <c r="L56" s="14"/>
      <c r="M56" s="14"/>
      <c r="N56" s="13">
        <f>101/$Q$102*(O56)</f>
        <v>0</v>
      </c>
      <c r="O56" s="13">
        <f>Q56-Q55</f>
        <v>0</v>
      </c>
      <c r="P56" s="13">
        <f>$B$26/SQRT($Q$26)*(SQRT(Q56)-SQRT(Q55))</f>
        <v>0</v>
      </c>
      <c r="Q56" s="12">
        <v>60138</v>
      </c>
      <c r="R56" s="11">
        <v>81380000</v>
      </c>
      <c r="S56" s="10">
        <f>R56</f>
        <v>81380000</v>
      </c>
      <c r="T56" s="9">
        <f>S56/Q56</f>
        <v>1353.220925205361</v>
      </c>
      <c r="U56" s="8">
        <f>T56/T$104</f>
        <v>1.1299472995569791E-2</v>
      </c>
      <c r="V56" s="8" t="e">
        <f>U56+V55</f>
        <v>#REF!</v>
      </c>
      <c r="W56" s="8"/>
      <c r="X56" s="8"/>
      <c r="Y56" s="8"/>
    </row>
    <row r="57" spans="1:25" ht="14.25" customHeight="1" x14ac:dyDescent="0.25">
      <c r="A57" s="16">
        <v>44827</v>
      </c>
      <c r="B57" s="8">
        <v>56</v>
      </c>
      <c r="C57" s="14">
        <v>60138</v>
      </c>
      <c r="D57" s="15">
        <v>81380000</v>
      </c>
      <c r="E57" s="14"/>
      <c r="F57" s="15"/>
      <c r="G57" s="14"/>
      <c r="H57" s="14"/>
      <c r="I57" s="14"/>
      <c r="J57" s="14"/>
      <c r="K57" s="14"/>
      <c r="L57" s="14"/>
      <c r="M57" s="14"/>
      <c r="N57" s="13">
        <f>101/$Q$102*(O57)</f>
        <v>0</v>
      </c>
      <c r="O57" s="13">
        <f>Q57-Q56</f>
        <v>0</v>
      </c>
      <c r="P57" s="13">
        <f>$B$26/SQRT($Q$26)*(SQRT(Q57)-SQRT(Q56))</f>
        <v>0</v>
      </c>
      <c r="Q57" s="12">
        <v>60138</v>
      </c>
      <c r="R57" s="11">
        <v>81380000</v>
      </c>
      <c r="S57" s="10">
        <f>R57</f>
        <v>81380000</v>
      </c>
      <c r="T57" s="9">
        <f>S57/Q57</f>
        <v>1353.220925205361</v>
      </c>
      <c r="U57" s="8">
        <f>T57/T$104</f>
        <v>1.1299472995569791E-2</v>
      </c>
      <c r="V57" s="8" t="e">
        <f>U57+V56</f>
        <v>#REF!</v>
      </c>
      <c r="W57" s="8"/>
      <c r="X57" s="8"/>
      <c r="Y57" s="8"/>
    </row>
    <row r="58" spans="1:25" ht="14.25" customHeight="1" x14ac:dyDescent="0.25">
      <c r="A58" s="16">
        <v>44828</v>
      </c>
      <c r="B58" s="8">
        <v>57</v>
      </c>
      <c r="C58" s="14">
        <v>60138</v>
      </c>
      <c r="D58" s="15">
        <v>81380000</v>
      </c>
      <c r="E58" s="14"/>
      <c r="F58" s="15"/>
      <c r="G58" s="14"/>
      <c r="H58" s="14"/>
      <c r="I58" s="14"/>
      <c r="J58" s="14"/>
      <c r="K58" s="14"/>
      <c r="L58" s="14"/>
      <c r="M58" s="14"/>
      <c r="N58" s="13">
        <f>101/$Q$102*(O58)</f>
        <v>0</v>
      </c>
      <c r="O58" s="13">
        <f>Q58-Q57</f>
        <v>0</v>
      </c>
      <c r="P58" s="13">
        <f>$B$26/SQRT($Q$26)*(SQRT(Q58)-SQRT(Q57))</f>
        <v>0</v>
      </c>
      <c r="Q58" s="12">
        <v>60138</v>
      </c>
      <c r="R58" s="11">
        <v>81380000</v>
      </c>
      <c r="S58" s="10">
        <f>R58</f>
        <v>81380000</v>
      </c>
      <c r="T58" s="9">
        <f>S58/Q58</f>
        <v>1353.220925205361</v>
      </c>
      <c r="U58" s="8">
        <f>T58/T$104</f>
        <v>1.1299472995569791E-2</v>
      </c>
      <c r="V58" s="8" t="e">
        <f>U58+V57</f>
        <v>#REF!</v>
      </c>
      <c r="W58" s="8"/>
      <c r="X58" s="8"/>
      <c r="Y58" s="8"/>
    </row>
    <row r="59" spans="1:25" ht="14.25" customHeight="1" x14ac:dyDescent="0.25">
      <c r="A59" s="16">
        <v>44829</v>
      </c>
      <c r="B59" s="8">
        <v>58</v>
      </c>
      <c r="C59" s="14"/>
      <c r="D59" s="15"/>
      <c r="E59" s="14"/>
      <c r="F59" s="15"/>
      <c r="G59" s="14"/>
      <c r="H59" s="14"/>
      <c r="I59" s="14"/>
      <c r="J59" s="14"/>
      <c r="K59" s="14"/>
      <c r="L59" s="14"/>
      <c r="M59" s="14"/>
      <c r="N59" s="13">
        <f>101/$Q$102*(O59)</f>
        <v>0</v>
      </c>
      <c r="O59" s="13">
        <f>Q59-Q58</f>
        <v>0</v>
      </c>
      <c r="P59" s="13">
        <f>$B$26/SQRT($Q$26)*(SQRT(Q59)-SQRT(Q58))</f>
        <v>0</v>
      </c>
      <c r="Q59" s="12">
        <v>60138</v>
      </c>
      <c r="R59" s="11"/>
      <c r="S59" s="10">
        <f>R59</f>
        <v>0</v>
      </c>
      <c r="T59" s="9"/>
      <c r="U59" s="8">
        <f>T59/T$104</f>
        <v>0</v>
      </c>
      <c r="V59" s="8" t="e">
        <f>U59+V58</f>
        <v>#REF!</v>
      </c>
      <c r="W59" s="8"/>
      <c r="X59" s="8"/>
      <c r="Y59" s="8"/>
    </row>
    <row r="60" spans="1:25" ht="14.25" customHeight="1" x14ac:dyDescent="0.25">
      <c r="A60" s="16">
        <v>44830</v>
      </c>
      <c r="B60" s="8">
        <v>59</v>
      </c>
      <c r="C60" s="14">
        <v>60138</v>
      </c>
      <c r="D60" s="15">
        <v>83400000</v>
      </c>
      <c r="E60" s="14"/>
      <c r="F60" s="15"/>
      <c r="G60" s="14"/>
      <c r="H60" s="14"/>
      <c r="I60" s="14"/>
      <c r="J60" s="14"/>
      <c r="K60" s="14"/>
      <c r="L60" s="14"/>
      <c r="M60" s="14"/>
      <c r="N60" s="13">
        <f>101/$Q$102*(O60)</f>
        <v>0</v>
      </c>
      <c r="O60" s="13">
        <f>Q60-Q59</f>
        <v>0</v>
      </c>
      <c r="P60" s="13">
        <f>$B$26/SQRT($Q$26)*(SQRT(Q60)-SQRT(Q59))</f>
        <v>0</v>
      </c>
      <c r="Q60" s="12">
        <v>60138</v>
      </c>
      <c r="R60" s="11">
        <v>83400000</v>
      </c>
      <c r="S60" s="10">
        <f>R60</f>
        <v>83400000</v>
      </c>
      <c r="T60" s="9">
        <f>S60/Q60</f>
        <v>1386.8103362266786</v>
      </c>
      <c r="U60" s="8">
        <f>T60/T$104</f>
        <v>1.1579946520404527E-2</v>
      </c>
      <c r="V60" s="8" t="e">
        <f>U60+V59</f>
        <v>#REF!</v>
      </c>
      <c r="W60" s="8"/>
      <c r="X60" s="8"/>
      <c r="Y60" s="8"/>
    </row>
    <row r="61" spans="1:25" ht="14.25" customHeight="1" x14ac:dyDescent="0.25">
      <c r="A61" s="16">
        <v>44831</v>
      </c>
      <c r="B61" s="8">
        <v>60</v>
      </c>
      <c r="C61" s="14">
        <v>60138</v>
      </c>
      <c r="D61" s="15">
        <v>83730000</v>
      </c>
      <c r="E61" s="14"/>
      <c r="F61" s="15"/>
      <c r="G61" s="14"/>
      <c r="H61" s="14"/>
      <c r="I61" s="14"/>
      <c r="J61" s="14"/>
      <c r="K61" s="14"/>
      <c r="L61" s="14"/>
      <c r="M61" s="14"/>
      <c r="N61" s="13">
        <f>101/$Q$102*(O61)</f>
        <v>0</v>
      </c>
      <c r="O61" s="13">
        <f>Q61-Q60</f>
        <v>0</v>
      </c>
      <c r="P61" s="13">
        <f>$B$26/SQRT($Q$26)*(SQRT(Q61)-SQRT(Q60))</f>
        <v>0</v>
      </c>
      <c r="Q61" s="12">
        <v>60138</v>
      </c>
      <c r="R61" s="11">
        <v>83730000</v>
      </c>
      <c r="S61" s="10">
        <f>R61</f>
        <v>83730000</v>
      </c>
      <c r="T61" s="9">
        <f>S61/Q61</f>
        <v>1392.2977152549138</v>
      </c>
      <c r="U61" s="8">
        <f>T61/T$104</f>
        <v>1.1625766452679511E-2</v>
      </c>
      <c r="V61" s="8" t="e">
        <f>U61+V60</f>
        <v>#REF!</v>
      </c>
      <c r="W61" s="8"/>
      <c r="X61" s="8"/>
      <c r="Y61" s="8"/>
    </row>
    <row r="62" spans="1:25" ht="14.25" customHeight="1" x14ac:dyDescent="0.25">
      <c r="A62" s="16">
        <v>44832</v>
      </c>
      <c r="B62" s="8">
        <v>61</v>
      </c>
      <c r="C62" s="14">
        <v>60138</v>
      </c>
      <c r="D62" s="15">
        <v>84289000</v>
      </c>
      <c r="E62" s="14"/>
      <c r="F62" s="15"/>
      <c r="G62" s="14"/>
      <c r="H62" s="14"/>
      <c r="I62" s="14"/>
      <c r="J62" s="14"/>
      <c r="K62" s="14"/>
      <c r="L62" s="14"/>
      <c r="M62" s="14"/>
      <c r="N62" s="13">
        <f>101/$Q$102*(O62)</f>
        <v>0</v>
      </c>
      <c r="O62" s="13">
        <f>Q62-Q61</f>
        <v>0</v>
      </c>
      <c r="P62" s="13">
        <f>$B$26/SQRT($Q$26)*(SQRT(Q62)-SQRT(Q61))</f>
        <v>0</v>
      </c>
      <c r="Q62" s="12">
        <v>60138</v>
      </c>
      <c r="R62" s="11">
        <v>84289000</v>
      </c>
      <c r="S62" s="10">
        <f>R62</f>
        <v>84289000</v>
      </c>
      <c r="T62" s="9">
        <f>S62/Q62</f>
        <v>1401.5930027603179</v>
      </c>
      <c r="U62" s="8">
        <f>T62/T$104</f>
        <v>1.1703382640987737E-2</v>
      </c>
      <c r="V62" s="8" t="e">
        <f>U62+V61</f>
        <v>#REF!</v>
      </c>
      <c r="W62" s="8"/>
      <c r="X62" s="8"/>
      <c r="Y62" s="8"/>
    </row>
    <row r="63" spans="1:25" ht="14.25" customHeight="1" x14ac:dyDescent="0.25">
      <c r="A63" s="16">
        <v>44833</v>
      </c>
      <c r="B63" s="8">
        <v>62</v>
      </c>
      <c r="C63" s="14">
        <v>60138</v>
      </c>
      <c r="D63" s="15">
        <v>84900000</v>
      </c>
      <c r="E63" s="14"/>
      <c r="F63" s="15"/>
      <c r="G63" s="14"/>
      <c r="H63" s="14"/>
      <c r="I63" s="14"/>
      <c r="J63" s="14"/>
      <c r="K63" s="14"/>
      <c r="L63" s="14"/>
      <c r="M63" s="14"/>
      <c r="N63" s="13">
        <f>101/$Q$102*(O63)</f>
        <v>0</v>
      </c>
      <c r="O63" s="13">
        <f>Q63-Q62</f>
        <v>0</v>
      </c>
      <c r="P63" s="13">
        <f>$B$26/SQRT($Q$26)*(SQRT(Q63)-SQRT(Q62))</f>
        <v>0</v>
      </c>
      <c r="Q63" s="12">
        <v>60138</v>
      </c>
      <c r="R63" s="11">
        <v>84900000</v>
      </c>
      <c r="S63" s="10">
        <f>R63</f>
        <v>84900000</v>
      </c>
      <c r="T63" s="9">
        <f>S63/Q63</f>
        <v>1411.7529681732017</v>
      </c>
      <c r="U63" s="8">
        <f>T63/T$104</f>
        <v>1.1788218939836264E-2</v>
      </c>
      <c r="V63" s="8" t="e">
        <f>U63+V62</f>
        <v>#REF!</v>
      </c>
      <c r="W63" s="8"/>
      <c r="X63" s="8"/>
      <c r="Y63" s="8"/>
    </row>
    <row r="64" spans="1:25" ht="14.25" customHeight="1" x14ac:dyDescent="0.25">
      <c r="A64" s="16">
        <v>44834</v>
      </c>
      <c r="B64" s="8">
        <v>63</v>
      </c>
      <c r="C64" s="14">
        <v>60138</v>
      </c>
      <c r="D64" s="15">
        <v>85300000</v>
      </c>
      <c r="E64" s="14"/>
      <c r="F64" s="15"/>
      <c r="G64" s="14"/>
      <c r="H64" s="14"/>
      <c r="I64" s="14"/>
      <c r="J64" s="14"/>
      <c r="K64" s="14"/>
      <c r="L64" s="14"/>
      <c r="M64" s="14"/>
      <c r="N64" s="13">
        <f>101/$Q$102*(O64)</f>
        <v>0</v>
      </c>
      <c r="O64" s="13">
        <f>Q64-Q63</f>
        <v>0</v>
      </c>
      <c r="P64" s="13">
        <f>$B$26/SQRT($Q$26)*(SQRT(Q64)-SQRT(Q63))</f>
        <v>0</v>
      </c>
      <c r="Q64" s="12">
        <v>60138</v>
      </c>
      <c r="R64" s="11">
        <v>85300000</v>
      </c>
      <c r="S64" s="10">
        <f>R64</f>
        <v>85300000</v>
      </c>
      <c r="T64" s="9">
        <f>S64/Q64</f>
        <v>1418.4043366922745</v>
      </c>
      <c r="U64" s="8">
        <f>T64/T$104</f>
        <v>1.1843758251684728E-2</v>
      </c>
      <c r="V64" s="8" t="e">
        <f>U64+V63</f>
        <v>#REF!</v>
      </c>
      <c r="W64" s="8"/>
      <c r="X64" s="8"/>
      <c r="Y64" s="8"/>
    </row>
    <row r="65" spans="1:25" ht="14.25" customHeight="1" x14ac:dyDescent="0.25">
      <c r="A65" s="16">
        <v>44835</v>
      </c>
      <c r="B65" s="8">
        <v>64</v>
      </c>
      <c r="C65" s="14">
        <v>60138</v>
      </c>
      <c r="D65" s="15">
        <v>85300000</v>
      </c>
      <c r="E65" s="14"/>
      <c r="F65" s="15"/>
      <c r="G65" s="14"/>
      <c r="H65" s="14"/>
      <c r="I65" s="14"/>
      <c r="J65" s="14"/>
      <c r="K65" s="14"/>
      <c r="L65" s="14"/>
      <c r="M65" s="14"/>
      <c r="N65" s="13">
        <f>101/$Q$102*(O65)</f>
        <v>0</v>
      </c>
      <c r="O65" s="13">
        <f>Q65-Q64</f>
        <v>0</v>
      </c>
      <c r="P65" s="13">
        <f>$B$26/SQRT($Q$26)*(SQRT(Q65)-SQRT(Q64))</f>
        <v>0</v>
      </c>
      <c r="Q65" s="12">
        <v>60138</v>
      </c>
      <c r="R65" s="11">
        <v>85300000</v>
      </c>
      <c r="S65" s="10">
        <f>R65</f>
        <v>85300000</v>
      </c>
      <c r="T65" s="9">
        <f>S65/Q65</f>
        <v>1418.4043366922745</v>
      </c>
      <c r="U65" s="8">
        <f>T65/T$104</f>
        <v>1.1843758251684728E-2</v>
      </c>
      <c r="V65" s="8" t="e">
        <f>U65+V64</f>
        <v>#REF!</v>
      </c>
      <c r="W65" s="8"/>
      <c r="X65" s="8"/>
      <c r="Y65" s="8"/>
    </row>
    <row r="66" spans="1:25" ht="14.25" customHeight="1" x14ac:dyDescent="0.25">
      <c r="A66" s="16">
        <v>44836</v>
      </c>
      <c r="B66" s="8">
        <v>65</v>
      </c>
      <c r="C66" s="14">
        <v>60138</v>
      </c>
      <c r="D66" s="15">
        <v>86000000</v>
      </c>
      <c r="E66" s="14"/>
      <c r="F66" s="15"/>
      <c r="G66" s="14"/>
      <c r="H66" s="14"/>
      <c r="I66" s="14"/>
      <c r="J66" s="14"/>
      <c r="K66" s="14"/>
      <c r="L66" s="14"/>
      <c r="M66" s="14"/>
      <c r="N66" s="13">
        <f>101/$Q$102*(O66)</f>
        <v>0</v>
      </c>
      <c r="O66" s="13">
        <f>Q66-Q65</f>
        <v>0</v>
      </c>
      <c r="P66" s="13">
        <f>$B$26/SQRT($Q$26)*(SQRT(Q66)-SQRT(Q65))</f>
        <v>0</v>
      </c>
      <c r="Q66" s="12">
        <v>60138</v>
      </c>
      <c r="R66" s="11">
        <v>86000000</v>
      </c>
      <c r="S66" s="10">
        <f>R66</f>
        <v>86000000</v>
      </c>
      <c r="T66" s="9">
        <f>S66/Q66</f>
        <v>1430.0442316006518</v>
      </c>
      <c r="U66" s="8">
        <f>T66/T$104</f>
        <v>1.1940952047419537E-2</v>
      </c>
      <c r="V66" s="8" t="e">
        <f>U66+V65</f>
        <v>#REF!</v>
      </c>
      <c r="W66" s="8"/>
      <c r="X66" s="8"/>
      <c r="Y66" s="8"/>
    </row>
    <row r="67" spans="1:25" ht="14.25" customHeight="1" x14ac:dyDescent="0.25">
      <c r="A67" s="16">
        <v>44837</v>
      </c>
      <c r="B67" s="8">
        <v>66</v>
      </c>
      <c r="C67" s="14">
        <v>60138</v>
      </c>
      <c r="D67" s="15">
        <v>86400000</v>
      </c>
      <c r="E67" s="14"/>
      <c r="F67" s="15"/>
      <c r="G67" s="14"/>
      <c r="H67" s="14"/>
      <c r="I67" s="14"/>
      <c r="J67" s="14"/>
      <c r="K67" s="14"/>
      <c r="L67" s="14"/>
      <c r="M67" s="14"/>
      <c r="N67" s="13">
        <f>101/$Q$102*(O67)</f>
        <v>0</v>
      </c>
      <c r="O67" s="13">
        <f>Q67-Q66</f>
        <v>0</v>
      </c>
      <c r="P67" s="13">
        <f>$B$26/SQRT($Q$26)*(SQRT(Q67)-SQRT(Q66))</f>
        <v>0</v>
      </c>
      <c r="Q67" s="12">
        <v>60138</v>
      </c>
      <c r="R67" s="11">
        <v>86400000</v>
      </c>
      <c r="S67" s="10">
        <f>R67</f>
        <v>86400000</v>
      </c>
      <c r="T67" s="9">
        <f>S67/Q67</f>
        <v>1436.6956001197245</v>
      </c>
      <c r="U67" s="8">
        <f>T67/T$104</f>
        <v>1.1996491359267999E-2</v>
      </c>
      <c r="V67" s="8" t="e">
        <f>U67+V66</f>
        <v>#REF!</v>
      </c>
      <c r="W67" s="8"/>
      <c r="X67" s="8"/>
      <c r="Y67" s="8"/>
    </row>
    <row r="68" spans="1:25" ht="14.25" customHeight="1" x14ac:dyDescent="0.25">
      <c r="A68" s="16">
        <v>44838</v>
      </c>
      <c r="B68" s="8">
        <v>67</v>
      </c>
      <c r="C68" s="14">
        <v>60138</v>
      </c>
      <c r="D68" s="15">
        <v>86900000</v>
      </c>
      <c r="E68" s="14"/>
      <c r="F68" s="15"/>
      <c r="G68" s="14"/>
      <c r="H68" s="14"/>
      <c r="I68" s="14"/>
      <c r="J68" s="14"/>
      <c r="K68" s="14"/>
      <c r="L68" s="14"/>
      <c r="M68" s="14"/>
      <c r="N68" s="13">
        <f>101/$Q$102*(O68)</f>
        <v>0</v>
      </c>
      <c r="O68" s="13">
        <f>Q68-Q67</f>
        <v>0</v>
      </c>
      <c r="P68" s="13">
        <f>$B$26/SQRT($Q$26)*(SQRT(Q68)-SQRT(Q67))</f>
        <v>0</v>
      </c>
      <c r="Q68" s="12">
        <v>60138</v>
      </c>
      <c r="R68" s="11">
        <v>86900000</v>
      </c>
      <c r="S68" s="10">
        <f>R68</f>
        <v>86900000</v>
      </c>
      <c r="T68" s="9">
        <f>S68/Q68</f>
        <v>1445.0098107685656</v>
      </c>
      <c r="U68" s="8">
        <f>T68/T$104</f>
        <v>1.2065915499078579E-2</v>
      </c>
      <c r="V68" s="8" t="e">
        <f>U68+V67</f>
        <v>#REF!</v>
      </c>
      <c r="W68" s="8"/>
      <c r="X68" s="8"/>
      <c r="Y68" s="8"/>
    </row>
    <row r="69" spans="1:25" ht="14.25" customHeight="1" x14ac:dyDescent="0.25">
      <c r="A69" s="16">
        <v>44839</v>
      </c>
      <c r="B69" s="8">
        <v>68</v>
      </c>
      <c r="C69" s="14">
        <v>60138</v>
      </c>
      <c r="D69" s="15">
        <v>87400000</v>
      </c>
      <c r="E69" s="14"/>
      <c r="F69" s="15"/>
      <c r="G69" s="14"/>
      <c r="H69" s="14"/>
      <c r="I69" s="14"/>
      <c r="J69" s="14"/>
      <c r="K69" s="14"/>
      <c r="L69" s="14"/>
      <c r="M69" s="14"/>
      <c r="N69" s="13">
        <f>101/$Q$102*(O69)</f>
        <v>0</v>
      </c>
      <c r="O69" s="13">
        <f>Q69-Q68</f>
        <v>0</v>
      </c>
      <c r="P69" s="13">
        <f>$B$26/SQRT($Q$26)*(SQRT(Q69)-SQRT(Q68))</f>
        <v>0</v>
      </c>
      <c r="Q69" s="12">
        <v>60138</v>
      </c>
      <c r="R69" s="11">
        <v>87400000</v>
      </c>
      <c r="S69" s="10">
        <f>R69</f>
        <v>87400000</v>
      </c>
      <c r="T69" s="9">
        <f>S69/Q69</f>
        <v>1453.3240214174066</v>
      </c>
      <c r="U69" s="8">
        <f>T69/T$104</f>
        <v>1.2135339638889157E-2</v>
      </c>
      <c r="V69" s="8" t="e">
        <f>U69+V68</f>
        <v>#REF!</v>
      </c>
      <c r="W69" s="8"/>
      <c r="X69" s="8"/>
      <c r="Y69" s="8"/>
    </row>
    <row r="70" spans="1:25" ht="14.25" customHeight="1" x14ac:dyDescent="0.25">
      <c r="A70" s="16">
        <v>44840</v>
      </c>
      <c r="B70" s="8">
        <v>69</v>
      </c>
      <c r="C70" s="14">
        <v>60138</v>
      </c>
      <c r="D70" s="15">
        <v>87800000</v>
      </c>
      <c r="E70" s="14"/>
      <c r="F70" s="15"/>
      <c r="G70" s="14"/>
      <c r="H70" s="14"/>
      <c r="I70" s="14"/>
      <c r="J70" s="14"/>
      <c r="K70" s="14"/>
      <c r="L70" s="14"/>
      <c r="M70" s="14"/>
      <c r="N70" s="13">
        <f>101/$Q$102*(O70)</f>
        <v>0</v>
      </c>
      <c r="O70" s="13">
        <f>Q70-Q69</f>
        <v>0</v>
      </c>
      <c r="P70" s="13">
        <f>$B$26/SQRT($Q$26)*(SQRT(Q70)-SQRT(Q69))</f>
        <v>0</v>
      </c>
      <c r="Q70" s="12">
        <v>60138</v>
      </c>
      <c r="R70" s="11">
        <v>87800000</v>
      </c>
      <c r="S70" s="10">
        <f>R70</f>
        <v>87800000</v>
      </c>
      <c r="T70" s="9">
        <f>S70/Q70</f>
        <v>1459.9753899364794</v>
      </c>
      <c r="U70" s="8">
        <f>T70/T$104</f>
        <v>1.2190878950737621E-2</v>
      </c>
      <c r="V70" s="8" t="e">
        <f>U70+V69</f>
        <v>#REF!</v>
      </c>
      <c r="W70" s="8"/>
      <c r="X70" s="8"/>
      <c r="Y70" s="8"/>
    </row>
    <row r="71" spans="1:25" ht="14.25" customHeight="1" x14ac:dyDescent="0.25">
      <c r="A71" s="16">
        <v>44841</v>
      </c>
      <c r="B71" s="8">
        <v>70</v>
      </c>
      <c r="C71" s="14">
        <v>60138</v>
      </c>
      <c r="D71" s="15">
        <v>87800000</v>
      </c>
      <c r="E71" s="14"/>
      <c r="F71" s="15"/>
      <c r="G71" s="14"/>
      <c r="H71" s="14"/>
      <c r="I71" s="14"/>
      <c r="J71" s="14"/>
      <c r="K71" s="14"/>
      <c r="L71" s="14"/>
      <c r="M71" s="14"/>
      <c r="N71" s="13">
        <f>101/$Q$102*(O71)</f>
        <v>0</v>
      </c>
      <c r="O71" s="13">
        <f>Q71-Q70</f>
        <v>0</v>
      </c>
      <c r="P71" s="13">
        <f>$B$26/SQRT($Q$26)*(SQRT(Q71)-SQRT(Q70))</f>
        <v>0</v>
      </c>
      <c r="Q71" s="12">
        <v>60138</v>
      </c>
      <c r="R71" s="11">
        <v>87800000</v>
      </c>
      <c r="S71" s="10">
        <f>R71</f>
        <v>87800000</v>
      </c>
      <c r="T71" s="9">
        <f>S71/Q71</f>
        <v>1459.9753899364794</v>
      </c>
      <c r="U71" s="8">
        <f>T71/T$104</f>
        <v>1.2190878950737621E-2</v>
      </c>
      <c r="V71" s="8" t="e">
        <f>U71+V70</f>
        <v>#REF!</v>
      </c>
      <c r="W71" s="8"/>
      <c r="X71" s="8"/>
      <c r="Y71" s="8"/>
    </row>
    <row r="72" spans="1:25" ht="14.25" customHeight="1" x14ac:dyDescent="0.25">
      <c r="A72" s="16">
        <v>44842</v>
      </c>
      <c r="B72" s="8">
        <v>71</v>
      </c>
      <c r="C72" s="14">
        <v>60138</v>
      </c>
      <c r="D72" s="15">
        <v>88700000</v>
      </c>
      <c r="E72" s="14"/>
      <c r="F72" s="15"/>
      <c r="G72" s="14"/>
      <c r="H72" s="14"/>
      <c r="I72" s="14"/>
      <c r="J72" s="14"/>
      <c r="K72" s="14"/>
      <c r="L72" s="14"/>
      <c r="M72" s="14"/>
      <c r="N72" s="13">
        <f>101/$Q$102*(O72)</f>
        <v>0</v>
      </c>
      <c r="O72" s="13">
        <f>Q72-Q71</f>
        <v>0</v>
      </c>
      <c r="P72" s="13">
        <f>$B$26/SQRT($Q$26)*(SQRT(Q72)-SQRT(Q71))</f>
        <v>0</v>
      </c>
      <c r="Q72" s="12">
        <v>60138</v>
      </c>
      <c r="R72" s="11">
        <v>88700000</v>
      </c>
      <c r="S72" s="10">
        <f>R72</f>
        <v>88700000</v>
      </c>
      <c r="T72" s="9">
        <f>S72/Q72</f>
        <v>1474.9409691043932</v>
      </c>
      <c r="U72" s="8">
        <f>T72/T$104</f>
        <v>1.2315842402396662E-2</v>
      </c>
      <c r="V72" s="8" t="e">
        <f>U72+V71</f>
        <v>#REF!</v>
      </c>
      <c r="W72" s="8"/>
      <c r="X72" s="8"/>
      <c r="Y72" s="8"/>
    </row>
    <row r="73" spans="1:25" ht="14.25" customHeight="1" x14ac:dyDescent="0.25">
      <c r="A73" s="16">
        <v>44843</v>
      </c>
      <c r="B73" s="8">
        <v>72</v>
      </c>
      <c r="D73" s="15"/>
      <c r="E73" s="14"/>
      <c r="F73" s="15"/>
      <c r="G73" s="14"/>
      <c r="H73" s="14"/>
      <c r="I73" s="14"/>
      <c r="J73" s="14"/>
      <c r="K73" s="14"/>
      <c r="L73" s="14"/>
      <c r="M73" s="14"/>
      <c r="N73" s="13">
        <f>101/$Q$102*(O73)</f>
        <v>0</v>
      </c>
      <c r="O73" s="13">
        <f>Q73-Q72</f>
        <v>0</v>
      </c>
      <c r="P73" s="13">
        <f>$B$26/SQRT($Q$26)*(SQRT(Q73)-SQRT(Q72))</f>
        <v>0</v>
      </c>
      <c r="Q73" s="12">
        <v>60138</v>
      </c>
      <c r="R73" s="11"/>
      <c r="S73" s="10"/>
      <c r="T73" s="9"/>
      <c r="U73" s="8">
        <f>T73/T$104</f>
        <v>0</v>
      </c>
      <c r="V73" s="8" t="e">
        <f>U73+V72</f>
        <v>#REF!</v>
      </c>
      <c r="W73" s="8"/>
      <c r="X73" s="8"/>
      <c r="Y73" s="8"/>
    </row>
    <row r="74" spans="1:25" ht="14.25" customHeight="1" x14ac:dyDescent="0.25">
      <c r="A74" s="16">
        <v>44844</v>
      </c>
      <c r="B74" s="8">
        <v>73</v>
      </c>
      <c r="C74" s="14">
        <v>60138</v>
      </c>
      <c r="D74" s="15">
        <v>89400000</v>
      </c>
      <c r="E74" s="14"/>
      <c r="F74" s="15"/>
      <c r="G74" s="14"/>
      <c r="H74" s="14"/>
      <c r="I74" s="14"/>
      <c r="J74" s="14"/>
      <c r="K74" s="14"/>
      <c r="L74" s="14"/>
      <c r="M74" s="14"/>
      <c r="N74" s="13">
        <f>101/$Q$102*(O74)</f>
        <v>0</v>
      </c>
      <c r="O74" s="13">
        <f>Q74-Q73</f>
        <v>0</v>
      </c>
      <c r="P74" s="13">
        <f>$B$26/SQRT($Q$26)*(SQRT(Q74)-SQRT(Q73))</f>
        <v>0</v>
      </c>
      <c r="Q74" s="12">
        <v>60138</v>
      </c>
      <c r="R74" s="11">
        <v>89400000</v>
      </c>
      <c r="S74" s="10">
        <f>R74</f>
        <v>89400000</v>
      </c>
      <c r="T74" s="9">
        <f>S74/Q74</f>
        <v>1486.5808640127707</v>
      </c>
      <c r="U74" s="8">
        <f>T74/T$104</f>
        <v>1.2413036198131474E-2</v>
      </c>
      <c r="V74" s="8" t="e">
        <f>U74+V73</f>
        <v>#REF!</v>
      </c>
      <c r="W74" s="8"/>
      <c r="X74" s="8"/>
      <c r="Y74" s="8"/>
    </row>
    <row r="75" spans="1:25" ht="14.25" customHeight="1" x14ac:dyDescent="0.25">
      <c r="A75" s="16">
        <v>44845</v>
      </c>
      <c r="B75" s="8">
        <v>74</v>
      </c>
      <c r="C75" s="14">
        <v>60138</v>
      </c>
      <c r="D75" s="15">
        <v>90000000</v>
      </c>
      <c r="E75" s="14"/>
      <c r="F75" s="15"/>
      <c r="G75" s="14"/>
      <c r="H75" s="14"/>
      <c r="I75" s="14"/>
      <c r="J75" s="14"/>
      <c r="K75" s="14"/>
      <c r="L75" s="14"/>
      <c r="M75" s="14"/>
      <c r="N75" s="13">
        <f>101/$Q$102*(O75)</f>
        <v>0</v>
      </c>
      <c r="O75" s="13">
        <f>Q75-Q74</f>
        <v>0</v>
      </c>
      <c r="P75" s="13">
        <f>$B$26/SQRT($Q$26)*(SQRT(Q75)-SQRT(Q74))</f>
        <v>0</v>
      </c>
      <c r="Q75" s="12">
        <v>60138</v>
      </c>
      <c r="R75" s="11">
        <v>90000000</v>
      </c>
      <c r="S75" s="10">
        <f>R75</f>
        <v>90000000</v>
      </c>
      <c r="T75" s="9">
        <f>S75/Q75</f>
        <v>1496.5579167913797</v>
      </c>
      <c r="U75" s="8">
        <f>T75/T$104</f>
        <v>1.2496345165904166E-2</v>
      </c>
      <c r="V75" s="8" t="e">
        <f>U75+V74</f>
        <v>#REF!</v>
      </c>
      <c r="W75" s="8"/>
      <c r="X75" s="8"/>
      <c r="Y75" s="8"/>
    </row>
    <row r="76" spans="1:25" ht="14.25" customHeight="1" x14ac:dyDescent="0.25">
      <c r="A76" s="16">
        <v>44846</v>
      </c>
      <c r="B76" s="8">
        <v>75</v>
      </c>
      <c r="C76" s="14">
        <v>60138</v>
      </c>
      <c r="D76" s="15">
        <v>91000000</v>
      </c>
      <c r="E76" s="14"/>
      <c r="F76" s="15"/>
      <c r="G76" s="14"/>
      <c r="H76" s="14"/>
      <c r="I76" s="14"/>
      <c r="J76" s="14"/>
      <c r="K76" s="14"/>
      <c r="L76" s="14"/>
      <c r="M76" s="14"/>
      <c r="N76" s="13">
        <f>101/$Q$102*(O76)</f>
        <v>0</v>
      </c>
      <c r="O76" s="13">
        <f>Q76-Q75</f>
        <v>0</v>
      </c>
      <c r="P76" s="13">
        <f>$B$26/SQRT($Q$26)*(SQRT(Q76)-SQRT(Q75))</f>
        <v>0</v>
      </c>
      <c r="Q76" s="12">
        <v>60138</v>
      </c>
      <c r="R76" s="11">
        <v>91000000</v>
      </c>
      <c r="S76" s="10">
        <f>R76</f>
        <v>91000000</v>
      </c>
      <c r="T76" s="9">
        <f>S76/Q76</f>
        <v>1513.1863380890618</v>
      </c>
      <c r="U76" s="8">
        <f>T76/T$104</f>
        <v>1.2635193445525324E-2</v>
      </c>
      <c r="V76" s="8" t="e">
        <f>U76+V75</f>
        <v>#REF!</v>
      </c>
      <c r="W76" s="8"/>
      <c r="X76" s="8"/>
      <c r="Y76" s="8"/>
    </row>
    <row r="77" spans="1:25" ht="14.25" customHeight="1" x14ac:dyDescent="0.25">
      <c r="A77" s="16">
        <v>44847</v>
      </c>
      <c r="B77" s="8">
        <v>76</v>
      </c>
      <c r="C77" s="14">
        <v>60138</v>
      </c>
      <c r="D77" s="15">
        <v>91600000</v>
      </c>
      <c r="E77" s="14"/>
      <c r="F77" s="15"/>
      <c r="G77" s="14"/>
      <c r="H77" s="14"/>
      <c r="I77" s="14"/>
      <c r="J77" s="14"/>
      <c r="K77" s="14"/>
      <c r="L77" s="14"/>
      <c r="M77" s="14"/>
      <c r="N77" s="13">
        <f>101/$Q$102*(O77)</f>
        <v>0</v>
      </c>
      <c r="O77" s="13">
        <f>Q77-Q76</f>
        <v>0</v>
      </c>
      <c r="P77" s="13">
        <f>$B$26/SQRT($Q$26)*(SQRT(Q77)-SQRT(Q76))</f>
        <v>0</v>
      </c>
      <c r="Q77" s="12">
        <v>60138</v>
      </c>
      <c r="R77" s="11">
        <v>91600000</v>
      </c>
      <c r="S77" s="10">
        <f>R77</f>
        <v>91600000</v>
      </c>
      <c r="T77" s="9">
        <f>S77/Q77</f>
        <v>1523.1633908676711</v>
      </c>
      <c r="U77" s="8">
        <f>T77/T$104</f>
        <v>1.2718502413298019E-2</v>
      </c>
      <c r="V77" s="8" t="e">
        <f>U77+V76</f>
        <v>#REF!</v>
      </c>
      <c r="W77" s="8"/>
      <c r="X77" s="8"/>
      <c r="Y77" s="8"/>
    </row>
    <row r="78" spans="1:25" ht="14.25" customHeight="1" x14ac:dyDescent="0.25">
      <c r="A78" s="16">
        <v>44848</v>
      </c>
      <c r="B78" s="8">
        <v>77</v>
      </c>
      <c r="C78" s="14">
        <v>60138</v>
      </c>
      <c r="D78" s="15">
        <v>92100000</v>
      </c>
      <c r="E78" s="14"/>
      <c r="F78" s="15"/>
      <c r="G78" s="14"/>
      <c r="H78" s="14"/>
      <c r="I78" s="14"/>
      <c r="J78" s="14"/>
      <c r="K78" s="14"/>
      <c r="L78" s="14"/>
      <c r="M78" s="14"/>
      <c r="N78" s="13">
        <f>101/$Q$102*(O78)</f>
        <v>0</v>
      </c>
      <c r="O78" s="13">
        <f>Q78-Q77</f>
        <v>0</v>
      </c>
      <c r="P78" s="13">
        <f>$B$26/SQRT($Q$26)*(SQRT(Q78)-SQRT(Q77))</f>
        <v>0</v>
      </c>
      <c r="Q78" s="12">
        <v>60138</v>
      </c>
      <c r="R78" s="11">
        <v>92100000</v>
      </c>
      <c r="S78" s="10">
        <f>R78</f>
        <v>92100000</v>
      </c>
      <c r="T78" s="9">
        <f>S78/Q78</f>
        <v>1531.4776015165121</v>
      </c>
      <c r="U78" s="8">
        <f>T78/T$104</f>
        <v>1.2787926553108599E-2</v>
      </c>
      <c r="V78" s="8" t="e">
        <f>U78+V77</f>
        <v>#REF!</v>
      </c>
      <c r="W78" s="8"/>
      <c r="X78" s="8"/>
      <c r="Y78" s="8"/>
    </row>
    <row r="79" spans="1:25" ht="14.25" customHeight="1" x14ac:dyDescent="0.25">
      <c r="A79" s="16">
        <v>44849</v>
      </c>
      <c r="B79" s="8">
        <v>78</v>
      </c>
      <c r="C79" s="14">
        <v>60138</v>
      </c>
      <c r="D79" s="15">
        <v>92700000</v>
      </c>
      <c r="E79" s="14"/>
      <c r="F79" s="15"/>
      <c r="G79" s="14"/>
      <c r="H79" s="14"/>
      <c r="I79" s="14"/>
      <c r="J79" s="14"/>
      <c r="K79" s="14"/>
      <c r="L79" s="14"/>
      <c r="M79" s="14"/>
      <c r="N79" s="13">
        <f>101/$Q$102*(O79)</f>
        <v>0</v>
      </c>
      <c r="O79" s="13">
        <f>Q79-Q78</f>
        <v>0</v>
      </c>
      <c r="P79" s="13">
        <f>$B$26/SQRT($Q$26)*(SQRT(Q79)-SQRT(Q78))</f>
        <v>0</v>
      </c>
      <c r="Q79" s="12">
        <v>60138</v>
      </c>
      <c r="R79" s="11">
        <v>92700000</v>
      </c>
      <c r="S79" s="10">
        <f>R79</f>
        <v>92700000</v>
      </c>
      <c r="T79" s="9">
        <f>S79/Q79</f>
        <v>1541.4546542951211</v>
      </c>
      <c r="U79" s="8">
        <f>T79/T$104</f>
        <v>1.2871235520881291E-2</v>
      </c>
      <c r="V79" s="8" t="e">
        <f>U79+V78</f>
        <v>#REF!</v>
      </c>
      <c r="W79" s="8"/>
      <c r="X79" s="8"/>
      <c r="Y79" s="8"/>
    </row>
    <row r="80" spans="1:25" ht="14.25" customHeight="1" x14ac:dyDescent="0.25">
      <c r="A80" s="16">
        <v>44850</v>
      </c>
      <c r="B80" s="8">
        <v>79</v>
      </c>
      <c r="C80" s="14">
        <v>60138</v>
      </c>
      <c r="D80" s="15">
        <v>93400000</v>
      </c>
      <c r="E80" s="14"/>
      <c r="F80" s="15"/>
      <c r="G80" s="14"/>
      <c r="H80" s="14"/>
      <c r="I80" s="14"/>
      <c r="J80" s="14"/>
      <c r="K80" s="14"/>
      <c r="L80" s="14"/>
      <c r="M80" s="14"/>
      <c r="N80" s="13">
        <f>101/$Q$102*(O80)</f>
        <v>0</v>
      </c>
      <c r="O80" s="13">
        <f>Q80-Q79</f>
        <v>0</v>
      </c>
      <c r="P80" s="13">
        <f>$B$26/SQRT($Q$26)*(SQRT(Q80)-SQRT(Q79))</f>
        <v>0</v>
      </c>
      <c r="Q80" s="12">
        <v>60138</v>
      </c>
      <c r="R80" s="11">
        <v>93400000</v>
      </c>
      <c r="S80" s="10">
        <f>R80</f>
        <v>93400000</v>
      </c>
      <c r="T80" s="9">
        <f>S80/Q80</f>
        <v>1553.0945492034987</v>
      </c>
      <c r="U80" s="8">
        <f>T80/T$104</f>
        <v>1.2968429316616103E-2</v>
      </c>
      <c r="V80" s="8" t="e">
        <f>U80+V79</f>
        <v>#REF!</v>
      </c>
      <c r="W80" s="8"/>
      <c r="X80" s="8"/>
      <c r="Y80" s="8"/>
    </row>
    <row r="81" spans="1:25" ht="14.25" customHeight="1" x14ac:dyDescent="0.25">
      <c r="A81" s="16">
        <v>44851</v>
      </c>
      <c r="B81" s="8">
        <v>80</v>
      </c>
      <c r="C81" s="14">
        <v>60138</v>
      </c>
      <c r="D81" s="15">
        <v>93900000</v>
      </c>
      <c r="E81" s="14"/>
      <c r="F81" s="15"/>
      <c r="G81" s="14"/>
      <c r="H81" s="14"/>
      <c r="I81" s="14"/>
      <c r="J81" s="14"/>
      <c r="K81" s="14"/>
      <c r="L81" s="14"/>
      <c r="M81" s="14"/>
      <c r="N81" s="13">
        <f>101/$Q$102*(O81)</f>
        <v>0</v>
      </c>
      <c r="O81" s="13">
        <f>Q81-Q80</f>
        <v>0</v>
      </c>
      <c r="P81" s="13">
        <f>$B$26/SQRT($Q$26)*(SQRT(Q81)-SQRT(Q80))</f>
        <v>0</v>
      </c>
      <c r="Q81" s="12">
        <v>60138</v>
      </c>
      <c r="R81" s="11">
        <v>93900000</v>
      </c>
      <c r="S81" s="10">
        <f>R81</f>
        <v>93900000</v>
      </c>
      <c r="T81" s="9">
        <f>S81/Q81</f>
        <v>1561.4087598523397</v>
      </c>
      <c r="U81" s="8">
        <f>T81/T$104</f>
        <v>1.3037853456426681E-2</v>
      </c>
      <c r="V81" s="8" t="e">
        <f>U81+V80</f>
        <v>#REF!</v>
      </c>
      <c r="W81" s="8"/>
      <c r="X81" s="8"/>
      <c r="Y81" s="8"/>
    </row>
    <row r="82" spans="1:25" ht="14.25" customHeight="1" x14ac:dyDescent="0.25">
      <c r="A82" s="16">
        <v>44852</v>
      </c>
      <c r="B82" s="8">
        <v>81</v>
      </c>
      <c r="C82" s="14">
        <v>60138</v>
      </c>
      <c r="D82" s="15">
        <v>94500000</v>
      </c>
      <c r="E82" s="14"/>
      <c r="F82" s="15"/>
      <c r="G82" s="14"/>
      <c r="H82" s="14"/>
      <c r="I82" s="14"/>
      <c r="J82" s="14"/>
      <c r="K82" s="14"/>
      <c r="L82" s="14"/>
      <c r="M82" s="14"/>
      <c r="N82" s="13">
        <f>101/$Q$102*(O82)</f>
        <v>0</v>
      </c>
      <c r="O82" s="13">
        <f>Q82-Q81</f>
        <v>0</v>
      </c>
      <c r="P82" s="13">
        <f>$B$26/SQRT($Q$26)*(SQRT(Q82)-SQRT(Q81))</f>
        <v>0</v>
      </c>
      <c r="Q82" s="12">
        <v>60138</v>
      </c>
      <c r="R82" s="11">
        <v>94500000</v>
      </c>
      <c r="S82" s="10">
        <f>R82</f>
        <v>94500000</v>
      </c>
      <c r="T82" s="9">
        <f>S82/Q82</f>
        <v>1571.3858126309487</v>
      </c>
      <c r="U82" s="8">
        <f>T82/T$104</f>
        <v>1.3121162424199376E-2</v>
      </c>
      <c r="V82" s="8" t="e">
        <f>U82+V81</f>
        <v>#REF!</v>
      </c>
      <c r="W82" s="8"/>
      <c r="X82" s="8"/>
      <c r="Y82" s="8"/>
    </row>
    <row r="83" spans="1:25" ht="14.25" customHeight="1" x14ac:dyDescent="0.25">
      <c r="A83" s="16">
        <v>44853</v>
      </c>
      <c r="B83" s="8">
        <v>82</v>
      </c>
      <c r="C83" s="14">
        <v>60138</v>
      </c>
      <c r="D83" s="15">
        <v>94900000</v>
      </c>
      <c r="E83" s="14"/>
      <c r="F83" s="15"/>
      <c r="G83" s="14"/>
      <c r="H83" s="14"/>
      <c r="I83" s="14"/>
      <c r="J83" s="14"/>
      <c r="K83" s="14"/>
      <c r="L83" s="14"/>
      <c r="M83" s="14"/>
      <c r="N83" s="13">
        <f>101/$Q$102*(O83)</f>
        <v>0</v>
      </c>
      <c r="O83" s="13">
        <f>Q83-Q82</f>
        <v>0</v>
      </c>
      <c r="P83" s="13">
        <f>$B$26/SQRT($Q$26)*(SQRT(Q83)-SQRT(Q82))</f>
        <v>0</v>
      </c>
      <c r="Q83" s="12">
        <v>60138</v>
      </c>
      <c r="R83" s="11">
        <v>94900000</v>
      </c>
      <c r="S83" s="10">
        <f>R83</f>
        <v>94900000</v>
      </c>
      <c r="T83" s="9">
        <f>S83/Q83</f>
        <v>1578.0371811500215</v>
      </c>
      <c r="U83" s="8">
        <f>T83/T$104</f>
        <v>1.3176701736047838E-2</v>
      </c>
      <c r="V83" s="8" t="e">
        <f>U83+V82</f>
        <v>#REF!</v>
      </c>
      <c r="W83" s="8"/>
      <c r="X83" s="8"/>
      <c r="Y83" s="8"/>
    </row>
    <row r="84" spans="1:25" ht="14.25" customHeight="1" x14ac:dyDescent="0.25">
      <c r="A84" s="16">
        <v>44854</v>
      </c>
      <c r="B84" s="8">
        <v>83</v>
      </c>
      <c r="C84" s="14">
        <v>60138</v>
      </c>
      <c r="D84" s="15">
        <v>95800000</v>
      </c>
      <c r="E84" s="14"/>
      <c r="F84" s="15"/>
      <c r="G84" s="14"/>
      <c r="H84" s="14"/>
      <c r="I84" s="14"/>
      <c r="J84" s="14"/>
      <c r="K84" s="14"/>
      <c r="L84" s="14"/>
      <c r="M84" s="14"/>
      <c r="N84" s="13">
        <f>101/$Q$102*(O84)</f>
        <v>0</v>
      </c>
      <c r="O84" s="13">
        <f>Q84-Q83</f>
        <v>0</v>
      </c>
      <c r="P84" s="13">
        <f>$B$26/SQRT($Q$26)*(SQRT(Q84)-SQRT(Q83))</f>
        <v>0</v>
      </c>
      <c r="Q84" s="12">
        <v>60138</v>
      </c>
      <c r="R84" s="11">
        <v>95800000</v>
      </c>
      <c r="S84" s="10">
        <f>R84</f>
        <v>95800000</v>
      </c>
      <c r="T84" s="9">
        <f>S84/Q84</f>
        <v>1593.0027603179353</v>
      </c>
      <c r="U84" s="8">
        <f>T84/T$104</f>
        <v>1.3301665187706879E-2</v>
      </c>
      <c r="V84" s="8" t="e">
        <f>U84+V83</f>
        <v>#REF!</v>
      </c>
      <c r="W84" s="8"/>
      <c r="X84" s="8"/>
      <c r="Y84" s="8"/>
    </row>
    <row r="85" spans="1:25" ht="14.25" customHeight="1" x14ac:dyDescent="0.25">
      <c r="A85" s="16">
        <v>44855</v>
      </c>
      <c r="B85" s="8">
        <v>84</v>
      </c>
      <c r="C85" s="14">
        <v>60138</v>
      </c>
      <c r="D85" s="15">
        <v>95900000</v>
      </c>
      <c r="E85" s="14"/>
      <c r="F85" s="15"/>
      <c r="G85" s="14"/>
      <c r="H85" s="14"/>
      <c r="I85" s="14"/>
      <c r="J85" s="14"/>
      <c r="K85" s="14"/>
      <c r="L85" s="14"/>
      <c r="M85" s="14"/>
      <c r="N85" s="13">
        <f>101/$Q$102*(O85)</f>
        <v>0</v>
      </c>
      <c r="O85" s="13">
        <f>Q85-Q84</f>
        <v>0</v>
      </c>
      <c r="P85" s="13">
        <f>$B$26/SQRT($Q$26)*(SQRT(Q85)-SQRT(Q84))</f>
        <v>0</v>
      </c>
      <c r="Q85" s="12">
        <v>60138</v>
      </c>
      <c r="R85" s="11">
        <v>95900000</v>
      </c>
      <c r="S85" s="10">
        <f>R85</f>
        <v>95900000</v>
      </c>
      <c r="T85" s="9">
        <f>S85/Q85</f>
        <v>1594.6656024477036</v>
      </c>
      <c r="U85" s="8">
        <f>T85/T$104</f>
        <v>1.3315550015668996E-2</v>
      </c>
      <c r="V85" s="8" t="e">
        <f>U85+V84</f>
        <v>#REF!</v>
      </c>
      <c r="W85" s="8"/>
      <c r="X85" s="8"/>
      <c r="Y85" s="8"/>
    </row>
    <row r="86" spans="1:25" ht="14.25" customHeight="1" x14ac:dyDescent="0.25">
      <c r="A86" s="16">
        <v>44856</v>
      </c>
      <c r="B86" s="8">
        <v>85</v>
      </c>
      <c r="C86" s="14">
        <v>60138</v>
      </c>
      <c r="D86" s="15">
        <v>95400000</v>
      </c>
      <c r="E86" s="14"/>
      <c r="F86" s="15"/>
      <c r="G86" s="14"/>
      <c r="H86" s="14"/>
      <c r="I86" s="14"/>
      <c r="J86" s="14"/>
      <c r="K86" s="14"/>
      <c r="L86" s="14"/>
      <c r="M86" s="14"/>
      <c r="N86" s="13">
        <f>101/$Q$102*(O86)</f>
        <v>0</v>
      </c>
      <c r="O86" s="13">
        <f>Q86-Q85</f>
        <v>0</v>
      </c>
      <c r="P86" s="13">
        <f>$B$26/SQRT($Q$26)*(SQRT(Q86)-SQRT(Q85))</f>
        <v>0</v>
      </c>
      <c r="Q86" s="12">
        <v>60138</v>
      </c>
      <c r="R86" s="11">
        <v>95400000</v>
      </c>
      <c r="S86" s="10">
        <f>R86</f>
        <v>95400000</v>
      </c>
      <c r="T86" s="9">
        <f>S86/Q86</f>
        <v>1586.3513917988626</v>
      </c>
      <c r="U86" s="8">
        <f>T86/T$104</f>
        <v>1.3246125875858416E-2</v>
      </c>
      <c r="V86" s="8" t="e">
        <f>U86+V85</f>
        <v>#REF!</v>
      </c>
      <c r="W86" s="8"/>
      <c r="X86" s="8"/>
      <c r="Y86" s="8"/>
    </row>
    <row r="87" spans="1:25" ht="14.25" customHeight="1" x14ac:dyDescent="0.25">
      <c r="A87" s="16">
        <v>44857</v>
      </c>
      <c r="B87" s="8">
        <v>86</v>
      </c>
      <c r="C87" s="14">
        <v>60138</v>
      </c>
      <c r="D87" s="15">
        <v>95668000</v>
      </c>
      <c r="E87" s="14"/>
      <c r="F87" s="15"/>
      <c r="G87" s="14"/>
      <c r="H87" s="14"/>
      <c r="I87" s="14"/>
      <c r="J87" s="14"/>
      <c r="K87" s="14"/>
      <c r="L87" s="14"/>
      <c r="M87" s="14"/>
      <c r="N87" s="13">
        <f>101/$Q$102*(O87)</f>
        <v>0</v>
      </c>
      <c r="O87" s="13">
        <f>Q87-Q86</f>
        <v>0</v>
      </c>
      <c r="P87" s="13">
        <f>$B$26/SQRT($Q$26)*(SQRT(Q87)-SQRT(Q86))</f>
        <v>0</v>
      </c>
      <c r="Q87" s="12">
        <v>60138</v>
      </c>
      <c r="R87" s="11">
        <v>95668000</v>
      </c>
      <c r="S87" s="10">
        <f>R87</f>
        <v>95668000</v>
      </c>
      <c r="T87" s="9">
        <f>S87/Q87</f>
        <v>1590.8078087066415</v>
      </c>
      <c r="U87" s="8">
        <f>T87/T$104</f>
        <v>1.3283337214796888E-2</v>
      </c>
      <c r="V87" s="8" t="e">
        <f>U87+V86</f>
        <v>#REF!</v>
      </c>
      <c r="W87" s="8"/>
      <c r="X87" s="8"/>
      <c r="Y87" s="8"/>
    </row>
    <row r="88" spans="1:25" ht="14.25" customHeight="1" x14ac:dyDescent="0.25">
      <c r="A88" s="16">
        <v>44858</v>
      </c>
      <c r="B88" s="8">
        <v>87</v>
      </c>
      <c r="C88" s="14">
        <v>60138</v>
      </c>
      <c r="D88" s="15">
        <v>95578000</v>
      </c>
      <c r="E88" s="14"/>
      <c r="F88" s="15"/>
      <c r="G88" s="14"/>
      <c r="H88" s="14"/>
      <c r="I88" s="14"/>
      <c r="J88" s="14"/>
      <c r="K88" s="14"/>
      <c r="L88" s="14"/>
      <c r="M88" s="14"/>
      <c r="N88" s="13">
        <f>101/$Q$102*(O88)</f>
        <v>0</v>
      </c>
      <c r="O88" s="13">
        <f>Q88-Q87</f>
        <v>0</v>
      </c>
      <c r="P88" s="13">
        <f>$B$26/SQRT($Q$26)*(SQRT(Q88)-SQRT(Q87))</f>
        <v>0</v>
      </c>
      <c r="Q88" s="12">
        <v>60138</v>
      </c>
      <c r="R88" s="11">
        <v>95578000</v>
      </c>
      <c r="S88" s="10">
        <f>R88</f>
        <v>95578000</v>
      </c>
      <c r="T88" s="9">
        <f>S88/Q88</f>
        <v>1589.31125078985</v>
      </c>
      <c r="U88" s="8">
        <f>T88/T$104</f>
        <v>1.3270840869630983E-2</v>
      </c>
      <c r="V88" s="8" t="e">
        <f>U88+V87</f>
        <v>#REF!</v>
      </c>
      <c r="W88" s="8"/>
      <c r="X88" s="8"/>
      <c r="Y88" s="8"/>
    </row>
    <row r="89" spans="1:25" ht="14.25" customHeight="1" x14ac:dyDescent="0.25">
      <c r="A89" s="16">
        <v>44859</v>
      </c>
      <c r="B89" s="8">
        <v>88</v>
      </c>
      <c r="C89" s="14">
        <v>60138</v>
      </c>
      <c r="D89" s="15">
        <v>96109000</v>
      </c>
      <c r="E89" s="14"/>
      <c r="F89" s="15"/>
      <c r="G89" s="14"/>
      <c r="H89" s="14"/>
      <c r="I89" s="14"/>
      <c r="J89" s="14"/>
      <c r="K89" s="14"/>
      <c r="L89" s="14"/>
      <c r="M89" s="14"/>
      <c r="N89" s="13">
        <f>101/$Q$102*(O89)</f>
        <v>0</v>
      </c>
      <c r="O89" s="13">
        <f>Q89-Q88</f>
        <v>0</v>
      </c>
      <c r="P89" s="13">
        <f>$B$26/SQRT($Q$26)*(SQRT(Q89)-SQRT(Q88))</f>
        <v>0</v>
      </c>
      <c r="Q89" s="12">
        <v>60138</v>
      </c>
      <c r="R89" s="11">
        <v>96109000</v>
      </c>
      <c r="S89" s="10">
        <f>R89</f>
        <v>96109000</v>
      </c>
      <c r="T89" s="9">
        <f>S89/Q89</f>
        <v>1598.1409424989192</v>
      </c>
      <c r="U89" s="8">
        <f>T89/T$104</f>
        <v>1.3344569306109819E-2</v>
      </c>
      <c r="V89" s="8" t="e">
        <f>U89+V88</f>
        <v>#REF!</v>
      </c>
      <c r="W89" s="8"/>
      <c r="X89" s="8"/>
      <c r="Y89" s="8"/>
    </row>
    <row r="90" spans="1:25" ht="14.25" customHeight="1" x14ac:dyDescent="0.25">
      <c r="A90" s="16">
        <v>44860</v>
      </c>
      <c r="B90" s="8">
        <v>89</v>
      </c>
      <c r="C90" s="14">
        <v>60138</v>
      </c>
      <c r="D90" s="15">
        <v>96407000</v>
      </c>
      <c r="E90" s="14"/>
      <c r="F90" s="15"/>
      <c r="G90" s="14"/>
      <c r="H90" s="14"/>
      <c r="I90" s="14"/>
      <c r="J90" s="14"/>
      <c r="K90" s="14"/>
      <c r="L90" s="14"/>
      <c r="M90" s="14"/>
      <c r="N90" s="13">
        <f>101/$Q$102*(O90)</f>
        <v>0</v>
      </c>
      <c r="O90" s="13">
        <f>Q90-Q89</f>
        <v>0</v>
      </c>
      <c r="P90" s="13">
        <f>$B$26/SQRT($Q$26)*(SQRT(Q90)-SQRT(Q89))</f>
        <v>0</v>
      </c>
      <c r="Q90" s="12">
        <v>60138</v>
      </c>
      <c r="R90" s="11">
        <v>96407000</v>
      </c>
      <c r="S90" s="10">
        <f>R90</f>
        <v>96407000</v>
      </c>
      <c r="T90" s="9">
        <f>S90/Q90</f>
        <v>1603.0962120456284</v>
      </c>
      <c r="U90" s="8">
        <f>T90/T$104</f>
        <v>1.3385946093436922E-2</v>
      </c>
      <c r="V90" s="8" t="e">
        <f>U90+V89</f>
        <v>#REF!</v>
      </c>
      <c r="W90" s="8"/>
      <c r="X90" s="8"/>
      <c r="Y90" s="8"/>
    </row>
    <row r="91" spans="1:25" ht="14.25" customHeight="1" x14ac:dyDescent="0.25">
      <c r="A91" s="16">
        <v>44861</v>
      </c>
      <c r="B91" s="8">
        <v>90</v>
      </c>
      <c r="C91" s="14">
        <v>60138</v>
      </c>
      <c r="D91" s="15">
        <v>96478000</v>
      </c>
      <c r="E91" s="14"/>
      <c r="F91" s="15"/>
      <c r="G91" s="14"/>
      <c r="H91" s="14"/>
      <c r="I91" s="14"/>
      <c r="J91" s="14"/>
      <c r="K91" s="14"/>
      <c r="L91" s="14"/>
      <c r="M91" s="14"/>
      <c r="N91" s="13">
        <f>101/$Q$102*(O91)</f>
        <v>0</v>
      </c>
      <c r="O91" s="13">
        <f>Q91-Q90</f>
        <v>0</v>
      </c>
      <c r="P91" s="13">
        <f>$B$26/SQRT($Q$26)*(SQRT(Q91)-SQRT(Q90))</f>
        <v>0</v>
      </c>
      <c r="Q91" s="12">
        <v>60138</v>
      </c>
      <c r="R91" s="11">
        <v>96478000</v>
      </c>
      <c r="S91" s="10">
        <f>R91</f>
        <v>96478000</v>
      </c>
      <c r="T91" s="9">
        <f>S91/Q91</f>
        <v>1604.2768299577638</v>
      </c>
      <c r="U91" s="8">
        <f>T91/T$104</f>
        <v>1.3395804321290025E-2</v>
      </c>
      <c r="V91" s="8" t="e">
        <f>U91+V90</f>
        <v>#REF!</v>
      </c>
      <c r="W91" s="8"/>
      <c r="X91" s="8"/>
      <c r="Y91" s="8"/>
    </row>
    <row r="92" spans="1:25" ht="14.25" customHeight="1" x14ac:dyDescent="0.25">
      <c r="A92" s="16">
        <v>44862</v>
      </c>
      <c r="B92" s="8">
        <v>91</v>
      </c>
      <c r="C92" s="14">
        <v>60138</v>
      </c>
      <c r="D92" s="15">
        <v>96618000</v>
      </c>
      <c r="E92" s="14"/>
      <c r="F92" s="15"/>
      <c r="G92" s="14"/>
      <c r="H92" s="14"/>
      <c r="I92" s="14"/>
      <c r="J92" s="14"/>
      <c r="K92" s="14"/>
      <c r="L92" s="14"/>
      <c r="M92" s="14"/>
      <c r="N92" s="13">
        <f>101/$Q$102*(O92)</f>
        <v>0</v>
      </c>
      <c r="O92" s="13">
        <f>Q92-Q91</f>
        <v>0</v>
      </c>
      <c r="P92" s="13">
        <f>$B$26/SQRT($Q$26)*(SQRT(Q92)-SQRT(Q91))</f>
        <v>0</v>
      </c>
      <c r="Q92" s="12">
        <v>60138</v>
      </c>
      <c r="R92" s="11">
        <v>96618000</v>
      </c>
      <c r="S92" s="10">
        <f>R92</f>
        <v>96618000</v>
      </c>
      <c r="T92" s="9">
        <f>S92/Q92</f>
        <v>1606.6048089394392</v>
      </c>
      <c r="U92" s="8">
        <f>T92/T$104</f>
        <v>1.3415243080436986E-2</v>
      </c>
      <c r="V92" s="8" t="e">
        <f>U92+V91</f>
        <v>#REF!</v>
      </c>
      <c r="W92" s="8"/>
      <c r="X92" s="8"/>
      <c r="Y92" s="8"/>
    </row>
    <row r="93" spans="1:25" ht="14.25" customHeight="1" x14ac:dyDescent="0.25">
      <c r="A93" s="16">
        <v>44863</v>
      </c>
      <c r="B93" s="8">
        <v>92</v>
      </c>
      <c r="C93" s="14">
        <v>60138</v>
      </c>
      <c r="D93" s="15">
        <v>96675000</v>
      </c>
      <c r="E93" s="14"/>
      <c r="F93" s="15"/>
      <c r="G93" s="14"/>
      <c r="H93" s="14"/>
      <c r="I93" s="14"/>
      <c r="J93" s="14"/>
      <c r="K93" s="14"/>
      <c r="L93" s="14"/>
      <c r="M93" s="14"/>
      <c r="N93" s="13">
        <f>101/$Q$102*(O93)</f>
        <v>0</v>
      </c>
      <c r="O93" s="13">
        <f>Q93-Q92</f>
        <v>0</v>
      </c>
      <c r="P93" s="13">
        <f>$B$26/SQRT($Q$26)*(SQRT(Q93)-SQRT(Q92))</f>
        <v>0</v>
      </c>
      <c r="Q93" s="12">
        <v>60138</v>
      </c>
      <c r="R93" s="11">
        <v>96675000</v>
      </c>
      <c r="S93" s="10">
        <f>R93</f>
        <v>96675000</v>
      </c>
      <c r="T93" s="9">
        <f>S93/Q93</f>
        <v>1607.5526289534071</v>
      </c>
      <c r="U93" s="8">
        <f>T93/T$104</f>
        <v>1.3423157432375392E-2</v>
      </c>
      <c r="V93" s="8" t="e">
        <f>U93+V92</f>
        <v>#REF!</v>
      </c>
      <c r="W93" s="8"/>
      <c r="X93" s="8"/>
      <c r="Y93" s="8"/>
    </row>
    <row r="94" spans="1:25" ht="14.25" customHeight="1" x14ac:dyDescent="0.25">
      <c r="A94" s="16">
        <v>44864</v>
      </c>
      <c r="B94" s="8">
        <v>93</v>
      </c>
      <c r="C94" s="14">
        <v>60138</v>
      </c>
      <c r="D94" s="15">
        <v>96684000</v>
      </c>
      <c r="E94" s="14"/>
      <c r="F94" s="15"/>
      <c r="G94" s="14"/>
      <c r="H94" s="14"/>
      <c r="I94" s="14"/>
      <c r="J94" s="14"/>
      <c r="K94" s="14"/>
      <c r="L94" s="14"/>
      <c r="M94" s="14"/>
      <c r="N94" s="13">
        <f>101/$Q$102*(O94)</f>
        <v>0</v>
      </c>
      <c r="O94" s="13">
        <f>Q94-Q93</f>
        <v>0</v>
      </c>
      <c r="P94" s="13">
        <f>$B$26/SQRT($Q$26)*(SQRT(Q94)-SQRT(Q93))</f>
        <v>0</v>
      </c>
      <c r="Q94" s="12">
        <v>60138</v>
      </c>
      <c r="R94" s="11">
        <v>96684000</v>
      </c>
      <c r="S94" s="10">
        <f>R94</f>
        <v>96684000</v>
      </c>
      <c r="T94" s="9">
        <f>S94/Q94</f>
        <v>1607.7022847450862</v>
      </c>
      <c r="U94" s="8">
        <f>T94/T$104</f>
        <v>1.3424407066891983E-2</v>
      </c>
      <c r="V94" s="8" t="e">
        <f>U94+V93</f>
        <v>#REF!</v>
      </c>
      <c r="W94" s="8"/>
      <c r="X94" s="8"/>
      <c r="Y94" s="8"/>
    </row>
    <row r="95" spans="1:25" ht="14.25" customHeight="1" x14ac:dyDescent="0.25">
      <c r="A95" s="16">
        <v>44865</v>
      </c>
      <c r="B95" s="8">
        <v>94</v>
      </c>
      <c r="C95" s="14">
        <v>60138</v>
      </c>
      <c r="D95" s="15">
        <v>96666000</v>
      </c>
      <c r="E95" s="14"/>
      <c r="F95" s="15"/>
      <c r="G95" s="14"/>
      <c r="H95" s="14"/>
      <c r="I95" s="14"/>
      <c r="J95" s="14"/>
      <c r="K95" s="14"/>
      <c r="L95" s="14"/>
      <c r="M95" s="14"/>
      <c r="N95" s="13">
        <f>101/$Q$102*(O95)</f>
        <v>0</v>
      </c>
      <c r="O95" s="13">
        <f>Q95-Q94</f>
        <v>0</v>
      </c>
      <c r="P95" s="13">
        <f>$B$26/SQRT($Q$26)*(SQRT(Q95)-SQRT(Q94))</f>
        <v>0</v>
      </c>
      <c r="Q95" s="12">
        <v>60138</v>
      </c>
      <c r="R95" s="11">
        <v>96666000</v>
      </c>
      <c r="S95" s="10">
        <f>R95</f>
        <v>96666000</v>
      </c>
      <c r="T95" s="9">
        <f>S95/Q95</f>
        <v>1607.4029731617279</v>
      </c>
      <c r="U95" s="8">
        <f>T95/T$104</f>
        <v>1.3421907797858802E-2</v>
      </c>
      <c r="V95" s="8" t="e">
        <f>U95+V94</f>
        <v>#REF!</v>
      </c>
      <c r="W95" s="8"/>
      <c r="X95" s="8"/>
      <c r="Y95" s="8"/>
    </row>
    <row r="96" spans="1:25" ht="14.25" customHeight="1" x14ac:dyDescent="0.25">
      <c r="A96" s="16">
        <v>44866</v>
      </c>
      <c r="B96" s="8">
        <v>95</v>
      </c>
      <c r="C96" s="14">
        <v>60138</v>
      </c>
      <c r="D96" s="15">
        <v>96698000</v>
      </c>
      <c r="E96" s="14"/>
      <c r="F96" s="15"/>
      <c r="G96" s="14"/>
      <c r="H96" s="14"/>
      <c r="I96" s="14"/>
      <c r="J96" s="14"/>
      <c r="K96" s="14"/>
      <c r="L96" s="14"/>
      <c r="M96" s="14"/>
      <c r="N96" s="13">
        <f>101/$Q$102*(O96)</f>
        <v>0</v>
      </c>
      <c r="O96" s="13">
        <f>Q96-Q95</f>
        <v>0</v>
      </c>
      <c r="P96" s="13">
        <f>$B$26/SQRT($Q$26)*(SQRT(Q96)-SQRT(Q95))</f>
        <v>0</v>
      </c>
      <c r="Q96" s="12">
        <v>60138</v>
      </c>
      <c r="R96" s="11">
        <v>96698000</v>
      </c>
      <c r="S96" s="10">
        <f>R96</f>
        <v>96698000</v>
      </c>
      <c r="T96" s="9">
        <f>S96/Q96</f>
        <v>1607.9350826432537</v>
      </c>
      <c r="U96" s="8">
        <f>T96/T$104</f>
        <v>1.3426350942806678E-2</v>
      </c>
      <c r="V96" s="8" t="e">
        <f>U96+V95</f>
        <v>#REF!</v>
      </c>
      <c r="W96" s="8"/>
      <c r="X96" s="8"/>
      <c r="Y96" s="8"/>
    </row>
    <row r="97" spans="1:25" ht="14.25" customHeight="1" x14ac:dyDescent="0.25">
      <c r="A97" s="16">
        <v>44867</v>
      </c>
      <c r="B97" s="8">
        <v>96</v>
      </c>
      <c r="C97" s="14">
        <v>60138</v>
      </c>
      <c r="D97" s="15">
        <v>96676000</v>
      </c>
      <c r="E97" s="14"/>
      <c r="F97" s="15"/>
      <c r="G97" s="14"/>
      <c r="H97" s="14"/>
      <c r="I97" s="14"/>
      <c r="J97" s="14"/>
      <c r="K97" s="14"/>
      <c r="L97" s="14"/>
      <c r="M97" s="14"/>
      <c r="N97" s="13">
        <f>101/$Q$102*(O97)</f>
        <v>0</v>
      </c>
      <c r="O97" s="13">
        <f>Q97-Q96</f>
        <v>0</v>
      </c>
      <c r="P97" s="13">
        <f>$B$26/SQRT($Q$26)*(SQRT(Q97)-SQRT(Q96))</f>
        <v>0</v>
      </c>
      <c r="Q97" s="12">
        <v>60138</v>
      </c>
      <c r="R97" s="11">
        <v>96676000</v>
      </c>
      <c r="S97" s="10">
        <f>R97</f>
        <v>96676000</v>
      </c>
      <c r="T97" s="9">
        <f>S97/Q97</f>
        <v>1607.5692573747049</v>
      </c>
      <c r="U97" s="8">
        <f>T97/T$104</f>
        <v>1.3423296280655014E-2</v>
      </c>
      <c r="V97" s="8" t="e">
        <f>U97+V96</f>
        <v>#REF!</v>
      </c>
      <c r="W97" s="8"/>
      <c r="X97" s="8"/>
      <c r="Y97" s="8"/>
    </row>
    <row r="98" spans="1:25" ht="14.25" customHeight="1" x14ac:dyDescent="0.25">
      <c r="A98" s="16">
        <v>44868</v>
      </c>
      <c r="B98" s="8">
        <v>97</v>
      </c>
      <c r="C98" s="14">
        <v>60138</v>
      </c>
      <c r="D98" s="15">
        <v>96661000</v>
      </c>
      <c r="E98" s="14"/>
      <c r="F98" s="15"/>
      <c r="G98" s="14"/>
      <c r="H98" s="14"/>
      <c r="I98" s="14"/>
      <c r="J98" s="14"/>
      <c r="K98" s="14"/>
      <c r="L98" s="14"/>
      <c r="M98" s="14"/>
      <c r="N98" s="13">
        <f>101/$Q$102*(O98)</f>
        <v>0</v>
      </c>
      <c r="O98" s="13">
        <f>Q98-Q97</f>
        <v>0</v>
      </c>
      <c r="P98" s="13">
        <f>$B$26/SQRT($Q$26)*(SQRT(Q98)-SQRT(Q97))</f>
        <v>0</v>
      </c>
      <c r="Q98" s="12">
        <v>60138</v>
      </c>
      <c r="R98" s="11">
        <v>96661000</v>
      </c>
      <c r="S98" s="10">
        <f>R98</f>
        <v>96661000</v>
      </c>
      <c r="T98" s="9">
        <f>S98/Q98</f>
        <v>1607.3198310552395</v>
      </c>
      <c r="U98" s="8">
        <f>T98/T$104</f>
        <v>1.3421213556460697E-2</v>
      </c>
      <c r="V98" s="8" t="e">
        <f>U98+V97</f>
        <v>#REF!</v>
      </c>
      <c r="W98" s="8"/>
      <c r="X98" s="8"/>
      <c r="Y98" s="8"/>
    </row>
    <row r="99" spans="1:25" ht="14.25" customHeight="1" x14ac:dyDescent="0.25">
      <c r="A99" s="16">
        <v>44869</v>
      </c>
      <c r="B99" s="8">
        <v>98</v>
      </c>
      <c r="C99" s="14">
        <v>60138</v>
      </c>
      <c r="D99" s="15">
        <v>96693000</v>
      </c>
      <c r="E99" s="14"/>
      <c r="F99" s="15"/>
      <c r="G99" s="14"/>
      <c r="H99" s="14"/>
      <c r="I99" s="14"/>
      <c r="J99" s="14"/>
      <c r="K99" s="14"/>
      <c r="L99" s="14"/>
      <c r="M99" s="14"/>
      <c r="N99" s="13">
        <f>101/$Q$102*(O99)</f>
        <v>0</v>
      </c>
      <c r="O99" s="13">
        <f>Q99-Q98</f>
        <v>0</v>
      </c>
      <c r="P99" s="13">
        <f>$B$26/SQRT($Q$26)*(SQRT(Q99)-SQRT(Q98))</f>
        <v>0</v>
      </c>
      <c r="Q99" s="12">
        <v>60138</v>
      </c>
      <c r="R99" s="11">
        <v>96693000</v>
      </c>
      <c r="S99" s="10">
        <f>R99</f>
        <v>96693000</v>
      </c>
      <c r="T99" s="9">
        <f>S99/Q99</f>
        <v>1607.8519405367654</v>
      </c>
      <c r="U99" s="8">
        <f>T99/T$104</f>
        <v>1.3425656701408573E-2</v>
      </c>
      <c r="V99" s="8" t="e">
        <f>U99+V98</f>
        <v>#REF!</v>
      </c>
      <c r="W99" s="8"/>
      <c r="X99" s="8"/>
      <c r="Y99" s="8"/>
    </row>
    <row r="100" spans="1:25" ht="14.25" customHeight="1" x14ac:dyDescent="0.25">
      <c r="A100" s="16">
        <v>44870</v>
      </c>
      <c r="B100" s="8">
        <v>99</v>
      </c>
      <c r="C100" s="14">
        <v>60138</v>
      </c>
      <c r="D100" s="15">
        <v>96559000</v>
      </c>
      <c r="E100" s="14"/>
      <c r="F100" s="15"/>
      <c r="G100" s="14"/>
      <c r="H100" s="14"/>
      <c r="I100" s="14"/>
      <c r="J100" s="14"/>
      <c r="K100" s="14"/>
      <c r="L100" s="14"/>
      <c r="M100" s="14"/>
      <c r="N100" s="13">
        <f>101/$Q$102*(O100)</f>
        <v>0</v>
      </c>
      <c r="O100" s="13">
        <f>Q100-Q99</f>
        <v>0</v>
      </c>
      <c r="P100" s="13">
        <f>$B$26/SQRT($Q$26)*(SQRT(Q100)-SQRT(Q99))</f>
        <v>0</v>
      </c>
      <c r="Q100" s="12">
        <v>60138</v>
      </c>
      <c r="R100" s="11">
        <v>96559000</v>
      </c>
      <c r="S100" s="10">
        <f>R100</f>
        <v>96559000</v>
      </c>
      <c r="T100" s="9">
        <f>S100/Q100</f>
        <v>1605.6237320828761</v>
      </c>
      <c r="U100" s="8">
        <f>T100/T$104</f>
        <v>1.340705103193934E-2</v>
      </c>
      <c r="V100" s="8" t="e">
        <f>U100+V99</f>
        <v>#REF!</v>
      </c>
      <c r="W100" s="8"/>
      <c r="X100" s="8"/>
      <c r="Y100" s="8"/>
    </row>
    <row r="101" spans="1:25" ht="14.25" customHeight="1" x14ac:dyDescent="0.25">
      <c r="A101" s="16">
        <v>44871</v>
      </c>
      <c r="B101" s="8">
        <v>100</v>
      </c>
      <c r="C101" s="14">
        <v>60138</v>
      </c>
      <c r="D101" s="15">
        <v>96621000</v>
      </c>
      <c r="E101" s="14"/>
      <c r="F101" s="15"/>
      <c r="G101" s="14"/>
      <c r="H101" s="14"/>
      <c r="I101" s="14"/>
      <c r="J101" s="14"/>
      <c r="K101" s="14"/>
      <c r="L101" s="14"/>
      <c r="M101" s="14"/>
      <c r="N101" s="13">
        <f>101/$Q$102*(O101)</f>
        <v>0</v>
      </c>
      <c r="O101" s="13">
        <f>Q101-Q100</f>
        <v>0</v>
      </c>
      <c r="P101" s="13">
        <f>$B$26/SQRT($Q$26)*(SQRT(Q101)-SQRT(Q100))</f>
        <v>0</v>
      </c>
      <c r="Q101" s="12">
        <v>60138</v>
      </c>
      <c r="R101" s="11">
        <v>96621000</v>
      </c>
      <c r="S101" s="10">
        <f>R101</f>
        <v>96621000</v>
      </c>
      <c r="T101" s="9">
        <f>S101/Q101</f>
        <v>1606.6546942033324</v>
      </c>
      <c r="U101" s="8">
        <f>T101/T$104</f>
        <v>1.341565962527585E-2</v>
      </c>
      <c r="V101" s="8" t="e">
        <f>U101+V100</f>
        <v>#REF!</v>
      </c>
      <c r="W101" s="8"/>
      <c r="X101" s="8"/>
      <c r="Y101" s="8"/>
    </row>
    <row r="102" spans="1:25" s="17" customFormat="1" ht="14.25" customHeight="1" x14ac:dyDescent="0.25">
      <c r="A102" s="26">
        <v>44872</v>
      </c>
      <c r="B102" s="8">
        <v>101</v>
      </c>
      <c r="C102" s="24">
        <v>60138</v>
      </c>
      <c r="D102" s="25">
        <v>96580000</v>
      </c>
      <c r="E102" s="24"/>
      <c r="F102" s="25"/>
      <c r="G102" s="24"/>
      <c r="H102" s="24"/>
      <c r="I102" s="24"/>
      <c r="J102" s="24"/>
      <c r="K102" s="24"/>
      <c r="L102" s="24"/>
      <c r="M102" s="24"/>
      <c r="N102" s="13">
        <f>101/$Q$102*(O102)</f>
        <v>0</v>
      </c>
      <c r="O102" s="13">
        <f>Q102-Q101</f>
        <v>0</v>
      </c>
      <c r="P102" s="23">
        <f>$B$26/SQRT($Q$26)*(SQRT(Q102)-SQRT(Q101))</f>
        <v>0</v>
      </c>
      <c r="Q102" s="22">
        <v>60138</v>
      </c>
      <c r="R102" s="21">
        <v>96580000</v>
      </c>
      <c r="S102" s="20">
        <f>R102</f>
        <v>96580000</v>
      </c>
      <c r="T102" s="19">
        <f>S102/Q102</f>
        <v>1605.9729289301274</v>
      </c>
      <c r="U102" s="18">
        <f>T102/T$104</f>
        <v>1.3409966845811383E-2</v>
      </c>
      <c r="V102" s="18" t="e">
        <f>U102+V101</f>
        <v>#REF!</v>
      </c>
      <c r="W102" s="18"/>
      <c r="X102" s="18"/>
      <c r="Y102" s="18"/>
    </row>
    <row r="103" spans="1:25" ht="14.25" customHeight="1" x14ac:dyDescent="0.25">
      <c r="A103" s="16">
        <v>44873</v>
      </c>
      <c r="B103" s="8">
        <v>103</v>
      </c>
      <c r="C103" s="14"/>
      <c r="D103" s="15"/>
      <c r="E103" s="14"/>
      <c r="F103" s="15"/>
      <c r="G103" s="14"/>
      <c r="H103" s="14"/>
      <c r="I103" s="14"/>
      <c r="J103" s="14"/>
      <c r="K103" s="14"/>
      <c r="L103" s="14"/>
      <c r="M103" s="14"/>
      <c r="N103" s="13">
        <f>25/$Q$26*(O103)</f>
        <v>0</v>
      </c>
      <c r="O103" s="13"/>
      <c r="P103" s="13"/>
      <c r="Q103" s="12"/>
      <c r="R103" s="11"/>
      <c r="S103" s="10">
        <f>R103</f>
        <v>0</v>
      </c>
      <c r="T103" s="9"/>
      <c r="U103" s="8"/>
      <c r="V103" s="8"/>
      <c r="W103" s="8"/>
      <c r="X103" s="8"/>
      <c r="Y103" s="8"/>
    </row>
    <row r="104" spans="1:25" ht="14.25" customHeight="1" x14ac:dyDescent="0.25">
      <c r="A104" s="16">
        <v>44874</v>
      </c>
      <c r="B104" s="8">
        <v>104</v>
      </c>
      <c r="C104" s="14"/>
      <c r="D104" s="15"/>
      <c r="E104" s="14"/>
      <c r="F104" s="15"/>
      <c r="G104" s="14"/>
      <c r="H104" s="14"/>
      <c r="I104" s="14"/>
      <c r="J104" s="14"/>
      <c r="K104" s="14"/>
      <c r="L104" s="14"/>
      <c r="M104" s="14"/>
      <c r="N104" s="13">
        <f>25/$Q$26*(O104)</f>
        <v>0</v>
      </c>
      <c r="O104" s="13"/>
      <c r="P104" s="13"/>
      <c r="Q104" s="12"/>
      <c r="R104" s="11"/>
      <c r="S104" s="10">
        <f>R104</f>
        <v>0</v>
      </c>
      <c r="T104" s="9">
        <f>SUM(T3:T102)</f>
        <v>119759.64947532698</v>
      </c>
      <c r="U104" s="8"/>
      <c r="V104" s="8"/>
      <c r="W104" s="8"/>
      <c r="X104" s="8"/>
      <c r="Y104" s="8"/>
    </row>
    <row r="105" spans="1:25" ht="14.25" customHeight="1" x14ac:dyDescent="0.25">
      <c r="A105" s="16">
        <v>44875</v>
      </c>
      <c r="B105" s="8">
        <v>105</v>
      </c>
      <c r="C105" s="14"/>
      <c r="D105" s="15"/>
      <c r="E105" s="14"/>
      <c r="F105" s="15"/>
      <c r="G105" s="14"/>
      <c r="H105" s="14"/>
      <c r="I105" s="14"/>
      <c r="J105" s="14"/>
      <c r="K105" s="14"/>
      <c r="L105" s="14"/>
      <c r="M105" s="14"/>
      <c r="N105" s="13">
        <f>25/$Q$26*(O105)</f>
        <v>0</v>
      </c>
      <c r="O105" s="13"/>
      <c r="P105" s="13"/>
      <c r="Q105" s="12"/>
      <c r="R105" s="11"/>
      <c r="S105" s="10">
        <f>R105</f>
        <v>0</v>
      </c>
      <c r="T105" s="9"/>
      <c r="U105" s="8"/>
      <c r="V105" s="8"/>
      <c r="W105" s="8"/>
      <c r="X105" s="8"/>
      <c r="Y105" s="8"/>
    </row>
    <row r="106" spans="1:25" ht="14.25" customHeight="1" x14ac:dyDescent="0.25">
      <c r="A106" s="16">
        <v>44876</v>
      </c>
      <c r="B106" s="8">
        <v>106</v>
      </c>
      <c r="C106" s="14"/>
      <c r="D106" s="15"/>
      <c r="E106" s="14"/>
      <c r="F106" s="15"/>
      <c r="G106" s="14"/>
      <c r="H106" s="14"/>
      <c r="I106" s="14"/>
      <c r="J106" s="14"/>
      <c r="K106" s="14"/>
      <c r="L106" s="14"/>
      <c r="M106" s="14"/>
      <c r="N106" s="13">
        <f>25/$Q$26*(O106)</f>
        <v>0</v>
      </c>
      <c r="O106" s="13"/>
      <c r="P106" s="13"/>
      <c r="Q106" s="12"/>
      <c r="R106" s="11"/>
      <c r="S106" s="10">
        <f>R106</f>
        <v>0</v>
      </c>
      <c r="T106" s="9"/>
      <c r="U106" s="8"/>
      <c r="V106" s="8"/>
      <c r="W106" s="8"/>
      <c r="X106" s="8"/>
      <c r="Y106" s="8"/>
    </row>
    <row r="107" spans="1:25" ht="14.25" customHeight="1" x14ac:dyDescent="0.25">
      <c r="A107" s="16">
        <v>44877</v>
      </c>
      <c r="B107" s="8">
        <v>107</v>
      </c>
      <c r="C107" s="14"/>
      <c r="D107" s="15"/>
      <c r="E107" s="14"/>
      <c r="F107" s="15"/>
      <c r="G107" s="14"/>
      <c r="H107" s="14"/>
      <c r="I107" s="14"/>
      <c r="J107" s="14"/>
      <c r="K107" s="14"/>
      <c r="L107" s="14"/>
      <c r="M107" s="14"/>
      <c r="N107" s="13">
        <f>25/$Q$26*(O107)</f>
        <v>0</v>
      </c>
      <c r="O107" s="13"/>
      <c r="P107" s="13"/>
      <c r="Q107" s="12"/>
      <c r="R107" s="11"/>
      <c r="S107" s="10">
        <f>R107</f>
        <v>0</v>
      </c>
      <c r="T107" s="9"/>
      <c r="U107" s="8"/>
      <c r="V107" s="8"/>
      <c r="W107" s="8"/>
      <c r="X107" s="8"/>
      <c r="Y107" s="8"/>
    </row>
    <row r="108" spans="1:25" ht="14.25" customHeight="1" x14ac:dyDescent="0.25">
      <c r="A108" s="16">
        <v>44878</v>
      </c>
      <c r="B108" s="8">
        <v>108</v>
      </c>
      <c r="C108" s="14"/>
      <c r="D108" s="15"/>
      <c r="E108" s="14"/>
      <c r="F108" s="15"/>
      <c r="G108" s="14"/>
      <c r="H108" s="14"/>
      <c r="I108" s="14"/>
      <c r="J108" s="14"/>
      <c r="K108" s="14"/>
      <c r="L108" s="14"/>
      <c r="M108" s="14"/>
      <c r="N108" s="13">
        <f>25/$Q$26*(O108)</f>
        <v>0</v>
      </c>
      <c r="O108" s="13"/>
      <c r="P108" s="13"/>
      <c r="Q108" s="12"/>
      <c r="R108" s="11"/>
      <c r="S108" s="10">
        <f>R108</f>
        <v>0</v>
      </c>
      <c r="T108" s="9"/>
      <c r="U108" s="8"/>
      <c r="V108" s="8"/>
      <c r="W108" s="8"/>
      <c r="X108" s="8"/>
      <c r="Y108" s="8"/>
    </row>
    <row r="109" spans="1:25" ht="14.25" customHeight="1" x14ac:dyDescent="0.25">
      <c r="A109" s="16">
        <v>44879</v>
      </c>
      <c r="B109" s="8">
        <v>109</v>
      </c>
      <c r="C109" s="14"/>
      <c r="D109" s="15"/>
      <c r="E109" s="14"/>
      <c r="F109" s="15"/>
      <c r="G109" s="14"/>
      <c r="H109" s="14"/>
      <c r="I109" s="14"/>
      <c r="J109" s="14"/>
      <c r="K109" s="14"/>
      <c r="L109" s="14"/>
      <c r="M109" s="14"/>
      <c r="N109" s="13">
        <f>25/$Q$26*(O109)</f>
        <v>0</v>
      </c>
      <c r="O109" s="13"/>
      <c r="P109" s="13"/>
      <c r="Q109" s="12"/>
      <c r="R109" s="11"/>
      <c r="S109" s="10">
        <f>R109</f>
        <v>0</v>
      </c>
      <c r="T109" s="9"/>
      <c r="U109" s="8"/>
      <c r="V109" s="8"/>
      <c r="W109" s="8"/>
      <c r="X109" s="8"/>
      <c r="Y109" s="8"/>
    </row>
    <row r="110" spans="1:25" ht="14.25" customHeight="1" x14ac:dyDescent="0.25">
      <c r="D110" s="7"/>
      <c r="F110" s="7"/>
      <c r="N110" s="6"/>
      <c r="O110" s="6"/>
      <c r="P110" s="6"/>
      <c r="Q110" s="5"/>
      <c r="R110" s="4"/>
      <c r="S110" s="3"/>
      <c r="T110" s="2"/>
    </row>
    <row r="111" spans="1:25" ht="14.25" customHeight="1" x14ac:dyDescent="0.25">
      <c r="D111" s="7"/>
      <c r="F111" s="7"/>
      <c r="N111" s="6"/>
      <c r="O111" s="6"/>
      <c r="P111" s="6"/>
      <c r="Q111" s="5"/>
      <c r="R111" s="4"/>
      <c r="S111" s="3"/>
      <c r="T111" s="2"/>
    </row>
    <row r="112" spans="1:25" ht="14.25" customHeight="1" x14ac:dyDescent="0.25">
      <c r="D112" s="7"/>
      <c r="F112" s="7"/>
      <c r="N112" s="6"/>
      <c r="O112" s="6"/>
      <c r="P112" s="6"/>
      <c r="Q112" s="5"/>
      <c r="R112" s="4"/>
      <c r="S112" s="3"/>
      <c r="T112" s="2"/>
    </row>
    <row r="113" spans="4:20" ht="14.25" customHeight="1" x14ac:dyDescent="0.25">
      <c r="D113" s="7"/>
      <c r="F113" s="7"/>
      <c r="N113" s="6"/>
      <c r="O113" s="6"/>
      <c r="P113" s="6"/>
      <c r="Q113" s="5"/>
      <c r="R113" s="4"/>
      <c r="S113" s="3"/>
      <c r="T113" s="2"/>
    </row>
    <row r="114" spans="4:20" ht="14.25" customHeight="1" x14ac:dyDescent="0.25">
      <c r="D114" s="7"/>
      <c r="F114" s="7"/>
      <c r="N114" s="6"/>
      <c r="O114" s="6"/>
      <c r="P114" s="6"/>
      <c r="Q114" s="5"/>
      <c r="R114" s="4"/>
      <c r="S114" s="3"/>
      <c r="T114" s="2"/>
    </row>
    <row r="115" spans="4:20" ht="14.25" customHeight="1" x14ac:dyDescent="0.25">
      <c r="D115" s="7"/>
      <c r="F115" s="7"/>
      <c r="N115" s="6"/>
      <c r="O115" s="6"/>
      <c r="P115" s="6"/>
      <c r="Q115" s="5"/>
      <c r="R115" s="4"/>
      <c r="S115" s="3"/>
      <c r="T115" s="2"/>
    </row>
    <row r="116" spans="4:20" ht="14.25" customHeight="1" x14ac:dyDescent="0.25">
      <c r="D116" s="7"/>
      <c r="F116" s="7"/>
      <c r="N116" s="6"/>
      <c r="O116" s="6"/>
      <c r="P116" s="6"/>
      <c r="Q116" s="5"/>
      <c r="R116" s="4"/>
      <c r="S116" s="3"/>
      <c r="T116" s="2"/>
    </row>
    <row r="117" spans="4:20" ht="14.25" customHeight="1" x14ac:dyDescent="0.25">
      <c r="D117" s="7"/>
      <c r="F117" s="7"/>
      <c r="N117" s="6"/>
      <c r="O117" s="6"/>
      <c r="P117" s="6"/>
      <c r="Q117" s="5"/>
      <c r="R117" s="4"/>
      <c r="S117" s="3"/>
      <c r="T117" s="2"/>
    </row>
    <row r="118" spans="4:20" ht="14.25" customHeight="1" x14ac:dyDescent="0.25">
      <c r="D118" s="7"/>
      <c r="F118" s="7"/>
      <c r="N118" s="6"/>
      <c r="O118" s="6"/>
      <c r="P118" s="6"/>
      <c r="Q118" s="5"/>
      <c r="R118" s="4"/>
      <c r="S118" s="3"/>
      <c r="T118" s="2"/>
    </row>
    <row r="119" spans="4:20" ht="14.25" customHeight="1" x14ac:dyDescent="0.25">
      <c r="D119" s="7"/>
      <c r="F119" s="7"/>
      <c r="N119" s="6"/>
      <c r="O119" s="6"/>
      <c r="P119" s="6"/>
      <c r="Q119" s="5"/>
      <c r="R119" s="4"/>
      <c r="S119" s="3"/>
      <c r="T119" s="2"/>
    </row>
    <row r="120" spans="4:20" ht="14.25" customHeight="1" x14ac:dyDescent="0.25">
      <c r="D120" s="7"/>
      <c r="F120" s="7"/>
      <c r="N120" s="6"/>
      <c r="O120" s="6"/>
      <c r="P120" s="6"/>
      <c r="Q120" s="5"/>
      <c r="R120" s="4"/>
      <c r="S120" s="3"/>
      <c r="T120" s="2"/>
    </row>
    <row r="121" spans="4:20" ht="14.25" customHeight="1" x14ac:dyDescent="0.25">
      <c r="D121" s="7"/>
      <c r="F121" s="7"/>
      <c r="N121" s="6"/>
      <c r="O121" s="6"/>
      <c r="P121" s="6"/>
      <c r="Q121" s="5"/>
      <c r="R121" s="4"/>
      <c r="S121" s="3"/>
      <c r="T121" s="2"/>
    </row>
    <row r="122" spans="4:20" ht="14.25" customHeight="1" x14ac:dyDescent="0.25">
      <c r="D122" s="7"/>
      <c r="F122" s="7"/>
      <c r="N122" s="6"/>
      <c r="O122" s="6"/>
      <c r="P122" s="6"/>
      <c r="Q122" s="5"/>
      <c r="R122" s="4"/>
      <c r="S122" s="3"/>
      <c r="T122" s="2"/>
    </row>
    <row r="123" spans="4:20" ht="14.25" customHeight="1" x14ac:dyDescent="0.25">
      <c r="D123" s="7"/>
      <c r="F123" s="7"/>
      <c r="N123" s="6"/>
      <c r="O123" s="6"/>
      <c r="P123" s="6"/>
      <c r="Q123" s="5"/>
      <c r="R123" s="4"/>
      <c r="S123" s="3"/>
      <c r="T123" s="2"/>
    </row>
    <row r="124" spans="4:20" ht="14.25" customHeight="1" x14ac:dyDescent="0.25">
      <c r="D124" s="7"/>
      <c r="F124" s="7"/>
      <c r="N124" s="6"/>
      <c r="O124" s="6"/>
      <c r="P124" s="6"/>
      <c r="Q124" s="5"/>
      <c r="R124" s="4"/>
      <c r="S124" s="3"/>
      <c r="T124" s="2"/>
    </row>
    <row r="125" spans="4:20" ht="14.25" customHeight="1" x14ac:dyDescent="0.25">
      <c r="D125" s="7"/>
      <c r="F125" s="7"/>
      <c r="N125" s="6"/>
      <c r="O125" s="6"/>
      <c r="P125" s="6"/>
      <c r="Q125" s="5"/>
      <c r="R125" s="4"/>
      <c r="S125" s="3"/>
      <c r="T125" s="2"/>
    </row>
    <row r="126" spans="4:20" ht="14.25" customHeight="1" x14ac:dyDescent="0.25">
      <c r="D126" s="7"/>
      <c r="F126" s="7"/>
      <c r="N126" s="6"/>
      <c r="O126" s="6"/>
      <c r="P126" s="6"/>
      <c r="Q126" s="5"/>
      <c r="R126" s="4"/>
      <c r="S126" s="3"/>
      <c r="T126" s="2"/>
    </row>
    <row r="127" spans="4:20" ht="14.25" customHeight="1" x14ac:dyDescent="0.25">
      <c r="D127" s="7"/>
      <c r="F127" s="7"/>
      <c r="N127" s="6"/>
      <c r="O127" s="6"/>
      <c r="P127" s="6"/>
      <c r="Q127" s="5"/>
      <c r="R127" s="4"/>
      <c r="S127" s="3"/>
      <c r="T127" s="2"/>
    </row>
    <row r="128" spans="4:20" ht="14.25" customHeight="1" x14ac:dyDescent="0.25">
      <c r="D128" s="7"/>
      <c r="F128" s="7"/>
      <c r="N128" s="6"/>
      <c r="O128" s="6"/>
      <c r="P128" s="6"/>
      <c r="Q128" s="5"/>
      <c r="R128" s="4"/>
      <c r="S128" s="3"/>
      <c r="T128" s="2"/>
    </row>
    <row r="129" spans="4:20" ht="14.25" customHeight="1" x14ac:dyDescent="0.25">
      <c r="D129" s="7"/>
      <c r="F129" s="7"/>
      <c r="N129" s="6"/>
      <c r="O129" s="6"/>
      <c r="P129" s="6"/>
      <c r="Q129" s="5"/>
      <c r="R129" s="4"/>
      <c r="S129" s="3"/>
      <c r="T129" s="2"/>
    </row>
    <row r="130" spans="4:20" ht="14.25" customHeight="1" x14ac:dyDescent="0.25">
      <c r="D130" s="7"/>
      <c r="F130" s="7"/>
      <c r="N130" s="6"/>
      <c r="O130" s="6"/>
      <c r="P130" s="6"/>
      <c r="Q130" s="5"/>
      <c r="R130" s="4"/>
      <c r="S130" s="3"/>
      <c r="T130" s="2"/>
    </row>
    <row r="131" spans="4:20" ht="14.25" customHeight="1" x14ac:dyDescent="0.25">
      <c r="D131" s="7"/>
      <c r="F131" s="7"/>
      <c r="N131" s="6"/>
      <c r="O131" s="6"/>
      <c r="P131" s="6"/>
      <c r="Q131" s="5"/>
      <c r="R131" s="4"/>
      <c r="S131" s="3"/>
      <c r="T131" s="2"/>
    </row>
    <row r="132" spans="4:20" ht="14.25" customHeight="1" x14ac:dyDescent="0.25">
      <c r="D132" s="7"/>
      <c r="F132" s="7"/>
      <c r="N132" s="6"/>
      <c r="O132" s="6"/>
      <c r="P132" s="6"/>
      <c r="Q132" s="5"/>
      <c r="R132" s="4"/>
      <c r="S132" s="3"/>
      <c r="T132" s="2"/>
    </row>
    <row r="133" spans="4:20" ht="14.25" customHeight="1" x14ac:dyDescent="0.25">
      <c r="D133" s="7"/>
      <c r="F133" s="7"/>
      <c r="N133" s="6"/>
      <c r="O133" s="6"/>
      <c r="P133" s="6"/>
      <c r="Q133" s="5"/>
      <c r="R133" s="4"/>
      <c r="S133" s="3"/>
      <c r="T133" s="2"/>
    </row>
    <row r="134" spans="4:20" ht="14.25" customHeight="1" x14ac:dyDescent="0.25">
      <c r="D134" s="7"/>
      <c r="F134" s="7"/>
      <c r="N134" s="6"/>
      <c r="O134" s="6"/>
      <c r="P134" s="6"/>
      <c r="Q134" s="5"/>
      <c r="R134" s="4"/>
      <c r="S134" s="3"/>
      <c r="T134" s="2"/>
    </row>
    <row r="135" spans="4:20" ht="14.25" customHeight="1" x14ac:dyDescent="0.25">
      <c r="D135" s="7"/>
      <c r="F135" s="7"/>
      <c r="N135" s="6"/>
      <c r="O135" s="6"/>
      <c r="P135" s="6"/>
      <c r="Q135" s="5"/>
      <c r="R135" s="4"/>
      <c r="S135" s="3"/>
      <c r="T135" s="2"/>
    </row>
    <row r="136" spans="4:20" ht="14.25" customHeight="1" x14ac:dyDescent="0.25">
      <c r="D136" s="7"/>
      <c r="F136" s="7"/>
      <c r="N136" s="6"/>
      <c r="O136" s="6"/>
      <c r="P136" s="6"/>
      <c r="Q136" s="5"/>
      <c r="R136" s="4"/>
      <c r="S136" s="3"/>
      <c r="T136" s="2"/>
    </row>
    <row r="137" spans="4:20" ht="14.25" customHeight="1" x14ac:dyDescent="0.25">
      <c r="D137" s="7"/>
      <c r="F137" s="7"/>
      <c r="N137" s="6"/>
      <c r="O137" s="6"/>
      <c r="P137" s="6"/>
      <c r="Q137" s="5"/>
      <c r="R137" s="4"/>
      <c r="S137" s="3"/>
      <c r="T137" s="2"/>
    </row>
    <row r="138" spans="4:20" ht="14.25" customHeight="1" x14ac:dyDescent="0.25">
      <c r="D138" s="7"/>
      <c r="F138" s="7"/>
      <c r="N138" s="6"/>
      <c r="O138" s="6"/>
      <c r="P138" s="6"/>
      <c r="Q138" s="5"/>
      <c r="R138" s="4"/>
      <c r="S138" s="3"/>
      <c r="T138" s="2"/>
    </row>
    <row r="139" spans="4:20" ht="14.25" customHeight="1" x14ac:dyDescent="0.25">
      <c r="D139" s="7"/>
      <c r="F139" s="7"/>
      <c r="N139" s="6"/>
      <c r="O139" s="6"/>
      <c r="P139" s="6"/>
      <c r="Q139" s="5"/>
      <c r="R139" s="4"/>
      <c r="S139" s="3"/>
      <c r="T139" s="2"/>
    </row>
    <row r="140" spans="4:20" ht="14.25" customHeight="1" x14ac:dyDescent="0.25">
      <c r="D140" s="7"/>
      <c r="F140" s="7"/>
      <c r="N140" s="6"/>
      <c r="O140" s="6"/>
      <c r="P140" s="6"/>
      <c r="Q140" s="5"/>
      <c r="R140" s="4"/>
      <c r="S140" s="3"/>
      <c r="T140" s="2"/>
    </row>
    <row r="141" spans="4:20" ht="14.25" customHeight="1" x14ac:dyDescent="0.25">
      <c r="D141" s="7"/>
      <c r="F141" s="7"/>
      <c r="N141" s="6"/>
      <c r="O141" s="6"/>
      <c r="P141" s="6"/>
      <c r="Q141" s="5"/>
      <c r="R141" s="4"/>
      <c r="S141" s="3"/>
      <c r="T141" s="2"/>
    </row>
    <row r="142" spans="4:20" ht="14.25" customHeight="1" x14ac:dyDescent="0.25">
      <c r="D142" s="7"/>
      <c r="F142" s="7"/>
      <c r="N142" s="6"/>
      <c r="O142" s="6"/>
      <c r="P142" s="6"/>
      <c r="Q142" s="5"/>
      <c r="R142" s="4"/>
      <c r="S142" s="3"/>
      <c r="T142" s="2"/>
    </row>
    <row r="143" spans="4:20" ht="14.25" customHeight="1" x14ac:dyDescent="0.25">
      <c r="D143" s="7"/>
      <c r="F143" s="7"/>
      <c r="N143" s="6"/>
      <c r="O143" s="6"/>
      <c r="P143" s="6"/>
      <c r="Q143" s="5"/>
      <c r="R143" s="4"/>
      <c r="S143" s="3"/>
      <c r="T143" s="2"/>
    </row>
    <row r="144" spans="4:20" ht="14.25" customHeight="1" x14ac:dyDescent="0.25">
      <c r="D144" s="7"/>
      <c r="F144" s="7"/>
      <c r="N144" s="6"/>
      <c r="O144" s="6"/>
      <c r="P144" s="6"/>
      <c r="Q144" s="5"/>
      <c r="R144" s="4"/>
      <c r="S144" s="3"/>
      <c r="T144" s="2"/>
    </row>
    <row r="145" spans="4:20" ht="14.25" customHeight="1" x14ac:dyDescent="0.25">
      <c r="D145" s="7"/>
      <c r="F145" s="7"/>
      <c r="N145" s="6"/>
      <c r="O145" s="6"/>
      <c r="P145" s="6"/>
      <c r="Q145" s="5"/>
      <c r="R145" s="4"/>
      <c r="S145" s="3"/>
      <c r="T145" s="2"/>
    </row>
    <row r="146" spans="4:20" ht="14.25" customHeight="1" x14ac:dyDescent="0.25">
      <c r="D146" s="7"/>
      <c r="F146" s="7"/>
      <c r="N146" s="6"/>
      <c r="O146" s="6"/>
      <c r="P146" s="6"/>
      <c r="Q146" s="5"/>
      <c r="R146" s="4"/>
      <c r="S146" s="3"/>
      <c r="T146" s="2"/>
    </row>
    <row r="147" spans="4:20" ht="14.25" customHeight="1" x14ac:dyDescent="0.25">
      <c r="D147" s="7"/>
      <c r="F147" s="7"/>
      <c r="N147" s="6"/>
      <c r="O147" s="6"/>
      <c r="P147" s="6"/>
      <c r="Q147" s="5"/>
      <c r="R147" s="4"/>
      <c r="S147" s="3"/>
      <c r="T147" s="2"/>
    </row>
    <row r="148" spans="4:20" ht="14.25" customHeight="1" x14ac:dyDescent="0.25">
      <c r="D148" s="7"/>
      <c r="F148" s="7"/>
      <c r="N148" s="6"/>
      <c r="O148" s="6"/>
      <c r="P148" s="6"/>
      <c r="Q148" s="5"/>
      <c r="R148" s="4"/>
      <c r="S148" s="3"/>
      <c r="T148" s="2"/>
    </row>
    <row r="149" spans="4:20" ht="14.25" customHeight="1" x14ac:dyDescent="0.25">
      <c r="D149" s="7"/>
      <c r="F149" s="7"/>
      <c r="N149" s="6"/>
      <c r="O149" s="6"/>
      <c r="P149" s="6"/>
      <c r="Q149" s="5"/>
      <c r="R149" s="4"/>
      <c r="S149" s="3"/>
      <c r="T149" s="2"/>
    </row>
    <row r="150" spans="4:20" ht="14.25" customHeight="1" x14ac:dyDescent="0.25">
      <c r="D150" s="7"/>
      <c r="F150" s="7"/>
      <c r="N150" s="6"/>
      <c r="O150" s="6"/>
      <c r="P150" s="6"/>
      <c r="Q150" s="5"/>
      <c r="R150" s="4"/>
      <c r="S150" s="3"/>
      <c r="T150" s="2"/>
    </row>
    <row r="151" spans="4:20" ht="14.25" customHeight="1" x14ac:dyDescent="0.25">
      <c r="D151" s="7"/>
      <c r="F151" s="7"/>
      <c r="N151" s="6"/>
      <c r="O151" s="6"/>
      <c r="P151" s="6"/>
      <c r="Q151" s="5"/>
      <c r="R151" s="4"/>
      <c r="S151" s="3"/>
      <c r="T151" s="2"/>
    </row>
    <row r="152" spans="4:20" ht="14.25" customHeight="1" x14ac:dyDescent="0.25">
      <c r="D152" s="7"/>
      <c r="F152" s="7"/>
      <c r="N152" s="6"/>
      <c r="O152" s="6"/>
      <c r="P152" s="6"/>
      <c r="Q152" s="5"/>
      <c r="R152" s="4"/>
      <c r="S152" s="3"/>
      <c r="T152" s="2"/>
    </row>
    <row r="153" spans="4:20" ht="14.25" customHeight="1" x14ac:dyDescent="0.25">
      <c r="D153" s="7"/>
      <c r="F153" s="7"/>
      <c r="N153" s="6"/>
      <c r="O153" s="6"/>
      <c r="P153" s="6"/>
      <c r="Q153" s="5"/>
      <c r="R153" s="4"/>
      <c r="S153" s="3"/>
      <c r="T153" s="2"/>
    </row>
    <row r="154" spans="4:20" ht="14.25" customHeight="1" x14ac:dyDescent="0.25">
      <c r="D154" s="7"/>
      <c r="F154" s="7"/>
      <c r="N154" s="6"/>
      <c r="O154" s="6"/>
      <c r="P154" s="6"/>
      <c r="Q154" s="5"/>
      <c r="R154" s="4"/>
      <c r="S154" s="3"/>
      <c r="T154" s="2"/>
    </row>
    <row r="155" spans="4:20" ht="14.25" customHeight="1" x14ac:dyDescent="0.25">
      <c r="D155" s="7"/>
      <c r="F155" s="7"/>
      <c r="N155" s="6"/>
      <c r="O155" s="6"/>
      <c r="P155" s="6"/>
      <c r="Q155" s="5"/>
      <c r="R155" s="4"/>
      <c r="S155" s="3"/>
      <c r="T155" s="2"/>
    </row>
    <row r="156" spans="4:20" ht="14.25" customHeight="1" x14ac:dyDescent="0.25">
      <c r="D156" s="7"/>
      <c r="F156" s="7"/>
      <c r="N156" s="6"/>
      <c r="O156" s="6"/>
      <c r="P156" s="6"/>
      <c r="Q156" s="5"/>
      <c r="R156" s="4"/>
      <c r="S156" s="3"/>
      <c r="T156" s="2"/>
    </row>
    <row r="157" spans="4:20" ht="14.25" customHeight="1" x14ac:dyDescent="0.25">
      <c r="D157" s="7"/>
      <c r="F157" s="7"/>
      <c r="N157" s="6"/>
      <c r="O157" s="6"/>
      <c r="P157" s="6"/>
      <c r="Q157" s="5"/>
      <c r="R157" s="4"/>
      <c r="S157" s="3"/>
      <c r="T157" s="2"/>
    </row>
    <row r="158" spans="4:20" ht="14.25" customHeight="1" x14ac:dyDescent="0.25">
      <c r="D158" s="7"/>
      <c r="F158" s="7"/>
      <c r="N158" s="6"/>
      <c r="O158" s="6"/>
      <c r="P158" s="6"/>
      <c r="Q158" s="5"/>
      <c r="R158" s="4"/>
      <c r="S158" s="3"/>
      <c r="T158" s="2"/>
    </row>
    <row r="159" spans="4:20" ht="14.25" customHeight="1" x14ac:dyDescent="0.25">
      <c r="D159" s="7"/>
      <c r="F159" s="7"/>
      <c r="N159" s="6"/>
      <c r="O159" s="6"/>
      <c r="P159" s="6"/>
      <c r="Q159" s="5"/>
      <c r="R159" s="4"/>
      <c r="S159" s="3"/>
      <c r="T159" s="2"/>
    </row>
    <row r="160" spans="4:20" ht="14.25" customHeight="1" x14ac:dyDescent="0.25">
      <c r="D160" s="7"/>
      <c r="F160" s="7"/>
      <c r="N160" s="6"/>
      <c r="O160" s="6"/>
      <c r="P160" s="6"/>
      <c r="Q160" s="5"/>
      <c r="R160" s="4"/>
      <c r="S160" s="3"/>
      <c r="T160" s="2"/>
    </row>
    <row r="161" spans="4:20" ht="14.25" customHeight="1" x14ac:dyDescent="0.25">
      <c r="D161" s="7"/>
      <c r="F161" s="7"/>
      <c r="N161" s="6"/>
      <c r="O161" s="6"/>
      <c r="P161" s="6"/>
      <c r="Q161" s="5"/>
      <c r="R161" s="4"/>
      <c r="S161" s="3"/>
      <c r="T161" s="2"/>
    </row>
    <row r="162" spans="4:20" ht="14.25" customHeight="1" x14ac:dyDescent="0.25">
      <c r="D162" s="7"/>
      <c r="F162" s="7"/>
      <c r="N162" s="6"/>
      <c r="O162" s="6"/>
      <c r="P162" s="6"/>
      <c r="Q162" s="5"/>
      <c r="R162" s="4"/>
      <c r="S162" s="3"/>
      <c r="T162" s="2"/>
    </row>
    <row r="163" spans="4:20" ht="14.25" customHeight="1" x14ac:dyDescent="0.25">
      <c r="D163" s="7"/>
      <c r="F163" s="7"/>
      <c r="N163" s="6"/>
      <c r="O163" s="6"/>
      <c r="P163" s="6"/>
      <c r="Q163" s="5"/>
      <c r="R163" s="4"/>
      <c r="S163" s="3"/>
      <c r="T163" s="2"/>
    </row>
    <row r="164" spans="4:20" ht="14.25" customHeight="1" x14ac:dyDescent="0.25">
      <c r="D164" s="7"/>
      <c r="F164" s="7"/>
      <c r="N164" s="6"/>
      <c r="O164" s="6"/>
      <c r="P164" s="6"/>
      <c r="Q164" s="5"/>
      <c r="R164" s="4"/>
      <c r="S164" s="3"/>
      <c r="T164" s="2"/>
    </row>
    <row r="165" spans="4:20" ht="14.25" customHeight="1" x14ac:dyDescent="0.25">
      <c r="D165" s="7"/>
      <c r="F165" s="7"/>
      <c r="N165" s="6"/>
      <c r="O165" s="6"/>
      <c r="P165" s="6"/>
      <c r="Q165" s="5"/>
      <c r="R165" s="4"/>
      <c r="S165" s="3"/>
      <c r="T165" s="2"/>
    </row>
    <row r="166" spans="4:20" ht="14.25" customHeight="1" x14ac:dyDescent="0.25">
      <c r="D166" s="7"/>
      <c r="F166" s="7"/>
      <c r="N166" s="6"/>
      <c r="O166" s="6"/>
      <c r="P166" s="6"/>
      <c r="Q166" s="5"/>
      <c r="R166" s="4"/>
      <c r="S166" s="3"/>
      <c r="T166" s="2"/>
    </row>
    <row r="167" spans="4:20" ht="14.25" customHeight="1" x14ac:dyDescent="0.25">
      <c r="D167" s="7"/>
      <c r="F167" s="7"/>
      <c r="N167" s="6"/>
      <c r="O167" s="6"/>
      <c r="P167" s="6"/>
      <c r="Q167" s="5"/>
      <c r="R167" s="4"/>
      <c r="S167" s="3"/>
      <c r="T167" s="2"/>
    </row>
    <row r="168" spans="4:20" ht="14.25" customHeight="1" x14ac:dyDescent="0.25">
      <c r="D168" s="7"/>
      <c r="F168" s="7"/>
      <c r="N168" s="6"/>
      <c r="O168" s="6"/>
      <c r="P168" s="6"/>
      <c r="Q168" s="5"/>
      <c r="R168" s="4"/>
      <c r="S168" s="3"/>
      <c r="T168" s="2"/>
    </row>
    <row r="169" spans="4:20" ht="14.25" customHeight="1" x14ac:dyDescent="0.25">
      <c r="D169" s="7"/>
      <c r="F169" s="7"/>
      <c r="N169" s="6"/>
      <c r="O169" s="6"/>
      <c r="P169" s="6"/>
      <c r="Q169" s="5"/>
      <c r="R169" s="4"/>
      <c r="S169" s="3"/>
      <c r="T169" s="2"/>
    </row>
    <row r="170" spans="4:20" ht="14.25" customHeight="1" x14ac:dyDescent="0.25">
      <c r="D170" s="7"/>
      <c r="F170" s="7"/>
      <c r="N170" s="6"/>
      <c r="O170" s="6"/>
      <c r="P170" s="6"/>
      <c r="Q170" s="5"/>
      <c r="R170" s="4"/>
      <c r="S170" s="3"/>
      <c r="T170" s="2"/>
    </row>
    <row r="171" spans="4:20" ht="14.25" customHeight="1" x14ac:dyDescent="0.25">
      <c r="D171" s="7"/>
      <c r="F171" s="7"/>
      <c r="N171" s="6"/>
      <c r="O171" s="6"/>
      <c r="P171" s="6"/>
      <c r="Q171" s="5"/>
      <c r="R171" s="4"/>
      <c r="S171" s="3"/>
      <c r="T171" s="2"/>
    </row>
    <row r="172" spans="4:20" ht="14.25" customHeight="1" x14ac:dyDescent="0.25">
      <c r="D172" s="7"/>
      <c r="F172" s="7"/>
      <c r="N172" s="6"/>
      <c r="O172" s="6"/>
      <c r="P172" s="6"/>
      <c r="Q172" s="5"/>
      <c r="R172" s="4"/>
      <c r="S172" s="3"/>
      <c r="T172" s="2"/>
    </row>
    <row r="173" spans="4:20" ht="14.25" customHeight="1" x14ac:dyDescent="0.25">
      <c r="D173" s="7"/>
      <c r="F173" s="7"/>
      <c r="N173" s="6"/>
      <c r="O173" s="6"/>
      <c r="P173" s="6"/>
      <c r="Q173" s="5"/>
      <c r="R173" s="4"/>
      <c r="S173" s="3"/>
      <c r="T173" s="2"/>
    </row>
    <row r="174" spans="4:20" ht="14.25" customHeight="1" x14ac:dyDescent="0.25">
      <c r="D174" s="7"/>
      <c r="F174" s="7"/>
      <c r="N174" s="6"/>
      <c r="O174" s="6"/>
      <c r="P174" s="6"/>
      <c r="Q174" s="5"/>
      <c r="R174" s="4"/>
      <c r="S174" s="3"/>
      <c r="T174" s="2"/>
    </row>
    <row r="175" spans="4:20" ht="14.25" customHeight="1" x14ac:dyDescent="0.25">
      <c r="D175" s="7"/>
      <c r="F175" s="7"/>
      <c r="N175" s="6"/>
      <c r="O175" s="6"/>
      <c r="P175" s="6"/>
      <c r="Q175" s="5"/>
      <c r="R175" s="4"/>
      <c r="S175" s="3"/>
      <c r="T175" s="2"/>
    </row>
    <row r="176" spans="4:20" ht="14.25" customHeight="1" x14ac:dyDescent="0.25">
      <c r="D176" s="7"/>
      <c r="F176" s="7"/>
      <c r="N176" s="6"/>
      <c r="O176" s="6"/>
      <c r="P176" s="6"/>
      <c r="Q176" s="5"/>
      <c r="R176" s="4"/>
      <c r="S176" s="3"/>
      <c r="T176" s="2"/>
    </row>
    <row r="177" spans="4:20" ht="14.25" customHeight="1" x14ac:dyDescent="0.25">
      <c r="D177" s="7"/>
      <c r="F177" s="7"/>
      <c r="N177" s="6"/>
      <c r="O177" s="6"/>
      <c r="P177" s="6"/>
      <c r="Q177" s="5"/>
      <c r="R177" s="4"/>
      <c r="S177" s="3"/>
      <c r="T177" s="2"/>
    </row>
    <row r="178" spans="4:20" ht="14.25" customHeight="1" x14ac:dyDescent="0.25">
      <c r="D178" s="7"/>
      <c r="F178" s="7"/>
      <c r="N178" s="6"/>
      <c r="O178" s="6"/>
      <c r="P178" s="6"/>
      <c r="Q178" s="5"/>
      <c r="R178" s="4"/>
      <c r="S178" s="3"/>
      <c r="T178" s="2"/>
    </row>
    <row r="179" spans="4:20" ht="14.25" customHeight="1" x14ac:dyDescent="0.25">
      <c r="D179" s="7"/>
      <c r="F179" s="7"/>
      <c r="N179" s="6"/>
      <c r="O179" s="6"/>
      <c r="P179" s="6"/>
      <c r="Q179" s="5"/>
      <c r="R179" s="4"/>
      <c r="S179" s="3"/>
      <c r="T179" s="2"/>
    </row>
    <row r="180" spans="4:20" ht="14.25" customHeight="1" x14ac:dyDescent="0.25">
      <c r="D180" s="7"/>
      <c r="F180" s="7"/>
      <c r="N180" s="6"/>
      <c r="O180" s="6"/>
      <c r="P180" s="6"/>
      <c r="Q180" s="5"/>
      <c r="R180" s="4"/>
      <c r="S180" s="3"/>
      <c r="T180" s="2"/>
    </row>
    <row r="181" spans="4:20" ht="14.25" customHeight="1" x14ac:dyDescent="0.25">
      <c r="D181" s="7"/>
      <c r="F181" s="7"/>
      <c r="N181" s="6"/>
      <c r="O181" s="6"/>
      <c r="P181" s="6"/>
      <c r="Q181" s="5"/>
      <c r="R181" s="4"/>
      <c r="S181" s="3"/>
      <c r="T181" s="2"/>
    </row>
    <row r="182" spans="4:20" ht="14.25" customHeight="1" x14ac:dyDescent="0.25">
      <c r="D182" s="7"/>
      <c r="F182" s="7"/>
      <c r="N182" s="6"/>
      <c r="O182" s="6"/>
      <c r="P182" s="6"/>
      <c r="Q182" s="5"/>
      <c r="R182" s="4"/>
      <c r="S182" s="3"/>
      <c r="T182" s="2"/>
    </row>
    <row r="183" spans="4:20" ht="14.25" customHeight="1" x14ac:dyDescent="0.25">
      <c r="D183" s="7"/>
      <c r="F183" s="7"/>
      <c r="N183" s="6"/>
      <c r="O183" s="6"/>
      <c r="P183" s="6"/>
      <c r="Q183" s="5"/>
      <c r="R183" s="4"/>
      <c r="S183" s="3"/>
      <c r="T183" s="2"/>
    </row>
    <row r="184" spans="4:20" ht="14.25" customHeight="1" x14ac:dyDescent="0.25">
      <c r="D184" s="7"/>
      <c r="F184" s="7"/>
      <c r="N184" s="6"/>
      <c r="O184" s="6"/>
      <c r="P184" s="6"/>
      <c r="Q184" s="5"/>
      <c r="R184" s="4"/>
      <c r="S184" s="3"/>
      <c r="T184" s="2"/>
    </row>
    <row r="185" spans="4:20" ht="14.25" customHeight="1" x14ac:dyDescent="0.25">
      <c r="D185" s="7"/>
      <c r="F185" s="7"/>
      <c r="N185" s="6"/>
      <c r="O185" s="6"/>
      <c r="P185" s="6"/>
      <c r="Q185" s="5"/>
      <c r="R185" s="4"/>
      <c r="S185" s="3"/>
      <c r="T185" s="2"/>
    </row>
    <row r="186" spans="4:20" ht="14.25" customHeight="1" x14ac:dyDescent="0.25">
      <c r="D186" s="7"/>
      <c r="F186" s="7"/>
      <c r="N186" s="6"/>
      <c r="O186" s="6"/>
      <c r="P186" s="6"/>
      <c r="Q186" s="5"/>
      <c r="R186" s="4"/>
      <c r="S186" s="3"/>
      <c r="T186" s="2"/>
    </row>
    <row r="187" spans="4:20" ht="14.25" customHeight="1" x14ac:dyDescent="0.25">
      <c r="D187" s="7"/>
      <c r="F187" s="7"/>
      <c r="N187" s="6"/>
      <c r="O187" s="6"/>
      <c r="P187" s="6"/>
      <c r="Q187" s="5"/>
      <c r="R187" s="4"/>
      <c r="S187" s="3"/>
      <c r="T187" s="2"/>
    </row>
    <row r="188" spans="4:20" ht="14.25" customHeight="1" x14ac:dyDescent="0.25">
      <c r="D188" s="7"/>
      <c r="F188" s="7"/>
      <c r="N188" s="6"/>
      <c r="O188" s="6"/>
      <c r="P188" s="6"/>
      <c r="Q188" s="5"/>
      <c r="R188" s="4"/>
      <c r="S188" s="3"/>
      <c r="T188" s="2"/>
    </row>
    <row r="189" spans="4:20" ht="14.25" customHeight="1" x14ac:dyDescent="0.25">
      <c r="D189" s="7"/>
      <c r="F189" s="7"/>
      <c r="N189" s="6"/>
      <c r="O189" s="6"/>
      <c r="P189" s="6"/>
      <c r="Q189" s="5"/>
      <c r="R189" s="4"/>
      <c r="S189" s="3"/>
      <c r="T189" s="2"/>
    </row>
    <row r="190" spans="4:20" ht="14.25" customHeight="1" x14ac:dyDescent="0.25">
      <c r="D190" s="7"/>
      <c r="F190" s="7"/>
      <c r="N190" s="6"/>
      <c r="O190" s="6"/>
      <c r="P190" s="6"/>
      <c r="Q190" s="5"/>
      <c r="R190" s="4"/>
      <c r="S190" s="3"/>
      <c r="T190" s="2"/>
    </row>
    <row r="191" spans="4:20" ht="14.25" customHeight="1" x14ac:dyDescent="0.25">
      <c r="D191" s="7"/>
      <c r="F191" s="7"/>
      <c r="N191" s="6"/>
      <c r="O191" s="6"/>
      <c r="P191" s="6"/>
      <c r="Q191" s="5"/>
      <c r="R191" s="4"/>
      <c r="S191" s="3"/>
      <c r="T191" s="2"/>
    </row>
    <row r="192" spans="4:20" ht="14.25" customHeight="1" x14ac:dyDescent="0.25">
      <c r="D192" s="7"/>
      <c r="F192" s="7"/>
      <c r="N192" s="6"/>
      <c r="O192" s="6"/>
      <c r="P192" s="6"/>
      <c r="Q192" s="5"/>
      <c r="R192" s="4"/>
      <c r="S192" s="3"/>
      <c r="T192" s="2"/>
    </row>
    <row r="193" spans="4:20" ht="14.25" customHeight="1" x14ac:dyDescent="0.25">
      <c r="D193" s="7"/>
      <c r="F193" s="7"/>
      <c r="N193" s="6"/>
      <c r="O193" s="6"/>
      <c r="P193" s="6"/>
      <c r="Q193" s="5"/>
      <c r="R193" s="4"/>
      <c r="S193" s="3"/>
      <c r="T193" s="2"/>
    </row>
    <row r="194" spans="4:20" ht="14.25" customHeight="1" x14ac:dyDescent="0.25">
      <c r="D194" s="7"/>
      <c r="F194" s="7"/>
      <c r="N194" s="6"/>
      <c r="O194" s="6"/>
      <c r="P194" s="6"/>
      <c r="Q194" s="5"/>
      <c r="R194" s="4"/>
      <c r="S194" s="3"/>
      <c r="T194" s="2"/>
    </row>
    <row r="195" spans="4:20" ht="14.25" customHeight="1" x14ac:dyDescent="0.25">
      <c r="D195" s="7"/>
      <c r="F195" s="7"/>
      <c r="N195" s="6"/>
      <c r="O195" s="6"/>
      <c r="P195" s="6"/>
      <c r="Q195" s="5"/>
      <c r="R195" s="4"/>
      <c r="S195" s="3"/>
      <c r="T195" s="2"/>
    </row>
    <row r="196" spans="4:20" ht="14.25" customHeight="1" x14ac:dyDescent="0.25">
      <c r="D196" s="7"/>
      <c r="F196" s="7"/>
      <c r="N196" s="6"/>
      <c r="O196" s="6"/>
      <c r="P196" s="6"/>
      <c r="Q196" s="5"/>
      <c r="R196" s="4"/>
      <c r="S196" s="3"/>
      <c r="T196" s="2"/>
    </row>
    <row r="197" spans="4:20" ht="14.25" customHeight="1" x14ac:dyDescent="0.25">
      <c r="D197" s="7"/>
      <c r="F197" s="7"/>
      <c r="N197" s="6"/>
      <c r="O197" s="6"/>
      <c r="P197" s="6"/>
      <c r="Q197" s="5"/>
      <c r="R197" s="4"/>
      <c r="S197" s="3"/>
      <c r="T197" s="2"/>
    </row>
    <row r="198" spans="4:20" ht="14.25" customHeight="1" x14ac:dyDescent="0.25">
      <c r="D198" s="7"/>
      <c r="F198" s="7"/>
      <c r="N198" s="6"/>
      <c r="O198" s="6"/>
      <c r="P198" s="6"/>
      <c r="Q198" s="5"/>
      <c r="R198" s="4"/>
      <c r="S198" s="3"/>
      <c r="T198" s="2"/>
    </row>
    <row r="199" spans="4:20" ht="14.25" customHeight="1" x14ac:dyDescent="0.25">
      <c r="D199" s="7"/>
      <c r="F199" s="7"/>
      <c r="N199" s="6"/>
      <c r="O199" s="6"/>
      <c r="P199" s="6"/>
      <c r="Q199" s="5"/>
      <c r="R199" s="4"/>
      <c r="S199" s="3"/>
      <c r="T199" s="2"/>
    </row>
    <row r="200" spans="4:20" ht="14.25" customHeight="1" x14ac:dyDescent="0.25">
      <c r="D200" s="7"/>
      <c r="F200" s="7"/>
      <c r="N200" s="6"/>
      <c r="O200" s="6"/>
      <c r="P200" s="6"/>
      <c r="Q200" s="5"/>
      <c r="R200" s="4"/>
      <c r="S200" s="3"/>
      <c r="T200" s="2"/>
    </row>
    <row r="201" spans="4:20" ht="14.25" customHeight="1" x14ac:dyDescent="0.25">
      <c r="D201" s="7"/>
      <c r="F201" s="7"/>
      <c r="N201" s="6"/>
      <c r="O201" s="6"/>
      <c r="P201" s="6"/>
      <c r="Q201" s="5"/>
      <c r="R201" s="4"/>
      <c r="S201" s="3"/>
      <c r="T201" s="2"/>
    </row>
    <row r="202" spans="4:20" ht="14.25" customHeight="1" x14ac:dyDescent="0.25">
      <c r="D202" s="7"/>
      <c r="F202" s="7"/>
      <c r="N202" s="6"/>
      <c r="O202" s="6"/>
      <c r="P202" s="6"/>
      <c r="Q202" s="5"/>
      <c r="R202" s="4"/>
      <c r="S202" s="3"/>
      <c r="T202" s="2"/>
    </row>
    <row r="203" spans="4:20" ht="14.25" customHeight="1" x14ac:dyDescent="0.25">
      <c r="D203" s="7"/>
      <c r="F203" s="7"/>
      <c r="N203" s="6"/>
      <c r="O203" s="6"/>
      <c r="P203" s="6"/>
      <c r="Q203" s="5"/>
      <c r="R203" s="4"/>
      <c r="S203" s="3"/>
      <c r="T203" s="2"/>
    </row>
    <row r="204" spans="4:20" ht="14.25" customHeight="1" x14ac:dyDescent="0.25">
      <c r="D204" s="7"/>
      <c r="F204" s="7"/>
      <c r="N204" s="6"/>
      <c r="O204" s="6"/>
      <c r="P204" s="6"/>
      <c r="Q204" s="5"/>
      <c r="R204" s="4"/>
      <c r="S204" s="3"/>
      <c r="T204" s="2"/>
    </row>
    <row r="205" spans="4:20" ht="14.25" customHeight="1" x14ac:dyDescent="0.25">
      <c r="D205" s="7"/>
      <c r="F205" s="7"/>
      <c r="N205" s="6"/>
      <c r="O205" s="6"/>
      <c r="P205" s="6"/>
      <c r="Q205" s="5"/>
      <c r="R205" s="4"/>
      <c r="S205" s="3"/>
      <c r="T205" s="2"/>
    </row>
    <row r="206" spans="4:20" ht="14.25" customHeight="1" x14ac:dyDescent="0.25">
      <c r="D206" s="7"/>
      <c r="F206" s="7"/>
      <c r="N206" s="6"/>
      <c r="O206" s="6"/>
      <c r="P206" s="6"/>
      <c r="Q206" s="5"/>
      <c r="R206" s="4"/>
      <c r="S206" s="3"/>
      <c r="T206" s="2"/>
    </row>
    <row r="207" spans="4:20" ht="14.25" customHeight="1" x14ac:dyDescent="0.25">
      <c r="D207" s="7"/>
      <c r="F207" s="7"/>
      <c r="N207" s="6"/>
      <c r="O207" s="6"/>
      <c r="P207" s="6"/>
      <c r="Q207" s="5"/>
      <c r="R207" s="4"/>
      <c r="S207" s="3"/>
      <c r="T207" s="2"/>
    </row>
    <row r="208" spans="4:20" ht="14.25" customHeight="1" x14ac:dyDescent="0.25">
      <c r="D208" s="7"/>
      <c r="F208" s="7"/>
      <c r="N208" s="6"/>
      <c r="O208" s="6"/>
      <c r="P208" s="6"/>
      <c r="Q208" s="5"/>
      <c r="R208" s="4"/>
      <c r="S208" s="3"/>
      <c r="T208" s="2"/>
    </row>
    <row r="209" spans="4:20" ht="14.25" customHeight="1" x14ac:dyDescent="0.25">
      <c r="D209" s="7"/>
      <c r="F209" s="7"/>
      <c r="N209" s="6"/>
      <c r="O209" s="6"/>
      <c r="P209" s="6"/>
      <c r="Q209" s="5"/>
      <c r="R209" s="4"/>
      <c r="S209" s="3"/>
      <c r="T209" s="2"/>
    </row>
    <row r="210" spans="4:20" ht="14.25" customHeight="1" x14ac:dyDescent="0.25">
      <c r="D210" s="7"/>
      <c r="F210" s="7"/>
      <c r="N210" s="6"/>
      <c r="O210" s="6"/>
      <c r="P210" s="6"/>
      <c r="Q210" s="5"/>
      <c r="R210" s="4"/>
      <c r="S210" s="3"/>
      <c r="T210" s="2"/>
    </row>
    <row r="211" spans="4:20" ht="14.25" customHeight="1" x14ac:dyDescent="0.25">
      <c r="D211" s="7"/>
      <c r="F211" s="7"/>
      <c r="N211" s="6"/>
      <c r="O211" s="6"/>
      <c r="P211" s="6"/>
      <c r="Q211" s="5"/>
      <c r="R211" s="4"/>
      <c r="S211" s="3"/>
      <c r="T211" s="2"/>
    </row>
    <row r="212" spans="4:20" ht="14.25" customHeight="1" x14ac:dyDescent="0.25">
      <c r="D212" s="7"/>
      <c r="F212" s="7"/>
      <c r="N212" s="6"/>
      <c r="O212" s="6"/>
      <c r="P212" s="6"/>
      <c r="Q212" s="5"/>
      <c r="R212" s="4"/>
      <c r="S212" s="3"/>
      <c r="T212" s="2"/>
    </row>
    <row r="213" spans="4:20" ht="14.25" customHeight="1" x14ac:dyDescent="0.25">
      <c r="D213" s="7"/>
      <c r="F213" s="7"/>
      <c r="N213" s="6"/>
      <c r="O213" s="6"/>
      <c r="P213" s="6"/>
      <c r="Q213" s="5"/>
      <c r="R213" s="4"/>
      <c r="S213" s="3"/>
      <c r="T213" s="2"/>
    </row>
    <row r="214" spans="4:20" ht="14.25" customHeight="1" x14ac:dyDescent="0.25">
      <c r="D214" s="7"/>
      <c r="F214" s="7"/>
      <c r="N214" s="6"/>
      <c r="O214" s="6"/>
      <c r="P214" s="6"/>
      <c r="Q214" s="5"/>
      <c r="R214" s="4"/>
      <c r="S214" s="3"/>
      <c r="T214" s="2"/>
    </row>
    <row r="215" spans="4:20" ht="14.25" customHeight="1" x14ac:dyDescent="0.25">
      <c r="D215" s="7"/>
      <c r="F215" s="7"/>
      <c r="N215" s="6"/>
      <c r="O215" s="6"/>
      <c r="P215" s="6"/>
      <c r="Q215" s="5"/>
      <c r="R215" s="4"/>
      <c r="S215" s="3"/>
      <c r="T215" s="2"/>
    </row>
    <row r="216" spans="4:20" ht="14.25" customHeight="1" x14ac:dyDescent="0.25">
      <c r="D216" s="7"/>
      <c r="F216" s="7"/>
      <c r="N216" s="6"/>
      <c r="O216" s="6"/>
      <c r="P216" s="6"/>
      <c r="Q216" s="5"/>
      <c r="R216" s="4"/>
      <c r="S216" s="3"/>
      <c r="T216" s="2"/>
    </row>
    <row r="217" spans="4:20" ht="14.25" customHeight="1" x14ac:dyDescent="0.25">
      <c r="D217" s="7"/>
      <c r="F217" s="7"/>
      <c r="N217" s="6"/>
      <c r="O217" s="6"/>
      <c r="P217" s="6"/>
      <c r="Q217" s="5"/>
      <c r="R217" s="4"/>
      <c r="S217" s="3"/>
      <c r="T217" s="2"/>
    </row>
    <row r="218" spans="4:20" ht="14.25" customHeight="1" x14ac:dyDescent="0.25">
      <c r="D218" s="7"/>
      <c r="F218" s="7"/>
      <c r="N218" s="6"/>
      <c r="O218" s="6"/>
      <c r="P218" s="6"/>
      <c r="Q218" s="5"/>
      <c r="R218" s="4"/>
      <c r="S218" s="3"/>
      <c r="T218" s="2"/>
    </row>
    <row r="219" spans="4:20" ht="14.25" customHeight="1" x14ac:dyDescent="0.25">
      <c r="D219" s="7"/>
      <c r="F219" s="7"/>
      <c r="N219" s="6"/>
      <c r="O219" s="6"/>
      <c r="P219" s="6"/>
      <c r="Q219" s="5"/>
      <c r="R219" s="4"/>
      <c r="S219" s="3"/>
      <c r="T219" s="2"/>
    </row>
    <row r="220" spans="4:20" ht="14.25" customHeight="1" x14ac:dyDescent="0.25">
      <c r="D220" s="7"/>
      <c r="F220" s="7"/>
      <c r="N220" s="6"/>
      <c r="O220" s="6"/>
      <c r="P220" s="6"/>
      <c r="Q220" s="5"/>
      <c r="R220" s="4"/>
      <c r="S220" s="3"/>
      <c r="T220" s="2"/>
    </row>
    <row r="221" spans="4:20" ht="14.25" customHeight="1" x14ac:dyDescent="0.25">
      <c r="D221" s="7"/>
      <c r="F221" s="7"/>
      <c r="N221" s="6"/>
      <c r="O221" s="6"/>
      <c r="P221" s="6"/>
      <c r="Q221" s="5"/>
      <c r="R221" s="4"/>
      <c r="S221" s="3"/>
      <c r="T221" s="2"/>
    </row>
    <row r="222" spans="4:20" ht="14.25" customHeight="1" x14ac:dyDescent="0.25">
      <c r="D222" s="7"/>
      <c r="F222" s="7"/>
      <c r="N222" s="6"/>
      <c r="O222" s="6"/>
      <c r="P222" s="6"/>
      <c r="Q222" s="5"/>
      <c r="R222" s="4"/>
      <c r="S222" s="3"/>
      <c r="T222" s="2"/>
    </row>
    <row r="223" spans="4:20" ht="14.25" customHeight="1" x14ac:dyDescent="0.25">
      <c r="D223" s="7"/>
      <c r="F223" s="7"/>
      <c r="N223" s="6"/>
      <c r="O223" s="6"/>
      <c r="P223" s="6"/>
      <c r="Q223" s="5"/>
      <c r="R223" s="4"/>
      <c r="S223" s="3"/>
      <c r="T223" s="2"/>
    </row>
    <row r="224" spans="4:20" ht="14.25" customHeight="1" x14ac:dyDescent="0.25">
      <c r="D224" s="7"/>
      <c r="F224" s="7"/>
      <c r="N224" s="6"/>
      <c r="O224" s="6"/>
      <c r="P224" s="6"/>
      <c r="Q224" s="5"/>
      <c r="R224" s="4"/>
      <c r="S224" s="3"/>
      <c r="T224" s="2"/>
    </row>
    <row r="225" spans="4:20" ht="14.25" customHeight="1" x14ac:dyDescent="0.25">
      <c r="D225" s="7"/>
      <c r="F225" s="7"/>
      <c r="N225" s="6"/>
      <c r="O225" s="6"/>
      <c r="P225" s="6"/>
      <c r="Q225" s="5"/>
      <c r="R225" s="4"/>
      <c r="S225" s="3"/>
      <c r="T225" s="2"/>
    </row>
    <row r="226" spans="4:20" ht="14.25" customHeight="1" x14ac:dyDescent="0.25">
      <c r="D226" s="7"/>
      <c r="F226" s="7"/>
      <c r="N226" s="6"/>
      <c r="O226" s="6"/>
      <c r="P226" s="6"/>
      <c r="Q226" s="5"/>
      <c r="R226" s="4"/>
      <c r="S226" s="3"/>
      <c r="T226" s="2"/>
    </row>
    <row r="227" spans="4:20" ht="14.25" customHeight="1" x14ac:dyDescent="0.25">
      <c r="D227" s="7"/>
      <c r="F227" s="7"/>
      <c r="N227" s="6"/>
      <c r="O227" s="6"/>
      <c r="P227" s="6"/>
      <c r="Q227" s="5"/>
      <c r="R227" s="4"/>
      <c r="S227" s="3"/>
      <c r="T227" s="2"/>
    </row>
    <row r="228" spans="4:20" ht="14.25" customHeight="1" x14ac:dyDescent="0.25">
      <c r="D228" s="7"/>
      <c r="F228" s="7"/>
      <c r="N228" s="6"/>
      <c r="O228" s="6"/>
      <c r="P228" s="6"/>
      <c r="Q228" s="5"/>
      <c r="R228" s="4"/>
      <c r="S228" s="3"/>
      <c r="T228" s="2"/>
    </row>
    <row r="229" spans="4:20" ht="14.25" customHeight="1" x14ac:dyDescent="0.25">
      <c r="D229" s="7"/>
      <c r="F229" s="7"/>
      <c r="N229" s="6"/>
      <c r="O229" s="6"/>
      <c r="P229" s="6"/>
      <c r="Q229" s="5"/>
      <c r="R229" s="4"/>
      <c r="S229" s="3"/>
      <c r="T229" s="2"/>
    </row>
    <row r="230" spans="4:20" ht="14.25" customHeight="1" x14ac:dyDescent="0.25">
      <c r="D230" s="7"/>
      <c r="F230" s="7"/>
      <c r="N230" s="6"/>
      <c r="O230" s="6"/>
      <c r="P230" s="6"/>
      <c r="Q230" s="5"/>
      <c r="R230" s="4"/>
      <c r="S230" s="3"/>
      <c r="T230" s="2"/>
    </row>
    <row r="231" spans="4:20" ht="14.25" customHeight="1" x14ac:dyDescent="0.25">
      <c r="D231" s="7"/>
      <c r="F231" s="7"/>
      <c r="N231" s="6"/>
      <c r="O231" s="6"/>
      <c r="P231" s="6"/>
      <c r="Q231" s="5"/>
      <c r="R231" s="4"/>
      <c r="S231" s="3"/>
      <c r="T231" s="2"/>
    </row>
    <row r="232" spans="4:20" ht="14.25" customHeight="1" x14ac:dyDescent="0.25">
      <c r="D232" s="7"/>
      <c r="F232" s="7"/>
      <c r="N232" s="6"/>
      <c r="O232" s="6"/>
      <c r="P232" s="6"/>
      <c r="Q232" s="5"/>
      <c r="R232" s="4"/>
      <c r="S232" s="3"/>
      <c r="T232" s="2"/>
    </row>
    <row r="233" spans="4:20" ht="14.25" customHeight="1" x14ac:dyDescent="0.25">
      <c r="D233" s="7"/>
      <c r="F233" s="7"/>
      <c r="N233" s="6"/>
      <c r="O233" s="6"/>
      <c r="P233" s="6"/>
      <c r="Q233" s="5"/>
      <c r="R233" s="4"/>
      <c r="S233" s="3"/>
      <c r="T233" s="2"/>
    </row>
    <row r="234" spans="4:20" ht="14.25" customHeight="1" x14ac:dyDescent="0.25">
      <c r="D234" s="7"/>
      <c r="F234" s="7"/>
      <c r="N234" s="6"/>
      <c r="O234" s="6"/>
      <c r="P234" s="6"/>
      <c r="Q234" s="5"/>
      <c r="R234" s="4"/>
      <c r="S234" s="3"/>
      <c r="T234" s="2"/>
    </row>
    <row r="235" spans="4:20" ht="14.25" customHeight="1" x14ac:dyDescent="0.25">
      <c r="D235" s="7"/>
      <c r="F235" s="7"/>
      <c r="N235" s="6"/>
      <c r="O235" s="6"/>
      <c r="P235" s="6"/>
      <c r="Q235" s="5"/>
      <c r="R235" s="4"/>
      <c r="S235" s="3"/>
      <c r="T235" s="2"/>
    </row>
    <row r="236" spans="4:20" ht="14.25" customHeight="1" x14ac:dyDescent="0.25">
      <c r="D236" s="7"/>
      <c r="F236" s="7"/>
      <c r="N236" s="6"/>
      <c r="O236" s="6"/>
      <c r="P236" s="6"/>
      <c r="Q236" s="5"/>
      <c r="R236" s="4"/>
      <c r="S236" s="3"/>
      <c r="T236" s="2"/>
    </row>
    <row r="237" spans="4:20" ht="14.25" customHeight="1" x14ac:dyDescent="0.25">
      <c r="D237" s="7"/>
      <c r="F237" s="7"/>
      <c r="N237" s="6"/>
      <c r="O237" s="6"/>
      <c r="P237" s="6"/>
      <c r="Q237" s="5"/>
      <c r="R237" s="4"/>
      <c r="S237" s="3"/>
      <c r="T237" s="2"/>
    </row>
    <row r="238" spans="4:20" ht="14.25" customHeight="1" x14ac:dyDescent="0.25">
      <c r="D238" s="7"/>
      <c r="F238" s="7"/>
      <c r="N238" s="6"/>
      <c r="O238" s="6"/>
      <c r="P238" s="6"/>
      <c r="Q238" s="5"/>
      <c r="R238" s="4"/>
      <c r="S238" s="3"/>
      <c r="T238" s="2"/>
    </row>
    <row r="239" spans="4:20" ht="14.25" customHeight="1" x14ac:dyDescent="0.25">
      <c r="D239" s="7"/>
      <c r="F239" s="7"/>
      <c r="N239" s="6"/>
      <c r="O239" s="6"/>
      <c r="P239" s="6"/>
      <c r="Q239" s="5"/>
      <c r="R239" s="4"/>
      <c r="S239" s="3"/>
      <c r="T239" s="2"/>
    </row>
    <row r="240" spans="4:20" ht="14.25" customHeight="1" x14ac:dyDescent="0.25">
      <c r="D240" s="7"/>
      <c r="F240" s="7"/>
      <c r="N240" s="6"/>
      <c r="O240" s="6"/>
      <c r="P240" s="6"/>
      <c r="Q240" s="5"/>
      <c r="R240" s="4"/>
      <c r="S240" s="3"/>
      <c r="T240" s="2"/>
    </row>
    <row r="241" spans="4:20" ht="14.25" customHeight="1" x14ac:dyDescent="0.25">
      <c r="D241" s="7"/>
      <c r="F241" s="7"/>
      <c r="N241" s="6"/>
      <c r="O241" s="6"/>
      <c r="P241" s="6"/>
      <c r="Q241" s="5"/>
      <c r="R241" s="4"/>
      <c r="S241" s="3"/>
      <c r="T241" s="2"/>
    </row>
    <row r="242" spans="4:20" ht="14.25" customHeight="1" x14ac:dyDescent="0.25">
      <c r="D242" s="7"/>
      <c r="F242" s="7"/>
      <c r="N242" s="6"/>
      <c r="O242" s="6"/>
      <c r="P242" s="6"/>
      <c r="Q242" s="5"/>
      <c r="R242" s="4"/>
      <c r="S242" s="3"/>
      <c r="T242" s="2"/>
    </row>
    <row r="243" spans="4:20" ht="14.25" customHeight="1" x14ac:dyDescent="0.25">
      <c r="D243" s="7"/>
      <c r="F243" s="7"/>
      <c r="N243" s="6"/>
      <c r="O243" s="6"/>
      <c r="P243" s="6"/>
      <c r="Q243" s="5"/>
      <c r="R243" s="4"/>
      <c r="S243" s="3"/>
      <c r="T243" s="2"/>
    </row>
    <row r="244" spans="4:20" ht="14.25" customHeight="1" x14ac:dyDescent="0.25">
      <c r="D244" s="7"/>
      <c r="F244" s="7"/>
      <c r="N244" s="6"/>
      <c r="O244" s="6"/>
      <c r="P244" s="6"/>
      <c r="Q244" s="5"/>
      <c r="R244" s="4"/>
      <c r="S244" s="3"/>
      <c r="T244" s="2"/>
    </row>
    <row r="245" spans="4:20" ht="14.25" customHeight="1" x14ac:dyDescent="0.25">
      <c r="D245" s="7"/>
      <c r="F245" s="7"/>
      <c r="N245" s="6"/>
      <c r="O245" s="6"/>
      <c r="P245" s="6"/>
      <c r="Q245" s="5"/>
      <c r="R245" s="4"/>
      <c r="S245" s="3"/>
      <c r="T245" s="2"/>
    </row>
    <row r="246" spans="4:20" ht="14.25" customHeight="1" x14ac:dyDescent="0.25">
      <c r="D246" s="7"/>
      <c r="F246" s="7"/>
      <c r="N246" s="6"/>
      <c r="O246" s="6"/>
      <c r="P246" s="6"/>
      <c r="Q246" s="5"/>
      <c r="R246" s="4"/>
      <c r="S246" s="3"/>
      <c r="T246" s="2"/>
    </row>
    <row r="247" spans="4:20" ht="14.25" customHeight="1" x14ac:dyDescent="0.25">
      <c r="D247" s="7"/>
      <c r="F247" s="7"/>
      <c r="N247" s="6"/>
      <c r="O247" s="6"/>
      <c r="P247" s="6"/>
      <c r="Q247" s="5"/>
      <c r="R247" s="4"/>
      <c r="S247" s="3"/>
      <c r="T247" s="2"/>
    </row>
    <row r="248" spans="4:20" ht="14.25" customHeight="1" x14ac:dyDescent="0.25">
      <c r="D248" s="7"/>
      <c r="F248" s="7"/>
      <c r="N248" s="6"/>
      <c r="O248" s="6"/>
      <c r="P248" s="6"/>
      <c r="Q248" s="5"/>
      <c r="R248" s="4"/>
      <c r="S248" s="3"/>
      <c r="T248" s="2"/>
    </row>
    <row r="249" spans="4:20" ht="14.25" customHeight="1" x14ac:dyDescent="0.25">
      <c r="D249" s="7"/>
      <c r="F249" s="7"/>
      <c r="N249" s="6"/>
      <c r="O249" s="6"/>
      <c r="P249" s="6"/>
      <c r="Q249" s="5"/>
      <c r="R249" s="4"/>
      <c r="S249" s="3"/>
      <c r="T249" s="2"/>
    </row>
    <row r="250" spans="4:20" ht="14.25" customHeight="1" x14ac:dyDescent="0.25">
      <c r="D250" s="7"/>
      <c r="F250" s="7"/>
      <c r="N250" s="6"/>
      <c r="O250" s="6"/>
      <c r="P250" s="6"/>
      <c r="Q250" s="5"/>
      <c r="R250" s="4"/>
      <c r="S250" s="3"/>
      <c r="T250" s="2"/>
    </row>
    <row r="251" spans="4:20" ht="14.25" customHeight="1" x14ac:dyDescent="0.25">
      <c r="D251" s="7"/>
      <c r="F251" s="7"/>
      <c r="N251" s="6"/>
      <c r="O251" s="6"/>
      <c r="P251" s="6"/>
      <c r="Q251" s="5"/>
      <c r="R251" s="4"/>
      <c r="S251" s="3"/>
      <c r="T251" s="2"/>
    </row>
    <row r="252" spans="4:20" ht="14.25" customHeight="1" x14ac:dyDescent="0.25">
      <c r="D252" s="7"/>
      <c r="F252" s="7"/>
      <c r="N252" s="6"/>
      <c r="O252" s="6"/>
      <c r="P252" s="6"/>
      <c r="Q252" s="5"/>
      <c r="R252" s="4"/>
      <c r="S252" s="3"/>
      <c r="T252" s="2"/>
    </row>
    <row r="253" spans="4:20" ht="14.25" customHeight="1" x14ac:dyDescent="0.25">
      <c r="D253" s="7"/>
      <c r="F253" s="7"/>
      <c r="N253" s="6"/>
      <c r="O253" s="6"/>
      <c r="P253" s="6"/>
      <c r="Q253" s="5"/>
      <c r="R253" s="4"/>
      <c r="S253" s="3"/>
      <c r="T253" s="2"/>
    </row>
    <row r="254" spans="4:20" ht="14.25" customHeight="1" x14ac:dyDescent="0.25">
      <c r="D254" s="7"/>
      <c r="F254" s="7"/>
      <c r="N254" s="6"/>
      <c r="O254" s="6"/>
      <c r="P254" s="6"/>
      <c r="Q254" s="5"/>
      <c r="R254" s="4"/>
      <c r="S254" s="3"/>
      <c r="T254" s="2"/>
    </row>
    <row r="255" spans="4:20" ht="14.25" customHeight="1" x14ac:dyDescent="0.25">
      <c r="D255" s="7"/>
      <c r="F255" s="7"/>
      <c r="N255" s="6"/>
      <c r="O255" s="6"/>
      <c r="P255" s="6"/>
      <c r="Q255" s="5"/>
      <c r="R255" s="4"/>
      <c r="S255" s="3"/>
      <c r="T255" s="2"/>
    </row>
    <row r="256" spans="4:20" ht="14.25" customHeight="1" x14ac:dyDescent="0.25">
      <c r="D256" s="7"/>
      <c r="F256" s="7"/>
      <c r="N256" s="6"/>
      <c r="O256" s="6"/>
      <c r="P256" s="6"/>
      <c r="Q256" s="5"/>
      <c r="R256" s="4"/>
      <c r="S256" s="3"/>
      <c r="T256" s="2"/>
    </row>
    <row r="257" spans="4:20" ht="14.25" customHeight="1" x14ac:dyDescent="0.25">
      <c r="D257" s="7"/>
      <c r="F257" s="7"/>
      <c r="N257" s="6"/>
      <c r="O257" s="6"/>
      <c r="P257" s="6"/>
      <c r="Q257" s="5"/>
      <c r="R257" s="4"/>
      <c r="S257" s="3"/>
      <c r="T257" s="2"/>
    </row>
    <row r="258" spans="4:20" ht="14.25" customHeight="1" x14ac:dyDescent="0.25">
      <c r="D258" s="7"/>
      <c r="F258" s="7"/>
      <c r="N258" s="6"/>
      <c r="O258" s="6"/>
      <c r="P258" s="6"/>
      <c r="Q258" s="5"/>
      <c r="R258" s="4"/>
      <c r="S258" s="3"/>
      <c r="T258" s="2"/>
    </row>
    <row r="259" spans="4:20" ht="14.25" customHeight="1" x14ac:dyDescent="0.25">
      <c r="D259" s="7"/>
      <c r="F259" s="7"/>
      <c r="N259" s="6"/>
      <c r="O259" s="6"/>
      <c r="P259" s="6"/>
      <c r="Q259" s="5"/>
      <c r="R259" s="4"/>
      <c r="S259" s="3"/>
      <c r="T259" s="2"/>
    </row>
    <row r="260" spans="4:20" ht="14.25" customHeight="1" x14ac:dyDescent="0.25">
      <c r="D260" s="7"/>
      <c r="F260" s="7"/>
      <c r="N260" s="6"/>
      <c r="O260" s="6"/>
      <c r="P260" s="6"/>
      <c r="Q260" s="5"/>
      <c r="R260" s="4"/>
      <c r="S260" s="3"/>
      <c r="T260" s="2"/>
    </row>
    <row r="261" spans="4:20" ht="14.25" customHeight="1" x14ac:dyDescent="0.25">
      <c r="D261" s="7"/>
      <c r="F261" s="7"/>
      <c r="N261" s="6"/>
      <c r="O261" s="6"/>
      <c r="P261" s="6"/>
      <c r="Q261" s="5"/>
      <c r="R261" s="4"/>
      <c r="S261" s="3"/>
      <c r="T261" s="2"/>
    </row>
    <row r="262" spans="4:20" ht="14.25" customHeight="1" x14ac:dyDescent="0.25">
      <c r="D262" s="7"/>
      <c r="F262" s="7"/>
      <c r="N262" s="6"/>
      <c r="O262" s="6"/>
      <c r="P262" s="6"/>
      <c r="Q262" s="5"/>
      <c r="R262" s="4"/>
      <c r="S262" s="3"/>
      <c r="T262" s="2"/>
    </row>
    <row r="263" spans="4:20" ht="14.25" customHeight="1" x14ac:dyDescent="0.25">
      <c r="D263" s="7"/>
      <c r="F263" s="7"/>
      <c r="N263" s="6"/>
      <c r="O263" s="6"/>
      <c r="P263" s="6"/>
      <c r="Q263" s="5"/>
      <c r="R263" s="4"/>
      <c r="S263" s="3"/>
      <c r="T263" s="2"/>
    </row>
    <row r="264" spans="4:20" ht="14.25" customHeight="1" x14ac:dyDescent="0.25">
      <c r="D264" s="7"/>
      <c r="F264" s="7"/>
      <c r="N264" s="6"/>
      <c r="O264" s="6"/>
      <c r="P264" s="6"/>
      <c r="Q264" s="5"/>
      <c r="R264" s="4"/>
      <c r="S264" s="3"/>
      <c r="T264" s="2"/>
    </row>
    <row r="265" spans="4:20" ht="14.25" customHeight="1" x14ac:dyDescent="0.25">
      <c r="D265" s="7"/>
      <c r="F265" s="7"/>
      <c r="N265" s="6"/>
      <c r="O265" s="6"/>
      <c r="P265" s="6"/>
      <c r="Q265" s="5"/>
      <c r="R265" s="4"/>
      <c r="S265" s="3"/>
      <c r="T265" s="2"/>
    </row>
    <row r="266" spans="4:20" ht="14.25" customHeight="1" x14ac:dyDescent="0.25">
      <c r="D266" s="7"/>
      <c r="F266" s="7"/>
      <c r="N266" s="6"/>
      <c r="O266" s="6"/>
      <c r="P266" s="6"/>
      <c r="Q266" s="5"/>
      <c r="R266" s="4"/>
      <c r="S266" s="3"/>
      <c r="T266" s="2"/>
    </row>
    <row r="267" spans="4:20" ht="14.25" customHeight="1" x14ac:dyDescent="0.25">
      <c r="D267" s="7"/>
      <c r="F267" s="7"/>
      <c r="N267" s="6"/>
      <c r="O267" s="6"/>
      <c r="P267" s="6"/>
      <c r="Q267" s="5"/>
      <c r="R267" s="4"/>
      <c r="S267" s="3"/>
      <c r="T267" s="2"/>
    </row>
    <row r="268" spans="4:20" ht="14.25" customHeight="1" x14ac:dyDescent="0.25">
      <c r="D268" s="7"/>
      <c r="F268" s="7"/>
      <c r="N268" s="6"/>
      <c r="O268" s="6"/>
      <c r="P268" s="6"/>
      <c r="Q268" s="5"/>
      <c r="R268" s="4"/>
      <c r="S268" s="3"/>
      <c r="T268" s="2"/>
    </row>
    <row r="269" spans="4:20" ht="14.25" customHeight="1" x14ac:dyDescent="0.25">
      <c r="D269" s="7"/>
      <c r="F269" s="7"/>
      <c r="N269" s="6"/>
      <c r="O269" s="6"/>
      <c r="P269" s="6"/>
      <c r="Q269" s="5"/>
      <c r="R269" s="4"/>
      <c r="S269" s="3"/>
      <c r="T269" s="2"/>
    </row>
    <row r="270" spans="4:20" ht="14.25" customHeight="1" x14ac:dyDescent="0.25">
      <c r="D270" s="7"/>
      <c r="F270" s="7"/>
      <c r="N270" s="6"/>
      <c r="O270" s="6"/>
      <c r="P270" s="6"/>
      <c r="Q270" s="5"/>
      <c r="R270" s="4"/>
      <c r="S270" s="3"/>
      <c r="T270" s="2"/>
    </row>
    <row r="271" spans="4:20" ht="14.25" customHeight="1" x14ac:dyDescent="0.25">
      <c r="D271" s="7"/>
      <c r="F271" s="7"/>
      <c r="N271" s="6"/>
      <c r="O271" s="6"/>
      <c r="P271" s="6"/>
      <c r="Q271" s="5"/>
      <c r="R271" s="4"/>
      <c r="S271" s="3"/>
      <c r="T271" s="2"/>
    </row>
    <row r="272" spans="4:20" ht="14.25" customHeight="1" x14ac:dyDescent="0.25">
      <c r="D272" s="7"/>
      <c r="F272" s="7"/>
      <c r="N272" s="6"/>
      <c r="O272" s="6"/>
      <c r="P272" s="6"/>
      <c r="Q272" s="5"/>
      <c r="R272" s="4"/>
      <c r="S272" s="3"/>
      <c r="T272" s="2"/>
    </row>
    <row r="273" spans="4:20" ht="14.25" customHeight="1" x14ac:dyDescent="0.25">
      <c r="D273" s="7"/>
      <c r="F273" s="7"/>
      <c r="N273" s="6"/>
      <c r="O273" s="6"/>
      <c r="P273" s="6"/>
      <c r="Q273" s="5"/>
      <c r="R273" s="4"/>
      <c r="S273" s="3"/>
      <c r="T273" s="2"/>
    </row>
    <row r="274" spans="4:20" ht="14.25" customHeight="1" x14ac:dyDescent="0.25">
      <c r="D274" s="7"/>
      <c r="F274" s="7"/>
      <c r="N274" s="6"/>
      <c r="O274" s="6"/>
      <c r="P274" s="6"/>
      <c r="Q274" s="5"/>
      <c r="R274" s="4"/>
      <c r="S274" s="3"/>
      <c r="T274" s="2"/>
    </row>
    <row r="275" spans="4:20" ht="14.25" customHeight="1" x14ac:dyDescent="0.25">
      <c r="D275" s="7"/>
      <c r="F275" s="7"/>
      <c r="N275" s="6"/>
      <c r="O275" s="6"/>
      <c r="P275" s="6"/>
      <c r="Q275" s="5"/>
      <c r="R275" s="4"/>
      <c r="S275" s="3"/>
      <c r="T275" s="2"/>
    </row>
    <row r="276" spans="4:20" ht="14.25" customHeight="1" x14ac:dyDescent="0.25">
      <c r="D276" s="7"/>
      <c r="F276" s="7"/>
      <c r="N276" s="6"/>
      <c r="O276" s="6"/>
      <c r="P276" s="6"/>
      <c r="Q276" s="5"/>
      <c r="R276" s="4"/>
      <c r="S276" s="3"/>
      <c r="T276" s="2"/>
    </row>
    <row r="277" spans="4:20" ht="14.25" customHeight="1" x14ac:dyDescent="0.25">
      <c r="D277" s="7"/>
      <c r="F277" s="7"/>
      <c r="N277" s="6"/>
      <c r="O277" s="6"/>
      <c r="P277" s="6"/>
      <c r="Q277" s="5"/>
      <c r="R277" s="4"/>
      <c r="S277" s="3"/>
      <c r="T277" s="2"/>
    </row>
    <row r="278" spans="4:20" ht="14.25" customHeight="1" x14ac:dyDescent="0.25">
      <c r="D278" s="7"/>
      <c r="F278" s="7"/>
      <c r="N278" s="6"/>
      <c r="O278" s="6"/>
      <c r="P278" s="6"/>
      <c r="Q278" s="5"/>
      <c r="R278" s="4"/>
      <c r="S278" s="3"/>
      <c r="T278" s="2"/>
    </row>
    <row r="279" spans="4:20" ht="14.25" customHeight="1" x14ac:dyDescent="0.25">
      <c r="D279" s="7"/>
      <c r="F279" s="7"/>
      <c r="N279" s="6"/>
      <c r="O279" s="6"/>
      <c r="P279" s="6"/>
      <c r="Q279" s="5"/>
      <c r="R279" s="4"/>
      <c r="S279" s="3"/>
      <c r="T279" s="2"/>
    </row>
    <row r="280" spans="4:20" ht="14.25" customHeight="1" x14ac:dyDescent="0.25">
      <c r="D280" s="7"/>
      <c r="F280" s="7"/>
      <c r="N280" s="6"/>
      <c r="O280" s="6"/>
      <c r="P280" s="6"/>
      <c r="Q280" s="5"/>
      <c r="R280" s="4"/>
      <c r="S280" s="3"/>
      <c r="T280" s="2"/>
    </row>
    <row r="281" spans="4:20" ht="14.25" customHeight="1" x14ac:dyDescent="0.25">
      <c r="D281" s="7"/>
      <c r="F281" s="7"/>
      <c r="N281" s="6"/>
      <c r="O281" s="6"/>
      <c r="P281" s="6"/>
      <c r="Q281" s="5"/>
      <c r="R281" s="4"/>
      <c r="S281" s="3"/>
      <c r="T281" s="2"/>
    </row>
    <row r="282" spans="4:20" ht="14.25" customHeight="1" x14ac:dyDescent="0.25">
      <c r="D282" s="7"/>
      <c r="F282" s="7"/>
      <c r="N282" s="6"/>
      <c r="O282" s="6"/>
      <c r="P282" s="6"/>
      <c r="Q282" s="5"/>
      <c r="R282" s="4"/>
      <c r="S282" s="3"/>
      <c r="T282" s="2"/>
    </row>
    <row r="283" spans="4:20" ht="14.25" customHeight="1" x14ac:dyDescent="0.25">
      <c r="D283" s="7"/>
      <c r="F283" s="7"/>
      <c r="N283" s="6"/>
      <c r="O283" s="6"/>
      <c r="P283" s="6"/>
      <c r="Q283" s="5"/>
      <c r="R283" s="4"/>
      <c r="S283" s="3"/>
      <c r="T283" s="2"/>
    </row>
    <row r="284" spans="4:20" ht="14.25" customHeight="1" x14ac:dyDescent="0.25">
      <c r="D284" s="7"/>
      <c r="F284" s="7"/>
      <c r="N284" s="6"/>
      <c r="O284" s="6"/>
      <c r="P284" s="6"/>
      <c r="Q284" s="5"/>
      <c r="R284" s="4"/>
      <c r="S284" s="3"/>
      <c r="T284" s="2"/>
    </row>
    <row r="285" spans="4:20" ht="14.25" customHeight="1" x14ac:dyDescent="0.25">
      <c r="D285" s="7"/>
      <c r="F285" s="7"/>
      <c r="N285" s="6"/>
      <c r="O285" s="6"/>
      <c r="P285" s="6"/>
      <c r="Q285" s="5"/>
      <c r="R285" s="4"/>
      <c r="S285" s="3"/>
      <c r="T285" s="2"/>
    </row>
    <row r="286" spans="4:20" ht="14.25" customHeight="1" x14ac:dyDescent="0.25">
      <c r="D286" s="7"/>
      <c r="F286" s="7"/>
      <c r="N286" s="6"/>
      <c r="O286" s="6"/>
      <c r="P286" s="6"/>
      <c r="Q286" s="5"/>
      <c r="R286" s="4"/>
      <c r="S286" s="3"/>
      <c r="T286" s="2"/>
    </row>
    <row r="287" spans="4:20" ht="14.25" customHeight="1" x14ac:dyDescent="0.25">
      <c r="D287" s="7"/>
      <c r="F287" s="7"/>
      <c r="N287" s="6"/>
      <c r="O287" s="6"/>
      <c r="P287" s="6"/>
      <c r="Q287" s="5"/>
      <c r="R287" s="4"/>
      <c r="S287" s="3"/>
      <c r="T287" s="2"/>
    </row>
    <row r="288" spans="4:20" ht="14.25" customHeight="1" x14ac:dyDescent="0.25">
      <c r="D288" s="7"/>
      <c r="F288" s="7"/>
      <c r="N288" s="6"/>
      <c r="O288" s="6"/>
      <c r="P288" s="6"/>
      <c r="Q288" s="5"/>
      <c r="R288" s="4"/>
      <c r="S288" s="3"/>
      <c r="T288" s="2"/>
    </row>
    <row r="289" spans="4:20" ht="14.25" customHeight="1" x14ac:dyDescent="0.25">
      <c r="D289" s="7"/>
      <c r="F289" s="7"/>
      <c r="N289" s="6"/>
      <c r="O289" s="6"/>
      <c r="P289" s="6"/>
      <c r="Q289" s="5"/>
      <c r="R289" s="4"/>
      <c r="S289" s="3"/>
      <c r="T289" s="2"/>
    </row>
    <row r="290" spans="4:20" ht="14.25" customHeight="1" x14ac:dyDescent="0.25">
      <c r="D290" s="7"/>
      <c r="F290" s="7"/>
      <c r="N290" s="6"/>
      <c r="O290" s="6"/>
      <c r="P290" s="6"/>
      <c r="Q290" s="5"/>
      <c r="R290" s="4"/>
      <c r="S290" s="3"/>
      <c r="T290" s="2"/>
    </row>
    <row r="291" spans="4:20" ht="14.25" customHeight="1" x14ac:dyDescent="0.25">
      <c r="D291" s="7"/>
      <c r="F291" s="7"/>
      <c r="N291" s="6"/>
      <c r="O291" s="6"/>
      <c r="P291" s="6"/>
      <c r="Q291" s="5"/>
      <c r="R291" s="4"/>
      <c r="S291" s="3"/>
      <c r="T291" s="2"/>
    </row>
    <row r="292" spans="4:20" ht="14.25" customHeight="1" x14ac:dyDescent="0.25">
      <c r="D292" s="7"/>
      <c r="F292" s="7"/>
      <c r="N292" s="6"/>
      <c r="O292" s="6"/>
      <c r="P292" s="6"/>
      <c r="Q292" s="5"/>
      <c r="R292" s="4"/>
      <c r="S292" s="3"/>
      <c r="T292" s="2"/>
    </row>
    <row r="293" spans="4:20" ht="14.25" customHeight="1" x14ac:dyDescent="0.25">
      <c r="D293" s="7"/>
      <c r="F293" s="7"/>
      <c r="N293" s="6"/>
      <c r="O293" s="6"/>
      <c r="P293" s="6"/>
      <c r="Q293" s="5"/>
      <c r="R293" s="4"/>
      <c r="S293" s="3"/>
      <c r="T293" s="2"/>
    </row>
    <row r="294" spans="4:20" ht="14.25" customHeight="1" x14ac:dyDescent="0.25">
      <c r="D294" s="7"/>
      <c r="F294" s="7"/>
      <c r="N294" s="6"/>
      <c r="O294" s="6"/>
      <c r="P294" s="6"/>
      <c r="Q294" s="5"/>
      <c r="R294" s="4"/>
      <c r="S294" s="3"/>
      <c r="T294" s="2"/>
    </row>
    <row r="295" spans="4:20" ht="14.25" customHeight="1" x14ac:dyDescent="0.25">
      <c r="D295" s="7"/>
      <c r="F295" s="7"/>
      <c r="N295" s="6"/>
      <c r="O295" s="6"/>
      <c r="P295" s="6"/>
      <c r="Q295" s="5"/>
      <c r="R295" s="4"/>
      <c r="S295" s="3"/>
      <c r="T295" s="2"/>
    </row>
    <row r="296" spans="4:20" ht="14.25" customHeight="1" x14ac:dyDescent="0.25">
      <c r="D296" s="7"/>
      <c r="F296" s="7"/>
      <c r="N296" s="6"/>
      <c r="O296" s="6"/>
      <c r="P296" s="6"/>
      <c r="Q296" s="5"/>
      <c r="R296" s="4"/>
      <c r="S296" s="3"/>
      <c r="T296" s="2"/>
    </row>
    <row r="297" spans="4:20" ht="14.25" customHeight="1" x14ac:dyDescent="0.25">
      <c r="D297" s="7"/>
      <c r="F297" s="7"/>
      <c r="N297" s="6"/>
      <c r="O297" s="6"/>
      <c r="P297" s="6"/>
      <c r="Q297" s="5"/>
      <c r="R297" s="4"/>
      <c r="S297" s="3"/>
      <c r="T297" s="2"/>
    </row>
    <row r="298" spans="4:20" ht="14.25" customHeight="1" x14ac:dyDescent="0.25">
      <c r="D298" s="7"/>
      <c r="F298" s="7"/>
      <c r="N298" s="6"/>
      <c r="O298" s="6"/>
      <c r="P298" s="6"/>
      <c r="Q298" s="5"/>
      <c r="R298" s="4"/>
      <c r="S298" s="3"/>
      <c r="T298" s="2"/>
    </row>
    <row r="299" spans="4:20" ht="14.25" customHeight="1" x14ac:dyDescent="0.25">
      <c r="D299" s="7"/>
      <c r="F299" s="7"/>
      <c r="N299" s="6"/>
      <c r="O299" s="6"/>
      <c r="P299" s="6"/>
      <c r="Q299" s="5"/>
      <c r="R299" s="4"/>
      <c r="S299" s="3"/>
      <c r="T299" s="2"/>
    </row>
    <row r="300" spans="4:20" ht="14.25" customHeight="1" x14ac:dyDescent="0.25">
      <c r="D300" s="7"/>
      <c r="F300" s="7"/>
      <c r="N300" s="6"/>
      <c r="O300" s="6"/>
      <c r="P300" s="6"/>
      <c r="Q300" s="5"/>
      <c r="R300" s="4"/>
      <c r="S300" s="3"/>
      <c r="T300" s="2"/>
    </row>
    <row r="301" spans="4:20" ht="14.25" customHeight="1" x14ac:dyDescent="0.25">
      <c r="D301" s="7"/>
      <c r="F301" s="7"/>
      <c r="N301" s="6"/>
      <c r="O301" s="6"/>
      <c r="P301" s="6"/>
      <c r="Q301" s="5"/>
      <c r="R301" s="4"/>
      <c r="S301" s="3"/>
      <c r="T301" s="2"/>
    </row>
    <row r="302" spans="4:20" ht="14.25" customHeight="1" x14ac:dyDescent="0.25">
      <c r="D302" s="7"/>
      <c r="F302" s="7"/>
      <c r="N302" s="6"/>
      <c r="O302" s="6"/>
      <c r="P302" s="6"/>
      <c r="Q302" s="5"/>
      <c r="R302" s="4"/>
      <c r="S302" s="3"/>
      <c r="T302" s="2"/>
    </row>
    <row r="303" spans="4:20" ht="14.25" customHeight="1" x14ac:dyDescent="0.25">
      <c r="D303" s="7"/>
      <c r="F303" s="7"/>
      <c r="N303" s="6"/>
      <c r="O303" s="6"/>
      <c r="P303" s="6"/>
      <c r="Q303" s="5"/>
      <c r="R303" s="4"/>
      <c r="S303" s="3"/>
      <c r="T303" s="2"/>
    </row>
    <row r="304" spans="4:20" ht="14.25" customHeight="1" x14ac:dyDescent="0.25">
      <c r="D304" s="7"/>
      <c r="F304" s="7"/>
      <c r="N304" s="6"/>
      <c r="O304" s="6"/>
      <c r="P304" s="6"/>
      <c r="Q304" s="5"/>
      <c r="R304" s="4"/>
      <c r="S304" s="3"/>
      <c r="T304" s="2"/>
    </row>
    <row r="305" spans="4:20" ht="14.25" customHeight="1" x14ac:dyDescent="0.25">
      <c r="D305" s="7"/>
      <c r="F305" s="7"/>
      <c r="N305" s="6"/>
      <c r="O305" s="6"/>
      <c r="P305" s="6"/>
      <c r="Q305" s="5"/>
      <c r="R305" s="4"/>
      <c r="S305" s="3"/>
      <c r="T305" s="2"/>
    </row>
    <row r="306" spans="4:20" ht="14.25" customHeight="1" x14ac:dyDescent="0.25">
      <c r="D306" s="7"/>
      <c r="F306" s="7"/>
      <c r="N306" s="6"/>
      <c r="O306" s="6"/>
      <c r="P306" s="6"/>
      <c r="Q306" s="5"/>
      <c r="R306" s="4"/>
      <c r="S306" s="3"/>
      <c r="T306" s="2"/>
    </row>
    <row r="307" spans="4:20" ht="14.25" customHeight="1" x14ac:dyDescent="0.25">
      <c r="D307" s="7"/>
      <c r="F307" s="7"/>
      <c r="N307" s="6"/>
      <c r="O307" s="6"/>
      <c r="P307" s="6"/>
      <c r="Q307" s="5"/>
      <c r="R307" s="4"/>
      <c r="S307" s="3"/>
      <c r="T307" s="2"/>
    </row>
    <row r="308" spans="4:20" ht="14.25" customHeight="1" x14ac:dyDescent="0.25">
      <c r="D308" s="7"/>
      <c r="F308" s="7"/>
      <c r="N308" s="6"/>
      <c r="O308" s="6"/>
      <c r="P308" s="6"/>
      <c r="Q308" s="5"/>
      <c r="R308" s="4"/>
      <c r="S308" s="3"/>
      <c r="T308" s="2"/>
    </row>
    <row r="309" spans="4:20" ht="14.25" customHeight="1" x14ac:dyDescent="0.25">
      <c r="D309" s="7"/>
      <c r="F309" s="7"/>
      <c r="N309" s="6"/>
      <c r="O309" s="6"/>
      <c r="P309" s="6"/>
      <c r="Q309" s="5"/>
      <c r="R309" s="4"/>
      <c r="S309" s="3"/>
      <c r="T309" s="2"/>
    </row>
    <row r="310" spans="4:20" ht="15.75" customHeight="1" x14ac:dyDescent="0.25">
      <c r="N310" s="1"/>
      <c r="O310" s="1"/>
      <c r="P310" s="1"/>
    </row>
    <row r="311" spans="4:20" ht="15.75" customHeight="1" x14ac:dyDescent="0.25">
      <c r="N311" s="1"/>
      <c r="O311" s="1"/>
      <c r="P311" s="1"/>
    </row>
    <row r="312" spans="4:20" ht="15.75" customHeight="1" x14ac:dyDescent="0.25">
      <c r="N312" s="1"/>
      <c r="O312" s="1"/>
      <c r="P312" s="1"/>
    </row>
    <row r="313" spans="4:20" ht="15.75" customHeight="1" x14ac:dyDescent="0.25">
      <c r="N313" s="1"/>
      <c r="O313" s="1"/>
      <c r="P313" s="1"/>
    </row>
    <row r="314" spans="4:20" ht="15.75" customHeight="1" x14ac:dyDescent="0.25">
      <c r="N314" s="1"/>
      <c r="O314" s="1"/>
      <c r="P314" s="1"/>
    </row>
    <row r="315" spans="4:20" ht="15.75" customHeight="1" x14ac:dyDescent="0.25">
      <c r="N315" s="1"/>
      <c r="O315" s="1"/>
      <c r="P315" s="1"/>
    </row>
    <row r="316" spans="4:20" ht="15.75" customHeight="1" x14ac:dyDescent="0.25">
      <c r="N316" s="1"/>
      <c r="O316" s="1"/>
      <c r="P316" s="1"/>
    </row>
    <row r="317" spans="4:20" ht="15.75" customHeight="1" x14ac:dyDescent="0.25">
      <c r="N317" s="1"/>
      <c r="O317" s="1"/>
      <c r="P317" s="1"/>
    </row>
    <row r="318" spans="4:20" ht="15.75" customHeight="1" x14ac:dyDescent="0.25">
      <c r="N318" s="1"/>
      <c r="O318" s="1"/>
      <c r="P318" s="1"/>
    </row>
    <row r="319" spans="4:20" ht="15.75" customHeight="1" x14ac:dyDescent="0.25">
      <c r="N319" s="1"/>
      <c r="O319" s="1"/>
      <c r="P319" s="1"/>
    </row>
    <row r="320" spans="4:20" ht="15.75" customHeight="1" x14ac:dyDescent="0.25">
      <c r="N320" s="1"/>
      <c r="O320" s="1"/>
      <c r="P320" s="1"/>
    </row>
    <row r="321" spans="14:16" ht="15.75" customHeight="1" x14ac:dyDescent="0.25">
      <c r="N321" s="1"/>
      <c r="O321" s="1"/>
      <c r="P321" s="1"/>
    </row>
    <row r="322" spans="14:16" ht="15.75" customHeight="1" x14ac:dyDescent="0.25">
      <c r="N322" s="1"/>
      <c r="O322" s="1"/>
      <c r="P322" s="1"/>
    </row>
    <row r="323" spans="14:16" ht="15.75" customHeight="1" x14ac:dyDescent="0.25">
      <c r="N323" s="1"/>
      <c r="O323" s="1"/>
      <c r="P323" s="1"/>
    </row>
    <row r="324" spans="14:16" ht="15.75" customHeight="1" x14ac:dyDescent="0.25">
      <c r="N324" s="1"/>
      <c r="O324" s="1"/>
      <c r="P324" s="1"/>
    </row>
    <row r="325" spans="14:16" ht="15.75" customHeight="1" x14ac:dyDescent="0.25">
      <c r="N325" s="1"/>
      <c r="O325" s="1"/>
      <c r="P325" s="1"/>
    </row>
    <row r="326" spans="14:16" ht="15.75" customHeight="1" x14ac:dyDescent="0.25">
      <c r="N326" s="1"/>
      <c r="O326" s="1"/>
      <c r="P326" s="1"/>
    </row>
    <row r="327" spans="14:16" ht="15.75" customHeight="1" x14ac:dyDescent="0.25">
      <c r="N327" s="1"/>
      <c r="O327" s="1"/>
      <c r="P327" s="1"/>
    </row>
    <row r="328" spans="14:16" ht="15.75" customHeight="1" x14ac:dyDescent="0.25">
      <c r="N328" s="1"/>
      <c r="O328" s="1"/>
      <c r="P328" s="1"/>
    </row>
    <row r="329" spans="14:16" ht="15.75" customHeight="1" x14ac:dyDescent="0.25">
      <c r="N329" s="1"/>
      <c r="O329" s="1"/>
      <c r="P329" s="1"/>
    </row>
    <row r="330" spans="14:16" ht="15.75" customHeight="1" x14ac:dyDescent="0.25">
      <c r="N330" s="1"/>
      <c r="O330" s="1"/>
      <c r="P330" s="1"/>
    </row>
    <row r="331" spans="14:16" ht="15.75" customHeight="1" x14ac:dyDescent="0.25">
      <c r="N331" s="1"/>
      <c r="O331" s="1"/>
      <c r="P331" s="1"/>
    </row>
    <row r="332" spans="14:16" ht="15.75" customHeight="1" x14ac:dyDescent="0.25">
      <c r="N332" s="1"/>
      <c r="O332" s="1"/>
      <c r="P332" s="1"/>
    </row>
    <row r="333" spans="14:16" ht="15.75" customHeight="1" x14ac:dyDescent="0.25">
      <c r="N333" s="1"/>
      <c r="O333" s="1"/>
      <c r="P333" s="1"/>
    </row>
    <row r="334" spans="14:16" ht="15.75" customHeight="1" x14ac:dyDescent="0.25">
      <c r="N334" s="1"/>
      <c r="O334" s="1"/>
      <c r="P334" s="1"/>
    </row>
    <row r="335" spans="14:16" ht="15.75" customHeight="1" x14ac:dyDescent="0.25">
      <c r="N335" s="1"/>
      <c r="O335" s="1"/>
      <c r="P335" s="1"/>
    </row>
    <row r="336" spans="14:16" ht="15.75" customHeight="1" x14ac:dyDescent="0.25">
      <c r="N336" s="1"/>
      <c r="O336" s="1"/>
      <c r="P336" s="1"/>
    </row>
    <row r="337" spans="14:16" ht="15.75" customHeight="1" x14ac:dyDescent="0.25">
      <c r="N337" s="1"/>
      <c r="O337" s="1"/>
      <c r="P337" s="1"/>
    </row>
    <row r="338" spans="14:16" ht="15.75" customHeight="1" x14ac:dyDescent="0.25">
      <c r="N338" s="1"/>
      <c r="O338" s="1"/>
      <c r="P338" s="1"/>
    </row>
    <row r="339" spans="14:16" ht="15.75" customHeight="1" x14ac:dyDescent="0.25">
      <c r="N339" s="1"/>
      <c r="O339" s="1"/>
      <c r="P339" s="1"/>
    </row>
    <row r="340" spans="14:16" ht="15.75" customHeight="1" x14ac:dyDescent="0.25">
      <c r="N340" s="1"/>
      <c r="O340" s="1"/>
      <c r="P340" s="1"/>
    </row>
    <row r="341" spans="14:16" ht="15.75" customHeight="1" x14ac:dyDescent="0.25">
      <c r="N341" s="1"/>
      <c r="O341" s="1"/>
      <c r="P341" s="1"/>
    </row>
    <row r="342" spans="14:16" ht="15.75" customHeight="1" x14ac:dyDescent="0.25">
      <c r="N342" s="1"/>
      <c r="O342" s="1"/>
      <c r="P342" s="1"/>
    </row>
    <row r="343" spans="14:16" ht="15.75" customHeight="1" x14ac:dyDescent="0.25">
      <c r="N343" s="1"/>
      <c r="O343" s="1"/>
      <c r="P343" s="1"/>
    </row>
    <row r="344" spans="14:16" ht="15.75" customHeight="1" x14ac:dyDescent="0.25">
      <c r="N344" s="1"/>
      <c r="O344" s="1"/>
      <c r="P344" s="1"/>
    </row>
    <row r="345" spans="14:16" ht="15.75" customHeight="1" x14ac:dyDescent="0.25">
      <c r="N345" s="1"/>
      <c r="O345" s="1"/>
      <c r="P345" s="1"/>
    </row>
    <row r="346" spans="14:16" ht="15.75" customHeight="1" x14ac:dyDescent="0.25">
      <c r="N346" s="1"/>
      <c r="O346" s="1"/>
      <c r="P346" s="1"/>
    </row>
    <row r="347" spans="14:16" ht="15.75" customHeight="1" x14ac:dyDescent="0.25">
      <c r="N347" s="1"/>
      <c r="O347" s="1"/>
      <c r="P347" s="1"/>
    </row>
    <row r="348" spans="14:16" ht="15.75" customHeight="1" x14ac:dyDescent="0.25">
      <c r="N348" s="1"/>
      <c r="O348" s="1"/>
      <c r="P348" s="1"/>
    </row>
    <row r="349" spans="14:16" ht="15.75" customHeight="1" x14ac:dyDescent="0.25">
      <c r="N349" s="1"/>
      <c r="O349" s="1"/>
      <c r="P349" s="1"/>
    </row>
    <row r="350" spans="14:16" ht="15.75" customHeight="1" x14ac:dyDescent="0.25">
      <c r="N350" s="1"/>
      <c r="O350" s="1"/>
      <c r="P350" s="1"/>
    </row>
    <row r="351" spans="14:16" ht="15.75" customHeight="1" x14ac:dyDescent="0.25">
      <c r="N351" s="1"/>
      <c r="O351" s="1"/>
      <c r="P351" s="1"/>
    </row>
    <row r="352" spans="14:16" ht="15.75" customHeight="1" x14ac:dyDescent="0.25">
      <c r="N352" s="1"/>
      <c r="O352" s="1"/>
      <c r="P352" s="1"/>
    </row>
    <row r="353" spans="14:16" ht="15.75" customHeight="1" x14ac:dyDescent="0.25">
      <c r="N353" s="1"/>
      <c r="O353" s="1"/>
      <c r="P353" s="1"/>
    </row>
    <row r="354" spans="14:16" ht="15.75" customHeight="1" x14ac:dyDescent="0.25">
      <c r="N354" s="1"/>
      <c r="O354" s="1"/>
      <c r="P354" s="1"/>
    </row>
    <row r="355" spans="14:16" ht="15.75" customHeight="1" x14ac:dyDescent="0.25">
      <c r="N355" s="1"/>
      <c r="O355" s="1"/>
      <c r="P355" s="1"/>
    </row>
    <row r="356" spans="14:16" ht="15.75" customHeight="1" x14ac:dyDescent="0.25">
      <c r="N356" s="1"/>
      <c r="O356" s="1"/>
      <c r="P356" s="1"/>
    </row>
    <row r="357" spans="14:16" ht="15.75" customHeight="1" x14ac:dyDescent="0.25">
      <c r="N357" s="1"/>
      <c r="O357" s="1"/>
      <c r="P357" s="1"/>
    </row>
    <row r="358" spans="14:16" ht="15.75" customHeight="1" x14ac:dyDescent="0.25">
      <c r="N358" s="1"/>
      <c r="O358" s="1"/>
      <c r="P358" s="1"/>
    </row>
    <row r="359" spans="14:16" ht="15.75" customHeight="1" x14ac:dyDescent="0.25">
      <c r="N359" s="1"/>
      <c r="O359" s="1"/>
      <c r="P359" s="1"/>
    </row>
    <row r="360" spans="14:16" ht="15.75" customHeight="1" x14ac:dyDescent="0.25">
      <c r="N360" s="1"/>
      <c r="O360" s="1"/>
      <c r="P360" s="1"/>
    </row>
    <row r="361" spans="14:16" ht="15.75" customHeight="1" x14ac:dyDescent="0.25">
      <c r="N361" s="1"/>
      <c r="O361" s="1"/>
      <c r="P361" s="1"/>
    </row>
    <row r="362" spans="14:16" ht="15.75" customHeight="1" x14ac:dyDescent="0.25">
      <c r="N362" s="1"/>
      <c r="O362" s="1"/>
      <c r="P362" s="1"/>
    </row>
    <row r="363" spans="14:16" ht="15.75" customHeight="1" x14ac:dyDescent="0.25">
      <c r="N363" s="1"/>
      <c r="O363" s="1"/>
      <c r="P363" s="1"/>
    </row>
    <row r="364" spans="14:16" ht="15.75" customHeight="1" x14ac:dyDescent="0.25">
      <c r="N364" s="1"/>
      <c r="O364" s="1"/>
      <c r="P364" s="1"/>
    </row>
    <row r="365" spans="14:16" ht="15.75" customHeight="1" x14ac:dyDescent="0.25">
      <c r="N365" s="1"/>
      <c r="O365" s="1"/>
      <c r="P365" s="1"/>
    </row>
    <row r="366" spans="14:16" ht="15.75" customHeight="1" x14ac:dyDescent="0.25">
      <c r="N366" s="1"/>
      <c r="O366" s="1"/>
      <c r="P366" s="1"/>
    </row>
    <row r="367" spans="14:16" ht="15.75" customHeight="1" x14ac:dyDescent="0.25">
      <c r="N367" s="1"/>
      <c r="O367" s="1"/>
      <c r="P367" s="1"/>
    </row>
    <row r="368" spans="14:16" ht="15.75" customHeight="1" x14ac:dyDescent="0.25">
      <c r="N368" s="1"/>
      <c r="O368" s="1"/>
      <c r="P368" s="1"/>
    </row>
    <row r="369" spans="14:16" ht="15.75" customHeight="1" x14ac:dyDescent="0.25">
      <c r="N369" s="1"/>
      <c r="O369" s="1"/>
      <c r="P369" s="1"/>
    </row>
    <row r="370" spans="14:16" ht="15.75" customHeight="1" x14ac:dyDescent="0.25">
      <c r="N370" s="1"/>
      <c r="O370" s="1"/>
      <c r="P370" s="1"/>
    </row>
    <row r="371" spans="14:16" ht="15.75" customHeight="1" x14ac:dyDescent="0.25">
      <c r="N371" s="1"/>
      <c r="O371" s="1"/>
      <c r="P371" s="1"/>
    </row>
    <row r="372" spans="14:16" ht="15.75" customHeight="1" x14ac:dyDescent="0.25">
      <c r="N372" s="1"/>
      <c r="O372" s="1"/>
      <c r="P372" s="1"/>
    </row>
    <row r="373" spans="14:16" ht="15.75" customHeight="1" x14ac:dyDescent="0.25">
      <c r="N373" s="1"/>
      <c r="O373" s="1"/>
      <c r="P373" s="1"/>
    </row>
    <row r="374" spans="14:16" ht="15.75" customHeight="1" x14ac:dyDescent="0.25">
      <c r="N374" s="1"/>
      <c r="O374" s="1"/>
      <c r="P374" s="1"/>
    </row>
    <row r="375" spans="14:16" ht="15.75" customHeight="1" x14ac:dyDescent="0.25">
      <c r="N375" s="1"/>
      <c r="O375" s="1"/>
      <c r="P375" s="1"/>
    </row>
    <row r="376" spans="14:16" ht="15.75" customHeight="1" x14ac:dyDescent="0.25">
      <c r="N376" s="1"/>
      <c r="O376" s="1"/>
      <c r="P376" s="1"/>
    </row>
    <row r="377" spans="14:16" ht="15.75" customHeight="1" x14ac:dyDescent="0.25">
      <c r="N377" s="1"/>
      <c r="O377" s="1"/>
      <c r="P377" s="1"/>
    </row>
    <row r="378" spans="14:16" ht="15.75" customHeight="1" x14ac:dyDescent="0.25">
      <c r="N378" s="1"/>
      <c r="O378" s="1"/>
      <c r="P378" s="1"/>
    </row>
    <row r="379" spans="14:16" ht="15.75" customHeight="1" x14ac:dyDescent="0.25">
      <c r="N379" s="1"/>
      <c r="O379" s="1"/>
      <c r="P379" s="1"/>
    </row>
    <row r="380" spans="14:16" ht="15.75" customHeight="1" x14ac:dyDescent="0.25">
      <c r="N380" s="1"/>
      <c r="O380" s="1"/>
      <c r="P380" s="1"/>
    </row>
    <row r="381" spans="14:16" ht="15.75" customHeight="1" x14ac:dyDescent="0.25">
      <c r="N381" s="1"/>
      <c r="O381" s="1"/>
      <c r="P381" s="1"/>
    </row>
    <row r="382" spans="14:16" ht="15.75" customHeight="1" x14ac:dyDescent="0.25">
      <c r="N382" s="1"/>
      <c r="O382" s="1"/>
      <c r="P382" s="1"/>
    </row>
    <row r="383" spans="14:16" ht="15.75" customHeight="1" x14ac:dyDescent="0.25">
      <c r="N383" s="1"/>
      <c r="O383" s="1"/>
      <c r="P383" s="1"/>
    </row>
    <row r="384" spans="14:16" ht="15.75" customHeight="1" x14ac:dyDescent="0.25">
      <c r="N384" s="1"/>
      <c r="O384" s="1"/>
      <c r="P384" s="1"/>
    </row>
    <row r="385" spans="14:16" ht="15.75" customHeight="1" x14ac:dyDescent="0.25">
      <c r="N385" s="1"/>
      <c r="O385" s="1"/>
      <c r="P385" s="1"/>
    </row>
    <row r="386" spans="14:16" ht="15.75" customHeight="1" x14ac:dyDescent="0.25">
      <c r="N386" s="1"/>
      <c r="O386" s="1"/>
      <c r="P386" s="1"/>
    </row>
    <row r="387" spans="14:16" ht="15.75" customHeight="1" x14ac:dyDescent="0.25">
      <c r="N387" s="1"/>
      <c r="O387" s="1"/>
      <c r="P387" s="1"/>
    </row>
    <row r="388" spans="14:16" ht="15.75" customHeight="1" x14ac:dyDescent="0.25">
      <c r="N388" s="1"/>
      <c r="O388" s="1"/>
      <c r="P388" s="1"/>
    </row>
    <row r="389" spans="14:16" ht="15.75" customHeight="1" x14ac:dyDescent="0.25">
      <c r="N389" s="1"/>
      <c r="O389" s="1"/>
      <c r="P389" s="1"/>
    </row>
    <row r="390" spans="14:16" ht="15.75" customHeight="1" x14ac:dyDescent="0.25">
      <c r="N390" s="1"/>
      <c r="O390" s="1"/>
      <c r="P390" s="1"/>
    </row>
    <row r="391" spans="14:16" ht="15.75" customHeight="1" x14ac:dyDescent="0.25">
      <c r="N391" s="1"/>
      <c r="O391" s="1"/>
      <c r="P391" s="1"/>
    </row>
    <row r="392" spans="14:16" ht="15.75" customHeight="1" x14ac:dyDescent="0.25">
      <c r="N392" s="1"/>
      <c r="O392" s="1"/>
      <c r="P392" s="1"/>
    </row>
    <row r="393" spans="14:16" ht="15.75" customHeight="1" x14ac:dyDescent="0.25">
      <c r="N393" s="1"/>
      <c r="O393" s="1"/>
      <c r="P393" s="1"/>
    </row>
    <row r="394" spans="14:16" ht="15.75" customHeight="1" x14ac:dyDescent="0.25">
      <c r="N394" s="1"/>
      <c r="O394" s="1"/>
      <c r="P394" s="1"/>
    </row>
    <row r="395" spans="14:16" ht="15.75" customHeight="1" x14ac:dyDescent="0.25">
      <c r="N395" s="1"/>
      <c r="O395" s="1"/>
      <c r="P395" s="1"/>
    </row>
    <row r="396" spans="14:16" ht="15.75" customHeight="1" x14ac:dyDescent="0.25">
      <c r="N396" s="1"/>
      <c r="O396" s="1"/>
      <c r="P396" s="1"/>
    </row>
    <row r="397" spans="14:16" ht="15.75" customHeight="1" x14ac:dyDescent="0.25">
      <c r="N397" s="1"/>
      <c r="O397" s="1"/>
      <c r="P397" s="1"/>
    </row>
    <row r="398" spans="14:16" ht="15.75" customHeight="1" x14ac:dyDescent="0.25">
      <c r="N398" s="1"/>
      <c r="O398" s="1"/>
      <c r="P398" s="1"/>
    </row>
    <row r="399" spans="14:16" ht="15.75" customHeight="1" x14ac:dyDescent="0.25">
      <c r="N399" s="1"/>
      <c r="O399" s="1"/>
      <c r="P399" s="1"/>
    </row>
    <row r="400" spans="14:16" ht="15.75" customHeight="1" x14ac:dyDescent="0.25">
      <c r="N400" s="1"/>
      <c r="O400" s="1"/>
      <c r="P400" s="1"/>
    </row>
    <row r="401" spans="14:16" ht="15.75" customHeight="1" x14ac:dyDescent="0.25">
      <c r="N401" s="1"/>
      <c r="O401" s="1"/>
      <c r="P401" s="1"/>
    </row>
    <row r="402" spans="14:16" ht="15.75" customHeight="1" x14ac:dyDescent="0.25">
      <c r="N402" s="1"/>
      <c r="O402" s="1"/>
      <c r="P402" s="1"/>
    </row>
    <row r="403" spans="14:16" ht="15.75" customHeight="1" x14ac:dyDescent="0.25">
      <c r="N403" s="1"/>
      <c r="O403" s="1"/>
      <c r="P403" s="1"/>
    </row>
    <row r="404" spans="14:16" ht="15.75" customHeight="1" x14ac:dyDescent="0.25">
      <c r="N404" s="1"/>
      <c r="O404" s="1"/>
      <c r="P404" s="1"/>
    </row>
    <row r="405" spans="14:16" ht="15.75" customHeight="1" x14ac:dyDescent="0.25">
      <c r="N405" s="1"/>
      <c r="O405" s="1"/>
      <c r="P405" s="1"/>
    </row>
    <row r="406" spans="14:16" ht="15.75" customHeight="1" x14ac:dyDescent="0.25">
      <c r="N406" s="1"/>
      <c r="O406" s="1"/>
      <c r="P406" s="1"/>
    </row>
    <row r="407" spans="14:16" ht="15.75" customHeight="1" x14ac:dyDescent="0.25">
      <c r="N407" s="1"/>
      <c r="O407" s="1"/>
      <c r="P407" s="1"/>
    </row>
    <row r="408" spans="14:16" ht="15.75" customHeight="1" x14ac:dyDescent="0.25">
      <c r="N408" s="1"/>
      <c r="O408" s="1"/>
      <c r="P408" s="1"/>
    </row>
    <row r="409" spans="14:16" ht="15.75" customHeight="1" x14ac:dyDescent="0.25">
      <c r="N409" s="1"/>
      <c r="O409" s="1"/>
      <c r="P409" s="1"/>
    </row>
    <row r="410" spans="14:16" ht="15.75" customHeight="1" x14ac:dyDescent="0.25">
      <c r="N410" s="1"/>
      <c r="O410" s="1"/>
      <c r="P410" s="1"/>
    </row>
    <row r="411" spans="14:16" ht="15.75" customHeight="1" x14ac:dyDescent="0.25">
      <c r="N411" s="1"/>
      <c r="O411" s="1"/>
      <c r="P411" s="1"/>
    </row>
    <row r="412" spans="14:16" ht="15.75" customHeight="1" x14ac:dyDescent="0.25">
      <c r="N412" s="1"/>
      <c r="O412" s="1"/>
      <c r="P412" s="1"/>
    </row>
    <row r="413" spans="14:16" ht="15.75" customHeight="1" x14ac:dyDescent="0.25">
      <c r="N413" s="1"/>
      <c r="O413" s="1"/>
      <c r="P413" s="1"/>
    </row>
    <row r="414" spans="14:16" ht="15.75" customHeight="1" x14ac:dyDescent="0.25">
      <c r="N414" s="1"/>
      <c r="O414" s="1"/>
      <c r="P414" s="1"/>
    </row>
    <row r="415" spans="14:16" ht="15.75" customHeight="1" x14ac:dyDescent="0.25">
      <c r="N415" s="1"/>
      <c r="O415" s="1"/>
      <c r="P415" s="1"/>
    </row>
    <row r="416" spans="14:16" ht="15.75" customHeight="1" x14ac:dyDescent="0.25">
      <c r="N416" s="1"/>
      <c r="O416" s="1"/>
      <c r="P416" s="1"/>
    </row>
    <row r="417" spans="14:16" ht="15.75" customHeight="1" x14ac:dyDescent="0.25">
      <c r="N417" s="1"/>
      <c r="O417" s="1"/>
      <c r="P417" s="1"/>
    </row>
    <row r="418" spans="14:16" ht="15.75" customHeight="1" x14ac:dyDescent="0.25">
      <c r="N418" s="1"/>
      <c r="O418" s="1"/>
      <c r="P418" s="1"/>
    </row>
    <row r="419" spans="14:16" ht="15.75" customHeight="1" x14ac:dyDescent="0.25">
      <c r="N419" s="1"/>
      <c r="O419" s="1"/>
      <c r="P419" s="1"/>
    </row>
    <row r="420" spans="14:16" ht="15.75" customHeight="1" x14ac:dyDescent="0.25">
      <c r="N420" s="1"/>
      <c r="O420" s="1"/>
      <c r="P420" s="1"/>
    </row>
    <row r="421" spans="14:16" ht="15.75" customHeight="1" x14ac:dyDescent="0.25">
      <c r="N421" s="1"/>
      <c r="O421" s="1"/>
      <c r="P421" s="1"/>
    </row>
    <row r="422" spans="14:16" ht="15.75" customHeight="1" x14ac:dyDescent="0.25">
      <c r="N422" s="1"/>
      <c r="O422" s="1"/>
      <c r="P422" s="1"/>
    </row>
    <row r="423" spans="14:16" ht="15.75" customHeight="1" x14ac:dyDescent="0.25">
      <c r="N423" s="1"/>
      <c r="O423" s="1"/>
      <c r="P423" s="1"/>
    </row>
    <row r="424" spans="14:16" ht="15.75" customHeight="1" x14ac:dyDescent="0.25">
      <c r="N424" s="1"/>
      <c r="O424" s="1"/>
      <c r="P424" s="1"/>
    </row>
    <row r="425" spans="14:16" ht="15.75" customHeight="1" x14ac:dyDescent="0.25">
      <c r="N425" s="1"/>
      <c r="O425" s="1"/>
      <c r="P425" s="1"/>
    </row>
    <row r="426" spans="14:16" ht="15.75" customHeight="1" x14ac:dyDescent="0.25">
      <c r="N426" s="1"/>
      <c r="O426" s="1"/>
      <c r="P426" s="1"/>
    </row>
    <row r="427" spans="14:16" ht="15.75" customHeight="1" x14ac:dyDescent="0.25">
      <c r="N427" s="1"/>
      <c r="O427" s="1"/>
      <c r="P427" s="1"/>
    </row>
    <row r="428" spans="14:16" ht="15.75" customHeight="1" x14ac:dyDescent="0.25">
      <c r="N428" s="1"/>
      <c r="O428" s="1"/>
      <c r="P428" s="1"/>
    </row>
    <row r="429" spans="14:16" ht="15.75" customHeight="1" x14ac:dyDescent="0.25">
      <c r="N429" s="1"/>
      <c r="O429" s="1"/>
      <c r="P429" s="1"/>
    </row>
    <row r="430" spans="14:16" ht="15.75" customHeight="1" x14ac:dyDescent="0.25">
      <c r="N430" s="1"/>
      <c r="O430" s="1"/>
      <c r="P430" s="1"/>
    </row>
    <row r="431" spans="14:16" ht="15.75" customHeight="1" x14ac:dyDescent="0.25">
      <c r="N431" s="1"/>
      <c r="O431" s="1"/>
      <c r="P431" s="1"/>
    </row>
    <row r="432" spans="14:16" ht="15.75" customHeight="1" x14ac:dyDescent="0.25">
      <c r="N432" s="1"/>
      <c r="O432" s="1"/>
      <c r="P432" s="1"/>
    </row>
    <row r="433" spans="14:16" ht="15.75" customHeight="1" x14ac:dyDescent="0.25">
      <c r="N433" s="1"/>
      <c r="O433" s="1"/>
      <c r="P433" s="1"/>
    </row>
    <row r="434" spans="14:16" ht="15.75" customHeight="1" x14ac:dyDescent="0.25">
      <c r="N434" s="1"/>
      <c r="O434" s="1"/>
      <c r="P434" s="1"/>
    </row>
    <row r="435" spans="14:16" ht="15.75" customHeight="1" x14ac:dyDescent="0.25">
      <c r="N435" s="1"/>
      <c r="O435" s="1"/>
      <c r="P435" s="1"/>
    </row>
    <row r="436" spans="14:16" ht="15.75" customHeight="1" x14ac:dyDescent="0.25">
      <c r="N436" s="1"/>
      <c r="O436" s="1"/>
      <c r="P436" s="1"/>
    </row>
    <row r="437" spans="14:16" ht="15.75" customHeight="1" x14ac:dyDescent="0.25">
      <c r="N437" s="1"/>
      <c r="O437" s="1"/>
      <c r="P437" s="1"/>
    </row>
    <row r="438" spans="14:16" ht="15.75" customHeight="1" x14ac:dyDescent="0.25">
      <c r="N438" s="1"/>
      <c r="O438" s="1"/>
      <c r="P438" s="1"/>
    </row>
    <row r="439" spans="14:16" ht="15.75" customHeight="1" x14ac:dyDescent="0.25">
      <c r="N439" s="1"/>
      <c r="O439" s="1"/>
      <c r="P439" s="1"/>
    </row>
    <row r="440" spans="14:16" ht="15.75" customHeight="1" x14ac:dyDescent="0.25">
      <c r="N440" s="1"/>
      <c r="O440" s="1"/>
      <c r="P440" s="1"/>
    </row>
    <row r="441" spans="14:16" ht="15.75" customHeight="1" x14ac:dyDescent="0.25">
      <c r="N441" s="1"/>
      <c r="O441" s="1"/>
      <c r="P441" s="1"/>
    </row>
    <row r="442" spans="14:16" ht="15.75" customHeight="1" x14ac:dyDescent="0.25">
      <c r="N442" s="1"/>
      <c r="O442" s="1"/>
      <c r="P442" s="1"/>
    </row>
    <row r="443" spans="14:16" ht="15.75" customHeight="1" x14ac:dyDescent="0.25">
      <c r="N443" s="1"/>
      <c r="O443" s="1"/>
      <c r="P443" s="1"/>
    </row>
    <row r="444" spans="14:16" ht="15.75" customHeight="1" x14ac:dyDescent="0.25">
      <c r="N444" s="1"/>
      <c r="O444" s="1"/>
      <c r="P444" s="1"/>
    </row>
    <row r="445" spans="14:16" ht="15.75" customHeight="1" x14ac:dyDescent="0.25">
      <c r="N445" s="1"/>
      <c r="O445" s="1"/>
      <c r="P445" s="1"/>
    </row>
    <row r="446" spans="14:16" ht="15.75" customHeight="1" x14ac:dyDescent="0.25">
      <c r="N446" s="1"/>
      <c r="O446" s="1"/>
      <c r="P446" s="1"/>
    </row>
    <row r="447" spans="14:16" ht="15.75" customHeight="1" x14ac:dyDescent="0.25">
      <c r="N447" s="1"/>
      <c r="O447" s="1"/>
      <c r="P447" s="1"/>
    </row>
    <row r="448" spans="14:16" ht="15.75" customHeight="1" x14ac:dyDescent="0.25">
      <c r="N448" s="1"/>
      <c r="O448" s="1"/>
      <c r="P448" s="1"/>
    </row>
    <row r="449" spans="14:16" ht="15.75" customHeight="1" x14ac:dyDescent="0.25">
      <c r="N449" s="1"/>
      <c r="O449" s="1"/>
      <c r="P449" s="1"/>
    </row>
    <row r="450" spans="14:16" ht="15.75" customHeight="1" x14ac:dyDescent="0.25">
      <c r="N450" s="1"/>
      <c r="O450" s="1"/>
      <c r="P450" s="1"/>
    </row>
    <row r="451" spans="14:16" ht="15.75" customHeight="1" x14ac:dyDescent="0.25">
      <c r="N451" s="1"/>
      <c r="O451" s="1"/>
      <c r="P451" s="1"/>
    </row>
    <row r="452" spans="14:16" ht="15.75" customHeight="1" x14ac:dyDescent="0.25">
      <c r="N452" s="1"/>
      <c r="O452" s="1"/>
      <c r="P452" s="1"/>
    </row>
    <row r="453" spans="14:16" ht="15.75" customHeight="1" x14ac:dyDescent="0.25">
      <c r="N453" s="1"/>
      <c r="O453" s="1"/>
      <c r="P453" s="1"/>
    </row>
    <row r="454" spans="14:16" ht="15.75" customHeight="1" x14ac:dyDescent="0.25">
      <c r="N454" s="1"/>
      <c r="O454" s="1"/>
      <c r="P454" s="1"/>
    </row>
    <row r="455" spans="14:16" ht="15.75" customHeight="1" x14ac:dyDescent="0.25">
      <c r="N455" s="1"/>
      <c r="O455" s="1"/>
      <c r="P455" s="1"/>
    </row>
    <row r="456" spans="14:16" ht="15.75" customHeight="1" x14ac:dyDescent="0.25">
      <c r="N456" s="1"/>
      <c r="O456" s="1"/>
      <c r="P456" s="1"/>
    </row>
    <row r="457" spans="14:16" ht="15.75" customHeight="1" x14ac:dyDescent="0.25">
      <c r="N457" s="1"/>
      <c r="O457" s="1"/>
      <c r="P457" s="1"/>
    </row>
    <row r="458" spans="14:16" ht="15.75" customHeight="1" x14ac:dyDescent="0.25">
      <c r="N458" s="1"/>
      <c r="O458" s="1"/>
      <c r="P458" s="1"/>
    </row>
    <row r="459" spans="14:16" ht="15.75" customHeight="1" x14ac:dyDescent="0.25">
      <c r="N459" s="1"/>
      <c r="O459" s="1"/>
      <c r="P459" s="1"/>
    </row>
    <row r="460" spans="14:16" ht="15.75" customHeight="1" x14ac:dyDescent="0.25">
      <c r="N460" s="1"/>
      <c r="O460" s="1"/>
      <c r="P460" s="1"/>
    </row>
    <row r="461" spans="14:16" ht="15.75" customHeight="1" x14ac:dyDescent="0.25">
      <c r="N461" s="1"/>
      <c r="O461" s="1"/>
      <c r="P461" s="1"/>
    </row>
    <row r="462" spans="14:16" ht="15.75" customHeight="1" x14ac:dyDescent="0.25">
      <c r="N462" s="1"/>
      <c r="O462" s="1"/>
      <c r="P462" s="1"/>
    </row>
    <row r="463" spans="14:16" ht="15.75" customHeight="1" x14ac:dyDescent="0.25">
      <c r="N463" s="1"/>
      <c r="O463" s="1"/>
      <c r="P463" s="1"/>
    </row>
    <row r="464" spans="14:16" ht="15.75" customHeight="1" x14ac:dyDescent="0.25">
      <c r="N464" s="1"/>
      <c r="O464" s="1"/>
      <c r="P464" s="1"/>
    </row>
    <row r="465" spans="14:16" ht="15.75" customHeight="1" x14ac:dyDescent="0.25">
      <c r="N465" s="1"/>
      <c r="O465" s="1"/>
      <c r="P465" s="1"/>
    </row>
    <row r="466" spans="14:16" ht="15.75" customHeight="1" x14ac:dyDescent="0.25">
      <c r="N466" s="1"/>
      <c r="O466" s="1"/>
      <c r="P466" s="1"/>
    </row>
    <row r="467" spans="14:16" ht="15.75" customHeight="1" x14ac:dyDescent="0.25">
      <c r="N467" s="1"/>
      <c r="O467" s="1"/>
      <c r="P467" s="1"/>
    </row>
    <row r="468" spans="14:16" ht="15.75" customHeight="1" x14ac:dyDescent="0.25">
      <c r="N468" s="1"/>
      <c r="O468" s="1"/>
      <c r="P468" s="1"/>
    </row>
    <row r="469" spans="14:16" ht="15.75" customHeight="1" x14ac:dyDescent="0.25">
      <c r="N469" s="1"/>
      <c r="O469" s="1"/>
      <c r="P469" s="1"/>
    </row>
    <row r="470" spans="14:16" ht="15.75" customHeight="1" x14ac:dyDescent="0.25">
      <c r="N470" s="1"/>
      <c r="O470" s="1"/>
      <c r="P470" s="1"/>
    </row>
    <row r="471" spans="14:16" ht="15.75" customHeight="1" x14ac:dyDescent="0.25">
      <c r="N471" s="1"/>
      <c r="O471" s="1"/>
      <c r="P471" s="1"/>
    </row>
    <row r="472" spans="14:16" ht="15.75" customHeight="1" x14ac:dyDescent="0.25">
      <c r="N472" s="1"/>
      <c r="O472" s="1"/>
      <c r="P472" s="1"/>
    </row>
    <row r="473" spans="14:16" ht="15.75" customHeight="1" x14ac:dyDescent="0.25">
      <c r="N473" s="1"/>
      <c r="O473" s="1"/>
      <c r="P473" s="1"/>
    </row>
    <row r="474" spans="14:16" ht="15.75" customHeight="1" x14ac:dyDescent="0.25">
      <c r="N474" s="1"/>
      <c r="O474" s="1"/>
      <c r="P474" s="1"/>
    </row>
    <row r="475" spans="14:16" ht="15.75" customHeight="1" x14ac:dyDescent="0.25">
      <c r="N475" s="1"/>
      <c r="O475" s="1"/>
      <c r="P475" s="1"/>
    </row>
    <row r="476" spans="14:16" ht="15.75" customHeight="1" x14ac:dyDescent="0.25">
      <c r="N476" s="1"/>
      <c r="O476" s="1"/>
      <c r="P476" s="1"/>
    </row>
    <row r="477" spans="14:16" ht="15.75" customHeight="1" x14ac:dyDescent="0.25">
      <c r="N477" s="1"/>
      <c r="O477" s="1"/>
      <c r="P477" s="1"/>
    </row>
    <row r="478" spans="14:16" ht="15.75" customHeight="1" x14ac:dyDescent="0.25">
      <c r="N478" s="1"/>
      <c r="O478" s="1"/>
      <c r="P478" s="1"/>
    </row>
    <row r="479" spans="14:16" ht="15.75" customHeight="1" x14ac:dyDescent="0.25">
      <c r="N479" s="1"/>
      <c r="O479" s="1"/>
      <c r="P479" s="1"/>
    </row>
    <row r="480" spans="14:16" ht="15.75" customHeight="1" x14ac:dyDescent="0.25">
      <c r="N480" s="1"/>
      <c r="O480" s="1"/>
      <c r="P480" s="1"/>
    </row>
    <row r="481" spans="14:16" ht="15.75" customHeight="1" x14ac:dyDescent="0.25">
      <c r="N481" s="1"/>
      <c r="O481" s="1"/>
      <c r="P481" s="1"/>
    </row>
    <row r="482" spans="14:16" ht="15.75" customHeight="1" x14ac:dyDescent="0.25">
      <c r="N482" s="1"/>
      <c r="O482" s="1"/>
      <c r="P482" s="1"/>
    </row>
    <row r="483" spans="14:16" ht="15.75" customHeight="1" x14ac:dyDescent="0.25">
      <c r="N483" s="1"/>
      <c r="O483" s="1"/>
      <c r="P483" s="1"/>
    </row>
    <row r="484" spans="14:16" ht="15.75" customHeight="1" x14ac:dyDescent="0.25">
      <c r="N484" s="1"/>
      <c r="O484" s="1"/>
      <c r="P484" s="1"/>
    </row>
    <row r="485" spans="14:16" ht="15.75" customHeight="1" x14ac:dyDescent="0.25">
      <c r="N485" s="1"/>
      <c r="O485" s="1"/>
      <c r="P485" s="1"/>
    </row>
    <row r="486" spans="14:16" ht="15.75" customHeight="1" x14ac:dyDescent="0.25">
      <c r="N486" s="1"/>
      <c r="O486" s="1"/>
      <c r="P486" s="1"/>
    </row>
    <row r="487" spans="14:16" ht="15.75" customHeight="1" x14ac:dyDescent="0.25">
      <c r="N487" s="1"/>
      <c r="O487" s="1"/>
      <c r="P487" s="1"/>
    </row>
    <row r="488" spans="14:16" ht="15.75" customHeight="1" x14ac:dyDescent="0.25">
      <c r="N488" s="1"/>
      <c r="O488" s="1"/>
      <c r="P488" s="1"/>
    </row>
    <row r="489" spans="14:16" ht="15.75" customHeight="1" x14ac:dyDescent="0.25">
      <c r="N489" s="1"/>
      <c r="O489" s="1"/>
      <c r="P489" s="1"/>
    </row>
    <row r="490" spans="14:16" ht="15.75" customHeight="1" x14ac:dyDescent="0.25">
      <c r="N490" s="1"/>
      <c r="O490" s="1"/>
      <c r="P490" s="1"/>
    </row>
    <row r="491" spans="14:16" ht="15.75" customHeight="1" x14ac:dyDescent="0.25">
      <c r="N491" s="1"/>
      <c r="O491" s="1"/>
      <c r="P491" s="1"/>
    </row>
    <row r="492" spans="14:16" ht="15.75" customHeight="1" x14ac:dyDescent="0.25">
      <c r="N492" s="1"/>
      <c r="O492" s="1"/>
      <c r="P492" s="1"/>
    </row>
    <row r="493" spans="14:16" ht="15.75" customHeight="1" x14ac:dyDescent="0.25">
      <c r="N493" s="1"/>
      <c r="O493" s="1"/>
      <c r="P493" s="1"/>
    </row>
    <row r="494" spans="14:16" ht="15.75" customHeight="1" x14ac:dyDescent="0.25">
      <c r="N494" s="1"/>
      <c r="O494" s="1"/>
      <c r="P494" s="1"/>
    </row>
    <row r="495" spans="14:16" ht="15.75" customHeight="1" x14ac:dyDescent="0.25">
      <c r="N495" s="1"/>
      <c r="O495" s="1"/>
      <c r="P495" s="1"/>
    </row>
    <row r="496" spans="14:16" ht="15.75" customHeight="1" x14ac:dyDescent="0.25">
      <c r="N496" s="1"/>
      <c r="O496" s="1"/>
      <c r="P496" s="1"/>
    </row>
    <row r="497" spans="14:16" ht="15.75" customHeight="1" x14ac:dyDescent="0.25">
      <c r="N497" s="1"/>
      <c r="O497" s="1"/>
      <c r="P497" s="1"/>
    </row>
    <row r="498" spans="14:16" ht="15.75" customHeight="1" x14ac:dyDescent="0.25">
      <c r="N498" s="1"/>
      <c r="O498" s="1"/>
      <c r="P498" s="1"/>
    </row>
    <row r="499" spans="14:16" ht="15.75" customHeight="1" x14ac:dyDescent="0.25">
      <c r="N499" s="1"/>
      <c r="O499" s="1"/>
      <c r="P499" s="1"/>
    </row>
    <row r="500" spans="14:16" ht="15.75" customHeight="1" x14ac:dyDescent="0.25">
      <c r="N500" s="1"/>
      <c r="O500" s="1"/>
      <c r="P500" s="1"/>
    </row>
    <row r="501" spans="14:16" ht="15.75" customHeight="1" x14ac:dyDescent="0.25">
      <c r="N501" s="1"/>
      <c r="O501" s="1"/>
      <c r="P501" s="1"/>
    </row>
    <row r="502" spans="14:16" ht="15.75" customHeight="1" x14ac:dyDescent="0.25">
      <c r="N502" s="1"/>
      <c r="O502" s="1"/>
      <c r="P502" s="1"/>
    </row>
    <row r="503" spans="14:16" ht="15.75" customHeight="1" x14ac:dyDescent="0.25">
      <c r="N503" s="1"/>
      <c r="O503" s="1"/>
      <c r="P503" s="1"/>
    </row>
    <row r="504" spans="14:16" ht="15.75" customHeight="1" x14ac:dyDescent="0.25">
      <c r="N504" s="1"/>
      <c r="O504" s="1"/>
      <c r="P504" s="1"/>
    </row>
    <row r="505" spans="14:16" ht="15.75" customHeight="1" x14ac:dyDescent="0.25">
      <c r="N505" s="1"/>
      <c r="O505" s="1"/>
      <c r="P505" s="1"/>
    </row>
    <row r="506" spans="14:16" ht="15.75" customHeight="1" x14ac:dyDescent="0.25">
      <c r="N506" s="1"/>
      <c r="O506" s="1"/>
      <c r="P506" s="1"/>
    </row>
    <row r="507" spans="14:16" ht="15.75" customHeight="1" x14ac:dyDescent="0.25">
      <c r="N507" s="1"/>
      <c r="O507" s="1"/>
      <c r="P507" s="1"/>
    </row>
    <row r="508" spans="14:16" ht="15.75" customHeight="1" x14ac:dyDescent="0.25">
      <c r="N508" s="1"/>
      <c r="O508" s="1"/>
      <c r="P508" s="1"/>
    </row>
    <row r="509" spans="14:16" ht="15.75" customHeight="1" x14ac:dyDescent="0.25">
      <c r="N509" s="1"/>
      <c r="O509" s="1"/>
      <c r="P509" s="1"/>
    </row>
    <row r="510" spans="14:16" ht="15.75" customHeight="1" x14ac:dyDescent="0.25">
      <c r="N510" s="1"/>
      <c r="O510" s="1"/>
      <c r="P510" s="1"/>
    </row>
    <row r="511" spans="14:16" ht="15.75" customHeight="1" x14ac:dyDescent="0.25">
      <c r="N511" s="1"/>
      <c r="O511" s="1"/>
      <c r="P511" s="1"/>
    </row>
    <row r="512" spans="14:16" ht="15.75" customHeight="1" x14ac:dyDescent="0.25">
      <c r="N512" s="1"/>
      <c r="O512" s="1"/>
      <c r="P512" s="1"/>
    </row>
    <row r="513" spans="14:16" ht="15.75" customHeight="1" x14ac:dyDescent="0.25">
      <c r="N513" s="1"/>
      <c r="O513" s="1"/>
      <c r="P513" s="1"/>
    </row>
    <row r="514" spans="14:16" ht="15.75" customHeight="1" x14ac:dyDescent="0.25">
      <c r="N514" s="1"/>
      <c r="O514" s="1"/>
      <c r="P514" s="1"/>
    </row>
    <row r="515" spans="14:16" ht="15.75" customHeight="1" x14ac:dyDescent="0.25">
      <c r="N515" s="1"/>
      <c r="O515" s="1"/>
      <c r="P515" s="1"/>
    </row>
    <row r="516" spans="14:16" ht="15.75" customHeight="1" x14ac:dyDescent="0.25">
      <c r="N516" s="1"/>
      <c r="O516" s="1"/>
      <c r="P516" s="1"/>
    </row>
    <row r="517" spans="14:16" ht="15.75" customHeight="1" x14ac:dyDescent="0.25">
      <c r="N517" s="1"/>
      <c r="O517" s="1"/>
      <c r="P517" s="1"/>
    </row>
    <row r="518" spans="14:16" ht="15.75" customHeight="1" x14ac:dyDescent="0.25">
      <c r="N518" s="1"/>
      <c r="O518" s="1"/>
      <c r="P518" s="1"/>
    </row>
    <row r="519" spans="14:16" ht="15.75" customHeight="1" x14ac:dyDescent="0.25">
      <c r="N519" s="1"/>
      <c r="O519" s="1"/>
      <c r="P519" s="1"/>
    </row>
    <row r="520" spans="14:16" ht="15.75" customHeight="1" x14ac:dyDescent="0.25">
      <c r="N520" s="1"/>
      <c r="O520" s="1"/>
      <c r="P520" s="1"/>
    </row>
    <row r="521" spans="14:16" ht="15.75" customHeight="1" x14ac:dyDescent="0.25">
      <c r="N521" s="1"/>
      <c r="O521" s="1"/>
      <c r="P521" s="1"/>
    </row>
    <row r="522" spans="14:16" ht="15.75" customHeight="1" x14ac:dyDescent="0.25">
      <c r="N522" s="1"/>
      <c r="O522" s="1"/>
      <c r="P522" s="1"/>
    </row>
    <row r="523" spans="14:16" ht="15.75" customHeight="1" x14ac:dyDescent="0.25">
      <c r="N523" s="1"/>
      <c r="O523" s="1"/>
      <c r="P523" s="1"/>
    </row>
    <row r="524" spans="14:16" ht="15.75" customHeight="1" x14ac:dyDescent="0.25">
      <c r="N524" s="1"/>
      <c r="O524" s="1"/>
      <c r="P524" s="1"/>
    </row>
    <row r="525" spans="14:16" ht="15.75" customHeight="1" x14ac:dyDescent="0.25">
      <c r="N525" s="1"/>
      <c r="O525" s="1"/>
      <c r="P525" s="1"/>
    </row>
    <row r="526" spans="14:16" ht="15.75" customHeight="1" x14ac:dyDescent="0.25">
      <c r="N526" s="1"/>
      <c r="O526" s="1"/>
      <c r="P526" s="1"/>
    </row>
    <row r="527" spans="14:16" ht="15.75" customHeight="1" x14ac:dyDescent="0.25">
      <c r="N527" s="1"/>
      <c r="O527" s="1"/>
      <c r="P527" s="1"/>
    </row>
    <row r="528" spans="14:16" ht="15.75" customHeight="1" x14ac:dyDescent="0.25">
      <c r="N528" s="1"/>
      <c r="O528" s="1"/>
      <c r="P528" s="1"/>
    </row>
    <row r="529" spans="14:16" ht="15.75" customHeight="1" x14ac:dyDescent="0.25">
      <c r="N529" s="1"/>
      <c r="O529" s="1"/>
      <c r="P529" s="1"/>
    </row>
    <row r="530" spans="14:16" ht="15.75" customHeight="1" x14ac:dyDescent="0.25">
      <c r="N530" s="1"/>
      <c r="O530" s="1"/>
      <c r="P530" s="1"/>
    </row>
    <row r="531" spans="14:16" ht="15.75" customHeight="1" x14ac:dyDescent="0.25">
      <c r="N531" s="1"/>
      <c r="O531" s="1"/>
      <c r="P531" s="1"/>
    </row>
    <row r="532" spans="14:16" ht="15.75" customHeight="1" x14ac:dyDescent="0.25">
      <c r="N532" s="1"/>
      <c r="O532" s="1"/>
      <c r="P532" s="1"/>
    </row>
    <row r="533" spans="14:16" ht="15.75" customHeight="1" x14ac:dyDescent="0.25">
      <c r="N533" s="1"/>
      <c r="O533" s="1"/>
      <c r="P533" s="1"/>
    </row>
    <row r="534" spans="14:16" ht="15.75" customHeight="1" x14ac:dyDescent="0.25">
      <c r="N534" s="1"/>
      <c r="O534" s="1"/>
      <c r="P534" s="1"/>
    </row>
    <row r="535" spans="14:16" ht="15.75" customHeight="1" x14ac:dyDescent="0.25">
      <c r="N535" s="1"/>
      <c r="O535" s="1"/>
      <c r="P535" s="1"/>
    </row>
    <row r="536" spans="14:16" ht="15.75" customHeight="1" x14ac:dyDescent="0.25">
      <c r="N536" s="1"/>
      <c r="O536" s="1"/>
      <c r="P536" s="1"/>
    </row>
    <row r="537" spans="14:16" ht="15.75" customHeight="1" x14ac:dyDescent="0.25">
      <c r="N537" s="1"/>
      <c r="O537" s="1"/>
      <c r="P537" s="1"/>
    </row>
    <row r="538" spans="14:16" ht="15.75" customHeight="1" x14ac:dyDescent="0.25">
      <c r="N538" s="1"/>
      <c r="O538" s="1"/>
      <c r="P538" s="1"/>
    </row>
    <row r="539" spans="14:16" ht="15.75" customHeight="1" x14ac:dyDescent="0.25">
      <c r="N539" s="1"/>
      <c r="O539" s="1"/>
      <c r="P539" s="1"/>
    </row>
    <row r="540" spans="14:16" ht="15.75" customHeight="1" x14ac:dyDescent="0.25">
      <c r="N540" s="1"/>
      <c r="O540" s="1"/>
      <c r="P540" s="1"/>
    </row>
    <row r="541" spans="14:16" ht="15.75" customHeight="1" x14ac:dyDescent="0.25">
      <c r="N541" s="1"/>
      <c r="O541" s="1"/>
      <c r="P541" s="1"/>
    </row>
    <row r="542" spans="14:16" ht="15.75" customHeight="1" x14ac:dyDescent="0.25">
      <c r="N542" s="1"/>
      <c r="O542" s="1"/>
      <c r="P542" s="1"/>
    </row>
    <row r="543" spans="14:16" ht="15.75" customHeight="1" x14ac:dyDescent="0.25">
      <c r="N543" s="1"/>
      <c r="O543" s="1"/>
      <c r="P543" s="1"/>
    </row>
    <row r="544" spans="14:16" ht="15.75" customHeight="1" x14ac:dyDescent="0.25">
      <c r="N544" s="1"/>
      <c r="O544" s="1"/>
      <c r="P544" s="1"/>
    </row>
    <row r="545" spans="14:16" ht="15.75" customHeight="1" x14ac:dyDescent="0.25">
      <c r="N545" s="1"/>
      <c r="O545" s="1"/>
      <c r="P545" s="1"/>
    </row>
    <row r="546" spans="14:16" ht="15.75" customHeight="1" x14ac:dyDescent="0.25">
      <c r="N546" s="1"/>
      <c r="O546" s="1"/>
      <c r="P546" s="1"/>
    </row>
    <row r="547" spans="14:16" ht="15.75" customHeight="1" x14ac:dyDescent="0.25">
      <c r="N547" s="1"/>
      <c r="O547" s="1"/>
      <c r="P547" s="1"/>
    </row>
    <row r="548" spans="14:16" ht="15.75" customHeight="1" x14ac:dyDescent="0.25">
      <c r="N548" s="1"/>
      <c r="O548" s="1"/>
      <c r="P548" s="1"/>
    </row>
    <row r="549" spans="14:16" ht="15.75" customHeight="1" x14ac:dyDescent="0.25">
      <c r="N549" s="1"/>
      <c r="O549" s="1"/>
      <c r="P549" s="1"/>
    </row>
    <row r="550" spans="14:16" ht="15.75" customHeight="1" x14ac:dyDescent="0.25">
      <c r="N550" s="1"/>
      <c r="O550" s="1"/>
      <c r="P550" s="1"/>
    </row>
    <row r="551" spans="14:16" ht="15.75" customHeight="1" x14ac:dyDescent="0.25">
      <c r="N551" s="1"/>
      <c r="O551" s="1"/>
      <c r="P551" s="1"/>
    </row>
    <row r="552" spans="14:16" ht="15.75" customHeight="1" x14ac:dyDescent="0.25">
      <c r="N552" s="1"/>
      <c r="O552" s="1"/>
      <c r="P552" s="1"/>
    </row>
    <row r="553" spans="14:16" ht="15.75" customHeight="1" x14ac:dyDescent="0.25">
      <c r="N553" s="1"/>
      <c r="O553" s="1"/>
      <c r="P553" s="1"/>
    </row>
    <row r="554" spans="14:16" ht="15.75" customHeight="1" x14ac:dyDescent="0.25">
      <c r="N554" s="1"/>
      <c r="O554" s="1"/>
      <c r="P554" s="1"/>
    </row>
    <row r="555" spans="14:16" ht="15.75" customHeight="1" x14ac:dyDescent="0.25">
      <c r="N555" s="1"/>
      <c r="O555" s="1"/>
      <c r="P555" s="1"/>
    </row>
    <row r="556" spans="14:16" ht="15.75" customHeight="1" x14ac:dyDescent="0.25">
      <c r="N556" s="1"/>
      <c r="O556" s="1"/>
      <c r="P556" s="1"/>
    </row>
    <row r="557" spans="14:16" ht="15.75" customHeight="1" x14ac:dyDescent="0.25">
      <c r="N557" s="1"/>
      <c r="O557" s="1"/>
      <c r="P557" s="1"/>
    </row>
    <row r="558" spans="14:16" ht="15.75" customHeight="1" x14ac:dyDescent="0.25">
      <c r="N558" s="1"/>
      <c r="O558" s="1"/>
      <c r="P558" s="1"/>
    </row>
    <row r="559" spans="14:16" ht="15.75" customHeight="1" x14ac:dyDescent="0.25">
      <c r="N559" s="1"/>
      <c r="O559" s="1"/>
      <c r="P559" s="1"/>
    </row>
    <row r="560" spans="14:16" ht="15.75" customHeight="1" x14ac:dyDescent="0.25">
      <c r="N560" s="1"/>
      <c r="O560" s="1"/>
      <c r="P560" s="1"/>
    </row>
    <row r="561" spans="14:16" ht="15.75" customHeight="1" x14ac:dyDescent="0.25">
      <c r="N561" s="1"/>
      <c r="O561" s="1"/>
      <c r="P561" s="1"/>
    </row>
    <row r="562" spans="14:16" ht="15.75" customHeight="1" x14ac:dyDescent="0.25">
      <c r="N562" s="1"/>
      <c r="O562" s="1"/>
      <c r="P562" s="1"/>
    </row>
    <row r="563" spans="14:16" ht="15.75" customHeight="1" x14ac:dyDescent="0.25">
      <c r="N563" s="1"/>
      <c r="O563" s="1"/>
      <c r="P563" s="1"/>
    </row>
    <row r="564" spans="14:16" ht="15.75" customHeight="1" x14ac:dyDescent="0.25">
      <c r="N564" s="1"/>
      <c r="O564" s="1"/>
      <c r="P564" s="1"/>
    </row>
    <row r="565" spans="14:16" ht="15.75" customHeight="1" x14ac:dyDescent="0.25">
      <c r="N565" s="1"/>
      <c r="O565" s="1"/>
      <c r="P565" s="1"/>
    </row>
    <row r="566" spans="14:16" ht="15.75" customHeight="1" x14ac:dyDescent="0.25">
      <c r="N566" s="1"/>
      <c r="O566" s="1"/>
      <c r="P566" s="1"/>
    </row>
    <row r="567" spans="14:16" ht="15.75" customHeight="1" x14ac:dyDescent="0.25">
      <c r="N567" s="1"/>
      <c r="O567" s="1"/>
      <c r="P567" s="1"/>
    </row>
    <row r="568" spans="14:16" ht="15.75" customHeight="1" x14ac:dyDescent="0.25">
      <c r="N568" s="1"/>
      <c r="O568" s="1"/>
      <c r="P568" s="1"/>
    </row>
    <row r="569" spans="14:16" ht="15.75" customHeight="1" x14ac:dyDescent="0.25">
      <c r="N569" s="1"/>
      <c r="O569" s="1"/>
      <c r="P569" s="1"/>
    </row>
    <row r="570" spans="14:16" ht="15.75" customHeight="1" x14ac:dyDescent="0.25">
      <c r="N570" s="1"/>
      <c r="O570" s="1"/>
      <c r="P570" s="1"/>
    </row>
    <row r="571" spans="14:16" ht="15.75" customHeight="1" x14ac:dyDescent="0.25">
      <c r="N571" s="1"/>
      <c r="O571" s="1"/>
      <c r="P571" s="1"/>
    </row>
    <row r="572" spans="14:16" ht="15.75" customHeight="1" x14ac:dyDescent="0.25">
      <c r="N572" s="1"/>
      <c r="O572" s="1"/>
      <c r="P572" s="1"/>
    </row>
    <row r="573" spans="14:16" ht="15.75" customHeight="1" x14ac:dyDescent="0.25">
      <c r="N573" s="1"/>
      <c r="O573" s="1"/>
      <c r="P573" s="1"/>
    </row>
    <row r="574" spans="14:16" ht="15.75" customHeight="1" x14ac:dyDescent="0.25">
      <c r="N574" s="1"/>
      <c r="O574" s="1"/>
      <c r="P574" s="1"/>
    </row>
    <row r="575" spans="14:16" ht="15.75" customHeight="1" x14ac:dyDescent="0.25">
      <c r="N575" s="1"/>
      <c r="O575" s="1"/>
      <c r="P575" s="1"/>
    </row>
    <row r="576" spans="14:16" ht="15.75" customHeight="1" x14ac:dyDescent="0.25">
      <c r="N576" s="1"/>
      <c r="O576" s="1"/>
      <c r="P576" s="1"/>
    </row>
    <row r="577" spans="14:16" ht="15.75" customHeight="1" x14ac:dyDescent="0.25">
      <c r="N577" s="1"/>
      <c r="O577" s="1"/>
      <c r="P577" s="1"/>
    </row>
    <row r="578" spans="14:16" ht="15.75" customHeight="1" x14ac:dyDescent="0.25">
      <c r="N578" s="1"/>
      <c r="O578" s="1"/>
      <c r="P578" s="1"/>
    </row>
    <row r="579" spans="14:16" ht="15.75" customHeight="1" x14ac:dyDescent="0.25">
      <c r="N579" s="1"/>
      <c r="O579" s="1"/>
      <c r="P579" s="1"/>
    </row>
    <row r="580" spans="14:16" ht="15.75" customHeight="1" x14ac:dyDescent="0.25">
      <c r="N580" s="1"/>
      <c r="O580" s="1"/>
      <c r="P580" s="1"/>
    </row>
    <row r="581" spans="14:16" ht="15.75" customHeight="1" x14ac:dyDescent="0.25">
      <c r="N581" s="1"/>
      <c r="O581" s="1"/>
      <c r="P581" s="1"/>
    </row>
    <row r="582" spans="14:16" ht="15.75" customHeight="1" x14ac:dyDescent="0.25">
      <c r="N582" s="1"/>
      <c r="O582" s="1"/>
      <c r="P582" s="1"/>
    </row>
    <row r="583" spans="14:16" ht="15.75" customHeight="1" x14ac:dyDescent="0.25">
      <c r="N583" s="1"/>
      <c r="O583" s="1"/>
      <c r="P583" s="1"/>
    </row>
    <row r="584" spans="14:16" ht="15.75" customHeight="1" x14ac:dyDescent="0.25">
      <c r="N584" s="1"/>
      <c r="O584" s="1"/>
      <c r="P584" s="1"/>
    </row>
    <row r="585" spans="14:16" ht="15.75" customHeight="1" x14ac:dyDescent="0.25">
      <c r="N585" s="1"/>
      <c r="O585" s="1"/>
      <c r="P585" s="1"/>
    </row>
    <row r="586" spans="14:16" ht="15.75" customHeight="1" x14ac:dyDescent="0.25">
      <c r="N586" s="1"/>
      <c r="O586" s="1"/>
      <c r="P586" s="1"/>
    </row>
    <row r="587" spans="14:16" ht="15.75" customHeight="1" x14ac:dyDescent="0.25">
      <c r="N587" s="1"/>
      <c r="O587" s="1"/>
      <c r="P587" s="1"/>
    </row>
    <row r="588" spans="14:16" ht="15.75" customHeight="1" x14ac:dyDescent="0.25">
      <c r="N588" s="1"/>
      <c r="O588" s="1"/>
      <c r="P588" s="1"/>
    </row>
    <row r="589" spans="14:16" ht="15.75" customHeight="1" x14ac:dyDescent="0.25">
      <c r="N589" s="1"/>
      <c r="O589" s="1"/>
      <c r="P589" s="1"/>
    </row>
    <row r="590" spans="14:16" ht="15.75" customHeight="1" x14ac:dyDescent="0.25">
      <c r="N590" s="1"/>
      <c r="O590" s="1"/>
      <c r="P590" s="1"/>
    </row>
    <row r="591" spans="14:16" ht="15.75" customHeight="1" x14ac:dyDescent="0.25">
      <c r="N591" s="1"/>
      <c r="O591" s="1"/>
      <c r="P591" s="1"/>
    </row>
    <row r="592" spans="14:16" ht="15.75" customHeight="1" x14ac:dyDescent="0.25">
      <c r="N592" s="1"/>
      <c r="O592" s="1"/>
      <c r="P592" s="1"/>
    </row>
    <row r="593" spans="14:16" ht="15.75" customHeight="1" x14ac:dyDescent="0.25">
      <c r="N593" s="1"/>
      <c r="O593" s="1"/>
      <c r="P593" s="1"/>
    </row>
    <row r="594" spans="14:16" ht="15.75" customHeight="1" x14ac:dyDescent="0.25">
      <c r="N594" s="1"/>
      <c r="O594" s="1"/>
      <c r="P594" s="1"/>
    </row>
    <row r="595" spans="14:16" ht="15.75" customHeight="1" x14ac:dyDescent="0.25">
      <c r="N595" s="1"/>
      <c r="O595" s="1"/>
      <c r="P595" s="1"/>
    </row>
    <row r="596" spans="14:16" ht="15.75" customHeight="1" x14ac:dyDescent="0.25">
      <c r="N596" s="1"/>
      <c r="O596" s="1"/>
      <c r="P596" s="1"/>
    </row>
    <row r="597" spans="14:16" ht="15.75" customHeight="1" x14ac:dyDescent="0.25">
      <c r="N597" s="1"/>
      <c r="O597" s="1"/>
      <c r="P597" s="1"/>
    </row>
    <row r="598" spans="14:16" ht="15.75" customHeight="1" x14ac:dyDescent="0.25">
      <c r="N598" s="1"/>
      <c r="O598" s="1"/>
      <c r="P598" s="1"/>
    </row>
    <row r="599" spans="14:16" ht="15.75" customHeight="1" x14ac:dyDescent="0.25">
      <c r="N599" s="1"/>
      <c r="O599" s="1"/>
      <c r="P599" s="1"/>
    </row>
    <row r="600" spans="14:16" ht="15.75" customHeight="1" x14ac:dyDescent="0.25">
      <c r="N600" s="1"/>
      <c r="O600" s="1"/>
      <c r="P600" s="1"/>
    </row>
    <row r="601" spans="14:16" ht="15.75" customHeight="1" x14ac:dyDescent="0.25">
      <c r="N601" s="1"/>
      <c r="O601" s="1"/>
      <c r="P601" s="1"/>
    </row>
    <row r="602" spans="14:16" ht="15.75" customHeight="1" x14ac:dyDescent="0.25">
      <c r="N602" s="1"/>
      <c r="O602" s="1"/>
      <c r="P602" s="1"/>
    </row>
    <row r="603" spans="14:16" ht="15.75" customHeight="1" x14ac:dyDescent="0.25">
      <c r="N603" s="1"/>
      <c r="O603" s="1"/>
      <c r="P603" s="1"/>
    </row>
    <row r="604" spans="14:16" ht="15.75" customHeight="1" x14ac:dyDescent="0.25">
      <c r="N604" s="1"/>
      <c r="O604" s="1"/>
      <c r="P604" s="1"/>
    </row>
    <row r="605" spans="14:16" ht="15.75" customHeight="1" x14ac:dyDescent="0.25">
      <c r="N605" s="1"/>
      <c r="O605" s="1"/>
      <c r="P605" s="1"/>
    </row>
    <row r="606" spans="14:16" ht="15.75" customHeight="1" x14ac:dyDescent="0.25">
      <c r="N606" s="1"/>
      <c r="O606" s="1"/>
      <c r="P606" s="1"/>
    </row>
    <row r="607" spans="14:16" ht="15.75" customHeight="1" x14ac:dyDescent="0.25">
      <c r="N607" s="1"/>
      <c r="O607" s="1"/>
      <c r="P607" s="1"/>
    </row>
    <row r="608" spans="14:16" ht="15.75" customHeight="1" x14ac:dyDescent="0.25">
      <c r="N608" s="1"/>
      <c r="O608" s="1"/>
      <c r="P608" s="1"/>
    </row>
    <row r="609" spans="14:16" ht="15.75" customHeight="1" x14ac:dyDescent="0.25">
      <c r="N609" s="1"/>
      <c r="O609" s="1"/>
      <c r="P609" s="1"/>
    </row>
    <row r="610" spans="14:16" ht="15.75" customHeight="1" x14ac:dyDescent="0.25">
      <c r="N610" s="1"/>
      <c r="O610" s="1"/>
      <c r="P610" s="1"/>
    </row>
    <row r="611" spans="14:16" ht="15.75" customHeight="1" x14ac:dyDescent="0.25">
      <c r="N611" s="1"/>
      <c r="O611" s="1"/>
      <c r="P611" s="1"/>
    </row>
    <row r="612" spans="14:16" ht="15.75" customHeight="1" x14ac:dyDescent="0.25">
      <c r="N612" s="1"/>
      <c r="O612" s="1"/>
      <c r="P612" s="1"/>
    </row>
    <row r="613" spans="14:16" ht="15.75" customHeight="1" x14ac:dyDescent="0.25">
      <c r="N613" s="1"/>
      <c r="O613" s="1"/>
      <c r="P613" s="1"/>
    </row>
    <row r="614" spans="14:16" ht="15.75" customHeight="1" x14ac:dyDescent="0.25">
      <c r="N614" s="1"/>
      <c r="O614" s="1"/>
      <c r="P614" s="1"/>
    </row>
    <row r="615" spans="14:16" ht="15.75" customHeight="1" x14ac:dyDescent="0.25">
      <c r="N615" s="1"/>
      <c r="O615" s="1"/>
      <c r="P615" s="1"/>
    </row>
    <row r="616" spans="14:16" ht="15.75" customHeight="1" x14ac:dyDescent="0.25">
      <c r="N616" s="1"/>
      <c r="O616" s="1"/>
      <c r="P616" s="1"/>
    </row>
    <row r="617" spans="14:16" ht="15.75" customHeight="1" x14ac:dyDescent="0.25">
      <c r="N617" s="1"/>
      <c r="O617" s="1"/>
      <c r="P617" s="1"/>
    </row>
    <row r="618" spans="14:16" ht="15.75" customHeight="1" x14ac:dyDescent="0.25">
      <c r="N618" s="1"/>
      <c r="O618" s="1"/>
      <c r="P618" s="1"/>
    </row>
    <row r="619" spans="14:16" ht="15.75" customHeight="1" x14ac:dyDescent="0.25">
      <c r="N619" s="1"/>
      <c r="O619" s="1"/>
      <c r="P619" s="1"/>
    </row>
    <row r="620" spans="14:16" ht="15.75" customHeight="1" x14ac:dyDescent="0.25">
      <c r="N620" s="1"/>
      <c r="O620" s="1"/>
      <c r="P620" s="1"/>
    </row>
    <row r="621" spans="14:16" ht="15.75" customHeight="1" x14ac:dyDescent="0.25">
      <c r="N621" s="1"/>
      <c r="O621" s="1"/>
      <c r="P621" s="1"/>
    </row>
    <row r="622" spans="14:16" ht="15.75" customHeight="1" x14ac:dyDescent="0.25">
      <c r="N622" s="1"/>
      <c r="O622" s="1"/>
      <c r="P622" s="1"/>
    </row>
    <row r="623" spans="14:16" ht="15.75" customHeight="1" x14ac:dyDescent="0.25">
      <c r="N623" s="1"/>
      <c r="O623" s="1"/>
      <c r="P623" s="1"/>
    </row>
    <row r="624" spans="14:16" ht="15.75" customHeight="1" x14ac:dyDescent="0.25">
      <c r="N624" s="1"/>
      <c r="O624" s="1"/>
      <c r="P624" s="1"/>
    </row>
    <row r="625" spans="14:16" ht="15.75" customHeight="1" x14ac:dyDescent="0.25">
      <c r="N625" s="1"/>
      <c r="O625" s="1"/>
      <c r="P625" s="1"/>
    </row>
    <row r="626" spans="14:16" ht="15.75" customHeight="1" x14ac:dyDescent="0.25">
      <c r="N626" s="1"/>
      <c r="O626" s="1"/>
      <c r="P626" s="1"/>
    </row>
    <row r="627" spans="14:16" ht="15.75" customHeight="1" x14ac:dyDescent="0.25">
      <c r="N627" s="1"/>
      <c r="O627" s="1"/>
      <c r="P627" s="1"/>
    </row>
    <row r="628" spans="14:16" ht="15.75" customHeight="1" x14ac:dyDescent="0.25">
      <c r="N628" s="1"/>
      <c r="O628" s="1"/>
      <c r="P628" s="1"/>
    </row>
    <row r="629" spans="14:16" ht="15.75" customHeight="1" x14ac:dyDescent="0.25">
      <c r="N629" s="1"/>
      <c r="O629" s="1"/>
      <c r="P629" s="1"/>
    </row>
    <row r="630" spans="14:16" ht="15.75" customHeight="1" x14ac:dyDescent="0.25">
      <c r="N630" s="1"/>
      <c r="O630" s="1"/>
      <c r="P630" s="1"/>
    </row>
    <row r="631" spans="14:16" ht="15.75" customHeight="1" x14ac:dyDescent="0.25">
      <c r="N631" s="1"/>
      <c r="O631" s="1"/>
      <c r="P631" s="1"/>
    </row>
    <row r="632" spans="14:16" ht="15.75" customHeight="1" x14ac:dyDescent="0.25">
      <c r="N632" s="1"/>
      <c r="O632" s="1"/>
      <c r="P632" s="1"/>
    </row>
    <row r="633" spans="14:16" ht="15.75" customHeight="1" x14ac:dyDescent="0.25">
      <c r="N633" s="1"/>
      <c r="O633" s="1"/>
      <c r="P633" s="1"/>
    </row>
    <row r="634" spans="14:16" ht="15.75" customHeight="1" x14ac:dyDescent="0.25">
      <c r="N634" s="1"/>
      <c r="O634" s="1"/>
      <c r="P634" s="1"/>
    </row>
    <row r="635" spans="14:16" ht="15.75" customHeight="1" x14ac:dyDescent="0.25">
      <c r="N635" s="1"/>
      <c r="O635" s="1"/>
      <c r="P635" s="1"/>
    </row>
    <row r="636" spans="14:16" ht="15.75" customHeight="1" x14ac:dyDescent="0.25">
      <c r="N636" s="1"/>
      <c r="O636" s="1"/>
      <c r="P636" s="1"/>
    </row>
    <row r="637" spans="14:16" ht="15.75" customHeight="1" x14ac:dyDescent="0.25">
      <c r="N637" s="1"/>
      <c r="O637" s="1"/>
      <c r="P637" s="1"/>
    </row>
    <row r="638" spans="14:16" ht="15.75" customHeight="1" x14ac:dyDescent="0.25">
      <c r="N638" s="1"/>
      <c r="O638" s="1"/>
      <c r="P638" s="1"/>
    </row>
    <row r="639" spans="14:16" ht="15.75" customHeight="1" x14ac:dyDescent="0.25">
      <c r="N639" s="1"/>
      <c r="O639" s="1"/>
      <c r="P639" s="1"/>
    </row>
    <row r="640" spans="14:16" ht="15.75" customHeight="1" x14ac:dyDescent="0.25">
      <c r="N640" s="1"/>
      <c r="O640" s="1"/>
      <c r="P640" s="1"/>
    </row>
    <row r="641" spans="14:16" ht="15.75" customHeight="1" x14ac:dyDescent="0.25">
      <c r="N641" s="1"/>
      <c r="O641" s="1"/>
      <c r="P641" s="1"/>
    </row>
    <row r="642" spans="14:16" ht="15.75" customHeight="1" x14ac:dyDescent="0.25">
      <c r="N642" s="1"/>
      <c r="O642" s="1"/>
      <c r="P642" s="1"/>
    </row>
    <row r="643" spans="14:16" ht="15.75" customHeight="1" x14ac:dyDescent="0.25">
      <c r="N643" s="1"/>
      <c r="O643" s="1"/>
      <c r="P643" s="1"/>
    </row>
    <row r="644" spans="14:16" ht="15.75" customHeight="1" x14ac:dyDescent="0.25">
      <c r="N644" s="1"/>
      <c r="O644" s="1"/>
      <c r="P644" s="1"/>
    </row>
    <row r="645" spans="14:16" ht="15.75" customHeight="1" x14ac:dyDescent="0.25">
      <c r="N645" s="1"/>
      <c r="O645" s="1"/>
      <c r="P645" s="1"/>
    </row>
    <row r="646" spans="14:16" ht="15.75" customHeight="1" x14ac:dyDescent="0.25">
      <c r="N646" s="1"/>
      <c r="O646" s="1"/>
      <c r="P646" s="1"/>
    </row>
    <row r="647" spans="14:16" ht="15.75" customHeight="1" x14ac:dyDescent="0.25">
      <c r="N647" s="1"/>
      <c r="O647" s="1"/>
      <c r="P647" s="1"/>
    </row>
    <row r="648" spans="14:16" ht="15.75" customHeight="1" x14ac:dyDescent="0.25">
      <c r="N648" s="1"/>
      <c r="O648" s="1"/>
      <c r="P648" s="1"/>
    </row>
    <row r="649" spans="14:16" ht="15.75" customHeight="1" x14ac:dyDescent="0.25">
      <c r="N649" s="1"/>
      <c r="O649" s="1"/>
      <c r="P649" s="1"/>
    </row>
    <row r="650" spans="14:16" ht="15.75" customHeight="1" x14ac:dyDescent="0.25">
      <c r="N650" s="1"/>
      <c r="O650" s="1"/>
      <c r="P650" s="1"/>
    </row>
    <row r="651" spans="14:16" ht="15.75" customHeight="1" x14ac:dyDescent="0.25">
      <c r="N651" s="1"/>
      <c r="O651" s="1"/>
      <c r="P651" s="1"/>
    </row>
    <row r="652" spans="14:16" ht="15.75" customHeight="1" x14ac:dyDescent="0.25">
      <c r="N652" s="1"/>
      <c r="O652" s="1"/>
      <c r="P652" s="1"/>
    </row>
    <row r="653" spans="14:16" ht="15.75" customHeight="1" x14ac:dyDescent="0.25">
      <c r="N653" s="1"/>
      <c r="O653" s="1"/>
      <c r="P653" s="1"/>
    </row>
    <row r="654" spans="14:16" ht="15.75" customHeight="1" x14ac:dyDescent="0.25">
      <c r="N654" s="1"/>
      <c r="O654" s="1"/>
      <c r="P654" s="1"/>
    </row>
    <row r="655" spans="14:16" ht="15.75" customHeight="1" x14ac:dyDescent="0.25">
      <c r="N655" s="1"/>
      <c r="O655" s="1"/>
      <c r="P655" s="1"/>
    </row>
    <row r="656" spans="14:16" ht="15.75" customHeight="1" x14ac:dyDescent="0.25">
      <c r="N656" s="1"/>
      <c r="O656" s="1"/>
      <c r="P656" s="1"/>
    </row>
    <row r="657" spans="14:16" ht="15.75" customHeight="1" x14ac:dyDescent="0.25">
      <c r="N657" s="1"/>
      <c r="O657" s="1"/>
      <c r="P657" s="1"/>
    </row>
    <row r="658" spans="14:16" ht="15.75" customHeight="1" x14ac:dyDescent="0.25">
      <c r="N658" s="1"/>
      <c r="O658" s="1"/>
      <c r="P658" s="1"/>
    </row>
    <row r="659" spans="14:16" ht="15.75" customHeight="1" x14ac:dyDescent="0.25">
      <c r="N659" s="1"/>
      <c r="O659" s="1"/>
      <c r="P659" s="1"/>
    </row>
    <row r="660" spans="14:16" ht="15.75" customHeight="1" x14ac:dyDescent="0.25">
      <c r="N660" s="1"/>
      <c r="O660" s="1"/>
      <c r="P660" s="1"/>
    </row>
    <row r="661" spans="14:16" ht="15.75" customHeight="1" x14ac:dyDescent="0.25">
      <c r="N661" s="1"/>
      <c r="O661" s="1"/>
      <c r="P661" s="1"/>
    </row>
    <row r="662" spans="14:16" ht="15.75" customHeight="1" x14ac:dyDescent="0.25">
      <c r="N662" s="1"/>
      <c r="O662" s="1"/>
      <c r="P662" s="1"/>
    </row>
    <row r="663" spans="14:16" ht="15.75" customHeight="1" x14ac:dyDescent="0.25">
      <c r="N663" s="1"/>
      <c r="O663" s="1"/>
      <c r="P663" s="1"/>
    </row>
    <row r="664" spans="14:16" ht="15.75" customHeight="1" x14ac:dyDescent="0.25">
      <c r="N664" s="1"/>
      <c r="O664" s="1"/>
      <c r="P664" s="1"/>
    </row>
    <row r="665" spans="14:16" ht="15.75" customHeight="1" x14ac:dyDescent="0.25">
      <c r="N665" s="1"/>
      <c r="O665" s="1"/>
      <c r="P665" s="1"/>
    </row>
    <row r="666" spans="14:16" ht="15.75" customHeight="1" x14ac:dyDescent="0.25">
      <c r="N666" s="1"/>
      <c r="O666" s="1"/>
      <c r="P666" s="1"/>
    </row>
    <row r="667" spans="14:16" ht="15.75" customHeight="1" x14ac:dyDescent="0.25">
      <c r="N667" s="1"/>
      <c r="O667" s="1"/>
      <c r="P667" s="1"/>
    </row>
    <row r="668" spans="14:16" ht="15.75" customHeight="1" x14ac:dyDescent="0.25">
      <c r="N668" s="1"/>
      <c r="O668" s="1"/>
      <c r="P668" s="1"/>
    </row>
    <row r="669" spans="14:16" ht="15.75" customHeight="1" x14ac:dyDescent="0.25">
      <c r="N669" s="1"/>
      <c r="O669" s="1"/>
      <c r="P669" s="1"/>
    </row>
    <row r="670" spans="14:16" ht="15.75" customHeight="1" x14ac:dyDescent="0.25">
      <c r="N670" s="1"/>
      <c r="O670" s="1"/>
      <c r="P670" s="1"/>
    </row>
    <row r="671" spans="14:16" ht="15.75" customHeight="1" x14ac:dyDescent="0.25">
      <c r="N671" s="1"/>
      <c r="O671" s="1"/>
      <c r="P671" s="1"/>
    </row>
    <row r="672" spans="14:16" ht="15.75" customHeight="1" x14ac:dyDescent="0.25">
      <c r="N672" s="1"/>
      <c r="O672" s="1"/>
      <c r="P672" s="1"/>
    </row>
    <row r="673" spans="14:16" ht="15.75" customHeight="1" x14ac:dyDescent="0.25">
      <c r="N673" s="1"/>
      <c r="O673" s="1"/>
      <c r="P673" s="1"/>
    </row>
    <row r="674" spans="14:16" ht="15.75" customHeight="1" x14ac:dyDescent="0.25">
      <c r="N674" s="1"/>
      <c r="O674" s="1"/>
      <c r="P674" s="1"/>
    </row>
    <row r="675" spans="14:16" ht="15.75" customHeight="1" x14ac:dyDescent="0.25">
      <c r="N675" s="1"/>
      <c r="O675" s="1"/>
      <c r="P675" s="1"/>
    </row>
    <row r="676" spans="14:16" ht="15.75" customHeight="1" x14ac:dyDescent="0.25">
      <c r="N676" s="1"/>
      <c r="O676" s="1"/>
      <c r="P676" s="1"/>
    </row>
    <row r="677" spans="14:16" ht="15.75" customHeight="1" x14ac:dyDescent="0.25">
      <c r="N677" s="1"/>
      <c r="O677" s="1"/>
      <c r="P677" s="1"/>
    </row>
    <row r="678" spans="14:16" ht="15.75" customHeight="1" x14ac:dyDescent="0.25">
      <c r="N678" s="1"/>
      <c r="O678" s="1"/>
      <c r="P678" s="1"/>
    </row>
    <row r="679" spans="14:16" ht="15.75" customHeight="1" x14ac:dyDescent="0.25">
      <c r="N679" s="1"/>
      <c r="O679" s="1"/>
      <c r="P679" s="1"/>
    </row>
    <row r="680" spans="14:16" ht="15.75" customHeight="1" x14ac:dyDescent="0.25">
      <c r="N680" s="1"/>
      <c r="O680" s="1"/>
      <c r="P680" s="1"/>
    </row>
    <row r="681" spans="14:16" ht="15.75" customHeight="1" x14ac:dyDescent="0.25">
      <c r="N681" s="1"/>
      <c r="O681" s="1"/>
      <c r="P681" s="1"/>
    </row>
    <row r="682" spans="14:16" ht="15.75" customHeight="1" x14ac:dyDescent="0.25">
      <c r="N682" s="1"/>
      <c r="O682" s="1"/>
      <c r="P682" s="1"/>
    </row>
    <row r="683" spans="14:16" ht="15.75" customHeight="1" x14ac:dyDescent="0.25">
      <c r="N683" s="1"/>
      <c r="O683" s="1"/>
      <c r="P683" s="1"/>
    </row>
    <row r="684" spans="14:16" ht="15.75" customHeight="1" x14ac:dyDescent="0.25">
      <c r="N684" s="1"/>
      <c r="O684" s="1"/>
      <c r="P684" s="1"/>
    </row>
    <row r="685" spans="14:16" ht="15.75" customHeight="1" x14ac:dyDescent="0.25">
      <c r="N685" s="1"/>
      <c r="O685" s="1"/>
      <c r="P685" s="1"/>
    </row>
    <row r="686" spans="14:16" ht="15.75" customHeight="1" x14ac:dyDescent="0.25">
      <c r="N686" s="1"/>
      <c r="O686" s="1"/>
      <c r="P686" s="1"/>
    </row>
    <row r="687" spans="14:16" ht="15.75" customHeight="1" x14ac:dyDescent="0.25">
      <c r="N687" s="1"/>
      <c r="O687" s="1"/>
      <c r="P687" s="1"/>
    </row>
    <row r="688" spans="14:16" ht="15.75" customHeight="1" x14ac:dyDescent="0.25">
      <c r="N688" s="1"/>
      <c r="O688" s="1"/>
      <c r="P688" s="1"/>
    </row>
    <row r="689" spans="14:16" ht="15.75" customHeight="1" x14ac:dyDescent="0.25">
      <c r="N689" s="1"/>
      <c r="O689" s="1"/>
      <c r="P689" s="1"/>
    </row>
    <row r="690" spans="14:16" ht="15.75" customHeight="1" x14ac:dyDescent="0.25">
      <c r="N690" s="1"/>
      <c r="O690" s="1"/>
      <c r="P690" s="1"/>
    </row>
    <row r="691" spans="14:16" ht="15.75" customHeight="1" x14ac:dyDescent="0.25">
      <c r="N691" s="1"/>
      <c r="O691" s="1"/>
      <c r="P691" s="1"/>
    </row>
    <row r="692" spans="14:16" ht="15.75" customHeight="1" x14ac:dyDescent="0.25">
      <c r="N692" s="1"/>
      <c r="O692" s="1"/>
      <c r="P692" s="1"/>
    </row>
    <row r="693" spans="14:16" ht="15.75" customHeight="1" x14ac:dyDescent="0.25">
      <c r="N693" s="1"/>
      <c r="O693" s="1"/>
      <c r="P693" s="1"/>
    </row>
    <row r="694" spans="14:16" ht="15.75" customHeight="1" x14ac:dyDescent="0.25">
      <c r="N694" s="1"/>
      <c r="O694" s="1"/>
      <c r="P694" s="1"/>
    </row>
    <row r="695" spans="14:16" ht="15.75" customHeight="1" x14ac:dyDescent="0.25">
      <c r="N695" s="1"/>
      <c r="O695" s="1"/>
      <c r="P695" s="1"/>
    </row>
    <row r="696" spans="14:16" ht="15.75" customHeight="1" x14ac:dyDescent="0.25">
      <c r="N696" s="1"/>
      <c r="O696" s="1"/>
      <c r="P696" s="1"/>
    </row>
    <row r="697" spans="14:16" ht="15.75" customHeight="1" x14ac:dyDescent="0.25">
      <c r="N697" s="1"/>
      <c r="O697" s="1"/>
      <c r="P697" s="1"/>
    </row>
    <row r="698" spans="14:16" ht="15.75" customHeight="1" x14ac:dyDescent="0.25">
      <c r="N698" s="1"/>
      <c r="O698" s="1"/>
      <c r="P698" s="1"/>
    </row>
    <row r="699" spans="14:16" ht="15.75" customHeight="1" x14ac:dyDescent="0.25">
      <c r="N699" s="1"/>
      <c r="O699" s="1"/>
      <c r="P699" s="1"/>
    </row>
    <row r="700" spans="14:16" ht="15.75" customHeight="1" x14ac:dyDescent="0.25">
      <c r="N700" s="1"/>
      <c r="O700" s="1"/>
      <c r="P700" s="1"/>
    </row>
    <row r="701" spans="14:16" ht="15.75" customHeight="1" x14ac:dyDescent="0.25">
      <c r="N701" s="1"/>
      <c r="O701" s="1"/>
      <c r="P701" s="1"/>
    </row>
    <row r="702" spans="14:16" ht="15.75" customHeight="1" x14ac:dyDescent="0.25">
      <c r="N702" s="1"/>
      <c r="O702" s="1"/>
      <c r="P702" s="1"/>
    </row>
    <row r="703" spans="14:16" ht="15.75" customHeight="1" x14ac:dyDescent="0.25">
      <c r="N703" s="1"/>
      <c r="O703" s="1"/>
      <c r="P703" s="1"/>
    </row>
    <row r="704" spans="14:16" ht="15.75" customHeight="1" x14ac:dyDescent="0.25">
      <c r="N704" s="1"/>
      <c r="O704" s="1"/>
      <c r="P704" s="1"/>
    </row>
    <row r="705" spans="14:16" ht="15.75" customHeight="1" x14ac:dyDescent="0.25">
      <c r="N705" s="1"/>
      <c r="O705" s="1"/>
      <c r="P705" s="1"/>
    </row>
    <row r="706" spans="14:16" ht="15.75" customHeight="1" x14ac:dyDescent="0.25">
      <c r="N706" s="1"/>
      <c r="O706" s="1"/>
      <c r="P706" s="1"/>
    </row>
    <row r="707" spans="14:16" ht="15.75" customHeight="1" x14ac:dyDescent="0.25">
      <c r="N707" s="1"/>
      <c r="O707" s="1"/>
      <c r="P707" s="1"/>
    </row>
    <row r="708" spans="14:16" ht="15.75" customHeight="1" x14ac:dyDescent="0.25">
      <c r="N708" s="1"/>
      <c r="O708" s="1"/>
      <c r="P708" s="1"/>
    </row>
    <row r="709" spans="14:16" ht="15.75" customHeight="1" x14ac:dyDescent="0.25">
      <c r="N709" s="1"/>
      <c r="O709" s="1"/>
      <c r="P709" s="1"/>
    </row>
    <row r="710" spans="14:16" ht="15.75" customHeight="1" x14ac:dyDescent="0.25">
      <c r="N710" s="1"/>
      <c r="O710" s="1"/>
      <c r="P710" s="1"/>
    </row>
    <row r="711" spans="14:16" ht="15.75" customHeight="1" x14ac:dyDescent="0.25">
      <c r="N711" s="1"/>
      <c r="O711" s="1"/>
      <c r="P711" s="1"/>
    </row>
    <row r="712" spans="14:16" ht="15.75" customHeight="1" x14ac:dyDescent="0.25">
      <c r="N712" s="1"/>
      <c r="O712" s="1"/>
      <c r="P712" s="1"/>
    </row>
    <row r="713" spans="14:16" ht="15.75" customHeight="1" x14ac:dyDescent="0.25">
      <c r="N713" s="1"/>
      <c r="O713" s="1"/>
      <c r="P713" s="1"/>
    </row>
    <row r="714" spans="14:16" ht="15.75" customHeight="1" x14ac:dyDescent="0.25">
      <c r="N714" s="1"/>
      <c r="O714" s="1"/>
      <c r="P714" s="1"/>
    </row>
    <row r="715" spans="14:16" ht="15.75" customHeight="1" x14ac:dyDescent="0.25">
      <c r="N715" s="1"/>
      <c r="O715" s="1"/>
      <c r="P715" s="1"/>
    </row>
    <row r="716" spans="14:16" ht="15.75" customHeight="1" x14ac:dyDescent="0.25">
      <c r="N716" s="1"/>
      <c r="O716" s="1"/>
      <c r="P716" s="1"/>
    </row>
    <row r="717" spans="14:16" ht="15.75" customHeight="1" x14ac:dyDescent="0.25">
      <c r="N717" s="1"/>
      <c r="O717" s="1"/>
      <c r="P717" s="1"/>
    </row>
    <row r="718" spans="14:16" ht="15.75" customHeight="1" x14ac:dyDescent="0.25">
      <c r="N718" s="1"/>
      <c r="O718" s="1"/>
      <c r="P718" s="1"/>
    </row>
    <row r="719" spans="14:16" ht="15.75" customHeight="1" x14ac:dyDescent="0.25">
      <c r="N719" s="1"/>
      <c r="O719" s="1"/>
      <c r="P719" s="1"/>
    </row>
    <row r="720" spans="14:16" ht="15.75" customHeight="1" x14ac:dyDescent="0.25">
      <c r="N720" s="1"/>
      <c r="O720" s="1"/>
      <c r="P720" s="1"/>
    </row>
    <row r="721" spans="14:16" ht="15.75" customHeight="1" x14ac:dyDescent="0.25">
      <c r="N721" s="1"/>
      <c r="O721" s="1"/>
      <c r="P721" s="1"/>
    </row>
    <row r="722" spans="14:16" ht="15.75" customHeight="1" x14ac:dyDescent="0.25">
      <c r="N722" s="1"/>
      <c r="O722" s="1"/>
      <c r="P722" s="1"/>
    </row>
    <row r="723" spans="14:16" ht="15.75" customHeight="1" x14ac:dyDescent="0.25">
      <c r="N723" s="1"/>
      <c r="O723" s="1"/>
      <c r="P723" s="1"/>
    </row>
    <row r="724" spans="14:16" ht="15.75" customHeight="1" x14ac:dyDescent="0.25">
      <c r="N724" s="1"/>
      <c r="O724" s="1"/>
      <c r="P724" s="1"/>
    </row>
    <row r="725" spans="14:16" ht="15.75" customHeight="1" x14ac:dyDescent="0.25">
      <c r="N725" s="1"/>
      <c r="O725" s="1"/>
      <c r="P725" s="1"/>
    </row>
    <row r="726" spans="14:16" ht="15.75" customHeight="1" x14ac:dyDescent="0.25">
      <c r="N726" s="1"/>
      <c r="O726" s="1"/>
      <c r="P726" s="1"/>
    </row>
    <row r="727" spans="14:16" ht="15.75" customHeight="1" x14ac:dyDescent="0.25">
      <c r="N727" s="1"/>
      <c r="O727" s="1"/>
      <c r="P727" s="1"/>
    </row>
    <row r="728" spans="14:16" ht="15.75" customHeight="1" x14ac:dyDescent="0.25">
      <c r="N728" s="1"/>
      <c r="O728" s="1"/>
      <c r="P728" s="1"/>
    </row>
    <row r="729" spans="14:16" ht="15.75" customHeight="1" x14ac:dyDescent="0.25">
      <c r="N729" s="1"/>
      <c r="O729" s="1"/>
      <c r="P729" s="1"/>
    </row>
    <row r="730" spans="14:16" ht="15.75" customHeight="1" x14ac:dyDescent="0.25">
      <c r="N730" s="1"/>
      <c r="O730" s="1"/>
      <c r="P730" s="1"/>
    </row>
    <row r="731" spans="14:16" ht="15.75" customHeight="1" x14ac:dyDescent="0.25">
      <c r="N731" s="1"/>
      <c r="O731" s="1"/>
      <c r="P731" s="1"/>
    </row>
    <row r="732" spans="14:16" ht="15.75" customHeight="1" x14ac:dyDescent="0.25">
      <c r="N732" s="1"/>
      <c r="O732" s="1"/>
      <c r="P732" s="1"/>
    </row>
    <row r="733" spans="14:16" ht="15.75" customHeight="1" x14ac:dyDescent="0.25">
      <c r="N733" s="1"/>
      <c r="O733" s="1"/>
      <c r="P733" s="1"/>
    </row>
    <row r="734" spans="14:16" ht="15.75" customHeight="1" x14ac:dyDescent="0.25">
      <c r="N734" s="1"/>
      <c r="O734" s="1"/>
      <c r="P734" s="1"/>
    </row>
    <row r="735" spans="14:16" ht="15.75" customHeight="1" x14ac:dyDescent="0.25">
      <c r="N735" s="1"/>
      <c r="O735" s="1"/>
      <c r="P735" s="1"/>
    </row>
    <row r="736" spans="14:16" ht="15.75" customHeight="1" x14ac:dyDescent="0.25">
      <c r="N736" s="1"/>
      <c r="O736" s="1"/>
      <c r="P736" s="1"/>
    </row>
    <row r="737" spans="14:16" ht="15.75" customHeight="1" x14ac:dyDescent="0.25">
      <c r="N737" s="1"/>
      <c r="O737" s="1"/>
      <c r="P737" s="1"/>
    </row>
    <row r="738" spans="14:16" ht="15.75" customHeight="1" x14ac:dyDescent="0.25">
      <c r="N738" s="1"/>
      <c r="O738" s="1"/>
      <c r="P738" s="1"/>
    </row>
    <row r="739" spans="14:16" ht="15.75" customHeight="1" x14ac:dyDescent="0.25">
      <c r="N739" s="1"/>
      <c r="O739" s="1"/>
      <c r="P739" s="1"/>
    </row>
    <row r="740" spans="14:16" ht="15.75" customHeight="1" x14ac:dyDescent="0.25">
      <c r="N740" s="1"/>
      <c r="O740" s="1"/>
      <c r="P740" s="1"/>
    </row>
    <row r="741" spans="14:16" ht="15.75" customHeight="1" x14ac:dyDescent="0.25">
      <c r="N741" s="1"/>
      <c r="O741" s="1"/>
      <c r="P741" s="1"/>
    </row>
    <row r="742" spans="14:16" ht="15.75" customHeight="1" x14ac:dyDescent="0.25">
      <c r="N742" s="1"/>
      <c r="O742" s="1"/>
      <c r="P742" s="1"/>
    </row>
    <row r="743" spans="14:16" ht="15.75" customHeight="1" x14ac:dyDescent="0.25">
      <c r="N743" s="1"/>
      <c r="O743" s="1"/>
      <c r="P743" s="1"/>
    </row>
    <row r="744" spans="14:16" ht="15.75" customHeight="1" x14ac:dyDescent="0.25">
      <c r="N744" s="1"/>
      <c r="O744" s="1"/>
      <c r="P744" s="1"/>
    </row>
    <row r="745" spans="14:16" ht="15.75" customHeight="1" x14ac:dyDescent="0.25">
      <c r="N745" s="1"/>
      <c r="O745" s="1"/>
      <c r="P745" s="1"/>
    </row>
    <row r="746" spans="14:16" ht="15.75" customHeight="1" x14ac:dyDescent="0.25">
      <c r="N746" s="1"/>
      <c r="O746" s="1"/>
      <c r="P746" s="1"/>
    </row>
    <row r="747" spans="14:16" ht="15.75" customHeight="1" x14ac:dyDescent="0.25">
      <c r="N747" s="1"/>
      <c r="O747" s="1"/>
      <c r="P747" s="1"/>
    </row>
    <row r="748" spans="14:16" ht="15.75" customHeight="1" x14ac:dyDescent="0.25">
      <c r="N748" s="1"/>
      <c r="O748" s="1"/>
      <c r="P748" s="1"/>
    </row>
    <row r="749" spans="14:16" ht="15.75" customHeight="1" x14ac:dyDescent="0.25">
      <c r="N749" s="1"/>
      <c r="O749" s="1"/>
      <c r="P749" s="1"/>
    </row>
    <row r="750" spans="14:16" ht="15.75" customHeight="1" x14ac:dyDescent="0.25">
      <c r="N750" s="1"/>
      <c r="O750" s="1"/>
      <c r="P750" s="1"/>
    </row>
    <row r="751" spans="14:16" ht="15.75" customHeight="1" x14ac:dyDescent="0.25">
      <c r="N751" s="1"/>
      <c r="O751" s="1"/>
      <c r="P751" s="1"/>
    </row>
    <row r="752" spans="14:16" ht="15.75" customHeight="1" x14ac:dyDescent="0.25">
      <c r="N752" s="1"/>
      <c r="O752" s="1"/>
      <c r="P752" s="1"/>
    </row>
    <row r="753" spans="14:16" ht="15.75" customHeight="1" x14ac:dyDescent="0.25">
      <c r="N753" s="1"/>
      <c r="O753" s="1"/>
      <c r="P753" s="1"/>
    </row>
    <row r="754" spans="14:16" ht="15.75" customHeight="1" x14ac:dyDescent="0.25">
      <c r="N754" s="1"/>
      <c r="O754" s="1"/>
      <c r="P754" s="1"/>
    </row>
    <row r="755" spans="14:16" ht="15.75" customHeight="1" x14ac:dyDescent="0.25">
      <c r="N755" s="1"/>
      <c r="O755" s="1"/>
      <c r="P755" s="1"/>
    </row>
    <row r="756" spans="14:16" ht="15.75" customHeight="1" x14ac:dyDescent="0.25">
      <c r="N756" s="1"/>
      <c r="O756" s="1"/>
      <c r="P756" s="1"/>
    </row>
    <row r="757" spans="14:16" ht="15.75" customHeight="1" x14ac:dyDescent="0.25">
      <c r="N757" s="1"/>
      <c r="O757" s="1"/>
      <c r="P757" s="1"/>
    </row>
    <row r="758" spans="14:16" ht="15.75" customHeight="1" x14ac:dyDescent="0.25">
      <c r="N758" s="1"/>
      <c r="O758" s="1"/>
      <c r="P758" s="1"/>
    </row>
    <row r="759" spans="14:16" ht="15.75" customHeight="1" x14ac:dyDescent="0.25">
      <c r="N759" s="1"/>
      <c r="O759" s="1"/>
      <c r="P759" s="1"/>
    </row>
    <row r="760" spans="14:16" ht="15.75" customHeight="1" x14ac:dyDescent="0.25">
      <c r="N760" s="1"/>
      <c r="O760" s="1"/>
      <c r="P760" s="1"/>
    </row>
    <row r="761" spans="14:16" ht="15.75" customHeight="1" x14ac:dyDescent="0.25">
      <c r="N761" s="1"/>
      <c r="O761" s="1"/>
      <c r="P761" s="1"/>
    </row>
    <row r="762" spans="14:16" ht="15.75" customHeight="1" x14ac:dyDescent="0.25">
      <c r="N762" s="1"/>
      <c r="O762" s="1"/>
      <c r="P762" s="1"/>
    </row>
    <row r="763" spans="14:16" ht="15.75" customHeight="1" x14ac:dyDescent="0.25">
      <c r="N763" s="1"/>
      <c r="O763" s="1"/>
      <c r="P763" s="1"/>
    </row>
    <row r="764" spans="14:16" ht="15.75" customHeight="1" x14ac:dyDescent="0.25">
      <c r="N764" s="1"/>
      <c r="O764" s="1"/>
      <c r="P764" s="1"/>
    </row>
    <row r="765" spans="14:16" ht="15.75" customHeight="1" x14ac:dyDescent="0.25">
      <c r="N765" s="1"/>
      <c r="O765" s="1"/>
      <c r="P765" s="1"/>
    </row>
    <row r="766" spans="14:16" ht="15.75" customHeight="1" x14ac:dyDescent="0.25">
      <c r="N766" s="1"/>
      <c r="O766" s="1"/>
      <c r="P766" s="1"/>
    </row>
    <row r="767" spans="14:16" ht="15.75" customHeight="1" x14ac:dyDescent="0.25">
      <c r="N767" s="1"/>
      <c r="O767" s="1"/>
      <c r="P767" s="1"/>
    </row>
    <row r="768" spans="14:16" ht="15.75" customHeight="1" x14ac:dyDescent="0.25">
      <c r="N768" s="1"/>
      <c r="O768" s="1"/>
      <c r="P768" s="1"/>
    </row>
    <row r="769" spans="14:16" ht="15.75" customHeight="1" x14ac:dyDescent="0.25">
      <c r="N769" s="1"/>
      <c r="O769" s="1"/>
      <c r="P769" s="1"/>
    </row>
    <row r="770" spans="14:16" ht="15.75" customHeight="1" x14ac:dyDescent="0.25">
      <c r="N770" s="1"/>
      <c r="O770" s="1"/>
      <c r="P770" s="1"/>
    </row>
    <row r="771" spans="14:16" ht="15.75" customHeight="1" x14ac:dyDescent="0.25">
      <c r="N771" s="1"/>
      <c r="O771" s="1"/>
      <c r="P771" s="1"/>
    </row>
    <row r="772" spans="14:16" ht="15.75" customHeight="1" x14ac:dyDescent="0.25">
      <c r="N772" s="1"/>
      <c r="O772" s="1"/>
      <c r="P772" s="1"/>
    </row>
    <row r="773" spans="14:16" ht="15.75" customHeight="1" x14ac:dyDescent="0.25">
      <c r="N773" s="1"/>
      <c r="O773" s="1"/>
      <c r="P773" s="1"/>
    </row>
    <row r="774" spans="14:16" ht="15.75" customHeight="1" x14ac:dyDescent="0.25">
      <c r="N774" s="1"/>
      <c r="O774" s="1"/>
      <c r="P774" s="1"/>
    </row>
    <row r="775" spans="14:16" ht="15.75" customHeight="1" x14ac:dyDescent="0.25">
      <c r="N775" s="1"/>
      <c r="O775" s="1"/>
      <c r="P775" s="1"/>
    </row>
    <row r="776" spans="14:16" ht="15.75" customHeight="1" x14ac:dyDescent="0.25">
      <c r="N776" s="1"/>
      <c r="O776" s="1"/>
      <c r="P776" s="1"/>
    </row>
    <row r="777" spans="14:16" ht="15.75" customHeight="1" x14ac:dyDescent="0.25">
      <c r="N777" s="1"/>
      <c r="O777" s="1"/>
      <c r="P777" s="1"/>
    </row>
    <row r="778" spans="14:16" ht="15.75" customHeight="1" x14ac:dyDescent="0.25">
      <c r="N778" s="1"/>
      <c r="O778" s="1"/>
      <c r="P778" s="1"/>
    </row>
    <row r="779" spans="14:16" ht="15.75" customHeight="1" x14ac:dyDescent="0.25">
      <c r="N779" s="1"/>
      <c r="O779" s="1"/>
      <c r="P779" s="1"/>
    </row>
    <row r="780" spans="14:16" ht="15.75" customHeight="1" x14ac:dyDescent="0.25">
      <c r="N780" s="1"/>
      <c r="O780" s="1"/>
      <c r="P780" s="1"/>
    </row>
    <row r="781" spans="14:16" ht="15.75" customHeight="1" x14ac:dyDescent="0.25">
      <c r="N781" s="1"/>
      <c r="O781" s="1"/>
      <c r="P781" s="1"/>
    </row>
    <row r="782" spans="14:16" ht="15.75" customHeight="1" x14ac:dyDescent="0.25">
      <c r="N782" s="1"/>
      <c r="O782" s="1"/>
      <c r="P782" s="1"/>
    </row>
    <row r="783" spans="14:16" ht="15.75" customHeight="1" x14ac:dyDescent="0.25">
      <c r="N783" s="1"/>
      <c r="O783" s="1"/>
      <c r="P783" s="1"/>
    </row>
    <row r="784" spans="14:16" ht="15.75" customHeight="1" x14ac:dyDescent="0.25">
      <c r="N784" s="1"/>
      <c r="O784" s="1"/>
      <c r="P784" s="1"/>
    </row>
    <row r="785" spans="14:16" ht="15.75" customHeight="1" x14ac:dyDescent="0.25">
      <c r="N785" s="1"/>
      <c r="O785" s="1"/>
      <c r="P785" s="1"/>
    </row>
    <row r="786" spans="14:16" ht="15.75" customHeight="1" x14ac:dyDescent="0.25">
      <c r="N786" s="1"/>
      <c r="O786" s="1"/>
      <c r="P786" s="1"/>
    </row>
    <row r="787" spans="14:16" ht="15.75" customHeight="1" x14ac:dyDescent="0.25">
      <c r="N787" s="1"/>
      <c r="O787" s="1"/>
      <c r="P787" s="1"/>
    </row>
    <row r="788" spans="14:16" ht="15.75" customHeight="1" x14ac:dyDescent="0.25">
      <c r="N788" s="1"/>
      <c r="O788" s="1"/>
      <c r="P788" s="1"/>
    </row>
    <row r="789" spans="14:16" ht="15.75" customHeight="1" x14ac:dyDescent="0.25">
      <c r="N789" s="1"/>
      <c r="O789" s="1"/>
      <c r="P789" s="1"/>
    </row>
    <row r="790" spans="14:16" ht="15.75" customHeight="1" x14ac:dyDescent="0.25">
      <c r="N790" s="1"/>
      <c r="O790" s="1"/>
      <c r="P790" s="1"/>
    </row>
    <row r="791" spans="14:16" ht="15.75" customHeight="1" x14ac:dyDescent="0.25">
      <c r="N791" s="1"/>
      <c r="O791" s="1"/>
      <c r="P791" s="1"/>
    </row>
    <row r="792" spans="14:16" ht="15.75" customHeight="1" x14ac:dyDescent="0.25">
      <c r="N792" s="1"/>
      <c r="O792" s="1"/>
      <c r="P792" s="1"/>
    </row>
    <row r="793" spans="14:16" ht="15.75" customHeight="1" x14ac:dyDescent="0.25">
      <c r="N793" s="1"/>
      <c r="O793" s="1"/>
      <c r="P793" s="1"/>
    </row>
    <row r="794" spans="14:16" ht="15.75" customHeight="1" x14ac:dyDescent="0.25">
      <c r="N794" s="1"/>
      <c r="O794" s="1"/>
      <c r="P794" s="1"/>
    </row>
    <row r="795" spans="14:16" ht="15.75" customHeight="1" x14ac:dyDescent="0.25">
      <c r="N795" s="1"/>
      <c r="O795" s="1"/>
      <c r="P795" s="1"/>
    </row>
    <row r="796" spans="14:16" ht="15.75" customHeight="1" x14ac:dyDescent="0.25">
      <c r="N796" s="1"/>
      <c r="O796" s="1"/>
      <c r="P796" s="1"/>
    </row>
    <row r="797" spans="14:16" ht="15.75" customHeight="1" x14ac:dyDescent="0.25">
      <c r="N797" s="1"/>
      <c r="O797" s="1"/>
      <c r="P797" s="1"/>
    </row>
    <row r="798" spans="14:16" ht="15.75" customHeight="1" x14ac:dyDescent="0.25">
      <c r="N798" s="1"/>
      <c r="O798" s="1"/>
      <c r="P798" s="1"/>
    </row>
    <row r="799" spans="14:16" ht="15.75" customHeight="1" x14ac:dyDescent="0.25">
      <c r="N799" s="1"/>
      <c r="O799" s="1"/>
      <c r="P799" s="1"/>
    </row>
    <row r="800" spans="14:16" ht="15.75" customHeight="1" x14ac:dyDescent="0.25">
      <c r="N800" s="1"/>
      <c r="O800" s="1"/>
      <c r="P800" s="1"/>
    </row>
    <row r="801" spans="14:16" ht="15.75" customHeight="1" x14ac:dyDescent="0.25">
      <c r="N801" s="1"/>
      <c r="O801" s="1"/>
      <c r="P801" s="1"/>
    </row>
    <row r="802" spans="14:16" ht="15.75" customHeight="1" x14ac:dyDescent="0.25">
      <c r="N802" s="1"/>
      <c r="O802" s="1"/>
      <c r="P802" s="1"/>
    </row>
    <row r="803" spans="14:16" ht="15.75" customHeight="1" x14ac:dyDescent="0.25">
      <c r="N803" s="1"/>
      <c r="O803" s="1"/>
      <c r="P803" s="1"/>
    </row>
    <row r="804" spans="14:16" ht="15.75" customHeight="1" x14ac:dyDescent="0.25">
      <c r="N804" s="1"/>
      <c r="O804" s="1"/>
      <c r="P804" s="1"/>
    </row>
    <row r="805" spans="14:16" ht="15.75" customHeight="1" x14ac:dyDescent="0.25">
      <c r="N805" s="1"/>
      <c r="O805" s="1"/>
      <c r="P805" s="1"/>
    </row>
    <row r="806" spans="14:16" ht="15.75" customHeight="1" x14ac:dyDescent="0.25">
      <c r="N806" s="1"/>
      <c r="O806" s="1"/>
      <c r="P806" s="1"/>
    </row>
    <row r="807" spans="14:16" ht="15.75" customHeight="1" x14ac:dyDescent="0.25">
      <c r="N807" s="1"/>
      <c r="O807" s="1"/>
      <c r="P807" s="1"/>
    </row>
    <row r="808" spans="14:16" ht="15.75" customHeight="1" x14ac:dyDescent="0.25">
      <c r="N808" s="1"/>
      <c r="O808" s="1"/>
      <c r="P808" s="1"/>
    </row>
    <row r="809" spans="14:16" ht="15.75" customHeight="1" x14ac:dyDescent="0.25">
      <c r="N809" s="1"/>
      <c r="O809" s="1"/>
      <c r="P809" s="1"/>
    </row>
    <row r="810" spans="14:16" ht="15.75" customHeight="1" x14ac:dyDescent="0.25">
      <c r="N810" s="1"/>
      <c r="O810" s="1"/>
      <c r="P810" s="1"/>
    </row>
    <row r="811" spans="14:16" ht="15.75" customHeight="1" x14ac:dyDescent="0.25">
      <c r="N811" s="1"/>
      <c r="O811" s="1"/>
      <c r="P811" s="1"/>
    </row>
    <row r="812" spans="14:16" ht="15.75" customHeight="1" x14ac:dyDescent="0.25">
      <c r="N812" s="1"/>
      <c r="O812" s="1"/>
      <c r="P812" s="1"/>
    </row>
    <row r="813" spans="14:16" ht="15.75" customHeight="1" x14ac:dyDescent="0.25">
      <c r="N813" s="1"/>
      <c r="O813" s="1"/>
      <c r="P813" s="1"/>
    </row>
    <row r="814" spans="14:16" ht="15.75" customHeight="1" x14ac:dyDescent="0.25">
      <c r="N814" s="1"/>
      <c r="O814" s="1"/>
      <c r="P814" s="1"/>
    </row>
    <row r="815" spans="14:16" ht="15.75" customHeight="1" x14ac:dyDescent="0.25">
      <c r="N815" s="1"/>
      <c r="O815" s="1"/>
      <c r="P815" s="1"/>
    </row>
    <row r="816" spans="14:16" ht="15.75" customHeight="1" x14ac:dyDescent="0.25">
      <c r="N816" s="1"/>
      <c r="O816" s="1"/>
      <c r="P816" s="1"/>
    </row>
    <row r="817" spans="14:16" ht="15.75" customHeight="1" x14ac:dyDescent="0.25">
      <c r="N817" s="1"/>
      <c r="O817" s="1"/>
      <c r="P817" s="1"/>
    </row>
    <row r="818" spans="14:16" ht="15.75" customHeight="1" x14ac:dyDescent="0.25">
      <c r="N818" s="1"/>
      <c r="O818" s="1"/>
      <c r="P818" s="1"/>
    </row>
    <row r="819" spans="14:16" ht="15.75" customHeight="1" x14ac:dyDescent="0.25">
      <c r="N819" s="1"/>
      <c r="O819" s="1"/>
      <c r="P819" s="1"/>
    </row>
    <row r="820" spans="14:16" ht="15.75" customHeight="1" x14ac:dyDescent="0.25">
      <c r="N820" s="1"/>
      <c r="O820" s="1"/>
      <c r="P820" s="1"/>
    </row>
    <row r="821" spans="14:16" ht="15.75" customHeight="1" x14ac:dyDescent="0.25">
      <c r="N821" s="1"/>
      <c r="O821" s="1"/>
      <c r="P821" s="1"/>
    </row>
    <row r="822" spans="14:16" ht="15.75" customHeight="1" x14ac:dyDescent="0.25">
      <c r="N822" s="1"/>
      <c r="O822" s="1"/>
      <c r="P822" s="1"/>
    </row>
    <row r="823" spans="14:16" ht="15.75" customHeight="1" x14ac:dyDescent="0.25">
      <c r="N823" s="1"/>
      <c r="O823" s="1"/>
      <c r="P823" s="1"/>
    </row>
    <row r="824" spans="14:16" ht="15.75" customHeight="1" x14ac:dyDescent="0.25">
      <c r="N824" s="1"/>
      <c r="O824" s="1"/>
      <c r="P824" s="1"/>
    </row>
    <row r="825" spans="14:16" ht="15.75" customHeight="1" x14ac:dyDescent="0.25">
      <c r="N825" s="1"/>
      <c r="O825" s="1"/>
      <c r="P825" s="1"/>
    </row>
    <row r="826" spans="14:16" ht="15.75" customHeight="1" x14ac:dyDescent="0.25">
      <c r="N826" s="1"/>
      <c r="O826" s="1"/>
      <c r="P826" s="1"/>
    </row>
    <row r="827" spans="14:16" ht="15.75" customHeight="1" x14ac:dyDescent="0.25">
      <c r="N827" s="1"/>
      <c r="O827" s="1"/>
      <c r="P827" s="1"/>
    </row>
    <row r="828" spans="14:16" ht="15.75" customHeight="1" x14ac:dyDescent="0.25">
      <c r="N828" s="1"/>
      <c r="O828" s="1"/>
      <c r="P828" s="1"/>
    </row>
    <row r="829" spans="14:16" ht="15.75" customHeight="1" x14ac:dyDescent="0.25">
      <c r="N829" s="1"/>
      <c r="O829" s="1"/>
      <c r="P829" s="1"/>
    </row>
    <row r="830" spans="14:16" ht="15.75" customHeight="1" x14ac:dyDescent="0.25">
      <c r="N830" s="1"/>
      <c r="O830" s="1"/>
      <c r="P830" s="1"/>
    </row>
    <row r="831" spans="14:16" ht="15.75" customHeight="1" x14ac:dyDescent="0.25">
      <c r="N831" s="1"/>
      <c r="O831" s="1"/>
      <c r="P831" s="1"/>
    </row>
    <row r="832" spans="14:16" ht="15.75" customHeight="1" x14ac:dyDescent="0.25">
      <c r="N832" s="1"/>
      <c r="O832" s="1"/>
      <c r="P832" s="1"/>
    </row>
    <row r="833" spans="14:16" ht="15.75" customHeight="1" x14ac:dyDescent="0.25">
      <c r="N833" s="1"/>
      <c r="O833" s="1"/>
      <c r="P833" s="1"/>
    </row>
    <row r="834" spans="14:16" ht="15.75" customHeight="1" x14ac:dyDescent="0.25">
      <c r="N834" s="1"/>
      <c r="O834" s="1"/>
      <c r="P834" s="1"/>
    </row>
    <row r="835" spans="14:16" ht="15.75" customHeight="1" x14ac:dyDescent="0.25">
      <c r="N835" s="1"/>
      <c r="O835" s="1"/>
      <c r="P835" s="1"/>
    </row>
    <row r="836" spans="14:16" ht="15.75" customHeight="1" x14ac:dyDescent="0.25">
      <c r="N836" s="1"/>
      <c r="O836" s="1"/>
      <c r="P836" s="1"/>
    </row>
    <row r="837" spans="14:16" ht="15.75" customHeight="1" x14ac:dyDescent="0.25">
      <c r="N837" s="1"/>
      <c r="O837" s="1"/>
      <c r="P837" s="1"/>
    </row>
    <row r="838" spans="14:16" ht="15.75" customHeight="1" x14ac:dyDescent="0.25">
      <c r="N838" s="1"/>
      <c r="O838" s="1"/>
      <c r="P838" s="1"/>
    </row>
    <row r="839" spans="14:16" ht="15.75" customHeight="1" x14ac:dyDescent="0.25">
      <c r="N839" s="1"/>
      <c r="O839" s="1"/>
      <c r="P839" s="1"/>
    </row>
    <row r="840" spans="14:16" ht="15.75" customHeight="1" x14ac:dyDescent="0.25">
      <c r="N840" s="1"/>
      <c r="O840" s="1"/>
      <c r="P840" s="1"/>
    </row>
    <row r="841" spans="14:16" ht="15.75" customHeight="1" x14ac:dyDescent="0.25">
      <c r="N841" s="1"/>
      <c r="O841" s="1"/>
      <c r="P841" s="1"/>
    </row>
    <row r="842" spans="14:16" ht="15.75" customHeight="1" x14ac:dyDescent="0.25">
      <c r="N842" s="1"/>
      <c r="O842" s="1"/>
      <c r="P842" s="1"/>
    </row>
    <row r="843" spans="14:16" ht="15.75" customHeight="1" x14ac:dyDescent="0.25">
      <c r="N843" s="1"/>
      <c r="O843" s="1"/>
      <c r="P843" s="1"/>
    </row>
    <row r="844" spans="14:16" ht="15.75" customHeight="1" x14ac:dyDescent="0.25">
      <c r="N844" s="1"/>
      <c r="O844" s="1"/>
      <c r="P844" s="1"/>
    </row>
    <row r="845" spans="14:16" ht="15.75" customHeight="1" x14ac:dyDescent="0.25">
      <c r="N845" s="1"/>
      <c r="O845" s="1"/>
      <c r="P845" s="1"/>
    </row>
    <row r="846" spans="14:16" ht="15.75" customHeight="1" x14ac:dyDescent="0.25">
      <c r="N846" s="1"/>
      <c r="O846" s="1"/>
      <c r="P846" s="1"/>
    </row>
    <row r="847" spans="14:16" ht="15.75" customHeight="1" x14ac:dyDescent="0.25">
      <c r="N847" s="1"/>
      <c r="O847" s="1"/>
      <c r="P847" s="1"/>
    </row>
    <row r="848" spans="14:16" ht="15.75" customHeight="1" x14ac:dyDescent="0.25">
      <c r="N848" s="1"/>
      <c r="O848" s="1"/>
      <c r="P848" s="1"/>
    </row>
    <row r="849" spans="14:16" ht="15.75" customHeight="1" x14ac:dyDescent="0.25">
      <c r="N849" s="1"/>
      <c r="O849" s="1"/>
      <c r="P849" s="1"/>
    </row>
    <row r="850" spans="14:16" ht="15.75" customHeight="1" x14ac:dyDescent="0.25">
      <c r="N850" s="1"/>
      <c r="O850" s="1"/>
      <c r="P850" s="1"/>
    </row>
    <row r="851" spans="14:16" ht="15.75" customHeight="1" x14ac:dyDescent="0.25">
      <c r="N851" s="1"/>
      <c r="O851" s="1"/>
      <c r="P851" s="1"/>
    </row>
    <row r="852" spans="14:16" ht="15.75" customHeight="1" x14ac:dyDescent="0.25">
      <c r="N852" s="1"/>
      <c r="O852" s="1"/>
      <c r="P852" s="1"/>
    </row>
    <row r="853" spans="14:16" ht="15.75" customHeight="1" x14ac:dyDescent="0.25">
      <c r="N853" s="1"/>
      <c r="O853" s="1"/>
      <c r="P853" s="1"/>
    </row>
    <row r="854" spans="14:16" ht="15.75" customHeight="1" x14ac:dyDescent="0.25">
      <c r="N854" s="1"/>
      <c r="O854" s="1"/>
      <c r="P854" s="1"/>
    </row>
    <row r="855" spans="14:16" ht="15.75" customHeight="1" x14ac:dyDescent="0.25">
      <c r="N855" s="1"/>
      <c r="O855" s="1"/>
      <c r="P855" s="1"/>
    </row>
    <row r="856" spans="14:16" ht="15.75" customHeight="1" x14ac:dyDescent="0.25">
      <c r="N856" s="1"/>
      <c r="O856" s="1"/>
      <c r="P856" s="1"/>
    </row>
    <row r="857" spans="14:16" ht="15.75" customHeight="1" x14ac:dyDescent="0.25">
      <c r="N857" s="1"/>
      <c r="O857" s="1"/>
      <c r="P857" s="1"/>
    </row>
    <row r="858" spans="14:16" ht="15.75" customHeight="1" x14ac:dyDescent="0.25">
      <c r="N858" s="1"/>
      <c r="O858" s="1"/>
      <c r="P858" s="1"/>
    </row>
    <row r="859" spans="14:16" ht="15.75" customHeight="1" x14ac:dyDescent="0.25">
      <c r="N859" s="1"/>
      <c r="O859" s="1"/>
      <c r="P859" s="1"/>
    </row>
    <row r="860" spans="14:16" ht="15.75" customHeight="1" x14ac:dyDescent="0.25">
      <c r="N860" s="1"/>
      <c r="O860" s="1"/>
      <c r="P860" s="1"/>
    </row>
    <row r="861" spans="14:16" ht="15.75" customHeight="1" x14ac:dyDescent="0.25">
      <c r="N861" s="1"/>
      <c r="O861" s="1"/>
      <c r="P861" s="1"/>
    </row>
    <row r="862" spans="14:16" ht="15.75" customHeight="1" x14ac:dyDescent="0.25">
      <c r="N862" s="1"/>
      <c r="O862" s="1"/>
      <c r="P862" s="1"/>
    </row>
    <row r="863" spans="14:16" ht="15.75" customHeight="1" x14ac:dyDescent="0.25">
      <c r="N863" s="1"/>
      <c r="O863" s="1"/>
      <c r="P863" s="1"/>
    </row>
    <row r="864" spans="14:16" ht="15.75" customHeight="1" x14ac:dyDescent="0.25">
      <c r="N864" s="1"/>
      <c r="O864" s="1"/>
      <c r="P864" s="1"/>
    </row>
    <row r="865" spans="14:16" ht="15.75" customHeight="1" x14ac:dyDescent="0.25">
      <c r="N865" s="1"/>
      <c r="O865" s="1"/>
      <c r="P865" s="1"/>
    </row>
    <row r="866" spans="14:16" ht="15.75" customHeight="1" x14ac:dyDescent="0.25">
      <c r="N866" s="1"/>
      <c r="O866" s="1"/>
      <c r="P866" s="1"/>
    </row>
    <row r="867" spans="14:16" ht="15.75" customHeight="1" x14ac:dyDescent="0.25">
      <c r="N867" s="1"/>
      <c r="O867" s="1"/>
      <c r="P867" s="1"/>
    </row>
    <row r="868" spans="14:16" ht="15.75" customHeight="1" x14ac:dyDescent="0.25">
      <c r="N868" s="1"/>
      <c r="O868" s="1"/>
      <c r="P868" s="1"/>
    </row>
    <row r="869" spans="14:16" ht="15.75" customHeight="1" x14ac:dyDescent="0.25">
      <c r="N869" s="1"/>
      <c r="O869" s="1"/>
      <c r="P869" s="1"/>
    </row>
    <row r="870" spans="14:16" ht="15.75" customHeight="1" x14ac:dyDescent="0.25">
      <c r="N870" s="1"/>
      <c r="O870" s="1"/>
      <c r="P870" s="1"/>
    </row>
    <row r="871" spans="14:16" ht="15.75" customHeight="1" x14ac:dyDescent="0.25">
      <c r="N871" s="1"/>
      <c r="O871" s="1"/>
      <c r="P871" s="1"/>
    </row>
    <row r="872" spans="14:16" ht="15.75" customHeight="1" x14ac:dyDescent="0.25">
      <c r="N872" s="1"/>
      <c r="O872" s="1"/>
      <c r="P872" s="1"/>
    </row>
    <row r="873" spans="14:16" ht="15.75" customHeight="1" x14ac:dyDescent="0.25">
      <c r="N873" s="1"/>
      <c r="O873" s="1"/>
      <c r="P873" s="1"/>
    </row>
    <row r="874" spans="14:16" ht="15.75" customHeight="1" x14ac:dyDescent="0.25">
      <c r="N874" s="1"/>
      <c r="O874" s="1"/>
      <c r="P874" s="1"/>
    </row>
    <row r="875" spans="14:16" ht="15.75" customHeight="1" x14ac:dyDescent="0.25">
      <c r="N875" s="1"/>
      <c r="O875" s="1"/>
      <c r="P875" s="1"/>
    </row>
    <row r="876" spans="14:16" ht="15.75" customHeight="1" x14ac:dyDescent="0.25">
      <c r="N876" s="1"/>
      <c r="O876" s="1"/>
      <c r="P876" s="1"/>
    </row>
    <row r="877" spans="14:16" ht="15.75" customHeight="1" x14ac:dyDescent="0.25">
      <c r="N877" s="1"/>
      <c r="O877" s="1"/>
      <c r="P877" s="1"/>
    </row>
    <row r="878" spans="14:16" ht="15.75" customHeight="1" x14ac:dyDescent="0.25">
      <c r="N878" s="1"/>
      <c r="O878" s="1"/>
      <c r="P878" s="1"/>
    </row>
    <row r="879" spans="14:16" ht="15.75" customHeight="1" x14ac:dyDescent="0.25">
      <c r="N879" s="1"/>
      <c r="O879" s="1"/>
      <c r="P879" s="1"/>
    </row>
    <row r="880" spans="14:16" ht="15.75" customHeight="1" x14ac:dyDescent="0.25">
      <c r="N880" s="1"/>
      <c r="O880" s="1"/>
      <c r="P880" s="1"/>
    </row>
    <row r="881" spans="14:16" ht="15.75" customHeight="1" x14ac:dyDescent="0.25">
      <c r="N881" s="1"/>
      <c r="O881" s="1"/>
      <c r="P881" s="1"/>
    </row>
    <row r="882" spans="14:16" ht="15.75" customHeight="1" x14ac:dyDescent="0.25">
      <c r="N882" s="1"/>
      <c r="O882" s="1"/>
      <c r="P882" s="1"/>
    </row>
    <row r="883" spans="14:16" ht="15.75" customHeight="1" x14ac:dyDescent="0.25">
      <c r="N883" s="1"/>
      <c r="O883" s="1"/>
      <c r="P883" s="1"/>
    </row>
    <row r="884" spans="14:16" ht="15.75" customHeight="1" x14ac:dyDescent="0.25">
      <c r="N884" s="1"/>
      <c r="O884" s="1"/>
      <c r="P884" s="1"/>
    </row>
    <row r="885" spans="14:16" ht="15.75" customHeight="1" x14ac:dyDescent="0.25">
      <c r="N885" s="1"/>
      <c r="O885" s="1"/>
      <c r="P885" s="1"/>
    </row>
    <row r="886" spans="14:16" ht="15.75" customHeight="1" x14ac:dyDescent="0.25">
      <c r="N886" s="1"/>
      <c r="O886" s="1"/>
      <c r="P886" s="1"/>
    </row>
    <row r="887" spans="14:16" ht="15.75" customHeight="1" x14ac:dyDescent="0.25">
      <c r="N887" s="1"/>
      <c r="O887" s="1"/>
      <c r="P887" s="1"/>
    </row>
    <row r="888" spans="14:16" ht="15.75" customHeight="1" x14ac:dyDescent="0.25">
      <c r="N888" s="1"/>
      <c r="O888" s="1"/>
      <c r="P888" s="1"/>
    </row>
    <row r="889" spans="14:16" ht="15.75" customHeight="1" x14ac:dyDescent="0.25">
      <c r="N889" s="1"/>
      <c r="O889" s="1"/>
      <c r="P889" s="1"/>
    </row>
    <row r="890" spans="14:16" ht="15.75" customHeight="1" x14ac:dyDescent="0.25">
      <c r="N890" s="1"/>
      <c r="O890" s="1"/>
      <c r="P890" s="1"/>
    </row>
    <row r="891" spans="14:16" ht="15.75" customHeight="1" x14ac:dyDescent="0.25">
      <c r="N891" s="1"/>
      <c r="O891" s="1"/>
      <c r="P891" s="1"/>
    </row>
    <row r="892" spans="14:16" ht="15.75" customHeight="1" x14ac:dyDescent="0.25">
      <c r="N892" s="1"/>
      <c r="O892" s="1"/>
      <c r="P892" s="1"/>
    </row>
    <row r="893" spans="14:16" ht="15.75" customHeight="1" x14ac:dyDescent="0.25">
      <c r="N893" s="1"/>
      <c r="O893" s="1"/>
      <c r="P893" s="1"/>
    </row>
    <row r="894" spans="14:16" ht="15.75" customHeight="1" x14ac:dyDescent="0.25">
      <c r="N894" s="1"/>
      <c r="O894" s="1"/>
      <c r="P894" s="1"/>
    </row>
    <row r="895" spans="14:16" ht="15.75" customHeight="1" x14ac:dyDescent="0.25">
      <c r="N895" s="1"/>
      <c r="O895" s="1"/>
      <c r="P895" s="1"/>
    </row>
    <row r="896" spans="14:16" ht="15.75" customHeight="1" x14ac:dyDescent="0.25">
      <c r="N896" s="1"/>
      <c r="O896" s="1"/>
      <c r="P896" s="1"/>
    </row>
    <row r="897" spans="14:16" ht="15.75" customHeight="1" x14ac:dyDescent="0.25">
      <c r="N897" s="1"/>
      <c r="O897" s="1"/>
      <c r="P897" s="1"/>
    </row>
    <row r="898" spans="14:16" ht="15.75" customHeight="1" x14ac:dyDescent="0.25">
      <c r="N898" s="1"/>
      <c r="O898" s="1"/>
      <c r="P898" s="1"/>
    </row>
    <row r="899" spans="14:16" ht="15.75" customHeight="1" x14ac:dyDescent="0.25">
      <c r="N899" s="1"/>
      <c r="O899" s="1"/>
      <c r="P899" s="1"/>
    </row>
    <row r="900" spans="14:16" ht="15.75" customHeight="1" x14ac:dyDescent="0.25">
      <c r="N900" s="1"/>
      <c r="O900" s="1"/>
      <c r="P900" s="1"/>
    </row>
    <row r="901" spans="14:16" ht="15.75" customHeight="1" x14ac:dyDescent="0.25">
      <c r="N901" s="1"/>
      <c r="O901" s="1"/>
      <c r="P901" s="1"/>
    </row>
    <row r="902" spans="14:16" ht="15.75" customHeight="1" x14ac:dyDescent="0.25">
      <c r="N902" s="1"/>
      <c r="O902" s="1"/>
      <c r="P902" s="1"/>
    </row>
    <row r="903" spans="14:16" ht="15.75" customHeight="1" x14ac:dyDescent="0.25">
      <c r="N903" s="1"/>
      <c r="O903" s="1"/>
      <c r="P903" s="1"/>
    </row>
    <row r="904" spans="14:16" ht="15.75" customHeight="1" x14ac:dyDescent="0.25">
      <c r="N904" s="1"/>
      <c r="O904" s="1"/>
      <c r="P904" s="1"/>
    </row>
    <row r="905" spans="14:16" ht="15.75" customHeight="1" x14ac:dyDescent="0.25">
      <c r="N905" s="1"/>
      <c r="O905" s="1"/>
      <c r="P905" s="1"/>
    </row>
    <row r="906" spans="14:16" ht="15.75" customHeight="1" x14ac:dyDescent="0.25">
      <c r="N906" s="1"/>
      <c r="O906" s="1"/>
      <c r="P906" s="1"/>
    </row>
    <row r="907" spans="14:16" ht="15.75" customHeight="1" x14ac:dyDescent="0.25">
      <c r="N907" s="1"/>
      <c r="O907" s="1"/>
      <c r="P907" s="1"/>
    </row>
    <row r="908" spans="14:16" ht="15.75" customHeight="1" x14ac:dyDescent="0.25">
      <c r="N908" s="1"/>
      <c r="O908" s="1"/>
      <c r="P908" s="1"/>
    </row>
    <row r="909" spans="14:16" ht="15.75" customHeight="1" x14ac:dyDescent="0.25">
      <c r="N909" s="1"/>
      <c r="O909" s="1"/>
      <c r="P909" s="1"/>
    </row>
    <row r="910" spans="14:16" ht="15.75" customHeight="1" x14ac:dyDescent="0.25">
      <c r="N910" s="1"/>
      <c r="O910" s="1"/>
      <c r="P910" s="1"/>
    </row>
    <row r="911" spans="14:16" ht="15.75" customHeight="1" x14ac:dyDescent="0.25">
      <c r="N911" s="1"/>
      <c r="O911" s="1"/>
      <c r="P911" s="1"/>
    </row>
    <row r="912" spans="14:16" ht="15.75" customHeight="1" x14ac:dyDescent="0.25">
      <c r="N912" s="1"/>
      <c r="O912" s="1"/>
      <c r="P912" s="1"/>
    </row>
    <row r="913" spans="14:16" ht="15.75" customHeight="1" x14ac:dyDescent="0.25">
      <c r="N913" s="1"/>
      <c r="O913" s="1"/>
      <c r="P913" s="1"/>
    </row>
    <row r="914" spans="14:16" ht="15.75" customHeight="1" x14ac:dyDescent="0.25">
      <c r="N914" s="1"/>
      <c r="O914" s="1"/>
      <c r="P914" s="1"/>
    </row>
    <row r="915" spans="14:16" ht="15.75" customHeight="1" x14ac:dyDescent="0.25">
      <c r="N915" s="1"/>
      <c r="O915" s="1"/>
      <c r="P915" s="1"/>
    </row>
    <row r="916" spans="14:16" ht="15.75" customHeight="1" x14ac:dyDescent="0.25">
      <c r="N916" s="1"/>
      <c r="O916" s="1"/>
      <c r="P916" s="1"/>
    </row>
    <row r="917" spans="14:16" ht="15.75" customHeight="1" x14ac:dyDescent="0.25">
      <c r="N917" s="1"/>
      <c r="O917" s="1"/>
      <c r="P917" s="1"/>
    </row>
    <row r="918" spans="14:16" ht="15.75" customHeight="1" x14ac:dyDescent="0.25">
      <c r="N918" s="1"/>
      <c r="O918" s="1"/>
      <c r="P918" s="1"/>
    </row>
    <row r="919" spans="14:16" ht="15.75" customHeight="1" x14ac:dyDescent="0.25">
      <c r="N919" s="1"/>
      <c r="O919" s="1"/>
      <c r="P919" s="1"/>
    </row>
    <row r="920" spans="14:16" ht="15.75" customHeight="1" x14ac:dyDescent="0.25">
      <c r="N920" s="1"/>
      <c r="O920" s="1"/>
      <c r="P920" s="1"/>
    </row>
    <row r="921" spans="14:16" ht="15.75" customHeight="1" x14ac:dyDescent="0.25">
      <c r="N921" s="1"/>
      <c r="O921" s="1"/>
      <c r="P921" s="1"/>
    </row>
    <row r="922" spans="14:16" ht="15.75" customHeight="1" x14ac:dyDescent="0.25">
      <c r="N922" s="1"/>
      <c r="O922" s="1"/>
      <c r="P922" s="1"/>
    </row>
    <row r="923" spans="14:16" ht="15.75" customHeight="1" x14ac:dyDescent="0.25">
      <c r="N923" s="1"/>
      <c r="O923" s="1"/>
      <c r="P923" s="1"/>
    </row>
    <row r="924" spans="14:16" ht="15.75" customHeight="1" x14ac:dyDescent="0.25">
      <c r="N924" s="1"/>
      <c r="O924" s="1"/>
      <c r="P924" s="1"/>
    </row>
    <row r="925" spans="14:16" ht="15.75" customHeight="1" x14ac:dyDescent="0.25">
      <c r="N925" s="1"/>
      <c r="O925" s="1"/>
      <c r="P925" s="1"/>
    </row>
    <row r="926" spans="14:16" ht="15.75" customHeight="1" x14ac:dyDescent="0.25">
      <c r="N926" s="1"/>
      <c r="O926" s="1"/>
      <c r="P926" s="1"/>
    </row>
    <row r="927" spans="14:16" ht="15.75" customHeight="1" x14ac:dyDescent="0.25">
      <c r="N927" s="1"/>
      <c r="O927" s="1"/>
      <c r="P927" s="1"/>
    </row>
    <row r="928" spans="14:16" ht="15.75" customHeight="1" x14ac:dyDescent="0.25">
      <c r="N928" s="1"/>
      <c r="O928" s="1"/>
      <c r="P928" s="1"/>
    </row>
    <row r="929" spans="14:16" ht="15.75" customHeight="1" x14ac:dyDescent="0.25">
      <c r="N929" s="1"/>
      <c r="O929" s="1"/>
      <c r="P929" s="1"/>
    </row>
    <row r="930" spans="14:16" ht="15.75" customHeight="1" x14ac:dyDescent="0.25">
      <c r="N930" s="1"/>
      <c r="O930" s="1"/>
      <c r="P930" s="1"/>
    </row>
    <row r="931" spans="14:16" ht="15.75" customHeight="1" x14ac:dyDescent="0.25">
      <c r="N931" s="1"/>
      <c r="O931" s="1"/>
      <c r="P931" s="1"/>
    </row>
    <row r="932" spans="14:16" ht="15.75" customHeight="1" x14ac:dyDescent="0.25">
      <c r="N932" s="1"/>
      <c r="O932" s="1"/>
      <c r="P932" s="1"/>
    </row>
    <row r="933" spans="14:16" ht="15.75" customHeight="1" x14ac:dyDescent="0.25">
      <c r="N933" s="1"/>
      <c r="O933" s="1"/>
      <c r="P933" s="1"/>
    </row>
    <row r="934" spans="14:16" ht="15.75" customHeight="1" x14ac:dyDescent="0.25">
      <c r="N934" s="1"/>
      <c r="O934" s="1"/>
      <c r="P934" s="1"/>
    </row>
    <row r="935" spans="14:16" ht="15.75" customHeight="1" x14ac:dyDescent="0.25">
      <c r="N935" s="1"/>
      <c r="O935" s="1"/>
      <c r="P935" s="1"/>
    </row>
    <row r="936" spans="14:16" ht="15.75" customHeight="1" x14ac:dyDescent="0.25">
      <c r="N936" s="1"/>
      <c r="O936" s="1"/>
      <c r="P936" s="1"/>
    </row>
    <row r="937" spans="14:16" ht="15.75" customHeight="1" x14ac:dyDescent="0.25">
      <c r="N937" s="1"/>
      <c r="O937" s="1"/>
      <c r="P937" s="1"/>
    </row>
    <row r="938" spans="14:16" ht="15.75" customHeight="1" x14ac:dyDescent="0.25">
      <c r="N938" s="1"/>
      <c r="O938" s="1"/>
      <c r="P938" s="1"/>
    </row>
    <row r="939" spans="14:16" ht="15.75" customHeight="1" x14ac:dyDescent="0.25">
      <c r="N939" s="1"/>
      <c r="O939" s="1"/>
      <c r="P939" s="1"/>
    </row>
    <row r="940" spans="14:16" ht="15.75" customHeight="1" x14ac:dyDescent="0.25">
      <c r="N940" s="1"/>
      <c r="O940" s="1"/>
      <c r="P940" s="1"/>
    </row>
    <row r="941" spans="14:16" ht="15.75" customHeight="1" x14ac:dyDescent="0.25">
      <c r="N941" s="1"/>
      <c r="O941" s="1"/>
      <c r="P941" s="1"/>
    </row>
    <row r="942" spans="14:16" ht="15.75" customHeight="1" x14ac:dyDescent="0.25">
      <c r="N942" s="1"/>
      <c r="O942" s="1"/>
      <c r="P942" s="1"/>
    </row>
    <row r="943" spans="14:16" ht="15.75" customHeight="1" x14ac:dyDescent="0.25">
      <c r="N943" s="1"/>
      <c r="O943" s="1"/>
      <c r="P943" s="1"/>
    </row>
    <row r="944" spans="14:16" ht="15.75" customHeight="1" x14ac:dyDescent="0.25">
      <c r="N944" s="1"/>
      <c r="O944" s="1"/>
      <c r="P944" s="1"/>
    </row>
    <row r="945" spans="14:16" ht="15.75" customHeight="1" x14ac:dyDescent="0.25">
      <c r="N945" s="1"/>
      <c r="O945" s="1"/>
      <c r="P945" s="1"/>
    </row>
    <row r="946" spans="14:16" ht="15.75" customHeight="1" x14ac:dyDescent="0.25">
      <c r="N946" s="1"/>
      <c r="O946" s="1"/>
      <c r="P946" s="1"/>
    </row>
    <row r="947" spans="14:16" ht="15.75" customHeight="1" x14ac:dyDescent="0.25">
      <c r="N947" s="1"/>
      <c r="O947" s="1"/>
      <c r="P947" s="1"/>
    </row>
    <row r="948" spans="14:16" ht="15.75" customHeight="1" x14ac:dyDescent="0.25">
      <c r="N948" s="1"/>
      <c r="O948" s="1"/>
      <c r="P948" s="1"/>
    </row>
    <row r="949" spans="14:16" ht="15.75" customHeight="1" x14ac:dyDescent="0.25">
      <c r="N949" s="1"/>
      <c r="O949" s="1"/>
      <c r="P949" s="1"/>
    </row>
    <row r="950" spans="14:16" ht="15.75" customHeight="1" x14ac:dyDescent="0.25">
      <c r="N950" s="1"/>
      <c r="O950" s="1"/>
      <c r="P950" s="1"/>
    </row>
    <row r="951" spans="14:16" ht="15.75" customHeight="1" x14ac:dyDescent="0.25">
      <c r="N951" s="1"/>
      <c r="O951" s="1"/>
      <c r="P951" s="1"/>
    </row>
    <row r="952" spans="14:16" ht="15.75" customHeight="1" x14ac:dyDescent="0.25">
      <c r="N952" s="1"/>
      <c r="O952" s="1"/>
      <c r="P952" s="1"/>
    </row>
    <row r="953" spans="14:16" ht="15.75" customHeight="1" x14ac:dyDescent="0.25">
      <c r="N953" s="1"/>
      <c r="O953" s="1"/>
      <c r="P953" s="1"/>
    </row>
    <row r="954" spans="14:16" ht="15.75" customHeight="1" x14ac:dyDescent="0.25">
      <c r="N954" s="1"/>
      <c r="O954" s="1"/>
      <c r="P954" s="1"/>
    </row>
    <row r="955" spans="14:16" ht="15.75" customHeight="1" x14ac:dyDescent="0.25">
      <c r="N955" s="1"/>
      <c r="O955" s="1"/>
      <c r="P955" s="1"/>
    </row>
    <row r="956" spans="14:16" ht="15.75" customHeight="1" x14ac:dyDescent="0.25">
      <c r="N956" s="1"/>
      <c r="O956" s="1"/>
      <c r="P956" s="1"/>
    </row>
    <row r="957" spans="14:16" ht="15.75" customHeight="1" x14ac:dyDescent="0.25">
      <c r="N957" s="1"/>
      <c r="O957" s="1"/>
      <c r="P957" s="1"/>
    </row>
    <row r="958" spans="14:16" ht="15.75" customHeight="1" x14ac:dyDescent="0.25">
      <c r="N958" s="1"/>
      <c r="O958" s="1"/>
      <c r="P958" s="1"/>
    </row>
    <row r="959" spans="14:16" ht="15.75" customHeight="1" x14ac:dyDescent="0.25">
      <c r="N959" s="1"/>
      <c r="O959" s="1"/>
      <c r="P959" s="1"/>
    </row>
    <row r="960" spans="14:16" ht="15.75" customHeight="1" x14ac:dyDescent="0.25">
      <c r="N960" s="1"/>
      <c r="O960" s="1"/>
      <c r="P960" s="1"/>
    </row>
    <row r="961" spans="14:16" ht="15.75" customHeight="1" x14ac:dyDescent="0.25">
      <c r="N961" s="1"/>
      <c r="O961" s="1"/>
      <c r="P961" s="1"/>
    </row>
    <row r="962" spans="14:16" ht="15.75" customHeight="1" x14ac:dyDescent="0.25">
      <c r="N962" s="1"/>
      <c r="O962" s="1"/>
      <c r="P962" s="1"/>
    </row>
    <row r="963" spans="14:16" ht="15.75" customHeight="1" x14ac:dyDescent="0.25">
      <c r="N963" s="1"/>
      <c r="O963" s="1"/>
      <c r="P963" s="1"/>
    </row>
    <row r="964" spans="14:16" ht="15.75" customHeight="1" x14ac:dyDescent="0.25">
      <c r="N964" s="1"/>
      <c r="O964" s="1"/>
      <c r="P964" s="1"/>
    </row>
    <row r="965" spans="14:16" ht="15.75" customHeight="1" x14ac:dyDescent="0.25">
      <c r="N965" s="1"/>
      <c r="O965" s="1"/>
      <c r="P965" s="1"/>
    </row>
    <row r="966" spans="14:16" ht="15.75" customHeight="1" x14ac:dyDescent="0.25">
      <c r="N966" s="1"/>
      <c r="O966" s="1"/>
      <c r="P966" s="1"/>
    </row>
    <row r="967" spans="14:16" ht="15.75" customHeight="1" x14ac:dyDescent="0.25">
      <c r="N967" s="1"/>
      <c r="O967" s="1"/>
      <c r="P967" s="1"/>
    </row>
    <row r="968" spans="14:16" ht="15.75" customHeight="1" x14ac:dyDescent="0.25">
      <c r="N968" s="1"/>
      <c r="O968" s="1"/>
      <c r="P968" s="1"/>
    </row>
    <row r="969" spans="14:16" ht="15.75" customHeight="1" x14ac:dyDescent="0.25">
      <c r="N969" s="1"/>
      <c r="O969" s="1"/>
      <c r="P969" s="1"/>
    </row>
    <row r="970" spans="14:16" ht="15.75" customHeight="1" x14ac:dyDescent="0.25">
      <c r="N970" s="1"/>
      <c r="O970" s="1"/>
      <c r="P970" s="1"/>
    </row>
    <row r="971" spans="14:16" ht="15.75" customHeight="1" x14ac:dyDescent="0.25">
      <c r="N971" s="1"/>
      <c r="O971" s="1"/>
      <c r="P971" s="1"/>
    </row>
    <row r="972" spans="14:16" ht="15.75" customHeight="1" x14ac:dyDescent="0.25">
      <c r="N972" s="1"/>
      <c r="O972" s="1"/>
      <c r="P972" s="1"/>
    </row>
    <row r="973" spans="14:16" ht="15.75" customHeight="1" x14ac:dyDescent="0.25">
      <c r="N973" s="1"/>
      <c r="O973" s="1"/>
      <c r="P973" s="1"/>
    </row>
    <row r="974" spans="14:16" ht="15.75" customHeight="1" x14ac:dyDescent="0.25">
      <c r="N974" s="1"/>
      <c r="O974" s="1"/>
      <c r="P974" s="1"/>
    </row>
    <row r="975" spans="14:16" ht="15.75" customHeight="1" x14ac:dyDescent="0.25">
      <c r="N975" s="1"/>
      <c r="O975" s="1"/>
      <c r="P975" s="1"/>
    </row>
    <row r="976" spans="14:16" ht="15.75" customHeight="1" x14ac:dyDescent="0.25">
      <c r="N976" s="1"/>
      <c r="O976" s="1"/>
      <c r="P976" s="1"/>
    </row>
    <row r="977" spans="14:16" ht="15.75" customHeight="1" x14ac:dyDescent="0.25">
      <c r="N977" s="1"/>
      <c r="O977" s="1"/>
      <c r="P977" s="1"/>
    </row>
    <row r="978" spans="14:16" ht="15.75" customHeight="1" x14ac:dyDescent="0.25">
      <c r="N978" s="1"/>
      <c r="O978" s="1"/>
      <c r="P978" s="1"/>
    </row>
    <row r="979" spans="14:16" ht="15.75" customHeight="1" x14ac:dyDescent="0.25">
      <c r="N979" s="1"/>
      <c r="O979" s="1"/>
      <c r="P979" s="1"/>
    </row>
    <row r="980" spans="14:16" ht="15.75" customHeight="1" x14ac:dyDescent="0.25">
      <c r="N980" s="1"/>
      <c r="O980" s="1"/>
      <c r="P980" s="1"/>
    </row>
    <row r="981" spans="14:16" ht="15.75" customHeight="1" x14ac:dyDescent="0.25">
      <c r="N981" s="1"/>
      <c r="O981" s="1"/>
      <c r="P981" s="1"/>
    </row>
    <row r="982" spans="14:16" ht="15.75" customHeight="1" x14ac:dyDescent="0.25">
      <c r="N982" s="1"/>
      <c r="O982" s="1"/>
      <c r="P982" s="1"/>
    </row>
    <row r="983" spans="14:16" ht="15.75" customHeight="1" x14ac:dyDescent="0.25">
      <c r="N983" s="1"/>
      <c r="O983" s="1"/>
      <c r="P983" s="1"/>
    </row>
    <row r="984" spans="14:16" ht="15.75" customHeight="1" x14ac:dyDescent="0.25">
      <c r="N984" s="1"/>
      <c r="O984" s="1"/>
      <c r="P984" s="1"/>
    </row>
    <row r="985" spans="14:16" ht="15.75" customHeight="1" x14ac:dyDescent="0.25">
      <c r="N985" s="1"/>
      <c r="O985" s="1"/>
      <c r="P985" s="1"/>
    </row>
    <row r="986" spans="14:16" ht="15.75" customHeight="1" x14ac:dyDescent="0.25">
      <c r="N986" s="1"/>
      <c r="O986" s="1"/>
      <c r="P986" s="1"/>
    </row>
    <row r="987" spans="14:16" ht="15.75" customHeight="1" x14ac:dyDescent="0.25">
      <c r="N987" s="1"/>
      <c r="O987" s="1"/>
      <c r="P987" s="1"/>
    </row>
    <row r="988" spans="14:16" ht="15.75" customHeight="1" x14ac:dyDescent="0.25">
      <c r="N988" s="1"/>
      <c r="O988" s="1"/>
      <c r="P988" s="1"/>
    </row>
    <row r="989" spans="14:16" ht="15.75" customHeight="1" x14ac:dyDescent="0.25">
      <c r="N989" s="1"/>
      <c r="O989" s="1"/>
      <c r="P989" s="1"/>
    </row>
    <row r="990" spans="14:16" ht="15.75" customHeight="1" x14ac:dyDescent="0.25">
      <c r="N990" s="1"/>
      <c r="O990" s="1"/>
      <c r="P990" s="1"/>
    </row>
    <row r="991" spans="14:16" ht="15.75" customHeight="1" x14ac:dyDescent="0.25">
      <c r="N991" s="1"/>
      <c r="O991" s="1"/>
      <c r="P991" s="1"/>
    </row>
    <row r="992" spans="14:16" ht="15.75" customHeight="1" x14ac:dyDescent="0.25">
      <c r="N992" s="1"/>
      <c r="O992" s="1"/>
      <c r="P992" s="1"/>
    </row>
    <row r="993" spans="14:16" ht="15.75" customHeight="1" x14ac:dyDescent="0.25">
      <c r="N993" s="1"/>
      <c r="O993" s="1"/>
      <c r="P993" s="1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(1)McKinneyLF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2025-08-18T00:09:17Z</dcterms:created>
  <dcterms:modified xsi:type="dcterms:W3CDTF">2025-08-18T00:09:42Z</dcterms:modified>
</cp:coreProperties>
</file>