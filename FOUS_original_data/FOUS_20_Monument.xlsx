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1B434583-BFC5-46B4-8CB8-0F5B687C24C8}" xr6:coauthVersionLast="47" xr6:coauthVersionMax="47" xr10:uidLastSave="{00000000-0000-0000-0000-000000000000}"/>
  <bookViews>
    <workbookView xWindow="28680" yWindow="-120" windowWidth="29040" windowHeight="15720" xr2:uid="{FB5311F7-423B-438B-97AC-41AF11E8C112}"/>
  </bookViews>
  <sheets>
    <sheet name="(6)MonumentFOU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H2" i="1"/>
  <c r="I2" i="1" s="1"/>
  <c r="J2" i="1"/>
  <c r="O2" i="1"/>
  <c r="P2" i="1"/>
  <c r="E3" i="1"/>
  <c r="G3" i="1"/>
  <c r="H3" i="1"/>
  <c r="I3" i="1" s="1"/>
  <c r="J3" i="1"/>
  <c r="M3" i="1"/>
  <c r="N3" i="1" s="1"/>
  <c r="O3" i="1"/>
  <c r="P3" i="1"/>
  <c r="E4" i="1"/>
  <c r="G4" i="1"/>
  <c r="H4" i="1"/>
  <c r="I4" i="1"/>
  <c r="J4" i="1"/>
  <c r="M4" i="1"/>
  <c r="N4" i="1"/>
  <c r="O4" i="1"/>
  <c r="P4" i="1"/>
  <c r="E5" i="1"/>
  <c r="G5" i="1"/>
  <c r="H5" i="1"/>
  <c r="I5" i="1"/>
  <c r="J5" i="1"/>
  <c r="M5" i="1"/>
  <c r="N5" i="1"/>
  <c r="O5" i="1"/>
  <c r="P5" i="1"/>
  <c r="E6" i="1"/>
  <c r="G6" i="1"/>
  <c r="H6" i="1"/>
  <c r="I6" i="1"/>
  <c r="J6" i="1"/>
  <c r="M6" i="1"/>
  <c r="N6" i="1"/>
  <c r="O6" i="1"/>
  <c r="P6" i="1"/>
  <c r="E7" i="1"/>
  <c r="G7" i="1"/>
  <c r="H7" i="1"/>
  <c r="I7" i="1" s="1"/>
  <c r="J7" i="1"/>
  <c r="M7" i="1"/>
  <c r="N7" i="1"/>
  <c r="O7" i="1"/>
  <c r="P7" i="1"/>
  <c r="E8" i="1"/>
  <c r="G8" i="1"/>
  <c r="H8" i="1"/>
  <c r="I8" i="1"/>
  <c r="J8" i="1"/>
  <c r="M8" i="1"/>
  <c r="N8" i="1"/>
  <c r="O8" i="1"/>
  <c r="P8" i="1"/>
  <c r="E9" i="1"/>
  <c r="G9" i="1"/>
  <c r="H9" i="1"/>
  <c r="I9" i="1" s="1"/>
  <c r="J9" i="1"/>
  <c r="M9" i="1"/>
  <c r="N9" i="1" s="1"/>
  <c r="O9" i="1"/>
  <c r="P9" i="1"/>
  <c r="E10" i="1"/>
  <c r="G10" i="1"/>
  <c r="H10" i="1"/>
  <c r="I10" i="1"/>
  <c r="J10" i="1"/>
  <c r="M10" i="1"/>
  <c r="N10" i="1" s="1"/>
  <c r="O10" i="1"/>
  <c r="P10" i="1"/>
  <c r="E11" i="1"/>
  <c r="G11" i="1"/>
  <c r="H11" i="1"/>
  <c r="I11" i="1" s="1"/>
  <c r="J11" i="1"/>
  <c r="M11" i="1"/>
  <c r="N11" i="1"/>
  <c r="O11" i="1"/>
  <c r="P11" i="1"/>
  <c r="E12" i="1"/>
  <c r="G12" i="1"/>
  <c r="H12" i="1"/>
  <c r="I12" i="1" s="1"/>
  <c r="J12" i="1"/>
  <c r="M12" i="1"/>
  <c r="N12" i="1"/>
  <c r="O12" i="1"/>
  <c r="P12" i="1"/>
  <c r="E13" i="1"/>
  <c r="G13" i="1"/>
  <c r="H13" i="1"/>
  <c r="I13" i="1"/>
  <c r="J13" i="1"/>
  <c r="M13" i="1"/>
  <c r="N13" i="1"/>
  <c r="O13" i="1"/>
  <c r="P13" i="1"/>
  <c r="E14" i="1"/>
  <c r="G14" i="1"/>
  <c r="H14" i="1"/>
  <c r="I14" i="1"/>
  <c r="J14" i="1"/>
  <c r="M14" i="1"/>
  <c r="N14" i="1" s="1"/>
  <c r="O14" i="1"/>
  <c r="P14" i="1"/>
  <c r="E15" i="1"/>
  <c r="G15" i="1"/>
  <c r="H15" i="1"/>
  <c r="I15" i="1" s="1"/>
  <c r="J15" i="1"/>
  <c r="M15" i="1"/>
  <c r="N15" i="1"/>
  <c r="O15" i="1"/>
  <c r="P15" i="1"/>
  <c r="E16" i="1"/>
  <c r="G16" i="1"/>
  <c r="H16" i="1"/>
  <c r="I16" i="1" s="1"/>
  <c r="J16" i="1"/>
  <c r="M16" i="1"/>
  <c r="N16" i="1" s="1"/>
  <c r="O16" i="1"/>
  <c r="P16" i="1"/>
  <c r="E17" i="1"/>
  <c r="G17" i="1"/>
  <c r="H17" i="1"/>
  <c r="I17" i="1" s="1"/>
  <c r="J17" i="1"/>
  <c r="M17" i="1"/>
  <c r="N17" i="1"/>
  <c r="O17" i="1"/>
  <c r="P17" i="1"/>
  <c r="E18" i="1"/>
  <c r="G18" i="1"/>
  <c r="H18" i="1"/>
  <c r="I18" i="1" s="1"/>
  <c r="J18" i="1"/>
  <c r="M18" i="1"/>
  <c r="N18" i="1" s="1"/>
  <c r="O18" i="1"/>
  <c r="P18" i="1"/>
  <c r="E19" i="1"/>
  <c r="G19" i="1"/>
  <c r="H19" i="1"/>
  <c r="I19" i="1"/>
  <c r="J19" i="1"/>
  <c r="M19" i="1"/>
  <c r="N19" i="1" s="1"/>
  <c r="O19" i="1"/>
  <c r="P19" i="1"/>
  <c r="E20" i="1"/>
  <c r="G20" i="1"/>
  <c r="H20" i="1"/>
  <c r="I20" i="1"/>
  <c r="J20" i="1"/>
  <c r="M20" i="1"/>
  <c r="N20" i="1"/>
  <c r="O20" i="1"/>
  <c r="P20" i="1"/>
  <c r="E21" i="1"/>
  <c r="G21" i="1"/>
  <c r="H21" i="1"/>
  <c r="I21" i="1"/>
  <c r="J21" i="1"/>
  <c r="M21" i="1"/>
  <c r="N21" i="1"/>
  <c r="O21" i="1"/>
  <c r="P21" i="1"/>
  <c r="E22" i="1"/>
  <c r="G22" i="1"/>
  <c r="H22" i="1"/>
  <c r="I22" i="1"/>
  <c r="J22" i="1"/>
  <c r="M22" i="1"/>
  <c r="N22" i="1" s="1"/>
  <c r="O22" i="1"/>
  <c r="P22" i="1"/>
  <c r="E23" i="1"/>
  <c r="G23" i="1"/>
  <c r="H23" i="1"/>
  <c r="I23" i="1"/>
  <c r="J23" i="1"/>
  <c r="M23" i="1"/>
  <c r="N23" i="1" s="1"/>
  <c r="O23" i="1"/>
  <c r="P23" i="1"/>
  <c r="E24" i="1"/>
  <c r="G24" i="1"/>
  <c r="H24" i="1"/>
  <c r="I24" i="1" s="1"/>
  <c r="J24" i="1"/>
  <c r="M24" i="1"/>
  <c r="N24" i="1" s="1"/>
  <c r="O24" i="1"/>
  <c r="P24" i="1"/>
  <c r="E25" i="1"/>
  <c r="G25" i="1"/>
  <c r="H25" i="1"/>
  <c r="I25" i="1" s="1"/>
  <c r="J25" i="1"/>
  <c r="M25" i="1"/>
  <c r="N25" i="1" s="1"/>
  <c r="O25" i="1"/>
  <c r="P25" i="1"/>
  <c r="E26" i="1"/>
  <c r="G26" i="1"/>
  <c r="H26" i="1"/>
  <c r="I26" i="1"/>
  <c r="J26" i="1"/>
  <c r="M26" i="1"/>
  <c r="N26" i="1"/>
  <c r="O26" i="1"/>
  <c r="P26" i="1"/>
  <c r="E27" i="1"/>
  <c r="G27" i="1"/>
  <c r="H27" i="1"/>
  <c r="I27" i="1"/>
  <c r="J27" i="1"/>
  <c r="M27" i="1"/>
  <c r="N27" i="1"/>
  <c r="O27" i="1"/>
  <c r="P27" i="1"/>
  <c r="G28" i="1"/>
  <c r="H28" i="1"/>
  <c r="I28" i="1"/>
  <c r="J28" i="1"/>
  <c r="M28" i="1"/>
  <c r="N28" i="1" s="1"/>
  <c r="G29" i="1"/>
  <c r="H29" i="1"/>
  <c r="I29" i="1" s="1"/>
  <c r="J29" i="1"/>
  <c r="M29" i="1"/>
  <c r="N29" i="1" s="1"/>
  <c r="G30" i="1"/>
  <c r="H30" i="1"/>
  <c r="I30" i="1" s="1"/>
  <c r="J30" i="1"/>
  <c r="M30" i="1"/>
  <c r="N30" i="1"/>
  <c r="G31" i="1"/>
  <c r="H31" i="1"/>
  <c r="I31" i="1" s="1"/>
  <c r="J31" i="1"/>
  <c r="M31" i="1"/>
  <c r="N31" i="1" s="1"/>
  <c r="G32" i="1"/>
  <c r="H32" i="1"/>
  <c r="I32" i="1" s="1"/>
  <c r="J32" i="1"/>
  <c r="M32" i="1"/>
  <c r="N32" i="1"/>
  <c r="G33" i="1"/>
  <c r="H33" i="1"/>
  <c r="I33" i="1"/>
  <c r="J33" i="1"/>
  <c r="M33" i="1"/>
  <c r="N33" i="1" s="1"/>
  <c r="G34" i="1"/>
  <c r="H34" i="1"/>
  <c r="I34" i="1"/>
  <c r="J34" i="1"/>
  <c r="M34" i="1"/>
  <c r="N34" i="1"/>
  <c r="G35" i="1"/>
  <c r="H35" i="1"/>
  <c r="I35" i="1"/>
  <c r="J35" i="1"/>
  <c r="M35" i="1"/>
  <c r="N35" i="1"/>
  <c r="H36" i="1"/>
  <c r="I36" i="1" s="1"/>
  <c r="J36" i="1"/>
  <c r="M36" i="1"/>
  <c r="H37" i="1"/>
  <c r="I37" i="1"/>
  <c r="J37" i="1"/>
  <c r="M37" i="1"/>
  <c r="N37" i="1" s="1"/>
  <c r="G38" i="1"/>
  <c r="H38" i="1"/>
  <c r="I38" i="1"/>
  <c r="J38" i="1"/>
  <c r="M38" i="1"/>
  <c r="N38" i="1" s="1"/>
  <c r="G39" i="1"/>
  <c r="H39" i="1"/>
  <c r="I39" i="1"/>
  <c r="J39" i="1"/>
  <c r="M39" i="1"/>
  <c r="N39" i="1"/>
  <c r="G40" i="1"/>
  <c r="H40" i="1"/>
  <c r="I40" i="1" s="1"/>
  <c r="J40" i="1"/>
  <c r="M40" i="1"/>
  <c r="N40" i="1" s="1"/>
  <c r="G41" i="1"/>
  <c r="H41" i="1"/>
  <c r="I41" i="1" s="1"/>
  <c r="J41" i="1"/>
  <c r="M41" i="1"/>
  <c r="N41" i="1" s="1"/>
  <c r="G42" i="1"/>
  <c r="H42" i="1"/>
  <c r="I42" i="1"/>
  <c r="J42" i="1"/>
  <c r="M42" i="1"/>
  <c r="N42" i="1" s="1"/>
  <c r="H43" i="1"/>
  <c r="I43" i="1"/>
  <c r="J43" i="1"/>
  <c r="M43" i="1"/>
  <c r="H44" i="1"/>
  <c r="I44" i="1" s="1"/>
  <c r="J44" i="1"/>
  <c r="M44" i="1"/>
  <c r="N44" i="1"/>
  <c r="G45" i="1"/>
  <c r="H45" i="1"/>
  <c r="I45" i="1"/>
  <c r="J45" i="1"/>
  <c r="M45" i="1"/>
  <c r="N45" i="1" s="1"/>
  <c r="G46" i="1"/>
  <c r="H46" i="1"/>
  <c r="I46" i="1"/>
  <c r="J46" i="1"/>
  <c r="M46" i="1"/>
  <c r="N46" i="1"/>
  <c r="G47" i="1"/>
  <c r="H47" i="1"/>
  <c r="I47" i="1"/>
  <c r="J47" i="1"/>
  <c r="M47" i="1"/>
  <c r="N47" i="1"/>
  <c r="G48" i="1"/>
  <c r="H48" i="1"/>
  <c r="I48" i="1"/>
  <c r="J48" i="1"/>
  <c r="M48" i="1"/>
  <c r="N48" i="1"/>
  <c r="G49" i="1"/>
  <c r="H49" i="1"/>
  <c r="I49" i="1" s="1"/>
  <c r="J49" i="1"/>
  <c r="M49" i="1"/>
  <c r="N49" i="1"/>
  <c r="G50" i="1"/>
  <c r="H50" i="1"/>
  <c r="I50" i="1" s="1"/>
  <c r="J50" i="1"/>
  <c r="M50" i="1"/>
  <c r="N50" i="1"/>
  <c r="G51" i="1"/>
  <c r="H51" i="1"/>
  <c r="I51" i="1"/>
  <c r="J51" i="1"/>
  <c r="M51" i="1"/>
  <c r="N51" i="1" s="1"/>
  <c r="H52" i="1"/>
  <c r="I52" i="1"/>
  <c r="J52" i="1"/>
  <c r="M52" i="1"/>
  <c r="H53" i="1"/>
  <c r="I53" i="1" s="1"/>
  <c r="J53" i="1"/>
  <c r="M53" i="1"/>
  <c r="N53" i="1" s="1"/>
  <c r="G54" i="1"/>
  <c r="H54" i="1"/>
  <c r="I54" i="1"/>
  <c r="J54" i="1"/>
  <c r="M54" i="1"/>
  <c r="N54" i="1" s="1"/>
  <c r="G55" i="1"/>
  <c r="H55" i="1"/>
  <c r="I55" i="1" s="1"/>
  <c r="J55" i="1"/>
  <c r="M55" i="1"/>
  <c r="N55" i="1" s="1"/>
  <c r="G56" i="1"/>
  <c r="H56" i="1"/>
  <c r="I56" i="1"/>
  <c r="M56" i="1"/>
  <c r="N56" i="1"/>
  <c r="G57" i="1"/>
  <c r="H57" i="1"/>
  <c r="I57" i="1" s="1"/>
  <c r="M57" i="1"/>
  <c r="N57" i="1" s="1"/>
  <c r="G58" i="1"/>
  <c r="H58" i="1"/>
  <c r="I58" i="1"/>
  <c r="M58" i="1"/>
  <c r="N58" i="1"/>
  <c r="G59" i="1"/>
  <c r="H59" i="1"/>
  <c r="I59" i="1"/>
  <c r="M59" i="1"/>
  <c r="N59" i="1"/>
  <c r="G60" i="1"/>
  <c r="H60" i="1"/>
  <c r="I60" i="1" s="1"/>
  <c r="M60" i="1"/>
  <c r="N60" i="1"/>
  <c r="G61" i="1"/>
  <c r="H61" i="1"/>
  <c r="I61" i="1"/>
  <c r="M61" i="1"/>
  <c r="N61" i="1" s="1"/>
  <c r="G62" i="1"/>
  <c r="H62" i="1"/>
  <c r="I62" i="1"/>
  <c r="M62" i="1"/>
  <c r="N62" i="1"/>
  <c r="H63" i="1"/>
  <c r="I63" i="1"/>
  <c r="M63" i="1"/>
  <c r="N63" i="1"/>
  <c r="H64" i="1"/>
  <c r="I64" i="1" s="1"/>
  <c r="M64" i="1"/>
  <c r="N64" i="1"/>
  <c r="H65" i="1"/>
  <c r="I65" i="1" s="1"/>
  <c r="M65" i="1"/>
  <c r="N65" i="1"/>
  <c r="H66" i="1"/>
  <c r="I66" i="1"/>
  <c r="M66" i="1"/>
  <c r="N66" i="1" s="1"/>
  <c r="H67" i="1"/>
  <c r="I67" i="1" s="1"/>
  <c r="M67" i="1"/>
  <c r="N67" i="1"/>
  <c r="H68" i="1"/>
  <c r="I68" i="1"/>
  <c r="M68" i="1"/>
  <c r="N68" i="1"/>
  <c r="H69" i="1"/>
  <c r="I69" i="1"/>
  <c r="M69" i="1"/>
  <c r="N69" i="1" s="1"/>
  <c r="H70" i="1"/>
  <c r="I70" i="1"/>
  <c r="M70" i="1"/>
  <c r="N70" i="1" s="1"/>
  <c r="H71" i="1"/>
  <c r="I71" i="1"/>
  <c r="M71" i="1"/>
  <c r="N71" i="1"/>
  <c r="H72" i="1"/>
  <c r="I72" i="1" s="1"/>
  <c r="M72" i="1"/>
  <c r="N72" i="1" s="1"/>
  <c r="H73" i="1"/>
  <c r="I73" i="1"/>
  <c r="M73" i="1"/>
  <c r="N73" i="1"/>
  <c r="H74" i="1"/>
  <c r="I74" i="1"/>
  <c r="M74" i="1"/>
  <c r="N74" i="1"/>
  <c r="H75" i="1"/>
  <c r="I75" i="1" s="1"/>
  <c r="M75" i="1"/>
  <c r="N75" i="1"/>
  <c r="H76" i="1"/>
  <c r="I76" i="1" s="1"/>
  <c r="M76" i="1"/>
  <c r="N76" i="1"/>
  <c r="H77" i="1"/>
  <c r="I77" i="1"/>
  <c r="M77" i="1"/>
  <c r="N77" i="1" s="1"/>
  <c r="H78" i="1"/>
  <c r="I78" i="1" s="1"/>
  <c r="M78" i="1"/>
  <c r="N78" i="1"/>
  <c r="H79" i="1"/>
  <c r="I79" i="1"/>
  <c r="M79" i="1"/>
  <c r="N79" i="1"/>
  <c r="H80" i="1"/>
  <c r="I80" i="1"/>
  <c r="M80" i="1"/>
  <c r="N80" i="1" s="1"/>
  <c r="H81" i="1"/>
  <c r="I81" i="1"/>
  <c r="M81" i="1"/>
  <c r="N81" i="1" s="1"/>
  <c r="H82" i="1"/>
  <c r="I82" i="1"/>
  <c r="M82" i="1"/>
  <c r="N82" i="1"/>
  <c r="H83" i="1"/>
  <c r="I83" i="1" s="1"/>
  <c r="M83" i="1"/>
  <c r="N83" i="1" s="1"/>
  <c r="H84" i="1"/>
  <c r="I84" i="1"/>
  <c r="M84" i="1"/>
  <c r="N84" i="1"/>
  <c r="H85" i="1"/>
  <c r="I85" i="1"/>
  <c r="M85" i="1"/>
  <c r="N85" i="1"/>
  <c r="H86" i="1"/>
  <c r="I86" i="1" s="1"/>
  <c r="M86" i="1"/>
  <c r="N86" i="1"/>
  <c r="H87" i="1"/>
  <c r="I87" i="1" s="1"/>
  <c r="M87" i="1"/>
  <c r="N87" i="1"/>
  <c r="H88" i="1"/>
  <c r="I88" i="1"/>
  <c r="M88" i="1"/>
  <c r="N88" i="1" s="1"/>
  <c r="H89" i="1"/>
  <c r="I89" i="1" s="1"/>
  <c r="M89" i="1"/>
  <c r="N89" i="1"/>
  <c r="I90" i="1"/>
  <c r="I91" i="1"/>
  <c r="I92" i="1"/>
  <c r="I93" i="1"/>
  <c r="I94" i="1"/>
  <c r="I95" i="1"/>
  <c r="I96" i="1"/>
  <c r="I97" i="1"/>
</calcChain>
</file>

<file path=xl/sharedStrings.xml><?xml version="1.0" encoding="utf-8"?>
<sst xmlns="http://schemas.openxmlformats.org/spreadsheetml/2006/main" count="16" uniqueCount="15">
  <si>
    <t>Ls-IR</t>
  </si>
  <si>
    <t>Ls-Prog</t>
  </si>
  <si>
    <t>Cost per acre per day</t>
  </si>
  <si>
    <t>Real Cost (Adjusted for Inflation)</t>
  </si>
  <si>
    <t>ICS 209 Cost</t>
  </si>
  <si>
    <t>Best Acreage</t>
  </si>
  <si>
    <t>Ls_Growth</t>
  </si>
  <si>
    <t>As</t>
  </si>
  <si>
    <t>growth</t>
  </si>
  <si>
    <t>IR growth</t>
  </si>
  <si>
    <t>IR Size</t>
  </si>
  <si>
    <t>Growth</t>
  </si>
  <si>
    <t>8/26 Prog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</si>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</sst>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1" fillId="2" borderId="0" xfId="0" applyNumberFormat="1" applyFont="1" applyFill="1"/>
    <xf numFmtId="0" fontId="1" fillId="2" borderId="0" xfId="0" applyFont="1" applyFill="1"/>
    <xf numFmtId="0" fontId="1" fillId="3" borderId="0" xfId="0" applyFont="1" applyFill="1"/>
    <xf numFmtId="164" fontId="1" fillId="0" borderId="0" xfId="0" applyNumberFormat="1" applyFont="1"/>
    <xf numFmtId="0" fontId="2" fillId="4" borderId="0" xfId="0" applyFont="1" applyFill="1"/>
    <xf numFmtId="0" fontId="2" fillId="5" borderId="0" xfId="0" applyFont="1" applyFill="1"/>
    <xf numFmtId="0" fontId="2" fillId="2" borderId="0" xfId="0" applyFont="1" applyFill="1"/>
    <xf numFmtId="0" fontId="2" fillId="3" borderId="0" xfId="0" applyFont="1" applyFill="1" applyAlignment="1">
      <alignment horizontal="right"/>
    </xf>
    <xf numFmtId="14" fontId="2" fillId="0" borderId="0" xfId="0" applyNumberFormat="1" applyFont="1" applyAlignment="1">
      <alignment horizontal="right"/>
    </xf>
    <xf numFmtId="164" fontId="2" fillId="4" borderId="0" xfId="0" applyNumberFormat="1" applyFont="1" applyFill="1" applyAlignment="1">
      <alignment wrapText="1"/>
    </xf>
    <xf numFmtId="164" fontId="2" fillId="5" borderId="0" xfId="0" applyNumberFormat="1" applyFont="1" applyFill="1" applyAlignment="1">
      <alignment wrapText="1"/>
    </xf>
    <xf numFmtId="2" fontId="2" fillId="3" borderId="0" xfId="0" applyNumberFormat="1" applyFont="1" applyFill="1" applyAlignment="1">
      <alignment horizontal="right"/>
    </xf>
    <xf numFmtId="0" fontId="1" fillId="0" borderId="0" xfId="0" applyFont="1"/>
    <xf numFmtId="0" fontId="2" fillId="0" borderId="0" xfId="0" applyFont="1"/>
    <xf numFmtId="164" fontId="2" fillId="2" borderId="0" xfId="0" applyNumberFormat="1" applyFont="1" applyFill="1"/>
    <xf numFmtId="2" fontId="2" fillId="3" borderId="0" xfId="0" applyNumberFormat="1" applyFont="1" applyFill="1"/>
    <xf numFmtId="2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right"/>
    </xf>
    <xf numFmtId="2" fontId="2" fillId="6" borderId="0" xfId="0" applyNumberFormat="1" applyFont="1" applyFill="1" applyAlignment="1">
      <alignment horizontal="right"/>
    </xf>
    <xf numFmtId="1" fontId="2" fillId="6" borderId="0" xfId="0" applyNumberFormat="1" applyFont="1" applyFill="1" applyAlignment="1">
      <alignment horizontal="right"/>
    </xf>
    <xf numFmtId="0" fontId="2" fillId="6" borderId="0" xfId="0" applyFont="1" applyFill="1"/>
    <xf numFmtId="164" fontId="2" fillId="6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right"/>
    </xf>
    <xf numFmtId="14" fontId="2" fillId="6" borderId="0" xfId="0" applyNumberFormat="1" applyFont="1" applyFill="1" applyAlignment="1">
      <alignment horizontal="right"/>
    </xf>
    <xf numFmtId="0" fontId="1" fillId="7" borderId="0" xfId="0" applyFont="1" applyFill="1"/>
    <xf numFmtId="0" fontId="2" fillId="7" borderId="0" xfId="0" applyFont="1" applyFill="1"/>
    <xf numFmtId="164" fontId="2" fillId="7" borderId="0" xfId="0" applyNumberFormat="1" applyFont="1" applyFill="1" applyAlignment="1">
      <alignment wrapText="1"/>
    </xf>
    <xf numFmtId="164" fontId="2" fillId="7" borderId="0" xfId="0" applyNumberFormat="1" applyFont="1" applyFill="1" applyAlignment="1">
      <alignment horizontal="right"/>
    </xf>
    <xf numFmtId="1" fontId="2" fillId="7" borderId="0" xfId="0" applyNumberFormat="1" applyFont="1" applyFill="1" applyAlignment="1">
      <alignment horizontal="right"/>
    </xf>
    <xf numFmtId="2" fontId="2" fillId="7" borderId="0" xfId="0" applyNumberFormat="1" applyFont="1" applyFill="1" applyAlignment="1">
      <alignment horizontal="right"/>
    </xf>
    <xf numFmtId="0" fontId="2" fillId="7" borderId="0" xfId="0" applyFont="1" applyFill="1" applyAlignment="1">
      <alignment horizontal="right"/>
    </xf>
    <xf numFmtId="14" fontId="2" fillId="7" borderId="0" xfId="0" applyNumberFormat="1" applyFont="1" applyFill="1" applyAlignment="1">
      <alignment horizontal="right"/>
    </xf>
    <xf numFmtId="2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4" borderId="0" xfId="0" applyFont="1" applyFill="1" applyAlignment="1">
      <alignment wrapText="1"/>
    </xf>
    <xf numFmtId="0" fontId="2" fillId="2" borderId="0" xfId="0" applyFont="1" applyFill="1" applyAlignment="1">
      <alignment horizontal="right"/>
    </xf>
    <xf numFmtId="0" fontId="2" fillId="5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BeaverCreekLF(18)"/>
      <sheetName val="LavaLF(17)"/>
      <sheetName val="RiversideFOUS(16)"/>
      <sheetName val="NenaSpringsLF(16)"/>
      <sheetName val="BrattainLF(15)"/>
      <sheetName val="MullenFOUS(14)"/>
      <sheetName val="RyanLF(14)"/>
      <sheetName val="MooseFOUS(13)"/>
      <sheetName val="TrailCreekLF(13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WalkerLF(7)"/>
      <sheetName val="(1)SlaterFOUS"/>
      <sheetName val="(1)McKinneyLF"/>
      <sheetName val="(2)CountyLine2LF"/>
      <sheetName val="(3)Bear TrapLF"/>
      <sheetName val="(4)DonnellLF"/>
      <sheetName val="(5)WhitneyFOUS"/>
      <sheetName val="(5)WilliamsFlatLF"/>
      <sheetName val="(6)DeltaLF"/>
    </sheetNames>
    <sheetDataSet>
      <sheetData sheetId="0"/>
      <sheetData sheetId="1">
        <row r="2">
          <cell r="C2">
            <v>1.13076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2021-BA83-4B3D-84D3-9FB5E450EFC0}">
  <sheetPr>
    <outlinePr summaryBelow="0" summaryRight="0"/>
  </sheetPr>
  <dimension ref="A1:AH999"/>
  <sheetViews>
    <sheetView tabSelected="1" topLeftCell="A54" workbookViewId="0">
      <selection activeCell="H2" sqref="H2:I89"/>
    </sheetView>
  </sheetViews>
  <sheetFormatPr defaultColWidth="12.5703125" defaultRowHeight="15" customHeight="1" x14ac:dyDescent="0.25"/>
  <cols>
    <col min="11" max="11" width="10.42578125" customWidth="1"/>
    <col min="13" max="13" width="16" customWidth="1"/>
    <col min="14" max="14" width="10.42578125" customWidth="1"/>
  </cols>
  <sheetData>
    <row r="1" spans="1:16" ht="15" customHeight="1" x14ac:dyDescent="0.25">
      <c r="A1" s="14" t="s">
        <v>14</v>
      </c>
      <c r="B1" s="14" t="s">
        <v>13</v>
      </c>
      <c r="C1" s="19" t="s">
        <v>4</v>
      </c>
      <c r="D1" s="14" t="s">
        <v>12</v>
      </c>
      <c r="E1" s="14" t="s">
        <v>11</v>
      </c>
      <c r="F1" s="18" t="s">
        <v>10</v>
      </c>
      <c r="G1" s="14" t="s">
        <v>9</v>
      </c>
      <c r="H1" s="44" t="s">
        <v>8</v>
      </c>
      <c r="I1" s="44" t="s">
        <v>7</v>
      </c>
      <c r="J1" s="44" t="s">
        <v>6</v>
      </c>
      <c r="K1" s="43" t="s">
        <v>5</v>
      </c>
      <c r="L1" s="15" t="s">
        <v>4</v>
      </c>
      <c r="M1" s="11" t="s">
        <v>3</v>
      </c>
      <c r="N1" s="40" t="s">
        <v>2</v>
      </c>
      <c r="O1" s="14" t="s">
        <v>1</v>
      </c>
      <c r="P1" s="14" t="s">
        <v>0</v>
      </c>
    </row>
    <row r="2" spans="1:16" ht="15" customHeight="1" x14ac:dyDescent="0.25">
      <c r="A2" s="9">
        <v>44407</v>
      </c>
      <c r="B2" s="39">
        <v>1</v>
      </c>
      <c r="C2" s="38"/>
      <c r="D2" s="39">
        <v>0</v>
      </c>
      <c r="E2" s="39">
        <f>D2-0</f>
        <v>0</v>
      </c>
      <c r="F2" s="18"/>
      <c r="G2" s="17"/>
      <c r="H2" s="12">
        <f>K2-0</f>
        <v>0</v>
      </c>
      <c r="I2" s="8">
        <f>54/$K$55*(H2)</f>
        <v>0</v>
      </c>
      <c r="J2" s="12">
        <f>$B$55/SQRT($K$55)*(SQRT(K2)-SQRT(0))</f>
        <v>0</v>
      </c>
      <c r="K2" s="43">
        <v>0</v>
      </c>
      <c r="L2" s="20"/>
      <c r="M2" s="42"/>
      <c r="N2" s="40"/>
      <c r="O2" s="36" t="e">
        <f>$B$27/SQRT($D$27)*(SQRT(D2)-SQRT(#REF!))</f>
        <v>#REF!</v>
      </c>
      <c r="P2" s="36" t="e">
        <f>$B$27/SQRT($F$27)*(SQRT(F2)-SQRT(#REF!))</f>
        <v>#REF!</v>
      </c>
    </row>
    <row r="3" spans="1:16" ht="15" customHeight="1" x14ac:dyDescent="0.25">
      <c r="A3" s="9">
        <v>44408</v>
      </c>
      <c r="B3" s="39">
        <v>2</v>
      </c>
      <c r="C3" s="38">
        <v>500000</v>
      </c>
      <c r="D3" s="39">
        <v>70</v>
      </c>
      <c r="E3" s="39">
        <f>D3-D2</f>
        <v>70</v>
      </c>
      <c r="F3" s="37">
        <v>811</v>
      </c>
      <c r="G3" s="36">
        <f>F3-F2</f>
        <v>811</v>
      </c>
      <c r="H3" s="12">
        <f>K3-K2</f>
        <v>70</v>
      </c>
      <c r="I3" s="8">
        <f>88/$K$89*(H3)</f>
        <v>2.7607966870439756E-2</v>
      </c>
      <c r="J3" s="12">
        <f>$B$55/SQRT($K$55)*(SQRT(K3)-SQRT(K2))</f>
        <v>0.96487047499794687</v>
      </c>
      <c r="K3" s="41">
        <v>70</v>
      </c>
      <c r="L3" s="20">
        <v>500000</v>
      </c>
      <c r="M3" s="11">
        <f>L3*'[1]Inflation Rates by Year'!$C$2</f>
        <v>565380</v>
      </c>
      <c r="N3" s="10">
        <f>M3/K3</f>
        <v>8076.8571428571431</v>
      </c>
      <c r="O3" s="36">
        <f>$B$27/SQRT($D$27)*(SQRT(D3)-SQRT(D2))</f>
        <v>0.55772751731122816</v>
      </c>
      <c r="P3" s="36">
        <f>$B$27/SQRT($F$27)*(SQRT(F3)-SQRT(F2))</f>
        <v>1.8846916495248685</v>
      </c>
    </row>
    <row r="4" spans="1:16" ht="15" customHeight="1" x14ac:dyDescent="0.25">
      <c r="A4" s="9">
        <v>44409</v>
      </c>
      <c r="B4" s="39">
        <v>3</v>
      </c>
      <c r="C4" s="38"/>
      <c r="D4" s="39">
        <v>1800</v>
      </c>
      <c r="E4" s="39">
        <f>D4-D3</f>
        <v>1730</v>
      </c>
      <c r="F4" s="37">
        <v>3114</v>
      </c>
      <c r="G4" s="36">
        <f>F4-F3</f>
        <v>2303</v>
      </c>
      <c r="H4" s="12">
        <f>K4-K3</f>
        <v>1730</v>
      </c>
      <c r="I4" s="8">
        <f>88/$K$89*(H4)</f>
        <v>0.68231118122658252</v>
      </c>
      <c r="J4" s="12">
        <f>$B$55/SQRT($K$55)*(SQRT(K4)-SQRT(K3))</f>
        <v>3.9279158482406906</v>
      </c>
      <c r="K4" s="41">
        <v>1800</v>
      </c>
      <c r="L4" s="20"/>
      <c r="M4" s="11">
        <f>L4*'[1]Inflation Rates by Year'!$C$2</f>
        <v>0</v>
      </c>
      <c r="N4" s="10">
        <f>M4/K4</f>
        <v>0</v>
      </c>
      <c r="O4" s="36">
        <f>$B$27/SQRT($D$27)*(SQRT(D4)-SQRT(D3))</f>
        <v>2.2704671880973128</v>
      </c>
      <c r="P4" s="36">
        <f>$B$27/SQRT($F$27)*(SQRT(F4)-SQRT(F3))</f>
        <v>1.8083923288984611</v>
      </c>
    </row>
    <row r="5" spans="1:16" ht="15" customHeight="1" x14ac:dyDescent="0.25">
      <c r="A5" s="9">
        <v>44410</v>
      </c>
      <c r="B5" s="39">
        <v>4</v>
      </c>
      <c r="C5" s="38">
        <v>1500000</v>
      </c>
      <c r="D5" s="39">
        <v>4800</v>
      </c>
      <c r="E5" s="39">
        <f>D5-D4</f>
        <v>3000</v>
      </c>
      <c r="F5" s="37">
        <v>6057</v>
      </c>
      <c r="G5" s="36">
        <f>F5-F4</f>
        <v>2943</v>
      </c>
      <c r="H5" s="12">
        <f>K5-K4</f>
        <v>3000</v>
      </c>
      <c r="I5" s="8">
        <f>88/$K$89*(H5)</f>
        <v>1.183198580161704</v>
      </c>
      <c r="J5" s="12">
        <f>$B$55/SQRT($K$55)*(SQRT(K5)-SQRT(K4))</f>
        <v>3.0971002850299376</v>
      </c>
      <c r="K5" s="41">
        <v>4800</v>
      </c>
      <c r="L5" s="20">
        <v>1500000</v>
      </c>
      <c r="M5" s="11">
        <f>L5*'[1]Inflation Rates by Year'!$C$2</f>
        <v>1696140</v>
      </c>
      <c r="N5" s="10">
        <f>M5/K5</f>
        <v>353.36250000000001</v>
      </c>
      <c r="O5" s="36">
        <f>$B$27/SQRT($D$27)*(SQRT(D5)-SQRT(D4))</f>
        <v>1.7902279089194015</v>
      </c>
      <c r="P5" s="36">
        <f>$B$27/SQRT($F$27)*(SQRT(F5)-SQRT(F4))</f>
        <v>1.4575260140291078</v>
      </c>
    </row>
    <row r="6" spans="1:16" ht="15" customHeight="1" x14ac:dyDescent="0.25">
      <c r="A6" s="9">
        <v>44411</v>
      </c>
      <c r="B6" s="39">
        <v>5</v>
      </c>
      <c r="C6" s="38">
        <v>1500000</v>
      </c>
      <c r="D6" s="39">
        <v>9000</v>
      </c>
      <c r="E6" s="39">
        <f>D6-D5</f>
        <v>4200</v>
      </c>
      <c r="F6" s="37">
        <v>14547</v>
      </c>
      <c r="G6" s="36">
        <f>F6-F5</f>
        <v>8490</v>
      </c>
      <c r="H6" s="12">
        <f>K6-K5</f>
        <v>4200</v>
      </c>
      <c r="I6" s="8">
        <f>88/$K$89*(H6)</f>
        <v>1.6564780122263854</v>
      </c>
      <c r="J6" s="12">
        <f>$B$55/SQRT($K$55)*(SQRT(K6)-SQRT(K5))</f>
        <v>2.9507162098742765</v>
      </c>
      <c r="K6" s="41">
        <v>9000</v>
      </c>
      <c r="L6" s="20">
        <v>1500000</v>
      </c>
      <c r="M6" s="11">
        <f>L6*'[1]Inflation Rates by Year'!$C$2</f>
        <v>1696140</v>
      </c>
      <c r="N6" s="10">
        <f>M6/K6</f>
        <v>188.46</v>
      </c>
      <c r="O6" s="36">
        <f>$B$27/SQRT($D$27)*(SQRT(D6)-SQRT(D5))</f>
        <v>1.705613000570547</v>
      </c>
      <c r="P6" s="36">
        <f>$B$27/SQRT($F$27)*(SQRT(F6)-SQRT(F5))</f>
        <v>2.8314796105317397</v>
      </c>
    </row>
    <row r="7" spans="1:16" ht="15" customHeight="1" x14ac:dyDescent="0.25">
      <c r="A7" s="9">
        <v>44412</v>
      </c>
      <c r="B7" s="39">
        <v>6</v>
      </c>
      <c r="C7" s="38">
        <v>1900000</v>
      </c>
      <c r="D7" s="39">
        <v>17622</v>
      </c>
      <c r="E7" s="39">
        <f>D7-D6</f>
        <v>8622</v>
      </c>
      <c r="F7" s="37">
        <v>24719</v>
      </c>
      <c r="G7" s="36">
        <f>F7-F6</f>
        <v>10172</v>
      </c>
      <c r="H7" s="12">
        <f>K7-K6</f>
        <v>8622</v>
      </c>
      <c r="I7" s="8">
        <f>88/$K$89*(H7)</f>
        <v>3.4005127193847371</v>
      </c>
      <c r="J7" s="12">
        <f>$B$55/SQRT($K$55)*(SQRT(K7)-SQRT(K6))</f>
        <v>4.3684244163906261</v>
      </c>
      <c r="K7" s="41">
        <v>17622</v>
      </c>
      <c r="L7" s="20">
        <v>1900000</v>
      </c>
      <c r="M7" s="11">
        <f>L7*'[1]Inflation Rates by Year'!$C$2</f>
        <v>2148444</v>
      </c>
      <c r="N7" s="10">
        <f>M7/K7</f>
        <v>121.91828396322778</v>
      </c>
      <c r="O7" s="36">
        <f>$B$27/SQRT($D$27)*(SQRT(D7)-SQRT(D6))</f>
        <v>2.5250959247358864</v>
      </c>
      <c r="P7" s="36">
        <f>$B$27/SQRT($F$27)*(SQRT(F7)-SQRT(F6))</f>
        <v>2.4229881049817572</v>
      </c>
    </row>
    <row r="8" spans="1:16" ht="15" customHeight="1" x14ac:dyDescent="0.25">
      <c r="A8" s="9">
        <v>44413</v>
      </c>
      <c r="B8" s="39">
        <v>7</v>
      </c>
      <c r="C8" s="38">
        <v>3000000</v>
      </c>
      <c r="D8" s="39">
        <v>24719</v>
      </c>
      <c r="E8" s="39">
        <f>D8-D7</f>
        <v>7097</v>
      </c>
      <c r="F8" s="37">
        <v>36015</v>
      </c>
      <c r="G8" s="36">
        <f>F8-F7</f>
        <v>11296</v>
      </c>
      <c r="H8" s="12">
        <f>K8-K7</f>
        <v>7097</v>
      </c>
      <c r="I8" s="8">
        <f>88/$K$89*(H8)</f>
        <v>2.7990534411358707</v>
      </c>
      <c r="J8" s="12">
        <f>$B$55/SQRT($K$55)*(SQRT(K8)-SQRT(K7))</f>
        <v>2.8225442258656437</v>
      </c>
      <c r="K8" s="41">
        <v>24719</v>
      </c>
      <c r="L8" s="20">
        <v>3000000</v>
      </c>
      <c r="M8" s="11">
        <f>L8*'[1]Inflation Rates by Year'!$C$2</f>
        <v>3392280</v>
      </c>
      <c r="N8" s="10">
        <f>M8/K8</f>
        <v>137.23370686516444</v>
      </c>
      <c r="O8" s="36">
        <f>$B$27/SQRT($D$27)*(SQRT(D8)-SQRT(D7))</f>
        <v>1.6315252921347165</v>
      </c>
      <c r="P8" s="36">
        <f>$B$27/SQRT($F$27)*(SQRT(F8)-SQRT(F7))</f>
        <v>2.1544002707129777</v>
      </c>
    </row>
    <row r="9" spans="1:16" ht="15" customHeight="1" x14ac:dyDescent="0.25">
      <c r="A9" s="9">
        <v>44414</v>
      </c>
      <c r="B9" s="39">
        <v>8</v>
      </c>
      <c r="C9" s="38">
        <v>4000000</v>
      </c>
      <c r="D9" s="39">
        <v>36015</v>
      </c>
      <c r="E9" s="39">
        <f>D9-D8</f>
        <v>11296</v>
      </c>
      <c r="F9" s="37">
        <v>42567</v>
      </c>
      <c r="G9" s="36">
        <f>F9-F8</f>
        <v>6552</v>
      </c>
      <c r="H9" s="12">
        <f>K9-K8</f>
        <v>11296</v>
      </c>
      <c r="I9" s="8">
        <f>88/$K$89*(H9)</f>
        <v>4.4551370538355357</v>
      </c>
      <c r="J9" s="12">
        <f>$B$55/SQRT($K$55)*(SQRT(K9)-SQRT(K8))</f>
        <v>3.7541922856404928</v>
      </c>
      <c r="K9" s="41">
        <v>36015</v>
      </c>
      <c r="L9" s="20">
        <v>4000000</v>
      </c>
      <c r="M9" s="11">
        <f>L9*'[1]Inflation Rates by Year'!$C$2</f>
        <v>4523040</v>
      </c>
      <c r="N9" s="10">
        <f>M9/K9</f>
        <v>125.58767180341525</v>
      </c>
      <c r="O9" s="36">
        <f>$B$27/SQRT($D$27)*(SQRT(D9)-SQRT(D8))</f>
        <v>2.1700491384438854</v>
      </c>
      <c r="P9" s="36">
        <f>$B$27/SQRT($F$27)*(SQRT(F9)-SQRT(F8))</f>
        <v>1.0947264559890861</v>
      </c>
    </row>
    <row r="10" spans="1:16" ht="15" customHeight="1" x14ac:dyDescent="0.25">
      <c r="A10" s="9">
        <v>44415</v>
      </c>
      <c r="B10" s="39">
        <v>9</v>
      </c>
      <c r="C10" s="38">
        <v>5200000</v>
      </c>
      <c r="D10" s="39">
        <v>44317</v>
      </c>
      <c r="E10" s="39">
        <f>D10-D9</f>
        <v>8302</v>
      </c>
      <c r="F10" s="37">
        <v>49068</v>
      </c>
      <c r="G10" s="36">
        <f>F10-F9</f>
        <v>6501</v>
      </c>
      <c r="H10" s="12">
        <f>K10-K9</f>
        <v>8302</v>
      </c>
      <c r="I10" s="8">
        <f>88/$K$89*(H10)</f>
        <v>3.2743048708341553</v>
      </c>
      <c r="J10" s="12">
        <f>$B$55/SQRT($K$55)*(SQRT(K10)-SQRT(K9))</f>
        <v>2.3918039600396277</v>
      </c>
      <c r="K10" s="41">
        <v>44317</v>
      </c>
      <c r="L10" s="20">
        <v>5200000</v>
      </c>
      <c r="M10" s="11">
        <f>L10*'[1]Inflation Rates by Year'!$C$2</f>
        <v>5879952</v>
      </c>
      <c r="N10" s="10">
        <f>M10/K10</f>
        <v>132.67937811674977</v>
      </c>
      <c r="O10" s="36">
        <f>$B$27/SQRT($D$27)*(SQRT(D10)-SQRT(D9))</f>
        <v>1.3825429620808989</v>
      </c>
      <c r="P10" s="36">
        <f>$B$27/SQRT($F$27)*(SQRT(F10)-SQRT(F9))</f>
        <v>1.0056297312550324</v>
      </c>
    </row>
    <row r="11" spans="1:16" ht="15" customHeight="1" x14ac:dyDescent="0.25">
      <c r="A11" s="9">
        <v>44416</v>
      </c>
      <c r="B11" s="39">
        <v>10</v>
      </c>
      <c r="C11" s="38">
        <v>6000000</v>
      </c>
      <c r="D11" s="39">
        <v>50487</v>
      </c>
      <c r="E11" s="39">
        <f>D11-D10</f>
        <v>6170</v>
      </c>
      <c r="F11" s="37">
        <v>53019</v>
      </c>
      <c r="G11" s="36">
        <f>F11-F10</f>
        <v>3951</v>
      </c>
      <c r="H11" s="12">
        <f>K11-K10</f>
        <v>6170</v>
      </c>
      <c r="I11" s="8">
        <f>88/$K$89*(H11)</f>
        <v>2.4334450798659044</v>
      </c>
      <c r="J11" s="12">
        <f>$B$55/SQRT($K$55)*(SQRT(K11)-SQRT(K10))</f>
        <v>1.6349600190699431</v>
      </c>
      <c r="K11" s="41">
        <v>50487</v>
      </c>
      <c r="L11" s="20">
        <v>6000000</v>
      </c>
      <c r="M11" s="11">
        <f>L11*'[1]Inflation Rates by Year'!$C$2</f>
        <v>6784560</v>
      </c>
      <c r="N11" s="10">
        <f>M11/K11</f>
        <v>134.38231623982412</v>
      </c>
      <c r="O11" s="36">
        <f>$B$27/SQRT($D$27)*(SQRT(D11)-SQRT(D10))</f>
        <v>0.94506176317700874</v>
      </c>
      <c r="P11" s="36">
        <f>$B$27/SQRT($F$27)*(SQRT(F11)-SQRT(F10))</f>
        <v>0.57878604374600728</v>
      </c>
    </row>
    <row r="12" spans="1:16" ht="15" customHeight="1" x14ac:dyDescent="0.25">
      <c r="A12" s="9">
        <v>44417</v>
      </c>
      <c r="B12" s="39">
        <v>11</v>
      </c>
      <c r="C12" s="38">
        <v>7300000</v>
      </c>
      <c r="D12" s="39">
        <v>52987</v>
      </c>
      <c r="E12" s="39">
        <f>D12-D11</f>
        <v>2500</v>
      </c>
      <c r="F12" s="37">
        <v>57936</v>
      </c>
      <c r="G12" s="36">
        <f>F12-F11</f>
        <v>4917</v>
      </c>
      <c r="H12" s="12">
        <f>K12-K11</f>
        <v>2500</v>
      </c>
      <c r="I12" s="8">
        <f>88/$K$89*(H12)</f>
        <v>0.98599881680141988</v>
      </c>
      <c r="J12" s="12">
        <f>$B$55/SQRT($K$55)*(SQRT(K12)-SQRT(K11))</f>
        <v>0.63381291620332314</v>
      </c>
      <c r="K12" s="41">
        <v>52987</v>
      </c>
      <c r="L12" s="20">
        <v>7300000</v>
      </c>
      <c r="M12" s="11">
        <f>L12*'[1]Inflation Rates by Year'!$C$2</f>
        <v>8254548</v>
      </c>
      <c r="N12" s="10">
        <f>M12/K12</f>
        <v>155.78439994715686</v>
      </c>
      <c r="O12" s="36">
        <f>$B$27/SQRT($D$27)*(SQRT(D12)-SQRT(D11))</f>
        <v>0.36636513744979199</v>
      </c>
      <c r="P12" s="36">
        <f>$B$27/SQRT($F$27)*(SQRT(F12)-SQRT(F11))</f>
        <v>0.6909527348701846</v>
      </c>
    </row>
    <row r="13" spans="1:16" ht="15" customHeight="1" x14ac:dyDescent="0.25">
      <c r="A13" s="9">
        <v>44418</v>
      </c>
      <c r="B13" s="39">
        <v>12</v>
      </c>
      <c r="C13" s="38">
        <v>8900000</v>
      </c>
      <c r="D13" s="39">
        <v>58836</v>
      </c>
      <c r="E13" s="39">
        <f>D13-D12</f>
        <v>5849</v>
      </c>
      <c r="F13" s="37">
        <v>62490</v>
      </c>
      <c r="G13" s="36">
        <f>F13-F12</f>
        <v>4554</v>
      </c>
      <c r="H13" s="12">
        <f>K13-K12</f>
        <v>5849</v>
      </c>
      <c r="I13" s="8">
        <f>88/$K$89*(H13)</f>
        <v>2.3068428317886021</v>
      </c>
      <c r="J13" s="12">
        <f>$B$55/SQRT($K$55)*(SQRT(K13)-SQRT(K12))</f>
        <v>1.4268217704882189</v>
      </c>
      <c r="K13" s="41">
        <v>58836</v>
      </c>
      <c r="L13" s="20">
        <v>8900000</v>
      </c>
      <c r="M13" s="11">
        <f>L13*'[1]Inflation Rates by Year'!$C$2</f>
        <v>10063764</v>
      </c>
      <c r="N13" s="10">
        <f>M13/K13</f>
        <v>171.04772588211299</v>
      </c>
      <c r="O13" s="36">
        <f>$B$27/SQRT($D$27)*(SQRT(D13)-SQRT(D12))</f>
        <v>0.82475087000843161</v>
      </c>
      <c r="P13" s="36">
        <f>$B$27/SQRT($F$27)*(SQRT(F13)-SQRT(F12))</f>
        <v>0.61422211698778684</v>
      </c>
    </row>
    <row r="14" spans="1:16" ht="15" customHeight="1" x14ac:dyDescent="0.25">
      <c r="A14" s="9">
        <v>44419</v>
      </c>
      <c r="B14" s="39">
        <v>13</v>
      </c>
      <c r="C14" s="38">
        <v>10500000</v>
      </c>
      <c r="D14" s="39">
        <v>62490</v>
      </c>
      <c r="E14" s="39">
        <f>D14-D13</f>
        <v>3654</v>
      </c>
      <c r="F14" s="37">
        <v>67190</v>
      </c>
      <c r="G14" s="36">
        <f>F14-F13</f>
        <v>4700</v>
      </c>
      <c r="H14" s="12">
        <f>K14-K13</f>
        <v>3654</v>
      </c>
      <c r="I14" s="8">
        <f>88/$K$89*(H14)</f>
        <v>1.4411358706369553</v>
      </c>
      <c r="J14" s="12">
        <f>$B$55/SQRT($K$55)*(SQRT(K14)-SQRT(K13))</f>
        <v>0.8555509147908863</v>
      </c>
      <c r="K14" s="41">
        <v>62490</v>
      </c>
      <c r="L14" s="20">
        <v>10500000</v>
      </c>
      <c r="M14" s="11">
        <f>L14*'[1]Inflation Rates by Year'!$C$2</f>
        <v>11872980</v>
      </c>
      <c r="N14" s="10">
        <f>M14/K14</f>
        <v>189.99807969275085</v>
      </c>
      <c r="O14" s="36">
        <f>$B$27/SQRT($D$27)*(SQRT(D14)-SQRT(D13))</f>
        <v>0.49453714255344638</v>
      </c>
      <c r="P14" s="36">
        <f>$B$27/SQRT($F$27)*(SQRT(F14)-SQRT(F13))</f>
        <v>0.61086829127015241</v>
      </c>
    </row>
    <row r="15" spans="1:16" ht="15" customHeight="1" x14ac:dyDescent="0.25">
      <c r="A15" s="9">
        <v>44420</v>
      </c>
      <c r="B15" s="39">
        <v>14</v>
      </c>
      <c r="C15" s="38">
        <v>12000000</v>
      </c>
      <c r="D15" s="39">
        <v>71865</v>
      </c>
      <c r="E15" s="39">
        <f>D15-D14</f>
        <v>9375</v>
      </c>
      <c r="F15" s="37">
        <v>74759</v>
      </c>
      <c r="G15" s="36">
        <f>F15-F14</f>
        <v>7569</v>
      </c>
      <c r="H15" s="12">
        <f>K15-K14</f>
        <v>9375</v>
      </c>
      <c r="I15" s="8">
        <f>88/$K$89*(H15)</f>
        <v>3.6974955630053246</v>
      </c>
      <c r="J15" s="12">
        <f>$B$55/SQRT($K$55)*(SQRT(K15)-SQRT(K14))</f>
        <v>2.0869601796091528</v>
      </c>
      <c r="K15" s="41">
        <v>71865</v>
      </c>
      <c r="L15" s="20">
        <v>12000000</v>
      </c>
      <c r="M15" s="11">
        <f>L15*'[1]Inflation Rates by Year'!$C$2</f>
        <v>13569120</v>
      </c>
      <c r="N15" s="10">
        <f>M15/K15</f>
        <v>188.81402629931119</v>
      </c>
      <c r="O15" s="36">
        <f>$B$27/SQRT($D$27)*(SQRT(D15)-SQRT(D14))</f>
        <v>1.2063330258947806</v>
      </c>
      <c r="P15" s="36">
        <f>$B$27/SQRT($F$27)*(SQRT(F15)-SQRT(F14))</f>
        <v>0.94046304055559071</v>
      </c>
    </row>
    <row r="16" spans="1:16" ht="15" customHeight="1" x14ac:dyDescent="0.25">
      <c r="A16" s="9">
        <v>44421</v>
      </c>
      <c r="B16" s="39">
        <v>15</v>
      </c>
      <c r="C16" s="38">
        <v>13500000</v>
      </c>
      <c r="D16" s="39">
        <v>74759</v>
      </c>
      <c r="E16" s="39">
        <f>D16-D15</f>
        <v>2894</v>
      </c>
      <c r="F16" s="37">
        <v>79073</v>
      </c>
      <c r="G16" s="36">
        <f>F16-F15</f>
        <v>4314</v>
      </c>
      <c r="H16" s="12">
        <f>K16-K15</f>
        <v>2894</v>
      </c>
      <c r="I16" s="8">
        <f>88/$K$89*(H16)</f>
        <v>1.1413922303293236</v>
      </c>
      <c r="J16" s="12">
        <f>$B$55/SQRT($K$55)*(SQRT(K16)-SQRT(K15))</f>
        <v>0.6163425434661659</v>
      </c>
      <c r="K16" s="41">
        <v>74759</v>
      </c>
      <c r="L16" s="20">
        <v>13500000</v>
      </c>
      <c r="M16" s="11">
        <f>L16*'[1]Inflation Rates by Year'!$C$2</f>
        <v>15265260</v>
      </c>
      <c r="N16" s="10">
        <f>M16/K16</f>
        <v>204.19293998047058</v>
      </c>
      <c r="O16" s="36">
        <f>$B$27/SQRT($D$27)*(SQRT(D16)-SQRT(D15))</f>
        <v>0.35626667567105719</v>
      </c>
      <c r="P16" s="36">
        <f>$B$27/SQRT($F$27)*(SQRT(F16)-SQRT(F15))</f>
        <v>0.51477137025771003</v>
      </c>
    </row>
    <row r="17" spans="1:16" ht="15" customHeight="1" x14ac:dyDescent="0.25">
      <c r="A17" s="9">
        <v>44422</v>
      </c>
      <c r="B17" s="39">
        <v>16</v>
      </c>
      <c r="C17" s="38">
        <v>15000000</v>
      </c>
      <c r="D17" s="39">
        <v>80320</v>
      </c>
      <c r="E17" s="39">
        <f>D17-D16</f>
        <v>5561</v>
      </c>
      <c r="F17" s="37">
        <v>82435</v>
      </c>
      <c r="G17" s="36">
        <f>F17-F16</f>
        <v>3362</v>
      </c>
      <c r="H17" s="12">
        <f>K17-K16</f>
        <v>5561</v>
      </c>
      <c r="I17" s="8">
        <f>88/$K$89*(H17)</f>
        <v>2.1932557680930787</v>
      </c>
      <c r="J17" s="12">
        <f>$B$55/SQRT($K$55)*(SQRT(K17)-SQRT(K16))</f>
        <v>1.1517314825252152</v>
      </c>
      <c r="K17" s="41">
        <v>80320</v>
      </c>
      <c r="L17" s="20">
        <v>15000000</v>
      </c>
      <c r="M17" s="11">
        <f>L17*'[1]Inflation Rates by Year'!$C$2</f>
        <v>16961400</v>
      </c>
      <c r="N17" s="10">
        <f>M17/K17</f>
        <v>211.17280876494024</v>
      </c>
      <c r="O17" s="36">
        <f>$B$27/SQRT($D$27)*(SQRT(D17)-SQRT(D16))</f>
        <v>0.66573945104842736</v>
      </c>
      <c r="P17" s="36">
        <f>$B$27/SQRT($F$27)*(SQRT(F17)-SQRT(F16))</f>
        <v>0.39150660942384791</v>
      </c>
    </row>
    <row r="18" spans="1:16" ht="15" customHeight="1" x14ac:dyDescent="0.25">
      <c r="A18" s="9">
        <v>44423</v>
      </c>
      <c r="B18" s="39">
        <v>17</v>
      </c>
      <c r="C18" s="38">
        <v>16500000</v>
      </c>
      <c r="D18" s="39">
        <v>85396</v>
      </c>
      <c r="E18" s="39">
        <f>D18-D17</f>
        <v>5076</v>
      </c>
      <c r="F18" s="37">
        <v>97287</v>
      </c>
      <c r="G18" s="36">
        <f>F18-F17</f>
        <v>14852</v>
      </c>
      <c r="H18" s="12">
        <f>K18-K17</f>
        <v>5076</v>
      </c>
      <c r="I18" s="8">
        <f>88/$K$89*(H18)</f>
        <v>2.001971997633603</v>
      </c>
      <c r="J18" s="12">
        <f>$B$55/SQRT($K$55)*(SQRT(K18)-SQRT(K17))</f>
        <v>1.0169400323328726</v>
      </c>
      <c r="K18" s="41">
        <v>85396</v>
      </c>
      <c r="L18" s="20">
        <v>16500000</v>
      </c>
      <c r="M18" s="11">
        <f>L18*'[1]Inflation Rates by Year'!$C$2</f>
        <v>18657540</v>
      </c>
      <c r="N18" s="10">
        <f>M18/K18</f>
        <v>218.48259871656751</v>
      </c>
      <c r="O18" s="36">
        <f>$B$27/SQRT($D$27)*(SQRT(D18)-SQRT(D17))</f>
        <v>0.58782546899740096</v>
      </c>
      <c r="P18" s="36">
        <f>$B$27/SQRT($F$27)*(SQRT(F18)-SQRT(F17))</f>
        <v>1.640857577419585</v>
      </c>
    </row>
    <row r="19" spans="1:16" ht="15" customHeight="1" x14ac:dyDescent="0.25">
      <c r="A19" s="9">
        <v>44424</v>
      </c>
      <c r="B19" s="39">
        <v>18</v>
      </c>
      <c r="C19" s="38">
        <v>18500000</v>
      </c>
      <c r="D19" s="39">
        <v>102883</v>
      </c>
      <c r="E19" s="39">
        <f>D19-D18</f>
        <v>17487</v>
      </c>
      <c r="F19" s="37">
        <v>119280</v>
      </c>
      <c r="G19" s="36">
        <f>F19-F18</f>
        <v>21993</v>
      </c>
      <c r="H19" s="12">
        <f>K19-K18</f>
        <v>17487</v>
      </c>
      <c r="I19" s="8">
        <f>88/$K$89*(H19)</f>
        <v>6.8968645237625719</v>
      </c>
      <c r="J19" s="12">
        <f>$B$55/SQRT($K$55)*(SQRT(K19)-SQRT(K18))</f>
        <v>3.2899491607165499</v>
      </c>
      <c r="K19" s="41">
        <v>102883</v>
      </c>
      <c r="L19" s="20">
        <v>18500000</v>
      </c>
      <c r="M19" s="11">
        <f>L19*'[1]Inflation Rates by Year'!$C$2</f>
        <v>20919060</v>
      </c>
      <c r="N19" s="10">
        <f>M19/K19</f>
        <v>203.32863544025739</v>
      </c>
      <c r="O19" s="36">
        <f>$B$27/SQRT($D$27)*(SQRT(D19)-SQRT(D18))</f>
        <v>1.9017010314161644</v>
      </c>
      <c r="P19" s="36">
        <f>$B$27/SQRT($F$27)*(SQRT(F19)-SQRT(F18))</f>
        <v>2.2144468044864856</v>
      </c>
    </row>
    <row r="20" spans="1:16" ht="15" customHeight="1" x14ac:dyDescent="0.25">
      <c r="A20" s="9">
        <v>44425</v>
      </c>
      <c r="B20" s="39">
        <v>19</v>
      </c>
      <c r="C20" s="38">
        <v>20100000</v>
      </c>
      <c r="D20" s="39">
        <v>119364</v>
      </c>
      <c r="E20" s="39">
        <f>D20-D19</f>
        <v>16481</v>
      </c>
      <c r="F20" s="37">
        <v>128613</v>
      </c>
      <c r="G20" s="36">
        <f>F20-F19</f>
        <v>9333</v>
      </c>
      <c r="H20" s="12">
        <f>K20-K19</f>
        <v>16481</v>
      </c>
      <c r="I20" s="8">
        <f>88/$K$89*(H20)</f>
        <v>6.5000985998816807</v>
      </c>
      <c r="J20" s="12">
        <f>$B$55/SQRT($K$55)*(SQRT(K20)-SQRT(K19))</f>
        <v>2.8527896730970781</v>
      </c>
      <c r="K20" s="41">
        <v>119364</v>
      </c>
      <c r="L20" s="20">
        <v>20100000</v>
      </c>
      <c r="M20" s="11">
        <f>L20*'[1]Inflation Rates by Year'!$C$2</f>
        <v>22728276</v>
      </c>
      <c r="N20" s="10">
        <f>M20/K20</f>
        <v>190.41148084849704</v>
      </c>
      <c r="O20" s="36">
        <f>$B$27/SQRT($D$27)*(SQRT(D20)-SQRT(D19))</f>
        <v>1.6490081757252746</v>
      </c>
      <c r="P20" s="36">
        <f>$B$27/SQRT($F$27)*(SQRT(F20)-SQRT(F19))</f>
        <v>0.87736641612774557</v>
      </c>
    </row>
    <row r="21" spans="1:16" ht="15" customHeight="1" x14ac:dyDescent="0.25">
      <c r="A21" s="9">
        <v>44426</v>
      </c>
      <c r="B21" s="39">
        <v>20</v>
      </c>
      <c r="C21" s="38">
        <v>21700000</v>
      </c>
      <c r="D21" s="39">
        <v>128613</v>
      </c>
      <c r="E21" s="39">
        <f>D21-D20</f>
        <v>9249</v>
      </c>
      <c r="F21" s="37">
        <v>137071</v>
      </c>
      <c r="G21" s="36">
        <f>F21-F20</f>
        <v>8458</v>
      </c>
      <c r="H21" s="12">
        <f>K21-K20</f>
        <v>9249</v>
      </c>
      <c r="I21" s="8">
        <f>88/$K$89*(H21)</f>
        <v>3.6478012226385332</v>
      </c>
      <c r="J21" s="12">
        <f>$B$55/SQRT($K$55)*(SQRT(K21)-SQRT(K20))</f>
        <v>1.5148500209554372</v>
      </c>
      <c r="K21" s="41">
        <v>128613</v>
      </c>
      <c r="L21" s="20">
        <v>21700000</v>
      </c>
      <c r="M21" s="11">
        <f>L21*'[1]Inflation Rates by Year'!$C$2</f>
        <v>24537492</v>
      </c>
      <c r="N21" s="10">
        <f>M21/K21</f>
        <v>190.78547269716125</v>
      </c>
      <c r="O21" s="36">
        <f>$B$27/SQRT($D$27)*(SQRT(D21)-SQRT(D20))</f>
        <v>0.87563415316251192</v>
      </c>
      <c r="P21" s="36">
        <f>$B$27/SQRT($F$27)*(SQRT(F21)-SQRT(F20))</f>
        <v>0.76798882348938113</v>
      </c>
    </row>
    <row r="22" spans="1:16" ht="15" customHeight="1" x14ac:dyDescent="0.25">
      <c r="A22" s="9">
        <v>44427</v>
      </c>
      <c r="B22" s="39">
        <v>21</v>
      </c>
      <c r="C22" s="38">
        <v>24300000</v>
      </c>
      <c r="D22" s="39">
        <v>136379</v>
      </c>
      <c r="E22" s="39">
        <f>D22-D21</f>
        <v>7766</v>
      </c>
      <c r="F22" s="37">
        <v>142250</v>
      </c>
      <c r="G22" s="36">
        <f>F22-F21</f>
        <v>5179</v>
      </c>
      <c r="H22" s="12">
        <f>K22-K21</f>
        <v>7766</v>
      </c>
      <c r="I22" s="8">
        <f>88/$K$89*(H22)</f>
        <v>3.0629067245119308</v>
      </c>
      <c r="J22" s="12">
        <f>$B$55/SQRT($K$55)*(SQRT(K22)-SQRT(K21))</f>
        <v>1.2303612499519361</v>
      </c>
      <c r="K22" s="41">
        <v>136379</v>
      </c>
      <c r="L22" s="20">
        <v>24300000</v>
      </c>
      <c r="M22" s="11">
        <f>L22*'[1]Inflation Rates by Year'!$C$2</f>
        <v>27477468</v>
      </c>
      <c r="N22" s="10">
        <f>M22/K22</f>
        <v>201.47873206285425</v>
      </c>
      <c r="O22" s="36">
        <f>$B$27/SQRT($D$27)*(SQRT(D22)-SQRT(D21))</f>
        <v>0.71119009557535984</v>
      </c>
      <c r="P22" s="36">
        <f>$B$27/SQRT($F$27)*(SQRT(F22)-SQRT(F21))</f>
        <v>0.45859325583765659</v>
      </c>
    </row>
    <row r="23" spans="1:16" ht="15" customHeight="1" x14ac:dyDescent="0.25">
      <c r="A23" s="9">
        <v>44428</v>
      </c>
      <c r="B23" s="39">
        <v>22</v>
      </c>
      <c r="C23" s="38">
        <v>30100000</v>
      </c>
      <c r="D23" s="39">
        <v>142066</v>
      </c>
      <c r="E23" s="39">
        <f>D23-D22</f>
        <v>5687</v>
      </c>
      <c r="F23" s="37">
        <v>145357</v>
      </c>
      <c r="G23" s="36">
        <f>F23-F22</f>
        <v>3107</v>
      </c>
      <c r="H23" s="12">
        <f>K23-K22</f>
        <v>5687</v>
      </c>
      <c r="I23" s="8">
        <f>88/$K$89*(H23)</f>
        <v>2.24295010845987</v>
      </c>
      <c r="J23" s="12">
        <f>$B$55/SQRT($K$55)*(SQRT(K23)-SQRT(K22))</f>
        <v>0.87890344103887075</v>
      </c>
      <c r="K23" s="41">
        <v>142066</v>
      </c>
      <c r="L23" s="20">
        <v>30100000</v>
      </c>
      <c r="M23" s="11">
        <f>L23*'[1]Inflation Rates by Year'!$C$2</f>
        <v>34035876</v>
      </c>
      <c r="N23" s="10">
        <f>M23/K23</f>
        <v>239.57791449044811</v>
      </c>
      <c r="O23" s="36">
        <f>$B$27/SQRT($D$27)*(SQRT(D23)-SQRT(D22))</f>
        <v>0.50803568647693143</v>
      </c>
      <c r="P23" s="36">
        <f>$B$27/SQRT($F$27)*(SQRT(F23)-SQRT(F22))</f>
        <v>0.27112074198162422</v>
      </c>
    </row>
    <row r="24" spans="1:16" ht="15" customHeight="1" x14ac:dyDescent="0.25">
      <c r="A24" s="9">
        <v>44429</v>
      </c>
      <c r="B24" s="39">
        <v>23</v>
      </c>
      <c r="C24" s="38">
        <v>33100000</v>
      </c>
      <c r="D24" s="39">
        <v>145006</v>
      </c>
      <c r="E24" s="39">
        <f>D24-D23</f>
        <v>2940</v>
      </c>
      <c r="F24" s="37">
        <v>147323</v>
      </c>
      <c r="G24" s="36">
        <f>F24-F23</f>
        <v>1966</v>
      </c>
      <c r="H24" s="12">
        <f>K24-K23</f>
        <v>2940</v>
      </c>
      <c r="I24" s="8">
        <f>88/$K$89*(H24)</f>
        <v>1.1595346085584699</v>
      </c>
      <c r="J24" s="12">
        <f>$B$55/SQRT($K$55)*(SQRT(K24)-SQRT(K23))</f>
        <v>0.44746864244347678</v>
      </c>
      <c r="K24" s="41">
        <v>145006</v>
      </c>
      <c r="L24" s="20">
        <v>33100000</v>
      </c>
      <c r="M24" s="11">
        <f>L24*'[1]Inflation Rates by Year'!$C$2</f>
        <v>37428156</v>
      </c>
      <c r="N24" s="10">
        <f>M24/K24</f>
        <v>258.11453319173</v>
      </c>
      <c r="O24" s="36">
        <f>$B$27/SQRT($D$27)*(SQRT(D24)-SQRT(D23))</f>
        <v>0.25865189317266341</v>
      </c>
      <c r="P24" s="36">
        <f>$B$27/SQRT($F$27)*(SQRT(F24)-SQRT(F23))</f>
        <v>0.17006084052522236</v>
      </c>
    </row>
    <row r="25" spans="1:16" ht="15" customHeight="1" x14ac:dyDescent="0.25">
      <c r="A25" s="9">
        <v>44430</v>
      </c>
      <c r="B25" s="39">
        <v>24</v>
      </c>
      <c r="C25" s="38">
        <v>37100000</v>
      </c>
      <c r="D25" s="39">
        <v>148213</v>
      </c>
      <c r="E25" s="39">
        <f>D25-D24</f>
        <v>3207</v>
      </c>
      <c r="F25" s="37">
        <v>150132</v>
      </c>
      <c r="G25" s="36">
        <f>F25-F24</f>
        <v>2809</v>
      </c>
      <c r="H25" s="12">
        <f>K25-K24</f>
        <v>3207</v>
      </c>
      <c r="I25" s="8">
        <f>88/$K$89*(H25)</f>
        <v>1.2648392821928613</v>
      </c>
      <c r="J25" s="12">
        <f>$B$55/SQRT($K$55)*(SQRT(K25)-SQRT(K24))</f>
        <v>0.4829635992261988</v>
      </c>
      <c r="K25" s="41">
        <v>148213</v>
      </c>
      <c r="L25" s="20">
        <v>37100000</v>
      </c>
      <c r="M25" s="11">
        <f>L25*'[1]Inflation Rates by Year'!$C$2</f>
        <v>41951196</v>
      </c>
      <c r="N25" s="10">
        <f>M25/K25</f>
        <v>283.04666932050498</v>
      </c>
      <c r="O25" s="36">
        <f>$B$27/SQRT($D$27)*(SQRT(D25)-SQRT(D24))</f>
        <v>0.27916916946670589</v>
      </c>
      <c r="P25" s="36">
        <f>$B$27/SQRT($F$27)*(SQRT(F25)-SQRT(F24))</f>
        <v>0.24102429723411353</v>
      </c>
    </row>
    <row r="26" spans="1:16" ht="15" customHeight="1" x14ac:dyDescent="0.25">
      <c r="A26" s="9">
        <v>44431</v>
      </c>
      <c r="B26" s="39">
        <v>25</v>
      </c>
      <c r="C26" s="38">
        <v>40000000</v>
      </c>
      <c r="D26" s="39">
        <v>150011</v>
      </c>
      <c r="E26" s="39">
        <f>D26-D25</f>
        <v>1798</v>
      </c>
      <c r="F26" s="37">
        <v>152220</v>
      </c>
      <c r="G26" s="36">
        <f>F26-F25</f>
        <v>2088</v>
      </c>
      <c r="H26" s="12">
        <f>K26-K25</f>
        <v>1798</v>
      </c>
      <c r="I26" s="8">
        <f>88/$K$89*(H26)</f>
        <v>0.70913034904358119</v>
      </c>
      <c r="J26" s="12">
        <f>$B$55/SQRT($K$55)*(SQRT(K26)-SQRT(K25))</f>
        <v>0.26848829970355026</v>
      </c>
      <c r="K26" s="41">
        <v>150011</v>
      </c>
      <c r="L26" s="20">
        <v>40000000</v>
      </c>
      <c r="M26" s="11">
        <f>L26*'[1]Inflation Rates by Year'!$C$2</f>
        <v>45230400</v>
      </c>
      <c r="N26" s="10">
        <f>M26/K26</f>
        <v>301.51388898147468</v>
      </c>
      <c r="O26" s="36">
        <f>$B$27/SQRT($D$27)*(SQRT(D26)-SQRT(D25))</f>
        <v>0.15519524817161875</v>
      </c>
      <c r="P26" s="36">
        <f>$B$27/SQRT($F$27)*(SQRT(F26)-SQRT(F25))</f>
        <v>0.17770168336944792</v>
      </c>
    </row>
    <row r="27" spans="1:16" ht="15" customHeight="1" x14ac:dyDescent="0.25">
      <c r="A27" s="9">
        <v>44432</v>
      </c>
      <c r="B27" s="39">
        <v>26</v>
      </c>
      <c r="C27" s="38">
        <v>44000000</v>
      </c>
      <c r="D27" s="39">
        <v>152125</v>
      </c>
      <c r="E27" s="39">
        <f>D27-D26</f>
        <v>2114</v>
      </c>
      <c r="F27" s="37">
        <v>154343</v>
      </c>
      <c r="G27" s="36">
        <f>F27-F26</f>
        <v>2123</v>
      </c>
      <c r="H27" s="12">
        <f>K27-K26</f>
        <v>2114</v>
      </c>
      <c r="I27" s="8">
        <f>88/$K$89*(H27)</f>
        <v>0.83376059948728065</v>
      </c>
      <c r="J27" s="12">
        <f>$B$55/SQRT($K$55)*(SQRT(K27)-SQRT(K26))</f>
        <v>0.31362552579638825</v>
      </c>
      <c r="K27" s="41">
        <v>152125</v>
      </c>
      <c r="L27" s="20">
        <v>44000000</v>
      </c>
      <c r="M27" s="11">
        <f>L27*'[1]Inflation Rates by Year'!$C$2</f>
        <v>49753440</v>
      </c>
      <c r="N27" s="10">
        <f>M27/K27</f>
        <v>327.05630238290877</v>
      </c>
      <c r="O27" s="36">
        <f>$B$27/SQRT($D$27)*(SQRT(D27)-SQRT(D26))</f>
        <v>0.18128607973854766</v>
      </c>
      <c r="P27" s="36">
        <f>$B$27/SQRT($F$27)*(SQRT(F27)-SQRT(F26))</f>
        <v>0.17943518649443002</v>
      </c>
    </row>
    <row r="28" spans="1:16" ht="15" customHeight="1" x14ac:dyDescent="0.25">
      <c r="A28" s="9">
        <v>44433</v>
      </c>
      <c r="B28" s="39">
        <v>27</v>
      </c>
      <c r="C28" s="38">
        <v>47500000</v>
      </c>
      <c r="D28" s="39">
        <v>154344</v>
      </c>
      <c r="E28" s="14"/>
      <c r="F28" s="37">
        <v>157206</v>
      </c>
      <c r="G28" s="36">
        <f>F28-F27</f>
        <v>2863</v>
      </c>
      <c r="H28" s="12">
        <f>K28-K27</f>
        <v>2219</v>
      </c>
      <c r="I28" s="8">
        <f>88/$K$89*(H28)</f>
        <v>0.87517254979294035</v>
      </c>
      <c r="J28" s="12">
        <f>$B$55/SQRT($K$55)*(SQRT(K28)-SQRT(K27))</f>
        <v>0.32686759831974449</v>
      </c>
      <c r="K28" s="41">
        <v>154344</v>
      </c>
      <c r="L28" s="20">
        <v>47500000</v>
      </c>
      <c r="M28" s="11">
        <f>L28*'[1]Inflation Rates by Year'!$C$2</f>
        <v>53711100</v>
      </c>
      <c r="N28" s="10">
        <f>M28/K28</f>
        <v>347.99603483128595</v>
      </c>
      <c r="O28" s="14"/>
      <c r="P28" s="14"/>
    </row>
    <row r="29" spans="1:16" ht="15" customHeight="1" x14ac:dyDescent="0.25">
      <c r="A29" s="9">
        <v>44434</v>
      </c>
      <c r="B29" s="39">
        <v>28</v>
      </c>
      <c r="C29" s="38">
        <v>50000000</v>
      </c>
      <c r="D29" s="39">
        <v>158557</v>
      </c>
      <c r="E29" s="14"/>
      <c r="F29" s="37">
        <v>160159</v>
      </c>
      <c r="G29" s="36">
        <f>F29-F28</f>
        <v>2953</v>
      </c>
      <c r="H29" s="12">
        <f>K29-K28</f>
        <v>4213</v>
      </c>
      <c r="I29" s="8">
        <f>88/$K$89*(H29)</f>
        <v>1.6616052060737527</v>
      </c>
      <c r="J29" s="12">
        <f>$B$55/SQRT($K$55)*(SQRT(K29)-SQRT(K28))</f>
        <v>0.6141901188027844</v>
      </c>
      <c r="K29" s="41">
        <v>158557</v>
      </c>
      <c r="L29" s="20">
        <v>50000000</v>
      </c>
      <c r="M29" s="11">
        <f>L29*'[1]Inflation Rates by Year'!$C$2</f>
        <v>56538000</v>
      </c>
      <c r="N29" s="10">
        <f>M29/K29</f>
        <v>356.57839136714239</v>
      </c>
      <c r="O29" s="14"/>
      <c r="P29" s="14"/>
    </row>
    <row r="30" spans="1:16" ht="15" customHeight="1" x14ac:dyDescent="0.25">
      <c r="A30" s="9">
        <v>44435</v>
      </c>
      <c r="B30" s="39">
        <v>29</v>
      </c>
      <c r="C30" s="38">
        <v>55500000</v>
      </c>
      <c r="D30" s="14"/>
      <c r="E30" s="14"/>
      <c r="F30" s="37">
        <v>161070</v>
      </c>
      <c r="G30" s="36">
        <f>F30-F29</f>
        <v>911</v>
      </c>
      <c r="H30" s="12">
        <f>K30-K29</f>
        <v>2513</v>
      </c>
      <c r="I30" s="8">
        <f>88/$K$89*(H30)</f>
        <v>0.99112601064878725</v>
      </c>
      <c r="J30" s="12">
        <f>$B$55/SQRT($K$55)*(SQRT(K30)-SQRT(K29))</f>
        <v>0.36247588137540865</v>
      </c>
      <c r="K30" s="21">
        <v>161070</v>
      </c>
      <c r="L30" s="20">
        <v>55500000</v>
      </c>
      <c r="M30" s="11">
        <f>L30*'[1]Inflation Rates by Year'!$C$2</f>
        <v>62757180</v>
      </c>
      <c r="N30" s="10">
        <f>M30/K30</f>
        <v>389.62674613522069</v>
      </c>
      <c r="O30" s="14"/>
      <c r="P30" s="14"/>
    </row>
    <row r="31" spans="1:16" ht="15" customHeight="1" x14ac:dyDescent="0.25">
      <c r="A31" s="9">
        <v>44436</v>
      </c>
      <c r="B31" s="39">
        <v>30</v>
      </c>
      <c r="C31" s="38">
        <v>61000000</v>
      </c>
      <c r="D31" s="14"/>
      <c r="E31" s="14"/>
      <c r="F31" s="37">
        <v>163157</v>
      </c>
      <c r="G31" s="36">
        <f>F31-F30</f>
        <v>2087</v>
      </c>
      <c r="H31" s="12">
        <f>K31-K30</f>
        <v>2087</v>
      </c>
      <c r="I31" s="8">
        <f>88/$K$89*(H31)</f>
        <v>0.8231118122658253</v>
      </c>
      <c r="J31" s="12">
        <f>$B$55/SQRT($K$55)*(SQRT(K31)-SQRT(K30))</f>
        <v>0.29888568059696069</v>
      </c>
      <c r="K31" s="21">
        <v>163157</v>
      </c>
      <c r="L31" s="20">
        <v>61000000</v>
      </c>
      <c r="M31" s="11">
        <f>L31*'[1]Inflation Rates by Year'!$C$2</f>
        <v>68976360</v>
      </c>
      <c r="N31" s="10">
        <f>M31/K31</f>
        <v>422.76065384874693</v>
      </c>
      <c r="O31" s="14"/>
      <c r="P31" s="14"/>
    </row>
    <row r="32" spans="1:16" ht="15" customHeight="1" x14ac:dyDescent="0.25">
      <c r="A32" s="9">
        <v>44437</v>
      </c>
      <c r="B32" s="39">
        <v>31</v>
      </c>
      <c r="C32" s="38">
        <v>61000000</v>
      </c>
      <c r="D32" s="14"/>
      <c r="E32" s="14"/>
      <c r="F32" s="37">
        <v>166866</v>
      </c>
      <c r="G32" s="36">
        <f>F32-F31</f>
        <v>3709</v>
      </c>
      <c r="H32" s="12">
        <f>K32-K31</f>
        <v>3709</v>
      </c>
      <c r="I32" s="8">
        <f>88/$K$89*(H32)</f>
        <v>1.4628278446065865</v>
      </c>
      <c r="J32" s="12">
        <f>$B$55/SQRT($K$55)*(SQRT(K32)-SQRT(K31))</f>
        <v>0.52649783039976727</v>
      </c>
      <c r="K32" s="21">
        <v>166866</v>
      </c>
      <c r="L32" s="20">
        <v>61000000</v>
      </c>
      <c r="M32" s="11">
        <f>L32*'[1]Inflation Rates by Year'!$C$2</f>
        <v>68976360</v>
      </c>
      <c r="N32" s="10">
        <f>M32/K32</f>
        <v>413.36377692280035</v>
      </c>
      <c r="O32" s="14"/>
      <c r="P32" s="14"/>
    </row>
    <row r="33" spans="1:16" ht="15" customHeight="1" x14ac:dyDescent="0.25">
      <c r="A33" s="9">
        <v>44438</v>
      </c>
      <c r="B33" s="39">
        <v>32</v>
      </c>
      <c r="C33" s="38">
        <v>70000000</v>
      </c>
      <c r="D33" s="14"/>
      <c r="E33" s="14"/>
      <c r="F33" s="37">
        <v>170945</v>
      </c>
      <c r="G33" s="36">
        <f>F33-F32</f>
        <v>4079</v>
      </c>
      <c r="H33" s="12">
        <f>K33-K32</f>
        <v>4079</v>
      </c>
      <c r="I33" s="8">
        <f>88/$K$89*(H33)</f>
        <v>1.6087556694931968</v>
      </c>
      <c r="J33" s="12">
        <f>$B$55/SQRT($K$55)*(SQRT(K33)-SQRT(K32))</f>
        <v>0.57230788118913867</v>
      </c>
      <c r="K33" s="21">
        <v>170945</v>
      </c>
      <c r="L33" s="20">
        <v>70000000</v>
      </c>
      <c r="M33" s="11">
        <f>L33*'[1]Inflation Rates by Year'!$C$2</f>
        <v>79153200</v>
      </c>
      <c r="N33" s="10">
        <f>M33/K33</f>
        <v>463.03313931381439</v>
      </c>
      <c r="O33" s="14"/>
      <c r="P33" s="14"/>
    </row>
    <row r="34" spans="1:16" ht="15" customHeight="1" x14ac:dyDescent="0.25">
      <c r="A34" s="9">
        <v>44439</v>
      </c>
      <c r="B34" s="39">
        <v>33</v>
      </c>
      <c r="C34" s="38">
        <v>73700000</v>
      </c>
      <c r="D34" s="14"/>
      <c r="E34" s="14"/>
      <c r="F34" s="37">
        <v>172639</v>
      </c>
      <c r="G34" s="36">
        <f>F34-F33</f>
        <v>1694</v>
      </c>
      <c r="H34" s="12">
        <f>K34-K33</f>
        <v>1694</v>
      </c>
      <c r="I34" s="8">
        <f>88/$K$89*(H34)</f>
        <v>0.66811279826464209</v>
      </c>
      <c r="J34" s="12">
        <f>$B$55/SQRT($K$55)*(SQRT(K34)-SQRT(K33))</f>
        <v>0.23566943428200232</v>
      </c>
      <c r="K34" s="21">
        <v>172639</v>
      </c>
      <c r="L34" s="20">
        <v>73700000</v>
      </c>
      <c r="M34" s="11">
        <f>L34*'[1]Inflation Rates by Year'!$C$2</f>
        <v>83337012</v>
      </c>
      <c r="N34" s="10">
        <f>M34/K34</f>
        <v>482.72413533442619</v>
      </c>
      <c r="O34" s="14"/>
      <c r="P34" s="14"/>
    </row>
    <row r="35" spans="1:16" ht="15" customHeight="1" x14ac:dyDescent="0.25">
      <c r="A35" s="9">
        <v>44440</v>
      </c>
      <c r="B35" s="39">
        <v>34</v>
      </c>
      <c r="C35" s="38">
        <v>78200000</v>
      </c>
      <c r="D35" s="14"/>
      <c r="E35" s="14"/>
      <c r="F35" s="37">
        <v>176579</v>
      </c>
      <c r="G35" s="36">
        <f>F35-F34</f>
        <v>3940</v>
      </c>
      <c r="H35" s="12">
        <f>K35-K34</f>
        <v>3940</v>
      </c>
      <c r="I35" s="8">
        <f>88/$K$89*(H35)</f>
        <v>1.5539341352790377</v>
      </c>
      <c r="J35" s="12">
        <f>$B$55/SQRT($K$55)*(SQRT(K35)-SQRT(K34))</f>
        <v>0.54370061141814074</v>
      </c>
      <c r="K35" s="21">
        <v>176579</v>
      </c>
      <c r="L35" s="20">
        <v>78200000</v>
      </c>
      <c r="M35" s="11">
        <f>L35*'[1]Inflation Rates by Year'!$C$2</f>
        <v>88425432</v>
      </c>
      <c r="N35" s="10">
        <f>M35/K35</f>
        <v>500.76980841436409</v>
      </c>
      <c r="O35" s="14"/>
      <c r="P35" s="14"/>
    </row>
    <row r="36" spans="1:16" ht="15" customHeight="1" x14ac:dyDescent="0.25">
      <c r="A36" s="9">
        <v>44441</v>
      </c>
      <c r="B36" s="39">
        <v>35</v>
      </c>
      <c r="C36" s="38">
        <v>82600000</v>
      </c>
      <c r="D36" s="14"/>
      <c r="E36" s="14"/>
      <c r="F36" s="18"/>
      <c r="G36" s="17"/>
      <c r="H36" s="12">
        <f>K36-K35</f>
        <v>0</v>
      </c>
      <c r="I36" s="8">
        <f>88/$K$89*(H36)</f>
        <v>0</v>
      </c>
      <c r="J36" s="12">
        <f>$B$55/SQRT($K$55)*(SQRT(K36)-SQRT(K35))</f>
        <v>0</v>
      </c>
      <c r="K36" s="21">
        <v>176579</v>
      </c>
      <c r="L36" s="20">
        <v>82600000</v>
      </c>
      <c r="M36" s="11">
        <f>L36*'[1]Inflation Rates by Year'!$C$2</f>
        <v>93400776</v>
      </c>
      <c r="N36" s="40">
        <v>0</v>
      </c>
      <c r="O36" s="14"/>
      <c r="P36" s="14"/>
    </row>
    <row r="37" spans="1:16" ht="15" customHeight="1" x14ac:dyDescent="0.25">
      <c r="A37" s="9">
        <v>44442</v>
      </c>
      <c r="B37" s="39">
        <v>36</v>
      </c>
      <c r="C37" s="38">
        <v>86900000</v>
      </c>
      <c r="D37" s="14"/>
      <c r="E37" s="14"/>
      <c r="F37" s="37">
        <v>179277</v>
      </c>
      <c r="G37" s="17"/>
      <c r="H37" s="12">
        <f>K37-K36</f>
        <v>2698</v>
      </c>
      <c r="I37" s="8">
        <f>88/$K$89*(H37)</f>
        <v>1.0640899230920924</v>
      </c>
      <c r="J37" s="12">
        <f>$B$55/SQRT($K$55)*(SQRT(K37)-SQRT(K36))</f>
        <v>0.36881868829286801</v>
      </c>
      <c r="K37" s="21">
        <v>179277</v>
      </c>
      <c r="L37" s="20">
        <v>86900000</v>
      </c>
      <c r="M37" s="11">
        <f>L37*'[1]Inflation Rates by Year'!$C$2</f>
        <v>98263044</v>
      </c>
      <c r="N37" s="10">
        <f>M37/K37</f>
        <v>548.10736458106726</v>
      </c>
      <c r="O37" s="14"/>
      <c r="P37" s="14"/>
    </row>
    <row r="38" spans="1:16" ht="15" customHeight="1" x14ac:dyDescent="0.25">
      <c r="A38" s="9">
        <v>44443</v>
      </c>
      <c r="B38" s="39">
        <v>37</v>
      </c>
      <c r="C38" s="38">
        <v>91100000</v>
      </c>
      <c r="D38" s="14"/>
      <c r="E38" s="14"/>
      <c r="F38" s="37">
        <v>181673</v>
      </c>
      <c r="G38" s="36">
        <f>F38-F37</f>
        <v>2396</v>
      </c>
      <c r="H38" s="12">
        <f>K38-K37</f>
        <v>2396</v>
      </c>
      <c r="I38" s="8">
        <f>88/$K$89*(H38)</f>
        <v>0.94498126602248078</v>
      </c>
      <c r="J38" s="12">
        <f>$B$55/SQRT($K$55)*(SQRT(K38)-SQRT(K37))</f>
        <v>0.32521508508976316</v>
      </c>
      <c r="K38" s="21">
        <v>181673</v>
      </c>
      <c r="L38" s="20">
        <v>91100000</v>
      </c>
      <c r="M38" s="11">
        <f>L38*'[1]Inflation Rates by Year'!$C$2</f>
        <v>103012236</v>
      </c>
      <c r="N38" s="10">
        <f>M38/K38</f>
        <v>567.02006352072135</v>
      </c>
      <c r="O38" s="14"/>
      <c r="P38" s="14"/>
    </row>
    <row r="39" spans="1:16" ht="15" customHeight="1" x14ac:dyDescent="0.25">
      <c r="A39" s="9">
        <v>44444</v>
      </c>
      <c r="B39" s="39">
        <v>38</v>
      </c>
      <c r="C39" s="38">
        <v>91100000</v>
      </c>
      <c r="D39" s="14"/>
      <c r="E39" s="14"/>
      <c r="F39" s="37">
        <v>183371</v>
      </c>
      <c r="G39" s="36">
        <f>F39-F38</f>
        <v>1698</v>
      </c>
      <c r="H39" s="12">
        <f>K39-K38</f>
        <v>1698</v>
      </c>
      <c r="I39" s="8">
        <f>88/$K$89*(H39)</f>
        <v>0.66969039637152439</v>
      </c>
      <c r="J39" s="12">
        <f>$B$55/SQRT($K$55)*(SQRT(K39)-SQRT(K38))</f>
        <v>0.22917711740306868</v>
      </c>
      <c r="K39" s="21">
        <v>183371</v>
      </c>
      <c r="L39" s="20">
        <v>91100000</v>
      </c>
      <c r="M39" s="11">
        <f>L39*'[1]Inflation Rates by Year'!$C$2</f>
        <v>103012236</v>
      </c>
      <c r="N39" s="10">
        <f>M39/K39</f>
        <v>561.76950553795314</v>
      </c>
      <c r="O39" s="14"/>
      <c r="P39" s="14"/>
    </row>
    <row r="40" spans="1:16" ht="15" customHeight="1" x14ac:dyDescent="0.25">
      <c r="A40" s="9">
        <v>44445</v>
      </c>
      <c r="B40" s="39">
        <v>39</v>
      </c>
      <c r="C40" s="38">
        <v>98600000</v>
      </c>
      <c r="D40" s="14"/>
      <c r="E40" s="14"/>
      <c r="F40" s="37">
        <v>185505</v>
      </c>
      <c r="G40" s="36">
        <f>F40-F39</f>
        <v>2134</v>
      </c>
      <c r="H40" s="12">
        <f>K40-K39</f>
        <v>2134</v>
      </c>
      <c r="I40" s="8">
        <f>88/$K$89*(H40)</f>
        <v>0.84164859002169201</v>
      </c>
      <c r="J40" s="12">
        <f>$B$55/SQRT($K$55)*(SQRT(K40)-SQRT(K39))</f>
        <v>0.28652401711975006</v>
      </c>
      <c r="K40" s="21">
        <v>185505</v>
      </c>
      <c r="L40" s="20">
        <v>98600000</v>
      </c>
      <c r="M40" s="11">
        <f>L40*'[1]Inflation Rates by Year'!$C$2</f>
        <v>111492936</v>
      </c>
      <c r="N40" s="10">
        <f>M40/K40</f>
        <v>601.02388614862139</v>
      </c>
      <c r="O40" s="14"/>
      <c r="P40" s="14"/>
    </row>
    <row r="41" spans="1:16" ht="15" customHeight="1" x14ac:dyDescent="0.25">
      <c r="A41" s="9">
        <v>44446</v>
      </c>
      <c r="B41" s="39">
        <v>40</v>
      </c>
      <c r="C41" s="38">
        <v>103700000</v>
      </c>
      <c r="D41" s="14"/>
      <c r="E41" s="14"/>
      <c r="F41" s="37">
        <v>189366</v>
      </c>
      <c r="G41" s="36">
        <f>F41-F40</f>
        <v>3861</v>
      </c>
      <c r="H41" s="12">
        <f>K41-K40</f>
        <v>3861</v>
      </c>
      <c r="I41" s="8">
        <f>88/$K$89*(H41)</f>
        <v>1.5227765726681128</v>
      </c>
      <c r="J41" s="12">
        <f>$B$55/SQRT($K$55)*(SQRT(K41)-SQRT(K40))</f>
        <v>0.51424447887304658</v>
      </c>
      <c r="K41" s="21">
        <v>189366</v>
      </c>
      <c r="L41" s="20">
        <v>103700000</v>
      </c>
      <c r="M41" s="11">
        <f>L41*'[1]Inflation Rates by Year'!$C$2</f>
        <v>117259812</v>
      </c>
      <c r="N41" s="10">
        <f>M41/K41</f>
        <v>619.22315515984917</v>
      </c>
      <c r="O41" s="14"/>
      <c r="P41" s="14"/>
    </row>
    <row r="42" spans="1:16" ht="15" customHeight="1" x14ac:dyDescent="0.25">
      <c r="A42" s="9">
        <v>44447</v>
      </c>
      <c r="B42" s="39">
        <v>41</v>
      </c>
      <c r="C42" s="38">
        <v>105900000</v>
      </c>
      <c r="D42" s="14"/>
      <c r="E42" s="14"/>
      <c r="F42" s="37">
        <v>201968</v>
      </c>
      <c r="G42" s="36">
        <f>F42-F41</f>
        <v>12602</v>
      </c>
      <c r="H42" s="12">
        <f>K42-K41</f>
        <v>12602</v>
      </c>
      <c r="I42" s="8">
        <f>88/$K$89*(H42)</f>
        <v>4.9702228357325975</v>
      </c>
      <c r="J42" s="12">
        <f>$B$55/SQRT($K$55)*(SQRT(K42)-SQRT(K41))</f>
        <v>1.6429600435321845</v>
      </c>
      <c r="K42" s="21">
        <v>201968</v>
      </c>
      <c r="L42" s="20">
        <v>105900000</v>
      </c>
      <c r="M42" s="11">
        <f>L42*'[1]Inflation Rates by Year'!$C$2</f>
        <v>119747484</v>
      </c>
      <c r="N42" s="10">
        <f>M42/K42</f>
        <v>592.90325200031691</v>
      </c>
      <c r="O42" s="14"/>
      <c r="P42" s="14"/>
    </row>
    <row r="43" spans="1:16" ht="15" customHeight="1" x14ac:dyDescent="0.25">
      <c r="A43" s="9">
        <v>44448</v>
      </c>
      <c r="B43" s="39">
        <v>42</v>
      </c>
      <c r="C43" s="38">
        <v>107400000</v>
      </c>
      <c r="D43" s="14"/>
      <c r="E43" s="14"/>
      <c r="F43" s="18"/>
      <c r="G43" s="17"/>
      <c r="H43" s="12">
        <f>K43-K42</f>
        <v>0</v>
      </c>
      <c r="I43" s="8">
        <f>88/$K$89*(H43)</f>
        <v>0</v>
      </c>
      <c r="J43" s="12">
        <f>$B$55/SQRT($K$55)*(SQRT(K43)-SQRT(K42))</f>
        <v>0</v>
      </c>
      <c r="K43" s="21">
        <v>201968</v>
      </c>
      <c r="L43" s="20">
        <v>107400000</v>
      </c>
      <c r="M43" s="11">
        <f>L43*'[1]Inflation Rates by Year'!$C$2</f>
        <v>121443624</v>
      </c>
      <c r="N43" s="40">
        <v>0</v>
      </c>
      <c r="O43" s="14"/>
      <c r="P43" s="14"/>
    </row>
    <row r="44" spans="1:16" ht="15" customHeight="1" x14ac:dyDescent="0.25">
      <c r="A44" s="9">
        <v>44449</v>
      </c>
      <c r="B44" s="39">
        <v>43</v>
      </c>
      <c r="C44" s="38">
        <v>111600000</v>
      </c>
      <c r="D44" s="14"/>
      <c r="E44" s="14"/>
      <c r="F44" s="37">
        <v>206739</v>
      </c>
      <c r="G44" s="17"/>
      <c r="H44" s="12">
        <f>K44-K43</f>
        <v>4771</v>
      </c>
      <c r="I44" s="8">
        <f>88/$K$89*(H44)</f>
        <v>1.8816801419838298</v>
      </c>
      <c r="J44" s="12">
        <f>$B$55/SQRT($K$55)*(SQRT(K44)-SQRT(K43))</f>
        <v>0.60857733752068566</v>
      </c>
      <c r="K44" s="21">
        <v>206739</v>
      </c>
      <c r="L44" s="20">
        <v>111600000</v>
      </c>
      <c r="M44" s="11">
        <f>L44*'[1]Inflation Rates by Year'!$C$2</f>
        <v>126192816</v>
      </c>
      <c r="N44" s="10">
        <f>M44/K44</f>
        <v>610.39676113360326</v>
      </c>
      <c r="O44" s="14"/>
      <c r="P44" s="14"/>
    </row>
    <row r="45" spans="1:16" ht="15" customHeight="1" x14ac:dyDescent="0.25">
      <c r="A45" s="9">
        <v>44450</v>
      </c>
      <c r="B45" s="39">
        <v>44</v>
      </c>
      <c r="C45" s="38">
        <v>115000000</v>
      </c>
      <c r="D45" s="14"/>
      <c r="E45" s="14"/>
      <c r="F45" s="37">
        <v>210353</v>
      </c>
      <c r="G45" s="36">
        <f>F45-F44</f>
        <v>3614</v>
      </c>
      <c r="H45" s="12">
        <f>K45-K44</f>
        <v>3614</v>
      </c>
      <c r="I45" s="8">
        <f>88/$K$89*(H45)</f>
        <v>1.4253598895681325</v>
      </c>
      <c r="J45" s="12">
        <f>$B$55/SQRT($K$55)*(SQRT(K45)-SQRT(K44))</f>
        <v>0.45633238771806295</v>
      </c>
      <c r="K45" s="21">
        <v>210353</v>
      </c>
      <c r="L45" s="20">
        <v>115000000</v>
      </c>
      <c r="M45" s="11">
        <f>L45*'[1]Inflation Rates by Year'!$C$2</f>
        <v>130037400</v>
      </c>
      <c r="N45" s="10">
        <f>M45/K45</f>
        <v>618.18657209547757</v>
      </c>
      <c r="O45" s="14"/>
      <c r="P45" s="14"/>
    </row>
    <row r="46" spans="1:16" ht="15" customHeight="1" x14ac:dyDescent="0.25">
      <c r="A46" s="9">
        <v>44451</v>
      </c>
      <c r="B46" s="39">
        <v>45</v>
      </c>
      <c r="C46" s="38">
        <v>117000000</v>
      </c>
      <c r="D46" s="14"/>
      <c r="E46" s="14"/>
      <c r="F46" s="37">
        <v>212517</v>
      </c>
      <c r="G46" s="36">
        <f>F46-F45</f>
        <v>2164</v>
      </c>
      <c r="H46" s="12">
        <f>K46-K45</f>
        <v>2164</v>
      </c>
      <c r="I46" s="8">
        <f>88/$K$89*(H46)</f>
        <v>0.85348057582330905</v>
      </c>
      <c r="J46" s="12">
        <f>$B$55/SQRT($K$55)*(SQRT(K46)-SQRT(K45))</f>
        <v>0.27136900333542457</v>
      </c>
      <c r="K46" s="21">
        <v>212517</v>
      </c>
      <c r="L46" s="20">
        <v>117000000</v>
      </c>
      <c r="M46" s="11">
        <f>L46*'[1]Inflation Rates by Year'!$C$2</f>
        <v>132298920</v>
      </c>
      <c r="N46" s="10">
        <f>M46/K46</f>
        <v>622.53335027315461</v>
      </c>
      <c r="O46" s="14"/>
      <c r="P46" s="14"/>
    </row>
    <row r="47" spans="1:16" ht="15" customHeight="1" x14ac:dyDescent="0.25">
      <c r="A47" s="9">
        <v>44452</v>
      </c>
      <c r="B47" s="39">
        <v>46</v>
      </c>
      <c r="C47" s="38">
        <v>119000000</v>
      </c>
      <c r="D47" s="14"/>
      <c r="E47" s="14"/>
      <c r="F47" s="37">
        <v>213487</v>
      </c>
      <c r="G47" s="36">
        <f>F47-F46</f>
        <v>970</v>
      </c>
      <c r="H47" s="12">
        <f>K47-K46</f>
        <v>970</v>
      </c>
      <c r="I47" s="8">
        <f>88/$K$89*(H47)</f>
        <v>0.3825675409189509</v>
      </c>
      <c r="J47" s="12">
        <f>$B$55/SQRT($K$55)*(SQRT(K47)-SQRT(K46))</f>
        <v>0.12119094630135714</v>
      </c>
      <c r="K47" s="21">
        <v>213487</v>
      </c>
      <c r="L47" s="20">
        <v>119000000</v>
      </c>
      <c r="M47" s="11">
        <f>L47*'[1]Inflation Rates by Year'!$C$2</f>
        <v>134560440</v>
      </c>
      <c r="N47" s="10">
        <f>M47/K47</f>
        <v>630.29805093518576</v>
      </c>
      <c r="O47" s="14"/>
      <c r="P47" s="14"/>
    </row>
    <row r="48" spans="1:16" ht="15" customHeight="1" x14ac:dyDescent="0.25">
      <c r="A48" s="9">
        <v>44453</v>
      </c>
      <c r="B48" s="39">
        <v>47</v>
      </c>
      <c r="C48" s="38">
        <v>126000000</v>
      </c>
      <c r="D48" s="14"/>
      <c r="E48" s="14"/>
      <c r="F48" s="37">
        <v>214745</v>
      </c>
      <c r="G48" s="36">
        <f>F48-F47</f>
        <v>1258</v>
      </c>
      <c r="H48" s="12">
        <f>K48-K47</f>
        <v>1258</v>
      </c>
      <c r="I48" s="8">
        <f>88/$K$89*(H48)</f>
        <v>0.49615460461447447</v>
      </c>
      <c r="J48" s="12">
        <f>$B$55/SQRT($K$55)*(SQRT(K48)-SQRT(K47))</f>
        <v>0.15676407722372349</v>
      </c>
      <c r="K48" s="21">
        <v>214745</v>
      </c>
      <c r="L48" s="20">
        <v>126000000</v>
      </c>
      <c r="M48" s="11">
        <f>L48*'[1]Inflation Rates by Year'!$C$2</f>
        <v>142475760</v>
      </c>
      <c r="N48" s="10">
        <f>M48/K48</f>
        <v>663.46485366364755</v>
      </c>
      <c r="O48" s="14"/>
      <c r="P48" s="14"/>
    </row>
    <row r="49" spans="1:34" ht="15" customHeight="1" x14ac:dyDescent="0.25">
      <c r="A49" s="9">
        <v>44454</v>
      </c>
      <c r="B49" s="39">
        <v>48</v>
      </c>
      <c r="C49" s="38">
        <v>128000000</v>
      </c>
      <c r="D49" s="14"/>
      <c r="E49" s="14"/>
      <c r="F49" s="37">
        <v>215944</v>
      </c>
      <c r="G49" s="36">
        <f>F49-F48</f>
        <v>1199</v>
      </c>
      <c r="H49" s="12">
        <f>K49-K48</f>
        <v>1199</v>
      </c>
      <c r="I49" s="8">
        <f>88/$K$89*(H49)</f>
        <v>0.47288503253796099</v>
      </c>
      <c r="J49" s="12">
        <f>$B$55/SQRT($K$55)*(SQRT(K49)-SQRT(K48))</f>
        <v>0.14898505763349124</v>
      </c>
      <c r="K49" s="21">
        <v>215944</v>
      </c>
      <c r="L49" s="20">
        <v>128000000</v>
      </c>
      <c r="M49" s="11">
        <f>L49*'[1]Inflation Rates by Year'!$C$2</f>
        <v>144737280</v>
      </c>
      <c r="N49" s="10">
        <f>M49/K49</f>
        <v>670.25376949579515</v>
      </c>
      <c r="O49" s="14"/>
      <c r="P49" s="14"/>
    </row>
    <row r="50" spans="1:34" ht="15" customHeight="1" x14ac:dyDescent="0.25">
      <c r="A50" s="9">
        <v>44455</v>
      </c>
      <c r="B50" s="39">
        <v>49</v>
      </c>
      <c r="C50" s="38">
        <v>131000000</v>
      </c>
      <c r="D50" s="14"/>
      <c r="E50" s="14"/>
      <c r="F50" s="37">
        <v>217120</v>
      </c>
      <c r="G50" s="36">
        <f>F50-F49</f>
        <v>1176</v>
      </c>
      <c r="H50" s="12">
        <f>K50-K49</f>
        <v>1176</v>
      </c>
      <c r="I50" s="8">
        <f>88/$K$89*(H50)</f>
        <v>0.46381384342338794</v>
      </c>
      <c r="J50" s="12">
        <f>$B$55/SQRT($K$55)*(SQRT(K50)-SQRT(K49))</f>
        <v>0.14572587777531032</v>
      </c>
      <c r="K50" s="21">
        <v>217120</v>
      </c>
      <c r="L50" s="20">
        <v>131000000</v>
      </c>
      <c r="M50" s="11">
        <f>L50*'[1]Inflation Rates by Year'!$C$2</f>
        <v>148129560</v>
      </c>
      <c r="N50" s="10">
        <f>M50/K50</f>
        <v>682.24742078113491</v>
      </c>
      <c r="O50" s="14"/>
      <c r="P50" s="14"/>
    </row>
    <row r="51" spans="1:34" ht="15" customHeight="1" x14ac:dyDescent="0.25">
      <c r="A51" s="9">
        <v>44456</v>
      </c>
      <c r="B51" s="39">
        <v>50</v>
      </c>
      <c r="C51" s="38">
        <v>133000000</v>
      </c>
      <c r="D51" s="14"/>
      <c r="E51" s="14"/>
      <c r="F51" s="37">
        <v>218457</v>
      </c>
      <c r="G51" s="36">
        <f>F51-F50</f>
        <v>1337</v>
      </c>
      <c r="H51" s="12">
        <f>K51-K50</f>
        <v>1337</v>
      </c>
      <c r="I51" s="8">
        <f>88/$K$89*(H51)</f>
        <v>0.52731216722539942</v>
      </c>
      <c r="J51" s="12">
        <f>$B$55/SQRT($K$55)*(SQRT(K51)-SQRT(K50))</f>
        <v>0.16519787190914009</v>
      </c>
      <c r="K51" s="21">
        <v>218457</v>
      </c>
      <c r="L51" s="20">
        <v>133000000</v>
      </c>
      <c r="M51" s="11">
        <f>L51*'[1]Inflation Rates by Year'!$C$2</f>
        <v>150391080</v>
      </c>
      <c r="N51" s="10">
        <f>M51/K51</f>
        <v>688.42417500926956</v>
      </c>
      <c r="O51" s="14"/>
      <c r="P51" s="14"/>
    </row>
    <row r="52" spans="1:34" ht="15" customHeight="1" x14ac:dyDescent="0.25">
      <c r="A52" s="9">
        <v>44457</v>
      </c>
      <c r="B52" s="39">
        <v>51</v>
      </c>
      <c r="C52" s="38">
        <v>136000000</v>
      </c>
      <c r="D52" s="14"/>
      <c r="E52" s="14"/>
      <c r="F52" s="18"/>
      <c r="G52" s="17"/>
      <c r="H52" s="12">
        <f>K52-K51</f>
        <v>0</v>
      </c>
      <c r="I52" s="8">
        <f>88/$K$89*(H52)</f>
        <v>0</v>
      </c>
      <c r="J52" s="12">
        <f>$B$55/SQRT($K$55)*(SQRT(K52)-SQRT(K51))</f>
        <v>0</v>
      </c>
      <c r="K52" s="21">
        <v>218457</v>
      </c>
      <c r="L52" s="20">
        <v>136000000</v>
      </c>
      <c r="M52" s="11">
        <f>L52*'[1]Inflation Rates by Year'!$C$2</f>
        <v>153783360</v>
      </c>
      <c r="N52" s="40">
        <v>0</v>
      </c>
      <c r="O52" s="14"/>
      <c r="P52" s="14"/>
    </row>
    <row r="53" spans="1:34" ht="15" customHeight="1" x14ac:dyDescent="0.25">
      <c r="A53" s="9">
        <v>44458</v>
      </c>
      <c r="B53" s="39">
        <v>52</v>
      </c>
      <c r="C53" s="38">
        <v>138000000</v>
      </c>
      <c r="D53" s="14"/>
      <c r="E53" s="14"/>
      <c r="F53" s="37">
        <v>218444</v>
      </c>
      <c r="G53" s="17"/>
      <c r="H53" s="12">
        <f>K53-K52</f>
        <v>-13</v>
      </c>
      <c r="I53" s="8">
        <f>88/$K$89*(H53)</f>
        <v>-5.1271938473673832E-3</v>
      </c>
      <c r="J53" s="12">
        <f>$B$55/SQRT($K$55)*(SQRT(K53)-SQRT(K52))</f>
        <v>-1.6038244589555196E-3</v>
      </c>
      <c r="K53" s="21">
        <v>218444</v>
      </c>
      <c r="L53" s="20">
        <v>138000000</v>
      </c>
      <c r="M53" s="11">
        <f>L53*'[1]Inflation Rates by Year'!$C$2</f>
        <v>156044880</v>
      </c>
      <c r="N53" s="10">
        <f>M53/K53</f>
        <v>714.34729266997488</v>
      </c>
      <c r="O53" s="14"/>
      <c r="P53" s="14"/>
    </row>
    <row r="54" spans="1:34" ht="15" customHeight="1" x14ac:dyDescent="0.25">
      <c r="A54" s="9">
        <v>44459</v>
      </c>
      <c r="B54" s="39">
        <v>53</v>
      </c>
      <c r="C54" s="38">
        <v>143000000</v>
      </c>
      <c r="D54" s="14"/>
      <c r="E54" s="14"/>
      <c r="F54" s="37">
        <v>218666</v>
      </c>
      <c r="G54" s="36">
        <f>F54-F53</f>
        <v>222</v>
      </c>
      <c r="H54" s="12">
        <f>K54-K53</f>
        <v>222</v>
      </c>
      <c r="I54" s="8">
        <f>88/$K$89*(H54)</f>
        <v>8.7556694931966092E-2</v>
      </c>
      <c r="J54" s="12">
        <f>$B$55/SQRT($K$55)*(SQRT(K54)-SQRT(K53))</f>
        <v>2.738183926277795E-2</v>
      </c>
      <c r="K54" s="21">
        <v>218666</v>
      </c>
      <c r="L54" s="20">
        <v>143000000</v>
      </c>
      <c r="M54" s="11">
        <f>L54*'[1]Inflation Rates by Year'!$C$2</f>
        <v>161698680</v>
      </c>
      <c r="N54" s="10">
        <f>M54/K54</f>
        <v>739.47792523757698</v>
      </c>
      <c r="O54" s="14"/>
      <c r="P54" s="14"/>
    </row>
    <row r="55" spans="1:34" ht="15" customHeight="1" x14ac:dyDescent="0.25">
      <c r="A55" s="35">
        <v>44460</v>
      </c>
      <c r="B55" s="34">
        <v>54</v>
      </c>
      <c r="C55" s="31">
        <v>142000000</v>
      </c>
      <c r="D55" s="29"/>
      <c r="E55" s="29"/>
      <c r="F55" s="32">
        <v>219254</v>
      </c>
      <c r="G55" s="33">
        <f>F55-F54</f>
        <v>588</v>
      </c>
      <c r="H55" s="12">
        <f>K55-K54</f>
        <v>588</v>
      </c>
      <c r="I55" s="8">
        <f>88/$K$89*(H55)</f>
        <v>0.23190692171169397</v>
      </c>
      <c r="J55" s="33">
        <f>$B$55/SQRT($K$55)*(SQRT(K55)-SQRT(K54))</f>
        <v>7.2457781589847253E-2</v>
      </c>
      <c r="K55" s="32">
        <v>219254</v>
      </c>
      <c r="L55" s="31">
        <v>142000000</v>
      </c>
      <c r="M55" s="30">
        <f>L55*'[1]Inflation Rates by Year'!$C$2</f>
        <v>160567920</v>
      </c>
      <c r="N55" s="30">
        <f>M55/K55</f>
        <v>732.3374716082717</v>
      </c>
      <c r="O55" s="29"/>
      <c r="P55" s="29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</row>
    <row r="56" spans="1:34" ht="15" customHeight="1" x14ac:dyDescent="0.25">
      <c r="A56" s="27">
        <v>44461</v>
      </c>
      <c r="B56" s="26">
        <v>55</v>
      </c>
      <c r="C56" s="25">
        <v>145000000</v>
      </c>
      <c r="D56" s="24"/>
      <c r="E56" s="24"/>
      <c r="F56" s="23">
        <v>221723</v>
      </c>
      <c r="G56" s="22">
        <f>F56-F55</f>
        <v>2469</v>
      </c>
      <c r="H56" s="12">
        <f>K56-K55</f>
        <v>2469</v>
      </c>
      <c r="I56" s="8">
        <f>88/$K$89*(H56)</f>
        <v>0.97377243147308234</v>
      </c>
      <c r="J56" s="12"/>
      <c r="K56" s="21">
        <v>221723</v>
      </c>
      <c r="L56" s="20">
        <v>145000000</v>
      </c>
      <c r="M56" s="11">
        <f>L56*'[1]Inflation Rates by Year'!$C$2</f>
        <v>163960200</v>
      </c>
      <c r="N56" s="10">
        <f>M56/K56</f>
        <v>739.48214664243221</v>
      </c>
      <c r="O56" s="14"/>
      <c r="P56" s="14"/>
    </row>
    <row r="57" spans="1:34" ht="15" customHeight="1" x14ac:dyDescent="0.25">
      <c r="A57" s="27">
        <v>44462</v>
      </c>
      <c r="B57" s="26">
        <v>56</v>
      </c>
      <c r="C57" s="25">
        <v>146000000</v>
      </c>
      <c r="D57" s="24"/>
      <c r="E57" s="24"/>
      <c r="F57" s="23">
        <v>219329</v>
      </c>
      <c r="G57" s="22">
        <f>F57-F56</f>
        <v>-2394</v>
      </c>
      <c r="H57" s="12">
        <f>K57-K56</f>
        <v>-2394</v>
      </c>
      <c r="I57" s="8">
        <f>88/$K$89*(H57)</f>
        <v>-0.94419246696903969</v>
      </c>
      <c r="J57" s="12"/>
      <c r="K57" s="21">
        <v>219329</v>
      </c>
      <c r="L57" s="20">
        <v>146000000</v>
      </c>
      <c r="M57" s="11">
        <f>L57*'[1]Inflation Rates by Year'!$C$2</f>
        <v>165090960</v>
      </c>
      <c r="N57" s="10">
        <f>M57/K57</f>
        <v>752.70921765931541</v>
      </c>
      <c r="O57" s="14"/>
      <c r="P57" s="14"/>
    </row>
    <row r="58" spans="1:34" ht="15" customHeight="1" x14ac:dyDescent="0.25">
      <c r="A58" s="27">
        <v>44463</v>
      </c>
      <c r="B58" s="26">
        <v>57</v>
      </c>
      <c r="C58" s="25"/>
      <c r="D58" s="24"/>
      <c r="E58" s="24"/>
      <c r="F58" s="23">
        <v>219423</v>
      </c>
      <c r="G58" s="22">
        <f>F58-F57</f>
        <v>94</v>
      </c>
      <c r="H58" s="12">
        <f>K58-K57</f>
        <v>94</v>
      </c>
      <c r="I58" s="8">
        <f>88/$K$89*(H58)</f>
        <v>3.7073555511733386E-2</v>
      </c>
      <c r="J58" s="12"/>
      <c r="K58" s="21">
        <v>219423</v>
      </c>
      <c r="L58" s="20"/>
      <c r="M58" s="11">
        <f>L58*'[1]Inflation Rates by Year'!$C$2</f>
        <v>0</v>
      </c>
      <c r="N58" s="10">
        <f>M58/K58</f>
        <v>0</v>
      </c>
      <c r="O58" s="14"/>
      <c r="P58" s="14"/>
    </row>
    <row r="59" spans="1:34" ht="15" customHeight="1" x14ac:dyDescent="0.25">
      <c r="A59" s="27">
        <v>44464</v>
      </c>
      <c r="B59" s="26">
        <v>58</v>
      </c>
      <c r="C59" s="25">
        <v>148431327</v>
      </c>
      <c r="D59" s="24"/>
      <c r="E59" s="24"/>
      <c r="F59" s="23">
        <v>219474</v>
      </c>
      <c r="G59" s="22">
        <f>F59-F58</f>
        <v>51</v>
      </c>
      <c r="H59" s="12">
        <f>K59-K58</f>
        <v>51</v>
      </c>
      <c r="I59" s="8">
        <f>88/$K$89*(H59)</f>
        <v>2.0114375862748966E-2</v>
      </c>
      <c r="J59" s="12"/>
      <c r="K59" s="21">
        <v>219474</v>
      </c>
      <c r="L59" s="20">
        <v>148431327</v>
      </c>
      <c r="M59" s="11">
        <f>L59*'[1]Inflation Rates by Year'!$C$2</f>
        <v>167840207.31852001</v>
      </c>
      <c r="N59" s="10">
        <f>M59/K59</f>
        <v>764.73845338636932</v>
      </c>
      <c r="O59" s="14"/>
      <c r="P59" s="14"/>
    </row>
    <row r="60" spans="1:34" ht="15" customHeight="1" x14ac:dyDescent="0.25">
      <c r="A60" s="27">
        <v>44465</v>
      </c>
      <c r="B60" s="26">
        <v>59</v>
      </c>
      <c r="C60" s="25">
        <v>149598000</v>
      </c>
      <c r="D60" s="24"/>
      <c r="E60" s="24"/>
      <c r="F60" s="23">
        <v>224103</v>
      </c>
      <c r="G60" s="22">
        <f>F60-F59</f>
        <v>4629</v>
      </c>
      <c r="H60" s="12">
        <f>K60-K59</f>
        <v>4629</v>
      </c>
      <c r="I60" s="8">
        <f>88/$K$89*(H60)</f>
        <v>1.8256754091895091</v>
      </c>
      <c r="J60" s="12"/>
      <c r="K60" s="21">
        <v>224103</v>
      </c>
      <c r="L60" s="20">
        <v>149598000</v>
      </c>
      <c r="M60" s="11">
        <f>L60*'[1]Inflation Rates by Year'!$C$2</f>
        <v>169159434.47999999</v>
      </c>
      <c r="N60" s="10">
        <f>M60/K60</f>
        <v>754.82896025488276</v>
      </c>
      <c r="O60" s="14"/>
      <c r="P60" s="14"/>
    </row>
    <row r="61" spans="1:34" ht="15" customHeight="1" x14ac:dyDescent="0.25">
      <c r="A61" s="27">
        <v>44466</v>
      </c>
      <c r="B61" s="26">
        <v>60</v>
      </c>
      <c r="C61" s="25">
        <v>151603000</v>
      </c>
      <c r="D61" s="24"/>
      <c r="E61" s="24"/>
      <c r="F61" s="23">
        <v>223137</v>
      </c>
      <c r="G61" s="22">
        <f>F61-F60</f>
        <v>-966</v>
      </c>
      <c r="H61" s="12">
        <f>K61-K60</f>
        <v>-966</v>
      </c>
      <c r="I61" s="8">
        <f>88/$K$89*(H61)</f>
        <v>-0.38098994281206866</v>
      </c>
      <c r="J61" s="12"/>
      <c r="K61" s="21">
        <v>223137</v>
      </c>
      <c r="L61" s="20">
        <v>151603000</v>
      </c>
      <c r="M61" s="11">
        <f>L61*'[1]Inflation Rates by Year'!$C$2</f>
        <v>171426608.28</v>
      </c>
      <c r="N61" s="10">
        <f>M61/K61</f>
        <v>768.25720646956802</v>
      </c>
      <c r="O61" s="14"/>
      <c r="P61" s="14"/>
    </row>
    <row r="62" spans="1:34" ht="15" customHeight="1" x14ac:dyDescent="0.25">
      <c r="A62" s="9">
        <v>44467</v>
      </c>
      <c r="B62" s="26">
        <v>61</v>
      </c>
      <c r="C62" s="25">
        <v>149621000</v>
      </c>
      <c r="D62" s="24"/>
      <c r="E62" s="24"/>
      <c r="F62" s="23">
        <v>223137</v>
      </c>
      <c r="G62" s="22">
        <f>F62-F61</f>
        <v>0</v>
      </c>
      <c r="H62" s="12">
        <f>K62-K61</f>
        <v>0</v>
      </c>
      <c r="I62" s="8">
        <f>88/$K$89*(H62)</f>
        <v>0</v>
      </c>
      <c r="J62" s="12"/>
      <c r="K62" s="21">
        <v>223137</v>
      </c>
      <c r="L62" s="20">
        <v>149621000</v>
      </c>
      <c r="M62" s="11">
        <f>L62*'[1]Inflation Rates by Year'!$C$2</f>
        <v>169185441.96000001</v>
      </c>
      <c r="N62" s="10">
        <f>M62/K62</f>
        <v>758.21330375509217</v>
      </c>
      <c r="O62" s="14"/>
      <c r="P62" s="14"/>
    </row>
    <row r="63" spans="1:34" ht="15" customHeight="1" x14ac:dyDescent="0.25">
      <c r="A63" s="9">
        <v>44468</v>
      </c>
      <c r="B63" s="14"/>
      <c r="C63" s="19">
        <v>150472000</v>
      </c>
      <c r="D63" s="14">
        <v>223001</v>
      </c>
      <c r="E63" s="14"/>
      <c r="F63" s="18"/>
      <c r="G63" s="17"/>
      <c r="H63" s="12">
        <f>K63-K62</f>
        <v>-136</v>
      </c>
      <c r="I63" s="8">
        <f>88/$K$89*(H63)</f>
        <v>-5.3638335633997246E-2</v>
      </c>
      <c r="J63" s="16"/>
      <c r="K63" s="7">
        <v>223001</v>
      </c>
      <c r="L63" s="15">
        <v>150472000</v>
      </c>
      <c r="M63" s="11">
        <f>L63*'[1]Inflation Rates by Year'!$C$2</f>
        <v>170147718.72</v>
      </c>
      <c r="N63" s="10">
        <f>M63/K63</f>
        <v>762.99083286622033</v>
      </c>
      <c r="O63" s="14"/>
      <c r="P63" s="14"/>
    </row>
    <row r="64" spans="1:34" ht="15" customHeight="1" x14ac:dyDescent="0.25">
      <c r="A64" s="9">
        <v>44469</v>
      </c>
      <c r="B64" s="14"/>
      <c r="C64" s="19">
        <v>150323000</v>
      </c>
      <c r="D64" s="14">
        <v>223001</v>
      </c>
      <c r="E64" s="14"/>
      <c r="F64" s="18"/>
      <c r="G64" s="17"/>
      <c r="H64" s="12">
        <f>K64-K63</f>
        <v>0</v>
      </c>
      <c r="I64" s="8">
        <f>88/$K$89*(H64)</f>
        <v>0</v>
      </c>
      <c r="J64" s="16"/>
      <c r="K64" s="7">
        <v>223001</v>
      </c>
      <c r="L64" s="15">
        <v>150323000</v>
      </c>
      <c r="M64" s="11">
        <f>L64*'[1]Inflation Rates by Year'!$C$2</f>
        <v>169979235.47999999</v>
      </c>
      <c r="N64" s="10">
        <f>M64/K64</f>
        <v>762.2353060300178</v>
      </c>
      <c r="O64" s="14"/>
      <c r="P64" s="14"/>
    </row>
    <row r="65" spans="1:16" ht="15" customHeight="1" x14ac:dyDescent="0.25">
      <c r="A65" s="9">
        <v>44470</v>
      </c>
      <c r="B65" s="14"/>
      <c r="C65" s="19">
        <v>151163000</v>
      </c>
      <c r="D65" s="14">
        <v>223001</v>
      </c>
      <c r="E65" s="14"/>
      <c r="F65" s="18"/>
      <c r="G65" s="17"/>
      <c r="H65" s="12">
        <f>K65-K64</f>
        <v>0</v>
      </c>
      <c r="I65" s="8">
        <f>88/$K$89*(H65)</f>
        <v>0</v>
      </c>
      <c r="J65" s="16"/>
      <c r="K65" s="7">
        <v>223001</v>
      </c>
      <c r="L65" s="15">
        <v>151163000</v>
      </c>
      <c r="M65" s="11">
        <f>L65*'[1]Inflation Rates by Year'!$C$2</f>
        <v>170929073.88</v>
      </c>
      <c r="N65" s="10">
        <f>M65/K65</f>
        <v>766.49465195223343</v>
      </c>
      <c r="O65" s="14"/>
      <c r="P65" s="14"/>
    </row>
    <row r="66" spans="1:16" ht="15" customHeight="1" x14ac:dyDescent="0.25">
      <c r="A66" s="9">
        <v>44471</v>
      </c>
      <c r="C66" s="4">
        <v>150390000</v>
      </c>
      <c r="D66" s="14">
        <v>223001</v>
      </c>
      <c r="H66" s="12">
        <f>K66-K65</f>
        <v>0</v>
      </c>
      <c r="I66" s="8">
        <f>88/$K$89*(H66)</f>
        <v>0</v>
      </c>
      <c r="J66" s="3"/>
      <c r="K66" s="7">
        <v>223001</v>
      </c>
      <c r="L66" s="1">
        <v>150390000</v>
      </c>
      <c r="M66" s="11">
        <f>L66*'[1]Inflation Rates by Year'!$C$2</f>
        <v>170054996.40000001</v>
      </c>
      <c r="N66" s="10">
        <f>M66/K66</f>
        <v>762.57503957381357</v>
      </c>
    </row>
    <row r="67" spans="1:16" ht="15" customHeight="1" x14ac:dyDescent="0.25">
      <c r="A67" s="9">
        <v>44472</v>
      </c>
      <c r="C67" s="4">
        <v>151485000</v>
      </c>
      <c r="D67" s="14">
        <v>223001</v>
      </c>
      <c r="H67" s="12">
        <f>K67-K66</f>
        <v>0</v>
      </c>
      <c r="I67" s="8">
        <f>88/$K$89*(H67)</f>
        <v>0</v>
      </c>
      <c r="J67" s="3"/>
      <c r="K67" s="7">
        <v>223001</v>
      </c>
      <c r="L67" s="1">
        <v>151485000</v>
      </c>
      <c r="M67" s="11">
        <f>L67*'[1]Inflation Rates by Year'!$C$2</f>
        <v>171293178.59999999</v>
      </c>
      <c r="N67" s="10">
        <f>M67/K67</f>
        <v>768.12740122241598</v>
      </c>
    </row>
    <row r="68" spans="1:16" ht="15" customHeight="1" x14ac:dyDescent="0.25">
      <c r="A68" s="9">
        <v>44473</v>
      </c>
      <c r="C68" s="4">
        <v>151600000</v>
      </c>
      <c r="D68" s="14">
        <v>223001</v>
      </c>
      <c r="H68" s="12">
        <f>K68-K67</f>
        <v>0</v>
      </c>
      <c r="I68" s="8">
        <f>88/$K$89*(H68)</f>
        <v>0</v>
      </c>
      <c r="J68" s="3"/>
      <c r="K68" s="7">
        <v>223001</v>
      </c>
      <c r="L68" s="1">
        <v>151600000</v>
      </c>
      <c r="M68" s="11">
        <f>L68*'[1]Inflation Rates by Year'!$C$2</f>
        <v>171423216</v>
      </c>
      <c r="N68" s="10">
        <f>M68/K68</f>
        <v>768.71052596176696</v>
      </c>
    </row>
    <row r="69" spans="1:16" ht="15" customHeight="1" x14ac:dyDescent="0.25">
      <c r="A69" s="9">
        <v>44474</v>
      </c>
      <c r="C69" s="4">
        <v>151260000</v>
      </c>
      <c r="D69" s="13">
        <v>223168</v>
      </c>
      <c r="H69" s="12">
        <f>K69-K68</f>
        <v>167</v>
      </c>
      <c r="I69" s="8">
        <f>88/$K$89*(H69)</f>
        <v>6.5864720962334852E-2</v>
      </c>
      <c r="J69" s="3"/>
      <c r="K69" s="2">
        <v>223168</v>
      </c>
      <c r="L69" s="1">
        <v>151260000</v>
      </c>
      <c r="M69" s="11">
        <f>L69*'[1]Inflation Rates by Year'!$C$2</f>
        <v>171038757.59999999</v>
      </c>
      <c r="N69" s="10">
        <f>M69/K69</f>
        <v>766.41255735589334</v>
      </c>
    </row>
    <row r="70" spans="1:16" ht="15" customHeight="1" x14ac:dyDescent="0.25">
      <c r="A70" s="9">
        <v>44475</v>
      </c>
      <c r="C70" s="4">
        <v>152037000</v>
      </c>
      <c r="D70" s="13">
        <v>223124</v>
      </c>
      <c r="H70" s="12">
        <f>K70-K69</f>
        <v>-44</v>
      </c>
      <c r="I70" s="8">
        <f>88/$K$89*(H70)</f>
        <v>-1.735357917570499E-2</v>
      </c>
      <c r="J70" s="3"/>
      <c r="K70" s="2">
        <v>223124</v>
      </c>
      <c r="L70" s="1">
        <v>152037000</v>
      </c>
      <c r="M70" s="11">
        <f>L70*'[1]Inflation Rates by Year'!$C$2</f>
        <v>171917358.12</v>
      </c>
      <c r="N70" s="10">
        <f>M70/K70</f>
        <v>770.50141679066348</v>
      </c>
    </row>
    <row r="71" spans="1:16" ht="15" customHeight="1" x14ac:dyDescent="0.25">
      <c r="A71" s="9">
        <v>44476</v>
      </c>
      <c r="C71" s="4">
        <v>151480000</v>
      </c>
      <c r="D71" s="13">
        <v>223124</v>
      </c>
      <c r="H71" s="12">
        <f>K71-K70</f>
        <v>0</v>
      </c>
      <c r="I71" s="8">
        <f>88/$K$89*(H71)</f>
        <v>0</v>
      </c>
      <c r="J71" s="3"/>
      <c r="K71" s="2">
        <v>223124</v>
      </c>
      <c r="L71" s="1">
        <v>151480000</v>
      </c>
      <c r="M71" s="11">
        <f>L71*'[1]Inflation Rates by Year'!$C$2</f>
        <v>171287524.80000001</v>
      </c>
      <c r="N71" s="10">
        <f>M71/K71</f>
        <v>767.67862175292669</v>
      </c>
    </row>
    <row r="72" spans="1:16" ht="15" customHeight="1" x14ac:dyDescent="0.25">
      <c r="A72" s="9">
        <v>44477</v>
      </c>
      <c r="C72" s="4">
        <v>152400000</v>
      </c>
      <c r="D72" s="13">
        <v>223124</v>
      </c>
      <c r="H72" s="12">
        <f>K72-K71</f>
        <v>0</v>
      </c>
      <c r="I72" s="8">
        <f>88/$K$89*(H72)</f>
        <v>0</v>
      </c>
      <c r="J72" s="3"/>
      <c r="K72" s="2">
        <v>223124</v>
      </c>
      <c r="L72" s="1">
        <v>152400000</v>
      </c>
      <c r="M72" s="11">
        <f>L72*'[1]Inflation Rates by Year'!$C$2</f>
        <v>172327824</v>
      </c>
      <c r="N72" s="10">
        <f>M72/K72</f>
        <v>772.34104802710601</v>
      </c>
    </row>
    <row r="73" spans="1:16" ht="15" customHeight="1" x14ac:dyDescent="0.25">
      <c r="A73" s="9">
        <v>44478</v>
      </c>
      <c r="C73" s="4">
        <v>153500000</v>
      </c>
      <c r="D73" s="13">
        <v>223124</v>
      </c>
      <c r="H73" s="12">
        <f>K73-K72</f>
        <v>0</v>
      </c>
      <c r="I73" s="8">
        <f>88/$K$89*(H73)</f>
        <v>0</v>
      </c>
      <c r="J73" s="3"/>
      <c r="K73" s="2">
        <v>223124</v>
      </c>
      <c r="L73" s="1">
        <v>153500000</v>
      </c>
      <c r="M73" s="11">
        <f>L73*'[1]Inflation Rates by Year'!$C$2</f>
        <v>173571660</v>
      </c>
      <c r="N73" s="10">
        <f>M73/K73</f>
        <v>777.91568813753793</v>
      </c>
    </row>
    <row r="74" spans="1:16" ht="15" customHeight="1" x14ac:dyDescent="0.25">
      <c r="A74" s="9">
        <v>44479</v>
      </c>
      <c r="C74" s="4">
        <v>154600000</v>
      </c>
      <c r="D74" s="13">
        <v>223124</v>
      </c>
      <c r="H74" s="12">
        <f>K74-K73</f>
        <v>0</v>
      </c>
      <c r="I74" s="8">
        <f>88/$K$89*(H74)</f>
        <v>0</v>
      </c>
      <c r="J74" s="3"/>
      <c r="K74" s="2">
        <v>223124</v>
      </c>
      <c r="L74" s="1">
        <v>154600000</v>
      </c>
      <c r="M74" s="11">
        <f>L74*'[1]Inflation Rates by Year'!$C$2</f>
        <v>174815496</v>
      </c>
      <c r="N74" s="10">
        <f>M74/K74</f>
        <v>783.49032824796973</v>
      </c>
    </row>
    <row r="75" spans="1:16" ht="15" customHeight="1" x14ac:dyDescent="0.25">
      <c r="A75" s="9">
        <v>44480</v>
      </c>
      <c r="C75" s="4">
        <v>155100000</v>
      </c>
      <c r="D75" s="13">
        <v>223124</v>
      </c>
      <c r="H75" s="12">
        <f>K75-K74</f>
        <v>0</v>
      </c>
      <c r="I75" s="8">
        <f>88/$K$89*(H75)</f>
        <v>0</v>
      </c>
      <c r="J75" s="3"/>
      <c r="K75" s="2">
        <v>223124</v>
      </c>
      <c r="L75" s="1">
        <v>155100000</v>
      </c>
      <c r="M75" s="11">
        <f>L75*'[1]Inflation Rates by Year'!$C$2</f>
        <v>175380876</v>
      </c>
      <c r="N75" s="10">
        <f>M75/K75</f>
        <v>786.02425557089327</v>
      </c>
    </row>
    <row r="76" spans="1:16" ht="15" customHeight="1" x14ac:dyDescent="0.25">
      <c r="A76" s="9">
        <v>44481</v>
      </c>
      <c r="C76" s="4">
        <v>156200000</v>
      </c>
      <c r="D76" s="13">
        <v>223124</v>
      </c>
      <c r="H76" s="12">
        <f>K76-K75</f>
        <v>0</v>
      </c>
      <c r="I76" s="8">
        <f>88/$K$89*(H76)</f>
        <v>0</v>
      </c>
      <c r="J76" s="3"/>
      <c r="K76" s="2">
        <v>223124</v>
      </c>
      <c r="L76" s="1">
        <v>156200000</v>
      </c>
      <c r="M76" s="11">
        <f>L76*'[1]Inflation Rates by Year'!$C$2</f>
        <v>176624712</v>
      </c>
      <c r="N76" s="10">
        <f>M76/K76</f>
        <v>791.59889568132519</v>
      </c>
    </row>
    <row r="77" spans="1:16" ht="15" customHeight="1" x14ac:dyDescent="0.25">
      <c r="A77" s="9">
        <v>44482</v>
      </c>
      <c r="C77" s="4">
        <v>157514214</v>
      </c>
      <c r="D77" s="13">
        <v>223124</v>
      </c>
      <c r="H77" s="12">
        <f>K77-K76</f>
        <v>0</v>
      </c>
      <c r="I77" s="8">
        <f>88/$K$89*(H77)</f>
        <v>0</v>
      </c>
      <c r="J77" s="3"/>
      <c r="K77" s="2">
        <v>223124</v>
      </c>
      <c r="L77" s="1">
        <v>157514214</v>
      </c>
      <c r="M77" s="11">
        <f>L77*'[1]Inflation Rates by Year'!$C$2</f>
        <v>178110772.62263998</v>
      </c>
      <c r="N77" s="10">
        <f>M77/K77</f>
        <v>798.25914120686252</v>
      </c>
    </row>
    <row r="78" spans="1:16" ht="15" customHeight="1" x14ac:dyDescent="0.25">
      <c r="A78" s="9">
        <v>44483</v>
      </c>
      <c r="C78" s="4">
        <v>158481401</v>
      </c>
      <c r="D78" s="13">
        <v>223124</v>
      </c>
      <c r="H78" s="12">
        <f>K78-K77</f>
        <v>0</v>
      </c>
      <c r="I78" s="8">
        <f>88/$K$89*(H78)</f>
        <v>0</v>
      </c>
      <c r="J78" s="3"/>
      <c r="K78" s="2">
        <v>223124</v>
      </c>
      <c r="L78" s="1">
        <v>158481401</v>
      </c>
      <c r="M78" s="11">
        <f>L78*'[1]Inflation Rates by Year'!$C$2</f>
        <v>179204428.99476001</v>
      </c>
      <c r="N78" s="10">
        <f>M78/K78</f>
        <v>803.16070433821551</v>
      </c>
    </row>
    <row r="79" spans="1:16" ht="15" customHeight="1" x14ac:dyDescent="0.25">
      <c r="A79" s="9">
        <v>44484</v>
      </c>
      <c r="C79" s="4">
        <v>159311335</v>
      </c>
      <c r="D79" s="13">
        <v>223124</v>
      </c>
      <c r="H79" s="12">
        <f>K79-K78</f>
        <v>0</v>
      </c>
      <c r="I79" s="8">
        <f>88/$K$89*(H79)</f>
        <v>0</v>
      </c>
      <c r="J79" s="3"/>
      <c r="K79" s="2">
        <v>223124</v>
      </c>
      <c r="L79" s="1">
        <v>159311335</v>
      </c>
      <c r="M79" s="11">
        <f>L79*'[1]Inflation Rates by Year'!$C$2</f>
        <v>180142885.16459998</v>
      </c>
      <c r="N79" s="10">
        <f>M79/K79</f>
        <v>807.36668921586192</v>
      </c>
    </row>
    <row r="80" spans="1:16" ht="15" customHeight="1" x14ac:dyDescent="0.25">
      <c r="A80" s="9">
        <v>44485</v>
      </c>
      <c r="C80" s="4">
        <v>160554021</v>
      </c>
      <c r="D80" s="13">
        <v>223124</v>
      </c>
      <c r="H80" s="12">
        <f>K80-K79</f>
        <v>0</v>
      </c>
      <c r="I80" s="8">
        <f>88/$K$89*(H80)</f>
        <v>0</v>
      </c>
      <c r="J80" s="3"/>
      <c r="K80" s="2">
        <v>223124</v>
      </c>
      <c r="L80" s="1">
        <v>160554021</v>
      </c>
      <c r="M80" s="11">
        <f>L80*'[1]Inflation Rates by Year'!$C$2</f>
        <v>181548064.78595999</v>
      </c>
      <c r="N80" s="10">
        <f>M80/K80</f>
        <v>813.66444123429119</v>
      </c>
    </row>
    <row r="81" spans="1:14" ht="15" customHeight="1" x14ac:dyDescent="0.25">
      <c r="A81" s="9">
        <v>44486</v>
      </c>
      <c r="C81" s="4">
        <v>160856594</v>
      </c>
      <c r="D81" s="13">
        <v>223124</v>
      </c>
      <c r="H81" s="12">
        <f>K81-K80</f>
        <v>0</v>
      </c>
      <c r="I81" s="8">
        <f>88/$K$89*(H81)</f>
        <v>0</v>
      </c>
      <c r="J81" s="3"/>
      <c r="K81" s="2">
        <v>223124</v>
      </c>
      <c r="L81" s="1">
        <v>160856594</v>
      </c>
      <c r="M81" s="11">
        <f>L81*'[1]Inflation Rates by Year'!$C$2</f>
        <v>181890202.23144001</v>
      </c>
      <c r="N81" s="10">
        <f>M81/K81</f>
        <v>815.19783721804924</v>
      </c>
    </row>
    <row r="82" spans="1:14" ht="15" customHeight="1" x14ac:dyDescent="0.25">
      <c r="A82" s="9">
        <v>44487</v>
      </c>
      <c r="C82" s="4">
        <v>161651891</v>
      </c>
      <c r="D82" s="13">
        <v>223124</v>
      </c>
      <c r="H82" s="12">
        <f>K82-K81</f>
        <v>0</v>
      </c>
      <c r="I82" s="8">
        <f>88/$K$89*(H82)</f>
        <v>0</v>
      </c>
      <c r="J82" s="3"/>
      <c r="K82" s="2">
        <v>223124</v>
      </c>
      <c r="L82" s="1">
        <v>161651891</v>
      </c>
      <c r="M82" s="11">
        <f>L82*'[1]Inflation Rates by Year'!$C$2</f>
        <v>182789492.26716</v>
      </c>
      <c r="N82" s="10">
        <f>M82/K82</f>
        <v>819.22828681432748</v>
      </c>
    </row>
    <row r="83" spans="1:14" ht="15" customHeight="1" x14ac:dyDescent="0.25">
      <c r="A83" s="9">
        <v>44488</v>
      </c>
      <c r="C83" s="4">
        <v>162182853</v>
      </c>
      <c r="D83" s="13">
        <v>223124</v>
      </c>
      <c r="H83" s="12">
        <f>K83-K82</f>
        <v>0</v>
      </c>
      <c r="I83" s="8">
        <f>88/$K$89*(H83)</f>
        <v>0</v>
      </c>
      <c r="J83" s="3"/>
      <c r="K83" s="2">
        <v>223124</v>
      </c>
      <c r="L83" s="1">
        <v>162182853</v>
      </c>
      <c r="M83" s="11">
        <f>L83*'[1]Inflation Rates by Year'!$C$2</f>
        <v>183389882.85828</v>
      </c>
      <c r="N83" s="10">
        <f>M83/K83</f>
        <v>821.91912505279572</v>
      </c>
    </row>
    <row r="84" spans="1:14" ht="15" customHeight="1" x14ac:dyDescent="0.25">
      <c r="A84" s="9">
        <v>44489</v>
      </c>
      <c r="C84" s="4">
        <v>162804630</v>
      </c>
      <c r="D84" s="13">
        <v>223124</v>
      </c>
      <c r="H84" s="12">
        <f>K84-K83</f>
        <v>0</v>
      </c>
      <c r="I84" s="8">
        <f>88/$K$89*(H84)</f>
        <v>0</v>
      </c>
      <c r="J84" s="3"/>
      <c r="K84" s="2">
        <v>223124</v>
      </c>
      <c r="L84" s="1">
        <v>162804630</v>
      </c>
      <c r="M84" s="11">
        <f>L84*'[1]Inflation Rates by Year'!$C$2</f>
        <v>184092963.4188</v>
      </c>
      <c r="N84" s="10">
        <f>M84/K84</f>
        <v>825.07020051092661</v>
      </c>
    </row>
    <row r="85" spans="1:14" ht="15" customHeight="1" x14ac:dyDescent="0.25">
      <c r="A85" s="9">
        <v>44490</v>
      </c>
      <c r="C85" s="4">
        <v>162900000</v>
      </c>
      <c r="D85" s="13">
        <v>223124</v>
      </c>
      <c r="H85" s="12">
        <f>K85-K84</f>
        <v>0</v>
      </c>
      <c r="I85" s="8">
        <f>88/$K$89*(H85)</f>
        <v>0</v>
      </c>
      <c r="J85" s="3"/>
      <c r="K85" s="2">
        <v>223124</v>
      </c>
      <c r="L85" s="1">
        <v>162900000</v>
      </c>
      <c r="M85" s="11">
        <f>L85*'[1]Inflation Rates by Year'!$C$2</f>
        <v>184200804</v>
      </c>
      <c r="N85" s="10">
        <f>M85/K85</f>
        <v>825.55352180850116</v>
      </c>
    </row>
    <row r="86" spans="1:14" ht="15" customHeight="1" x14ac:dyDescent="0.25">
      <c r="A86" s="9">
        <v>44491</v>
      </c>
      <c r="C86" s="4">
        <v>163000000</v>
      </c>
      <c r="D86" s="13">
        <v>223124</v>
      </c>
      <c r="H86" s="12">
        <f>K86-K85</f>
        <v>0</v>
      </c>
      <c r="I86" s="8">
        <f>88/$K$89*(H86)</f>
        <v>0</v>
      </c>
      <c r="J86" s="3"/>
      <c r="K86" s="2">
        <v>223124</v>
      </c>
      <c r="L86" s="1">
        <v>163000000</v>
      </c>
      <c r="M86" s="11">
        <f>L86*'[1]Inflation Rates by Year'!$C$2</f>
        <v>184313880</v>
      </c>
      <c r="N86" s="10">
        <f>M86/K86</f>
        <v>826.06030727308587</v>
      </c>
    </row>
    <row r="87" spans="1:14" ht="15" customHeight="1" x14ac:dyDescent="0.25">
      <c r="A87" s="9">
        <v>44492</v>
      </c>
      <c r="C87" s="4">
        <v>164107509</v>
      </c>
      <c r="D87" s="13">
        <v>223124</v>
      </c>
      <c r="H87" s="12">
        <f>K87-K86</f>
        <v>0</v>
      </c>
      <c r="I87" s="8">
        <f>88/$K$89*(H87)</f>
        <v>0</v>
      </c>
      <c r="J87" s="3"/>
      <c r="K87" s="2">
        <v>223124</v>
      </c>
      <c r="L87" s="1">
        <v>164107509</v>
      </c>
      <c r="M87" s="11">
        <f>L87*'[1]Inflation Rates by Year'!$C$2</f>
        <v>185566206.87684</v>
      </c>
      <c r="N87" s="10">
        <f>M87/K87</f>
        <v>831.67300190405331</v>
      </c>
    </row>
    <row r="88" spans="1:14" ht="15" customHeight="1" x14ac:dyDescent="0.25">
      <c r="A88" s="9">
        <v>44493</v>
      </c>
      <c r="C88" s="4">
        <v>164053861</v>
      </c>
      <c r="D88" s="13">
        <v>223124</v>
      </c>
      <c r="H88" s="12">
        <f>K88-K87</f>
        <v>0</v>
      </c>
      <c r="I88" s="8">
        <f>88/$K$89*(H88)</f>
        <v>0</v>
      </c>
      <c r="J88" s="3"/>
      <c r="K88" s="2">
        <v>223124</v>
      </c>
      <c r="L88" s="1">
        <v>164053861</v>
      </c>
      <c r="M88" s="11">
        <f>L88*'[1]Inflation Rates by Year'!$C$2</f>
        <v>185505543.86436</v>
      </c>
      <c r="N88" s="10">
        <f>M88/K88</f>
        <v>831.40112163801291</v>
      </c>
    </row>
    <row r="89" spans="1:14" ht="15" customHeight="1" x14ac:dyDescent="0.25">
      <c r="A89" s="9">
        <v>44494</v>
      </c>
      <c r="C89" s="4">
        <v>163739291</v>
      </c>
      <c r="D89" s="13">
        <v>223124</v>
      </c>
      <c r="H89" s="12">
        <f>K89-K88</f>
        <v>0</v>
      </c>
      <c r="I89" s="8">
        <f>88/$K$89*(H89)</f>
        <v>0</v>
      </c>
      <c r="J89" s="3"/>
      <c r="K89" s="2">
        <v>223124</v>
      </c>
      <c r="L89" s="1">
        <v>163739291</v>
      </c>
      <c r="M89" s="11">
        <f>L89*'[1]Inflation Rates by Year'!$C$2</f>
        <v>185149840.69115999</v>
      </c>
      <c r="N89" s="10">
        <f>M89/K89</f>
        <v>829.80692660206876</v>
      </c>
    </row>
    <row r="90" spans="1:14" ht="15" customHeight="1" x14ac:dyDescent="0.25">
      <c r="A90" s="9">
        <v>44495</v>
      </c>
      <c r="C90" s="4"/>
      <c r="H90" s="3"/>
      <c r="I90" s="8">
        <f>54/$K$55*(H90)</f>
        <v>0</v>
      </c>
      <c r="J90" s="3"/>
      <c r="K90" s="7"/>
      <c r="L90" s="1"/>
      <c r="M90" s="6"/>
      <c r="N90" s="5"/>
    </row>
    <row r="91" spans="1:14" ht="15" customHeight="1" x14ac:dyDescent="0.25">
      <c r="A91" s="9">
        <v>44496</v>
      </c>
      <c r="C91" s="4"/>
      <c r="H91" s="3"/>
      <c r="I91" s="8">
        <f>54/$K$55*(H91)</f>
        <v>0</v>
      </c>
      <c r="J91" s="3"/>
      <c r="K91" s="7"/>
      <c r="L91" s="1"/>
      <c r="M91" s="6"/>
      <c r="N91" s="5"/>
    </row>
    <row r="92" spans="1:14" ht="13.5" x14ac:dyDescent="0.25">
      <c r="A92" s="9">
        <v>44497</v>
      </c>
      <c r="C92" s="4"/>
      <c r="H92" s="3"/>
      <c r="I92" s="8">
        <f>54/$K$55*(H92)</f>
        <v>0</v>
      </c>
      <c r="J92" s="3"/>
      <c r="K92" s="7"/>
      <c r="L92" s="1"/>
      <c r="M92" s="6"/>
      <c r="N92" s="5"/>
    </row>
    <row r="93" spans="1:14" ht="13.5" x14ac:dyDescent="0.25">
      <c r="A93" s="9">
        <v>44498</v>
      </c>
      <c r="C93" s="4"/>
      <c r="H93" s="3"/>
      <c r="I93" s="8">
        <f>54/$K$55*(H93)</f>
        <v>0</v>
      </c>
      <c r="J93" s="3"/>
      <c r="K93" s="7"/>
      <c r="L93" s="1"/>
      <c r="M93" s="6"/>
      <c r="N93" s="5"/>
    </row>
    <row r="94" spans="1:14" ht="13.5" x14ac:dyDescent="0.25">
      <c r="A94" s="9">
        <v>44499</v>
      </c>
      <c r="C94" s="4"/>
      <c r="H94" s="3"/>
      <c r="I94" s="8">
        <f>54/$K$55*(H94)</f>
        <v>0</v>
      </c>
      <c r="J94" s="3"/>
      <c r="K94" s="7"/>
      <c r="L94" s="1"/>
      <c r="M94" s="6"/>
      <c r="N94" s="5"/>
    </row>
    <row r="95" spans="1:14" ht="13.5" x14ac:dyDescent="0.25">
      <c r="A95" s="9">
        <v>44500</v>
      </c>
      <c r="C95" s="4"/>
      <c r="H95" s="3"/>
      <c r="I95" s="8">
        <f>54/$K$55*(H95)</f>
        <v>0</v>
      </c>
      <c r="J95" s="3"/>
      <c r="K95" s="7"/>
      <c r="L95" s="1"/>
      <c r="M95" s="6"/>
      <c r="N95" s="5"/>
    </row>
    <row r="96" spans="1:14" ht="13.5" x14ac:dyDescent="0.25">
      <c r="A96" s="9">
        <v>44501</v>
      </c>
      <c r="C96" s="4"/>
      <c r="H96" s="3"/>
      <c r="I96" s="8">
        <f>54/$K$55*(H96)</f>
        <v>0</v>
      </c>
      <c r="J96" s="3"/>
      <c r="K96" s="7"/>
      <c r="L96" s="1"/>
      <c r="M96" s="6"/>
      <c r="N96" s="5"/>
    </row>
    <row r="97" spans="1:14" ht="13.5" x14ac:dyDescent="0.25">
      <c r="A97" s="9">
        <v>44502</v>
      </c>
      <c r="C97" s="4"/>
      <c r="H97" s="3"/>
      <c r="I97" s="8">
        <f>54/$K$55*(H97)</f>
        <v>0</v>
      </c>
      <c r="J97" s="3"/>
      <c r="K97" s="7"/>
      <c r="L97" s="1"/>
      <c r="M97" s="6"/>
      <c r="N97" s="5"/>
    </row>
    <row r="98" spans="1:14" ht="13.5" x14ac:dyDescent="0.25">
      <c r="C98" s="4"/>
      <c r="H98" s="3"/>
      <c r="I98" s="3"/>
      <c r="J98" s="3"/>
      <c r="K98" s="7"/>
      <c r="L98" s="1"/>
      <c r="M98" s="6"/>
      <c r="N98" s="5"/>
    </row>
    <row r="99" spans="1:14" ht="13.5" x14ac:dyDescent="0.25">
      <c r="C99" s="4"/>
      <c r="H99" s="3"/>
      <c r="I99" s="3"/>
      <c r="J99" s="3"/>
      <c r="K99" s="7"/>
      <c r="L99" s="1"/>
      <c r="M99" s="6"/>
      <c r="N99" s="5"/>
    </row>
    <row r="100" spans="1:14" ht="13.5" x14ac:dyDescent="0.25">
      <c r="C100" s="4"/>
      <c r="H100" s="3"/>
      <c r="I100" s="3"/>
      <c r="J100" s="3"/>
      <c r="K100" s="7"/>
      <c r="L100" s="1"/>
      <c r="M100" s="6"/>
      <c r="N100" s="5"/>
    </row>
    <row r="101" spans="1:14" ht="13.5" x14ac:dyDescent="0.25">
      <c r="C101" s="4"/>
      <c r="H101" s="3"/>
      <c r="I101" s="3"/>
      <c r="J101" s="3"/>
      <c r="K101" s="7"/>
      <c r="L101" s="1"/>
      <c r="M101" s="6"/>
      <c r="N101" s="5"/>
    </row>
    <row r="102" spans="1:14" ht="13.5" x14ac:dyDescent="0.25">
      <c r="C102" s="4"/>
      <c r="H102" s="3"/>
      <c r="I102" s="3"/>
      <c r="J102" s="3"/>
      <c r="K102" s="7"/>
      <c r="L102" s="1"/>
      <c r="M102" s="6"/>
      <c r="N102" s="5"/>
    </row>
    <row r="103" spans="1:14" ht="13.5" x14ac:dyDescent="0.25">
      <c r="C103" s="4"/>
      <c r="H103" s="3"/>
      <c r="I103" s="3"/>
      <c r="J103" s="3"/>
      <c r="K103" s="7"/>
      <c r="L103" s="1"/>
      <c r="M103" s="6"/>
      <c r="N103" s="5"/>
    </row>
    <row r="104" spans="1:14" ht="13.5" x14ac:dyDescent="0.25">
      <c r="C104" s="4"/>
      <c r="H104" s="3"/>
      <c r="I104" s="3"/>
      <c r="J104" s="3"/>
      <c r="K104" s="7"/>
      <c r="L104" s="1"/>
      <c r="M104" s="6"/>
      <c r="N104" s="5"/>
    </row>
    <row r="105" spans="1:14" ht="13.5" x14ac:dyDescent="0.25">
      <c r="C105" s="4"/>
      <c r="H105" s="3"/>
      <c r="I105" s="3"/>
      <c r="J105" s="3"/>
      <c r="K105" s="7"/>
      <c r="L105" s="1"/>
      <c r="M105" s="6"/>
      <c r="N105" s="5"/>
    </row>
    <row r="106" spans="1:14" ht="13.5" x14ac:dyDescent="0.25">
      <c r="C106" s="4"/>
      <c r="H106" s="3"/>
      <c r="I106" s="3"/>
      <c r="J106" s="3"/>
      <c r="K106" s="7"/>
      <c r="L106" s="1"/>
      <c r="M106" s="6"/>
      <c r="N106" s="5"/>
    </row>
    <row r="107" spans="1:14" ht="13.5" x14ac:dyDescent="0.25">
      <c r="C107" s="4"/>
      <c r="H107" s="3"/>
      <c r="I107" s="3"/>
      <c r="J107" s="3"/>
      <c r="K107" s="7"/>
      <c r="L107" s="1"/>
      <c r="M107" s="6"/>
      <c r="N107" s="5"/>
    </row>
    <row r="108" spans="1:14" ht="13.5" x14ac:dyDescent="0.25">
      <c r="C108" s="4"/>
      <c r="H108" s="3"/>
      <c r="I108" s="3"/>
      <c r="J108" s="3"/>
      <c r="K108" s="7"/>
      <c r="L108" s="1"/>
      <c r="M108" s="6"/>
      <c r="N108" s="5"/>
    </row>
    <row r="109" spans="1:14" ht="13.5" x14ac:dyDescent="0.25">
      <c r="C109" s="4"/>
      <c r="H109" s="3"/>
      <c r="I109" s="3"/>
      <c r="J109" s="3"/>
      <c r="K109" s="7"/>
      <c r="L109" s="1"/>
      <c r="M109" s="6"/>
      <c r="N109" s="5"/>
    </row>
    <row r="110" spans="1:14" ht="13.5" x14ac:dyDescent="0.25">
      <c r="C110" s="4"/>
      <c r="H110" s="3"/>
      <c r="I110" s="3"/>
      <c r="J110" s="3"/>
      <c r="K110" s="7"/>
      <c r="L110" s="1"/>
      <c r="M110" s="6"/>
      <c r="N110" s="5"/>
    </row>
    <row r="111" spans="1:14" ht="13.5" x14ac:dyDescent="0.25">
      <c r="C111" s="4"/>
      <c r="H111" s="3"/>
      <c r="I111" s="3"/>
      <c r="J111" s="3"/>
      <c r="K111" s="7"/>
      <c r="L111" s="1"/>
      <c r="M111" s="6"/>
      <c r="N111" s="5"/>
    </row>
    <row r="112" spans="1:14" ht="13.5" x14ac:dyDescent="0.25">
      <c r="C112" s="4"/>
      <c r="H112" s="3"/>
      <c r="I112" s="3"/>
      <c r="J112" s="3"/>
      <c r="K112" s="7"/>
      <c r="L112" s="1"/>
      <c r="M112" s="6"/>
      <c r="N112" s="5"/>
    </row>
    <row r="113" spans="3:14" ht="13.5" x14ac:dyDescent="0.25">
      <c r="C113" s="4"/>
      <c r="H113" s="3"/>
      <c r="I113" s="3"/>
      <c r="J113" s="3"/>
      <c r="K113" s="7"/>
      <c r="L113" s="1"/>
      <c r="M113" s="6"/>
      <c r="N113" s="5"/>
    </row>
    <row r="114" spans="3:14" ht="13.5" x14ac:dyDescent="0.25">
      <c r="C114" s="4"/>
      <c r="H114" s="3"/>
      <c r="I114" s="3"/>
      <c r="J114" s="3"/>
      <c r="K114" s="7"/>
      <c r="L114" s="1"/>
      <c r="M114" s="6"/>
      <c r="N114" s="5"/>
    </row>
    <row r="115" spans="3:14" ht="13.5" x14ac:dyDescent="0.25">
      <c r="C115" s="4"/>
      <c r="H115" s="3"/>
      <c r="I115" s="3"/>
      <c r="J115" s="3"/>
      <c r="K115" s="7"/>
      <c r="L115" s="1"/>
      <c r="M115" s="6"/>
      <c r="N115" s="5"/>
    </row>
    <row r="116" spans="3:14" ht="13.5" x14ac:dyDescent="0.25">
      <c r="C116" s="4"/>
      <c r="H116" s="3"/>
      <c r="I116" s="3"/>
      <c r="J116" s="3"/>
      <c r="K116" s="7"/>
      <c r="L116" s="1"/>
      <c r="M116" s="6"/>
      <c r="N116" s="5"/>
    </row>
    <row r="117" spans="3:14" ht="13.5" x14ac:dyDescent="0.25">
      <c r="C117" s="4"/>
      <c r="H117" s="3"/>
      <c r="I117" s="3"/>
      <c r="J117" s="3"/>
      <c r="K117" s="7"/>
      <c r="L117" s="1"/>
      <c r="M117" s="6"/>
      <c r="N117" s="5"/>
    </row>
    <row r="118" spans="3:14" ht="13.5" x14ac:dyDescent="0.25">
      <c r="C118" s="4"/>
      <c r="H118" s="3"/>
      <c r="I118" s="3"/>
      <c r="J118" s="3"/>
      <c r="K118" s="7"/>
      <c r="L118" s="1"/>
      <c r="M118" s="6"/>
      <c r="N118" s="5"/>
    </row>
    <row r="119" spans="3:14" ht="13.5" x14ac:dyDescent="0.25">
      <c r="C119" s="4"/>
      <c r="H119" s="3"/>
      <c r="I119" s="3"/>
      <c r="J119" s="3"/>
      <c r="K119" s="7"/>
      <c r="L119" s="1"/>
      <c r="M119" s="6"/>
      <c r="N119" s="5"/>
    </row>
    <row r="120" spans="3:14" ht="13.5" x14ac:dyDescent="0.25">
      <c r="C120" s="4"/>
      <c r="H120" s="3"/>
      <c r="I120" s="3"/>
      <c r="J120" s="3"/>
      <c r="K120" s="7"/>
      <c r="L120" s="1"/>
      <c r="M120" s="6"/>
      <c r="N120" s="5"/>
    </row>
    <row r="121" spans="3:14" ht="13.5" x14ac:dyDescent="0.25">
      <c r="C121" s="4"/>
      <c r="H121" s="3"/>
      <c r="I121" s="3"/>
      <c r="J121" s="3"/>
      <c r="K121" s="7"/>
      <c r="L121" s="1"/>
      <c r="M121" s="6"/>
      <c r="N121" s="5"/>
    </row>
    <row r="122" spans="3:14" ht="13.5" x14ac:dyDescent="0.25">
      <c r="C122" s="4"/>
      <c r="H122" s="3"/>
      <c r="I122" s="3"/>
      <c r="J122" s="3"/>
      <c r="K122" s="7"/>
      <c r="L122" s="1"/>
      <c r="M122" s="6"/>
      <c r="N122" s="5"/>
    </row>
    <row r="123" spans="3:14" ht="13.5" x14ac:dyDescent="0.25">
      <c r="C123" s="4"/>
      <c r="H123" s="3"/>
      <c r="I123" s="3"/>
      <c r="J123" s="3"/>
      <c r="K123" s="7"/>
      <c r="L123" s="1"/>
      <c r="M123" s="6"/>
      <c r="N123" s="5"/>
    </row>
    <row r="124" spans="3:14" ht="13.5" x14ac:dyDescent="0.25">
      <c r="C124" s="4"/>
      <c r="H124" s="3"/>
      <c r="I124" s="3"/>
      <c r="J124" s="3"/>
      <c r="K124" s="7"/>
      <c r="L124" s="1"/>
      <c r="M124" s="6"/>
      <c r="N124" s="5"/>
    </row>
    <row r="125" spans="3:14" ht="13.5" x14ac:dyDescent="0.25">
      <c r="C125" s="4"/>
      <c r="H125" s="3"/>
      <c r="I125" s="3"/>
      <c r="J125" s="3"/>
      <c r="K125" s="7"/>
      <c r="L125" s="1"/>
      <c r="M125" s="6"/>
      <c r="N125" s="5"/>
    </row>
    <row r="126" spans="3:14" ht="13.5" x14ac:dyDescent="0.25">
      <c r="C126" s="4"/>
      <c r="H126" s="3"/>
      <c r="I126" s="3"/>
      <c r="J126" s="3"/>
      <c r="K126" s="7"/>
      <c r="L126" s="1"/>
      <c r="M126" s="6"/>
      <c r="N126" s="5"/>
    </row>
    <row r="127" spans="3:14" ht="13.5" x14ac:dyDescent="0.25">
      <c r="C127" s="4"/>
      <c r="H127" s="3"/>
      <c r="I127" s="3"/>
      <c r="J127" s="3"/>
      <c r="K127" s="7"/>
      <c r="L127" s="1"/>
      <c r="M127" s="6"/>
      <c r="N127" s="5"/>
    </row>
    <row r="128" spans="3:14" ht="13.5" x14ac:dyDescent="0.25">
      <c r="C128" s="4"/>
      <c r="H128" s="3"/>
      <c r="I128" s="3"/>
      <c r="J128" s="3"/>
      <c r="K128" s="7"/>
      <c r="L128" s="1"/>
      <c r="M128" s="6"/>
      <c r="N128" s="5"/>
    </row>
    <row r="129" spans="3:14" ht="13.5" x14ac:dyDescent="0.25">
      <c r="C129" s="4"/>
      <c r="H129" s="3"/>
      <c r="I129" s="3"/>
      <c r="J129" s="3"/>
      <c r="K129" s="7"/>
      <c r="L129" s="1"/>
      <c r="M129" s="6"/>
      <c r="N129" s="5"/>
    </row>
    <row r="130" spans="3:14" ht="13.5" x14ac:dyDescent="0.25">
      <c r="C130" s="4"/>
      <c r="H130" s="3"/>
      <c r="I130" s="3"/>
      <c r="J130" s="3"/>
      <c r="K130" s="7"/>
      <c r="L130" s="1"/>
      <c r="M130" s="6"/>
      <c r="N130" s="5"/>
    </row>
    <row r="131" spans="3:14" ht="13.5" x14ac:dyDescent="0.25">
      <c r="C131" s="4"/>
      <c r="H131" s="3"/>
      <c r="I131" s="3"/>
      <c r="J131" s="3"/>
      <c r="K131" s="7"/>
      <c r="L131" s="1"/>
      <c r="M131" s="6"/>
      <c r="N131" s="5"/>
    </row>
    <row r="132" spans="3:14" ht="13.5" x14ac:dyDescent="0.25">
      <c r="C132" s="4"/>
      <c r="H132" s="3"/>
      <c r="I132" s="3"/>
      <c r="J132" s="3"/>
      <c r="K132" s="7"/>
      <c r="L132" s="1"/>
      <c r="M132" s="6"/>
      <c r="N132" s="5"/>
    </row>
    <row r="133" spans="3:14" ht="13.5" x14ac:dyDescent="0.25">
      <c r="C133" s="4"/>
      <c r="H133" s="3"/>
      <c r="I133" s="3"/>
      <c r="J133" s="3"/>
      <c r="K133" s="7"/>
      <c r="L133" s="1"/>
      <c r="M133" s="6"/>
      <c r="N133" s="5"/>
    </row>
    <row r="134" spans="3:14" ht="13.5" x14ac:dyDescent="0.25">
      <c r="C134" s="4"/>
      <c r="H134" s="3"/>
      <c r="I134" s="3"/>
      <c r="J134" s="3"/>
      <c r="K134" s="7"/>
      <c r="L134" s="1"/>
      <c r="M134" s="6"/>
      <c r="N134" s="5"/>
    </row>
    <row r="135" spans="3:14" ht="13.5" x14ac:dyDescent="0.25">
      <c r="C135" s="4"/>
      <c r="H135" s="3"/>
      <c r="I135" s="3"/>
      <c r="J135" s="3"/>
      <c r="K135" s="7"/>
      <c r="L135" s="1"/>
      <c r="M135" s="6"/>
      <c r="N135" s="5"/>
    </row>
    <row r="136" spans="3:14" ht="13.5" x14ac:dyDescent="0.25">
      <c r="C136" s="4"/>
      <c r="H136" s="3"/>
      <c r="I136" s="3"/>
      <c r="J136" s="3"/>
      <c r="K136" s="7"/>
      <c r="L136" s="1"/>
      <c r="M136" s="6"/>
      <c r="N136" s="5"/>
    </row>
    <row r="137" spans="3:14" ht="13.5" x14ac:dyDescent="0.25">
      <c r="C137" s="4"/>
      <c r="H137" s="3"/>
      <c r="I137" s="3"/>
      <c r="J137" s="3"/>
      <c r="K137" s="7"/>
      <c r="L137" s="1"/>
      <c r="M137" s="6"/>
      <c r="N137" s="5"/>
    </row>
    <row r="138" spans="3:14" ht="13.5" x14ac:dyDescent="0.25">
      <c r="C138" s="4"/>
      <c r="H138" s="3"/>
      <c r="I138" s="3"/>
      <c r="J138" s="3"/>
      <c r="K138" s="7"/>
      <c r="L138" s="1"/>
      <c r="M138" s="6"/>
      <c r="N138" s="5"/>
    </row>
    <row r="139" spans="3:14" ht="13.5" x14ac:dyDescent="0.25">
      <c r="C139" s="4"/>
      <c r="H139" s="3"/>
      <c r="I139" s="3"/>
      <c r="J139" s="3"/>
      <c r="K139" s="7"/>
      <c r="L139" s="1"/>
      <c r="M139" s="6"/>
      <c r="N139" s="5"/>
    </row>
    <row r="140" spans="3:14" ht="13.5" x14ac:dyDescent="0.25">
      <c r="C140" s="4"/>
      <c r="H140" s="3"/>
      <c r="I140" s="3"/>
      <c r="J140" s="3"/>
      <c r="K140" s="7"/>
      <c r="L140" s="1"/>
      <c r="M140" s="6"/>
      <c r="N140" s="5"/>
    </row>
    <row r="141" spans="3:14" ht="13.5" x14ac:dyDescent="0.25">
      <c r="C141" s="4"/>
      <c r="H141" s="3"/>
      <c r="I141" s="3"/>
      <c r="J141" s="3"/>
      <c r="K141" s="7"/>
      <c r="L141" s="1"/>
      <c r="M141" s="6"/>
      <c r="N141" s="5"/>
    </row>
    <row r="142" spans="3:14" ht="13.5" x14ac:dyDescent="0.25">
      <c r="C142" s="4"/>
      <c r="H142" s="3"/>
      <c r="I142" s="3"/>
      <c r="J142" s="3"/>
      <c r="K142" s="7"/>
      <c r="L142" s="1"/>
      <c r="M142" s="6"/>
      <c r="N142" s="5"/>
    </row>
    <row r="143" spans="3:14" ht="13.5" x14ac:dyDescent="0.25">
      <c r="C143" s="4"/>
      <c r="H143" s="3"/>
      <c r="I143" s="3"/>
      <c r="J143" s="3"/>
      <c r="K143" s="7"/>
      <c r="L143" s="1"/>
      <c r="M143" s="6"/>
      <c r="N143" s="5"/>
    </row>
    <row r="144" spans="3:14" ht="13.5" x14ac:dyDescent="0.25">
      <c r="C144" s="4"/>
      <c r="H144" s="3"/>
      <c r="I144" s="3"/>
      <c r="J144" s="3"/>
      <c r="K144" s="7"/>
      <c r="L144" s="1"/>
      <c r="M144" s="6"/>
      <c r="N144" s="5"/>
    </row>
    <row r="145" spans="3:14" ht="13.5" x14ac:dyDescent="0.25">
      <c r="C145" s="4"/>
      <c r="H145" s="3"/>
      <c r="I145" s="3"/>
      <c r="J145" s="3"/>
      <c r="K145" s="7"/>
      <c r="L145" s="1"/>
      <c r="M145" s="6"/>
      <c r="N145" s="5"/>
    </row>
    <row r="146" spans="3:14" ht="13.5" x14ac:dyDescent="0.25">
      <c r="C146" s="4"/>
      <c r="H146" s="3"/>
      <c r="I146" s="3"/>
      <c r="J146" s="3"/>
      <c r="K146" s="7"/>
      <c r="L146" s="1"/>
      <c r="M146" s="6"/>
      <c r="N146" s="5"/>
    </row>
    <row r="147" spans="3:14" ht="13.5" x14ac:dyDescent="0.25">
      <c r="C147" s="4"/>
      <c r="H147" s="3"/>
      <c r="I147" s="3"/>
      <c r="J147" s="3"/>
      <c r="K147" s="7"/>
      <c r="L147" s="1"/>
      <c r="M147" s="6"/>
      <c r="N147" s="5"/>
    </row>
    <row r="148" spans="3:14" ht="13.5" x14ac:dyDescent="0.25">
      <c r="C148" s="4"/>
      <c r="H148" s="3"/>
      <c r="I148" s="3"/>
      <c r="J148" s="3"/>
      <c r="K148" s="7"/>
      <c r="L148" s="1"/>
      <c r="M148" s="6"/>
      <c r="N148" s="5"/>
    </row>
    <row r="149" spans="3:14" ht="13.5" x14ac:dyDescent="0.25">
      <c r="C149" s="4"/>
      <c r="H149" s="3"/>
      <c r="I149" s="3"/>
      <c r="J149" s="3"/>
      <c r="K149" s="7"/>
      <c r="L149" s="1"/>
      <c r="M149" s="6"/>
      <c r="N149" s="5"/>
    </row>
    <row r="150" spans="3:14" ht="13.5" x14ac:dyDescent="0.25">
      <c r="C150" s="4"/>
      <c r="H150" s="3"/>
      <c r="I150" s="3"/>
      <c r="J150" s="3"/>
      <c r="K150" s="7"/>
      <c r="L150" s="1"/>
      <c r="M150" s="6"/>
      <c r="N150" s="5"/>
    </row>
    <row r="151" spans="3:14" ht="13.5" x14ac:dyDescent="0.25">
      <c r="C151" s="4"/>
      <c r="H151" s="3"/>
      <c r="I151" s="3"/>
      <c r="J151" s="3"/>
      <c r="K151" s="7"/>
      <c r="L151" s="1"/>
      <c r="M151" s="6"/>
      <c r="N151" s="5"/>
    </row>
    <row r="152" spans="3:14" ht="13.5" x14ac:dyDescent="0.25">
      <c r="C152" s="4"/>
      <c r="H152" s="3"/>
      <c r="I152" s="3"/>
      <c r="J152" s="3"/>
      <c r="K152" s="7"/>
      <c r="L152" s="1"/>
      <c r="M152" s="6"/>
      <c r="N152" s="5"/>
    </row>
    <row r="153" spans="3:14" ht="13.5" x14ac:dyDescent="0.25">
      <c r="C153" s="4"/>
      <c r="H153" s="3"/>
      <c r="I153" s="3"/>
      <c r="J153" s="3"/>
      <c r="K153" s="7"/>
      <c r="L153" s="1"/>
      <c r="M153" s="6"/>
      <c r="N153" s="5"/>
    </row>
    <row r="154" spans="3:14" ht="13.5" x14ac:dyDescent="0.25">
      <c r="C154" s="4"/>
      <c r="H154" s="3"/>
      <c r="I154" s="3"/>
      <c r="J154" s="3"/>
      <c r="K154" s="7"/>
      <c r="L154" s="1"/>
      <c r="M154" s="6"/>
      <c r="N154" s="5"/>
    </row>
    <row r="155" spans="3:14" ht="13.5" x14ac:dyDescent="0.25">
      <c r="C155" s="4"/>
      <c r="H155" s="3"/>
      <c r="I155" s="3"/>
      <c r="J155" s="3"/>
      <c r="K155" s="7"/>
      <c r="L155" s="1"/>
      <c r="M155" s="6"/>
      <c r="N155" s="5"/>
    </row>
    <row r="156" spans="3:14" ht="13.5" x14ac:dyDescent="0.25">
      <c r="C156" s="4"/>
      <c r="H156" s="3"/>
      <c r="I156" s="3"/>
      <c r="J156" s="3"/>
      <c r="K156" s="7"/>
      <c r="L156" s="1"/>
      <c r="M156" s="6"/>
      <c r="N156" s="5"/>
    </row>
    <row r="157" spans="3:14" ht="13.5" x14ac:dyDescent="0.25">
      <c r="C157" s="4"/>
      <c r="H157" s="3"/>
      <c r="I157" s="3"/>
      <c r="J157" s="3"/>
      <c r="K157" s="7"/>
      <c r="L157" s="1"/>
      <c r="M157" s="6"/>
      <c r="N157" s="5"/>
    </row>
    <row r="158" spans="3:14" ht="13.5" x14ac:dyDescent="0.25">
      <c r="C158" s="4"/>
      <c r="H158" s="3"/>
      <c r="I158" s="3"/>
      <c r="J158" s="3"/>
      <c r="K158" s="7"/>
      <c r="L158" s="1"/>
      <c r="M158" s="6"/>
      <c r="N158" s="5"/>
    </row>
    <row r="159" spans="3:14" ht="13.5" x14ac:dyDescent="0.25">
      <c r="C159" s="4"/>
      <c r="H159" s="3"/>
      <c r="I159" s="3"/>
      <c r="J159" s="3"/>
      <c r="K159" s="7"/>
      <c r="L159" s="1"/>
      <c r="M159" s="6"/>
      <c r="N159" s="5"/>
    </row>
    <row r="160" spans="3:14" ht="13.5" x14ac:dyDescent="0.25">
      <c r="C160" s="4"/>
      <c r="H160" s="3"/>
      <c r="I160" s="3"/>
      <c r="J160" s="3"/>
      <c r="K160" s="7"/>
      <c r="L160" s="1"/>
      <c r="M160" s="6"/>
      <c r="N160" s="5"/>
    </row>
    <row r="161" spans="3:14" ht="13.5" x14ac:dyDescent="0.25">
      <c r="C161" s="4"/>
      <c r="H161" s="3"/>
      <c r="I161" s="3"/>
      <c r="J161" s="3"/>
      <c r="K161" s="7"/>
      <c r="L161" s="1"/>
      <c r="M161" s="6"/>
      <c r="N161" s="5"/>
    </row>
    <row r="162" spans="3:14" ht="13.5" x14ac:dyDescent="0.25">
      <c r="C162" s="4"/>
      <c r="H162" s="3"/>
      <c r="I162" s="3"/>
      <c r="J162" s="3"/>
      <c r="K162" s="7"/>
      <c r="L162" s="1"/>
      <c r="M162" s="6"/>
      <c r="N162" s="5"/>
    </row>
    <row r="163" spans="3:14" ht="13.5" x14ac:dyDescent="0.25">
      <c r="C163" s="4"/>
      <c r="H163" s="3"/>
      <c r="I163" s="3"/>
      <c r="J163" s="3"/>
      <c r="K163" s="7"/>
      <c r="L163" s="1"/>
      <c r="M163" s="6"/>
      <c r="N163" s="5"/>
    </row>
    <row r="164" spans="3:14" ht="13.5" x14ac:dyDescent="0.25">
      <c r="C164" s="4"/>
      <c r="H164" s="3"/>
      <c r="I164" s="3"/>
      <c r="J164" s="3"/>
      <c r="K164" s="7"/>
      <c r="L164" s="1"/>
      <c r="M164" s="6"/>
      <c r="N164" s="5"/>
    </row>
    <row r="165" spans="3:14" ht="13.5" x14ac:dyDescent="0.25">
      <c r="C165" s="4"/>
      <c r="H165" s="3"/>
      <c r="I165" s="3"/>
      <c r="J165" s="3"/>
      <c r="K165" s="7"/>
      <c r="L165" s="1"/>
      <c r="M165" s="6"/>
      <c r="N165" s="5"/>
    </row>
    <row r="166" spans="3:14" ht="13.5" x14ac:dyDescent="0.25">
      <c r="C166" s="4"/>
      <c r="H166" s="3"/>
      <c r="I166" s="3"/>
      <c r="J166" s="3"/>
      <c r="K166" s="7"/>
      <c r="L166" s="1"/>
      <c r="M166" s="6"/>
      <c r="N166" s="5"/>
    </row>
    <row r="167" spans="3:14" ht="13.5" x14ac:dyDescent="0.25">
      <c r="C167" s="4"/>
      <c r="H167" s="3"/>
      <c r="I167" s="3"/>
      <c r="J167" s="3"/>
      <c r="K167" s="7"/>
      <c r="L167" s="1"/>
      <c r="M167" s="6"/>
      <c r="N167" s="5"/>
    </row>
    <row r="168" spans="3:14" ht="13.5" x14ac:dyDescent="0.25">
      <c r="C168" s="4"/>
      <c r="H168" s="3"/>
      <c r="I168" s="3"/>
      <c r="J168" s="3"/>
      <c r="K168" s="7"/>
      <c r="L168" s="1"/>
      <c r="M168" s="6"/>
      <c r="N168" s="5"/>
    </row>
    <row r="169" spans="3:14" ht="13.5" x14ac:dyDescent="0.25">
      <c r="C169" s="4"/>
      <c r="H169" s="3"/>
      <c r="I169" s="3"/>
      <c r="J169" s="3"/>
      <c r="K169" s="7"/>
      <c r="L169" s="1"/>
      <c r="M169" s="6"/>
      <c r="N169" s="5"/>
    </row>
    <row r="170" spans="3:14" ht="13.5" x14ac:dyDescent="0.25">
      <c r="C170" s="4"/>
      <c r="H170" s="3"/>
      <c r="I170" s="3"/>
      <c r="J170" s="3"/>
      <c r="K170" s="7"/>
      <c r="L170" s="1"/>
      <c r="M170" s="6"/>
      <c r="N170" s="5"/>
    </row>
    <row r="171" spans="3:14" ht="13.5" x14ac:dyDescent="0.25">
      <c r="C171" s="4"/>
      <c r="H171" s="3"/>
      <c r="I171" s="3"/>
      <c r="J171" s="3"/>
      <c r="K171" s="7"/>
      <c r="L171" s="1"/>
      <c r="M171" s="6"/>
      <c r="N171" s="5"/>
    </row>
    <row r="172" spans="3:14" ht="13.5" x14ac:dyDescent="0.25">
      <c r="C172" s="4"/>
      <c r="H172" s="3"/>
      <c r="I172" s="3"/>
      <c r="J172" s="3"/>
      <c r="K172" s="7"/>
      <c r="L172" s="1"/>
      <c r="M172" s="6"/>
      <c r="N172" s="5"/>
    </row>
    <row r="173" spans="3:14" ht="13.5" x14ac:dyDescent="0.25">
      <c r="C173" s="4"/>
      <c r="H173" s="3"/>
      <c r="I173" s="3"/>
      <c r="J173" s="3"/>
      <c r="K173" s="7"/>
      <c r="L173" s="1"/>
      <c r="M173" s="6"/>
      <c r="N173" s="5"/>
    </row>
    <row r="174" spans="3:14" ht="13.5" x14ac:dyDescent="0.25">
      <c r="C174" s="4"/>
      <c r="H174" s="3"/>
      <c r="I174" s="3"/>
      <c r="J174" s="3"/>
      <c r="K174" s="7"/>
      <c r="L174" s="1"/>
      <c r="M174" s="6"/>
      <c r="N174" s="5"/>
    </row>
    <row r="175" spans="3:14" ht="13.5" x14ac:dyDescent="0.25">
      <c r="C175" s="4"/>
      <c r="H175" s="3"/>
      <c r="I175" s="3"/>
      <c r="J175" s="3"/>
      <c r="K175" s="7"/>
      <c r="L175" s="1"/>
      <c r="M175" s="6"/>
      <c r="N175" s="5"/>
    </row>
    <row r="176" spans="3:14" ht="13.5" x14ac:dyDescent="0.25">
      <c r="C176" s="4"/>
      <c r="H176" s="3"/>
      <c r="I176" s="3"/>
      <c r="J176" s="3"/>
      <c r="K176" s="7"/>
      <c r="L176" s="1"/>
      <c r="M176" s="6"/>
      <c r="N176" s="5"/>
    </row>
    <row r="177" spans="3:14" ht="13.5" x14ac:dyDescent="0.25">
      <c r="C177" s="4"/>
      <c r="H177" s="3"/>
      <c r="I177" s="3"/>
      <c r="J177" s="3"/>
      <c r="K177" s="7"/>
      <c r="L177" s="1"/>
      <c r="M177" s="6"/>
      <c r="N177" s="5"/>
    </row>
    <row r="178" spans="3:14" ht="13.5" x14ac:dyDescent="0.25">
      <c r="C178" s="4"/>
      <c r="H178" s="3"/>
      <c r="I178" s="3"/>
      <c r="J178" s="3"/>
      <c r="K178" s="7"/>
      <c r="L178" s="1"/>
      <c r="M178" s="6"/>
      <c r="N178" s="5"/>
    </row>
    <row r="179" spans="3:14" ht="13.5" x14ac:dyDescent="0.25">
      <c r="C179" s="4"/>
      <c r="H179" s="3"/>
      <c r="I179" s="3"/>
      <c r="J179" s="3"/>
      <c r="K179" s="7"/>
      <c r="L179" s="1"/>
      <c r="M179" s="6"/>
      <c r="N179" s="5"/>
    </row>
    <row r="180" spans="3:14" ht="13.5" x14ac:dyDescent="0.25">
      <c r="C180" s="4"/>
      <c r="H180" s="3"/>
      <c r="I180" s="3"/>
      <c r="J180" s="3"/>
      <c r="K180" s="7"/>
      <c r="L180" s="1"/>
      <c r="M180" s="6"/>
      <c r="N180" s="5"/>
    </row>
    <row r="181" spans="3:14" ht="13.5" x14ac:dyDescent="0.25">
      <c r="C181" s="4"/>
      <c r="H181" s="3"/>
      <c r="I181" s="3"/>
      <c r="J181" s="3"/>
      <c r="K181" s="7"/>
      <c r="L181" s="1"/>
      <c r="M181" s="6"/>
      <c r="N181" s="5"/>
    </row>
    <row r="182" spans="3:14" ht="13.5" x14ac:dyDescent="0.25">
      <c r="C182" s="4"/>
      <c r="H182" s="3"/>
      <c r="I182" s="3"/>
      <c r="J182" s="3"/>
      <c r="K182" s="7"/>
      <c r="L182" s="1"/>
      <c r="M182" s="6"/>
      <c r="N182" s="5"/>
    </row>
    <row r="183" spans="3:14" ht="13.5" x14ac:dyDescent="0.25">
      <c r="C183" s="4"/>
      <c r="H183" s="3"/>
      <c r="I183" s="3"/>
      <c r="J183" s="3"/>
      <c r="K183" s="7"/>
      <c r="L183" s="1"/>
      <c r="M183" s="6"/>
      <c r="N183" s="5"/>
    </row>
    <row r="184" spans="3:14" ht="13.5" x14ac:dyDescent="0.25">
      <c r="C184" s="4"/>
      <c r="H184" s="3"/>
      <c r="I184" s="3"/>
      <c r="J184" s="3"/>
      <c r="K184" s="7"/>
      <c r="L184" s="1"/>
      <c r="M184" s="6"/>
      <c r="N184" s="5"/>
    </row>
    <row r="185" spans="3:14" ht="13.5" x14ac:dyDescent="0.25">
      <c r="C185" s="4"/>
      <c r="H185" s="3"/>
      <c r="I185" s="3"/>
      <c r="J185" s="3"/>
      <c r="K185" s="7"/>
      <c r="L185" s="1"/>
      <c r="M185" s="6"/>
      <c r="N185" s="5"/>
    </row>
    <row r="186" spans="3:14" ht="13.5" x14ac:dyDescent="0.25">
      <c r="C186" s="4"/>
      <c r="H186" s="3"/>
      <c r="I186" s="3"/>
      <c r="J186" s="3"/>
      <c r="K186" s="7"/>
      <c r="L186" s="1"/>
      <c r="M186" s="6"/>
      <c r="N186" s="5"/>
    </row>
    <row r="187" spans="3:14" ht="13.5" x14ac:dyDescent="0.25">
      <c r="C187" s="4"/>
      <c r="H187" s="3"/>
      <c r="I187" s="3"/>
      <c r="J187" s="3"/>
      <c r="K187" s="7"/>
      <c r="L187" s="1"/>
      <c r="M187" s="6"/>
      <c r="N187" s="5"/>
    </row>
    <row r="188" spans="3:14" ht="13.5" x14ac:dyDescent="0.25">
      <c r="C188" s="4"/>
      <c r="H188" s="3"/>
      <c r="I188" s="3"/>
      <c r="J188" s="3"/>
      <c r="K188" s="7"/>
      <c r="L188" s="1"/>
      <c r="M188" s="6"/>
      <c r="N188" s="5"/>
    </row>
    <row r="189" spans="3:14" ht="13.5" x14ac:dyDescent="0.25">
      <c r="C189" s="4"/>
      <c r="H189" s="3"/>
      <c r="I189" s="3"/>
      <c r="J189" s="3"/>
      <c r="K189" s="7"/>
      <c r="L189" s="1"/>
      <c r="M189" s="6"/>
      <c r="N189" s="5"/>
    </row>
    <row r="190" spans="3:14" ht="13.5" x14ac:dyDescent="0.25">
      <c r="C190" s="4"/>
      <c r="H190" s="3"/>
      <c r="I190" s="3"/>
      <c r="J190" s="3"/>
      <c r="K190" s="7"/>
      <c r="L190" s="1"/>
      <c r="M190" s="6"/>
      <c r="N190" s="5"/>
    </row>
    <row r="191" spans="3:14" ht="13.5" x14ac:dyDescent="0.25">
      <c r="C191" s="4"/>
      <c r="H191" s="3"/>
      <c r="I191" s="3"/>
      <c r="J191" s="3"/>
      <c r="K191" s="7"/>
      <c r="L191" s="1"/>
      <c r="M191" s="6"/>
      <c r="N191" s="5"/>
    </row>
    <row r="192" spans="3:14" ht="13.5" x14ac:dyDescent="0.25">
      <c r="C192" s="4"/>
      <c r="H192" s="3"/>
      <c r="I192" s="3"/>
      <c r="J192" s="3"/>
      <c r="K192" s="7"/>
      <c r="L192" s="1"/>
      <c r="M192" s="6"/>
      <c r="N192" s="5"/>
    </row>
    <row r="193" spans="3:14" ht="13.5" x14ac:dyDescent="0.25">
      <c r="C193" s="4"/>
      <c r="H193" s="3"/>
      <c r="I193" s="3"/>
      <c r="J193" s="3"/>
      <c r="K193" s="7"/>
      <c r="L193" s="1"/>
      <c r="M193" s="6"/>
      <c r="N193" s="5"/>
    </row>
    <row r="194" spans="3:14" ht="13.5" x14ac:dyDescent="0.25">
      <c r="C194" s="4"/>
      <c r="H194" s="3"/>
      <c r="I194" s="3"/>
      <c r="J194" s="3"/>
      <c r="K194" s="7"/>
      <c r="L194" s="1"/>
      <c r="M194" s="6"/>
      <c r="N194" s="5"/>
    </row>
    <row r="195" spans="3:14" ht="13.5" x14ac:dyDescent="0.25">
      <c r="C195" s="4"/>
      <c r="H195" s="3"/>
      <c r="I195" s="3"/>
      <c r="J195" s="3"/>
      <c r="K195" s="7"/>
      <c r="L195" s="1"/>
      <c r="M195" s="6"/>
      <c r="N195" s="5"/>
    </row>
    <row r="196" spans="3:14" ht="13.5" x14ac:dyDescent="0.25">
      <c r="C196" s="4"/>
      <c r="H196" s="3"/>
      <c r="I196" s="3"/>
      <c r="J196" s="3"/>
      <c r="K196" s="7"/>
      <c r="L196" s="1"/>
      <c r="M196" s="6"/>
      <c r="N196" s="5"/>
    </row>
    <row r="197" spans="3:14" ht="13.5" x14ac:dyDescent="0.25">
      <c r="C197" s="4"/>
      <c r="H197" s="3"/>
      <c r="I197" s="3"/>
      <c r="J197" s="3"/>
      <c r="K197" s="7"/>
      <c r="L197" s="1"/>
      <c r="M197" s="6"/>
      <c r="N197" s="5"/>
    </row>
    <row r="198" spans="3:14" ht="13.5" x14ac:dyDescent="0.25">
      <c r="C198" s="4"/>
      <c r="H198" s="3"/>
      <c r="I198" s="3"/>
      <c r="J198" s="3"/>
      <c r="K198" s="7"/>
      <c r="L198" s="1"/>
      <c r="M198" s="6"/>
      <c r="N198" s="5"/>
    </row>
    <row r="199" spans="3:14" ht="13.5" x14ac:dyDescent="0.25">
      <c r="C199" s="4"/>
      <c r="H199" s="3"/>
      <c r="I199" s="3"/>
      <c r="J199" s="3"/>
      <c r="K199" s="7"/>
      <c r="L199" s="1"/>
      <c r="M199" s="6"/>
      <c r="N199" s="5"/>
    </row>
    <row r="200" spans="3:14" ht="13.5" x14ac:dyDescent="0.25">
      <c r="C200" s="4"/>
      <c r="H200" s="3"/>
      <c r="I200" s="3"/>
      <c r="J200" s="3"/>
      <c r="K200" s="7"/>
      <c r="L200" s="1"/>
      <c r="M200" s="6"/>
      <c r="N200" s="5"/>
    </row>
    <row r="201" spans="3:14" ht="13.5" x14ac:dyDescent="0.25">
      <c r="C201" s="4"/>
      <c r="H201" s="3"/>
      <c r="I201" s="3"/>
      <c r="J201" s="3"/>
      <c r="K201" s="7"/>
      <c r="L201" s="1"/>
      <c r="M201" s="6"/>
      <c r="N201" s="5"/>
    </row>
    <row r="202" spans="3:14" ht="13.5" x14ac:dyDescent="0.25">
      <c r="C202" s="4"/>
      <c r="H202" s="3"/>
      <c r="I202" s="3"/>
      <c r="J202" s="3"/>
      <c r="K202" s="7"/>
      <c r="L202" s="1"/>
      <c r="M202" s="6"/>
      <c r="N202" s="5"/>
    </row>
    <row r="203" spans="3:14" ht="13.5" x14ac:dyDescent="0.25">
      <c r="C203" s="4"/>
      <c r="H203" s="3"/>
      <c r="I203" s="3"/>
      <c r="J203" s="3"/>
      <c r="K203" s="7"/>
      <c r="L203" s="1"/>
      <c r="M203" s="6"/>
      <c r="N203" s="5"/>
    </row>
    <row r="204" spans="3:14" ht="13.5" x14ac:dyDescent="0.25">
      <c r="C204" s="4"/>
      <c r="H204" s="3"/>
      <c r="I204" s="3"/>
      <c r="J204" s="3"/>
      <c r="K204" s="7"/>
      <c r="L204" s="1"/>
      <c r="M204" s="6"/>
      <c r="N204" s="5"/>
    </row>
    <row r="205" spans="3:14" ht="13.5" x14ac:dyDescent="0.25">
      <c r="C205" s="4"/>
      <c r="H205" s="3"/>
      <c r="I205" s="3"/>
      <c r="J205" s="3"/>
      <c r="K205" s="7"/>
      <c r="L205" s="1"/>
      <c r="M205" s="6"/>
      <c r="N205" s="5"/>
    </row>
    <row r="206" spans="3:14" ht="13.5" x14ac:dyDescent="0.25">
      <c r="C206" s="4"/>
      <c r="H206" s="3"/>
      <c r="I206" s="3"/>
      <c r="J206" s="3"/>
      <c r="K206" s="7"/>
      <c r="L206" s="1"/>
      <c r="M206" s="6"/>
      <c r="N206" s="5"/>
    </row>
    <row r="207" spans="3:14" ht="13.5" x14ac:dyDescent="0.25">
      <c r="C207" s="4"/>
      <c r="H207" s="3"/>
      <c r="I207" s="3"/>
      <c r="J207" s="3"/>
      <c r="K207" s="7"/>
      <c r="L207" s="1"/>
      <c r="M207" s="6"/>
      <c r="N207" s="5"/>
    </row>
    <row r="208" spans="3:14" ht="13.5" x14ac:dyDescent="0.25">
      <c r="C208" s="4"/>
      <c r="H208" s="3"/>
      <c r="I208" s="3"/>
      <c r="J208" s="3"/>
      <c r="K208" s="7"/>
      <c r="L208" s="1"/>
      <c r="M208" s="6"/>
      <c r="N208" s="5"/>
    </row>
    <row r="209" spans="3:14" ht="13.5" x14ac:dyDescent="0.25">
      <c r="C209" s="4"/>
      <c r="H209" s="3"/>
      <c r="I209" s="3"/>
      <c r="J209" s="3"/>
      <c r="K209" s="7"/>
      <c r="L209" s="1"/>
      <c r="M209" s="6"/>
      <c r="N209" s="5"/>
    </row>
    <row r="210" spans="3:14" ht="13.5" x14ac:dyDescent="0.25">
      <c r="C210" s="4"/>
      <c r="H210" s="3"/>
      <c r="I210" s="3"/>
      <c r="J210" s="3"/>
      <c r="K210" s="7"/>
      <c r="L210" s="1"/>
      <c r="M210" s="6"/>
      <c r="N210" s="5"/>
    </row>
    <row r="211" spans="3:14" ht="13.5" x14ac:dyDescent="0.25">
      <c r="C211" s="4"/>
      <c r="H211" s="3"/>
      <c r="I211" s="3"/>
      <c r="J211" s="3"/>
      <c r="K211" s="7"/>
      <c r="L211" s="1"/>
      <c r="M211" s="6"/>
      <c r="N211" s="5"/>
    </row>
    <row r="212" spans="3:14" ht="13.5" x14ac:dyDescent="0.25">
      <c r="C212" s="4"/>
      <c r="H212" s="3"/>
      <c r="I212" s="3"/>
      <c r="J212" s="3"/>
      <c r="K212" s="7"/>
      <c r="L212" s="1"/>
      <c r="M212" s="6"/>
      <c r="N212" s="5"/>
    </row>
    <row r="213" spans="3:14" ht="13.5" x14ac:dyDescent="0.25">
      <c r="C213" s="4"/>
      <c r="H213" s="3"/>
      <c r="I213" s="3"/>
      <c r="J213" s="3"/>
      <c r="K213" s="7"/>
      <c r="L213" s="1"/>
      <c r="M213" s="6"/>
      <c r="N213" s="5"/>
    </row>
    <row r="214" spans="3:14" ht="13.5" x14ac:dyDescent="0.25">
      <c r="C214" s="4"/>
      <c r="H214" s="3"/>
      <c r="I214" s="3"/>
      <c r="J214" s="3"/>
      <c r="K214" s="7"/>
      <c r="L214" s="1"/>
      <c r="M214" s="6"/>
      <c r="N214" s="5"/>
    </row>
    <row r="215" spans="3:14" ht="13.5" x14ac:dyDescent="0.25">
      <c r="C215" s="4"/>
      <c r="H215" s="3"/>
      <c r="I215" s="3"/>
      <c r="J215" s="3"/>
      <c r="K215" s="7"/>
      <c r="L215" s="1"/>
      <c r="M215" s="6"/>
      <c r="N215" s="5"/>
    </row>
    <row r="216" spans="3:14" ht="13.5" x14ac:dyDescent="0.25">
      <c r="C216" s="4"/>
      <c r="H216" s="3"/>
      <c r="I216" s="3"/>
      <c r="J216" s="3"/>
      <c r="K216" s="7"/>
      <c r="L216" s="1"/>
      <c r="M216" s="6"/>
      <c r="N216" s="5"/>
    </row>
    <row r="217" spans="3:14" ht="13.5" x14ac:dyDescent="0.25">
      <c r="C217" s="4"/>
      <c r="H217" s="3"/>
      <c r="I217" s="3"/>
      <c r="J217" s="3"/>
      <c r="K217" s="7"/>
      <c r="L217" s="1"/>
      <c r="M217" s="6"/>
      <c r="N217" s="5"/>
    </row>
    <row r="218" spans="3:14" ht="13.5" x14ac:dyDescent="0.25">
      <c r="C218" s="4"/>
      <c r="H218" s="3"/>
      <c r="I218" s="3"/>
      <c r="J218" s="3"/>
      <c r="K218" s="7"/>
      <c r="L218" s="1"/>
      <c r="M218" s="6"/>
      <c r="N218" s="5"/>
    </row>
    <row r="219" spans="3:14" ht="13.5" x14ac:dyDescent="0.25">
      <c r="C219" s="4"/>
      <c r="H219" s="3"/>
      <c r="I219" s="3"/>
      <c r="J219" s="3"/>
      <c r="K219" s="7"/>
      <c r="L219" s="1"/>
      <c r="M219" s="6"/>
      <c r="N219" s="5"/>
    </row>
    <row r="220" spans="3:14" ht="13.5" x14ac:dyDescent="0.25">
      <c r="C220" s="4"/>
      <c r="H220" s="3"/>
      <c r="I220" s="3"/>
      <c r="J220" s="3"/>
      <c r="K220" s="7"/>
      <c r="L220" s="1"/>
      <c r="M220" s="6"/>
      <c r="N220" s="5"/>
    </row>
    <row r="221" spans="3:14" ht="13.5" x14ac:dyDescent="0.25">
      <c r="C221" s="4"/>
      <c r="H221" s="3"/>
      <c r="I221" s="3"/>
      <c r="J221" s="3"/>
      <c r="K221" s="7"/>
      <c r="L221" s="1"/>
      <c r="M221" s="6"/>
      <c r="N221" s="5"/>
    </row>
    <row r="222" spans="3:14" ht="13.5" x14ac:dyDescent="0.25">
      <c r="C222" s="4"/>
      <c r="H222" s="3"/>
      <c r="I222" s="3"/>
      <c r="J222" s="3"/>
      <c r="K222" s="7"/>
      <c r="L222" s="1"/>
      <c r="M222" s="6"/>
      <c r="N222" s="5"/>
    </row>
    <row r="223" spans="3:14" ht="13.5" x14ac:dyDescent="0.25">
      <c r="C223" s="4"/>
      <c r="H223" s="3"/>
      <c r="I223" s="3"/>
      <c r="J223" s="3"/>
      <c r="K223" s="7"/>
      <c r="L223" s="1"/>
      <c r="M223" s="6"/>
      <c r="N223" s="5"/>
    </row>
    <row r="224" spans="3:14" ht="13.5" x14ac:dyDescent="0.25">
      <c r="C224" s="4"/>
      <c r="H224" s="3"/>
      <c r="I224" s="3"/>
      <c r="J224" s="3"/>
      <c r="K224" s="7"/>
      <c r="L224" s="1"/>
      <c r="M224" s="6"/>
      <c r="N224" s="5"/>
    </row>
    <row r="225" spans="3:14" ht="13.5" x14ac:dyDescent="0.25">
      <c r="C225" s="4"/>
      <c r="H225" s="3"/>
      <c r="I225" s="3"/>
      <c r="J225" s="3"/>
      <c r="K225" s="7"/>
      <c r="L225" s="1"/>
      <c r="M225" s="6"/>
      <c r="N225" s="5"/>
    </row>
    <row r="226" spans="3:14" ht="13.5" x14ac:dyDescent="0.25">
      <c r="C226" s="4"/>
      <c r="H226" s="3"/>
      <c r="I226" s="3"/>
      <c r="J226" s="3"/>
      <c r="K226" s="7"/>
      <c r="L226" s="1"/>
      <c r="M226" s="6"/>
      <c r="N226" s="5"/>
    </row>
    <row r="227" spans="3:14" ht="13.5" x14ac:dyDescent="0.25">
      <c r="C227" s="4"/>
      <c r="H227" s="3"/>
      <c r="I227" s="3"/>
      <c r="J227" s="3"/>
      <c r="K227" s="7"/>
      <c r="L227" s="1"/>
      <c r="M227" s="6"/>
      <c r="N227" s="5"/>
    </row>
    <row r="228" spans="3:14" ht="13.5" x14ac:dyDescent="0.25">
      <c r="C228" s="4"/>
      <c r="H228" s="3"/>
      <c r="I228" s="3"/>
      <c r="J228" s="3"/>
      <c r="K228" s="7"/>
      <c r="L228" s="1"/>
      <c r="M228" s="6"/>
      <c r="N228" s="5"/>
    </row>
    <row r="229" spans="3:14" ht="13.5" x14ac:dyDescent="0.25">
      <c r="C229" s="4"/>
      <c r="H229" s="3"/>
      <c r="I229" s="3"/>
      <c r="J229" s="3"/>
      <c r="K229" s="7"/>
      <c r="L229" s="1"/>
      <c r="M229" s="6"/>
      <c r="N229" s="5"/>
    </row>
    <row r="230" spans="3:14" ht="13.5" x14ac:dyDescent="0.25">
      <c r="C230" s="4"/>
      <c r="H230" s="3"/>
      <c r="I230" s="3"/>
      <c r="J230" s="3"/>
      <c r="K230" s="2"/>
      <c r="L230" s="1"/>
    </row>
    <row r="231" spans="3:14" ht="13.5" x14ac:dyDescent="0.25">
      <c r="C231" s="4"/>
      <c r="H231" s="3"/>
      <c r="I231" s="3"/>
      <c r="J231" s="3"/>
      <c r="K231" s="2"/>
      <c r="L231" s="1"/>
    </row>
    <row r="232" spans="3:14" ht="13.5" x14ac:dyDescent="0.25">
      <c r="C232" s="4"/>
      <c r="H232" s="3"/>
      <c r="I232" s="3"/>
      <c r="J232" s="3"/>
      <c r="K232" s="2"/>
      <c r="L232" s="1"/>
    </row>
    <row r="233" spans="3:14" ht="13.5" x14ac:dyDescent="0.25">
      <c r="C233" s="4"/>
      <c r="H233" s="3"/>
      <c r="I233" s="3"/>
      <c r="J233" s="3"/>
      <c r="K233" s="2"/>
      <c r="L233" s="1"/>
    </row>
    <row r="234" spans="3:14" ht="13.5" x14ac:dyDescent="0.25">
      <c r="C234" s="4"/>
      <c r="H234" s="3"/>
      <c r="I234" s="3"/>
      <c r="J234" s="3"/>
      <c r="K234" s="2"/>
      <c r="L234" s="1"/>
    </row>
    <row r="235" spans="3:14" ht="13.5" x14ac:dyDescent="0.25">
      <c r="C235" s="4"/>
      <c r="H235" s="3"/>
      <c r="I235" s="3"/>
      <c r="J235" s="3"/>
      <c r="K235" s="2"/>
      <c r="L235" s="1"/>
    </row>
    <row r="236" spans="3:14" ht="13.5" x14ac:dyDescent="0.25">
      <c r="C236" s="4"/>
      <c r="H236" s="3"/>
      <c r="I236" s="3"/>
      <c r="J236" s="3"/>
      <c r="K236" s="2"/>
      <c r="L236" s="1"/>
    </row>
    <row r="237" spans="3:14" ht="13.5" x14ac:dyDescent="0.25">
      <c r="C237" s="4"/>
      <c r="H237" s="3"/>
      <c r="I237" s="3"/>
      <c r="J237" s="3"/>
      <c r="K237" s="2"/>
      <c r="L237" s="1"/>
    </row>
    <row r="238" spans="3:14" ht="13.5" x14ac:dyDescent="0.25">
      <c r="C238" s="4"/>
      <c r="H238" s="3"/>
      <c r="I238" s="3"/>
      <c r="J238" s="3"/>
      <c r="K238" s="2"/>
      <c r="L238" s="1"/>
    </row>
    <row r="239" spans="3:14" ht="13.5" x14ac:dyDescent="0.25">
      <c r="C239" s="4"/>
      <c r="H239" s="3"/>
      <c r="I239" s="3"/>
      <c r="J239" s="3"/>
      <c r="K239" s="2"/>
      <c r="L239" s="1"/>
    </row>
    <row r="240" spans="3:14" ht="13.5" x14ac:dyDescent="0.25">
      <c r="C240" s="4"/>
      <c r="H240" s="3"/>
      <c r="I240" s="3"/>
      <c r="J240" s="3"/>
      <c r="K240" s="2"/>
      <c r="L240" s="1"/>
    </row>
    <row r="241" spans="3:12" ht="13.5" x14ac:dyDescent="0.25">
      <c r="C241" s="4"/>
      <c r="H241" s="3"/>
      <c r="I241" s="3"/>
      <c r="J241" s="3"/>
      <c r="K241" s="2"/>
      <c r="L241" s="1"/>
    </row>
    <row r="242" spans="3:12" ht="13.5" x14ac:dyDescent="0.25">
      <c r="C242" s="4"/>
      <c r="H242" s="3"/>
      <c r="I242" s="3"/>
      <c r="J242" s="3"/>
      <c r="K242" s="2"/>
      <c r="L242" s="1"/>
    </row>
    <row r="243" spans="3:12" ht="13.5" x14ac:dyDescent="0.25">
      <c r="C243" s="4"/>
      <c r="H243" s="3"/>
      <c r="I243" s="3"/>
      <c r="J243" s="3"/>
      <c r="K243" s="2"/>
      <c r="L243" s="1"/>
    </row>
    <row r="244" spans="3:12" ht="13.5" x14ac:dyDescent="0.25">
      <c r="C244" s="4"/>
      <c r="H244" s="3"/>
      <c r="I244" s="3"/>
      <c r="J244" s="3"/>
      <c r="K244" s="2"/>
      <c r="L244" s="1"/>
    </row>
    <row r="245" spans="3:12" ht="13.5" x14ac:dyDescent="0.25">
      <c r="C245" s="4"/>
      <c r="H245" s="3"/>
      <c r="I245" s="3"/>
      <c r="J245" s="3"/>
      <c r="K245" s="2"/>
      <c r="L245" s="1"/>
    </row>
    <row r="246" spans="3:12" ht="13.5" x14ac:dyDescent="0.25">
      <c r="C246" s="4"/>
      <c r="H246" s="3"/>
      <c r="I246" s="3"/>
      <c r="J246" s="3"/>
      <c r="K246" s="2"/>
      <c r="L246" s="1"/>
    </row>
    <row r="247" spans="3:12" ht="13.5" x14ac:dyDescent="0.25">
      <c r="C247" s="4"/>
      <c r="H247" s="3"/>
      <c r="I247" s="3"/>
      <c r="J247" s="3"/>
      <c r="K247" s="2"/>
      <c r="L247" s="1"/>
    </row>
    <row r="248" spans="3:12" ht="13.5" x14ac:dyDescent="0.25">
      <c r="C248" s="4"/>
      <c r="H248" s="3"/>
      <c r="I248" s="3"/>
      <c r="J248" s="3"/>
      <c r="K248" s="2"/>
      <c r="L248" s="1"/>
    </row>
    <row r="249" spans="3:12" ht="13.5" x14ac:dyDescent="0.25">
      <c r="C249" s="4"/>
      <c r="H249" s="3"/>
      <c r="I249" s="3"/>
      <c r="J249" s="3"/>
      <c r="K249" s="2"/>
      <c r="L249" s="1"/>
    </row>
    <row r="250" spans="3:12" ht="13.5" x14ac:dyDescent="0.25">
      <c r="C250" s="4"/>
      <c r="H250" s="3"/>
      <c r="I250" s="3"/>
      <c r="J250" s="3"/>
      <c r="K250" s="2"/>
      <c r="L250" s="1"/>
    </row>
    <row r="251" spans="3:12" ht="13.5" x14ac:dyDescent="0.25">
      <c r="C251" s="4"/>
      <c r="H251" s="3"/>
      <c r="I251" s="3"/>
      <c r="J251" s="3"/>
      <c r="K251" s="2"/>
      <c r="L251" s="1"/>
    </row>
    <row r="252" spans="3:12" ht="13.5" x14ac:dyDescent="0.25">
      <c r="C252" s="4"/>
      <c r="H252" s="3"/>
      <c r="I252" s="3"/>
      <c r="J252" s="3"/>
      <c r="K252" s="2"/>
      <c r="L252" s="1"/>
    </row>
    <row r="253" spans="3:12" ht="13.5" x14ac:dyDescent="0.25">
      <c r="C253" s="4"/>
      <c r="H253" s="3"/>
      <c r="I253" s="3"/>
      <c r="J253" s="3"/>
      <c r="K253" s="2"/>
      <c r="L253" s="1"/>
    </row>
    <row r="254" spans="3:12" ht="13.5" x14ac:dyDescent="0.25">
      <c r="C254" s="4"/>
      <c r="H254" s="3"/>
      <c r="I254" s="3"/>
      <c r="J254" s="3"/>
      <c r="K254" s="2"/>
      <c r="L254" s="1"/>
    </row>
    <row r="255" spans="3:12" ht="13.5" x14ac:dyDescent="0.25">
      <c r="C255" s="4"/>
      <c r="H255" s="3"/>
      <c r="I255" s="3"/>
      <c r="J255" s="3"/>
      <c r="K255" s="2"/>
      <c r="L255" s="1"/>
    </row>
    <row r="256" spans="3:12" ht="13.5" x14ac:dyDescent="0.25">
      <c r="C256" s="4"/>
      <c r="H256" s="3"/>
      <c r="I256" s="3"/>
      <c r="J256" s="3"/>
      <c r="K256" s="2"/>
      <c r="L256" s="1"/>
    </row>
    <row r="257" spans="3:12" ht="13.5" x14ac:dyDescent="0.25">
      <c r="C257" s="4"/>
      <c r="H257" s="3"/>
      <c r="I257" s="3"/>
      <c r="J257" s="3"/>
      <c r="K257" s="2"/>
      <c r="L257" s="1"/>
    </row>
    <row r="258" spans="3:12" ht="13.5" x14ac:dyDescent="0.25">
      <c r="C258" s="4"/>
      <c r="H258" s="3"/>
      <c r="I258" s="3"/>
      <c r="J258" s="3"/>
      <c r="K258" s="2"/>
      <c r="L258" s="1"/>
    </row>
    <row r="259" spans="3:12" ht="13.5" x14ac:dyDescent="0.25">
      <c r="C259" s="4"/>
      <c r="H259" s="3"/>
      <c r="I259" s="3"/>
      <c r="J259" s="3"/>
      <c r="K259" s="2"/>
      <c r="L259" s="1"/>
    </row>
    <row r="260" spans="3:12" ht="13.5" x14ac:dyDescent="0.25">
      <c r="C260" s="4"/>
      <c r="H260" s="3"/>
      <c r="I260" s="3"/>
      <c r="J260" s="3"/>
      <c r="K260" s="2"/>
      <c r="L260" s="1"/>
    </row>
    <row r="261" spans="3:12" ht="13.5" x14ac:dyDescent="0.25">
      <c r="C261" s="4"/>
      <c r="H261" s="3"/>
      <c r="I261" s="3"/>
      <c r="J261" s="3"/>
      <c r="K261" s="2"/>
      <c r="L261" s="1"/>
    </row>
    <row r="262" spans="3:12" ht="13.5" x14ac:dyDescent="0.25">
      <c r="C262" s="4"/>
      <c r="H262" s="3"/>
      <c r="I262" s="3"/>
      <c r="J262" s="3"/>
      <c r="K262" s="2"/>
      <c r="L262" s="1"/>
    </row>
    <row r="263" spans="3:12" ht="13.5" x14ac:dyDescent="0.25">
      <c r="C263" s="4"/>
      <c r="H263" s="3"/>
      <c r="I263" s="3"/>
      <c r="J263" s="3"/>
      <c r="K263" s="2"/>
      <c r="L263" s="1"/>
    </row>
    <row r="264" spans="3:12" ht="13.5" x14ac:dyDescent="0.25">
      <c r="C264" s="4"/>
      <c r="H264" s="3"/>
      <c r="I264" s="3"/>
      <c r="J264" s="3"/>
      <c r="K264" s="2"/>
      <c r="L264" s="1"/>
    </row>
    <row r="265" spans="3:12" ht="13.5" x14ac:dyDescent="0.25">
      <c r="C265" s="4"/>
      <c r="H265" s="3"/>
      <c r="I265" s="3"/>
      <c r="J265" s="3"/>
      <c r="K265" s="2"/>
      <c r="L265" s="1"/>
    </row>
    <row r="266" spans="3:12" ht="13.5" x14ac:dyDescent="0.25">
      <c r="C266" s="4"/>
      <c r="H266" s="3"/>
      <c r="I266" s="3"/>
      <c r="J266" s="3"/>
      <c r="K266" s="2"/>
      <c r="L266" s="1"/>
    </row>
    <row r="267" spans="3:12" ht="13.5" x14ac:dyDescent="0.25">
      <c r="C267" s="4"/>
      <c r="H267" s="3"/>
      <c r="I267" s="3"/>
      <c r="J267" s="3"/>
      <c r="K267" s="2"/>
      <c r="L267" s="1"/>
    </row>
    <row r="268" spans="3:12" ht="13.5" x14ac:dyDescent="0.25">
      <c r="C268" s="4"/>
      <c r="H268" s="3"/>
      <c r="I268" s="3"/>
      <c r="J268" s="3"/>
      <c r="K268" s="2"/>
      <c r="L268" s="1"/>
    </row>
    <row r="269" spans="3:12" ht="13.5" x14ac:dyDescent="0.25">
      <c r="C269" s="4"/>
      <c r="H269" s="3"/>
      <c r="I269" s="3"/>
      <c r="J269" s="3"/>
      <c r="K269" s="2"/>
      <c r="L269" s="1"/>
    </row>
    <row r="270" spans="3:12" ht="13.5" x14ac:dyDescent="0.25">
      <c r="C270" s="4"/>
      <c r="H270" s="3"/>
      <c r="I270" s="3"/>
      <c r="J270" s="3"/>
      <c r="K270" s="2"/>
      <c r="L270" s="1"/>
    </row>
    <row r="271" spans="3:12" ht="13.5" x14ac:dyDescent="0.25">
      <c r="C271" s="4"/>
      <c r="H271" s="3"/>
      <c r="I271" s="3"/>
      <c r="J271" s="3"/>
      <c r="K271" s="2"/>
      <c r="L271" s="1"/>
    </row>
    <row r="272" spans="3:12" ht="13.5" x14ac:dyDescent="0.25">
      <c r="C272" s="4"/>
      <c r="H272" s="3"/>
      <c r="I272" s="3"/>
      <c r="J272" s="3"/>
      <c r="K272" s="2"/>
      <c r="L272" s="1"/>
    </row>
    <row r="273" spans="3:12" ht="13.5" x14ac:dyDescent="0.25">
      <c r="C273" s="4"/>
      <c r="H273" s="3"/>
      <c r="I273" s="3"/>
      <c r="J273" s="3"/>
      <c r="K273" s="2"/>
      <c r="L273" s="1"/>
    </row>
    <row r="274" spans="3:12" ht="13.5" x14ac:dyDescent="0.25">
      <c r="C274" s="4"/>
      <c r="H274" s="3"/>
      <c r="I274" s="3"/>
      <c r="J274" s="3"/>
      <c r="K274" s="2"/>
      <c r="L274" s="1"/>
    </row>
    <row r="275" spans="3:12" ht="13.5" x14ac:dyDescent="0.25">
      <c r="C275" s="4"/>
      <c r="H275" s="3"/>
      <c r="I275" s="3"/>
      <c r="J275" s="3"/>
      <c r="K275" s="2"/>
      <c r="L275" s="1"/>
    </row>
    <row r="276" spans="3:12" ht="13.5" x14ac:dyDescent="0.25">
      <c r="C276" s="4"/>
      <c r="H276" s="3"/>
      <c r="I276" s="3"/>
      <c r="J276" s="3"/>
      <c r="K276" s="2"/>
      <c r="L276" s="1"/>
    </row>
    <row r="277" spans="3:12" ht="13.5" x14ac:dyDescent="0.25">
      <c r="C277" s="4"/>
      <c r="H277" s="3"/>
      <c r="I277" s="3"/>
      <c r="J277" s="3"/>
      <c r="K277" s="2"/>
      <c r="L277" s="1"/>
    </row>
    <row r="278" spans="3:12" ht="13.5" x14ac:dyDescent="0.25">
      <c r="C278" s="4"/>
      <c r="H278" s="3"/>
      <c r="I278" s="3"/>
      <c r="J278" s="3"/>
      <c r="K278" s="2"/>
      <c r="L278" s="1"/>
    </row>
    <row r="279" spans="3:12" ht="13.5" x14ac:dyDescent="0.25">
      <c r="C279" s="4"/>
      <c r="H279" s="3"/>
      <c r="I279" s="3"/>
      <c r="J279" s="3"/>
      <c r="K279" s="2"/>
      <c r="L279" s="1"/>
    </row>
    <row r="280" spans="3:12" ht="13.5" x14ac:dyDescent="0.25">
      <c r="C280" s="4"/>
      <c r="H280" s="3"/>
      <c r="I280" s="3"/>
      <c r="J280" s="3"/>
      <c r="K280" s="2"/>
      <c r="L280" s="1"/>
    </row>
    <row r="281" spans="3:12" ht="13.5" x14ac:dyDescent="0.25">
      <c r="C281" s="4"/>
      <c r="H281" s="3"/>
      <c r="I281" s="3"/>
      <c r="J281" s="3"/>
      <c r="K281" s="2"/>
      <c r="L281" s="1"/>
    </row>
    <row r="282" spans="3:12" ht="13.5" x14ac:dyDescent="0.25">
      <c r="C282" s="4"/>
      <c r="H282" s="3"/>
      <c r="I282" s="3"/>
      <c r="J282" s="3"/>
      <c r="K282" s="2"/>
      <c r="L282" s="1"/>
    </row>
    <row r="283" spans="3:12" ht="13.5" x14ac:dyDescent="0.25">
      <c r="C283" s="4"/>
      <c r="H283" s="3"/>
      <c r="I283" s="3"/>
      <c r="J283" s="3"/>
      <c r="K283" s="2"/>
      <c r="L283" s="1"/>
    </row>
    <row r="284" spans="3:12" ht="13.5" x14ac:dyDescent="0.25">
      <c r="C284" s="4"/>
      <c r="H284" s="3"/>
      <c r="I284" s="3"/>
      <c r="J284" s="3"/>
      <c r="K284" s="2"/>
      <c r="L284" s="1"/>
    </row>
    <row r="285" spans="3:12" ht="13.5" x14ac:dyDescent="0.25">
      <c r="C285" s="4"/>
      <c r="H285" s="3"/>
      <c r="I285" s="3"/>
      <c r="J285" s="3"/>
      <c r="K285" s="2"/>
      <c r="L285" s="1"/>
    </row>
    <row r="286" spans="3:12" ht="13.5" x14ac:dyDescent="0.25">
      <c r="C286" s="4"/>
      <c r="H286" s="3"/>
      <c r="I286" s="3"/>
      <c r="J286" s="3"/>
      <c r="K286" s="2"/>
      <c r="L286" s="1"/>
    </row>
    <row r="287" spans="3:12" ht="13.5" x14ac:dyDescent="0.25">
      <c r="C287" s="4"/>
      <c r="H287" s="3"/>
      <c r="I287" s="3"/>
      <c r="J287" s="3"/>
      <c r="K287" s="2"/>
      <c r="L287" s="1"/>
    </row>
    <row r="288" spans="3:12" ht="13.5" x14ac:dyDescent="0.25">
      <c r="C288" s="4"/>
      <c r="H288" s="3"/>
      <c r="I288" s="3"/>
      <c r="J288" s="3"/>
      <c r="K288" s="2"/>
      <c r="L288" s="1"/>
    </row>
    <row r="289" spans="3:12" ht="13.5" x14ac:dyDescent="0.25">
      <c r="C289" s="4"/>
      <c r="H289" s="3"/>
      <c r="I289" s="3"/>
      <c r="J289" s="3"/>
      <c r="K289" s="2"/>
      <c r="L289" s="1"/>
    </row>
    <row r="290" spans="3:12" ht="13.5" x14ac:dyDescent="0.25">
      <c r="C290" s="4"/>
      <c r="H290" s="3"/>
      <c r="I290" s="3"/>
      <c r="J290" s="3"/>
      <c r="K290" s="2"/>
      <c r="L290" s="1"/>
    </row>
    <row r="291" spans="3:12" ht="13.5" x14ac:dyDescent="0.25">
      <c r="C291" s="4"/>
      <c r="H291" s="3"/>
      <c r="I291" s="3"/>
      <c r="J291" s="3"/>
      <c r="K291" s="2"/>
      <c r="L291" s="1"/>
    </row>
    <row r="292" spans="3:12" ht="13.5" x14ac:dyDescent="0.25">
      <c r="C292" s="4"/>
      <c r="H292" s="3"/>
      <c r="I292" s="3"/>
      <c r="J292" s="3"/>
      <c r="K292" s="2"/>
      <c r="L292" s="1"/>
    </row>
    <row r="293" spans="3:12" ht="13.5" x14ac:dyDescent="0.25">
      <c r="C293" s="4"/>
      <c r="H293" s="3"/>
      <c r="I293" s="3"/>
      <c r="J293" s="3"/>
      <c r="K293" s="2"/>
      <c r="L293" s="1"/>
    </row>
    <row r="294" spans="3:12" ht="13.5" x14ac:dyDescent="0.25">
      <c r="C294" s="4"/>
      <c r="H294" s="3"/>
      <c r="I294" s="3"/>
      <c r="J294" s="3"/>
      <c r="K294" s="2"/>
      <c r="L294" s="1"/>
    </row>
    <row r="295" spans="3:12" ht="13.5" x14ac:dyDescent="0.25">
      <c r="C295" s="4"/>
      <c r="H295" s="3"/>
      <c r="I295" s="3"/>
      <c r="J295" s="3"/>
      <c r="K295" s="2"/>
      <c r="L295" s="1"/>
    </row>
    <row r="296" spans="3:12" ht="13.5" x14ac:dyDescent="0.25">
      <c r="C296" s="4"/>
      <c r="H296" s="3"/>
      <c r="I296" s="3"/>
      <c r="J296" s="3"/>
      <c r="K296" s="2"/>
      <c r="L296" s="1"/>
    </row>
    <row r="297" spans="3:12" ht="13.5" x14ac:dyDescent="0.25">
      <c r="C297" s="4"/>
      <c r="H297" s="3"/>
      <c r="I297" s="3"/>
      <c r="J297" s="3"/>
      <c r="K297" s="2"/>
      <c r="L297" s="1"/>
    </row>
    <row r="298" spans="3:12" ht="13.5" x14ac:dyDescent="0.25">
      <c r="C298" s="4"/>
      <c r="H298" s="3"/>
      <c r="I298" s="3"/>
      <c r="J298" s="3"/>
      <c r="K298" s="2"/>
      <c r="L298" s="1"/>
    </row>
    <row r="299" spans="3:12" ht="13.5" x14ac:dyDescent="0.25">
      <c r="C299" s="4"/>
      <c r="H299" s="3"/>
      <c r="I299" s="3"/>
      <c r="J299" s="3"/>
      <c r="K299" s="2"/>
      <c r="L299" s="1"/>
    </row>
    <row r="300" spans="3:12" ht="13.5" x14ac:dyDescent="0.25">
      <c r="C300" s="4"/>
      <c r="H300" s="3"/>
      <c r="I300" s="3"/>
      <c r="J300" s="3"/>
      <c r="K300" s="2"/>
      <c r="L300" s="1"/>
    </row>
    <row r="301" spans="3:12" ht="13.5" x14ac:dyDescent="0.25">
      <c r="C301" s="4"/>
      <c r="H301" s="3"/>
      <c r="I301" s="3"/>
      <c r="J301" s="3"/>
      <c r="K301" s="2"/>
      <c r="L301" s="1"/>
    </row>
    <row r="302" spans="3:12" ht="13.5" x14ac:dyDescent="0.25">
      <c r="C302" s="4"/>
      <c r="H302" s="3"/>
      <c r="I302" s="3"/>
      <c r="J302" s="3"/>
      <c r="K302" s="2"/>
      <c r="L302" s="1"/>
    </row>
    <row r="303" spans="3:12" ht="13.5" x14ac:dyDescent="0.25">
      <c r="C303" s="4"/>
      <c r="H303" s="3"/>
      <c r="I303" s="3"/>
      <c r="J303" s="3"/>
      <c r="K303" s="2"/>
      <c r="L303" s="1"/>
    </row>
    <row r="304" spans="3:12" ht="13.5" x14ac:dyDescent="0.25">
      <c r="C304" s="4"/>
      <c r="H304" s="3"/>
      <c r="I304" s="3"/>
      <c r="J304" s="3"/>
      <c r="K304" s="2"/>
      <c r="L304" s="1"/>
    </row>
    <row r="305" spans="3:12" ht="13.5" x14ac:dyDescent="0.25">
      <c r="C305" s="4"/>
      <c r="H305" s="3"/>
      <c r="I305" s="3"/>
      <c r="J305" s="3"/>
      <c r="K305" s="2"/>
      <c r="L305" s="1"/>
    </row>
    <row r="306" spans="3:12" ht="13.5" x14ac:dyDescent="0.25">
      <c r="C306" s="4"/>
      <c r="H306" s="3"/>
      <c r="I306" s="3"/>
      <c r="J306" s="3"/>
      <c r="K306" s="2"/>
      <c r="L306" s="1"/>
    </row>
    <row r="307" spans="3:12" ht="13.5" x14ac:dyDescent="0.25">
      <c r="C307" s="4"/>
      <c r="H307" s="3"/>
      <c r="I307" s="3"/>
      <c r="J307" s="3"/>
      <c r="K307" s="2"/>
      <c r="L307" s="1"/>
    </row>
    <row r="308" spans="3:12" ht="13.5" x14ac:dyDescent="0.25">
      <c r="C308" s="4"/>
      <c r="H308" s="3"/>
      <c r="I308" s="3"/>
      <c r="J308" s="3"/>
      <c r="K308" s="2"/>
      <c r="L308" s="1"/>
    </row>
    <row r="309" spans="3:12" ht="13.5" x14ac:dyDescent="0.25">
      <c r="C309" s="4"/>
      <c r="H309" s="3"/>
      <c r="I309" s="3"/>
      <c r="J309" s="3"/>
      <c r="K309" s="2"/>
      <c r="L309" s="1"/>
    </row>
    <row r="310" spans="3:12" ht="13.5" x14ac:dyDescent="0.25">
      <c r="C310" s="4"/>
      <c r="H310" s="3"/>
      <c r="I310" s="3"/>
      <c r="J310" s="3"/>
      <c r="K310" s="2"/>
      <c r="L310" s="1"/>
    </row>
    <row r="311" spans="3:12" ht="13.5" x14ac:dyDescent="0.25">
      <c r="C311" s="4"/>
      <c r="H311" s="3"/>
      <c r="I311" s="3"/>
      <c r="J311" s="3"/>
      <c r="K311" s="2"/>
      <c r="L311" s="1"/>
    </row>
    <row r="312" spans="3:12" ht="13.5" x14ac:dyDescent="0.25">
      <c r="C312" s="4"/>
      <c r="H312" s="3"/>
      <c r="I312" s="3"/>
      <c r="J312" s="3"/>
      <c r="K312" s="2"/>
      <c r="L312" s="1"/>
    </row>
    <row r="313" spans="3:12" ht="13.5" x14ac:dyDescent="0.25">
      <c r="C313" s="4"/>
      <c r="H313" s="3"/>
      <c r="I313" s="3"/>
      <c r="J313" s="3"/>
      <c r="K313" s="2"/>
      <c r="L313" s="1"/>
    </row>
    <row r="314" spans="3:12" ht="13.5" x14ac:dyDescent="0.25">
      <c r="C314" s="4"/>
      <c r="H314" s="3"/>
      <c r="I314" s="3"/>
      <c r="J314" s="3"/>
      <c r="K314" s="2"/>
      <c r="L314" s="1"/>
    </row>
    <row r="315" spans="3:12" ht="13.5" x14ac:dyDescent="0.25">
      <c r="C315" s="4"/>
      <c r="H315" s="3"/>
      <c r="I315" s="3"/>
      <c r="J315" s="3"/>
      <c r="K315" s="2"/>
      <c r="L315" s="1"/>
    </row>
    <row r="316" spans="3:12" ht="13.5" x14ac:dyDescent="0.25">
      <c r="C316" s="4"/>
      <c r="H316" s="3"/>
      <c r="I316" s="3"/>
      <c r="J316" s="3"/>
      <c r="K316" s="2"/>
      <c r="L316" s="1"/>
    </row>
    <row r="317" spans="3:12" ht="13.5" x14ac:dyDescent="0.25">
      <c r="C317" s="4"/>
      <c r="H317" s="3"/>
      <c r="I317" s="3"/>
      <c r="J317" s="3"/>
      <c r="K317" s="2"/>
      <c r="L317" s="1"/>
    </row>
    <row r="318" spans="3:12" ht="13.5" x14ac:dyDescent="0.25">
      <c r="C318" s="4"/>
      <c r="H318" s="3"/>
      <c r="I318" s="3"/>
      <c r="J318" s="3"/>
      <c r="K318" s="2"/>
      <c r="L318" s="1"/>
    </row>
    <row r="319" spans="3:12" ht="13.5" x14ac:dyDescent="0.25">
      <c r="C319" s="4"/>
      <c r="H319" s="3"/>
      <c r="I319" s="3"/>
      <c r="J319" s="3"/>
      <c r="K319" s="2"/>
      <c r="L319" s="1"/>
    </row>
    <row r="320" spans="3:12" ht="13.5" x14ac:dyDescent="0.25">
      <c r="C320" s="4"/>
      <c r="H320" s="3"/>
      <c r="I320" s="3"/>
      <c r="J320" s="3"/>
      <c r="K320" s="2"/>
      <c r="L320" s="1"/>
    </row>
    <row r="321" spans="3:12" ht="13.5" x14ac:dyDescent="0.25">
      <c r="C321" s="4"/>
      <c r="H321" s="3"/>
      <c r="I321" s="3"/>
      <c r="J321" s="3"/>
      <c r="K321" s="2"/>
      <c r="L321" s="1"/>
    </row>
    <row r="322" spans="3:12" ht="13.5" x14ac:dyDescent="0.25">
      <c r="C322" s="4"/>
      <c r="H322" s="3"/>
      <c r="I322" s="3"/>
      <c r="J322" s="3"/>
      <c r="K322" s="2"/>
      <c r="L322" s="1"/>
    </row>
    <row r="323" spans="3:12" ht="13.5" x14ac:dyDescent="0.25">
      <c r="C323" s="4"/>
      <c r="H323" s="3"/>
      <c r="I323" s="3"/>
      <c r="J323" s="3"/>
      <c r="K323" s="2"/>
      <c r="L323" s="1"/>
    </row>
    <row r="324" spans="3:12" ht="13.5" x14ac:dyDescent="0.25">
      <c r="C324" s="4"/>
      <c r="H324" s="3"/>
      <c r="I324" s="3"/>
      <c r="J324" s="3"/>
      <c r="K324" s="2"/>
      <c r="L324" s="1"/>
    </row>
    <row r="325" spans="3:12" ht="13.5" x14ac:dyDescent="0.25">
      <c r="C325" s="4"/>
      <c r="H325" s="3"/>
      <c r="I325" s="3"/>
      <c r="J325" s="3"/>
      <c r="K325" s="2"/>
      <c r="L325" s="1"/>
    </row>
    <row r="326" spans="3:12" ht="13.5" x14ac:dyDescent="0.25">
      <c r="C326" s="4"/>
      <c r="H326" s="3"/>
      <c r="I326" s="3"/>
      <c r="J326" s="3"/>
      <c r="K326" s="2"/>
      <c r="L326" s="1"/>
    </row>
    <row r="327" spans="3:12" ht="13.5" x14ac:dyDescent="0.25">
      <c r="C327" s="4"/>
      <c r="H327" s="3"/>
      <c r="I327" s="3"/>
      <c r="J327" s="3"/>
      <c r="K327" s="2"/>
      <c r="L327" s="1"/>
    </row>
    <row r="328" spans="3:12" ht="13.5" x14ac:dyDescent="0.25">
      <c r="C328" s="4"/>
      <c r="H328" s="3"/>
      <c r="I328" s="3"/>
      <c r="J328" s="3"/>
      <c r="K328" s="2"/>
      <c r="L328" s="1"/>
    </row>
    <row r="329" spans="3:12" ht="13.5" x14ac:dyDescent="0.25">
      <c r="C329" s="4"/>
      <c r="H329" s="3"/>
      <c r="I329" s="3"/>
      <c r="J329" s="3"/>
      <c r="K329" s="2"/>
      <c r="L329" s="1"/>
    </row>
    <row r="330" spans="3:12" ht="13.5" x14ac:dyDescent="0.25">
      <c r="C330" s="4"/>
      <c r="H330" s="3"/>
      <c r="I330" s="3"/>
      <c r="J330" s="3"/>
      <c r="K330" s="2"/>
      <c r="L330" s="1"/>
    </row>
    <row r="331" spans="3:12" ht="13.5" x14ac:dyDescent="0.25">
      <c r="C331" s="4"/>
      <c r="H331" s="3"/>
      <c r="I331" s="3"/>
      <c r="J331" s="3"/>
      <c r="K331" s="2"/>
      <c r="L331" s="1"/>
    </row>
    <row r="332" spans="3:12" ht="13.5" x14ac:dyDescent="0.25">
      <c r="C332" s="4"/>
      <c r="H332" s="3"/>
      <c r="I332" s="3"/>
      <c r="J332" s="3"/>
      <c r="K332" s="2"/>
      <c r="L332" s="1"/>
    </row>
    <row r="333" spans="3:12" ht="13.5" x14ac:dyDescent="0.25">
      <c r="C333" s="4"/>
      <c r="H333" s="3"/>
      <c r="I333" s="3"/>
      <c r="J333" s="3"/>
      <c r="K333" s="2"/>
      <c r="L333" s="1"/>
    </row>
    <row r="334" spans="3:12" ht="13.5" x14ac:dyDescent="0.25">
      <c r="C334" s="4"/>
      <c r="H334" s="3"/>
      <c r="I334" s="3"/>
      <c r="J334" s="3"/>
      <c r="K334" s="2"/>
      <c r="L334" s="1"/>
    </row>
    <row r="335" spans="3:12" ht="13.5" x14ac:dyDescent="0.25">
      <c r="C335" s="4"/>
      <c r="H335" s="3"/>
      <c r="I335" s="3"/>
      <c r="J335" s="3"/>
      <c r="K335" s="2"/>
      <c r="L335" s="1"/>
    </row>
    <row r="336" spans="3:12" ht="13.5" x14ac:dyDescent="0.25">
      <c r="C336" s="4"/>
      <c r="H336" s="3"/>
      <c r="I336" s="3"/>
      <c r="J336" s="3"/>
      <c r="K336" s="2"/>
      <c r="L336" s="1"/>
    </row>
    <row r="337" spans="3:12" ht="13.5" x14ac:dyDescent="0.25">
      <c r="C337" s="4"/>
      <c r="H337" s="3"/>
      <c r="I337" s="3"/>
      <c r="J337" s="3"/>
      <c r="K337" s="2"/>
      <c r="L337" s="1"/>
    </row>
    <row r="338" spans="3:12" ht="13.5" x14ac:dyDescent="0.25">
      <c r="C338" s="4"/>
      <c r="H338" s="3"/>
      <c r="I338" s="3"/>
      <c r="J338" s="3"/>
      <c r="K338" s="2"/>
      <c r="L338" s="1"/>
    </row>
    <row r="339" spans="3:12" ht="13.5" x14ac:dyDescent="0.25">
      <c r="C339" s="4"/>
      <c r="H339" s="3"/>
      <c r="I339" s="3"/>
      <c r="J339" s="3"/>
      <c r="K339" s="2"/>
      <c r="L339" s="1"/>
    </row>
    <row r="340" spans="3:12" ht="13.5" x14ac:dyDescent="0.25">
      <c r="C340" s="4"/>
      <c r="H340" s="3"/>
      <c r="I340" s="3"/>
      <c r="J340" s="3"/>
      <c r="K340" s="2"/>
      <c r="L340" s="1"/>
    </row>
    <row r="341" spans="3:12" ht="13.5" x14ac:dyDescent="0.25">
      <c r="C341" s="4"/>
      <c r="H341" s="3"/>
      <c r="I341" s="3"/>
      <c r="J341" s="3"/>
      <c r="K341" s="2"/>
      <c r="L341" s="1"/>
    </row>
    <row r="342" spans="3:12" ht="13.5" x14ac:dyDescent="0.25">
      <c r="C342" s="4"/>
      <c r="H342" s="3"/>
      <c r="I342" s="3"/>
      <c r="J342" s="3"/>
      <c r="K342" s="2"/>
      <c r="L342" s="1"/>
    </row>
    <row r="343" spans="3:12" ht="13.5" x14ac:dyDescent="0.25">
      <c r="C343" s="4"/>
      <c r="H343" s="3"/>
      <c r="I343" s="3"/>
      <c r="J343" s="3"/>
      <c r="K343" s="2"/>
      <c r="L343" s="1"/>
    </row>
    <row r="344" spans="3:12" ht="13.5" x14ac:dyDescent="0.25">
      <c r="C344" s="4"/>
      <c r="H344" s="3"/>
      <c r="I344" s="3"/>
      <c r="J344" s="3"/>
      <c r="K344" s="2"/>
      <c r="L344" s="1"/>
    </row>
    <row r="345" spans="3:12" ht="13.5" x14ac:dyDescent="0.25">
      <c r="C345" s="4"/>
      <c r="H345" s="3"/>
      <c r="I345" s="3"/>
      <c r="J345" s="3"/>
      <c r="K345" s="2"/>
      <c r="L345" s="1"/>
    </row>
    <row r="346" spans="3:12" ht="13.5" x14ac:dyDescent="0.25">
      <c r="C346" s="4"/>
      <c r="H346" s="3"/>
      <c r="I346" s="3"/>
      <c r="J346" s="3"/>
      <c r="K346" s="2"/>
      <c r="L346" s="1"/>
    </row>
    <row r="347" spans="3:12" ht="13.5" x14ac:dyDescent="0.25">
      <c r="C347" s="4"/>
      <c r="H347" s="3"/>
      <c r="I347" s="3"/>
      <c r="J347" s="3"/>
      <c r="K347" s="2"/>
      <c r="L347" s="1"/>
    </row>
    <row r="348" spans="3:12" ht="13.5" x14ac:dyDescent="0.25">
      <c r="C348" s="4"/>
      <c r="H348" s="3"/>
      <c r="I348" s="3"/>
      <c r="J348" s="3"/>
      <c r="K348" s="2"/>
      <c r="L348" s="1"/>
    </row>
    <row r="349" spans="3:12" ht="13.5" x14ac:dyDescent="0.25">
      <c r="C349" s="4"/>
      <c r="H349" s="3"/>
      <c r="I349" s="3"/>
      <c r="J349" s="3"/>
      <c r="K349" s="2"/>
      <c r="L349" s="1"/>
    </row>
    <row r="350" spans="3:12" ht="13.5" x14ac:dyDescent="0.25">
      <c r="C350" s="4"/>
      <c r="H350" s="3"/>
      <c r="I350" s="3"/>
      <c r="J350" s="3"/>
      <c r="K350" s="2"/>
      <c r="L350" s="1"/>
    </row>
    <row r="351" spans="3:12" ht="13.5" x14ac:dyDescent="0.25">
      <c r="C351" s="4"/>
      <c r="H351" s="3"/>
      <c r="I351" s="3"/>
      <c r="J351" s="3"/>
      <c r="K351" s="2"/>
      <c r="L351" s="1"/>
    </row>
    <row r="352" spans="3:12" ht="13.5" x14ac:dyDescent="0.25">
      <c r="C352" s="4"/>
      <c r="H352" s="3"/>
      <c r="I352" s="3"/>
      <c r="J352" s="3"/>
      <c r="K352" s="2"/>
      <c r="L352" s="1"/>
    </row>
    <row r="353" spans="3:12" ht="13.5" x14ac:dyDescent="0.25">
      <c r="C353" s="4"/>
      <c r="H353" s="3"/>
      <c r="I353" s="3"/>
      <c r="J353" s="3"/>
      <c r="K353" s="2"/>
      <c r="L353" s="1"/>
    </row>
    <row r="354" spans="3:12" ht="13.5" x14ac:dyDescent="0.25">
      <c r="C354" s="4"/>
      <c r="H354" s="3"/>
      <c r="I354" s="3"/>
      <c r="J354" s="3"/>
      <c r="K354" s="2"/>
      <c r="L354" s="1"/>
    </row>
    <row r="355" spans="3:12" ht="13.5" x14ac:dyDescent="0.25">
      <c r="C355" s="4"/>
      <c r="H355" s="3"/>
      <c r="I355" s="3"/>
      <c r="J355" s="3"/>
      <c r="K355" s="2"/>
      <c r="L355" s="1"/>
    </row>
    <row r="356" spans="3:12" ht="13.5" x14ac:dyDescent="0.25">
      <c r="C356" s="4"/>
      <c r="H356" s="3"/>
      <c r="I356" s="3"/>
      <c r="J356" s="3"/>
      <c r="K356" s="2"/>
      <c r="L356" s="1"/>
    </row>
    <row r="357" spans="3:12" ht="13.5" x14ac:dyDescent="0.25">
      <c r="C357" s="4"/>
      <c r="H357" s="3"/>
      <c r="I357" s="3"/>
      <c r="J357" s="3"/>
      <c r="K357" s="2"/>
      <c r="L357" s="1"/>
    </row>
    <row r="358" spans="3:12" ht="13.5" x14ac:dyDescent="0.25">
      <c r="C358" s="4"/>
      <c r="H358" s="3"/>
      <c r="I358" s="3"/>
      <c r="J358" s="3"/>
      <c r="K358" s="2"/>
      <c r="L358" s="1"/>
    </row>
    <row r="359" spans="3:12" ht="13.5" x14ac:dyDescent="0.25">
      <c r="C359" s="4"/>
      <c r="H359" s="3"/>
      <c r="I359" s="3"/>
      <c r="J359" s="3"/>
      <c r="K359" s="2"/>
      <c r="L359" s="1"/>
    </row>
    <row r="360" spans="3:12" ht="13.5" x14ac:dyDescent="0.25">
      <c r="C360" s="4"/>
      <c r="H360" s="3"/>
      <c r="I360" s="3"/>
      <c r="J360" s="3"/>
      <c r="K360" s="2"/>
      <c r="L360" s="1"/>
    </row>
    <row r="361" spans="3:12" ht="13.5" x14ac:dyDescent="0.25">
      <c r="C361" s="4"/>
      <c r="H361" s="3"/>
      <c r="I361" s="3"/>
      <c r="J361" s="3"/>
      <c r="K361" s="2"/>
      <c r="L361" s="1"/>
    </row>
    <row r="362" spans="3:12" ht="13.5" x14ac:dyDescent="0.25">
      <c r="C362" s="4"/>
      <c r="H362" s="3"/>
      <c r="I362" s="3"/>
      <c r="J362" s="3"/>
      <c r="K362" s="2"/>
      <c r="L362" s="1"/>
    </row>
    <row r="363" spans="3:12" ht="13.5" x14ac:dyDescent="0.25">
      <c r="C363" s="4"/>
      <c r="H363" s="3"/>
      <c r="I363" s="3"/>
      <c r="J363" s="3"/>
      <c r="K363" s="2"/>
      <c r="L363" s="1"/>
    </row>
    <row r="364" spans="3:12" ht="13.5" x14ac:dyDescent="0.25">
      <c r="C364" s="4"/>
      <c r="H364" s="3"/>
      <c r="I364" s="3"/>
      <c r="J364" s="3"/>
      <c r="K364" s="2"/>
      <c r="L364" s="1"/>
    </row>
    <row r="365" spans="3:12" ht="13.5" x14ac:dyDescent="0.25">
      <c r="C365" s="4"/>
      <c r="H365" s="3"/>
      <c r="I365" s="3"/>
      <c r="J365" s="3"/>
      <c r="K365" s="2"/>
      <c r="L365" s="1"/>
    </row>
    <row r="366" spans="3:12" ht="13.5" x14ac:dyDescent="0.25">
      <c r="C366" s="4"/>
      <c r="H366" s="3"/>
      <c r="I366" s="3"/>
      <c r="J366" s="3"/>
      <c r="K366" s="2"/>
      <c r="L366" s="1"/>
    </row>
    <row r="367" spans="3:12" ht="13.5" x14ac:dyDescent="0.25">
      <c r="C367" s="4"/>
      <c r="H367" s="3"/>
      <c r="I367" s="3"/>
      <c r="J367" s="3"/>
      <c r="K367" s="2"/>
      <c r="L367" s="1"/>
    </row>
    <row r="368" spans="3:12" ht="13.5" x14ac:dyDescent="0.25">
      <c r="C368" s="4"/>
      <c r="H368" s="3"/>
      <c r="I368" s="3"/>
      <c r="J368" s="3"/>
      <c r="K368" s="2"/>
      <c r="L368" s="1"/>
    </row>
    <row r="369" spans="3:12" ht="13.5" x14ac:dyDescent="0.25">
      <c r="C369" s="4"/>
      <c r="H369" s="3"/>
      <c r="I369" s="3"/>
      <c r="J369" s="3"/>
      <c r="K369" s="2"/>
      <c r="L369" s="1"/>
    </row>
    <row r="370" spans="3:12" ht="13.5" x14ac:dyDescent="0.25">
      <c r="C370" s="4"/>
      <c r="H370" s="3"/>
      <c r="I370" s="3"/>
      <c r="J370" s="3"/>
      <c r="K370" s="2"/>
      <c r="L370" s="1"/>
    </row>
    <row r="371" spans="3:12" ht="13.5" x14ac:dyDescent="0.25">
      <c r="C371" s="4"/>
      <c r="H371" s="3"/>
      <c r="I371" s="3"/>
      <c r="J371" s="3"/>
      <c r="K371" s="2"/>
      <c r="L371" s="1"/>
    </row>
    <row r="372" spans="3:12" ht="13.5" x14ac:dyDescent="0.25">
      <c r="C372" s="4"/>
      <c r="H372" s="3"/>
      <c r="I372" s="3"/>
      <c r="J372" s="3"/>
      <c r="K372" s="2"/>
      <c r="L372" s="1"/>
    </row>
    <row r="373" spans="3:12" ht="13.5" x14ac:dyDescent="0.25">
      <c r="C373" s="4"/>
      <c r="H373" s="3"/>
      <c r="I373" s="3"/>
      <c r="J373" s="3"/>
      <c r="K373" s="2"/>
      <c r="L373" s="1"/>
    </row>
    <row r="374" spans="3:12" ht="13.5" x14ac:dyDescent="0.25">
      <c r="C374" s="4"/>
      <c r="H374" s="3"/>
      <c r="I374" s="3"/>
      <c r="J374" s="3"/>
      <c r="K374" s="2"/>
      <c r="L374" s="1"/>
    </row>
    <row r="375" spans="3:12" ht="13.5" x14ac:dyDescent="0.25">
      <c r="C375" s="4"/>
      <c r="H375" s="3"/>
      <c r="I375" s="3"/>
      <c r="J375" s="3"/>
      <c r="K375" s="2"/>
      <c r="L375" s="1"/>
    </row>
    <row r="376" spans="3:12" ht="13.5" x14ac:dyDescent="0.25">
      <c r="C376" s="4"/>
      <c r="H376" s="3"/>
      <c r="I376" s="3"/>
      <c r="J376" s="3"/>
      <c r="K376" s="2"/>
      <c r="L376" s="1"/>
    </row>
    <row r="377" spans="3:12" ht="13.5" x14ac:dyDescent="0.25">
      <c r="C377" s="4"/>
      <c r="H377" s="3"/>
      <c r="I377" s="3"/>
      <c r="J377" s="3"/>
      <c r="K377" s="2"/>
      <c r="L377" s="1"/>
    </row>
    <row r="378" spans="3:12" ht="13.5" x14ac:dyDescent="0.25">
      <c r="C378" s="4"/>
      <c r="H378" s="3"/>
      <c r="I378" s="3"/>
      <c r="J378" s="3"/>
      <c r="K378" s="2"/>
      <c r="L378" s="1"/>
    </row>
    <row r="379" spans="3:12" ht="13.5" x14ac:dyDescent="0.25">
      <c r="C379" s="4"/>
      <c r="H379" s="3"/>
      <c r="I379" s="3"/>
      <c r="J379" s="3"/>
      <c r="K379" s="2"/>
      <c r="L379" s="1"/>
    </row>
    <row r="380" spans="3:12" ht="13.5" x14ac:dyDescent="0.25">
      <c r="C380" s="4"/>
      <c r="H380" s="3"/>
      <c r="I380" s="3"/>
      <c r="J380" s="3"/>
      <c r="K380" s="2"/>
      <c r="L380" s="1"/>
    </row>
    <row r="381" spans="3:12" ht="13.5" x14ac:dyDescent="0.25">
      <c r="C381" s="4"/>
      <c r="H381" s="3"/>
      <c r="I381" s="3"/>
      <c r="J381" s="3"/>
      <c r="K381" s="2"/>
      <c r="L381" s="1"/>
    </row>
    <row r="382" spans="3:12" ht="13.5" x14ac:dyDescent="0.25">
      <c r="C382" s="4"/>
      <c r="H382" s="3"/>
      <c r="I382" s="3"/>
      <c r="J382" s="3"/>
      <c r="K382" s="2"/>
      <c r="L382" s="1"/>
    </row>
    <row r="383" spans="3:12" ht="13.5" x14ac:dyDescent="0.25">
      <c r="C383" s="4"/>
      <c r="H383" s="3"/>
      <c r="I383" s="3"/>
      <c r="J383" s="3"/>
      <c r="K383" s="2"/>
      <c r="L383" s="1"/>
    </row>
    <row r="384" spans="3:12" ht="13.5" x14ac:dyDescent="0.25">
      <c r="C384" s="4"/>
      <c r="H384" s="3"/>
      <c r="I384" s="3"/>
      <c r="J384" s="3"/>
      <c r="K384" s="2"/>
      <c r="L384" s="1"/>
    </row>
    <row r="385" spans="3:12" ht="13.5" x14ac:dyDescent="0.25">
      <c r="C385" s="4"/>
      <c r="H385" s="3"/>
      <c r="I385" s="3"/>
      <c r="J385" s="3"/>
      <c r="K385" s="2"/>
      <c r="L385" s="1"/>
    </row>
    <row r="386" spans="3:12" ht="13.5" x14ac:dyDescent="0.25">
      <c r="C386" s="4"/>
      <c r="H386" s="3"/>
      <c r="I386" s="3"/>
      <c r="J386" s="3"/>
      <c r="K386" s="2"/>
      <c r="L386" s="1"/>
    </row>
    <row r="387" spans="3:12" ht="13.5" x14ac:dyDescent="0.25">
      <c r="C387" s="4"/>
      <c r="H387" s="3"/>
      <c r="I387" s="3"/>
      <c r="J387" s="3"/>
      <c r="K387" s="2"/>
      <c r="L387" s="1"/>
    </row>
    <row r="388" spans="3:12" ht="13.5" x14ac:dyDescent="0.25">
      <c r="C388" s="4"/>
      <c r="H388" s="3"/>
      <c r="I388" s="3"/>
      <c r="J388" s="3"/>
      <c r="K388" s="2"/>
      <c r="L388" s="1"/>
    </row>
    <row r="389" spans="3:12" ht="13.5" x14ac:dyDescent="0.25">
      <c r="C389" s="4"/>
      <c r="H389" s="3"/>
      <c r="I389" s="3"/>
      <c r="J389" s="3"/>
      <c r="K389" s="2"/>
      <c r="L389" s="1"/>
    </row>
    <row r="390" spans="3:12" ht="13.5" x14ac:dyDescent="0.25">
      <c r="C390" s="4"/>
      <c r="H390" s="3"/>
      <c r="I390" s="3"/>
      <c r="J390" s="3"/>
      <c r="K390" s="2"/>
      <c r="L390" s="1"/>
    </row>
    <row r="391" spans="3:12" ht="13.5" x14ac:dyDescent="0.25">
      <c r="C391" s="4"/>
      <c r="H391" s="3"/>
      <c r="I391" s="3"/>
      <c r="J391" s="3"/>
      <c r="K391" s="2"/>
      <c r="L391" s="1"/>
    </row>
    <row r="392" spans="3:12" ht="13.5" x14ac:dyDescent="0.25">
      <c r="C392" s="4"/>
      <c r="H392" s="3"/>
      <c r="I392" s="3"/>
      <c r="J392" s="3"/>
      <c r="K392" s="2"/>
      <c r="L392" s="1"/>
    </row>
    <row r="393" spans="3:12" ht="13.5" x14ac:dyDescent="0.25">
      <c r="C393" s="4"/>
      <c r="H393" s="3"/>
      <c r="I393" s="3"/>
      <c r="J393" s="3"/>
      <c r="K393" s="2"/>
      <c r="L393" s="1"/>
    </row>
    <row r="394" spans="3:12" ht="13.5" x14ac:dyDescent="0.25">
      <c r="C394" s="4"/>
      <c r="H394" s="3"/>
      <c r="I394" s="3"/>
      <c r="J394" s="3"/>
      <c r="K394" s="2"/>
      <c r="L394" s="1"/>
    </row>
    <row r="395" spans="3:12" ht="13.5" x14ac:dyDescent="0.25">
      <c r="C395" s="4"/>
      <c r="H395" s="3"/>
      <c r="I395" s="3"/>
      <c r="J395" s="3"/>
      <c r="K395" s="2"/>
      <c r="L395" s="1"/>
    </row>
    <row r="396" spans="3:12" ht="13.5" x14ac:dyDescent="0.25">
      <c r="C396" s="4"/>
      <c r="H396" s="3"/>
      <c r="I396" s="3"/>
      <c r="J396" s="3"/>
      <c r="K396" s="2"/>
      <c r="L396" s="1"/>
    </row>
    <row r="397" spans="3:12" ht="13.5" x14ac:dyDescent="0.25">
      <c r="C397" s="4"/>
      <c r="H397" s="3"/>
      <c r="I397" s="3"/>
      <c r="J397" s="3"/>
      <c r="K397" s="2"/>
      <c r="L397" s="1"/>
    </row>
    <row r="398" spans="3:12" ht="13.5" x14ac:dyDescent="0.25">
      <c r="C398" s="4"/>
      <c r="H398" s="3"/>
      <c r="I398" s="3"/>
      <c r="J398" s="3"/>
      <c r="K398" s="2"/>
      <c r="L398" s="1"/>
    </row>
    <row r="399" spans="3:12" ht="13.5" x14ac:dyDescent="0.25">
      <c r="C399" s="4"/>
      <c r="H399" s="3"/>
      <c r="I399" s="3"/>
      <c r="J399" s="3"/>
      <c r="K399" s="2"/>
      <c r="L399" s="1"/>
    </row>
    <row r="400" spans="3:12" ht="13.5" x14ac:dyDescent="0.25">
      <c r="C400" s="4"/>
      <c r="H400" s="3"/>
      <c r="I400" s="3"/>
      <c r="J400" s="3"/>
      <c r="K400" s="2"/>
      <c r="L400" s="1"/>
    </row>
    <row r="401" spans="3:12" ht="13.5" x14ac:dyDescent="0.25">
      <c r="C401" s="4"/>
      <c r="H401" s="3"/>
      <c r="I401" s="3"/>
      <c r="J401" s="3"/>
      <c r="K401" s="2"/>
      <c r="L401" s="1"/>
    </row>
    <row r="402" spans="3:12" ht="13.5" x14ac:dyDescent="0.25">
      <c r="C402" s="4"/>
      <c r="H402" s="3"/>
      <c r="I402" s="3"/>
      <c r="J402" s="3"/>
      <c r="K402" s="2"/>
      <c r="L402" s="1"/>
    </row>
    <row r="403" spans="3:12" ht="13.5" x14ac:dyDescent="0.25">
      <c r="C403" s="4"/>
      <c r="H403" s="3"/>
      <c r="I403" s="3"/>
      <c r="J403" s="3"/>
      <c r="K403" s="2"/>
      <c r="L403" s="1"/>
    </row>
    <row r="404" spans="3:12" ht="13.5" x14ac:dyDescent="0.25">
      <c r="C404" s="4"/>
      <c r="H404" s="3"/>
      <c r="I404" s="3"/>
      <c r="J404" s="3"/>
      <c r="K404" s="2"/>
      <c r="L404" s="1"/>
    </row>
    <row r="405" spans="3:12" ht="13.5" x14ac:dyDescent="0.25">
      <c r="C405" s="4"/>
      <c r="H405" s="3"/>
      <c r="I405" s="3"/>
      <c r="J405" s="3"/>
      <c r="K405" s="2"/>
      <c r="L405" s="1"/>
    </row>
    <row r="406" spans="3:12" ht="13.5" x14ac:dyDescent="0.25">
      <c r="C406" s="4"/>
      <c r="H406" s="3"/>
      <c r="I406" s="3"/>
      <c r="J406" s="3"/>
      <c r="K406" s="2"/>
      <c r="L406" s="1"/>
    </row>
    <row r="407" spans="3:12" ht="13.5" x14ac:dyDescent="0.25">
      <c r="C407" s="4"/>
      <c r="H407" s="3"/>
      <c r="I407" s="3"/>
      <c r="J407" s="3"/>
      <c r="K407" s="2"/>
      <c r="L407" s="1"/>
    </row>
    <row r="408" spans="3:12" ht="13.5" x14ac:dyDescent="0.25">
      <c r="C408" s="4"/>
      <c r="H408" s="3"/>
      <c r="I408" s="3"/>
      <c r="J408" s="3"/>
      <c r="K408" s="2"/>
      <c r="L408" s="1"/>
    </row>
    <row r="409" spans="3:12" ht="13.5" x14ac:dyDescent="0.25">
      <c r="C409" s="4"/>
      <c r="H409" s="3"/>
      <c r="I409" s="3"/>
      <c r="J409" s="3"/>
      <c r="K409" s="2"/>
      <c r="L409" s="1"/>
    </row>
    <row r="410" spans="3:12" ht="13.5" x14ac:dyDescent="0.25">
      <c r="C410" s="4"/>
      <c r="H410" s="3"/>
      <c r="I410" s="3"/>
      <c r="J410" s="3"/>
      <c r="K410" s="2"/>
      <c r="L410" s="1"/>
    </row>
    <row r="411" spans="3:12" ht="13.5" x14ac:dyDescent="0.25">
      <c r="C411" s="4"/>
      <c r="H411" s="3"/>
      <c r="I411" s="3"/>
      <c r="J411" s="3"/>
      <c r="K411" s="2"/>
      <c r="L411" s="1"/>
    </row>
    <row r="412" spans="3:12" ht="13.5" x14ac:dyDescent="0.25">
      <c r="C412" s="4"/>
      <c r="H412" s="3"/>
      <c r="I412" s="3"/>
      <c r="J412" s="3"/>
      <c r="K412" s="2"/>
      <c r="L412" s="1"/>
    </row>
    <row r="413" spans="3:12" ht="13.5" x14ac:dyDescent="0.25">
      <c r="C413" s="4"/>
      <c r="H413" s="3"/>
      <c r="I413" s="3"/>
      <c r="J413" s="3"/>
      <c r="K413" s="2"/>
      <c r="L413" s="1"/>
    </row>
    <row r="414" spans="3:12" ht="13.5" x14ac:dyDescent="0.25">
      <c r="C414" s="4"/>
      <c r="H414" s="3"/>
      <c r="I414" s="3"/>
      <c r="J414" s="3"/>
      <c r="K414" s="2"/>
      <c r="L414" s="1"/>
    </row>
    <row r="415" spans="3:12" ht="13.5" x14ac:dyDescent="0.25">
      <c r="C415" s="4"/>
      <c r="H415" s="3"/>
      <c r="I415" s="3"/>
      <c r="J415" s="3"/>
      <c r="K415" s="2"/>
      <c r="L415" s="1"/>
    </row>
    <row r="416" spans="3:12" ht="13.5" x14ac:dyDescent="0.25">
      <c r="C416" s="4"/>
      <c r="H416" s="3"/>
      <c r="I416" s="3"/>
      <c r="J416" s="3"/>
      <c r="K416" s="2"/>
      <c r="L416" s="1"/>
    </row>
    <row r="417" spans="3:12" ht="13.5" x14ac:dyDescent="0.25">
      <c r="C417" s="4"/>
      <c r="H417" s="3"/>
      <c r="I417" s="3"/>
      <c r="J417" s="3"/>
      <c r="K417" s="2"/>
      <c r="L417" s="1"/>
    </row>
    <row r="418" spans="3:12" ht="13.5" x14ac:dyDescent="0.25">
      <c r="C418" s="4"/>
      <c r="H418" s="3"/>
      <c r="I418" s="3"/>
      <c r="J418" s="3"/>
      <c r="K418" s="2"/>
      <c r="L418" s="1"/>
    </row>
    <row r="419" spans="3:12" ht="13.5" x14ac:dyDescent="0.25">
      <c r="C419" s="4"/>
      <c r="H419" s="3"/>
      <c r="I419" s="3"/>
      <c r="J419" s="3"/>
      <c r="K419" s="2"/>
      <c r="L419" s="1"/>
    </row>
    <row r="420" spans="3:12" ht="13.5" x14ac:dyDescent="0.25">
      <c r="C420" s="4"/>
      <c r="H420" s="3"/>
      <c r="I420" s="3"/>
      <c r="J420" s="3"/>
      <c r="K420" s="2"/>
      <c r="L420" s="1"/>
    </row>
    <row r="421" spans="3:12" ht="13.5" x14ac:dyDescent="0.25">
      <c r="C421" s="4"/>
      <c r="H421" s="3"/>
      <c r="I421" s="3"/>
      <c r="J421" s="3"/>
      <c r="K421" s="2"/>
      <c r="L421" s="1"/>
    </row>
    <row r="422" spans="3:12" ht="13.5" x14ac:dyDescent="0.25">
      <c r="C422" s="4"/>
      <c r="H422" s="3"/>
      <c r="I422" s="3"/>
      <c r="J422" s="3"/>
      <c r="K422" s="2"/>
      <c r="L422" s="1"/>
    </row>
    <row r="423" spans="3:12" ht="13.5" x14ac:dyDescent="0.25">
      <c r="C423" s="4"/>
      <c r="H423" s="3"/>
      <c r="I423" s="3"/>
      <c r="J423" s="3"/>
      <c r="K423" s="2"/>
      <c r="L423" s="1"/>
    </row>
    <row r="424" spans="3:12" ht="13.5" x14ac:dyDescent="0.25">
      <c r="C424" s="4"/>
      <c r="H424" s="3"/>
      <c r="I424" s="3"/>
      <c r="J424" s="3"/>
      <c r="K424" s="2"/>
      <c r="L424" s="1"/>
    </row>
    <row r="425" spans="3:12" ht="13.5" x14ac:dyDescent="0.25">
      <c r="C425" s="4"/>
      <c r="H425" s="3"/>
      <c r="I425" s="3"/>
      <c r="J425" s="3"/>
      <c r="K425" s="2"/>
      <c r="L425" s="1"/>
    </row>
    <row r="426" spans="3:12" ht="13.5" x14ac:dyDescent="0.25">
      <c r="C426" s="4"/>
      <c r="H426" s="3"/>
      <c r="I426" s="3"/>
      <c r="J426" s="3"/>
      <c r="K426" s="2"/>
      <c r="L426" s="1"/>
    </row>
    <row r="427" spans="3:12" ht="13.5" x14ac:dyDescent="0.25">
      <c r="C427" s="4"/>
      <c r="H427" s="3"/>
      <c r="I427" s="3"/>
      <c r="J427" s="3"/>
      <c r="K427" s="2"/>
      <c r="L427" s="1"/>
    </row>
    <row r="428" spans="3:12" ht="13.5" x14ac:dyDescent="0.25">
      <c r="C428" s="4"/>
      <c r="H428" s="3"/>
      <c r="I428" s="3"/>
      <c r="J428" s="3"/>
      <c r="K428" s="2"/>
      <c r="L428" s="1"/>
    </row>
    <row r="429" spans="3:12" ht="13.5" x14ac:dyDescent="0.25">
      <c r="C429" s="4"/>
      <c r="H429" s="3"/>
      <c r="I429" s="3"/>
      <c r="J429" s="3"/>
      <c r="K429" s="2"/>
      <c r="L429" s="1"/>
    </row>
    <row r="430" spans="3:12" ht="13.5" x14ac:dyDescent="0.25">
      <c r="C430" s="4"/>
      <c r="H430" s="3"/>
      <c r="I430" s="3"/>
      <c r="J430" s="3"/>
      <c r="K430" s="2"/>
      <c r="L430" s="1"/>
    </row>
    <row r="431" spans="3:12" ht="13.5" x14ac:dyDescent="0.25">
      <c r="C431" s="4"/>
      <c r="H431" s="3"/>
      <c r="I431" s="3"/>
      <c r="J431" s="3"/>
      <c r="K431" s="2"/>
      <c r="L431" s="1"/>
    </row>
    <row r="432" spans="3:12" ht="13.5" x14ac:dyDescent="0.25">
      <c r="C432" s="4"/>
      <c r="H432" s="3"/>
      <c r="I432" s="3"/>
      <c r="J432" s="3"/>
      <c r="K432" s="2"/>
      <c r="L432" s="1"/>
    </row>
    <row r="433" spans="3:12" ht="13.5" x14ac:dyDescent="0.25">
      <c r="C433" s="4"/>
      <c r="H433" s="3"/>
      <c r="I433" s="3"/>
      <c r="J433" s="3"/>
      <c r="K433" s="2"/>
      <c r="L433" s="1"/>
    </row>
    <row r="434" spans="3:12" ht="13.5" x14ac:dyDescent="0.25">
      <c r="C434" s="4"/>
      <c r="H434" s="3"/>
      <c r="I434" s="3"/>
      <c r="J434" s="3"/>
      <c r="K434" s="2"/>
      <c r="L434" s="1"/>
    </row>
    <row r="435" spans="3:12" ht="13.5" x14ac:dyDescent="0.25">
      <c r="C435" s="4"/>
      <c r="H435" s="3"/>
      <c r="I435" s="3"/>
      <c r="J435" s="3"/>
      <c r="K435" s="2"/>
      <c r="L435" s="1"/>
    </row>
    <row r="436" spans="3:12" ht="13.5" x14ac:dyDescent="0.25">
      <c r="C436" s="4"/>
      <c r="H436" s="3"/>
      <c r="I436" s="3"/>
      <c r="J436" s="3"/>
      <c r="K436" s="2"/>
      <c r="L436" s="1"/>
    </row>
    <row r="437" spans="3:12" ht="13.5" x14ac:dyDescent="0.25">
      <c r="C437" s="4"/>
      <c r="H437" s="3"/>
      <c r="I437" s="3"/>
      <c r="J437" s="3"/>
      <c r="K437" s="2"/>
      <c r="L437" s="1"/>
    </row>
    <row r="438" spans="3:12" ht="13.5" x14ac:dyDescent="0.25">
      <c r="C438" s="4"/>
      <c r="H438" s="3"/>
      <c r="I438" s="3"/>
      <c r="J438" s="3"/>
      <c r="K438" s="2"/>
      <c r="L438" s="1"/>
    </row>
    <row r="439" spans="3:12" ht="13.5" x14ac:dyDescent="0.25">
      <c r="C439" s="4"/>
      <c r="H439" s="3"/>
      <c r="I439" s="3"/>
      <c r="J439" s="3"/>
      <c r="K439" s="2"/>
      <c r="L439" s="1"/>
    </row>
    <row r="440" spans="3:12" ht="13.5" x14ac:dyDescent="0.25">
      <c r="C440" s="4"/>
      <c r="H440" s="3"/>
      <c r="I440" s="3"/>
      <c r="J440" s="3"/>
      <c r="K440" s="2"/>
      <c r="L440" s="1"/>
    </row>
    <row r="441" spans="3:12" ht="13.5" x14ac:dyDescent="0.25">
      <c r="C441" s="4"/>
      <c r="H441" s="3"/>
      <c r="I441" s="3"/>
      <c r="J441" s="3"/>
      <c r="K441" s="2"/>
      <c r="L441" s="1"/>
    </row>
    <row r="442" spans="3:12" ht="13.5" x14ac:dyDescent="0.25">
      <c r="C442" s="4"/>
      <c r="H442" s="3"/>
      <c r="I442" s="3"/>
      <c r="J442" s="3"/>
      <c r="K442" s="2"/>
      <c r="L442" s="1"/>
    </row>
    <row r="443" spans="3:12" ht="13.5" x14ac:dyDescent="0.25">
      <c r="C443" s="4"/>
      <c r="H443" s="3"/>
      <c r="I443" s="3"/>
      <c r="J443" s="3"/>
      <c r="K443" s="2"/>
      <c r="L443" s="1"/>
    </row>
    <row r="444" spans="3:12" ht="13.5" x14ac:dyDescent="0.25">
      <c r="C444" s="4"/>
      <c r="H444" s="3"/>
      <c r="I444" s="3"/>
      <c r="J444" s="3"/>
      <c r="K444" s="2"/>
      <c r="L444" s="1"/>
    </row>
    <row r="445" spans="3:12" ht="13.5" x14ac:dyDescent="0.25">
      <c r="C445" s="4"/>
      <c r="H445" s="3"/>
      <c r="I445" s="3"/>
      <c r="J445" s="3"/>
      <c r="K445" s="2"/>
      <c r="L445" s="1"/>
    </row>
    <row r="446" spans="3:12" ht="13.5" x14ac:dyDescent="0.25">
      <c r="C446" s="4"/>
      <c r="H446" s="3"/>
      <c r="I446" s="3"/>
      <c r="J446" s="3"/>
      <c r="K446" s="2"/>
      <c r="L446" s="1"/>
    </row>
    <row r="447" spans="3:12" ht="13.5" x14ac:dyDescent="0.25">
      <c r="C447" s="4"/>
      <c r="H447" s="3"/>
      <c r="I447" s="3"/>
      <c r="J447" s="3"/>
      <c r="K447" s="2"/>
      <c r="L447" s="1"/>
    </row>
    <row r="448" spans="3:12" ht="13.5" x14ac:dyDescent="0.25">
      <c r="C448" s="4"/>
      <c r="H448" s="3"/>
      <c r="I448" s="3"/>
      <c r="J448" s="3"/>
      <c r="K448" s="2"/>
      <c r="L448" s="1"/>
    </row>
    <row r="449" spans="3:12" ht="13.5" x14ac:dyDescent="0.25">
      <c r="C449" s="4"/>
      <c r="H449" s="3"/>
      <c r="I449" s="3"/>
      <c r="J449" s="3"/>
      <c r="K449" s="2"/>
      <c r="L449" s="1"/>
    </row>
    <row r="450" spans="3:12" ht="13.5" x14ac:dyDescent="0.25">
      <c r="C450" s="4"/>
      <c r="H450" s="3"/>
      <c r="I450" s="3"/>
      <c r="J450" s="3"/>
      <c r="K450" s="2"/>
      <c r="L450" s="1"/>
    </row>
    <row r="451" spans="3:12" ht="13.5" x14ac:dyDescent="0.25">
      <c r="C451" s="4"/>
      <c r="H451" s="3"/>
      <c r="I451" s="3"/>
      <c r="J451" s="3"/>
      <c r="K451" s="2"/>
      <c r="L451" s="1"/>
    </row>
    <row r="452" spans="3:12" ht="13.5" x14ac:dyDescent="0.25">
      <c r="C452" s="4"/>
      <c r="H452" s="3"/>
      <c r="I452" s="3"/>
      <c r="J452" s="3"/>
      <c r="K452" s="2"/>
      <c r="L452" s="1"/>
    </row>
    <row r="453" spans="3:12" ht="13.5" x14ac:dyDescent="0.25">
      <c r="C453" s="4"/>
      <c r="H453" s="3"/>
      <c r="I453" s="3"/>
      <c r="J453" s="3"/>
      <c r="K453" s="2"/>
      <c r="L453" s="1"/>
    </row>
    <row r="454" spans="3:12" ht="13.5" x14ac:dyDescent="0.25">
      <c r="C454" s="4"/>
      <c r="H454" s="3"/>
      <c r="I454" s="3"/>
      <c r="J454" s="3"/>
      <c r="K454" s="2"/>
      <c r="L454" s="1"/>
    </row>
    <row r="455" spans="3:12" ht="13.5" x14ac:dyDescent="0.25">
      <c r="C455" s="4"/>
      <c r="H455" s="3"/>
      <c r="I455" s="3"/>
      <c r="J455" s="3"/>
      <c r="K455" s="2"/>
      <c r="L455" s="1"/>
    </row>
    <row r="456" spans="3:12" ht="13.5" x14ac:dyDescent="0.25">
      <c r="C456" s="4"/>
      <c r="H456" s="3"/>
      <c r="I456" s="3"/>
      <c r="J456" s="3"/>
      <c r="K456" s="2"/>
      <c r="L456" s="1"/>
    </row>
    <row r="457" spans="3:12" ht="13.5" x14ac:dyDescent="0.25">
      <c r="C457" s="4"/>
      <c r="H457" s="3"/>
      <c r="I457" s="3"/>
      <c r="J457" s="3"/>
      <c r="K457" s="2"/>
      <c r="L457" s="1"/>
    </row>
    <row r="458" spans="3:12" ht="13.5" x14ac:dyDescent="0.25">
      <c r="C458" s="4"/>
      <c r="H458" s="3"/>
      <c r="I458" s="3"/>
      <c r="J458" s="3"/>
      <c r="K458" s="2"/>
      <c r="L458" s="1"/>
    </row>
    <row r="459" spans="3:12" ht="13.5" x14ac:dyDescent="0.25">
      <c r="C459" s="4"/>
      <c r="H459" s="3"/>
      <c r="I459" s="3"/>
      <c r="J459" s="3"/>
      <c r="K459" s="2"/>
      <c r="L459" s="1"/>
    </row>
    <row r="460" spans="3:12" ht="13.5" x14ac:dyDescent="0.25">
      <c r="C460" s="4"/>
      <c r="H460" s="3"/>
      <c r="I460" s="3"/>
      <c r="J460" s="3"/>
      <c r="K460" s="2"/>
      <c r="L460" s="1"/>
    </row>
    <row r="461" spans="3:12" ht="13.5" x14ac:dyDescent="0.25">
      <c r="C461" s="4"/>
      <c r="H461" s="3"/>
      <c r="I461" s="3"/>
      <c r="J461" s="3"/>
      <c r="K461" s="2"/>
      <c r="L461" s="1"/>
    </row>
    <row r="462" spans="3:12" ht="13.5" x14ac:dyDescent="0.25">
      <c r="C462" s="4"/>
      <c r="H462" s="3"/>
      <c r="I462" s="3"/>
      <c r="J462" s="3"/>
      <c r="K462" s="2"/>
      <c r="L462" s="1"/>
    </row>
    <row r="463" spans="3:12" ht="13.5" x14ac:dyDescent="0.25">
      <c r="C463" s="4"/>
      <c r="H463" s="3"/>
      <c r="I463" s="3"/>
      <c r="J463" s="3"/>
      <c r="K463" s="2"/>
      <c r="L463" s="1"/>
    </row>
    <row r="464" spans="3:12" ht="13.5" x14ac:dyDescent="0.25">
      <c r="C464" s="4"/>
      <c r="H464" s="3"/>
      <c r="I464" s="3"/>
      <c r="J464" s="3"/>
      <c r="K464" s="2"/>
      <c r="L464" s="1"/>
    </row>
    <row r="465" spans="3:12" ht="13.5" x14ac:dyDescent="0.25">
      <c r="C465" s="4"/>
      <c r="H465" s="3"/>
      <c r="I465" s="3"/>
      <c r="J465" s="3"/>
      <c r="K465" s="2"/>
      <c r="L465" s="1"/>
    </row>
    <row r="466" spans="3:12" ht="13.5" x14ac:dyDescent="0.25">
      <c r="C466" s="4"/>
      <c r="H466" s="3"/>
      <c r="I466" s="3"/>
      <c r="J466" s="3"/>
      <c r="K466" s="2"/>
      <c r="L466" s="1"/>
    </row>
    <row r="467" spans="3:12" ht="13.5" x14ac:dyDescent="0.25">
      <c r="C467" s="4"/>
      <c r="H467" s="3"/>
      <c r="I467" s="3"/>
      <c r="J467" s="3"/>
      <c r="K467" s="2"/>
      <c r="L467" s="1"/>
    </row>
    <row r="468" spans="3:12" ht="13.5" x14ac:dyDescent="0.25">
      <c r="C468" s="4"/>
      <c r="H468" s="3"/>
      <c r="I468" s="3"/>
      <c r="J468" s="3"/>
      <c r="K468" s="2"/>
      <c r="L468" s="1"/>
    </row>
    <row r="469" spans="3:12" ht="13.5" x14ac:dyDescent="0.25">
      <c r="C469" s="4"/>
      <c r="H469" s="3"/>
      <c r="I469" s="3"/>
      <c r="J469" s="3"/>
      <c r="K469" s="2"/>
      <c r="L469" s="1"/>
    </row>
    <row r="470" spans="3:12" ht="13.5" x14ac:dyDescent="0.25">
      <c r="C470" s="4"/>
      <c r="H470" s="3"/>
      <c r="I470" s="3"/>
      <c r="J470" s="3"/>
      <c r="K470" s="2"/>
      <c r="L470" s="1"/>
    </row>
    <row r="471" spans="3:12" ht="13.5" x14ac:dyDescent="0.25">
      <c r="C471" s="4"/>
      <c r="H471" s="3"/>
      <c r="I471" s="3"/>
      <c r="J471" s="3"/>
      <c r="K471" s="2"/>
      <c r="L471" s="1"/>
    </row>
    <row r="472" spans="3:12" ht="13.5" x14ac:dyDescent="0.25">
      <c r="C472" s="4"/>
      <c r="H472" s="3"/>
      <c r="I472" s="3"/>
      <c r="J472" s="3"/>
      <c r="K472" s="2"/>
      <c r="L472" s="1"/>
    </row>
    <row r="473" spans="3:12" ht="13.5" x14ac:dyDescent="0.25">
      <c r="C473" s="4"/>
      <c r="H473" s="3"/>
      <c r="I473" s="3"/>
      <c r="J473" s="3"/>
      <c r="K473" s="2"/>
      <c r="L473" s="1"/>
    </row>
    <row r="474" spans="3:12" ht="13.5" x14ac:dyDescent="0.25">
      <c r="C474" s="4"/>
      <c r="H474" s="3"/>
      <c r="I474" s="3"/>
      <c r="J474" s="3"/>
      <c r="K474" s="2"/>
      <c r="L474" s="1"/>
    </row>
    <row r="475" spans="3:12" ht="13.5" x14ac:dyDescent="0.25">
      <c r="C475" s="4"/>
      <c r="H475" s="3"/>
      <c r="I475" s="3"/>
      <c r="J475" s="3"/>
      <c r="K475" s="2"/>
      <c r="L475" s="1"/>
    </row>
    <row r="476" spans="3:12" ht="13.5" x14ac:dyDescent="0.25">
      <c r="C476" s="4"/>
      <c r="H476" s="3"/>
      <c r="I476" s="3"/>
      <c r="J476" s="3"/>
      <c r="K476" s="2"/>
      <c r="L476" s="1"/>
    </row>
    <row r="477" spans="3:12" ht="13.5" x14ac:dyDescent="0.25">
      <c r="C477" s="4"/>
      <c r="H477" s="3"/>
      <c r="I477" s="3"/>
      <c r="J477" s="3"/>
      <c r="K477" s="2"/>
      <c r="L477" s="1"/>
    </row>
    <row r="478" spans="3:12" ht="13.5" x14ac:dyDescent="0.25">
      <c r="C478" s="4"/>
      <c r="H478" s="3"/>
      <c r="I478" s="3"/>
      <c r="J478" s="3"/>
      <c r="K478" s="2"/>
      <c r="L478" s="1"/>
    </row>
    <row r="479" spans="3:12" ht="13.5" x14ac:dyDescent="0.25">
      <c r="C479" s="4"/>
      <c r="H479" s="3"/>
      <c r="I479" s="3"/>
      <c r="J479" s="3"/>
      <c r="K479" s="2"/>
      <c r="L479" s="1"/>
    </row>
    <row r="480" spans="3:12" ht="13.5" x14ac:dyDescent="0.25">
      <c r="C480" s="4"/>
      <c r="H480" s="3"/>
      <c r="I480" s="3"/>
      <c r="J480" s="3"/>
      <c r="K480" s="2"/>
      <c r="L480" s="1"/>
    </row>
    <row r="481" spans="3:12" ht="13.5" x14ac:dyDescent="0.25">
      <c r="C481" s="4"/>
      <c r="H481" s="3"/>
      <c r="I481" s="3"/>
      <c r="J481" s="3"/>
      <c r="K481" s="2"/>
      <c r="L481" s="1"/>
    </row>
    <row r="482" spans="3:12" ht="13.5" x14ac:dyDescent="0.25">
      <c r="C482" s="4"/>
      <c r="H482" s="3"/>
      <c r="I482" s="3"/>
      <c r="J482" s="3"/>
      <c r="K482" s="2"/>
      <c r="L482" s="1"/>
    </row>
    <row r="483" spans="3:12" ht="13.5" x14ac:dyDescent="0.25">
      <c r="C483" s="4"/>
      <c r="H483" s="3"/>
      <c r="I483" s="3"/>
      <c r="J483" s="3"/>
      <c r="K483" s="2"/>
      <c r="L483" s="1"/>
    </row>
    <row r="484" spans="3:12" ht="13.5" x14ac:dyDescent="0.25">
      <c r="C484" s="4"/>
      <c r="H484" s="3"/>
      <c r="I484" s="3"/>
      <c r="J484" s="3"/>
      <c r="K484" s="2"/>
      <c r="L484" s="1"/>
    </row>
    <row r="485" spans="3:12" ht="13.5" x14ac:dyDescent="0.25">
      <c r="C485" s="4"/>
      <c r="H485" s="3"/>
      <c r="I485" s="3"/>
      <c r="J485" s="3"/>
      <c r="K485" s="2"/>
      <c r="L485" s="1"/>
    </row>
    <row r="486" spans="3:12" ht="13.5" x14ac:dyDescent="0.25">
      <c r="C486" s="4"/>
      <c r="H486" s="3"/>
      <c r="I486" s="3"/>
      <c r="J486" s="3"/>
      <c r="K486" s="2"/>
      <c r="L486" s="1"/>
    </row>
    <row r="487" spans="3:12" ht="13.5" x14ac:dyDescent="0.25">
      <c r="C487" s="4"/>
      <c r="H487" s="3"/>
      <c r="I487" s="3"/>
      <c r="J487" s="3"/>
      <c r="K487" s="2"/>
      <c r="L487" s="1"/>
    </row>
    <row r="488" spans="3:12" ht="13.5" x14ac:dyDescent="0.25">
      <c r="C488" s="4"/>
      <c r="H488" s="3"/>
      <c r="I488" s="3"/>
      <c r="J488" s="3"/>
      <c r="K488" s="2"/>
      <c r="L488" s="1"/>
    </row>
    <row r="489" spans="3:12" ht="13.5" x14ac:dyDescent="0.25">
      <c r="C489" s="4"/>
      <c r="H489" s="3"/>
      <c r="I489" s="3"/>
      <c r="J489" s="3"/>
      <c r="K489" s="2"/>
      <c r="L489" s="1"/>
    </row>
    <row r="490" spans="3:12" ht="13.5" x14ac:dyDescent="0.25">
      <c r="C490" s="4"/>
      <c r="H490" s="3"/>
      <c r="I490" s="3"/>
      <c r="J490" s="3"/>
      <c r="K490" s="2"/>
      <c r="L490" s="1"/>
    </row>
    <row r="491" spans="3:12" ht="13.5" x14ac:dyDescent="0.25">
      <c r="C491" s="4"/>
      <c r="H491" s="3"/>
      <c r="I491" s="3"/>
      <c r="J491" s="3"/>
      <c r="K491" s="2"/>
      <c r="L491" s="1"/>
    </row>
    <row r="492" spans="3:12" ht="13.5" x14ac:dyDescent="0.25">
      <c r="C492" s="4"/>
      <c r="H492" s="3"/>
      <c r="I492" s="3"/>
      <c r="J492" s="3"/>
      <c r="K492" s="2"/>
      <c r="L492" s="1"/>
    </row>
    <row r="493" spans="3:12" ht="13.5" x14ac:dyDescent="0.25">
      <c r="C493" s="4"/>
      <c r="H493" s="3"/>
      <c r="I493" s="3"/>
      <c r="J493" s="3"/>
      <c r="K493" s="2"/>
      <c r="L493" s="1"/>
    </row>
    <row r="494" spans="3:12" ht="13.5" x14ac:dyDescent="0.25">
      <c r="C494" s="4"/>
      <c r="H494" s="3"/>
      <c r="I494" s="3"/>
      <c r="J494" s="3"/>
      <c r="K494" s="2"/>
      <c r="L494" s="1"/>
    </row>
    <row r="495" spans="3:12" ht="13.5" x14ac:dyDescent="0.25">
      <c r="C495" s="4"/>
      <c r="H495" s="3"/>
      <c r="I495" s="3"/>
      <c r="J495" s="3"/>
      <c r="K495" s="2"/>
      <c r="L495" s="1"/>
    </row>
    <row r="496" spans="3:12" ht="13.5" x14ac:dyDescent="0.25">
      <c r="C496" s="4"/>
      <c r="H496" s="3"/>
      <c r="I496" s="3"/>
      <c r="J496" s="3"/>
      <c r="K496" s="2"/>
      <c r="L496" s="1"/>
    </row>
    <row r="497" spans="3:12" ht="13.5" x14ac:dyDescent="0.25">
      <c r="C497" s="4"/>
      <c r="H497" s="3"/>
      <c r="I497" s="3"/>
      <c r="J497" s="3"/>
      <c r="K497" s="2"/>
      <c r="L497" s="1"/>
    </row>
    <row r="498" spans="3:12" ht="13.5" x14ac:dyDescent="0.25">
      <c r="C498" s="4"/>
      <c r="H498" s="3"/>
      <c r="I498" s="3"/>
      <c r="J498" s="3"/>
      <c r="K498" s="2"/>
      <c r="L498" s="1"/>
    </row>
    <row r="499" spans="3:12" ht="13.5" x14ac:dyDescent="0.25">
      <c r="C499" s="4"/>
      <c r="H499" s="3"/>
      <c r="I499" s="3"/>
      <c r="J499" s="3"/>
      <c r="K499" s="2"/>
      <c r="L499" s="1"/>
    </row>
    <row r="500" spans="3:12" ht="13.5" x14ac:dyDescent="0.25">
      <c r="C500" s="4"/>
      <c r="H500" s="3"/>
      <c r="I500" s="3"/>
      <c r="J500" s="3"/>
      <c r="K500" s="2"/>
      <c r="L500" s="1"/>
    </row>
    <row r="501" spans="3:12" ht="13.5" x14ac:dyDescent="0.25">
      <c r="C501" s="4"/>
      <c r="H501" s="3"/>
      <c r="I501" s="3"/>
      <c r="J501" s="3"/>
      <c r="K501" s="2"/>
      <c r="L501" s="1"/>
    </row>
    <row r="502" spans="3:12" ht="13.5" x14ac:dyDescent="0.25">
      <c r="C502" s="4"/>
      <c r="H502" s="3"/>
      <c r="I502" s="3"/>
      <c r="J502" s="3"/>
      <c r="K502" s="2"/>
      <c r="L502" s="1"/>
    </row>
    <row r="503" spans="3:12" ht="13.5" x14ac:dyDescent="0.25">
      <c r="C503" s="4"/>
      <c r="H503" s="3"/>
      <c r="I503" s="3"/>
      <c r="J503" s="3"/>
      <c r="K503" s="2"/>
      <c r="L503" s="1"/>
    </row>
    <row r="504" spans="3:12" ht="13.5" x14ac:dyDescent="0.25">
      <c r="C504" s="4"/>
      <c r="H504" s="3"/>
      <c r="I504" s="3"/>
      <c r="J504" s="3"/>
      <c r="K504" s="2"/>
      <c r="L504" s="1"/>
    </row>
    <row r="505" spans="3:12" ht="13.5" x14ac:dyDescent="0.25">
      <c r="C505" s="4"/>
      <c r="H505" s="3"/>
      <c r="I505" s="3"/>
      <c r="J505" s="3"/>
      <c r="K505" s="2"/>
      <c r="L505" s="1"/>
    </row>
    <row r="506" spans="3:12" ht="13.5" x14ac:dyDescent="0.25">
      <c r="C506" s="4"/>
      <c r="H506" s="3"/>
      <c r="I506" s="3"/>
      <c r="J506" s="3"/>
      <c r="K506" s="2"/>
      <c r="L506" s="1"/>
    </row>
    <row r="507" spans="3:12" ht="13.5" x14ac:dyDescent="0.25">
      <c r="C507" s="4"/>
      <c r="H507" s="3"/>
      <c r="I507" s="3"/>
      <c r="J507" s="3"/>
      <c r="K507" s="2"/>
      <c r="L507" s="1"/>
    </row>
    <row r="508" spans="3:12" ht="13.5" x14ac:dyDescent="0.25">
      <c r="C508" s="4"/>
      <c r="H508" s="3"/>
      <c r="I508" s="3"/>
      <c r="J508" s="3"/>
      <c r="K508" s="2"/>
      <c r="L508" s="1"/>
    </row>
    <row r="509" spans="3:12" ht="13.5" x14ac:dyDescent="0.25">
      <c r="C509" s="4"/>
      <c r="H509" s="3"/>
      <c r="I509" s="3"/>
      <c r="J509" s="3"/>
      <c r="K509" s="2"/>
      <c r="L509" s="1"/>
    </row>
    <row r="510" spans="3:12" ht="13.5" x14ac:dyDescent="0.25">
      <c r="C510" s="4"/>
      <c r="H510" s="3"/>
      <c r="I510" s="3"/>
      <c r="J510" s="3"/>
      <c r="K510" s="2"/>
      <c r="L510" s="1"/>
    </row>
    <row r="511" spans="3:12" ht="13.5" x14ac:dyDescent="0.25">
      <c r="C511" s="4"/>
      <c r="H511" s="3"/>
      <c r="I511" s="3"/>
      <c r="J511" s="3"/>
      <c r="K511" s="2"/>
      <c r="L511" s="1"/>
    </row>
    <row r="512" spans="3:12" ht="13.5" x14ac:dyDescent="0.25">
      <c r="C512" s="4"/>
      <c r="H512" s="3"/>
      <c r="I512" s="3"/>
      <c r="J512" s="3"/>
      <c r="K512" s="2"/>
      <c r="L512" s="1"/>
    </row>
    <row r="513" spans="3:12" ht="13.5" x14ac:dyDescent="0.25">
      <c r="C513" s="4"/>
      <c r="H513" s="3"/>
      <c r="I513" s="3"/>
      <c r="J513" s="3"/>
      <c r="K513" s="2"/>
      <c r="L513" s="1"/>
    </row>
    <row r="514" spans="3:12" ht="13.5" x14ac:dyDescent="0.25">
      <c r="C514" s="4"/>
      <c r="H514" s="3"/>
      <c r="I514" s="3"/>
      <c r="J514" s="3"/>
      <c r="K514" s="2"/>
      <c r="L514" s="1"/>
    </row>
    <row r="515" spans="3:12" ht="13.5" x14ac:dyDescent="0.25">
      <c r="C515" s="4"/>
      <c r="H515" s="3"/>
      <c r="I515" s="3"/>
      <c r="J515" s="3"/>
      <c r="K515" s="2"/>
      <c r="L515" s="1"/>
    </row>
    <row r="516" spans="3:12" ht="13.5" x14ac:dyDescent="0.25">
      <c r="C516" s="4"/>
      <c r="H516" s="3"/>
      <c r="I516" s="3"/>
      <c r="J516" s="3"/>
      <c r="K516" s="2"/>
      <c r="L516" s="1"/>
    </row>
    <row r="517" spans="3:12" ht="13.5" x14ac:dyDescent="0.25">
      <c r="C517" s="4"/>
      <c r="H517" s="3"/>
      <c r="I517" s="3"/>
      <c r="J517" s="3"/>
      <c r="K517" s="2"/>
      <c r="L517" s="1"/>
    </row>
    <row r="518" spans="3:12" ht="13.5" x14ac:dyDescent="0.25">
      <c r="C518" s="4"/>
      <c r="H518" s="3"/>
      <c r="I518" s="3"/>
      <c r="J518" s="3"/>
      <c r="K518" s="2"/>
      <c r="L518" s="1"/>
    </row>
    <row r="519" spans="3:12" ht="13.5" x14ac:dyDescent="0.25">
      <c r="C519" s="4"/>
      <c r="H519" s="3"/>
      <c r="I519" s="3"/>
      <c r="J519" s="3"/>
      <c r="K519" s="2"/>
      <c r="L519" s="1"/>
    </row>
    <row r="520" spans="3:12" ht="13.5" x14ac:dyDescent="0.25">
      <c r="C520" s="4"/>
      <c r="H520" s="3"/>
      <c r="I520" s="3"/>
      <c r="J520" s="3"/>
      <c r="K520" s="2"/>
      <c r="L520" s="1"/>
    </row>
    <row r="521" spans="3:12" ht="13.5" x14ac:dyDescent="0.25">
      <c r="C521" s="4"/>
      <c r="H521" s="3"/>
      <c r="I521" s="3"/>
      <c r="J521" s="3"/>
      <c r="K521" s="2"/>
      <c r="L521" s="1"/>
    </row>
    <row r="522" spans="3:12" ht="13.5" x14ac:dyDescent="0.25">
      <c r="C522" s="4"/>
      <c r="H522" s="3"/>
      <c r="I522" s="3"/>
      <c r="J522" s="3"/>
      <c r="K522" s="2"/>
      <c r="L522" s="1"/>
    </row>
    <row r="523" spans="3:12" ht="13.5" x14ac:dyDescent="0.25">
      <c r="C523" s="4"/>
      <c r="H523" s="3"/>
      <c r="I523" s="3"/>
      <c r="J523" s="3"/>
      <c r="K523" s="2"/>
      <c r="L523" s="1"/>
    </row>
    <row r="524" spans="3:12" ht="13.5" x14ac:dyDescent="0.25">
      <c r="C524" s="4"/>
      <c r="H524" s="3"/>
      <c r="I524" s="3"/>
      <c r="J524" s="3"/>
      <c r="K524" s="2"/>
      <c r="L524" s="1"/>
    </row>
    <row r="525" spans="3:12" ht="13.5" x14ac:dyDescent="0.25">
      <c r="C525" s="4"/>
      <c r="H525" s="3"/>
      <c r="I525" s="3"/>
      <c r="J525" s="3"/>
      <c r="K525" s="2"/>
      <c r="L525" s="1"/>
    </row>
    <row r="526" spans="3:12" ht="13.5" x14ac:dyDescent="0.25">
      <c r="C526" s="4"/>
      <c r="H526" s="3"/>
      <c r="I526" s="3"/>
      <c r="J526" s="3"/>
      <c r="K526" s="2"/>
      <c r="L526" s="1"/>
    </row>
    <row r="527" spans="3:12" ht="13.5" x14ac:dyDescent="0.25">
      <c r="C527" s="4"/>
      <c r="H527" s="3"/>
      <c r="I527" s="3"/>
      <c r="J527" s="3"/>
      <c r="K527" s="2"/>
      <c r="L527" s="1"/>
    </row>
    <row r="528" spans="3:12" ht="13.5" x14ac:dyDescent="0.25">
      <c r="C528" s="4"/>
      <c r="H528" s="3"/>
      <c r="I528" s="3"/>
      <c r="J528" s="3"/>
      <c r="K528" s="2"/>
      <c r="L528" s="1"/>
    </row>
    <row r="529" spans="3:12" ht="13.5" x14ac:dyDescent="0.25">
      <c r="C529" s="4"/>
      <c r="H529" s="3"/>
      <c r="I529" s="3"/>
      <c r="J529" s="3"/>
      <c r="K529" s="2"/>
      <c r="L529" s="1"/>
    </row>
    <row r="530" spans="3:12" ht="13.5" x14ac:dyDescent="0.25">
      <c r="C530" s="4"/>
      <c r="H530" s="3"/>
      <c r="I530" s="3"/>
      <c r="J530" s="3"/>
      <c r="K530" s="2"/>
      <c r="L530" s="1"/>
    </row>
    <row r="531" spans="3:12" ht="13.5" x14ac:dyDescent="0.25">
      <c r="C531" s="4"/>
      <c r="H531" s="3"/>
      <c r="I531" s="3"/>
      <c r="J531" s="3"/>
      <c r="K531" s="2"/>
      <c r="L531" s="1"/>
    </row>
    <row r="532" spans="3:12" ht="13.5" x14ac:dyDescent="0.25">
      <c r="C532" s="4"/>
      <c r="H532" s="3"/>
      <c r="I532" s="3"/>
      <c r="J532" s="3"/>
      <c r="K532" s="2"/>
      <c r="L532" s="1"/>
    </row>
    <row r="533" spans="3:12" ht="13.5" x14ac:dyDescent="0.25">
      <c r="C533" s="4"/>
      <c r="H533" s="3"/>
      <c r="I533" s="3"/>
      <c r="J533" s="3"/>
      <c r="K533" s="2"/>
      <c r="L533" s="1"/>
    </row>
    <row r="534" spans="3:12" ht="13.5" x14ac:dyDescent="0.25">
      <c r="C534" s="4"/>
      <c r="H534" s="3"/>
      <c r="I534" s="3"/>
      <c r="J534" s="3"/>
      <c r="K534" s="2"/>
      <c r="L534" s="1"/>
    </row>
    <row r="535" spans="3:12" ht="13.5" x14ac:dyDescent="0.25">
      <c r="C535" s="4"/>
      <c r="H535" s="3"/>
      <c r="I535" s="3"/>
      <c r="J535" s="3"/>
      <c r="K535" s="2"/>
      <c r="L535" s="1"/>
    </row>
    <row r="536" spans="3:12" ht="13.5" x14ac:dyDescent="0.25">
      <c r="C536" s="4"/>
      <c r="H536" s="3"/>
      <c r="I536" s="3"/>
      <c r="J536" s="3"/>
      <c r="K536" s="2"/>
      <c r="L536" s="1"/>
    </row>
    <row r="537" spans="3:12" ht="13.5" x14ac:dyDescent="0.25">
      <c r="C537" s="4"/>
      <c r="H537" s="3"/>
      <c r="I537" s="3"/>
      <c r="J537" s="3"/>
      <c r="K537" s="2"/>
      <c r="L537" s="1"/>
    </row>
    <row r="538" spans="3:12" ht="13.5" x14ac:dyDescent="0.25">
      <c r="C538" s="4"/>
      <c r="H538" s="3"/>
      <c r="I538" s="3"/>
      <c r="J538" s="3"/>
      <c r="K538" s="2"/>
      <c r="L538" s="1"/>
    </row>
    <row r="539" spans="3:12" ht="13.5" x14ac:dyDescent="0.25">
      <c r="C539" s="4"/>
      <c r="H539" s="3"/>
      <c r="I539" s="3"/>
      <c r="J539" s="3"/>
      <c r="K539" s="2"/>
      <c r="L539" s="1"/>
    </row>
    <row r="540" spans="3:12" ht="13.5" x14ac:dyDescent="0.25">
      <c r="C540" s="4"/>
      <c r="H540" s="3"/>
      <c r="I540" s="3"/>
      <c r="J540" s="3"/>
      <c r="K540" s="2"/>
      <c r="L540" s="1"/>
    </row>
    <row r="541" spans="3:12" ht="13.5" x14ac:dyDescent="0.25">
      <c r="C541" s="4"/>
      <c r="H541" s="3"/>
      <c r="I541" s="3"/>
      <c r="J541" s="3"/>
      <c r="K541" s="2"/>
      <c r="L541" s="1"/>
    </row>
    <row r="542" spans="3:12" ht="13.5" x14ac:dyDescent="0.25">
      <c r="C542" s="4"/>
      <c r="H542" s="3"/>
      <c r="I542" s="3"/>
      <c r="J542" s="3"/>
      <c r="K542" s="2"/>
      <c r="L542" s="1"/>
    </row>
    <row r="543" spans="3:12" ht="13.5" x14ac:dyDescent="0.25">
      <c r="C543" s="4"/>
      <c r="H543" s="3"/>
      <c r="I543" s="3"/>
      <c r="J543" s="3"/>
      <c r="K543" s="2"/>
      <c r="L543" s="1"/>
    </row>
    <row r="544" spans="3:12" ht="13.5" x14ac:dyDescent="0.25">
      <c r="C544" s="4"/>
      <c r="H544" s="3"/>
      <c r="I544" s="3"/>
      <c r="J544" s="3"/>
      <c r="K544" s="2"/>
      <c r="L544" s="1"/>
    </row>
    <row r="545" spans="3:12" ht="13.5" x14ac:dyDescent="0.25">
      <c r="C545" s="4"/>
      <c r="H545" s="3"/>
      <c r="I545" s="3"/>
      <c r="J545" s="3"/>
      <c r="K545" s="2"/>
      <c r="L545" s="1"/>
    </row>
    <row r="546" spans="3:12" ht="13.5" x14ac:dyDescent="0.25">
      <c r="C546" s="4"/>
      <c r="H546" s="3"/>
      <c r="I546" s="3"/>
      <c r="J546" s="3"/>
      <c r="K546" s="2"/>
      <c r="L546" s="1"/>
    </row>
    <row r="547" spans="3:12" ht="13.5" x14ac:dyDescent="0.25">
      <c r="C547" s="4"/>
      <c r="H547" s="3"/>
      <c r="I547" s="3"/>
      <c r="J547" s="3"/>
      <c r="K547" s="2"/>
      <c r="L547" s="1"/>
    </row>
    <row r="548" spans="3:12" ht="13.5" x14ac:dyDescent="0.25">
      <c r="C548" s="4"/>
      <c r="H548" s="3"/>
      <c r="I548" s="3"/>
      <c r="J548" s="3"/>
      <c r="K548" s="2"/>
      <c r="L548" s="1"/>
    </row>
    <row r="549" spans="3:12" ht="13.5" x14ac:dyDescent="0.25">
      <c r="C549" s="4"/>
      <c r="H549" s="3"/>
      <c r="I549" s="3"/>
      <c r="J549" s="3"/>
      <c r="K549" s="2"/>
      <c r="L549" s="1"/>
    </row>
    <row r="550" spans="3:12" ht="13.5" x14ac:dyDescent="0.25">
      <c r="C550" s="4"/>
      <c r="H550" s="3"/>
      <c r="I550" s="3"/>
      <c r="J550" s="3"/>
      <c r="K550" s="2"/>
      <c r="L550" s="1"/>
    </row>
    <row r="551" spans="3:12" ht="13.5" x14ac:dyDescent="0.25">
      <c r="C551" s="4"/>
      <c r="H551" s="3"/>
      <c r="I551" s="3"/>
      <c r="J551" s="3"/>
      <c r="K551" s="2"/>
      <c r="L551" s="1"/>
    </row>
    <row r="552" spans="3:12" ht="13.5" x14ac:dyDescent="0.25">
      <c r="C552" s="4"/>
      <c r="H552" s="3"/>
      <c r="I552" s="3"/>
      <c r="J552" s="3"/>
      <c r="K552" s="2"/>
      <c r="L552" s="1"/>
    </row>
    <row r="553" spans="3:12" ht="13.5" x14ac:dyDescent="0.25">
      <c r="C553" s="4"/>
      <c r="H553" s="3"/>
      <c r="I553" s="3"/>
      <c r="J553" s="3"/>
      <c r="K553" s="2"/>
      <c r="L553" s="1"/>
    </row>
    <row r="554" spans="3:12" ht="13.5" x14ac:dyDescent="0.25">
      <c r="C554" s="4"/>
      <c r="H554" s="3"/>
      <c r="I554" s="3"/>
      <c r="J554" s="3"/>
      <c r="K554" s="2"/>
      <c r="L554" s="1"/>
    </row>
    <row r="555" spans="3:12" ht="13.5" x14ac:dyDescent="0.25">
      <c r="C555" s="4"/>
      <c r="H555" s="3"/>
      <c r="I555" s="3"/>
      <c r="J555" s="3"/>
      <c r="K555" s="2"/>
      <c r="L555" s="1"/>
    </row>
    <row r="556" spans="3:12" ht="13.5" x14ac:dyDescent="0.25">
      <c r="C556" s="4"/>
      <c r="H556" s="3"/>
      <c r="I556" s="3"/>
      <c r="J556" s="3"/>
      <c r="K556" s="2"/>
      <c r="L556" s="1"/>
    </row>
    <row r="557" spans="3:12" ht="13.5" x14ac:dyDescent="0.25">
      <c r="C557" s="4"/>
      <c r="H557" s="3"/>
      <c r="I557" s="3"/>
      <c r="J557" s="3"/>
      <c r="K557" s="2"/>
      <c r="L557" s="1"/>
    </row>
    <row r="558" spans="3:12" ht="13.5" x14ac:dyDescent="0.25">
      <c r="C558" s="4"/>
      <c r="H558" s="3"/>
      <c r="I558" s="3"/>
      <c r="J558" s="3"/>
      <c r="K558" s="2"/>
      <c r="L558" s="1"/>
    </row>
    <row r="559" spans="3:12" ht="13.5" x14ac:dyDescent="0.25">
      <c r="C559" s="4"/>
      <c r="H559" s="3"/>
      <c r="I559" s="3"/>
      <c r="J559" s="3"/>
      <c r="K559" s="2"/>
      <c r="L559" s="1"/>
    </row>
    <row r="560" spans="3:12" ht="13.5" x14ac:dyDescent="0.25">
      <c r="C560" s="4"/>
      <c r="H560" s="3"/>
      <c r="I560" s="3"/>
      <c r="J560" s="3"/>
      <c r="K560" s="2"/>
      <c r="L560" s="1"/>
    </row>
    <row r="561" spans="3:12" ht="13.5" x14ac:dyDescent="0.25">
      <c r="C561" s="4"/>
      <c r="H561" s="3"/>
      <c r="I561" s="3"/>
      <c r="J561" s="3"/>
      <c r="K561" s="2"/>
      <c r="L561" s="1"/>
    </row>
    <row r="562" spans="3:12" ht="13.5" x14ac:dyDescent="0.25">
      <c r="C562" s="4"/>
      <c r="H562" s="3"/>
      <c r="I562" s="3"/>
      <c r="J562" s="3"/>
      <c r="K562" s="2"/>
      <c r="L562" s="1"/>
    </row>
    <row r="563" spans="3:12" ht="13.5" x14ac:dyDescent="0.25">
      <c r="C563" s="4"/>
      <c r="H563" s="3"/>
      <c r="I563" s="3"/>
      <c r="J563" s="3"/>
      <c r="K563" s="2"/>
      <c r="L563" s="1"/>
    </row>
    <row r="564" spans="3:12" ht="13.5" x14ac:dyDescent="0.25">
      <c r="C564" s="4"/>
      <c r="H564" s="3"/>
      <c r="I564" s="3"/>
      <c r="J564" s="3"/>
      <c r="K564" s="2"/>
      <c r="L564" s="1"/>
    </row>
    <row r="565" spans="3:12" ht="13.5" x14ac:dyDescent="0.25">
      <c r="C565" s="4"/>
      <c r="H565" s="3"/>
      <c r="I565" s="3"/>
      <c r="J565" s="3"/>
      <c r="K565" s="2"/>
      <c r="L565" s="1"/>
    </row>
    <row r="566" spans="3:12" ht="13.5" x14ac:dyDescent="0.25">
      <c r="C566" s="4"/>
      <c r="H566" s="3"/>
      <c r="I566" s="3"/>
      <c r="J566" s="3"/>
      <c r="K566" s="2"/>
      <c r="L566" s="1"/>
    </row>
    <row r="567" spans="3:12" ht="13.5" x14ac:dyDescent="0.25">
      <c r="C567" s="4"/>
      <c r="H567" s="3"/>
      <c r="I567" s="3"/>
      <c r="J567" s="3"/>
      <c r="K567" s="2"/>
      <c r="L567" s="1"/>
    </row>
    <row r="568" spans="3:12" ht="13.5" x14ac:dyDescent="0.25">
      <c r="C568" s="4"/>
      <c r="H568" s="3"/>
      <c r="I568" s="3"/>
      <c r="J568" s="3"/>
      <c r="K568" s="2"/>
      <c r="L568" s="1"/>
    </row>
    <row r="569" spans="3:12" ht="13.5" x14ac:dyDescent="0.25">
      <c r="C569" s="4"/>
      <c r="H569" s="3"/>
      <c r="I569" s="3"/>
      <c r="J569" s="3"/>
      <c r="K569" s="2"/>
      <c r="L569" s="1"/>
    </row>
    <row r="570" spans="3:12" ht="13.5" x14ac:dyDescent="0.25">
      <c r="C570" s="4"/>
      <c r="H570" s="3"/>
      <c r="I570" s="3"/>
      <c r="J570" s="3"/>
      <c r="K570" s="2"/>
      <c r="L570" s="1"/>
    </row>
    <row r="571" spans="3:12" ht="13.5" x14ac:dyDescent="0.25">
      <c r="C571" s="4"/>
      <c r="H571" s="3"/>
      <c r="I571" s="3"/>
      <c r="J571" s="3"/>
      <c r="K571" s="2"/>
      <c r="L571" s="1"/>
    </row>
    <row r="572" spans="3:12" ht="13.5" x14ac:dyDescent="0.25">
      <c r="C572" s="4"/>
      <c r="H572" s="3"/>
      <c r="I572" s="3"/>
      <c r="J572" s="3"/>
      <c r="K572" s="2"/>
      <c r="L572" s="1"/>
    </row>
    <row r="573" spans="3:12" ht="13.5" x14ac:dyDescent="0.25">
      <c r="C573" s="4"/>
      <c r="H573" s="3"/>
      <c r="I573" s="3"/>
      <c r="J573" s="3"/>
      <c r="K573" s="2"/>
      <c r="L573" s="1"/>
    </row>
    <row r="574" spans="3:12" ht="13.5" x14ac:dyDescent="0.25">
      <c r="C574" s="4"/>
      <c r="H574" s="3"/>
      <c r="I574" s="3"/>
      <c r="J574" s="3"/>
      <c r="K574" s="2"/>
      <c r="L574" s="1"/>
    </row>
    <row r="575" spans="3:12" ht="13.5" x14ac:dyDescent="0.25">
      <c r="C575" s="4"/>
      <c r="H575" s="3"/>
      <c r="I575" s="3"/>
      <c r="J575" s="3"/>
      <c r="K575" s="2"/>
      <c r="L575" s="1"/>
    </row>
    <row r="576" spans="3:12" ht="13.5" x14ac:dyDescent="0.25">
      <c r="C576" s="4"/>
      <c r="H576" s="3"/>
      <c r="I576" s="3"/>
      <c r="J576" s="3"/>
      <c r="K576" s="2"/>
      <c r="L576" s="1"/>
    </row>
    <row r="577" spans="3:12" ht="13.5" x14ac:dyDescent="0.25">
      <c r="C577" s="4"/>
      <c r="H577" s="3"/>
      <c r="I577" s="3"/>
      <c r="J577" s="3"/>
      <c r="K577" s="2"/>
      <c r="L577" s="1"/>
    </row>
    <row r="578" spans="3:12" ht="13.5" x14ac:dyDescent="0.25">
      <c r="C578" s="4"/>
      <c r="H578" s="3"/>
      <c r="I578" s="3"/>
      <c r="J578" s="3"/>
      <c r="K578" s="2"/>
      <c r="L578" s="1"/>
    </row>
    <row r="579" spans="3:12" ht="13.5" x14ac:dyDescent="0.25">
      <c r="C579" s="4"/>
      <c r="H579" s="3"/>
      <c r="I579" s="3"/>
      <c r="J579" s="3"/>
      <c r="K579" s="2"/>
      <c r="L579" s="1"/>
    </row>
    <row r="580" spans="3:12" ht="13.5" x14ac:dyDescent="0.25">
      <c r="C580" s="4"/>
      <c r="H580" s="3"/>
      <c r="I580" s="3"/>
      <c r="J580" s="3"/>
      <c r="K580" s="2"/>
      <c r="L580" s="1"/>
    </row>
    <row r="581" spans="3:12" ht="13.5" x14ac:dyDescent="0.25">
      <c r="C581" s="4"/>
      <c r="H581" s="3"/>
      <c r="I581" s="3"/>
      <c r="J581" s="3"/>
      <c r="K581" s="2"/>
      <c r="L581" s="1"/>
    </row>
    <row r="582" spans="3:12" ht="13.5" x14ac:dyDescent="0.25">
      <c r="C582" s="4"/>
      <c r="H582" s="3"/>
      <c r="I582" s="3"/>
      <c r="J582" s="3"/>
      <c r="K582" s="2"/>
      <c r="L582" s="1"/>
    </row>
    <row r="583" spans="3:12" ht="13.5" x14ac:dyDescent="0.25">
      <c r="C583" s="4"/>
      <c r="H583" s="3"/>
      <c r="I583" s="3"/>
      <c r="J583" s="3"/>
      <c r="K583" s="2"/>
      <c r="L583" s="1"/>
    </row>
    <row r="584" spans="3:12" ht="13.5" x14ac:dyDescent="0.25">
      <c r="C584" s="4"/>
      <c r="H584" s="3"/>
      <c r="I584" s="3"/>
      <c r="J584" s="3"/>
      <c r="K584" s="2"/>
      <c r="L584" s="1"/>
    </row>
    <row r="585" spans="3:12" ht="13.5" x14ac:dyDescent="0.25">
      <c r="C585" s="4"/>
      <c r="H585" s="3"/>
      <c r="I585" s="3"/>
      <c r="J585" s="3"/>
      <c r="K585" s="2"/>
      <c r="L585" s="1"/>
    </row>
    <row r="586" spans="3:12" ht="13.5" x14ac:dyDescent="0.25">
      <c r="C586" s="4"/>
      <c r="H586" s="3"/>
      <c r="I586" s="3"/>
      <c r="J586" s="3"/>
      <c r="K586" s="2"/>
      <c r="L586" s="1"/>
    </row>
    <row r="587" spans="3:12" ht="13.5" x14ac:dyDescent="0.25">
      <c r="C587" s="4"/>
      <c r="H587" s="3"/>
      <c r="I587" s="3"/>
      <c r="J587" s="3"/>
      <c r="K587" s="2"/>
      <c r="L587" s="1"/>
    </row>
    <row r="588" spans="3:12" ht="13.5" x14ac:dyDescent="0.25">
      <c r="C588" s="4"/>
      <c r="H588" s="3"/>
      <c r="I588" s="3"/>
      <c r="J588" s="3"/>
      <c r="K588" s="2"/>
      <c r="L588" s="1"/>
    </row>
    <row r="589" spans="3:12" ht="13.5" x14ac:dyDescent="0.25">
      <c r="C589" s="4"/>
      <c r="H589" s="3"/>
      <c r="I589" s="3"/>
      <c r="J589" s="3"/>
      <c r="K589" s="2"/>
      <c r="L589" s="1"/>
    </row>
    <row r="590" spans="3:12" ht="13.5" x14ac:dyDescent="0.25">
      <c r="C590" s="4"/>
      <c r="H590" s="3"/>
      <c r="I590" s="3"/>
      <c r="J590" s="3"/>
      <c r="K590" s="2"/>
      <c r="L590" s="1"/>
    </row>
    <row r="591" spans="3:12" ht="13.5" x14ac:dyDescent="0.25">
      <c r="C591" s="4"/>
      <c r="H591" s="3"/>
      <c r="I591" s="3"/>
      <c r="J591" s="3"/>
      <c r="K591" s="2"/>
      <c r="L591" s="1"/>
    </row>
    <row r="592" spans="3:12" ht="13.5" x14ac:dyDescent="0.25">
      <c r="C592" s="4"/>
      <c r="H592" s="3"/>
      <c r="I592" s="3"/>
      <c r="J592" s="3"/>
      <c r="K592" s="2"/>
      <c r="L592" s="1"/>
    </row>
    <row r="593" spans="3:12" ht="13.5" x14ac:dyDescent="0.25">
      <c r="C593" s="4"/>
      <c r="H593" s="3"/>
      <c r="I593" s="3"/>
      <c r="J593" s="3"/>
      <c r="K593" s="2"/>
      <c r="L593" s="1"/>
    </row>
    <row r="594" spans="3:12" ht="13.5" x14ac:dyDescent="0.25">
      <c r="C594" s="4"/>
      <c r="H594" s="3"/>
      <c r="I594" s="3"/>
      <c r="J594" s="3"/>
      <c r="K594" s="2"/>
      <c r="L594" s="1"/>
    </row>
    <row r="595" spans="3:12" ht="13.5" x14ac:dyDescent="0.25">
      <c r="C595" s="4"/>
      <c r="H595" s="3"/>
      <c r="I595" s="3"/>
      <c r="J595" s="3"/>
      <c r="K595" s="2"/>
      <c r="L595" s="1"/>
    </row>
    <row r="596" spans="3:12" ht="13.5" x14ac:dyDescent="0.25">
      <c r="C596" s="4"/>
      <c r="H596" s="3"/>
      <c r="I596" s="3"/>
      <c r="J596" s="3"/>
      <c r="K596" s="2"/>
      <c r="L596" s="1"/>
    </row>
    <row r="597" spans="3:12" ht="13.5" x14ac:dyDescent="0.25">
      <c r="C597" s="4"/>
      <c r="H597" s="3"/>
      <c r="I597" s="3"/>
      <c r="J597" s="3"/>
      <c r="K597" s="2"/>
      <c r="L597" s="1"/>
    </row>
    <row r="598" spans="3:12" ht="13.5" x14ac:dyDescent="0.25">
      <c r="C598" s="4"/>
      <c r="H598" s="3"/>
      <c r="I598" s="3"/>
      <c r="J598" s="3"/>
      <c r="K598" s="2"/>
      <c r="L598" s="1"/>
    </row>
    <row r="599" spans="3:12" ht="13.5" x14ac:dyDescent="0.25">
      <c r="C599" s="4"/>
      <c r="H599" s="3"/>
      <c r="I599" s="3"/>
      <c r="J599" s="3"/>
      <c r="K599" s="2"/>
      <c r="L599" s="1"/>
    </row>
    <row r="600" spans="3:12" ht="13.5" x14ac:dyDescent="0.25">
      <c r="C600" s="4"/>
      <c r="H600" s="3"/>
      <c r="I600" s="3"/>
      <c r="J600" s="3"/>
      <c r="K600" s="2"/>
      <c r="L600" s="1"/>
    </row>
    <row r="601" spans="3:12" ht="13.5" x14ac:dyDescent="0.25">
      <c r="C601" s="4"/>
      <c r="H601" s="3"/>
      <c r="I601" s="3"/>
      <c r="J601" s="3"/>
      <c r="K601" s="2"/>
      <c r="L601" s="1"/>
    </row>
    <row r="602" spans="3:12" ht="13.5" x14ac:dyDescent="0.25">
      <c r="C602" s="4"/>
      <c r="H602" s="3"/>
      <c r="I602" s="3"/>
      <c r="J602" s="3"/>
      <c r="K602" s="2"/>
      <c r="L602" s="1"/>
    </row>
    <row r="603" spans="3:12" ht="13.5" x14ac:dyDescent="0.25">
      <c r="C603" s="4"/>
      <c r="H603" s="3"/>
      <c r="I603" s="3"/>
      <c r="J603" s="3"/>
      <c r="K603" s="2"/>
      <c r="L603" s="1"/>
    </row>
    <row r="604" spans="3:12" ht="13.5" x14ac:dyDescent="0.25">
      <c r="C604" s="4"/>
      <c r="H604" s="3"/>
      <c r="I604" s="3"/>
      <c r="J604" s="3"/>
      <c r="K604" s="2"/>
      <c r="L604" s="1"/>
    </row>
    <row r="605" spans="3:12" ht="13.5" x14ac:dyDescent="0.25">
      <c r="C605" s="4"/>
      <c r="H605" s="3"/>
      <c r="I605" s="3"/>
      <c r="J605" s="3"/>
      <c r="K605" s="2"/>
      <c r="L605" s="1"/>
    </row>
    <row r="606" spans="3:12" ht="13.5" x14ac:dyDescent="0.25">
      <c r="C606" s="4"/>
      <c r="H606" s="3"/>
      <c r="I606" s="3"/>
      <c r="J606" s="3"/>
      <c r="K606" s="2"/>
      <c r="L606" s="1"/>
    </row>
    <row r="607" spans="3:12" ht="13.5" x14ac:dyDescent="0.25">
      <c r="C607" s="4"/>
      <c r="H607" s="3"/>
      <c r="I607" s="3"/>
      <c r="J607" s="3"/>
      <c r="K607" s="2"/>
      <c r="L607" s="1"/>
    </row>
    <row r="608" spans="3:12" ht="13.5" x14ac:dyDescent="0.25">
      <c r="C608" s="4"/>
      <c r="H608" s="3"/>
      <c r="I608" s="3"/>
      <c r="J608" s="3"/>
      <c r="K608" s="2"/>
      <c r="L608" s="1"/>
    </row>
    <row r="609" spans="3:12" ht="13.5" x14ac:dyDescent="0.25">
      <c r="C609" s="4"/>
      <c r="H609" s="3"/>
      <c r="I609" s="3"/>
      <c r="J609" s="3"/>
      <c r="K609" s="2"/>
      <c r="L609" s="1"/>
    </row>
    <row r="610" spans="3:12" ht="13.5" x14ac:dyDescent="0.25">
      <c r="C610" s="4"/>
      <c r="H610" s="3"/>
      <c r="I610" s="3"/>
      <c r="J610" s="3"/>
      <c r="K610" s="2"/>
      <c r="L610" s="1"/>
    </row>
    <row r="611" spans="3:12" ht="13.5" x14ac:dyDescent="0.25">
      <c r="C611" s="4"/>
      <c r="H611" s="3"/>
      <c r="I611" s="3"/>
      <c r="J611" s="3"/>
      <c r="K611" s="2"/>
      <c r="L611" s="1"/>
    </row>
    <row r="612" spans="3:12" ht="13.5" x14ac:dyDescent="0.25">
      <c r="C612" s="4"/>
      <c r="H612" s="3"/>
      <c r="I612" s="3"/>
      <c r="J612" s="3"/>
      <c r="K612" s="2"/>
      <c r="L612" s="1"/>
    </row>
    <row r="613" spans="3:12" ht="13.5" x14ac:dyDescent="0.25">
      <c r="C613" s="4"/>
      <c r="H613" s="3"/>
      <c r="I613" s="3"/>
      <c r="J613" s="3"/>
      <c r="K613" s="2"/>
      <c r="L613" s="1"/>
    </row>
    <row r="614" spans="3:12" ht="13.5" x14ac:dyDescent="0.25">
      <c r="C614" s="4"/>
      <c r="H614" s="3"/>
      <c r="I614" s="3"/>
      <c r="J614" s="3"/>
      <c r="K614" s="2"/>
      <c r="L614" s="1"/>
    </row>
    <row r="615" spans="3:12" ht="13.5" x14ac:dyDescent="0.25">
      <c r="C615" s="4"/>
      <c r="H615" s="3"/>
      <c r="I615" s="3"/>
      <c r="J615" s="3"/>
      <c r="K615" s="2"/>
      <c r="L615" s="1"/>
    </row>
    <row r="616" spans="3:12" ht="13.5" x14ac:dyDescent="0.25">
      <c r="C616" s="4"/>
      <c r="H616" s="3"/>
      <c r="I616" s="3"/>
      <c r="J616" s="3"/>
      <c r="K616" s="2"/>
      <c r="L616" s="1"/>
    </row>
    <row r="617" spans="3:12" ht="13.5" x14ac:dyDescent="0.25">
      <c r="C617" s="4"/>
      <c r="H617" s="3"/>
      <c r="I617" s="3"/>
      <c r="J617" s="3"/>
      <c r="K617" s="2"/>
      <c r="L617" s="1"/>
    </row>
    <row r="618" spans="3:12" ht="13.5" x14ac:dyDescent="0.25">
      <c r="C618" s="4"/>
      <c r="H618" s="3"/>
      <c r="I618" s="3"/>
      <c r="J618" s="3"/>
      <c r="K618" s="2"/>
      <c r="L618" s="1"/>
    </row>
    <row r="619" spans="3:12" ht="13.5" x14ac:dyDescent="0.25">
      <c r="C619" s="4"/>
      <c r="H619" s="3"/>
      <c r="I619" s="3"/>
      <c r="J619" s="3"/>
      <c r="K619" s="2"/>
      <c r="L619" s="1"/>
    </row>
    <row r="620" spans="3:12" ht="13.5" x14ac:dyDescent="0.25">
      <c r="C620" s="4"/>
      <c r="H620" s="3"/>
      <c r="I620" s="3"/>
      <c r="J620" s="3"/>
      <c r="K620" s="2"/>
      <c r="L620" s="1"/>
    </row>
    <row r="621" spans="3:12" ht="13.5" x14ac:dyDescent="0.25">
      <c r="C621" s="4"/>
      <c r="H621" s="3"/>
      <c r="I621" s="3"/>
      <c r="J621" s="3"/>
      <c r="K621" s="2"/>
      <c r="L621" s="1"/>
    </row>
    <row r="622" spans="3:12" ht="13.5" x14ac:dyDescent="0.25">
      <c r="C622" s="4"/>
      <c r="H622" s="3"/>
      <c r="I622" s="3"/>
      <c r="J622" s="3"/>
      <c r="K622" s="2"/>
      <c r="L622" s="1"/>
    </row>
    <row r="623" spans="3:12" ht="13.5" x14ac:dyDescent="0.25">
      <c r="C623" s="4"/>
      <c r="H623" s="3"/>
      <c r="I623" s="3"/>
      <c r="J623" s="3"/>
      <c r="K623" s="2"/>
      <c r="L623" s="1"/>
    </row>
    <row r="624" spans="3:12" ht="13.5" x14ac:dyDescent="0.25">
      <c r="C624" s="4"/>
      <c r="H624" s="3"/>
      <c r="I624" s="3"/>
      <c r="J624" s="3"/>
      <c r="K624" s="2"/>
      <c r="L624" s="1"/>
    </row>
    <row r="625" spans="3:12" ht="13.5" x14ac:dyDescent="0.25">
      <c r="C625" s="4"/>
      <c r="H625" s="3"/>
      <c r="I625" s="3"/>
      <c r="J625" s="3"/>
      <c r="K625" s="2"/>
      <c r="L625" s="1"/>
    </row>
    <row r="626" spans="3:12" ht="13.5" x14ac:dyDescent="0.25">
      <c r="C626" s="4"/>
      <c r="H626" s="3"/>
      <c r="I626" s="3"/>
      <c r="J626" s="3"/>
      <c r="K626" s="2"/>
      <c r="L626" s="1"/>
    </row>
    <row r="627" spans="3:12" ht="13.5" x14ac:dyDescent="0.25">
      <c r="C627" s="4"/>
      <c r="H627" s="3"/>
      <c r="I627" s="3"/>
      <c r="J627" s="3"/>
      <c r="K627" s="2"/>
      <c r="L627" s="1"/>
    </row>
    <row r="628" spans="3:12" ht="13.5" x14ac:dyDescent="0.25">
      <c r="C628" s="4"/>
      <c r="H628" s="3"/>
      <c r="I628" s="3"/>
      <c r="J628" s="3"/>
      <c r="K628" s="2"/>
      <c r="L628" s="1"/>
    </row>
    <row r="629" spans="3:12" ht="13.5" x14ac:dyDescent="0.25">
      <c r="C629" s="4"/>
      <c r="H629" s="3"/>
      <c r="I629" s="3"/>
      <c r="J629" s="3"/>
      <c r="K629" s="2"/>
      <c r="L629" s="1"/>
    </row>
    <row r="630" spans="3:12" ht="13.5" x14ac:dyDescent="0.25">
      <c r="C630" s="4"/>
      <c r="H630" s="3"/>
      <c r="I630" s="3"/>
      <c r="J630" s="3"/>
      <c r="K630" s="2"/>
      <c r="L630" s="1"/>
    </row>
    <row r="631" spans="3:12" ht="13.5" x14ac:dyDescent="0.25">
      <c r="C631" s="4"/>
      <c r="H631" s="3"/>
      <c r="I631" s="3"/>
      <c r="J631" s="3"/>
      <c r="K631" s="2"/>
      <c r="L631" s="1"/>
    </row>
    <row r="632" spans="3:12" ht="13.5" x14ac:dyDescent="0.25">
      <c r="C632" s="4"/>
      <c r="H632" s="3"/>
      <c r="I632" s="3"/>
      <c r="J632" s="3"/>
      <c r="K632" s="2"/>
      <c r="L632" s="1"/>
    </row>
    <row r="633" spans="3:12" ht="13.5" x14ac:dyDescent="0.25">
      <c r="C633" s="4"/>
      <c r="H633" s="3"/>
      <c r="I633" s="3"/>
      <c r="J633" s="3"/>
      <c r="K633" s="2"/>
      <c r="L633" s="1"/>
    </row>
    <row r="634" spans="3:12" ht="13.5" x14ac:dyDescent="0.25">
      <c r="C634" s="4"/>
      <c r="H634" s="3"/>
      <c r="I634" s="3"/>
      <c r="J634" s="3"/>
      <c r="K634" s="2"/>
      <c r="L634" s="1"/>
    </row>
    <row r="635" spans="3:12" ht="13.5" x14ac:dyDescent="0.25">
      <c r="C635" s="4"/>
      <c r="H635" s="3"/>
      <c r="I635" s="3"/>
      <c r="J635" s="3"/>
      <c r="K635" s="2"/>
      <c r="L635" s="1"/>
    </row>
    <row r="636" spans="3:12" ht="13.5" x14ac:dyDescent="0.25">
      <c r="C636" s="4"/>
      <c r="H636" s="3"/>
      <c r="I636" s="3"/>
      <c r="J636" s="3"/>
      <c r="K636" s="2"/>
      <c r="L636" s="1"/>
    </row>
    <row r="637" spans="3:12" ht="13.5" x14ac:dyDescent="0.25">
      <c r="C637" s="4"/>
      <c r="H637" s="3"/>
      <c r="I637" s="3"/>
      <c r="J637" s="3"/>
      <c r="K637" s="2"/>
      <c r="L637" s="1"/>
    </row>
    <row r="638" spans="3:12" ht="13.5" x14ac:dyDescent="0.25">
      <c r="C638" s="4"/>
      <c r="H638" s="3"/>
      <c r="I638" s="3"/>
      <c r="J638" s="3"/>
      <c r="K638" s="2"/>
      <c r="L638" s="1"/>
    </row>
    <row r="639" spans="3:12" ht="13.5" x14ac:dyDescent="0.25">
      <c r="C639" s="4"/>
      <c r="H639" s="3"/>
      <c r="I639" s="3"/>
      <c r="J639" s="3"/>
      <c r="K639" s="2"/>
      <c r="L639" s="1"/>
    </row>
    <row r="640" spans="3:12" ht="13.5" x14ac:dyDescent="0.25">
      <c r="C640" s="4"/>
      <c r="H640" s="3"/>
      <c r="I640" s="3"/>
      <c r="J640" s="3"/>
      <c r="K640" s="2"/>
      <c r="L640" s="1"/>
    </row>
    <row r="641" spans="3:12" ht="13.5" x14ac:dyDescent="0.25">
      <c r="C641" s="4"/>
      <c r="H641" s="3"/>
      <c r="I641" s="3"/>
      <c r="J641" s="3"/>
      <c r="K641" s="2"/>
      <c r="L641" s="1"/>
    </row>
    <row r="642" spans="3:12" ht="13.5" x14ac:dyDescent="0.25">
      <c r="C642" s="4"/>
      <c r="H642" s="3"/>
      <c r="I642" s="3"/>
      <c r="J642" s="3"/>
      <c r="K642" s="2"/>
      <c r="L642" s="1"/>
    </row>
    <row r="643" spans="3:12" ht="13.5" x14ac:dyDescent="0.25">
      <c r="C643" s="4"/>
      <c r="H643" s="3"/>
      <c r="I643" s="3"/>
      <c r="J643" s="3"/>
      <c r="K643" s="2"/>
      <c r="L643" s="1"/>
    </row>
    <row r="644" spans="3:12" ht="13.5" x14ac:dyDescent="0.25">
      <c r="C644" s="4"/>
      <c r="H644" s="3"/>
      <c r="I644" s="3"/>
      <c r="J644" s="3"/>
      <c r="K644" s="2"/>
      <c r="L644" s="1"/>
    </row>
    <row r="645" spans="3:12" ht="13.5" x14ac:dyDescent="0.25">
      <c r="C645" s="4"/>
      <c r="H645" s="3"/>
      <c r="I645" s="3"/>
      <c r="J645" s="3"/>
      <c r="K645" s="2"/>
      <c r="L645" s="1"/>
    </row>
    <row r="646" spans="3:12" ht="13.5" x14ac:dyDescent="0.25">
      <c r="C646" s="4"/>
      <c r="H646" s="3"/>
      <c r="I646" s="3"/>
      <c r="J646" s="3"/>
      <c r="K646" s="2"/>
      <c r="L646" s="1"/>
    </row>
    <row r="647" spans="3:12" ht="13.5" x14ac:dyDescent="0.25">
      <c r="C647" s="4"/>
      <c r="H647" s="3"/>
      <c r="I647" s="3"/>
      <c r="J647" s="3"/>
      <c r="K647" s="2"/>
      <c r="L647" s="1"/>
    </row>
    <row r="648" spans="3:12" ht="13.5" x14ac:dyDescent="0.25">
      <c r="C648" s="4"/>
      <c r="H648" s="3"/>
      <c r="I648" s="3"/>
      <c r="J648" s="3"/>
      <c r="K648" s="2"/>
      <c r="L648" s="1"/>
    </row>
    <row r="649" spans="3:12" ht="13.5" x14ac:dyDescent="0.25">
      <c r="C649" s="4"/>
      <c r="H649" s="3"/>
      <c r="I649" s="3"/>
      <c r="J649" s="3"/>
      <c r="K649" s="2"/>
      <c r="L649" s="1"/>
    </row>
    <row r="650" spans="3:12" ht="13.5" x14ac:dyDescent="0.25">
      <c r="C650" s="4"/>
      <c r="H650" s="3"/>
      <c r="I650" s="3"/>
      <c r="J650" s="3"/>
      <c r="K650" s="2"/>
      <c r="L650" s="1"/>
    </row>
    <row r="651" spans="3:12" ht="13.5" x14ac:dyDescent="0.25">
      <c r="C651" s="4"/>
      <c r="H651" s="3"/>
      <c r="I651" s="3"/>
      <c r="J651" s="3"/>
      <c r="K651" s="2"/>
      <c r="L651" s="1"/>
    </row>
    <row r="652" spans="3:12" ht="13.5" x14ac:dyDescent="0.25">
      <c r="C652" s="4"/>
      <c r="H652" s="3"/>
      <c r="I652" s="3"/>
      <c r="J652" s="3"/>
      <c r="K652" s="2"/>
      <c r="L652" s="1"/>
    </row>
    <row r="653" spans="3:12" ht="13.5" x14ac:dyDescent="0.25">
      <c r="C653" s="4"/>
      <c r="H653" s="3"/>
      <c r="I653" s="3"/>
      <c r="J653" s="3"/>
      <c r="K653" s="2"/>
      <c r="L653" s="1"/>
    </row>
    <row r="654" spans="3:12" ht="13.5" x14ac:dyDescent="0.25">
      <c r="C654" s="4"/>
      <c r="H654" s="3"/>
      <c r="I654" s="3"/>
      <c r="J654" s="3"/>
      <c r="K654" s="2"/>
      <c r="L654" s="1"/>
    </row>
    <row r="655" spans="3:12" ht="13.5" x14ac:dyDescent="0.25">
      <c r="C655" s="4"/>
      <c r="H655" s="3"/>
      <c r="I655" s="3"/>
      <c r="J655" s="3"/>
      <c r="K655" s="2"/>
      <c r="L655" s="1"/>
    </row>
    <row r="656" spans="3:12" ht="13.5" x14ac:dyDescent="0.25">
      <c r="C656" s="4"/>
      <c r="H656" s="3"/>
      <c r="I656" s="3"/>
      <c r="J656" s="3"/>
      <c r="K656" s="2"/>
      <c r="L656" s="1"/>
    </row>
    <row r="657" spans="3:12" ht="13.5" x14ac:dyDescent="0.25">
      <c r="C657" s="4"/>
      <c r="H657" s="3"/>
      <c r="I657" s="3"/>
      <c r="J657" s="3"/>
      <c r="K657" s="2"/>
      <c r="L657" s="1"/>
    </row>
    <row r="658" spans="3:12" ht="13.5" x14ac:dyDescent="0.25">
      <c r="C658" s="4"/>
      <c r="H658" s="3"/>
      <c r="I658" s="3"/>
      <c r="J658" s="3"/>
      <c r="K658" s="2"/>
      <c r="L658" s="1"/>
    </row>
    <row r="659" spans="3:12" ht="13.5" x14ac:dyDescent="0.25">
      <c r="C659" s="4"/>
      <c r="H659" s="3"/>
      <c r="I659" s="3"/>
      <c r="J659" s="3"/>
      <c r="K659" s="2"/>
      <c r="L659" s="1"/>
    </row>
    <row r="660" spans="3:12" ht="13.5" x14ac:dyDescent="0.25">
      <c r="C660" s="4"/>
      <c r="H660" s="3"/>
      <c r="I660" s="3"/>
      <c r="J660" s="3"/>
      <c r="K660" s="2"/>
      <c r="L660" s="1"/>
    </row>
    <row r="661" spans="3:12" ht="13.5" x14ac:dyDescent="0.25">
      <c r="C661" s="4"/>
      <c r="H661" s="3"/>
      <c r="I661" s="3"/>
      <c r="J661" s="3"/>
      <c r="K661" s="2"/>
      <c r="L661" s="1"/>
    </row>
    <row r="662" spans="3:12" ht="13.5" x14ac:dyDescent="0.25">
      <c r="C662" s="4"/>
      <c r="H662" s="3"/>
      <c r="I662" s="3"/>
      <c r="J662" s="3"/>
      <c r="K662" s="2"/>
      <c r="L662" s="1"/>
    </row>
    <row r="663" spans="3:12" ht="13.5" x14ac:dyDescent="0.25">
      <c r="C663" s="4"/>
      <c r="H663" s="3"/>
      <c r="I663" s="3"/>
      <c r="J663" s="3"/>
      <c r="K663" s="2"/>
      <c r="L663" s="1"/>
    </row>
    <row r="664" spans="3:12" ht="13.5" x14ac:dyDescent="0.25">
      <c r="C664" s="4"/>
      <c r="H664" s="3"/>
      <c r="I664" s="3"/>
      <c r="J664" s="3"/>
      <c r="K664" s="2"/>
      <c r="L664" s="1"/>
    </row>
    <row r="665" spans="3:12" ht="13.5" x14ac:dyDescent="0.25">
      <c r="C665" s="4"/>
      <c r="H665" s="3"/>
      <c r="I665" s="3"/>
      <c r="J665" s="3"/>
      <c r="K665" s="2"/>
      <c r="L665" s="1"/>
    </row>
    <row r="666" spans="3:12" ht="13.5" x14ac:dyDescent="0.25">
      <c r="C666" s="4"/>
      <c r="H666" s="3"/>
      <c r="I666" s="3"/>
      <c r="J666" s="3"/>
      <c r="K666" s="2"/>
      <c r="L666" s="1"/>
    </row>
    <row r="667" spans="3:12" ht="13.5" x14ac:dyDescent="0.25">
      <c r="C667" s="4"/>
      <c r="H667" s="3"/>
      <c r="I667" s="3"/>
      <c r="J667" s="3"/>
      <c r="K667" s="2"/>
      <c r="L667" s="1"/>
    </row>
    <row r="668" spans="3:12" ht="13.5" x14ac:dyDescent="0.25">
      <c r="C668" s="4"/>
      <c r="H668" s="3"/>
      <c r="I668" s="3"/>
      <c r="J668" s="3"/>
      <c r="K668" s="2"/>
      <c r="L668" s="1"/>
    </row>
    <row r="669" spans="3:12" ht="13.5" x14ac:dyDescent="0.25">
      <c r="C669" s="4"/>
      <c r="H669" s="3"/>
      <c r="I669" s="3"/>
      <c r="J669" s="3"/>
      <c r="K669" s="2"/>
      <c r="L669" s="1"/>
    </row>
    <row r="670" spans="3:12" ht="13.5" x14ac:dyDescent="0.25">
      <c r="C670" s="4"/>
      <c r="H670" s="3"/>
      <c r="I670" s="3"/>
      <c r="J670" s="3"/>
      <c r="K670" s="2"/>
      <c r="L670" s="1"/>
    </row>
    <row r="671" spans="3:12" ht="13.5" x14ac:dyDescent="0.25">
      <c r="C671" s="4"/>
      <c r="H671" s="3"/>
      <c r="I671" s="3"/>
      <c r="J671" s="3"/>
      <c r="K671" s="2"/>
      <c r="L671" s="1"/>
    </row>
    <row r="672" spans="3:12" ht="13.5" x14ac:dyDescent="0.25">
      <c r="C672" s="4"/>
      <c r="H672" s="3"/>
      <c r="I672" s="3"/>
      <c r="J672" s="3"/>
      <c r="K672" s="2"/>
      <c r="L672" s="1"/>
    </row>
    <row r="673" spans="3:12" ht="13.5" x14ac:dyDescent="0.25">
      <c r="C673" s="4"/>
      <c r="H673" s="3"/>
      <c r="I673" s="3"/>
      <c r="J673" s="3"/>
      <c r="K673" s="2"/>
      <c r="L673" s="1"/>
    </row>
    <row r="674" spans="3:12" ht="13.5" x14ac:dyDescent="0.25">
      <c r="C674" s="4"/>
      <c r="H674" s="3"/>
      <c r="I674" s="3"/>
      <c r="J674" s="3"/>
      <c r="K674" s="2"/>
      <c r="L674" s="1"/>
    </row>
    <row r="675" spans="3:12" ht="13.5" x14ac:dyDescent="0.25">
      <c r="C675" s="4"/>
      <c r="H675" s="3"/>
      <c r="I675" s="3"/>
      <c r="J675" s="3"/>
      <c r="K675" s="2"/>
      <c r="L675" s="1"/>
    </row>
    <row r="676" spans="3:12" ht="13.5" x14ac:dyDescent="0.25">
      <c r="C676" s="4"/>
      <c r="H676" s="3"/>
      <c r="I676" s="3"/>
      <c r="J676" s="3"/>
      <c r="K676" s="2"/>
      <c r="L676" s="1"/>
    </row>
    <row r="677" spans="3:12" ht="13.5" x14ac:dyDescent="0.25">
      <c r="C677" s="4"/>
      <c r="H677" s="3"/>
      <c r="I677" s="3"/>
      <c r="J677" s="3"/>
      <c r="K677" s="2"/>
      <c r="L677" s="1"/>
    </row>
    <row r="678" spans="3:12" ht="13.5" x14ac:dyDescent="0.25">
      <c r="C678" s="4"/>
      <c r="H678" s="3"/>
      <c r="I678" s="3"/>
      <c r="J678" s="3"/>
      <c r="K678" s="2"/>
      <c r="L678" s="1"/>
    </row>
    <row r="679" spans="3:12" ht="13.5" x14ac:dyDescent="0.25">
      <c r="C679" s="4"/>
      <c r="H679" s="3"/>
      <c r="I679" s="3"/>
      <c r="J679" s="3"/>
      <c r="K679" s="2"/>
      <c r="L679" s="1"/>
    </row>
    <row r="680" spans="3:12" ht="13.5" x14ac:dyDescent="0.25">
      <c r="C680" s="4"/>
      <c r="H680" s="3"/>
      <c r="I680" s="3"/>
      <c r="J680" s="3"/>
      <c r="K680" s="2"/>
      <c r="L680" s="1"/>
    </row>
    <row r="681" spans="3:12" ht="13.5" x14ac:dyDescent="0.25">
      <c r="C681" s="4"/>
      <c r="H681" s="3"/>
      <c r="I681" s="3"/>
      <c r="J681" s="3"/>
      <c r="K681" s="2"/>
      <c r="L681" s="1"/>
    </row>
    <row r="682" spans="3:12" ht="13.5" x14ac:dyDescent="0.25">
      <c r="C682" s="4"/>
      <c r="H682" s="3"/>
      <c r="I682" s="3"/>
      <c r="J682" s="3"/>
      <c r="K682" s="2"/>
      <c r="L682" s="1"/>
    </row>
    <row r="683" spans="3:12" ht="13.5" x14ac:dyDescent="0.25">
      <c r="C683" s="4"/>
      <c r="H683" s="3"/>
      <c r="I683" s="3"/>
      <c r="J683" s="3"/>
      <c r="K683" s="2"/>
      <c r="L683" s="1"/>
    </row>
    <row r="684" spans="3:12" ht="13.5" x14ac:dyDescent="0.25">
      <c r="C684" s="4"/>
      <c r="H684" s="3"/>
      <c r="I684" s="3"/>
      <c r="J684" s="3"/>
      <c r="K684" s="2"/>
      <c r="L684" s="1"/>
    </row>
    <row r="685" spans="3:12" ht="13.5" x14ac:dyDescent="0.25">
      <c r="C685" s="4"/>
      <c r="H685" s="3"/>
      <c r="I685" s="3"/>
      <c r="J685" s="3"/>
      <c r="K685" s="2"/>
      <c r="L685" s="1"/>
    </row>
    <row r="686" spans="3:12" ht="13.5" x14ac:dyDescent="0.25">
      <c r="C686" s="4"/>
      <c r="H686" s="3"/>
      <c r="I686" s="3"/>
      <c r="J686" s="3"/>
      <c r="K686" s="2"/>
      <c r="L686" s="1"/>
    </row>
    <row r="687" spans="3:12" ht="13.5" x14ac:dyDescent="0.25">
      <c r="C687" s="4"/>
      <c r="H687" s="3"/>
      <c r="I687" s="3"/>
      <c r="J687" s="3"/>
      <c r="K687" s="2"/>
      <c r="L687" s="1"/>
    </row>
    <row r="688" spans="3:12" ht="13.5" x14ac:dyDescent="0.25">
      <c r="C688" s="4"/>
      <c r="H688" s="3"/>
      <c r="I688" s="3"/>
      <c r="J688" s="3"/>
      <c r="K688" s="2"/>
      <c r="L688" s="1"/>
    </row>
    <row r="689" spans="3:12" ht="13.5" x14ac:dyDescent="0.25">
      <c r="C689" s="4"/>
      <c r="H689" s="3"/>
      <c r="I689" s="3"/>
      <c r="J689" s="3"/>
      <c r="K689" s="2"/>
      <c r="L689" s="1"/>
    </row>
    <row r="690" spans="3:12" ht="13.5" x14ac:dyDescent="0.25">
      <c r="C690" s="4"/>
      <c r="H690" s="3"/>
      <c r="I690" s="3"/>
      <c r="J690" s="3"/>
      <c r="K690" s="2"/>
      <c r="L690" s="1"/>
    </row>
    <row r="691" spans="3:12" ht="13.5" x14ac:dyDescent="0.25">
      <c r="C691" s="4"/>
      <c r="H691" s="3"/>
      <c r="I691" s="3"/>
      <c r="J691" s="3"/>
      <c r="K691" s="2"/>
      <c r="L691" s="1"/>
    </row>
    <row r="692" spans="3:12" ht="13.5" x14ac:dyDescent="0.25">
      <c r="C692" s="4"/>
      <c r="H692" s="3"/>
      <c r="I692" s="3"/>
      <c r="J692" s="3"/>
      <c r="K692" s="2"/>
      <c r="L692" s="1"/>
    </row>
    <row r="693" spans="3:12" ht="13.5" x14ac:dyDescent="0.25">
      <c r="C693" s="4"/>
      <c r="H693" s="3"/>
      <c r="I693" s="3"/>
      <c r="J693" s="3"/>
      <c r="K693" s="2"/>
      <c r="L693" s="1"/>
    </row>
    <row r="694" spans="3:12" ht="13.5" x14ac:dyDescent="0.25">
      <c r="C694" s="4"/>
      <c r="H694" s="3"/>
      <c r="I694" s="3"/>
      <c r="J694" s="3"/>
      <c r="K694" s="2"/>
      <c r="L694" s="1"/>
    </row>
    <row r="695" spans="3:12" ht="13.5" x14ac:dyDescent="0.25">
      <c r="C695" s="4"/>
      <c r="H695" s="3"/>
      <c r="I695" s="3"/>
      <c r="J695" s="3"/>
      <c r="K695" s="2"/>
      <c r="L695" s="1"/>
    </row>
    <row r="696" spans="3:12" ht="13.5" x14ac:dyDescent="0.25">
      <c r="C696" s="4"/>
      <c r="H696" s="3"/>
      <c r="I696" s="3"/>
      <c r="J696" s="3"/>
      <c r="K696" s="2"/>
      <c r="L696" s="1"/>
    </row>
    <row r="697" spans="3:12" ht="13.5" x14ac:dyDescent="0.25">
      <c r="C697" s="4"/>
      <c r="H697" s="3"/>
      <c r="I697" s="3"/>
      <c r="J697" s="3"/>
      <c r="K697" s="2"/>
      <c r="L697" s="1"/>
    </row>
    <row r="698" spans="3:12" ht="13.5" x14ac:dyDescent="0.25">
      <c r="C698" s="4"/>
      <c r="H698" s="3"/>
      <c r="I698" s="3"/>
      <c r="J698" s="3"/>
      <c r="K698" s="2"/>
      <c r="L698" s="1"/>
    </row>
    <row r="699" spans="3:12" ht="13.5" x14ac:dyDescent="0.25">
      <c r="C699" s="4"/>
      <c r="H699" s="3"/>
      <c r="I699" s="3"/>
      <c r="J699" s="3"/>
      <c r="K699" s="2"/>
      <c r="L699" s="1"/>
    </row>
    <row r="700" spans="3:12" ht="13.5" x14ac:dyDescent="0.25">
      <c r="C700" s="4"/>
      <c r="H700" s="3"/>
      <c r="I700" s="3"/>
      <c r="J700" s="3"/>
      <c r="K700" s="2"/>
      <c r="L700" s="1"/>
    </row>
    <row r="701" spans="3:12" ht="13.5" x14ac:dyDescent="0.25">
      <c r="C701" s="4"/>
      <c r="H701" s="3"/>
      <c r="I701" s="3"/>
      <c r="J701" s="3"/>
      <c r="K701" s="2"/>
      <c r="L701" s="1"/>
    </row>
    <row r="702" spans="3:12" ht="13.5" x14ac:dyDescent="0.25">
      <c r="C702" s="4"/>
      <c r="H702" s="3"/>
      <c r="I702" s="3"/>
      <c r="J702" s="3"/>
      <c r="K702" s="2"/>
      <c r="L702" s="1"/>
    </row>
    <row r="703" spans="3:12" ht="13.5" x14ac:dyDescent="0.25">
      <c r="C703" s="4"/>
      <c r="H703" s="3"/>
      <c r="I703" s="3"/>
      <c r="J703" s="3"/>
      <c r="K703" s="2"/>
      <c r="L703" s="1"/>
    </row>
    <row r="704" spans="3:12" ht="13.5" x14ac:dyDescent="0.25">
      <c r="C704" s="4"/>
      <c r="H704" s="3"/>
      <c r="I704" s="3"/>
      <c r="J704" s="3"/>
      <c r="K704" s="2"/>
      <c r="L704" s="1"/>
    </row>
    <row r="705" spans="3:12" ht="13.5" x14ac:dyDescent="0.25">
      <c r="C705" s="4"/>
      <c r="H705" s="3"/>
      <c r="I705" s="3"/>
      <c r="J705" s="3"/>
      <c r="K705" s="2"/>
      <c r="L705" s="1"/>
    </row>
    <row r="706" spans="3:12" ht="13.5" x14ac:dyDescent="0.25">
      <c r="C706" s="4"/>
      <c r="H706" s="3"/>
      <c r="I706" s="3"/>
      <c r="J706" s="3"/>
      <c r="K706" s="2"/>
      <c r="L706" s="1"/>
    </row>
    <row r="707" spans="3:12" ht="13.5" x14ac:dyDescent="0.25">
      <c r="C707" s="4"/>
      <c r="H707" s="3"/>
      <c r="I707" s="3"/>
      <c r="J707" s="3"/>
      <c r="K707" s="2"/>
      <c r="L707" s="1"/>
    </row>
    <row r="708" spans="3:12" ht="13.5" x14ac:dyDescent="0.25">
      <c r="C708" s="4"/>
      <c r="H708" s="3"/>
      <c r="I708" s="3"/>
      <c r="J708" s="3"/>
      <c r="K708" s="2"/>
      <c r="L708" s="1"/>
    </row>
    <row r="709" spans="3:12" ht="13.5" x14ac:dyDescent="0.25">
      <c r="C709" s="4"/>
      <c r="H709" s="3"/>
      <c r="I709" s="3"/>
      <c r="J709" s="3"/>
      <c r="K709" s="2"/>
      <c r="L709" s="1"/>
    </row>
    <row r="710" spans="3:12" ht="13.5" x14ac:dyDescent="0.25">
      <c r="C710" s="4"/>
      <c r="H710" s="3"/>
      <c r="I710" s="3"/>
      <c r="J710" s="3"/>
      <c r="K710" s="2"/>
      <c r="L710" s="1"/>
    </row>
    <row r="711" spans="3:12" ht="13.5" x14ac:dyDescent="0.25">
      <c r="C711" s="4"/>
      <c r="H711" s="3"/>
      <c r="I711" s="3"/>
      <c r="J711" s="3"/>
      <c r="K711" s="2"/>
      <c r="L711" s="1"/>
    </row>
    <row r="712" spans="3:12" ht="13.5" x14ac:dyDescent="0.25">
      <c r="C712" s="4"/>
      <c r="H712" s="3"/>
      <c r="I712" s="3"/>
      <c r="J712" s="3"/>
      <c r="K712" s="2"/>
      <c r="L712" s="1"/>
    </row>
    <row r="713" spans="3:12" ht="13.5" x14ac:dyDescent="0.25">
      <c r="C713" s="4"/>
      <c r="H713" s="3"/>
      <c r="I713" s="3"/>
      <c r="J713" s="3"/>
      <c r="K713" s="2"/>
      <c r="L713" s="1"/>
    </row>
    <row r="714" spans="3:12" ht="13.5" x14ac:dyDescent="0.25">
      <c r="C714" s="4"/>
      <c r="H714" s="3"/>
      <c r="I714" s="3"/>
      <c r="J714" s="3"/>
      <c r="K714" s="2"/>
      <c r="L714" s="1"/>
    </row>
    <row r="715" spans="3:12" ht="13.5" x14ac:dyDescent="0.25">
      <c r="C715" s="4"/>
      <c r="H715" s="3"/>
      <c r="I715" s="3"/>
      <c r="J715" s="3"/>
      <c r="K715" s="2"/>
      <c r="L715" s="1"/>
    </row>
    <row r="716" spans="3:12" ht="13.5" x14ac:dyDescent="0.25">
      <c r="C716" s="4"/>
      <c r="H716" s="3"/>
      <c r="I716" s="3"/>
      <c r="J716" s="3"/>
      <c r="K716" s="2"/>
      <c r="L716" s="1"/>
    </row>
    <row r="717" spans="3:12" ht="13.5" x14ac:dyDescent="0.25">
      <c r="C717" s="4"/>
      <c r="H717" s="3"/>
      <c r="I717" s="3"/>
      <c r="J717" s="3"/>
      <c r="K717" s="2"/>
      <c r="L717" s="1"/>
    </row>
    <row r="718" spans="3:12" ht="13.5" x14ac:dyDescent="0.25">
      <c r="C718" s="4"/>
      <c r="H718" s="3"/>
      <c r="I718" s="3"/>
      <c r="J718" s="3"/>
      <c r="K718" s="2"/>
      <c r="L718" s="1"/>
    </row>
    <row r="719" spans="3:12" ht="13.5" x14ac:dyDescent="0.25">
      <c r="C719" s="4"/>
      <c r="H719" s="3"/>
      <c r="I719" s="3"/>
      <c r="J719" s="3"/>
      <c r="K719" s="2"/>
      <c r="L719" s="1"/>
    </row>
    <row r="720" spans="3:12" ht="13.5" x14ac:dyDescent="0.25">
      <c r="C720" s="4"/>
      <c r="H720" s="3"/>
      <c r="I720" s="3"/>
      <c r="J720" s="3"/>
      <c r="K720" s="2"/>
      <c r="L720" s="1"/>
    </row>
    <row r="721" spans="3:12" ht="13.5" x14ac:dyDescent="0.25">
      <c r="C721" s="4"/>
      <c r="H721" s="3"/>
      <c r="I721" s="3"/>
      <c r="J721" s="3"/>
      <c r="K721" s="2"/>
      <c r="L721" s="1"/>
    </row>
    <row r="722" spans="3:12" ht="13.5" x14ac:dyDescent="0.25">
      <c r="C722" s="4"/>
      <c r="H722" s="3"/>
      <c r="I722" s="3"/>
      <c r="J722" s="3"/>
      <c r="K722" s="2"/>
      <c r="L722" s="1"/>
    </row>
    <row r="723" spans="3:12" ht="13.5" x14ac:dyDescent="0.25">
      <c r="C723" s="4"/>
      <c r="H723" s="3"/>
      <c r="I723" s="3"/>
      <c r="J723" s="3"/>
      <c r="K723" s="2"/>
      <c r="L723" s="1"/>
    </row>
    <row r="724" spans="3:12" ht="13.5" x14ac:dyDescent="0.25">
      <c r="C724" s="4"/>
      <c r="H724" s="3"/>
      <c r="I724" s="3"/>
      <c r="J724" s="3"/>
      <c r="K724" s="2"/>
      <c r="L724" s="1"/>
    </row>
    <row r="725" spans="3:12" ht="13.5" x14ac:dyDescent="0.25">
      <c r="C725" s="4"/>
      <c r="H725" s="3"/>
      <c r="I725" s="3"/>
      <c r="J725" s="3"/>
      <c r="K725" s="2"/>
      <c r="L725" s="1"/>
    </row>
    <row r="726" spans="3:12" ht="13.5" x14ac:dyDescent="0.25">
      <c r="C726" s="4"/>
      <c r="H726" s="3"/>
      <c r="I726" s="3"/>
      <c r="J726" s="3"/>
      <c r="K726" s="2"/>
      <c r="L726" s="1"/>
    </row>
    <row r="727" spans="3:12" ht="13.5" x14ac:dyDescent="0.25">
      <c r="C727" s="4"/>
      <c r="H727" s="3"/>
      <c r="I727" s="3"/>
      <c r="J727" s="3"/>
      <c r="K727" s="2"/>
      <c r="L727" s="1"/>
    </row>
    <row r="728" spans="3:12" ht="13.5" x14ac:dyDescent="0.25">
      <c r="C728" s="4"/>
      <c r="H728" s="3"/>
      <c r="I728" s="3"/>
      <c r="J728" s="3"/>
      <c r="K728" s="2"/>
      <c r="L728" s="1"/>
    </row>
    <row r="729" spans="3:12" ht="13.5" x14ac:dyDescent="0.25">
      <c r="C729" s="4"/>
      <c r="H729" s="3"/>
      <c r="I729" s="3"/>
      <c r="J729" s="3"/>
      <c r="K729" s="2"/>
      <c r="L729" s="1"/>
    </row>
    <row r="730" spans="3:12" ht="13.5" x14ac:dyDescent="0.25">
      <c r="C730" s="4"/>
      <c r="H730" s="3"/>
      <c r="I730" s="3"/>
      <c r="J730" s="3"/>
      <c r="K730" s="2"/>
      <c r="L730" s="1"/>
    </row>
    <row r="731" spans="3:12" ht="13.5" x14ac:dyDescent="0.25">
      <c r="C731" s="4"/>
      <c r="H731" s="3"/>
      <c r="I731" s="3"/>
      <c r="J731" s="3"/>
      <c r="K731" s="2"/>
      <c r="L731" s="1"/>
    </row>
    <row r="732" spans="3:12" ht="13.5" x14ac:dyDescent="0.25">
      <c r="C732" s="4"/>
      <c r="H732" s="3"/>
      <c r="I732" s="3"/>
      <c r="J732" s="3"/>
      <c r="K732" s="2"/>
      <c r="L732" s="1"/>
    </row>
    <row r="733" spans="3:12" ht="13.5" x14ac:dyDescent="0.25">
      <c r="C733" s="4"/>
      <c r="H733" s="3"/>
      <c r="I733" s="3"/>
      <c r="J733" s="3"/>
      <c r="K733" s="2"/>
      <c r="L733" s="1"/>
    </row>
    <row r="734" spans="3:12" ht="13.5" x14ac:dyDescent="0.25">
      <c r="C734" s="4"/>
      <c r="H734" s="3"/>
      <c r="I734" s="3"/>
      <c r="J734" s="3"/>
      <c r="K734" s="2"/>
      <c r="L734" s="1"/>
    </row>
    <row r="735" spans="3:12" ht="13.5" x14ac:dyDescent="0.25">
      <c r="C735" s="4"/>
      <c r="H735" s="3"/>
      <c r="I735" s="3"/>
      <c r="J735" s="3"/>
      <c r="K735" s="2"/>
      <c r="L735" s="1"/>
    </row>
    <row r="736" spans="3:12" ht="13.5" x14ac:dyDescent="0.25">
      <c r="C736" s="4"/>
      <c r="H736" s="3"/>
      <c r="I736" s="3"/>
      <c r="J736" s="3"/>
      <c r="K736" s="2"/>
      <c r="L736" s="1"/>
    </row>
    <row r="737" spans="3:12" ht="13.5" x14ac:dyDescent="0.25">
      <c r="C737" s="4"/>
      <c r="H737" s="3"/>
      <c r="I737" s="3"/>
      <c r="J737" s="3"/>
      <c r="K737" s="2"/>
      <c r="L737" s="1"/>
    </row>
    <row r="738" spans="3:12" ht="13.5" x14ac:dyDescent="0.25">
      <c r="C738" s="4"/>
      <c r="H738" s="3"/>
      <c r="I738" s="3"/>
      <c r="J738" s="3"/>
      <c r="K738" s="2"/>
      <c r="L738" s="1"/>
    </row>
    <row r="739" spans="3:12" ht="13.5" x14ac:dyDescent="0.25">
      <c r="C739" s="4"/>
      <c r="H739" s="3"/>
      <c r="I739" s="3"/>
      <c r="J739" s="3"/>
      <c r="K739" s="2"/>
      <c r="L739" s="1"/>
    </row>
    <row r="740" spans="3:12" ht="13.5" x14ac:dyDescent="0.25">
      <c r="C740" s="4"/>
      <c r="H740" s="3"/>
      <c r="I740" s="3"/>
      <c r="J740" s="3"/>
      <c r="K740" s="2"/>
      <c r="L740" s="1"/>
    </row>
    <row r="741" spans="3:12" ht="13.5" x14ac:dyDescent="0.25">
      <c r="C741" s="4"/>
      <c r="H741" s="3"/>
      <c r="I741" s="3"/>
      <c r="J741" s="3"/>
      <c r="K741" s="2"/>
      <c r="L741" s="1"/>
    </row>
    <row r="742" spans="3:12" ht="13.5" x14ac:dyDescent="0.25">
      <c r="C742" s="4"/>
      <c r="H742" s="3"/>
      <c r="I742" s="3"/>
      <c r="J742" s="3"/>
      <c r="K742" s="2"/>
      <c r="L742" s="1"/>
    </row>
    <row r="743" spans="3:12" ht="13.5" x14ac:dyDescent="0.25">
      <c r="C743" s="4"/>
      <c r="H743" s="3"/>
      <c r="I743" s="3"/>
      <c r="J743" s="3"/>
      <c r="K743" s="2"/>
      <c r="L743" s="1"/>
    </row>
    <row r="744" spans="3:12" ht="13.5" x14ac:dyDescent="0.25">
      <c r="C744" s="4"/>
      <c r="H744" s="3"/>
      <c r="I744" s="3"/>
      <c r="J744" s="3"/>
      <c r="K744" s="2"/>
      <c r="L744" s="1"/>
    </row>
    <row r="745" spans="3:12" ht="13.5" x14ac:dyDescent="0.25">
      <c r="C745" s="4"/>
      <c r="H745" s="3"/>
      <c r="I745" s="3"/>
      <c r="J745" s="3"/>
      <c r="K745" s="2"/>
      <c r="L745" s="1"/>
    </row>
    <row r="746" spans="3:12" ht="13.5" x14ac:dyDescent="0.25">
      <c r="C746" s="4"/>
      <c r="H746" s="3"/>
      <c r="I746" s="3"/>
      <c r="J746" s="3"/>
      <c r="K746" s="2"/>
      <c r="L746" s="1"/>
    </row>
    <row r="747" spans="3:12" ht="13.5" x14ac:dyDescent="0.25">
      <c r="C747" s="4"/>
      <c r="H747" s="3"/>
      <c r="I747" s="3"/>
      <c r="J747" s="3"/>
      <c r="K747" s="2"/>
      <c r="L747" s="1"/>
    </row>
    <row r="748" spans="3:12" ht="13.5" x14ac:dyDescent="0.25">
      <c r="C748" s="4"/>
      <c r="H748" s="3"/>
      <c r="I748" s="3"/>
      <c r="J748" s="3"/>
      <c r="K748" s="2"/>
      <c r="L748" s="1"/>
    </row>
    <row r="749" spans="3:12" ht="13.5" x14ac:dyDescent="0.25">
      <c r="C749" s="4"/>
      <c r="H749" s="3"/>
      <c r="I749" s="3"/>
      <c r="J749" s="3"/>
      <c r="K749" s="2"/>
      <c r="L749" s="1"/>
    </row>
    <row r="750" spans="3:12" ht="13.5" x14ac:dyDescent="0.25">
      <c r="C750" s="4"/>
      <c r="H750" s="3"/>
      <c r="I750" s="3"/>
      <c r="J750" s="3"/>
      <c r="K750" s="2"/>
      <c r="L750" s="1"/>
    </row>
    <row r="751" spans="3:12" ht="13.5" x14ac:dyDescent="0.25">
      <c r="C751" s="4"/>
      <c r="H751" s="3"/>
      <c r="I751" s="3"/>
      <c r="J751" s="3"/>
      <c r="K751" s="2"/>
      <c r="L751" s="1"/>
    </row>
    <row r="752" spans="3:12" ht="13.5" x14ac:dyDescent="0.25">
      <c r="C752" s="4"/>
      <c r="H752" s="3"/>
      <c r="I752" s="3"/>
      <c r="J752" s="3"/>
      <c r="K752" s="2"/>
      <c r="L752" s="1"/>
    </row>
    <row r="753" spans="3:12" ht="13.5" x14ac:dyDescent="0.25">
      <c r="C753" s="4"/>
      <c r="H753" s="3"/>
      <c r="I753" s="3"/>
      <c r="J753" s="3"/>
      <c r="K753" s="2"/>
      <c r="L753" s="1"/>
    </row>
    <row r="754" spans="3:12" ht="13.5" x14ac:dyDescent="0.25">
      <c r="C754" s="4"/>
      <c r="H754" s="3"/>
      <c r="I754" s="3"/>
      <c r="J754" s="3"/>
      <c r="K754" s="2"/>
      <c r="L754" s="1"/>
    </row>
    <row r="755" spans="3:12" ht="13.5" x14ac:dyDescent="0.25">
      <c r="C755" s="4"/>
      <c r="H755" s="3"/>
      <c r="I755" s="3"/>
      <c r="J755" s="3"/>
      <c r="K755" s="2"/>
      <c r="L755" s="1"/>
    </row>
    <row r="756" spans="3:12" ht="13.5" x14ac:dyDescent="0.25">
      <c r="C756" s="4"/>
      <c r="H756" s="3"/>
      <c r="I756" s="3"/>
      <c r="J756" s="3"/>
      <c r="K756" s="2"/>
      <c r="L756" s="1"/>
    </row>
    <row r="757" spans="3:12" ht="13.5" x14ac:dyDescent="0.25">
      <c r="C757" s="4"/>
      <c r="H757" s="3"/>
      <c r="I757" s="3"/>
      <c r="J757" s="3"/>
      <c r="K757" s="2"/>
      <c r="L757" s="1"/>
    </row>
    <row r="758" spans="3:12" ht="13.5" x14ac:dyDescent="0.25">
      <c r="C758" s="4"/>
      <c r="H758" s="3"/>
      <c r="I758" s="3"/>
      <c r="J758" s="3"/>
      <c r="K758" s="2"/>
      <c r="L758" s="1"/>
    </row>
    <row r="759" spans="3:12" ht="13.5" x14ac:dyDescent="0.25">
      <c r="C759" s="4"/>
      <c r="H759" s="3"/>
      <c r="I759" s="3"/>
      <c r="J759" s="3"/>
      <c r="K759" s="2"/>
      <c r="L759" s="1"/>
    </row>
    <row r="760" spans="3:12" ht="13.5" x14ac:dyDescent="0.25">
      <c r="C760" s="4"/>
      <c r="H760" s="3"/>
      <c r="I760" s="3"/>
      <c r="J760" s="3"/>
      <c r="K760" s="2"/>
      <c r="L760" s="1"/>
    </row>
    <row r="761" spans="3:12" ht="13.5" x14ac:dyDescent="0.25">
      <c r="C761" s="4"/>
      <c r="H761" s="3"/>
      <c r="I761" s="3"/>
      <c r="J761" s="3"/>
      <c r="K761" s="2"/>
      <c r="L761" s="1"/>
    </row>
    <row r="762" spans="3:12" ht="13.5" x14ac:dyDescent="0.25">
      <c r="C762" s="4"/>
      <c r="H762" s="3"/>
      <c r="I762" s="3"/>
      <c r="J762" s="3"/>
      <c r="K762" s="2"/>
      <c r="L762" s="1"/>
    </row>
    <row r="763" spans="3:12" ht="13.5" x14ac:dyDescent="0.25">
      <c r="C763" s="4"/>
      <c r="H763" s="3"/>
      <c r="I763" s="3"/>
      <c r="J763" s="3"/>
      <c r="K763" s="2"/>
      <c r="L763" s="1"/>
    </row>
    <row r="764" spans="3:12" ht="13.5" x14ac:dyDescent="0.25">
      <c r="C764" s="4"/>
      <c r="H764" s="3"/>
      <c r="I764" s="3"/>
      <c r="J764" s="3"/>
      <c r="K764" s="2"/>
      <c r="L764" s="1"/>
    </row>
    <row r="765" spans="3:12" ht="13.5" x14ac:dyDescent="0.25">
      <c r="C765" s="4"/>
      <c r="H765" s="3"/>
      <c r="I765" s="3"/>
      <c r="J765" s="3"/>
      <c r="K765" s="2"/>
      <c r="L765" s="1"/>
    </row>
    <row r="766" spans="3:12" ht="13.5" x14ac:dyDescent="0.25">
      <c r="C766" s="4"/>
      <c r="H766" s="3"/>
      <c r="I766" s="3"/>
      <c r="J766" s="3"/>
      <c r="K766" s="2"/>
      <c r="L766" s="1"/>
    </row>
    <row r="767" spans="3:12" ht="13.5" x14ac:dyDescent="0.25">
      <c r="C767" s="4"/>
      <c r="H767" s="3"/>
      <c r="I767" s="3"/>
      <c r="J767" s="3"/>
      <c r="K767" s="2"/>
      <c r="L767" s="1"/>
    </row>
    <row r="768" spans="3:12" ht="13.5" x14ac:dyDescent="0.25">
      <c r="C768" s="4"/>
      <c r="H768" s="3"/>
      <c r="I768" s="3"/>
      <c r="J768" s="3"/>
      <c r="K768" s="2"/>
      <c r="L768" s="1"/>
    </row>
    <row r="769" spans="3:12" ht="13.5" x14ac:dyDescent="0.25">
      <c r="C769" s="4"/>
      <c r="H769" s="3"/>
      <c r="I769" s="3"/>
      <c r="J769" s="3"/>
      <c r="K769" s="2"/>
      <c r="L769" s="1"/>
    </row>
    <row r="770" spans="3:12" ht="13.5" x14ac:dyDescent="0.25">
      <c r="C770" s="4"/>
      <c r="H770" s="3"/>
      <c r="I770" s="3"/>
      <c r="J770" s="3"/>
      <c r="K770" s="2"/>
      <c r="L770" s="1"/>
    </row>
    <row r="771" spans="3:12" ht="13.5" x14ac:dyDescent="0.25">
      <c r="C771" s="4"/>
      <c r="H771" s="3"/>
      <c r="I771" s="3"/>
      <c r="J771" s="3"/>
      <c r="K771" s="2"/>
      <c r="L771" s="1"/>
    </row>
    <row r="772" spans="3:12" ht="13.5" x14ac:dyDescent="0.25">
      <c r="C772" s="4"/>
      <c r="H772" s="3"/>
      <c r="I772" s="3"/>
      <c r="J772" s="3"/>
      <c r="K772" s="2"/>
      <c r="L772" s="1"/>
    </row>
    <row r="773" spans="3:12" ht="13.5" x14ac:dyDescent="0.25">
      <c r="C773" s="4"/>
      <c r="H773" s="3"/>
      <c r="I773" s="3"/>
      <c r="J773" s="3"/>
      <c r="K773" s="2"/>
      <c r="L773" s="1"/>
    </row>
    <row r="774" spans="3:12" ht="13.5" x14ac:dyDescent="0.25">
      <c r="C774" s="4"/>
      <c r="H774" s="3"/>
      <c r="I774" s="3"/>
      <c r="J774" s="3"/>
      <c r="K774" s="2"/>
      <c r="L774" s="1"/>
    </row>
    <row r="775" spans="3:12" ht="13.5" x14ac:dyDescent="0.25">
      <c r="C775" s="4"/>
      <c r="H775" s="3"/>
      <c r="I775" s="3"/>
      <c r="J775" s="3"/>
      <c r="K775" s="2"/>
      <c r="L775" s="1"/>
    </row>
    <row r="776" spans="3:12" ht="13.5" x14ac:dyDescent="0.25">
      <c r="C776" s="4"/>
      <c r="H776" s="3"/>
      <c r="I776" s="3"/>
      <c r="J776" s="3"/>
      <c r="K776" s="2"/>
      <c r="L776" s="1"/>
    </row>
    <row r="777" spans="3:12" ht="13.5" x14ac:dyDescent="0.25">
      <c r="C777" s="4"/>
      <c r="H777" s="3"/>
      <c r="I777" s="3"/>
      <c r="J777" s="3"/>
      <c r="K777" s="2"/>
      <c r="L777" s="1"/>
    </row>
    <row r="778" spans="3:12" ht="13.5" x14ac:dyDescent="0.25">
      <c r="C778" s="4"/>
      <c r="H778" s="3"/>
      <c r="I778" s="3"/>
      <c r="J778" s="3"/>
      <c r="K778" s="2"/>
      <c r="L778" s="1"/>
    </row>
    <row r="779" spans="3:12" ht="13.5" x14ac:dyDescent="0.25">
      <c r="C779" s="4"/>
      <c r="H779" s="3"/>
      <c r="I779" s="3"/>
      <c r="J779" s="3"/>
      <c r="K779" s="2"/>
      <c r="L779" s="1"/>
    </row>
    <row r="780" spans="3:12" ht="13.5" x14ac:dyDescent="0.25">
      <c r="C780" s="4"/>
      <c r="H780" s="3"/>
      <c r="I780" s="3"/>
      <c r="J780" s="3"/>
      <c r="K780" s="2"/>
      <c r="L780" s="1"/>
    </row>
    <row r="781" spans="3:12" ht="13.5" x14ac:dyDescent="0.25">
      <c r="C781" s="4"/>
      <c r="H781" s="3"/>
      <c r="I781" s="3"/>
      <c r="J781" s="3"/>
      <c r="K781" s="2"/>
      <c r="L781" s="1"/>
    </row>
    <row r="782" spans="3:12" ht="13.5" x14ac:dyDescent="0.25">
      <c r="C782" s="4"/>
      <c r="H782" s="3"/>
      <c r="I782" s="3"/>
      <c r="J782" s="3"/>
      <c r="K782" s="2"/>
      <c r="L782" s="1"/>
    </row>
    <row r="783" spans="3:12" ht="13.5" x14ac:dyDescent="0.25">
      <c r="C783" s="4"/>
      <c r="H783" s="3"/>
      <c r="I783" s="3"/>
      <c r="J783" s="3"/>
      <c r="K783" s="2"/>
      <c r="L783" s="1"/>
    </row>
    <row r="784" spans="3:12" ht="13.5" x14ac:dyDescent="0.25">
      <c r="C784" s="4"/>
      <c r="H784" s="3"/>
      <c r="I784" s="3"/>
      <c r="J784" s="3"/>
      <c r="K784" s="2"/>
      <c r="L784" s="1"/>
    </row>
    <row r="785" spans="3:12" ht="13.5" x14ac:dyDescent="0.25">
      <c r="C785" s="4"/>
      <c r="H785" s="3"/>
      <c r="I785" s="3"/>
      <c r="J785" s="3"/>
      <c r="K785" s="2"/>
      <c r="L785" s="1"/>
    </row>
    <row r="786" spans="3:12" ht="13.5" x14ac:dyDescent="0.25">
      <c r="C786" s="4"/>
      <c r="H786" s="3"/>
      <c r="I786" s="3"/>
      <c r="J786" s="3"/>
      <c r="K786" s="2"/>
      <c r="L786" s="1"/>
    </row>
    <row r="787" spans="3:12" ht="13.5" x14ac:dyDescent="0.25">
      <c r="C787" s="4"/>
      <c r="H787" s="3"/>
      <c r="I787" s="3"/>
      <c r="J787" s="3"/>
      <c r="K787" s="2"/>
      <c r="L787" s="1"/>
    </row>
    <row r="788" spans="3:12" ht="13.5" x14ac:dyDescent="0.25">
      <c r="C788" s="4"/>
      <c r="H788" s="3"/>
      <c r="I788" s="3"/>
      <c r="J788" s="3"/>
      <c r="K788" s="2"/>
      <c r="L788" s="1"/>
    </row>
    <row r="789" spans="3:12" ht="13.5" x14ac:dyDescent="0.25">
      <c r="C789" s="4"/>
      <c r="H789" s="3"/>
      <c r="I789" s="3"/>
      <c r="J789" s="3"/>
      <c r="K789" s="2"/>
      <c r="L789" s="1"/>
    </row>
    <row r="790" spans="3:12" ht="13.5" x14ac:dyDescent="0.25">
      <c r="C790" s="4"/>
      <c r="H790" s="3"/>
      <c r="I790" s="3"/>
      <c r="J790" s="3"/>
      <c r="K790" s="2"/>
      <c r="L790" s="1"/>
    </row>
    <row r="791" spans="3:12" ht="13.5" x14ac:dyDescent="0.25">
      <c r="C791" s="4"/>
      <c r="H791" s="3"/>
      <c r="I791" s="3"/>
      <c r="J791" s="3"/>
      <c r="K791" s="2"/>
      <c r="L791" s="1"/>
    </row>
    <row r="792" spans="3:12" ht="13.5" x14ac:dyDescent="0.25">
      <c r="C792" s="4"/>
      <c r="H792" s="3"/>
      <c r="I792" s="3"/>
      <c r="J792" s="3"/>
      <c r="K792" s="2"/>
      <c r="L792" s="1"/>
    </row>
    <row r="793" spans="3:12" ht="13.5" x14ac:dyDescent="0.25">
      <c r="C793" s="4"/>
      <c r="H793" s="3"/>
      <c r="I793" s="3"/>
      <c r="J793" s="3"/>
      <c r="K793" s="2"/>
      <c r="L793" s="1"/>
    </row>
    <row r="794" spans="3:12" ht="13.5" x14ac:dyDescent="0.25">
      <c r="C794" s="4"/>
      <c r="H794" s="3"/>
      <c r="I794" s="3"/>
      <c r="J794" s="3"/>
      <c r="K794" s="2"/>
      <c r="L794" s="1"/>
    </row>
    <row r="795" spans="3:12" ht="13.5" x14ac:dyDescent="0.25">
      <c r="C795" s="4"/>
      <c r="H795" s="3"/>
      <c r="I795" s="3"/>
      <c r="J795" s="3"/>
      <c r="K795" s="2"/>
      <c r="L795" s="1"/>
    </row>
    <row r="796" spans="3:12" ht="13.5" x14ac:dyDescent="0.25">
      <c r="C796" s="4"/>
      <c r="H796" s="3"/>
      <c r="I796" s="3"/>
      <c r="J796" s="3"/>
      <c r="K796" s="2"/>
      <c r="L796" s="1"/>
    </row>
    <row r="797" spans="3:12" ht="13.5" x14ac:dyDescent="0.25">
      <c r="C797" s="4"/>
      <c r="H797" s="3"/>
      <c r="I797" s="3"/>
      <c r="J797" s="3"/>
      <c r="K797" s="2"/>
      <c r="L797" s="1"/>
    </row>
    <row r="798" spans="3:12" ht="13.5" x14ac:dyDescent="0.25">
      <c r="C798" s="4"/>
      <c r="H798" s="3"/>
      <c r="I798" s="3"/>
      <c r="J798" s="3"/>
      <c r="K798" s="2"/>
      <c r="L798" s="1"/>
    </row>
    <row r="799" spans="3:12" ht="13.5" x14ac:dyDescent="0.25">
      <c r="C799" s="4"/>
      <c r="H799" s="3"/>
      <c r="I799" s="3"/>
      <c r="J799" s="3"/>
      <c r="K799" s="2"/>
      <c r="L799" s="1"/>
    </row>
    <row r="800" spans="3:12" ht="13.5" x14ac:dyDescent="0.25">
      <c r="C800" s="4"/>
      <c r="H800" s="3"/>
      <c r="I800" s="3"/>
      <c r="J800" s="3"/>
      <c r="K800" s="2"/>
      <c r="L800" s="1"/>
    </row>
    <row r="801" spans="3:12" ht="13.5" x14ac:dyDescent="0.25">
      <c r="C801" s="4"/>
      <c r="H801" s="3"/>
      <c r="I801" s="3"/>
      <c r="J801" s="3"/>
      <c r="K801" s="2"/>
      <c r="L801" s="1"/>
    </row>
    <row r="802" spans="3:12" ht="13.5" x14ac:dyDescent="0.25">
      <c r="C802" s="4"/>
      <c r="H802" s="3"/>
      <c r="I802" s="3"/>
      <c r="J802" s="3"/>
      <c r="K802" s="2"/>
      <c r="L802" s="1"/>
    </row>
    <row r="803" spans="3:12" ht="13.5" x14ac:dyDescent="0.25">
      <c r="C803" s="4"/>
      <c r="H803" s="3"/>
      <c r="I803" s="3"/>
      <c r="J803" s="3"/>
      <c r="K803" s="2"/>
      <c r="L803" s="1"/>
    </row>
    <row r="804" spans="3:12" ht="13.5" x14ac:dyDescent="0.25">
      <c r="C804" s="4"/>
      <c r="H804" s="3"/>
      <c r="I804" s="3"/>
      <c r="J804" s="3"/>
      <c r="K804" s="2"/>
      <c r="L804" s="1"/>
    </row>
    <row r="805" spans="3:12" ht="13.5" x14ac:dyDescent="0.25">
      <c r="C805" s="4"/>
      <c r="H805" s="3"/>
      <c r="I805" s="3"/>
      <c r="J805" s="3"/>
      <c r="K805" s="2"/>
      <c r="L805" s="1"/>
    </row>
    <row r="806" spans="3:12" ht="13.5" x14ac:dyDescent="0.25">
      <c r="C806" s="4"/>
      <c r="H806" s="3"/>
      <c r="I806" s="3"/>
      <c r="J806" s="3"/>
      <c r="K806" s="2"/>
      <c r="L806" s="1"/>
    </row>
    <row r="807" spans="3:12" ht="13.5" x14ac:dyDescent="0.25">
      <c r="C807" s="4"/>
      <c r="H807" s="3"/>
      <c r="I807" s="3"/>
      <c r="J807" s="3"/>
      <c r="K807" s="2"/>
      <c r="L807" s="1"/>
    </row>
    <row r="808" spans="3:12" ht="13.5" x14ac:dyDescent="0.25">
      <c r="C808" s="4"/>
      <c r="H808" s="3"/>
      <c r="I808" s="3"/>
      <c r="J808" s="3"/>
      <c r="K808" s="2"/>
      <c r="L808" s="1"/>
    </row>
    <row r="809" spans="3:12" ht="13.5" x14ac:dyDescent="0.25">
      <c r="C809" s="4"/>
      <c r="H809" s="3"/>
      <c r="I809" s="3"/>
      <c r="J809" s="3"/>
      <c r="K809" s="2"/>
      <c r="L809" s="1"/>
    </row>
    <row r="810" spans="3:12" ht="13.5" x14ac:dyDescent="0.25">
      <c r="C810" s="4"/>
      <c r="H810" s="3"/>
      <c r="I810" s="3"/>
      <c r="J810" s="3"/>
      <c r="K810" s="2"/>
      <c r="L810" s="1"/>
    </row>
    <row r="811" spans="3:12" ht="13.5" x14ac:dyDescent="0.25">
      <c r="C811" s="4"/>
      <c r="H811" s="3"/>
      <c r="I811" s="3"/>
      <c r="J811" s="3"/>
      <c r="K811" s="2"/>
      <c r="L811" s="1"/>
    </row>
    <row r="812" spans="3:12" ht="13.5" x14ac:dyDescent="0.25">
      <c r="C812" s="4"/>
      <c r="H812" s="3"/>
      <c r="I812" s="3"/>
      <c r="J812" s="3"/>
      <c r="K812" s="2"/>
      <c r="L812" s="1"/>
    </row>
    <row r="813" spans="3:12" ht="13.5" x14ac:dyDescent="0.25">
      <c r="C813" s="4"/>
      <c r="H813" s="3"/>
      <c r="I813" s="3"/>
      <c r="J813" s="3"/>
      <c r="K813" s="2"/>
      <c r="L813" s="1"/>
    </row>
    <row r="814" spans="3:12" ht="13.5" x14ac:dyDescent="0.25">
      <c r="C814" s="4"/>
      <c r="H814" s="3"/>
      <c r="I814" s="3"/>
      <c r="J814" s="3"/>
      <c r="K814" s="2"/>
      <c r="L814" s="1"/>
    </row>
    <row r="815" spans="3:12" ht="13.5" x14ac:dyDescent="0.25">
      <c r="C815" s="4"/>
      <c r="H815" s="3"/>
      <c r="I815" s="3"/>
      <c r="J815" s="3"/>
      <c r="K815" s="2"/>
      <c r="L815" s="1"/>
    </row>
    <row r="816" spans="3:12" ht="13.5" x14ac:dyDescent="0.25">
      <c r="C816" s="4"/>
      <c r="H816" s="3"/>
      <c r="I816" s="3"/>
      <c r="J816" s="3"/>
      <c r="K816" s="2"/>
      <c r="L816" s="1"/>
    </row>
    <row r="817" spans="3:12" ht="13.5" x14ac:dyDescent="0.25">
      <c r="C817" s="4"/>
      <c r="H817" s="3"/>
      <c r="I817" s="3"/>
      <c r="J817" s="3"/>
      <c r="K817" s="2"/>
      <c r="L817" s="1"/>
    </row>
    <row r="818" spans="3:12" ht="13.5" x14ac:dyDescent="0.25">
      <c r="C818" s="4"/>
      <c r="H818" s="3"/>
      <c r="I818" s="3"/>
      <c r="J818" s="3"/>
      <c r="K818" s="2"/>
      <c r="L818" s="1"/>
    </row>
    <row r="819" spans="3:12" ht="13.5" x14ac:dyDescent="0.25">
      <c r="C819" s="4"/>
      <c r="H819" s="3"/>
      <c r="I819" s="3"/>
      <c r="J819" s="3"/>
      <c r="K819" s="2"/>
      <c r="L819" s="1"/>
    </row>
    <row r="820" spans="3:12" ht="13.5" x14ac:dyDescent="0.25">
      <c r="C820" s="4"/>
      <c r="H820" s="3"/>
      <c r="I820" s="3"/>
      <c r="J820" s="3"/>
      <c r="K820" s="2"/>
      <c r="L820" s="1"/>
    </row>
    <row r="821" spans="3:12" ht="13.5" x14ac:dyDescent="0.25">
      <c r="C821" s="4"/>
      <c r="H821" s="3"/>
      <c r="I821" s="3"/>
      <c r="J821" s="3"/>
      <c r="K821" s="2"/>
      <c r="L821" s="1"/>
    </row>
    <row r="822" spans="3:12" ht="13.5" x14ac:dyDescent="0.25">
      <c r="C822" s="4"/>
      <c r="H822" s="3"/>
      <c r="I822" s="3"/>
      <c r="J822" s="3"/>
      <c r="K822" s="2"/>
      <c r="L822" s="1"/>
    </row>
    <row r="823" spans="3:12" ht="13.5" x14ac:dyDescent="0.25">
      <c r="C823" s="4"/>
      <c r="H823" s="3"/>
      <c r="I823" s="3"/>
      <c r="J823" s="3"/>
      <c r="K823" s="2"/>
      <c r="L823" s="1"/>
    </row>
    <row r="824" spans="3:12" ht="13.5" x14ac:dyDescent="0.25">
      <c r="C824" s="4"/>
      <c r="H824" s="3"/>
      <c r="I824" s="3"/>
      <c r="J824" s="3"/>
      <c r="K824" s="2"/>
      <c r="L824" s="1"/>
    </row>
    <row r="825" spans="3:12" ht="13.5" x14ac:dyDescent="0.25">
      <c r="C825" s="4"/>
      <c r="H825" s="3"/>
      <c r="I825" s="3"/>
      <c r="J825" s="3"/>
      <c r="K825" s="2"/>
      <c r="L825" s="1"/>
    </row>
    <row r="826" spans="3:12" ht="13.5" x14ac:dyDescent="0.25">
      <c r="C826" s="4"/>
      <c r="H826" s="3"/>
      <c r="I826" s="3"/>
      <c r="J826" s="3"/>
      <c r="K826" s="2"/>
      <c r="L826" s="1"/>
    </row>
    <row r="827" spans="3:12" ht="13.5" x14ac:dyDescent="0.25">
      <c r="C827" s="4"/>
      <c r="H827" s="3"/>
      <c r="I827" s="3"/>
      <c r="J827" s="3"/>
      <c r="K827" s="2"/>
      <c r="L827" s="1"/>
    </row>
    <row r="828" spans="3:12" ht="13.5" x14ac:dyDescent="0.25">
      <c r="C828" s="4"/>
      <c r="H828" s="3"/>
      <c r="I828" s="3"/>
      <c r="J828" s="3"/>
      <c r="K828" s="2"/>
      <c r="L828" s="1"/>
    </row>
    <row r="829" spans="3:12" ht="13.5" x14ac:dyDescent="0.25">
      <c r="C829" s="4"/>
      <c r="H829" s="3"/>
      <c r="I829" s="3"/>
      <c r="J829" s="3"/>
      <c r="K829" s="2"/>
      <c r="L829" s="1"/>
    </row>
    <row r="830" spans="3:12" ht="13.5" x14ac:dyDescent="0.25">
      <c r="C830" s="4"/>
      <c r="H830" s="3"/>
      <c r="I830" s="3"/>
      <c r="J830" s="3"/>
      <c r="K830" s="2"/>
      <c r="L830" s="1"/>
    </row>
    <row r="831" spans="3:12" ht="13.5" x14ac:dyDescent="0.25">
      <c r="C831" s="4"/>
      <c r="H831" s="3"/>
      <c r="I831" s="3"/>
      <c r="J831" s="3"/>
      <c r="K831" s="2"/>
      <c r="L831" s="1"/>
    </row>
    <row r="832" spans="3:12" ht="13.5" x14ac:dyDescent="0.25">
      <c r="C832" s="4"/>
      <c r="H832" s="3"/>
      <c r="I832" s="3"/>
      <c r="J832" s="3"/>
      <c r="K832" s="2"/>
      <c r="L832" s="1"/>
    </row>
    <row r="833" spans="3:12" ht="13.5" x14ac:dyDescent="0.25">
      <c r="C833" s="4"/>
      <c r="H833" s="3"/>
      <c r="I833" s="3"/>
      <c r="J833" s="3"/>
      <c r="K833" s="2"/>
      <c r="L833" s="1"/>
    </row>
    <row r="834" spans="3:12" ht="13.5" x14ac:dyDescent="0.25">
      <c r="C834" s="4"/>
      <c r="H834" s="3"/>
      <c r="I834" s="3"/>
      <c r="J834" s="3"/>
      <c r="K834" s="2"/>
      <c r="L834" s="1"/>
    </row>
    <row r="835" spans="3:12" ht="13.5" x14ac:dyDescent="0.25">
      <c r="C835" s="4"/>
      <c r="H835" s="3"/>
      <c r="I835" s="3"/>
      <c r="J835" s="3"/>
      <c r="K835" s="2"/>
      <c r="L835" s="1"/>
    </row>
    <row r="836" spans="3:12" ht="13.5" x14ac:dyDescent="0.25">
      <c r="C836" s="4"/>
      <c r="H836" s="3"/>
      <c r="I836" s="3"/>
      <c r="J836" s="3"/>
      <c r="K836" s="2"/>
      <c r="L836" s="1"/>
    </row>
    <row r="837" spans="3:12" ht="13.5" x14ac:dyDescent="0.25">
      <c r="C837" s="4"/>
      <c r="H837" s="3"/>
      <c r="I837" s="3"/>
      <c r="J837" s="3"/>
      <c r="K837" s="2"/>
      <c r="L837" s="1"/>
    </row>
    <row r="838" spans="3:12" ht="13.5" x14ac:dyDescent="0.25">
      <c r="C838" s="4"/>
      <c r="H838" s="3"/>
      <c r="I838" s="3"/>
      <c r="J838" s="3"/>
      <c r="K838" s="2"/>
      <c r="L838" s="1"/>
    </row>
    <row r="839" spans="3:12" ht="13.5" x14ac:dyDescent="0.25">
      <c r="C839" s="4"/>
      <c r="H839" s="3"/>
      <c r="I839" s="3"/>
      <c r="J839" s="3"/>
      <c r="K839" s="2"/>
      <c r="L839" s="1"/>
    </row>
    <row r="840" spans="3:12" ht="13.5" x14ac:dyDescent="0.25">
      <c r="C840" s="4"/>
      <c r="H840" s="3"/>
      <c r="I840" s="3"/>
      <c r="J840" s="3"/>
      <c r="K840" s="2"/>
      <c r="L840" s="1"/>
    </row>
    <row r="841" spans="3:12" ht="13.5" x14ac:dyDescent="0.25">
      <c r="C841" s="4"/>
      <c r="H841" s="3"/>
      <c r="I841" s="3"/>
      <c r="J841" s="3"/>
      <c r="K841" s="2"/>
      <c r="L841" s="1"/>
    </row>
    <row r="842" spans="3:12" ht="13.5" x14ac:dyDescent="0.25">
      <c r="C842" s="4"/>
      <c r="H842" s="3"/>
      <c r="I842" s="3"/>
      <c r="J842" s="3"/>
      <c r="K842" s="2"/>
      <c r="L842" s="1"/>
    </row>
    <row r="843" spans="3:12" ht="13.5" x14ac:dyDescent="0.25">
      <c r="C843" s="4"/>
      <c r="H843" s="3"/>
      <c r="I843" s="3"/>
      <c r="J843" s="3"/>
      <c r="K843" s="2"/>
      <c r="L843" s="1"/>
    </row>
    <row r="844" spans="3:12" ht="13.5" x14ac:dyDescent="0.25">
      <c r="C844" s="4"/>
      <c r="H844" s="3"/>
      <c r="I844" s="3"/>
      <c r="J844" s="3"/>
      <c r="K844" s="2"/>
      <c r="L844" s="1"/>
    </row>
    <row r="845" spans="3:12" ht="13.5" x14ac:dyDescent="0.25">
      <c r="C845" s="4"/>
      <c r="H845" s="3"/>
      <c r="I845" s="3"/>
      <c r="J845" s="3"/>
      <c r="K845" s="2"/>
      <c r="L845" s="1"/>
    </row>
    <row r="846" spans="3:12" ht="13.5" x14ac:dyDescent="0.25">
      <c r="C846" s="4"/>
      <c r="H846" s="3"/>
      <c r="I846" s="3"/>
      <c r="J846" s="3"/>
      <c r="K846" s="2"/>
      <c r="L846" s="1"/>
    </row>
    <row r="847" spans="3:12" ht="13.5" x14ac:dyDescent="0.25">
      <c r="C847" s="4"/>
      <c r="H847" s="3"/>
      <c r="I847" s="3"/>
      <c r="J847" s="3"/>
      <c r="K847" s="2"/>
      <c r="L847" s="1"/>
    </row>
    <row r="848" spans="3:12" ht="13.5" x14ac:dyDescent="0.25">
      <c r="C848" s="4"/>
      <c r="H848" s="3"/>
      <c r="I848" s="3"/>
      <c r="J848" s="3"/>
      <c r="K848" s="2"/>
      <c r="L848" s="1"/>
    </row>
    <row r="849" spans="3:12" ht="13.5" x14ac:dyDescent="0.25">
      <c r="C849" s="4"/>
      <c r="H849" s="3"/>
      <c r="I849" s="3"/>
      <c r="J849" s="3"/>
      <c r="K849" s="2"/>
      <c r="L849" s="1"/>
    </row>
    <row r="850" spans="3:12" ht="13.5" x14ac:dyDescent="0.25">
      <c r="C850" s="4"/>
      <c r="H850" s="3"/>
      <c r="I850" s="3"/>
      <c r="J850" s="3"/>
      <c r="K850" s="2"/>
      <c r="L850" s="1"/>
    </row>
    <row r="851" spans="3:12" ht="13.5" x14ac:dyDescent="0.25">
      <c r="C851" s="4"/>
      <c r="H851" s="3"/>
      <c r="I851" s="3"/>
      <c r="J851" s="3"/>
      <c r="K851" s="2"/>
      <c r="L851" s="1"/>
    </row>
    <row r="852" spans="3:12" ht="13.5" x14ac:dyDescent="0.25">
      <c r="C852" s="4"/>
      <c r="H852" s="3"/>
      <c r="I852" s="3"/>
      <c r="J852" s="3"/>
      <c r="K852" s="2"/>
      <c r="L852" s="1"/>
    </row>
    <row r="853" spans="3:12" ht="13.5" x14ac:dyDescent="0.25">
      <c r="C853" s="4"/>
      <c r="H853" s="3"/>
      <c r="I853" s="3"/>
      <c r="J853" s="3"/>
      <c r="K853" s="2"/>
      <c r="L853" s="1"/>
    </row>
    <row r="854" spans="3:12" ht="13.5" x14ac:dyDescent="0.25">
      <c r="C854" s="4"/>
      <c r="H854" s="3"/>
      <c r="I854" s="3"/>
      <c r="J854" s="3"/>
      <c r="K854" s="2"/>
      <c r="L854" s="1"/>
    </row>
    <row r="855" spans="3:12" ht="13.5" x14ac:dyDescent="0.25">
      <c r="C855" s="4"/>
      <c r="H855" s="3"/>
      <c r="I855" s="3"/>
      <c r="J855" s="3"/>
      <c r="K855" s="2"/>
      <c r="L855" s="1"/>
    </row>
    <row r="856" spans="3:12" ht="13.5" x14ac:dyDescent="0.25">
      <c r="C856" s="4"/>
      <c r="H856" s="3"/>
      <c r="I856" s="3"/>
      <c r="J856" s="3"/>
      <c r="K856" s="2"/>
      <c r="L856" s="1"/>
    </row>
    <row r="857" spans="3:12" ht="13.5" x14ac:dyDescent="0.25">
      <c r="C857" s="4"/>
      <c r="H857" s="3"/>
      <c r="I857" s="3"/>
      <c r="J857" s="3"/>
      <c r="K857" s="2"/>
      <c r="L857" s="1"/>
    </row>
    <row r="858" spans="3:12" ht="13.5" x14ac:dyDescent="0.25">
      <c r="C858" s="4"/>
      <c r="H858" s="3"/>
      <c r="I858" s="3"/>
      <c r="J858" s="3"/>
      <c r="K858" s="2"/>
      <c r="L858" s="1"/>
    </row>
    <row r="859" spans="3:12" ht="13.5" x14ac:dyDescent="0.25">
      <c r="C859" s="4"/>
      <c r="H859" s="3"/>
      <c r="I859" s="3"/>
      <c r="J859" s="3"/>
      <c r="K859" s="2"/>
      <c r="L859" s="1"/>
    </row>
    <row r="860" spans="3:12" ht="13.5" x14ac:dyDescent="0.25">
      <c r="C860" s="4"/>
      <c r="H860" s="3"/>
      <c r="I860" s="3"/>
      <c r="J860" s="3"/>
      <c r="K860" s="2"/>
      <c r="L860" s="1"/>
    </row>
    <row r="861" spans="3:12" ht="13.5" x14ac:dyDescent="0.25">
      <c r="C861" s="4"/>
      <c r="H861" s="3"/>
      <c r="I861" s="3"/>
      <c r="J861" s="3"/>
      <c r="K861" s="2"/>
      <c r="L861" s="1"/>
    </row>
    <row r="862" spans="3:12" ht="13.5" x14ac:dyDescent="0.25">
      <c r="C862" s="4"/>
      <c r="H862" s="3"/>
      <c r="I862" s="3"/>
      <c r="J862" s="3"/>
      <c r="K862" s="2"/>
      <c r="L862" s="1"/>
    </row>
    <row r="863" spans="3:12" ht="13.5" x14ac:dyDescent="0.25">
      <c r="C863" s="4"/>
      <c r="H863" s="3"/>
      <c r="I863" s="3"/>
      <c r="J863" s="3"/>
      <c r="K863" s="2"/>
      <c r="L863" s="1"/>
    </row>
    <row r="864" spans="3:12" ht="13.5" x14ac:dyDescent="0.25">
      <c r="C864" s="4"/>
      <c r="H864" s="3"/>
      <c r="I864" s="3"/>
      <c r="J864" s="3"/>
      <c r="K864" s="2"/>
      <c r="L864" s="1"/>
    </row>
    <row r="865" spans="3:12" ht="13.5" x14ac:dyDescent="0.25">
      <c r="C865" s="4"/>
      <c r="H865" s="3"/>
      <c r="I865" s="3"/>
      <c r="J865" s="3"/>
      <c r="K865" s="2"/>
      <c r="L865" s="1"/>
    </row>
    <row r="866" spans="3:12" ht="13.5" x14ac:dyDescent="0.25">
      <c r="C866" s="4"/>
      <c r="H866" s="3"/>
      <c r="I866" s="3"/>
      <c r="J866" s="3"/>
      <c r="K866" s="2"/>
      <c r="L866" s="1"/>
    </row>
    <row r="867" spans="3:12" ht="13.5" x14ac:dyDescent="0.25">
      <c r="C867" s="4"/>
      <c r="H867" s="3"/>
      <c r="I867" s="3"/>
      <c r="J867" s="3"/>
      <c r="K867" s="2"/>
      <c r="L867" s="1"/>
    </row>
    <row r="868" spans="3:12" ht="13.5" x14ac:dyDescent="0.25">
      <c r="C868" s="4"/>
      <c r="H868" s="3"/>
      <c r="I868" s="3"/>
      <c r="J868" s="3"/>
      <c r="K868" s="2"/>
      <c r="L868" s="1"/>
    </row>
    <row r="869" spans="3:12" ht="13.5" x14ac:dyDescent="0.25">
      <c r="C869" s="4"/>
      <c r="H869" s="3"/>
      <c r="I869" s="3"/>
      <c r="J869" s="3"/>
      <c r="K869" s="2"/>
      <c r="L869" s="1"/>
    </row>
    <row r="870" spans="3:12" ht="13.5" x14ac:dyDescent="0.25">
      <c r="C870" s="4"/>
      <c r="H870" s="3"/>
      <c r="I870" s="3"/>
      <c r="J870" s="3"/>
      <c r="K870" s="2"/>
      <c r="L870" s="1"/>
    </row>
    <row r="871" spans="3:12" ht="13.5" x14ac:dyDescent="0.25">
      <c r="C871" s="4"/>
      <c r="H871" s="3"/>
      <c r="I871" s="3"/>
      <c r="J871" s="3"/>
      <c r="K871" s="2"/>
      <c r="L871" s="1"/>
    </row>
    <row r="872" spans="3:12" ht="13.5" x14ac:dyDescent="0.25">
      <c r="C872" s="4"/>
      <c r="H872" s="3"/>
      <c r="I872" s="3"/>
      <c r="J872" s="3"/>
      <c r="K872" s="2"/>
      <c r="L872" s="1"/>
    </row>
    <row r="873" spans="3:12" ht="13.5" x14ac:dyDescent="0.25">
      <c r="C873" s="4"/>
      <c r="H873" s="3"/>
      <c r="I873" s="3"/>
      <c r="J873" s="3"/>
      <c r="K873" s="2"/>
      <c r="L873" s="1"/>
    </row>
    <row r="874" spans="3:12" ht="13.5" x14ac:dyDescent="0.25">
      <c r="C874" s="4"/>
      <c r="H874" s="3"/>
      <c r="I874" s="3"/>
      <c r="J874" s="3"/>
      <c r="K874" s="2"/>
      <c r="L874" s="1"/>
    </row>
    <row r="875" spans="3:12" ht="13.5" x14ac:dyDescent="0.25">
      <c r="C875" s="4"/>
      <c r="H875" s="3"/>
      <c r="I875" s="3"/>
      <c r="J875" s="3"/>
      <c r="K875" s="2"/>
      <c r="L875" s="1"/>
    </row>
    <row r="876" spans="3:12" ht="13.5" x14ac:dyDescent="0.25">
      <c r="C876" s="4"/>
      <c r="H876" s="3"/>
      <c r="I876" s="3"/>
      <c r="J876" s="3"/>
      <c r="K876" s="2"/>
      <c r="L876" s="1"/>
    </row>
    <row r="877" spans="3:12" ht="13.5" x14ac:dyDescent="0.25">
      <c r="C877" s="4"/>
      <c r="H877" s="3"/>
      <c r="I877" s="3"/>
      <c r="J877" s="3"/>
      <c r="K877" s="2"/>
      <c r="L877" s="1"/>
    </row>
    <row r="878" spans="3:12" ht="13.5" x14ac:dyDescent="0.25">
      <c r="C878" s="4"/>
      <c r="H878" s="3"/>
      <c r="I878" s="3"/>
      <c r="J878" s="3"/>
      <c r="K878" s="2"/>
      <c r="L878" s="1"/>
    </row>
    <row r="879" spans="3:12" ht="13.5" x14ac:dyDescent="0.25">
      <c r="C879" s="4"/>
      <c r="H879" s="3"/>
      <c r="I879" s="3"/>
      <c r="J879" s="3"/>
      <c r="K879" s="2"/>
      <c r="L879" s="1"/>
    </row>
    <row r="880" spans="3:12" ht="13.5" x14ac:dyDescent="0.25">
      <c r="C880" s="4"/>
      <c r="H880" s="3"/>
      <c r="I880" s="3"/>
      <c r="J880" s="3"/>
      <c r="K880" s="2"/>
      <c r="L880" s="1"/>
    </row>
    <row r="881" spans="3:12" ht="13.5" x14ac:dyDescent="0.25">
      <c r="C881" s="4"/>
      <c r="H881" s="3"/>
      <c r="I881" s="3"/>
      <c r="J881" s="3"/>
      <c r="K881" s="2"/>
      <c r="L881" s="1"/>
    </row>
    <row r="882" spans="3:12" ht="13.5" x14ac:dyDescent="0.25">
      <c r="C882" s="4"/>
      <c r="H882" s="3"/>
      <c r="I882" s="3"/>
      <c r="J882" s="3"/>
      <c r="K882" s="2"/>
      <c r="L882" s="1"/>
    </row>
    <row r="883" spans="3:12" ht="13.5" x14ac:dyDescent="0.25">
      <c r="C883" s="4"/>
      <c r="H883" s="3"/>
      <c r="I883" s="3"/>
      <c r="J883" s="3"/>
      <c r="K883" s="2"/>
      <c r="L883" s="1"/>
    </row>
    <row r="884" spans="3:12" ht="13.5" x14ac:dyDescent="0.25">
      <c r="C884" s="4"/>
      <c r="H884" s="3"/>
      <c r="I884" s="3"/>
      <c r="J884" s="3"/>
      <c r="K884" s="2"/>
      <c r="L884" s="1"/>
    </row>
    <row r="885" spans="3:12" ht="13.5" x14ac:dyDescent="0.25">
      <c r="C885" s="4"/>
      <c r="H885" s="3"/>
      <c r="I885" s="3"/>
      <c r="J885" s="3"/>
      <c r="K885" s="2"/>
      <c r="L885" s="1"/>
    </row>
    <row r="886" spans="3:12" ht="13.5" x14ac:dyDescent="0.25">
      <c r="C886" s="4"/>
      <c r="H886" s="3"/>
      <c r="I886" s="3"/>
      <c r="J886" s="3"/>
      <c r="K886" s="2"/>
      <c r="L886" s="1"/>
    </row>
    <row r="887" spans="3:12" ht="13.5" x14ac:dyDescent="0.25">
      <c r="C887" s="4"/>
      <c r="H887" s="3"/>
      <c r="I887" s="3"/>
      <c r="J887" s="3"/>
      <c r="K887" s="2"/>
      <c r="L887" s="1"/>
    </row>
    <row r="888" spans="3:12" ht="13.5" x14ac:dyDescent="0.25">
      <c r="C888" s="4"/>
      <c r="H888" s="3"/>
      <c r="I888" s="3"/>
      <c r="J888" s="3"/>
      <c r="K888" s="2"/>
      <c r="L888" s="1"/>
    </row>
    <row r="889" spans="3:12" ht="13.5" x14ac:dyDescent="0.25">
      <c r="C889" s="4"/>
      <c r="H889" s="3"/>
      <c r="I889" s="3"/>
      <c r="J889" s="3"/>
      <c r="K889" s="2"/>
      <c r="L889" s="1"/>
    </row>
    <row r="890" spans="3:12" ht="13.5" x14ac:dyDescent="0.25">
      <c r="C890" s="4"/>
      <c r="H890" s="3"/>
      <c r="I890" s="3"/>
      <c r="J890" s="3"/>
      <c r="K890" s="2"/>
      <c r="L890" s="1"/>
    </row>
    <row r="891" spans="3:12" ht="13.5" x14ac:dyDescent="0.25">
      <c r="C891" s="4"/>
      <c r="H891" s="3"/>
      <c r="I891" s="3"/>
      <c r="J891" s="3"/>
      <c r="K891" s="2"/>
      <c r="L891" s="1"/>
    </row>
    <row r="892" spans="3:12" ht="13.5" x14ac:dyDescent="0.25">
      <c r="C892" s="4"/>
      <c r="H892" s="3"/>
      <c r="I892" s="3"/>
      <c r="J892" s="3"/>
      <c r="K892" s="2"/>
      <c r="L892" s="1"/>
    </row>
    <row r="893" spans="3:12" ht="13.5" x14ac:dyDescent="0.25">
      <c r="C893" s="4"/>
      <c r="H893" s="3"/>
      <c r="I893" s="3"/>
      <c r="J893" s="3"/>
      <c r="K893" s="2"/>
      <c r="L893" s="1"/>
    </row>
    <row r="894" spans="3:12" ht="13.5" x14ac:dyDescent="0.25">
      <c r="C894" s="4"/>
      <c r="H894" s="3"/>
      <c r="I894" s="3"/>
      <c r="J894" s="3"/>
      <c r="K894" s="2"/>
      <c r="L894" s="1"/>
    </row>
    <row r="895" spans="3:12" ht="13.5" x14ac:dyDescent="0.25">
      <c r="C895" s="4"/>
      <c r="H895" s="3"/>
      <c r="I895" s="3"/>
      <c r="J895" s="3"/>
      <c r="K895" s="2"/>
      <c r="L895" s="1"/>
    </row>
    <row r="896" spans="3:12" ht="13.5" x14ac:dyDescent="0.25">
      <c r="C896" s="4"/>
      <c r="H896" s="3"/>
      <c r="I896" s="3"/>
      <c r="J896" s="3"/>
      <c r="K896" s="2"/>
      <c r="L896" s="1"/>
    </row>
    <row r="897" spans="3:12" ht="13.5" x14ac:dyDescent="0.25">
      <c r="C897" s="4"/>
      <c r="H897" s="3"/>
      <c r="I897" s="3"/>
      <c r="J897" s="3"/>
      <c r="K897" s="2"/>
      <c r="L897" s="1"/>
    </row>
    <row r="898" spans="3:12" ht="13.5" x14ac:dyDescent="0.25">
      <c r="C898" s="4"/>
      <c r="H898" s="3"/>
      <c r="I898" s="3"/>
      <c r="J898" s="3"/>
      <c r="K898" s="2"/>
      <c r="L898" s="1"/>
    </row>
    <row r="899" spans="3:12" ht="13.5" x14ac:dyDescent="0.25">
      <c r="C899" s="4"/>
      <c r="H899" s="3"/>
      <c r="I899" s="3"/>
      <c r="J899" s="3"/>
      <c r="K899" s="2"/>
      <c r="L899" s="1"/>
    </row>
    <row r="900" spans="3:12" ht="13.5" x14ac:dyDescent="0.25">
      <c r="C900" s="4"/>
      <c r="H900" s="3"/>
      <c r="I900" s="3"/>
      <c r="J900" s="3"/>
      <c r="K900" s="2"/>
      <c r="L900" s="1"/>
    </row>
    <row r="901" spans="3:12" ht="13.5" x14ac:dyDescent="0.25">
      <c r="C901" s="4"/>
      <c r="H901" s="3"/>
      <c r="I901" s="3"/>
      <c r="J901" s="3"/>
      <c r="K901" s="2"/>
      <c r="L901" s="1"/>
    </row>
    <row r="902" spans="3:12" ht="13.5" x14ac:dyDescent="0.25">
      <c r="C902" s="4"/>
      <c r="H902" s="3"/>
      <c r="I902" s="3"/>
      <c r="J902" s="3"/>
      <c r="K902" s="2"/>
      <c r="L902" s="1"/>
    </row>
    <row r="903" spans="3:12" ht="13.5" x14ac:dyDescent="0.25">
      <c r="C903" s="4"/>
      <c r="H903" s="3"/>
      <c r="I903" s="3"/>
      <c r="J903" s="3"/>
      <c r="K903" s="2"/>
      <c r="L903" s="1"/>
    </row>
    <row r="904" spans="3:12" ht="13.5" x14ac:dyDescent="0.25">
      <c r="C904" s="4"/>
      <c r="H904" s="3"/>
      <c r="I904" s="3"/>
      <c r="J904" s="3"/>
      <c r="K904" s="2"/>
      <c r="L904" s="1"/>
    </row>
    <row r="905" spans="3:12" ht="13.5" x14ac:dyDescent="0.25">
      <c r="C905" s="4"/>
      <c r="H905" s="3"/>
      <c r="I905" s="3"/>
      <c r="J905" s="3"/>
      <c r="K905" s="2"/>
      <c r="L905" s="1"/>
    </row>
    <row r="906" spans="3:12" ht="13.5" x14ac:dyDescent="0.25">
      <c r="C906" s="4"/>
      <c r="H906" s="3"/>
      <c r="I906" s="3"/>
      <c r="J906" s="3"/>
      <c r="K906" s="2"/>
      <c r="L906" s="1"/>
    </row>
    <row r="907" spans="3:12" ht="13.5" x14ac:dyDescent="0.25">
      <c r="C907" s="4"/>
      <c r="H907" s="3"/>
      <c r="I907" s="3"/>
      <c r="J907" s="3"/>
      <c r="K907" s="2"/>
      <c r="L907" s="1"/>
    </row>
    <row r="908" spans="3:12" ht="13.5" x14ac:dyDescent="0.25">
      <c r="C908" s="4"/>
      <c r="H908" s="3"/>
      <c r="I908" s="3"/>
      <c r="J908" s="3"/>
      <c r="K908" s="2"/>
      <c r="L908" s="1"/>
    </row>
    <row r="909" spans="3:12" ht="13.5" x14ac:dyDescent="0.25">
      <c r="C909" s="4"/>
      <c r="H909" s="3"/>
      <c r="I909" s="3"/>
      <c r="J909" s="3"/>
      <c r="K909" s="2"/>
      <c r="L909" s="1"/>
    </row>
    <row r="910" spans="3:12" ht="13.5" x14ac:dyDescent="0.25">
      <c r="C910" s="4"/>
      <c r="H910" s="3"/>
      <c r="I910" s="3"/>
      <c r="J910" s="3"/>
      <c r="K910" s="2"/>
      <c r="L910" s="1"/>
    </row>
    <row r="911" spans="3:12" ht="13.5" x14ac:dyDescent="0.25">
      <c r="C911" s="4"/>
      <c r="H911" s="3"/>
      <c r="I911" s="3"/>
      <c r="J911" s="3"/>
      <c r="K911" s="2"/>
      <c r="L911" s="1"/>
    </row>
    <row r="912" spans="3:12" ht="13.5" x14ac:dyDescent="0.25">
      <c r="C912" s="4"/>
      <c r="H912" s="3"/>
      <c r="I912" s="3"/>
      <c r="J912" s="3"/>
      <c r="K912" s="2"/>
      <c r="L912" s="1"/>
    </row>
    <row r="913" spans="3:12" ht="13.5" x14ac:dyDescent="0.25">
      <c r="C913" s="4"/>
      <c r="H913" s="3"/>
      <c r="I913" s="3"/>
      <c r="J913" s="3"/>
      <c r="K913" s="2"/>
      <c r="L913" s="1"/>
    </row>
    <row r="914" spans="3:12" ht="13.5" x14ac:dyDescent="0.25">
      <c r="C914" s="4"/>
      <c r="H914" s="3"/>
      <c r="I914" s="3"/>
      <c r="J914" s="3"/>
      <c r="K914" s="2"/>
      <c r="L914" s="1"/>
    </row>
    <row r="915" spans="3:12" ht="13.5" x14ac:dyDescent="0.25">
      <c r="C915" s="4"/>
      <c r="H915" s="3"/>
      <c r="I915" s="3"/>
      <c r="J915" s="3"/>
      <c r="K915" s="2"/>
      <c r="L915" s="1"/>
    </row>
    <row r="916" spans="3:12" ht="13.5" x14ac:dyDescent="0.25">
      <c r="C916" s="4"/>
      <c r="H916" s="3"/>
      <c r="I916" s="3"/>
      <c r="J916" s="3"/>
      <c r="K916" s="2"/>
      <c r="L916" s="1"/>
    </row>
    <row r="917" spans="3:12" ht="13.5" x14ac:dyDescent="0.25">
      <c r="C917" s="4"/>
      <c r="H917" s="3"/>
      <c r="I917" s="3"/>
      <c r="J917" s="3"/>
      <c r="K917" s="2"/>
      <c r="L917" s="1"/>
    </row>
    <row r="918" spans="3:12" ht="13.5" x14ac:dyDescent="0.25">
      <c r="C918" s="4"/>
      <c r="H918" s="3"/>
      <c r="I918" s="3"/>
      <c r="J918" s="3"/>
      <c r="K918" s="2"/>
      <c r="L918" s="1"/>
    </row>
    <row r="919" spans="3:12" ht="13.5" x14ac:dyDescent="0.25">
      <c r="C919" s="4"/>
      <c r="H919" s="3"/>
      <c r="I919" s="3"/>
      <c r="J919" s="3"/>
      <c r="K919" s="2"/>
      <c r="L919" s="1"/>
    </row>
    <row r="920" spans="3:12" ht="13.5" x14ac:dyDescent="0.25">
      <c r="C920" s="4"/>
      <c r="H920" s="3"/>
      <c r="I920" s="3"/>
      <c r="J920" s="3"/>
      <c r="K920" s="2"/>
      <c r="L920" s="1"/>
    </row>
    <row r="921" spans="3:12" ht="13.5" x14ac:dyDescent="0.25">
      <c r="C921" s="4"/>
      <c r="H921" s="3"/>
      <c r="I921" s="3"/>
      <c r="J921" s="3"/>
      <c r="K921" s="2"/>
      <c r="L921" s="1"/>
    </row>
    <row r="922" spans="3:12" ht="13.5" x14ac:dyDescent="0.25">
      <c r="C922" s="4"/>
      <c r="H922" s="3"/>
      <c r="I922" s="3"/>
      <c r="J922" s="3"/>
      <c r="K922" s="2"/>
      <c r="L922" s="1"/>
    </row>
    <row r="923" spans="3:12" ht="13.5" x14ac:dyDescent="0.25">
      <c r="C923" s="4"/>
      <c r="H923" s="3"/>
      <c r="I923" s="3"/>
      <c r="J923" s="3"/>
      <c r="K923" s="2"/>
      <c r="L923" s="1"/>
    </row>
    <row r="924" spans="3:12" ht="13.5" x14ac:dyDescent="0.25">
      <c r="C924" s="4"/>
      <c r="H924" s="3"/>
      <c r="I924" s="3"/>
      <c r="J924" s="3"/>
      <c r="K924" s="2"/>
      <c r="L924" s="1"/>
    </row>
    <row r="925" spans="3:12" ht="13.5" x14ac:dyDescent="0.25">
      <c r="C925" s="4"/>
      <c r="H925" s="3"/>
      <c r="I925" s="3"/>
      <c r="J925" s="3"/>
      <c r="K925" s="2"/>
      <c r="L925" s="1"/>
    </row>
    <row r="926" spans="3:12" ht="13.5" x14ac:dyDescent="0.25">
      <c r="C926" s="4"/>
      <c r="H926" s="3"/>
      <c r="I926" s="3"/>
      <c r="J926" s="3"/>
      <c r="K926" s="2"/>
      <c r="L926" s="1"/>
    </row>
    <row r="927" spans="3:12" ht="13.5" x14ac:dyDescent="0.25">
      <c r="C927" s="4"/>
      <c r="H927" s="3"/>
      <c r="I927" s="3"/>
      <c r="J927" s="3"/>
      <c r="K927" s="2"/>
      <c r="L927" s="1"/>
    </row>
    <row r="928" spans="3:12" ht="13.5" x14ac:dyDescent="0.25">
      <c r="C928" s="4"/>
      <c r="H928" s="3"/>
      <c r="I928" s="3"/>
      <c r="J928" s="3"/>
      <c r="K928" s="2"/>
      <c r="L928" s="1"/>
    </row>
    <row r="929" spans="3:12" ht="13.5" x14ac:dyDescent="0.25">
      <c r="C929" s="4"/>
      <c r="H929" s="3"/>
      <c r="I929" s="3"/>
      <c r="J929" s="3"/>
      <c r="K929" s="2"/>
      <c r="L929" s="1"/>
    </row>
    <row r="930" spans="3:12" ht="13.5" x14ac:dyDescent="0.25">
      <c r="C930" s="4"/>
      <c r="H930" s="3"/>
      <c r="I930" s="3"/>
      <c r="J930" s="3"/>
      <c r="K930" s="2"/>
      <c r="L930" s="1"/>
    </row>
    <row r="931" spans="3:12" ht="13.5" x14ac:dyDescent="0.25">
      <c r="C931" s="4"/>
      <c r="H931" s="3"/>
      <c r="I931" s="3"/>
      <c r="J931" s="3"/>
      <c r="K931" s="2"/>
      <c r="L931" s="1"/>
    </row>
    <row r="932" spans="3:12" ht="13.5" x14ac:dyDescent="0.25">
      <c r="C932" s="4"/>
      <c r="H932" s="3"/>
      <c r="I932" s="3"/>
      <c r="J932" s="3"/>
      <c r="K932" s="2"/>
      <c r="L932" s="1"/>
    </row>
    <row r="933" spans="3:12" ht="13.5" x14ac:dyDescent="0.25">
      <c r="C933" s="4"/>
      <c r="H933" s="3"/>
      <c r="I933" s="3"/>
      <c r="J933" s="3"/>
      <c r="K933" s="2"/>
      <c r="L933" s="1"/>
    </row>
    <row r="934" spans="3:12" ht="13.5" x14ac:dyDescent="0.25">
      <c r="C934" s="4"/>
      <c r="H934" s="3"/>
      <c r="I934" s="3"/>
      <c r="J934" s="3"/>
      <c r="K934" s="2"/>
      <c r="L934" s="1"/>
    </row>
    <row r="935" spans="3:12" ht="13.5" x14ac:dyDescent="0.25">
      <c r="C935" s="4"/>
      <c r="H935" s="3"/>
      <c r="I935" s="3"/>
      <c r="J935" s="3"/>
      <c r="K935" s="2"/>
      <c r="L935" s="1"/>
    </row>
    <row r="936" spans="3:12" ht="13.5" x14ac:dyDescent="0.25">
      <c r="C936" s="4"/>
      <c r="H936" s="3"/>
      <c r="I936" s="3"/>
      <c r="J936" s="3"/>
      <c r="K936" s="2"/>
      <c r="L936" s="1"/>
    </row>
    <row r="937" spans="3:12" ht="13.5" x14ac:dyDescent="0.25">
      <c r="C937" s="4"/>
      <c r="H937" s="3"/>
      <c r="I937" s="3"/>
      <c r="J937" s="3"/>
      <c r="K937" s="2"/>
      <c r="L937" s="1"/>
    </row>
    <row r="938" spans="3:12" ht="13.5" x14ac:dyDescent="0.25">
      <c r="C938" s="4"/>
      <c r="H938" s="3"/>
      <c r="I938" s="3"/>
      <c r="J938" s="3"/>
      <c r="K938" s="2"/>
      <c r="L938" s="1"/>
    </row>
    <row r="939" spans="3:12" ht="13.5" x14ac:dyDescent="0.25">
      <c r="C939" s="4"/>
      <c r="H939" s="3"/>
      <c r="I939" s="3"/>
      <c r="J939" s="3"/>
      <c r="K939" s="2"/>
      <c r="L939" s="1"/>
    </row>
    <row r="940" spans="3:12" ht="13.5" x14ac:dyDescent="0.25">
      <c r="C940" s="4"/>
      <c r="H940" s="3"/>
      <c r="I940" s="3"/>
      <c r="J940" s="3"/>
      <c r="K940" s="2"/>
      <c r="L940" s="1"/>
    </row>
    <row r="941" spans="3:12" ht="13.5" x14ac:dyDescent="0.25">
      <c r="C941" s="4"/>
      <c r="H941" s="3"/>
      <c r="I941" s="3"/>
      <c r="J941" s="3"/>
      <c r="K941" s="2"/>
      <c r="L941" s="1"/>
    </row>
    <row r="942" spans="3:12" ht="13.5" x14ac:dyDescent="0.25">
      <c r="C942" s="4"/>
      <c r="H942" s="3"/>
      <c r="I942" s="3"/>
      <c r="J942" s="3"/>
      <c r="K942" s="2"/>
      <c r="L942" s="1"/>
    </row>
    <row r="943" spans="3:12" ht="13.5" x14ac:dyDescent="0.25">
      <c r="C943" s="4"/>
      <c r="H943" s="3"/>
      <c r="I943" s="3"/>
      <c r="J943" s="3"/>
      <c r="K943" s="2"/>
      <c r="L943" s="1"/>
    </row>
    <row r="944" spans="3:12" ht="13.5" x14ac:dyDescent="0.25">
      <c r="C944" s="4"/>
      <c r="H944" s="3"/>
      <c r="I944" s="3"/>
      <c r="J944" s="3"/>
      <c r="K944" s="2"/>
      <c r="L944" s="1"/>
    </row>
    <row r="945" spans="3:12" ht="13.5" x14ac:dyDescent="0.25">
      <c r="C945" s="4"/>
      <c r="H945" s="3"/>
      <c r="I945" s="3"/>
      <c r="J945" s="3"/>
      <c r="K945" s="2"/>
      <c r="L945" s="1"/>
    </row>
    <row r="946" spans="3:12" ht="13.5" x14ac:dyDescent="0.25">
      <c r="C946" s="4"/>
      <c r="H946" s="3"/>
      <c r="I946" s="3"/>
      <c r="J946" s="3"/>
      <c r="K946" s="2"/>
      <c r="L946" s="1"/>
    </row>
    <row r="947" spans="3:12" ht="13.5" x14ac:dyDescent="0.25">
      <c r="C947" s="4"/>
      <c r="H947" s="3"/>
      <c r="I947" s="3"/>
      <c r="J947" s="3"/>
      <c r="K947" s="2"/>
      <c r="L947" s="1"/>
    </row>
    <row r="948" spans="3:12" ht="13.5" x14ac:dyDescent="0.25">
      <c r="C948" s="4"/>
      <c r="H948" s="3"/>
      <c r="I948" s="3"/>
      <c r="J948" s="3"/>
      <c r="K948" s="2"/>
      <c r="L948" s="1"/>
    </row>
    <row r="949" spans="3:12" ht="13.5" x14ac:dyDescent="0.25">
      <c r="C949" s="4"/>
      <c r="H949" s="3"/>
      <c r="I949" s="3"/>
      <c r="J949" s="3"/>
      <c r="K949" s="2"/>
      <c r="L949" s="1"/>
    </row>
    <row r="950" spans="3:12" ht="13.5" x14ac:dyDescent="0.25">
      <c r="C950" s="4"/>
      <c r="H950" s="3"/>
      <c r="I950" s="3"/>
      <c r="J950" s="3"/>
      <c r="K950" s="2"/>
      <c r="L950" s="1"/>
    </row>
    <row r="951" spans="3:12" ht="13.5" x14ac:dyDescent="0.25">
      <c r="C951" s="4"/>
      <c r="H951" s="3"/>
      <c r="I951" s="3"/>
      <c r="J951" s="3"/>
      <c r="K951" s="2"/>
      <c r="L951" s="1"/>
    </row>
    <row r="952" spans="3:12" ht="13.5" x14ac:dyDescent="0.25">
      <c r="C952" s="4"/>
      <c r="H952" s="3"/>
      <c r="I952" s="3"/>
      <c r="J952" s="3"/>
      <c r="K952" s="2"/>
      <c r="L952" s="1"/>
    </row>
    <row r="953" spans="3:12" ht="13.5" x14ac:dyDescent="0.25">
      <c r="C953" s="4"/>
      <c r="H953" s="3"/>
      <c r="I953" s="3"/>
      <c r="J953" s="3"/>
      <c r="K953" s="2"/>
      <c r="L953" s="1"/>
    </row>
    <row r="954" spans="3:12" ht="13.5" x14ac:dyDescent="0.25">
      <c r="C954" s="4"/>
      <c r="H954" s="3"/>
      <c r="I954" s="3"/>
      <c r="J954" s="3"/>
      <c r="K954" s="2"/>
      <c r="L954" s="1"/>
    </row>
    <row r="955" spans="3:12" ht="13.5" x14ac:dyDescent="0.25">
      <c r="C955" s="4"/>
      <c r="H955" s="3"/>
      <c r="I955" s="3"/>
      <c r="J955" s="3"/>
      <c r="K955" s="2"/>
      <c r="L955" s="1"/>
    </row>
    <row r="956" spans="3:12" ht="13.5" x14ac:dyDescent="0.25">
      <c r="C956" s="4"/>
      <c r="H956" s="3"/>
      <c r="I956" s="3"/>
      <c r="J956" s="3"/>
      <c r="K956" s="2"/>
      <c r="L956" s="1"/>
    </row>
    <row r="957" spans="3:12" ht="13.5" x14ac:dyDescent="0.25">
      <c r="C957" s="4"/>
      <c r="H957" s="3"/>
      <c r="I957" s="3"/>
      <c r="J957" s="3"/>
      <c r="K957" s="2"/>
      <c r="L957" s="1"/>
    </row>
    <row r="958" spans="3:12" ht="13.5" x14ac:dyDescent="0.25">
      <c r="C958" s="4"/>
      <c r="H958" s="3"/>
      <c r="I958" s="3"/>
      <c r="J958" s="3"/>
      <c r="K958" s="2"/>
      <c r="L958" s="1"/>
    </row>
    <row r="959" spans="3:12" ht="13.5" x14ac:dyDescent="0.25">
      <c r="C959" s="4"/>
      <c r="H959" s="3"/>
      <c r="I959" s="3"/>
      <c r="J959" s="3"/>
      <c r="K959" s="2"/>
      <c r="L959" s="1"/>
    </row>
    <row r="960" spans="3:12" ht="13.5" x14ac:dyDescent="0.25">
      <c r="C960" s="4"/>
      <c r="H960" s="3"/>
      <c r="I960" s="3"/>
      <c r="J960" s="3"/>
      <c r="K960" s="2"/>
      <c r="L960" s="1"/>
    </row>
    <row r="961" spans="3:12" ht="13.5" x14ac:dyDescent="0.25">
      <c r="C961" s="4"/>
      <c r="H961" s="3"/>
      <c r="I961" s="3"/>
      <c r="J961" s="3"/>
      <c r="K961" s="2"/>
      <c r="L961" s="1"/>
    </row>
    <row r="962" spans="3:12" ht="13.5" x14ac:dyDescent="0.25">
      <c r="C962" s="4"/>
      <c r="H962" s="3"/>
      <c r="I962" s="3"/>
      <c r="J962" s="3"/>
      <c r="K962" s="2"/>
      <c r="L962" s="1"/>
    </row>
    <row r="963" spans="3:12" ht="13.5" x14ac:dyDescent="0.25">
      <c r="C963" s="4"/>
      <c r="H963" s="3"/>
      <c r="I963" s="3"/>
      <c r="J963" s="3"/>
      <c r="K963" s="2"/>
      <c r="L963" s="1"/>
    </row>
    <row r="964" spans="3:12" ht="13.5" x14ac:dyDescent="0.25">
      <c r="C964" s="4"/>
      <c r="H964" s="3"/>
      <c r="I964" s="3"/>
      <c r="J964" s="3"/>
      <c r="K964" s="2"/>
      <c r="L964" s="1"/>
    </row>
    <row r="965" spans="3:12" ht="13.5" x14ac:dyDescent="0.25">
      <c r="C965" s="4"/>
      <c r="H965" s="3"/>
      <c r="I965" s="3"/>
      <c r="J965" s="3"/>
      <c r="K965" s="2"/>
      <c r="L965" s="1"/>
    </row>
    <row r="966" spans="3:12" ht="13.5" x14ac:dyDescent="0.25">
      <c r="C966" s="4"/>
      <c r="H966" s="3"/>
      <c r="I966" s="3"/>
      <c r="J966" s="3"/>
      <c r="K966" s="2"/>
      <c r="L966" s="1"/>
    </row>
    <row r="967" spans="3:12" ht="13.5" x14ac:dyDescent="0.25">
      <c r="C967" s="4"/>
      <c r="H967" s="3"/>
      <c r="I967" s="3"/>
      <c r="J967" s="3"/>
      <c r="K967" s="2"/>
      <c r="L967" s="1"/>
    </row>
    <row r="968" spans="3:12" ht="13.5" x14ac:dyDescent="0.25">
      <c r="C968" s="4"/>
      <c r="H968" s="3"/>
      <c r="I968" s="3"/>
      <c r="J968" s="3"/>
      <c r="K968" s="2"/>
      <c r="L968" s="1"/>
    </row>
    <row r="969" spans="3:12" ht="13.5" x14ac:dyDescent="0.25">
      <c r="C969" s="4"/>
      <c r="H969" s="3"/>
      <c r="I969" s="3"/>
      <c r="J969" s="3"/>
      <c r="K969" s="2"/>
      <c r="L969" s="1"/>
    </row>
    <row r="970" spans="3:12" ht="13.5" x14ac:dyDescent="0.25">
      <c r="C970" s="4"/>
      <c r="H970" s="3"/>
      <c r="I970" s="3"/>
      <c r="J970" s="3"/>
      <c r="K970" s="2"/>
      <c r="L970" s="1"/>
    </row>
    <row r="971" spans="3:12" ht="13.5" x14ac:dyDescent="0.25">
      <c r="C971" s="4"/>
      <c r="H971" s="3"/>
      <c r="I971" s="3"/>
      <c r="J971" s="3"/>
      <c r="K971" s="2"/>
      <c r="L971" s="1"/>
    </row>
    <row r="972" spans="3:12" ht="13.5" x14ac:dyDescent="0.25">
      <c r="C972" s="4"/>
      <c r="H972" s="3"/>
      <c r="I972" s="3"/>
      <c r="J972" s="3"/>
      <c r="K972" s="2"/>
      <c r="L972" s="1"/>
    </row>
    <row r="973" spans="3:12" ht="13.5" x14ac:dyDescent="0.25">
      <c r="C973" s="4"/>
      <c r="H973" s="3"/>
      <c r="I973" s="3"/>
      <c r="J973" s="3"/>
      <c r="K973" s="2"/>
      <c r="L973" s="1"/>
    </row>
    <row r="974" spans="3:12" ht="13.5" x14ac:dyDescent="0.25">
      <c r="C974" s="4"/>
      <c r="H974" s="3"/>
      <c r="I974" s="3"/>
      <c r="J974" s="3"/>
      <c r="K974" s="2"/>
      <c r="L974" s="1"/>
    </row>
    <row r="975" spans="3:12" ht="13.5" x14ac:dyDescent="0.25">
      <c r="C975" s="4"/>
      <c r="H975" s="3"/>
      <c r="I975" s="3"/>
      <c r="J975" s="3"/>
      <c r="K975" s="2"/>
      <c r="L975" s="1"/>
    </row>
    <row r="976" spans="3:12" ht="13.5" x14ac:dyDescent="0.25">
      <c r="C976" s="4"/>
      <c r="H976" s="3"/>
      <c r="I976" s="3"/>
      <c r="J976" s="3"/>
      <c r="K976" s="2"/>
      <c r="L976" s="1"/>
    </row>
    <row r="977" spans="3:12" ht="13.5" x14ac:dyDescent="0.25">
      <c r="C977" s="4"/>
      <c r="H977" s="3"/>
      <c r="I977" s="3"/>
      <c r="J977" s="3"/>
      <c r="K977" s="2"/>
      <c r="L977" s="1"/>
    </row>
    <row r="978" spans="3:12" ht="13.5" x14ac:dyDescent="0.25">
      <c r="C978" s="4"/>
      <c r="H978" s="3"/>
      <c r="I978" s="3"/>
      <c r="J978" s="3"/>
      <c r="K978" s="2"/>
      <c r="L978" s="1"/>
    </row>
    <row r="979" spans="3:12" ht="13.5" x14ac:dyDescent="0.25">
      <c r="C979" s="4"/>
      <c r="H979" s="3"/>
      <c r="I979" s="3"/>
      <c r="J979" s="3"/>
      <c r="K979" s="2"/>
      <c r="L979" s="1"/>
    </row>
    <row r="980" spans="3:12" ht="13.5" x14ac:dyDescent="0.25">
      <c r="C980" s="4"/>
      <c r="H980" s="3"/>
      <c r="I980" s="3"/>
      <c r="J980" s="3"/>
      <c r="K980" s="2"/>
      <c r="L980" s="1"/>
    </row>
    <row r="981" spans="3:12" ht="13.5" x14ac:dyDescent="0.25">
      <c r="C981" s="4"/>
      <c r="H981" s="3"/>
      <c r="I981" s="3"/>
      <c r="J981" s="3"/>
      <c r="K981" s="2"/>
      <c r="L981" s="1"/>
    </row>
    <row r="982" spans="3:12" ht="13.5" x14ac:dyDescent="0.25">
      <c r="C982" s="4"/>
      <c r="H982" s="3"/>
      <c r="I982" s="3"/>
      <c r="J982" s="3"/>
      <c r="K982" s="2"/>
      <c r="L982" s="1"/>
    </row>
    <row r="983" spans="3:12" ht="13.5" x14ac:dyDescent="0.25">
      <c r="C983" s="4"/>
      <c r="H983" s="3"/>
      <c r="I983" s="3"/>
      <c r="J983" s="3"/>
      <c r="K983" s="2"/>
      <c r="L983" s="1"/>
    </row>
    <row r="984" spans="3:12" ht="13.5" x14ac:dyDescent="0.25">
      <c r="C984" s="4"/>
      <c r="H984" s="3"/>
      <c r="I984" s="3"/>
      <c r="J984" s="3"/>
      <c r="K984" s="2"/>
      <c r="L984" s="1"/>
    </row>
    <row r="985" spans="3:12" ht="13.5" x14ac:dyDescent="0.25">
      <c r="C985" s="4"/>
      <c r="H985" s="3"/>
      <c r="I985" s="3"/>
      <c r="J985" s="3"/>
      <c r="K985" s="2"/>
      <c r="L985" s="1"/>
    </row>
    <row r="986" spans="3:12" ht="13.5" x14ac:dyDescent="0.25">
      <c r="C986" s="4"/>
      <c r="H986" s="3"/>
      <c r="I986" s="3"/>
      <c r="J986" s="3"/>
      <c r="K986" s="2"/>
      <c r="L986" s="1"/>
    </row>
    <row r="987" spans="3:12" ht="13.5" x14ac:dyDescent="0.25">
      <c r="C987" s="4"/>
      <c r="H987" s="3"/>
      <c r="I987" s="3"/>
      <c r="J987" s="3"/>
      <c r="K987" s="2"/>
      <c r="L987" s="1"/>
    </row>
    <row r="988" spans="3:12" ht="13.5" x14ac:dyDescent="0.25">
      <c r="C988" s="4"/>
      <c r="H988" s="3"/>
      <c r="I988" s="3"/>
      <c r="J988" s="3"/>
      <c r="K988" s="2"/>
      <c r="L988" s="1"/>
    </row>
    <row r="989" spans="3:12" ht="13.5" x14ac:dyDescent="0.25">
      <c r="C989" s="4"/>
      <c r="H989" s="3"/>
      <c r="I989" s="3"/>
      <c r="J989" s="3"/>
      <c r="K989" s="2"/>
      <c r="L989" s="1"/>
    </row>
    <row r="990" spans="3:12" ht="13.5" x14ac:dyDescent="0.25">
      <c r="C990" s="4"/>
      <c r="H990" s="3"/>
      <c r="I990" s="3"/>
      <c r="J990" s="3"/>
      <c r="K990" s="2"/>
      <c r="L990" s="1"/>
    </row>
    <row r="991" spans="3:12" ht="13.5" x14ac:dyDescent="0.25">
      <c r="C991" s="4"/>
      <c r="H991" s="3"/>
      <c r="I991" s="3"/>
      <c r="J991" s="3"/>
      <c r="K991" s="2"/>
      <c r="L991" s="1"/>
    </row>
    <row r="992" spans="3:12" ht="13.5" x14ac:dyDescent="0.25">
      <c r="C992" s="4"/>
      <c r="H992" s="3"/>
      <c r="I992" s="3"/>
      <c r="J992" s="3"/>
      <c r="K992" s="2"/>
      <c r="L992" s="1"/>
    </row>
    <row r="993" spans="3:12" ht="13.5" x14ac:dyDescent="0.25">
      <c r="C993" s="4"/>
      <c r="H993" s="3"/>
      <c r="I993" s="3"/>
      <c r="J993" s="3"/>
      <c r="K993" s="2"/>
      <c r="L993" s="1"/>
    </row>
    <row r="994" spans="3:12" ht="13.5" x14ac:dyDescent="0.25">
      <c r="C994" s="4"/>
      <c r="H994" s="3"/>
      <c r="I994" s="3"/>
      <c r="J994" s="3"/>
      <c r="K994" s="2"/>
      <c r="L994" s="1"/>
    </row>
    <row r="995" spans="3:12" ht="13.5" x14ac:dyDescent="0.25">
      <c r="C995" s="4"/>
      <c r="H995" s="3"/>
      <c r="I995" s="3"/>
      <c r="J995" s="3"/>
      <c r="K995" s="2"/>
      <c r="L995" s="1"/>
    </row>
    <row r="996" spans="3:12" ht="13.5" x14ac:dyDescent="0.25">
      <c r="C996" s="4"/>
      <c r="H996" s="3"/>
      <c r="I996" s="3"/>
      <c r="J996" s="3"/>
      <c r="K996" s="2"/>
      <c r="L996" s="1"/>
    </row>
    <row r="997" spans="3:12" ht="13.5" x14ac:dyDescent="0.25">
      <c r="C997" s="4"/>
      <c r="H997" s="3"/>
      <c r="I997" s="3"/>
      <c r="J997" s="3"/>
      <c r="K997" s="2"/>
      <c r="L997" s="1"/>
    </row>
    <row r="998" spans="3:12" ht="13.5" x14ac:dyDescent="0.25">
      <c r="C998" s="4"/>
      <c r="H998" s="3"/>
      <c r="I998" s="3"/>
      <c r="J998" s="3"/>
      <c r="K998" s="2"/>
      <c r="L998" s="1"/>
    </row>
    <row r="999" spans="3:12" ht="13.5" x14ac:dyDescent="0.25">
      <c r="C999" s="4"/>
      <c r="H999" s="3"/>
      <c r="I999" s="3"/>
      <c r="J999" s="3"/>
      <c r="K999" s="2"/>
      <c r="L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(6)MonumentFOUS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2025-08-10T02:48:53Z</dcterms:created>
  <dcterms:modified xsi:type="dcterms:W3CDTF">2025-08-10T02:49:17Z</dcterms:modified>
</cp:coreProperties>
</file>