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0E017228-B85D-4B72-81D8-3BC9C10F43BE}" xr6:coauthVersionLast="47" xr6:coauthVersionMax="47" xr10:uidLastSave="{00000000-0000-0000-0000-000000000000}"/>
  <bookViews>
    <workbookView xWindow="28680" yWindow="-120" windowWidth="29040" windowHeight="15720" xr2:uid="{724386B5-0908-4240-BF60-CE6DA23BED3C}"/>
  </bookViews>
  <sheets>
    <sheet name="(4)DonnellL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N2" i="1"/>
  <c r="L3" i="1"/>
  <c r="M3" i="1"/>
  <c r="N3" i="1"/>
  <c r="L4" i="1"/>
  <c r="M4" i="1"/>
  <c r="N4" i="1"/>
  <c r="Q4" i="1"/>
  <c r="R4" i="1"/>
  <c r="L5" i="1"/>
  <c r="M5" i="1"/>
  <c r="N5" i="1"/>
  <c r="Q5" i="1"/>
  <c r="R5" i="1"/>
  <c r="L6" i="1"/>
  <c r="M6" i="1"/>
  <c r="N6" i="1"/>
  <c r="Q6" i="1"/>
  <c r="R6" i="1"/>
  <c r="L7" i="1"/>
  <c r="M7" i="1"/>
  <c r="N7" i="1"/>
  <c r="Q7" i="1"/>
  <c r="R7" i="1"/>
  <c r="L8" i="1"/>
  <c r="M8" i="1"/>
  <c r="N8" i="1"/>
  <c r="Q8" i="1"/>
  <c r="R8" i="1"/>
  <c r="L9" i="1"/>
  <c r="M9" i="1"/>
  <c r="N9" i="1"/>
  <c r="Q9" i="1"/>
  <c r="R9" i="1" s="1"/>
  <c r="L10" i="1"/>
  <c r="M10" i="1" s="1"/>
  <c r="N10" i="1"/>
  <c r="Q10" i="1"/>
  <c r="R10" i="1"/>
  <c r="L11" i="1"/>
  <c r="M11" i="1"/>
  <c r="N11" i="1"/>
  <c r="Q11" i="1"/>
  <c r="R11" i="1"/>
  <c r="L12" i="1"/>
  <c r="M12" i="1"/>
  <c r="N12" i="1"/>
  <c r="Q12" i="1"/>
  <c r="R12" i="1" s="1"/>
  <c r="L13" i="1"/>
  <c r="M13" i="1"/>
  <c r="N13" i="1"/>
  <c r="Q13" i="1"/>
  <c r="R13" i="1"/>
  <c r="L14" i="1"/>
  <c r="M14" i="1"/>
  <c r="N14" i="1"/>
  <c r="Q14" i="1"/>
  <c r="R14" i="1"/>
  <c r="L15" i="1"/>
  <c r="M15" i="1" s="1"/>
  <c r="N15" i="1"/>
  <c r="Q15" i="1"/>
  <c r="R15" i="1"/>
  <c r="L16" i="1"/>
  <c r="M16" i="1"/>
  <c r="N16" i="1"/>
  <c r="Q16" i="1"/>
  <c r="R16" i="1"/>
  <c r="L17" i="1"/>
  <c r="M17" i="1"/>
  <c r="N17" i="1"/>
  <c r="Q17" i="1"/>
  <c r="R17" i="1"/>
  <c r="L18" i="1"/>
  <c r="M18" i="1"/>
  <c r="N18" i="1"/>
  <c r="Q18" i="1"/>
  <c r="R18" i="1"/>
  <c r="L19" i="1"/>
  <c r="M19" i="1"/>
  <c r="N19" i="1"/>
  <c r="Q19" i="1"/>
  <c r="R19" i="1" s="1"/>
  <c r="L20" i="1"/>
  <c r="M20" i="1"/>
  <c r="N20" i="1"/>
  <c r="Q20" i="1"/>
  <c r="R20" i="1"/>
  <c r="L21" i="1"/>
  <c r="M21" i="1"/>
  <c r="N21" i="1"/>
  <c r="Q21" i="1"/>
  <c r="R21" i="1"/>
  <c r="L22" i="1"/>
  <c r="M22" i="1" s="1"/>
  <c r="N22" i="1"/>
  <c r="Q22" i="1"/>
  <c r="R22" i="1"/>
  <c r="L23" i="1"/>
  <c r="M23" i="1"/>
  <c r="N23" i="1"/>
  <c r="Q23" i="1"/>
  <c r="R23" i="1"/>
  <c r="L24" i="1"/>
  <c r="M24" i="1"/>
  <c r="N24" i="1"/>
  <c r="Q24" i="1"/>
  <c r="R24" i="1"/>
  <c r="L25" i="1"/>
  <c r="M25" i="1" s="1"/>
  <c r="N25" i="1"/>
  <c r="Q25" i="1"/>
  <c r="R25" i="1"/>
  <c r="L26" i="1"/>
  <c r="M26" i="1"/>
  <c r="N26" i="1"/>
  <c r="Q26" i="1"/>
  <c r="R26" i="1"/>
  <c r="L27" i="1"/>
  <c r="M27" i="1"/>
  <c r="N27" i="1"/>
  <c r="Q27" i="1"/>
  <c r="R27" i="1"/>
  <c r="L28" i="1"/>
  <c r="M28" i="1"/>
  <c r="N28" i="1"/>
  <c r="Q28" i="1"/>
  <c r="R28" i="1"/>
  <c r="L29" i="1"/>
  <c r="M29" i="1" s="1"/>
  <c r="N29" i="1"/>
  <c r="Q29" i="1"/>
  <c r="R29" i="1"/>
  <c r="L30" i="1"/>
  <c r="M30" i="1"/>
  <c r="N30" i="1"/>
  <c r="Q30" i="1"/>
  <c r="R30" i="1"/>
  <c r="L31" i="1"/>
  <c r="M31" i="1"/>
  <c r="N31" i="1"/>
  <c r="Q31" i="1"/>
  <c r="R31" i="1" s="1"/>
  <c r="L32" i="1"/>
  <c r="M32" i="1" s="1"/>
  <c r="N32" i="1"/>
  <c r="Q32" i="1"/>
  <c r="R32" i="1"/>
  <c r="L33" i="1"/>
  <c r="M33" i="1"/>
  <c r="N33" i="1"/>
  <c r="Q33" i="1"/>
  <c r="R33" i="1"/>
  <c r="L34" i="1"/>
  <c r="M34" i="1"/>
  <c r="N34" i="1"/>
  <c r="Q34" i="1"/>
  <c r="R34" i="1" s="1"/>
  <c r="M35" i="1"/>
  <c r="N35" i="1"/>
  <c r="Q35" i="1"/>
  <c r="R35" i="1" s="1"/>
  <c r="M36" i="1"/>
  <c r="N36" i="1"/>
  <c r="Q36" i="1"/>
  <c r="R36" i="1"/>
  <c r="L37" i="1"/>
  <c r="M37" i="1"/>
  <c r="N37" i="1"/>
  <c r="Q37" i="1"/>
  <c r="R37" i="1"/>
  <c r="L38" i="1"/>
  <c r="M38" i="1" s="1"/>
  <c r="N38" i="1"/>
  <c r="Q38" i="1"/>
  <c r="R38" i="1"/>
  <c r="L39" i="1"/>
  <c r="M39" i="1"/>
  <c r="N39" i="1"/>
  <c r="Q39" i="1"/>
  <c r="R39" i="1"/>
  <c r="M40" i="1"/>
  <c r="N40" i="1"/>
  <c r="Q40" i="1"/>
  <c r="R40" i="1"/>
  <c r="M41" i="1"/>
  <c r="N41" i="1"/>
  <c r="Q41" i="1"/>
  <c r="R41" i="1" s="1"/>
  <c r="L42" i="1"/>
  <c r="M42" i="1" s="1"/>
  <c r="N42" i="1"/>
  <c r="Q42" i="1"/>
  <c r="R42" i="1"/>
  <c r="L43" i="1"/>
  <c r="M43" i="1"/>
  <c r="N43" i="1"/>
  <c r="Q43" i="1"/>
  <c r="R43" i="1"/>
  <c r="M44" i="1"/>
  <c r="M45" i="1"/>
  <c r="M46" i="1"/>
  <c r="M47" i="1"/>
  <c r="M48" i="1"/>
  <c r="M49" i="1"/>
  <c r="M50" i="1"/>
  <c r="M51" i="1"/>
  <c r="M52" i="1"/>
  <c r="S9" i="1" l="1"/>
  <c r="R45" i="1"/>
  <c r="S38" i="1"/>
  <c r="S19" i="1"/>
  <c r="S22" i="1"/>
  <c r="S31" i="1"/>
  <c r="S12" i="1"/>
  <c r="S41" i="1"/>
  <c r="S11" i="1" l="1"/>
  <c r="S6" i="1"/>
  <c r="S28" i="1"/>
  <c r="S25" i="1"/>
  <c r="S14" i="1"/>
  <c r="S17" i="1"/>
  <c r="S8" i="1"/>
  <c r="T8" i="1" s="1"/>
  <c r="S18" i="1"/>
  <c r="S16" i="1"/>
  <c r="S13" i="1"/>
  <c r="S10" i="1"/>
  <c r="T10" i="1" s="1"/>
  <c r="S32" i="1"/>
  <c r="S42" i="1"/>
  <c r="S7" i="1"/>
  <c r="S29" i="1"/>
  <c r="S4" i="1"/>
  <c r="T4" i="1" s="1"/>
  <c r="S26" i="1"/>
  <c r="S23" i="1"/>
  <c r="S39" i="1"/>
  <c r="S20" i="1"/>
  <c r="S36" i="1"/>
  <c r="S33" i="1"/>
  <c r="S43" i="1"/>
  <c r="S30" i="1"/>
  <c r="S5" i="1"/>
  <c r="S27" i="1"/>
  <c r="S40" i="1"/>
  <c r="S24" i="1"/>
  <c r="S21" i="1"/>
  <c r="S37" i="1"/>
  <c r="T9" i="1"/>
  <c r="S15" i="1"/>
  <c r="T15" i="1" s="1"/>
  <c r="S34" i="1"/>
  <c r="S35" i="1"/>
  <c r="T16" i="1" l="1"/>
  <c r="T17" i="1"/>
  <c r="T13" i="1"/>
  <c r="T18" i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14" i="1"/>
  <c r="T5" i="1"/>
  <c r="T6" i="1" s="1"/>
  <c r="T7" i="1" s="1"/>
  <c r="T11" i="1"/>
  <c r="T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6000-000002000000}">
      <text>
        <r>
          <rPr>
            <sz val="10"/>
            <color rgb="FF000000"/>
            <rFont val="Aptos Narrow"/>
            <family val="2"/>
            <scheme val="minor"/>
          </rPr>
          <t>======
ID#AAABb20Iq6Q
Stephanie Overla    (2025-01-18 02:46:54)
deleted second row 1000	$2,000,000</t>
        </r>
      </text>
    </comment>
    <comment ref="A14" authorId="0" shapeId="0" xr:uid="{00000000-0006-0000-6000-000001000000}">
      <text>
        <r>
          <rPr>
            <sz val="10"/>
            <color rgb="FF000000"/>
            <rFont val="Aptos Narrow"/>
            <family val="2"/>
            <scheme val="minor"/>
          </rPr>
          <t>======
ID#AAABb20Iq6U
Stephanie Overla    (2025-01-18 02:48:58)
deleted row 23824	$10,300,000</t>
        </r>
      </text>
    </comment>
  </commentList>
</comments>
</file>

<file path=xl/sharedStrings.xml><?xml version="1.0" encoding="utf-8"?>
<sst xmlns="http://schemas.openxmlformats.org/spreadsheetml/2006/main" count="22" uniqueCount="21">
  <si>
    <t>As</t>
  </si>
  <si>
    <t>Ls</t>
  </si>
  <si>
    <t>ScaledSumCPD</t>
  </si>
  <si>
    <t>ScaledCPD</t>
  </si>
  <si>
    <t>Cost per acre per day</t>
  </si>
  <si>
    <t>Real Cost (Adjusted for Inflation)</t>
  </si>
  <si>
    <t>Chosen Best Cost</t>
  </si>
  <si>
    <t>Best Acreage</t>
  </si>
  <si>
    <t>Ls_Growth</t>
  </si>
  <si>
    <t>Growth</t>
  </si>
  <si>
    <t>IR infrared data - daily acres</t>
  </si>
  <si>
    <t>Prog_0831</t>
  </si>
  <si>
    <t>Prog_0830</t>
  </si>
  <si>
    <t>Prog_0829</t>
  </si>
  <si>
    <t>Prog_0828 progression map &amp; date</t>
  </si>
  <si>
    <t>IMSR cost</t>
  </si>
  <si>
    <t>IMSR daily acres</t>
  </si>
  <si>
    <t>ICS209 Cost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</si>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</sst>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#,##0"/>
    <numFmt numFmtId="165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EF1CC"/>
        <bgColor rgb="FFFEF1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EF1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64" fontId="1" fillId="0" borderId="0" xfId="0" applyNumberFormat="1" applyFont="1"/>
    <xf numFmtId="164" fontId="1" fillId="2" borderId="0" xfId="0" applyNumberFormat="1" applyFont="1" applyFill="1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164" fontId="3" fillId="5" borderId="0" xfId="0" applyNumberFormat="1" applyFont="1" applyFill="1"/>
    <xf numFmtId="164" fontId="3" fillId="2" borderId="0" xfId="0" applyNumberFormat="1" applyFont="1" applyFill="1"/>
    <xf numFmtId="0" fontId="3" fillId="2" borderId="0" xfId="0" applyFont="1" applyFill="1"/>
    <xf numFmtId="165" fontId="3" fillId="0" borderId="0" xfId="0" applyNumberFormat="1" applyFont="1"/>
    <xf numFmtId="0" fontId="3" fillId="4" borderId="0" xfId="0" applyFont="1" applyFill="1" applyAlignment="1">
      <alignment wrapText="1"/>
    </xf>
    <xf numFmtId="164" fontId="3" fillId="5" borderId="0" xfId="0" applyNumberFormat="1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right" wrapText="1"/>
    </xf>
    <xf numFmtId="0" fontId="3" fillId="4" borderId="0" xfId="0" applyFont="1" applyFill="1" applyAlignment="1">
      <alignment horizontal="right" wrapText="1"/>
    </xf>
    <xf numFmtId="164" fontId="3" fillId="5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horizontal="right" wrapText="1"/>
    </xf>
    <xf numFmtId="0" fontId="3" fillId="3" borderId="0" xfId="0" applyFont="1" applyFill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4" fontId="3" fillId="4" borderId="0" xfId="0" applyNumberFormat="1" applyFont="1" applyFill="1" applyAlignment="1">
      <alignment horizontal="right" wrapText="1"/>
    </xf>
    <xf numFmtId="0" fontId="0" fillId="6" borderId="0" xfId="0" applyFill="1"/>
    <xf numFmtId="0" fontId="3" fillId="6" borderId="0" xfId="0" applyFont="1" applyFill="1" applyAlignment="1">
      <alignment horizontal="right" wrapText="1"/>
    </xf>
    <xf numFmtId="0" fontId="2" fillId="6" borderId="0" xfId="0" applyFont="1" applyFill="1"/>
    <xf numFmtId="164" fontId="3" fillId="7" borderId="0" xfId="0" applyNumberFormat="1" applyFont="1" applyFill="1" applyAlignment="1">
      <alignment wrapText="1"/>
    </xf>
    <xf numFmtId="164" fontId="3" fillId="8" borderId="0" xfId="0" applyNumberFormat="1" applyFont="1" applyFill="1" applyAlignment="1">
      <alignment wrapText="1"/>
    </xf>
    <xf numFmtId="164" fontId="3" fillId="9" borderId="0" xfId="0" applyNumberFormat="1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165" fontId="3" fillId="6" borderId="0" xfId="0" applyNumberFormat="1" applyFont="1" applyFill="1" applyAlignment="1">
      <alignment wrapText="1"/>
    </xf>
    <xf numFmtId="14" fontId="3" fillId="6" borderId="0" xfId="0" applyNumberFormat="1" applyFont="1" applyFill="1" applyAlignment="1">
      <alignment horizontal="right" wrapText="1"/>
    </xf>
    <xf numFmtId="0" fontId="2" fillId="0" borderId="0" xfId="0" applyFont="1"/>
    <xf numFmtId="164" fontId="3" fillId="4" borderId="0" xfId="0" applyNumberFormat="1" applyFont="1" applyFill="1" applyAlignment="1">
      <alignment wrapText="1"/>
    </xf>
    <xf numFmtId="0" fontId="3" fillId="11" borderId="0" xfId="0" applyFont="1" applyFill="1" applyAlignment="1">
      <alignment wrapText="1"/>
    </xf>
    <xf numFmtId="165" fontId="3" fillId="2" borderId="0" xfId="0" applyNumberFormat="1" applyFont="1" applyFill="1" applyAlignment="1">
      <alignment wrapText="1"/>
    </xf>
    <xf numFmtId="0" fontId="2" fillId="11" borderId="0" xfId="0" applyFont="1" applyFill="1"/>
    <xf numFmtId="164" fontId="3" fillId="11" borderId="0" xfId="0" applyNumberFormat="1" applyFont="1" applyFill="1" applyAlignment="1">
      <alignment wrapText="1"/>
    </xf>
    <xf numFmtId="0" fontId="3" fillId="11" borderId="0" xfId="0" applyFont="1" applyFill="1" applyAlignment="1">
      <alignment horizontal="right" wrapText="1"/>
    </xf>
    <xf numFmtId="165" fontId="3" fillId="11" borderId="0" xfId="0" applyNumberFormat="1" applyFont="1" applyFill="1" applyAlignment="1">
      <alignment wrapText="1"/>
    </xf>
    <xf numFmtId="14" fontId="3" fillId="11" borderId="0" xfId="0" applyNumberFormat="1" applyFont="1" applyFill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BlackRockLF(27)"/>
      <sheetName val="PoleCreekLF(26)"/>
      <sheetName val="ZoggLF(25)"/>
      <sheetName val="JohnsonXLF(3)"/>
      <sheetName val="JollyMountainLF(20)"/>
      <sheetName val="BeaverCreekLF(18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WalkerLF(7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F2">
            <v>1.1928852932198402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192A-C9CB-4587-BA2E-BE24C62C3696}">
  <dimension ref="A1:AE999"/>
  <sheetViews>
    <sheetView tabSelected="1" topLeftCell="A3" workbookViewId="0">
      <pane xSplit="1" topLeftCell="D1" activePane="topRight" state="frozen"/>
      <selection pane="topRight" activeCell="J26" sqref="J26"/>
    </sheetView>
  </sheetViews>
  <sheetFormatPr defaultColWidth="12.5703125" defaultRowHeight="15" customHeight="1" x14ac:dyDescent="0.25"/>
  <cols>
    <col min="1" max="1" width="12.140625" customWidth="1"/>
    <col min="2" max="3" width="8.5703125" customWidth="1"/>
    <col min="4" max="4" width="12" customWidth="1"/>
    <col min="5" max="5" width="8.5703125" customWidth="1"/>
    <col min="6" max="6" width="14" customWidth="1"/>
    <col min="7" max="7" width="11.7109375" customWidth="1"/>
    <col min="8" max="11" width="10.42578125" customWidth="1"/>
    <col min="12" max="14" width="14" customWidth="1"/>
    <col min="15" max="15" width="10.42578125" customWidth="1"/>
    <col min="16" max="16" width="12.7109375" customWidth="1"/>
    <col min="17" max="17" width="13" customWidth="1"/>
    <col min="18" max="18" width="12.28515625" customWidth="1"/>
    <col min="19" max="19" width="13.42578125" customWidth="1"/>
    <col min="20" max="20" width="14" customWidth="1"/>
    <col min="21" max="22" width="12" customWidth="1"/>
    <col min="23" max="23" width="8.5703125" customWidth="1"/>
  </cols>
  <sheetData>
    <row r="1" spans="1:23" ht="39.75" customHeight="1" x14ac:dyDescent="0.25">
      <c r="A1" s="20" t="s">
        <v>20</v>
      </c>
      <c r="B1" s="20" t="s">
        <v>19</v>
      </c>
      <c r="C1" s="20" t="s">
        <v>18</v>
      </c>
      <c r="D1" s="21" t="s">
        <v>17</v>
      </c>
      <c r="E1" s="20" t="s">
        <v>16</v>
      </c>
      <c r="F1" s="21" t="s">
        <v>15</v>
      </c>
      <c r="G1" s="20" t="s">
        <v>14</v>
      </c>
      <c r="H1" s="20" t="s">
        <v>13</v>
      </c>
      <c r="I1" s="20" t="s">
        <v>12</v>
      </c>
      <c r="J1" s="20" t="s">
        <v>11</v>
      </c>
      <c r="K1" s="20" t="s">
        <v>10</v>
      </c>
      <c r="L1" s="19" t="s">
        <v>9</v>
      </c>
      <c r="M1" s="19" t="s">
        <v>0</v>
      </c>
      <c r="N1" s="19" t="s">
        <v>8</v>
      </c>
      <c r="O1" s="13" t="s">
        <v>7</v>
      </c>
      <c r="P1" s="12" t="s">
        <v>6</v>
      </c>
      <c r="Q1" s="11" t="s">
        <v>5</v>
      </c>
      <c r="R1" s="10" t="s">
        <v>4</v>
      </c>
      <c r="S1" s="37" t="s">
        <v>3</v>
      </c>
      <c r="T1" s="37" t="s">
        <v>2</v>
      </c>
      <c r="U1" s="20" t="s">
        <v>1</v>
      </c>
      <c r="V1" s="20"/>
      <c r="W1" s="20" t="s">
        <v>0</v>
      </c>
    </row>
    <row r="2" spans="1:23" ht="14.25" customHeight="1" x14ac:dyDescent="0.25">
      <c r="A2" s="22">
        <v>43313</v>
      </c>
      <c r="B2" s="14">
        <v>1</v>
      </c>
      <c r="C2" s="20"/>
      <c r="D2" s="21"/>
      <c r="E2" s="20"/>
      <c r="F2" s="21"/>
      <c r="G2" s="20"/>
      <c r="H2" s="20"/>
      <c r="I2" s="20"/>
      <c r="J2" s="20"/>
      <c r="K2" s="20"/>
      <c r="L2" s="19">
        <f>O2</f>
        <v>0</v>
      </c>
      <c r="M2" s="19">
        <f>42/$O$43*(L2)</f>
        <v>0</v>
      </c>
      <c r="N2" s="19">
        <f>$B$33/SQRT($O$33)*(SQRT(O2)-SQRT(0))</f>
        <v>0</v>
      </c>
      <c r="O2" s="13">
        <v>0</v>
      </c>
      <c r="P2" s="12"/>
      <c r="Q2" s="11"/>
      <c r="R2" s="10">
        <v>0</v>
      </c>
      <c r="U2" s="14"/>
      <c r="V2" s="14">
        <v>0</v>
      </c>
      <c r="W2" s="14">
        <v>0</v>
      </c>
    </row>
    <row r="3" spans="1:23" ht="14.25" customHeight="1" x14ac:dyDescent="0.25">
      <c r="A3" s="22">
        <v>43314</v>
      </c>
      <c r="B3" s="14">
        <v>2</v>
      </c>
      <c r="C3" s="20"/>
      <c r="D3" s="21"/>
      <c r="E3" s="20"/>
      <c r="F3" s="21"/>
      <c r="G3" s="20">
        <v>563</v>
      </c>
      <c r="H3" s="20">
        <v>563</v>
      </c>
      <c r="I3" s="20">
        <v>563</v>
      </c>
      <c r="J3" s="20">
        <v>563</v>
      </c>
      <c r="K3" s="20"/>
      <c r="L3" s="19">
        <f>O3-O2</f>
        <v>563</v>
      </c>
      <c r="M3" s="19">
        <f>42/$O$43*(L3)</f>
        <v>0.64872427983539094</v>
      </c>
      <c r="N3" s="19">
        <f>$B$33/SQRT($O$33)*(SQRT(O3)-SQRT(O2))</f>
        <v>3.9815888225404614</v>
      </c>
      <c r="O3" s="13">
        <v>563</v>
      </c>
      <c r="P3" s="12"/>
      <c r="Q3" s="11"/>
      <c r="R3" s="10">
        <v>0</v>
      </c>
      <c r="U3" s="14"/>
      <c r="V3" s="14">
        <v>0</v>
      </c>
      <c r="W3" s="14">
        <v>0</v>
      </c>
    </row>
    <row r="4" spans="1:23" ht="14.25" customHeight="1" x14ac:dyDescent="0.25">
      <c r="A4" s="22">
        <v>43315</v>
      </c>
      <c r="B4" s="14">
        <v>3</v>
      </c>
      <c r="C4" s="20">
        <v>400</v>
      </c>
      <c r="D4" s="21">
        <v>25000</v>
      </c>
      <c r="E4" s="20"/>
      <c r="F4" s="21"/>
      <c r="G4" s="20">
        <v>893</v>
      </c>
      <c r="H4" s="20">
        <v>893</v>
      </c>
      <c r="I4" s="20">
        <v>893</v>
      </c>
      <c r="J4" s="20">
        <v>893</v>
      </c>
      <c r="K4" s="20"/>
      <c r="L4" s="19">
        <f>O4-O3</f>
        <v>330</v>
      </c>
      <c r="M4" s="19">
        <f>42/$O$43*(L4)</f>
        <v>0.38024691358024693</v>
      </c>
      <c r="N4" s="19">
        <f>$B$33/SQRT($O$33)*(SQRT(O4)-SQRT(O3))</f>
        <v>1.0329146981521569</v>
      </c>
      <c r="O4" s="13">
        <v>893</v>
      </c>
      <c r="P4" s="12">
        <v>25000</v>
      </c>
      <c r="Q4" s="11">
        <f>P4*('[1]Inflation Rates by Year'!F$2)</f>
        <v>29822.132330496002</v>
      </c>
      <c r="R4" s="38">
        <f>Q4/O4</f>
        <v>33.395444938965291</v>
      </c>
      <c r="S4" s="37">
        <f>R4/R$45</f>
        <v>1.1393200731482896E-3</v>
      </c>
      <c r="T4" s="37">
        <f>S4+T3</f>
        <v>1.1393200731482896E-3</v>
      </c>
      <c r="U4" s="14"/>
      <c r="V4" s="14">
        <v>0</v>
      </c>
      <c r="W4" s="14">
        <v>0</v>
      </c>
    </row>
    <row r="5" spans="1:23" ht="14.25" customHeight="1" x14ac:dyDescent="0.25">
      <c r="A5" s="22">
        <v>43316</v>
      </c>
      <c r="B5" s="14">
        <v>4</v>
      </c>
      <c r="C5" s="20">
        <v>1000</v>
      </c>
      <c r="D5" s="21">
        <v>300000</v>
      </c>
      <c r="E5" s="20">
        <v>600</v>
      </c>
      <c r="F5" s="21">
        <v>250000</v>
      </c>
      <c r="G5" s="20">
        <v>2057</v>
      </c>
      <c r="H5" s="20">
        <v>2057</v>
      </c>
      <c r="I5" s="20">
        <v>2057</v>
      </c>
      <c r="J5" s="20">
        <v>2057</v>
      </c>
      <c r="K5" s="20"/>
      <c r="L5" s="19">
        <f>O5-O4</f>
        <v>1164</v>
      </c>
      <c r="M5" s="19">
        <f>42/$O$43*(L5)</f>
        <v>1.3412345679012347</v>
      </c>
      <c r="N5" s="19">
        <f>$B$33/SQRT($O$33)*(SQRT(O5)-SQRT(O4))</f>
        <v>2.5961045438392651</v>
      </c>
      <c r="O5" s="13">
        <v>2057</v>
      </c>
      <c r="P5" s="12">
        <v>300000</v>
      </c>
      <c r="Q5" s="11">
        <f>P5*('[1]Inflation Rates by Year'!F$2)</f>
        <v>357865.58796595206</v>
      </c>
      <c r="R5" s="38">
        <f>Q5/O5</f>
        <v>173.97452015845991</v>
      </c>
      <c r="S5" s="37">
        <f>R5/R$45</f>
        <v>5.9353203227307102E-3</v>
      </c>
      <c r="T5" s="37">
        <f>S5+T4</f>
        <v>7.0746403958789998E-3</v>
      </c>
      <c r="U5" s="14"/>
      <c r="V5" s="14">
        <v>0</v>
      </c>
      <c r="W5" s="14">
        <v>0</v>
      </c>
    </row>
    <row r="6" spans="1:23" ht="14.25" customHeight="1" x14ac:dyDescent="0.25">
      <c r="A6" s="22">
        <v>43317</v>
      </c>
      <c r="B6" s="14">
        <v>5</v>
      </c>
      <c r="C6" s="46">
        <v>1500</v>
      </c>
      <c r="D6" s="21">
        <v>500000</v>
      </c>
      <c r="E6" s="46">
        <v>1500</v>
      </c>
      <c r="F6" s="21">
        <v>500000</v>
      </c>
      <c r="G6" s="20">
        <v>5814</v>
      </c>
      <c r="H6" s="20">
        <v>5814</v>
      </c>
      <c r="I6" s="20">
        <v>5814</v>
      </c>
      <c r="J6" s="20">
        <v>5814</v>
      </c>
      <c r="K6" s="20">
        <v>11705</v>
      </c>
      <c r="L6" s="19">
        <f>O6-O5</f>
        <v>3757</v>
      </c>
      <c r="M6" s="19">
        <f>42/$O$43*(L6)</f>
        <v>4.3290534979423869</v>
      </c>
      <c r="N6" s="19">
        <f>$B$33/SQRT($O$33)*(SQRT(O6)-SQRT(O5))</f>
        <v>5.1843752784069226</v>
      </c>
      <c r="O6" s="13">
        <v>5814</v>
      </c>
      <c r="P6" s="12">
        <v>500000</v>
      </c>
      <c r="Q6" s="11">
        <f>P6*('[1]Inflation Rates by Year'!F$2)</f>
        <v>596442.64660992008</v>
      </c>
      <c r="R6" s="38">
        <f>Q6/O6</f>
        <v>102.5873145183901</v>
      </c>
      <c r="S6" s="37">
        <f>R6/R$45</f>
        <v>3.4998721201287327E-3</v>
      </c>
      <c r="T6" s="37">
        <f>S6+T5</f>
        <v>1.0574512516007733E-2</v>
      </c>
      <c r="U6" s="14"/>
      <c r="V6" s="14">
        <v>0</v>
      </c>
      <c r="W6" s="14">
        <v>0</v>
      </c>
    </row>
    <row r="7" spans="1:23" ht="14.25" customHeight="1" x14ac:dyDescent="0.25">
      <c r="A7" s="22">
        <v>43318</v>
      </c>
      <c r="B7" s="14">
        <v>6</v>
      </c>
      <c r="C7" s="20">
        <v>13200</v>
      </c>
      <c r="D7" s="21">
        <v>2200000</v>
      </c>
      <c r="E7" s="20">
        <v>6000</v>
      </c>
      <c r="F7" s="21">
        <v>2000000</v>
      </c>
      <c r="G7" s="20">
        <v>11074</v>
      </c>
      <c r="H7" s="20">
        <v>11074</v>
      </c>
      <c r="I7" s="20">
        <v>11074</v>
      </c>
      <c r="J7" s="20">
        <v>11074</v>
      </c>
      <c r="K7" s="20"/>
      <c r="L7" s="19">
        <f>O7-O6</f>
        <v>5260</v>
      </c>
      <c r="M7" s="19">
        <f>42/$O$43*(L7)</f>
        <v>6.0609053497942389</v>
      </c>
      <c r="N7" s="19">
        <f>$B$33/SQRT($O$33)*(SQRT(O7)-SQRT(O6))</f>
        <v>4.8635435341213133</v>
      </c>
      <c r="O7" s="13">
        <v>11074</v>
      </c>
      <c r="P7" s="40">
        <v>2000000</v>
      </c>
      <c r="Q7" s="11">
        <f>P7*('[1]Inflation Rates by Year'!F$2)</f>
        <v>2385770.5864396803</v>
      </c>
      <c r="R7" s="38">
        <f>Q7/O7</f>
        <v>215.4389187682572</v>
      </c>
      <c r="S7" s="37">
        <f>R7/R$45</f>
        <v>7.3499210787171584E-3</v>
      </c>
      <c r="T7" s="37">
        <f>S7+T6</f>
        <v>1.7924433594724891E-2</v>
      </c>
      <c r="U7" s="14"/>
      <c r="V7" s="14">
        <v>0</v>
      </c>
      <c r="W7" s="14">
        <v>0</v>
      </c>
    </row>
    <row r="8" spans="1:23" ht="14.25" customHeight="1" x14ac:dyDescent="0.25">
      <c r="A8" s="22">
        <v>43319</v>
      </c>
      <c r="B8" s="14">
        <v>7</v>
      </c>
      <c r="C8" s="46">
        <v>13814</v>
      </c>
      <c r="D8" s="21">
        <v>2900000</v>
      </c>
      <c r="E8" s="20">
        <v>11074</v>
      </c>
      <c r="F8" s="21">
        <v>2200000</v>
      </c>
      <c r="G8" s="20">
        <v>12029</v>
      </c>
      <c r="H8" s="20">
        <v>12029</v>
      </c>
      <c r="I8" s="20">
        <v>12029</v>
      </c>
      <c r="J8" s="20">
        <v>12029</v>
      </c>
      <c r="K8" s="20"/>
      <c r="L8" s="19">
        <f>O8-O7</f>
        <v>2740</v>
      </c>
      <c r="M8" s="19">
        <f>42/$O$43*(L8)</f>
        <v>3.157201646090535</v>
      </c>
      <c r="N8" s="19">
        <f>$B$33/SQRT($O$33)*(SQRT(O8)-SQRT(O7))</f>
        <v>2.063971861634927</v>
      </c>
      <c r="O8" s="8">
        <v>13814</v>
      </c>
      <c r="P8" s="12">
        <v>2900000</v>
      </c>
      <c r="Q8" s="11">
        <f>P8*('[1]Inflation Rates by Year'!F$2)</f>
        <v>3459367.3503375365</v>
      </c>
      <c r="R8" s="38">
        <f>Q8/O8</f>
        <v>250.42473941925124</v>
      </c>
      <c r="S8" s="37">
        <f>R8/R$45</f>
        <v>8.5434984607850751E-3</v>
      </c>
      <c r="T8" s="37" t="e">
        <f>S8+#REF!</f>
        <v>#REF!</v>
      </c>
      <c r="U8" s="14"/>
      <c r="V8" s="14"/>
      <c r="W8" s="14"/>
    </row>
    <row r="9" spans="1:23" ht="14.25" customHeight="1" x14ac:dyDescent="0.25">
      <c r="A9" s="22">
        <v>43320</v>
      </c>
      <c r="B9" s="14">
        <v>8</v>
      </c>
      <c r="C9" s="20">
        <v>17941</v>
      </c>
      <c r="D9" s="21">
        <v>3700000</v>
      </c>
      <c r="E9" s="46">
        <v>13814</v>
      </c>
      <c r="F9" s="21">
        <v>2900000</v>
      </c>
      <c r="G9" s="20">
        <v>13814</v>
      </c>
      <c r="H9" s="20">
        <v>13814</v>
      </c>
      <c r="I9" s="20">
        <v>13814</v>
      </c>
      <c r="J9" s="20">
        <v>13814</v>
      </c>
      <c r="K9" s="20">
        <v>17684</v>
      </c>
      <c r="L9" s="19">
        <f>O9-O8</f>
        <v>3870</v>
      </c>
      <c r="M9" s="19">
        <f>42/$O$43*(L9)</f>
        <v>4.4592592592592597</v>
      </c>
      <c r="N9" s="19">
        <f>$B$33/SQRT($O$33)*(SQRT(O9)-SQRT(O8))</f>
        <v>2.5922737967854541</v>
      </c>
      <c r="O9" s="13">
        <v>17684</v>
      </c>
      <c r="P9" s="12">
        <v>3700000</v>
      </c>
      <c r="Q9" s="11">
        <f>P9*('[1]Inflation Rates by Year'!F$2)</f>
        <v>4413675.5849134084</v>
      </c>
      <c r="R9" s="38">
        <f>Q9/O9</f>
        <v>249.58581683518483</v>
      </c>
      <c r="S9" s="37">
        <f>R9/R$45</f>
        <v>8.5148777509370371E-3</v>
      </c>
      <c r="T9" s="37" t="e">
        <f>S9+T8</f>
        <v>#REF!</v>
      </c>
      <c r="U9" s="14"/>
      <c r="V9" s="14"/>
      <c r="W9" s="14"/>
    </row>
    <row r="10" spans="1:23" ht="14.25" customHeight="1" x14ac:dyDescent="0.25">
      <c r="A10" s="22">
        <v>43321</v>
      </c>
      <c r="B10" s="14">
        <v>9</v>
      </c>
      <c r="C10" s="20">
        <v>21097</v>
      </c>
      <c r="D10" s="21">
        <v>4700000</v>
      </c>
      <c r="E10" s="20">
        <v>17941</v>
      </c>
      <c r="F10" s="21">
        <v>3700000</v>
      </c>
      <c r="G10" s="20">
        <v>19744</v>
      </c>
      <c r="H10" s="20">
        <v>19744</v>
      </c>
      <c r="I10" s="20">
        <v>19744</v>
      </c>
      <c r="J10" s="20">
        <v>19744</v>
      </c>
      <c r="K10" s="14">
        <v>21097</v>
      </c>
      <c r="L10" s="19">
        <f>O10-O9</f>
        <v>3413</v>
      </c>
      <c r="M10" s="19">
        <f>42/$O$43*(L10)</f>
        <v>3.9326748971193419</v>
      </c>
      <c r="N10" s="19">
        <f>$B$33/SQRT($O$33)*(SQRT(O10)-SQRT(O9))</f>
        <v>2.058428045507497</v>
      </c>
      <c r="O10" s="18">
        <v>21097</v>
      </c>
      <c r="P10" s="12">
        <v>4700000</v>
      </c>
      <c r="Q10" s="11">
        <f>P10*('[1]Inflation Rates by Year'!F$2)</f>
        <v>5606560.8781332485</v>
      </c>
      <c r="R10" s="38">
        <f>Q10/O10</f>
        <v>265.7515702769706</v>
      </c>
      <c r="S10" s="37">
        <f>R10/R$45</f>
        <v>9.0663891150603148E-3</v>
      </c>
      <c r="T10" s="37" t="e">
        <f>S10+T9</f>
        <v>#REF!</v>
      </c>
      <c r="U10" s="20"/>
      <c r="V10" s="20"/>
      <c r="W10" s="20"/>
    </row>
    <row r="11" spans="1:23" ht="14.25" customHeight="1" x14ac:dyDescent="0.25">
      <c r="A11" s="22">
        <v>43322</v>
      </c>
      <c r="B11" s="14">
        <v>10</v>
      </c>
      <c r="C11" s="20">
        <v>23824</v>
      </c>
      <c r="D11" s="21">
        <v>7100000</v>
      </c>
      <c r="E11" s="20">
        <v>19744</v>
      </c>
      <c r="F11" s="21">
        <v>4700000</v>
      </c>
      <c r="G11" s="20">
        <v>21622</v>
      </c>
      <c r="H11" s="20">
        <v>21622</v>
      </c>
      <c r="I11" s="20">
        <v>21622</v>
      </c>
      <c r="J11" s="20">
        <v>21622</v>
      </c>
      <c r="K11" s="20">
        <v>23823</v>
      </c>
      <c r="L11" s="19">
        <f>O11-O10</f>
        <v>2726</v>
      </c>
      <c r="M11" s="19">
        <f>42/$O$43*(L11)</f>
        <v>3.1410699588477367</v>
      </c>
      <c r="N11" s="19">
        <f>$B$33/SQRT($O$33)*(SQRT(O11)-SQRT(O10))</f>
        <v>1.5268395196562685</v>
      </c>
      <c r="O11" s="13">
        <v>23823</v>
      </c>
      <c r="P11" s="12">
        <v>7100000</v>
      </c>
      <c r="Q11" s="11">
        <f>P11*('[1]Inflation Rates by Year'!F$2)</f>
        <v>8469485.5818608645</v>
      </c>
      <c r="R11" s="38">
        <f>Q11/O11</f>
        <v>355.51717171896337</v>
      </c>
      <c r="S11" s="37">
        <f>R11/R$45</f>
        <v>1.2128835259676951E-2</v>
      </c>
      <c r="T11" s="37" t="e">
        <f>S11+T10</f>
        <v>#REF!</v>
      </c>
      <c r="U11" s="20"/>
      <c r="V11" s="20"/>
      <c r="W11" s="20"/>
    </row>
    <row r="12" spans="1:23" ht="14.25" customHeight="1" x14ac:dyDescent="0.25">
      <c r="A12" s="22">
        <v>43323</v>
      </c>
      <c r="B12" s="14">
        <v>11</v>
      </c>
      <c r="C12" s="20"/>
      <c r="D12" s="21"/>
      <c r="E12" s="20">
        <v>23824</v>
      </c>
      <c r="F12" s="21">
        <v>6200000</v>
      </c>
      <c r="G12" s="20">
        <v>26814</v>
      </c>
      <c r="H12" s="20">
        <v>26814</v>
      </c>
      <c r="I12" s="20">
        <v>26814</v>
      </c>
      <c r="J12" s="20">
        <v>26814</v>
      </c>
      <c r="K12" s="20">
        <v>26814</v>
      </c>
      <c r="L12" s="19">
        <f>O12-O11</f>
        <v>2991</v>
      </c>
      <c r="M12" s="19">
        <f>42/$O$43*(L12)</f>
        <v>3.44641975308642</v>
      </c>
      <c r="N12" s="19">
        <f>$B$33/SQRT($O$33)*(SQRT(O12)-SQRT(O11))</f>
        <v>1.5778266805382777</v>
      </c>
      <c r="O12" s="13">
        <v>26814</v>
      </c>
      <c r="P12" s="40">
        <v>6200000</v>
      </c>
      <c r="Q12" s="11">
        <f>P12*('[1]Inflation Rates by Year'!F$2)</f>
        <v>7395888.8179630088</v>
      </c>
      <c r="R12" s="38">
        <f>Q12/O12</f>
        <v>275.82191459547283</v>
      </c>
      <c r="S12" s="37">
        <f>R12/R$45</f>
        <v>9.409949305575923E-3</v>
      </c>
      <c r="T12" s="37" t="e">
        <f>S12+T11</f>
        <v>#REF!</v>
      </c>
      <c r="U12" s="20"/>
      <c r="V12" s="20"/>
      <c r="W12" s="20"/>
    </row>
    <row r="13" spans="1:23" ht="14.25" customHeight="1" x14ac:dyDescent="0.25">
      <c r="A13" s="22">
        <v>43324</v>
      </c>
      <c r="B13" s="14">
        <v>12</v>
      </c>
      <c r="C13" s="20">
        <v>27769</v>
      </c>
      <c r="D13" s="21">
        <v>8900000</v>
      </c>
      <c r="E13" s="20">
        <v>26814</v>
      </c>
      <c r="F13" s="21">
        <v>8000000</v>
      </c>
      <c r="G13" s="20">
        <v>27769</v>
      </c>
      <c r="H13" s="20">
        <v>27769</v>
      </c>
      <c r="I13" s="20">
        <v>27769</v>
      </c>
      <c r="J13" s="20">
        <v>27769</v>
      </c>
      <c r="K13" s="20">
        <v>27769</v>
      </c>
      <c r="L13" s="19">
        <f>O13-O12</f>
        <v>955</v>
      </c>
      <c r="M13" s="19">
        <f>42/$O$43*(L13)</f>
        <v>1.100411522633745</v>
      </c>
      <c r="N13" s="19">
        <f>$B$33/SQRT($O$33)*(SQRT(O13)-SQRT(O12))</f>
        <v>0.48504105984911644</v>
      </c>
      <c r="O13" s="13">
        <v>27769</v>
      </c>
      <c r="P13" s="12">
        <v>8900000</v>
      </c>
      <c r="Q13" s="11">
        <f>P13*('[1]Inflation Rates by Year'!F$2)</f>
        <v>10616679.109656578</v>
      </c>
      <c r="R13" s="38">
        <f>Q13/O13</f>
        <v>382.32126146626013</v>
      </c>
      <c r="S13" s="37">
        <f>R13/R$45</f>
        <v>1.304328444720467E-2</v>
      </c>
      <c r="T13" s="37" t="e">
        <f>S13+T12</f>
        <v>#REF!</v>
      </c>
      <c r="U13" s="20"/>
      <c r="V13" s="20"/>
      <c r="W13" s="20"/>
    </row>
    <row r="14" spans="1:23" ht="14.25" customHeight="1" x14ac:dyDescent="0.25">
      <c r="A14" s="22">
        <v>43325</v>
      </c>
      <c r="B14" s="14">
        <v>13</v>
      </c>
      <c r="C14" s="20">
        <v>28792</v>
      </c>
      <c r="D14" s="21">
        <v>11000000</v>
      </c>
      <c r="E14" s="20">
        <v>27769</v>
      </c>
      <c r="F14" s="21">
        <v>8900000</v>
      </c>
      <c r="G14" s="14">
        <v>28792</v>
      </c>
      <c r="H14" s="14">
        <v>28792</v>
      </c>
      <c r="I14" s="14">
        <v>28792</v>
      </c>
      <c r="J14" s="14">
        <v>28792</v>
      </c>
      <c r="K14" s="14">
        <v>28765</v>
      </c>
      <c r="L14" s="19">
        <f>O14-O13</f>
        <v>996</v>
      </c>
      <c r="M14" s="19">
        <f>42/$O$43*(L14)</f>
        <v>1.1476543209876544</v>
      </c>
      <c r="N14" s="19">
        <f>$B$33/SQRT($O$33)*(SQRT(O14)-SQRT(O13))</f>
        <v>0.49705969173482406</v>
      </c>
      <c r="O14" s="18">
        <v>28765</v>
      </c>
      <c r="P14" s="40">
        <v>8900000</v>
      </c>
      <c r="Q14" s="11">
        <f>P14*('[1]Inflation Rates by Year'!F$2)</f>
        <v>10616679.109656578</v>
      </c>
      <c r="R14" s="38">
        <f>Q14/O14</f>
        <v>369.08322995503488</v>
      </c>
      <c r="S14" s="37">
        <f>R14/R$45</f>
        <v>1.2591655338586007E-2</v>
      </c>
      <c r="T14" s="37" t="e">
        <f>S14+T13</f>
        <v>#REF!</v>
      </c>
      <c r="U14" s="14"/>
      <c r="V14" s="14"/>
      <c r="W14" s="14"/>
    </row>
    <row r="15" spans="1:23" ht="14.25" customHeight="1" x14ac:dyDescent="0.25">
      <c r="A15" s="22">
        <v>43326</v>
      </c>
      <c r="B15" s="14">
        <v>14</v>
      </c>
      <c r="C15" s="20">
        <v>28792</v>
      </c>
      <c r="D15" s="46">
        <v>12700000</v>
      </c>
      <c r="E15" s="20">
        <v>28792</v>
      </c>
      <c r="F15" s="21">
        <v>11000000</v>
      </c>
      <c r="G15" s="20">
        <v>29569</v>
      </c>
      <c r="H15" s="20">
        <v>29569</v>
      </c>
      <c r="I15" s="20">
        <v>29569</v>
      </c>
      <c r="J15" s="20">
        <v>29569</v>
      </c>
      <c r="K15" s="14">
        <v>29570</v>
      </c>
      <c r="L15" s="19">
        <f>O15-O14</f>
        <v>805</v>
      </c>
      <c r="M15" s="19">
        <f>42/$O$43*(L15)</f>
        <v>0.92757201646090537</v>
      </c>
      <c r="N15" s="19">
        <f>$B$33/SQRT($O$33)*(SQRT(O15)-SQRT(O14))</f>
        <v>0.39548392081316192</v>
      </c>
      <c r="O15" s="18">
        <v>29570</v>
      </c>
      <c r="P15" s="7">
        <v>12700000</v>
      </c>
      <c r="Q15" s="11">
        <f>P15*('[1]Inflation Rates by Year'!F$2)</f>
        <v>15149643.22389197</v>
      </c>
      <c r="R15" s="38">
        <f>Q15/O15</f>
        <v>512.33152600243386</v>
      </c>
      <c r="S15" s="37">
        <f>R15/R$45</f>
        <v>1.7478718811744426E-2</v>
      </c>
      <c r="T15" s="37" t="e">
        <f>S15+#REF!</f>
        <v>#REF!</v>
      </c>
      <c r="U15" s="14"/>
      <c r="V15" s="14"/>
      <c r="W15" s="14"/>
    </row>
    <row r="16" spans="1:23" ht="14.25" customHeight="1" x14ac:dyDescent="0.25">
      <c r="A16" s="22">
        <v>43327</v>
      </c>
      <c r="B16" s="14">
        <v>15</v>
      </c>
      <c r="C16" s="20">
        <v>28792</v>
      </c>
      <c r="D16" s="21">
        <v>14700000</v>
      </c>
      <c r="E16" s="14">
        <v>29715</v>
      </c>
      <c r="F16" s="24">
        <v>12700000</v>
      </c>
      <c r="G16" s="20">
        <v>29923</v>
      </c>
      <c r="H16" s="20">
        <v>29923</v>
      </c>
      <c r="I16" s="20">
        <v>29923</v>
      </c>
      <c r="J16" s="20">
        <v>29923</v>
      </c>
      <c r="K16" s="14">
        <v>29824</v>
      </c>
      <c r="L16" s="19">
        <f>O16-O15</f>
        <v>254</v>
      </c>
      <c r="M16" s="19">
        <f>42/$O$43*(L16)</f>
        <v>0.29267489711934158</v>
      </c>
      <c r="N16" s="19">
        <f>$B$33/SQRT($O$33)*(SQRT(O16)-SQRT(O15))</f>
        <v>0.1236660916202006</v>
      </c>
      <c r="O16" s="18">
        <v>29824</v>
      </c>
      <c r="P16" s="12">
        <v>14700000</v>
      </c>
      <c r="Q16" s="11">
        <f>P16*('[1]Inflation Rates by Year'!F$2)</f>
        <v>17535413.81033165</v>
      </c>
      <c r="R16" s="38">
        <f>Q16/O16</f>
        <v>587.96317765328763</v>
      </c>
      <c r="S16" s="37">
        <f>R16/R$45</f>
        <v>2.0058970670902513E-2</v>
      </c>
      <c r="T16" s="37" t="e">
        <f>S16+T15</f>
        <v>#REF!</v>
      </c>
      <c r="U16" s="14"/>
      <c r="V16" s="14"/>
      <c r="W16" s="14"/>
    </row>
    <row r="17" spans="1:23" ht="14.25" customHeight="1" x14ac:dyDescent="0.25">
      <c r="A17" s="22">
        <v>43328</v>
      </c>
      <c r="B17" s="14">
        <v>16</v>
      </c>
      <c r="C17" s="20">
        <v>30079</v>
      </c>
      <c r="D17" s="21">
        <v>16500000</v>
      </c>
      <c r="E17" s="20">
        <v>28792</v>
      </c>
      <c r="F17" s="21">
        <v>14700000</v>
      </c>
      <c r="G17" s="20"/>
      <c r="H17" s="20"/>
      <c r="I17" s="20"/>
      <c r="J17" s="20"/>
      <c r="K17" s="14"/>
      <c r="L17" s="19">
        <f>O17-O16</f>
        <v>255</v>
      </c>
      <c r="M17" s="19">
        <f>42/$O$43*(L17)</f>
        <v>0.29382716049382718</v>
      </c>
      <c r="N17" s="19">
        <f>$B$33/SQRT($O$33)*(SQRT(O17)-SQRT(O16))</f>
        <v>0.12362436989891808</v>
      </c>
      <c r="O17" s="13">
        <v>30079</v>
      </c>
      <c r="P17" s="12">
        <v>16500000</v>
      </c>
      <c r="Q17" s="11">
        <f>P17*('[1]Inflation Rates by Year'!F$2)</f>
        <v>19682607.338127363</v>
      </c>
      <c r="R17" s="38">
        <f>Q17/O17</f>
        <v>654.36375338699304</v>
      </c>
      <c r="S17" s="37">
        <f>R17/R$45</f>
        <v>2.2324294847306726E-2</v>
      </c>
      <c r="T17" s="37" t="e">
        <f>S17+T16</f>
        <v>#REF!</v>
      </c>
      <c r="U17" s="14"/>
      <c r="V17" s="14"/>
      <c r="W17" s="14"/>
    </row>
    <row r="18" spans="1:23" ht="14.25" customHeight="1" x14ac:dyDescent="0.25">
      <c r="A18" s="22">
        <v>43329</v>
      </c>
      <c r="B18" s="14">
        <v>17</v>
      </c>
      <c r="C18" s="20">
        <v>31369</v>
      </c>
      <c r="D18" s="21">
        <v>18250000</v>
      </c>
      <c r="E18" s="20">
        <v>30079</v>
      </c>
      <c r="F18" s="21">
        <v>16500000</v>
      </c>
      <c r="G18" s="20">
        <v>31369</v>
      </c>
      <c r="H18" s="20">
        <v>31369</v>
      </c>
      <c r="I18" s="20">
        <v>31369</v>
      </c>
      <c r="J18" s="20">
        <v>31369</v>
      </c>
      <c r="K18" s="14">
        <v>31377</v>
      </c>
      <c r="L18" s="19">
        <f>O18-O17</f>
        <v>1290</v>
      </c>
      <c r="M18" s="19">
        <f>42/$O$43*(L18)</f>
        <v>1.4864197530864198</v>
      </c>
      <c r="N18" s="19">
        <f>$B$33/SQRT($O$33)*(SQRT(O18)-SQRT(O17))</f>
        <v>0.61751423982553166</v>
      </c>
      <c r="O18" s="13">
        <v>31369</v>
      </c>
      <c r="P18" s="12">
        <v>18250000</v>
      </c>
      <c r="Q18" s="11">
        <f>P18*('[1]Inflation Rates by Year'!F$2)</f>
        <v>21770156.601262081</v>
      </c>
      <c r="R18" s="38">
        <f>Q18/O18</f>
        <v>694.00225066983592</v>
      </c>
      <c r="S18" s="37">
        <f>R18/R$45</f>
        <v>2.3676603094922966E-2</v>
      </c>
      <c r="T18" s="37" t="e">
        <f>S18+T17</f>
        <v>#REF!</v>
      </c>
      <c r="U18" s="14"/>
      <c r="V18" s="14"/>
      <c r="W18" s="14"/>
    </row>
    <row r="19" spans="1:23" ht="14.25" customHeight="1" x14ac:dyDescent="0.25">
      <c r="A19" s="22">
        <v>43330</v>
      </c>
      <c r="B19" s="14">
        <v>18</v>
      </c>
      <c r="C19" s="20">
        <v>31743</v>
      </c>
      <c r="D19" s="21">
        <v>19750000</v>
      </c>
      <c r="E19" s="20">
        <v>31369</v>
      </c>
      <c r="F19" s="21">
        <v>18000000</v>
      </c>
      <c r="G19" s="20">
        <v>31743</v>
      </c>
      <c r="H19" s="20">
        <v>31743</v>
      </c>
      <c r="I19" s="20">
        <v>31743</v>
      </c>
      <c r="J19" s="20">
        <v>31743</v>
      </c>
      <c r="K19" s="14"/>
      <c r="L19" s="19">
        <f>O19-O18</f>
        <v>374</v>
      </c>
      <c r="M19" s="19">
        <f>42/$O$43*(L19)</f>
        <v>0.4309465020576132</v>
      </c>
      <c r="N19" s="19">
        <f>$B$33/SQRT($O$33)*(SQRT(O19)-SQRT(O18))</f>
        <v>0.17664638345264772</v>
      </c>
      <c r="O19" s="13">
        <v>31743</v>
      </c>
      <c r="P19" s="12">
        <v>19750000</v>
      </c>
      <c r="Q19" s="11">
        <f>P19*('[1]Inflation Rates by Year'!F$2)</f>
        <v>23559484.541091844</v>
      </c>
      <c r="R19" s="38">
        <f>Q19/O19</f>
        <v>742.1946426327645</v>
      </c>
      <c r="S19" s="37">
        <f>R19/R$45</f>
        <v>2.5320736288439151E-2</v>
      </c>
      <c r="T19" s="37" t="e">
        <f>S19+T18</f>
        <v>#REF!</v>
      </c>
      <c r="U19" s="14"/>
      <c r="V19" s="14"/>
      <c r="W19" s="14"/>
    </row>
    <row r="20" spans="1:23" ht="14.25" customHeight="1" x14ac:dyDescent="0.25">
      <c r="A20" s="22">
        <v>43331</v>
      </c>
      <c r="B20" s="14">
        <v>19</v>
      </c>
      <c r="C20" s="20">
        <v>31743</v>
      </c>
      <c r="D20" s="21">
        <v>21000000</v>
      </c>
      <c r="E20" s="20">
        <v>31743</v>
      </c>
      <c r="F20" s="21">
        <v>19800000</v>
      </c>
      <c r="G20" s="20"/>
      <c r="H20" s="20"/>
      <c r="I20" s="20"/>
      <c r="J20" s="20"/>
      <c r="K20" s="14"/>
      <c r="L20" s="19">
        <f>O20-O19</f>
        <v>0</v>
      </c>
      <c r="M20" s="19">
        <f>42/$O$43*(L20)</f>
        <v>0</v>
      </c>
      <c r="N20" s="19">
        <f>$B$33/SQRT($O$33)*(SQRT(O20)-SQRT(O19))</f>
        <v>0</v>
      </c>
      <c r="O20" s="13">
        <v>31743</v>
      </c>
      <c r="P20" s="12">
        <v>21000000</v>
      </c>
      <c r="Q20" s="11">
        <f>P20*('[1]Inflation Rates by Year'!F$2)</f>
        <v>25050591.157616645</v>
      </c>
      <c r="R20" s="38">
        <f>Q20/O20</f>
        <v>789.16898710319265</v>
      </c>
      <c r="S20" s="37">
        <f>R20/R$45</f>
        <v>2.6923314534542893E-2</v>
      </c>
      <c r="T20" s="37" t="e">
        <f>S20+T19</f>
        <v>#REF!</v>
      </c>
      <c r="U20" s="14"/>
      <c r="V20" s="14"/>
      <c r="W20" s="14"/>
    </row>
    <row r="21" spans="1:23" ht="14.25" customHeight="1" x14ac:dyDescent="0.25">
      <c r="A21" s="22">
        <v>43332</v>
      </c>
      <c r="B21" s="14">
        <v>20</v>
      </c>
      <c r="C21" s="20">
        <v>31743</v>
      </c>
      <c r="D21" s="21">
        <v>21950000</v>
      </c>
      <c r="E21" s="20">
        <v>31743</v>
      </c>
      <c r="F21" s="21">
        <v>21000000</v>
      </c>
      <c r="G21" s="20"/>
      <c r="H21" s="20"/>
      <c r="I21" s="20"/>
      <c r="J21" s="20"/>
      <c r="K21" s="14"/>
      <c r="L21" s="19">
        <f>O21-O20</f>
        <v>0</v>
      </c>
      <c r="M21" s="19">
        <f>42/$O$43*(L21)</f>
        <v>0</v>
      </c>
      <c r="N21" s="19">
        <f>$B$33/SQRT($O$33)*(SQRT(O21)-SQRT(O20))</f>
        <v>0</v>
      </c>
      <c r="O21" s="13">
        <v>31743</v>
      </c>
      <c r="P21" s="12">
        <v>21950000</v>
      </c>
      <c r="Q21" s="11">
        <f>P21*('[1]Inflation Rates by Year'!F$2)</f>
        <v>26183832.186175492</v>
      </c>
      <c r="R21" s="38">
        <f>Q21/O21</f>
        <v>824.86948890071801</v>
      </c>
      <c r="S21" s="37">
        <f>R21/R$45</f>
        <v>2.8141274001581739E-2</v>
      </c>
      <c r="T21" s="37" t="e">
        <f>S21+T20</f>
        <v>#REF!</v>
      </c>
      <c r="U21" s="14"/>
      <c r="V21" s="14"/>
      <c r="W21" s="14"/>
    </row>
    <row r="22" spans="1:23" ht="14.25" customHeight="1" x14ac:dyDescent="0.25">
      <c r="A22" s="22">
        <v>43333</v>
      </c>
      <c r="B22" s="14">
        <v>21</v>
      </c>
      <c r="C22" s="20">
        <v>35000</v>
      </c>
      <c r="D22" s="21">
        <v>23000000</v>
      </c>
      <c r="E22" s="20">
        <v>31743</v>
      </c>
      <c r="F22" s="21">
        <v>22000000</v>
      </c>
      <c r="G22" s="20">
        <v>34637</v>
      </c>
      <c r="H22" s="20">
        <v>34637</v>
      </c>
      <c r="I22" s="20">
        <v>34637</v>
      </c>
      <c r="J22" s="20">
        <v>34637</v>
      </c>
      <c r="K22" s="14"/>
      <c r="L22" s="19">
        <f>O22-O21</f>
        <v>2894</v>
      </c>
      <c r="M22" s="19">
        <f>42/$O$43*(L22)</f>
        <v>3.3346502057613172</v>
      </c>
      <c r="N22" s="19">
        <f>$B$33/SQRT($O$33)*(SQRT(O22)-SQRT(O21))</f>
        <v>1.3331234711527937</v>
      </c>
      <c r="O22" s="13">
        <v>34637</v>
      </c>
      <c r="P22" s="12">
        <v>23000000</v>
      </c>
      <c r="Q22" s="11">
        <f>P22*('[1]Inflation Rates by Year'!F$2)</f>
        <v>27436361.744056325</v>
      </c>
      <c r="R22" s="38">
        <f>Q22/O22</f>
        <v>792.11137639103629</v>
      </c>
      <c r="S22" s="37">
        <f>R22/R$45</f>
        <v>2.7023697182080114E-2</v>
      </c>
      <c r="T22" s="37" t="e">
        <f>S22+T21</f>
        <v>#REF!</v>
      </c>
      <c r="U22" s="14"/>
      <c r="V22" s="14"/>
      <c r="W22" s="14"/>
    </row>
    <row r="23" spans="1:23" ht="14.25" customHeight="1" x14ac:dyDescent="0.25">
      <c r="A23" s="22">
        <v>43334</v>
      </c>
      <c r="B23" s="14">
        <v>22</v>
      </c>
      <c r="C23" s="20">
        <v>35288</v>
      </c>
      <c r="D23" s="21">
        <v>24200000</v>
      </c>
      <c r="E23" s="20">
        <v>35000</v>
      </c>
      <c r="F23" s="21">
        <v>23000000</v>
      </c>
      <c r="G23" s="20"/>
      <c r="H23" s="20"/>
      <c r="I23" s="20"/>
      <c r="J23" s="20"/>
      <c r="K23" s="14">
        <v>34566</v>
      </c>
      <c r="L23" s="19">
        <f>O23-O22</f>
        <v>-71</v>
      </c>
      <c r="M23" s="19">
        <f>42/$O$43*(L23)</f>
        <v>-8.1810699588477365E-2</v>
      </c>
      <c r="N23" s="19">
        <f>$B$33/SQRT($O$33)*(SQRT(O23)-SQRT(O22))</f>
        <v>-3.2024559022412163E-2</v>
      </c>
      <c r="O23" s="18">
        <v>34566</v>
      </c>
      <c r="P23" s="12">
        <v>24200000</v>
      </c>
      <c r="Q23" s="11">
        <f>P23*('[1]Inflation Rates by Year'!F$2)</f>
        <v>28867824.095920131</v>
      </c>
      <c r="R23" s="38">
        <f>Q23/O23</f>
        <v>835.15084464271627</v>
      </c>
      <c r="S23" s="37">
        <f>R23/R$45</f>
        <v>2.8492033064605019E-2</v>
      </c>
      <c r="T23" s="37" t="e">
        <f>S23+T22</f>
        <v>#REF!</v>
      </c>
      <c r="U23" s="14"/>
      <c r="V23" s="14"/>
      <c r="W23" s="14"/>
    </row>
    <row r="24" spans="1:23" ht="14.25" customHeight="1" x14ac:dyDescent="0.25">
      <c r="A24" s="22">
        <v>43335</v>
      </c>
      <c r="B24" s="14">
        <v>23</v>
      </c>
      <c r="C24" s="20">
        <v>35684</v>
      </c>
      <c r="D24" s="21">
        <v>24900000</v>
      </c>
      <c r="E24" s="20">
        <v>35288</v>
      </c>
      <c r="F24" s="21">
        <v>24200000</v>
      </c>
      <c r="G24" s="20"/>
      <c r="H24" s="20"/>
      <c r="I24" s="20"/>
      <c r="J24" s="20"/>
      <c r="K24" s="14"/>
      <c r="L24" s="19">
        <f>O24-O23</f>
        <v>1118</v>
      </c>
      <c r="M24" s="19">
        <f>42/$O$43*(L24)</f>
        <v>1.2882304526748971</v>
      </c>
      <c r="N24" s="19">
        <f>$B$33/SQRT($O$33)*(SQRT(O24)-SQRT(O23))</f>
        <v>0.50051788796752039</v>
      </c>
      <c r="O24" s="13">
        <v>35684</v>
      </c>
      <c r="P24" s="12">
        <v>24900000</v>
      </c>
      <c r="Q24" s="11">
        <f>P24*('[1]Inflation Rates by Year'!F$2)</f>
        <v>29702843.801174019</v>
      </c>
      <c r="R24" s="38">
        <f>Q24/O24</f>
        <v>832.38548932782248</v>
      </c>
      <c r="S24" s="37">
        <f>R24/R$45</f>
        <v>2.8397690113780318E-2</v>
      </c>
      <c r="T24" s="37" t="e">
        <f>S24+T23</f>
        <v>#REF!</v>
      </c>
      <c r="U24" s="14"/>
      <c r="V24" s="14"/>
      <c r="W24" s="14"/>
    </row>
    <row r="25" spans="1:23" ht="14.25" customHeight="1" x14ac:dyDescent="0.25">
      <c r="A25" s="22">
        <v>43336</v>
      </c>
      <c r="B25" s="14">
        <v>24</v>
      </c>
      <c r="D25" s="21"/>
      <c r="E25" s="20">
        <v>35288</v>
      </c>
      <c r="F25" s="21">
        <v>24500000</v>
      </c>
      <c r="G25" s="20"/>
      <c r="H25" s="20"/>
      <c r="I25" s="20"/>
      <c r="J25" s="20"/>
      <c r="K25" s="14"/>
      <c r="L25" s="19">
        <f>O25-O24</f>
        <v>-396</v>
      </c>
      <c r="M25" s="19">
        <f>42/$O$43*(L25)</f>
        <v>-0.45629629629629631</v>
      </c>
      <c r="N25" s="19">
        <f>$B$33/SQRT($O$33)*(SQRT(O25)-SQRT(O24))</f>
        <v>-0.17637643792076266</v>
      </c>
      <c r="O25" s="13">
        <v>35288</v>
      </c>
      <c r="P25" s="40">
        <v>24500000</v>
      </c>
      <c r="Q25" s="11">
        <f>P25*('[1]Inflation Rates by Year'!F$2)</f>
        <v>29225689.683886085</v>
      </c>
      <c r="R25" s="38">
        <f>Q25/O25</f>
        <v>828.20476320239413</v>
      </c>
      <c r="S25" s="37">
        <f>R25/R$45</f>
        <v>2.8255060326881496E-2</v>
      </c>
      <c r="T25" s="37" t="e">
        <f>S25+T24</f>
        <v>#REF!</v>
      </c>
      <c r="U25" s="14"/>
      <c r="V25" s="14"/>
      <c r="W25" s="14"/>
    </row>
    <row r="26" spans="1:23" ht="14.25" customHeight="1" x14ac:dyDescent="0.25">
      <c r="A26" s="22">
        <v>43337</v>
      </c>
      <c r="B26" s="14">
        <v>25</v>
      </c>
      <c r="C26" s="20">
        <v>35684</v>
      </c>
      <c r="D26" s="21">
        <v>25125000</v>
      </c>
      <c r="E26" s="20">
        <v>35684</v>
      </c>
      <c r="F26" s="21">
        <v>24900000</v>
      </c>
      <c r="G26" s="20"/>
      <c r="H26" s="20"/>
      <c r="I26" s="20"/>
      <c r="J26" s="20"/>
      <c r="K26" s="14"/>
      <c r="L26" s="19">
        <f>O26-O25</f>
        <v>396</v>
      </c>
      <c r="M26" s="19">
        <f>42/$O$43*(L26)</f>
        <v>0.45629629629629631</v>
      </c>
      <c r="N26" s="19">
        <f>$B$33/SQRT($O$33)*(SQRT(O26)-SQRT(O25))</f>
        <v>0.17637643792076266</v>
      </c>
      <c r="O26" s="13">
        <v>35684</v>
      </c>
      <c r="P26" s="12">
        <v>25125000</v>
      </c>
      <c r="Q26" s="11">
        <f>P26*('[1]Inflation Rates by Year'!F$2)</f>
        <v>29971242.992148485</v>
      </c>
      <c r="R26" s="38">
        <f>Q26/O26</f>
        <v>839.90704495427883</v>
      </c>
      <c r="S26" s="37">
        <f>R26/R$45</f>
        <v>2.865429574733858E-2</v>
      </c>
      <c r="T26" s="37" t="e">
        <f>S26+T25</f>
        <v>#REF!</v>
      </c>
      <c r="U26" s="14"/>
      <c r="V26" s="14"/>
      <c r="W26" s="14"/>
    </row>
    <row r="27" spans="1:23" ht="14.25" customHeight="1" x14ac:dyDescent="0.25">
      <c r="A27" s="22">
        <v>43338</v>
      </c>
      <c r="B27" s="14">
        <v>26</v>
      </c>
      <c r="D27" s="21"/>
      <c r="E27" s="20">
        <v>35684</v>
      </c>
      <c r="F27" s="21">
        <v>25100000</v>
      </c>
      <c r="G27" s="20">
        <v>36523</v>
      </c>
      <c r="H27" s="20">
        <v>36523</v>
      </c>
      <c r="I27" s="20">
        <v>36523</v>
      </c>
      <c r="J27" s="20">
        <v>36523</v>
      </c>
      <c r="K27" s="14">
        <v>36623</v>
      </c>
      <c r="L27" s="19">
        <f>O27-O26</f>
        <v>939</v>
      </c>
      <c r="M27" s="19">
        <f>42/$O$43*(L27)</f>
        <v>1.0819753086419754</v>
      </c>
      <c r="N27" s="19">
        <f>$B$33/SQRT($O$33)*(SQRT(O27)-SQRT(O26))</f>
        <v>0.41435424234589796</v>
      </c>
      <c r="O27" s="18">
        <v>36623</v>
      </c>
      <c r="P27" s="40">
        <v>25100000</v>
      </c>
      <c r="Q27" s="11">
        <f>P27*('[1]Inflation Rates by Year'!F$2)</f>
        <v>29941420.859817989</v>
      </c>
      <c r="R27" s="38">
        <f>Q27/O27</f>
        <v>817.55784233454358</v>
      </c>
      <c r="S27" s="37">
        <f>R27/R$45</f>
        <v>2.78918296322723E-2</v>
      </c>
      <c r="T27" s="37" t="e">
        <f>S27+T26</f>
        <v>#REF!</v>
      </c>
      <c r="U27" s="14"/>
      <c r="V27" s="14"/>
      <c r="W27" s="14"/>
    </row>
    <row r="28" spans="1:23" ht="14.25" customHeight="1" x14ac:dyDescent="0.25">
      <c r="A28" s="22">
        <v>43339</v>
      </c>
      <c r="B28" s="14">
        <v>27</v>
      </c>
      <c r="C28" s="20">
        <v>36288</v>
      </c>
      <c r="D28" s="21">
        <v>27700000</v>
      </c>
      <c r="E28" s="14">
        <v>36523</v>
      </c>
      <c r="F28" s="24">
        <v>26100000</v>
      </c>
      <c r="G28" s="20">
        <v>36288</v>
      </c>
      <c r="H28" s="20">
        <v>36288</v>
      </c>
      <c r="I28" s="20">
        <v>36288</v>
      </c>
      <c r="J28" s="20">
        <v>36288</v>
      </c>
      <c r="K28" s="14">
        <v>36749</v>
      </c>
      <c r="L28" s="19">
        <f>O28-O27</f>
        <v>126</v>
      </c>
      <c r="M28" s="19">
        <f>42/$O$43*(L28)</f>
        <v>0.14518518518518519</v>
      </c>
      <c r="N28" s="19">
        <f>$B$33/SQRT($O$33)*(SQRT(O28)-SQRT(O27))</f>
        <v>5.5194110639446875E-2</v>
      </c>
      <c r="O28" s="18">
        <v>36749</v>
      </c>
      <c r="P28" s="12">
        <v>27700000</v>
      </c>
      <c r="Q28" s="11">
        <f>P28*('[1]Inflation Rates by Year'!F$2)</f>
        <v>33042922.622189574</v>
      </c>
      <c r="R28" s="38">
        <f>Q28/O28</f>
        <v>899.15161289258413</v>
      </c>
      <c r="S28" s="37">
        <f>R28/R$45</f>
        <v>3.067548533174063E-2</v>
      </c>
      <c r="T28" s="37" t="e">
        <f>S28+T27</f>
        <v>#REF!</v>
      </c>
      <c r="U28" s="14"/>
      <c r="V28" s="14"/>
      <c r="W28" s="14"/>
    </row>
    <row r="29" spans="1:23" ht="14.25" customHeight="1" x14ac:dyDescent="0.25">
      <c r="A29" s="22">
        <v>43340</v>
      </c>
      <c r="B29" s="14">
        <v>28</v>
      </c>
      <c r="C29" s="20">
        <v>36318</v>
      </c>
      <c r="D29" s="21">
        <v>29399513</v>
      </c>
      <c r="E29" s="20">
        <v>36288</v>
      </c>
      <c r="F29" s="21">
        <v>27700000</v>
      </c>
      <c r="G29" s="20">
        <v>36318</v>
      </c>
      <c r="H29" s="20">
        <v>36318</v>
      </c>
      <c r="I29" s="20">
        <v>36318</v>
      </c>
      <c r="J29" s="20">
        <v>36318</v>
      </c>
      <c r="K29" s="14">
        <v>36318</v>
      </c>
      <c r="L29" s="19">
        <f>O29-O28</f>
        <v>-431</v>
      </c>
      <c r="M29" s="19">
        <f>42/$O$43*(L29)</f>
        <v>-0.49662551440329222</v>
      </c>
      <c r="N29" s="19">
        <f>$B$33/SQRT($O$33)*(SQRT(O29)-SQRT(O28))</f>
        <v>-0.18919329204629146</v>
      </c>
      <c r="O29" s="18">
        <v>36318</v>
      </c>
      <c r="P29" s="12">
        <v>29399513</v>
      </c>
      <c r="Q29" s="11">
        <f>P29*('[1]Inflation Rates by Year'!F$2)</f>
        <v>35070246.685525499</v>
      </c>
      <c r="R29" s="38">
        <f>Q29/O29</f>
        <v>965.64366665360149</v>
      </c>
      <c r="S29" s="37">
        <f>R29/R$45</f>
        <v>3.2943930375465488E-2</v>
      </c>
      <c r="T29" s="37" t="e">
        <f>S29+T28</f>
        <v>#REF!</v>
      </c>
      <c r="U29" s="14"/>
      <c r="V29" s="14"/>
      <c r="W29" s="14"/>
    </row>
    <row r="30" spans="1:23" ht="14.25" customHeight="1" x14ac:dyDescent="0.25">
      <c r="A30" s="22">
        <v>43341</v>
      </c>
      <c r="B30" s="14">
        <v>29</v>
      </c>
      <c r="C30" s="20">
        <v>36335</v>
      </c>
      <c r="D30" s="21">
        <v>30307099</v>
      </c>
      <c r="E30" s="20">
        <v>36318</v>
      </c>
      <c r="F30" s="21">
        <v>29400000</v>
      </c>
      <c r="G30" s="20"/>
      <c r="H30" s="20">
        <v>36335</v>
      </c>
      <c r="I30" s="20">
        <v>36335</v>
      </c>
      <c r="J30" s="20">
        <v>36335</v>
      </c>
      <c r="K30" s="14">
        <v>36325</v>
      </c>
      <c r="L30" s="19">
        <f>O30-O29</f>
        <v>7</v>
      </c>
      <c r="M30" s="19">
        <f>42/$O$43*(L30)</f>
        <v>8.0658436213991783E-3</v>
      </c>
      <c r="N30" s="19">
        <f>$B$33/SQRT($O$33)*(SQRT(O30)-SQRT(O29))</f>
        <v>3.0816858777296461E-3</v>
      </c>
      <c r="O30" s="18">
        <v>36325</v>
      </c>
      <c r="P30" s="12">
        <v>30307099</v>
      </c>
      <c r="Q30" s="11">
        <f>P30*('[1]Inflation Rates by Year'!F$2)</f>
        <v>36152892.677257724</v>
      </c>
      <c r="R30" s="38">
        <f>Q30/O30</f>
        <v>995.26201451500958</v>
      </c>
      <c r="S30" s="37">
        <f>R30/R$45</f>
        <v>3.3954390883288166E-2</v>
      </c>
      <c r="T30" s="37" t="e">
        <f>S30+T29</f>
        <v>#REF!</v>
      </c>
      <c r="U30" s="14"/>
      <c r="V30" s="14"/>
      <c r="W30" s="14"/>
    </row>
    <row r="31" spans="1:23" ht="14.25" customHeight="1" x14ac:dyDescent="0.25">
      <c r="A31" s="22">
        <v>43342</v>
      </c>
      <c r="B31" s="14">
        <v>30</v>
      </c>
      <c r="C31" s="20">
        <v>36335</v>
      </c>
      <c r="D31" s="21">
        <v>31154833</v>
      </c>
      <c r="E31" s="20">
        <v>36335</v>
      </c>
      <c r="F31" s="21">
        <v>30300000</v>
      </c>
      <c r="G31" s="20"/>
      <c r="H31" s="14"/>
      <c r="I31" s="20">
        <v>36335</v>
      </c>
      <c r="J31" s="20">
        <v>36335</v>
      </c>
      <c r="K31" s="14">
        <v>36349</v>
      </c>
      <c r="L31" s="19">
        <f>O31-O30</f>
        <v>24</v>
      </c>
      <c r="M31" s="19">
        <f>42/$O$43*(L31)</f>
        <v>2.7654320987654323E-2</v>
      </c>
      <c r="N31" s="19">
        <f>$B$33/SQRT($O$33)*(SQRT(O31)-SQRT(O30))</f>
        <v>1.0563526561040423E-2</v>
      </c>
      <c r="O31" s="18">
        <v>36349</v>
      </c>
      <c r="P31" s="12">
        <v>31154833</v>
      </c>
      <c r="Q31" s="11">
        <f>P31*('[1]Inflation Rates by Year'!F$2)</f>
        <v>37164142.098420151</v>
      </c>
      <c r="R31" s="38">
        <f>Q31/O31</f>
        <v>1022.4254339437165</v>
      </c>
      <c r="S31" s="37">
        <f>R31/R$45</f>
        <v>3.4881098973778751E-2</v>
      </c>
      <c r="T31" s="37" t="e">
        <f>S31+T30</f>
        <v>#REF!</v>
      </c>
      <c r="U31" s="14"/>
      <c r="V31" s="14"/>
      <c r="W31" s="14"/>
    </row>
    <row r="32" spans="1:23" ht="14.25" customHeight="1" x14ac:dyDescent="0.25">
      <c r="A32" s="22">
        <v>43343</v>
      </c>
      <c r="B32" s="14">
        <v>31</v>
      </c>
      <c r="C32" s="20">
        <v>36349</v>
      </c>
      <c r="D32" s="21">
        <v>31626750</v>
      </c>
      <c r="E32" s="20">
        <v>36335</v>
      </c>
      <c r="F32" s="21">
        <v>31000000</v>
      </c>
      <c r="G32" s="20"/>
      <c r="H32" s="20"/>
      <c r="I32" s="20"/>
      <c r="J32" s="20">
        <v>36346</v>
      </c>
      <c r="K32" s="14">
        <v>36359</v>
      </c>
      <c r="L32" s="19">
        <f>O32-O31</f>
        <v>10</v>
      </c>
      <c r="M32" s="19">
        <f>42/$O$43*(L32)</f>
        <v>1.1522633744855968E-2</v>
      </c>
      <c r="N32" s="19">
        <f>$B$33/SQRT($O$33)*(SQRT(O32)-SQRT(O31))</f>
        <v>4.4004401143219645E-3</v>
      </c>
      <c r="O32" s="18">
        <v>36359</v>
      </c>
      <c r="P32" s="12">
        <v>31626750</v>
      </c>
      <c r="Q32" s="11">
        <f>P32*('[1]Inflation Rates by Year'!F$2)</f>
        <v>37727084.947340578</v>
      </c>
      <c r="R32" s="38">
        <f>Q32/O32</f>
        <v>1037.6271335113886</v>
      </c>
      <c r="S32" s="37">
        <f>R32/R$45</f>
        <v>3.5399720644939965E-2</v>
      </c>
      <c r="T32" s="37" t="e">
        <f>S32+T31</f>
        <v>#REF!</v>
      </c>
      <c r="U32" s="14"/>
      <c r="V32" s="14"/>
      <c r="W32" s="14"/>
    </row>
    <row r="33" spans="1:31" ht="14.25" customHeight="1" x14ac:dyDescent="0.25">
      <c r="A33" s="45">
        <v>43344</v>
      </c>
      <c r="B33" s="43">
        <v>32</v>
      </c>
      <c r="C33" s="39">
        <v>36349</v>
      </c>
      <c r="D33" s="44">
        <v>32750000</v>
      </c>
      <c r="E33" s="39">
        <v>36349</v>
      </c>
      <c r="F33" s="44">
        <v>32000000</v>
      </c>
      <c r="G33" s="39"/>
      <c r="H33" s="43"/>
      <c r="I33" s="43"/>
      <c r="J33" s="43"/>
      <c r="K33" s="43">
        <v>36366</v>
      </c>
      <c r="L33" s="19">
        <f>O33-O32</f>
        <v>7</v>
      </c>
      <c r="M33" s="19">
        <f>42/$O$43*(L33)</f>
        <v>8.0658436213991783E-3</v>
      </c>
      <c r="N33" s="39">
        <f>$B$33/SQRT($O$33)*(SQRT(O33)-SQRT(O32))</f>
        <v>3.0799480330100343E-3</v>
      </c>
      <c r="O33" s="43">
        <v>36366</v>
      </c>
      <c r="P33" s="42">
        <v>32750000</v>
      </c>
      <c r="Q33" s="42">
        <f>P33*('[1]Inflation Rates by Year'!F$2)</f>
        <v>39066993.352949768</v>
      </c>
      <c r="R33" s="42">
        <f>Q33/O33</f>
        <v>1074.2724894943015</v>
      </c>
      <c r="S33" s="41">
        <f>R33/R$45</f>
        <v>3.664991478774305E-2</v>
      </c>
      <c r="T33" s="41" t="e">
        <f>S33+T32</f>
        <v>#REF!</v>
      </c>
      <c r="U33" s="39"/>
      <c r="V33" s="39"/>
      <c r="W33" s="39"/>
      <c r="X33" s="41"/>
      <c r="Y33" s="41"/>
      <c r="Z33" s="41"/>
      <c r="AA33" s="41"/>
      <c r="AB33" s="41"/>
      <c r="AC33" s="41"/>
      <c r="AD33" s="41"/>
      <c r="AE33" s="41"/>
    </row>
    <row r="34" spans="1:31" ht="14.25" customHeight="1" x14ac:dyDescent="0.25">
      <c r="A34" s="22">
        <v>43345</v>
      </c>
      <c r="B34" s="14">
        <v>33</v>
      </c>
      <c r="D34" s="21"/>
      <c r="E34" s="20">
        <v>36349</v>
      </c>
      <c r="F34" s="21">
        <v>32700000</v>
      </c>
      <c r="G34" s="20"/>
      <c r="H34" s="20"/>
      <c r="I34" s="20"/>
      <c r="J34" s="20"/>
      <c r="K34" s="14"/>
      <c r="L34" s="19">
        <f>O34-O33</f>
        <v>-17</v>
      </c>
      <c r="M34" s="19">
        <f>42/$O$43*(L34)</f>
        <v>-1.9588477366255144E-2</v>
      </c>
      <c r="N34" s="19">
        <f>$B$33/SQRT($O$33)*(SQRT(O34)-SQRT(O33))</f>
        <v>-7.4803881473319983E-3</v>
      </c>
      <c r="O34" s="13">
        <v>36349</v>
      </c>
      <c r="P34" s="40">
        <v>32700000</v>
      </c>
      <c r="Q34" s="11">
        <f>P34*('[1]Inflation Rates by Year'!F$2)</f>
        <v>39007349.088288777</v>
      </c>
      <c r="R34" s="38">
        <f>Q34/O34</f>
        <v>1073.1340363775832</v>
      </c>
      <c r="S34" s="37">
        <f>R34/R$45</f>
        <v>3.6611075284613631E-2</v>
      </c>
      <c r="T34" s="37" t="e">
        <f>S34+T33</f>
        <v>#REF!</v>
      </c>
      <c r="U34" s="20"/>
      <c r="V34" s="20"/>
      <c r="W34" s="20"/>
    </row>
    <row r="35" spans="1:31" ht="14.25" customHeight="1" x14ac:dyDescent="0.25">
      <c r="A35" s="22">
        <v>43346</v>
      </c>
      <c r="B35" s="14">
        <v>34</v>
      </c>
      <c r="C35" s="20"/>
      <c r="D35" s="21"/>
      <c r="E35" s="20">
        <v>36349</v>
      </c>
      <c r="F35" s="21">
        <v>32900000</v>
      </c>
      <c r="G35" s="20"/>
      <c r="H35" s="14"/>
      <c r="I35" s="14"/>
      <c r="J35" s="14"/>
      <c r="K35" s="14">
        <v>36459</v>
      </c>
      <c r="L35" s="19">
        <v>0</v>
      </c>
      <c r="M35" s="19">
        <f>42/$O$43*(L35)</f>
        <v>0</v>
      </c>
      <c r="N35" s="19">
        <f>$B$33/SQRT($O$33)*(SQRT(O35)-SQRT(O34))</f>
        <v>4.837160209242896E-2</v>
      </c>
      <c r="O35" s="18">
        <v>36459</v>
      </c>
      <c r="P35" s="40">
        <v>32900000</v>
      </c>
      <c r="Q35" s="11">
        <f>P35*('[1]Inflation Rates by Year'!F$2)</f>
        <v>39245926.146932743</v>
      </c>
      <c r="R35" s="38">
        <f>Q35/O35</f>
        <v>1076.4400051272044</v>
      </c>
      <c r="S35" s="37">
        <f>R35/R$45</f>
        <v>3.6723861820757354E-2</v>
      </c>
      <c r="T35" s="37" t="e">
        <f>S35+T34</f>
        <v>#REF!</v>
      </c>
      <c r="U35" s="14"/>
      <c r="V35" s="14"/>
      <c r="W35" s="14"/>
    </row>
    <row r="36" spans="1:31" ht="14.25" customHeight="1" x14ac:dyDescent="0.25">
      <c r="A36" s="22">
        <v>43347</v>
      </c>
      <c r="B36" s="14">
        <v>35</v>
      </c>
      <c r="C36" s="20"/>
      <c r="D36" s="21"/>
      <c r="E36" s="20">
        <v>36349</v>
      </c>
      <c r="F36" s="21">
        <v>32900000</v>
      </c>
      <c r="G36" s="20"/>
      <c r="H36" s="20"/>
      <c r="I36" s="20"/>
      <c r="J36" s="20"/>
      <c r="K36" s="14"/>
      <c r="L36" s="19">
        <v>0</v>
      </c>
      <c r="M36" s="19">
        <f>42/$O$43*(L36)</f>
        <v>0</v>
      </c>
      <c r="N36" s="19">
        <f>$B$33/SQRT($O$33)*(SQRT(O36)-SQRT(O35))</f>
        <v>-4.837160209242896E-2</v>
      </c>
      <c r="O36" s="13">
        <v>36349</v>
      </c>
      <c r="P36" s="40">
        <v>32900000</v>
      </c>
      <c r="Q36" s="11">
        <f>P36*('[1]Inflation Rates by Year'!F$2)</f>
        <v>39245926.146932743</v>
      </c>
      <c r="R36" s="38">
        <f>Q36/O36</f>
        <v>1079.6975473034402</v>
      </c>
      <c r="S36" s="37">
        <f>R36/R$45</f>
        <v>3.6834996234366625E-2</v>
      </c>
      <c r="T36" s="37" t="e">
        <f>S36+T35</f>
        <v>#REF!</v>
      </c>
      <c r="U36" s="14"/>
      <c r="V36" s="14"/>
      <c r="W36" s="14"/>
    </row>
    <row r="37" spans="1:31" ht="14.25" customHeight="1" x14ac:dyDescent="0.25">
      <c r="A37" s="22">
        <v>43348</v>
      </c>
      <c r="B37" s="14">
        <v>36</v>
      </c>
      <c r="C37" s="20">
        <v>36400</v>
      </c>
      <c r="D37" s="21">
        <v>33300000</v>
      </c>
      <c r="E37" s="20">
        <v>36349</v>
      </c>
      <c r="F37" s="21">
        <v>32900000</v>
      </c>
      <c r="G37" s="20"/>
      <c r="H37" s="20"/>
      <c r="I37" s="20"/>
      <c r="J37" s="20"/>
      <c r="K37" s="14"/>
      <c r="L37" s="19">
        <f>O37-O36</f>
        <v>0</v>
      </c>
      <c r="M37" s="19">
        <f>42/$O$43*(L37)</f>
        <v>0</v>
      </c>
      <c r="N37" s="39">
        <f>$B$33/SQRT($O$33)*(SQRT(O37)-SQRT(O36))</f>
        <v>0</v>
      </c>
      <c r="O37" s="13">
        <v>36349</v>
      </c>
      <c r="P37" s="12">
        <v>33300000</v>
      </c>
      <c r="Q37" s="11">
        <f>P37*('[1]Inflation Rates by Year'!F$2)</f>
        <v>39723080.264220677</v>
      </c>
      <c r="R37" s="38">
        <f>Q37/O37</f>
        <v>1092.8245691551535</v>
      </c>
      <c r="S37" s="37">
        <f>R37/R$45</f>
        <v>3.7282838133872592E-2</v>
      </c>
      <c r="T37" s="37" t="e">
        <f>S37+T36</f>
        <v>#REF!</v>
      </c>
      <c r="U37" s="14"/>
      <c r="V37" s="14"/>
      <c r="W37" s="14"/>
    </row>
    <row r="38" spans="1:31" ht="14.25" customHeight="1" x14ac:dyDescent="0.25">
      <c r="A38" s="22">
        <v>43349</v>
      </c>
      <c r="B38" s="14">
        <v>37</v>
      </c>
      <c r="D38" s="21"/>
      <c r="E38" s="20">
        <v>36349</v>
      </c>
      <c r="F38" s="21">
        <v>32900000</v>
      </c>
      <c r="G38" s="20"/>
      <c r="H38" s="20"/>
      <c r="I38" s="20"/>
      <c r="J38" s="20"/>
      <c r="K38" s="14"/>
      <c r="L38" s="19">
        <f>O38-O37</f>
        <v>0</v>
      </c>
      <c r="M38" s="19">
        <f>42/$O$43*(L38)</f>
        <v>0</v>
      </c>
      <c r="N38" s="19">
        <f>$B$33/SQRT($O$33)*(SQRT(O38)-SQRT(O37))</f>
        <v>0</v>
      </c>
      <c r="O38" s="13">
        <v>36349</v>
      </c>
      <c r="P38" s="40">
        <v>33300000</v>
      </c>
      <c r="Q38" s="11">
        <f>P38*('[1]Inflation Rates by Year'!F$2)</f>
        <v>39723080.264220677</v>
      </c>
      <c r="R38" s="38">
        <f>Q38/O38</f>
        <v>1092.8245691551535</v>
      </c>
      <c r="S38" s="37">
        <f>R38/R$45</f>
        <v>3.7282838133872592E-2</v>
      </c>
      <c r="T38" s="37" t="e">
        <f>S38+T37</f>
        <v>#REF!</v>
      </c>
      <c r="U38" s="14"/>
      <c r="V38" s="14"/>
      <c r="W38" s="14"/>
    </row>
    <row r="39" spans="1:31" ht="14.25" customHeight="1" x14ac:dyDescent="0.25">
      <c r="A39" s="22">
        <v>43350</v>
      </c>
      <c r="B39" s="14">
        <v>38</v>
      </c>
      <c r="C39" s="20"/>
      <c r="D39" s="21"/>
      <c r="E39" s="20">
        <v>36400</v>
      </c>
      <c r="F39" s="21">
        <v>33300000</v>
      </c>
      <c r="G39" s="20"/>
      <c r="H39" s="20"/>
      <c r="I39" s="20"/>
      <c r="J39" s="20"/>
      <c r="K39" s="14"/>
      <c r="L39" s="19">
        <f>O39-O38</f>
        <v>51</v>
      </c>
      <c r="M39" s="19">
        <f>42/$O$43*(L39)</f>
        <v>5.8765432098765433E-2</v>
      </c>
      <c r="N39" s="19">
        <f>$B$33/SQRT($O$33)*(SQRT(O39)-SQRT(O38))</f>
        <v>2.2435920998613856E-2</v>
      </c>
      <c r="O39" s="13">
        <v>36400</v>
      </c>
      <c r="P39" s="40">
        <v>33300000</v>
      </c>
      <c r="Q39" s="11">
        <f>P39*('[1]Inflation Rates by Year'!F$2)</f>
        <v>39723080.264220677</v>
      </c>
      <c r="R39" s="38">
        <f>Q39/O39</f>
        <v>1091.2934138522164</v>
      </c>
      <c r="S39" s="37">
        <f>R39/R$45</f>
        <v>3.7230601190333376E-2</v>
      </c>
      <c r="T39" s="37" t="e">
        <f>S39+T38</f>
        <v>#REF!</v>
      </c>
      <c r="U39" s="14"/>
      <c r="V39" s="14"/>
      <c r="W39" s="14"/>
    </row>
    <row r="40" spans="1:31" ht="14.25" customHeight="1" x14ac:dyDescent="0.25">
      <c r="A40" s="22">
        <v>43351</v>
      </c>
      <c r="B40" s="14">
        <v>39</v>
      </c>
      <c r="C40" s="20"/>
      <c r="D40" s="21"/>
      <c r="E40" s="20">
        <v>36400</v>
      </c>
      <c r="F40" s="21">
        <v>33300000</v>
      </c>
      <c r="G40" s="20"/>
      <c r="H40" s="20"/>
      <c r="I40" s="20"/>
      <c r="J40" s="20"/>
      <c r="K40" s="14">
        <v>36459</v>
      </c>
      <c r="L40" s="19">
        <v>0</v>
      </c>
      <c r="M40" s="19">
        <f>42/$O$43*(L40)</f>
        <v>0</v>
      </c>
      <c r="N40" s="19">
        <f>$B$33/SQRT($O$33)*(SQRT(O40)-SQRT(O39))</f>
        <v>2.5935681093815107E-2</v>
      </c>
      <c r="O40" s="18">
        <v>36459</v>
      </c>
      <c r="P40" s="40">
        <v>33300000</v>
      </c>
      <c r="Q40" s="11">
        <f>P40*('[1]Inflation Rates by Year'!F$2)</f>
        <v>39723080.264220677</v>
      </c>
      <c r="R40" s="38">
        <f>Q40/O40</f>
        <v>1089.527421602915</v>
      </c>
      <c r="S40" s="37">
        <f>R40/R$45</f>
        <v>3.7170352541982365E-2</v>
      </c>
      <c r="T40" s="37" t="e">
        <f>S40+T39</f>
        <v>#REF!</v>
      </c>
      <c r="U40" s="14"/>
      <c r="V40" s="14"/>
      <c r="W40" s="14"/>
    </row>
    <row r="41" spans="1:31" ht="14.25" customHeight="1" x14ac:dyDescent="0.25">
      <c r="A41" s="22">
        <v>43352</v>
      </c>
      <c r="B41" s="14">
        <v>40</v>
      </c>
      <c r="C41" s="20">
        <v>36450</v>
      </c>
      <c r="D41" s="21">
        <v>33600000</v>
      </c>
      <c r="E41" s="20">
        <v>36400</v>
      </c>
      <c r="F41" s="21">
        <v>33300000</v>
      </c>
      <c r="G41" s="20"/>
      <c r="H41" s="20"/>
      <c r="I41" s="20"/>
      <c r="J41" s="20"/>
      <c r="K41" s="14"/>
      <c r="L41" s="19">
        <v>0</v>
      </c>
      <c r="M41" s="19">
        <f>42/$O$43*(L41)</f>
        <v>0</v>
      </c>
      <c r="N41" s="39">
        <f>$B$33/SQRT($O$33)*(SQRT(O41)-SQRT(O40))</f>
        <v>-2.5935681093815107E-2</v>
      </c>
      <c r="O41" s="13">
        <v>36400</v>
      </c>
      <c r="P41" s="12">
        <v>33600000</v>
      </c>
      <c r="Q41" s="11">
        <f>P41*('[1]Inflation Rates by Year'!F$2)</f>
        <v>40080945.852186628</v>
      </c>
      <c r="R41" s="38">
        <f>Q41/O41</f>
        <v>1101.1248860490832</v>
      </c>
      <c r="S41" s="37">
        <f>R41/R$45</f>
        <v>3.7566012011867912E-2</v>
      </c>
      <c r="T41" s="37" t="e">
        <f>S41+T40</f>
        <v>#REF!</v>
      </c>
      <c r="U41" s="14"/>
      <c r="V41" s="14"/>
      <c r="W41" s="14"/>
    </row>
    <row r="42" spans="1:31" ht="14.25" customHeight="1" x14ac:dyDescent="0.25">
      <c r="A42" s="22">
        <v>43353</v>
      </c>
      <c r="B42" s="14">
        <v>41</v>
      </c>
      <c r="C42" s="20"/>
      <c r="D42" s="21"/>
      <c r="E42" s="20">
        <v>36450</v>
      </c>
      <c r="F42" s="21">
        <v>33600000</v>
      </c>
      <c r="G42" s="20"/>
      <c r="H42" s="20"/>
      <c r="I42" s="20"/>
      <c r="J42" s="20"/>
      <c r="K42" s="14">
        <v>36545</v>
      </c>
      <c r="L42" s="19">
        <f>O42-O41</f>
        <v>145</v>
      </c>
      <c r="M42" s="19">
        <f>42/$O$43*(L42)</f>
        <v>0.16707818930041154</v>
      </c>
      <c r="N42" s="19">
        <f>$B$33/SQRT($O$33)*(SQRT(O42)-SQRT(O41))</f>
        <v>6.3702674431876896E-2</v>
      </c>
      <c r="O42" s="18">
        <v>36545</v>
      </c>
      <c r="P42" s="12">
        <v>33600000</v>
      </c>
      <c r="Q42" s="11">
        <f>P42*('[1]Inflation Rates by Year'!F$2)</f>
        <v>40080945.852186628</v>
      </c>
      <c r="R42" s="38">
        <f>Q42/O42</f>
        <v>1096.7559406809858</v>
      </c>
      <c r="S42" s="37">
        <f>R42/R$45</f>
        <v>3.7416960931235241E-2</v>
      </c>
      <c r="T42" s="37" t="e">
        <f>S42+T41</f>
        <v>#REF!</v>
      </c>
      <c r="U42" s="14"/>
      <c r="V42" s="14"/>
      <c r="W42" s="14"/>
    </row>
    <row r="43" spans="1:31" s="26" customFormat="1" ht="14.25" customHeight="1" x14ac:dyDescent="0.25">
      <c r="A43" s="36">
        <v>43354</v>
      </c>
      <c r="B43" s="27">
        <v>42</v>
      </c>
      <c r="C43" s="34"/>
      <c r="D43" s="35"/>
      <c r="E43" s="34">
        <v>36450</v>
      </c>
      <c r="F43" s="35">
        <v>33600000</v>
      </c>
      <c r="G43" s="34"/>
      <c r="H43" s="34"/>
      <c r="I43" s="34"/>
      <c r="J43" s="34"/>
      <c r="K43" s="27"/>
      <c r="L43" s="19">
        <f>O43-O42</f>
        <v>-95</v>
      </c>
      <c r="M43" s="19">
        <f>42/$O$43*(L43)</f>
        <v>-0.10946502057613169</v>
      </c>
      <c r="N43" s="33">
        <f>$B$33/SQRT($O$33)*(SQRT(O43)-SQRT(O42))</f>
        <v>-4.1721926540060954E-2</v>
      </c>
      <c r="O43" s="32">
        <v>36450</v>
      </c>
      <c r="P43" s="31">
        <v>33600000</v>
      </c>
      <c r="Q43" s="30">
        <f>P43*('[1]Inflation Rates by Year'!F$2)</f>
        <v>40080945.852186628</v>
      </c>
      <c r="R43" s="29">
        <f>Q43/O43</f>
        <v>1099.6144266717868</v>
      </c>
      <c r="S43" s="28">
        <f>R43/R$45</f>
        <v>3.7514481131193197E-2</v>
      </c>
      <c r="T43" s="28" t="e">
        <f>S43+T42</f>
        <v>#REF!</v>
      </c>
      <c r="U43" s="27"/>
      <c r="V43" s="27"/>
      <c r="W43" s="27"/>
    </row>
    <row r="44" spans="1:31" ht="14.25" customHeight="1" x14ac:dyDescent="0.25">
      <c r="A44" s="22">
        <v>43355</v>
      </c>
      <c r="B44" s="14">
        <v>43</v>
      </c>
      <c r="C44" s="20"/>
      <c r="D44" s="21"/>
      <c r="E44" s="14"/>
      <c r="F44" s="24"/>
      <c r="G44" s="20"/>
      <c r="H44" s="20"/>
      <c r="I44" s="20"/>
      <c r="J44" s="20"/>
      <c r="K44" s="14"/>
      <c r="L44" s="23"/>
      <c r="M44" s="19">
        <f>32/$O$33*(L44)</f>
        <v>0</v>
      </c>
      <c r="N44" s="23"/>
      <c r="O44" s="18"/>
      <c r="P44" s="17"/>
      <c r="Q44" s="16"/>
      <c r="R44" s="15"/>
      <c r="U44" s="14"/>
      <c r="V44" s="14"/>
      <c r="W44" s="14"/>
    </row>
    <row r="45" spans="1:31" ht="14.25" customHeight="1" x14ac:dyDescent="0.25">
      <c r="A45" s="22">
        <v>43356</v>
      </c>
      <c r="B45" s="14">
        <v>44</v>
      </c>
      <c r="C45" s="20"/>
      <c r="D45" s="21"/>
      <c r="E45" s="14"/>
      <c r="F45" s="24"/>
      <c r="G45" s="20"/>
      <c r="H45" s="20"/>
      <c r="I45" s="20"/>
      <c r="J45" s="20"/>
      <c r="K45" s="14"/>
      <c r="L45" s="23"/>
      <c r="M45" s="19">
        <f>32/$O$33*(L45)</f>
        <v>0</v>
      </c>
      <c r="N45" s="23"/>
      <c r="O45" s="18"/>
      <c r="P45" s="17"/>
      <c r="Q45" s="16"/>
      <c r="R45" s="25">
        <f>SUM(R4:R43)</f>
        <v>29311.73225683935</v>
      </c>
      <c r="U45" s="14"/>
      <c r="V45" s="14"/>
      <c r="W45" s="14"/>
    </row>
    <row r="46" spans="1:31" ht="14.25" customHeight="1" x14ac:dyDescent="0.25">
      <c r="A46" s="22">
        <v>43357</v>
      </c>
      <c r="B46" s="14">
        <v>45</v>
      </c>
      <c r="C46" s="20"/>
      <c r="D46" s="21"/>
      <c r="E46" s="14"/>
      <c r="F46" s="24"/>
      <c r="G46" s="20"/>
      <c r="H46" s="20"/>
      <c r="I46" s="20"/>
      <c r="J46" s="20"/>
      <c r="K46" s="14"/>
      <c r="L46" s="23"/>
      <c r="M46" s="19">
        <f>32/$O$33*(L46)</f>
        <v>0</v>
      </c>
      <c r="N46" s="23"/>
      <c r="O46" s="18"/>
      <c r="P46" s="17"/>
      <c r="Q46" s="16"/>
      <c r="R46" s="15"/>
      <c r="U46" s="14"/>
      <c r="V46" s="14"/>
      <c r="W46" s="14"/>
    </row>
    <row r="47" spans="1:31" ht="14.25" customHeight="1" x14ac:dyDescent="0.25">
      <c r="A47" s="22">
        <v>43358</v>
      </c>
      <c r="B47" s="14">
        <v>46</v>
      </c>
      <c r="C47" s="20"/>
      <c r="D47" s="21"/>
      <c r="E47" s="14"/>
      <c r="F47" s="24"/>
      <c r="G47" s="20"/>
      <c r="H47" s="20"/>
      <c r="I47" s="20"/>
      <c r="J47" s="20"/>
      <c r="K47" s="14"/>
      <c r="L47" s="23"/>
      <c r="M47" s="19">
        <f>32/$O$33*(L47)</f>
        <v>0</v>
      </c>
      <c r="N47" s="23"/>
      <c r="O47" s="18"/>
      <c r="P47" s="17"/>
      <c r="Q47" s="16"/>
      <c r="R47" s="15"/>
      <c r="U47" s="14"/>
      <c r="V47" s="14"/>
      <c r="W47" s="14"/>
    </row>
    <row r="48" spans="1:31" ht="14.25" customHeight="1" x14ac:dyDescent="0.25">
      <c r="A48" s="22">
        <v>43359</v>
      </c>
      <c r="B48" s="14">
        <v>47</v>
      </c>
      <c r="C48" s="20"/>
      <c r="D48" s="21"/>
      <c r="E48" s="14"/>
      <c r="F48" s="24"/>
      <c r="G48" s="20"/>
      <c r="H48" s="20"/>
      <c r="I48" s="20"/>
      <c r="J48" s="20"/>
      <c r="K48" s="14"/>
      <c r="L48" s="23"/>
      <c r="M48" s="19">
        <f>32/$O$33*(L48)</f>
        <v>0</v>
      </c>
      <c r="N48" s="23"/>
      <c r="O48" s="18"/>
      <c r="P48" s="17"/>
      <c r="Q48" s="16"/>
      <c r="R48" s="15"/>
      <c r="U48" s="14"/>
      <c r="V48" s="14"/>
      <c r="W48" s="14"/>
    </row>
    <row r="49" spans="1:23" ht="14.25" customHeight="1" x14ac:dyDescent="0.25">
      <c r="A49" s="22">
        <v>43360</v>
      </c>
      <c r="B49" s="14">
        <v>48</v>
      </c>
      <c r="C49" s="20"/>
      <c r="D49" s="21"/>
      <c r="E49" s="14"/>
      <c r="F49" s="24"/>
      <c r="G49" s="20"/>
      <c r="H49" s="20"/>
      <c r="I49" s="20"/>
      <c r="J49" s="20"/>
      <c r="K49" s="14"/>
      <c r="L49" s="23"/>
      <c r="M49" s="19">
        <f>32/$O$33*(L49)</f>
        <v>0</v>
      </c>
      <c r="N49" s="23"/>
      <c r="O49" s="18"/>
      <c r="P49" s="17"/>
      <c r="Q49" s="16"/>
      <c r="R49" s="15"/>
      <c r="U49" s="14"/>
      <c r="V49" s="14"/>
      <c r="W49" s="14"/>
    </row>
    <row r="50" spans="1:23" ht="14.25" customHeight="1" x14ac:dyDescent="0.25">
      <c r="A50" s="22">
        <v>43361</v>
      </c>
      <c r="B50" s="14">
        <v>49</v>
      </c>
      <c r="C50" s="20"/>
      <c r="D50" s="21"/>
      <c r="E50" s="20"/>
      <c r="F50" s="21"/>
      <c r="G50" s="20"/>
      <c r="H50" s="20"/>
      <c r="I50" s="20"/>
      <c r="J50" s="20"/>
      <c r="K50" s="14"/>
      <c r="L50" s="23"/>
      <c r="M50" s="19">
        <f>32/$O$33*(L50)</f>
        <v>0</v>
      </c>
      <c r="N50" s="23"/>
      <c r="O50" s="18"/>
      <c r="P50" s="17"/>
      <c r="Q50" s="16"/>
      <c r="R50" s="15"/>
      <c r="U50" s="14"/>
      <c r="V50" s="14"/>
      <c r="W50" s="14"/>
    </row>
    <row r="51" spans="1:23" ht="14.25" customHeight="1" x14ac:dyDescent="0.25">
      <c r="A51" s="22">
        <v>43362</v>
      </c>
      <c r="B51" s="14">
        <v>50</v>
      </c>
      <c r="C51" s="20"/>
      <c r="D51" s="21"/>
      <c r="E51" s="20"/>
      <c r="F51" s="21"/>
      <c r="G51" s="20"/>
      <c r="H51" s="20"/>
      <c r="I51" s="20"/>
      <c r="J51" s="20"/>
      <c r="K51" s="20"/>
      <c r="L51" s="19"/>
      <c r="M51" s="19">
        <f>32/$O$33*(L51)</f>
        <v>0</v>
      </c>
      <c r="N51" s="19"/>
      <c r="O51" s="18"/>
      <c r="P51" s="17"/>
      <c r="Q51" s="16"/>
      <c r="R51" s="15"/>
      <c r="U51" s="14"/>
      <c r="V51" s="14"/>
      <c r="W51" s="14"/>
    </row>
    <row r="52" spans="1:23" ht="14.25" customHeight="1" x14ac:dyDescent="0.25">
      <c r="A52" s="22">
        <v>43363</v>
      </c>
      <c r="B52" s="14">
        <v>51</v>
      </c>
      <c r="C52" s="20"/>
      <c r="D52" s="21"/>
      <c r="E52" s="20"/>
      <c r="F52" s="21"/>
      <c r="G52" s="20"/>
      <c r="H52" s="20"/>
      <c r="I52" s="20"/>
      <c r="J52" s="20"/>
      <c r="K52" s="20"/>
      <c r="L52" s="19"/>
      <c r="M52" s="19">
        <f>32/$O$33*(L52)</f>
        <v>0</v>
      </c>
      <c r="N52" s="19"/>
      <c r="O52" s="18"/>
      <c r="P52" s="17"/>
      <c r="Q52" s="16"/>
      <c r="R52" s="15"/>
      <c r="U52" s="14"/>
      <c r="V52" s="14"/>
      <c r="W52" s="14"/>
    </row>
    <row r="53" spans="1:23" ht="14.25" customHeight="1" x14ac:dyDescent="0.25">
      <c r="D53" s="9"/>
      <c r="F53" s="9"/>
      <c r="L53" s="4"/>
      <c r="M53" s="4"/>
      <c r="N53" s="4"/>
      <c r="O53" s="13"/>
      <c r="P53" s="12"/>
      <c r="Q53" s="11"/>
      <c r="R53" s="10"/>
    </row>
    <row r="54" spans="1:23" ht="14.25" customHeight="1" x14ac:dyDescent="0.25">
      <c r="D54" s="9"/>
      <c r="F54" s="9"/>
      <c r="L54" s="4"/>
      <c r="M54" s="4"/>
      <c r="N54" s="4"/>
      <c r="O54" s="8"/>
      <c r="P54" s="7"/>
      <c r="Q54" s="6"/>
      <c r="R54" s="5"/>
    </row>
    <row r="55" spans="1:23" ht="14.25" customHeight="1" x14ac:dyDescent="0.25">
      <c r="D55" s="9"/>
      <c r="F55" s="9"/>
      <c r="L55" s="4"/>
      <c r="M55" s="4"/>
      <c r="N55" s="4"/>
      <c r="O55" s="8"/>
      <c r="P55" s="7"/>
      <c r="Q55" s="6"/>
      <c r="R55" s="5"/>
    </row>
    <row r="56" spans="1:23" ht="14.25" customHeight="1" x14ac:dyDescent="0.25">
      <c r="D56" s="9"/>
      <c r="F56" s="9"/>
      <c r="L56" s="4"/>
      <c r="M56" s="4"/>
      <c r="N56" s="4"/>
      <c r="O56" s="8"/>
      <c r="P56" s="7"/>
      <c r="Q56" s="6"/>
      <c r="R56" s="5"/>
    </row>
    <row r="57" spans="1:23" ht="14.25" customHeight="1" x14ac:dyDescent="0.25">
      <c r="D57" s="9"/>
      <c r="F57" s="9"/>
      <c r="L57" s="4"/>
      <c r="M57" s="4"/>
      <c r="N57" s="4"/>
      <c r="O57" s="8"/>
      <c r="P57" s="7"/>
      <c r="Q57" s="6"/>
      <c r="R57" s="5"/>
    </row>
    <row r="58" spans="1:23" ht="14.25" customHeight="1" x14ac:dyDescent="0.25">
      <c r="D58" s="9"/>
      <c r="F58" s="9"/>
      <c r="L58" s="4"/>
      <c r="M58" s="4"/>
      <c r="N58" s="4"/>
      <c r="O58" s="8"/>
      <c r="P58" s="7"/>
      <c r="Q58" s="6"/>
      <c r="R58" s="5"/>
    </row>
    <row r="59" spans="1:23" ht="14.25" customHeight="1" x14ac:dyDescent="0.25">
      <c r="D59" s="9"/>
      <c r="F59" s="9"/>
      <c r="L59" s="4"/>
      <c r="M59" s="4"/>
      <c r="N59" s="4"/>
      <c r="O59" s="8"/>
      <c r="P59" s="7"/>
      <c r="Q59" s="6"/>
      <c r="R59" s="5"/>
    </row>
    <row r="60" spans="1:23" ht="14.25" customHeight="1" x14ac:dyDescent="0.25">
      <c r="D60" s="9"/>
      <c r="F60" s="9"/>
      <c r="L60" s="4"/>
      <c r="M60" s="4"/>
      <c r="N60" s="4"/>
      <c r="O60" s="8"/>
      <c r="P60" s="7"/>
      <c r="Q60" s="6"/>
      <c r="R60" s="5"/>
    </row>
    <row r="61" spans="1:23" ht="14.25" customHeight="1" x14ac:dyDescent="0.25">
      <c r="D61" s="9"/>
      <c r="F61" s="9"/>
      <c r="L61" s="4"/>
      <c r="M61" s="4"/>
      <c r="N61" s="4"/>
      <c r="O61" s="8"/>
      <c r="P61" s="7"/>
      <c r="Q61" s="6"/>
      <c r="R61" s="5"/>
    </row>
    <row r="62" spans="1:23" ht="14.25" customHeight="1" x14ac:dyDescent="0.25">
      <c r="D62" s="9"/>
      <c r="F62" s="9"/>
      <c r="L62" s="4"/>
      <c r="M62" s="4"/>
      <c r="N62" s="4"/>
      <c r="O62" s="8"/>
      <c r="P62" s="7"/>
      <c r="Q62" s="6"/>
      <c r="R62" s="5"/>
    </row>
    <row r="63" spans="1:23" ht="14.25" customHeight="1" x14ac:dyDescent="0.25">
      <c r="D63" s="9"/>
      <c r="F63" s="9"/>
      <c r="L63" s="4"/>
      <c r="M63" s="4"/>
      <c r="N63" s="4"/>
      <c r="O63" s="8"/>
      <c r="P63" s="7"/>
      <c r="Q63" s="6"/>
      <c r="R63" s="5"/>
    </row>
    <row r="64" spans="1:23" ht="14.25" customHeight="1" x14ac:dyDescent="0.25">
      <c r="D64" s="9"/>
      <c r="F64" s="9"/>
      <c r="L64" s="4"/>
      <c r="M64" s="4"/>
      <c r="N64" s="4"/>
      <c r="O64" s="8"/>
      <c r="P64" s="7"/>
      <c r="Q64" s="6"/>
      <c r="R64" s="5"/>
    </row>
    <row r="65" spans="4:18" ht="14.25" customHeight="1" x14ac:dyDescent="0.25">
      <c r="D65" s="9"/>
      <c r="F65" s="9"/>
      <c r="L65" s="4"/>
      <c r="M65" s="4"/>
      <c r="N65" s="4"/>
      <c r="O65" s="8"/>
      <c r="P65" s="7"/>
      <c r="Q65" s="6"/>
      <c r="R65" s="5"/>
    </row>
    <row r="66" spans="4:18" ht="14.25" customHeight="1" x14ac:dyDescent="0.25">
      <c r="D66" s="9"/>
      <c r="F66" s="9"/>
      <c r="L66" s="4"/>
      <c r="M66" s="4"/>
      <c r="N66" s="4"/>
      <c r="O66" s="8"/>
      <c r="P66" s="7"/>
      <c r="Q66" s="6"/>
      <c r="R66" s="5"/>
    </row>
    <row r="67" spans="4:18" ht="14.25" customHeight="1" x14ac:dyDescent="0.25">
      <c r="D67" s="9"/>
      <c r="F67" s="9"/>
      <c r="L67" s="4"/>
      <c r="M67" s="4"/>
      <c r="N67" s="4"/>
      <c r="O67" s="8"/>
      <c r="P67" s="7"/>
      <c r="Q67" s="6"/>
      <c r="R67" s="5"/>
    </row>
    <row r="68" spans="4:18" ht="14.25" customHeight="1" x14ac:dyDescent="0.25">
      <c r="D68" s="9"/>
      <c r="F68" s="9"/>
      <c r="L68" s="4"/>
      <c r="M68" s="4"/>
      <c r="N68" s="4"/>
      <c r="O68" s="8"/>
      <c r="P68" s="7"/>
      <c r="Q68" s="6"/>
      <c r="R68" s="5"/>
    </row>
    <row r="69" spans="4:18" ht="14.25" customHeight="1" x14ac:dyDescent="0.25">
      <c r="D69" s="9"/>
      <c r="F69" s="9"/>
      <c r="L69" s="4"/>
      <c r="M69" s="4"/>
      <c r="N69" s="4"/>
      <c r="O69" s="8"/>
      <c r="P69" s="7"/>
      <c r="Q69" s="6"/>
      <c r="R69" s="5"/>
    </row>
    <row r="70" spans="4:18" ht="14.25" customHeight="1" x14ac:dyDescent="0.25">
      <c r="D70" s="9"/>
      <c r="F70" s="9"/>
      <c r="L70" s="4"/>
      <c r="M70" s="4"/>
      <c r="N70" s="4"/>
      <c r="O70" s="8"/>
      <c r="P70" s="7"/>
      <c r="Q70" s="6"/>
      <c r="R70" s="5"/>
    </row>
    <row r="71" spans="4:18" ht="14.25" customHeight="1" x14ac:dyDescent="0.25">
      <c r="D71" s="9"/>
      <c r="F71" s="9"/>
      <c r="L71" s="4"/>
      <c r="M71" s="4"/>
      <c r="N71" s="4"/>
      <c r="O71" s="8"/>
      <c r="P71" s="7"/>
      <c r="Q71" s="6"/>
      <c r="R71" s="5"/>
    </row>
    <row r="72" spans="4:18" ht="14.25" customHeight="1" x14ac:dyDescent="0.25">
      <c r="D72" s="9"/>
      <c r="F72" s="9"/>
      <c r="L72" s="4"/>
      <c r="M72" s="4"/>
      <c r="N72" s="4"/>
      <c r="O72" s="8"/>
      <c r="P72" s="7"/>
      <c r="Q72" s="6"/>
      <c r="R72" s="5"/>
    </row>
    <row r="73" spans="4:18" ht="14.25" customHeight="1" x14ac:dyDescent="0.25">
      <c r="D73" s="9"/>
      <c r="F73" s="9"/>
      <c r="L73" s="4"/>
      <c r="M73" s="4"/>
      <c r="N73" s="4"/>
      <c r="O73" s="8"/>
      <c r="P73" s="7"/>
      <c r="Q73" s="6"/>
      <c r="R73" s="5"/>
    </row>
    <row r="74" spans="4:18" ht="14.25" customHeight="1" x14ac:dyDescent="0.25">
      <c r="D74" s="9"/>
      <c r="F74" s="9"/>
      <c r="L74" s="4"/>
      <c r="M74" s="4"/>
      <c r="N74" s="4"/>
      <c r="O74" s="8"/>
      <c r="P74" s="7"/>
      <c r="Q74" s="6"/>
      <c r="R74" s="5"/>
    </row>
    <row r="75" spans="4:18" ht="14.25" customHeight="1" x14ac:dyDescent="0.25">
      <c r="D75" s="9"/>
      <c r="F75" s="9"/>
      <c r="L75" s="4"/>
      <c r="M75" s="4"/>
      <c r="N75" s="4"/>
      <c r="O75" s="8"/>
      <c r="P75" s="7"/>
      <c r="Q75" s="6"/>
      <c r="R75" s="5"/>
    </row>
    <row r="76" spans="4:18" ht="14.25" customHeight="1" x14ac:dyDescent="0.25">
      <c r="D76" s="9"/>
      <c r="F76" s="9"/>
      <c r="L76" s="4"/>
      <c r="M76" s="4"/>
      <c r="N76" s="4"/>
      <c r="O76" s="8"/>
      <c r="P76" s="7"/>
      <c r="Q76" s="6"/>
      <c r="R76" s="5"/>
    </row>
    <row r="77" spans="4:18" ht="14.25" customHeight="1" x14ac:dyDescent="0.25">
      <c r="D77" s="9"/>
      <c r="F77" s="9"/>
      <c r="L77" s="4"/>
      <c r="M77" s="4"/>
      <c r="N77" s="4"/>
      <c r="O77" s="8"/>
      <c r="P77" s="7"/>
      <c r="Q77" s="6"/>
      <c r="R77" s="5"/>
    </row>
    <row r="78" spans="4:18" ht="14.25" customHeight="1" x14ac:dyDescent="0.25">
      <c r="D78" s="9"/>
      <c r="F78" s="9"/>
      <c r="L78" s="4"/>
      <c r="M78" s="4"/>
      <c r="N78" s="4"/>
      <c r="O78" s="8"/>
      <c r="P78" s="7"/>
      <c r="Q78" s="6"/>
      <c r="R78" s="5"/>
    </row>
    <row r="79" spans="4:18" ht="14.25" customHeight="1" x14ac:dyDescent="0.25">
      <c r="D79" s="9"/>
      <c r="F79" s="9"/>
      <c r="L79" s="4"/>
      <c r="M79" s="4"/>
      <c r="N79" s="4"/>
      <c r="O79" s="8"/>
      <c r="P79" s="7"/>
      <c r="Q79" s="6"/>
      <c r="R79" s="5"/>
    </row>
    <row r="80" spans="4:18" ht="14.25" customHeight="1" x14ac:dyDescent="0.25">
      <c r="D80" s="9"/>
      <c r="F80" s="9"/>
      <c r="L80" s="4"/>
      <c r="M80" s="4"/>
      <c r="N80" s="4"/>
      <c r="O80" s="8"/>
      <c r="P80" s="7"/>
      <c r="Q80" s="6"/>
      <c r="R80" s="5"/>
    </row>
    <row r="81" spans="4:18" ht="14.25" customHeight="1" x14ac:dyDescent="0.25">
      <c r="D81" s="9"/>
      <c r="F81" s="9"/>
      <c r="L81" s="4"/>
      <c r="M81" s="4"/>
      <c r="N81" s="4"/>
      <c r="O81" s="8"/>
      <c r="P81" s="7"/>
      <c r="Q81" s="6"/>
      <c r="R81" s="5"/>
    </row>
    <row r="82" spans="4:18" ht="14.25" customHeight="1" x14ac:dyDescent="0.25">
      <c r="D82" s="9"/>
      <c r="F82" s="9"/>
      <c r="L82" s="4"/>
      <c r="M82" s="4"/>
      <c r="N82" s="4"/>
      <c r="O82" s="8"/>
      <c r="P82" s="7"/>
      <c r="Q82" s="6"/>
      <c r="R82" s="5"/>
    </row>
    <row r="83" spans="4:18" ht="14.25" customHeight="1" x14ac:dyDescent="0.25">
      <c r="D83" s="9"/>
      <c r="F83" s="9"/>
      <c r="L83" s="4"/>
      <c r="M83" s="4"/>
      <c r="N83" s="4"/>
      <c r="O83" s="8"/>
      <c r="P83" s="7"/>
      <c r="Q83" s="6"/>
      <c r="R83" s="5"/>
    </row>
    <row r="84" spans="4:18" ht="14.25" customHeight="1" x14ac:dyDescent="0.25">
      <c r="D84" s="9"/>
      <c r="F84" s="9"/>
      <c r="L84" s="4"/>
      <c r="M84" s="4"/>
      <c r="N84" s="4"/>
      <c r="O84" s="8"/>
      <c r="P84" s="7"/>
      <c r="Q84" s="6"/>
      <c r="R84" s="5"/>
    </row>
    <row r="85" spans="4:18" ht="14.25" customHeight="1" x14ac:dyDescent="0.25">
      <c r="D85" s="9"/>
      <c r="F85" s="9"/>
      <c r="L85" s="4"/>
      <c r="M85" s="4"/>
      <c r="N85" s="4"/>
      <c r="O85" s="8"/>
      <c r="P85" s="7"/>
      <c r="Q85" s="6"/>
      <c r="R85" s="5"/>
    </row>
    <row r="86" spans="4:18" ht="14.25" customHeight="1" x14ac:dyDescent="0.25">
      <c r="D86" s="9"/>
      <c r="F86" s="9"/>
      <c r="L86" s="4"/>
      <c r="M86" s="4"/>
      <c r="N86" s="4"/>
      <c r="O86" s="8"/>
      <c r="P86" s="7"/>
      <c r="Q86" s="6"/>
      <c r="R86" s="5"/>
    </row>
    <row r="87" spans="4:18" ht="14.25" customHeight="1" x14ac:dyDescent="0.25">
      <c r="D87" s="9"/>
      <c r="F87" s="9"/>
      <c r="L87" s="4"/>
      <c r="M87" s="4"/>
      <c r="N87" s="4"/>
      <c r="O87" s="8"/>
      <c r="P87" s="7"/>
      <c r="Q87" s="6"/>
      <c r="R87" s="5"/>
    </row>
    <row r="88" spans="4:18" ht="14.25" customHeight="1" x14ac:dyDescent="0.25">
      <c r="D88" s="9"/>
      <c r="F88" s="9"/>
      <c r="L88" s="4"/>
      <c r="M88" s="4"/>
      <c r="N88" s="4"/>
      <c r="O88" s="8"/>
      <c r="P88" s="7"/>
      <c r="Q88" s="6"/>
      <c r="R88" s="5"/>
    </row>
    <row r="89" spans="4:18" ht="14.25" customHeight="1" x14ac:dyDescent="0.25">
      <c r="D89" s="9"/>
      <c r="F89" s="9"/>
      <c r="L89" s="4"/>
      <c r="M89" s="4"/>
      <c r="N89" s="4"/>
      <c r="O89" s="8"/>
      <c r="P89" s="7"/>
      <c r="Q89" s="6"/>
      <c r="R89" s="5"/>
    </row>
    <row r="90" spans="4:18" ht="14.25" customHeight="1" x14ac:dyDescent="0.25">
      <c r="D90" s="9"/>
      <c r="F90" s="9"/>
      <c r="L90" s="4"/>
      <c r="M90" s="4"/>
      <c r="N90" s="4"/>
      <c r="O90" s="8"/>
      <c r="P90" s="7"/>
      <c r="Q90" s="6"/>
      <c r="R90" s="5"/>
    </row>
    <row r="91" spans="4:18" ht="14.25" customHeight="1" x14ac:dyDescent="0.25">
      <c r="D91" s="9"/>
      <c r="F91" s="9"/>
      <c r="L91" s="4"/>
      <c r="M91" s="4"/>
      <c r="N91" s="4"/>
      <c r="O91" s="8"/>
      <c r="P91" s="7"/>
      <c r="Q91" s="6"/>
      <c r="R91" s="5"/>
    </row>
    <row r="92" spans="4:18" ht="14.25" customHeight="1" x14ac:dyDescent="0.25">
      <c r="D92" s="9"/>
      <c r="F92" s="9"/>
      <c r="L92" s="4"/>
      <c r="M92" s="4"/>
      <c r="N92" s="4"/>
      <c r="O92" s="8"/>
      <c r="P92" s="7"/>
      <c r="Q92" s="6"/>
      <c r="R92" s="5"/>
    </row>
    <row r="93" spans="4:18" ht="14.25" customHeight="1" x14ac:dyDescent="0.25">
      <c r="D93" s="9"/>
      <c r="F93" s="9"/>
      <c r="L93" s="4"/>
      <c r="M93" s="4"/>
      <c r="N93" s="4"/>
      <c r="O93" s="8"/>
      <c r="P93" s="7"/>
      <c r="Q93" s="6"/>
      <c r="R93" s="5"/>
    </row>
    <row r="94" spans="4:18" ht="14.25" customHeight="1" x14ac:dyDescent="0.25">
      <c r="D94" s="9"/>
      <c r="F94" s="9"/>
      <c r="L94" s="4"/>
      <c r="M94" s="4"/>
      <c r="N94" s="4"/>
      <c r="O94" s="8"/>
      <c r="P94" s="7"/>
      <c r="Q94" s="6"/>
      <c r="R94" s="5"/>
    </row>
    <row r="95" spans="4:18" ht="14.25" customHeight="1" x14ac:dyDescent="0.25">
      <c r="D95" s="9"/>
      <c r="F95" s="9"/>
      <c r="L95" s="4"/>
      <c r="M95" s="4"/>
      <c r="N95" s="4"/>
      <c r="O95" s="8"/>
      <c r="P95" s="7"/>
      <c r="Q95" s="6"/>
      <c r="R95" s="5"/>
    </row>
    <row r="96" spans="4:18" ht="14.25" customHeight="1" x14ac:dyDescent="0.25">
      <c r="D96" s="9"/>
      <c r="F96" s="9"/>
      <c r="L96" s="4"/>
      <c r="M96" s="4"/>
      <c r="N96" s="4"/>
      <c r="O96" s="8"/>
      <c r="P96" s="7"/>
      <c r="Q96" s="6"/>
      <c r="R96" s="5"/>
    </row>
    <row r="97" spans="4:18" ht="14.25" customHeight="1" x14ac:dyDescent="0.25">
      <c r="D97" s="9"/>
      <c r="F97" s="9"/>
      <c r="L97" s="4"/>
      <c r="M97" s="4"/>
      <c r="N97" s="4"/>
      <c r="O97" s="8"/>
      <c r="P97" s="7"/>
      <c r="Q97" s="6"/>
      <c r="R97" s="5"/>
    </row>
    <row r="98" spans="4:18" ht="14.25" customHeight="1" x14ac:dyDescent="0.25">
      <c r="D98" s="9"/>
      <c r="F98" s="9"/>
      <c r="L98" s="4"/>
      <c r="M98" s="4"/>
      <c r="N98" s="4"/>
      <c r="O98" s="8"/>
      <c r="P98" s="7"/>
      <c r="Q98" s="6"/>
      <c r="R98" s="5"/>
    </row>
    <row r="99" spans="4:18" ht="14.25" customHeight="1" x14ac:dyDescent="0.25">
      <c r="D99" s="9"/>
      <c r="F99" s="9"/>
      <c r="L99" s="4"/>
      <c r="M99" s="4"/>
      <c r="N99" s="4"/>
      <c r="O99" s="8"/>
      <c r="P99" s="7"/>
      <c r="Q99" s="6"/>
      <c r="R99" s="5"/>
    </row>
    <row r="100" spans="4:18" ht="14.25" customHeight="1" x14ac:dyDescent="0.25">
      <c r="D100" s="9"/>
      <c r="F100" s="9"/>
      <c r="L100" s="4"/>
      <c r="M100" s="4"/>
      <c r="N100" s="4"/>
      <c r="O100" s="8"/>
      <c r="P100" s="7"/>
      <c r="Q100" s="6"/>
      <c r="R100" s="5"/>
    </row>
    <row r="101" spans="4:18" ht="14.25" customHeight="1" x14ac:dyDescent="0.25">
      <c r="D101" s="9"/>
      <c r="F101" s="9"/>
      <c r="L101" s="4"/>
      <c r="M101" s="4"/>
      <c r="N101" s="4"/>
      <c r="O101" s="8"/>
      <c r="P101" s="7"/>
      <c r="Q101" s="6"/>
      <c r="R101" s="5"/>
    </row>
    <row r="102" spans="4:18" ht="14.25" customHeight="1" x14ac:dyDescent="0.25">
      <c r="D102" s="9"/>
      <c r="F102" s="9"/>
      <c r="L102" s="4"/>
      <c r="M102" s="4"/>
      <c r="N102" s="4"/>
      <c r="O102" s="8"/>
      <c r="P102" s="7"/>
      <c r="Q102" s="6"/>
      <c r="R102" s="5"/>
    </row>
    <row r="103" spans="4:18" ht="14.25" customHeight="1" x14ac:dyDescent="0.25">
      <c r="D103" s="9"/>
      <c r="F103" s="9"/>
      <c r="L103" s="4"/>
      <c r="M103" s="4"/>
      <c r="N103" s="4"/>
      <c r="O103" s="8"/>
      <c r="P103" s="7"/>
      <c r="Q103" s="6"/>
      <c r="R103" s="5"/>
    </row>
    <row r="104" spans="4:18" ht="14.25" customHeight="1" x14ac:dyDescent="0.25">
      <c r="D104" s="9"/>
      <c r="F104" s="9"/>
      <c r="L104" s="4"/>
      <c r="M104" s="4"/>
      <c r="N104" s="4"/>
      <c r="O104" s="8"/>
      <c r="P104" s="7"/>
      <c r="Q104" s="6"/>
      <c r="R104" s="5"/>
    </row>
    <row r="105" spans="4:18" ht="14.25" customHeight="1" x14ac:dyDescent="0.25">
      <c r="D105" s="9"/>
      <c r="F105" s="9"/>
      <c r="L105" s="4"/>
      <c r="M105" s="4"/>
      <c r="N105" s="4"/>
      <c r="O105" s="8"/>
      <c r="P105" s="7"/>
      <c r="Q105" s="6"/>
      <c r="R105" s="5"/>
    </row>
    <row r="106" spans="4:18" ht="14.25" customHeight="1" x14ac:dyDescent="0.25">
      <c r="D106" s="9"/>
      <c r="F106" s="9"/>
      <c r="L106" s="4"/>
      <c r="M106" s="4"/>
      <c r="N106" s="4"/>
      <c r="O106" s="8"/>
      <c r="P106" s="7"/>
      <c r="Q106" s="6"/>
      <c r="R106" s="5"/>
    </row>
    <row r="107" spans="4:18" ht="14.25" customHeight="1" x14ac:dyDescent="0.25">
      <c r="D107" s="9"/>
      <c r="F107" s="9"/>
      <c r="L107" s="4"/>
      <c r="M107" s="4"/>
      <c r="N107" s="4"/>
      <c r="O107" s="8"/>
      <c r="P107" s="7"/>
      <c r="Q107" s="6"/>
      <c r="R107" s="5"/>
    </row>
    <row r="108" spans="4:18" ht="14.25" customHeight="1" x14ac:dyDescent="0.25">
      <c r="D108" s="9"/>
      <c r="F108" s="9"/>
      <c r="L108" s="4"/>
      <c r="M108" s="4"/>
      <c r="N108" s="4"/>
      <c r="O108" s="8"/>
      <c r="P108" s="7"/>
      <c r="Q108" s="6"/>
      <c r="R108" s="5"/>
    </row>
    <row r="109" spans="4:18" ht="14.25" customHeight="1" x14ac:dyDescent="0.25">
      <c r="D109" s="9"/>
      <c r="F109" s="9"/>
      <c r="L109" s="4"/>
      <c r="M109" s="4"/>
      <c r="N109" s="4"/>
      <c r="O109" s="8"/>
      <c r="P109" s="7"/>
      <c r="Q109" s="6"/>
      <c r="R109" s="5"/>
    </row>
    <row r="110" spans="4:18" ht="14.25" customHeight="1" x14ac:dyDescent="0.25">
      <c r="D110" s="9"/>
      <c r="F110" s="9"/>
      <c r="L110" s="4"/>
      <c r="M110" s="4"/>
      <c r="N110" s="4"/>
      <c r="O110" s="8"/>
      <c r="P110" s="7"/>
      <c r="Q110" s="6"/>
      <c r="R110" s="5"/>
    </row>
    <row r="111" spans="4:18" ht="14.25" customHeight="1" x14ac:dyDescent="0.25">
      <c r="D111" s="9"/>
      <c r="F111" s="9"/>
      <c r="L111" s="4"/>
      <c r="M111" s="4"/>
      <c r="N111" s="4"/>
      <c r="O111" s="8"/>
      <c r="P111" s="7"/>
      <c r="Q111" s="6"/>
      <c r="R111" s="5"/>
    </row>
    <row r="112" spans="4:18" ht="14.25" customHeight="1" x14ac:dyDescent="0.25">
      <c r="D112" s="9"/>
      <c r="F112" s="9"/>
      <c r="L112" s="4"/>
      <c r="M112" s="4"/>
      <c r="N112" s="4"/>
      <c r="O112" s="8"/>
      <c r="P112" s="7"/>
      <c r="Q112" s="6"/>
      <c r="R112" s="5"/>
    </row>
    <row r="113" spans="4:18" ht="14.25" customHeight="1" x14ac:dyDescent="0.25">
      <c r="D113" s="9"/>
      <c r="F113" s="9"/>
      <c r="L113" s="4"/>
      <c r="M113" s="4"/>
      <c r="N113" s="4"/>
      <c r="O113" s="8"/>
      <c r="P113" s="7"/>
      <c r="Q113" s="6"/>
      <c r="R113" s="5"/>
    </row>
    <row r="114" spans="4:18" ht="14.25" customHeight="1" x14ac:dyDescent="0.25">
      <c r="D114" s="9"/>
      <c r="F114" s="9"/>
      <c r="L114" s="4"/>
      <c r="M114" s="4"/>
      <c r="N114" s="4"/>
      <c r="O114" s="8"/>
      <c r="P114" s="7"/>
      <c r="Q114" s="6"/>
      <c r="R114" s="5"/>
    </row>
    <row r="115" spans="4:18" ht="14.25" customHeight="1" x14ac:dyDescent="0.25">
      <c r="D115" s="9"/>
      <c r="F115" s="9"/>
      <c r="L115" s="4"/>
      <c r="M115" s="4"/>
      <c r="N115" s="4"/>
      <c r="O115" s="8"/>
      <c r="P115" s="7"/>
      <c r="Q115" s="6"/>
      <c r="R115" s="5"/>
    </row>
    <row r="116" spans="4:18" ht="14.25" customHeight="1" x14ac:dyDescent="0.25">
      <c r="D116" s="9"/>
      <c r="F116" s="9"/>
      <c r="L116" s="4"/>
      <c r="M116" s="4"/>
      <c r="N116" s="4"/>
      <c r="O116" s="8"/>
      <c r="P116" s="7"/>
      <c r="Q116" s="6"/>
      <c r="R116" s="5"/>
    </row>
    <row r="117" spans="4:18" ht="14.25" customHeight="1" x14ac:dyDescent="0.25">
      <c r="D117" s="9"/>
      <c r="F117" s="9"/>
      <c r="L117" s="4"/>
      <c r="M117" s="4"/>
      <c r="N117" s="4"/>
      <c r="O117" s="8"/>
      <c r="P117" s="7"/>
      <c r="Q117" s="6"/>
      <c r="R117" s="5"/>
    </row>
    <row r="118" spans="4:18" ht="14.25" customHeight="1" x14ac:dyDescent="0.25">
      <c r="D118" s="9"/>
      <c r="F118" s="9"/>
      <c r="L118" s="4"/>
      <c r="M118" s="4"/>
      <c r="N118" s="4"/>
      <c r="O118" s="8"/>
      <c r="P118" s="7"/>
      <c r="Q118" s="6"/>
      <c r="R118" s="5"/>
    </row>
    <row r="119" spans="4:18" ht="14.25" customHeight="1" x14ac:dyDescent="0.25">
      <c r="D119" s="9"/>
      <c r="F119" s="9"/>
      <c r="L119" s="4"/>
      <c r="M119" s="4"/>
      <c r="N119" s="4"/>
      <c r="O119" s="8"/>
      <c r="P119" s="7"/>
      <c r="Q119" s="6"/>
      <c r="R119" s="5"/>
    </row>
    <row r="120" spans="4:18" ht="14.25" customHeight="1" x14ac:dyDescent="0.25">
      <c r="D120" s="9"/>
      <c r="F120" s="9"/>
      <c r="L120" s="4"/>
      <c r="M120" s="4"/>
      <c r="N120" s="4"/>
      <c r="O120" s="8"/>
      <c r="P120" s="7"/>
      <c r="Q120" s="6"/>
      <c r="R120" s="5"/>
    </row>
    <row r="121" spans="4:18" ht="14.25" customHeight="1" x14ac:dyDescent="0.25">
      <c r="D121" s="9"/>
      <c r="F121" s="9"/>
      <c r="L121" s="4"/>
      <c r="M121" s="4"/>
      <c r="N121" s="4"/>
      <c r="O121" s="8"/>
      <c r="P121" s="7"/>
      <c r="Q121" s="6"/>
      <c r="R121" s="5"/>
    </row>
    <row r="122" spans="4:18" ht="14.25" customHeight="1" x14ac:dyDescent="0.25">
      <c r="D122" s="9"/>
      <c r="F122" s="9"/>
      <c r="L122" s="4"/>
      <c r="M122" s="4"/>
      <c r="N122" s="4"/>
      <c r="O122" s="8"/>
      <c r="P122" s="7"/>
      <c r="Q122" s="6"/>
      <c r="R122" s="5"/>
    </row>
    <row r="123" spans="4:18" ht="14.25" customHeight="1" x14ac:dyDescent="0.25">
      <c r="D123" s="9"/>
      <c r="F123" s="9"/>
      <c r="L123" s="4"/>
      <c r="M123" s="4"/>
      <c r="N123" s="4"/>
      <c r="O123" s="8"/>
      <c r="P123" s="7"/>
      <c r="Q123" s="6"/>
      <c r="R123" s="5"/>
    </row>
    <row r="124" spans="4:18" ht="14.25" customHeight="1" x14ac:dyDescent="0.25">
      <c r="D124" s="9"/>
      <c r="F124" s="9"/>
      <c r="L124" s="4"/>
      <c r="M124" s="4"/>
      <c r="N124" s="4"/>
      <c r="O124" s="8"/>
      <c r="P124" s="7"/>
      <c r="Q124" s="6"/>
      <c r="R124" s="5"/>
    </row>
    <row r="125" spans="4:18" ht="14.25" customHeight="1" x14ac:dyDescent="0.25">
      <c r="D125" s="9"/>
      <c r="F125" s="9"/>
      <c r="L125" s="4"/>
      <c r="M125" s="4"/>
      <c r="N125" s="4"/>
      <c r="O125" s="8"/>
      <c r="P125" s="7"/>
      <c r="Q125" s="6"/>
      <c r="R125" s="5"/>
    </row>
    <row r="126" spans="4:18" ht="14.25" customHeight="1" x14ac:dyDescent="0.25">
      <c r="D126" s="9"/>
      <c r="F126" s="9"/>
      <c r="L126" s="4"/>
      <c r="M126" s="4"/>
      <c r="N126" s="4"/>
      <c r="O126" s="8"/>
      <c r="P126" s="7"/>
      <c r="Q126" s="6"/>
      <c r="R126" s="5"/>
    </row>
    <row r="127" spans="4:18" ht="14.25" customHeight="1" x14ac:dyDescent="0.25">
      <c r="D127" s="9"/>
      <c r="F127" s="9"/>
      <c r="L127" s="4"/>
      <c r="M127" s="4"/>
      <c r="N127" s="4"/>
      <c r="O127" s="8"/>
      <c r="P127" s="7"/>
      <c r="Q127" s="6"/>
      <c r="R127" s="5"/>
    </row>
    <row r="128" spans="4:18" ht="14.25" customHeight="1" x14ac:dyDescent="0.25">
      <c r="D128" s="9"/>
      <c r="F128" s="9"/>
      <c r="L128" s="4"/>
      <c r="M128" s="4"/>
      <c r="N128" s="4"/>
      <c r="O128" s="8"/>
      <c r="P128" s="7"/>
      <c r="Q128" s="6"/>
      <c r="R128" s="5"/>
    </row>
    <row r="129" spans="4:18" ht="14.25" customHeight="1" x14ac:dyDescent="0.25">
      <c r="D129" s="9"/>
      <c r="F129" s="9"/>
      <c r="L129" s="4"/>
      <c r="M129" s="4"/>
      <c r="N129" s="4"/>
      <c r="O129" s="8"/>
      <c r="P129" s="7"/>
      <c r="Q129" s="6"/>
      <c r="R129" s="5"/>
    </row>
    <row r="130" spans="4:18" ht="14.25" customHeight="1" x14ac:dyDescent="0.25">
      <c r="D130" s="9"/>
      <c r="F130" s="9"/>
      <c r="L130" s="4"/>
      <c r="M130" s="4"/>
      <c r="N130" s="4"/>
      <c r="O130" s="8"/>
      <c r="P130" s="7"/>
      <c r="Q130" s="6"/>
      <c r="R130" s="5"/>
    </row>
    <row r="131" spans="4:18" ht="14.25" customHeight="1" x14ac:dyDescent="0.25">
      <c r="D131" s="9"/>
      <c r="F131" s="9"/>
      <c r="L131" s="4"/>
      <c r="M131" s="4"/>
      <c r="N131" s="4"/>
      <c r="O131" s="8"/>
      <c r="P131" s="7"/>
      <c r="Q131" s="6"/>
      <c r="R131" s="5"/>
    </row>
    <row r="132" spans="4:18" ht="14.25" customHeight="1" x14ac:dyDescent="0.25">
      <c r="D132" s="9"/>
      <c r="F132" s="9"/>
      <c r="L132" s="4"/>
      <c r="M132" s="4"/>
      <c r="N132" s="4"/>
      <c r="O132" s="8"/>
      <c r="P132" s="7"/>
      <c r="Q132" s="6"/>
      <c r="R132" s="5"/>
    </row>
    <row r="133" spans="4:18" ht="14.25" customHeight="1" x14ac:dyDescent="0.25">
      <c r="D133" s="9"/>
      <c r="F133" s="9"/>
      <c r="L133" s="4"/>
      <c r="M133" s="4"/>
      <c r="N133" s="4"/>
      <c r="O133" s="8"/>
      <c r="P133" s="7"/>
      <c r="Q133" s="6"/>
      <c r="R133" s="5"/>
    </row>
    <row r="134" spans="4:18" ht="14.25" customHeight="1" x14ac:dyDescent="0.25">
      <c r="D134" s="9"/>
      <c r="F134" s="9"/>
      <c r="L134" s="4"/>
      <c r="M134" s="4"/>
      <c r="N134" s="4"/>
      <c r="O134" s="8"/>
      <c r="P134" s="7"/>
      <c r="Q134" s="6"/>
      <c r="R134" s="5"/>
    </row>
    <row r="135" spans="4:18" ht="14.25" customHeight="1" x14ac:dyDescent="0.25">
      <c r="D135" s="9"/>
      <c r="F135" s="9"/>
      <c r="L135" s="4"/>
      <c r="M135" s="4"/>
      <c r="N135" s="4"/>
      <c r="O135" s="8"/>
      <c r="P135" s="7"/>
      <c r="Q135" s="6"/>
      <c r="R135" s="5"/>
    </row>
    <row r="136" spans="4:18" ht="14.25" customHeight="1" x14ac:dyDescent="0.25">
      <c r="D136" s="9"/>
      <c r="F136" s="9"/>
      <c r="L136" s="4"/>
      <c r="M136" s="4"/>
      <c r="N136" s="4"/>
      <c r="O136" s="8"/>
      <c r="P136" s="7"/>
      <c r="Q136" s="6"/>
      <c r="R136" s="5"/>
    </row>
    <row r="137" spans="4:18" ht="14.25" customHeight="1" x14ac:dyDescent="0.25">
      <c r="D137" s="9"/>
      <c r="F137" s="9"/>
      <c r="L137" s="4"/>
      <c r="M137" s="4"/>
      <c r="N137" s="4"/>
      <c r="O137" s="8"/>
      <c r="P137" s="7"/>
      <c r="Q137" s="6"/>
      <c r="R137" s="5"/>
    </row>
    <row r="138" spans="4:18" ht="14.25" customHeight="1" x14ac:dyDescent="0.25">
      <c r="D138" s="9"/>
      <c r="F138" s="9"/>
      <c r="L138" s="4"/>
      <c r="M138" s="4"/>
      <c r="N138" s="4"/>
      <c r="O138" s="8"/>
      <c r="P138" s="7"/>
      <c r="Q138" s="6"/>
      <c r="R138" s="5"/>
    </row>
    <row r="139" spans="4:18" ht="14.25" customHeight="1" x14ac:dyDescent="0.25">
      <c r="D139" s="9"/>
      <c r="F139" s="9"/>
      <c r="L139" s="4"/>
      <c r="M139" s="4"/>
      <c r="N139" s="4"/>
      <c r="O139" s="8"/>
      <c r="P139" s="7"/>
      <c r="Q139" s="6"/>
      <c r="R139" s="5"/>
    </row>
    <row r="140" spans="4:18" ht="14.25" customHeight="1" x14ac:dyDescent="0.25">
      <c r="D140" s="9"/>
      <c r="F140" s="9"/>
      <c r="L140" s="4"/>
      <c r="M140" s="4"/>
      <c r="N140" s="4"/>
      <c r="O140" s="8"/>
      <c r="P140" s="7"/>
      <c r="Q140" s="6"/>
      <c r="R140" s="5"/>
    </row>
    <row r="141" spans="4:18" ht="14.25" customHeight="1" x14ac:dyDescent="0.25">
      <c r="D141" s="9"/>
      <c r="F141" s="9"/>
      <c r="L141" s="4"/>
      <c r="M141" s="4"/>
      <c r="N141" s="4"/>
      <c r="O141" s="8"/>
      <c r="P141" s="7"/>
      <c r="Q141" s="6"/>
      <c r="R141" s="5"/>
    </row>
    <row r="142" spans="4:18" ht="14.25" customHeight="1" x14ac:dyDescent="0.25">
      <c r="D142" s="9"/>
      <c r="F142" s="9"/>
      <c r="L142" s="4"/>
      <c r="M142" s="4"/>
      <c r="N142" s="4"/>
      <c r="O142" s="8"/>
      <c r="P142" s="7"/>
      <c r="Q142" s="6"/>
      <c r="R142" s="5"/>
    </row>
    <row r="143" spans="4:18" ht="14.25" customHeight="1" x14ac:dyDescent="0.25">
      <c r="D143" s="9"/>
      <c r="F143" s="9"/>
      <c r="L143" s="4"/>
      <c r="M143" s="4"/>
      <c r="N143" s="4"/>
      <c r="O143" s="8"/>
      <c r="P143" s="7"/>
      <c r="Q143" s="6"/>
      <c r="R143" s="5"/>
    </row>
    <row r="144" spans="4:18" ht="14.25" customHeight="1" x14ac:dyDescent="0.25">
      <c r="D144" s="9"/>
      <c r="F144" s="9"/>
      <c r="L144" s="4"/>
      <c r="M144" s="4"/>
      <c r="N144" s="4"/>
      <c r="O144" s="8"/>
      <c r="P144" s="7"/>
      <c r="Q144" s="6"/>
      <c r="R144" s="5"/>
    </row>
    <row r="145" spans="4:18" ht="14.25" customHeight="1" x14ac:dyDescent="0.25">
      <c r="D145" s="9"/>
      <c r="F145" s="9"/>
      <c r="L145" s="4"/>
      <c r="M145" s="4"/>
      <c r="N145" s="4"/>
      <c r="O145" s="8"/>
      <c r="P145" s="7"/>
      <c r="Q145" s="6"/>
      <c r="R145" s="5"/>
    </row>
    <row r="146" spans="4:18" ht="14.25" customHeight="1" x14ac:dyDescent="0.25">
      <c r="D146" s="9"/>
      <c r="F146" s="9"/>
      <c r="L146" s="4"/>
      <c r="M146" s="4"/>
      <c r="N146" s="4"/>
      <c r="O146" s="8"/>
      <c r="P146" s="7"/>
      <c r="Q146" s="6"/>
      <c r="R146" s="5"/>
    </row>
    <row r="147" spans="4:18" ht="14.25" customHeight="1" x14ac:dyDescent="0.25">
      <c r="D147" s="9"/>
      <c r="F147" s="9"/>
      <c r="L147" s="4"/>
      <c r="M147" s="4"/>
      <c r="N147" s="4"/>
      <c r="O147" s="8"/>
      <c r="P147" s="7"/>
      <c r="Q147" s="6"/>
      <c r="R147" s="5"/>
    </row>
    <row r="148" spans="4:18" ht="14.25" customHeight="1" x14ac:dyDescent="0.25">
      <c r="D148" s="9"/>
      <c r="F148" s="9"/>
      <c r="L148" s="4"/>
      <c r="M148" s="4"/>
      <c r="N148" s="4"/>
      <c r="O148" s="8"/>
      <c r="P148" s="7"/>
      <c r="Q148" s="6"/>
      <c r="R148" s="5"/>
    </row>
    <row r="149" spans="4:18" ht="14.25" customHeight="1" x14ac:dyDescent="0.25">
      <c r="D149" s="9"/>
      <c r="F149" s="9"/>
      <c r="L149" s="4"/>
      <c r="M149" s="4"/>
      <c r="N149" s="4"/>
      <c r="O149" s="8"/>
      <c r="P149" s="7"/>
      <c r="Q149" s="6"/>
      <c r="R149" s="5"/>
    </row>
    <row r="150" spans="4:18" ht="14.25" customHeight="1" x14ac:dyDescent="0.25">
      <c r="D150" s="9"/>
      <c r="F150" s="9"/>
      <c r="L150" s="4"/>
      <c r="M150" s="4"/>
      <c r="N150" s="4"/>
      <c r="O150" s="8"/>
      <c r="P150" s="7"/>
      <c r="Q150" s="6"/>
      <c r="R150" s="5"/>
    </row>
    <row r="151" spans="4:18" ht="14.25" customHeight="1" x14ac:dyDescent="0.25">
      <c r="D151" s="9"/>
      <c r="F151" s="9"/>
      <c r="L151" s="4"/>
      <c r="M151" s="4"/>
      <c r="N151" s="4"/>
      <c r="O151" s="8"/>
      <c r="P151" s="7"/>
      <c r="Q151" s="6"/>
      <c r="R151" s="5"/>
    </row>
    <row r="152" spans="4:18" ht="14.25" customHeight="1" x14ac:dyDescent="0.25">
      <c r="D152" s="9"/>
      <c r="F152" s="9"/>
      <c r="L152" s="4"/>
      <c r="M152" s="4"/>
      <c r="N152" s="4"/>
      <c r="O152" s="8"/>
      <c r="P152" s="7"/>
      <c r="Q152" s="6"/>
      <c r="R152" s="5"/>
    </row>
    <row r="153" spans="4:18" ht="14.25" customHeight="1" x14ac:dyDescent="0.25">
      <c r="D153" s="9"/>
      <c r="F153" s="9"/>
      <c r="L153" s="4"/>
      <c r="M153" s="4"/>
      <c r="N153" s="4"/>
      <c r="O153" s="8"/>
      <c r="P153" s="7"/>
      <c r="Q153" s="6"/>
      <c r="R153" s="5"/>
    </row>
    <row r="154" spans="4:18" ht="14.25" customHeight="1" x14ac:dyDescent="0.25">
      <c r="D154" s="9"/>
      <c r="F154" s="9"/>
      <c r="L154" s="4"/>
      <c r="M154" s="4"/>
      <c r="N154" s="4"/>
      <c r="O154" s="8"/>
      <c r="P154" s="7"/>
      <c r="Q154" s="6"/>
      <c r="R154" s="5"/>
    </row>
    <row r="155" spans="4:18" ht="14.25" customHeight="1" x14ac:dyDescent="0.25">
      <c r="D155" s="9"/>
      <c r="F155" s="9"/>
      <c r="L155" s="4"/>
      <c r="M155" s="4"/>
      <c r="N155" s="4"/>
      <c r="O155" s="8"/>
      <c r="P155" s="7"/>
      <c r="Q155" s="6"/>
      <c r="R155" s="5"/>
    </row>
    <row r="156" spans="4:18" ht="14.25" customHeight="1" x14ac:dyDescent="0.25">
      <c r="D156" s="9"/>
      <c r="F156" s="9"/>
      <c r="L156" s="4"/>
      <c r="M156" s="4"/>
      <c r="N156" s="4"/>
      <c r="O156" s="8"/>
      <c r="P156" s="7"/>
      <c r="Q156" s="6"/>
      <c r="R156" s="5"/>
    </row>
    <row r="157" spans="4:18" ht="14.25" customHeight="1" x14ac:dyDescent="0.25">
      <c r="D157" s="9"/>
      <c r="F157" s="9"/>
      <c r="L157" s="4"/>
      <c r="M157" s="4"/>
      <c r="N157" s="4"/>
      <c r="O157" s="8"/>
      <c r="P157" s="7"/>
      <c r="Q157" s="6"/>
      <c r="R157" s="5"/>
    </row>
    <row r="158" spans="4:18" ht="14.25" customHeight="1" x14ac:dyDescent="0.25">
      <c r="D158" s="9"/>
      <c r="F158" s="9"/>
      <c r="L158" s="4"/>
      <c r="M158" s="4"/>
      <c r="N158" s="4"/>
      <c r="O158" s="8"/>
      <c r="P158" s="7"/>
      <c r="Q158" s="6"/>
      <c r="R158" s="5"/>
    </row>
    <row r="159" spans="4:18" ht="14.25" customHeight="1" x14ac:dyDescent="0.25">
      <c r="D159" s="9"/>
      <c r="F159" s="9"/>
      <c r="L159" s="4"/>
      <c r="M159" s="4"/>
      <c r="N159" s="4"/>
      <c r="O159" s="8"/>
      <c r="P159" s="7"/>
      <c r="Q159" s="6"/>
      <c r="R159" s="5"/>
    </row>
    <row r="160" spans="4:18" ht="14.25" customHeight="1" x14ac:dyDescent="0.25">
      <c r="D160" s="9"/>
      <c r="F160" s="9"/>
      <c r="L160" s="4"/>
      <c r="M160" s="4"/>
      <c r="N160" s="4"/>
      <c r="O160" s="8"/>
      <c r="P160" s="7"/>
      <c r="Q160" s="6"/>
      <c r="R160" s="5"/>
    </row>
    <row r="161" spans="4:18" ht="14.25" customHeight="1" x14ac:dyDescent="0.25">
      <c r="D161" s="9"/>
      <c r="F161" s="9"/>
      <c r="L161" s="4"/>
      <c r="M161" s="4"/>
      <c r="N161" s="4"/>
      <c r="O161" s="8"/>
      <c r="P161" s="7"/>
      <c r="Q161" s="6"/>
      <c r="R161" s="5"/>
    </row>
    <row r="162" spans="4:18" ht="14.25" customHeight="1" x14ac:dyDescent="0.25">
      <c r="D162" s="9"/>
      <c r="F162" s="9"/>
      <c r="L162" s="4"/>
      <c r="M162" s="4"/>
      <c r="N162" s="4"/>
      <c r="O162" s="8"/>
      <c r="P162" s="7"/>
      <c r="Q162" s="6"/>
      <c r="R162" s="5"/>
    </row>
    <row r="163" spans="4:18" ht="14.25" customHeight="1" x14ac:dyDescent="0.25">
      <c r="D163" s="9"/>
      <c r="F163" s="9"/>
      <c r="L163" s="4"/>
      <c r="M163" s="4"/>
      <c r="N163" s="4"/>
      <c r="O163" s="8"/>
      <c r="P163" s="7"/>
      <c r="Q163" s="6"/>
      <c r="R163" s="5"/>
    </row>
    <row r="164" spans="4:18" ht="14.25" customHeight="1" x14ac:dyDescent="0.25">
      <c r="D164" s="9"/>
      <c r="F164" s="9"/>
      <c r="L164" s="4"/>
      <c r="M164" s="4"/>
      <c r="N164" s="4"/>
      <c r="O164" s="8"/>
      <c r="P164" s="7"/>
      <c r="Q164" s="6"/>
      <c r="R164" s="5"/>
    </row>
    <row r="165" spans="4:18" ht="14.25" customHeight="1" x14ac:dyDescent="0.25">
      <c r="D165" s="9"/>
      <c r="F165" s="9"/>
      <c r="L165" s="4"/>
      <c r="M165" s="4"/>
      <c r="N165" s="4"/>
      <c r="O165" s="8"/>
      <c r="P165" s="7"/>
      <c r="Q165" s="6"/>
      <c r="R165" s="5"/>
    </row>
    <row r="166" spans="4:18" ht="14.25" customHeight="1" x14ac:dyDescent="0.25">
      <c r="D166" s="9"/>
      <c r="F166" s="9"/>
      <c r="L166" s="4"/>
      <c r="M166" s="4"/>
      <c r="N166" s="4"/>
      <c r="O166" s="8"/>
      <c r="P166" s="7"/>
      <c r="Q166" s="6"/>
      <c r="R166" s="5"/>
    </row>
    <row r="167" spans="4:18" ht="14.25" customHeight="1" x14ac:dyDescent="0.25">
      <c r="D167" s="9"/>
      <c r="F167" s="9"/>
      <c r="L167" s="4"/>
      <c r="M167" s="4"/>
      <c r="N167" s="4"/>
      <c r="O167" s="8"/>
      <c r="P167" s="7"/>
      <c r="Q167" s="6"/>
      <c r="R167" s="5"/>
    </row>
    <row r="168" spans="4:18" ht="14.25" customHeight="1" x14ac:dyDescent="0.25">
      <c r="D168" s="9"/>
      <c r="F168" s="9"/>
      <c r="L168" s="4"/>
      <c r="M168" s="4"/>
      <c r="N168" s="4"/>
      <c r="O168" s="8"/>
      <c r="P168" s="7"/>
      <c r="Q168" s="6"/>
      <c r="R168" s="5"/>
    </row>
    <row r="169" spans="4:18" ht="14.25" customHeight="1" x14ac:dyDescent="0.25">
      <c r="D169" s="9"/>
      <c r="F169" s="9"/>
      <c r="L169" s="4"/>
      <c r="M169" s="4"/>
      <c r="N169" s="4"/>
      <c r="O169" s="8"/>
      <c r="P169" s="7"/>
      <c r="Q169" s="6"/>
      <c r="R169" s="5"/>
    </row>
    <row r="170" spans="4:18" ht="14.25" customHeight="1" x14ac:dyDescent="0.25">
      <c r="D170" s="9"/>
      <c r="F170" s="9"/>
      <c r="L170" s="4"/>
      <c r="M170" s="4"/>
      <c r="N170" s="4"/>
      <c r="O170" s="8"/>
      <c r="P170" s="7"/>
      <c r="Q170" s="6"/>
      <c r="R170" s="5"/>
    </row>
    <row r="171" spans="4:18" ht="14.25" customHeight="1" x14ac:dyDescent="0.25">
      <c r="D171" s="9"/>
      <c r="F171" s="9"/>
      <c r="L171" s="4"/>
      <c r="M171" s="4"/>
      <c r="N171" s="4"/>
      <c r="O171" s="8"/>
      <c r="P171" s="7"/>
      <c r="Q171" s="6"/>
      <c r="R171" s="5"/>
    </row>
    <row r="172" spans="4:18" ht="14.25" customHeight="1" x14ac:dyDescent="0.25">
      <c r="D172" s="9"/>
      <c r="F172" s="9"/>
      <c r="L172" s="4"/>
      <c r="M172" s="4"/>
      <c r="N172" s="4"/>
      <c r="O172" s="8"/>
      <c r="P172" s="7"/>
      <c r="Q172" s="6"/>
      <c r="R172" s="5"/>
    </row>
    <row r="173" spans="4:18" ht="14.25" customHeight="1" x14ac:dyDescent="0.25">
      <c r="D173" s="9"/>
      <c r="F173" s="9"/>
      <c r="L173" s="4"/>
      <c r="M173" s="4"/>
      <c r="N173" s="4"/>
      <c r="O173" s="8"/>
      <c r="P173" s="7"/>
      <c r="Q173" s="6"/>
      <c r="R173" s="5"/>
    </row>
    <row r="174" spans="4:18" ht="14.25" customHeight="1" x14ac:dyDescent="0.25">
      <c r="D174" s="9"/>
      <c r="F174" s="9"/>
      <c r="L174" s="4"/>
      <c r="M174" s="4"/>
      <c r="N174" s="4"/>
      <c r="O174" s="8"/>
      <c r="P174" s="7"/>
      <c r="Q174" s="6"/>
      <c r="R174" s="5"/>
    </row>
    <row r="175" spans="4:18" ht="14.25" customHeight="1" x14ac:dyDescent="0.25">
      <c r="D175" s="9"/>
      <c r="F175" s="9"/>
      <c r="L175" s="4"/>
      <c r="M175" s="4"/>
      <c r="N175" s="4"/>
      <c r="O175" s="8"/>
      <c r="P175" s="7"/>
      <c r="Q175" s="6"/>
      <c r="R175" s="5"/>
    </row>
    <row r="176" spans="4:18" ht="14.25" customHeight="1" x14ac:dyDescent="0.25">
      <c r="D176" s="9"/>
      <c r="F176" s="9"/>
      <c r="L176" s="4"/>
      <c r="M176" s="4"/>
      <c r="N176" s="4"/>
      <c r="O176" s="8"/>
      <c r="P176" s="7"/>
      <c r="Q176" s="6"/>
      <c r="R176" s="5"/>
    </row>
    <row r="177" spans="4:18" ht="14.25" customHeight="1" x14ac:dyDescent="0.25">
      <c r="D177" s="9"/>
      <c r="F177" s="9"/>
      <c r="L177" s="4"/>
      <c r="M177" s="4"/>
      <c r="N177" s="4"/>
      <c r="O177" s="8"/>
      <c r="P177" s="7"/>
      <c r="Q177" s="6"/>
      <c r="R177" s="5"/>
    </row>
    <row r="178" spans="4:18" ht="14.25" customHeight="1" x14ac:dyDescent="0.25">
      <c r="D178" s="9"/>
      <c r="F178" s="9"/>
      <c r="L178" s="4"/>
      <c r="M178" s="4"/>
      <c r="N178" s="4"/>
      <c r="O178" s="8"/>
      <c r="P178" s="7"/>
      <c r="Q178" s="6"/>
      <c r="R178" s="5"/>
    </row>
    <row r="179" spans="4:18" ht="14.25" customHeight="1" x14ac:dyDescent="0.25">
      <c r="D179" s="9"/>
      <c r="F179" s="9"/>
      <c r="L179" s="4"/>
      <c r="M179" s="4"/>
      <c r="N179" s="4"/>
      <c r="O179" s="8"/>
      <c r="P179" s="7"/>
      <c r="Q179" s="6"/>
      <c r="R179" s="5"/>
    </row>
    <row r="180" spans="4:18" ht="14.25" customHeight="1" x14ac:dyDescent="0.25">
      <c r="D180" s="9"/>
      <c r="F180" s="9"/>
      <c r="L180" s="4"/>
      <c r="M180" s="4"/>
      <c r="N180" s="4"/>
      <c r="O180" s="8"/>
      <c r="P180" s="7"/>
      <c r="Q180" s="6"/>
      <c r="R180" s="5"/>
    </row>
    <row r="181" spans="4:18" ht="14.25" customHeight="1" x14ac:dyDescent="0.25">
      <c r="D181" s="9"/>
      <c r="F181" s="9"/>
      <c r="L181" s="4"/>
      <c r="M181" s="4"/>
      <c r="N181" s="4"/>
      <c r="O181" s="8"/>
      <c r="P181" s="7"/>
      <c r="Q181" s="6"/>
      <c r="R181" s="5"/>
    </row>
    <row r="182" spans="4:18" ht="14.25" customHeight="1" x14ac:dyDescent="0.25">
      <c r="D182" s="9"/>
      <c r="F182" s="9"/>
      <c r="L182" s="4"/>
      <c r="M182" s="4"/>
      <c r="N182" s="4"/>
      <c r="O182" s="8"/>
      <c r="P182" s="7"/>
      <c r="Q182" s="6"/>
      <c r="R182" s="5"/>
    </row>
    <row r="183" spans="4:18" ht="14.25" customHeight="1" x14ac:dyDescent="0.25">
      <c r="D183" s="9"/>
      <c r="F183" s="9"/>
      <c r="L183" s="4"/>
      <c r="M183" s="4"/>
      <c r="N183" s="4"/>
      <c r="O183" s="8"/>
      <c r="P183" s="7"/>
      <c r="Q183" s="6"/>
      <c r="R183" s="5"/>
    </row>
    <row r="184" spans="4:18" ht="14.25" customHeight="1" x14ac:dyDescent="0.25">
      <c r="D184" s="9"/>
      <c r="F184" s="9"/>
      <c r="L184" s="4"/>
      <c r="M184" s="4"/>
      <c r="N184" s="4"/>
      <c r="O184" s="8"/>
      <c r="P184" s="7"/>
      <c r="Q184" s="6"/>
      <c r="R184" s="5"/>
    </row>
    <row r="185" spans="4:18" ht="14.25" customHeight="1" x14ac:dyDescent="0.25">
      <c r="D185" s="9"/>
      <c r="F185" s="9"/>
      <c r="L185" s="4"/>
      <c r="M185" s="4"/>
      <c r="N185" s="4"/>
      <c r="O185" s="8"/>
      <c r="P185" s="7"/>
      <c r="Q185" s="6"/>
      <c r="R185" s="5"/>
    </row>
    <row r="186" spans="4:18" ht="14.25" customHeight="1" x14ac:dyDescent="0.25">
      <c r="D186" s="9"/>
      <c r="F186" s="9"/>
      <c r="L186" s="4"/>
      <c r="M186" s="4"/>
      <c r="N186" s="4"/>
      <c r="O186" s="8"/>
      <c r="P186" s="7"/>
      <c r="Q186" s="6"/>
      <c r="R186" s="5"/>
    </row>
    <row r="187" spans="4:18" ht="14.25" customHeight="1" x14ac:dyDescent="0.25">
      <c r="D187" s="9"/>
      <c r="F187" s="9"/>
      <c r="L187" s="4"/>
      <c r="M187" s="4"/>
      <c r="N187" s="4"/>
      <c r="O187" s="8"/>
      <c r="P187" s="7"/>
      <c r="Q187" s="6"/>
      <c r="R187" s="5"/>
    </row>
    <row r="188" spans="4:18" ht="14.25" customHeight="1" x14ac:dyDescent="0.25">
      <c r="D188" s="9"/>
      <c r="F188" s="9"/>
      <c r="L188" s="4"/>
      <c r="M188" s="4"/>
      <c r="N188" s="4"/>
      <c r="O188" s="8"/>
      <c r="P188" s="7"/>
      <c r="Q188" s="6"/>
      <c r="R188" s="5"/>
    </row>
    <row r="189" spans="4:18" ht="14.25" customHeight="1" x14ac:dyDescent="0.25">
      <c r="D189" s="9"/>
      <c r="F189" s="9"/>
      <c r="L189" s="4"/>
      <c r="M189" s="4"/>
      <c r="N189" s="4"/>
      <c r="O189" s="8"/>
      <c r="P189" s="7"/>
      <c r="Q189" s="6"/>
      <c r="R189" s="5"/>
    </row>
    <row r="190" spans="4:18" ht="14.25" customHeight="1" x14ac:dyDescent="0.25">
      <c r="D190" s="9"/>
      <c r="F190" s="9"/>
      <c r="L190" s="4"/>
      <c r="M190" s="4"/>
      <c r="N190" s="4"/>
      <c r="O190" s="8"/>
      <c r="P190" s="7"/>
      <c r="Q190" s="6"/>
      <c r="R190" s="5"/>
    </row>
    <row r="191" spans="4:18" ht="14.25" customHeight="1" x14ac:dyDescent="0.25">
      <c r="D191" s="9"/>
      <c r="F191" s="9"/>
      <c r="L191" s="4"/>
      <c r="M191" s="4"/>
      <c r="N191" s="4"/>
      <c r="O191" s="8"/>
      <c r="P191" s="7"/>
      <c r="Q191" s="6"/>
      <c r="R191" s="5"/>
    </row>
    <row r="192" spans="4:18" ht="14.25" customHeight="1" x14ac:dyDescent="0.25">
      <c r="D192" s="9"/>
      <c r="F192" s="9"/>
      <c r="L192" s="4"/>
      <c r="M192" s="4"/>
      <c r="N192" s="4"/>
      <c r="O192" s="8"/>
      <c r="P192" s="7"/>
      <c r="Q192" s="6"/>
      <c r="R192" s="5"/>
    </row>
    <row r="193" spans="4:18" ht="14.25" customHeight="1" x14ac:dyDescent="0.25">
      <c r="D193" s="9"/>
      <c r="F193" s="9"/>
      <c r="L193" s="4"/>
      <c r="M193" s="4"/>
      <c r="N193" s="4"/>
      <c r="O193" s="8"/>
      <c r="P193" s="7"/>
      <c r="Q193" s="6"/>
      <c r="R193" s="5"/>
    </row>
    <row r="194" spans="4:18" ht="14.25" customHeight="1" x14ac:dyDescent="0.25">
      <c r="D194" s="9"/>
      <c r="F194" s="9"/>
      <c r="L194" s="4"/>
      <c r="M194" s="4"/>
      <c r="N194" s="4"/>
      <c r="O194" s="8"/>
      <c r="P194" s="7"/>
      <c r="Q194" s="6"/>
      <c r="R194" s="5"/>
    </row>
    <row r="195" spans="4:18" ht="14.25" customHeight="1" x14ac:dyDescent="0.25">
      <c r="D195" s="9"/>
      <c r="F195" s="9"/>
      <c r="L195" s="4"/>
      <c r="M195" s="4"/>
      <c r="N195" s="4"/>
      <c r="O195" s="8"/>
      <c r="P195" s="7"/>
      <c r="Q195" s="6"/>
      <c r="R195" s="5"/>
    </row>
    <row r="196" spans="4:18" ht="14.25" customHeight="1" x14ac:dyDescent="0.25">
      <c r="D196" s="9"/>
      <c r="F196" s="9"/>
      <c r="L196" s="4"/>
      <c r="M196" s="4"/>
      <c r="N196" s="4"/>
      <c r="O196" s="8"/>
      <c r="P196" s="7"/>
      <c r="Q196" s="6"/>
      <c r="R196" s="5"/>
    </row>
    <row r="197" spans="4:18" ht="14.25" customHeight="1" x14ac:dyDescent="0.25">
      <c r="D197" s="9"/>
      <c r="F197" s="9"/>
      <c r="L197" s="4"/>
      <c r="M197" s="4"/>
      <c r="N197" s="4"/>
      <c r="O197" s="8"/>
      <c r="P197" s="7"/>
      <c r="Q197" s="6"/>
      <c r="R197" s="5"/>
    </row>
    <row r="198" spans="4:18" ht="14.25" customHeight="1" x14ac:dyDescent="0.25">
      <c r="D198" s="9"/>
      <c r="F198" s="9"/>
      <c r="L198" s="4"/>
      <c r="M198" s="4"/>
      <c r="N198" s="4"/>
      <c r="O198" s="8"/>
      <c r="P198" s="7"/>
      <c r="Q198" s="6"/>
      <c r="R198" s="5"/>
    </row>
    <row r="199" spans="4:18" ht="14.25" customHeight="1" x14ac:dyDescent="0.25">
      <c r="D199" s="9"/>
      <c r="F199" s="9"/>
      <c r="L199" s="4"/>
      <c r="M199" s="4"/>
      <c r="N199" s="4"/>
      <c r="O199" s="8"/>
      <c r="P199" s="7"/>
      <c r="Q199" s="6"/>
      <c r="R199" s="5"/>
    </row>
    <row r="200" spans="4:18" ht="14.25" customHeight="1" x14ac:dyDescent="0.25">
      <c r="D200" s="9"/>
      <c r="F200" s="9"/>
      <c r="L200" s="4"/>
      <c r="M200" s="4"/>
      <c r="N200" s="4"/>
      <c r="O200" s="8"/>
      <c r="P200" s="7"/>
      <c r="Q200" s="6"/>
      <c r="R200" s="5"/>
    </row>
    <row r="201" spans="4:18" ht="14.25" customHeight="1" x14ac:dyDescent="0.25">
      <c r="D201" s="9"/>
      <c r="F201" s="9"/>
      <c r="L201" s="4"/>
      <c r="M201" s="4"/>
      <c r="N201" s="4"/>
      <c r="O201" s="8"/>
      <c r="P201" s="7"/>
      <c r="Q201" s="6"/>
      <c r="R201" s="5"/>
    </row>
    <row r="202" spans="4:18" ht="14.25" customHeight="1" x14ac:dyDescent="0.25">
      <c r="D202" s="9"/>
      <c r="F202" s="9"/>
      <c r="L202" s="4"/>
      <c r="M202" s="4"/>
      <c r="N202" s="4"/>
      <c r="O202" s="8"/>
      <c r="P202" s="7"/>
      <c r="Q202" s="6"/>
      <c r="R202" s="5"/>
    </row>
    <row r="203" spans="4:18" ht="14.25" customHeight="1" x14ac:dyDescent="0.25">
      <c r="D203" s="9"/>
      <c r="F203" s="9"/>
      <c r="L203" s="4"/>
      <c r="M203" s="4"/>
      <c r="N203" s="4"/>
      <c r="O203" s="8"/>
      <c r="P203" s="7"/>
      <c r="Q203" s="6"/>
      <c r="R203" s="5"/>
    </row>
    <row r="204" spans="4:18" ht="14.25" customHeight="1" x14ac:dyDescent="0.25">
      <c r="D204" s="9"/>
      <c r="F204" s="9"/>
      <c r="L204" s="4"/>
      <c r="M204" s="4"/>
      <c r="N204" s="4"/>
      <c r="O204" s="8"/>
      <c r="P204" s="7"/>
      <c r="Q204" s="6"/>
      <c r="R204" s="5"/>
    </row>
    <row r="205" spans="4:18" ht="14.25" customHeight="1" x14ac:dyDescent="0.25">
      <c r="D205" s="9"/>
      <c r="F205" s="9"/>
      <c r="L205" s="4"/>
      <c r="M205" s="4"/>
      <c r="N205" s="4"/>
      <c r="O205" s="8"/>
      <c r="P205" s="7"/>
      <c r="Q205" s="6"/>
      <c r="R205" s="5"/>
    </row>
    <row r="206" spans="4:18" ht="14.25" customHeight="1" x14ac:dyDescent="0.25">
      <c r="D206" s="9"/>
      <c r="F206" s="9"/>
      <c r="L206" s="4"/>
      <c r="M206" s="4"/>
      <c r="N206" s="4"/>
      <c r="O206" s="8"/>
      <c r="P206" s="7"/>
      <c r="Q206" s="6"/>
      <c r="R206" s="5"/>
    </row>
    <row r="207" spans="4:18" ht="14.25" customHeight="1" x14ac:dyDescent="0.25">
      <c r="D207" s="9"/>
      <c r="F207" s="9"/>
      <c r="L207" s="4"/>
      <c r="M207" s="4"/>
      <c r="N207" s="4"/>
      <c r="O207" s="8"/>
      <c r="P207" s="7"/>
      <c r="Q207" s="6"/>
      <c r="R207" s="5"/>
    </row>
    <row r="208" spans="4:18" ht="14.25" customHeight="1" x14ac:dyDescent="0.25">
      <c r="D208" s="9"/>
      <c r="F208" s="9"/>
      <c r="L208" s="4"/>
      <c r="M208" s="4"/>
      <c r="N208" s="4"/>
      <c r="O208" s="8"/>
      <c r="P208" s="7"/>
      <c r="Q208" s="6"/>
      <c r="R208" s="5"/>
    </row>
    <row r="209" spans="4:18" ht="14.25" customHeight="1" x14ac:dyDescent="0.25">
      <c r="D209" s="9"/>
      <c r="F209" s="9"/>
      <c r="L209" s="4"/>
      <c r="M209" s="4"/>
      <c r="N209" s="4"/>
      <c r="O209" s="8"/>
      <c r="P209" s="7"/>
      <c r="Q209" s="6"/>
      <c r="R209" s="5"/>
    </row>
    <row r="210" spans="4:18" ht="14.25" customHeight="1" x14ac:dyDescent="0.25">
      <c r="D210" s="9"/>
      <c r="F210" s="9"/>
      <c r="L210" s="4"/>
      <c r="M210" s="4"/>
      <c r="N210" s="4"/>
      <c r="O210" s="8"/>
      <c r="P210" s="7"/>
      <c r="Q210" s="6"/>
      <c r="R210" s="5"/>
    </row>
    <row r="211" spans="4:18" ht="14.25" customHeight="1" x14ac:dyDescent="0.25">
      <c r="D211" s="9"/>
      <c r="F211" s="9"/>
      <c r="L211" s="4"/>
      <c r="M211" s="4"/>
      <c r="N211" s="4"/>
      <c r="O211" s="8"/>
      <c r="P211" s="7"/>
      <c r="Q211" s="6"/>
      <c r="R211" s="5"/>
    </row>
    <row r="212" spans="4:18" ht="14.25" customHeight="1" x14ac:dyDescent="0.25">
      <c r="D212" s="9"/>
      <c r="F212" s="9"/>
      <c r="L212" s="4"/>
      <c r="M212" s="4"/>
      <c r="N212" s="4"/>
      <c r="O212" s="8"/>
      <c r="P212" s="7"/>
      <c r="Q212" s="6"/>
      <c r="R212" s="5"/>
    </row>
    <row r="213" spans="4:18" ht="14.25" customHeight="1" x14ac:dyDescent="0.25">
      <c r="D213" s="9"/>
      <c r="F213" s="9"/>
      <c r="L213" s="4"/>
      <c r="M213" s="4"/>
      <c r="N213" s="4"/>
      <c r="O213" s="8"/>
      <c r="P213" s="7"/>
      <c r="Q213" s="6"/>
      <c r="R213" s="5"/>
    </row>
    <row r="214" spans="4:18" ht="14.25" customHeight="1" x14ac:dyDescent="0.25">
      <c r="D214" s="9"/>
      <c r="F214" s="9"/>
      <c r="L214" s="4"/>
      <c r="M214" s="4"/>
      <c r="N214" s="4"/>
      <c r="O214" s="8"/>
      <c r="P214" s="7"/>
      <c r="Q214" s="6"/>
      <c r="R214" s="5"/>
    </row>
    <row r="215" spans="4:18" ht="14.25" customHeight="1" x14ac:dyDescent="0.25">
      <c r="D215" s="9"/>
      <c r="F215" s="9"/>
      <c r="L215" s="4"/>
      <c r="M215" s="4"/>
      <c r="N215" s="4"/>
      <c r="O215" s="8"/>
      <c r="P215" s="7"/>
      <c r="Q215" s="6"/>
      <c r="R215" s="5"/>
    </row>
    <row r="216" spans="4:18" ht="14.25" customHeight="1" x14ac:dyDescent="0.25">
      <c r="D216" s="9"/>
      <c r="F216" s="9"/>
      <c r="L216" s="4"/>
      <c r="M216" s="4"/>
      <c r="N216" s="4"/>
      <c r="O216" s="8"/>
      <c r="P216" s="7"/>
      <c r="Q216" s="6"/>
      <c r="R216" s="5"/>
    </row>
    <row r="217" spans="4:18" ht="14.25" customHeight="1" x14ac:dyDescent="0.25">
      <c r="D217" s="9"/>
      <c r="F217" s="9"/>
      <c r="L217" s="4"/>
      <c r="M217" s="4"/>
      <c r="N217" s="4"/>
      <c r="O217" s="8"/>
      <c r="P217" s="7"/>
      <c r="Q217" s="6"/>
      <c r="R217" s="5"/>
    </row>
    <row r="218" spans="4:18" ht="14.25" customHeight="1" x14ac:dyDescent="0.25">
      <c r="D218" s="9"/>
      <c r="F218" s="9"/>
      <c r="L218" s="4"/>
      <c r="M218" s="4"/>
      <c r="N218" s="4"/>
      <c r="O218" s="8"/>
      <c r="P218" s="7"/>
      <c r="Q218" s="6"/>
      <c r="R218" s="5"/>
    </row>
    <row r="219" spans="4:18" ht="14.25" customHeight="1" x14ac:dyDescent="0.25">
      <c r="D219" s="9"/>
      <c r="F219" s="9"/>
      <c r="L219" s="4"/>
      <c r="M219" s="4"/>
      <c r="N219" s="4"/>
      <c r="O219" s="8"/>
      <c r="P219" s="7"/>
      <c r="Q219" s="6"/>
      <c r="R219" s="5"/>
    </row>
    <row r="220" spans="4:18" ht="14.25" customHeight="1" x14ac:dyDescent="0.25">
      <c r="D220" s="9"/>
      <c r="F220" s="9"/>
      <c r="L220" s="4"/>
      <c r="M220" s="4"/>
      <c r="N220" s="4"/>
      <c r="O220" s="8"/>
      <c r="P220" s="7"/>
      <c r="Q220" s="6"/>
      <c r="R220" s="5"/>
    </row>
    <row r="221" spans="4:18" ht="14.25" customHeight="1" x14ac:dyDescent="0.25">
      <c r="D221" s="9"/>
      <c r="F221" s="9"/>
      <c r="L221" s="4"/>
      <c r="M221" s="4"/>
      <c r="N221" s="4"/>
      <c r="O221" s="8"/>
      <c r="P221" s="7"/>
      <c r="Q221" s="6"/>
      <c r="R221" s="5"/>
    </row>
    <row r="222" spans="4:18" ht="14.25" customHeight="1" x14ac:dyDescent="0.25">
      <c r="D222" s="9"/>
      <c r="F222" s="9"/>
      <c r="L222" s="4"/>
      <c r="M222" s="4"/>
      <c r="N222" s="4"/>
      <c r="O222" s="8"/>
      <c r="P222" s="7"/>
      <c r="Q222" s="6"/>
      <c r="R222" s="5"/>
    </row>
    <row r="223" spans="4:18" ht="14.25" customHeight="1" x14ac:dyDescent="0.25">
      <c r="D223" s="9"/>
      <c r="F223" s="9"/>
      <c r="L223" s="4"/>
      <c r="M223" s="4"/>
      <c r="N223" s="4"/>
      <c r="O223" s="8"/>
      <c r="P223" s="7"/>
      <c r="Q223" s="6"/>
      <c r="R223" s="5"/>
    </row>
    <row r="224" spans="4:18" ht="14.25" customHeight="1" x14ac:dyDescent="0.25">
      <c r="D224" s="9"/>
      <c r="F224" s="9"/>
      <c r="L224" s="4"/>
      <c r="M224" s="4"/>
      <c r="N224" s="4"/>
      <c r="O224" s="8"/>
      <c r="P224" s="7"/>
      <c r="Q224" s="6"/>
      <c r="R224" s="5"/>
    </row>
    <row r="225" spans="4:18" ht="14.25" customHeight="1" x14ac:dyDescent="0.25">
      <c r="D225" s="9"/>
      <c r="F225" s="9"/>
      <c r="L225" s="4"/>
      <c r="M225" s="4"/>
      <c r="N225" s="4"/>
      <c r="O225" s="8"/>
      <c r="P225" s="7"/>
      <c r="Q225" s="6"/>
      <c r="R225" s="5"/>
    </row>
    <row r="226" spans="4:18" ht="14.25" customHeight="1" x14ac:dyDescent="0.25">
      <c r="D226" s="9"/>
      <c r="F226" s="9"/>
      <c r="L226" s="4"/>
      <c r="M226" s="4"/>
      <c r="N226" s="4"/>
      <c r="O226" s="8"/>
      <c r="P226" s="7"/>
      <c r="Q226" s="6"/>
      <c r="R226" s="5"/>
    </row>
    <row r="227" spans="4:18" ht="14.25" customHeight="1" x14ac:dyDescent="0.25">
      <c r="D227" s="9"/>
      <c r="F227" s="9"/>
      <c r="L227" s="4"/>
      <c r="M227" s="4"/>
      <c r="N227" s="4"/>
      <c r="O227" s="8"/>
      <c r="P227" s="7"/>
      <c r="Q227" s="6"/>
      <c r="R227" s="5"/>
    </row>
    <row r="228" spans="4:18" ht="14.25" customHeight="1" x14ac:dyDescent="0.25">
      <c r="D228" s="9"/>
      <c r="F228" s="9"/>
      <c r="L228" s="4"/>
      <c r="M228" s="4"/>
      <c r="N228" s="4"/>
      <c r="O228" s="8"/>
      <c r="P228" s="7"/>
      <c r="Q228" s="6"/>
      <c r="R228" s="5"/>
    </row>
    <row r="229" spans="4:18" ht="14.25" customHeight="1" x14ac:dyDescent="0.25">
      <c r="D229" s="9"/>
      <c r="F229" s="9"/>
      <c r="L229" s="4"/>
      <c r="M229" s="4"/>
      <c r="N229" s="4"/>
      <c r="O229" s="8"/>
      <c r="P229" s="7"/>
      <c r="Q229" s="6"/>
      <c r="R229" s="5"/>
    </row>
    <row r="230" spans="4:18" ht="14.25" customHeight="1" x14ac:dyDescent="0.25">
      <c r="D230" s="9"/>
      <c r="F230" s="9"/>
      <c r="L230" s="4"/>
      <c r="M230" s="4"/>
      <c r="N230" s="4"/>
      <c r="O230" s="8"/>
      <c r="P230" s="7"/>
      <c r="Q230" s="6"/>
      <c r="R230" s="5"/>
    </row>
    <row r="231" spans="4:18" ht="14.25" customHeight="1" x14ac:dyDescent="0.25">
      <c r="D231" s="9"/>
      <c r="F231" s="9"/>
      <c r="L231" s="4"/>
      <c r="M231" s="4"/>
      <c r="N231" s="4"/>
      <c r="O231" s="8"/>
      <c r="P231" s="7"/>
      <c r="Q231" s="6"/>
      <c r="R231" s="5"/>
    </row>
    <row r="232" spans="4:18" ht="14.25" customHeight="1" x14ac:dyDescent="0.25">
      <c r="D232" s="9"/>
      <c r="F232" s="9"/>
      <c r="L232" s="4"/>
      <c r="M232" s="4"/>
      <c r="N232" s="4"/>
      <c r="O232" s="8"/>
      <c r="P232" s="7"/>
      <c r="Q232" s="6"/>
      <c r="R232" s="5"/>
    </row>
    <row r="233" spans="4:18" ht="14.25" customHeight="1" x14ac:dyDescent="0.25">
      <c r="D233" s="9"/>
      <c r="F233" s="9"/>
      <c r="L233" s="4"/>
      <c r="M233" s="4"/>
      <c r="N233" s="4"/>
      <c r="O233" s="8"/>
      <c r="P233" s="7"/>
      <c r="Q233" s="6"/>
      <c r="R233" s="5"/>
    </row>
    <row r="234" spans="4:18" ht="14.25" customHeight="1" x14ac:dyDescent="0.25">
      <c r="D234" s="9"/>
      <c r="F234" s="9"/>
      <c r="L234" s="4"/>
      <c r="M234" s="4"/>
      <c r="N234" s="4"/>
      <c r="O234" s="8"/>
      <c r="P234" s="7"/>
      <c r="Q234" s="6"/>
      <c r="R234" s="5"/>
    </row>
    <row r="235" spans="4:18" ht="14.25" customHeight="1" x14ac:dyDescent="0.25">
      <c r="D235" s="9"/>
      <c r="F235" s="9"/>
      <c r="L235" s="4"/>
      <c r="M235" s="4"/>
      <c r="N235" s="4"/>
      <c r="O235" s="8"/>
      <c r="P235" s="7"/>
      <c r="Q235" s="6"/>
      <c r="R235" s="5"/>
    </row>
    <row r="236" spans="4:18" ht="14.25" customHeight="1" x14ac:dyDescent="0.25">
      <c r="D236" s="9"/>
      <c r="F236" s="9"/>
      <c r="L236" s="4"/>
      <c r="M236" s="4"/>
      <c r="N236" s="4"/>
      <c r="O236" s="8"/>
      <c r="P236" s="7"/>
      <c r="Q236" s="6"/>
      <c r="R236" s="5"/>
    </row>
    <row r="237" spans="4:18" ht="14.25" customHeight="1" x14ac:dyDescent="0.25">
      <c r="D237" s="9"/>
      <c r="F237" s="9"/>
      <c r="L237" s="4"/>
      <c r="M237" s="4"/>
      <c r="N237" s="4"/>
      <c r="O237" s="8"/>
      <c r="P237" s="7"/>
      <c r="Q237" s="6"/>
      <c r="R237" s="5"/>
    </row>
    <row r="238" spans="4:18" ht="14.25" customHeight="1" x14ac:dyDescent="0.25">
      <c r="D238" s="9"/>
      <c r="F238" s="9"/>
      <c r="L238" s="4"/>
      <c r="M238" s="4"/>
      <c r="N238" s="4"/>
      <c r="O238" s="8"/>
      <c r="P238" s="7"/>
      <c r="Q238" s="6"/>
      <c r="R238" s="5"/>
    </row>
    <row r="239" spans="4:18" ht="14.25" customHeight="1" x14ac:dyDescent="0.25">
      <c r="D239" s="9"/>
      <c r="F239" s="9"/>
      <c r="L239" s="4"/>
      <c r="M239" s="4"/>
      <c r="N239" s="4"/>
      <c r="O239" s="8"/>
      <c r="P239" s="7"/>
      <c r="Q239" s="6"/>
      <c r="R239" s="5"/>
    </row>
    <row r="240" spans="4:18" ht="14.25" customHeight="1" x14ac:dyDescent="0.25">
      <c r="D240" s="9"/>
      <c r="F240" s="9"/>
      <c r="L240" s="4"/>
      <c r="M240" s="4"/>
      <c r="N240" s="4"/>
      <c r="O240" s="8"/>
      <c r="P240" s="7"/>
      <c r="Q240" s="6"/>
      <c r="R240" s="5"/>
    </row>
    <row r="241" spans="4:18" ht="14.25" customHeight="1" x14ac:dyDescent="0.25">
      <c r="D241" s="9"/>
      <c r="F241" s="9"/>
      <c r="L241" s="4"/>
      <c r="M241" s="4"/>
      <c r="N241" s="4"/>
      <c r="O241" s="8"/>
      <c r="P241" s="7"/>
      <c r="Q241" s="6"/>
      <c r="R241" s="5"/>
    </row>
    <row r="242" spans="4:18" ht="14.25" customHeight="1" x14ac:dyDescent="0.25">
      <c r="D242" s="9"/>
      <c r="F242" s="9"/>
      <c r="L242" s="4"/>
      <c r="M242" s="4"/>
      <c r="N242" s="4"/>
      <c r="O242" s="8"/>
      <c r="P242" s="7"/>
      <c r="Q242" s="6"/>
      <c r="R242" s="5"/>
    </row>
    <row r="243" spans="4:18" ht="14.25" customHeight="1" x14ac:dyDescent="0.25">
      <c r="D243" s="9"/>
      <c r="F243" s="9"/>
      <c r="L243" s="4"/>
      <c r="M243" s="4"/>
      <c r="N243" s="4"/>
      <c r="O243" s="8"/>
      <c r="P243" s="7"/>
      <c r="Q243" s="6"/>
      <c r="R243" s="5"/>
    </row>
    <row r="244" spans="4:18" ht="14.25" customHeight="1" x14ac:dyDescent="0.25">
      <c r="D244" s="9"/>
      <c r="F244" s="9"/>
      <c r="L244" s="4"/>
      <c r="M244" s="4"/>
      <c r="N244" s="4"/>
      <c r="O244" s="8"/>
      <c r="P244" s="7"/>
      <c r="Q244" s="6"/>
      <c r="R244" s="5"/>
    </row>
    <row r="245" spans="4:18" ht="14.25" customHeight="1" x14ac:dyDescent="0.25">
      <c r="D245" s="9"/>
      <c r="F245" s="9"/>
      <c r="L245" s="4"/>
      <c r="M245" s="4"/>
      <c r="N245" s="4"/>
      <c r="O245" s="8"/>
      <c r="P245" s="7"/>
      <c r="Q245" s="6"/>
      <c r="R245" s="5"/>
    </row>
    <row r="246" spans="4:18" ht="14.25" customHeight="1" x14ac:dyDescent="0.25">
      <c r="D246" s="9"/>
      <c r="F246" s="9"/>
      <c r="L246" s="4"/>
      <c r="M246" s="4"/>
      <c r="N246" s="4"/>
      <c r="O246" s="8"/>
      <c r="P246" s="7"/>
      <c r="Q246" s="6"/>
      <c r="R246" s="5"/>
    </row>
    <row r="247" spans="4:18" ht="14.25" customHeight="1" x14ac:dyDescent="0.25">
      <c r="D247" s="9"/>
      <c r="F247" s="9"/>
      <c r="L247" s="4"/>
      <c r="M247" s="4"/>
      <c r="N247" s="4"/>
      <c r="O247" s="8"/>
      <c r="P247" s="7"/>
      <c r="Q247" s="6"/>
      <c r="R247" s="5"/>
    </row>
    <row r="248" spans="4:18" ht="14.25" customHeight="1" x14ac:dyDescent="0.25">
      <c r="D248" s="9"/>
      <c r="F248" s="9"/>
      <c r="L248" s="4"/>
      <c r="M248" s="4"/>
      <c r="N248" s="4"/>
      <c r="O248" s="8"/>
      <c r="P248" s="7"/>
      <c r="Q248" s="6"/>
      <c r="R248" s="5"/>
    </row>
    <row r="249" spans="4:18" ht="14.25" customHeight="1" x14ac:dyDescent="0.25">
      <c r="D249" s="9"/>
      <c r="F249" s="9"/>
      <c r="L249" s="4"/>
      <c r="M249" s="4"/>
      <c r="N249" s="4"/>
      <c r="O249" s="8"/>
      <c r="P249" s="7"/>
      <c r="Q249" s="6"/>
      <c r="R249" s="5"/>
    </row>
    <row r="250" spans="4:18" ht="14.25" customHeight="1" x14ac:dyDescent="0.25">
      <c r="D250" s="9"/>
      <c r="F250" s="9"/>
      <c r="L250" s="4"/>
      <c r="M250" s="4"/>
      <c r="N250" s="4"/>
      <c r="O250" s="8"/>
      <c r="P250" s="7"/>
      <c r="Q250" s="6"/>
      <c r="R250" s="5"/>
    </row>
    <row r="251" spans="4:18" ht="14.25" customHeight="1" x14ac:dyDescent="0.25">
      <c r="D251" s="9"/>
      <c r="F251" s="9"/>
      <c r="L251" s="4"/>
      <c r="M251" s="4"/>
      <c r="N251" s="4"/>
      <c r="O251" s="8"/>
      <c r="P251" s="7"/>
      <c r="Q251" s="6"/>
      <c r="R251" s="5"/>
    </row>
    <row r="252" spans="4:18" ht="14.25" customHeight="1" x14ac:dyDescent="0.25">
      <c r="D252" s="9"/>
      <c r="F252" s="9"/>
      <c r="L252" s="4"/>
      <c r="M252" s="4"/>
      <c r="N252" s="4"/>
      <c r="O252" s="8"/>
      <c r="P252" s="7"/>
      <c r="Q252" s="6"/>
      <c r="R252" s="5"/>
    </row>
    <row r="253" spans="4:18" ht="15.75" customHeight="1" x14ac:dyDescent="0.25">
      <c r="L253" s="4"/>
      <c r="M253" s="4"/>
      <c r="N253" s="4"/>
      <c r="O253" s="3"/>
      <c r="P253" s="2"/>
      <c r="Q253" s="1"/>
    </row>
    <row r="254" spans="4:18" ht="15.75" customHeight="1" x14ac:dyDescent="0.25">
      <c r="L254" s="4"/>
      <c r="M254" s="4"/>
      <c r="N254" s="4"/>
      <c r="O254" s="3"/>
      <c r="P254" s="2"/>
      <c r="Q254" s="1"/>
    </row>
    <row r="255" spans="4:18" ht="15.75" customHeight="1" x14ac:dyDescent="0.25">
      <c r="L255" s="4"/>
      <c r="M255" s="4"/>
      <c r="N255" s="4"/>
      <c r="O255" s="3"/>
      <c r="P255" s="2"/>
      <c r="Q255" s="1"/>
    </row>
    <row r="256" spans="4:18" ht="15.75" customHeight="1" x14ac:dyDescent="0.25">
      <c r="L256" s="4"/>
      <c r="M256" s="4"/>
      <c r="N256" s="4"/>
      <c r="O256" s="3"/>
      <c r="P256" s="2"/>
      <c r="Q256" s="1"/>
    </row>
    <row r="257" spans="12:17" ht="15.75" customHeight="1" x14ac:dyDescent="0.25">
      <c r="L257" s="4"/>
      <c r="M257" s="4"/>
      <c r="N257" s="4"/>
      <c r="O257" s="3"/>
      <c r="P257" s="2"/>
      <c r="Q257" s="1"/>
    </row>
    <row r="258" spans="12:17" ht="15.75" customHeight="1" x14ac:dyDescent="0.25">
      <c r="L258" s="4"/>
      <c r="M258" s="4"/>
      <c r="N258" s="4"/>
      <c r="O258" s="3"/>
      <c r="P258" s="2"/>
      <c r="Q258" s="1"/>
    </row>
    <row r="259" spans="12:17" ht="15.75" customHeight="1" x14ac:dyDescent="0.25">
      <c r="L259" s="4"/>
      <c r="M259" s="4"/>
      <c r="N259" s="4"/>
      <c r="O259" s="3"/>
      <c r="P259" s="2"/>
      <c r="Q259" s="1"/>
    </row>
    <row r="260" spans="12:17" ht="15.75" customHeight="1" x14ac:dyDescent="0.25">
      <c r="L260" s="4"/>
      <c r="M260" s="4"/>
      <c r="N260" s="4"/>
      <c r="O260" s="3"/>
      <c r="P260" s="2"/>
      <c r="Q260" s="1"/>
    </row>
    <row r="261" spans="12:17" ht="15.75" customHeight="1" x14ac:dyDescent="0.25">
      <c r="L261" s="4"/>
      <c r="M261" s="4"/>
      <c r="N261" s="4"/>
      <c r="O261" s="3"/>
      <c r="P261" s="2"/>
      <c r="Q261" s="1"/>
    </row>
    <row r="262" spans="12:17" ht="15.75" customHeight="1" x14ac:dyDescent="0.25">
      <c r="L262" s="4"/>
      <c r="M262" s="4"/>
      <c r="N262" s="4"/>
      <c r="O262" s="3"/>
      <c r="P262" s="2"/>
      <c r="Q262" s="1"/>
    </row>
    <row r="263" spans="12:17" ht="15.75" customHeight="1" x14ac:dyDescent="0.25">
      <c r="L263" s="4"/>
      <c r="M263" s="4"/>
      <c r="N263" s="4"/>
      <c r="O263" s="3"/>
      <c r="P263" s="2"/>
      <c r="Q263" s="1"/>
    </row>
    <row r="264" spans="12:17" ht="15.75" customHeight="1" x14ac:dyDescent="0.25">
      <c r="L264" s="4"/>
      <c r="M264" s="4"/>
      <c r="N264" s="4"/>
      <c r="O264" s="3"/>
      <c r="P264" s="2"/>
      <c r="Q264" s="1"/>
    </row>
    <row r="265" spans="12:17" ht="15.75" customHeight="1" x14ac:dyDescent="0.25">
      <c r="L265" s="4"/>
      <c r="M265" s="4"/>
      <c r="N265" s="4"/>
      <c r="O265" s="3"/>
      <c r="P265" s="2"/>
      <c r="Q265" s="1"/>
    </row>
    <row r="266" spans="12:17" ht="15.75" customHeight="1" x14ac:dyDescent="0.25">
      <c r="L266" s="4"/>
      <c r="M266" s="4"/>
      <c r="N266" s="4"/>
      <c r="O266" s="3"/>
      <c r="P266" s="2"/>
      <c r="Q266" s="1"/>
    </row>
    <row r="267" spans="12:17" ht="15.75" customHeight="1" x14ac:dyDescent="0.25">
      <c r="L267" s="4"/>
      <c r="M267" s="4"/>
      <c r="N267" s="4"/>
      <c r="O267" s="3"/>
      <c r="P267" s="2"/>
      <c r="Q267" s="1"/>
    </row>
    <row r="268" spans="12:17" ht="15.75" customHeight="1" x14ac:dyDescent="0.25">
      <c r="L268" s="4"/>
      <c r="M268" s="4"/>
      <c r="N268" s="4"/>
      <c r="O268" s="3"/>
      <c r="P268" s="2"/>
      <c r="Q268" s="1"/>
    </row>
    <row r="269" spans="12:17" ht="15.75" customHeight="1" x14ac:dyDescent="0.25">
      <c r="L269" s="4"/>
      <c r="M269" s="4"/>
      <c r="N269" s="4"/>
      <c r="O269" s="3"/>
      <c r="P269" s="2"/>
      <c r="Q269" s="1"/>
    </row>
    <row r="270" spans="12:17" ht="15.75" customHeight="1" x14ac:dyDescent="0.25">
      <c r="L270" s="4"/>
      <c r="M270" s="4"/>
      <c r="N270" s="4"/>
      <c r="O270" s="3"/>
      <c r="P270" s="2"/>
      <c r="Q270" s="1"/>
    </row>
    <row r="271" spans="12:17" ht="15.75" customHeight="1" x14ac:dyDescent="0.25">
      <c r="L271" s="4"/>
      <c r="M271" s="4"/>
      <c r="N271" s="4"/>
      <c r="O271" s="3"/>
      <c r="P271" s="2"/>
      <c r="Q271" s="1"/>
    </row>
    <row r="272" spans="12:17" ht="15.75" customHeight="1" x14ac:dyDescent="0.25">
      <c r="L272" s="4"/>
      <c r="M272" s="4"/>
      <c r="N272" s="4"/>
      <c r="O272" s="3"/>
      <c r="P272" s="2"/>
      <c r="Q272" s="1"/>
    </row>
    <row r="273" spans="12:17" ht="15.75" customHeight="1" x14ac:dyDescent="0.25">
      <c r="L273" s="4"/>
      <c r="M273" s="4"/>
      <c r="N273" s="4"/>
      <c r="O273" s="3"/>
      <c r="P273" s="2"/>
      <c r="Q273" s="1"/>
    </row>
    <row r="274" spans="12:17" ht="15.75" customHeight="1" x14ac:dyDescent="0.25">
      <c r="L274" s="4"/>
      <c r="M274" s="4"/>
      <c r="N274" s="4"/>
      <c r="O274" s="3"/>
      <c r="P274" s="2"/>
      <c r="Q274" s="1"/>
    </row>
    <row r="275" spans="12:17" ht="15.75" customHeight="1" x14ac:dyDescent="0.25">
      <c r="L275" s="4"/>
      <c r="M275" s="4"/>
      <c r="N275" s="4"/>
      <c r="O275" s="3"/>
      <c r="P275" s="2"/>
      <c r="Q275" s="1"/>
    </row>
    <row r="276" spans="12:17" ht="15.75" customHeight="1" x14ac:dyDescent="0.25">
      <c r="L276" s="4"/>
      <c r="M276" s="4"/>
      <c r="N276" s="4"/>
      <c r="O276" s="3"/>
      <c r="P276" s="2"/>
      <c r="Q276" s="1"/>
    </row>
    <row r="277" spans="12:17" ht="15.75" customHeight="1" x14ac:dyDescent="0.25">
      <c r="L277" s="4"/>
      <c r="M277" s="4"/>
      <c r="N277" s="4"/>
      <c r="O277" s="3"/>
      <c r="P277" s="2"/>
      <c r="Q277" s="1"/>
    </row>
    <row r="278" spans="12:17" ht="15.75" customHeight="1" x14ac:dyDescent="0.25">
      <c r="L278" s="4"/>
      <c r="M278" s="4"/>
      <c r="N278" s="4"/>
      <c r="O278" s="3"/>
      <c r="P278" s="2"/>
      <c r="Q278" s="1"/>
    </row>
    <row r="279" spans="12:17" ht="15.75" customHeight="1" x14ac:dyDescent="0.25">
      <c r="L279" s="4"/>
      <c r="M279" s="4"/>
      <c r="N279" s="4"/>
      <c r="O279" s="3"/>
      <c r="P279" s="2"/>
      <c r="Q279" s="1"/>
    </row>
    <row r="280" spans="12:17" ht="15.75" customHeight="1" x14ac:dyDescent="0.25">
      <c r="L280" s="4"/>
      <c r="M280" s="4"/>
      <c r="N280" s="4"/>
      <c r="O280" s="3"/>
      <c r="P280" s="2"/>
      <c r="Q280" s="1"/>
    </row>
    <row r="281" spans="12:17" ht="15.75" customHeight="1" x14ac:dyDescent="0.25">
      <c r="L281" s="4"/>
      <c r="M281" s="4"/>
      <c r="N281" s="4"/>
      <c r="O281" s="3"/>
      <c r="P281" s="2"/>
      <c r="Q281" s="1"/>
    </row>
    <row r="282" spans="12:17" ht="15.75" customHeight="1" x14ac:dyDescent="0.25">
      <c r="L282" s="4"/>
      <c r="M282" s="4"/>
      <c r="N282" s="4"/>
      <c r="O282" s="3"/>
      <c r="P282" s="2"/>
      <c r="Q282" s="1"/>
    </row>
    <row r="283" spans="12:17" ht="15.75" customHeight="1" x14ac:dyDescent="0.25">
      <c r="L283" s="4"/>
      <c r="M283" s="4"/>
      <c r="N283" s="4"/>
      <c r="O283" s="3"/>
      <c r="P283" s="2"/>
      <c r="Q283" s="1"/>
    </row>
    <row r="284" spans="12:17" ht="15.75" customHeight="1" x14ac:dyDescent="0.25">
      <c r="L284" s="4"/>
      <c r="M284" s="4"/>
      <c r="N284" s="4"/>
      <c r="O284" s="3"/>
      <c r="P284" s="2"/>
      <c r="Q284" s="1"/>
    </row>
    <row r="285" spans="12:17" ht="15.75" customHeight="1" x14ac:dyDescent="0.25">
      <c r="L285" s="4"/>
      <c r="M285" s="4"/>
      <c r="N285" s="4"/>
      <c r="O285" s="3"/>
      <c r="P285" s="2"/>
      <c r="Q285" s="1"/>
    </row>
    <row r="286" spans="12:17" ht="15.75" customHeight="1" x14ac:dyDescent="0.25">
      <c r="L286" s="4"/>
      <c r="M286" s="4"/>
      <c r="N286" s="4"/>
      <c r="O286" s="3"/>
      <c r="P286" s="2"/>
      <c r="Q286" s="1"/>
    </row>
    <row r="287" spans="12:17" ht="15.75" customHeight="1" x14ac:dyDescent="0.25">
      <c r="L287" s="4"/>
      <c r="M287" s="4"/>
      <c r="N287" s="4"/>
      <c r="O287" s="3"/>
      <c r="P287" s="2"/>
      <c r="Q287" s="1"/>
    </row>
    <row r="288" spans="12:17" ht="15.75" customHeight="1" x14ac:dyDescent="0.25">
      <c r="L288" s="4"/>
      <c r="M288" s="4"/>
      <c r="N288" s="4"/>
      <c r="O288" s="3"/>
      <c r="P288" s="2"/>
      <c r="Q288" s="1"/>
    </row>
    <row r="289" spans="12:17" ht="15.75" customHeight="1" x14ac:dyDescent="0.25">
      <c r="L289" s="4"/>
      <c r="M289" s="4"/>
      <c r="N289" s="4"/>
      <c r="O289" s="3"/>
      <c r="P289" s="2"/>
      <c r="Q289" s="1"/>
    </row>
    <row r="290" spans="12:17" ht="15.75" customHeight="1" x14ac:dyDescent="0.25">
      <c r="L290" s="4"/>
      <c r="M290" s="4"/>
      <c r="N290" s="4"/>
      <c r="O290" s="3"/>
      <c r="P290" s="2"/>
      <c r="Q290" s="1"/>
    </row>
    <row r="291" spans="12:17" ht="15.75" customHeight="1" x14ac:dyDescent="0.25">
      <c r="L291" s="4"/>
      <c r="M291" s="4"/>
      <c r="N291" s="4"/>
      <c r="O291" s="3"/>
      <c r="P291" s="2"/>
      <c r="Q291" s="1"/>
    </row>
    <row r="292" spans="12:17" ht="15.75" customHeight="1" x14ac:dyDescent="0.25">
      <c r="L292" s="4"/>
      <c r="M292" s="4"/>
      <c r="N292" s="4"/>
      <c r="O292" s="3"/>
      <c r="P292" s="2"/>
      <c r="Q292" s="1"/>
    </row>
    <row r="293" spans="12:17" ht="15.75" customHeight="1" x14ac:dyDescent="0.25">
      <c r="L293" s="4"/>
      <c r="M293" s="4"/>
      <c r="N293" s="4"/>
      <c r="O293" s="3"/>
      <c r="P293" s="2"/>
      <c r="Q293" s="1"/>
    </row>
    <row r="294" spans="12:17" ht="15.75" customHeight="1" x14ac:dyDescent="0.25">
      <c r="L294" s="4"/>
      <c r="M294" s="4"/>
      <c r="N294" s="4"/>
      <c r="O294" s="3"/>
      <c r="P294" s="2"/>
      <c r="Q294" s="1"/>
    </row>
    <row r="295" spans="12:17" ht="15.75" customHeight="1" x14ac:dyDescent="0.25">
      <c r="L295" s="4"/>
      <c r="M295" s="4"/>
      <c r="N295" s="4"/>
      <c r="O295" s="3"/>
      <c r="P295" s="2"/>
      <c r="Q295" s="1"/>
    </row>
    <row r="296" spans="12:17" ht="15.75" customHeight="1" x14ac:dyDescent="0.25">
      <c r="L296" s="4"/>
      <c r="M296" s="4"/>
      <c r="N296" s="4"/>
      <c r="O296" s="3"/>
      <c r="P296" s="2"/>
      <c r="Q296" s="1"/>
    </row>
    <row r="297" spans="12:17" ht="15.75" customHeight="1" x14ac:dyDescent="0.25">
      <c r="L297" s="4"/>
      <c r="M297" s="4"/>
      <c r="N297" s="4"/>
      <c r="O297" s="3"/>
      <c r="P297" s="2"/>
      <c r="Q297" s="1"/>
    </row>
    <row r="298" spans="12:17" ht="15.75" customHeight="1" x14ac:dyDescent="0.25">
      <c r="L298" s="4"/>
      <c r="M298" s="4"/>
      <c r="N298" s="4"/>
      <c r="O298" s="3"/>
      <c r="P298" s="2"/>
      <c r="Q298" s="1"/>
    </row>
    <row r="299" spans="12:17" ht="15.75" customHeight="1" x14ac:dyDescent="0.25">
      <c r="L299" s="4"/>
      <c r="M299" s="4"/>
      <c r="N299" s="4"/>
      <c r="O299" s="3"/>
      <c r="P299" s="2"/>
      <c r="Q299" s="1"/>
    </row>
    <row r="300" spans="12:17" ht="15.75" customHeight="1" x14ac:dyDescent="0.25">
      <c r="L300" s="4"/>
      <c r="M300" s="4"/>
      <c r="N300" s="4"/>
      <c r="O300" s="3"/>
      <c r="P300" s="2"/>
      <c r="Q300" s="1"/>
    </row>
    <row r="301" spans="12:17" ht="15.75" customHeight="1" x14ac:dyDescent="0.25">
      <c r="L301" s="4"/>
      <c r="M301" s="4"/>
      <c r="N301" s="4"/>
      <c r="O301" s="3"/>
      <c r="P301" s="2"/>
      <c r="Q301" s="1"/>
    </row>
    <row r="302" spans="12:17" ht="15.75" customHeight="1" x14ac:dyDescent="0.25">
      <c r="L302" s="4"/>
      <c r="M302" s="4"/>
      <c r="N302" s="4"/>
      <c r="O302" s="3"/>
      <c r="P302" s="2"/>
      <c r="Q302" s="1"/>
    </row>
    <row r="303" spans="12:17" ht="15.75" customHeight="1" x14ac:dyDescent="0.25">
      <c r="L303" s="4"/>
      <c r="M303" s="4"/>
      <c r="N303" s="4"/>
      <c r="O303" s="3"/>
      <c r="P303" s="2"/>
      <c r="Q303" s="1"/>
    </row>
    <row r="304" spans="12:17" ht="15.75" customHeight="1" x14ac:dyDescent="0.25">
      <c r="L304" s="4"/>
      <c r="M304" s="4"/>
      <c r="N304" s="4"/>
      <c r="O304" s="3"/>
      <c r="P304" s="2"/>
      <c r="Q304" s="1"/>
    </row>
    <row r="305" spans="12:17" ht="15.75" customHeight="1" x14ac:dyDescent="0.25">
      <c r="L305" s="4"/>
      <c r="M305" s="4"/>
      <c r="N305" s="4"/>
      <c r="O305" s="3"/>
      <c r="P305" s="2"/>
      <c r="Q305" s="1"/>
    </row>
    <row r="306" spans="12:17" ht="15.75" customHeight="1" x14ac:dyDescent="0.25">
      <c r="L306" s="4"/>
      <c r="M306" s="4"/>
      <c r="N306" s="4"/>
      <c r="O306" s="3"/>
      <c r="P306" s="2"/>
      <c r="Q306" s="1"/>
    </row>
    <row r="307" spans="12:17" ht="15.75" customHeight="1" x14ac:dyDescent="0.25">
      <c r="L307" s="4"/>
      <c r="M307" s="4"/>
      <c r="N307" s="4"/>
      <c r="O307" s="3"/>
      <c r="P307" s="2"/>
      <c r="Q307" s="1"/>
    </row>
    <row r="308" spans="12:17" ht="15.75" customHeight="1" x14ac:dyDescent="0.25">
      <c r="L308" s="4"/>
      <c r="M308" s="4"/>
      <c r="N308" s="4"/>
      <c r="O308" s="3"/>
      <c r="P308" s="2"/>
      <c r="Q308" s="1"/>
    </row>
    <row r="309" spans="12:17" ht="15.75" customHeight="1" x14ac:dyDescent="0.25">
      <c r="L309" s="4"/>
      <c r="M309" s="4"/>
      <c r="N309" s="4"/>
      <c r="O309" s="3"/>
      <c r="P309" s="2"/>
      <c r="Q309" s="1"/>
    </row>
    <row r="310" spans="12:17" ht="15.75" customHeight="1" x14ac:dyDescent="0.25">
      <c r="L310" s="4"/>
      <c r="M310" s="4"/>
      <c r="N310" s="4"/>
      <c r="O310" s="3"/>
      <c r="P310" s="2"/>
      <c r="Q310" s="1"/>
    </row>
    <row r="311" spans="12:17" ht="15.75" customHeight="1" x14ac:dyDescent="0.25">
      <c r="L311" s="4"/>
      <c r="M311" s="4"/>
      <c r="N311" s="4"/>
      <c r="O311" s="3"/>
      <c r="P311" s="2"/>
      <c r="Q311" s="1"/>
    </row>
    <row r="312" spans="12:17" ht="15.75" customHeight="1" x14ac:dyDescent="0.25">
      <c r="L312" s="4"/>
      <c r="M312" s="4"/>
      <c r="N312" s="4"/>
      <c r="O312" s="3"/>
      <c r="P312" s="2"/>
      <c r="Q312" s="1"/>
    </row>
    <row r="313" spans="12:17" ht="15.75" customHeight="1" x14ac:dyDescent="0.25">
      <c r="L313" s="4"/>
      <c r="M313" s="4"/>
      <c r="N313" s="4"/>
      <c r="O313" s="3"/>
      <c r="P313" s="2"/>
      <c r="Q313" s="1"/>
    </row>
    <row r="314" spans="12:17" ht="15.75" customHeight="1" x14ac:dyDescent="0.25">
      <c r="L314" s="4"/>
      <c r="M314" s="4"/>
      <c r="N314" s="4"/>
      <c r="O314" s="3"/>
      <c r="P314" s="2"/>
      <c r="Q314" s="1"/>
    </row>
    <row r="315" spans="12:17" ht="15.75" customHeight="1" x14ac:dyDescent="0.25">
      <c r="L315" s="4"/>
      <c r="M315" s="4"/>
      <c r="N315" s="4"/>
      <c r="O315" s="3"/>
      <c r="P315" s="2"/>
      <c r="Q315" s="1"/>
    </row>
    <row r="316" spans="12:17" ht="15.75" customHeight="1" x14ac:dyDescent="0.25">
      <c r="L316" s="4"/>
      <c r="M316" s="4"/>
      <c r="N316" s="4"/>
      <c r="O316" s="3"/>
      <c r="P316" s="2"/>
      <c r="Q316" s="1"/>
    </row>
    <row r="317" spans="12:17" ht="15.75" customHeight="1" x14ac:dyDescent="0.25">
      <c r="L317" s="4"/>
      <c r="M317" s="4"/>
      <c r="N317" s="4"/>
      <c r="O317" s="3"/>
      <c r="P317" s="2"/>
      <c r="Q317" s="1"/>
    </row>
    <row r="318" spans="12:17" ht="15.75" customHeight="1" x14ac:dyDescent="0.25">
      <c r="L318" s="4"/>
      <c r="M318" s="4"/>
      <c r="N318" s="4"/>
      <c r="O318" s="3"/>
      <c r="P318" s="2"/>
      <c r="Q318" s="1"/>
    </row>
    <row r="319" spans="12:17" ht="15.75" customHeight="1" x14ac:dyDescent="0.25">
      <c r="L319" s="4"/>
      <c r="M319" s="4"/>
      <c r="N319" s="4"/>
      <c r="O319" s="3"/>
      <c r="P319" s="2"/>
      <c r="Q319" s="1"/>
    </row>
    <row r="320" spans="12:17" ht="15.75" customHeight="1" x14ac:dyDescent="0.25">
      <c r="L320" s="4"/>
      <c r="M320" s="4"/>
      <c r="N320" s="4"/>
      <c r="O320" s="3"/>
      <c r="P320" s="2"/>
      <c r="Q320" s="1"/>
    </row>
    <row r="321" spans="12:17" ht="15.75" customHeight="1" x14ac:dyDescent="0.25">
      <c r="L321" s="4"/>
      <c r="M321" s="4"/>
      <c r="N321" s="4"/>
      <c r="O321" s="3"/>
      <c r="P321" s="2"/>
      <c r="Q321" s="1"/>
    </row>
    <row r="322" spans="12:17" ht="15.75" customHeight="1" x14ac:dyDescent="0.25">
      <c r="L322" s="4"/>
      <c r="M322" s="4"/>
      <c r="N322" s="4"/>
      <c r="O322" s="3"/>
      <c r="P322" s="2"/>
      <c r="Q322" s="1"/>
    </row>
    <row r="323" spans="12:17" ht="15.75" customHeight="1" x14ac:dyDescent="0.25">
      <c r="L323" s="4"/>
      <c r="M323" s="4"/>
      <c r="N323" s="4"/>
      <c r="O323" s="3"/>
      <c r="P323" s="2"/>
      <c r="Q323" s="1"/>
    </row>
    <row r="324" spans="12:17" ht="15.75" customHeight="1" x14ac:dyDescent="0.25">
      <c r="L324" s="4"/>
      <c r="M324" s="4"/>
      <c r="N324" s="4"/>
      <c r="O324" s="3"/>
      <c r="P324" s="2"/>
      <c r="Q324" s="1"/>
    </row>
    <row r="325" spans="12:17" ht="15.75" customHeight="1" x14ac:dyDescent="0.25">
      <c r="L325" s="4"/>
      <c r="M325" s="4"/>
      <c r="N325" s="4"/>
      <c r="O325" s="3"/>
      <c r="P325" s="2"/>
      <c r="Q325" s="1"/>
    </row>
    <row r="326" spans="12:17" ht="15.75" customHeight="1" x14ac:dyDescent="0.25">
      <c r="L326" s="4"/>
      <c r="M326" s="4"/>
      <c r="N326" s="4"/>
      <c r="O326" s="3"/>
      <c r="P326" s="2"/>
      <c r="Q326" s="1"/>
    </row>
    <row r="327" spans="12:17" ht="15.75" customHeight="1" x14ac:dyDescent="0.25">
      <c r="L327" s="4"/>
      <c r="M327" s="4"/>
      <c r="N327" s="4"/>
      <c r="O327" s="3"/>
      <c r="P327" s="2"/>
      <c r="Q327" s="1"/>
    </row>
    <row r="328" spans="12:17" ht="15.75" customHeight="1" x14ac:dyDescent="0.25">
      <c r="L328" s="4"/>
      <c r="M328" s="4"/>
      <c r="N328" s="4"/>
      <c r="O328" s="3"/>
      <c r="P328" s="2"/>
      <c r="Q328" s="1"/>
    </row>
    <row r="329" spans="12:17" ht="15.75" customHeight="1" x14ac:dyDescent="0.25">
      <c r="L329" s="4"/>
      <c r="M329" s="4"/>
      <c r="N329" s="4"/>
      <c r="O329" s="3"/>
      <c r="P329" s="2"/>
      <c r="Q329" s="1"/>
    </row>
    <row r="330" spans="12:17" ht="15.75" customHeight="1" x14ac:dyDescent="0.25">
      <c r="L330" s="4"/>
      <c r="M330" s="4"/>
      <c r="N330" s="4"/>
      <c r="O330" s="3"/>
      <c r="P330" s="2"/>
      <c r="Q330" s="1"/>
    </row>
    <row r="331" spans="12:17" ht="15.75" customHeight="1" x14ac:dyDescent="0.25">
      <c r="L331" s="4"/>
      <c r="M331" s="4"/>
      <c r="N331" s="4"/>
      <c r="O331" s="3"/>
      <c r="P331" s="2"/>
      <c r="Q331" s="1"/>
    </row>
    <row r="332" spans="12:17" ht="15.75" customHeight="1" x14ac:dyDescent="0.25">
      <c r="L332" s="4"/>
      <c r="M332" s="4"/>
      <c r="N332" s="4"/>
      <c r="O332" s="3"/>
      <c r="P332" s="2"/>
      <c r="Q332" s="1"/>
    </row>
    <row r="333" spans="12:17" ht="15.75" customHeight="1" x14ac:dyDescent="0.25">
      <c r="L333" s="4"/>
      <c r="M333" s="4"/>
      <c r="N333" s="4"/>
      <c r="O333" s="3"/>
      <c r="P333" s="2"/>
      <c r="Q333" s="1"/>
    </row>
    <row r="334" spans="12:17" ht="15.75" customHeight="1" x14ac:dyDescent="0.25">
      <c r="L334" s="4"/>
      <c r="M334" s="4"/>
      <c r="N334" s="4"/>
      <c r="O334" s="3"/>
      <c r="P334" s="2"/>
      <c r="Q334" s="1"/>
    </row>
    <row r="335" spans="12:17" ht="15.75" customHeight="1" x14ac:dyDescent="0.25">
      <c r="L335" s="4"/>
      <c r="M335" s="4"/>
      <c r="N335" s="4"/>
      <c r="O335" s="3"/>
      <c r="P335" s="2"/>
      <c r="Q335" s="1"/>
    </row>
    <row r="336" spans="12:17" ht="15.75" customHeight="1" x14ac:dyDescent="0.25">
      <c r="L336" s="4"/>
      <c r="M336" s="4"/>
      <c r="N336" s="4"/>
      <c r="O336" s="3"/>
      <c r="P336" s="2"/>
      <c r="Q336" s="1"/>
    </row>
    <row r="337" spans="12:17" ht="15.75" customHeight="1" x14ac:dyDescent="0.25">
      <c r="L337" s="4"/>
      <c r="M337" s="4"/>
      <c r="N337" s="4"/>
      <c r="O337" s="3"/>
      <c r="P337" s="2"/>
      <c r="Q337" s="1"/>
    </row>
    <row r="338" spans="12:17" ht="15.75" customHeight="1" x14ac:dyDescent="0.25">
      <c r="L338" s="4"/>
      <c r="M338" s="4"/>
      <c r="N338" s="4"/>
      <c r="O338" s="3"/>
      <c r="P338" s="2"/>
      <c r="Q338" s="1"/>
    </row>
    <row r="339" spans="12:17" ht="15.75" customHeight="1" x14ac:dyDescent="0.25">
      <c r="L339" s="4"/>
      <c r="M339" s="4"/>
      <c r="N339" s="4"/>
      <c r="O339" s="3"/>
      <c r="P339" s="2"/>
      <c r="Q339" s="1"/>
    </row>
    <row r="340" spans="12:17" ht="15.75" customHeight="1" x14ac:dyDescent="0.25">
      <c r="L340" s="4"/>
      <c r="M340" s="4"/>
      <c r="N340" s="4"/>
      <c r="O340" s="3"/>
      <c r="P340" s="2"/>
      <c r="Q340" s="1"/>
    </row>
    <row r="341" spans="12:17" ht="15.75" customHeight="1" x14ac:dyDescent="0.25">
      <c r="L341" s="4"/>
      <c r="M341" s="4"/>
      <c r="N341" s="4"/>
      <c r="O341" s="3"/>
      <c r="P341" s="2"/>
      <c r="Q341" s="1"/>
    </row>
    <row r="342" spans="12:17" ht="15.75" customHeight="1" x14ac:dyDescent="0.25">
      <c r="L342" s="4"/>
      <c r="M342" s="4"/>
      <c r="N342" s="4"/>
      <c r="O342" s="3"/>
      <c r="P342" s="2"/>
      <c r="Q342" s="1"/>
    </row>
    <row r="343" spans="12:17" ht="15.75" customHeight="1" x14ac:dyDescent="0.25">
      <c r="L343" s="4"/>
      <c r="M343" s="4"/>
      <c r="N343" s="4"/>
      <c r="O343" s="3"/>
      <c r="P343" s="2"/>
      <c r="Q343" s="1"/>
    </row>
    <row r="344" spans="12:17" ht="15.75" customHeight="1" x14ac:dyDescent="0.25">
      <c r="L344" s="4"/>
      <c r="M344" s="4"/>
      <c r="N344" s="4"/>
      <c r="O344" s="3"/>
      <c r="P344" s="2"/>
      <c r="Q344" s="1"/>
    </row>
    <row r="345" spans="12:17" ht="15.75" customHeight="1" x14ac:dyDescent="0.25">
      <c r="L345" s="4"/>
      <c r="M345" s="4"/>
      <c r="N345" s="4"/>
      <c r="O345" s="3"/>
      <c r="P345" s="2"/>
      <c r="Q345" s="1"/>
    </row>
    <row r="346" spans="12:17" ht="15.75" customHeight="1" x14ac:dyDescent="0.25">
      <c r="L346" s="4"/>
      <c r="M346" s="4"/>
      <c r="N346" s="4"/>
      <c r="O346" s="3"/>
      <c r="P346" s="2"/>
      <c r="Q346" s="1"/>
    </row>
    <row r="347" spans="12:17" ht="15.75" customHeight="1" x14ac:dyDescent="0.25">
      <c r="L347" s="4"/>
      <c r="M347" s="4"/>
      <c r="N347" s="4"/>
      <c r="O347" s="3"/>
      <c r="P347" s="2"/>
      <c r="Q347" s="1"/>
    </row>
    <row r="348" spans="12:17" ht="15.75" customHeight="1" x14ac:dyDescent="0.25">
      <c r="L348" s="4"/>
      <c r="M348" s="4"/>
      <c r="N348" s="4"/>
      <c r="O348" s="3"/>
      <c r="P348" s="2"/>
      <c r="Q348" s="1"/>
    </row>
    <row r="349" spans="12:17" ht="15.75" customHeight="1" x14ac:dyDescent="0.25">
      <c r="L349" s="4"/>
      <c r="M349" s="4"/>
      <c r="N349" s="4"/>
      <c r="O349" s="3"/>
      <c r="P349" s="2"/>
      <c r="Q349" s="1"/>
    </row>
    <row r="350" spans="12:17" ht="15.75" customHeight="1" x14ac:dyDescent="0.25">
      <c r="L350" s="4"/>
      <c r="M350" s="4"/>
      <c r="N350" s="4"/>
      <c r="O350" s="3"/>
      <c r="P350" s="2"/>
      <c r="Q350" s="1"/>
    </row>
    <row r="351" spans="12:17" ht="15.75" customHeight="1" x14ac:dyDescent="0.25">
      <c r="L351" s="4"/>
      <c r="M351" s="4"/>
      <c r="N351" s="4"/>
      <c r="O351" s="3"/>
      <c r="P351" s="2"/>
      <c r="Q351" s="1"/>
    </row>
    <row r="352" spans="12:17" ht="15.75" customHeight="1" x14ac:dyDescent="0.25">
      <c r="L352" s="4"/>
      <c r="M352" s="4"/>
      <c r="N352" s="4"/>
      <c r="O352" s="3"/>
      <c r="P352" s="2"/>
      <c r="Q352" s="1"/>
    </row>
    <row r="353" spans="12:17" ht="15.75" customHeight="1" x14ac:dyDescent="0.25">
      <c r="L353" s="4"/>
      <c r="M353" s="4"/>
      <c r="N353" s="4"/>
      <c r="O353" s="3"/>
      <c r="P353" s="2"/>
      <c r="Q353" s="1"/>
    </row>
    <row r="354" spans="12:17" ht="15.75" customHeight="1" x14ac:dyDescent="0.25">
      <c r="L354" s="4"/>
      <c r="M354" s="4"/>
      <c r="N354" s="4"/>
      <c r="O354" s="3"/>
      <c r="P354" s="2"/>
      <c r="Q354" s="1"/>
    </row>
    <row r="355" spans="12:17" ht="15.75" customHeight="1" x14ac:dyDescent="0.25">
      <c r="L355" s="4"/>
      <c r="M355" s="4"/>
      <c r="N355" s="4"/>
      <c r="O355" s="3"/>
      <c r="P355" s="2"/>
      <c r="Q355" s="1"/>
    </row>
    <row r="356" spans="12:17" ht="15.75" customHeight="1" x14ac:dyDescent="0.25">
      <c r="L356" s="4"/>
      <c r="M356" s="4"/>
      <c r="N356" s="4"/>
      <c r="O356" s="3"/>
      <c r="P356" s="2"/>
      <c r="Q356" s="1"/>
    </row>
    <row r="357" spans="12:17" ht="15.75" customHeight="1" x14ac:dyDescent="0.25">
      <c r="L357" s="4"/>
      <c r="M357" s="4"/>
      <c r="N357" s="4"/>
      <c r="O357" s="3"/>
      <c r="P357" s="2"/>
      <c r="Q357" s="1"/>
    </row>
    <row r="358" spans="12:17" ht="15.75" customHeight="1" x14ac:dyDescent="0.25">
      <c r="L358" s="4"/>
      <c r="M358" s="4"/>
      <c r="N358" s="4"/>
      <c r="O358" s="3"/>
      <c r="P358" s="2"/>
      <c r="Q358" s="1"/>
    </row>
    <row r="359" spans="12:17" ht="15.75" customHeight="1" x14ac:dyDescent="0.25">
      <c r="L359" s="4"/>
      <c r="M359" s="4"/>
      <c r="N359" s="4"/>
      <c r="O359" s="3"/>
      <c r="P359" s="2"/>
      <c r="Q359" s="1"/>
    </row>
    <row r="360" spans="12:17" ht="15.75" customHeight="1" x14ac:dyDescent="0.25">
      <c r="L360" s="4"/>
      <c r="M360" s="4"/>
      <c r="N360" s="4"/>
      <c r="O360" s="3"/>
      <c r="P360" s="2"/>
      <c r="Q360" s="1"/>
    </row>
    <row r="361" spans="12:17" ht="15.75" customHeight="1" x14ac:dyDescent="0.25">
      <c r="L361" s="4"/>
      <c r="M361" s="4"/>
      <c r="N361" s="4"/>
      <c r="O361" s="3"/>
      <c r="P361" s="2"/>
      <c r="Q361" s="1"/>
    </row>
    <row r="362" spans="12:17" ht="15.75" customHeight="1" x14ac:dyDescent="0.25">
      <c r="L362" s="4"/>
      <c r="M362" s="4"/>
      <c r="N362" s="4"/>
      <c r="O362" s="3"/>
      <c r="P362" s="2"/>
      <c r="Q362" s="1"/>
    </row>
    <row r="363" spans="12:17" ht="15.75" customHeight="1" x14ac:dyDescent="0.25">
      <c r="L363" s="4"/>
      <c r="M363" s="4"/>
      <c r="N363" s="4"/>
      <c r="O363" s="3"/>
      <c r="P363" s="2"/>
      <c r="Q363" s="1"/>
    </row>
    <row r="364" spans="12:17" ht="15.75" customHeight="1" x14ac:dyDescent="0.25">
      <c r="L364" s="4"/>
      <c r="M364" s="4"/>
      <c r="N364" s="4"/>
      <c r="O364" s="3"/>
      <c r="P364" s="2"/>
      <c r="Q364" s="1"/>
    </row>
    <row r="365" spans="12:17" ht="15.75" customHeight="1" x14ac:dyDescent="0.25">
      <c r="L365" s="4"/>
      <c r="M365" s="4"/>
      <c r="N365" s="4"/>
      <c r="O365" s="3"/>
      <c r="P365" s="2"/>
      <c r="Q365" s="1"/>
    </row>
    <row r="366" spans="12:17" ht="15.75" customHeight="1" x14ac:dyDescent="0.25">
      <c r="L366" s="4"/>
      <c r="M366" s="4"/>
      <c r="N366" s="4"/>
      <c r="O366" s="3"/>
      <c r="P366" s="2"/>
      <c r="Q366" s="1"/>
    </row>
    <row r="367" spans="12:17" ht="15.75" customHeight="1" x14ac:dyDescent="0.25">
      <c r="L367" s="4"/>
      <c r="M367" s="4"/>
      <c r="N367" s="4"/>
      <c r="O367" s="3"/>
      <c r="P367" s="2"/>
      <c r="Q367" s="1"/>
    </row>
    <row r="368" spans="12:17" ht="15.75" customHeight="1" x14ac:dyDescent="0.25">
      <c r="L368" s="4"/>
      <c r="M368" s="4"/>
      <c r="N368" s="4"/>
      <c r="O368" s="3"/>
      <c r="P368" s="2"/>
      <c r="Q368" s="1"/>
    </row>
    <row r="369" spans="12:17" ht="15.75" customHeight="1" x14ac:dyDescent="0.25">
      <c r="L369" s="4"/>
      <c r="M369" s="4"/>
      <c r="N369" s="4"/>
      <c r="O369" s="3"/>
      <c r="P369" s="2"/>
      <c r="Q369" s="1"/>
    </row>
    <row r="370" spans="12:17" ht="15.75" customHeight="1" x14ac:dyDescent="0.25">
      <c r="L370" s="4"/>
      <c r="M370" s="4"/>
      <c r="N370" s="4"/>
      <c r="O370" s="3"/>
      <c r="P370" s="2"/>
      <c r="Q370" s="1"/>
    </row>
    <row r="371" spans="12:17" ht="15.75" customHeight="1" x14ac:dyDescent="0.25">
      <c r="L371" s="4"/>
      <c r="M371" s="4"/>
      <c r="N371" s="4"/>
      <c r="O371" s="3"/>
      <c r="P371" s="2"/>
      <c r="Q371" s="1"/>
    </row>
    <row r="372" spans="12:17" ht="15.75" customHeight="1" x14ac:dyDescent="0.25">
      <c r="L372" s="4"/>
      <c r="M372" s="4"/>
      <c r="N372" s="4"/>
      <c r="O372" s="3"/>
      <c r="P372" s="2"/>
      <c r="Q372" s="1"/>
    </row>
    <row r="373" spans="12:17" ht="15.75" customHeight="1" x14ac:dyDescent="0.25">
      <c r="L373" s="4"/>
      <c r="M373" s="4"/>
      <c r="N373" s="4"/>
      <c r="O373" s="3"/>
      <c r="P373" s="2"/>
      <c r="Q373" s="1"/>
    </row>
    <row r="374" spans="12:17" ht="15.75" customHeight="1" x14ac:dyDescent="0.25">
      <c r="L374" s="4"/>
      <c r="M374" s="4"/>
      <c r="N374" s="4"/>
      <c r="O374" s="3"/>
      <c r="P374" s="2"/>
      <c r="Q374" s="1"/>
    </row>
    <row r="375" spans="12:17" ht="15.75" customHeight="1" x14ac:dyDescent="0.25">
      <c r="L375" s="4"/>
      <c r="M375" s="4"/>
      <c r="N375" s="4"/>
      <c r="O375" s="3"/>
      <c r="P375" s="2"/>
      <c r="Q375" s="1"/>
    </row>
    <row r="376" spans="12:17" ht="15.75" customHeight="1" x14ac:dyDescent="0.25">
      <c r="L376" s="4"/>
      <c r="M376" s="4"/>
      <c r="N376" s="4"/>
      <c r="O376" s="3"/>
      <c r="P376" s="2"/>
      <c r="Q376" s="1"/>
    </row>
    <row r="377" spans="12:17" ht="15.75" customHeight="1" x14ac:dyDescent="0.25">
      <c r="L377" s="4"/>
      <c r="M377" s="4"/>
      <c r="N377" s="4"/>
      <c r="O377" s="3"/>
      <c r="P377" s="2"/>
      <c r="Q377" s="1"/>
    </row>
    <row r="378" spans="12:17" ht="15.75" customHeight="1" x14ac:dyDescent="0.25">
      <c r="L378" s="4"/>
      <c r="M378" s="4"/>
      <c r="N378" s="4"/>
      <c r="O378" s="3"/>
      <c r="P378" s="2"/>
      <c r="Q378" s="1"/>
    </row>
    <row r="379" spans="12:17" ht="15.75" customHeight="1" x14ac:dyDescent="0.25">
      <c r="L379" s="4"/>
      <c r="M379" s="4"/>
      <c r="N379" s="4"/>
      <c r="O379" s="3"/>
      <c r="P379" s="2"/>
      <c r="Q379" s="1"/>
    </row>
    <row r="380" spans="12:17" ht="15.75" customHeight="1" x14ac:dyDescent="0.25">
      <c r="L380" s="4"/>
      <c r="M380" s="4"/>
      <c r="N380" s="4"/>
      <c r="O380" s="3"/>
      <c r="P380" s="2"/>
      <c r="Q380" s="1"/>
    </row>
    <row r="381" spans="12:17" ht="15.75" customHeight="1" x14ac:dyDescent="0.25">
      <c r="L381" s="4"/>
      <c r="M381" s="4"/>
      <c r="N381" s="4"/>
      <c r="O381" s="3"/>
      <c r="P381" s="2"/>
      <c r="Q381" s="1"/>
    </row>
    <row r="382" spans="12:17" ht="15.75" customHeight="1" x14ac:dyDescent="0.25">
      <c r="L382" s="4"/>
      <c r="M382" s="4"/>
      <c r="N382" s="4"/>
      <c r="O382" s="3"/>
      <c r="P382" s="2"/>
      <c r="Q382" s="1"/>
    </row>
    <row r="383" spans="12:17" ht="15.75" customHeight="1" x14ac:dyDescent="0.25">
      <c r="L383" s="4"/>
      <c r="M383" s="4"/>
      <c r="N383" s="4"/>
      <c r="O383" s="3"/>
      <c r="P383" s="2"/>
      <c r="Q383" s="1"/>
    </row>
    <row r="384" spans="12:17" ht="15.75" customHeight="1" x14ac:dyDescent="0.25">
      <c r="L384" s="4"/>
      <c r="M384" s="4"/>
      <c r="N384" s="4"/>
      <c r="O384" s="3"/>
      <c r="P384" s="2"/>
      <c r="Q384" s="1"/>
    </row>
    <row r="385" spans="12:17" ht="15.75" customHeight="1" x14ac:dyDescent="0.25">
      <c r="L385" s="4"/>
      <c r="M385" s="4"/>
      <c r="N385" s="4"/>
      <c r="O385" s="3"/>
      <c r="P385" s="2"/>
      <c r="Q385" s="1"/>
    </row>
    <row r="386" spans="12:17" ht="15.75" customHeight="1" x14ac:dyDescent="0.25">
      <c r="L386" s="4"/>
      <c r="M386" s="4"/>
      <c r="N386" s="4"/>
      <c r="O386" s="3"/>
      <c r="P386" s="2"/>
      <c r="Q386" s="1"/>
    </row>
    <row r="387" spans="12:17" ht="15.75" customHeight="1" x14ac:dyDescent="0.25">
      <c r="L387" s="4"/>
      <c r="M387" s="4"/>
      <c r="N387" s="4"/>
      <c r="O387" s="3"/>
      <c r="P387" s="2"/>
      <c r="Q387" s="1"/>
    </row>
    <row r="388" spans="12:17" ht="15.75" customHeight="1" x14ac:dyDescent="0.25">
      <c r="L388" s="4"/>
      <c r="M388" s="4"/>
      <c r="N388" s="4"/>
      <c r="O388" s="3"/>
      <c r="P388" s="2"/>
      <c r="Q388" s="1"/>
    </row>
    <row r="389" spans="12:17" ht="15.75" customHeight="1" x14ac:dyDescent="0.25">
      <c r="L389" s="4"/>
      <c r="M389" s="4"/>
      <c r="N389" s="4"/>
      <c r="O389" s="3"/>
      <c r="P389" s="2"/>
      <c r="Q389" s="1"/>
    </row>
    <row r="390" spans="12:17" ht="15.75" customHeight="1" x14ac:dyDescent="0.25">
      <c r="L390" s="4"/>
      <c r="M390" s="4"/>
      <c r="N390" s="4"/>
      <c r="O390" s="3"/>
      <c r="P390" s="2"/>
      <c r="Q390" s="1"/>
    </row>
    <row r="391" spans="12:17" ht="15.75" customHeight="1" x14ac:dyDescent="0.25">
      <c r="L391" s="4"/>
      <c r="M391" s="4"/>
      <c r="N391" s="4"/>
      <c r="O391" s="3"/>
      <c r="P391" s="2"/>
      <c r="Q391" s="1"/>
    </row>
    <row r="392" spans="12:17" ht="15.75" customHeight="1" x14ac:dyDescent="0.25">
      <c r="L392" s="4"/>
      <c r="M392" s="4"/>
      <c r="N392" s="4"/>
      <c r="O392" s="3"/>
      <c r="P392" s="2"/>
      <c r="Q392" s="1"/>
    </row>
    <row r="393" spans="12:17" ht="15.75" customHeight="1" x14ac:dyDescent="0.25">
      <c r="L393" s="4"/>
      <c r="M393" s="4"/>
      <c r="N393" s="4"/>
      <c r="O393" s="3"/>
      <c r="P393" s="2"/>
      <c r="Q393" s="1"/>
    </row>
    <row r="394" spans="12:17" ht="15.75" customHeight="1" x14ac:dyDescent="0.25">
      <c r="L394" s="4"/>
      <c r="M394" s="4"/>
      <c r="N394" s="4"/>
      <c r="O394" s="3"/>
      <c r="P394" s="2"/>
      <c r="Q394" s="1"/>
    </row>
    <row r="395" spans="12:17" ht="15.75" customHeight="1" x14ac:dyDescent="0.25">
      <c r="L395" s="4"/>
      <c r="M395" s="4"/>
      <c r="N395" s="4"/>
      <c r="O395" s="3"/>
      <c r="P395" s="2"/>
      <c r="Q395" s="1"/>
    </row>
    <row r="396" spans="12:17" ht="15.75" customHeight="1" x14ac:dyDescent="0.25">
      <c r="L396" s="4"/>
      <c r="M396" s="4"/>
      <c r="N396" s="4"/>
      <c r="O396" s="3"/>
      <c r="P396" s="2"/>
      <c r="Q396" s="1"/>
    </row>
    <row r="397" spans="12:17" ht="15.75" customHeight="1" x14ac:dyDescent="0.25">
      <c r="L397" s="4"/>
      <c r="M397" s="4"/>
      <c r="N397" s="4"/>
      <c r="O397" s="3"/>
      <c r="P397" s="2"/>
      <c r="Q397" s="1"/>
    </row>
    <row r="398" spans="12:17" ht="15.75" customHeight="1" x14ac:dyDescent="0.25">
      <c r="L398" s="4"/>
      <c r="M398" s="4"/>
      <c r="N398" s="4"/>
      <c r="O398" s="3"/>
      <c r="P398" s="2"/>
      <c r="Q398" s="1"/>
    </row>
    <row r="399" spans="12:17" ht="15.75" customHeight="1" x14ac:dyDescent="0.25">
      <c r="L399" s="4"/>
      <c r="M399" s="4"/>
      <c r="N399" s="4"/>
      <c r="O399" s="3"/>
      <c r="P399" s="2"/>
      <c r="Q399" s="1"/>
    </row>
    <row r="400" spans="12:17" ht="15.75" customHeight="1" x14ac:dyDescent="0.25">
      <c r="L400" s="4"/>
      <c r="M400" s="4"/>
      <c r="N400" s="4"/>
      <c r="O400" s="3"/>
      <c r="P400" s="2"/>
      <c r="Q400" s="1"/>
    </row>
    <row r="401" spans="12:17" ht="15.75" customHeight="1" x14ac:dyDescent="0.25">
      <c r="L401" s="4"/>
      <c r="M401" s="4"/>
      <c r="N401" s="4"/>
      <c r="O401" s="3"/>
      <c r="P401" s="2"/>
      <c r="Q401" s="1"/>
    </row>
    <row r="402" spans="12:17" ht="15.75" customHeight="1" x14ac:dyDescent="0.25">
      <c r="L402" s="4"/>
      <c r="M402" s="4"/>
      <c r="N402" s="4"/>
      <c r="O402" s="3"/>
      <c r="P402" s="2"/>
      <c r="Q402" s="1"/>
    </row>
    <row r="403" spans="12:17" ht="15.75" customHeight="1" x14ac:dyDescent="0.25">
      <c r="L403" s="4"/>
      <c r="M403" s="4"/>
      <c r="N403" s="4"/>
      <c r="O403" s="3"/>
      <c r="P403" s="2"/>
      <c r="Q403" s="1"/>
    </row>
    <row r="404" spans="12:17" ht="15.75" customHeight="1" x14ac:dyDescent="0.25">
      <c r="L404" s="4"/>
      <c r="M404" s="4"/>
      <c r="N404" s="4"/>
      <c r="O404" s="3"/>
      <c r="P404" s="2"/>
      <c r="Q404" s="1"/>
    </row>
    <row r="405" spans="12:17" ht="15.75" customHeight="1" x14ac:dyDescent="0.25">
      <c r="L405" s="4"/>
      <c r="M405" s="4"/>
      <c r="N405" s="4"/>
      <c r="O405" s="3"/>
      <c r="P405" s="2"/>
      <c r="Q405" s="1"/>
    </row>
    <row r="406" spans="12:17" ht="15.75" customHeight="1" x14ac:dyDescent="0.25">
      <c r="L406" s="4"/>
      <c r="M406" s="4"/>
      <c r="N406" s="4"/>
      <c r="O406" s="3"/>
      <c r="P406" s="2"/>
      <c r="Q406" s="1"/>
    </row>
    <row r="407" spans="12:17" ht="15.75" customHeight="1" x14ac:dyDescent="0.25">
      <c r="L407" s="4"/>
      <c r="M407" s="4"/>
      <c r="N407" s="4"/>
      <c r="O407" s="3"/>
      <c r="P407" s="2"/>
      <c r="Q407" s="1"/>
    </row>
    <row r="408" spans="12:17" ht="15.75" customHeight="1" x14ac:dyDescent="0.25">
      <c r="L408" s="4"/>
      <c r="M408" s="4"/>
      <c r="N408" s="4"/>
      <c r="O408" s="3"/>
      <c r="P408" s="2"/>
      <c r="Q408" s="1"/>
    </row>
    <row r="409" spans="12:17" ht="15.75" customHeight="1" x14ac:dyDescent="0.25">
      <c r="L409" s="4"/>
      <c r="M409" s="4"/>
      <c r="N409" s="4"/>
      <c r="O409" s="3"/>
      <c r="P409" s="2"/>
      <c r="Q409" s="1"/>
    </row>
    <row r="410" spans="12:17" ht="15.75" customHeight="1" x14ac:dyDescent="0.25">
      <c r="L410" s="4"/>
      <c r="M410" s="4"/>
      <c r="N410" s="4"/>
      <c r="O410" s="3"/>
      <c r="P410" s="2"/>
      <c r="Q410" s="1"/>
    </row>
    <row r="411" spans="12:17" ht="15.75" customHeight="1" x14ac:dyDescent="0.25">
      <c r="L411" s="4"/>
      <c r="M411" s="4"/>
      <c r="N411" s="4"/>
      <c r="O411" s="3"/>
      <c r="P411" s="2"/>
      <c r="Q411" s="1"/>
    </row>
    <row r="412" spans="12:17" ht="15.75" customHeight="1" x14ac:dyDescent="0.25">
      <c r="L412" s="4"/>
      <c r="M412" s="4"/>
      <c r="N412" s="4"/>
      <c r="O412" s="3"/>
      <c r="P412" s="2"/>
      <c r="Q412" s="1"/>
    </row>
    <row r="413" spans="12:17" ht="15.75" customHeight="1" x14ac:dyDescent="0.25">
      <c r="L413" s="4"/>
      <c r="M413" s="4"/>
      <c r="N413" s="4"/>
      <c r="O413" s="3"/>
      <c r="P413" s="2"/>
      <c r="Q413" s="1"/>
    </row>
    <row r="414" spans="12:17" ht="15.75" customHeight="1" x14ac:dyDescent="0.25">
      <c r="L414" s="4"/>
      <c r="M414" s="4"/>
      <c r="N414" s="4"/>
      <c r="O414" s="3"/>
      <c r="P414" s="2"/>
      <c r="Q414" s="1"/>
    </row>
    <row r="415" spans="12:17" ht="15.75" customHeight="1" x14ac:dyDescent="0.25">
      <c r="L415" s="4"/>
      <c r="M415" s="4"/>
      <c r="N415" s="4"/>
      <c r="O415" s="3"/>
      <c r="P415" s="2"/>
      <c r="Q415" s="1"/>
    </row>
    <row r="416" spans="12:17" ht="15.75" customHeight="1" x14ac:dyDescent="0.25">
      <c r="L416" s="4"/>
      <c r="M416" s="4"/>
      <c r="N416" s="4"/>
      <c r="O416" s="3"/>
      <c r="P416" s="2"/>
      <c r="Q416" s="1"/>
    </row>
    <row r="417" spans="12:17" ht="15.75" customHeight="1" x14ac:dyDescent="0.25">
      <c r="L417" s="4"/>
      <c r="M417" s="4"/>
      <c r="N417" s="4"/>
      <c r="O417" s="3"/>
      <c r="P417" s="2"/>
      <c r="Q417" s="1"/>
    </row>
    <row r="418" spans="12:17" ht="15.75" customHeight="1" x14ac:dyDescent="0.25">
      <c r="L418" s="4"/>
      <c r="M418" s="4"/>
      <c r="N418" s="4"/>
      <c r="O418" s="3"/>
      <c r="P418" s="2"/>
      <c r="Q418" s="1"/>
    </row>
    <row r="419" spans="12:17" ht="15.75" customHeight="1" x14ac:dyDescent="0.25">
      <c r="L419" s="4"/>
      <c r="M419" s="4"/>
      <c r="N419" s="4"/>
      <c r="O419" s="3"/>
      <c r="P419" s="2"/>
      <c r="Q419" s="1"/>
    </row>
    <row r="420" spans="12:17" ht="15.75" customHeight="1" x14ac:dyDescent="0.25">
      <c r="L420" s="4"/>
      <c r="M420" s="4"/>
      <c r="N420" s="4"/>
      <c r="O420" s="3"/>
      <c r="P420" s="2"/>
      <c r="Q420" s="1"/>
    </row>
    <row r="421" spans="12:17" ht="15.75" customHeight="1" x14ac:dyDescent="0.25">
      <c r="L421" s="4"/>
      <c r="M421" s="4"/>
      <c r="N421" s="4"/>
      <c r="O421" s="3"/>
      <c r="P421" s="2"/>
      <c r="Q421" s="1"/>
    </row>
    <row r="422" spans="12:17" ht="15.75" customHeight="1" x14ac:dyDescent="0.25">
      <c r="L422" s="4"/>
      <c r="M422" s="4"/>
      <c r="N422" s="4"/>
      <c r="O422" s="3"/>
      <c r="P422" s="2"/>
      <c r="Q422" s="1"/>
    </row>
    <row r="423" spans="12:17" ht="15.75" customHeight="1" x14ac:dyDescent="0.25">
      <c r="L423" s="4"/>
      <c r="M423" s="4"/>
      <c r="N423" s="4"/>
      <c r="O423" s="3"/>
      <c r="P423" s="2"/>
      <c r="Q423" s="1"/>
    </row>
    <row r="424" spans="12:17" ht="15.75" customHeight="1" x14ac:dyDescent="0.25">
      <c r="L424" s="4"/>
      <c r="M424" s="4"/>
      <c r="N424" s="4"/>
      <c r="O424" s="3"/>
      <c r="P424" s="2"/>
      <c r="Q424" s="1"/>
    </row>
    <row r="425" spans="12:17" ht="15.75" customHeight="1" x14ac:dyDescent="0.25">
      <c r="L425" s="4"/>
      <c r="M425" s="4"/>
      <c r="N425" s="4"/>
      <c r="O425" s="3"/>
      <c r="P425" s="2"/>
      <c r="Q425" s="1"/>
    </row>
    <row r="426" spans="12:17" ht="15.75" customHeight="1" x14ac:dyDescent="0.25">
      <c r="L426" s="4"/>
      <c r="M426" s="4"/>
      <c r="N426" s="4"/>
      <c r="O426" s="3"/>
      <c r="P426" s="2"/>
      <c r="Q426" s="1"/>
    </row>
    <row r="427" spans="12:17" ht="15.75" customHeight="1" x14ac:dyDescent="0.25">
      <c r="L427" s="4"/>
      <c r="M427" s="4"/>
      <c r="N427" s="4"/>
      <c r="O427" s="3"/>
      <c r="P427" s="2"/>
      <c r="Q427" s="1"/>
    </row>
    <row r="428" spans="12:17" ht="15.75" customHeight="1" x14ac:dyDescent="0.25">
      <c r="L428" s="4"/>
      <c r="M428" s="4"/>
      <c r="N428" s="4"/>
      <c r="O428" s="3"/>
      <c r="P428" s="2"/>
      <c r="Q428" s="1"/>
    </row>
    <row r="429" spans="12:17" ht="15.75" customHeight="1" x14ac:dyDescent="0.25">
      <c r="L429" s="4"/>
      <c r="M429" s="4"/>
      <c r="N429" s="4"/>
      <c r="O429" s="3"/>
      <c r="P429" s="2"/>
      <c r="Q429" s="1"/>
    </row>
    <row r="430" spans="12:17" ht="15.75" customHeight="1" x14ac:dyDescent="0.25">
      <c r="L430" s="4"/>
      <c r="M430" s="4"/>
      <c r="N430" s="4"/>
      <c r="O430" s="3"/>
      <c r="P430" s="2"/>
      <c r="Q430" s="1"/>
    </row>
    <row r="431" spans="12:17" ht="15.75" customHeight="1" x14ac:dyDescent="0.25">
      <c r="L431" s="4"/>
      <c r="M431" s="4"/>
      <c r="N431" s="4"/>
      <c r="O431" s="3"/>
      <c r="P431" s="2"/>
      <c r="Q431" s="1"/>
    </row>
    <row r="432" spans="12:17" ht="15.75" customHeight="1" x14ac:dyDescent="0.25">
      <c r="L432" s="4"/>
      <c r="M432" s="4"/>
      <c r="N432" s="4"/>
      <c r="O432" s="3"/>
      <c r="P432" s="2"/>
      <c r="Q432" s="1"/>
    </row>
    <row r="433" spans="12:17" ht="15.75" customHeight="1" x14ac:dyDescent="0.25">
      <c r="L433" s="4"/>
      <c r="M433" s="4"/>
      <c r="N433" s="4"/>
      <c r="O433" s="3"/>
      <c r="P433" s="2"/>
      <c r="Q433" s="1"/>
    </row>
    <row r="434" spans="12:17" ht="15.75" customHeight="1" x14ac:dyDescent="0.25">
      <c r="L434" s="4"/>
      <c r="M434" s="4"/>
      <c r="N434" s="4"/>
      <c r="O434" s="3"/>
      <c r="P434" s="2"/>
      <c r="Q434" s="1"/>
    </row>
    <row r="435" spans="12:17" ht="15.75" customHeight="1" x14ac:dyDescent="0.25">
      <c r="L435" s="4"/>
      <c r="M435" s="4"/>
      <c r="N435" s="4"/>
      <c r="O435" s="3"/>
      <c r="P435" s="2"/>
      <c r="Q435" s="1"/>
    </row>
    <row r="436" spans="12:17" ht="15.75" customHeight="1" x14ac:dyDescent="0.25">
      <c r="L436" s="4"/>
      <c r="M436" s="4"/>
      <c r="N436" s="4"/>
      <c r="O436" s="3"/>
      <c r="P436" s="2"/>
      <c r="Q436" s="1"/>
    </row>
    <row r="437" spans="12:17" ht="15.75" customHeight="1" x14ac:dyDescent="0.25">
      <c r="L437" s="4"/>
      <c r="M437" s="4"/>
      <c r="N437" s="4"/>
      <c r="O437" s="3"/>
      <c r="P437" s="2"/>
      <c r="Q437" s="1"/>
    </row>
    <row r="438" spans="12:17" ht="15.75" customHeight="1" x14ac:dyDescent="0.25">
      <c r="L438" s="4"/>
      <c r="M438" s="4"/>
      <c r="N438" s="4"/>
      <c r="O438" s="3"/>
      <c r="P438" s="2"/>
      <c r="Q438" s="1"/>
    </row>
    <row r="439" spans="12:17" ht="15.75" customHeight="1" x14ac:dyDescent="0.25">
      <c r="L439" s="4"/>
      <c r="M439" s="4"/>
      <c r="N439" s="4"/>
      <c r="O439" s="3"/>
      <c r="P439" s="2"/>
      <c r="Q439" s="1"/>
    </row>
    <row r="440" spans="12:17" ht="15.75" customHeight="1" x14ac:dyDescent="0.25">
      <c r="L440" s="4"/>
      <c r="M440" s="4"/>
      <c r="N440" s="4"/>
      <c r="O440" s="3"/>
      <c r="P440" s="2"/>
      <c r="Q440" s="1"/>
    </row>
    <row r="441" spans="12:17" ht="15.75" customHeight="1" x14ac:dyDescent="0.25">
      <c r="L441" s="4"/>
      <c r="M441" s="4"/>
      <c r="N441" s="4"/>
      <c r="O441" s="3"/>
      <c r="P441" s="2"/>
      <c r="Q441" s="1"/>
    </row>
    <row r="442" spans="12:17" ht="15.75" customHeight="1" x14ac:dyDescent="0.25">
      <c r="L442" s="4"/>
      <c r="M442" s="4"/>
      <c r="N442" s="4"/>
      <c r="O442" s="3"/>
      <c r="P442" s="2"/>
      <c r="Q442" s="1"/>
    </row>
    <row r="443" spans="12:17" ht="15.75" customHeight="1" x14ac:dyDescent="0.25">
      <c r="L443" s="4"/>
      <c r="M443" s="4"/>
      <c r="N443" s="4"/>
      <c r="O443" s="3"/>
      <c r="P443" s="2"/>
      <c r="Q443" s="1"/>
    </row>
    <row r="444" spans="12:17" ht="15.75" customHeight="1" x14ac:dyDescent="0.25">
      <c r="L444" s="4"/>
      <c r="M444" s="4"/>
      <c r="N444" s="4"/>
      <c r="O444" s="3"/>
      <c r="P444" s="2"/>
      <c r="Q444" s="1"/>
    </row>
    <row r="445" spans="12:17" ht="15.75" customHeight="1" x14ac:dyDescent="0.25">
      <c r="L445" s="4"/>
      <c r="M445" s="4"/>
      <c r="N445" s="4"/>
      <c r="O445" s="3"/>
      <c r="P445" s="2"/>
      <c r="Q445" s="1"/>
    </row>
    <row r="446" spans="12:17" ht="15.75" customHeight="1" x14ac:dyDescent="0.25">
      <c r="L446" s="4"/>
      <c r="M446" s="4"/>
      <c r="N446" s="4"/>
      <c r="O446" s="3"/>
      <c r="P446" s="2"/>
      <c r="Q446" s="1"/>
    </row>
    <row r="447" spans="12:17" ht="15.75" customHeight="1" x14ac:dyDescent="0.25">
      <c r="L447" s="4"/>
      <c r="M447" s="4"/>
      <c r="N447" s="4"/>
      <c r="O447" s="3"/>
      <c r="P447" s="2"/>
      <c r="Q447" s="1"/>
    </row>
    <row r="448" spans="12:17" ht="15.75" customHeight="1" x14ac:dyDescent="0.25">
      <c r="L448" s="4"/>
      <c r="M448" s="4"/>
      <c r="N448" s="4"/>
      <c r="O448" s="3"/>
      <c r="P448" s="2"/>
      <c r="Q448" s="1"/>
    </row>
    <row r="449" spans="12:17" ht="15.75" customHeight="1" x14ac:dyDescent="0.25">
      <c r="L449" s="4"/>
      <c r="M449" s="4"/>
      <c r="N449" s="4"/>
      <c r="O449" s="3"/>
      <c r="P449" s="2"/>
      <c r="Q449" s="1"/>
    </row>
    <row r="450" spans="12:17" ht="15.75" customHeight="1" x14ac:dyDescent="0.25">
      <c r="L450" s="4"/>
      <c r="M450" s="4"/>
      <c r="N450" s="4"/>
      <c r="O450" s="3"/>
      <c r="P450" s="2"/>
      <c r="Q450" s="1"/>
    </row>
    <row r="451" spans="12:17" ht="15.75" customHeight="1" x14ac:dyDescent="0.25">
      <c r="L451" s="4"/>
      <c r="M451" s="4"/>
      <c r="N451" s="4"/>
      <c r="O451" s="3"/>
      <c r="P451" s="2"/>
      <c r="Q451" s="1"/>
    </row>
    <row r="452" spans="12:17" ht="15.75" customHeight="1" x14ac:dyDescent="0.25">
      <c r="L452" s="4"/>
      <c r="M452" s="4"/>
      <c r="N452" s="4"/>
      <c r="O452" s="3"/>
      <c r="P452" s="2"/>
      <c r="Q452" s="1"/>
    </row>
    <row r="453" spans="12:17" ht="15.75" customHeight="1" x14ac:dyDescent="0.25">
      <c r="L453" s="4"/>
      <c r="M453" s="4"/>
      <c r="N453" s="4"/>
      <c r="O453" s="3"/>
      <c r="P453" s="2"/>
      <c r="Q453" s="1"/>
    </row>
    <row r="454" spans="12:17" ht="15.75" customHeight="1" x14ac:dyDescent="0.25">
      <c r="L454" s="4"/>
      <c r="M454" s="4"/>
      <c r="N454" s="4"/>
      <c r="O454" s="3"/>
      <c r="P454" s="2"/>
      <c r="Q454" s="1"/>
    </row>
    <row r="455" spans="12:17" ht="15.75" customHeight="1" x14ac:dyDescent="0.25">
      <c r="L455" s="4"/>
      <c r="M455" s="4"/>
      <c r="N455" s="4"/>
      <c r="O455" s="3"/>
      <c r="P455" s="2"/>
      <c r="Q455" s="1"/>
    </row>
    <row r="456" spans="12:17" ht="15.75" customHeight="1" x14ac:dyDescent="0.25">
      <c r="L456" s="4"/>
      <c r="M456" s="4"/>
      <c r="N456" s="4"/>
      <c r="O456" s="3"/>
      <c r="P456" s="2"/>
      <c r="Q456" s="1"/>
    </row>
    <row r="457" spans="12:17" ht="15.75" customHeight="1" x14ac:dyDescent="0.25">
      <c r="L457" s="4"/>
      <c r="M457" s="4"/>
      <c r="N457" s="4"/>
      <c r="O457" s="3"/>
      <c r="P457" s="2"/>
      <c r="Q457" s="1"/>
    </row>
    <row r="458" spans="12:17" ht="15.75" customHeight="1" x14ac:dyDescent="0.25">
      <c r="L458" s="4"/>
      <c r="M458" s="4"/>
      <c r="N458" s="4"/>
      <c r="O458" s="3"/>
      <c r="P458" s="2"/>
      <c r="Q458" s="1"/>
    </row>
    <row r="459" spans="12:17" ht="15.75" customHeight="1" x14ac:dyDescent="0.25">
      <c r="L459" s="4"/>
      <c r="M459" s="4"/>
      <c r="N459" s="4"/>
      <c r="O459" s="3"/>
      <c r="P459" s="2"/>
      <c r="Q459" s="1"/>
    </row>
    <row r="460" spans="12:17" ht="15.75" customHeight="1" x14ac:dyDescent="0.25">
      <c r="L460" s="4"/>
      <c r="M460" s="4"/>
      <c r="N460" s="4"/>
      <c r="O460" s="3"/>
      <c r="P460" s="2"/>
      <c r="Q460" s="1"/>
    </row>
    <row r="461" spans="12:17" ht="15.75" customHeight="1" x14ac:dyDescent="0.25">
      <c r="L461" s="4"/>
      <c r="M461" s="4"/>
      <c r="N461" s="4"/>
      <c r="O461" s="3"/>
      <c r="P461" s="2"/>
      <c r="Q461" s="1"/>
    </row>
    <row r="462" spans="12:17" ht="15.75" customHeight="1" x14ac:dyDescent="0.25">
      <c r="L462" s="4"/>
      <c r="M462" s="4"/>
      <c r="N462" s="4"/>
      <c r="O462" s="3"/>
      <c r="P462" s="2"/>
      <c r="Q462" s="1"/>
    </row>
    <row r="463" spans="12:17" ht="15.75" customHeight="1" x14ac:dyDescent="0.25">
      <c r="L463" s="4"/>
      <c r="M463" s="4"/>
      <c r="N463" s="4"/>
      <c r="O463" s="3"/>
      <c r="P463" s="2"/>
      <c r="Q463" s="1"/>
    </row>
    <row r="464" spans="12:17" ht="15.75" customHeight="1" x14ac:dyDescent="0.25">
      <c r="L464" s="4"/>
      <c r="M464" s="4"/>
      <c r="N464" s="4"/>
      <c r="O464" s="3"/>
      <c r="P464" s="2"/>
      <c r="Q464" s="1"/>
    </row>
    <row r="465" spans="12:17" ht="15.75" customHeight="1" x14ac:dyDescent="0.25">
      <c r="L465" s="4"/>
      <c r="M465" s="4"/>
      <c r="N465" s="4"/>
      <c r="O465" s="3"/>
      <c r="P465" s="2"/>
      <c r="Q465" s="1"/>
    </row>
    <row r="466" spans="12:17" ht="15.75" customHeight="1" x14ac:dyDescent="0.25">
      <c r="L466" s="4"/>
      <c r="M466" s="4"/>
      <c r="N466" s="4"/>
      <c r="O466" s="3"/>
      <c r="P466" s="2"/>
      <c r="Q466" s="1"/>
    </row>
    <row r="467" spans="12:17" ht="15.75" customHeight="1" x14ac:dyDescent="0.25">
      <c r="L467" s="4"/>
      <c r="M467" s="4"/>
      <c r="N467" s="4"/>
      <c r="O467" s="3"/>
      <c r="P467" s="2"/>
      <c r="Q467" s="1"/>
    </row>
    <row r="468" spans="12:17" ht="15.75" customHeight="1" x14ac:dyDescent="0.25">
      <c r="L468" s="4"/>
      <c r="M468" s="4"/>
      <c r="N468" s="4"/>
      <c r="O468" s="3"/>
      <c r="P468" s="2"/>
      <c r="Q468" s="1"/>
    </row>
    <row r="469" spans="12:17" ht="15.75" customHeight="1" x14ac:dyDescent="0.25">
      <c r="L469" s="4"/>
      <c r="M469" s="4"/>
      <c r="N469" s="4"/>
      <c r="O469" s="3"/>
      <c r="P469" s="2"/>
      <c r="Q469" s="1"/>
    </row>
    <row r="470" spans="12:17" ht="15.75" customHeight="1" x14ac:dyDescent="0.25">
      <c r="L470" s="4"/>
      <c r="M470" s="4"/>
      <c r="N470" s="4"/>
      <c r="O470" s="3"/>
      <c r="P470" s="2"/>
      <c r="Q470" s="1"/>
    </row>
    <row r="471" spans="12:17" ht="15.75" customHeight="1" x14ac:dyDescent="0.25">
      <c r="L471" s="4"/>
      <c r="M471" s="4"/>
      <c r="N471" s="4"/>
      <c r="O471" s="3"/>
      <c r="P471" s="2"/>
      <c r="Q471" s="1"/>
    </row>
    <row r="472" spans="12:17" ht="15.75" customHeight="1" x14ac:dyDescent="0.25">
      <c r="L472" s="4"/>
      <c r="M472" s="4"/>
      <c r="N472" s="4"/>
      <c r="O472" s="3"/>
      <c r="P472" s="2"/>
      <c r="Q472" s="1"/>
    </row>
    <row r="473" spans="12:17" ht="15.75" customHeight="1" x14ac:dyDescent="0.25">
      <c r="L473" s="4"/>
      <c r="M473" s="4"/>
      <c r="N473" s="4"/>
      <c r="O473" s="3"/>
      <c r="P473" s="2"/>
      <c r="Q473" s="1"/>
    </row>
    <row r="474" spans="12:17" ht="15.75" customHeight="1" x14ac:dyDescent="0.25">
      <c r="L474" s="4"/>
      <c r="M474" s="4"/>
      <c r="N474" s="4"/>
      <c r="O474" s="3"/>
      <c r="P474" s="2"/>
      <c r="Q474" s="1"/>
    </row>
    <row r="475" spans="12:17" ht="15.75" customHeight="1" x14ac:dyDescent="0.25">
      <c r="L475" s="4"/>
      <c r="M475" s="4"/>
      <c r="N475" s="4"/>
      <c r="O475" s="3"/>
      <c r="P475" s="2"/>
      <c r="Q475" s="1"/>
    </row>
    <row r="476" spans="12:17" ht="15.75" customHeight="1" x14ac:dyDescent="0.25">
      <c r="L476" s="4"/>
      <c r="M476" s="4"/>
      <c r="N476" s="4"/>
      <c r="O476" s="3"/>
      <c r="P476" s="2"/>
      <c r="Q476" s="1"/>
    </row>
    <row r="477" spans="12:17" ht="15.75" customHeight="1" x14ac:dyDescent="0.25">
      <c r="L477" s="4"/>
      <c r="M477" s="4"/>
      <c r="N477" s="4"/>
      <c r="O477" s="3"/>
      <c r="P477" s="2"/>
      <c r="Q477" s="1"/>
    </row>
    <row r="478" spans="12:17" ht="15.75" customHeight="1" x14ac:dyDescent="0.25">
      <c r="L478" s="4"/>
      <c r="M478" s="4"/>
      <c r="N478" s="4"/>
      <c r="O478" s="3"/>
      <c r="P478" s="2"/>
      <c r="Q478" s="1"/>
    </row>
    <row r="479" spans="12:17" ht="15.75" customHeight="1" x14ac:dyDescent="0.25">
      <c r="L479" s="4"/>
      <c r="M479" s="4"/>
      <c r="N479" s="4"/>
      <c r="O479" s="3"/>
      <c r="P479" s="2"/>
      <c r="Q479" s="1"/>
    </row>
    <row r="480" spans="12:17" ht="15.75" customHeight="1" x14ac:dyDescent="0.25">
      <c r="L480" s="4"/>
      <c r="M480" s="4"/>
      <c r="N480" s="4"/>
      <c r="O480" s="3"/>
      <c r="P480" s="2"/>
      <c r="Q480" s="1"/>
    </row>
    <row r="481" spans="12:17" ht="15.75" customHeight="1" x14ac:dyDescent="0.25">
      <c r="L481" s="4"/>
      <c r="M481" s="4"/>
      <c r="N481" s="4"/>
      <c r="O481" s="3"/>
      <c r="P481" s="2"/>
      <c r="Q481" s="1"/>
    </row>
    <row r="482" spans="12:17" ht="15.75" customHeight="1" x14ac:dyDescent="0.25">
      <c r="L482" s="4"/>
      <c r="M482" s="4"/>
      <c r="N482" s="4"/>
      <c r="O482" s="3"/>
      <c r="P482" s="2"/>
      <c r="Q482" s="1"/>
    </row>
    <row r="483" spans="12:17" ht="15.75" customHeight="1" x14ac:dyDescent="0.25">
      <c r="L483" s="4"/>
      <c r="M483" s="4"/>
      <c r="N483" s="4"/>
      <c r="O483" s="3"/>
      <c r="P483" s="2"/>
      <c r="Q483" s="1"/>
    </row>
    <row r="484" spans="12:17" ht="15.75" customHeight="1" x14ac:dyDescent="0.25">
      <c r="L484" s="4"/>
      <c r="M484" s="4"/>
      <c r="N484" s="4"/>
      <c r="O484" s="3"/>
      <c r="P484" s="2"/>
      <c r="Q484" s="1"/>
    </row>
    <row r="485" spans="12:17" ht="15.75" customHeight="1" x14ac:dyDescent="0.25">
      <c r="L485" s="4"/>
      <c r="M485" s="4"/>
      <c r="N485" s="4"/>
      <c r="O485" s="3"/>
      <c r="P485" s="2"/>
      <c r="Q485" s="1"/>
    </row>
    <row r="486" spans="12:17" ht="15.75" customHeight="1" x14ac:dyDescent="0.25">
      <c r="L486" s="4"/>
      <c r="M486" s="4"/>
      <c r="N486" s="4"/>
      <c r="O486" s="3"/>
      <c r="P486" s="2"/>
      <c r="Q486" s="1"/>
    </row>
    <row r="487" spans="12:17" ht="15.75" customHeight="1" x14ac:dyDescent="0.25">
      <c r="L487" s="4"/>
      <c r="M487" s="4"/>
      <c r="N487" s="4"/>
      <c r="O487" s="3"/>
      <c r="P487" s="2"/>
      <c r="Q487" s="1"/>
    </row>
    <row r="488" spans="12:17" ht="15.75" customHeight="1" x14ac:dyDescent="0.25">
      <c r="L488" s="4"/>
      <c r="M488" s="4"/>
      <c r="N488" s="4"/>
      <c r="O488" s="3"/>
      <c r="P488" s="2"/>
      <c r="Q488" s="1"/>
    </row>
    <row r="489" spans="12:17" ht="15.75" customHeight="1" x14ac:dyDescent="0.25">
      <c r="L489" s="4"/>
      <c r="M489" s="4"/>
      <c r="N489" s="4"/>
      <c r="O489" s="3"/>
      <c r="P489" s="2"/>
      <c r="Q489" s="1"/>
    </row>
    <row r="490" spans="12:17" ht="15.75" customHeight="1" x14ac:dyDescent="0.25">
      <c r="L490" s="4"/>
      <c r="M490" s="4"/>
      <c r="N490" s="4"/>
      <c r="O490" s="3"/>
      <c r="P490" s="2"/>
      <c r="Q490" s="1"/>
    </row>
    <row r="491" spans="12:17" ht="15.75" customHeight="1" x14ac:dyDescent="0.25">
      <c r="L491" s="4"/>
      <c r="M491" s="4"/>
      <c r="N491" s="4"/>
      <c r="O491" s="3"/>
      <c r="P491" s="2"/>
      <c r="Q491" s="1"/>
    </row>
    <row r="492" spans="12:17" ht="15.75" customHeight="1" x14ac:dyDescent="0.25">
      <c r="L492" s="4"/>
      <c r="M492" s="4"/>
      <c r="N492" s="4"/>
      <c r="O492" s="3"/>
      <c r="P492" s="2"/>
      <c r="Q492" s="1"/>
    </row>
    <row r="493" spans="12:17" ht="15.75" customHeight="1" x14ac:dyDescent="0.25">
      <c r="L493" s="4"/>
      <c r="M493" s="4"/>
      <c r="N493" s="4"/>
      <c r="O493" s="3"/>
      <c r="P493" s="2"/>
      <c r="Q493" s="1"/>
    </row>
    <row r="494" spans="12:17" ht="15.75" customHeight="1" x14ac:dyDescent="0.25">
      <c r="L494" s="4"/>
      <c r="M494" s="4"/>
      <c r="N494" s="4"/>
      <c r="O494" s="3"/>
      <c r="P494" s="2"/>
      <c r="Q494" s="1"/>
    </row>
    <row r="495" spans="12:17" ht="15.75" customHeight="1" x14ac:dyDescent="0.25">
      <c r="L495" s="4"/>
      <c r="M495" s="4"/>
      <c r="N495" s="4"/>
      <c r="O495" s="3"/>
      <c r="P495" s="2"/>
      <c r="Q495" s="1"/>
    </row>
    <row r="496" spans="12:17" ht="15.75" customHeight="1" x14ac:dyDescent="0.25">
      <c r="L496" s="4"/>
      <c r="M496" s="4"/>
      <c r="N496" s="4"/>
      <c r="O496" s="3"/>
      <c r="P496" s="2"/>
      <c r="Q496" s="1"/>
    </row>
    <row r="497" spans="12:17" ht="15.75" customHeight="1" x14ac:dyDescent="0.25">
      <c r="L497" s="4"/>
      <c r="M497" s="4"/>
      <c r="N497" s="4"/>
      <c r="O497" s="3"/>
      <c r="P497" s="2"/>
      <c r="Q497" s="1"/>
    </row>
    <row r="498" spans="12:17" ht="15.75" customHeight="1" x14ac:dyDescent="0.25">
      <c r="L498" s="4"/>
      <c r="M498" s="4"/>
      <c r="N498" s="4"/>
      <c r="O498" s="3"/>
      <c r="P498" s="2"/>
      <c r="Q498" s="1"/>
    </row>
    <row r="499" spans="12:17" ht="15.75" customHeight="1" x14ac:dyDescent="0.25">
      <c r="L499" s="4"/>
      <c r="M499" s="4"/>
      <c r="N499" s="4"/>
      <c r="O499" s="3"/>
      <c r="P499" s="2"/>
      <c r="Q499" s="1"/>
    </row>
    <row r="500" spans="12:17" ht="15.75" customHeight="1" x14ac:dyDescent="0.25">
      <c r="L500" s="4"/>
      <c r="M500" s="4"/>
      <c r="N500" s="4"/>
      <c r="O500" s="3"/>
      <c r="P500" s="2"/>
      <c r="Q500" s="1"/>
    </row>
    <row r="501" spans="12:17" ht="15.75" customHeight="1" x14ac:dyDescent="0.25">
      <c r="L501" s="4"/>
      <c r="M501" s="4"/>
      <c r="N501" s="4"/>
      <c r="O501" s="3"/>
      <c r="P501" s="2"/>
      <c r="Q501" s="1"/>
    </row>
    <row r="502" spans="12:17" ht="15.75" customHeight="1" x14ac:dyDescent="0.25">
      <c r="L502" s="4"/>
      <c r="M502" s="4"/>
      <c r="N502" s="4"/>
      <c r="O502" s="3"/>
      <c r="P502" s="2"/>
      <c r="Q502" s="1"/>
    </row>
    <row r="503" spans="12:17" ht="15.75" customHeight="1" x14ac:dyDescent="0.25">
      <c r="L503" s="4"/>
      <c r="M503" s="4"/>
      <c r="N503" s="4"/>
      <c r="O503" s="3"/>
      <c r="P503" s="2"/>
      <c r="Q503" s="1"/>
    </row>
    <row r="504" spans="12:17" ht="15.75" customHeight="1" x14ac:dyDescent="0.25">
      <c r="L504" s="4"/>
      <c r="M504" s="4"/>
      <c r="N504" s="4"/>
      <c r="O504" s="3"/>
      <c r="P504" s="2"/>
      <c r="Q504" s="1"/>
    </row>
    <row r="505" spans="12:17" ht="15.75" customHeight="1" x14ac:dyDescent="0.25">
      <c r="L505" s="4"/>
      <c r="M505" s="4"/>
      <c r="N505" s="4"/>
      <c r="O505" s="3"/>
      <c r="P505" s="2"/>
      <c r="Q505" s="1"/>
    </row>
    <row r="506" spans="12:17" ht="15.75" customHeight="1" x14ac:dyDescent="0.25">
      <c r="L506" s="4"/>
      <c r="M506" s="4"/>
      <c r="N506" s="4"/>
      <c r="O506" s="3"/>
      <c r="P506" s="2"/>
      <c r="Q506" s="1"/>
    </row>
    <row r="507" spans="12:17" ht="15.75" customHeight="1" x14ac:dyDescent="0.25">
      <c r="L507" s="4"/>
      <c r="M507" s="4"/>
      <c r="N507" s="4"/>
      <c r="O507" s="3"/>
      <c r="P507" s="2"/>
      <c r="Q507" s="1"/>
    </row>
    <row r="508" spans="12:17" ht="15.75" customHeight="1" x14ac:dyDescent="0.25">
      <c r="L508" s="4"/>
      <c r="M508" s="4"/>
      <c r="N508" s="4"/>
      <c r="O508" s="3"/>
      <c r="P508" s="2"/>
      <c r="Q508" s="1"/>
    </row>
    <row r="509" spans="12:17" ht="15.75" customHeight="1" x14ac:dyDescent="0.25">
      <c r="L509" s="4"/>
      <c r="M509" s="4"/>
      <c r="N509" s="4"/>
      <c r="O509" s="3"/>
      <c r="P509" s="2"/>
      <c r="Q509" s="1"/>
    </row>
    <row r="510" spans="12:17" ht="15.75" customHeight="1" x14ac:dyDescent="0.25">
      <c r="L510" s="4"/>
      <c r="M510" s="4"/>
      <c r="N510" s="4"/>
      <c r="O510" s="3"/>
      <c r="P510" s="2"/>
      <c r="Q510" s="1"/>
    </row>
    <row r="511" spans="12:17" ht="15.75" customHeight="1" x14ac:dyDescent="0.25">
      <c r="L511" s="4"/>
      <c r="M511" s="4"/>
      <c r="N511" s="4"/>
      <c r="O511" s="3"/>
      <c r="P511" s="2"/>
      <c r="Q511" s="1"/>
    </row>
    <row r="512" spans="12:17" ht="15.75" customHeight="1" x14ac:dyDescent="0.25">
      <c r="L512" s="4"/>
      <c r="M512" s="4"/>
      <c r="N512" s="4"/>
      <c r="O512" s="3"/>
      <c r="P512" s="2"/>
      <c r="Q512" s="1"/>
    </row>
    <row r="513" spans="12:17" ht="15.75" customHeight="1" x14ac:dyDescent="0.25">
      <c r="L513" s="4"/>
      <c r="M513" s="4"/>
      <c r="N513" s="4"/>
      <c r="O513" s="3"/>
      <c r="P513" s="2"/>
      <c r="Q513" s="1"/>
    </row>
    <row r="514" spans="12:17" ht="15.75" customHeight="1" x14ac:dyDescent="0.25">
      <c r="L514" s="4"/>
      <c r="M514" s="4"/>
      <c r="N514" s="4"/>
      <c r="O514" s="3"/>
      <c r="P514" s="2"/>
      <c r="Q514" s="1"/>
    </row>
    <row r="515" spans="12:17" ht="15.75" customHeight="1" x14ac:dyDescent="0.25">
      <c r="L515" s="4"/>
      <c r="M515" s="4"/>
      <c r="N515" s="4"/>
      <c r="O515" s="3"/>
      <c r="P515" s="2"/>
      <c r="Q515" s="1"/>
    </row>
    <row r="516" spans="12:17" ht="15.75" customHeight="1" x14ac:dyDescent="0.25">
      <c r="L516" s="4"/>
      <c r="M516" s="4"/>
      <c r="N516" s="4"/>
      <c r="O516" s="3"/>
      <c r="P516" s="2"/>
      <c r="Q516" s="1"/>
    </row>
    <row r="517" spans="12:17" ht="15.75" customHeight="1" x14ac:dyDescent="0.25">
      <c r="L517" s="4"/>
      <c r="M517" s="4"/>
      <c r="N517" s="4"/>
      <c r="O517" s="3"/>
      <c r="P517" s="2"/>
      <c r="Q517" s="1"/>
    </row>
    <row r="518" spans="12:17" ht="15.75" customHeight="1" x14ac:dyDescent="0.25">
      <c r="L518" s="4"/>
      <c r="M518" s="4"/>
      <c r="N518" s="4"/>
      <c r="O518" s="3"/>
      <c r="P518" s="2"/>
      <c r="Q518" s="1"/>
    </row>
    <row r="519" spans="12:17" ht="15.75" customHeight="1" x14ac:dyDescent="0.25">
      <c r="L519" s="4"/>
      <c r="M519" s="4"/>
      <c r="N519" s="4"/>
      <c r="O519" s="3"/>
      <c r="P519" s="2"/>
      <c r="Q519" s="1"/>
    </row>
    <row r="520" spans="12:17" ht="15.75" customHeight="1" x14ac:dyDescent="0.25">
      <c r="L520" s="4"/>
      <c r="M520" s="4"/>
      <c r="N520" s="4"/>
      <c r="O520" s="3"/>
      <c r="P520" s="2"/>
      <c r="Q520" s="1"/>
    </row>
    <row r="521" spans="12:17" ht="15.75" customHeight="1" x14ac:dyDescent="0.25">
      <c r="L521" s="4"/>
      <c r="M521" s="4"/>
      <c r="N521" s="4"/>
      <c r="O521" s="3"/>
      <c r="P521" s="2"/>
      <c r="Q521" s="1"/>
    </row>
    <row r="522" spans="12:17" ht="15.75" customHeight="1" x14ac:dyDescent="0.25">
      <c r="L522" s="4"/>
      <c r="M522" s="4"/>
      <c r="N522" s="4"/>
      <c r="O522" s="3"/>
      <c r="P522" s="2"/>
      <c r="Q522" s="1"/>
    </row>
    <row r="523" spans="12:17" ht="15.75" customHeight="1" x14ac:dyDescent="0.25">
      <c r="L523" s="4"/>
      <c r="M523" s="4"/>
      <c r="N523" s="4"/>
      <c r="O523" s="3"/>
      <c r="P523" s="2"/>
      <c r="Q523" s="1"/>
    </row>
    <row r="524" spans="12:17" ht="15.75" customHeight="1" x14ac:dyDescent="0.25">
      <c r="L524" s="4"/>
      <c r="M524" s="4"/>
      <c r="N524" s="4"/>
      <c r="O524" s="3"/>
      <c r="P524" s="2"/>
      <c r="Q524" s="1"/>
    </row>
    <row r="525" spans="12:17" ht="15.75" customHeight="1" x14ac:dyDescent="0.25">
      <c r="L525" s="4"/>
      <c r="M525" s="4"/>
      <c r="N525" s="4"/>
      <c r="O525" s="3"/>
      <c r="P525" s="2"/>
      <c r="Q525" s="1"/>
    </row>
    <row r="526" spans="12:17" ht="15.75" customHeight="1" x14ac:dyDescent="0.25">
      <c r="L526" s="4"/>
      <c r="M526" s="4"/>
      <c r="N526" s="4"/>
      <c r="O526" s="3"/>
      <c r="P526" s="2"/>
      <c r="Q526" s="1"/>
    </row>
    <row r="527" spans="12:17" ht="15.75" customHeight="1" x14ac:dyDescent="0.25">
      <c r="L527" s="4"/>
      <c r="M527" s="4"/>
      <c r="N527" s="4"/>
      <c r="O527" s="3"/>
      <c r="P527" s="2"/>
      <c r="Q527" s="1"/>
    </row>
    <row r="528" spans="12:17" ht="15.75" customHeight="1" x14ac:dyDescent="0.25">
      <c r="L528" s="4"/>
      <c r="M528" s="4"/>
      <c r="N528" s="4"/>
      <c r="O528" s="3"/>
      <c r="P528" s="2"/>
      <c r="Q528" s="1"/>
    </row>
    <row r="529" spans="12:17" ht="15.75" customHeight="1" x14ac:dyDescent="0.25">
      <c r="L529" s="4"/>
      <c r="M529" s="4"/>
      <c r="N529" s="4"/>
      <c r="O529" s="3"/>
      <c r="P529" s="2"/>
      <c r="Q529" s="1"/>
    </row>
    <row r="530" spans="12:17" ht="15.75" customHeight="1" x14ac:dyDescent="0.25">
      <c r="L530" s="4"/>
      <c r="M530" s="4"/>
      <c r="N530" s="4"/>
      <c r="O530" s="3"/>
      <c r="P530" s="2"/>
      <c r="Q530" s="1"/>
    </row>
    <row r="531" spans="12:17" ht="15.75" customHeight="1" x14ac:dyDescent="0.25">
      <c r="L531" s="4"/>
      <c r="M531" s="4"/>
      <c r="N531" s="4"/>
      <c r="O531" s="3"/>
      <c r="P531" s="2"/>
      <c r="Q531" s="1"/>
    </row>
    <row r="532" spans="12:17" ht="15.75" customHeight="1" x14ac:dyDescent="0.25">
      <c r="L532" s="4"/>
      <c r="M532" s="4"/>
      <c r="N532" s="4"/>
      <c r="O532" s="3"/>
      <c r="P532" s="2"/>
      <c r="Q532" s="1"/>
    </row>
    <row r="533" spans="12:17" ht="15.75" customHeight="1" x14ac:dyDescent="0.25">
      <c r="L533" s="4"/>
      <c r="M533" s="4"/>
      <c r="N533" s="4"/>
      <c r="O533" s="3"/>
      <c r="P533" s="2"/>
      <c r="Q533" s="1"/>
    </row>
    <row r="534" spans="12:17" ht="15.75" customHeight="1" x14ac:dyDescent="0.25">
      <c r="L534" s="4"/>
      <c r="M534" s="4"/>
      <c r="N534" s="4"/>
      <c r="O534" s="3"/>
      <c r="P534" s="2"/>
      <c r="Q534" s="1"/>
    </row>
    <row r="535" spans="12:17" ht="15.75" customHeight="1" x14ac:dyDescent="0.25">
      <c r="L535" s="4"/>
      <c r="M535" s="4"/>
      <c r="N535" s="4"/>
      <c r="O535" s="3"/>
      <c r="P535" s="2"/>
      <c r="Q535" s="1"/>
    </row>
    <row r="536" spans="12:17" ht="15.75" customHeight="1" x14ac:dyDescent="0.25">
      <c r="L536" s="4"/>
      <c r="M536" s="4"/>
      <c r="N536" s="4"/>
      <c r="O536" s="3"/>
      <c r="P536" s="2"/>
      <c r="Q536" s="1"/>
    </row>
    <row r="537" spans="12:17" ht="15.75" customHeight="1" x14ac:dyDescent="0.25">
      <c r="L537" s="4"/>
      <c r="M537" s="4"/>
      <c r="N537" s="4"/>
      <c r="O537" s="3"/>
      <c r="P537" s="2"/>
      <c r="Q537" s="1"/>
    </row>
    <row r="538" spans="12:17" ht="15.75" customHeight="1" x14ac:dyDescent="0.25">
      <c r="L538" s="4"/>
      <c r="M538" s="4"/>
      <c r="N538" s="4"/>
      <c r="O538" s="3"/>
      <c r="P538" s="2"/>
      <c r="Q538" s="1"/>
    </row>
    <row r="539" spans="12:17" ht="15.75" customHeight="1" x14ac:dyDescent="0.25">
      <c r="L539" s="4"/>
      <c r="M539" s="4"/>
      <c r="N539" s="4"/>
      <c r="O539" s="3"/>
      <c r="P539" s="2"/>
      <c r="Q539" s="1"/>
    </row>
    <row r="540" spans="12:17" ht="15.75" customHeight="1" x14ac:dyDescent="0.25">
      <c r="L540" s="4"/>
      <c r="M540" s="4"/>
      <c r="N540" s="4"/>
      <c r="O540" s="3"/>
      <c r="P540" s="2"/>
      <c r="Q540" s="1"/>
    </row>
    <row r="541" spans="12:17" ht="15.75" customHeight="1" x14ac:dyDescent="0.25">
      <c r="L541" s="4"/>
      <c r="M541" s="4"/>
      <c r="N541" s="4"/>
      <c r="O541" s="3"/>
      <c r="P541" s="2"/>
      <c r="Q541" s="1"/>
    </row>
    <row r="542" spans="12:17" ht="15.75" customHeight="1" x14ac:dyDescent="0.25">
      <c r="L542" s="4"/>
      <c r="M542" s="4"/>
      <c r="N542" s="4"/>
      <c r="O542" s="3"/>
      <c r="P542" s="2"/>
      <c r="Q542" s="1"/>
    </row>
    <row r="543" spans="12:17" ht="15.75" customHeight="1" x14ac:dyDescent="0.25">
      <c r="L543" s="4"/>
      <c r="M543" s="4"/>
      <c r="N543" s="4"/>
      <c r="O543" s="3"/>
      <c r="P543" s="2"/>
      <c r="Q543" s="1"/>
    </row>
    <row r="544" spans="12:17" ht="15.75" customHeight="1" x14ac:dyDescent="0.25">
      <c r="L544" s="4"/>
      <c r="M544" s="4"/>
      <c r="N544" s="4"/>
      <c r="O544" s="3"/>
      <c r="P544" s="2"/>
      <c r="Q544" s="1"/>
    </row>
    <row r="545" spans="12:17" ht="15.75" customHeight="1" x14ac:dyDescent="0.25">
      <c r="L545" s="4"/>
      <c r="M545" s="4"/>
      <c r="N545" s="4"/>
      <c r="O545" s="3"/>
      <c r="P545" s="2"/>
      <c r="Q545" s="1"/>
    </row>
    <row r="546" spans="12:17" ht="15.75" customHeight="1" x14ac:dyDescent="0.25">
      <c r="L546" s="4"/>
      <c r="M546" s="4"/>
      <c r="N546" s="4"/>
      <c r="O546" s="3"/>
      <c r="P546" s="2"/>
      <c r="Q546" s="1"/>
    </row>
    <row r="547" spans="12:17" ht="15.75" customHeight="1" x14ac:dyDescent="0.25">
      <c r="L547" s="4"/>
      <c r="M547" s="4"/>
      <c r="N547" s="4"/>
      <c r="O547" s="3"/>
      <c r="P547" s="2"/>
      <c r="Q547" s="1"/>
    </row>
    <row r="548" spans="12:17" ht="15.75" customHeight="1" x14ac:dyDescent="0.25">
      <c r="L548" s="4"/>
      <c r="M548" s="4"/>
      <c r="N548" s="4"/>
      <c r="O548" s="3"/>
      <c r="P548" s="2"/>
      <c r="Q548" s="1"/>
    </row>
    <row r="549" spans="12:17" ht="15.75" customHeight="1" x14ac:dyDescent="0.25">
      <c r="L549" s="4"/>
      <c r="M549" s="4"/>
      <c r="N549" s="4"/>
      <c r="O549" s="3"/>
      <c r="P549" s="2"/>
      <c r="Q549" s="1"/>
    </row>
    <row r="550" spans="12:17" ht="15.75" customHeight="1" x14ac:dyDescent="0.25">
      <c r="L550" s="4"/>
      <c r="M550" s="4"/>
      <c r="N550" s="4"/>
      <c r="O550" s="3"/>
      <c r="P550" s="2"/>
      <c r="Q550" s="1"/>
    </row>
    <row r="551" spans="12:17" ht="15.75" customHeight="1" x14ac:dyDescent="0.25">
      <c r="L551" s="4"/>
      <c r="M551" s="4"/>
      <c r="N551" s="4"/>
      <c r="O551" s="3"/>
      <c r="P551" s="2"/>
      <c r="Q551" s="1"/>
    </row>
    <row r="552" spans="12:17" ht="15.75" customHeight="1" x14ac:dyDescent="0.25">
      <c r="L552" s="4"/>
      <c r="M552" s="4"/>
      <c r="N552" s="4"/>
      <c r="O552" s="3"/>
      <c r="P552" s="2"/>
      <c r="Q552" s="1"/>
    </row>
    <row r="553" spans="12:17" ht="15.75" customHeight="1" x14ac:dyDescent="0.25">
      <c r="L553" s="4"/>
      <c r="M553" s="4"/>
      <c r="N553" s="4"/>
      <c r="O553" s="3"/>
      <c r="P553" s="2"/>
      <c r="Q553" s="1"/>
    </row>
    <row r="554" spans="12:17" ht="15.75" customHeight="1" x14ac:dyDescent="0.25">
      <c r="L554" s="4"/>
      <c r="M554" s="4"/>
      <c r="N554" s="4"/>
      <c r="O554" s="3"/>
      <c r="P554" s="2"/>
      <c r="Q554" s="1"/>
    </row>
    <row r="555" spans="12:17" ht="15.75" customHeight="1" x14ac:dyDescent="0.25">
      <c r="L555" s="4"/>
      <c r="M555" s="4"/>
      <c r="N555" s="4"/>
      <c r="O555" s="3"/>
      <c r="P555" s="2"/>
      <c r="Q555" s="1"/>
    </row>
    <row r="556" spans="12:17" ht="15.75" customHeight="1" x14ac:dyDescent="0.25">
      <c r="L556" s="4"/>
      <c r="M556" s="4"/>
      <c r="N556" s="4"/>
      <c r="O556" s="3"/>
      <c r="P556" s="2"/>
      <c r="Q556" s="1"/>
    </row>
    <row r="557" spans="12:17" ht="15.75" customHeight="1" x14ac:dyDescent="0.25">
      <c r="L557" s="4"/>
      <c r="M557" s="4"/>
      <c r="N557" s="4"/>
      <c r="O557" s="3"/>
      <c r="P557" s="2"/>
      <c r="Q557" s="1"/>
    </row>
    <row r="558" spans="12:17" ht="15.75" customHeight="1" x14ac:dyDescent="0.25">
      <c r="L558" s="4"/>
      <c r="M558" s="4"/>
      <c r="N558" s="4"/>
      <c r="O558" s="3"/>
      <c r="P558" s="2"/>
      <c r="Q558" s="1"/>
    </row>
    <row r="559" spans="12:17" ht="15.75" customHeight="1" x14ac:dyDescent="0.25">
      <c r="L559" s="4"/>
      <c r="M559" s="4"/>
      <c r="N559" s="4"/>
      <c r="O559" s="3"/>
      <c r="P559" s="2"/>
      <c r="Q559" s="1"/>
    </row>
    <row r="560" spans="12:17" ht="15.75" customHeight="1" x14ac:dyDescent="0.25">
      <c r="L560" s="4"/>
      <c r="M560" s="4"/>
      <c r="N560" s="4"/>
      <c r="O560" s="3"/>
      <c r="P560" s="2"/>
      <c r="Q560" s="1"/>
    </row>
    <row r="561" spans="12:17" ht="15.75" customHeight="1" x14ac:dyDescent="0.25">
      <c r="L561" s="4"/>
      <c r="M561" s="4"/>
      <c r="N561" s="4"/>
      <c r="O561" s="3"/>
      <c r="P561" s="2"/>
      <c r="Q561" s="1"/>
    </row>
    <row r="562" spans="12:17" ht="15.75" customHeight="1" x14ac:dyDescent="0.25">
      <c r="L562" s="4"/>
      <c r="M562" s="4"/>
      <c r="N562" s="4"/>
      <c r="O562" s="3"/>
      <c r="P562" s="2"/>
      <c r="Q562" s="1"/>
    </row>
    <row r="563" spans="12:17" ht="15.75" customHeight="1" x14ac:dyDescent="0.25">
      <c r="L563" s="4"/>
      <c r="M563" s="4"/>
      <c r="N563" s="4"/>
      <c r="O563" s="3"/>
      <c r="P563" s="2"/>
      <c r="Q563" s="1"/>
    </row>
    <row r="564" spans="12:17" ht="15.75" customHeight="1" x14ac:dyDescent="0.25">
      <c r="L564" s="4"/>
      <c r="M564" s="4"/>
      <c r="N564" s="4"/>
      <c r="O564" s="3"/>
      <c r="P564" s="2"/>
      <c r="Q564" s="1"/>
    </row>
    <row r="565" spans="12:17" ht="15.75" customHeight="1" x14ac:dyDescent="0.25">
      <c r="L565" s="4"/>
      <c r="M565" s="4"/>
      <c r="N565" s="4"/>
      <c r="O565" s="3"/>
      <c r="P565" s="2"/>
      <c r="Q565" s="1"/>
    </row>
    <row r="566" spans="12:17" ht="15.75" customHeight="1" x14ac:dyDescent="0.25">
      <c r="L566" s="4"/>
      <c r="M566" s="4"/>
      <c r="N566" s="4"/>
      <c r="O566" s="3"/>
      <c r="P566" s="2"/>
      <c r="Q566" s="1"/>
    </row>
    <row r="567" spans="12:17" ht="15.75" customHeight="1" x14ac:dyDescent="0.25">
      <c r="L567" s="4"/>
      <c r="M567" s="4"/>
      <c r="N567" s="4"/>
      <c r="O567" s="3"/>
      <c r="P567" s="2"/>
      <c r="Q567" s="1"/>
    </row>
    <row r="568" spans="12:17" ht="15.75" customHeight="1" x14ac:dyDescent="0.25">
      <c r="L568" s="4"/>
      <c r="M568" s="4"/>
      <c r="N568" s="4"/>
      <c r="O568" s="3"/>
      <c r="P568" s="2"/>
      <c r="Q568" s="1"/>
    </row>
    <row r="569" spans="12:17" ht="15.75" customHeight="1" x14ac:dyDescent="0.25">
      <c r="L569" s="4"/>
      <c r="M569" s="4"/>
      <c r="N569" s="4"/>
      <c r="O569" s="3"/>
      <c r="P569" s="2"/>
      <c r="Q569" s="1"/>
    </row>
    <row r="570" spans="12:17" ht="15.75" customHeight="1" x14ac:dyDescent="0.25">
      <c r="L570" s="4"/>
      <c r="M570" s="4"/>
      <c r="N570" s="4"/>
      <c r="O570" s="3"/>
      <c r="P570" s="2"/>
      <c r="Q570" s="1"/>
    </row>
    <row r="571" spans="12:17" ht="15.75" customHeight="1" x14ac:dyDescent="0.25">
      <c r="L571" s="4"/>
      <c r="M571" s="4"/>
      <c r="N571" s="4"/>
      <c r="O571" s="3"/>
      <c r="P571" s="2"/>
      <c r="Q571" s="1"/>
    </row>
    <row r="572" spans="12:17" ht="15.75" customHeight="1" x14ac:dyDescent="0.25">
      <c r="L572" s="4"/>
      <c r="M572" s="4"/>
      <c r="N572" s="4"/>
      <c r="O572" s="3"/>
      <c r="P572" s="2"/>
      <c r="Q572" s="1"/>
    </row>
    <row r="573" spans="12:17" ht="15.75" customHeight="1" x14ac:dyDescent="0.25">
      <c r="L573" s="4"/>
      <c r="M573" s="4"/>
      <c r="N573" s="4"/>
      <c r="O573" s="3"/>
      <c r="P573" s="2"/>
      <c r="Q573" s="1"/>
    </row>
    <row r="574" spans="12:17" ht="15.75" customHeight="1" x14ac:dyDescent="0.25">
      <c r="L574" s="4"/>
      <c r="M574" s="4"/>
      <c r="N574" s="4"/>
      <c r="O574" s="3"/>
      <c r="P574" s="2"/>
      <c r="Q574" s="1"/>
    </row>
    <row r="575" spans="12:17" ht="15.75" customHeight="1" x14ac:dyDescent="0.25">
      <c r="L575" s="4"/>
      <c r="M575" s="4"/>
      <c r="N575" s="4"/>
      <c r="O575" s="3"/>
      <c r="P575" s="2"/>
      <c r="Q575" s="1"/>
    </row>
    <row r="576" spans="12:17" ht="15.75" customHeight="1" x14ac:dyDescent="0.25">
      <c r="L576" s="4"/>
      <c r="M576" s="4"/>
      <c r="N576" s="4"/>
      <c r="O576" s="3"/>
      <c r="P576" s="2"/>
      <c r="Q576" s="1"/>
    </row>
    <row r="577" spans="12:17" ht="15.75" customHeight="1" x14ac:dyDescent="0.25">
      <c r="L577" s="4"/>
      <c r="M577" s="4"/>
      <c r="N577" s="4"/>
      <c r="O577" s="3"/>
      <c r="P577" s="2"/>
      <c r="Q577" s="1"/>
    </row>
    <row r="578" spans="12:17" ht="15.75" customHeight="1" x14ac:dyDescent="0.25">
      <c r="L578" s="4"/>
      <c r="M578" s="4"/>
      <c r="N578" s="4"/>
      <c r="O578" s="3"/>
      <c r="P578" s="2"/>
      <c r="Q578" s="1"/>
    </row>
    <row r="579" spans="12:17" ht="15.75" customHeight="1" x14ac:dyDescent="0.25">
      <c r="L579" s="4"/>
      <c r="M579" s="4"/>
      <c r="N579" s="4"/>
      <c r="O579" s="3"/>
      <c r="P579" s="2"/>
      <c r="Q579" s="1"/>
    </row>
    <row r="580" spans="12:17" ht="15.75" customHeight="1" x14ac:dyDescent="0.25">
      <c r="L580" s="4"/>
      <c r="M580" s="4"/>
      <c r="N580" s="4"/>
      <c r="O580" s="3"/>
      <c r="P580" s="2"/>
      <c r="Q580" s="1"/>
    </row>
    <row r="581" spans="12:17" ht="15.75" customHeight="1" x14ac:dyDescent="0.25">
      <c r="L581" s="4"/>
      <c r="M581" s="4"/>
      <c r="N581" s="4"/>
      <c r="O581" s="3"/>
      <c r="P581" s="2"/>
      <c r="Q581" s="1"/>
    </row>
    <row r="582" spans="12:17" ht="15.75" customHeight="1" x14ac:dyDescent="0.25">
      <c r="L582" s="4"/>
      <c r="M582" s="4"/>
      <c r="N582" s="4"/>
      <c r="O582" s="3"/>
      <c r="P582" s="2"/>
      <c r="Q582" s="1"/>
    </row>
    <row r="583" spans="12:17" ht="15.75" customHeight="1" x14ac:dyDescent="0.25">
      <c r="L583" s="4"/>
      <c r="M583" s="4"/>
      <c r="N583" s="4"/>
      <c r="O583" s="3"/>
      <c r="P583" s="2"/>
      <c r="Q583" s="1"/>
    </row>
    <row r="584" spans="12:17" ht="15.75" customHeight="1" x14ac:dyDescent="0.25">
      <c r="L584" s="4"/>
      <c r="M584" s="4"/>
      <c r="N584" s="4"/>
      <c r="O584" s="3"/>
      <c r="P584" s="2"/>
      <c r="Q584" s="1"/>
    </row>
    <row r="585" spans="12:17" ht="15.75" customHeight="1" x14ac:dyDescent="0.25">
      <c r="L585" s="4"/>
      <c r="M585" s="4"/>
      <c r="N585" s="4"/>
      <c r="O585" s="3"/>
      <c r="P585" s="2"/>
      <c r="Q585" s="1"/>
    </row>
    <row r="586" spans="12:17" ht="15.75" customHeight="1" x14ac:dyDescent="0.25">
      <c r="L586" s="4"/>
      <c r="M586" s="4"/>
      <c r="N586" s="4"/>
      <c r="O586" s="3"/>
      <c r="P586" s="2"/>
      <c r="Q586" s="1"/>
    </row>
    <row r="587" spans="12:17" ht="15.75" customHeight="1" x14ac:dyDescent="0.25">
      <c r="L587" s="4"/>
      <c r="M587" s="4"/>
      <c r="N587" s="4"/>
      <c r="O587" s="3"/>
      <c r="P587" s="2"/>
      <c r="Q587" s="1"/>
    </row>
    <row r="588" spans="12:17" ht="15.75" customHeight="1" x14ac:dyDescent="0.25">
      <c r="L588" s="4"/>
      <c r="M588" s="4"/>
      <c r="N588" s="4"/>
      <c r="O588" s="3"/>
      <c r="P588" s="2"/>
      <c r="Q588" s="1"/>
    </row>
    <row r="589" spans="12:17" ht="15.75" customHeight="1" x14ac:dyDescent="0.25">
      <c r="L589" s="4"/>
      <c r="M589" s="4"/>
      <c r="N589" s="4"/>
      <c r="O589" s="3"/>
      <c r="P589" s="2"/>
      <c r="Q589" s="1"/>
    </row>
    <row r="590" spans="12:17" ht="15.75" customHeight="1" x14ac:dyDescent="0.25">
      <c r="L590" s="4"/>
      <c r="M590" s="4"/>
      <c r="N590" s="4"/>
      <c r="O590" s="3"/>
      <c r="P590" s="2"/>
      <c r="Q590" s="1"/>
    </row>
    <row r="591" spans="12:17" ht="15.75" customHeight="1" x14ac:dyDescent="0.25">
      <c r="L591" s="4"/>
      <c r="M591" s="4"/>
      <c r="N591" s="4"/>
      <c r="O591" s="3"/>
      <c r="P591" s="2"/>
      <c r="Q591" s="1"/>
    </row>
    <row r="592" spans="12:17" ht="15.75" customHeight="1" x14ac:dyDescent="0.25">
      <c r="L592" s="4"/>
      <c r="M592" s="4"/>
      <c r="N592" s="4"/>
      <c r="O592" s="3"/>
      <c r="P592" s="2"/>
      <c r="Q592" s="1"/>
    </row>
    <row r="593" spans="12:17" ht="15.75" customHeight="1" x14ac:dyDescent="0.25">
      <c r="L593" s="4"/>
      <c r="M593" s="4"/>
      <c r="N593" s="4"/>
      <c r="O593" s="3"/>
      <c r="P593" s="2"/>
      <c r="Q593" s="1"/>
    </row>
    <row r="594" spans="12:17" ht="15.75" customHeight="1" x14ac:dyDescent="0.25">
      <c r="L594" s="4"/>
      <c r="M594" s="4"/>
      <c r="N594" s="4"/>
      <c r="O594" s="3"/>
      <c r="P594" s="2"/>
      <c r="Q594" s="1"/>
    </row>
    <row r="595" spans="12:17" ht="15.75" customHeight="1" x14ac:dyDescent="0.25">
      <c r="L595" s="4"/>
      <c r="M595" s="4"/>
      <c r="N595" s="4"/>
      <c r="O595" s="3"/>
      <c r="P595" s="2"/>
      <c r="Q595" s="1"/>
    </row>
    <row r="596" spans="12:17" ht="15.75" customHeight="1" x14ac:dyDescent="0.25">
      <c r="L596" s="4"/>
      <c r="M596" s="4"/>
      <c r="N596" s="4"/>
      <c r="O596" s="3"/>
      <c r="P596" s="2"/>
      <c r="Q596" s="1"/>
    </row>
    <row r="597" spans="12:17" ht="15.75" customHeight="1" x14ac:dyDescent="0.25">
      <c r="L597" s="4"/>
      <c r="M597" s="4"/>
      <c r="N597" s="4"/>
      <c r="O597" s="3"/>
      <c r="P597" s="2"/>
      <c r="Q597" s="1"/>
    </row>
    <row r="598" spans="12:17" ht="15.75" customHeight="1" x14ac:dyDescent="0.25">
      <c r="L598" s="4"/>
      <c r="M598" s="4"/>
      <c r="N598" s="4"/>
      <c r="O598" s="3"/>
      <c r="P598" s="2"/>
      <c r="Q598" s="1"/>
    </row>
    <row r="599" spans="12:17" ht="15.75" customHeight="1" x14ac:dyDescent="0.25">
      <c r="L599" s="4"/>
      <c r="M599" s="4"/>
      <c r="N599" s="4"/>
      <c r="O599" s="3"/>
      <c r="P599" s="2"/>
      <c r="Q599" s="1"/>
    </row>
    <row r="600" spans="12:17" ht="15.75" customHeight="1" x14ac:dyDescent="0.25">
      <c r="L600" s="4"/>
      <c r="M600" s="4"/>
      <c r="N600" s="4"/>
      <c r="O600" s="3"/>
      <c r="P600" s="2"/>
      <c r="Q600" s="1"/>
    </row>
    <row r="601" spans="12:17" ht="15.75" customHeight="1" x14ac:dyDescent="0.25">
      <c r="L601" s="4"/>
      <c r="M601" s="4"/>
      <c r="N601" s="4"/>
      <c r="O601" s="3"/>
      <c r="P601" s="2"/>
      <c r="Q601" s="1"/>
    </row>
    <row r="602" spans="12:17" ht="15.75" customHeight="1" x14ac:dyDescent="0.25">
      <c r="L602" s="4"/>
      <c r="M602" s="4"/>
      <c r="N602" s="4"/>
      <c r="O602" s="3"/>
      <c r="P602" s="2"/>
      <c r="Q602" s="1"/>
    </row>
    <row r="603" spans="12:17" ht="15.75" customHeight="1" x14ac:dyDescent="0.25">
      <c r="L603" s="4"/>
      <c r="M603" s="4"/>
      <c r="N603" s="4"/>
      <c r="O603" s="3"/>
      <c r="P603" s="2"/>
      <c r="Q603" s="1"/>
    </row>
    <row r="604" spans="12:17" ht="15.75" customHeight="1" x14ac:dyDescent="0.25">
      <c r="L604" s="4"/>
      <c r="M604" s="4"/>
      <c r="N604" s="4"/>
      <c r="O604" s="3"/>
      <c r="P604" s="2"/>
      <c r="Q604" s="1"/>
    </row>
    <row r="605" spans="12:17" ht="15.75" customHeight="1" x14ac:dyDescent="0.25">
      <c r="L605" s="4"/>
      <c r="M605" s="4"/>
      <c r="N605" s="4"/>
      <c r="O605" s="3"/>
      <c r="P605" s="2"/>
      <c r="Q605" s="1"/>
    </row>
    <row r="606" spans="12:17" ht="15.75" customHeight="1" x14ac:dyDescent="0.25">
      <c r="L606" s="4"/>
      <c r="M606" s="4"/>
      <c r="N606" s="4"/>
      <c r="O606" s="3"/>
      <c r="P606" s="2"/>
      <c r="Q606" s="1"/>
    </row>
    <row r="607" spans="12:17" ht="15.75" customHeight="1" x14ac:dyDescent="0.25">
      <c r="L607" s="4"/>
      <c r="M607" s="4"/>
      <c r="N607" s="4"/>
      <c r="O607" s="3"/>
      <c r="P607" s="2"/>
      <c r="Q607" s="1"/>
    </row>
    <row r="608" spans="12:17" ht="15.75" customHeight="1" x14ac:dyDescent="0.25">
      <c r="L608" s="4"/>
      <c r="M608" s="4"/>
      <c r="N608" s="4"/>
      <c r="O608" s="3"/>
      <c r="P608" s="2"/>
      <c r="Q608" s="1"/>
    </row>
    <row r="609" spans="12:17" ht="15.75" customHeight="1" x14ac:dyDescent="0.25">
      <c r="L609" s="4"/>
      <c r="M609" s="4"/>
      <c r="N609" s="4"/>
      <c r="O609" s="3"/>
      <c r="P609" s="2"/>
      <c r="Q609" s="1"/>
    </row>
    <row r="610" spans="12:17" ht="15.75" customHeight="1" x14ac:dyDescent="0.25">
      <c r="L610" s="4"/>
      <c r="M610" s="4"/>
      <c r="N610" s="4"/>
      <c r="O610" s="3"/>
      <c r="P610" s="2"/>
      <c r="Q610" s="1"/>
    </row>
    <row r="611" spans="12:17" ht="15.75" customHeight="1" x14ac:dyDescent="0.25">
      <c r="L611" s="4"/>
      <c r="M611" s="4"/>
      <c r="N611" s="4"/>
      <c r="O611" s="3"/>
      <c r="P611" s="2"/>
      <c r="Q611" s="1"/>
    </row>
    <row r="612" spans="12:17" ht="15.75" customHeight="1" x14ac:dyDescent="0.25">
      <c r="L612" s="4"/>
      <c r="M612" s="4"/>
      <c r="N612" s="4"/>
      <c r="O612" s="3"/>
      <c r="P612" s="2"/>
      <c r="Q612" s="1"/>
    </row>
    <row r="613" spans="12:17" ht="15.75" customHeight="1" x14ac:dyDescent="0.25">
      <c r="L613" s="4"/>
      <c r="M613" s="4"/>
      <c r="N613" s="4"/>
      <c r="O613" s="3"/>
      <c r="P613" s="2"/>
      <c r="Q613" s="1"/>
    </row>
    <row r="614" spans="12:17" ht="15.75" customHeight="1" x14ac:dyDescent="0.25">
      <c r="L614" s="4"/>
      <c r="M614" s="4"/>
      <c r="N614" s="4"/>
      <c r="O614" s="3"/>
      <c r="P614" s="2"/>
      <c r="Q614" s="1"/>
    </row>
    <row r="615" spans="12:17" ht="15.75" customHeight="1" x14ac:dyDescent="0.25">
      <c r="L615" s="4"/>
      <c r="M615" s="4"/>
      <c r="N615" s="4"/>
      <c r="O615" s="3"/>
      <c r="P615" s="2"/>
      <c r="Q615" s="1"/>
    </row>
    <row r="616" spans="12:17" ht="15.75" customHeight="1" x14ac:dyDescent="0.25">
      <c r="L616" s="4"/>
      <c r="M616" s="4"/>
      <c r="N616" s="4"/>
      <c r="O616" s="3"/>
      <c r="P616" s="2"/>
      <c r="Q616" s="1"/>
    </row>
    <row r="617" spans="12:17" ht="15.75" customHeight="1" x14ac:dyDescent="0.25">
      <c r="L617" s="4"/>
      <c r="M617" s="4"/>
      <c r="N617" s="4"/>
      <c r="O617" s="3"/>
      <c r="P617" s="2"/>
      <c r="Q617" s="1"/>
    </row>
    <row r="618" spans="12:17" ht="15.75" customHeight="1" x14ac:dyDescent="0.25">
      <c r="L618" s="4"/>
      <c r="M618" s="4"/>
      <c r="N618" s="4"/>
      <c r="O618" s="3"/>
      <c r="P618" s="2"/>
      <c r="Q618" s="1"/>
    </row>
    <row r="619" spans="12:17" ht="15.75" customHeight="1" x14ac:dyDescent="0.25">
      <c r="L619" s="4"/>
      <c r="M619" s="4"/>
      <c r="N619" s="4"/>
      <c r="O619" s="3"/>
      <c r="P619" s="2"/>
      <c r="Q619" s="1"/>
    </row>
    <row r="620" spans="12:17" ht="15.75" customHeight="1" x14ac:dyDescent="0.25">
      <c r="L620" s="4"/>
      <c r="M620" s="4"/>
      <c r="N620" s="4"/>
      <c r="O620" s="3"/>
      <c r="P620" s="2"/>
      <c r="Q620" s="1"/>
    </row>
    <row r="621" spans="12:17" ht="15.75" customHeight="1" x14ac:dyDescent="0.25">
      <c r="L621" s="4"/>
      <c r="M621" s="4"/>
      <c r="N621" s="4"/>
      <c r="O621" s="3"/>
      <c r="P621" s="2"/>
      <c r="Q621" s="1"/>
    </row>
    <row r="622" spans="12:17" ht="15.75" customHeight="1" x14ac:dyDescent="0.25">
      <c r="L622" s="4"/>
      <c r="M622" s="4"/>
      <c r="N622" s="4"/>
      <c r="O622" s="3"/>
      <c r="P622" s="2"/>
      <c r="Q622" s="1"/>
    </row>
    <row r="623" spans="12:17" ht="15.75" customHeight="1" x14ac:dyDescent="0.25">
      <c r="L623" s="4"/>
      <c r="M623" s="4"/>
      <c r="N623" s="4"/>
      <c r="O623" s="3"/>
      <c r="P623" s="2"/>
      <c r="Q623" s="1"/>
    </row>
    <row r="624" spans="12:17" ht="15.75" customHeight="1" x14ac:dyDescent="0.25">
      <c r="L624" s="4"/>
      <c r="M624" s="4"/>
      <c r="N624" s="4"/>
      <c r="O624" s="3"/>
      <c r="P624" s="2"/>
      <c r="Q624" s="1"/>
    </row>
    <row r="625" spans="12:17" ht="15.75" customHeight="1" x14ac:dyDescent="0.25">
      <c r="L625" s="4"/>
      <c r="M625" s="4"/>
      <c r="N625" s="4"/>
      <c r="O625" s="3"/>
      <c r="P625" s="2"/>
      <c r="Q625" s="1"/>
    </row>
    <row r="626" spans="12:17" ht="15.75" customHeight="1" x14ac:dyDescent="0.25">
      <c r="L626" s="4"/>
      <c r="M626" s="4"/>
      <c r="N626" s="4"/>
      <c r="O626" s="3"/>
      <c r="P626" s="2"/>
      <c r="Q626" s="1"/>
    </row>
    <row r="627" spans="12:17" ht="15.75" customHeight="1" x14ac:dyDescent="0.25">
      <c r="L627" s="4"/>
      <c r="M627" s="4"/>
      <c r="N627" s="4"/>
      <c r="O627" s="3"/>
      <c r="P627" s="2"/>
      <c r="Q627" s="1"/>
    </row>
    <row r="628" spans="12:17" ht="15.75" customHeight="1" x14ac:dyDescent="0.25">
      <c r="L628" s="4"/>
      <c r="M628" s="4"/>
      <c r="N628" s="4"/>
      <c r="O628" s="3"/>
      <c r="P628" s="2"/>
      <c r="Q628" s="1"/>
    </row>
    <row r="629" spans="12:17" ht="15.75" customHeight="1" x14ac:dyDescent="0.25">
      <c r="L629" s="4"/>
      <c r="M629" s="4"/>
      <c r="N629" s="4"/>
      <c r="O629" s="3"/>
      <c r="P629" s="2"/>
      <c r="Q629" s="1"/>
    </row>
    <row r="630" spans="12:17" ht="15.75" customHeight="1" x14ac:dyDescent="0.25">
      <c r="L630" s="4"/>
      <c r="M630" s="4"/>
      <c r="N630" s="4"/>
      <c r="O630" s="3"/>
      <c r="P630" s="2"/>
      <c r="Q630" s="1"/>
    </row>
    <row r="631" spans="12:17" ht="15.75" customHeight="1" x14ac:dyDescent="0.25">
      <c r="L631" s="4"/>
      <c r="M631" s="4"/>
      <c r="N631" s="4"/>
      <c r="O631" s="3"/>
      <c r="P631" s="2"/>
      <c r="Q631" s="1"/>
    </row>
    <row r="632" spans="12:17" ht="15.75" customHeight="1" x14ac:dyDescent="0.25">
      <c r="L632" s="4"/>
      <c r="M632" s="4"/>
      <c r="N632" s="4"/>
      <c r="O632" s="3"/>
      <c r="P632" s="2"/>
      <c r="Q632" s="1"/>
    </row>
    <row r="633" spans="12:17" ht="15.75" customHeight="1" x14ac:dyDescent="0.25">
      <c r="L633" s="4"/>
      <c r="M633" s="4"/>
      <c r="N633" s="4"/>
      <c r="O633" s="3"/>
      <c r="P633" s="2"/>
      <c r="Q633" s="1"/>
    </row>
    <row r="634" spans="12:17" ht="15.75" customHeight="1" x14ac:dyDescent="0.25">
      <c r="L634" s="4"/>
      <c r="M634" s="4"/>
      <c r="N634" s="4"/>
      <c r="O634" s="3"/>
      <c r="P634" s="2"/>
      <c r="Q634" s="1"/>
    </row>
    <row r="635" spans="12:17" ht="15.75" customHeight="1" x14ac:dyDescent="0.25">
      <c r="L635" s="4"/>
      <c r="M635" s="4"/>
      <c r="N635" s="4"/>
      <c r="O635" s="3"/>
      <c r="P635" s="2"/>
      <c r="Q635" s="1"/>
    </row>
    <row r="636" spans="12:17" ht="15.75" customHeight="1" x14ac:dyDescent="0.25">
      <c r="L636" s="4"/>
      <c r="M636" s="4"/>
      <c r="N636" s="4"/>
      <c r="O636" s="3"/>
      <c r="P636" s="2"/>
      <c r="Q636" s="1"/>
    </row>
    <row r="637" spans="12:17" ht="15.75" customHeight="1" x14ac:dyDescent="0.25">
      <c r="L637" s="4"/>
      <c r="M637" s="4"/>
      <c r="N637" s="4"/>
      <c r="O637" s="3"/>
      <c r="P637" s="2"/>
      <c r="Q637" s="1"/>
    </row>
    <row r="638" spans="12:17" ht="15.75" customHeight="1" x14ac:dyDescent="0.25">
      <c r="L638" s="4"/>
      <c r="M638" s="4"/>
      <c r="N638" s="4"/>
      <c r="O638" s="3"/>
      <c r="P638" s="2"/>
      <c r="Q638" s="1"/>
    </row>
    <row r="639" spans="12:17" ht="15.75" customHeight="1" x14ac:dyDescent="0.25">
      <c r="L639" s="4"/>
      <c r="M639" s="4"/>
      <c r="N639" s="4"/>
      <c r="O639" s="3"/>
      <c r="P639" s="2"/>
      <c r="Q639" s="1"/>
    </row>
    <row r="640" spans="12:17" ht="15.75" customHeight="1" x14ac:dyDescent="0.25">
      <c r="L640" s="4"/>
      <c r="M640" s="4"/>
      <c r="N640" s="4"/>
      <c r="O640" s="3"/>
      <c r="P640" s="2"/>
      <c r="Q640" s="1"/>
    </row>
    <row r="641" spans="12:17" ht="15.75" customHeight="1" x14ac:dyDescent="0.25">
      <c r="L641" s="4"/>
      <c r="M641" s="4"/>
      <c r="N641" s="4"/>
      <c r="O641" s="3"/>
      <c r="P641" s="2"/>
      <c r="Q641" s="1"/>
    </row>
    <row r="642" spans="12:17" ht="15.75" customHeight="1" x14ac:dyDescent="0.25">
      <c r="L642" s="4"/>
      <c r="M642" s="4"/>
      <c r="N642" s="4"/>
      <c r="O642" s="3"/>
      <c r="P642" s="2"/>
      <c r="Q642" s="1"/>
    </row>
    <row r="643" spans="12:17" ht="15.75" customHeight="1" x14ac:dyDescent="0.25">
      <c r="L643" s="4"/>
      <c r="M643" s="4"/>
      <c r="N643" s="4"/>
      <c r="O643" s="3"/>
      <c r="P643" s="2"/>
      <c r="Q643" s="1"/>
    </row>
    <row r="644" spans="12:17" ht="15.75" customHeight="1" x14ac:dyDescent="0.25">
      <c r="L644" s="4"/>
      <c r="M644" s="4"/>
      <c r="N644" s="4"/>
      <c r="O644" s="3"/>
      <c r="P644" s="2"/>
      <c r="Q644" s="1"/>
    </row>
    <row r="645" spans="12:17" ht="15.75" customHeight="1" x14ac:dyDescent="0.25">
      <c r="L645" s="4"/>
      <c r="M645" s="4"/>
      <c r="N645" s="4"/>
      <c r="O645" s="3"/>
      <c r="P645" s="2"/>
      <c r="Q645" s="1"/>
    </row>
    <row r="646" spans="12:17" ht="15.75" customHeight="1" x14ac:dyDescent="0.25">
      <c r="L646" s="4"/>
      <c r="M646" s="4"/>
      <c r="N646" s="4"/>
      <c r="O646" s="3"/>
      <c r="P646" s="2"/>
      <c r="Q646" s="1"/>
    </row>
    <row r="647" spans="12:17" ht="15.75" customHeight="1" x14ac:dyDescent="0.25">
      <c r="L647" s="4"/>
      <c r="M647" s="4"/>
      <c r="N647" s="4"/>
      <c r="O647" s="3"/>
      <c r="P647" s="2"/>
      <c r="Q647" s="1"/>
    </row>
    <row r="648" spans="12:17" ht="15.75" customHeight="1" x14ac:dyDescent="0.25">
      <c r="L648" s="4"/>
      <c r="M648" s="4"/>
      <c r="N648" s="4"/>
      <c r="O648" s="3"/>
      <c r="P648" s="2"/>
      <c r="Q648" s="1"/>
    </row>
    <row r="649" spans="12:17" ht="15.75" customHeight="1" x14ac:dyDescent="0.25">
      <c r="L649" s="4"/>
      <c r="M649" s="4"/>
      <c r="N649" s="4"/>
      <c r="O649" s="3"/>
      <c r="P649" s="2"/>
      <c r="Q649" s="1"/>
    </row>
    <row r="650" spans="12:17" ht="15.75" customHeight="1" x14ac:dyDescent="0.25">
      <c r="L650" s="4"/>
      <c r="M650" s="4"/>
      <c r="N650" s="4"/>
      <c r="O650" s="3"/>
      <c r="P650" s="2"/>
      <c r="Q650" s="1"/>
    </row>
    <row r="651" spans="12:17" ht="15.75" customHeight="1" x14ac:dyDescent="0.25">
      <c r="L651" s="4"/>
      <c r="M651" s="4"/>
      <c r="N651" s="4"/>
      <c r="O651" s="3"/>
      <c r="P651" s="2"/>
      <c r="Q651" s="1"/>
    </row>
    <row r="652" spans="12:17" ht="15.75" customHeight="1" x14ac:dyDescent="0.25">
      <c r="L652" s="4"/>
      <c r="M652" s="4"/>
      <c r="N652" s="4"/>
      <c r="O652" s="3"/>
      <c r="P652" s="2"/>
      <c r="Q652" s="1"/>
    </row>
    <row r="653" spans="12:17" ht="15.75" customHeight="1" x14ac:dyDescent="0.25">
      <c r="L653" s="4"/>
      <c r="M653" s="4"/>
      <c r="N653" s="4"/>
      <c r="O653" s="3"/>
      <c r="P653" s="2"/>
      <c r="Q653" s="1"/>
    </row>
    <row r="654" spans="12:17" ht="15.75" customHeight="1" x14ac:dyDescent="0.25">
      <c r="L654" s="4"/>
      <c r="M654" s="4"/>
      <c r="N654" s="4"/>
      <c r="O654" s="3"/>
      <c r="P654" s="2"/>
      <c r="Q654" s="1"/>
    </row>
    <row r="655" spans="12:17" ht="15.75" customHeight="1" x14ac:dyDescent="0.25">
      <c r="L655" s="4"/>
      <c r="M655" s="4"/>
      <c r="N655" s="4"/>
      <c r="O655" s="3"/>
      <c r="P655" s="2"/>
      <c r="Q655" s="1"/>
    </row>
    <row r="656" spans="12:17" ht="15.75" customHeight="1" x14ac:dyDescent="0.25">
      <c r="L656" s="4"/>
      <c r="M656" s="4"/>
      <c r="N656" s="4"/>
      <c r="O656" s="3"/>
      <c r="P656" s="2"/>
      <c r="Q656" s="1"/>
    </row>
    <row r="657" spans="12:17" ht="15.75" customHeight="1" x14ac:dyDescent="0.25">
      <c r="L657" s="4"/>
      <c r="M657" s="4"/>
      <c r="N657" s="4"/>
      <c r="O657" s="3"/>
      <c r="P657" s="2"/>
      <c r="Q657" s="1"/>
    </row>
    <row r="658" spans="12:17" ht="15.75" customHeight="1" x14ac:dyDescent="0.25">
      <c r="L658" s="4"/>
      <c r="M658" s="4"/>
      <c r="N658" s="4"/>
      <c r="O658" s="3"/>
      <c r="P658" s="2"/>
      <c r="Q658" s="1"/>
    </row>
    <row r="659" spans="12:17" ht="15.75" customHeight="1" x14ac:dyDescent="0.25">
      <c r="L659" s="4"/>
      <c r="M659" s="4"/>
      <c r="N659" s="4"/>
      <c r="O659" s="3"/>
      <c r="P659" s="2"/>
      <c r="Q659" s="1"/>
    </row>
    <row r="660" spans="12:17" ht="15.75" customHeight="1" x14ac:dyDescent="0.25">
      <c r="L660" s="4"/>
      <c r="M660" s="4"/>
      <c r="N660" s="4"/>
      <c r="O660" s="3"/>
      <c r="P660" s="2"/>
      <c r="Q660" s="1"/>
    </row>
    <row r="661" spans="12:17" ht="15.75" customHeight="1" x14ac:dyDescent="0.25">
      <c r="L661" s="4"/>
      <c r="M661" s="4"/>
      <c r="N661" s="4"/>
      <c r="O661" s="3"/>
      <c r="P661" s="2"/>
      <c r="Q661" s="1"/>
    </row>
    <row r="662" spans="12:17" ht="15.75" customHeight="1" x14ac:dyDescent="0.25">
      <c r="L662" s="4"/>
      <c r="M662" s="4"/>
      <c r="N662" s="4"/>
      <c r="O662" s="3"/>
      <c r="P662" s="2"/>
      <c r="Q662" s="1"/>
    </row>
    <row r="663" spans="12:17" ht="15.75" customHeight="1" x14ac:dyDescent="0.25">
      <c r="L663" s="4"/>
      <c r="M663" s="4"/>
      <c r="N663" s="4"/>
      <c r="O663" s="3"/>
      <c r="P663" s="2"/>
      <c r="Q663" s="1"/>
    </row>
    <row r="664" spans="12:17" ht="15.75" customHeight="1" x14ac:dyDescent="0.25">
      <c r="L664" s="4"/>
      <c r="M664" s="4"/>
      <c r="N664" s="4"/>
      <c r="O664" s="3"/>
      <c r="P664" s="2"/>
      <c r="Q664" s="1"/>
    </row>
    <row r="665" spans="12:17" ht="15.75" customHeight="1" x14ac:dyDescent="0.25">
      <c r="L665" s="4"/>
      <c r="M665" s="4"/>
      <c r="N665" s="4"/>
      <c r="O665" s="3"/>
      <c r="P665" s="2"/>
      <c r="Q665" s="1"/>
    </row>
    <row r="666" spans="12:17" ht="15.75" customHeight="1" x14ac:dyDescent="0.25">
      <c r="L666" s="4"/>
      <c r="M666" s="4"/>
      <c r="N666" s="4"/>
      <c r="O666" s="3"/>
      <c r="P666" s="2"/>
      <c r="Q666" s="1"/>
    </row>
    <row r="667" spans="12:17" ht="15.75" customHeight="1" x14ac:dyDescent="0.25">
      <c r="L667" s="4"/>
      <c r="M667" s="4"/>
      <c r="N667" s="4"/>
      <c r="O667" s="3"/>
      <c r="P667" s="2"/>
      <c r="Q667" s="1"/>
    </row>
    <row r="668" spans="12:17" ht="15.75" customHeight="1" x14ac:dyDescent="0.25">
      <c r="L668" s="4"/>
      <c r="M668" s="4"/>
      <c r="N668" s="4"/>
      <c r="O668" s="3"/>
      <c r="P668" s="2"/>
      <c r="Q668" s="1"/>
    </row>
    <row r="669" spans="12:17" ht="15.75" customHeight="1" x14ac:dyDescent="0.25">
      <c r="L669" s="4"/>
      <c r="M669" s="4"/>
      <c r="N669" s="4"/>
      <c r="O669" s="3"/>
      <c r="P669" s="2"/>
      <c r="Q669" s="1"/>
    </row>
    <row r="670" spans="12:17" ht="15.75" customHeight="1" x14ac:dyDescent="0.25">
      <c r="L670" s="4"/>
      <c r="M670" s="4"/>
      <c r="N670" s="4"/>
      <c r="O670" s="3"/>
      <c r="P670" s="2"/>
      <c r="Q670" s="1"/>
    </row>
    <row r="671" spans="12:17" ht="15.75" customHeight="1" x14ac:dyDescent="0.25">
      <c r="L671" s="4"/>
      <c r="M671" s="4"/>
      <c r="N671" s="4"/>
      <c r="O671" s="3"/>
      <c r="P671" s="2"/>
      <c r="Q671" s="1"/>
    </row>
    <row r="672" spans="12:17" ht="15.75" customHeight="1" x14ac:dyDescent="0.25">
      <c r="L672" s="4"/>
      <c r="M672" s="4"/>
      <c r="N672" s="4"/>
      <c r="O672" s="3"/>
      <c r="P672" s="2"/>
      <c r="Q672" s="1"/>
    </row>
    <row r="673" spans="12:17" ht="15.75" customHeight="1" x14ac:dyDescent="0.25">
      <c r="L673" s="4"/>
      <c r="M673" s="4"/>
      <c r="N673" s="4"/>
      <c r="O673" s="3"/>
      <c r="P673" s="2"/>
      <c r="Q673" s="1"/>
    </row>
    <row r="674" spans="12:17" ht="15.75" customHeight="1" x14ac:dyDescent="0.25">
      <c r="L674" s="4"/>
      <c r="M674" s="4"/>
      <c r="N674" s="4"/>
      <c r="O674" s="3"/>
      <c r="P674" s="2"/>
      <c r="Q674" s="1"/>
    </row>
    <row r="675" spans="12:17" ht="15.75" customHeight="1" x14ac:dyDescent="0.25">
      <c r="L675" s="4"/>
      <c r="M675" s="4"/>
      <c r="N675" s="4"/>
      <c r="O675" s="3"/>
      <c r="P675" s="2"/>
      <c r="Q675" s="1"/>
    </row>
    <row r="676" spans="12:17" ht="15.75" customHeight="1" x14ac:dyDescent="0.25">
      <c r="L676" s="4"/>
      <c r="M676" s="4"/>
      <c r="N676" s="4"/>
      <c r="O676" s="3"/>
      <c r="P676" s="2"/>
      <c r="Q676" s="1"/>
    </row>
    <row r="677" spans="12:17" ht="15.75" customHeight="1" x14ac:dyDescent="0.25">
      <c r="L677" s="4"/>
      <c r="M677" s="4"/>
      <c r="N677" s="4"/>
      <c r="O677" s="3"/>
      <c r="P677" s="2"/>
      <c r="Q677" s="1"/>
    </row>
    <row r="678" spans="12:17" ht="15.75" customHeight="1" x14ac:dyDescent="0.25">
      <c r="L678" s="4"/>
      <c r="M678" s="4"/>
      <c r="N678" s="4"/>
      <c r="O678" s="3"/>
      <c r="P678" s="2"/>
      <c r="Q678" s="1"/>
    </row>
    <row r="679" spans="12:17" ht="15.75" customHeight="1" x14ac:dyDescent="0.25">
      <c r="L679" s="4"/>
      <c r="M679" s="4"/>
      <c r="N679" s="4"/>
      <c r="O679" s="3"/>
      <c r="P679" s="2"/>
      <c r="Q679" s="1"/>
    </row>
    <row r="680" spans="12:17" ht="15.75" customHeight="1" x14ac:dyDescent="0.25">
      <c r="L680" s="4"/>
      <c r="M680" s="4"/>
      <c r="N680" s="4"/>
      <c r="O680" s="3"/>
      <c r="P680" s="2"/>
      <c r="Q680" s="1"/>
    </row>
    <row r="681" spans="12:17" ht="15.75" customHeight="1" x14ac:dyDescent="0.25">
      <c r="L681" s="4"/>
      <c r="M681" s="4"/>
      <c r="N681" s="4"/>
      <c r="O681" s="3"/>
      <c r="P681" s="2"/>
      <c r="Q681" s="1"/>
    </row>
    <row r="682" spans="12:17" ht="15.75" customHeight="1" x14ac:dyDescent="0.25">
      <c r="L682" s="4"/>
      <c r="M682" s="4"/>
      <c r="N682" s="4"/>
      <c r="O682" s="3"/>
      <c r="P682" s="2"/>
      <c r="Q682" s="1"/>
    </row>
    <row r="683" spans="12:17" ht="15.75" customHeight="1" x14ac:dyDescent="0.25">
      <c r="L683" s="4"/>
      <c r="M683" s="4"/>
      <c r="N683" s="4"/>
      <c r="O683" s="3"/>
      <c r="P683" s="2"/>
      <c r="Q683" s="1"/>
    </row>
    <row r="684" spans="12:17" ht="15.75" customHeight="1" x14ac:dyDescent="0.25">
      <c r="L684" s="4"/>
      <c r="M684" s="4"/>
      <c r="N684" s="4"/>
      <c r="O684" s="3"/>
      <c r="P684" s="2"/>
      <c r="Q684" s="1"/>
    </row>
    <row r="685" spans="12:17" ht="15.75" customHeight="1" x14ac:dyDescent="0.25">
      <c r="L685" s="4"/>
      <c r="M685" s="4"/>
      <c r="N685" s="4"/>
      <c r="O685" s="3"/>
      <c r="P685" s="2"/>
      <c r="Q685" s="1"/>
    </row>
    <row r="686" spans="12:17" ht="15.75" customHeight="1" x14ac:dyDescent="0.25">
      <c r="L686" s="4"/>
      <c r="M686" s="4"/>
      <c r="N686" s="4"/>
      <c r="O686" s="3"/>
      <c r="P686" s="2"/>
      <c r="Q686" s="1"/>
    </row>
    <row r="687" spans="12:17" ht="15.75" customHeight="1" x14ac:dyDescent="0.25">
      <c r="L687" s="4"/>
      <c r="M687" s="4"/>
      <c r="N687" s="4"/>
      <c r="O687" s="3"/>
      <c r="P687" s="2"/>
      <c r="Q687" s="1"/>
    </row>
    <row r="688" spans="12:17" ht="15.75" customHeight="1" x14ac:dyDescent="0.25">
      <c r="L688" s="4"/>
      <c r="M688" s="4"/>
      <c r="N688" s="4"/>
      <c r="O688" s="3"/>
      <c r="P688" s="2"/>
      <c r="Q688" s="1"/>
    </row>
    <row r="689" spans="12:17" ht="15.75" customHeight="1" x14ac:dyDescent="0.25">
      <c r="L689" s="4"/>
      <c r="M689" s="4"/>
      <c r="N689" s="4"/>
      <c r="O689" s="3"/>
      <c r="P689" s="2"/>
      <c r="Q689" s="1"/>
    </row>
    <row r="690" spans="12:17" ht="15.75" customHeight="1" x14ac:dyDescent="0.25">
      <c r="L690" s="4"/>
      <c r="M690" s="4"/>
      <c r="N690" s="4"/>
      <c r="O690" s="3"/>
      <c r="P690" s="2"/>
      <c r="Q690" s="1"/>
    </row>
    <row r="691" spans="12:17" ht="15.75" customHeight="1" x14ac:dyDescent="0.25">
      <c r="L691" s="4"/>
      <c r="M691" s="4"/>
      <c r="N691" s="4"/>
      <c r="O691" s="3"/>
      <c r="P691" s="2"/>
      <c r="Q691" s="1"/>
    </row>
    <row r="692" spans="12:17" ht="15.75" customHeight="1" x14ac:dyDescent="0.25">
      <c r="L692" s="4"/>
      <c r="M692" s="4"/>
      <c r="N692" s="4"/>
      <c r="O692" s="3"/>
      <c r="P692" s="2"/>
      <c r="Q692" s="1"/>
    </row>
    <row r="693" spans="12:17" ht="15.75" customHeight="1" x14ac:dyDescent="0.25">
      <c r="L693" s="4"/>
      <c r="M693" s="4"/>
      <c r="N693" s="4"/>
      <c r="O693" s="3"/>
      <c r="P693" s="2"/>
      <c r="Q693" s="1"/>
    </row>
    <row r="694" spans="12:17" ht="15.75" customHeight="1" x14ac:dyDescent="0.25">
      <c r="L694" s="4"/>
      <c r="M694" s="4"/>
      <c r="N694" s="4"/>
      <c r="O694" s="3"/>
      <c r="P694" s="2"/>
      <c r="Q694" s="1"/>
    </row>
    <row r="695" spans="12:17" ht="15.75" customHeight="1" x14ac:dyDescent="0.25">
      <c r="L695" s="4"/>
      <c r="M695" s="4"/>
      <c r="N695" s="4"/>
      <c r="O695" s="3"/>
      <c r="P695" s="2"/>
      <c r="Q695" s="1"/>
    </row>
    <row r="696" spans="12:17" ht="15.75" customHeight="1" x14ac:dyDescent="0.25">
      <c r="L696" s="4"/>
      <c r="M696" s="4"/>
      <c r="N696" s="4"/>
      <c r="O696" s="3"/>
      <c r="P696" s="2"/>
      <c r="Q696" s="1"/>
    </row>
    <row r="697" spans="12:17" ht="15.75" customHeight="1" x14ac:dyDescent="0.25">
      <c r="L697" s="4"/>
      <c r="M697" s="4"/>
      <c r="N697" s="4"/>
      <c r="O697" s="3"/>
      <c r="P697" s="2"/>
      <c r="Q697" s="1"/>
    </row>
    <row r="698" spans="12:17" ht="15.75" customHeight="1" x14ac:dyDescent="0.25">
      <c r="L698" s="4"/>
      <c r="M698" s="4"/>
      <c r="N698" s="4"/>
      <c r="O698" s="3"/>
      <c r="P698" s="2"/>
      <c r="Q698" s="1"/>
    </row>
    <row r="699" spans="12:17" ht="15.75" customHeight="1" x14ac:dyDescent="0.25">
      <c r="L699" s="4"/>
      <c r="M699" s="4"/>
      <c r="N699" s="4"/>
      <c r="O699" s="3"/>
      <c r="P699" s="2"/>
      <c r="Q699" s="1"/>
    </row>
    <row r="700" spans="12:17" ht="15.75" customHeight="1" x14ac:dyDescent="0.25">
      <c r="L700" s="4"/>
      <c r="M700" s="4"/>
      <c r="N700" s="4"/>
      <c r="O700" s="3"/>
      <c r="P700" s="2"/>
      <c r="Q700" s="1"/>
    </row>
    <row r="701" spans="12:17" ht="15.75" customHeight="1" x14ac:dyDescent="0.25">
      <c r="L701" s="4"/>
      <c r="M701" s="4"/>
      <c r="N701" s="4"/>
      <c r="O701" s="3"/>
      <c r="P701" s="2"/>
      <c r="Q701" s="1"/>
    </row>
    <row r="702" spans="12:17" ht="15.75" customHeight="1" x14ac:dyDescent="0.25">
      <c r="L702" s="4"/>
      <c r="M702" s="4"/>
      <c r="N702" s="4"/>
      <c r="O702" s="3"/>
      <c r="P702" s="2"/>
      <c r="Q702" s="1"/>
    </row>
    <row r="703" spans="12:17" ht="15.75" customHeight="1" x14ac:dyDescent="0.25">
      <c r="L703" s="4"/>
      <c r="M703" s="4"/>
      <c r="N703" s="4"/>
      <c r="O703" s="3"/>
      <c r="P703" s="2"/>
      <c r="Q703" s="1"/>
    </row>
    <row r="704" spans="12:17" ht="15.75" customHeight="1" x14ac:dyDescent="0.25">
      <c r="L704" s="4"/>
      <c r="M704" s="4"/>
      <c r="N704" s="4"/>
      <c r="O704" s="3"/>
      <c r="P704" s="2"/>
      <c r="Q704" s="1"/>
    </row>
    <row r="705" spans="12:17" ht="15.75" customHeight="1" x14ac:dyDescent="0.25">
      <c r="L705" s="4"/>
      <c r="M705" s="4"/>
      <c r="N705" s="4"/>
      <c r="O705" s="3"/>
      <c r="P705" s="2"/>
      <c r="Q705" s="1"/>
    </row>
    <row r="706" spans="12:17" ht="15.75" customHeight="1" x14ac:dyDescent="0.25">
      <c r="L706" s="4"/>
      <c r="M706" s="4"/>
      <c r="N706" s="4"/>
      <c r="O706" s="3"/>
      <c r="P706" s="2"/>
      <c r="Q706" s="1"/>
    </row>
    <row r="707" spans="12:17" ht="15.75" customHeight="1" x14ac:dyDescent="0.25">
      <c r="L707" s="4"/>
      <c r="M707" s="4"/>
      <c r="N707" s="4"/>
      <c r="O707" s="3"/>
      <c r="P707" s="2"/>
      <c r="Q707" s="1"/>
    </row>
    <row r="708" spans="12:17" ht="15.75" customHeight="1" x14ac:dyDescent="0.25">
      <c r="L708" s="4"/>
      <c r="M708" s="4"/>
      <c r="N708" s="4"/>
      <c r="O708" s="3"/>
      <c r="P708" s="2"/>
      <c r="Q708" s="1"/>
    </row>
    <row r="709" spans="12:17" ht="15.75" customHeight="1" x14ac:dyDescent="0.25">
      <c r="L709" s="4"/>
      <c r="M709" s="4"/>
      <c r="N709" s="4"/>
      <c r="O709" s="3"/>
      <c r="P709" s="2"/>
      <c r="Q709" s="1"/>
    </row>
    <row r="710" spans="12:17" ht="15.75" customHeight="1" x14ac:dyDescent="0.25">
      <c r="L710" s="4"/>
      <c r="M710" s="4"/>
      <c r="N710" s="4"/>
      <c r="O710" s="3"/>
      <c r="P710" s="2"/>
      <c r="Q710" s="1"/>
    </row>
    <row r="711" spans="12:17" ht="15.75" customHeight="1" x14ac:dyDescent="0.25">
      <c r="L711" s="4"/>
      <c r="M711" s="4"/>
      <c r="N711" s="4"/>
      <c r="O711" s="3"/>
      <c r="P711" s="2"/>
      <c r="Q711" s="1"/>
    </row>
    <row r="712" spans="12:17" ht="15.75" customHeight="1" x14ac:dyDescent="0.25">
      <c r="L712" s="4"/>
      <c r="M712" s="4"/>
      <c r="N712" s="4"/>
      <c r="O712" s="3"/>
      <c r="P712" s="2"/>
      <c r="Q712" s="1"/>
    </row>
    <row r="713" spans="12:17" ht="15.75" customHeight="1" x14ac:dyDescent="0.25">
      <c r="L713" s="4"/>
      <c r="M713" s="4"/>
      <c r="N713" s="4"/>
      <c r="O713" s="3"/>
      <c r="P713" s="2"/>
      <c r="Q713" s="1"/>
    </row>
    <row r="714" spans="12:17" ht="15.75" customHeight="1" x14ac:dyDescent="0.25">
      <c r="L714" s="4"/>
      <c r="M714" s="4"/>
      <c r="N714" s="4"/>
      <c r="O714" s="3"/>
      <c r="P714" s="2"/>
      <c r="Q714" s="1"/>
    </row>
    <row r="715" spans="12:17" ht="15.75" customHeight="1" x14ac:dyDescent="0.25">
      <c r="L715" s="4"/>
      <c r="M715" s="4"/>
      <c r="N715" s="4"/>
      <c r="O715" s="3"/>
      <c r="P715" s="2"/>
      <c r="Q715" s="1"/>
    </row>
    <row r="716" spans="12:17" ht="15.75" customHeight="1" x14ac:dyDescent="0.25">
      <c r="L716" s="4"/>
      <c r="M716" s="4"/>
      <c r="N716" s="4"/>
      <c r="O716" s="3"/>
      <c r="P716" s="2"/>
      <c r="Q716" s="1"/>
    </row>
    <row r="717" spans="12:17" ht="15.75" customHeight="1" x14ac:dyDescent="0.25">
      <c r="L717" s="4"/>
      <c r="M717" s="4"/>
      <c r="N717" s="4"/>
      <c r="O717" s="3"/>
      <c r="P717" s="2"/>
      <c r="Q717" s="1"/>
    </row>
    <row r="718" spans="12:17" ht="15.75" customHeight="1" x14ac:dyDescent="0.25">
      <c r="L718" s="4"/>
      <c r="M718" s="4"/>
      <c r="N718" s="4"/>
      <c r="O718" s="3"/>
      <c r="P718" s="2"/>
      <c r="Q718" s="1"/>
    </row>
    <row r="719" spans="12:17" ht="15.75" customHeight="1" x14ac:dyDescent="0.25">
      <c r="L719" s="4"/>
      <c r="M719" s="4"/>
      <c r="N719" s="4"/>
      <c r="O719" s="3"/>
      <c r="P719" s="2"/>
      <c r="Q719" s="1"/>
    </row>
    <row r="720" spans="12:17" ht="15.75" customHeight="1" x14ac:dyDescent="0.25">
      <c r="L720" s="4"/>
      <c r="M720" s="4"/>
      <c r="N720" s="4"/>
      <c r="O720" s="3"/>
      <c r="P720" s="2"/>
      <c r="Q720" s="1"/>
    </row>
    <row r="721" spans="12:17" ht="15.75" customHeight="1" x14ac:dyDescent="0.25">
      <c r="L721" s="4"/>
      <c r="M721" s="4"/>
      <c r="N721" s="4"/>
      <c r="O721" s="3"/>
      <c r="P721" s="2"/>
      <c r="Q721" s="1"/>
    </row>
    <row r="722" spans="12:17" ht="15.75" customHeight="1" x14ac:dyDescent="0.25">
      <c r="L722" s="4"/>
      <c r="M722" s="4"/>
      <c r="N722" s="4"/>
      <c r="O722" s="3"/>
      <c r="P722" s="2"/>
      <c r="Q722" s="1"/>
    </row>
    <row r="723" spans="12:17" ht="15.75" customHeight="1" x14ac:dyDescent="0.25">
      <c r="L723" s="4"/>
      <c r="M723" s="4"/>
      <c r="N723" s="4"/>
      <c r="O723" s="3"/>
      <c r="P723" s="2"/>
      <c r="Q723" s="1"/>
    </row>
    <row r="724" spans="12:17" ht="15.75" customHeight="1" x14ac:dyDescent="0.25">
      <c r="L724" s="4"/>
      <c r="M724" s="4"/>
      <c r="N724" s="4"/>
      <c r="O724" s="3"/>
      <c r="P724" s="2"/>
      <c r="Q724" s="1"/>
    </row>
    <row r="725" spans="12:17" ht="15.75" customHeight="1" x14ac:dyDescent="0.25">
      <c r="L725" s="4"/>
      <c r="M725" s="4"/>
      <c r="N725" s="4"/>
      <c r="O725" s="3"/>
      <c r="P725" s="2"/>
      <c r="Q725" s="1"/>
    </row>
    <row r="726" spans="12:17" ht="15.75" customHeight="1" x14ac:dyDescent="0.25">
      <c r="L726" s="4"/>
      <c r="M726" s="4"/>
      <c r="N726" s="4"/>
      <c r="O726" s="3"/>
      <c r="P726" s="2"/>
      <c r="Q726" s="1"/>
    </row>
    <row r="727" spans="12:17" ht="15.75" customHeight="1" x14ac:dyDescent="0.25">
      <c r="L727" s="4"/>
      <c r="M727" s="4"/>
      <c r="N727" s="4"/>
      <c r="O727" s="3"/>
      <c r="P727" s="2"/>
      <c r="Q727" s="1"/>
    </row>
    <row r="728" spans="12:17" ht="15.75" customHeight="1" x14ac:dyDescent="0.25">
      <c r="L728" s="4"/>
      <c r="M728" s="4"/>
      <c r="N728" s="4"/>
      <c r="O728" s="3"/>
      <c r="P728" s="2"/>
      <c r="Q728" s="1"/>
    </row>
    <row r="729" spans="12:17" ht="15.75" customHeight="1" x14ac:dyDescent="0.25">
      <c r="L729" s="4"/>
      <c r="M729" s="4"/>
      <c r="N729" s="4"/>
      <c r="O729" s="3"/>
      <c r="P729" s="2"/>
      <c r="Q729" s="1"/>
    </row>
    <row r="730" spans="12:17" ht="15.75" customHeight="1" x14ac:dyDescent="0.25">
      <c r="L730" s="4"/>
      <c r="M730" s="4"/>
      <c r="N730" s="4"/>
      <c r="O730" s="3"/>
      <c r="P730" s="2"/>
      <c r="Q730" s="1"/>
    </row>
    <row r="731" spans="12:17" ht="15.75" customHeight="1" x14ac:dyDescent="0.25">
      <c r="L731" s="4"/>
      <c r="M731" s="4"/>
      <c r="N731" s="4"/>
      <c r="O731" s="3"/>
      <c r="P731" s="2"/>
      <c r="Q731" s="1"/>
    </row>
    <row r="732" spans="12:17" ht="15.75" customHeight="1" x14ac:dyDescent="0.25">
      <c r="L732" s="4"/>
      <c r="M732" s="4"/>
      <c r="N732" s="4"/>
      <c r="O732" s="3"/>
      <c r="P732" s="2"/>
      <c r="Q732" s="1"/>
    </row>
    <row r="733" spans="12:17" ht="15.75" customHeight="1" x14ac:dyDescent="0.25">
      <c r="L733" s="4"/>
      <c r="M733" s="4"/>
      <c r="N733" s="4"/>
      <c r="O733" s="3"/>
      <c r="P733" s="2"/>
      <c r="Q733" s="1"/>
    </row>
    <row r="734" spans="12:17" ht="15.75" customHeight="1" x14ac:dyDescent="0.25">
      <c r="L734" s="4"/>
      <c r="M734" s="4"/>
      <c r="N734" s="4"/>
      <c r="O734" s="3"/>
      <c r="P734" s="2"/>
      <c r="Q734" s="1"/>
    </row>
    <row r="735" spans="12:17" ht="15.75" customHeight="1" x14ac:dyDescent="0.25">
      <c r="L735" s="4"/>
      <c r="M735" s="4"/>
      <c r="N735" s="4"/>
      <c r="O735" s="3"/>
      <c r="P735" s="2"/>
      <c r="Q735" s="1"/>
    </row>
    <row r="736" spans="12:17" ht="15.75" customHeight="1" x14ac:dyDescent="0.25">
      <c r="L736" s="4"/>
      <c r="M736" s="4"/>
      <c r="N736" s="4"/>
      <c r="O736" s="3"/>
      <c r="P736" s="2"/>
      <c r="Q736" s="1"/>
    </row>
    <row r="737" spans="12:17" ht="15.75" customHeight="1" x14ac:dyDescent="0.25">
      <c r="L737" s="4"/>
      <c r="M737" s="4"/>
      <c r="N737" s="4"/>
      <c r="O737" s="3"/>
      <c r="P737" s="2"/>
      <c r="Q737" s="1"/>
    </row>
    <row r="738" spans="12:17" ht="15.75" customHeight="1" x14ac:dyDescent="0.25">
      <c r="L738" s="4"/>
      <c r="M738" s="4"/>
      <c r="N738" s="4"/>
      <c r="O738" s="3"/>
      <c r="P738" s="2"/>
      <c r="Q738" s="1"/>
    </row>
    <row r="739" spans="12:17" ht="15.75" customHeight="1" x14ac:dyDescent="0.25">
      <c r="L739" s="4"/>
      <c r="M739" s="4"/>
      <c r="N739" s="4"/>
      <c r="O739" s="3"/>
      <c r="P739" s="2"/>
      <c r="Q739" s="1"/>
    </row>
    <row r="740" spans="12:17" ht="15.75" customHeight="1" x14ac:dyDescent="0.25">
      <c r="L740" s="4"/>
      <c r="M740" s="4"/>
      <c r="N740" s="4"/>
      <c r="O740" s="3"/>
      <c r="P740" s="2"/>
      <c r="Q740" s="1"/>
    </row>
    <row r="741" spans="12:17" ht="15.75" customHeight="1" x14ac:dyDescent="0.25">
      <c r="L741" s="4"/>
      <c r="M741" s="4"/>
      <c r="N741" s="4"/>
      <c r="O741" s="3"/>
      <c r="P741" s="2"/>
      <c r="Q741" s="1"/>
    </row>
    <row r="742" spans="12:17" ht="15.75" customHeight="1" x14ac:dyDescent="0.25">
      <c r="L742" s="4"/>
      <c r="M742" s="4"/>
      <c r="N742" s="4"/>
      <c r="O742" s="3"/>
      <c r="P742" s="2"/>
      <c r="Q742" s="1"/>
    </row>
    <row r="743" spans="12:17" ht="15.75" customHeight="1" x14ac:dyDescent="0.25">
      <c r="L743" s="4"/>
      <c r="M743" s="4"/>
      <c r="N743" s="4"/>
      <c r="O743" s="3"/>
      <c r="P743" s="2"/>
      <c r="Q743" s="1"/>
    </row>
    <row r="744" spans="12:17" ht="15.75" customHeight="1" x14ac:dyDescent="0.25">
      <c r="L744" s="4"/>
      <c r="M744" s="4"/>
      <c r="N744" s="4"/>
      <c r="O744" s="3"/>
      <c r="P744" s="2"/>
      <c r="Q744" s="1"/>
    </row>
    <row r="745" spans="12:17" ht="15.75" customHeight="1" x14ac:dyDescent="0.25">
      <c r="L745" s="4"/>
      <c r="M745" s="4"/>
      <c r="N745" s="4"/>
      <c r="O745" s="3"/>
      <c r="P745" s="2"/>
      <c r="Q745" s="1"/>
    </row>
    <row r="746" spans="12:17" ht="15.75" customHeight="1" x14ac:dyDescent="0.25">
      <c r="L746" s="4"/>
      <c r="M746" s="4"/>
      <c r="N746" s="4"/>
      <c r="O746" s="3"/>
      <c r="P746" s="2"/>
      <c r="Q746" s="1"/>
    </row>
    <row r="747" spans="12:17" ht="15.75" customHeight="1" x14ac:dyDescent="0.25">
      <c r="L747" s="4"/>
      <c r="M747" s="4"/>
      <c r="N747" s="4"/>
      <c r="O747" s="3"/>
      <c r="P747" s="2"/>
      <c r="Q747" s="1"/>
    </row>
    <row r="748" spans="12:17" ht="15.75" customHeight="1" x14ac:dyDescent="0.25">
      <c r="L748" s="4"/>
      <c r="M748" s="4"/>
      <c r="N748" s="4"/>
      <c r="O748" s="3"/>
      <c r="P748" s="2"/>
      <c r="Q748" s="1"/>
    </row>
    <row r="749" spans="12:17" ht="15.75" customHeight="1" x14ac:dyDescent="0.25">
      <c r="L749" s="4"/>
      <c r="M749" s="4"/>
      <c r="N749" s="4"/>
      <c r="O749" s="3"/>
      <c r="P749" s="2"/>
      <c r="Q749" s="1"/>
    </row>
    <row r="750" spans="12:17" ht="15.75" customHeight="1" x14ac:dyDescent="0.25">
      <c r="L750" s="4"/>
      <c r="M750" s="4"/>
      <c r="N750" s="4"/>
      <c r="O750" s="3"/>
      <c r="P750" s="2"/>
      <c r="Q750" s="1"/>
    </row>
    <row r="751" spans="12:17" ht="15.75" customHeight="1" x14ac:dyDescent="0.25">
      <c r="L751" s="4"/>
      <c r="M751" s="4"/>
      <c r="N751" s="4"/>
      <c r="O751" s="3"/>
      <c r="P751" s="2"/>
      <c r="Q751" s="1"/>
    </row>
    <row r="752" spans="12:17" ht="15.75" customHeight="1" x14ac:dyDescent="0.25">
      <c r="L752" s="4"/>
      <c r="M752" s="4"/>
      <c r="N752" s="4"/>
      <c r="O752" s="3"/>
      <c r="P752" s="2"/>
      <c r="Q752" s="1"/>
    </row>
    <row r="753" spans="12:17" ht="15.75" customHeight="1" x14ac:dyDescent="0.25">
      <c r="L753" s="4"/>
      <c r="M753" s="4"/>
      <c r="N753" s="4"/>
      <c r="O753" s="3"/>
      <c r="P753" s="2"/>
      <c r="Q753" s="1"/>
    </row>
    <row r="754" spans="12:17" ht="15.75" customHeight="1" x14ac:dyDescent="0.25">
      <c r="L754" s="4"/>
      <c r="M754" s="4"/>
      <c r="N754" s="4"/>
      <c r="O754" s="3"/>
      <c r="P754" s="2"/>
      <c r="Q754" s="1"/>
    </row>
    <row r="755" spans="12:17" ht="15.75" customHeight="1" x14ac:dyDescent="0.25">
      <c r="L755" s="4"/>
      <c r="M755" s="4"/>
      <c r="N755" s="4"/>
      <c r="O755" s="3"/>
      <c r="P755" s="2"/>
      <c r="Q755" s="1"/>
    </row>
    <row r="756" spans="12:17" ht="15.75" customHeight="1" x14ac:dyDescent="0.25">
      <c r="L756" s="4"/>
      <c r="M756" s="4"/>
      <c r="N756" s="4"/>
      <c r="O756" s="3"/>
      <c r="P756" s="2"/>
      <c r="Q756" s="1"/>
    </row>
    <row r="757" spans="12:17" ht="15.75" customHeight="1" x14ac:dyDescent="0.25">
      <c r="L757" s="4"/>
      <c r="M757" s="4"/>
      <c r="N757" s="4"/>
      <c r="O757" s="3"/>
      <c r="P757" s="2"/>
      <c r="Q757" s="1"/>
    </row>
    <row r="758" spans="12:17" ht="15.75" customHeight="1" x14ac:dyDescent="0.25">
      <c r="L758" s="4"/>
      <c r="M758" s="4"/>
      <c r="N758" s="4"/>
      <c r="O758" s="3"/>
      <c r="P758" s="2"/>
      <c r="Q758" s="1"/>
    </row>
    <row r="759" spans="12:17" ht="15.75" customHeight="1" x14ac:dyDescent="0.25">
      <c r="L759" s="4"/>
      <c r="M759" s="4"/>
      <c r="N759" s="4"/>
      <c r="O759" s="3"/>
      <c r="P759" s="2"/>
      <c r="Q759" s="1"/>
    </row>
    <row r="760" spans="12:17" ht="15.75" customHeight="1" x14ac:dyDescent="0.25">
      <c r="L760" s="4"/>
      <c r="M760" s="4"/>
      <c r="N760" s="4"/>
      <c r="O760" s="3"/>
      <c r="P760" s="2"/>
      <c r="Q760" s="1"/>
    </row>
    <row r="761" spans="12:17" ht="15.75" customHeight="1" x14ac:dyDescent="0.25">
      <c r="L761" s="4"/>
      <c r="M761" s="4"/>
      <c r="N761" s="4"/>
      <c r="O761" s="3"/>
      <c r="P761" s="2"/>
      <c r="Q761" s="1"/>
    </row>
    <row r="762" spans="12:17" ht="15.75" customHeight="1" x14ac:dyDescent="0.25">
      <c r="L762" s="4"/>
      <c r="M762" s="4"/>
      <c r="N762" s="4"/>
      <c r="O762" s="3"/>
      <c r="P762" s="2"/>
      <c r="Q762" s="1"/>
    </row>
    <row r="763" spans="12:17" ht="15.75" customHeight="1" x14ac:dyDescent="0.25">
      <c r="L763" s="4"/>
      <c r="M763" s="4"/>
      <c r="N763" s="4"/>
      <c r="O763" s="3"/>
      <c r="P763" s="2"/>
      <c r="Q763" s="1"/>
    </row>
    <row r="764" spans="12:17" ht="15.75" customHeight="1" x14ac:dyDescent="0.25">
      <c r="L764" s="4"/>
      <c r="M764" s="4"/>
      <c r="N764" s="4"/>
      <c r="O764" s="3"/>
      <c r="P764" s="2"/>
      <c r="Q764" s="1"/>
    </row>
    <row r="765" spans="12:17" ht="15.75" customHeight="1" x14ac:dyDescent="0.25">
      <c r="L765" s="4"/>
      <c r="M765" s="4"/>
      <c r="N765" s="4"/>
      <c r="O765" s="3"/>
      <c r="P765" s="2"/>
      <c r="Q765" s="1"/>
    </row>
    <row r="766" spans="12:17" ht="15.75" customHeight="1" x14ac:dyDescent="0.25">
      <c r="L766" s="4"/>
      <c r="M766" s="4"/>
      <c r="N766" s="4"/>
      <c r="O766" s="3"/>
      <c r="P766" s="2"/>
      <c r="Q766" s="1"/>
    </row>
    <row r="767" spans="12:17" ht="15.75" customHeight="1" x14ac:dyDescent="0.25">
      <c r="L767" s="4"/>
      <c r="M767" s="4"/>
      <c r="N767" s="4"/>
      <c r="O767" s="3"/>
      <c r="P767" s="2"/>
      <c r="Q767" s="1"/>
    </row>
    <row r="768" spans="12:17" ht="15.75" customHeight="1" x14ac:dyDescent="0.25">
      <c r="L768" s="4"/>
      <c r="M768" s="4"/>
      <c r="N768" s="4"/>
      <c r="O768" s="3"/>
      <c r="P768" s="2"/>
      <c r="Q768" s="1"/>
    </row>
    <row r="769" spans="12:17" ht="15.75" customHeight="1" x14ac:dyDescent="0.25">
      <c r="L769" s="4"/>
      <c r="M769" s="4"/>
      <c r="N769" s="4"/>
      <c r="O769" s="3"/>
      <c r="P769" s="2"/>
      <c r="Q769" s="1"/>
    </row>
    <row r="770" spans="12:17" ht="15.75" customHeight="1" x14ac:dyDescent="0.25">
      <c r="L770" s="4"/>
      <c r="M770" s="4"/>
      <c r="N770" s="4"/>
      <c r="O770" s="3"/>
      <c r="P770" s="2"/>
      <c r="Q770" s="1"/>
    </row>
    <row r="771" spans="12:17" ht="15.75" customHeight="1" x14ac:dyDescent="0.25">
      <c r="L771" s="4"/>
      <c r="M771" s="4"/>
      <c r="N771" s="4"/>
      <c r="O771" s="3"/>
      <c r="P771" s="2"/>
      <c r="Q771" s="1"/>
    </row>
    <row r="772" spans="12:17" ht="15.75" customHeight="1" x14ac:dyDescent="0.25">
      <c r="L772" s="4"/>
      <c r="M772" s="4"/>
      <c r="N772" s="4"/>
      <c r="O772" s="3"/>
      <c r="P772" s="2"/>
      <c r="Q772" s="1"/>
    </row>
    <row r="773" spans="12:17" ht="15.75" customHeight="1" x14ac:dyDescent="0.25">
      <c r="L773" s="4"/>
      <c r="M773" s="4"/>
      <c r="N773" s="4"/>
      <c r="O773" s="3"/>
      <c r="P773" s="2"/>
      <c r="Q773" s="1"/>
    </row>
    <row r="774" spans="12:17" ht="15.75" customHeight="1" x14ac:dyDescent="0.25">
      <c r="L774" s="4"/>
      <c r="M774" s="4"/>
      <c r="N774" s="4"/>
      <c r="O774" s="3"/>
      <c r="P774" s="2"/>
      <c r="Q774" s="1"/>
    </row>
    <row r="775" spans="12:17" ht="15.75" customHeight="1" x14ac:dyDescent="0.25">
      <c r="L775" s="4"/>
      <c r="M775" s="4"/>
      <c r="N775" s="4"/>
      <c r="O775" s="3"/>
      <c r="P775" s="2"/>
      <c r="Q775" s="1"/>
    </row>
    <row r="776" spans="12:17" ht="15.75" customHeight="1" x14ac:dyDescent="0.25">
      <c r="L776" s="4"/>
      <c r="M776" s="4"/>
      <c r="N776" s="4"/>
      <c r="O776" s="3"/>
      <c r="P776" s="2"/>
      <c r="Q776" s="1"/>
    </row>
    <row r="777" spans="12:17" ht="15.75" customHeight="1" x14ac:dyDescent="0.25">
      <c r="L777" s="4"/>
      <c r="M777" s="4"/>
      <c r="N777" s="4"/>
      <c r="O777" s="3"/>
      <c r="P777" s="2"/>
      <c r="Q777" s="1"/>
    </row>
    <row r="778" spans="12:17" ht="15.75" customHeight="1" x14ac:dyDescent="0.25">
      <c r="L778" s="4"/>
      <c r="M778" s="4"/>
      <c r="N778" s="4"/>
      <c r="O778" s="3"/>
      <c r="P778" s="2"/>
      <c r="Q778" s="1"/>
    </row>
    <row r="779" spans="12:17" ht="15.75" customHeight="1" x14ac:dyDescent="0.25">
      <c r="L779" s="4"/>
      <c r="M779" s="4"/>
      <c r="N779" s="4"/>
      <c r="O779" s="3"/>
      <c r="P779" s="2"/>
      <c r="Q779" s="1"/>
    </row>
    <row r="780" spans="12:17" ht="15.75" customHeight="1" x14ac:dyDescent="0.25">
      <c r="L780" s="4"/>
      <c r="M780" s="4"/>
      <c r="N780" s="4"/>
      <c r="O780" s="3"/>
      <c r="P780" s="2"/>
      <c r="Q780" s="1"/>
    </row>
    <row r="781" spans="12:17" ht="15.75" customHeight="1" x14ac:dyDescent="0.25">
      <c r="L781" s="4"/>
      <c r="M781" s="4"/>
      <c r="N781" s="4"/>
      <c r="O781" s="3"/>
      <c r="P781" s="2"/>
      <c r="Q781" s="1"/>
    </row>
    <row r="782" spans="12:17" ht="15.75" customHeight="1" x14ac:dyDescent="0.25">
      <c r="L782" s="4"/>
      <c r="M782" s="4"/>
      <c r="N782" s="4"/>
      <c r="O782" s="3"/>
      <c r="P782" s="2"/>
      <c r="Q782" s="1"/>
    </row>
    <row r="783" spans="12:17" ht="15.75" customHeight="1" x14ac:dyDescent="0.25">
      <c r="L783" s="4"/>
      <c r="M783" s="4"/>
      <c r="N783" s="4"/>
      <c r="O783" s="3"/>
      <c r="P783" s="2"/>
      <c r="Q783" s="1"/>
    </row>
    <row r="784" spans="12:17" ht="15.75" customHeight="1" x14ac:dyDescent="0.25">
      <c r="L784" s="4"/>
      <c r="M784" s="4"/>
      <c r="N784" s="4"/>
      <c r="O784" s="3"/>
      <c r="P784" s="2"/>
      <c r="Q784" s="1"/>
    </row>
    <row r="785" spans="12:17" ht="15.75" customHeight="1" x14ac:dyDescent="0.25">
      <c r="L785" s="4"/>
      <c r="M785" s="4"/>
      <c r="N785" s="4"/>
      <c r="O785" s="3"/>
      <c r="P785" s="2"/>
      <c r="Q785" s="1"/>
    </row>
    <row r="786" spans="12:17" ht="15.75" customHeight="1" x14ac:dyDescent="0.25">
      <c r="L786" s="4"/>
      <c r="M786" s="4"/>
      <c r="N786" s="4"/>
      <c r="O786" s="3"/>
      <c r="P786" s="2"/>
      <c r="Q786" s="1"/>
    </row>
    <row r="787" spans="12:17" ht="15.75" customHeight="1" x14ac:dyDescent="0.25">
      <c r="L787" s="4"/>
      <c r="M787" s="4"/>
      <c r="N787" s="4"/>
      <c r="O787" s="3"/>
      <c r="P787" s="2"/>
      <c r="Q787" s="1"/>
    </row>
    <row r="788" spans="12:17" ht="15.75" customHeight="1" x14ac:dyDescent="0.25">
      <c r="L788" s="4"/>
      <c r="M788" s="4"/>
      <c r="N788" s="4"/>
      <c r="O788" s="3"/>
      <c r="P788" s="2"/>
      <c r="Q788" s="1"/>
    </row>
    <row r="789" spans="12:17" ht="15.75" customHeight="1" x14ac:dyDescent="0.25">
      <c r="L789" s="4"/>
      <c r="M789" s="4"/>
      <c r="N789" s="4"/>
      <c r="O789" s="3"/>
      <c r="P789" s="2"/>
      <c r="Q789" s="1"/>
    </row>
    <row r="790" spans="12:17" ht="15.75" customHeight="1" x14ac:dyDescent="0.25">
      <c r="L790" s="4"/>
      <c r="M790" s="4"/>
      <c r="N790" s="4"/>
      <c r="O790" s="3"/>
      <c r="P790" s="2"/>
      <c r="Q790" s="1"/>
    </row>
    <row r="791" spans="12:17" ht="15.75" customHeight="1" x14ac:dyDescent="0.25">
      <c r="L791" s="4"/>
      <c r="M791" s="4"/>
      <c r="N791" s="4"/>
      <c r="O791" s="3"/>
      <c r="P791" s="2"/>
      <c r="Q791" s="1"/>
    </row>
    <row r="792" spans="12:17" ht="15.75" customHeight="1" x14ac:dyDescent="0.25">
      <c r="L792" s="4"/>
      <c r="M792" s="4"/>
      <c r="N792" s="4"/>
      <c r="O792" s="3"/>
      <c r="P792" s="2"/>
      <c r="Q792" s="1"/>
    </row>
    <row r="793" spans="12:17" ht="15.75" customHeight="1" x14ac:dyDescent="0.25">
      <c r="L793" s="4"/>
      <c r="M793" s="4"/>
      <c r="N793" s="4"/>
      <c r="O793" s="3"/>
      <c r="P793" s="2"/>
      <c r="Q793" s="1"/>
    </row>
    <row r="794" spans="12:17" ht="15.75" customHeight="1" x14ac:dyDescent="0.25">
      <c r="L794" s="4"/>
      <c r="M794" s="4"/>
      <c r="N794" s="4"/>
      <c r="O794" s="3"/>
      <c r="P794" s="2"/>
      <c r="Q794" s="1"/>
    </row>
    <row r="795" spans="12:17" ht="15.75" customHeight="1" x14ac:dyDescent="0.25">
      <c r="L795" s="4"/>
      <c r="M795" s="4"/>
      <c r="N795" s="4"/>
      <c r="O795" s="3"/>
      <c r="P795" s="2"/>
      <c r="Q795" s="1"/>
    </row>
    <row r="796" spans="12:17" ht="15.75" customHeight="1" x14ac:dyDescent="0.25">
      <c r="L796" s="4"/>
      <c r="M796" s="4"/>
      <c r="N796" s="4"/>
      <c r="O796" s="3"/>
      <c r="P796" s="2"/>
      <c r="Q796" s="1"/>
    </row>
    <row r="797" spans="12:17" ht="15.75" customHeight="1" x14ac:dyDescent="0.25">
      <c r="L797" s="4"/>
      <c r="M797" s="4"/>
      <c r="N797" s="4"/>
      <c r="O797" s="3"/>
      <c r="P797" s="2"/>
      <c r="Q797" s="1"/>
    </row>
    <row r="798" spans="12:17" ht="15.75" customHeight="1" x14ac:dyDescent="0.25">
      <c r="L798" s="4"/>
      <c r="M798" s="4"/>
      <c r="N798" s="4"/>
      <c r="O798" s="3"/>
      <c r="P798" s="2"/>
      <c r="Q798" s="1"/>
    </row>
    <row r="799" spans="12:17" ht="15.75" customHeight="1" x14ac:dyDescent="0.25">
      <c r="L799" s="4"/>
      <c r="M799" s="4"/>
      <c r="N799" s="4"/>
      <c r="O799" s="3"/>
      <c r="P799" s="2"/>
      <c r="Q799" s="1"/>
    </row>
    <row r="800" spans="12:17" ht="15.75" customHeight="1" x14ac:dyDescent="0.25">
      <c r="L800" s="4"/>
      <c r="M800" s="4"/>
      <c r="N800" s="4"/>
      <c r="O800" s="3"/>
      <c r="P800" s="2"/>
      <c r="Q800" s="1"/>
    </row>
    <row r="801" spans="12:17" ht="15.75" customHeight="1" x14ac:dyDescent="0.25">
      <c r="L801" s="4"/>
      <c r="M801" s="4"/>
      <c r="N801" s="4"/>
      <c r="O801" s="3"/>
      <c r="P801" s="2"/>
      <c r="Q801" s="1"/>
    </row>
    <row r="802" spans="12:17" ht="15.75" customHeight="1" x14ac:dyDescent="0.25">
      <c r="L802" s="4"/>
      <c r="M802" s="4"/>
      <c r="N802" s="4"/>
      <c r="O802" s="3"/>
      <c r="P802" s="2"/>
      <c r="Q802" s="1"/>
    </row>
    <row r="803" spans="12:17" ht="15.75" customHeight="1" x14ac:dyDescent="0.25">
      <c r="L803" s="4"/>
      <c r="M803" s="4"/>
      <c r="N803" s="4"/>
      <c r="O803" s="3"/>
      <c r="P803" s="2"/>
      <c r="Q803" s="1"/>
    </row>
    <row r="804" spans="12:17" ht="15.75" customHeight="1" x14ac:dyDescent="0.25">
      <c r="L804" s="4"/>
      <c r="M804" s="4"/>
      <c r="N804" s="4"/>
      <c r="O804" s="3"/>
      <c r="P804" s="2"/>
      <c r="Q804" s="1"/>
    </row>
    <row r="805" spans="12:17" ht="15.75" customHeight="1" x14ac:dyDescent="0.25">
      <c r="L805" s="4"/>
      <c r="M805" s="4"/>
      <c r="N805" s="4"/>
      <c r="O805" s="3"/>
      <c r="P805" s="2"/>
      <c r="Q805" s="1"/>
    </row>
    <row r="806" spans="12:17" ht="15.75" customHeight="1" x14ac:dyDescent="0.25">
      <c r="L806" s="4"/>
      <c r="M806" s="4"/>
      <c r="N806" s="4"/>
      <c r="O806" s="3"/>
      <c r="P806" s="2"/>
      <c r="Q806" s="1"/>
    </row>
    <row r="807" spans="12:17" ht="15.75" customHeight="1" x14ac:dyDescent="0.25">
      <c r="L807" s="4"/>
      <c r="M807" s="4"/>
      <c r="N807" s="4"/>
      <c r="O807" s="3"/>
      <c r="P807" s="2"/>
      <c r="Q807" s="1"/>
    </row>
    <row r="808" spans="12:17" ht="15.75" customHeight="1" x14ac:dyDescent="0.25">
      <c r="L808" s="4"/>
      <c r="M808" s="4"/>
      <c r="N808" s="4"/>
      <c r="O808" s="3"/>
      <c r="P808" s="2"/>
      <c r="Q808" s="1"/>
    </row>
    <row r="809" spans="12:17" ht="15.75" customHeight="1" x14ac:dyDescent="0.25">
      <c r="L809" s="4"/>
      <c r="M809" s="4"/>
      <c r="N809" s="4"/>
      <c r="O809" s="3"/>
      <c r="P809" s="2"/>
      <c r="Q809" s="1"/>
    </row>
    <row r="810" spans="12:17" ht="15.75" customHeight="1" x14ac:dyDescent="0.25">
      <c r="L810" s="4"/>
      <c r="M810" s="4"/>
      <c r="N810" s="4"/>
      <c r="O810" s="3"/>
      <c r="P810" s="2"/>
      <c r="Q810" s="1"/>
    </row>
    <row r="811" spans="12:17" ht="15.75" customHeight="1" x14ac:dyDescent="0.25">
      <c r="L811" s="4"/>
      <c r="M811" s="4"/>
      <c r="N811" s="4"/>
      <c r="O811" s="3"/>
      <c r="P811" s="2"/>
      <c r="Q811" s="1"/>
    </row>
    <row r="812" spans="12:17" ht="15.75" customHeight="1" x14ac:dyDescent="0.25">
      <c r="L812" s="4"/>
      <c r="M812" s="4"/>
      <c r="N812" s="4"/>
      <c r="O812" s="3"/>
      <c r="P812" s="2"/>
      <c r="Q812" s="1"/>
    </row>
    <row r="813" spans="12:17" ht="15.75" customHeight="1" x14ac:dyDescent="0.25">
      <c r="L813" s="4"/>
      <c r="M813" s="4"/>
      <c r="N813" s="4"/>
      <c r="O813" s="3"/>
      <c r="P813" s="2"/>
      <c r="Q813" s="1"/>
    </row>
    <row r="814" spans="12:17" ht="15.75" customHeight="1" x14ac:dyDescent="0.25">
      <c r="L814" s="4"/>
      <c r="M814" s="4"/>
      <c r="N814" s="4"/>
      <c r="O814" s="3"/>
      <c r="P814" s="2"/>
      <c r="Q814" s="1"/>
    </row>
    <row r="815" spans="12:17" ht="15.75" customHeight="1" x14ac:dyDescent="0.25">
      <c r="L815" s="4"/>
      <c r="M815" s="4"/>
      <c r="N815" s="4"/>
      <c r="O815" s="3"/>
      <c r="P815" s="2"/>
      <c r="Q815" s="1"/>
    </row>
    <row r="816" spans="12:17" ht="15.75" customHeight="1" x14ac:dyDescent="0.25">
      <c r="L816" s="4"/>
      <c r="M816" s="4"/>
      <c r="N816" s="4"/>
      <c r="O816" s="3"/>
      <c r="P816" s="2"/>
      <c r="Q816" s="1"/>
    </row>
    <row r="817" spans="12:17" ht="15.75" customHeight="1" x14ac:dyDescent="0.25">
      <c r="L817" s="4"/>
      <c r="M817" s="4"/>
      <c r="N817" s="4"/>
      <c r="O817" s="3"/>
      <c r="P817" s="2"/>
      <c r="Q817" s="1"/>
    </row>
    <row r="818" spans="12:17" ht="15.75" customHeight="1" x14ac:dyDescent="0.25">
      <c r="L818" s="4"/>
      <c r="M818" s="4"/>
      <c r="N818" s="4"/>
      <c r="O818" s="3"/>
      <c r="P818" s="2"/>
      <c r="Q818" s="1"/>
    </row>
    <row r="819" spans="12:17" ht="15.75" customHeight="1" x14ac:dyDescent="0.25">
      <c r="L819" s="4"/>
      <c r="M819" s="4"/>
      <c r="N819" s="4"/>
      <c r="O819" s="3"/>
      <c r="P819" s="2"/>
      <c r="Q819" s="1"/>
    </row>
    <row r="820" spans="12:17" ht="15.75" customHeight="1" x14ac:dyDescent="0.25">
      <c r="L820" s="4"/>
      <c r="M820" s="4"/>
      <c r="N820" s="4"/>
      <c r="O820" s="3"/>
      <c r="P820" s="2"/>
      <c r="Q820" s="1"/>
    </row>
    <row r="821" spans="12:17" ht="15.75" customHeight="1" x14ac:dyDescent="0.25">
      <c r="L821" s="4"/>
      <c r="M821" s="4"/>
      <c r="N821" s="4"/>
      <c r="O821" s="3"/>
      <c r="P821" s="2"/>
      <c r="Q821" s="1"/>
    </row>
    <row r="822" spans="12:17" ht="15.75" customHeight="1" x14ac:dyDescent="0.25">
      <c r="L822" s="4"/>
      <c r="M822" s="4"/>
      <c r="N822" s="4"/>
      <c r="O822" s="3"/>
      <c r="P822" s="2"/>
      <c r="Q822" s="1"/>
    </row>
    <row r="823" spans="12:17" ht="15.75" customHeight="1" x14ac:dyDescent="0.25">
      <c r="L823" s="4"/>
      <c r="M823" s="4"/>
      <c r="N823" s="4"/>
      <c r="O823" s="3"/>
      <c r="P823" s="2"/>
      <c r="Q823" s="1"/>
    </row>
    <row r="824" spans="12:17" ht="15.75" customHeight="1" x14ac:dyDescent="0.25">
      <c r="L824" s="4"/>
      <c r="M824" s="4"/>
      <c r="N824" s="4"/>
      <c r="O824" s="3"/>
      <c r="P824" s="2"/>
      <c r="Q824" s="1"/>
    </row>
    <row r="825" spans="12:17" ht="15.75" customHeight="1" x14ac:dyDescent="0.25">
      <c r="L825" s="4"/>
      <c r="M825" s="4"/>
      <c r="N825" s="4"/>
      <c r="O825" s="3"/>
      <c r="P825" s="2"/>
      <c r="Q825" s="1"/>
    </row>
    <row r="826" spans="12:17" ht="15.75" customHeight="1" x14ac:dyDescent="0.25">
      <c r="L826" s="4"/>
      <c r="M826" s="4"/>
      <c r="N826" s="4"/>
      <c r="O826" s="3"/>
      <c r="P826" s="2"/>
      <c r="Q826" s="1"/>
    </row>
    <row r="827" spans="12:17" ht="15.75" customHeight="1" x14ac:dyDescent="0.25">
      <c r="L827" s="4"/>
      <c r="M827" s="4"/>
      <c r="N827" s="4"/>
      <c r="O827" s="3"/>
      <c r="P827" s="2"/>
      <c r="Q827" s="1"/>
    </row>
    <row r="828" spans="12:17" ht="15.75" customHeight="1" x14ac:dyDescent="0.25">
      <c r="L828" s="4"/>
      <c r="M828" s="4"/>
      <c r="N828" s="4"/>
      <c r="O828" s="3"/>
      <c r="P828" s="2"/>
      <c r="Q828" s="1"/>
    </row>
    <row r="829" spans="12:17" ht="15.75" customHeight="1" x14ac:dyDescent="0.25">
      <c r="L829" s="4"/>
      <c r="M829" s="4"/>
      <c r="N829" s="4"/>
      <c r="O829" s="3"/>
      <c r="P829" s="2"/>
      <c r="Q829" s="1"/>
    </row>
    <row r="830" spans="12:17" ht="15.75" customHeight="1" x14ac:dyDescent="0.25">
      <c r="L830" s="4"/>
      <c r="M830" s="4"/>
      <c r="N830" s="4"/>
      <c r="O830" s="3"/>
      <c r="P830" s="2"/>
      <c r="Q830" s="1"/>
    </row>
    <row r="831" spans="12:17" ht="15.75" customHeight="1" x14ac:dyDescent="0.25">
      <c r="L831" s="4"/>
      <c r="M831" s="4"/>
      <c r="N831" s="4"/>
      <c r="O831" s="3"/>
      <c r="P831" s="2"/>
      <c r="Q831" s="1"/>
    </row>
    <row r="832" spans="12:17" ht="15.75" customHeight="1" x14ac:dyDescent="0.25">
      <c r="L832" s="4"/>
      <c r="M832" s="4"/>
      <c r="N832" s="4"/>
      <c r="O832" s="3"/>
      <c r="P832" s="2"/>
      <c r="Q832" s="1"/>
    </row>
    <row r="833" spans="12:17" ht="15.75" customHeight="1" x14ac:dyDescent="0.25">
      <c r="L833" s="4"/>
      <c r="M833" s="4"/>
      <c r="N833" s="4"/>
      <c r="O833" s="3"/>
      <c r="P833" s="2"/>
      <c r="Q833" s="1"/>
    </row>
    <row r="834" spans="12:17" ht="15.75" customHeight="1" x14ac:dyDescent="0.25">
      <c r="L834" s="4"/>
      <c r="M834" s="4"/>
      <c r="N834" s="4"/>
      <c r="O834" s="3"/>
      <c r="P834" s="2"/>
      <c r="Q834" s="1"/>
    </row>
    <row r="835" spans="12:17" ht="15.75" customHeight="1" x14ac:dyDescent="0.25">
      <c r="L835" s="4"/>
      <c r="M835" s="4"/>
      <c r="N835" s="4"/>
      <c r="O835" s="3"/>
      <c r="P835" s="2"/>
      <c r="Q835" s="1"/>
    </row>
    <row r="836" spans="12:17" ht="15.75" customHeight="1" x14ac:dyDescent="0.25">
      <c r="L836" s="4"/>
      <c r="M836" s="4"/>
      <c r="N836" s="4"/>
      <c r="O836" s="3"/>
      <c r="P836" s="2"/>
      <c r="Q836" s="1"/>
    </row>
    <row r="837" spans="12:17" ht="15.75" customHeight="1" x14ac:dyDescent="0.25">
      <c r="L837" s="4"/>
      <c r="M837" s="4"/>
      <c r="N837" s="4"/>
      <c r="O837" s="3"/>
      <c r="P837" s="2"/>
      <c r="Q837" s="1"/>
    </row>
    <row r="838" spans="12:17" ht="15.75" customHeight="1" x14ac:dyDescent="0.25">
      <c r="L838" s="4"/>
      <c r="M838" s="4"/>
      <c r="N838" s="4"/>
      <c r="O838" s="3"/>
      <c r="P838" s="2"/>
      <c r="Q838" s="1"/>
    </row>
    <row r="839" spans="12:17" ht="15.75" customHeight="1" x14ac:dyDescent="0.25">
      <c r="L839" s="4"/>
      <c r="M839" s="4"/>
      <c r="N839" s="4"/>
      <c r="O839" s="3"/>
      <c r="P839" s="2"/>
      <c r="Q839" s="1"/>
    </row>
    <row r="840" spans="12:17" ht="15.75" customHeight="1" x14ac:dyDescent="0.25">
      <c r="L840" s="4"/>
      <c r="M840" s="4"/>
      <c r="N840" s="4"/>
      <c r="O840" s="3"/>
      <c r="P840" s="2"/>
      <c r="Q840" s="1"/>
    </row>
    <row r="841" spans="12:17" ht="15.75" customHeight="1" x14ac:dyDescent="0.25">
      <c r="L841" s="4"/>
      <c r="M841" s="4"/>
      <c r="N841" s="4"/>
      <c r="O841" s="3"/>
      <c r="P841" s="2"/>
      <c r="Q841" s="1"/>
    </row>
    <row r="842" spans="12:17" ht="15.75" customHeight="1" x14ac:dyDescent="0.25">
      <c r="L842" s="4"/>
      <c r="M842" s="4"/>
      <c r="N842" s="4"/>
      <c r="O842" s="3"/>
      <c r="P842" s="2"/>
      <c r="Q842" s="1"/>
    </row>
    <row r="843" spans="12:17" ht="15.75" customHeight="1" x14ac:dyDescent="0.25">
      <c r="L843" s="4"/>
      <c r="M843" s="4"/>
      <c r="N843" s="4"/>
      <c r="O843" s="3"/>
      <c r="P843" s="2"/>
      <c r="Q843" s="1"/>
    </row>
    <row r="844" spans="12:17" ht="15.75" customHeight="1" x14ac:dyDescent="0.25">
      <c r="L844" s="4"/>
      <c r="M844" s="4"/>
      <c r="N844" s="4"/>
      <c r="O844" s="3"/>
      <c r="P844" s="2"/>
      <c r="Q844" s="1"/>
    </row>
    <row r="845" spans="12:17" ht="15.75" customHeight="1" x14ac:dyDescent="0.25">
      <c r="L845" s="4"/>
      <c r="M845" s="4"/>
      <c r="N845" s="4"/>
      <c r="O845" s="3"/>
      <c r="P845" s="2"/>
      <c r="Q845" s="1"/>
    </row>
    <row r="846" spans="12:17" ht="15.75" customHeight="1" x14ac:dyDescent="0.25">
      <c r="L846" s="4"/>
      <c r="M846" s="4"/>
      <c r="N846" s="4"/>
      <c r="O846" s="3"/>
      <c r="P846" s="2"/>
      <c r="Q846" s="1"/>
    </row>
    <row r="847" spans="12:17" ht="15.75" customHeight="1" x14ac:dyDescent="0.25">
      <c r="L847" s="4"/>
      <c r="M847" s="4"/>
      <c r="N847" s="4"/>
      <c r="O847" s="3"/>
      <c r="P847" s="2"/>
      <c r="Q847" s="1"/>
    </row>
    <row r="848" spans="12:17" ht="15.75" customHeight="1" x14ac:dyDescent="0.25">
      <c r="L848" s="4"/>
      <c r="M848" s="4"/>
      <c r="N848" s="4"/>
      <c r="O848" s="3"/>
      <c r="P848" s="2"/>
      <c r="Q848" s="1"/>
    </row>
    <row r="849" spans="12:17" ht="15.75" customHeight="1" x14ac:dyDescent="0.25">
      <c r="L849" s="4"/>
      <c r="M849" s="4"/>
      <c r="N849" s="4"/>
      <c r="O849" s="3"/>
      <c r="P849" s="2"/>
      <c r="Q849" s="1"/>
    </row>
    <row r="850" spans="12:17" ht="15.75" customHeight="1" x14ac:dyDescent="0.25">
      <c r="L850" s="4"/>
      <c r="M850" s="4"/>
      <c r="N850" s="4"/>
      <c r="O850" s="3"/>
      <c r="P850" s="2"/>
      <c r="Q850" s="1"/>
    </row>
    <row r="851" spans="12:17" ht="15.75" customHeight="1" x14ac:dyDescent="0.25">
      <c r="L851" s="4"/>
      <c r="M851" s="4"/>
      <c r="N851" s="4"/>
      <c r="O851" s="3"/>
      <c r="P851" s="2"/>
      <c r="Q851" s="1"/>
    </row>
    <row r="852" spans="12:17" ht="15.75" customHeight="1" x14ac:dyDescent="0.25">
      <c r="L852" s="4"/>
      <c r="M852" s="4"/>
      <c r="N852" s="4"/>
      <c r="O852" s="3"/>
      <c r="P852" s="2"/>
      <c r="Q852" s="1"/>
    </row>
    <row r="853" spans="12:17" ht="15.75" customHeight="1" x14ac:dyDescent="0.25">
      <c r="L853" s="4"/>
      <c r="M853" s="4"/>
      <c r="N853" s="4"/>
      <c r="O853" s="3"/>
      <c r="P853" s="2"/>
      <c r="Q853" s="1"/>
    </row>
    <row r="854" spans="12:17" ht="15.75" customHeight="1" x14ac:dyDescent="0.25">
      <c r="L854" s="4"/>
      <c r="M854" s="4"/>
      <c r="N854" s="4"/>
      <c r="O854" s="3"/>
      <c r="P854" s="2"/>
      <c r="Q854" s="1"/>
    </row>
    <row r="855" spans="12:17" ht="15.75" customHeight="1" x14ac:dyDescent="0.25">
      <c r="L855" s="4"/>
      <c r="M855" s="4"/>
      <c r="N855" s="4"/>
      <c r="O855" s="3"/>
      <c r="P855" s="2"/>
      <c r="Q855" s="1"/>
    </row>
    <row r="856" spans="12:17" ht="15.75" customHeight="1" x14ac:dyDescent="0.25">
      <c r="L856" s="4"/>
      <c r="M856" s="4"/>
      <c r="N856" s="4"/>
      <c r="O856" s="3"/>
      <c r="P856" s="2"/>
      <c r="Q856" s="1"/>
    </row>
    <row r="857" spans="12:17" ht="15.75" customHeight="1" x14ac:dyDescent="0.25">
      <c r="L857" s="4"/>
      <c r="M857" s="4"/>
      <c r="N857" s="4"/>
      <c r="O857" s="3"/>
      <c r="P857" s="2"/>
      <c r="Q857" s="1"/>
    </row>
    <row r="858" spans="12:17" ht="15.75" customHeight="1" x14ac:dyDescent="0.25">
      <c r="L858" s="4"/>
      <c r="M858" s="4"/>
      <c r="N858" s="4"/>
      <c r="O858" s="3"/>
      <c r="P858" s="2"/>
      <c r="Q858" s="1"/>
    </row>
    <row r="859" spans="12:17" ht="15.75" customHeight="1" x14ac:dyDescent="0.25">
      <c r="L859" s="4"/>
      <c r="M859" s="4"/>
      <c r="N859" s="4"/>
      <c r="O859" s="3"/>
      <c r="P859" s="2"/>
      <c r="Q859" s="1"/>
    </row>
    <row r="860" spans="12:17" ht="15.75" customHeight="1" x14ac:dyDescent="0.25">
      <c r="L860" s="4"/>
      <c r="M860" s="4"/>
      <c r="N860" s="4"/>
      <c r="O860" s="3"/>
      <c r="P860" s="2"/>
      <c r="Q860" s="1"/>
    </row>
    <row r="861" spans="12:17" ht="15.75" customHeight="1" x14ac:dyDescent="0.25">
      <c r="L861" s="4"/>
      <c r="M861" s="4"/>
      <c r="N861" s="4"/>
      <c r="O861" s="3"/>
      <c r="P861" s="2"/>
      <c r="Q861" s="1"/>
    </row>
    <row r="862" spans="12:17" ht="15.75" customHeight="1" x14ac:dyDescent="0.25">
      <c r="L862" s="4"/>
      <c r="M862" s="4"/>
      <c r="N862" s="4"/>
      <c r="O862" s="3"/>
      <c r="P862" s="2"/>
      <c r="Q862" s="1"/>
    </row>
    <row r="863" spans="12:17" ht="15.75" customHeight="1" x14ac:dyDescent="0.25">
      <c r="L863" s="4"/>
      <c r="M863" s="4"/>
      <c r="N863" s="4"/>
      <c r="O863" s="3"/>
      <c r="P863" s="2"/>
      <c r="Q863" s="1"/>
    </row>
    <row r="864" spans="12:17" ht="15.75" customHeight="1" x14ac:dyDescent="0.25">
      <c r="L864" s="4"/>
      <c r="M864" s="4"/>
      <c r="N864" s="4"/>
      <c r="O864" s="3"/>
      <c r="P864" s="2"/>
      <c r="Q864" s="1"/>
    </row>
    <row r="865" spans="12:17" ht="15.75" customHeight="1" x14ac:dyDescent="0.25">
      <c r="L865" s="4"/>
      <c r="M865" s="4"/>
      <c r="N865" s="4"/>
      <c r="O865" s="3"/>
      <c r="P865" s="2"/>
      <c r="Q865" s="1"/>
    </row>
    <row r="866" spans="12:17" ht="15.75" customHeight="1" x14ac:dyDescent="0.25">
      <c r="L866" s="4"/>
      <c r="M866" s="4"/>
      <c r="N866" s="4"/>
      <c r="O866" s="3"/>
      <c r="P866" s="2"/>
      <c r="Q866" s="1"/>
    </row>
    <row r="867" spans="12:17" ht="15.75" customHeight="1" x14ac:dyDescent="0.25">
      <c r="L867" s="4"/>
      <c r="M867" s="4"/>
      <c r="N867" s="4"/>
      <c r="O867" s="3"/>
      <c r="P867" s="2"/>
      <c r="Q867" s="1"/>
    </row>
    <row r="868" spans="12:17" ht="15.75" customHeight="1" x14ac:dyDescent="0.25">
      <c r="L868" s="4"/>
      <c r="M868" s="4"/>
      <c r="N868" s="4"/>
      <c r="O868" s="3"/>
      <c r="P868" s="2"/>
      <c r="Q868" s="1"/>
    </row>
    <row r="869" spans="12:17" ht="15.75" customHeight="1" x14ac:dyDescent="0.25">
      <c r="L869" s="4"/>
      <c r="M869" s="4"/>
      <c r="N869" s="4"/>
      <c r="O869" s="3"/>
      <c r="P869" s="2"/>
      <c r="Q869" s="1"/>
    </row>
    <row r="870" spans="12:17" ht="15.75" customHeight="1" x14ac:dyDescent="0.25">
      <c r="L870" s="4"/>
      <c r="M870" s="4"/>
      <c r="N870" s="4"/>
      <c r="O870" s="3"/>
      <c r="P870" s="2"/>
      <c r="Q870" s="1"/>
    </row>
    <row r="871" spans="12:17" ht="15.75" customHeight="1" x14ac:dyDescent="0.25">
      <c r="L871" s="4"/>
      <c r="M871" s="4"/>
      <c r="N871" s="4"/>
      <c r="O871" s="3"/>
      <c r="P871" s="2"/>
      <c r="Q871" s="1"/>
    </row>
    <row r="872" spans="12:17" ht="15.75" customHeight="1" x14ac:dyDescent="0.25">
      <c r="L872" s="4"/>
      <c r="M872" s="4"/>
      <c r="N872" s="4"/>
      <c r="O872" s="3"/>
      <c r="P872" s="2"/>
      <c r="Q872" s="1"/>
    </row>
    <row r="873" spans="12:17" ht="15.75" customHeight="1" x14ac:dyDescent="0.25">
      <c r="L873" s="4"/>
      <c r="M873" s="4"/>
      <c r="N873" s="4"/>
      <c r="O873" s="3"/>
      <c r="P873" s="2"/>
      <c r="Q873" s="1"/>
    </row>
    <row r="874" spans="12:17" ht="15.75" customHeight="1" x14ac:dyDescent="0.25">
      <c r="L874" s="4"/>
      <c r="M874" s="4"/>
      <c r="N874" s="4"/>
      <c r="O874" s="3"/>
      <c r="P874" s="2"/>
      <c r="Q874" s="1"/>
    </row>
    <row r="875" spans="12:17" ht="15.75" customHeight="1" x14ac:dyDescent="0.25">
      <c r="L875" s="4"/>
      <c r="M875" s="4"/>
      <c r="N875" s="4"/>
      <c r="O875" s="3"/>
      <c r="P875" s="2"/>
      <c r="Q875" s="1"/>
    </row>
    <row r="876" spans="12:17" ht="15.75" customHeight="1" x14ac:dyDescent="0.25">
      <c r="L876" s="4"/>
      <c r="M876" s="4"/>
      <c r="N876" s="4"/>
      <c r="O876" s="3"/>
      <c r="P876" s="2"/>
      <c r="Q876" s="1"/>
    </row>
    <row r="877" spans="12:17" ht="15.75" customHeight="1" x14ac:dyDescent="0.25">
      <c r="L877" s="4"/>
      <c r="M877" s="4"/>
      <c r="N877" s="4"/>
      <c r="O877" s="3"/>
      <c r="P877" s="2"/>
      <c r="Q877" s="1"/>
    </row>
    <row r="878" spans="12:17" ht="15.75" customHeight="1" x14ac:dyDescent="0.25">
      <c r="L878" s="4"/>
      <c r="M878" s="4"/>
      <c r="N878" s="4"/>
      <c r="O878" s="3"/>
      <c r="P878" s="2"/>
      <c r="Q878" s="1"/>
    </row>
    <row r="879" spans="12:17" ht="15.75" customHeight="1" x14ac:dyDescent="0.25">
      <c r="L879" s="4"/>
      <c r="M879" s="4"/>
      <c r="N879" s="4"/>
      <c r="O879" s="3"/>
      <c r="P879" s="2"/>
      <c r="Q879" s="1"/>
    </row>
    <row r="880" spans="12:17" ht="15.75" customHeight="1" x14ac:dyDescent="0.25">
      <c r="L880" s="4"/>
      <c r="M880" s="4"/>
      <c r="N880" s="4"/>
      <c r="O880" s="3"/>
      <c r="P880" s="2"/>
      <c r="Q880" s="1"/>
    </row>
    <row r="881" spans="12:17" ht="15.75" customHeight="1" x14ac:dyDescent="0.25">
      <c r="L881" s="4"/>
      <c r="M881" s="4"/>
      <c r="N881" s="4"/>
      <c r="O881" s="3"/>
      <c r="P881" s="2"/>
      <c r="Q881" s="1"/>
    </row>
    <row r="882" spans="12:17" ht="15.75" customHeight="1" x14ac:dyDescent="0.25">
      <c r="L882" s="4"/>
      <c r="M882" s="4"/>
      <c r="N882" s="4"/>
      <c r="O882" s="3"/>
      <c r="P882" s="2"/>
      <c r="Q882" s="1"/>
    </row>
    <row r="883" spans="12:17" ht="15.75" customHeight="1" x14ac:dyDescent="0.25">
      <c r="L883" s="4"/>
      <c r="M883" s="4"/>
      <c r="N883" s="4"/>
      <c r="O883" s="3"/>
      <c r="P883" s="2"/>
      <c r="Q883" s="1"/>
    </row>
    <row r="884" spans="12:17" ht="15.75" customHeight="1" x14ac:dyDescent="0.25">
      <c r="L884" s="4"/>
      <c r="M884" s="4"/>
      <c r="N884" s="4"/>
      <c r="O884" s="3"/>
      <c r="P884" s="2"/>
      <c r="Q884" s="1"/>
    </row>
    <row r="885" spans="12:17" ht="15.75" customHeight="1" x14ac:dyDescent="0.25">
      <c r="L885" s="4"/>
      <c r="M885" s="4"/>
      <c r="N885" s="4"/>
      <c r="O885" s="3"/>
      <c r="P885" s="2"/>
      <c r="Q885" s="1"/>
    </row>
    <row r="886" spans="12:17" ht="15.75" customHeight="1" x14ac:dyDescent="0.25">
      <c r="L886" s="4"/>
      <c r="M886" s="4"/>
      <c r="N886" s="4"/>
      <c r="O886" s="3"/>
      <c r="P886" s="2"/>
      <c r="Q886" s="1"/>
    </row>
    <row r="887" spans="12:17" ht="15.75" customHeight="1" x14ac:dyDescent="0.25">
      <c r="L887" s="4"/>
      <c r="M887" s="4"/>
      <c r="N887" s="4"/>
      <c r="O887" s="3"/>
      <c r="P887" s="2"/>
      <c r="Q887" s="1"/>
    </row>
    <row r="888" spans="12:17" ht="15.75" customHeight="1" x14ac:dyDescent="0.25">
      <c r="L888" s="4"/>
      <c r="M888" s="4"/>
      <c r="N888" s="4"/>
      <c r="O888" s="3"/>
      <c r="P888" s="2"/>
      <c r="Q888" s="1"/>
    </row>
    <row r="889" spans="12:17" ht="15.75" customHeight="1" x14ac:dyDescent="0.25">
      <c r="L889" s="4"/>
      <c r="M889" s="4"/>
      <c r="N889" s="4"/>
      <c r="O889" s="3"/>
      <c r="P889" s="2"/>
      <c r="Q889" s="1"/>
    </row>
    <row r="890" spans="12:17" ht="15.75" customHeight="1" x14ac:dyDescent="0.25">
      <c r="L890" s="4"/>
      <c r="M890" s="4"/>
      <c r="N890" s="4"/>
      <c r="O890" s="3"/>
      <c r="P890" s="2"/>
      <c r="Q890" s="1"/>
    </row>
    <row r="891" spans="12:17" ht="15.75" customHeight="1" x14ac:dyDescent="0.25">
      <c r="L891" s="4"/>
      <c r="M891" s="4"/>
      <c r="N891" s="4"/>
      <c r="O891" s="3"/>
      <c r="P891" s="2"/>
      <c r="Q891" s="1"/>
    </row>
    <row r="892" spans="12:17" ht="15.75" customHeight="1" x14ac:dyDescent="0.25">
      <c r="L892" s="4"/>
      <c r="M892" s="4"/>
      <c r="N892" s="4"/>
      <c r="O892" s="3"/>
      <c r="P892" s="2"/>
      <c r="Q892" s="1"/>
    </row>
    <row r="893" spans="12:17" ht="15.75" customHeight="1" x14ac:dyDescent="0.25">
      <c r="L893" s="4"/>
      <c r="M893" s="4"/>
      <c r="N893" s="4"/>
      <c r="O893" s="3"/>
      <c r="P893" s="2"/>
      <c r="Q893" s="1"/>
    </row>
    <row r="894" spans="12:17" ht="15.75" customHeight="1" x14ac:dyDescent="0.25">
      <c r="L894" s="4"/>
      <c r="M894" s="4"/>
      <c r="N894" s="4"/>
      <c r="O894" s="3"/>
      <c r="P894" s="2"/>
      <c r="Q894" s="1"/>
    </row>
    <row r="895" spans="12:17" ht="15.75" customHeight="1" x14ac:dyDescent="0.25">
      <c r="L895" s="4"/>
      <c r="M895" s="4"/>
      <c r="N895" s="4"/>
      <c r="O895" s="3"/>
      <c r="P895" s="2"/>
      <c r="Q895" s="1"/>
    </row>
    <row r="896" spans="12:17" ht="15.75" customHeight="1" x14ac:dyDescent="0.25">
      <c r="L896" s="4"/>
      <c r="M896" s="4"/>
      <c r="N896" s="4"/>
      <c r="O896" s="3"/>
      <c r="P896" s="2"/>
      <c r="Q896" s="1"/>
    </row>
    <row r="897" spans="12:17" ht="15.75" customHeight="1" x14ac:dyDescent="0.25">
      <c r="L897" s="4"/>
      <c r="M897" s="4"/>
      <c r="N897" s="4"/>
      <c r="O897" s="3"/>
      <c r="P897" s="2"/>
      <c r="Q897" s="1"/>
    </row>
    <row r="898" spans="12:17" ht="15.75" customHeight="1" x14ac:dyDescent="0.25">
      <c r="L898" s="4"/>
      <c r="M898" s="4"/>
      <c r="N898" s="4"/>
      <c r="O898" s="3"/>
      <c r="P898" s="2"/>
      <c r="Q898" s="1"/>
    </row>
    <row r="899" spans="12:17" ht="15.75" customHeight="1" x14ac:dyDescent="0.25">
      <c r="L899" s="4"/>
      <c r="M899" s="4"/>
      <c r="N899" s="4"/>
      <c r="O899" s="3"/>
      <c r="P899" s="2"/>
      <c r="Q899" s="1"/>
    </row>
    <row r="900" spans="12:17" ht="15.75" customHeight="1" x14ac:dyDescent="0.25">
      <c r="L900" s="4"/>
      <c r="M900" s="4"/>
      <c r="N900" s="4"/>
      <c r="O900" s="3"/>
      <c r="P900" s="2"/>
      <c r="Q900" s="1"/>
    </row>
    <row r="901" spans="12:17" ht="15.75" customHeight="1" x14ac:dyDescent="0.25">
      <c r="L901" s="4"/>
      <c r="M901" s="4"/>
      <c r="N901" s="4"/>
      <c r="O901" s="3"/>
      <c r="P901" s="2"/>
      <c r="Q901" s="1"/>
    </row>
    <row r="902" spans="12:17" ht="15.75" customHeight="1" x14ac:dyDescent="0.25">
      <c r="L902" s="4"/>
      <c r="M902" s="4"/>
      <c r="N902" s="4"/>
      <c r="O902" s="3"/>
      <c r="P902" s="2"/>
      <c r="Q902" s="1"/>
    </row>
    <row r="903" spans="12:17" ht="15.75" customHeight="1" x14ac:dyDescent="0.25">
      <c r="L903" s="4"/>
      <c r="M903" s="4"/>
      <c r="N903" s="4"/>
      <c r="O903" s="3"/>
      <c r="P903" s="2"/>
      <c r="Q903" s="1"/>
    </row>
    <row r="904" spans="12:17" ht="15.75" customHeight="1" x14ac:dyDescent="0.25">
      <c r="L904" s="4"/>
      <c r="M904" s="4"/>
      <c r="N904" s="4"/>
      <c r="O904" s="3"/>
      <c r="P904" s="2"/>
      <c r="Q904" s="1"/>
    </row>
    <row r="905" spans="12:17" ht="15.75" customHeight="1" x14ac:dyDescent="0.25">
      <c r="L905" s="4"/>
      <c r="M905" s="4"/>
      <c r="N905" s="4"/>
      <c r="O905" s="3"/>
      <c r="P905" s="2"/>
      <c r="Q905" s="1"/>
    </row>
    <row r="906" spans="12:17" ht="15.75" customHeight="1" x14ac:dyDescent="0.25">
      <c r="L906" s="4"/>
      <c r="M906" s="4"/>
      <c r="N906" s="4"/>
      <c r="O906" s="3"/>
      <c r="P906" s="2"/>
      <c r="Q906" s="1"/>
    </row>
    <row r="907" spans="12:17" ht="15.75" customHeight="1" x14ac:dyDescent="0.25">
      <c r="L907" s="4"/>
      <c r="M907" s="4"/>
      <c r="N907" s="4"/>
      <c r="O907" s="3"/>
      <c r="P907" s="2"/>
      <c r="Q907" s="1"/>
    </row>
    <row r="908" spans="12:17" ht="15.75" customHeight="1" x14ac:dyDescent="0.25">
      <c r="L908" s="4"/>
      <c r="M908" s="4"/>
      <c r="N908" s="4"/>
      <c r="O908" s="3"/>
      <c r="P908" s="2"/>
      <c r="Q908" s="1"/>
    </row>
    <row r="909" spans="12:17" ht="15.75" customHeight="1" x14ac:dyDescent="0.25">
      <c r="L909" s="4"/>
      <c r="M909" s="4"/>
      <c r="N909" s="4"/>
      <c r="O909" s="3"/>
      <c r="P909" s="2"/>
      <c r="Q909" s="1"/>
    </row>
    <row r="910" spans="12:17" ht="15.75" customHeight="1" x14ac:dyDescent="0.25">
      <c r="L910" s="4"/>
      <c r="M910" s="4"/>
      <c r="N910" s="4"/>
      <c r="O910" s="3"/>
      <c r="P910" s="2"/>
      <c r="Q910" s="1"/>
    </row>
    <row r="911" spans="12:17" ht="15.75" customHeight="1" x14ac:dyDescent="0.25">
      <c r="L911" s="4"/>
      <c r="M911" s="4"/>
      <c r="N911" s="4"/>
      <c r="O911" s="3"/>
      <c r="P911" s="2"/>
      <c r="Q911" s="1"/>
    </row>
    <row r="912" spans="12:17" ht="15.75" customHeight="1" x14ac:dyDescent="0.25">
      <c r="L912" s="4"/>
      <c r="M912" s="4"/>
      <c r="N912" s="4"/>
      <c r="O912" s="3"/>
      <c r="P912" s="2"/>
      <c r="Q912" s="1"/>
    </row>
    <row r="913" spans="12:17" ht="15.75" customHeight="1" x14ac:dyDescent="0.25">
      <c r="L913" s="4"/>
      <c r="M913" s="4"/>
      <c r="N913" s="4"/>
      <c r="O913" s="3"/>
      <c r="P913" s="2"/>
      <c r="Q913" s="1"/>
    </row>
    <row r="914" spans="12:17" ht="15.75" customHeight="1" x14ac:dyDescent="0.25">
      <c r="L914" s="4"/>
      <c r="M914" s="4"/>
      <c r="N914" s="4"/>
      <c r="O914" s="3"/>
      <c r="P914" s="2"/>
      <c r="Q914" s="1"/>
    </row>
    <row r="915" spans="12:17" ht="15.75" customHeight="1" x14ac:dyDescent="0.25">
      <c r="L915" s="4"/>
      <c r="M915" s="4"/>
      <c r="N915" s="4"/>
      <c r="O915" s="3"/>
      <c r="P915" s="2"/>
      <c r="Q915" s="1"/>
    </row>
    <row r="916" spans="12:17" ht="15.75" customHeight="1" x14ac:dyDescent="0.25">
      <c r="L916" s="4"/>
      <c r="M916" s="4"/>
      <c r="N916" s="4"/>
      <c r="O916" s="3"/>
      <c r="P916" s="2"/>
      <c r="Q916" s="1"/>
    </row>
    <row r="917" spans="12:17" ht="15.75" customHeight="1" x14ac:dyDescent="0.25">
      <c r="L917" s="4"/>
      <c r="M917" s="4"/>
      <c r="N917" s="4"/>
      <c r="O917" s="3"/>
      <c r="P917" s="2"/>
      <c r="Q917" s="1"/>
    </row>
    <row r="918" spans="12:17" ht="15.75" customHeight="1" x14ac:dyDescent="0.25">
      <c r="L918" s="4"/>
      <c r="M918" s="4"/>
      <c r="N918" s="4"/>
      <c r="O918" s="3"/>
      <c r="P918" s="2"/>
      <c r="Q918" s="1"/>
    </row>
    <row r="919" spans="12:17" ht="15.75" customHeight="1" x14ac:dyDescent="0.25">
      <c r="L919" s="4"/>
      <c r="M919" s="4"/>
      <c r="N919" s="4"/>
      <c r="O919" s="3"/>
      <c r="P919" s="2"/>
      <c r="Q919" s="1"/>
    </row>
    <row r="920" spans="12:17" ht="15.75" customHeight="1" x14ac:dyDescent="0.25">
      <c r="L920" s="4"/>
      <c r="M920" s="4"/>
      <c r="N920" s="4"/>
      <c r="O920" s="3"/>
      <c r="P920" s="2"/>
      <c r="Q920" s="1"/>
    </row>
    <row r="921" spans="12:17" ht="15.75" customHeight="1" x14ac:dyDescent="0.25">
      <c r="L921" s="4"/>
      <c r="M921" s="4"/>
      <c r="N921" s="4"/>
      <c r="O921" s="3"/>
      <c r="P921" s="2"/>
      <c r="Q921" s="1"/>
    </row>
    <row r="922" spans="12:17" ht="15.75" customHeight="1" x14ac:dyDescent="0.25">
      <c r="L922" s="4"/>
      <c r="M922" s="4"/>
      <c r="N922" s="4"/>
      <c r="O922" s="3"/>
      <c r="P922" s="2"/>
      <c r="Q922" s="1"/>
    </row>
    <row r="923" spans="12:17" ht="15.75" customHeight="1" x14ac:dyDescent="0.25">
      <c r="L923" s="4"/>
      <c r="M923" s="4"/>
      <c r="N923" s="4"/>
      <c r="O923" s="3"/>
      <c r="P923" s="2"/>
      <c r="Q923" s="1"/>
    </row>
    <row r="924" spans="12:17" ht="15.75" customHeight="1" x14ac:dyDescent="0.25">
      <c r="L924" s="4"/>
      <c r="M924" s="4"/>
      <c r="N924" s="4"/>
      <c r="O924" s="3"/>
      <c r="P924" s="2"/>
      <c r="Q924" s="1"/>
    </row>
    <row r="925" spans="12:17" ht="15.75" customHeight="1" x14ac:dyDescent="0.25">
      <c r="L925" s="4"/>
      <c r="M925" s="4"/>
      <c r="N925" s="4"/>
      <c r="O925" s="3"/>
      <c r="P925" s="2"/>
      <c r="Q925" s="1"/>
    </row>
    <row r="926" spans="12:17" ht="15.75" customHeight="1" x14ac:dyDescent="0.25">
      <c r="L926" s="4"/>
      <c r="M926" s="4"/>
      <c r="N926" s="4"/>
      <c r="O926" s="3"/>
      <c r="P926" s="2"/>
      <c r="Q926" s="1"/>
    </row>
    <row r="927" spans="12:17" ht="15.75" customHeight="1" x14ac:dyDescent="0.25">
      <c r="L927" s="4"/>
      <c r="M927" s="4"/>
      <c r="N927" s="4"/>
      <c r="O927" s="3"/>
      <c r="P927" s="2"/>
      <c r="Q927" s="1"/>
    </row>
    <row r="928" spans="12:17" ht="15.75" customHeight="1" x14ac:dyDescent="0.25">
      <c r="L928" s="4"/>
      <c r="M928" s="4"/>
      <c r="N928" s="4"/>
      <c r="O928" s="3"/>
      <c r="P928" s="2"/>
      <c r="Q928" s="1"/>
    </row>
    <row r="929" spans="12:17" ht="15.75" customHeight="1" x14ac:dyDescent="0.25">
      <c r="L929" s="4"/>
      <c r="M929" s="4"/>
      <c r="N929" s="4"/>
      <c r="O929" s="3"/>
      <c r="P929" s="2"/>
      <c r="Q929" s="1"/>
    </row>
    <row r="930" spans="12:17" ht="15.75" customHeight="1" x14ac:dyDescent="0.25">
      <c r="L930" s="4"/>
      <c r="M930" s="4"/>
      <c r="N930" s="4"/>
      <c r="O930" s="3"/>
      <c r="P930" s="2"/>
      <c r="Q930" s="1"/>
    </row>
    <row r="931" spans="12:17" ht="15.75" customHeight="1" x14ac:dyDescent="0.25">
      <c r="L931" s="4"/>
      <c r="M931" s="4"/>
      <c r="N931" s="4"/>
      <c r="O931" s="3"/>
      <c r="P931" s="2"/>
      <c r="Q931" s="1"/>
    </row>
    <row r="932" spans="12:17" ht="15.75" customHeight="1" x14ac:dyDescent="0.25">
      <c r="L932" s="4"/>
      <c r="M932" s="4"/>
      <c r="N932" s="4"/>
      <c r="O932" s="3"/>
      <c r="P932" s="2"/>
      <c r="Q932" s="1"/>
    </row>
    <row r="933" spans="12:17" ht="15.75" customHeight="1" x14ac:dyDescent="0.25">
      <c r="L933" s="4"/>
      <c r="M933" s="4"/>
      <c r="N933" s="4"/>
      <c r="O933" s="3"/>
      <c r="P933" s="2"/>
      <c r="Q933" s="1"/>
    </row>
    <row r="934" spans="12:17" ht="15.75" customHeight="1" x14ac:dyDescent="0.25">
      <c r="L934" s="4"/>
      <c r="M934" s="4"/>
      <c r="N934" s="4"/>
      <c r="O934" s="3"/>
      <c r="P934" s="2"/>
      <c r="Q934" s="1"/>
    </row>
    <row r="935" spans="12:17" ht="15.75" customHeight="1" x14ac:dyDescent="0.25">
      <c r="L935" s="4"/>
      <c r="M935" s="4"/>
      <c r="N935" s="4"/>
      <c r="O935" s="3"/>
      <c r="P935" s="2"/>
      <c r="Q935" s="1"/>
    </row>
    <row r="936" spans="12:17" ht="15.75" customHeight="1" x14ac:dyDescent="0.25">
      <c r="L936" s="4"/>
      <c r="M936" s="4"/>
      <c r="N936" s="4"/>
      <c r="O936" s="3"/>
      <c r="P936" s="2"/>
      <c r="Q936" s="1"/>
    </row>
    <row r="937" spans="12:17" ht="15.75" customHeight="1" x14ac:dyDescent="0.25">
      <c r="L937" s="4"/>
      <c r="M937" s="4"/>
      <c r="N937" s="4"/>
      <c r="O937" s="3"/>
      <c r="P937" s="2"/>
      <c r="Q937" s="1"/>
    </row>
    <row r="938" spans="12:17" ht="15.75" customHeight="1" x14ac:dyDescent="0.25">
      <c r="L938" s="4"/>
      <c r="M938" s="4"/>
      <c r="N938" s="4"/>
      <c r="O938" s="3"/>
      <c r="P938" s="2"/>
      <c r="Q938" s="1"/>
    </row>
    <row r="939" spans="12:17" ht="15.75" customHeight="1" x14ac:dyDescent="0.25">
      <c r="L939" s="4"/>
      <c r="M939" s="4"/>
      <c r="N939" s="4"/>
      <c r="O939" s="3"/>
      <c r="P939" s="2"/>
      <c r="Q939" s="1"/>
    </row>
    <row r="940" spans="12:17" ht="15.75" customHeight="1" x14ac:dyDescent="0.25">
      <c r="L940" s="4"/>
      <c r="M940" s="4"/>
      <c r="N940" s="4"/>
      <c r="O940" s="3"/>
      <c r="P940" s="2"/>
      <c r="Q940" s="1"/>
    </row>
    <row r="941" spans="12:17" ht="15.75" customHeight="1" x14ac:dyDescent="0.25">
      <c r="L941" s="4"/>
      <c r="M941" s="4"/>
      <c r="N941" s="4"/>
      <c r="O941" s="3"/>
      <c r="P941" s="2"/>
      <c r="Q941" s="1"/>
    </row>
    <row r="942" spans="12:17" ht="15.75" customHeight="1" x14ac:dyDescent="0.25">
      <c r="L942" s="4"/>
      <c r="M942" s="4"/>
      <c r="N942" s="4"/>
      <c r="O942" s="3"/>
      <c r="P942" s="2"/>
      <c r="Q942" s="1"/>
    </row>
    <row r="943" spans="12:17" ht="15.75" customHeight="1" x14ac:dyDescent="0.25">
      <c r="L943" s="4"/>
      <c r="M943" s="4"/>
      <c r="N943" s="4"/>
      <c r="O943" s="3"/>
      <c r="P943" s="2"/>
      <c r="Q943" s="1"/>
    </row>
    <row r="944" spans="12:17" ht="15.75" customHeight="1" x14ac:dyDescent="0.25">
      <c r="L944" s="4"/>
      <c r="M944" s="4"/>
      <c r="N944" s="4"/>
      <c r="O944" s="3"/>
      <c r="P944" s="2"/>
      <c r="Q944" s="1"/>
    </row>
    <row r="945" spans="12:17" ht="15.75" customHeight="1" x14ac:dyDescent="0.25">
      <c r="L945" s="4"/>
      <c r="M945" s="4"/>
      <c r="N945" s="4"/>
      <c r="O945" s="3"/>
      <c r="P945" s="2"/>
      <c r="Q945" s="1"/>
    </row>
    <row r="946" spans="12:17" ht="15.75" customHeight="1" x14ac:dyDescent="0.25">
      <c r="L946" s="4"/>
      <c r="M946" s="4"/>
      <c r="N946" s="4"/>
      <c r="O946" s="3"/>
      <c r="P946" s="2"/>
      <c r="Q946" s="1"/>
    </row>
    <row r="947" spans="12:17" ht="15.75" customHeight="1" x14ac:dyDescent="0.25">
      <c r="L947" s="4"/>
      <c r="M947" s="4"/>
      <c r="N947" s="4"/>
      <c r="O947" s="3"/>
      <c r="P947" s="2"/>
      <c r="Q947" s="1"/>
    </row>
    <row r="948" spans="12:17" ht="15.75" customHeight="1" x14ac:dyDescent="0.25">
      <c r="L948" s="4"/>
      <c r="M948" s="4"/>
      <c r="N948" s="4"/>
      <c r="O948" s="3"/>
      <c r="P948" s="2"/>
      <c r="Q948" s="1"/>
    </row>
    <row r="949" spans="12:17" ht="15.75" customHeight="1" x14ac:dyDescent="0.25">
      <c r="L949" s="4"/>
      <c r="M949" s="4"/>
      <c r="N949" s="4"/>
      <c r="O949" s="3"/>
      <c r="P949" s="2"/>
      <c r="Q949" s="1"/>
    </row>
    <row r="950" spans="12:17" ht="15.75" customHeight="1" x14ac:dyDescent="0.25">
      <c r="L950" s="4"/>
      <c r="M950" s="4"/>
      <c r="N950" s="4"/>
      <c r="O950" s="3"/>
      <c r="P950" s="2"/>
      <c r="Q950" s="1"/>
    </row>
    <row r="951" spans="12:17" ht="15.75" customHeight="1" x14ac:dyDescent="0.25">
      <c r="L951" s="4"/>
      <c r="M951" s="4"/>
      <c r="N951" s="4"/>
      <c r="O951" s="3"/>
      <c r="P951" s="2"/>
      <c r="Q951" s="1"/>
    </row>
    <row r="952" spans="12:17" ht="15.75" customHeight="1" x14ac:dyDescent="0.25">
      <c r="L952" s="4"/>
      <c r="M952" s="4"/>
      <c r="N952" s="4"/>
      <c r="O952" s="3"/>
      <c r="P952" s="2"/>
      <c r="Q952" s="1"/>
    </row>
    <row r="953" spans="12:17" ht="15.75" customHeight="1" x14ac:dyDescent="0.25">
      <c r="L953" s="4"/>
      <c r="M953" s="4"/>
      <c r="N953" s="4"/>
      <c r="O953" s="3"/>
      <c r="P953" s="2"/>
      <c r="Q953" s="1"/>
    </row>
    <row r="954" spans="12:17" ht="15.75" customHeight="1" x14ac:dyDescent="0.25">
      <c r="L954" s="4"/>
      <c r="M954" s="4"/>
      <c r="N954" s="4"/>
      <c r="O954" s="3"/>
      <c r="P954" s="2"/>
      <c r="Q954" s="1"/>
    </row>
    <row r="955" spans="12:17" ht="15.75" customHeight="1" x14ac:dyDescent="0.25">
      <c r="L955" s="4"/>
      <c r="M955" s="4"/>
      <c r="N955" s="4"/>
      <c r="O955" s="3"/>
      <c r="P955" s="2"/>
      <c r="Q955" s="1"/>
    </row>
    <row r="956" spans="12:17" ht="15.75" customHeight="1" x14ac:dyDescent="0.25">
      <c r="L956" s="4"/>
      <c r="M956" s="4"/>
      <c r="N956" s="4"/>
      <c r="O956" s="3"/>
      <c r="P956" s="2"/>
      <c r="Q956" s="1"/>
    </row>
    <row r="957" spans="12:17" ht="15.75" customHeight="1" x14ac:dyDescent="0.25">
      <c r="L957" s="4"/>
      <c r="M957" s="4"/>
      <c r="N957" s="4"/>
      <c r="O957" s="3"/>
      <c r="P957" s="2"/>
      <c r="Q957" s="1"/>
    </row>
    <row r="958" spans="12:17" ht="15.75" customHeight="1" x14ac:dyDescent="0.25">
      <c r="L958" s="4"/>
      <c r="M958" s="4"/>
      <c r="N958" s="4"/>
      <c r="O958" s="3"/>
      <c r="P958" s="2"/>
      <c r="Q958" s="1"/>
    </row>
    <row r="959" spans="12:17" ht="15.75" customHeight="1" x14ac:dyDescent="0.25">
      <c r="L959" s="4"/>
      <c r="M959" s="4"/>
      <c r="N959" s="4"/>
      <c r="O959" s="3"/>
      <c r="P959" s="2"/>
      <c r="Q959" s="1"/>
    </row>
    <row r="960" spans="12:17" ht="15.75" customHeight="1" x14ac:dyDescent="0.25">
      <c r="L960" s="4"/>
      <c r="M960" s="4"/>
      <c r="N960" s="4"/>
      <c r="O960" s="3"/>
      <c r="P960" s="2"/>
      <c r="Q960" s="1"/>
    </row>
    <row r="961" spans="12:17" ht="15.75" customHeight="1" x14ac:dyDescent="0.25">
      <c r="L961" s="4"/>
      <c r="M961" s="4"/>
      <c r="N961" s="4"/>
      <c r="O961" s="3"/>
      <c r="P961" s="2"/>
      <c r="Q961" s="1"/>
    </row>
    <row r="962" spans="12:17" ht="15.75" customHeight="1" x14ac:dyDescent="0.25">
      <c r="L962" s="4"/>
      <c r="M962" s="4"/>
      <c r="N962" s="4"/>
      <c r="O962" s="3"/>
      <c r="P962" s="2"/>
      <c r="Q962" s="1"/>
    </row>
    <row r="963" spans="12:17" ht="15.75" customHeight="1" x14ac:dyDescent="0.25">
      <c r="L963" s="4"/>
      <c r="M963" s="4"/>
      <c r="N963" s="4"/>
      <c r="O963" s="3"/>
      <c r="P963" s="2"/>
      <c r="Q963" s="1"/>
    </row>
    <row r="964" spans="12:17" ht="15.75" customHeight="1" x14ac:dyDescent="0.25">
      <c r="L964" s="4"/>
      <c r="M964" s="4"/>
      <c r="N964" s="4"/>
      <c r="O964" s="3"/>
      <c r="P964" s="2"/>
      <c r="Q964" s="1"/>
    </row>
    <row r="965" spans="12:17" ht="15.75" customHeight="1" x14ac:dyDescent="0.25">
      <c r="L965" s="4"/>
      <c r="M965" s="4"/>
      <c r="N965" s="4"/>
      <c r="O965" s="3"/>
      <c r="P965" s="2"/>
      <c r="Q965" s="1"/>
    </row>
    <row r="966" spans="12:17" ht="15.75" customHeight="1" x14ac:dyDescent="0.25">
      <c r="L966" s="4"/>
      <c r="M966" s="4"/>
      <c r="N966" s="4"/>
      <c r="O966" s="3"/>
      <c r="P966" s="2"/>
      <c r="Q966" s="1"/>
    </row>
    <row r="967" spans="12:17" ht="15.75" customHeight="1" x14ac:dyDescent="0.25">
      <c r="L967" s="4"/>
      <c r="M967" s="4"/>
      <c r="N967" s="4"/>
      <c r="O967" s="3"/>
      <c r="P967" s="2"/>
      <c r="Q967" s="1"/>
    </row>
    <row r="968" spans="12:17" ht="15.75" customHeight="1" x14ac:dyDescent="0.25">
      <c r="L968" s="4"/>
      <c r="M968" s="4"/>
      <c r="N968" s="4"/>
      <c r="O968" s="3"/>
      <c r="P968" s="2"/>
      <c r="Q968" s="1"/>
    </row>
    <row r="969" spans="12:17" ht="15.75" customHeight="1" x14ac:dyDescent="0.25">
      <c r="L969" s="4"/>
      <c r="M969" s="4"/>
      <c r="N969" s="4"/>
      <c r="O969" s="3"/>
      <c r="P969" s="2"/>
      <c r="Q969" s="1"/>
    </row>
    <row r="970" spans="12:17" ht="15.75" customHeight="1" x14ac:dyDescent="0.25">
      <c r="L970" s="4"/>
      <c r="M970" s="4"/>
      <c r="N970" s="4"/>
      <c r="O970" s="3"/>
      <c r="P970" s="2"/>
      <c r="Q970" s="1"/>
    </row>
    <row r="971" spans="12:17" ht="15.75" customHeight="1" x14ac:dyDescent="0.25">
      <c r="L971" s="4"/>
      <c r="M971" s="4"/>
      <c r="N971" s="4"/>
      <c r="O971" s="3"/>
      <c r="P971" s="2"/>
      <c r="Q971" s="1"/>
    </row>
    <row r="972" spans="12:17" ht="15.75" customHeight="1" x14ac:dyDescent="0.25">
      <c r="L972" s="4"/>
      <c r="M972" s="4"/>
      <c r="N972" s="4"/>
      <c r="O972" s="3"/>
      <c r="P972" s="2"/>
      <c r="Q972" s="1"/>
    </row>
    <row r="973" spans="12:17" ht="15.75" customHeight="1" x14ac:dyDescent="0.25">
      <c r="L973" s="4"/>
      <c r="M973" s="4"/>
      <c r="N973" s="4"/>
      <c r="O973" s="3"/>
      <c r="P973" s="2"/>
      <c r="Q973" s="1"/>
    </row>
    <row r="974" spans="12:17" ht="15.75" customHeight="1" x14ac:dyDescent="0.25">
      <c r="L974" s="4"/>
      <c r="M974" s="4"/>
      <c r="N974" s="4"/>
      <c r="O974" s="3"/>
      <c r="P974" s="2"/>
      <c r="Q974" s="1"/>
    </row>
    <row r="975" spans="12:17" ht="15.75" customHeight="1" x14ac:dyDescent="0.25">
      <c r="L975" s="4"/>
      <c r="M975" s="4"/>
      <c r="N975" s="4"/>
      <c r="O975" s="3"/>
      <c r="P975" s="2"/>
      <c r="Q975" s="1"/>
    </row>
    <row r="976" spans="12:17" ht="15.75" customHeight="1" x14ac:dyDescent="0.25">
      <c r="L976" s="4"/>
      <c r="M976" s="4"/>
      <c r="N976" s="4"/>
      <c r="O976" s="3"/>
      <c r="P976" s="2"/>
      <c r="Q976" s="1"/>
    </row>
    <row r="977" spans="12:17" ht="15.75" customHeight="1" x14ac:dyDescent="0.25">
      <c r="L977" s="4"/>
      <c r="M977" s="4"/>
      <c r="N977" s="4"/>
      <c r="O977" s="3"/>
      <c r="P977" s="2"/>
      <c r="Q977" s="1"/>
    </row>
    <row r="978" spans="12:17" ht="15.75" customHeight="1" x14ac:dyDescent="0.25">
      <c r="L978" s="4"/>
      <c r="M978" s="4"/>
      <c r="N978" s="4"/>
      <c r="O978" s="3"/>
      <c r="P978" s="2"/>
      <c r="Q978" s="1"/>
    </row>
    <row r="979" spans="12:17" ht="15.75" customHeight="1" x14ac:dyDescent="0.25">
      <c r="L979" s="4"/>
      <c r="M979" s="4"/>
      <c r="N979" s="4"/>
      <c r="O979" s="3"/>
      <c r="P979" s="2"/>
      <c r="Q979" s="1"/>
    </row>
    <row r="980" spans="12:17" ht="15.75" customHeight="1" x14ac:dyDescent="0.25">
      <c r="L980" s="4"/>
      <c r="M980" s="4"/>
      <c r="N980" s="4"/>
      <c r="O980" s="3"/>
      <c r="P980" s="2"/>
      <c r="Q980" s="1"/>
    </row>
    <row r="981" spans="12:17" ht="15.75" customHeight="1" x14ac:dyDescent="0.25">
      <c r="L981" s="4"/>
      <c r="M981" s="4"/>
      <c r="N981" s="4"/>
      <c r="O981" s="3"/>
      <c r="P981" s="2"/>
      <c r="Q981" s="1"/>
    </row>
    <row r="982" spans="12:17" ht="15.75" customHeight="1" x14ac:dyDescent="0.25">
      <c r="L982" s="4"/>
      <c r="M982" s="4"/>
      <c r="N982" s="4"/>
      <c r="O982" s="3"/>
      <c r="P982" s="2"/>
      <c r="Q982" s="1"/>
    </row>
    <row r="983" spans="12:17" ht="15.75" customHeight="1" x14ac:dyDescent="0.25">
      <c r="L983" s="4"/>
      <c r="M983" s="4"/>
      <c r="N983" s="4"/>
      <c r="O983" s="3"/>
      <c r="P983" s="2"/>
      <c r="Q983" s="1"/>
    </row>
    <row r="984" spans="12:17" ht="15.75" customHeight="1" x14ac:dyDescent="0.25">
      <c r="L984" s="4"/>
      <c r="M984" s="4"/>
      <c r="N984" s="4"/>
      <c r="O984" s="3"/>
      <c r="P984" s="2"/>
      <c r="Q984" s="1"/>
    </row>
    <row r="985" spans="12:17" ht="15.75" customHeight="1" x14ac:dyDescent="0.25">
      <c r="L985" s="4"/>
      <c r="M985" s="4"/>
      <c r="N985" s="4"/>
      <c r="O985" s="3"/>
      <c r="P985" s="2"/>
      <c r="Q985" s="1"/>
    </row>
    <row r="986" spans="12:17" ht="15.75" customHeight="1" x14ac:dyDescent="0.25">
      <c r="L986" s="4"/>
      <c r="M986" s="4"/>
      <c r="N986" s="4"/>
      <c r="O986" s="3"/>
      <c r="P986" s="2"/>
      <c r="Q986" s="1"/>
    </row>
    <row r="987" spans="12:17" ht="15.75" customHeight="1" x14ac:dyDescent="0.25">
      <c r="L987" s="4"/>
      <c r="M987" s="4"/>
      <c r="N987" s="4"/>
      <c r="O987" s="3"/>
      <c r="P987" s="2"/>
      <c r="Q987" s="1"/>
    </row>
    <row r="988" spans="12:17" ht="15.75" customHeight="1" x14ac:dyDescent="0.25">
      <c r="L988" s="4"/>
      <c r="M988" s="4"/>
      <c r="N988" s="4"/>
      <c r="O988" s="3"/>
      <c r="P988" s="2"/>
      <c r="Q988" s="1"/>
    </row>
    <row r="989" spans="12:17" ht="15.75" customHeight="1" x14ac:dyDescent="0.25">
      <c r="L989" s="4"/>
      <c r="M989" s="4"/>
      <c r="N989" s="4"/>
      <c r="O989" s="3"/>
      <c r="P989" s="2"/>
      <c r="Q989" s="1"/>
    </row>
    <row r="990" spans="12:17" ht="15.75" customHeight="1" x14ac:dyDescent="0.25">
      <c r="L990" s="4"/>
      <c r="M990" s="4"/>
      <c r="N990" s="4"/>
      <c r="O990" s="3"/>
      <c r="P990" s="2"/>
      <c r="Q990" s="1"/>
    </row>
    <row r="991" spans="12:17" ht="15.75" customHeight="1" x14ac:dyDescent="0.25">
      <c r="L991" s="4"/>
      <c r="M991" s="4"/>
      <c r="N991" s="4"/>
      <c r="O991" s="3"/>
      <c r="P991" s="2"/>
      <c r="Q991" s="1"/>
    </row>
    <row r="992" spans="12:17" ht="15.75" customHeight="1" x14ac:dyDescent="0.25">
      <c r="L992" s="4"/>
      <c r="M992" s="4"/>
      <c r="N992" s="4"/>
      <c r="O992" s="3"/>
      <c r="P992" s="2"/>
      <c r="Q992" s="1"/>
    </row>
    <row r="993" spans="12:17" ht="15.75" customHeight="1" x14ac:dyDescent="0.25">
      <c r="L993" s="4"/>
      <c r="M993" s="4"/>
      <c r="N993" s="4"/>
      <c r="O993" s="3"/>
      <c r="P993" s="2"/>
      <c r="Q993" s="1"/>
    </row>
    <row r="994" spans="12:17" ht="15.75" customHeight="1" x14ac:dyDescent="0.25">
      <c r="L994" s="4"/>
      <c r="M994" s="4"/>
      <c r="N994" s="4"/>
      <c r="O994" s="3"/>
      <c r="P994" s="2"/>
      <c r="Q994" s="1"/>
    </row>
    <row r="995" spans="12:17" ht="15.75" customHeight="1" x14ac:dyDescent="0.25">
      <c r="L995" s="4"/>
      <c r="M995" s="4"/>
      <c r="N995" s="4"/>
      <c r="O995" s="3"/>
      <c r="P995" s="2"/>
      <c r="Q995" s="1"/>
    </row>
    <row r="996" spans="12:17" ht="15.75" customHeight="1" x14ac:dyDescent="0.25">
      <c r="L996" s="4"/>
      <c r="M996" s="4"/>
      <c r="N996" s="4"/>
      <c r="O996" s="3"/>
      <c r="P996" s="2"/>
      <c r="Q996" s="1"/>
    </row>
    <row r="997" spans="12:17" ht="15.75" customHeight="1" x14ac:dyDescent="0.25">
      <c r="L997" s="4"/>
      <c r="M997" s="4"/>
      <c r="N997" s="4"/>
      <c r="O997" s="3"/>
      <c r="P997" s="2"/>
      <c r="Q997" s="1"/>
    </row>
    <row r="998" spans="12:17" ht="15.75" customHeight="1" x14ac:dyDescent="0.25">
      <c r="L998" s="4"/>
      <c r="M998" s="4"/>
      <c r="N998" s="4"/>
      <c r="O998" s="3"/>
      <c r="P998" s="2"/>
      <c r="Q998" s="1"/>
    </row>
    <row r="999" spans="12:17" ht="15.75" customHeight="1" x14ac:dyDescent="0.25">
      <c r="L999" s="4"/>
      <c r="M999" s="4"/>
      <c r="N999" s="4"/>
      <c r="O999" s="3"/>
      <c r="P999" s="2"/>
      <c r="Q999" s="1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(4)DonnellLF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2025-08-17T17:56:54Z</dcterms:created>
  <dcterms:modified xsi:type="dcterms:W3CDTF">2025-08-17T17:57:30Z</dcterms:modified>
</cp:coreProperties>
</file>