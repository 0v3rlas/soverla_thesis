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verl\Documents\CWU\Thesis_Project\Exploring_Data\"/>
    </mc:Choice>
  </mc:AlternateContent>
  <xr:revisionPtr revIDLastSave="0" documentId="8_{2D549478-D73C-4D8E-9FBE-715F19171564}" xr6:coauthVersionLast="47" xr6:coauthVersionMax="47" xr10:uidLastSave="{00000000-0000-0000-0000-000000000000}"/>
  <bookViews>
    <workbookView xWindow="28680" yWindow="-120" windowWidth="29040" windowHeight="15720" xr2:uid="{4D508507-049B-4104-8E86-4B94B052C56E}"/>
  </bookViews>
  <sheets>
    <sheet name="DixieFOUS(7)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/>
  <c r="O2" i="1"/>
  <c r="P2" i="1"/>
  <c r="N3" i="1"/>
  <c r="O3" i="1"/>
  <c r="P3" i="1"/>
  <c r="S3" i="1"/>
  <c r="T3" i="1"/>
  <c r="N4" i="1"/>
  <c r="O4" i="1"/>
  <c r="P4" i="1"/>
  <c r="S4" i="1"/>
  <c r="T4" i="1" s="1"/>
  <c r="N5" i="1"/>
  <c r="O5" i="1"/>
  <c r="P5" i="1"/>
  <c r="S5" i="1"/>
  <c r="T5" i="1"/>
  <c r="N6" i="1"/>
  <c r="O6" i="1"/>
  <c r="P6" i="1"/>
  <c r="S6" i="1"/>
  <c r="T6" i="1" s="1"/>
  <c r="N7" i="1"/>
  <c r="O7" i="1"/>
  <c r="P7" i="1"/>
  <c r="S7" i="1"/>
  <c r="T7" i="1" s="1"/>
  <c r="N8" i="1"/>
  <c r="O8" i="1"/>
  <c r="P8" i="1"/>
  <c r="S8" i="1"/>
  <c r="N9" i="1"/>
  <c r="O9" i="1"/>
  <c r="P9" i="1"/>
  <c r="S9" i="1"/>
  <c r="T9" i="1"/>
  <c r="N10" i="1"/>
  <c r="O10" i="1"/>
  <c r="P10" i="1"/>
  <c r="S10" i="1"/>
  <c r="T10" i="1"/>
  <c r="N11" i="1"/>
  <c r="O11" i="1" s="1"/>
  <c r="P11" i="1"/>
  <c r="S11" i="1"/>
  <c r="N12" i="1"/>
  <c r="O12" i="1"/>
  <c r="P12" i="1"/>
  <c r="S12" i="1"/>
  <c r="T12" i="1" s="1"/>
  <c r="N13" i="1"/>
  <c r="O13" i="1" s="1"/>
  <c r="P13" i="1"/>
  <c r="S13" i="1"/>
  <c r="T13" i="1"/>
  <c r="N14" i="1"/>
  <c r="O14" i="1" s="1"/>
  <c r="P14" i="1"/>
  <c r="S14" i="1"/>
  <c r="T14" i="1"/>
  <c r="N15" i="1"/>
  <c r="O15" i="1"/>
  <c r="P15" i="1"/>
  <c r="S15" i="1"/>
  <c r="T15" i="1" s="1"/>
  <c r="N16" i="1"/>
  <c r="O16" i="1"/>
  <c r="P16" i="1"/>
  <c r="S16" i="1"/>
  <c r="T16" i="1"/>
  <c r="N17" i="1"/>
  <c r="O17" i="1" s="1"/>
  <c r="P17" i="1"/>
  <c r="S17" i="1"/>
  <c r="T17" i="1"/>
  <c r="N18" i="1"/>
  <c r="O18" i="1"/>
  <c r="P18" i="1"/>
  <c r="S18" i="1"/>
  <c r="T18" i="1"/>
  <c r="N19" i="1"/>
  <c r="O19" i="1"/>
  <c r="P19" i="1"/>
  <c r="S19" i="1"/>
  <c r="T19" i="1"/>
  <c r="N20" i="1"/>
  <c r="O20" i="1" s="1"/>
  <c r="P20" i="1"/>
  <c r="S20" i="1"/>
  <c r="T20" i="1"/>
  <c r="N21" i="1"/>
  <c r="O21" i="1"/>
  <c r="P21" i="1"/>
  <c r="N22" i="1"/>
  <c r="O22" i="1"/>
  <c r="P22" i="1"/>
  <c r="S22" i="1"/>
  <c r="N23" i="1"/>
  <c r="O23" i="1"/>
  <c r="P23" i="1"/>
  <c r="S23" i="1"/>
  <c r="T23" i="1"/>
  <c r="N24" i="1"/>
  <c r="O24" i="1"/>
  <c r="P24" i="1"/>
  <c r="S24" i="1"/>
  <c r="T24" i="1"/>
  <c r="N25" i="1"/>
  <c r="O25" i="1" s="1"/>
  <c r="P25" i="1"/>
  <c r="S25" i="1"/>
  <c r="T25" i="1"/>
  <c r="N26" i="1"/>
  <c r="O26" i="1"/>
  <c r="P26" i="1"/>
  <c r="S26" i="1"/>
  <c r="N27" i="1"/>
  <c r="O27" i="1" s="1"/>
  <c r="P27" i="1"/>
  <c r="S27" i="1"/>
  <c r="T27" i="1"/>
  <c r="N28" i="1"/>
  <c r="O28" i="1" s="1"/>
  <c r="P28" i="1"/>
  <c r="S28" i="1"/>
  <c r="T28" i="1"/>
  <c r="N29" i="1"/>
  <c r="O29" i="1"/>
  <c r="P29" i="1"/>
  <c r="S29" i="1"/>
  <c r="T29" i="1" s="1"/>
  <c r="N30" i="1"/>
  <c r="O30" i="1"/>
  <c r="P30" i="1"/>
  <c r="S30" i="1"/>
  <c r="T30" i="1"/>
  <c r="N31" i="1"/>
  <c r="O31" i="1" s="1"/>
  <c r="P31" i="1"/>
  <c r="S31" i="1"/>
  <c r="T31" i="1"/>
  <c r="N32" i="1"/>
  <c r="O32" i="1"/>
  <c r="P32" i="1"/>
  <c r="S32" i="1"/>
  <c r="N33" i="1"/>
  <c r="O33" i="1" s="1"/>
  <c r="P33" i="1"/>
  <c r="S33" i="1"/>
  <c r="T33" i="1"/>
  <c r="N34" i="1"/>
  <c r="O34" i="1"/>
  <c r="P34" i="1"/>
  <c r="S34" i="1"/>
  <c r="T34" i="1"/>
  <c r="N35" i="1"/>
  <c r="O35" i="1"/>
  <c r="P35" i="1"/>
  <c r="S35" i="1"/>
  <c r="T35" i="1" s="1"/>
  <c r="N36" i="1"/>
  <c r="O36" i="1" s="1"/>
  <c r="P36" i="1"/>
  <c r="S36" i="1"/>
  <c r="T36" i="1"/>
  <c r="N37" i="1"/>
  <c r="O37" i="1" s="1"/>
  <c r="P37" i="1"/>
  <c r="S37" i="1"/>
  <c r="T37" i="1"/>
  <c r="N38" i="1"/>
  <c r="O38" i="1"/>
  <c r="P38" i="1"/>
  <c r="S38" i="1"/>
  <c r="T38" i="1" s="1"/>
  <c r="N39" i="1"/>
  <c r="O39" i="1"/>
  <c r="P39" i="1"/>
  <c r="S39" i="1"/>
  <c r="T39" i="1"/>
  <c r="N40" i="1"/>
  <c r="O40" i="1" s="1"/>
  <c r="P40" i="1"/>
  <c r="S40" i="1"/>
  <c r="T40" i="1"/>
  <c r="N41" i="1"/>
  <c r="O41" i="1"/>
  <c r="P41" i="1"/>
  <c r="S41" i="1"/>
  <c r="T41" i="1" s="1"/>
  <c r="N42" i="1"/>
  <c r="O42" i="1"/>
  <c r="P42" i="1"/>
  <c r="S42" i="1"/>
  <c r="T42" i="1"/>
  <c r="N43" i="1"/>
  <c r="O43" i="1" s="1"/>
  <c r="P43" i="1"/>
  <c r="S43" i="1"/>
  <c r="T43" i="1"/>
  <c r="N44" i="1"/>
  <c r="O44" i="1"/>
  <c r="P44" i="1"/>
  <c r="S44" i="1"/>
  <c r="T44" i="1"/>
  <c r="N45" i="1"/>
  <c r="O45" i="1"/>
  <c r="P45" i="1"/>
  <c r="S45" i="1"/>
  <c r="N46" i="1"/>
  <c r="O46" i="1" s="1"/>
  <c r="P46" i="1"/>
  <c r="S46" i="1"/>
  <c r="T46" i="1"/>
  <c r="N47" i="1"/>
  <c r="O47" i="1"/>
  <c r="P47" i="1"/>
  <c r="S47" i="1"/>
  <c r="T48" i="1" s="1"/>
  <c r="N48" i="1"/>
  <c r="O48" i="1" s="1"/>
  <c r="P48" i="1"/>
  <c r="S48" i="1"/>
  <c r="T49" i="1" s="1"/>
  <c r="N49" i="1"/>
  <c r="O49" i="1"/>
  <c r="P49" i="1"/>
  <c r="S49" i="1"/>
  <c r="N50" i="1"/>
  <c r="O50" i="1"/>
  <c r="P50" i="1"/>
  <c r="S50" i="1"/>
  <c r="T50" i="1" s="1"/>
  <c r="N51" i="1"/>
  <c r="O51" i="1"/>
  <c r="P51" i="1"/>
  <c r="S51" i="1"/>
  <c r="T51" i="1"/>
  <c r="N52" i="1"/>
  <c r="O52" i="1"/>
  <c r="P52" i="1"/>
  <c r="S52" i="1"/>
  <c r="T52" i="1"/>
  <c r="N53" i="1"/>
  <c r="O53" i="1"/>
  <c r="P53" i="1"/>
  <c r="S53" i="1"/>
  <c r="T53" i="1" s="1"/>
  <c r="N54" i="1"/>
  <c r="O54" i="1" s="1"/>
  <c r="P54" i="1"/>
  <c r="S54" i="1"/>
  <c r="T54" i="1"/>
  <c r="N55" i="1"/>
  <c r="O55" i="1" s="1"/>
  <c r="P55" i="1"/>
  <c r="S55" i="1"/>
  <c r="N56" i="1"/>
  <c r="O56" i="1"/>
  <c r="P56" i="1"/>
  <c r="S56" i="1"/>
  <c r="T57" i="1" s="1"/>
  <c r="T56" i="1"/>
  <c r="N57" i="1"/>
  <c r="O57" i="1" s="1"/>
  <c r="P57" i="1"/>
  <c r="S57" i="1"/>
  <c r="N58" i="1"/>
  <c r="O58" i="1"/>
  <c r="P58" i="1"/>
  <c r="S58" i="1"/>
  <c r="T58" i="1" s="1"/>
  <c r="N59" i="1"/>
  <c r="O59" i="1"/>
  <c r="P59" i="1"/>
  <c r="S59" i="1"/>
  <c r="T59" i="1" s="1"/>
  <c r="N60" i="1"/>
  <c r="O60" i="1" s="1"/>
  <c r="P60" i="1"/>
  <c r="S60" i="1"/>
  <c r="T60" i="1"/>
  <c r="N61" i="1"/>
  <c r="O61" i="1"/>
  <c r="P61" i="1"/>
  <c r="S61" i="1"/>
  <c r="T61" i="1"/>
  <c r="N62" i="1"/>
  <c r="O62" i="1"/>
  <c r="P62" i="1"/>
  <c r="S62" i="1"/>
  <c r="T62" i="1" s="1"/>
  <c r="N63" i="1"/>
  <c r="O63" i="1" s="1"/>
  <c r="P63" i="1"/>
  <c r="S63" i="1"/>
  <c r="T63" i="1"/>
  <c r="N64" i="1"/>
  <c r="O64" i="1" s="1"/>
  <c r="P64" i="1"/>
  <c r="S64" i="1"/>
  <c r="T64" i="1"/>
  <c r="N65" i="1"/>
  <c r="O65" i="1"/>
  <c r="P65" i="1"/>
  <c r="S65" i="1"/>
  <c r="T65" i="1" s="1"/>
  <c r="N66" i="1"/>
  <c r="O66" i="1"/>
  <c r="P66" i="1"/>
  <c r="S66" i="1"/>
  <c r="T66" i="1"/>
  <c r="N67" i="1"/>
  <c r="O67" i="1" s="1"/>
  <c r="P67" i="1"/>
  <c r="S67" i="1"/>
  <c r="T67" i="1"/>
  <c r="N68" i="1"/>
  <c r="O68" i="1"/>
  <c r="P68" i="1"/>
  <c r="S68" i="1"/>
  <c r="T68" i="1"/>
  <c r="N69" i="1"/>
  <c r="O69" i="1"/>
  <c r="P69" i="1"/>
  <c r="S69" i="1"/>
  <c r="T69" i="1"/>
  <c r="N70" i="1"/>
  <c r="O70" i="1" s="1"/>
  <c r="P70" i="1"/>
  <c r="S70" i="1"/>
  <c r="T70" i="1"/>
  <c r="N71" i="1"/>
  <c r="O71" i="1"/>
  <c r="P71" i="1"/>
  <c r="S71" i="1"/>
  <c r="T71" i="1"/>
  <c r="N72" i="1"/>
  <c r="O72" i="1"/>
  <c r="P72" i="1"/>
  <c r="S72" i="1"/>
  <c r="T72" i="1" s="1"/>
  <c r="N73" i="1"/>
  <c r="O73" i="1"/>
  <c r="S73" i="1"/>
  <c r="T73" i="1"/>
  <c r="N74" i="1"/>
  <c r="O74" i="1"/>
  <c r="S74" i="1"/>
  <c r="T74" i="1"/>
  <c r="N75" i="1"/>
  <c r="O75" i="1" s="1"/>
  <c r="S75" i="1"/>
  <c r="N76" i="1"/>
  <c r="O76" i="1"/>
  <c r="S76" i="1"/>
  <c r="T76" i="1"/>
  <c r="N77" i="1"/>
  <c r="O77" i="1"/>
  <c r="S77" i="1"/>
  <c r="T77" i="1"/>
  <c r="N78" i="1"/>
  <c r="O78" i="1"/>
  <c r="S78" i="1"/>
  <c r="T78" i="1" s="1"/>
  <c r="N79" i="1"/>
  <c r="O79" i="1" s="1"/>
  <c r="S79" i="1"/>
  <c r="T79" i="1"/>
  <c r="N80" i="1"/>
  <c r="O80" i="1"/>
  <c r="S80" i="1"/>
  <c r="T80" i="1" s="1"/>
  <c r="N81" i="1"/>
  <c r="O81" i="1"/>
  <c r="S81" i="1"/>
  <c r="T81" i="1"/>
  <c r="N82" i="1"/>
  <c r="O82" i="1"/>
  <c r="S82" i="1"/>
  <c r="T82" i="1"/>
  <c r="N83" i="1"/>
  <c r="O83" i="1"/>
  <c r="S83" i="1"/>
  <c r="T83" i="1"/>
  <c r="N84" i="1"/>
  <c r="O84" i="1" s="1"/>
  <c r="S84" i="1"/>
  <c r="T84" i="1" s="1"/>
  <c r="N85" i="1"/>
  <c r="O85" i="1"/>
  <c r="S85" i="1"/>
  <c r="T85" i="1"/>
  <c r="N86" i="1"/>
  <c r="O86" i="1" s="1"/>
  <c r="S86" i="1"/>
  <c r="T86" i="1"/>
  <c r="N87" i="1"/>
  <c r="O87" i="1"/>
  <c r="S87" i="1"/>
  <c r="T87" i="1"/>
  <c r="N88" i="1"/>
  <c r="O88" i="1"/>
  <c r="S88" i="1"/>
  <c r="T88" i="1"/>
  <c r="N89" i="1"/>
  <c r="O89" i="1"/>
  <c r="S89" i="1"/>
  <c r="T89" i="1" s="1"/>
  <c r="N90" i="1"/>
  <c r="O90" i="1" s="1"/>
  <c r="S90" i="1"/>
  <c r="T90" i="1"/>
  <c r="N91" i="1"/>
  <c r="O91" i="1"/>
  <c r="S91" i="1"/>
  <c r="T91" i="1" s="1"/>
  <c r="N92" i="1"/>
  <c r="O92" i="1"/>
  <c r="S92" i="1"/>
  <c r="T92" i="1"/>
  <c r="N93" i="1"/>
  <c r="O93" i="1"/>
  <c r="S93" i="1"/>
  <c r="T93" i="1"/>
  <c r="N94" i="1"/>
  <c r="O94" i="1"/>
  <c r="S94" i="1"/>
  <c r="T94" i="1"/>
  <c r="N95" i="1"/>
  <c r="O95" i="1" s="1"/>
  <c r="S95" i="1"/>
  <c r="T95" i="1" s="1"/>
  <c r="N96" i="1"/>
  <c r="O96" i="1"/>
  <c r="S96" i="1"/>
  <c r="T96" i="1"/>
  <c r="N97" i="1"/>
  <c r="O97" i="1" s="1"/>
  <c r="S97" i="1"/>
  <c r="T97" i="1"/>
  <c r="N98" i="1"/>
  <c r="O98" i="1"/>
  <c r="S98" i="1"/>
  <c r="T98" i="1"/>
  <c r="N99" i="1"/>
  <c r="O99" i="1"/>
  <c r="S99" i="1"/>
  <c r="T99" i="1"/>
  <c r="N100" i="1"/>
  <c r="O100" i="1"/>
  <c r="S100" i="1"/>
  <c r="T100" i="1" s="1"/>
  <c r="N101" i="1"/>
  <c r="O101" i="1" s="1"/>
  <c r="S101" i="1"/>
  <c r="T101" i="1"/>
  <c r="N102" i="1"/>
  <c r="O102" i="1"/>
  <c r="S102" i="1"/>
  <c r="T102" i="1" s="1"/>
  <c r="N103" i="1"/>
  <c r="O103" i="1"/>
  <c r="S103" i="1"/>
  <c r="T103" i="1"/>
  <c r="N104" i="1"/>
  <c r="O104" i="1"/>
  <c r="S104" i="1"/>
  <c r="T104" i="1"/>
  <c r="N105" i="1"/>
  <c r="O105" i="1"/>
  <c r="S105" i="1"/>
  <c r="T105" i="1"/>
  <c r="N106" i="1"/>
  <c r="O106" i="1" s="1"/>
  <c r="S106" i="1"/>
  <c r="T106" i="1" s="1"/>
  <c r="O107" i="1"/>
  <c r="O108" i="1"/>
  <c r="O109" i="1"/>
  <c r="O110" i="1"/>
  <c r="O111" i="1"/>
  <c r="O112" i="1"/>
  <c r="O113" i="1"/>
  <c r="O114" i="1"/>
  <c r="O115" i="1"/>
  <c r="O116" i="1"/>
  <c r="O117" i="1"/>
</calcChain>
</file>

<file path=xl/sharedStrings.xml><?xml version="1.0" encoding="utf-8"?>
<sst xmlns="http://schemas.openxmlformats.org/spreadsheetml/2006/main" count="24" uniqueCount="22">
  <si>
    <t>As</t>
  </si>
  <si>
    <t>Ls</t>
  </si>
  <si>
    <t>ScaledSumCPD</t>
  </si>
  <si>
    <t>ScaledCPD</t>
  </si>
  <si>
    <t>Cost per day per acre</t>
  </si>
  <si>
    <t>Real Cost (Adjusted for Inflation)</t>
  </si>
  <si>
    <t>ICS209 Cost</t>
  </si>
  <si>
    <t>Best</t>
  </si>
  <si>
    <t>Ls_Growth</t>
  </si>
  <si>
    <t>growth</t>
  </si>
  <si>
    <t>IR size</t>
  </si>
  <si>
    <t>Prog_0811</t>
  </si>
  <si>
    <t>Prog_0809</t>
  </si>
  <si>
    <t>Prog_0808</t>
  </si>
  <si>
    <t>Prog_0804</t>
  </si>
  <si>
    <t>Prog growth</t>
  </si>
  <si>
    <t>Prog_0731 progression map &amp; date</t>
  </si>
  <si>
    <t>IMSR cost</t>
  </si>
  <si>
    <t>IMSR daily acres</t>
  </si>
  <si>
    <t>ICS209 daily acres</t>
  </si>
  <si>
    <t>Fire Day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</si>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</sst>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0" fontId="2" fillId="0" borderId="0" xfId="0" applyFont="1"/>
    <xf numFmtId="0" fontId="2" fillId="0" borderId="0" xfId="0" applyFont="1" applyAlignment="1">
      <alignment horizontal="right" wrapText="1"/>
    </xf>
    <xf numFmtId="164" fontId="2" fillId="4" borderId="0" xfId="0" applyNumberFormat="1" applyFont="1" applyFill="1" applyAlignment="1">
      <alignment wrapText="1"/>
    </xf>
    <xf numFmtId="164" fontId="2" fillId="5" borderId="0" xfId="0" applyNumberFormat="1" applyFont="1" applyFill="1" applyAlignment="1">
      <alignment wrapText="1"/>
    </xf>
    <xf numFmtId="164" fontId="2" fillId="2" borderId="0" xfId="0" applyNumberFormat="1" applyFont="1" applyFill="1" applyAlignment="1">
      <alignment wrapText="1"/>
    </xf>
    <xf numFmtId="0" fontId="2" fillId="2" borderId="0" xfId="0" applyFont="1" applyFill="1" applyAlignment="1">
      <alignment wrapText="1"/>
    </xf>
    <xf numFmtId="0" fontId="2" fillId="3" borderId="0" xfId="0" applyFont="1" applyFill="1" applyAlignment="1">
      <alignment horizontal="right"/>
    </xf>
    <xf numFmtId="0" fontId="2" fillId="0" borderId="0" xfId="0" applyFont="1" applyAlignment="1">
      <alignment wrapText="1"/>
    </xf>
    <xf numFmtId="164" fontId="2" fillId="0" borderId="0" xfId="0" applyNumberFormat="1" applyFont="1" applyAlignment="1">
      <alignment wrapText="1"/>
    </xf>
    <xf numFmtId="14" fontId="2" fillId="0" borderId="0" xfId="0" applyNumberFormat="1" applyFont="1" applyAlignment="1">
      <alignment horizontal="right" wrapText="1"/>
    </xf>
    <xf numFmtId="0" fontId="2" fillId="6" borderId="0" xfId="0" applyFont="1" applyFill="1" applyAlignment="1">
      <alignment horizontal="right"/>
    </xf>
    <xf numFmtId="0" fontId="1" fillId="0" borderId="0" xfId="0" applyFont="1"/>
    <xf numFmtId="0" fontId="2" fillId="0" borderId="0" xfId="0" applyFont="1" applyAlignment="1">
      <alignment horizontal="right"/>
    </xf>
    <xf numFmtId="0" fontId="1" fillId="6" borderId="0" xfId="0" applyFont="1" applyFill="1"/>
    <xf numFmtId="0" fontId="2" fillId="6" borderId="0" xfId="0" applyFont="1" applyFill="1" applyAlignment="1">
      <alignment horizontal="right" wrapText="1"/>
    </xf>
    <xf numFmtId="164" fontId="2" fillId="6" borderId="0" xfId="0" applyNumberFormat="1" applyFont="1" applyFill="1" applyAlignment="1">
      <alignment wrapText="1"/>
    </xf>
    <xf numFmtId="0" fontId="2" fillId="6" borderId="0" xfId="0" applyFont="1" applyFill="1" applyAlignment="1">
      <alignment wrapText="1"/>
    </xf>
    <xf numFmtId="14" fontId="2" fillId="6" borderId="0" xfId="0" applyNumberFormat="1" applyFont="1" applyFill="1" applyAlignment="1">
      <alignment horizontal="right" wrapText="1"/>
    </xf>
    <xf numFmtId="164" fontId="2" fillId="0" borderId="0" xfId="0" applyNumberFormat="1" applyFont="1" applyAlignment="1">
      <alignment horizontal="right" wrapText="1"/>
    </xf>
    <xf numFmtId="1" fontId="2" fillId="0" borderId="0" xfId="0" applyNumberFormat="1" applyFont="1" applyAlignment="1">
      <alignment horizontal="right"/>
    </xf>
    <xf numFmtId="1" fontId="2" fillId="0" borderId="0" xfId="0" applyNumberFormat="1" applyFont="1"/>
    <xf numFmtId="0" fontId="1" fillId="5" borderId="0" xfId="0" applyFont="1" applyFill="1"/>
    <xf numFmtId="164" fontId="2" fillId="0" borderId="0" xfId="0" applyNumberFormat="1" applyFont="1"/>
    <xf numFmtId="164" fontId="2" fillId="2" borderId="0" xfId="0" applyNumberFormat="1" applyFont="1" applyFill="1"/>
    <xf numFmtId="0" fontId="2" fillId="2" borderId="0" xfId="0" applyFont="1" applyFill="1"/>
    <xf numFmtId="1" fontId="2" fillId="3" borderId="0" xfId="0" applyNumberFormat="1" applyFont="1" applyFill="1" applyAlignment="1">
      <alignment horizontal="right"/>
    </xf>
    <xf numFmtId="1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verl\Downloads\Research%20Project%20-%20pairs,%20Ls,%20cost.xlsx" TargetMode="External"/><Relationship Id="rId1" Type="http://schemas.openxmlformats.org/officeDocument/2006/relationships/externalLinkPath" Target="/Users/overl/Downloads/Research%20Project%20-%20pairs,%20Ls,%20co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SCPD"/>
      <sheetName val="Inflation Rates by Year"/>
      <sheetName val="XLFCandidates"/>
      <sheetName val="Project Pairs"/>
      <sheetName val="Project Pairs 2"/>
      <sheetName val="DryGulchLF(39)"/>
      <sheetName val="CubCreek2LF(38)"/>
      <sheetName val="BackboneLF(37)"/>
      <sheetName val="CooksPeakLF(36)"/>
      <sheetName val="HirzLF(34)"/>
      <sheetName val="PierLF(33)"/>
      <sheetName val="IslandLF(31)"/>
      <sheetName val="WhitmoreLF(32)"/>
      <sheetName val="Road702LF(29)"/>
      <sheetName val="RiverLF(42)"/>
      <sheetName val="McCashXLF(1)"/>
      <sheetName val="SoberanesXLF(30)"/>
      <sheetName val="KlondikeXLF(28)"/>
      <sheetName val="BoxcarXLF(23)"/>
      <sheetName val="MosquitoXLF(22)"/>
      <sheetName val="GooseCreekXLF(21)"/>
      <sheetName val="EvansCanyonXLF(20)"/>
      <sheetName val="RafaelXLF(19)"/>
      <sheetName val="EastForkXLF(18)"/>
      <sheetName val="CaldwellXLF(17)"/>
      <sheetName val="DiamondCreekXLF(16)"/>
      <sheetName val="HighlineXLF(13)"/>
      <sheetName val="WoodburyXLF(11)"/>
      <sheetName val="SpringCreekXLF(10)"/>
      <sheetName val="SartinDrawXLF(9)"/>
      <sheetName val="BoundaryXLF(8)"/>
      <sheetName val="CampXLF(7)"/>
      <sheetName val="GrassValleyXLF(5)"/>
      <sheetName val="NorthStarXLF(2)"/>
      <sheetName val="RoughXLF(4)"/>
      <sheetName val="CarrXLF(6)"/>
      <sheetName val="CarltonCplxFOUS (33)"/>
      <sheetName val="BasinFOUS(32)"/>
      <sheetName val="ChetcoBarFOUS(34)"/>
      <sheetName val="AshCreekFOUS(31)"/>
      <sheetName val="DolanFOUS(30)"/>
      <sheetName val="ChimneyLF(30)"/>
      <sheetName val="HighParkLF(29)"/>
      <sheetName val="WatsonCreekLF(28)"/>
      <sheetName val="LionsheadFOUS(27)"/>
      <sheetName val="BlackRockLF(27)"/>
      <sheetName val="HolidayFarmFOUS(26)"/>
      <sheetName val="PoleCreekLF(26)"/>
      <sheetName val="McFarlandFOUS(25)"/>
      <sheetName val="ZoggLF(25)"/>
      <sheetName val="BurroLF(24)"/>
      <sheetName val="CinderButteLF(23)"/>
      <sheetName val="ButteLF(22)"/>
      <sheetName val="JohnsonXLF(3)"/>
      <sheetName val="BlackPineLF(21)"/>
      <sheetName val="SchneiderSpringsFOUS(20)"/>
      <sheetName val="JollyMountainLF(20)"/>
      <sheetName val="JuniperLF(19)"/>
      <sheetName val="EastTroublesomeFOUS(18)"/>
      <sheetName val="BeaverCreekLF(18)"/>
      <sheetName val="LavaLF(17)"/>
      <sheetName val="RiversideFOUS(16)"/>
      <sheetName val="NenaSpringsLF(16)"/>
      <sheetName val="BrattainLF(15)"/>
      <sheetName val="MullenFOUS(14)"/>
      <sheetName val="RyanLF(14)"/>
      <sheetName val="MooseFOUS(13)"/>
      <sheetName val="TrailCreekLF(13)"/>
      <sheetName val="DomeLF(12)"/>
      <sheetName val="TelegraphFOUS(11)"/>
      <sheetName val="MescalLF(11)"/>
      <sheetName val="PineGulchFOUS(10)"/>
      <sheetName val="BullDrawLF(10)"/>
      <sheetName val="RichardSpringFOUS(9)"/>
      <sheetName val="SarpyLF(9)"/>
      <sheetName val="WoodheadFOUS(8)"/>
      <sheetName val="MesaLF(8)"/>
      <sheetName val="WalkerLF(7)"/>
      <sheetName val="(1)SlaterFOUS"/>
      <sheetName val="(1)McKinneyLF"/>
      <sheetName val="(2)CountyLine2LF"/>
      <sheetName val="(3)Bear TrapLF"/>
      <sheetName val="(4)DonnellLF"/>
      <sheetName val="(5)WhitneyFOUS"/>
      <sheetName val="(5)WilliamsFlatLF"/>
      <sheetName val="(6)MonumentFOUS"/>
      <sheetName val="(6)DeltaLF"/>
    </sheetNames>
    <sheetDataSet>
      <sheetData sheetId="0"/>
      <sheetData sheetId="1">
        <row r="2">
          <cell r="C2">
            <v>1.13076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C3C62-D4A9-4065-B5F8-982354026550}">
  <sheetPr>
    <outlinePr summaryBelow="0" summaryRight="0"/>
  </sheetPr>
  <dimension ref="A1:AC1001"/>
  <sheetViews>
    <sheetView tabSelected="1" topLeftCell="A55" workbookViewId="0">
      <selection activeCell="Q73" sqref="Q73:Q106"/>
    </sheetView>
  </sheetViews>
  <sheetFormatPr defaultColWidth="12.5703125" defaultRowHeight="15" customHeight="1" x14ac:dyDescent="0.25"/>
  <sheetData>
    <row r="1" spans="1:25" ht="15" customHeight="1" x14ac:dyDescent="0.25">
      <c r="A1" s="11" t="s">
        <v>21</v>
      </c>
      <c r="B1" s="11" t="s">
        <v>20</v>
      </c>
      <c r="C1" s="11" t="s">
        <v>19</v>
      </c>
      <c r="D1" s="12" t="s">
        <v>6</v>
      </c>
      <c r="E1" s="11" t="s">
        <v>18</v>
      </c>
      <c r="F1" s="12" t="s">
        <v>17</v>
      </c>
      <c r="G1" s="11" t="s">
        <v>16</v>
      </c>
      <c r="H1" s="4" t="s">
        <v>15</v>
      </c>
      <c r="I1" s="11" t="s">
        <v>14</v>
      </c>
      <c r="J1" s="11" t="s">
        <v>13</v>
      </c>
      <c r="K1" s="11" t="s">
        <v>12</v>
      </c>
      <c r="L1" s="11" t="s">
        <v>11</v>
      </c>
      <c r="M1" s="4" t="s">
        <v>10</v>
      </c>
      <c r="N1" s="3" t="s">
        <v>9</v>
      </c>
      <c r="O1" s="3" t="s">
        <v>0</v>
      </c>
      <c r="P1" s="3" t="s">
        <v>8</v>
      </c>
      <c r="Q1" s="9" t="s">
        <v>7</v>
      </c>
      <c r="R1" s="8" t="s">
        <v>6</v>
      </c>
      <c r="S1" s="7" t="s">
        <v>5</v>
      </c>
      <c r="T1" s="6" t="s">
        <v>4</v>
      </c>
      <c r="U1" s="11" t="s">
        <v>3</v>
      </c>
      <c r="V1" s="15" t="s">
        <v>2</v>
      </c>
      <c r="W1" s="11" t="s">
        <v>1</v>
      </c>
      <c r="X1" s="11"/>
      <c r="Y1" s="11" t="s">
        <v>0</v>
      </c>
    </row>
    <row r="2" spans="1:25" ht="15" customHeight="1" x14ac:dyDescent="0.25">
      <c r="A2" s="13">
        <v>44390</v>
      </c>
      <c r="B2" s="5">
        <v>1</v>
      </c>
      <c r="C2" s="11"/>
      <c r="D2" s="12"/>
      <c r="E2" s="11"/>
      <c r="F2" s="12"/>
      <c r="G2" s="11"/>
      <c r="H2" s="4"/>
      <c r="I2" s="11"/>
      <c r="J2" s="11"/>
      <c r="K2" s="11"/>
      <c r="L2" s="11"/>
      <c r="M2" s="24"/>
      <c r="N2" s="10">
        <f>Q2-0</f>
        <v>0</v>
      </c>
      <c r="O2" s="10">
        <f>71/$Q$72*(N2)</f>
        <v>0</v>
      </c>
      <c r="P2" s="10">
        <f>$B$72/SQRT($Q$72)*(SQRT(Q2)-SQRT(0))</f>
        <v>0</v>
      </c>
      <c r="Q2" s="9">
        <v>0</v>
      </c>
      <c r="R2" s="8"/>
      <c r="S2" s="7"/>
      <c r="T2" s="6">
        <v>0</v>
      </c>
      <c r="U2" s="5"/>
      <c r="V2" s="5"/>
      <c r="W2" s="5"/>
      <c r="X2" s="5">
        <v>0</v>
      </c>
      <c r="Y2" s="5">
        <v>0</v>
      </c>
    </row>
    <row r="3" spans="1:25" ht="15" customHeight="1" x14ac:dyDescent="0.25">
      <c r="A3" s="13">
        <v>44391</v>
      </c>
      <c r="B3" s="5">
        <v>2</v>
      </c>
      <c r="C3" s="11">
        <v>1100</v>
      </c>
      <c r="D3" s="12">
        <v>892000</v>
      </c>
      <c r="E3" s="11"/>
      <c r="F3" s="12"/>
      <c r="G3" s="11"/>
      <c r="H3" s="16">
        <v>1955</v>
      </c>
      <c r="I3" s="11"/>
      <c r="J3" s="11"/>
      <c r="K3" s="11"/>
      <c r="L3" s="11"/>
      <c r="M3" s="23">
        <v>1956</v>
      </c>
      <c r="N3" s="29">
        <f>Q3-Q2</f>
        <v>1956</v>
      </c>
      <c r="O3" s="10">
        <f>106/$Q$105*(N3)</f>
        <v>0.21523311834520387</v>
      </c>
      <c r="P3" s="10">
        <f>$B$72/SQRT($Q$72)*(SQRT(Q3)-SQRT(0))</f>
        <v>3.1993916274182754</v>
      </c>
      <c r="Q3" s="30">
        <v>1956</v>
      </c>
      <c r="R3" s="8">
        <v>892000</v>
      </c>
      <c r="S3" s="7">
        <f>R3*'[1]Inflation Rates by Year'!$C$2</f>
        <v>1008637.92</v>
      </c>
      <c r="T3" s="6">
        <f>S3/Q3</f>
        <v>515.66355828220856</v>
      </c>
      <c r="U3" s="5"/>
      <c r="V3" s="5"/>
      <c r="W3" s="5"/>
      <c r="X3" s="5">
        <v>0</v>
      </c>
      <c r="Y3" s="5">
        <v>0</v>
      </c>
    </row>
    <row r="4" spans="1:25" ht="15" customHeight="1" x14ac:dyDescent="0.25">
      <c r="A4" s="13">
        <v>44392</v>
      </c>
      <c r="B4" s="11">
        <v>3</v>
      </c>
      <c r="C4" s="11">
        <v>2253</v>
      </c>
      <c r="D4" s="12">
        <v>4000000</v>
      </c>
      <c r="E4" s="11"/>
      <c r="F4" s="12"/>
      <c r="G4" s="11"/>
      <c r="H4" s="16">
        <v>6567</v>
      </c>
      <c r="I4" s="11"/>
      <c r="J4" s="11"/>
      <c r="K4" s="11"/>
      <c r="L4" s="11"/>
      <c r="M4" s="23">
        <v>6892</v>
      </c>
      <c r="N4" s="29">
        <f>Q4-Q3</f>
        <v>4936</v>
      </c>
      <c r="O4" s="10">
        <f>106/$Q$105*(N4)</f>
        <v>0.54314451541509523</v>
      </c>
      <c r="P4" s="10">
        <f>$B$72/SQRT($Q$72)*(SQRT(Q4)-SQRT(Q3))</f>
        <v>2.8061974517044033</v>
      </c>
      <c r="Q4" s="30">
        <v>6892</v>
      </c>
      <c r="R4" s="8">
        <v>4000000</v>
      </c>
      <c r="S4" s="7">
        <f>R4*'[1]Inflation Rates by Year'!$C$2</f>
        <v>4523040</v>
      </c>
      <c r="T4" s="6">
        <f>S4/Q4</f>
        <v>656.27394080092859</v>
      </c>
      <c r="U4" s="5"/>
      <c r="V4" s="5"/>
      <c r="W4" s="5"/>
      <c r="X4" s="5">
        <v>0</v>
      </c>
      <c r="Y4" s="5">
        <v>0</v>
      </c>
    </row>
    <row r="5" spans="1:25" ht="15" customHeight="1" x14ac:dyDescent="0.25">
      <c r="A5" s="13">
        <v>44393</v>
      </c>
      <c r="B5" s="5">
        <v>4</v>
      </c>
      <c r="C5" s="11">
        <v>7947</v>
      </c>
      <c r="D5" s="12">
        <v>2803000</v>
      </c>
      <c r="E5" s="11"/>
      <c r="F5" s="12"/>
      <c r="G5" s="11"/>
      <c r="H5" s="16">
        <v>4519</v>
      </c>
      <c r="I5" s="11"/>
      <c r="J5" s="11"/>
      <c r="K5" s="11"/>
      <c r="L5" s="11"/>
      <c r="M5" s="23">
        <v>9847</v>
      </c>
      <c r="N5" s="29">
        <f>Q5-Q4</f>
        <v>2955</v>
      </c>
      <c r="O5" s="10">
        <f>106/$Q$105*(N5)</f>
        <v>0.32516046253071446</v>
      </c>
      <c r="P5" s="10">
        <f>$B$72/SQRT($Q$72)*(SQRT(Q5)-SQRT(Q4))</f>
        <v>1.1729314660635923</v>
      </c>
      <c r="Q5" s="30">
        <v>9847</v>
      </c>
      <c r="R5" s="8">
        <v>2803000</v>
      </c>
      <c r="S5" s="7">
        <f>R5*'[1]Inflation Rates by Year'!$C$2</f>
        <v>3169520.28</v>
      </c>
      <c r="T5" s="6">
        <f>S5/Q5</f>
        <v>321.87674215497105</v>
      </c>
      <c r="U5" s="5"/>
      <c r="V5" s="5"/>
      <c r="W5" s="5"/>
      <c r="X5" s="5"/>
      <c r="Y5" s="5"/>
    </row>
    <row r="6" spans="1:25" ht="15" customHeight="1" x14ac:dyDescent="0.25">
      <c r="A6" s="13">
        <v>44394</v>
      </c>
      <c r="B6" s="11">
        <v>5</v>
      </c>
      <c r="C6" s="11">
        <v>13482</v>
      </c>
      <c r="D6" s="12">
        <v>1621055</v>
      </c>
      <c r="E6" s="11"/>
      <c r="F6" s="12"/>
      <c r="G6" s="11"/>
      <c r="H6" s="16">
        <v>20600</v>
      </c>
      <c r="I6" s="11"/>
      <c r="J6" s="11"/>
      <c r="K6" s="11"/>
      <c r="L6" s="11"/>
      <c r="M6" s="23">
        <v>15074</v>
      </c>
      <c r="N6" s="29">
        <f>Q6-Q5</f>
        <v>3635</v>
      </c>
      <c r="O6" s="10">
        <f>106/$Q$105*(N6)</f>
        <v>0.39998588199632723</v>
      </c>
      <c r="P6" s="10">
        <f>$B$72/SQRT($Q$72)*(SQRT(Q6)-SQRT(Q5))</f>
        <v>1.2211091477962341</v>
      </c>
      <c r="Q6" s="9">
        <v>13482</v>
      </c>
      <c r="R6" s="8">
        <v>2803000</v>
      </c>
      <c r="S6" s="7">
        <f>R6*'[1]Inflation Rates by Year'!$C$2</f>
        <v>3169520.28</v>
      </c>
      <c r="T6" s="6">
        <f>S6/Q6</f>
        <v>235.09273698264352</v>
      </c>
      <c r="U6" s="5"/>
      <c r="V6" s="5"/>
      <c r="W6" s="5"/>
      <c r="X6" s="5"/>
      <c r="Y6" s="5"/>
    </row>
    <row r="7" spans="1:25" ht="15" customHeight="1" x14ac:dyDescent="0.25">
      <c r="A7" s="13">
        <v>44395</v>
      </c>
      <c r="B7" s="5">
        <v>6</v>
      </c>
      <c r="C7" s="11">
        <v>18702</v>
      </c>
      <c r="D7" s="12">
        <v>6992547</v>
      </c>
      <c r="E7" s="11"/>
      <c r="F7" s="12"/>
      <c r="G7" s="11"/>
      <c r="H7" s="16">
        <v>18577</v>
      </c>
      <c r="I7" s="11"/>
      <c r="J7" s="11"/>
      <c r="K7" s="11"/>
      <c r="L7" s="11"/>
      <c r="M7" s="24"/>
      <c r="N7" s="10">
        <f>Q7-Q6</f>
        <v>5220</v>
      </c>
      <c r="O7" s="10">
        <f>106/$Q$105*(N7)</f>
        <v>0.57439513178014534</v>
      </c>
      <c r="P7" s="10">
        <f>$B$72/SQRT($Q$72)*(SQRT(Q7)-SQRT(Q6))</f>
        <v>1.493347435997965</v>
      </c>
      <c r="Q7" s="9">
        <v>18702</v>
      </c>
      <c r="R7" s="8">
        <v>6992547</v>
      </c>
      <c r="S7" s="7">
        <f>R7*'[1]Inflation Rates by Year'!$C$2</f>
        <v>7906892.4457200002</v>
      </c>
      <c r="T7" s="6">
        <f>S7/Q7</f>
        <v>422.78325557266601</v>
      </c>
      <c r="U7" s="5"/>
      <c r="V7" s="5"/>
      <c r="W7" s="5"/>
      <c r="X7" s="5">
        <v>0</v>
      </c>
      <c r="Y7" s="5">
        <v>0</v>
      </c>
    </row>
    <row r="8" spans="1:25" ht="15" customHeight="1" x14ac:dyDescent="0.25">
      <c r="A8" s="13">
        <v>44396</v>
      </c>
      <c r="B8" s="5">
        <v>7</v>
      </c>
      <c r="C8" s="11"/>
      <c r="D8" s="12"/>
      <c r="E8" s="11"/>
      <c r="F8" s="12"/>
      <c r="G8" s="11"/>
      <c r="H8" s="16">
        <v>9165</v>
      </c>
      <c r="I8" s="11"/>
      <c r="J8" s="11"/>
      <c r="K8" s="11"/>
      <c r="L8" s="11"/>
      <c r="M8" s="24"/>
      <c r="N8" s="10">
        <f>Q8-Q7</f>
        <v>0</v>
      </c>
      <c r="O8" s="10">
        <f>106/$Q$105*(N8)</f>
        <v>0</v>
      </c>
      <c r="P8" s="10">
        <f>$B$72/SQRT($Q$72)*(SQRT(Q8)-SQRT(Q7))</f>
        <v>0</v>
      </c>
      <c r="Q8" s="9">
        <v>18702</v>
      </c>
      <c r="R8" s="8"/>
      <c r="S8" s="7">
        <f>R8*'[1]Inflation Rates by Year'!$C$2</f>
        <v>0</v>
      </c>
      <c r="T8" s="6">
        <v>0</v>
      </c>
      <c r="U8" s="5"/>
      <c r="V8" s="5"/>
      <c r="W8" s="5"/>
      <c r="X8" s="5">
        <v>0</v>
      </c>
      <c r="Y8" s="5">
        <v>0</v>
      </c>
    </row>
    <row r="9" spans="1:25" ht="15" customHeight="1" x14ac:dyDescent="0.25">
      <c r="A9" s="13">
        <v>44397</v>
      </c>
      <c r="B9" s="11">
        <v>8</v>
      </c>
      <c r="C9" s="11">
        <v>61376</v>
      </c>
      <c r="D9" s="12">
        <v>16315627</v>
      </c>
      <c r="E9" s="11"/>
      <c r="F9" s="12"/>
      <c r="G9" s="11"/>
      <c r="H9" s="16">
        <v>21550</v>
      </c>
      <c r="I9" s="11"/>
      <c r="J9" s="11"/>
      <c r="K9" s="11"/>
      <c r="L9" s="11"/>
      <c r="M9" s="24"/>
      <c r="N9" s="10">
        <f>Q9-Q8</f>
        <v>41282</v>
      </c>
      <c r="O9" s="10">
        <f>106/$Q$105*(N9)</f>
        <v>4.5425631858520994</v>
      </c>
      <c r="P9" s="10">
        <f>$B$72/SQRT($Q$72)*(SQRT(Q9)-SQRT(Q8))</f>
        <v>7.8244514304414903</v>
      </c>
      <c r="Q9" s="9">
        <v>59984</v>
      </c>
      <c r="R9" s="8">
        <v>14227609</v>
      </c>
      <c r="S9" s="7">
        <f>R9*'[1]Inflation Rates by Year'!$C$2</f>
        <v>16088011.15284</v>
      </c>
      <c r="T9" s="6">
        <f>S9/Q9</f>
        <v>268.20504055814882</v>
      </c>
      <c r="U9" s="5"/>
      <c r="V9" s="5"/>
      <c r="W9" s="5"/>
      <c r="X9" s="5">
        <v>0</v>
      </c>
      <c r="Y9" s="5">
        <v>0</v>
      </c>
    </row>
    <row r="10" spans="1:25" ht="15" customHeight="1" x14ac:dyDescent="0.25">
      <c r="A10" s="13">
        <v>44398</v>
      </c>
      <c r="B10" s="5">
        <v>9</v>
      </c>
      <c r="C10" s="11">
        <v>91268</v>
      </c>
      <c r="D10" s="12">
        <v>22827119</v>
      </c>
      <c r="E10" s="11"/>
      <c r="F10" s="12"/>
      <c r="G10" s="11"/>
      <c r="H10" s="16">
        <v>18526</v>
      </c>
      <c r="I10" s="11"/>
      <c r="J10" s="11"/>
      <c r="K10" s="11"/>
      <c r="L10" s="11"/>
      <c r="M10" s="24"/>
      <c r="N10" s="10">
        <f>Q10-Q9</f>
        <v>31284</v>
      </c>
      <c r="O10" s="10">
        <f>106/$Q$105*(N10)</f>
        <v>3.4424094449444573</v>
      </c>
      <c r="P10" s="10">
        <f>$B$72/SQRT($Q$72)*(SQRT(Q10)-SQRT(Q9))</f>
        <v>4.1371404165745451</v>
      </c>
      <c r="Q10" s="9">
        <v>91268</v>
      </c>
      <c r="R10" s="8">
        <v>22827119</v>
      </c>
      <c r="S10" s="7">
        <f>R10*'[1]Inflation Rates by Year'!$C$2</f>
        <v>25811993.08044</v>
      </c>
      <c r="T10" s="6">
        <f>S10/Q10</f>
        <v>282.81536880878292</v>
      </c>
      <c r="U10" s="5"/>
      <c r="V10" s="5"/>
      <c r="W10" s="5"/>
      <c r="X10" s="5"/>
      <c r="Y10" s="5"/>
    </row>
    <row r="11" spans="1:25" ht="15" customHeight="1" x14ac:dyDescent="0.25">
      <c r="A11" s="13">
        <v>44399</v>
      </c>
      <c r="B11" s="11">
        <v>10</v>
      </c>
      <c r="C11" s="11"/>
      <c r="D11" s="12"/>
      <c r="F11" s="26"/>
      <c r="G11" s="11"/>
      <c r="H11" s="16">
        <v>32365</v>
      </c>
      <c r="I11" s="11"/>
      <c r="M11" s="24"/>
      <c r="N11" s="10">
        <f>Q11-Q10</f>
        <v>0</v>
      </c>
      <c r="O11" s="10">
        <f>106/$Q$105*(N11)</f>
        <v>0</v>
      </c>
      <c r="P11" s="10">
        <f>$B$72/SQRT($Q$72)*(SQRT(Q11)-SQRT(Q10))</f>
        <v>0</v>
      </c>
      <c r="Q11" s="9">
        <v>91268</v>
      </c>
      <c r="R11" s="8"/>
      <c r="S11" s="7">
        <f>R11*'[1]Inflation Rates by Year'!$C$2</f>
        <v>0</v>
      </c>
      <c r="T11" s="6">
        <v>0</v>
      </c>
      <c r="U11" s="5"/>
      <c r="V11" s="5"/>
      <c r="W11" s="5"/>
      <c r="X11" s="5"/>
      <c r="Y11" s="5"/>
    </row>
    <row r="12" spans="1:25" ht="15" customHeight="1" x14ac:dyDescent="0.25">
      <c r="A12" s="13">
        <v>44400</v>
      </c>
      <c r="B12" s="5">
        <v>11</v>
      </c>
      <c r="C12" s="15">
        <v>167430</v>
      </c>
      <c r="D12" s="26">
        <v>35144046</v>
      </c>
      <c r="E12" s="11"/>
      <c r="F12" s="12"/>
      <c r="G12" s="11"/>
      <c r="H12" s="16">
        <v>30503</v>
      </c>
      <c r="I12" s="11"/>
      <c r="J12" s="11"/>
      <c r="K12" s="11"/>
      <c r="L12" s="11"/>
      <c r="M12" s="23">
        <v>169622</v>
      </c>
      <c r="N12" s="10">
        <f>Q12-Q11</f>
        <v>51672</v>
      </c>
      <c r="O12" s="10">
        <f>106/$Q$105*(N12)</f>
        <v>5.6858515803340364</v>
      </c>
      <c r="P12" s="10">
        <f>$B$72/SQRT($Q$72)*(SQRT(Q12)-SQRT(Q11))</f>
        <v>5.4955907900718266</v>
      </c>
      <c r="Q12" s="9">
        <v>142940</v>
      </c>
      <c r="R12" s="8">
        <v>29956698</v>
      </c>
      <c r="S12" s="7">
        <f>R12*'[1]Inflation Rates by Year'!$C$2</f>
        <v>33873835.830480002</v>
      </c>
      <c r="T12" s="6">
        <f>S12/Q12</f>
        <v>236.97940275975935</v>
      </c>
      <c r="U12" s="5"/>
      <c r="V12" s="5"/>
      <c r="W12" s="5"/>
      <c r="X12" s="5"/>
      <c r="Y12" s="5"/>
    </row>
    <row r="13" spans="1:25" ht="15" customHeight="1" x14ac:dyDescent="0.25">
      <c r="A13" s="13">
        <v>44401</v>
      </c>
      <c r="B13" s="5">
        <v>12</v>
      </c>
      <c r="D13" s="26"/>
      <c r="E13" s="11"/>
      <c r="F13" s="12"/>
      <c r="G13" s="11"/>
      <c r="H13" s="16">
        <v>19487</v>
      </c>
      <c r="I13" s="5"/>
      <c r="J13" s="5"/>
      <c r="K13" s="5"/>
      <c r="L13" s="5"/>
      <c r="M13" s="23">
        <v>190625</v>
      </c>
      <c r="N13" s="10">
        <f>Q13-Q12</f>
        <v>47685</v>
      </c>
      <c r="O13" s="10">
        <f>106/$Q$105*(N13)</f>
        <v>5.2471325400260973</v>
      </c>
      <c r="P13" s="10">
        <f>$B$72/SQRT($Q$72)*(SQRT(Q13)-SQRT(Q12))</f>
        <v>4.234260301490802</v>
      </c>
      <c r="Q13" s="9">
        <v>190625</v>
      </c>
      <c r="R13" s="8">
        <v>41400028</v>
      </c>
      <c r="S13" s="7">
        <f>R13*'[1]Inflation Rates by Year'!$C$2</f>
        <v>46813495.661279999</v>
      </c>
      <c r="T13" s="6">
        <f>S13/Q13</f>
        <v>245.57899363294425</v>
      </c>
      <c r="U13" s="5"/>
      <c r="V13" s="5"/>
      <c r="W13" s="11"/>
      <c r="X13" s="11"/>
      <c r="Y13" s="11"/>
    </row>
    <row r="14" spans="1:25" ht="15" customHeight="1" x14ac:dyDescent="0.25">
      <c r="A14" s="13">
        <v>44402</v>
      </c>
      <c r="B14" s="11">
        <v>13</v>
      </c>
      <c r="C14" s="11">
        <v>190625</v>
      </c>
      <c r="D14" s="12">
        <v>41400028</v>
      </c>
      <c r="E14" s="11"/>
      <c r="F14" s="12"/>
      <c r="G14" s="11"/>
      <c r="H14" s="16">
        <v>11955</v>
      </c>
      <c r="I14" s="11"/>
      <c r="J14" s="11"/>
      <c r="K14" s="11"/>
      <c r="L14" s="11"/>
      <c r="M14" s="24"/>
      <c r="N14" s="10">
        <f>Q14-Q13</f>
        <v>6862</v>
      </c>
      <c r="O14" s="10">
        <f>106/$Q$105*(N14)</f>
        <v>0.75507651231328676</v>
      </c>
      <c r="P14" s="10">
        <f>$B$72/SQRT($Q$72)*(SQRT(Q14)-SQRT(Q13))</f>
        <v>0.56345226776755797</v>
      </c>
      <c r="Q14" s="28">
        <v>197487</v>
      </c>
      <c r="R14" s="27">
        <v>48043965</v>
      </c>
      <c r="S14" s="7">
        <f>R14*'[1]Inflation Rates by Year'!$C$2</f>
        <v>54326193.863399997</v>
      </c>
      <c r="T14" s="6">
        <f>S14/Q14</f>
        <v>275.08744303878228</v>
      </c>
      <c r="U14" s="5"/>
      <c r="V14" s="5"/>
      <c r="W14" s="11"/>
      <c r="X14" s="11"/>
      <c r="Y14" s="11"/>
    </row>
    <row r="15" spans="1:25" ht="15" customHeight="1" x14ac:dyDescent="0.25">
      <c r="A15" s="13">
        <v>44403</v>
      </c>
      <c r="B15" s="5">
        <v>14</v>
      </c>
      <c r="C15" s="4">
        <v>197487</v>
      </c>
      <c r="D15" s="26">
        <v>48043965</v>
      </c>
      <c r="E15" s="11"/>
      <c r="F15" s="12"/>
      <c r="G15" s="11"/>
      <c r="H15" s="16">
        <v>9611</v>
      </c>
      <c r="I15" s="11"/>
      <c r="J15" s="11"/>
      <c r="M15" s="23">
        <v>209206</v>
      </c>
      <c r="N15" s="10">
        <f>Q15-Q14</f>
        <v>10719</v>
      </c>
      <c r="O15" s="10">
        <f>106/$Q$105*(N15)</f>
        <v>1.1794906930175053</v>
      </c>
      <c r="P15" s="10">
        <f>$B$72/SQRT($Q$72)*(SQRT(Q15)-SQRT(Q14))</f>
        <v>0.86091723435505874</v>
      </c>
      <c r="Q15" s="28">
        <v>208206</v>
      </c>
      <c r="R15" s="27">
        <v>55000944</v>
      </c>
      <c r="S15" s="7">
        <f>R15*'[1]Inflation Rates by Year'!$C$2</f>
        <v>62192867.43744</v>
      </c>
      <c r="T15" s="6">
        <f>S15/Q15</f>
        <v>298.70833423359556</v>
      </c>
      <c r="U15" s="5"/>
      <c r="V15" s="5"/>
      <c r="W15" s="11"/>
      <c r="X15" s="11"/>
      <c r="Y15" s="11"/>
    </row>
    <row r="16" spans="1:25" ht="15" customHeight="1" x14ac:dyDescent="0.25">
      <c r="A16" s="13">
        <v>44404</v>
      </c>
      <c r="B16" s="11">
        <v>15</v>
      </c>
      <c r="C16" s="11">
        <v>212799</v>
      </c>
      <c r="D16" s="12">
        <v>63310395</v>
      </c>
      <c r="E16" s="11"/>
      <c r="F16" s="12"/>
      <c r="G16" s="11"/>
      <c r="H16" s="16">
        <v>7511</v>
      </c>
      <c r="I16" s="11"/>
      <c r="J16" s="11"/>
      <c r="K16" s="11"/>
      <c r="L16" s="11"/>
      <c r="M16" s="23">
        <v>217581</v>
      </c>
      <c r="N16" s="10">
        <f>Q16-Q15</f>
        <v>11806</v>
      </c>
      <c r="O16" s="10">
        <f>106/$Q$105*(N16)</f>
        <v>1.2991013267809186</v>
      </c>
      <c r="P16" s="10">
        <f>$B$72/SQRT($Q$72)*(SQRT(Q16)-SQRT(Q15))</f>
        <v>0.92295297928073083</v>
      </c>
      <c r="Q16" s="9">
        <v>220012</v>
      </c>
      <c r="R16" s="8">
        <v>71506686</v>
      </c>
      <c r="S16" s="7">
        <f>R16*'[1]Inflation Rates by Year'!$C$2</f>
        <v>80856900.261360005</v>
      </c>
      <c r="T16" s="6">
        <f>S16/Q16</f>
        <v>367.51131875243169</v>
      </c>
      <c r="U16" s="5"/>
      <c r="V16" s="5"/>
      <c r="W16" s="11"/>
      <c r="X16" s="11"/>
      <c r="Y16" s="11"/>
    </row>
    <row r="17" spans="1:25" ht="15" customHeight="1" x14ac:dyDescent="0.25">
      <c r="A17" s="13">
        <v>44405</v>
      </c>
      <c r="B17" s="5">
        <v>16</v>
      </c>
      <c r="C17" s="11">
        <v>220012</v>
      </c>
      <c r="D17" s="12">
        <v>71506686</v>
      </c>
      <c r="E17" s="4"/>
      <c r="F17" s="26"/>
      <c r="G17" s="11"/>
      <c r="H17" s="16">
        <v>8142</v>
      </c>
      <c r="I17" s="5"/>
      <c r="J17" s="5"/>
      <c r="K17" s="5"/>
      <c r="L17" s="5"/>
      <c r="M17" s="23">
        <v>221504</v>
      </c>
      <c r="N17" s="10">
        <f>Q17-Q16</f>
        <v>6409</v>
      </c>
      <c r="O17" s="10">
        <f>106/$Q$105*(N17)</f>
        <v>0.70522957846340062</v>
      </c>
      <c r="P17" s="10">
        <f>$B$72/SQRT($Q$72)*(SQRT(Q17)-SQRT(Q16))</f>
        <v>0.49067202352965766</v>
      </c>
      <c r="Q17" s="9">
        <v>226421</v>
      </c>
      <c r="R17" s="8">
        <v>79550937</v>
      </c>
      <c r="S17" s="7">
        <f>R17*'[1]Inflation Rates by Year'!$C$2</f>
        <v>89953017.522119999</v>
      </c>
      <c r="T17" s="6">
        <f>S17/Q17</f>
        <v>397.28213161376374</v>
      </c>
      <c r="U17" s="5"/>
      <c r="V17" s="5"/>
      <c r="W17" s="11"/>
      <c r="X17" s="11"/>
      <c r="Y17" s="11"/>
    </row>
    <row r="18" spans="1:25" ht="15" customHeight="1" x14ac:dyDescent="0.25">
      <c r="A18" s="13">
        <v>44406</v>
      </c>
      <c r="B18" s="5">
        <v>17</v>
      </c>
      <c r="C18" s="11">
        <v>226421</v>
      </c>
      <c r="D18" s="12">
        <v>79550937</v>
      </c>
      <c r="E18" s="11"/>
      <c r="F18" s="12"/>
      <c r="G18" s="5"/>
      <c r="H18" s="16">
        <v>10741</v>
      </c>
      <c r="I18" s="5"/>
      <c r="J18" s="5"/>
      <c r="K18" s="5"/>
      <c r="L18" s="5"/>
      <c r="M18" s="23">
        <v>240595</v>
      </c>
      <c r="N18" s="10">
        <f>Q18-Q17</f>
        <v>14374</v>
      </c>
      <c r="O18" s="10">
        <f>106/$Q$105*(N18)</f>
        <v>1.5816773226451741</v>
      </c>
      <c r="P18" s="10">
        <f>$B$72/SQRT($Q$72)*(SQRT(Q18)-SQRT(Q17))</f>
        <v>1.075816420019629</v>
      </c>
      <c r="Q18" s="9">
        <v>240795</v>
      </c>
      <c r="R18" s="8">
        <v>87124864</v>
      </c>
      <c r="S18" s="7">
        <f>R18*'[1]Inflation Rates by Year'!$C$2</f>
        <v>98517311.216639996</v>
      </c>
      <c r="T18" s="6">
        <f>S18/Q18</f>
        <v>409.13354187852735</v>
      </c>
      <c r="U18" s="5"/>
      <c r="V18" s="5"/>
      <c r="W18" s="5"/>
      <c r="X18" s="5"/>
      <c r="Y18" s="5"/>
    </row>
    <row r="19" spans="1:25" ht="15" customHeight="1" x14ac:dyDescent="0.25">
      <c r="A19" s="13">
        <v>44407</v>
      </c>
      <c r="B19" s="11">
        <v>18</v>
      </c>
      <c r="C19" s="11">
        <v>240795</v>
      </c>
      <c r="D19" s="12">
        <v>87124864</v>
      </c>
      <c r="E19" s="11"/>
      <c r="F19" s="12"/>
      <c r="G19" s="11"/>
      <c r="H19" s="16">
        <v>5647</v>
      </c>
      <c r="I19" s="5"/>
      <c r="J19" s="5"/>
      <c r="K19" s="5"/>
      <c r="L19" s="5"/>
      <c r="M19" s="23">
        <v>240703</v>
      </c>
      <c r="N19" s="10">
        <f>Q19-Q18</f>
        <v>3593</v>
      </c>
      <c r="O19" s="10">
        <f>106/$Q$105*(N19)</f>
        <v>0.39536431197050997</v>
      </c>
      <c r="P19" s="10">
        <f>$B$72/SQRT($Q$72)*(SQRT(Q19)-SQRT(Q18))</f>
        <v>0.2638611114928523</v>
      </c>
      <c r="Q19" s="9">
        <v>244388</v>
      </c>
      <c r="R19" s="8">
        <v>94425251</v>
      </c>
      <c r="S19" s="7">
        <f>R19*'[1]Inflation Rates by Year'!$C$2</f>
        <v>106772296.82076</v>
      </c>
      <c r="T19" s="6">
        <f>S19/Q19</f>
        <v>436.8966431279768</v>
      </c>
      <c r="U19" s="5"/>
      <c r="V19" s="5"/>
      <c r="W19" s="5"/>
      <c r="X19" s="5"/>
      <c r="Y19" s="5"/>
    </row>
    <row r="20" spans="1:25" ht="15" customHeight="1" x14ac:dyDescent="0.25">
      <c r="A20" s="13">
        <v>44408</v>
      </c>
      <c r="B20" s="5">
        <v>19</v>
      </c>
      <c r="C20" s="11">
        <v>244388</v>
      </c>
      <c r="D20" s="12">
        <v>94425251</v>
      </c>
      <c r="E20" s="11"/>
      <c r="F20" s="22"/>
      <c r="G20" s="11"/>
      <c r="H20" s="16">
        <v>8934</v>
      </c>
      <c r="I20" s="5"/>
      <c r="J20" s="5"/>
      <c r="K20" s="5"/>
      <c r="L20" s="5"/>
      <c r="M20" s="24"/>
      <c r="N20" s="10">
        <f>Q20-Q19</f>
        <v>4182</v>
      </c>
      <c r="O20" s="10">
        <f>106/$Q$105*(N20)</f>
        <v>0.46017632971351874</v>
      </c>
      <c r="P20" s="10">
        <f>$B$72/SQRT($Q$72)*(SQRT(Q20)-SQRT(Q19))</f>
        <v>0.30468491796002506</v>
      </c>
      <c r="Q20" s="9">
        <v>248570</v>
      </c>
      <c r="R20" s="8">
        <v>101575327</v>
      </c>
      <c r="S20" s="7">
        <f>R20*'[1]Inflation Rates by Year'!$C$2</f>
        <v>114857316.75851999</v>
      </c>
      <c r="T20" s="6">
        <f>S20/Q20</f>
        <v>462.0723207085328</v>
      </c>
      <c r="U20" s="5"/>
      <c r="V20" s="5"/>
      <c r="W20" s="5"/>
      <c r="X20" s="5"/>
      <c r="Y20" s="5"/>
    </row>
    <row r="21" spans="1:25" ht="15" customHeight="1" x14ac:dyDescent="0.25">
      <c r="A21" s="13">
        <v>44409</v>
      </c>
      <c r="B21" s="11">
        <v>20</v>
      </c>
      <c r="C21" s="11">
        <v>248570</v>
      </c>
      <c r="D21" s="12">
        <v>101575327</v>
      </c>
      <c r="E21" s="5"/>
      <c r="F21" s="22"/>
      <c r="G21" s="11"/>
      <c r="H21" s="16">
        <v>2506</v>
      </c>
      <c r="I21" s="5"/>
      <c r="J21" s="5"/>
      <c r="K21" s="5"/>
      <c r="L21" s="5"/>
      <c r="M21" s="24"/>
      <c r="N21" s="10">
        <f>Q21-Q20</f>
        <v>0</v>
      </c>
      <c r="O21" s="10">
        <f>106/$Q$105*(N21)</f>
        <v>0</v>
      </c>
      <c r="P21" s="10">
        <f>$B$72/SQRT($Q$72)*(SQRT(Q21)-SQRT(Q20))</f>
        <v>0</v>
      </c>
      <c r="Q21" s="9">
        <v>248570</v>
      </c>
      <c r="R21" s="1"/>
      <c r="S21" s="25"/>
      <c r="T21" s="6">
        <v>0</v>
      </c>
      <c r="U21" s="5"/>
      <c r="V21" s="5"/>
      <c r="W21" s="5"/>
      <c r="X21" s="5"/>
      <c r="Y21" s="5"/>
    </row>
    <row r="22" spans="1:25" ht="15" customHeight="1" x14ac:dyDescent="0.25">
      <c r="A22" s="13">
        <v>44410</v>
      </c>
      <c r="B22" s="5">
        <v>21</v>
      </c>
      <c r="C22" s="11"/>
      <c r="D22" s="12"/>
      <c r="E22" s="5"/>
      <c r="F22" s="22"/>
      <c r="G22" s="11"/>
      <c r="H22" s="16">
        <v>4795</v>
      </c>
      <c r="I22" s="5"/>
      <c r="J22" s="5"/>
      <c r="K22" s="5"/>
      <c r="L22" s="5"/>
      <c r="M22" s="23">
        <v>245388</v>
      </c>
      <c r="N22" s="10">
        <f>Q22-Q21</f>
        <v>0</v>
      </c>
      <c r="O22" s="10">
        <f>106/$Q$105*(N22)</f>
        <v>0</v>
      </c>
      <c r="P22" s="10">
        <f>$B$72/SQRT($Q$72)*(SQRT(Q22)-SQRT(Q21))</f>
        <v>0</v>
      </c>
      <c r="Q22" s="9">
        <v>248570</v>
      </c>
      <c r="R22" s="8"/>
      <c r="S22" s="7">
        <f>R22*'[1]Inflation Rates by Year'!$C$2</f>
        <v>0</v>
      </c>
      <c r="T22" s="6">
        <v>0</v>
      </c>
      <c r="U22" s="5"/>
      <c r="V22" s="5"/>
      <c r="W22" s="5"/>
      <c r="X22" s="5"/>
      <c r="Y22" s="5"/>
    </row>
    <row r="23" spans="1:25" ht="15" customHeight="1" x14ac:dyDescent="0.25">
      <c r="A23" s="13">
        <v>44411</v>
      </c>
      <c r="B23" s="5">
        <v>22</v>
      </c>
      <c r="C23" s="11">
        <v>253052</v>
      </c>
      <c r="D23" s="12">
        <v>109002550</v>
      </c>
      <c r="E23" s="5"/>
      <c r="F23" s="22"/>
      <c r="G23" s="11"/>
      <c r="H23" s="16">
        <v>16902</v>
      </c>
      <c r="I23" s="5"/>
      <c r="J23" s="5"/>
      <c r="K23" s="5"/>
      <c r="L23" s="5"/>
      <c r="M23" s="23">
        <v>274139</v>
      </c>
      <c r="N23" s="10">
        <f>Q23-Q22</f>
        <v>4482</v>
      </c>
      <c r="O23" s="10">
        <f>106/$Q$105*(N23)</f>
        <v>0.49318754418364202</v>
      </c>
      <c r="P23" s="10">
        <f>$B$72/SQRT($Q$72)*(SQRT(Q23)-SQRT(Q22))</f>
        <v>0.32370982387721325</v>
      </c>
      <c r="Q23" s="9">
        <v>253052</v>
      </c>
      <c r="R23" s="8">
        <v>109002550</v>
      </c>
      <c r="S23" s="7">
        <f>R23*'[1]Inflation Rates by Year'!$C$2</f>
        <v>123255723.43799999</v>
      </c>
      <c r="T23" s="6">
        <f>S23/Q23</f>
        <v>487.07666186396472</v>
      </c>
      <c r="U23" s="5"/>
      <c r="V23" s="5"/>
      <c r="W23" s="5"/>
      <c r="X23" s="5"/>
      <c r="Y23" s="5"/>
    </row>
    <row r="24" spans="1:25" ht="15" customHeight="1" x14ac:dyDescent="0.25">
      <c r="A24" s="13">
        <v>44412</v>
      </c>
      <c r="B24" s="11">
        <v>23</v>
      </c>
      <c r="C24" s="11">
        <v>278227</v>
      </c>
      <c r="D24" s="12">
        <v>122333772</v>
      </c>
      <c r="E24" s="5"/>
      <c r="F24" s="22"/>
      <c r="G24" s="11"/>
      <c r="H24" s="16"/>
      <c r="I24" s="5"/>
      <c r="J24" s="5"/>
      <c r="K24" s="5"/>
      <c r="L24" s="5"/>
      <c r="M24" s="23"/>
      <c r="N24" s="10">
        <f>Q24-Q23</f>
        <v>25175</v>
      </c>
      <c r="O24" s="10">
        <f>106/$Q$105*(N24)</f>
        <v>2.7701910809511796</v>
      </c>
      <c r="P24" s="10" t="e">
        <f>$B$72/SQRT($Q$72)*(SQRT(Q24)-SQRT(#REF!))</f>
        <v>#REF!</v>
      </c>
      <c r="Q24" s="9">
        <v>278227</v>
      </c>
      <c r="R24" s="8">
        <v>122333772</v>
      </c>
      <c r="S24" s="7">
        <f>R24*'[1]Inflation Rates by Year'!$C$2</f>
        <v>138330136.02671999</v>
      </c>
      <c r="T24" s="6">
        <f>S24/Q24</f>
        <v>497.18444301494816</v>
      </c>
      <c r="U24" s="5"/>
      <c r="V24" s="5"/>
      <c r="W24" s="5"/>
      <c r="X24" s="5"/>
      <c r="Y24" s="5"/>
    </row>
    <row r="25" spans="1:25" ht="15" customHeight="1" x14ac:dyDescent="0.25">
      <c r="A25" s="13">
        <v>44413</v>
      </c>
      <c r="B25" s="5">
        <v>24</v>
      </c>
      <c r="C25" s="11">
        <v>361812</v>
      </c>
      <c r="D25" s="12">
        <v>130041122</v>
      </c>
      <c r="E25" s="5"/>
      <c r="F25" s="22"/>
      <c r="G25" s="11"/>
      <c r="H25" s="16">
        <v>114202</v>
      </c>
      <c r="I25" s="5"/>
      <c r="J25" s="5"/>
      <c r="K25" s="5"/>
      <c r="L25" s="5"/>
      <c r="M25" s="23">
        <v>432813</v>
      </c>
      <c r="N25" s="10">
        <f>Q25-Q24</f>
        <v>83585</v>
      </c>
      <c r="O25" s="10">
        <f>106/$Q$105*(N25)</f>
        <v>9.1974745382841849</v>
      </c>
      <c r="P25" s="10">
        <f>$B$72/SQRT($Q$72)*(SQRT(Q25)-SQRT(Q24))</f>
        <v>5.3558071582958959</v>
      </c>
      <c r="Q25" s="9">
        <v>361812</v>
      </c>
      <c r="R25" s="8">
        <v>130041122</v>
      </c>
      <c r="S25" s="7">
        <f>R25*'[1]Inflation Rates by Year'!$C$2</f>
        <v>147045299.11272001</v>
      </c>
      <c r="T25" s="6">
        <f>S25/Q25</f>
        <v>406.41354933700376</v>
      </c>
      <c r="U25" s="5"/>
      <c r="V25" s="5"/>
      <c r="W25" s="5"/>
      <c r="X25" s="5"/>
      <c r="Y25" s="5"/>
    </row>
    <row r="26" spans="1:25" ht="15" customHeight="1" x14ac:dyDescent="0.25">
      <c r="A26" s="13">
        <v>44414</v>
      </c>
      <c r="B26" s="11">
        <v>25</v>
      </c>
      <c r="C26" s="11"/>
      <c r="D26" s="12"/>
      <c r="E26" s="5"/>
      <c r="F26" s="22"/>
      <c r="G26" s="11"/>
      <c r="H26" s="16">
        <v>18732</v>
      </c>
      <c r="I26" s="5"/>
      <c r="J26" s="5"/>
      <c r="K26" s="5"/>
      <c r="L26" s="5"/>
      <c r="M26" s="23">
        <v>446723</v>
      </c>
      <c r="N26" s="10">
        <f>Q26-Q25</f>
        <v>0</v>
      </c>
      <c r="O26" s="10">
        <f>106/$Q$105*(N26)</f>
        <v>0</v>
      </c>
      <c r="P26" s="10">
        <f>$B$72/SQRT($Q$72)*(SQRT(Q26)-SQRT(Q25))</f>
        <v>0</v>
      </c>
      <c r="Q26" s="9">
        <v>361812</v>
      </c>
      <c r="R26" s="8"/>
      <c r="S26" s="7">
        <f>R26*'[1]Inflation Rates by Year'!$C$2</f>
        <v>0</v>
      </c>
      <c r="T26" s="6">
        <v>0</v>
      </c>
      <c r="U26" s="5"/>
      <c r="V26" s="5"/>
      <c r="W26" s="5"/>
      <c r="X26" s="5"/>
      <c r="Y26" s="5"/>
    </row>
    <row r="27" spans="1:25" ht="15" customHeight="1" x14ac:dyDescent="0.25">
      <c r="A27" s="13">
        <v>44415</v>
      </c>
      <c r="B27" s="5">
        <v>26</v>
      </c>
      <c r="C27" s="11">
        <v>446723</v>
      </c>
      <c r="D27" s="12">
        <v>171374429</v>
      </c>
      <c r="E27" s="5"/>
      <c r="F27" s="22"/>
      <c r="G27" s="11"/>
      <c r="H27" s="16">
        <v>2237</v>
      </c>
      <c r="I27" s="5"/>
      <c r="J27" s="5"/>
      <c r="K27" s="5"/>
      <c r="L27" s="5"/>
      <c r="M27" s="23">
        <v>463477</v>
      </c>
      <c r="N27" s="10">
        <f>Q27-Q26</f>
        <v>0</v>
      </c>
      <c r="O27" s="10">
        <f>106/$Q$105*(N27)</f>
        <v>0</v>
      </c>
      <c r="P27" s="10">
        <f>$B$72/SQRT($Q$72)*(SQRT(Q27)-SQRT(Q26))</f>
        <v>0</v>
      </c>
      <c r="Q27" s="9">
        <v>361812</v>
      </c>
      <c r="R27" s="8">
        <v>171374429</v>
      </c>
      <c r="S27" s="7">
        <f>R27*'[1]Inflation Rates by Year'!$C$2</f>
        <v>193783349.33603999</v>
      </c>
      <c r="T27" s="6">
        <f>S27/Q27</f>
        <v>535.59127208616621</v>
      </c>
      <c r="U27" s="5"/>
      <c r="V27" s="5"/>
      <c r="W27" s="5"/>
      <c r="X27" s="5"/>
      <c r="Y27" s="5"/>
    </row>
    <row r="28" spans="1:25" ht="15" customHeight="1" x14ac:dyDescent="0.25">
      <c r="A28" s="13">
        <v>44416</v>
      </c>
      <c r="B28" s="5">
        <v>27</v>
      </c>
      <c r="C28" s="15">
        <v>463477</v>
      </c>
      <c r="D28" s="12">
        <v>178870795</v>
      </c>
      <c r="E28" s="5"/>
      <c r="F28" s="22"/>
      <c r="G28" s="11"/>
      <c r="H28" s="16">
        <v>38847</v>
      </c>
      <c r="I28" s="5"/>
      <c r="J28" s="5"/>
      <c r="K28" s="5"/>
      <c r="L28" s="5"/>
      <c r="M28" s="23">
        <v>479845</v>
      </c>
      <c r="N28" s="10">
        <f>Q28-Q27</f>
        <v>101665</v>
      </c>
      <c r="O28" s="10">
        <f>106/$Q$105*(N28)</f>
        <v>11.186950397016949</v>
      </c>
      <c r="P28" s="10">
        <f>$B$72/SQRT($Q$72)*(SQRT(Q28)-SQRT(Q27))</f>
        <v>5.7354163741601667</v>
      </c>
      <c r="Q28" s="1">
        <v>463477</v>
      </c>
      <c r="R28" s="8">
        <v>178870795</v>
      </c>
      <c r="S28" s="7">
        <f>R28*'[1]Inflation Rates by Year'!$C$2</f>
        <v>202259940.15419999</v>
      </c>
      <c r="T28" s="6">
        <f>S28/Q28</f>
        <v>436.39693049320675</v>
      </c>
      <c r="U28" s="5"/>
      <c r="V28" s="5"/>
      <c r="W28" s="5"/>
      <c r="X28" s="5"/>
      <c r="Y28" s="5"/>
    </row>
    <row r="29" spans="1:25" ht="15" customHeight="1" x14ac:dyDescent="0.25">
      <c r="A29" s="13">
        <v>44417</v>
      </c>
      <c r="B29" s="11">
        <v>28</v>
      </c>
      <c r="C29" s="11">
        <v>489287</v>
      </c>
      <c r="D29" s="12">
        <v>186643361</v>
      </c>
      <c r="E29" s="5"/>
      <c r="F29" s="22"/>
      <c r="G29" s="11"/>
      <c r="H29" s="16">
        <v>9191</v>
      </c>
      <c r="I29" s="5"/>
      <c r="J29" s="5"/>
      <c r="K29" s="5"/>
      <c r="L29" s="5"/>
      <c r="M29" s="23">
        <v>487514</v>
      </c>
      <c r="N29" s="10">
        <f>Q29-Q28</f>
        <v>25810</v>
      </c>
      <c r="O29" s="10">
        <f>106/$Q$105*(N29)</f>
        <v>2.8400648182462742</v>
      </c>
      <c r="P29" s="10">
        <f>$B$72/SQRT($Q$72)*(SQRT(Q29)-SQRT(Q28))</f>
        <v>1.352705217296934</v>
      </c>
      <c r="Q29" s="9">
        <v>489287</v>
      </c>
      <c r="R29" s="8">
        <v>186643361</v>
      </c>
      <c r="S29" s="7">
        <f>R29*'[1]Inflation Rates by Year'!$C$2</f>
        <v>211048846.88435999</v>
      </c>
      <c r="T29" s="6">
        <f>S29/Q29</f>
        <v>431.33957551367598</v>
      </c>
      <c r="U29" s="5"/>
      <c r="V29" s="5"/>
      <c r="W29" s="5"/>
      <c r="X29" s="5"/>
      <c r="Y29" s="5"/>
    </row>
    <row r="30" spans="1:25" ht="15" customHeight="1" x14ac:dyDescent="0.25">
      <c r="A30" s="13">
        <v>44418</v>
      </c>
      <c r="B30" s="5">
        <v>29</v>
      </c>
      <c r="C30" s="11">
        <v>482047</v>
      </c>
      <c r="D30" s="12">
        <v>194616232</v>
      </c>
      <c r="E30" s="5"/>
      <c r="F30" s="22"/>
      <c r="G30" s="11"/>
      <c r="H30" s="16"/>
      <c r="I30" s="5"/>
      <c r="J30" s="5"/>
      <c r="K30" s="5"/>
      <c r="L30" s="5"/>
      <c r="M30" s="24"/>
      <c r="N30" s="10">
        <f>Q30-Q29</f>
        <v>-7240</v>
      </c>
      <c r="O30" s="10">
        <f>106/$Q$105*(N30)</f>
        <v>-0.79667064254564213</v>
      </c>
      <c r="P30" s="10">
        <f>$B$72/SQRT($Q$72)*(SQRT(Q30)-SQRT(Q29))</f>
        <v>-0.37577273676947381</v>
      </c>
      <c r="Q30" s="9">
        <v>482047</v>
      </c>
      <c r="R30" s="8">
        <v>194616232</v>
      </c>
      <c r="S30" s="7">
        <f>R30*'[1]Inflation Rates by Year'!$C$2</f>
        <v>220064250.49632001</v>
      </c>
      <c r="T30" s="6">
        <f>S30/Q30</f>
        <v>456.52031958775808</v>
      </c>
      <c r="U30" s="5"/>
      <c r="V30" s="5"/>
      <c r="W30" s="5"/>
      <c r="X30" s="5"/>
      <c r="Y30" s="5"/>
    </row>
    <row r="31" spans="1:25" ht="15" customHeight="1" x14ac:dyDescent="0.25">
      <c r="A31" s="13">
        <v>44419</v>
      </c>
      <c r="B31" s="11">
        <v>30</v>
      </c>
      <c r="C31" s="11">
        <v>490205</v>
      </c>
      <c r="D31" s="12">
        <v>202447490</v>
      </c>
      <c r="E31" s="5"/>
      <c r="F31" s="22"/>
      <c r="G31" s="11"/>
      <c r="H31" s="16">
        <v>13238</v>
      </c>
      <c r="I31" s="5"/>
      <c r="J31" s="5"/>
      <c r="K31" s="5"/>
      <c r="L31" s="5"/>
      <c r="M31" s="24"/>
      <c r="N31" s="10">
        <f>Q31-Q30</f>
        <v>8158</v>
      </c>
      <c r="O31" s="10">
        <f>106/$Q$105*(N31)</f>
        <v>0.8976849588242195</v>
      </c>
      <c r="P31" s="10">
        <f>$B$72/SQRT($Q$72)*(SQRT(Q31)-SQRT(Q30))</f>
        <v>0.42321990122398867</v>
      </c>
      <c r="Q31" s="9">
        <v>490205</v>
      </c>
      <c r="R31" s="8">
        <v>202447490</v>
      </c>
      <c r="S31" s="7">
        <f>R31*'[1]Inflation Rates by Year'!$C$2</f>
        <v>228919523.7924</v>
      </c>
      <c r="T31" s="6">
        <f>S31/Q31</f>
        <v>466.98732936710155</v>
      </c>
      <c r="U31" s="5"/>
      <c r="V31" s="5"/>
      <c r="W31" s="5"/>
      <c r="X31" s="5"/>
      <c r="Y31" s="5"/>
    </row>
    <row r="32" spans="1:25" ht="15" customHeight="1" x14ac:dyDescent="0.25">
      <c r="A32" s="13">
        <v>44420</v>
      </c>
      <c r="B32" s="5">
        <v>31</v>
      </c>
      <c r="C32" s="11"/>
      <c r="D32" s="12"/>
      <c r="E32" s="5"/>
      <c r="F32" s="22"/>
      <c r="G32" s="11"/>
      <c r="H32" s="16">
        <v>9219</v>
      </c>
      <c r="I32" s="5"/>
      <c r="J32" s="5"/>
      <c r="K32" s="5"/>
      <c r="L32" s="5"/>
      <c r="M32" s="24"/>
      <c r="N32" s="10">
        <f>Q32-Q31</f>
        <v>0</v>
      </c>
      <c r="O32" s="10">
        <f>106/$Q$105*(N32)</f>
        <v>0</v>
      </c>
      <c r="P32" s="10">
        <f>$B$72/SQRT($Q$72)*(SQRT(Q32)-SQRT(Q31))</f>
        <v>0</v>
      </c>
      <c r="Q32" s="9">
        <v>490205</v>
      </c>
      <c r="R32" s="8"/>
      <c r="S32" s="7">
        <f>R32*'[1]Inflation Rates by Year'!$C$2</f>
        <v>0</v>
      </c>
      <c r="T32" s="6">
        <v>0</v>
      </c>
      <c r="U32" s="5"/>
      <c r="V32" s="5"/>
      <c r="W32" s="5"/>
      <c r="X32" s="5"/>
      <c r="Y32" s="5"/>
    </row>
    <row r="33" spans="1:25" ht="15" customHeight="1" x14ac:dyDescent="0.25">
      <c r="A33" s="13">
        <v>44421</v>
      </c>
      <c r="B33" s="5">
        <v>32</v>
      </c>
      <c r="C33" s="11">
        <v>510227</v>
      </c>
      <c r="D33" s="12">
        <v>217599443</v>
      </c>
      <c r="E33" s="5"/>
      <c r="F33" s="22"/>
      <c r="G33" s="11"/>
      <c r="H33" s="16">
        <v>7671</v>
      </c>
      <c r="I33" s="5"/>
      <c r="J33" s="5"/>
      <c r="K33" s="5"/>
      <c r="L33" s="5"/>
      <c r="M33" s="24"/>
      <c r="N33" s="10">
        <f>Q33-Q32</f>
        <v>20022</v>
      </c>
      <c r="O33" s="10">
        <f>106/$Q$105*(N33)</f>
        <v>2.2031684537360285</v>
      </c>
      <c r="P33" s="10">
        <f>$B$72/SQRT($Q$72)*(SQRT(Q33)-SQRT(Q32))</f>
        <v>1.0240081132454095</v>
      </c>
      <c r="Q33" s="9">
        <v>510227</v>
      </c>
      <c r="R33" s="8">
        <v>217599443</v>
      </c>
      <c r="S33" s="7">
        <f>R33*'[1]Inflation Rates by Year'!$C$2</f>
        <v>246052746.16668001</v>
      </c>
      <c r="T33" s="6">
        <f>S33/Q33</f>
        <v>482.24172018862197</v>
      </c>
      <c r="U33" s="5"/>
      <c r="V33" s="5"/>
      <c r="W33" s="5"/>
      <c r="X33" s="5"/>
      <c r="Y33" s="5"/>
    </row>
    <row r="34" spans="1:25" ht="15" customHeight="1" x14ac:dyDescent="0.25">
      <c r="A34" s="13">
        <v>44422</v>
      </c>
      <c r="B34" s="11">
        <v>33</v>
      </c>
      <c r="C34" s="11">
        <v>517945</v>
      </c>
      <c r="D34" s="12">
        <v>228171149</v>
      </c>
      <c r="E34" s="5"/>
      <c r="F34" s="22"/>
      <c r="G34" s="11"/>
      <c r="H34" s="16">
        <v>22811</v>
      </c>
      <c r="I34" s="5"/>
      <c r="J34" s="5"/>
      <c r="K34" s="5"/>
      <c r="L34" s="5"/>
      <c r="M34" s="24"/>
      <c r="N34" s="10">
        <f>Q34-Q33</f>
        <v>7718</v>
      </c>
      <c r="O34" s="10">
        <f>106/$Q$105*(N34)</f>
        <v>0.84926851093470523</v>
      </c>
      <c r="P34" s="10">
        <f>$B$72/SQRT($Q$72)*(SQRT(Q34)-SQRT(Q33))</f>
        <v>0.38935246433288168</v>
      </c>
      <c r="Q34" s="9">
        <v>517945</v>
      </c>
      <c r="R34" s="8">
        <v>228171149</v>
      </c>
      <c r="S34" s="7">
        <f>R34*'[1]Inflation Rates by Year'!$C$2</f>
        <v>258006808.44323999</v>
      </c>
      <c r="T34" s="6">
        <f>S34/Q34</f>
        <v>498.13553262072224</v>
      </c>
      <c r="U34" s="5"/>
      <c r="V34" s="5"/>
      <c r="W34" s="5"/>
      <c r="X34" s="5"/>
      <c r="Y34" s="5"/>
    </row>
    <row r="35" spans="1:25" ht="15" customHeight="1" x14ac:dyDescent="0.25">
      <c r="A35" s="13">
        <v>44423</v>
      </c>
      <c r="B35" s="5">
        <v>34</v>
      </c>
      <c r="C35" s="11">
        <v>552589</v>
      </c>
      <c r="D35" s="12">
        <v>245503108</v>
      </c>
      <c r="E35" s="5"/>
      <c r="F35" s="22"/>
      <c r="G35" s="11"/>
      <c r="H35" s="4"/>
      <c r="I35" s="11"/>
      <c r="J35" s="11"/>
      <c r="K35" s="11"/>
      <c r="L35" s="11"/>
      <c r="M35" s="24"/>
      <c r="N35" s="10">
        <f>Q35-34</f>
        <v>552555</v>
      </c>
      <c r="O35" s="10">
        <f>106/$Q$105*(N35)</f>
        <v>60.801705371796587</v>
      </c>
      <c r="P35" s="10" t="e">
        <f>$B$72/SQRT($Q$72)*(SQRT(Q35)-SQRT(#REF!))</f>
        <v>#REF!</v>
      </c>
      <c r="Q35" s="9">
        <v>552589</v>
      </c>
      <c r="R35" s="8">
        <v>245503108</v>
      </c>
      <c r="S35" s="7">
        <f>R35*'[1]Inflation Rates by Year'!$C$2</f>
        <v>277605094.40208</v>
      </c>
      <c r="T35" s="6">
        <f>S35/Q35</f>
        <v>502.37173451168951</v>
      </c>
      <c r="U35" s="5"/>
      <c r="V35" s="5"/>
      <c r="W35" s="5"/>
      <c r="X35" s="5"/>
      <c r="Y35" s="5"/>
    </row>
    <row r="36" spans="1:25" ht="15" customHeight="1" x14ac:dyDescent="0.25">
      <c r="A36" s="13">
        <v>44424</v>
      </c>
      <c r="B36" s="11">
        <v>35</v>
      </c>
      <c r="C36" s="11">
        <v>569707</v>
      </c>
      <c r="D36" s="12">
        <v>260754478</v>
      </c>
      <c r="E36" s="5"/>
      <c r="F36" s="22"/>
      <c r="G36" s="11"/>
      <c r="H36" s="4"/>
      <c r="I36" s="11"/>
      <c r="J36" s="11"/>
      <c r="K36" s="11"/>
      <c r="L36" s="11"/>
      <c r="M36" s="24"/>
      <c r="N36" s="10">
        <f>Q36-Q35</f>
        <v>17118</v>
      </c>
      <c r="O36" s="10">
        <f>106/$Q$105*(N36)</f>
        <v>1.8836198976652352</v>
      </c>
      <c r="P36" s="10">
        <f>$B$72/SQRT($Q$72)*(SQRT(Q36)-SQRT(Q35))</f>
        <v>0.8265705467979747</v>
      </c>
      <c r="Q36" s="9">
        <v>569707</v>
      </c>
      <c r="R36" s="8">
        <v>260754478</v>
      </c>
      <c r="S36" s="7">
        <f>R36*'[1]Inflation Rates by Year'!$C$2</f>
        <v>294850733.54328001</v>
      </c>
      <c r="T36" s="6">
        <f>S36/Q36</f>
        <v>517.548026517631</v>
      </c>
      <c r="U36" s="5"/>
      <c r="V36" s="5"/>
      <c r="W36" s="5"/>
      <c r="X36" s="5"/>
      <c r="Y36" s="5"/>
    </row>
    <row r="37" spans="1:25" ht="15" customHeight="1" x14ac:dyDescent="0.25">
      <c r="A37" s="13">
        <v>44425</v>
      </c>
      <c r="B37" s="5">
        <v>36</v>
      </c>
      <c r="C37" s="11">
        <v>578897</v>
      </c>
      <c r="D37" s="12">
        <v>267832136</v>
      </c>
      <c r="E37" s="5"/>
      <c r="F37" s="22"/>
      <c r="G37" s="11"/>
      <c r="H37" s="16">
        <v>49715</v>
      </c>
      <c r="I37" s="5"/>
      <c r="J37" s="5"/>
      <c r="K37" s="5"/>
      <c r="L37" s="5"/>
      <c r="M37" s="24"/>
      <c r="N37" s="10">
        <f>Q37-Q36</f>
        <v>9190</v>
      </c>
      <c r="O37" s="10">
        <f>106/$Q$105*(N37)</f>
        <v>1.0112435366014436</v>
      </c>
      <c r="P37" s="10">
        <f>$B$72/SQRT($Q$72)*(SQRT(Q37)-SQRT(Q36))</f>
        <v>0.43863350827730224</v>
      </c>
      <c r="Q37" s="9">
        <v>578897</v>
      </c>
      <c r="R37" s="8">
        <v>267832136</v>
      </c>
      <c r="S37" s="7">
        <f>R37*'[1]Inflation Rates by Year'!$C$2</f>
        <v>302853866.10336</v>
      </c>
      <c r="T37" s="6">
        <f>S37/Q37</f>
        <v>523.15673790563778</v>
      </c>
      <c r="U37" s="5"/>
      <c r="V37" s="5"/>
      <c r="W37" s="5"/>
      <c r="X37" s="5"/>
      <c r="Y37" s="5"/>
    </row>
    <row r="38" spans="1:25" ht="15" customHeight="1" x14ac:dyDescent="0.25">
      <c r="A38" s="13">
        <v>44426</v>
      </c>
      <c r="B38" s="5">
        <v>37</v>
      </c>
      <c r="C38" s="11">
        <v>626751</v>
      </c>
      <c r="D38" s="12">
        <v>273167915</v>
      </c>
      <c r="E38" s="5"/>
      <c r="F38" s="22"/>
      <c r="G38" s="11"/>
      <c r="H38" s="16">
        <v>31202</v>
      </c>
      <c r="I38" s="11"/>
      <c r="J38" s="11"/>
      <c r="K38" s="11"/>
      <c r="L38" s="11"/>
      <c r="M38" s="23">
        <v>656674</v>
      </c>
      <c r="N38" s="10">
        <f>Q38-Q37</f>
        <v>47854</v>
      </c>
      <c r="O38" s="10">
        <f>106/$Q$105*(N38)</f>
        <v>5.2657288575109336</v>
      </c>
      <c r="P38" s="10">
        <f>$B$72/SQRT($Q$72)*(SQRT(Q38)-SQRT(Q37))</f>
        <v>2.2297775371012314</v>
      </c>
      <c r="Q38" s="9">
        <v>626751</v>
      </c>
      <c r="R38" s="8">
        <v>273167915</v>
      </c>
      <c r="S38" s="7">
        <f>R38*'[1]Inflation Rates by Year'!$C$2</f>
        <v>308887351.5654</v>
      </c>
      <c r="T38" s="6">
        <f>S38/Q38</f>
        <v>492.83902469305991</v>
      </c>
      <c r="U38" s="5"/>
      <c r="V38" s="5"/>
      <c r="W38" s="5"/>
      <c r="X38" s="5"/>
      <c r="Y38" s="5"/>
    </row>
    <row r="39" spans="1:25" ht="15" customHeight="1" x14ac:dyDescent="0.25">
      <c r="A39" s="13">
        <v>44427</v>
      </c>
      <c r="B39" s="11">
        <v>38</v>
      </c>
      <c r="C39" s="11">
        <v>662647</v>
      </c>
      <c r="D39" s="12">
        <v>284876967</v>
      </c>
      <c r="E39" s="5"/>
      <c r="F39" s="22"/>
      <c r="G39" s="11"/>
      <c r="H39" s="16">
        <v>42639</v>
      </c>
      <c r="I39" s="5"/>
      <c r="J39" s="5"/>
      <c r="K39" s="5"/>
      <c r="L39" s="5"/>
      <c r="M39" s="23">
        <v>686794</v>
      </c>
      <c r="N39" s="10">
        <f>Q39-Q38</f>
        <v>35896</v>
      </c>
      <c r="O39" s="10">
        <f>106/$Q$105*(N39)</f>
        <v>3.9499018487318192</v>
      </c>
      <c r="P39" s="10">
        <f>$B$72/SQRT($Q$72)*(SQRT(Q39)-SQRT(Q38))</f>
        <v>1.6171958843152119</v>
      </c>
      <c r="Q39" s="9">
        <v>662647</v>
      </c>
      <c r="R39" s="8">
        <v>284876967</v>
      </c>
      <c r="S39" s="7">
        <f>R39*'[1]Inflation Rates by Year'!$C$2</f>
        <v>322127479.20491999</v>
      </c>
      <c r="T39" s="6">
        <f>S39/Q39</f>
        <v>486.12229317407304</v>
      </c>
      <c r="U39" s="5"/>
      <c r="V39" s="5"/>
      <c r="W39" s="11"/>
      <c r="X39" s="11"/>
      <c r="Y39" s="11"/>
    </row>
    <row r="40" spans="1:25" ht="15" customHeight="1" x14ac:dyDescent="0.25">
      <c r="A40" s="13">
        <v>44428</v>
      </c>
      <c r="B40" s="5">
        <v>39</v>
      </c>
      <c r="C40" s="11">
        <v>700630</v>
      </c>
      <c r="D40" s="12">
        <v>302796220</v>
      </c>
      <c r="E40" s="5"/>
      <c r="F40" s="22"/>
      <c r="G40" s="11"/>
      <c r="H40" s="16">
        <v>22394</v>
      </c>
      <c r="I40" s="11"/>
      <c r="J40" s="11"/>
      <c r="K40" s="11"/>
      <c r="L40" s="11"/>
      <c r="M40" s="23">
        <v>698197</v>
      </c>
      <c r="N40" s="10">
        <f>Q40-Q39</f>
        <v>37983</v>
      </c>
      <c r="O40" s="10">
        <f>106/$Q$105*(N40)</f>
        <v>4.1795498640623103</v>
      </c>
      <c r="P40" s="10">
        <f>$B$72/SQRT($Q$72)*(SQRT(Q40)-SQRT(Q39))</f>
        <v>1.6642069976035043</v>
      </c>
      <c r="Q40" s="9">
        <v>700630</v>
      </c>
      <c r="R40" s="8">
        <v>302796220</v>
      </c>
      <c r="S40" s="7">
        <f>R40*'[1]Inflation Rates by Year'!$C$2</f>
        <v>342389853.72719997</v>
      </c>
      <c r="T40" s="6">
        <f>S40/Q40</f>
        <v>488.68854277892751</v>
      </c>
      <c r="U40" s="5"/>
      <c r="V40" s="5"/>
      <c r="W40" s="11"/>
      <c r="X40" s="11"/>
      <c r="Y40" s="11"/>
    </row>
    <row r="41" spans="1:25" ht="15" customHeight="1" x14ac:dyDescent="0.25">
      <c r="A41" s="13">
        <v>44429</v>
      </c>
      <c r="B41" s="11">
        <v>40</v>
      </c>
      <c r="C41" s="11">
        <v>714219</v>
      </c>
      <c r="D41" s="12">
        <v>313859127</v>
      </c>
      <c r="E41" s="5"/>
      <c r="F41" s="22"/>
      <c r="G41" s="11"/>
      <c r="H41" s="16">
        <v>13463</v>
      </c>
      <c r="I41" s="5"/>
      <c r="J41" s="5"/>
      <c r="K41" s="5"/>
      <c r="L41" s="5"/>
      <c r="M41" s="23">
        <v>711510</v>
      </c>
      <c r="N41" s="10">
        <f>Q41-Q40</f>
        <v>13589</v>
      </c>
      <c r="O41" s="10">
        <f>106/$Q$105*(N41)</f>
        <v>1.4952979781150182</v>
      </c>
      <c r="P41" s="10">
        <f>$B$72/SQRT($Q$72)*(SQRT(Q41)-SQRT(Q40))</f>
        <v>0.58439358700374644</v>
      </c>
      <c r="Q41" s="9">
        <v>714219</v>
      </c>
      <c r="R41" s="8">
        <v>313859127</v>
      </c>
      <c r="S41" s="7">
        <f>R41*'[1]Inflation Rates by Year'!$C$2</f>
        <v>354899346.44651997</v>
      </c>
      <c r="T41" s="6">
        <f>S41/Q41</f>
        <v>496.90549599845423</v>
      </c>
      <c r="U41" s="5"/>
      <c r="V41" s="5"/>
      <c r="W41" s="5"/>
      <c r="X41" s="5"/>
      <c r="Y41" s="5"/>
    </row>
    <row r="42" spans="1:25" ht="15" customHeight="1" x14ac:dyDescent="0.25">
      <c r="A42" s="13">
        <v>44430</v>
      </c>
      <c r="B42" s="5">
        <v>41</v>
      </c>
      <c r="C42" s="11">
        <v>721298</v>
      </c>
      <c r="D42" s="12">
        <v>325096083</v>
      </c>
      <c r="E42" s="5"/>
      <c r="F42" s="22"/>
      <c r="G42" s="11"/>
      <c r="H42" s="16">
        <v>7395</v>
      </c>
      <c r="I42" s="11"/>
      <c r="J42" s="11"/>
      <c r="K42" s="11"/>
      <c r="L42" s="11"/>
      <c r="M42" s="23">
        <v>722104</v>
      </c>
      <c r="N42" s="10">
        <f>Q42-Q41</f>
        <v>7079</v>
      </c>
      <c r="O42" s="10">
        <f>106/$Q$105*(N42)</f>
        <v>0.77895462411334271</v>
      </c>
      <c r="P42" s="10">
        <f>$B$72/SQRT($Q$72)*(SQRT(Q42)-SQRT(Q41))</f>
        <v>0.302229632735177</v>
      </c>
      <c r="Q42" s="9">
        <v>721298</v>
      </c>
      <c r="R42" s="8">
        <v>325096083</v>
      </c>
      <c r="S42" s="7">
        <f>R42*'[1]Inflation Rates by Year'!$C$2</f>
        <v>367605646.81308001</v>
      </c>
      <c r="T42" s="6">
        <f>S42/Q42</f>
        <v>509.64462235176029</v>
      </c>
      <c r="U42" s="5"/>
      <c r="V42" s="5"/>
      <c r="W42" s="5"/>
      <c r="X42" s="5"/>
      <c r="Y42" s="5"/>
    </row>
    <row r="43" spans="1:25" ht="15" customHeight="1" x14ac:dyDescent="0.25">
      <c r="A43" s="13">
        <v>44431</v>
      </c>
      <c r="B43" s="5">
        <v>42</v>
      </c>
      <c r="C43" s="11">
        <v>725821.5</v>
      </c>
      <c r="D43" s="12">
        <v>335613563</v>
      </c>
      <c r="E43" s="5"/>
      <c r="F43" s="22"/>
      <c r="G43" s="11"/>
      <c r="H43" s="16">
        <v>4553</v>
      </c>
      <c r="I43" s="11"/>
      <c r="J43" s="11"/>
      <c r="K43" s="11"/>
      <c r="L43" s="11"/>
      <c r="M43" s="23">
        <v>725433</v>
      </c>
      <c r="N43" s="10">
        <f>Q43-Q42</f>
        <v>4523.5</v>
      </c>
      <c r="O43" s="10">
        <f>106/$Q$105*(N43)</f>
        <v>0.49775409551867572</v>
      </c>
      <c r="P43" s="10">
        <f>$B$72/SQRT($Q$72)*(SQRT(Q43)-SQRT(Q42))</f>
        <v>0.19234943197673407</v>
      </c>
      <c r="Q43" s="9">
        <v>725821.5</v>
      </c>
      <c r="R43" s="8">
        <v>335613563</v>
      </c>
      <c r="S43" s="7">
        <f>R43*'[1]Inflation Rates by Year'!$C$2</f>
        <v>379498392.49787998</v>
      </c>
      <c r="T43" s="6">
        <f>S43/Q43</f>
        <v>522.85361138775852</v>
      </c>
      <c r="U43" s="5"/>
      <c r="V43" s="5"/>
      <c r="W43" s="5"/>
      <c r="X43" s="5"/>
      <c r="Y43" s="5"/>
    </row>
    <row r="44" spans="1:25" ht="15" customHeight="1" x14ac:dyDescent="0.25">
      <c r="A44" s="13">
        <v>44432</v>
      </c>
      <c r="B44" s="11">
        <v>43</v>
      </c>
      <c r="C44" s="11">
        <v>727896</v>
      </c>
      <c r="D44" s="12">
        <v>335613563</v>
      </c>
      <c r="E44" s="5"/>
      <c r="F44" s="22"/>
      <c r="G44" s="11"/>
      <c r="H44" s="16">
        <v>5533</v>
      </c>
      <c r="I44" s="11"/>
      <c r="J44" s="11"/>
      <c r="K44" s="11"/>
      <c r="L44" s="11"/>
      <c r="M44" s="24"/>
      <c r="N44" s="10">
        <f>Q44-Q43</f>
        <v>2074.5</v>
      </c>
      <c r="O44" s="10">
        <f>106/$Q$105*(N44)</f>
        <v>0.22827254806090258</v>
      </c>
      <c r="P44" s="10">
        <f>$B$72/SQRT($Q$72)*(SQRT(Q44)-SQRT(Q43))</f>
        <v>8.8011925270541067E-2</v>
      </c>
      <c r="Q44" s="9">
        <v>727896</v>
      </c>
      <c r="R44" s="8">
        <v>335613563</v>
      </c>
      <c r="S44" s="7">
        <f>R44*'[1]Inflation Rates by Year'!$C$2</f>
        <v>379498392.49787998</v>
      </c>
      <c r="T44" s="6">
        <f>S44/Q44</f>
        <v>521.36348118121271</v>
      </c>
      <c r="U44" s="5"/>
      <c r="V44" s="5"/>
      <c r="W44" s="5"/>
      <c r="X44" s="5"/>
      <c r="Y44" s="5"/>
    </row>
    <row r="45" spans="1:25" ht="15" customHeight="1" x14ac:dyDescent="0.25">
      <c r="A45" s="13">
        <v>44433</v>
      </c>
      <c r="B45" s="5">
        <v>44</v>
      </c>
      <c r="C45" s="11">
        <v>735064</v>
      </c>
      <c r="D45" s="12">
        <v>354946675</v>
      </c>
      <c r="E45" s="5"/>
      <c r="F45" s="22"/>
      <c r="G45" s="11"/>
      <c r="H45" s="16">
        <v>3962</v>
      </c>
      <c r="I45" s="11"/>
      <c r="J45" s="11"/>
      <c r="K45" s="11"/>
      <c r="L45" s="11"/>
      <c r="M45" s="23">
        <v>736933</v>
      </c>
      <c r="N45" s="10">
        <f>Q45-Q44</f>
        <v>7168</v>
      </c>
      <c r="O45" s="10">
        <f>106/$Q$105*(N45)</f>
        <v>0.78874795107281259</v>
      </c>
      <c r="P45" s="10">
        <f>$B$72/SQRT($Q$72)*(SQRT(Q45)-SQRT(Q44))</f>
        <v>0.30314545048687991</v>
      </c>
      <c r="Q45" s="9">
        <v>735064</v>
      </c>
      <c r="R45" s="8">
        <v>354946675</v>
      </c>
      <c r="S45" s="7">
        <f>R45*'[1]Inflation Rates by Year'!$C$2</f>
        <v>401359502.22299999</v>
      </c>
      <c r="T45" s="6">
        <v>0</v>
      </c>
      <c r="U45" s="5"/>
      <c r="V45" s="5"/>
      <c r="W45" s="5"/>
      <c r="X45" s="5"/>
      <c r="Y45" s="5"/>
    </row>
    <row r="46" spans="1:25" ht="15" customHeight="1" x14ac:dyDescent="0.25">
      <c r="A46" s="13">
        <v>44434</v>
      </c>
      <c r="B46" s="11">
        <v>45</v>
      </c>
      <c r="C46" s="11">
        <v>742724</v>
      </c>
      <c r="D46" s="12">
        <v>360201982</v>
      </c>
      <c r="E46" s="5"/>
      <c r="F46" s="22"/>
      <c r="G46" s="11"/>
      <c r="H46" s="16">
        <v>12056</v>
      </c>
      <c r="I46" s="11"/>
      <c r="J46" s="11"/>
      <c r="K46" s="11"/>
      <c r="L46" s="11"/>
      <c r="M46" s="23">
        <v>745026</v>
      </c>
      <c r="N46" s="10">
        <f>Q46-Q45</f>
        <v>7660</v>
      </c>
      <c r="O46" s="10">
        <f>106/$Q$105*(N46)</f>
        <v>0.8428863428038148</v>
      </c>
      <c r="P46" s="10">
        <f>$B$72/SQRT($Q$72)*(SQRT(Q46)-SQRT(Q45))</f>
        <v>0.32232362692977473</v>
      </c>
      <c r="Q46" s="9">
        <v>742724</v>
      </c>
      <c r="R46" s="8">
        <v>360201982</v>
      </c>
      <c r="S46" s="7">
        <f>R46*'[1]Inflation Rates by Year'!$C$2</f>
        <v>407301993.16631997</v>
      </c>
      <c r="T46" s="6">
        <f>S45/Q45</f>
        <v>546.01980538157216</v>
      </c>
      <c r="U46" s="5"/>
      <c r="V46" s="5"/>
      <c r="W46" s="5"/>
      <c r="X46" s="5"/>
      <c r="Y46" s="5"/>
    </row>
    <row r="47" spans="1:25" ht="15" customHeight="1" x14ac:dyDescent="0.25">
      <c r="A47" s="13">
        <v>44435</v>
      </c>
      <c r="B47" s="5">
        <v>46</v>
      </c>
      <c r="C47" s="11">
        <v>750672</v>
      </c>
      <c r="D47" s="12">
        <v>376625440</v>
      </c>
      <c r="E47" s="5"/>
      <c r="F47" s="22"/>
      <c r="G47" s="11"/>
      <c r="H47" s="16">
        <v>3988</v>
      </c>
      <c r="I47" s="11"/>
      <c r="J47" s="11"/>
      <c r="K47" s="11"/>
      <c r="L47" s="11"/>
      <c r="M47" s="16">
        <v>749712</v>
      </c>
      <c r="N47" s="10">
        <f>Q47-Q46</f>
        <v>7948</v>
      </c>
      <c r="O47" s="10">
        <f>106/$Q$105*(N47)</f>
        <v>0.87457710869513317</v>
      </c>
      <c r="P47" s="10">
        <f>$B$72/SQRT($Q$72)*(SQRT(Q47)-SQRT(Q46))</f>
        <v>0.33269010578753411</v>
      </c>
      <c r="Q47" s="9">
        <v>750672</v>
      </c>
      <c r="R47" s="8">
        <v>376625440</v>
      </c>
      <c r="S47" s="7">
        <f>R47*'[1]Inflation Rates by Year'!$C$2</f>
        <v>425872982.53439999</v>
      </c>
      <c r="T47" s="6">
        <v>0</v>
      </c>
      <c r="U47" s="5"/>
      <c r="V47" s="5"/>
      <c r="W47" s="5"/>
      <c r="X47" s="5"/>
      <c r="Y47" s="5"/>
    </row>
    <row r="48" spans="1:25" ht="15" customHeight="1" x14ac:dyDescent="0.25">
      <c r="A48" s="13">
        <v>44436</v>
      </c>
      <c r="B48" s="5">
        <v>47</v>
      </c>
      <c r="C48" s="11">
        <v>756768</v>
      </c>
      <c r="D48" s="12">
        <v>389931006</v>
      </c>
      <c r="E48" s="5"/>
      <c r="F48" s="22"/>
      <c r="G48" s="11"/>
      <c r="H48" s="16">
        <v>6284</v>
      </c>
      <c r="I48" s="11"/>
      <c r="J48" s="11"/>
      <c r="K48" s="11"/>
      <c r="L48" s="11"/>
      <c r="M48" s="16">
        <v>756106</v>
      </c>
      <c r="N48" s="10">
        <f>Q48-Q47</f>
        <v>6096</v>
      </c>
      <c r="O48" s="10">
        <f>106/$Q$105*(N48)</f>
        <v>0.67078787803290529</v>
      </c>
      <c r="P48" s="10">
        <f>$B$72/SQRT($Q$72)*(SQRT(Q48)-SQRT(Q47))</f>
        <v>0.25397666110120964</v>
      </c>
      <c r="Q48" s="9">
        <v>756768</v>
      </c>
      <c r="R48" s="8">
        <v>389931006</v>
      </c>
      <c r="S48" s="7">
        <f>R48*'[1]Inflation Rates by Year'!$C$2</f>
        <v>440918384.34455997</v>
      </c>
      <c r="T48" s="6">
        <f>S47/Q47</f>
        <v>567.32232257816997</v>
      </c>
      <c r="U48" s="5"/>
      <c r="V48" s="5"/>
      <c r="W48" s="5"/>
      <c r="X48" s="5"/>
      <c r="Y48" s="5"/>
    </row>
    <row r="49" spans="1:25" ht="15" customHeight="1" x14ac:dyDescent="0.25">
      <c r="A49" s="13">
        <v>44437</v>
      </c>
      <c r="B49" s="11">
        <v>48</v>
      </c>
      <c r="C49" s="15">
        <v>759218</v>
      </c>
      <c r="D49" s="12">
        <v>390146573</v>
      </c>
      <c r="E49" s="5"/>
      <c r="F49" s="22"/>
      <c r="G49" s="11"/>
      <c r="H49" s="16">
        <v>7678</v>
      </c>
      <c r="I49" s="11"/>
      <c r="J49" s="11"/>
      <c r="K49" s="11"/>
      <c r="L49" s="11"/>
      <c r="M49" s="4"/>
      <c r="N49" s="10">
        <f>Q49-Q48</f>
        <v>2450</v>
      </c>
      <c r="O49" s="10">
        <f>106/$Q$105*(N49)</f>
        <v>0.26959158483934026</v>
      </c>
      <c r="P49" s="10">
        <f>$B$72/SQRT($Q$72)*(SQRT(Q49)-SQRT(Q48))</f>
        <v>0.10178566344127872</v>
      </c>
      <c r="Q49" s="1">
        <v>759218</v>
      </c>
      <c r="R49" s="8">
        <v>390146573</v>
      </c>
      <c r="S49" s="7">
        <f>R49*'[1]Inflation Rates by Year'!$C$2</f>
        <v>441162138.88547999</v>
      </c>
      <c r="T49" s="6">
        <f>S48/Q48</f>
        <v>582.63349447196492</v>
      </c>
      <c r="U49" s="5"/>
      <c r="V49" s="5"/>
      <c r="W49" s="5"/>
      <c r="X49" s="5"/>
      <c r="Y49" s="5"/>
    </row>
    <row r="50" spans="1:25" ht="15" customHeight="1" x14ac:dyDescent="0.25">
      <c r="A50" s="13">
        <v>44438</v>
      </c>
      <c r="B50" s="5">
        <v>49</v>
      </c>
      <c r="C50" s="11">
        <v>771183</v>
      </c>
      <c r="D50" s="12">
        <v>403936844</v>
      </c>
      <c r="E50" s="5"/>
      <c r="F50" s="22"/>
      <c r="G50" s="11"/>
      <c r="H50" s="16">
        <v>7041</v>
      </c>
      <c r="I50" s="11"/>
      <c r="J50" s="11"/>
      <c r="K50" s="11"/>
      <c r="L50" s="11"/>
      <c r="M50" s="16">
        <v>776902</v>
      </c>
      <c r="N50" s="10">
        <f>Q50-Q49</f>
        <v>11965</v>
      </c>
      <c r="O50" s="10">
        <f>106/$Q$105*(N50)</f>
        <v>1.3165972704500841</v>
      </c>
      <c r="P50" s="10">
        <f>$B$72/SQRT($Q$72)*(SQRT(Q50)-SQRT(Q49))</f>
        <v>0.4947449634848734</v>
      </c>
      <c r="Q50" s="9">
        <v>771183</v>
      </c>
      <c r="R50" s="8">
        <v>403936844</v>
      </c>
      <c r="S50" s="7">
        <f>R50*'[1]Inflation Rates by Year'!$C$2</f>
        <v>456755625.72144002</v>
      </c>
      <c r="T50" s="6">
        <f>S50/Q50</f>
        <v>592.27916813705701</v>
      </c>
      <c r="U50" s="5"/>
      <c r="V50" s="5"/>
      <c r="W50" s="5"/>
      <c r="X50" s="5"/>
      <c r="Y50" s="5"/>
    </row>
    <row r="51" spans="1:25" ht="15" customHeight="1" x14ac:dyDescent="0.25">
      <c r="A51" s="13">
        <v>44439</v>
      </c>
      <c r="B51" s="11">
        <v>50</v>
      </c>
      <c r="C51" s="11">
        <v>807396</v>
      </c>
      <c r="D51" s="12">
        <v>413361758</v>
      </c>
      <c r="E51" s="5"/>
      <c r="F51" s="22"/>
      <c r="G51" s="11"/>
      <c r="H51" s="16">
        <v>36110</v>
      </c>
      <c r="I51" s="11"/>
      <c r="J51" s="11"/>
      <c r="K51" s="11"/>
      <c r="L51" s="11"/>
      <c r="M51" s="16">
        <v>812356</v>
      </c>
      <c r="N51" s="10">
        <f>Q51-Q50</f>
        <v>36213</v>
      </c>
      <c r="O51" s="10">
        <f>106/$Q$105*(N51)</f>
        <v>3.9847836986885827</v>
      </c>
      <c r="P51" s="10">
        <f>$B$72/SQRT($Q$72)*(SQRT(Q51)-SQRT(Q50))</f>
        <v>1.4744426992095432</v>
      </c>
      <c r="Q51" s="9">
        <v>807396</v>
      </c>
      <c r="R51" s="8">
        <v>413361758</v>
      </c>
      <c r="S51" s="7">
        <f>R51*'[1]Inflation Rates by Year'!$C$2</f>
        <v>467412941.47608</v>
      </c>
      <c r="T51" s="6">
        <f>S51/Q51</f>
        <v>578.91411584412106</v>
      </c>
      <c r="U51" s="5"/>
      <c r="V51" s="5"/>
      <c r="W51" s="5"/>
      <c r="X51" s="5"/>
      <c r="Y51" s="5"/>
    </row>
    <row r="52" spans="1:25" ht="15" customHeight="1" x14ac:dyDescent="0.25">
      <c r="A52" s="13">
        <v>44440</v>
      </c>
      <c r="B52" s="5">
        <v>51</v>
      </c>
      <c r="C52" s="11">
        <v>844081</v>
      </c>
      <c r="D52" s="12">
        <v>423323287</v>
      </c>
      <c r="E52" s="5"/>
      <c r="F52" s="22"/>
      <c r="G52" s="11"/>
      <c r="H52" s="16">
        <v>36484</v>
      </c>
      <c r="I52" s="11"/>
      <c r="J52" s="11"/>
      <c r="K52" s="11"/>
      <c r="L52" s="11"/>
      <c r="M52" s="16">
        <v>843383</v>
      </c>
      <c r="N52" s="10">
        <f>Q52-Q51</f>
        <v>36685</v>
      </c>
      <c r="O52" s="10">
        <f>106/$Q$105*(N52)</f>
        <v>4.0367213427882431</v>
      </c>
      <c r="P52" s="10">
        <f>$B$72/SQRT($Q$72)*(SQRT(Q52)-SQRT(Q51))</f>
        <v>1.4603166320282428</v>
      </c>
      <c r="Q52" s="9">
        <v>844081</v>
      </c>
      <c r="R52" s="8">
        <v>423323287</v>
      </c>
      <c r="S52" s="7">
        <f>R52*'[1]Inflation Rates by Year'!$C$2</f>
        <v>478677040.00812</v>
      </c>
      <c r="T52" s="6">
        <f>S52/Q52</f>
        <v>567.09846567819909</v>
      </c>
      <c r="U52" s="5"/>
      <c r="V52" s="5"/>
      <c r="W52" s="5"/>
      <c r="X52" s="5"/>
      <c r="Y52" s="5"/>
    </row>
    <row r="53" spans="1:25" ht="15" customHeight="1" x14ac:dyDescent="0.25">
      <c r="A53" s="13">
        <v>44441</v>
      </c>
      <c r="B53" s="5">
        <v>52</v>
      </c>
      <c r="C53" s="11">
        <v>859457</v>
      </c>
      <c r="D53" s="12">
        <v>432738976</v>
      </c>
      <c r="E53" s="5"/>
      <c r="F53" s="22"/>
      <c r="G53" s="11"/>
      <c r="H53" s="16">
        <v>16000</v>
      </c>
      <c r="I53" s="11"/>
      <c r="J53" s="11"/>
      <c r="K53" s="11"/>
      <c r="L53" s="11"/>
      <c r="M53" s="16">
        <v>862147</v>
      </c>
      <c r="N53" s="10">
        <f>Q53-Q52</f>
        <v>15376</v>
      </c>
      <c r="O53" s="10">
        <f>106/$Q$105*(N53)</f>
        <v>1.6919347789753858</v>
      </c>
      <c r="P53" s="10">
        <f>$B$72/SQRT($Q$72)*(SQRT(Q53)-SQRT(Q52))</f>
        <v>0.6026148937513468</v>
      </c>
      <c r="Q53" s="9">
        <v>859457</v>
      </c>
      <c r="R53" s="8">
        <v>432738976</v>
      </c>
      <c r="S53" s="7">
        <f>R53*'[1]Inflation Rates by Year'!$C$2</f>
        <v>489323924.50176001</v>
      </c>
      <c r="T53" s="6">
        <f>S53/Q53</f>
        <v>569.3407866848022</v>
      </c>
      <c r="U53" s="5"/>
      <c r="V53" s="5"/>
      <c r="W53" s="5"/>
      <c r="X53" s="5"/>
      <c r="Y53" s="5"/>
    </row>
    <row r="54" spans="1:25" ht="15" customHeight="1" x14ac:dyDescent="0.25">
      <c r="A54" s="13">
        <v>44442</v>
      </c>
      <c r="B54" s="11">
        <v>53</v>
      </c>
      <c r="C54" s="11">
        <v>865703</v>
      </c>
      <c r="D54" s="12">
        <v>463960754</v>
      </c>
      <c r="E54" s="5"/>
      <c r="F54" s="22"/>
      <c r="G54" s="11"/>
      <c r="H54" s="16">
        <v>9574</v>
      </c>
      <c r="I54" s="11"/>
      <c r="J54" s="11"/>
      <c r="K54" s="11"/>
      <c r="L54" s="11"/>
      <c r="M54" s="16">
        <v>879601</v>
      </c>
      <c r="N54" s="10">
        <f>Q54-Q53</f>
        <v>6246</v>
      </c>
      <c r="O54" s="10">
        <f>106/$Q$105*(N54)</f>
        <v>0.68729348526796696</v>
      </c>
      <c r="P54" s="10">
        <f>$B$72/SQRT($Q$72)*(SQRT(Q54)-SQRT(Q53))</f>
        <v>0.2432517550885463</v>
      </c>
      <c r="Q54" s="9">
        <v>865703</v>
      </c>
      <c r="R54" s="8">
        <v>463960754</v>
      </c>
      <c r="S54" s="7">
        <f>R54*'[1]Inflation Rates by Year'!$C$2</f>
        <v>524628262.19304001</v>
      </c>
      <c r="T54" s="6">
        <f>S54/Q54</f>
        <v>606.01414364168772</v>
      </c>
      <c r="U54" s="5"/>
      <c r="V54" s="5"/>
      <c r="W54" s="5"/>
      <c r="X54" s="5"/>
      <c r="Y54" s="5"/>
    </row>
    <row r="55" spans="1:25" ht="15" customHeight="1" x14ac:dyDescent="0.25">
      <c r="A55" s="13">
        <v>44443</v>
      </c>
      <c r="B55" s="5">
        <v>54</v>
      </c>
      <c r="C55" s="11">
        <v>885954</v>
      </c>
      <c r="D55" s="12">
        <v>448670459</v>
      </c>
      <c r="E55" s="5"/>
      <c r="F55" s="22"/>
      <c r="G55" s="11"/>
      <c r="H55" s="16">
        <v>17221</v>
      </c>
      <c r="I55" s="11"/>
      <c r="J55" s="11"/>
      <c r="K55" s="11"/>
      <c r="L55" s="11"/>
      <c r="M55" s="16">
        <v>889905</v>
      </c>
      <c r="N55" s="10">
        <f>Q55-Q54</f>
        <v>20251</v>
      </c>
      <c r="O55" s="10">
        <f>106/$Q$105*(N55)</f>
        <v>2.2283670141148892</v>
      </c>
      <c r="P55" s="10">
        <f>$B$72/SQRT($Q$72)*(SQRT(Q55)-SQRT(Q54))</f>
        <v>0.78270332059504255</v>
      </c>
      <c r="Q55" s="9">
        <v>885954</v>
      </c>
      <c r="R55" s="8">
        <v>448670459</v>
      </c>
      <c r="S55" s="7">
        <f>R55*'[1]Inflation Rates by Year'!$C$2</f>
        <v>507338608.21884</v>
      </c>
      <c r="T55" s="6">
        <v>0</v>
      </c>
      <c r="U55" s="5"/>
      <c r="V55" s="5"/>
      <c r="W55" s="5"/>
      <c r="X55" s="5"/>
      <c r="Y55" s="5"/>
    </row>
    <row r="56" spans="1:25" ht="15" customHeight="1" x14ac:dyDescent="0.25">
      <c r="A56" s="13">
        <v>44444</v>
      </c>
      <c r="B56" s="11">
        <v>55</v>
      </c>
      <c r="C56" s="11">
        <v>893852</v>
      </c>
      <c r="D56" s="12">
        <v>456737680</v>
      </c>
      <c r="E56" s="5"/>
      <c r="F56" s="22"/>
      <c r="G56" s="11"/>
      <c r="H56" s="16">
        <v>8084</v>
      </c>
      <c r="I56" s="11"/>
      <c r="J56" s="11"/>
      <c r="K56" s="11"/>
      <c r="L56" s="11"/>
      <c r="M56" s="16">
        <v>899030</v>
      </c>
      <c r="N56" s="10">
        <f>Q56-Q55</f>
        <v>7898</v>
      </c>
      <c r="O56" s="10">
        <f>106/$Q$105*(N56)</f>
        <v>0.86907523961677924</v>
      </c>
      <c r="P56" s="10">
        <f>$B$72/SQRT($Q$72)*(SQRT(Q56)-SQRT(Q55))</f>
        <v>0.30283066208667009</v>
      </c>
      <c r="Q56" s="9">
        <v>893852</v>
      </c>
      <c r="R56" s="8">
        <v>456737680</v>
      </c>
      <c r="S56" s="7">
        <f>R56*'[1]Inflation Rates by Year'!$C$2</f>
        <v>516460699.03679997</v>
      </c>
      <c r="T56" s="6">
        <f>S55/Q55</f>
        <v>572.64667039015569</v>
      </c>
      <c r="U56" s="5"/>
      <c r="V56" s="5"/>
      <c r="W56" s="5"/>
      <c r="X56" s="5"/>
      <c r="Y56" s="5"/>
    </row>
    <row r="57" spans="1:25" ht="15" customHeight="1" x14ac:dyDescent="0.25">
      <c r="A57" s="13">
        <v>44445</v>
      </c>
      <c r="B57" s="5">
        <v>56</v>
      </c>
      <c r="C57" s="11">
        <v>898951</v>
      </c>
      <c r="D57" s="12">
        <v>459848464</v>
      </c>
      <c r="E57" s="11"/>
      <c r="F57" s="12"/>
      <c r="G57" s="11"/>
      <c r="H57" s="16">
        <v>16831</v>
      </c>
      <c r="I57" s="11"/>
      <c r="J57" s="11"/>
      <c r="K57" s="11"/>
      <c r="L57" s="11"/>
      <c r="M57" s="16">
        <v>904436</v>
      </c>
      <c r="N57" s="10">
        <f>Q57-Q56</f>
        <v>5099</v>
      </c>
      <c r="O57" s="10">
        <f>106/$Q$105*(N57)</f>
        <v>0.56108060861052889</v>
      </c>
      <c r="P57" s="10">
        <f>$B$72/SQRT($Q$72)*(SQRT(Q57)-SQRT(Q56))</f>
        <v>0.1947991900795078</v>
      </c>
      <c r="Q57" s="9">
        <v>898951</v>
      </c>
      <c r="R57" s="8">
        <v>459848464</v>
      </c>
      <c r="S57" s="7">
        <f>R57*'[1]Inflation Rates by Year'!$C$2</f>
        <v>519978249.15263999</v>
      </c>
      <c r="T57" s="6">
        <f>S56/Q56</f>
        <v>577.79218375838502</v>
      </c>
      <c r="U57" s="5"/>
      <c r="V57" s="5"/>
      <c r="W57" s="5"/>
      <c r="X57" s="5"/>
      <c r="Y57" s="5"/>
    </row>
    <row r="58" spans="1:25" ht="15" customHeight="1" x14ac:dyDescent="0.25">
      <c r="A58" s="13">
        <v>44446</v>
      </c>
      <c r="B58" s="5">
        <v>57</v>
      </c>
      <c r="C58" s="11">
        <v>915655</v>
      </c>
      <c r="D58" s="12">
        <v>470863078</v>
      </c>
      <c r="E58" s="11"/>
      <c r="F58" s="12"/>
      <c r="G58" s="11"/>
      <c r="H58" s="16">
        <v>7293</v>
      </c>
      <c r="I58" s="11"/>
      <c r="J58" s="11"/>
      <c r="K58" s="11"/>
      <c r="L58" s="11"/>
      <c r="M58" s="16">
        <v>916675</v>
      </c>
      <c r="N58" s="10">
        <f>Q58-Q57</f>
        <v>16704</v>
      </c>
      <c r="O58" s="10">
        <f>106/$Q$105*(N58)</f>
        <v>1.838064421696465</v>
      </c>
      <c r="P58" s="10">
        <f>$B$72/SQRT($Q$72)*(SQRT(Q58)-SQRT(Q57))</f>
        <v>0.63431048644416765</v>
      </c>
      <c r="Q58" s="9">
        <v>915655</v>
      </c>
      <c r="R58" s="8">
        <v>470863078</v>
      </c>
      <c r="S58" s="7">
        <f>R58*'[1]Inflation Rates by Year'!$C$2</f>
        <v>532433134.07928002</v>
      </c>
      <c r="T58" s="6">
        <f>S58/Q58</f>
        <v>581.47788640839622</v>
      </c>
      <c r="U58" s="5"/>
      <c r="V58" s="5"/>
      <c r="W58" s="5"/>
      <c r="X58" s="5"/>
      <c r="Y58" s="5"/>
    </row>
    <row r="59" spans="1:25" ht="15" customHeight="1" x14ac:dyDescent="0.25">
      <c r="A59" s="13">
        <v>44447</v>
      </c>
      <c r="B59" s="11">
        <v>58</v>
      </c>
      <c r="C59" s="11">
        <v>922192</v>
      </c>
      <c r="D59" s="12">
        <v>485214333</v>
      </c>
      <c r="E59" s="11"/>
      <c r="F59" s="12"/>
      <c r="G59" s="11"/>
      <c r="H59" s="16">
        <v>4606</v>
      </c>
      <c r="I59" s="11"/>
      <c r="J59" s="11"/>
      <c r="K59" s="11"/>
      <c r="L59" s="11"/>
      <c r="M59" s="16">
        <v>922357</v>
      </c>
      <c r="N59" s="10">
        <f>Q59-Q58</f>
        <v>6537</v>
      </c>
      <c r="O59" s="10">
        <f>106/$Q$105*(N59)</f>
        <v>0.71931436330398657</v>
      </c>
      <c r="P59" s="10">
        <f>$B$72/SQRT($Q$72)*(SQRT(Q59)-SQRT(Q58))</f>
        <v>0.24665644953282567</v>
      </c>
      <c r="Q59" s="9">
        <v>922192</v>
      </c>
      <c r="R59" s="8">
        <v>485214333</v>
      </c>
      <c r="S59" s="7">
        <f>R59*'[1]Inflation Rates by Year'!$C$2</f>
        <v>548660959.18307996</v>
      </c>
      <c r="T59" s="6">
        <f>S59/Q59</f>
        <v>594.95306745567075</v>
      </c>
      <c r="U59" s="5"/>
      <c r="V59" s="5"/>
      <c r="W59" s="5"/>
      <c r="X59" s="5"/>
      <c r="Y59" s="5"/>
    </row>
    <row r="60" spans="1:25" ht="15" customHeight="1" x14ac:dyDescent="0.25">
      <c r="A60" s="13">
        <v>44448</v>
      </c>
      <c r="B60" s="5">
        <v>59</v>
      </c>
      <c r="C60" s="11">
        <v>922507</v>
      </c>
      <c r="D60" s="12">
        <v>489700000</v>
      </c>
      <c r="E60" s="11"/>
      <c r="F60" s="12"/>
      <c r="G60" s="11"/>
      <c r="H60" s="16">
        <v>5204</v>
      </c>
      <c r="I60" s="11"/>
      <c r="J60" s="11"/>
      <c r="K60" s="11"/>
      <c r="L60" s="11"/>
      <c r="M60" s="16">
        <v>928766</v>
      </c>
      <c r="N60" s="10">
        <f>Q60-Q59</f>
        <v>315</v>
      </c>
      <c r="O60" s="10">
        <f>106/$Q$105*(N60)</f>
        <v>3.4661775193629459E-2</v>
      </c>
      <c r="P60" s="10">
        <f>$B$72/SQRT($Q$72)*(SQRT(Q60)-SQRT(Q59))</f>
        <v>1.1863580461748211E-2</v>
      </c>
      <c r="Q60" s="9">
        <v>922507</v>
      </c>
      <c r="R60" s="8">
        <v>489700000</v>
      </c>
      <c r="S60" s="7">
        <f>R60*'[1]Inflation Rates by Year'!$C$2</f>
        <v>553733172</v>
      </c>
      <c r="T60" s="6">
        <f>S60/Q60</f>
        <v>600.24820624667348</v>
      </c>
      <c r="U60" s="5"/>
      <c r="V60" s="5"/>
      <c r="W60" s="5"/>
      <c r="X60" s="5"/>
      <c r="Y60" s="5"/>
    </row>
    <row r="61" spans="1:25" ht="15" customHeight="1" x14ac:dyDescent="0.25">
      <c r="A61" s="13">
        <v>44449</v>
      </c>
      <c r="B61" s="11">
        <v>60</v>
      </c>
      <c r="C61" s="11">
        <v>950591</v>
      </c>
      <c r="D61" s="12">
        <v>500039723</v>
      </c>
      <c r="E61" s="11"/>
      <c r="F61" s="12"/>
      <c r="G61" s="11"/>
      <c r="H61" s="16">
        <v>23239</v>
      </c>
      <c r="I61" s="11"/>
      <c r="J61" s="11"/>
      <c r="K61" s="11"/>
      <c r="L61" s="11"/>
      <c r="M61" s="4"/>
      <c r="N61" s="10">
        <f>Q61-Q60</f>
        <v>28084</v>
      </c>
      <c r="O61" s="10">
        <f>106/$Q$105*(N61)</f>
        <v>3.0902898239298087</v>
      </c>
      <c r="P61" s="10">
        <f>$B$72/SQRT($Q$72)*(SQRT(Q61)-SQRT(Q60))</f>
        <v>1.0496847793990631</v>
      </c>
      <c r="Q61" s="9">
        <v>950591</v>
      </c>
      <c r="R61" s="8">
        <v>500039723</v>
      </c>
      <c r="S61" s="7">
        <f>R61*'[1]Inflation Rates by Year'!$C$2</f>
        <v>565424917.17947996</v>
      </c>
      <c r="T61" s="6">
        <f>S61/Q61</f>
        <v>594.81408637308789</v>
      </c>
      <c r="U61" s="5"/>
      <c r="V61" s="5"/>
      <c r="W61" s="5"/>
      <c r="X61" s="5"/>
      <c r="Y61" s="5"/>
    </row>
    <row r="62" spans="1:25" ht="15" customHeight="1" x14ac:dyDescent="0.25">
      <c r="A62" s="13">
        <v>44450</v>
      </c>
      <c r="B62" s="5">
        <v>61</v>
      </c>
      <c r="C62" s="11">
        <v>953696</v>
      </c>
      <c r="D62" s="12">
        <v>509771112</v>
      </c>
      <c r="E62" s="11"/>
      <c r="F62" s="12"/>
      <c r="G62" s="11"/>
      <c r="H62" s="16">
        <v>12116</v>
      </c>
      <c r="I62" s="11"/>
      <c r="J62" s="11"/>
      <c r="K62" s="11"/>
      <c r="L62" s="11"/>
      <c r="M62" s="16">
        <v>960049</v>
      </c>
      <c r="N62" s="10">
        <f>Q62-Q61</f>
        <v>3105</v>
      </c>
      <c r="O62" s="10">
        <f>106/$Q$105*(N62)</f>
        <v>0.34166606976577607</v>
      </c>
      <c r="P62" s="10">
        <f>$B$72/SQRT($Q$72)*(SQRT(Q62)-SQRT(Q61))</f>
        <v>0.11509687398853029</v>
      </c>
      <c r="Q62" s="9">
        <v>953696</v>
      </c>
      <c r="R62" s="8">
        <v>509771112</v>
      </c>
      <c r="S62" s="7">
        <f>R62*'[1]Inflation Rates by Year'!$C$2</f>
        <v>576428782.60511994</v>
      </c>
      <c r="T62" s="6">
        <f>S62/Q62</f>
        <v>604.41564461329392</v>
      </c>
      <c r="U62" s="5"/>
      <c r="V62" s="5"/>
      <c r="W62" s="5"/>
      <c r="X62" s="5"/>
      <c r="Y62" s="5"/>
    </row>
    <row r="63" spans="1:25" ht="15" customHeight="1" x14ac:dyDescent="0.25">
      <c r="A63" s="13">
        <v>44451</v>
      </c>
      <c r="B63" s="5">
        <v>62</v>
      </c>
      <c r="C63" s="15">
        <v>960213</v>
      </c>
      <c r="D63" s="12">
        <v>523648265</v>
      </c>
      <c r="E63" s="11"/>
      <c r="F63" s="12"/>
      <c r="G63" s="11"/>
      <c r="H63" s="16">
        <v>961</v>
      </c>
      <c r="I63" s="11"/>
      <c r="J63" s="11"/>
      <c r="K63" s="11"/>
      <c r="L63" s="11"/>
      <c r="M63" s="16">
        <v>960344</v>
      </c>
      <c r="N63" s="10">
        <f>Q63-Q62</f>
        <v>6517</v>
      </c>
      <c r="O63" s="10">
        <f>106/$Q$105*(N63)</f>
        <v>0.71711361567264498</v>
      </c>
      <c r="P63" s="10">
        <f>$B$72/SQRT($Q$72)*(SQRT(Q63)-SQRT(Q62))</f>
        <v>0.24096595588654299</v>
      </c>
      <c r="Q63" s="1">
        <v>960213</v>
      </c>
      <c r="R63" s="8">
        <v>523648265</v>
      </c>
      <c r="S63" s="7">
        <f>R63*'[1]Inflation Rates by Year'!$C$2</f>
        <v>592120512.13139999</v>
      </c>
      <c r="T63" s="6">
        <f>S63/Q63</f>
        <v>616.65537972449863</v>
      </c>
      <c r="U63" s="5"/>
      <c r="V63" s="5"/>
      <c r="W63" s="5"/>
      <c r="X63" s="5"/>
      <c r="Y63" s="5"/>
    </row>
    <row r="64" spans="1:25" ht="15" customHeight="1" x14ac:dyDescent="0.25">
      <c r="A64" s="13">
        <v>44452</v>
      </c>
      <c r="B64" s="11">
        <v>63</v>
      </c>
      <c r="C64" s="11">
        <v>960335</v>
      </c>
      <c r="D64" s="12">
        <v>530972530</v>
      </c>
      <c r="E64" s="11"/>
      <c r="F64" s="12"/>
      <c r="G64" s="11"/>
      <c r="H64" s="16">
        <v>316</v>
      </c>
      <c r="I64" s="11"/>
      <c r="J64" s="11"/>
      <c r="K64" s="11"/>
      <c r="L64" s="11"/>
      <c r="M64" s="16">
        <v>960407</v>
      </c>
      <c r="N64" s="10">
        <f>Q64-Q63</f>
        <v>122</v>
      </c>
      <c r="O64" s="10">
        <f>106/$Q$105*(N64)</f>
        <v>1.3424560551183472E-2</v>
      </c>
      <c r="P64" s="10">
        <f>$B$72/SQRT($Q$72)*(SQRT(Q64)-SQRT(Q63))</f>
        <v>4.5031377157755308E-3</v>
      </c>
      <c r="Q64" s="9">
        <v>960335</v>
      </c>
      <c r="R64" s="8">
        <v>530972530</v>
      </c>
      <c r="S64" s="7">
        <f>R64*'[1]Inflation Rates by Year'!$C$2</f>
        <v>600402498.02279997</v>
      </c>
      <c r="T64" s="6">
        <f>S64/Q64</f>
        <v>625.20109964002143</v>
      </c>
      <c r="U64" s="5"/>
      <c r="V64" s="5"/>
      <c r="W64" s="5"/>
      <c r="X64" s="5"/>
      <c r="Y64" s="5"/>
    </row>
    <row r="65" spans="1:29" ht="15" customHeight="1" x14ac:dyDescent="0.25">
      <c r="A65" s="13">
        <v>44453</v>
      </c>
      <c r="B65" s="5">
        <v>64</v>
      </c>
      <c r="C65" s="11">
        <v>960470</v>
      </c>
      <c r="D65" s="12">
        <v>540000000</v>
      </c>
      <c r="E65" s="11"/>
      <c r="F65" s="12"/>
      <c r="G65" s="11"/>
      <c r="H65" s="16">
        <v>218</v>
      </c>
      <c r="I65" s="11"/>
      <c r="J65" s="11"/>
      <c r="K65" s="11"/>
      <c r="L65" s="11"/>
      <c r="M65" s="16">
        <v>960583</v>
      </c>
      <c r="N65" s="10">
        <f>Q65-Q64</f>
        <v>135</v>
      </c>
      <c r="O65" s="10">
        <f>106/$Q$105*(N65)</f>
        <v>1.4855046511555482E-2</v>
      </c>
      <c r="P65" s="10">
        <f>$B$72/SQRT($Q$72)*(SQRT(Q65)-SQRT(Q64))</f>
        <v>4.9826468921015553E-3</v>
      </c>
      <c r="Q65" s="9">
        <v>960470</v>
      </c>
      <c r="R65" s="8">
        <v>540000000</v>
      </c>
      <c r="S65" s="7">
        <f>R65*'[1]Inflation Rates by Year'!$C$2</f>
        <v>610610400</v>
      </c>
      <c r="T65" s="6">
        <f>S65/Q65</f>
        <v>635.74125167886552</v>
      </c>
      <c r="U65" s="5"/>
      <c r="V65" s="5"/>
      <c r="W65" s="5"/>
      <c r="X65" s="5"/>
      <c r="Y65" s="5"/>
    </row>
    <row r="66" spans="1:29" ht="15" customHeight="1" x14ac:dyDescent="0.25">
      <c r="A66" s="13">
        <v>44454</v>
      </c>
      <c r="B66" s="11">
        <v>65</v>
      </c>
      <c r="C66" s="11">
        <v>960470</v>
      </c>
      <c r="D66" s="12">
        <v>550000000</v>
      </c>
      <c r="E66" s="11"/>
      <c r="F66" s="12"/>
      <c r="G66" s="11"/>
      <c r="H66" s="4"/>
      <c r="I66" s="11"/>
      <c r="J66" s="11"/>
      <c r="K66" s="11"/>
      <c r="L66" s="11"/>
      <c r="M66" s="4"/>
      <c r="N66" s="10">
        <f>Q66-Q65</f>
        <v>0</v>
      </c>
      <c r="O66" s="10">
        <f>106/$Q$105*(N66)</f>
        <v>0</v>
      </c>
      <c r="P66" s="10">
        <f>$B$72/SQRT($Q$72)*(SQRT(Q66)-SQRT(Q65))</f>
        <v>0</v>
      </c>
      <c r="Q66" s="9">
        <v>960470</v>
      </c>
      <c r="R66" s="8">
        <v>550000000</v>
      </c>
      <c r="S66" s="7">
        <f>R66*'[1]Inflation Rates by Year'!$C$2</f>
        <v>621918000</v>
      </c>
      <c r="T66" s="6">
        <f>S66/Q66</f>
        <v>647.51423782106679</v>
      </c>
      <c r="U66" s="5"/>
      <c r="V66" s="5"/>
      <c r="W66" s="5"/>
      <c r="X66" s="5"/>
      <c r="Y66" s="5"/>
    </row>
    <row r="67" spans="1:29" ht="15" customHeight="1" x14ac:dyDescent="0.25">
      <c r="A67" s="13">
        <v>44455</v>
      </c>
      <c r="B67" s="5">
        <v>66</v>
      </c>
      <c r="C67" s="11">
        <v>960470</v>
      </c>
      <c r="D67" s="12">
        <v>552000000</v>
      </c>
      <c r="E67" s="11"/>
      <c r="F67" s="12"/>
      <c r="G67" s="11"/>
      <c r="H67" s="16">
        <v>173</v>
      </c>
      <c r="I67" s="11"/>
      <c r="J67" s="11"/>
      <c r="K67" s="11"/>
      <c r="L67" s="11"/>
      <c r="M67" s="4"/>
      <c r="N67" s="10">
        <f>Q67-Q66</f>
        <v>0</v>
      </c>
      <c r="O67" s="10">
        <f>106/$Q$105*(N67)</f>
        <v>0</v>
      </c>
      <c r="P67" s="10">
        <f>$B$72/SQRT($Q$72)*(SQRT(Q67)-SQRT(Q66))</f>
        <v>0</v>
      </c>
      <c r="Q67" s="9">
        <v>960470</v>
      </c>
      <c r="R67" s="8">
        <v>552000000</v>
      </c>
      <c r="S67" s="7">
        <f>R67*'[1]Inflation Rates by Year'!$C$2</f>
        <v>624179520</v>
      </c>
      <c r="T67" s="6">
        <f>S67/Q67</f>
        <v>649.86883504950697</v>
      </c>
      <c r="U67" s="5"/>
      <c r="V67" s="5"/>
      <c r="W67" s="5"/>
      <c r="X67" s="5"/>
      <c r="Y67" s="5"/>
    </row>
    <row r="68" spans="1:29" ht="15" customHeight="1" x14ac:dyDescent="0.25">
      <c r="A68" s="13">
        <v>44456</v>
      </c>
      <c r="B68" s="5">
        <v>67</v>
      </c>
      <c r="C68" s="11">
        <v>960581</v>
      </c>
      <c r="D68" s="12">
        <v>556000000</v>
      </c>
      <c r="E68" s="11"/>
      <c r="F68" s="12"/>
      <c r="G68" s="11"/>
      <c r="H68" s="16">
        <v>349</v>
      </c>
      <c r="I68" s="11"/>
      <c r="J68" s="11"/>
      <c r="K68" s="11"/>
      <c r="L68" s="11"/>
      <c r="M68" s="16">
        <v>960729</v>
      </c>
      <c r="N68" s="10">
        <f>Q68-Q67</f>
        <v>111</v>
      </c>
      <c r="O68" s="10">
        <f>106/$Q$105*(N68)</f>
        <v>1.2214149353945618E-2</v>
      </c>
      <c r="P68" s="10">
        <f>$B$72/SQRT($Q$72)*(SQRT(Q68)-SQRT(Q67))</f>
        <v>4.0965806805410582E-3</v>
      </c>
      <c r="Q68" s="9">
        <v>960581</v>
      </c>
      <c r="R68" s="8">
        <v>556000000</v>
      </c>
      <c r="S68" s="7">
        <f>R68*'[1]Inflation Rates by Year'!$C$2</f>
        <v>628702560</v>
      </c>
      <c r="T68" s="6">
        <f>S68/Q68</f>
        <v>654.50238969956729</v>
      </c>
      <c r="U68" s="5"/>
      <c r="V68" s="5"/>
      <c r="W68" s="5"/>
      <c r="X68" s="5"/>
      <c r="Y68" s="5"/>
    </row>
    <row r="69" spans="1:29" ht="15" customHeight="1" x14ac:dyDescent="0.25">
      <c r="A69" s="13">
        <v>44457</v>
      </c>
      <c r="B69" s="11">
        <v>68</v>
      </c>
      <c r="C69" s="11">
        <v>960641</v>
      </c>
      <c r="D69" s="12">
        <v>564000000</v>
      </c>
      <c r="E69" s="11"/>
      <c r="F69" s="12"/>
      <c r="G69" s="11"/>
      <c r="H69" s="16">
        <v>2660</v>
      </c>
      <c r="I69" s="11"/>
      <c r="J69" s="11"/>
      <c r="K69" s="11"/>
      <c r="L69" s="11"/>
      <c r="M69" s="4"/>
      <c r="N69" s="10">
        <f>Q69-Q68</f>
        <v>60</v>
      </c>
      <c r="O69" s="10">
        <f>106/$Q$105*(N69)</f>
        <v>6.6022428940246585E-3</v>
      </c>
      <c r="P69" s="10">
        <f>$B$72/SQRT($Q$72)*(SQRT(Q69)-SQRT(Q68))</f>
        <v>2.2142693867237594E-3</v>
      </c>
      <c r="Q69" s="9">
        <v>960641</v>
      </c>
      <c r="R69" s="8">
        <v>564000000</v>
      </c>
      <c r="S69" s="7">
        <f>R69*'[1]Inflation Rates by Year'!$C$2</f>
        <v>637748640</v>
      </c>
      <c r="T69" s="6">
        <f>S69/Q69</f>
        <v>663.87822297819889</v>
      </c>
      <c r="U69" s="5"/>
      <c r="V69" s="5"/>
      <c r="W69" s="5"/>
      <c r="X69" s="5"/>
      <c r="Y69" s="5"/>
    </row>
    <row r="70" spans="1:29" ht="15" customHeight="1" x14ac:dyDescent="0.25">
      <c r="A70" s="13">
        <v>44458</v>
      </c>
      <c r="B70" s="5">
        <v>69</v>
      </c>
      <c r="C70" s="11">
        <v>963301</v>
      </c>
      <c r="D70" s="12">
        <v>564000000</v>
      </c>
      <c r="E70" s="11"/>
      <c r="F70" s="12"/>
      <c r="G70" s="11"/>
      <c r="H70" s="4"/>
      <c r="I70" s="11"/>
      <c r="J70" s="11"/>
      <c r="K70" s="11"/>
      <c r="L70" s="11"/>
      <c r="M70" s="4"/>
      <c r="N70" s="10">
        <f>Q70-Q69</f>
        <v>2660</v>
      </c>
      <c r="O70" s="10">
        <f>106/$Q$105*(N70)</f>
        <v>0.29269943496842654</v>
      </c>
      <c r="P70" s="10">
        <f>$B$72/SQRT($Q$72)*(SQRT(Q70)-SQRT(Q69))</f>
        <v>9.8096549956015161E-2</v>
      </c>
      <c r="Q70" s="9">
        <v>963301</v>
      </c>
      <c r="R70" s="8">
        <v>564000000</v>
      </c>
      <c r="S70" s="7">
        <f>R70*'[1]Inflation Rates by Year'!$C$2</f>
        <v>637748640</v>
      </c>
      <c r="T70" s="6">
        <f>S70/Q70</f>
        <v>662.0450305771509</v>
      </c>
      <c r="U70" s="5"/>
      <c r="V70" s="5"/>
      <c r="W70" s="5"/>
      <c r="X70" s="5"/>
      <c r="Y70" s="5"/>
    </row>
    <row r="71" spans="1:29" ht="15" customHeight="1" x14ac:dyDescent="0.25">
      <c r="A71" s="13">
        <v>44459</v>
      </c>
      <c r="B71" s="11">
        <v>70</v>
      </c>
      <c r="C71" s="11">
        <v>963195</v>
      </c>
      <c r="D71" s="12">
        <v>569000000</v>
      </c>
      <c r="E71" s="11"/>
      <c r="F71" s="12"/>
      <c r="G71" s="11"/>
      <c r="H71" s="4"/>
      <c r="I71" s="11"/>
      <c r="J71" s="11"/>
      <c r="K71" s="11"/>
      <c r="L71" s="11"/>
      <c r="M71" s="16">
        <v>963182</v>
      </c>
      <c r="N71" s="10">
        <f>Q71-Q70</f>
        <v>-106</v>
      </c>
      <c r="O71" s="10">
        <f>106/$Q$105*(N71)</f>
        <v>-1.166396244611023E-2</v>
      </c>
      <c r="P71" s="10">
        <f>$B$72/SQRT($Q$72)*(SQRT(Q71)-SQRT(Q70))</f>
        <v>-3.9065176471413145E-3</v>
      </c>
      <c r="Q71" s="9">
        <v>963195</v>
      </c>
      <c r="R71" s="8">
        <v>569000000</v>
      </c>
      <c r="S71" s="7">
        <f>R71*'[1]Inflation Rates by Year'!$C$2</f>
        <v>643402440</v>
      </c>
      <c r="T71" s="6">
        <f>S71/Q71</f>
        <v>667.98772834161309</v>
      </c>
      <c r="U71" s="5"/>
      <c r="V71" s="5"/>
      <c r="W71" s="5"/>
      <c r="X71" s="5"/>
      <c r="Y71" s="5"/>
    </row>
    <row r="72" spans="1:29" ht="15" customHeight="1" x14ac:dyDescent="0.25">
      <c r="A72" s="21">
        <v>44460</v>
      </c>
      <c r="B72" s="18">
        <v>71</v>
      </c>
      <c r="C72" s="20">
        <v>963276</v>
      </c>
      <c r="D72" s="19">
        <v>579000000</v>
      </c>
      <c r="E72" s="20"/>
      <c r="F72" s="19"/>
      <c r="G72" s="20"/>
      <c r="H72" s="14">
        <v>82</v>
      </c>
      <c r="I72" s="20"/>
      <c r="J72" s="20"/>
      <c r="K72" s="20"/>
      <c r="L72" s="20"/>
      <c r="M72" s="14">
        <v>963184</v>
      </c>
      <c r="N72" s="14">
        <f>Q72-Q71</f>
        <v>81</v>
      </c>
      <c r="O72" s="10">
        <f>106/$Q$105*(N72)</f>
        <v>8.9130279069332893E-3</v>
      </c>
      <c r="P72" s="14">
        <f>$B$72/SQRT($Q$72)*(SQRT(Q72)-SQRT(Q71))</f>
        <v>2.9851885143374001E-3</v>
      </c>
      <c r="Q72" s="20">
        <v>963276</v>
      </c>
      <c r="R72" s="19">
        <v>579000000</v>
      </c>
      <c r="S72" s="19">
        <f>R72*'[1]Inflation Rates by Year'!$C$2</f>
        <v>654710040</v>
      </c>
      <c r="T72" s="19">
        <f>S72/Q72</f>
        <v>679.67025027095042</v>
      </c>
      <c r="U72" s="18"/>
      <c r="V72" s="18"/>
      <c r="W72" s="18"/>
      <c r="X72" s="18"/>
      <c r="Y72" s="18"/>
      <c r="Z72" s="17"/>
      <c r="AA72" s="17"/>
      <c r="AB72" s="17"/>
      <c r="AC72" s="17"/>
    </row>
    <row r="73" spans="1:29" ht="15" customHeight="1" x14ac:dyDescent="0.25">
      <c r="A73" s="13">
        <v>44461</v>
      </c>
      <c r="B73" s="5">
        <v>72</v>
      </c>
      <c r="C73" s="11">
        <v>963276</v>
      </c>
      <c r="D73" s="12">
        <v>565000000</v>
      </c>
      <c r="E73" s="11"/>
      <c r="F73" s="12"/>
      <c r="G73" s="11"/>
      <c r="H73" s="4"/>
      <c r="I73" s="11"/>
      <c r="J73" s="11"/>
      <c r="K73" s="11"/>
      <c r="L73" s="11"/>
      <c r="M73" s="4"/>
      <c r="N73" s="14">
        <f>Q73-Q72</f>
        <v>0</v>
      </c>
      <c r="O73" s="10">
        <f>106/$Q$105*(N73)</f>
        <v>0</v>
      </c>
      <c r="P73" s="3"/>
      <c r="Q73" s="9">
        <v>963276</v>
      </c>
      <c r="R73" s="8">
        <v>565000000</v>
      </c>
      <c r="S73" s="7">
        <f>R73*'[1]Inflation Rates by Year'!$C$2</f>
        <v>638879400</v>
      </c>
      <c r="T73" s="6">
        <f>S73/Q73</f>
        <v>663.23608187061654</v>
      </c>
      <c r="U73" s="5"/>
      <c r="V73" s="5"/>
      <c r="W73" s="5"/>
      <c r="X73" s="5"/>
      <c r="Y73" s="5"/>
    </row>
    <row r="74" spans="1:29" ht="15" customHeight="1" x14ac:dyDescent="0.25">
      <c r="A74" s="13">
        <v>44462</v>
      </c>
      <c r="B74" s="11">
        <v>73</v>
      </c>
      <c r="C74" s="11">
        <v>963276</v>
      </c>
      <c r="D74" s="12">
        <v>570000000</v>
      </c>
      <c r="E74" s="11"/>
      <c r="F74" s="12"/>
      <c r="G74" s="11"/>
      <c r="H74" s="4"/>
      <c r="I74" s="11"/>
      <c r="J74" s="11"/>
      <c r="K74" s="11"/>
      <c r="L74" s="11"/>
      <c r="M74" s="4"/>
      <c r="N74" s="14">
        <f>Q74-Q73</f>
        <v>0</v>
      </c>
      <c r="O74" s="10">
        <f>106/$Q$105*(N74)</f>
        <v>0</v>
      </c>
      <c r="P74" s="3"/>
      <c r="Q74" s="9">
        <v>963276</v>
      </c>
      <c r="R74" s="8">
        <v>570000000</v>
      </c>
      <c r="S74" s="7">
        <f>R74*'[1]Inflation Rates by Year'!$C$2</f>
        <v>644533200</v>
      </c>
      <c r="T74" s="6">
        <f>S74/Q74</f>
        <v>669.10542772787858</v>
      </c>
      <c r="U74" s="5"/>
      <c r="V74" s="5"/>
      <c r="W74" s="5"/>
      <c r="X74" s="5"/>
      <c r="Y74" s="5"/>
    </row>
    <row r="75" spans="1:29" ht="15" customHeight="1" x14ac:dyDescent="0.25">
      <c r="A75" s="13">
        <v>44463</v>
      </c>
      <c r="B75" s="5">
        <v>74</v>
      </c>
      <c r="C75" s="11"/>
      <c r="D75" s="12"/>
      <c r="E75" s="11"/>
      <c r="F75" s="12"/>
      <c r="G75" s="11"/>
      <c r="H75" s="4"/>
      <c r="I75" s="11"/>
      <c r="J75" s="11"/>
      <c r="K75" s="11"/>
      <c r="L75" s="11"/>
      <c r="M75" s="4"/>
      <c r="N75" s="14">
        <f>Q75-Q74</f>
        <v>-963276</v>
      </c>
      <c r="O75" s="10">
        <f>106/$Q$105*(N75)</f>
        <v>-105.99636876640828</v>
      </c>
      <c r="P75" s="3"/>
      <c r="Q75" s="9"/>
      <c r="R75" s="8"/>
      <c r="S75" s="7">
        <f>R75*'[1]Inflation Rates by Year'!$C$2</f>
        <v>0</v>
      </c>
      <c r="T75" s="6">
        <v>0</v>
      </c>
      <c r="U75" s="5"/>
      <c r="V75" s="5"/>
      <c r="W75" s="5"/>
      <c r="X75" s="5"/>
      <c r="Y75" s="5"/>
    </row>
    <row r="76" spans="1:29" ht="15" customHeight="1" x14ac:dyDescent="0.25">
      <c r="A76" s="13">
        <v>44464</v>
      </c>
      <c r="B76" s="5">
        <v>75</v>
      </c>
      <c r="C76" s="11">
        <v>963276</v>
      </c>
      <c r="D76" s="12">
        <v>578000000</v>
      </c>
      <c r="E76" s="11"/>
      <c r="F76" s="12"/>
      <c r="G76" s="11"/>
      <c r="H76" s="4"/>
      <c r="I76" s="11"/>
      <c r="J76" s="11"/>
      <c r="K76" s="11"/>
      <c r="L76" s="11"/>
      <c r="M76" s="4"/>
      <c r="N76" s="14">
        <f>Q76-Q75</f>
        <v>963276</v>
      </c>
      <c r="O76" s="10">
        <f>106/$Q$105*(N76)</f>
        <v>105.99636876640828</v>
      </c>
      <c r="P76" s="3"/>
      <c r="Q76" s="9">
        <v>963276</v>
      </c>
      <c r="R76" s="8">
        <v>578000000</v>
      </c>
      <c r="S76" s="7">
        <f>R76*'[1]Inflation Rates by Year'!$C$2</f>
        <v>653579280</v>
      </c>
      <c r="T76" s="6">
        <f>S76/Q76</f>
        <v>678.49638109949797</v>
      </c>
      <c r="U76" s="5"/>
      <c r="V76" s="5"/>
      <c r="W76" s="5"/>
      <c r="X76" s="5"/>
      <c r="Y76" s="5"/>
    </row>
    <row r="77" spans="1:29" ht="15" customHeight="1" x14ac:dyDescent="0.25">
      <c r="A77" s="13">
        <v>44465</v>
      </c>
      <c r="B77" s="11">
        <v>76</v>
      </c>
      <c r="C77" s="11">
        <v>963276</v>
      </c>
      <c r="D77" s="12">
        <v>581000000</v>
      </c>
      <c r="E77" s="11"/>
      <c r="F77" s="12"/>
      <c r="G77" s="11"/>
      <c r="H77" s="4"/>
      <c r="I77" s="11"/>
      <c r="J77" s="11"/>
      <c r="K77" s="11"/>
      <c r="L77" s="11"/>
      <c r="M77" s="4"/>
      <c r="N77" s="14">
        <f>Q77-Q76</f>
        <v>0</v>
      </c>
      <c r="O77" s="10">
        <f>106/$Q$105*(N77)</f>
        <v>0</v>
      </c>
      <c r="P77" s="3"/>
      <c r="Q77" s="9">
        <v>963276</v>
      </c>
      <c r="R77" s="8">
        <v>581000000</v>
      </c>
      <c r="S77" s="7">
        <f>R77*'[1]Inflation Rates by Year'!$C$2</f>
        <v>656971560</v>
      </c>
      <c r="T77" s="6">
        <f>S77/Q77</f>
        <v>682.01798861385521</v>
      </c>
      <c r="U77" s="5"/>
      <c r="V77" s="5"/>
      <c r="W77" s="5"/>
      <c r="X77" s="5"/>
      <c r="Y77" s="5"/>
    </row>
    <row r="78" spans="1:29" ht="15" customHeight="1" x14ac:dyDescent="0.25">
      <c r="A78" s="13">
        <v>44466</v>
      </c>
      <c r="B78" s="5">
        <v>77</v>
      </c>
      <c r="C78" s="11">
        <v>963276</v>
      </c>
      <c r="D78" s="12">
        <v>585000000</v>
      </c>
      <c r="E78" s="11"/>
      <c r="F78" s="12"/>
      <c r="G78" s="11"/>
      <c r="H78" s="4"/>
      <c r="I78" s="11"/>
      <c r="J78" s="11"/>
      <c r="K78" s="11"/>
      <c r="L78" s="11"/>
      <c r="M78" s="4"/>
      <c r="N78" s="14">
        <f>Q78-Q77</f>
        <v>0</v>
      </c>
      <c r="O78" s="10">
        <f>106/$Q$105*(N78)</f>
        <v>0</v>
      </c>
      <c r="P78" s="3"/>
      <c r="Q78" s="9">
        <v>963276</v>
      </c>
      <c r="R78" s="8">
        <v>585000000</v>
      </c>
      <c r="S78" s="7">
        <f>R78*'[1]Inflation Rates by Year'!$C$2</f>
        <v>661494600</v>
      </c>
      <c r="T78" s="6">
        <f>S78/Q78</f>
        <v>686.7134652996649</v>
      </c>
      <c r="U78" s="5"/>
      <c r="V78" s="5"/>
      <c r="W78" s="5"/>
      <c r="X78" s="5"/>
      <c r="Y78" s="5"/>
    </row>
    <row r="79" spans="1:29" ht="15" customHeight="1" x14ac:dyDescent="0.25">
      <c r="A79" s="13">
        <v>44467</v>
      </c>
      <c r="B79" s="5">
        <v>78</v>
      </c>
      <c r="C79" s="11">
        <v>963309</v>
      </c>
      <c r="D79" s="12">
        <v>588000000</v>
      </c>
      <c r="E79" s="11"/>
      <c r="F79" s="12"/>
      <c r="G79" s="11"/>
      <c r="H79" s="16">
        <v>33</v>
      </c>
      <c r="I79" s="11"/>
      <c r="J79" s="11"/>
      <c r="K79" s="11"/>
      <c r="L79" s="11"/>
      <c r="M79" s="4"/>
      <c r="N79" s="14">
        <f>Q79-Q78</f>
        <v>33</v>
      </c>
      <c r="O79" s="10">
        <f>106/$Q$105*(N79)</f>
        <v>3.6312335917135625E-3</v>
      </c>
      <c r="P79" s="3"/>
      <c r="Q79" s="9">
        <v>963309</v>
      </c>
      <c r="R79" s="8">
        <v>588000000</v>
      </c>
      <c r="S79" s="7">
        <f>R79*'[1]Inflation Rates by Year'!$C$2</f>
        <v>664886880</v>
      </c>
      <c r="T79" s="6">
        <f>S79/Q79</f>
        <v>690.21142748588454</v>
      </c>
      <c r="U79" s="5"/>
      <c r="V79" s="5"/>
      <c r="W79" s="5"/>
      <c r="X79" s="5"/>
      <c r="Y79" s="5"/>
    </row>
    <row r="80" spans="1:29" ht="15" customHeight="1" x14ac:dyDescent="0.25">
      <c r="A80" s="13">
        <v>44468</v>
      </c>
      <c r="B80" s="11">
        <v>79</v>
      </c>
      <c r="C80" s="11">
        <v>963309</v>
      </c>
      <c r="D80" s="12">
        <v>592000000</v>
      </c>
      <c r="E80" s="11"/>
      <c r="F80" s="12"/>
      <c r="G80" s="11"/>
      <c r="H80" s="4"/>
      <c r="I80" s="11"/>
      <c r="J80" s="11"/>
      <c r="K80" s="11"/>
      <c r="L80" s="11"/>
      <c r="M80" s="4"/>
      <c r="N80" s="14">
        <f>Q80-Q79</f>
        <v>0</v>
      </c>
      <c r="O80" s="10">
        <f>106/$Q$105*(N80)</f>
        <v>0</v>
      </c>
      <c r="P80" s="3"/>
      <c r="Q80" s="9">
        <v>963309</v>
      </c>
      <c r="R80" s="8">
        <v>592000000</v>
      </c>
      <c r="S80" s="7">
        <f>R80*'[1]Inflation Rates by Year'!$C$2</f>
        <v>669409920</v>
      </c>
      <c r="T80" s="6">
        <f>S80/Q80</f>
        <v>694.90674331912192</v>
      </c>
      <c r="U80" s="5"/>
      <c r="V80" s="5"/>
      <c r="W80" s="5"/>
      <c r="X80" s="5"/>
      <c r="Y80" s="5"/>
    </row>
    <row r="81" spans="1:25" ht="15" customHeight="1" x14ac:dyDescent="0.25">
      <c r="A81" s="13">
        <v>44469</v>
      </c>
      <c r="B81" s="5">
        <v>80</v>
      </c>
      <c r="C81" s="15">
        <v>963309</v>
      </c>
      <c r="D81" s="12">
        <v>592000000</v>
      </c>
      <c r="E81" s="11"/>
      <c r="F81" s="12"/>
      <c r="G81" s="11"/>
      <c r="H81" s="4"/>
      <c r="I81" s="11"/>
      <c r="J81" s="11"/>
      <c r="K81" s="11"/>
      <c r="L81" s="11"/>
      <c r="M81" s="4"/>
      <c r="N81" s="14">
        <f>Q81-Q80</f>
        <v>0</v>
      </c>
      <c r="O81" s="10">
        <f>106/$Q$105*(N81)</f>
        <v>0</v>
      </c>
      <c r="P81" s="3"/>
      <c r="Q81" s="1">
        <v>963309</v>
      </c>
      <c r="R81" s="8">
        <v>592000000</v>
      </c>
      <c r="S81" s="7">
        <f>R81*'[1]Inflation Rates by Year'!$C$2</f>
        <v>669409920</v>
      </c>
      <c r="T81" s="6">
        <f>S81/Q81</f>
        <v>694.90674331912192</v>
      </c>
      <c r="U81" s="5"/>
      <c r="V81" s="5"/>
      <c r="W81" s="5"/>
      <c r="X81" s="5"/>
      <c r="Y81" s="5"/>
    </row>
    <row r="82" spans="1:25" ht="15" customHeight="1" x14ac:dyDescent="0.25">
      <c r="A82" s="13">
        <v>44470</v>
      </c>
      <c r="B82" s="5">
        <v>81</v>
      </c>
      <c r="C82" s="11">
        <v>963309</v>
      </c>
      <c r="D82" s="12">
        <v>598000000</v>
      </c>
      <c r="E82" s="11"/>
      <c r="F82" s="12"/>
      <c r="G82" s="11"/>
      <c r="H82" s="4"/>
      <c r="I82" s="11"/>
      <c r="J82" s="11"/>
      <c r="K82" s="11"/>
      <c r="L82" s="11"/>
      <c r="M82" s="4"/>
      <c r="N82" s="14">
        <f>Q82-Q81</f>
        <v>0</v>
      </c>
      <c r="O82" s="10">
        <f>106/$Q$105*(N82)</f>
        <v>0</v>
      </c>
      <c r="P82" s="3"/>
      <c r="Q82" s="9">
        <v>963309</v>
      </c>
      <c r="R82" s="8">
        <v>598000000</v>
      </c>
      <c r="S82" s="7">
        <f>R82*'[1]Inflation Rates by Year'!$C$2</f>
        <v>676194480</v>
      </c>
      <c r="T82" s="6">
        <f>S82/Q82</f>
        <v>701.94971706897786</v>
      </c>
      <c r="U82" s="5"/>
      <c r="V82" s="5"/>
      <c r="W82" s="5"/>
      <c r="X82" s="5"/>
      <c r="Y82" s="5"/>
    </row>
    <row r="83" spans="1:25" ht="15" customHeight="1" x14ac:dyDescent="0.25">
      <c r="A83" s="13">
        <v>44471</v>
      </c>
      <c r="B83" s="11">
        <v>82</v>
      </c>
      <c r="C83" s="11">
        <v>963309</v>
      </c>
      <c r="D83" s="12">
        <v>601000000</v>
      </c>
      <c r="E83" s="11"/>
      <c r="F83" s="12"/>
      <c r="G83" s="11"/>
      <c r="H83" s="4"/>
      <c r="I83" s="11"/>
      <c r="J83" s="11"/>
      <c r="K83" s="11"/>
      <c r="L83" s="11"/>
      <c r="M83" s="4"/>
      <c r="N83" s="14">
        <f>Q83-Q82</f>
        <v>0</v>
      </c>
      <c r="O83" s="10">
        <f>106/$Q$105*(N83)</f>
        <v>0</v>
      </c>
      <c r="P83" s="3"/>
      <c r="Q83" s="9">
        <v>963309</v>
      </c>
      <c r="R83" s="8">
        <v>601000000</v>
      </c>
      <c r="S83" s="7">
        <f>R83*'[1]Inflation Rates by Year'!$C$2</f>
        <v>679586760</v>
      </c>
      <c r="T83" s="6">
        <f>S83/Q83</f>
        <v>705.47120394390583</v>
      </c>
      <c r="U83" s="5"/>
      <c r="V83" s="5"/>
      <c r="W83" s="5"/>
      <c r="X83" s="5"/>
      <c r="Y83" s="5"/>
    </row>
    <row r="84" spans="1:25" ht="15" customHeight="1" x14ac:dyDescent="0.25">
      <c r="A84" s="13">
        <v>44472</v>
      </c>
      <c r="B84" s="5">
        <v>83</v>
      </c>
      <c r="C84" s="11">
        <v>963309</v>
      </c>
      <c r="D84" s="12">
        <v>604000000</v>
      </c>
      <c r="E84" s="11"/>
      <c r="F84" s="12"/>
      <c r="G84" s="11"/>
      <c r="H84" s="4"/>
      <c r="I84" s="11"/>
      <c r="J84" s="11"/>
      <c r="K84" s="11"/>
      <c r="L84" s="11"/>
      <c r="M84" s="4"/>
      <c r="N84" s="14">
        <f>Q84-Q83</f>
        <v>0</v>
      </c>
      <c r="O84" s="10">
        <f>106/$Q$105*(N84)</f>
        <v>0</v>
      </c>
      <c r="P84" s="3"/>
      <c r="Q84" s="9">
        <v>963309</v>
      </c>
      <c r="R84" s="8">
        <v>604000000</v>
      </c>
      <c r="S84" s="7">
        <f>R84*'[1]Inflation Rates by Year'!$C$2</f>
        <v>682979040</v>
      </c>
      <c r="T84" s="6">
        <f>S84/Q84</f>
        <v>708.99269081883381</v>
      </c>
      <c r="U84" s="5"/>
      <c r="V84" s="5"/>
      <c r="W84" s="5"/>
      <c r="X84" s="5"/>
      <c r="Y84" s="5"/>
    </row>
    <row r="85" spans="1:25" ht="15" customHeight="1" x14ac:dyDescent="0.25">
      <c r="A85" s="13">
        <v>44473</v>
      </c>
      <c r="B85" s="5">
        <v>84</v>
      </c>
      <c r="C85" s="11">
        <v>963309</v>
      </c>
      <c r="D85" s="12">
        <v>606821590</v>
      </c>
      <c r="E85" s="11"/>
      <c r="F85" s="12"/>
      <c r="G85" s="11"/>
      <c r="H85" s="4"/>
      <c r="I85" s="11"/>
      <c r="J85" s="11"/>
      <c r="K85" s="11"/>
      <c r="L85" s="11"/>
      <c r="M85" s="4"/>
      <c r="N85" s="14">
        <f>Q85-Q84</f>
        <v>0</v>
      </c>
      <c r="O85" s="10">
        <f>106/$Q$105*(N85)</f>
        <v>0</v>
      </c>
      <c r="P85" s="3"/>
      <c r="Q85" s="9">
        <v>963309</v>
      </c>
      <c r="R85" s="8">
        <v>606821590</v>
      </c>
      <c r="S85" s="7">
        <f>R85*'[1]Inflation Rates by Year'!$C$2</f>
        <v>686169581.10839999</v>
      </c>
      <c r="T85" s="6">
        <f>S85/Q85</f>
        <v>712.30475486930982</v>
      </c>
      <c r="U85" s="5"/>
      <c r="V85" s="5"/>
      <c r="W85" s="5"/>
      <c r="X85" s="5"/>
      <c r="Y85" s="5"/>
    </row>
    <row r="86" spans="1:25" ht="15" customHeight="1" x14ac:dyDescent="0.25">
      <c r="A86" s="13">
        <v>44474</v>
      </c>
      <c r="B86" s="11">
        <v>85</v>
      </c>
      <c r="C86" s="11">
        <v>963309</v>
      </c>
      <c r="D86" s="12">
        <v>610318170</v>
      </c>
      <c r="E86" s="11"/>
      <c r="F86" s="12"/>
      <c r="G86" s="11"/>
      <c r="H86" s="4"/>
      <c r="I86" s="11"/>
      <c r="J86" s="11"/>
      <c r="K86" s="11"/>
      <c r="L86" s="11"/>
      <c r="M86" s="4"/>
      <c r="N86" s="14">
        <f>Q86-Q85</f>
        <v>0</v>
      </c>
      <c r="O86" s="10">
        <f>106/$Q$105*(N86)</f>
        <v>0</v>
      </c>
      <c r="P86" s="3"/>
      <c r="Q86" s="9">
        <v>963309</v>
      </c>
      <c r="R86" s="8">
        <v>610318170</v>
      </c>
      <c r="S86" s="7">
        <f>R86*'[1]Inflation Rates by Year'!$C$2</f>
        <v>690123373.90919995</v>
      </c>
      <c r="T86" s="6">
        <f>S86/Q86</f>
        <v>716.40914172835505</v>
      </c>
      <c r="U86" s="5"/>
      <c r="V86" s="5"/>
      <c r="W86" s="5"/>
      <c r="X86" s="5"/>
      <c r="Y86" s="5"/>
    </row>
    <row r="87" spans="1:25" ht="15" customHeight="1" x14ac:dyDescent="0.25">
      <c r="A87" s="13">
        <v>44475</v>
      </c>
      <c r="B87" s="5">
        <v>86</v>
      </c>
      <c r="C87" s="11">
        <v>963309</v>
      </c>
      <c r="D87" s="12">
        <v>615741573</v>
      </c>
      <c r="E87" s="11"/>
      <c r="F87" s="12"/>
      <c r="G87" s="11"/>
      <c r="H87" s="4"/>
      <c r="I87" s="11"/>
      <c r="J87" s="11"/>
      <c r="K87" s="11"/>
      <c r="L87" s="11"/>
      <c r="M87" s="4"/>
      <c r="N87" s="14">
        <f>Q87-Q86</f>
        <v>0</v>
      </c>
      <c r="O87" s="10">
        <f>106/$Q$105*(N87)</f>
        <v>0</v>
      </c>
      <c r="P87" s="3"/>
      <c r="Q87" s="9">
        <v>963309</v>
      </c>
      <c r="R87" s="8">
        <v>615741573</v>
      </c>
      <c r="S87" s="7">
        <f>R87*'[1]Inflation Rates by Year'!$C$2</f>
        <v>696255941.08547997</v>
      </c>
      <c r="T87" s="6">
        <f>S87/Q87</f>
        <v>722.77528922233671</v>
      </c>
      <c r="U87" s="5"/>
      <c r="V87" s="5"/>
      <c r="W87" s="5"/>
      <c r="X87" s="5"/>
      <c r="Y87" s="5"/>
    </row>
    <row r="88" spans="1:25" ht="15" customHeight="1" x14ac:dyDescent="0.25">
      <c r="A88" s="13">
        <v>44476</v>
      </c>
      <c r="B88" s="5">
        <v>87</v>
      </c>
      <c r="C88" s="11">
        <v>963309</v>
      </c>
      <c r="D88" s="12">
        <v>619794399</v>
      </c>
      <c r="E88" s="11"/>
      <c r="F88" s="12"/>
      <c r="G88" s="11"/>
      <c r="H88" s="4"/>
      <c r="I88" s="11"/>
      <c r="J88" s="11"/>
      <c r="K88" s="11"/>
      <c r="L88" s="11"/>
      <c r="M88" s="4"/>
      <c r="N88" s="14">
        <f>Q88-Q87</f>
        <v>0</v>
      </c>
      <c r="O88" s="10">
        <f>106/$Q$105*(N88)</f>
        <v>0</v>
      </c>
      <c r="P88" s="3"/>
      <c r="Q88" s="9">
        <v>963309</v>
      </c>
      <c r="R88" s="8">
        <v>619794399</v>
      </c>
      <c r="S88" s="7">
        <f>R88*'[1]Inflation Rates by Year'!$C$2</f>
        <v>700838714.61324</v>
      </c>
      <c r="T88" s="6">
        <f>S88/Q88</f>
        <v>727.53261374412568</v>
      </c>
      <c r="U88" s="5"/>
      <c r="V88" s="5"/>
      <c r="W88" s="5"/>
      <c r="X88" s="5"/>
      <c r="Y88" s="5"/>
    </row>
    <row r="89" spans="1:25" ht="15" customHeight="1" x14ac:dyDescent="0.25">
      <c r="A89" s="13">
        <v>44477</v>
      </c>
      <c r="B89" s="11">
        <v>88</v>
      </c>
      <c r="C89" s="11">
        <v>963309</v>
      </c>
      <c r="D89" s="12">
        <v>621268741</v>
      </c>
      <c r="E89" s="11"/>
      <c r="F89" s="12"/>
      <c r="G89" s="11"/>
      <c r="H89" s="4"/>
      <c r="I89" s="11"/>
      <c r="J89" s="11"/>
      <c r="K89" s="11"/>
      <c r="L89" s="11"/>
      <c r="M89" s="4"/>
      <c r="N89" s="14">
        <f>Q89-Q88</f>
        <v>0</v>
      </c>
      <c r="O89" s="10">
        <f>106/$Q$105*(N89)</f>
        <v>0</v>
      </c>
      <c r="P89" s="3"/>
      <c r="Q89" s="9">
        <v>963309</v>
      </c>
      <c r="R89" s="8">
        <v>621268741</v>
      </c>
      <c r="S89" s="7">
        <f>R89*'[1]Inflation Rates by Year'!$C$2</f>
        <v>702505841.57315993</v>
      </c>
      <c r="T89" s="6">
        <f>S89/Q89</f>
        <v>729.26323907817732</v>
      </c>
      <c r="U89" s="5"/>
      <c r="V89" s="5"/>
      <c r="W89" s="5"/>
      <c r="X89" s="5"/>
      <c r="Y89" s="5"/>
    </row>
    <row r="90" spans="1:25" ht="15" customHeight="1" x14ac:dyDescent="0.25">
      <c r="A90" s="13">
        <v>44478</v>
      </c>
      <c r="B90" s="5">
        <v>89</v>
      </c>
      <c r="C90" s="11">
        <v>963309</v>
      </c>
      <c r="D90" s="12">
        <v>624006061</v>
      </c>
      <c r="E90" s="11"/>
      <c r="F90" s="12"/>
      <c r="G90" s="11"/>
      <c r="H90" s="4"/>
      <c r="I90" s="11"/>
      <c r="J90" s="11"/>
      <c r="K90" s="11"/>
      <c r="L90" s="11"/>
      <c r="M90" s="4"/>
      <c r="N90" s="14">
        <f>Q90-Q89</f>
        <v>0</v>
      </c>
      <c r="O90" s="10">
        <f>106/$Q$105*(N90)</f>
        <v>0</v>
      </c>
      <c r="P90" s="3"/>
      <c r="Q90" s="9">
        <v>963309</v>
      </c>
      <c r="R90" s="8">
        <v>624006061</v>
      </c>
      <c r="S90" s="7">
        <f>R90*'[1]Inflation Rates by Year'!$C$2</f>
        <v>705601093.53636003</v>
      </c>
      <c r="T90" s="6">
        <f>S90/Q90</f>
        <v>732.47638456233676</v>
      </c>
      <c r="U90" s="5"/>
      <c r="V90" s="5"/>
      <c r="W90" s="5"/>
      <c r="X90" s="5"/>
      <c r="Y90" s="5"/>
    </row>
    <row r="91" spans="1:25" ht="15" customHeight="1" x14ac:dyDescent="0.25">
      <c r="A91" s="13">
        <v>44479</v>
      </c>
      <c r="B91" s="5">
        <v>90</v>
      </c>
      <c r="C91" s="11">
        <v>963309</v>
      </c>
      <c r="D91" s="12">
        <v>627266687</v>
      </c>
      <c r="E91" s="11"/>
      <c r="F91" s="12"/>
      <c r="G91" s="11"/>
      <c r="H91" s="4"/>
      <c r="I91" s="11"/>
      <c r="J91" s="11"/>
      <c r="K91" s="11"/>
      <c r="L91" s="11"/>
      <c r="M91" s="4"/>
      <c r="N91" s="14">
        <f>Q91-Q90</f>
        <v>0</v>
      </c>
      <c r="O91" s="10">
        <f>106/$Q$105*(N91)</f>
        <v>0</v>
      </c>
      <c r="P91" s="3"/>
      <c r="Q91" s="9">
        <v>963309</v>
      </c>
      <c r="R91" s="8">
        <v>627266687</v>
      </c>
      <c r="S91" s="7">
        <f>R91*'[1]Inflation Rates by Year'!$C$2</f>
        <v>709288078.99212003</v>
      </c>
      <c r="T91" s="6">
        <f>S91/Q91</f>
        <v>736.30380178335304</v>
      </c>
      <c r="U91" s="5"/>
      <c r="V91" s="5"/>
      <c r="W91" s="5"/>
      <c r="X91" s="5"/>
      <c r="Y91" s="5"/>
    </row>
    <row r="92" spans="1:25" ht="15" customHeight="1" x14ac:dyDescent="0.25">
      <c r="A92" s="13">
        <v>44480</v>
      </c>
      <c r="B92" s="11">
        <v>91</v>
      </c>
      <c r="C92" s="11">
        <v>963309</v>
      </c>
      <c r="D92" s="12">
        <v>628258751</v>
      </c>
      <c r="E92" s="11"/>
      <c r="F92" s="12"/>
      <c r="G92" s="11"/>
      <c r="H92" s="4"/>
      <c r="I92" s="11"/>
      <c r="J92" s="11"/>
      <c r="K92" s="11"/>
      <c r="L92" s="11"/>
      <c r="M92" s="4"/>
      <c r="N92" s="14">
        <f>Q92-Q91</f>
        <v>0</v>
      </c>
      <c r="O92" s="10">
        <f>106/$Q$105*(N92)</f>
        <v>0</v>
      </c>
      <c r="P92" s="3"/>
      <c r="Q92" s="9">
        <v>963309</v>
      </c>
      <c r="R92" s="8">
        <v>628258751</v>
      </c>
      <c r="S92" s="7">
        <f>R92*'[1]Inflation Rates by Year'!$C$2</f>
        <v>710409865.28076005</v>
      </c>
      <c r="T92" s="6">
        <f>S92/Q92</f>
        <v>737.4683152350492</v>
      </c>
      <c r="U92" s="5"/>
      <c r="V92" s="5"/>
      <c r="W92" s="5"/>
      <c r="X92" s="5"/>
      <c r="Y92" s="5"/>
    </row>
    <row r="93" spans="1:25" ht="13.5" x14ac:dyDescent="0.25">
      <c r="A93" s="13">
        <v>44481</v>
      </c>
      <c r="B93" s="5">
        <v>92</v>
      </c>
      <c r="C93" s="11">
        <v>963309</v>
      </c>
      <c r="D93" s="12">
        <v>628040174</v>
      </c>
      <c r="E93" s="11"/>
      <c r="F93" s="12"/>
      <c r="G93" s="11"/>
      <c r="H93" s="4"/>
      <c r="I93" s="11"/>
      <c r="J93" s="11"/>
      <c r="K93" s="11"/>
      <c r="L93" s="11"/>
      <c r="M93" s="4"/>
      <c r="N93" s="14">
        <f>Q93-Q92</f>
        <v>0</v>
      </c>
      <c r="O93" s="10">
        <f>106/$Q$105*(N93)</f>
        <v>0</v>
      </c>
      <c r="P93" s="3"/>
      <c r="Q93" s="9">
        <v>963309</v>
      </c>
      <c r="R93" s="8">
        <v>628040174</v>
      </c>
      <c r="S93" s="7">
        <f>R93*'[1]Inflation Rates by Year'!$C$2</f>
        <v>710162707.15224004</v>
      </c>
      <c r="T93" s="6">
        <f>S93/Q93</f>
        <v>737.21174322282889</v>
      </c>
      <c r="U93" s="5"/>
      <c r="V93" s="5"/>
      <c r="W93" s="5"/>
      <c r="X93" s="5"/>
      <c r="Y93" s="5"/>
    </row>
    <row r="94" spans="1:25" ht="13.5" x14ac:dyDescent="0.25">
      <c r="A94" s="13">
        <v>44482</v>
      </c>
      <c r="B94" s="5">
        <v>93</v>
      </c>
      <c r="C94" s="11">
        <v>963309</v>
      </c>
      <c r="D94" s="12">
        <v>613527590</v>
      </c>
      <c r="E94" s="11"/>
      <c r="F94" s="12"/>
      <c r="G94" s="11"/>
      <c r="H94" s="4"/>
      <c r="I94" s="11"/>
      <c r="J94" s="11"/>
      <c r="K94" s="11"/>
      <c r="L94" s="11"/>
      <c r="M94" s="4"/>
      <c r="N94" s="14">
        <f>Q94-Q93</f>
        <v>0</v>
      </c>
      <c r="O94" s="10">
        <f>106/$Q$105*(N94)</f>
        <v>0</v>
      </c>
      <c r="P94" s="3"/>
      <c r="Q94" s="9">
        <v>963309</v>
      </c>
      <c r="R94" s="8">
        <v>613527590</v>
      </c>
      <c r="S94" s="7">
        <f>R94*'[1]Inflation Rates by Year'!$C$2</f>
        <v>693752457.66840005</v>
      </c>
      <c r="T94" s="6">
        <f>S94/Q94</f>
        <v>720.17645186373227</v>
      </c>
      <c r="U94" s="5"/>
      <c r="V94" s="5"/>
      <c r="W94" s="5"/>
      <c r="X94" s="5"/>
      <c r="Y94" s="5"/>
    </row>
    <row r="95" spans="1:25" ht="13.5" x14ac:dyDescent="0.25">
      <c r="A95" s="13">
        <v>44483</v>
      </c>
      <c r="B95" s="11">
        <v>94</v>
      </c>
      <c r="C95" s="11">
        <v>963309</v>
      </c>
      <c r="D95" s="12">
        <v>615189790</v>
      </c>
      <c r="E95" s="11"/>
      <c r="F95" s="12"/>
      <c r="G95" s="11"/>
      <c r="H95" s="4"/>
      <c r="I95" s="11"/>
      <c r="J95" s="11"/>
      <c r="K95" s="11"/>
      <c r="L95" s="11"/>
      <c r="M95" s="4"/>
      <c r="N95" s="14">
        <f>Q95-Q94</f>
        <v>0</v>
      </c>
      <c r="O95" s="10">
        <f>106/$Q$105*(N95)</f>
        <v>0</v>
      </c>
      <c r="P95" s="3"/>
      <c r="Q95" s="9">
        <v>963309</v>
      </c>
      <c r="R95" s="8">
        <v>615189790</v>
      </c>
      <c r="S95" s="7">
        <f>R95*'[1]Inflation Rates by Year'!$C$2</f>
        <v>695632006.9404</v>
      </c>
      <c r="T95" s="6">
        <f>S95/Q95</f>
        <v>722.12759035823399</v>
      </c>
      <c r="U95" s="5"/>
      <c r="V95" s="5"/>
      <c r="W95" s="5"/>
      <c r="X95" s="5"/>
      <c r="Y95" s="5"/>
    </row>
    <row r="96" spans="1:25" ht="13.5" x14ac:dyDescent="0.25">
      <c r="A96" s="13">
        <v>44484</v>
      </c>
      <c r="B96" s="5">
        <v>95</v>
      </c>
      <c r="C96" s="11">
        <v>963309</v>
      </c>
      <c r="D96" s="12">
        <v>617305364</v>
      </c>
      <c r="E96" s="11"/>
      <c r="F96" s="12"/>
      <c r="G96" s="11"/>
      <c r="H96" s="4"/>
      <c r="I96" s="11"/>
      <c r="J96" s="11"/>
      <c r="K96" s="11"/>
      <c r="L96" s="11"/>
      <c r="M96" s="4"/>
      <c r="N96" s="14">
        <f>Q96-Q95</f>
        <v>0</v>
      </c>
      <c r="O96" s="10">
        <f>106/$Q$105*(N96)</f>
        <v>0</v>
      </c>
      <c r="P96" s="3"/>
      <c r="Q96" s="9">
        <v>963309</v>
      </c>
      <c r="R96" s="8">
        <v>617305364</v>
      </c>
      <c r="S96" s="7">
        <f>R96*'[1]Inflation Rates by Year'!$C$2</f>
        <v>698024213.39663994</v>
      </c>
      <c r="T96" s="6">
        <f>S96/Q96</f>
        <v>724.6109123828802</v>
      </c>
      <c r="U96" s="5"/>
      <c r="V96" s="5"/>
      <c r="W96" s="5"/>
      <c r="X96" s="5"/>
      <c r="Y96" s="5"/>
    </row>
    <row r="97" spans="1:25" ht="13.5" x14ac:dyDescent="0.25">
      <c r="A97" s="13">
        <v>44485</v>
      </c>
      <c r="B97" s="5">
        <v>96</v>
      </c>
      <c r="C97" s="11">
        <v>963309</v>
      </c>
      <c r="D97" s="12">
        <v>617502300</v>
      </c>
      <c r="E97" s="11"/>
      <c r="F97" s="12"/>
      <c r="G97" s="11"/>
      <c r="H97" s="4"/>
      <c r="I97" s="11"/>
      <c r="J97" s="11"/>
      <c r="K97" s="11"/>
      <c r="L97" s="11"/>
      <c r="M97" s="4"/>
      <c r="N97" s="14">
        <f>Q97-Q96</f>
        <v>0</v>
      </c>
      <c r="O97" s="10">
        <f>106/$Q$105*(N97)</f>
        <v>0</v>
      </c>
      <c r="P97" s="3"/>
      <c r="Q97" s="9">
        <v>963309</v>
      </c>
      <c r="R97" s="8">
        <v>617502300</v>
      </c>
      <c r="S97" s="7">
        <f>R97*'[1]Inflation Rates by Year'!$C$2</f>
        <v>698246900.74800003</v>
      </c>
      <c r="T97" s="6">
        <f>S97/Q97</f>
        <v>724.84208156261388</v>
      </c>
      <c r="U97" s="5"/>
      <c r="V97" s="5"/>
      <c r="W97" s="5"/>
      <c r="X97" s="5"/>
      <c r="Y97" s="5"/>
    </row>
    <row r="98" spans="1:25" ht="13.5" x14ac:dyDescent="0.25">
      <c r="A98" s="13">
        <v>44486</v>
      </c>
      <c r="B98" s="11">
        <v>97</v>
      </c>
      <c r="C98" s="11">
        <v>963309</v>
      </c>
      <c r="D98" s="12">
        <v>619076378</v>
      </c>
      <c r="E98" s="11"/>
      <c r="F98" s="12"/>
      <c r="G98" s="11"/>
      <c r="H98" s="4"/>
      <c r="I98" s="11"/>
      <c r="J98" s="11"/>
      <c r="K98" s="11"/>
      <c r="L98" s="11"/>
      <c r="M98" s="4"/>
      <c r="N98" s="14">
        <f>Q98-Q97</f>
        <v>0</v>
      </c>
      <c r="O98" s="10">
        <f>106/$Q$105*(N98)</f>
        <v>0</v>
      </c>
      <c r="P98" s="3"/>
      <c r="Q98" s="9">
        <v>963309</v>
      </c>
      <c r="R98" s="8">
        <v>619076378</v>
      </c>
      <c r="S98" s="7">
        <f>R98*'[1]Inflation Rates by Year'!$C$2</f>
        <v>700026805.18727994</v>
      </c>
      <c r="T98" s="6">
        <f>S98/Q98</f>
        <v>726.68977990165138</v>
      </c>
      <c r="U98" s="5"/>
      <c r="V98" s="5"/>
      <c r="W98" s="5"/>
      <c r="X98" s="5"/>
      <c r="Y98" s="5"/>
    </row>
    <row r="99" spans="1:25" ht="13.5" x14ac:dyDescent="0.25">
      <c r="A99" s="13">
        <v>44487</v>
      </c>
      <c r="B99" s="5">
        <v>98</v>
      </c>
      <c r="C99" s="11">
        <v>963309</v>
      </c>
      <c r="D99" s="12">
        <v>620694421</v>
      </c>
      <c r="E99" s="11"/>
      <c r="F99" s="12"/>
      <c r="G99" s="11"/>
      <c r="H99" s="4"/>
      <c r="I99" s="11"/>
      <c r="J99" s="11"/>
      <c r="K99" s="11"/>
      <c r="L99" s="11"/>
      <c r="M99" s="4"/>
      <c r="N99" s="14">
        <f>Q99-Q98</f>
        <v>0</v>
      </c>
      <c r="O99" s="10">
        <f>106/$Q$105*(N99)</f>
        <v>0</v>
      </c>
      <c r="P99" s="3"/>
      <c r="Q99" s="9">
        <v>963309</v>
      </c>
      <c r="R99" s="8">
        <v>620694421</v>
      </c>
      <c r="S99" s="7">
        <f>R99*'[1]Inflation Rates by Year'!$C$2</f>
        <v>701856423.48995996</v>
      </c>
      <c r="T99" s="6">
        <f>S99/Q99</f>
        <v>728.58908563084117</v>
      </c>
      <c r="U99" s="5"/>
      <c r="V99" s="5"/>
      <c r="W99" s="5"/>
      <c r="X99" s="5"/>
      <c r="Y99" s="5"/>
    </row>
    <row r="100" spans="1:25" ht="13.5" x14ac:dyDescent="0.25">
      <c r="A100" s="13">
        <v>44488</v>
      </c>
      <c r="B100" s="5">
        <v>99</v>
      </c>
      <c r="C100" s="11">
        <v>963309</v>
      </c>
      <c r="D100" s="12">
        <v>622593031</v>
      </c>
      <c r="E100" s="11"/>
      <c r="F100" s="12"/>
      <c r="G100" s="11"/>
      <c r="H100" s="4"/>
      <c r="I100" s="11"/>
      <c r="J100" s="11"/>
      <c r="K100" s="11"/>
      <c r="L100" s="11"/>
      <c r="M100" s="4"/>
      <c r="N100" s="14">
        <f>Q100-Q99</f>
        <v>0</v>
      </c>
      <c r="O100" s="10">
        <f>106/$Q$105*(N100)</f>
        <v>0</v>
      </c>
      <c r="P100" s="3"/>
      <c r="Q100" s="9">
        <v>963309</v>
      </c>
      <c r="R100" s="8">
        <v>622593031</v>
      </c>
      <c r="S100" s="7">
        <f>R100*'[1]Inflation Rates by Year'!$C$2</f>
        <v>704003295.73355997</v>
      </c>
      <c r="T100" s="6">
        <f>S100/Q100</f>
        <v>730.81772902937678</v>
      </c>
      <c r="U100" s="5"/>
      <c r="V100" s="5"/>
      <c r="W100" s="5"/>
      <c r="X100" s="5"/>
      <c r="Y100" s="5"/>
    </row>
    <row r="101" spans="1:25" ht="13.5" x14ac:dyDescent="0.25">
      <c r="A101" s="13">
        <v>44489</v>
      </c>
      <c r="B101" s="11">
        <v>100</v>
      </c>
      <c r="C101" s="11">
        <v>963309</v>
      </c>
      <c r="D101" s="12">
        <v>624979635.16999996</v>
      </c>
      <c r="E101" s="11"/>
      <c r="F101" s="12"/>
      <c r="G101" s="11"/>
      <c r="H101" s="4"/>
      <c r="I101" s="11"/>
      <c r="J101" s="11"/>
      <c r="K101" s="11"/>
      <c r="L101" s="11"/>
      <c r="M101" s="4"/>
      <c r="N101" s="14">
        <f>Q101-Q100</f>
        <v>0</v>
      </c>
      <c r="O101" s="10">
        <f>106/$Q$105*(N101)</f>
        <v>0</v>
      </c>
      <c r="P101" s="3"/>
      <c r="Q101" s="9">
        <v>963309</v>
      </c>
      <c r="R101" s="8">
        <v>624979635.16999996</v>
      </c>
      <c r="S101" s="7">
        <f>R101*'[1]Inflation Rates by Year'!$C$2</f>
        <v>706701972.26482916</v>
      </c>
      <c r="T101" s="6">
        <f>S101/Q101</f>
        <v>733.61919411614463</v>
      </c>
      <c r="U101" s="5"/>
      <c r="V101" s="5"/>
      <c r="W101" s="5"/>
      <c r="X101" s="5"/>
      <c r="Y101" s="5"/>
    </row>
    <row r="102" spans="1:25" ht="13.5" x14ac:dyDescent="0.25">
      <c r="A102" s="13">
        <v>44490</v>
      </c>
      <c r="B102" s="5">
        <v>101</v>
      </c>
      <c r="C102" s="11">
        <v>963309</v>
      </c>
      <c r="D102" s="12">
        <v>628152541</v>
      </c>
      <c r="E102" s="11"/>
      <c r="F102" s="12"/>
      <c r="G102" s="11"/>
      <c r="H102" s="4"/>
      <c r="I102" s="11"/>
      <c r="J102" s="11"/>
      <c r="K102" s="11"/>
      <c r="L102" s="11"/>
      <c r="M102" s="4"/>
      <c r="N102" s="14">
        <f>Q102-Q101</f>
        <v>0</v>
      </c>
      <c r="O102" s="10">
        <f>106/$Q$105*(N102)</f>
        <v>0</v>
      </c>
      <c r="P102" s="3"/>
      <c r="Q102" s="9">
        <v>963309</v>
      </c>
      <c r="R102" s="8">
        <v>628152541</v>
      </c>
      <c r="S102" s="7">
        <f>R102*'[1]Inflation Rates by Year'!$C$2</f>
        <v>710289767.26116002</v>
      </c>
      <c r="T102" s="6">
        <f>S102/Q102</f>
        <v>737.34364286138714</v>
      </c>
      <c r="U102" s="5"/>
      <c r="V102" s="5"/>
      <c r="W102" s="5"/>
      <c r="X102" s="5"/>
      <c r="Y102" s="5"/>
    </row>
    <row r="103" spans="1:25" ht="13.5" x14ac:dyDescent="0.25">
      <c r="A103" s="13">
        <v>44491</v>
      </c>
      <c r="B103" s="5">
        <v>102</v>
      </c>
      <c r="C103" s="11">
        <v>963309</v>
      </c>
      <c r="D103" s="12">
        <v>630356574.52999997</v>
      </c>
      <c r="E103" s="11"/>
      <c r="F103" s="12"/>
      <c r="G103" s="11"/>
      <c r="H103" s="4"/>
      <c r="I103" s="11"/>
      <c r="J103" s="11"/>
      <c r="K103" s="11"/>
      <c r="L103" s="11"/>
      <c r="M103" s="4"/>
      <c r="N103" s="14">
        <f>Q103-Q102</f>
        <v>0</v>
      </c>
      <c r="O103" s="10">
        <f>106/$Q$105*(N103)</f>
        <v>0</v>
      </c>
      <c r="P103" s="3"/>
      <c r="Q103" s="9">
        <v>963309</v>
      </c>
      <c r="R103" s="8">
        <v>630356574.52999997</v>
      </c>
      <c r="S103" s="7">
        <f>R103*'[1]Inflation Rates by Year'!$C$2</f>
        <v>712782000.21554279</v>
      </c>
      <c r="T103" s="6">
        <f>S103/Q103</f>
        <v>739.93080124398591</v>
      </c>
      <c r="U103" s="5"/>
      <c r="V103" s="5"/>
      <c r="W103" s="5"/>
      <c r="X103" s="5"/>
      <c r="Y103" s="5"/>
    </row>
    <row r="104" spans="1:25" ht="13.5" x14ac:dyDescent="0.25">
      <c r="A104" s="13">
        <v>44492</v>
      </c>
      <c r="B104" s="11">
        <v>103</v>
      </c>
      <c r="C104" s="11">
        <v>963309</v>
      </c>
      <c r="D104" s="12">
        <v>632819182</v>
      </c>
      <c r="E104" s="11"/>
      <c r="F104" s="12"/>
      <c r="G104" s="11"/>
      <c r="H104" s="4"/>
      <c r="I104" s="11"/>
      <c r="J104" s="11"/>
      <c r="K104" s="11"/>
      <c r="L104" s="11"/>
      <c r="M104" s="4"/>
      <c r="N104" s="14">
        <f>Q104-Q103</f>
        <v>0</v>
      </c>
      <c r="O104" s="10">
        <f>106/$Q$105*(N104)</f>
        <v>0</v>
      </c>
      <c r="P104" s="3"/>
      <c r="Q104" s="9">
        <v>963309</v>
      </c>
      <c r="R104" s="8">
        <v>632819182</v>
      </c>
      <c r="S104" s="7">
        <f>R104*'[1]Inflation Rates by Year'!$C$2</f>
        <v>715566618.23831999</v>
      </c>
      <c r="T104" s="6">
        <f>S104/Q104</f>
        <v>742.82148120522072</v>
      </c>
      <c r="U104" s="5"/>
      <c r="V104" s="5"/>
      <c r="W104" s="5"/>
      <c r="X104" s="5"/>
      <c r="Y104" s="5"/>
    </row>
    <row r="105" spans="1:25" ht="13.5" x14ac:dyDescent="0.25">
      <c r="A105" s="13">
        <v>44493</v>
      </c>
      <c r="B105" s="5">
        <v>104</v>
      </c>
      <c r="C105" s="11">
        <v>963309</v>
      </c>
      <c r="D105" s="12">
        <v>634513847</v>
      </c>
      <c r="E105" s="11"/>
      <c r="F105" s="12"/>
      <c r="G105" s="11"/>
      <c r="H105" s="4"/>
      <c r="I105" s="11"/>
      <c r="J105" s="11"/>
      <c r="K105" s="11"/>
      <c r="L105" s="11"/>
      <c r="M105" s="4"/>
      <c r="N105" s="14">
        <f>Q105-Q104</f>
        <v>0</v>
      </c>
      <c r="O105" s="10">
        <f>106/$Q$105*(N105)</f>
        <v>0</v>
      </c>
      <c r="P105" s="3"/>
      <c r="Q105" s="9">
        <v>963309</v>
      </c>
      <c r="R105" s="8">
        <v>634513847</v>
      </c>
      <c r="S105" s="7">
        <f>R105*'[1]Inflation Rates by Year'!$C$2</f>
        <v>717482877.63372004</v>
      </c>
      <c r="T105" s="6">
        <f>S105/Q105</f>
        <v>744.81072805685403</v>
      </c>
      <c r="U105" s="5"/>
      <c r="V105" s="5"/>
      <c r="W105" s="5"/>
      <c r="X105" s="5"/>
      <c r="Y105" s="5"/>
    </row>
    <row r="106" spans="1:25" ht="13.5" x14ac:dyDescent="0.25">
      <c r="A106" s="13">
        <v>44494</v>
      </c>
      <c r="B106" s="5">
        <v>105</v>
      </c>
      <c r="C106" s="11">
        <v>963309</v>
      </c>
      <c r="D106" s="12">
        <v>637428216</v>
      </c>
      <c r="E106" s="11"/>
      <c r="F106" s="12"/>
      <c r="G106" s="11"/>
      <c r="H106" s="4"/>
      <c r="I106" s="11"/>
      <c r="J106" s="11"/>
      <c r="K106" s="11"/>
      <c r="L106" s="11"/>
      <c r="M106" s="4"/>
      <c r="N106" s="14">
        <f>Q106-Q105</f>
        <v>0</v>
      </c>
      <c r="O106" s="10">
        <f>106/$Q$105*(N106)</f>
        <v>0</v>
      </c>
      <c r="P106" s="3"/>
      <c r="Q106" s="9">
        <v>963309</v>
      </c>
      <c r="R106" s="8">
        <v>637428216</v>
      </c>
      <c r="S106" s="7">
        <f>R106*'[1]Inflation Rates by Year'!$C$2</f>
        <v>720778329.52416003</v>
      </c>
      <c r="T106" s="6">
        <f>S106/Q106</f>
        <v>748.23169878425301</v>
      </c>
      <c r="U106" s="5"/>
      <c r="V106" s="5"/>
      <c r="W106" s="5"/>
      <c r="X106" s="5"/>
      <c r="Y106" s="5"/>
    </row>
    <row r="107" spans="1:25" ht="13.5" x14ac:dyDescent="0.25">
      <c r="A107" s="13">
        <v>44495</v>
      </c>
      <c r="B107" s="11">
        <v>106</v>
      </c>
      <c r="C107" s="11"/>
      <c r="D107" s="12"/>
      <c r="E107" s="11"/>
      <c r="F107" s="12"/>
      <c r="G107" s="11"/>
      <c r="H107" s="4"/>
      <c r="I107" s="11"/>
      <c r="J107" s="11"/>
      <c r="K107" s="11"/>
      <c r="L107" s="11"/>
      <c r="M107" s="4"/>
      <c r="N107" s="3"/>
      <c r="O107" s="10">
        <f>71/$Q$72*(N107)</f>
        <v>0</v>
      </c>
      <c r="P107" s="3"/>
      <c r="Q107" s="9"/>
      <c r="R107" s="8"/>
      <c r="S107" s="7"/>
      <c r="T107" s="6"/>
      <c r="U107" s="5"/>
      <c r="V107" s="5"/>
      <c r="W107" s="5"/>
      <c r="X107" s="5"/>
      <c r="Y107" s="5"/>
    </row>
    <row r="108" spans="1:25" ht="13.5" x14ac:dyDescent="0.25">
      <c r="A108" s="13">
        <v>44496</v>
      </c>
      <c r="B108" s="5">
        <v>107</v>
      </c>
      <c r="C108" s="11"/>
      <c r="D108" s="12"/>
      <c r="E108" s="11"/>
      <c r="F108" s="12"/>
      <c r="G108" s="11"/>
      <c r="H108" s="4"/>
      <c r="I108" s="11"/>
      <c r="J108" s="11"/>
      <c r="K108" s="11"/>
      <c r="L108" s="11"/>
      <c r="M108" s="4"/>
      <c r="N108" s="3"/>
      <c r="O108" s="10">
        <f>71/$Q$72*(N108)</f>
        <v>0</v>
      </c>
      <c r="P108" s="3"/>
      <c r="Q108" s="9"/>
      <c r="R108" s="8"/>
      <c r="S108" s="7"/>
      <c r="T108" s="6"/>
      <c r="U108" s="5"/>
      <c r="V108" s="5"/>
      <c r="W108" s="5"/>
      <c r="X108" s="5"/>
      <c r="Y108" s="5"/>
    </row>
    <row r="109" spans="1:25" ht="13.5" x14ac:dyDescent="0.25">
      <c r="A109" s="13">
        <v>44497</v>
      </c>
      <c r="B109" s="5">
        <v>108</v>
      </c>
      <c r="C109" s="11"/>
      <c r="D109" s="12"/>
      <c r="E109" s="11"/>
      <c r="F109" s="12"/>
      <c r="G109" s="11"/>
      <c r="H109" s="4"/>
      <c r="I109" s="11"/>
      <c r="J109" s="11"/>
      <c r="K109" s="11"/>
      <c r="L109" s="11"/>
      <c r="M109" s="4"/>
      <c r="N109" s="3"/>
      <c r="O109" s="10">
        <f>71/$Q$72*(N109)</f>
        <v>0</v>
      </c>
      <c r="P109" s="3"/>
      <c r="Q109" s="9"/>
      <c r="R109" s="8"/>
      <c r="S109" s="7"/>
      <c r="T109" s="6"/>
      <c r="U109" s="5"/>
      <c r="V109" s="5"/>
      <c r="W109" s="5"/>
      <c r="X109" s="5"/>
      <c r="Y109" s="5"/>
    </row>
    <row r="110" spans="1:25" ht="13.5" x14ac:dyDescent="0.25">
      <c r="A110" s="13">
        <v>44498</v>
      </c>
      <c r="B110" s="11">
        <v>109</v>
      </c>
      <c r="C110" s="11"/>
      <c r="D110" s="12"/>
      <c r="E110" s="11"/>
      <c r="F110" s="12"/>
      <c r="G110" s="11"/>
      <c r="H110" s="4"/>
      <c r="I110" s="11"/>
      <c r="J110" s="11"/>
      <c r="K110" s="11"/>
      <c r="L110" s="11"/>
      <c r="M110" s="4"/>
      <c r="N110" s="3"/>
      <c r="O110" s="10">
        <f>71/$Q$72*(N110)</f>
        <v>0</v>
      </c>
      <c r="P110" s="3"/>
      <c r="Q110" s="9"/>
      <c r="R110" s="8"/>
      <c r="S110" s="7"/>
      <c r="T110" s="6"/>
      <c r="U110" s="5"/>
      <c r="V110" s="5"/>
      <c r="W110" s="5"/>
      <c r="X110" s="5"/>
      <c r="Y110" s="5"/>
    </row>
    <row r="111" spans="1:25" ht="13.5" x14ac:dyDescent="0.25">
      <c r="A111" s="13">
        <v>44499</v>
      </c>
      <c r="B111" s="5">
        <v>110</v>
      </c>
      <c r="C111" s="11"/>
      <c r="D111" s="12"/>
      <c r="E111" s="11"/>
      <c r="F111" s="12"/>
      <c r="G111" s="11"/>
      <c r="H111" s="4"/>
      <c r="I111" s="11"/>
      <c r="J111" s="11"/>
      <c r="K111" s="11"/>
      <c r="L111" s="11"/>
      <c r="M111" s="4"/>
      <c r="N111" s="3"/>
      <c r="O111" s="10">
        <f>71/$Q$72*(N111)</f>
        <v>0</v>
      </c>
      <c r="P111" s="3"/>
      <c r="Q111" s="9"/>
      <c r="R111" s="8"/>
      <c r="S111" s="7"/>
      <c r="T111" s="6"/>
      <c r="U111" s="5"/>
      <c r="V111" s="5"/>
      <c r="W111" s="5"/>
      <c r="X111" s="5"/>
      <c r="Y111" s="5"/>
    </row>
    <row r="112" spans="1:25" ht="13.5" x14ac:dyDescent="0.25">
      <c r="A112" s="13">
        <v>44500</v>
      </c>
      <c r="B112" s="5">
        <v>111</v>
      </c>
      <c r="C112" s="11"/>
      <c r="D112" s="12"/>
      <c r="E112" s="11"/>
      <c r="F112" s="12"/>
      <c r="G112" s="11"/>
      <c r="H112" s="4"/>
      <c r="I112" s="11"/>
      <c r="J112" s="11"/>
      <c r="K112" s="11"/>
      <c r="L112" s="11"/>
      <c r="M112" s="4"/>
      <c r="N112" s="3"/>
      <c r="O112" s="10">
        <f>71/$Q$72*(N112)</f>
        <v>0</v>
      </c>
      <c r="P112" s="3"/>
      <c r="Q112" s="9"/>
      <c r="R112" s="8"/>
      <c r="S112" s="7"/>
      <c r="T112" s="6"/>
      <c r="U112" s="5"/>
      <c r="V112" s="5"/>
      <c r="W112" s="5"/>
      <c r="X112" s="5"/>
      <c r="Y112" s="5"/>
    </row>
    <row r="113" spans="1:25" ht="13.5" x14ac:dyDescent="0.25">
      <c r="A113" s="13">
        <v>44501</v>
      </c>
      <c r="B113" s="11">
        <v>112</v>
      </c>
      <c r="C113" s="11"/>
      <c r="D113" s="12"/>
      <c r="E113" s="11"/>
      <c r="F113" s="12"/>
      <c r="G113" s="11"/>
      <c r="H113" s="4"/>
      <c r="I113" s="11"/>
      <c r="J113" s="11"/>
      <c r="K113" s="11"/>
      <c r="L113" s="11"/>
      <c r="M113" s="4"/>
      <c r="N113" s="3"/>
      <c r="O113" s="10">
        <f>71/$Q$72*(N113)</f>
        <v>0</v>
      </c>
      <c r="P113" s="3"/>
      <c r="Q113" s="9"/>
      <c r="R113" s="8"/>
      <c r="S113" s="7"/>
      <c r="T113" s="6"/>
      <c r="U113" s="5"/>
      <c r="V113" s="5"/>
      <c r="W113" s="5"/>
      <c r="X113" s="5"/>
      <c r="Y113" s="5"/>
    </row>
    <row r="114" spans="1:25" ht="13.5" x14ac:dyDescent="0.25">
      <c r="A114" s="13">
        <v>44502</v>
      </c>
      <c r="B114" s="5">
        <v>113</v>
      </c>
      <c r="C114" s="11"/>
      <c r="D114" s="12"/>
      <c r="E114" s="11"/>
      <c r="F114" s="12"/>
      <c r="G114" s="11"/>
      <c r="H114" s="4"/>
      <c r="I114" s="11"/>
      <c r="J114" s="11"/>
      <c r="K114" s="11"/>
      <c r="L114" s="11"/>
      <c r="M114" s="4"/>
      <c r="N114" s="3"/>
      <c r="O114" s="10">
        <f>71/$Q$72*(N114)</f>
        <v>0</v>
      </c>
      <c r="P114" s="3"/>
      <c r="Q114" s="9"/>
      <c r="R114" s="8"/>
      <c r="S114" s="7"/>
      <c r="T114" s="6"/>
      <c r="U114" s="5"/>
      <c r="V114" s="5"/>
      <c r="W114" s="5"/>
      <c r="X114" s="5"/>
      <c r="Y114" s="5"/>
    </row>
    <row r="115" spans="1:25" ht="13.5" x14ac:dyDescent="0.25">
      <c r="A115" s="13">
        <v>44503</v>
      </c>
      <c r="B115" s="5">
        <v>114</v>
      </c>
      <c r="C115" s="11"/>
      <c r="D115" s="12"/>
      <c r="E115" s="11"/>
      <c r="F115" s="12"/>
      <c r="G115" s="11"/>
      <c r="H115" s="4"/>
      <c r="I115" s="11"/>
      <c r="J115" s="11"/>
      <c r="K115" s="11"/>
      <c r="L115" s="11"/>
      <c r="M115" s="4"/>
      <c r="N115" s="3"/>
      <c r="O115" s="10">
        <f>71/$Q$72*(N115)</f>
        <v>0</v>
      </c>
      <c r="P115" s="3"/>
      <c r="Q115" s="9"/>
      <c r="R115" s="8"/>
      <c r="S115" s="7"/>
      <c r="T115" s="6"/>
      <c r="U115" s="5"/>
      <c r="V115" s="5"/>
      <c r="W115" s="5"/>
      <c r="X115" s="5"/>
      <c r="Y115" s="5"/>
    </row>
    <row r="116" spans="1:25" ht="13.5" x14ac:dyDescent="0.25">
      <c r="A116" s="13">
        <v>44504</v>
      </c>
      <c r="B116" s="11">
        <v>115</v>
      </c>
      <c r="C116" s="11"/>
      <c r="D116" s="12"/>
      <c r="E116" s="11"/>
      <c r="F116" s="12"/>
      <c r="G116" s="11"/>
      <c r="H116" s="4"/>
      <c r="I116" s="11"/>
      <c r="J116" s="11"/>
      <c r="K116" s="11"/>
      <c r="L116" s="11"/>
      <c r="M116" s="4"/>
      <c r="N116" s="3"/>
      <c r="O116" s="10">
        <f>71/$Q$72*(N116)</f>
        <v>0</v>
      </c>
      <c r="P116" s="3"/>
      <c r="Q116" s="9"/>
      <c r="R116" s="8"/>
      <c r="S116" s="7"/>
      <c r="T116" s="6"/>
      <c r="U116" s="5"/>
      <c r="V116" s="5"/>
      <c r="W116" s="5"/>
      <c r="X116" s="5"/>
      <c r="Y116" s="5"/>
    </row>
    <row r="117" spans="1:25" ht="13.5" x14ac:dyDescent="0.25">
      <c r="A117" s="13">
        <v>44505</v>
      </c>
      <c r="B117" s="5">
        <v>116</v>
      </c>
      <c r="C117" s="11"/>
      <c r="D117" s="12"/>
      <c r="E117" s="11"/>
      <c r="F117" s="12"/>
      <c r="G117" s="11"/>
      <c r="H117" s="4"/>
      <c r="I117" s="11"/>
      <c r="J117" s="11"/>
      <c r="K117" s="11"/>
      <c r="L117" s="11"/>
      <c r="M117" s="4"/>
      <c r="N117" s="3"/>
      <c r="O117" s="10">
        <f>71/$Q$72*(N117)</f>
        <v>0</v>
      </c>
      <c r="P117" s="3"/>
      <c r="Q117" s="9"/>
      <c r="R117" s="8"/>
      <c r="S117" s="7"/>
      <c r="T117" s="6"/>
      <c r="U117" s="5"/>
      <c r="V117" s="5"/>
      <c r="W117" s="5"/>
      <c r="X117" s="5"/>
      <c r="Y117" s="5"/>
    </row>
    <row r="118" spans="1:25" ht="13.5" x14ac:dyDescent="0.25">
      <c r="H118" s="4"/>
      <c r="M118" s="4"/>
      <c r="N118" s="3"/>
      <c r="O118" s="3"/>
      <c r="P118" s="3"/>
      <c r="Q118" s="1"/>
      <c r="R118" s="1"/>
    </row>
    <row r="119" spans="1:25" ht="13.5" x14ac:dyDescent="0.25">
      <c r="H119" s="4"/>
      <c r="M119" s="4"/>
      <c r="N119" s="3"/>
      <c r="O119" s="3"/>
      <c r="P119" s="3"/>
      <c r="Q119" s="1"/>
      <c r="R119" s="1"/>
    </row>
    <row r="120" spans="1:25" ht="13.5" x14ac:dyDescent="0.25">
      <c r="H120" s="4"/>
      <c r="M120" s="4"/>
      <c r="N120" s="3"/>
      <c r="O120" s="3"/>
      <c r="P120" s="3"/>
      <c r="Q120" s="1"/>
      <c r="R120" s="1"/>
    </row>
    <row r="121" spans="1:25" ht="13.5" x14ac:dyDescent="0.25">
      <c r="H121" s="4"/>
      <c r="M121" s="4"/>
      <c r="N121" s="3"/>
      <c r="O121" s="3"/>
      <c r="P121" s="3"/>
      <c r="Q121" s="1"/>
      <c r="R121" s="1"/>
    </row>
    <row r="122" spans="1:25" ht="13.5" x14ac:dyDescent="0.25">
      <c r="H122" s="4"/>
      <c r="M122" s="4"/>
      <c r="N122" s="3"/>
      <c r="O122" s="3"/>
      <c r="P122" s="3"/>
      <c r="Q122" s="1"/>
      <c r="R122" s="1"/>
    </row>
    <row r="123" spans="1:25" ht="13.5" x14ac:dyDescent="0.25">
      <c r="H123" s="4"/>
      <c r="M123" s="4"/>
      <c r="N123" s="3"/>
      <c r="O123" s="3"/>
      <c r="P123" s="3"/>
      <c r="Q123" s="1"/>
      <c r="R123" s="1"/>
    </row>
    <row r="124" spans="1:25" ht="13.5" x14ac:dyDescent="0.25">
      <c r="H124" s="4"/>
      <c r="M124" s="4"/>
      <c r="N124" s="3"/>
      <c r="O124" s="3"/>
      <c r="P124" s="3"/>
      <c r="Q124" s="1"/>
      <c r="R124" s="1"/>
    </row>
    <row r="125" spans="1:25" ht="13.5" x14ac:dyDescent="0.25">
      <c r="H125" s="4"/>
      <c r="M125" s="4"/>
      <c r="N125" s="3"/>
      <c r="O125" s="3"/>
      <c r="P125" s="3"/>
      <c r="Q125" s="1"/>
      <c r="R125" s="1"/>
    </row>
    <row r="126" spans="1:25" ht="13.5" x14ac:dyDescent="0.25">
      <c r="H126" s="4"/>
      <c r="M126" s="4"/>
      <c r="N126" s="3"/>
      <c r="O126" s="3"/>
      <c r="P126" s="3"/>
      <c r="Q126" s="1"/>
      <c r="R126" s="1"/>
    </row>
    <row r="127" spans="1:25" ht="13.5" x14ac:dyDescent="0.25">
      <c r="H127" s="4"/>
      <c r="M127" s="4"/>
      <c r="N127" s="3"/>
      <c r="O127" s="3"/>
      <c r="P127" s="3"/>
      <c r="Q127" s="1"/>
      <c r="R127" s="1"/>
    </row>
    <row r="128" spans="1:25" ht="13.5" x14ac:dyDescent="0.25">
      <c r="H128" s="4"/>
      <c r="M128" s="4"/>
      <c r="N128" s="3"/>
      <c r="O128" s="3"/>
      <c r="P128" s="3"/>
      <c r="Q128" s="1"/>
      <c r="R128" s="1"/>
    </row>
    <row r="129" spans="8:18" ht="13.5" x14ac:dyDescent="0.25">
      <c r="H129" s="4"/>
      <c r="M129" s="4"/>
      <c r="N129" s="3"/>
      <c r="O129" s="3"/>
      <c r="P129" s="3"/>
      <c r="Q129" s="1"/>
      <c r="R129" s="1"/>
    </row>
    <row r="130" spans="8:18" ht="13.5" x14ac:dyDescent="0.25">
      <c r="H130" s="4"/>
      <c r="M130" s="4"/>
      <c r="N130" s="3"/>
      <c r="O130" s="3"/>
      <c r="P130" s="3"/>
      <c r="Q130" s="1"/>
      <c r="R130" s="1"/>
    </row>
    <row r="131" spans="8:18" ht="13.5" x14ac:dyDescent="0.25">
      <c r="H131" s="4"/>
      <c r="M131" s="4"/>
      <c r="N131" s="3"/>
      <c r="O131" s="3"/>
      <c r="P131" s="3"/>
      <c r="Q131" s="1"/>
      <c r="R131" s="1"/>
    </row>
    <row r="132" spans="8:18" ht="13.5" x14ac:dyDescent="0.25">
      <c r="H132" s="4"/>
      <c r="M132" s="4"/>
      <c r="N132" s="3"/>
      <c r="O132" s="3"/>
      <c r="P132" s="3"/>
      <c r="Q132" s="1"/>
      <c r="R132" s="1"/>
    </row>
    <row r="133" spans="8:18" ht="13.5" x14ac:dyDescent="0.25">
      <c r="H133" s="4"/>
      <c r="M133" s="4"/>
      <c r="N133" s="3"/>
      <c r="O133" s="3"/>
      <c r="P133" s="3"/>
      <c r="Q133" s="1"/>
      <c r="R133" s="1"/>
    </row>
    <row r="134" spans="8:18" ht="13.5" x14ac:dyDescent="0.25">
      <c r="H134" s="4"/>
      <c r="M134" s="4"/>
      <c r="N134" s="3"/>
      <c r="O134" s="3"/>
      <c r="P134" s="3"/>
      <c r="Q134" s="1"/>
      <c r="R134" s="1"/>
    </row>
    <row r="135" spans="8:18" ht="13.5" x14ac:dyDescent="0.25">
      <c r="H135" s="4"/>
      <c r="M135" s="4"/>
      <c r="N135" s="3"/>
      <c r="O135" s="3"/>
      <c r="P135" s="3"/>
      <c r="Q135" s="1"/>
      <c r="R135" s="1"/>
    </row>
    <row r="136" spans="8:18" ht="13.5" x14ac:dyDescent="0.25">
      <c r="H136" s="4"/>
      <c r="M136" s="4"/>
      <c r="N136" s="3"/>
      <c r="O136" s="3"/>
      <c r="P136" s="3"/>
      <c r="Q136" s="1"/>
      <c r="R136" s="1"/>
    </row>
    <row r="137" spans="8:18" ht="13.5" x14ac:dyDescent="0.25">
      <c r="H137" s="4"/>
      <c r="M137" s="4"/>
      <c r="N137" s="3"/>
      <c r="O137" s="3"/>
      <c r="P137" s="3"/>
      <c r="Q137" s="1"/>
      <c r="R137" s="1"/>
    </row>
    <row r="138" spans="8:18" ht="13.5" x14ac:dyDescent="0.25">
      <c r="H138" s="4"/>
      <c r="M138" s="4"/>
      <c r="N138" s="3"/>
      <c r="O138" s="3"/>
      <c r="P138" s="3"/>
      <c r="Q138" s="1"/>
      <c r="R138" s="1"/>
    </row>
    <row r="139" spans="8:18" ht="13.5" x14ac:dyDescent="0.25">
      <c r="H139" s="4"/>
      <c r="M139" s="4"/>
      <c r="N139" s="3"/>
      <c r="O139" s="3"/>
      <c r="P139" s="3"/>
      <c r="Q139" s="1"/>
      <c r="R139" s="1"/>
    </row>
    <row r="140" spans="8:18" ht="13.5" x14ac:dyDescent="0.25">
      <c r="H140" s="4"/>
      <c r="M140" s="4"/>
      <c r="N140" s="3"/>
      <c r="O140" s="3"/>
      <c r="P140" s="3"/>
      <c r="Q140" s="1"/>
      <c r="R140" s="1"/>
    </row>
    <row r="141" spans="8:18" ht="13.5" x14ac:dyDescent="0.25">
      <c r="H141" s="4"/>
      <c r="M141" s="4"/>
      <c r="N141" s="3"/>
      <c r="O141" s="3"/>
      <c r="P141" s="3"/>
      <c r="Q141" s="1"/>
      <c r="R141" s="1"/>
    </row>
    <row r="142" spans="8:18" ht="13.5" x14ac:dyDescent="0.25">
      <c r="H142" s="4"/>
      <c r="M142" s="4"/>
      <c r="N142" s="3"/>
      <c r="O142" s="3"/>
      <c r="P142" s="3"/>
      <c r="Q142" s="1"/>
      <c r="R142" s="1"/>
    </row>
    <row r="143" spans="8:18" ht="13.5" x14ac:dyDescent="0.25">
      <c r="H143" s="4"/>
      <c r="M143" s="4"/>
      <c r="N143" s="3"/>
      <c r="O143" s="3"/>
      <c r="P143" s="3"/>
      <c r="Q143" s="1"/>
      <c r="R143" s="1"/>
    </row>
    <row r="144" spans="8:18" ht="13.5" x14ac:dyDescent="0.25">
      <c r="H144" s="4"/>
      <c r="M144" s="4"/>
      <c r="N144" s="3"/>
      <c r="O144" s="3"/>
      <c r="P144" s="3"/>
      <c r="Q144" s="1"/>
      <c r="R144" s="1"/>
    </row>
    <row r="145" spans="8:18" ht="13.5" x14ac:dyDescent="0.25">
      <c r="H145" s="4"/>
      <c r="M145" s="4"/>
      <c r="N145" s="3"/>
      <c r="O145" s="3"/>
      <c r="P145" s="3"/>
      <c r="Q145" s="1"/>
      <c r="R145" s="1"/>
    </row>
    <row r="146" spans="8:18" ht="13.5" x14ac:dyDescent="0.25">
      <c r="H146" s="4"/>
      <c r="M146" s="4"/>
      <c r="N146" s="3"/>
      <c r="O146" s="3"/>
      <c r="P146" s="3"/>
      <c r="Q146" s="1"/>
      <c r="R146" s="1"/>
    </row>
    <row r="147" spans="8:18" ht="13.5" x14ac:dyDescent="0.25">
      <c r="H147" s="4"/>
      <c r="M147" s="4"/>
      <c r="N147" s="3"/>
      <c r="O147" s="3"/>
      <c r="P147" s="3"/>
      <c r="Q147" s="1"/>
      <c r="R147" s="1"/>
    </row>
    <row r="148" spans="8:18" ht="13.5" x14ac:dyDescent="0.25">
      <c r="H148" s="4"/>
      <c r="M148" s="4"/>
      <c r="N148" s="3"/>
      <c r="O148" s="3"/>
      <c r="P148" s="3"/>
      <c r="Q148" s="1"/>
      <c r="R148" s="1"/>
    </row>
    <row r="149" spans="8:18" ht="13.5" x14ac:dyDescent="0.25">
      <c r="H149" s="4"/>
      <c r="M149" s="4"/>
      <c r="N149" s="3"/>
      <c r="O149" s="3"/>
      <c r="P149" s="3"/>
      <c r="Q149" s="1"/>
      <c r="R149" s="1"/>
    </row>
    <row r="150" spans="8:18" ht="13.5" x14ac:dyDescent="0.25">
      <c r="H150" s="4"/>
      <c r="M150" s="4"/>
      <c r="N150" s="3"/>
      <c r="O150" s="3"/>
      <c r="P150" s="3"/>
      <c r="Q150" s="1"/>
      <c r="R150" s="1"/>
    </row>
    <row r="151" spans="8:18" ht="13.5" x14ac:dyDescent="0.25">
      <c r="H151" s="4"/>
      <c r="M151" s="4"/>
      <c r="N151" s="3"/>
      <c r="O151" s="3"/>
      <c r="P151" s="3"/>
      <c r="Q151" s="1"/>
      <c r="R151" s="1"/>
    </row>
    <row r="152" spans="8:18" ht="13.5" x14ac:dyDescent="0.25">
      <c r="H152" s="4"/>
      <c r="M152" s="4"/>
      <c r="N152" s="3"/>
      <c r="O152" s="3"/>
      <c r="P152" s="3"/>
      <c r="Q152" s="1"/>
      <c r="R152" s="1"/>
    </row>
    <row r="153" spans="8:18" ht="13.5" x14ac:dyDescent="0.25">
      <c r="H153" s="4"/>
      <c r="M153" s="4"/>
      <c r="N153" s="3"/>
      <c r="O153" s="3"/>
      <c r="P153" s="3"/>
      <c r="Q153" s="1"/>
      <c r="R153" s="1"/>
    </row>
    <row r="154" spans="8:18" ht="13.5" x14ac:dyDescent="0.25">
      <c r="H154" s="4"/>
      <c r="M154" s="4"/>
      <c r="N154" s="3"/>
      <c r="O154" s="3"/>
      <c r="P154" s="3"/>
      <c r="Q154" s="1"/>
      <c r="R154" s="1"/>
    </row>
    <row r="155" spans="8:18" ht="13.5" x14ac:dyDescent="0.25">
      <c r="H155" s="4"/>
      <c r="M155" s="4"/>
      <c r="N155" s="3"/>
      <c r="O155" s="3"/>
      <c r="P155" s="3"/>
      <c r="Q155" s="1"/>
      <c r="R155" s="1"/>
    </row>
    <row r="156" spans="8:18" ht="13.5" x14ac:dyDescent="0.25">
      <c r="H156" s="4"/>
      <c r="M156" s="4"/>
      <c r="N156" s="3"/>
      <c r="O156" s="3"/>
      <c r="P156" s="3"/>
      <c r="Q156" s="1"/>
      <c r="R156" s="1"/>
    </row>
    <row r="157" spans="8:18" ht="13.5" x14ac:dyDescent="0.25">
      <c r="H157" s="4"/>
      <c r="M157" s="4"/>
      <c r="N157" s="3"/>
      <c r="O157" s="3"/>
      <c r="P157" s="3"/>
      <c r="Q157" s="1"/>
      <c r="R157" s="1"/>
    </row>
    <row r="158" spans="8:18" ht="13.5" x14ac:dyDescent="0.25">
      <c r="H158" s="4"/>
      <c r="M158" s="4"/>
      <c r="N158" s="3"/>
      <c r="O158" s="3"/>
      <c r="P158" s="3"/>
      <c r="Q158" s="1"/>
      <c r="R158" s="1"/>
    </row>
    <row r="159" spans="8:18" ht="13.5" x14ac:dyDescent="0.25">
      <c r="H159" s="4"/>
      <c r="M159" s="4"/>
      <c r="N159" s="3"/>
      <c r="O159" s="3"/>
      <c r="P159" s="3"/>
      <c r="Q159" s="1"/>
      <c r="R159" s="1"/>
    </row>
    <row r="160" spans="8:18" ht="13.5" x14ac:dyDescent="0.25">
      <c r="H160" s="4"/>
      <c r="M160" s="4"/>
      <c r="N160" s="3"/>
      <c r="O160" s="3"/>
      <c r="P160" s="3"/>
      <c r="Q160" s="1"/>
      <c r="R160" s="1"/>
    </row>
    <row r="161" spans="8:18" ht="13.5" x14ac:dyDescent="0.25">
      <c r="H161" s="4"/>
      <c r="M161" s="4"/>
      <c r="N161" s="3"/>
      <c r="O161" s="3"/>
      <c r="P161" s="3"/>
      <c r="Q161" s="1"/>
      <c r="R161" s="1"/>
    </row>
    <row r="162" spans="8:18" ht="13.5" x14ac:dyDescent="0.25">
      <c r="H162" s="4"/>
      <c r="M162" s="4"/>
      <c r="N162" s="3"/>
      <c r="O162" s="3"/>
      <c r="P162" s="3"/>
      <c r="Q162" s="1"/>
      <c r="R162" s="1"/>
    </row>
    <row r="163" spans="8:18" ht="13.5" x14ac:dyDescent="0.25">
      <c r="H163" s="4"/>
      <c r="M163" s="4"/>
      <c r="N163" s="3"/>
      <c r="O163" s="3"/>
      <c r="P163" s="3"/>
      <c r="Q163" s="1"/>
      <c r="R163" s="1"/>
    </row>
    <row r="164" spans="8:18" ht="13.5" x14ac:dyDescent="0.25">
      <c r="H164" s="4"/>
      <c r="M164" s="4"/>
      <c r="N164" s="3"/>
      <c r="O164" s="3"/>
      <c r="P164" s="3"/>
      <c r="Q164" s="1"/>
      <c r="R164" s="1"/>
    </row>
    <row r="165" spans="8:18" ht="13.5" x14ac:dyDescent="0.25">
      <c r="H165" s="4"/>
      <c r="M165" s="4"/>
      <c r="N165" s="3"/>
      <c r="O165" s="3"/>
      <c r="P165" s="3"/>
      <c r="Q165" s="1"/>
      <c r="R165" s="1"/>
    </row>
    <row r="166" spans="8:18" ht="13.5" x14ac:dyDescent="0.25">
      <c r="H166" s="4"/>
      <c r="M166" s="4"/>
      <c r="N166" s="3"/>
      <c r="O166" s="3"/>
      <c r="P166" s="3"/>
      <c r="Q166" s="1"/>
      <c r="R166" s="1"/>
    </row>
    <row r="167" spans="8:18" ht="13.5" x14ac:dyDescent="0.25">
      <c r="H167" s="4"/>
      <c r="M167" s="4"/>
      <c r="N167" s="3"/>
      <c r="O167" s="3"/>
      <c r="P167" s="3"/>
      <c r="Q167" s="1"/>
      <c r="R167" s="1"/>
    </row>
    <row r="168" spans="8:18" ht="13.5" x14ac:dyDescent="0.25">
      <c r="H168" s="4"/>
      <c r="M168" s="4"/>
      <c r="N168" s="3"/>
      <c r="O168" s="3"/>
      <c r="P168" s="3"/>
      <c r="Q168" s="1"/>
      <c r="R168" s="1"/>
    </row>
    <row r="169" spans="8:18" ht="13.5" x14ac:dyDescent="0.25">
      <c r="H169" s="4"/>
      <c r="M169" s="4"/>
      <c r="N169" s="3"/>
      <c r="O169" s="3"/>
      <c r="P169" s="3"/>
      <c r="Q169" s="1"/>
      <c r="R169" s="1"/>
    </row>
    <row r="170" spans="8:18" ht="13.5" x14ac:dyDescent="0.25">
      <c r="H170" s="4"/>
      <c r="M170" s="4"/>
      <c r="N170" s="3"/>
      <c r="O170" s="3"/>
      <c r="P170" s="3"/>
      <c r="Q170" s="1"/>
      <c r="R170" s="1"/>
    </row>
    <row r="171" spans="8:18" ht="13.5" x14ac:dyDescent="0.25">
      <c r="H171" s="4"/>
      <c r="M171" s="4"/>
      <c r="N171" s="3"/>
      <c r="O171" s="3"/>
      <c r="P171" s="3"/>
      <c r="Q171" s="1"/>
      <c r="R171" s="1"/>
    </row>
    <row r="172" spans="8:18" ht="13.5" x14ac:dyDescent="0.25">
      <c r="H172" s="4"/>
      <c r="M172" s="4"/>
      <c r="N172" s="3"/>
      <c r="O172" s="3"/>
      <c r="P172" s="3"/>
      <c r="Q172" s="1"/>
      <c r="R172" s="1"/>
    </row>
    <row r="173" spans="8:18" ht="13.5" x14ac:dyDescent="0.25">
      <c r="H173" s="4"/>
      <c r="M173" s="4"/>
      <c r="N173" s="3"/>
      <c r="O173" s="3"/>
      <c r="P173" s="3"/>
      <c r="Q173" s="1"/>
      <c r="R173" s="1"/>
    </row>
    <row r="174" spans="8:18" ht="13.5" x14ac:dyDescent="0.25">
      <c r="H174" s="4"/>
      <c r="M174" s="4"/>
      <c r="N174" s="3"/>
      <c r="O174" s="3"/>
      <c r="P174" s="3"/>
      <c r="Q174" s="1"/>
      <c r="R174" s="1"/>
    </row>
    <row r="175" spans="8:18" ht="13.5" x14ac:dyDescent="0.25">
      <c r="H175" s="4"/>
      <c r="M175" s="4"/>
      <c r="N175" s="3"/>
      <c r="O175" s="3"/>
      <c r="P175" s="3"/>
      <c r="Q175" s="1"/>
      <c r="R175" s="1"/>
    </row>
    <row r="176" spans="8:18" ht="13.5" x14ac:dyDescent="0.25">
      <c r="H176" s="4"/>
      <c r="M176" s="4"/>
      <c r="N176" s="3"/>
      <c r="O176" s="3"/>
      <c r="P176" s="3"/>
      <c r="Q176" s="1"/>
      <c r="R176" s="1"/>
    </row>
    <row r="177" spans="8:18" ht="13.5" x14ac:dyDescent="0.25">
      <c r="H177" s="4"/>
      <c r="M177" s="4"/>
      <c r="N177" s="3"/>
      <c r="O177" s="3"/>
      <c r="P177" s="3"/>
      <c r="Q177" s="1"/>
      <c r="R177" s="1"/>
    </row>
    <row r="178" spans="8:18" ht="13.5" x14ac:dyDescent="0.25">
      <c r="H178" s="4"/>
      <c r="M178" s="4"/>
      <c r="N178" s="3"/>
      <c r="O178" s="3"/>
      <c r="P178" s="3"/>
      <c r="Q178" s="1"/>
      <c r="R178" s="1"/>
    </row>
    <row r="179" spans="8:18" ht="13.5" x14ac:dyDescent="0.25">
      <c r="H179" s="4"/>
      <c r="M179" s="4"/>
      <c r="N179" s="3"/>
      <c r="O179" s="3"/>
      <c r="P179" s="3"/>
      <c r="Q179" s="1"/>
      <c r="R179" s="1"/>
    </row>
    <row r="180" spans="8:18" ht="13.5" x14ac:dyDescent="0.25">
      <c r="H180" s="4"/>
      <c r="M180" s="4"/>
      <c r="N180" s="3"/>
      <c r="O180" s="3"/>
      <c r="P180" s="3"/>
      <c r="Q180" s="1"/>
      <c r="R180" s="1"/>
    </row>
    <row r="181" spans="8:18" ht="13.5" x14ac:dyDescent="0.25">
      <c r="H181" s="4"/>
      <c r="M181" s="4"/>
      <c r="N181" s="3"/>
      <c r="O181" s="3"/>
      <c r="P181" s="3"/>
      <c r="Q181" s="1"/>
      <c r="R181" s="1"/>
    </row>
    <row r="182" spans="8:18" ht="13.5" x14ac:dyDescent="0.25">
      <c r="H182" s="4"/>
      <c r="M182" s="4"/>
      <c r="N182" s="3"/>
      <c r="O182" s="3"/>
      <c r="P182" s="3"/>
      <c r="Q182" s="1"/>
      <c r="R182" s="1"/>
    </row>
    <row r="183" spans="8:18" ht="13.5" x14ac:dyDescent="0.25">
      <c r="H183" s="4"/>
      <c r="M183" s="4"/>
      <c r="N183" s="3"/>
      <c r="O183" s="3"/>
      <c r="P183" s="3"/>
      <c r="Q183" s="1"/>
      <c r="R183" s="1"/>
    </row>
    <row r="184" spans="8:18" ht="13.5" x14ac:dyDescent="0.25">
      <c r="H184" s="4"/>
      <c r="M184" s="4"/>
      <c r="N184" s="3"/>
      <c r="O184" s="3"/>
      <c r="P184" s="3"/>
      <c r="Q184" s="1"/>
      <c r="R184" s="1"/>
    </row>
    <row r="185" spans="8:18" ht="13.5" x14ac:dyDescent="0.25">
      <c r="H185" s="4"/>
      <c r="M185" s="4"/>
      <c r="N185" s="3"/>
      <c r="O185" s="3"/>
      <c r="P185" s="3"/>
      <c r="Q185" s="1"/>
      <c r="R185" s="1"/>
    </row>
    <row r="186" spans="8:18" ht="13.5" x14ac:dyDescent="0.25">
      <c r="H186" s="4"/>
      <c r="M186" s="4"/>
      <c r="N186" s="3"/>
      <c r="O186" s="3"/>
      <c r="P186" s="3"/>
      <c r="Q186" s="1"/>
      <c r="R186" s="1"/>
    </row>
    <row r="187" spans="8:18" ht="13.5" x14ac:dyDescent="0.25">
      <c r="H187" s="4"/>
      <c r="M187" s="4"/>
      <c r="N187" s="3"/>
      <c r="O187" s="3"/>
      <c r="P187" s="3"/>
      <c r="Q187" s="1"/>
      <c r="R187" s="1"/>
    </row>
    <row r="188" spans="8:18" ht="13.5" x14ac:dyDescent="0.25">
      <c r="H188" s="4"/>
      <c r="M188" s="4"/>
      <c r="N188" s="3"/>
      <c r="O188" s="3"/>
      <c r="P188" s="3"/>
      <c r="Q188" s="1"/>
      <c r="R188" s="1"/>
    </row>
    <row r="189" spans="8:18" ht="13.5" x14ac:dyDescent="0.25">
      <c r="H189" s="4"/>
      <c r="M189" s="4"/>
      <c r="N189" s="3"/>
      <c r="O189" s="3"/>
      <c r="P189" s="3"/>
      <c r="Q189" s="1"/>
      <c r="R189" s="1"/>
    </row>
    <row r="190" spans="8:18" ht="13.5" x14ac:dyDescent="0.25">
      <c r="H190" s="4"/>
      <c r="M190" s="4"/>
      <c r="N190" s="3"/>
      <c r="O190" s="3"/>
      <c r="P190" s="3"/>
      <c r="Q190" s="1"/>
      <c r="R190" s="1"/>
    </row>
    <row r="191" spans="8:18" ht="13.5" x14ac:dyDescent="0.25">
      <c r="H191" s="4"/>
      <c r="M191" s="4"/>
      <c r="N191" s="3"/>
      <c r="O191" s="3"/>
      <c r="P191" s="3"/>
      <c r="Q191" s="1"/>
      <c r="R191" s="1"/>
    </row>
    <row r="192" spans="8:18" ht="13.5" x14ac:dyDescent="0.25">
      <c r="H192" s="4"/>
      <c r="M192" s="4"/>
      <c r="N192" s="3"/>
      <c r="O192" s="3"/>
      <c r="P192" s="3"/>
      <c r="Q192" s="1"/>
      <c r="R192" s="1"/>
    </row>
    <row r="193" spans="8:18" ht="13.5" x14ac:dyDescent="0.25">
      <c r="H193" s="4"/>
      <c r="M193" s="4"/>
      <c r="N193" s="3"/>
      <c r="O193" s="3"/>
      <c r="P193" s="3"/>
      <c r="Q193" s="1"/>
      <c r="R193" s="1"/>
    </row>
    <row r="194" spans="8:18" ht="13.5" x14ac:dyDescent="0.25">
      <c r="H194" s="4"/>
      <c r="M194" s="4"/>
      <c r="N194" s="3"/>
      <c r="O194" s="3"/>
      <c r="P194" s="3"/>
      <c r="Q194" s="1"/>
      <c r="R194" s="1"/>
    </row>
    <row r="195" spans="8:18" ht="13.5" x14ac:dyDescent="0.25">
      <c r="H195" s="4"/>
      <c r="M195" s="4"/>
      <c r="N195" s="3"/>
      <c r="O195" s="3"/>
      <c r="P195" s="3"/>
      <c r="Q195" s="1"/>
      <c r="R195" s="1"/>
    </row>
    <row r="196" spans="8:18" ht="13.5" x14ac:dyDescent="0.25">
      <c r="H196" s="4"/>
      <c r="M196" s="4"/>
      <c r="N196" s="3"/>
      <c r="O196" s="3"/>
      <c r="P196" s="3"/>
      <c r="Q196" s="1"/>
      <c r="R196" s="1"/>
    </row>
    <row r="197" spans="8:18" ht="13.5" x14ac:dyDescent="0.25">
      <c r="H197" s="4"/>
      <c r="M197" s="4"/>
      <c r="N197" s="3"/>
      <c r="O197" s="3"/>
      <c r="P197" s="3"/>
      <c r="Q197" s="1"/>
      <c r="R197" s="1"/>
    </row>
    <row r="198" spans="8:18" ht="13.5" x14ac:dyDescent="0.25">
      <c r="H198" s="4"/>
      <c r="M198" s="4"/>
      <c r="N198" s="3"/>
      <c r="O198" s="3"/>
      <c r="P198" s="3"/>
      <c r="Q198" s="1"/>
      <c r="R198" s="1"/>
    </row>
    <row r="199" spans="8:18" ht="13.5" x14ac:dyDescent="0.25">
      <c r="H199" s="4"/>
      <c r="M199" s="4"/>
      <c r="N199" s="3"/>
      <c r="O199" s="3"/>
      <c r="P199" s="3"/>
      <c r="Q199" s="1"/>
      <c r="R199" s="1"/>
    </row>
    <row r="200" spans="8:18" ht="13.5" x14ac:dyDescent="0.25">
      <c r="H200" s="4"/>
      <c r="M200" s="4"/>
      <c r="N200" s="3"/>
      <c r="O200" s="3"/>
      <c r="P200" s="3"/>
      <c r="Q200" s="1"/>
      <c r="R200" s="1"/>
    </row>
    <row r="201" spans="8:18" ht="13.5" x14ac:dyDescent="0.25">
      <c r="H201" s="4"/>
      <c r="M201" s="4"/>
      <c r="N201" s="3"/>
      <c r="O201" s="3"/>
      <c r="P201" s="3"/>
      <c r="Q201" s="1"/>
      <c r="R201" s="1"/>
    </row>
    <row r="202" spans="8:18" ht="13.5" x14ac:dyDescent="0.25">
      <c r="H202" s="4"/>
      <c r="M202" s="4"/>
      <c r="N202" s="3"/>
      <c r="O202" s="3"/>
      <c r="P202" s="3"/>
      <c r="Q202" s="1"/>
      <c r="R202" s="1"/>
    </row>
    <row r="203" spans="8:18" ht="13.5" x14ac:dyDescent="0.25">
      <c r="H203" s="4"/>
      <c r="M203" s="4"/>
      <c r="N203" s="3"/>
      <c r="O203" s="3"/>
      <c r="P203" s="3"/>
      <c r="Q203" s="1"/>
      <c r="R203" s="1"/>
    </row>
    <row r="204" spans="8:18" ht="13.5" x14ac:dyDescent="0.25">
      <c r="H204" s="4"/>
      <c r="M204" s="4"/>
      <c r="N204" s="3"/>
      <c r="O204" s="3"/>
      <c r="P204" s="3"/>
      <c r="Q204" s="1"/>
      <c r="R204" s="1"/>
    </row>
    <row r="205" spans="8:18" ht="13.5" x14ac:dyDescent="0.25">
      <c r="H205" s="4"/>
      <c r="M205" s="4"/>
      <c r="N205" s="3"/>
      <c r="O205" s="3"/>
      <c r="P205" s="3"/>
      <c r="Q205" s="1"/>
      <c r="R205" s="1"/>
    </row>
    <row r="206" spans="8:18" ht="13.5" x14ac:dyDescent="0.25">
      <c r="H206" s="4"/>
      <c r="M206" s="4"/>
      <c r="N206" s="3"/>
      <c r="O206" s="3"/>
      <c r="P206" s="3"/>
      <c r="Q206" s="1"/>
      <c r="R206" s="1"/>
    </row>
    <row r="207" spans="8:18" ht="13.5" x14ac:dyDescent="0.25">
      <c r="H207" s="4"/>
      <c r="M207" s="4"/>
      <c r="N207" s="3"/>
      <c r="O207" s="3"/>
      <c r="P207" s="3"/>
      <c r="Q207" s="1"/>
      <c r="R207" s="1"/>
    </row>
    <row r="208" spans="8:18" ht="13.5" x14ac:dyDescent="0.25">
      <c r="H208" s="4"/>
      <c r="M208" s="4"/>
      <c r="N208" s="3"/>
      <c r="O208" s="3"/>
      <c r="P208" s="3"/>
      <c r="Q208" s="1"/>
      <c r="R208" s="1"/>
    </row>
    <row r="209" spans="8:18" ht="13.5" x14ac:dyDescent="0.25">
      <c r="H209" s="4"/>
      <c r="M209" s="4"/>
      <c r="N209" s="3"/>
      <c r="O209" s="3"/>
      <c r="P209" s="3"/>
      <c r="Q209" s="1"/>
      <c r="R209" s="1"/>
    </row>
    <row r="210" spans="8:18" ht="13.5" x14ac:dyDescent="0.25">
      <c r="H210" s="4"/>
      <c r="M210" s="4"/>
      <c r="N210" s="3"/>
      <c r="O210" s="3"/>
      <c r="P210" s="3"/>
      <c r="Q210" s="1"/>
      <c r="R210" s="1"/>
    </row>
    <row r="211" spans="8:18" ht="13.5" x14ac:dyDescent="0.25">
      <c r="H211" s="4"/>
      <c r="M211" s="4"/>
      <c r="N211" s="3"/>
      <c r="O211" s="3"/>
      <c r="P211" s="3"/>
      <c r="Q211" s="1"/>
      <c r="R211" s="1"/>
    </row>
    <row r="212" spans="8:18" ht="13.5" x14ac:dyDescent="0.25">
      <c r="H212" s="4"/>
      <c r="M212" s="4"/>
      <c r="N212" s="3"/>
      <c r="O212" s="3"/>
      <c r="P212" s="3"/>
      <c r="Q212" s="1"/>
      <c r="R212" s="1"/>
    </row>
    <row r="213" spans="8:18" ht="13.5" x14ac:dyDescent="0.25">
      <c r="H213" s="4"/>
      <c r="M213" s="4"/>
      <c r="N213" s="3"/>
      <c r="O213" s="3"/>
      <c r="P213" s="3"/>
      <c r="Q213" s="1"/>
      <c r="R213" s="1"/>
    </row>
    <row r="214" spans="8:18" ht="13.5" x14ac:dyDescent="0.25">
      <c r="H214" s="4"/>
      <c r="M214" s="4"/>
      <c r="N214" s="3"/>
      <c r="O214" s="3"/>
      <c r="P214" s="3"/>
      <c r="Q214" s="1"/>
      <c r="R214" s="1"/>
    </row>
    <row r="215" spans="8:18" ht="13.5" x14ac:dyDescent="0.25">
      <c r="H215" s="4"/>
      <c r="M215" s="4"/>
      <c r="N215" s="3"/>
      <c r="O215" s="3"/>
      <c r="P215" s="3"/>
      <c r="Q215" s="1"/>
      <c r="R215" s="1"/>
    </row>
    <row r="216" spans="8:18" ht="13.5" x14ac:dyDescent="0.25">
      <c r="H216" s="4"/>
      <c r="M216" s="4"/>
      <c r="N216" s="3"/>
      <c r="O216" s="3"/>
      <c r="P216" s="3"/>
      <c r="Q216" s="1"/>
      <c r="R216" s="1"/>
    </row>
    <row r="217" spans="8:18" ht="13.5" x14ac:dyDescent="0.25">
      <c r="H217" s="4"/>
      <c r="M217" s="4"/>
      <c r="N217" s="3"/>
      <c r="O217" s="3"/>
      <c r="P217" s="3"/>
      <c r="Q217" s="1"/>
      <c r="R217" s="1"/>
    </row>
    <row r="218" spans="8:18" ht="13.5" x14ac:dyDescent="0.25">
      <c r="H218" s="4"/>
      <c r="M218" s="4"/>
      <c r="N218" s="3"/>
      <c r="O218" s="3"/>
      <c r="P218" s="3"/>
      <c r="Q218" s="1"/>
      <c r="R218" s="1"/>
    </row>
    <row r="219" spans="8:18" ht="13.5" x14ac:dyDescent="0.25">
      <c r="H219" s="4"/>
      <c r="M219" s="4"/>
      <c r="N219" s="3"/>
      <c r="O219" s="3"/>
      <c r="P219" s="3"/>
      <c r="Q219" s="1"/>
      <c r="R219" s="1"/>
    </row>
    <row r="220" spans="8:18" ht="13.5" x14ac:dyDescent="0.25">
      <c r="H220" s="4"/>
      <c r="M220" s="4"/>
      <c r="N220" s="3"/>
      <c r="O220" s="3"/>
      <c r="P220" s="3"/>
      <c r="Q220" s="1"/>
      <c r="R220" s="1"/>
    </row>
    <row r="221" spans="8:18" ht="13.5" x14ac:dyDescent="0.25">
      <c r="H221" s="4"/>
      <c r="M221" s="4"/>
      <c r="N221" s="3"/>
      <c r="O221" s="3"/>
      <c r="P221" s="3"/>
      <c r="Q221" s="1"/>
      <c r="R221" s="1"/>
    </row>
    <row r="222" spans="8:18" ht="13.5" x14ac:dyDescent="0.25">
      <c r="H222" s="4"/>
      <c r="M222" s="4"/>
      <c r="N222" s="3"/>
      <c r="O222" s="3"/>
      <c r="P222" s="3"/>
      <c r="Q222" s="1"/>
      <c r="R222" s="1"/>
    </row>
    <row r="223" spans="8:18" ht="13.5" x14ac:dyDescent="0.25">
      <c r="H223" s="4"/>
      <c r="M223" s="4"/>
      <c r="N223" s="3"/>
      <c r="O223" s="3"/>
      <c r="P223" s="3"/>
      <c r="Q223" s="1"/>
      <c r="R223" s="1"/>
    </row>
    <row r="224" spans="8:18" ht="13.5" x14ac:dyDescent="0.25">
      <c r="H224" s="4"/>
      <c r="M224" s="4"/>
      <c r="N224" s="3"/>
      <c r="O224" s="3"/>
      <c r="P224" s="3"/>
      <c r="Q224" s="1"/>
      <c r="R224" s="1"/>
    </row>
    <row r="225" spans="8:18" ht="13.5" x14ac:dyDescent="0.25">
      <c r="H225" s="4"/>
      <c r="M225" s="4"/>
      <c r="N225" s="3"/>
      <c r="O225" s="3"/>
      <c r="P225" s="3"/>
      <c r="Q225" s="1"/>
      <c r="R225" s="1"/>
    </row>
    <row r="226" spans="8:18" ht="13.5" x14ac:dyDescent="0.25">
      <c r="H226" s="4"/>
      <c r="M226" s="4"/>
      <c r="N226" s="3"/>
      <c r="O226" s="3"/>
      <c r="P226" s="3"/>
      <c r="Q226" s="1"/>
      <c r="R226" s="1"/>
    </row>
    <row r="227" spans="8:18" ht="13.5" x14ac:dyDescent="0.25">
      <c r="H227" s="4"/>
      <c r="M227" s="4"/>
      <c r="N227" s="3"/>
      <c r="O227" s="3"/>
      <c r="P227" s="3"/>
      <c r="Q227" s="1"/>
      <c r="R227" s="1"/>
    </row>
    <row r="228" spans="8:18" ht="13.5" x14ac:dyDescent="0.25">
      <c r="H228" s="4"/>
      <c r="M228" s="4"/>
      <c r="N228" s="3"/>
      <c r="O228" s="3"/>
      <c r="P228" s="3"/>
      <c r="Q228" s="1"/>
      <c r="R228" s="1"/>
    </row>
    <row r="229" spans="8:18" ht="13.5" x14ac:dyDescent="0.25">
      <c r="H229" s="4"/>
      <c r="M229" s="4"/>
      <c r="N229" s="3"/>
      <c r="O229" s="3"/>
      <c r="P229" s="3"/>
      <c r="Q229" s="1"/>
      <c r="R229" s="1"/>
    </row>
    <row r="230" spans="8:18" ht="13.5" x14ac:dyDescent="0.25">
      <c r="H230" s="4"/>
      <c r="M230" s="4"/>
      <c r="N230" s="3"/>
      <c r="O230" s="3"/>
      <c r="P230" s="3"/>
      <c r="Q230" s="1"/>
      <c r="R230" s="1"/>
    </row>
    <row r="231" spans="8:18" ht="13.5" x14ac:dyDescent="0.25">
      <c r="H231" s="4"/>
      <c r="M231" s="4"/>
      <c r="N231" s="3"/>
      <c r="O231" s="3"/>
      <c r="P231" s="3"/>
      <c r="Q231" s="1"/>
      <c r="R231" s="1"/>
    </row>
    <row r="232" spans="8:18" ht="13.5" x14ac:dyDescent="0.25">
      <c r="H232" s="4"/>
      <c r="M232" s="4"/>
      <c r="N232" s="3"/>
      <c r="O232" s="3"/>
      <c r="P232" s="3"/>
      <c r="Q232" s="1"/>
      <c r="R232" s="1"/>
    </row>
    <row r="233" spans="8:18" ht="13.5" x14ac:dyDescent="0.25">
      <c r="H233" s="4"/>
      <c r="M233" s="4"/>
      <c r="N233" s="3"/>
      <c r="O233" s="3"/>
      <c r="P233" s="3"/>
      <c r="Q233" s="1"/>
      <c r="R233" s="1"/>
    </row>
    <row r="234" spans="8:18" ht="13.5" x14ac:dyDescent="0.25">
      <c r="H234" s="4"/>
      <c r="M234" s="4"/>
      <c r="N234" s="3"/>
      <c r="O234" s="3"/>
      <c r="P234" s="3"/>
      <c r="Q234" s="1"/>
      <c r="R234" s="1"/>
    </row>
    <row r="235" spans="8:18" ht="13.5" x14ac:dyDescent="0.25">
      <c r="H235" s="4"/>
      <c r="M235" s="4"/>
      <c r="N235" s="3"/>
      <c r="O235" s="3"/>
      <c r="P235" s="3"/>
      <c r="Q235" s="1"/>
      <c r="R235" s="1"/>
    </row>
    <row r="236" spans="8:18" ht="13.5" x14ac:dyDescent="0.25">
      <c r="H236" s="4"/>
      <c r="M236" s="4"/>
      <c r="N236" s="3"/>
      <c r="O236" s="3"/>
      <c r="P236" s="3"/>
      <c r="Q236" s="1"/>
      <c r="R236" s="1"/>
    </row>
    <row r="237" spans="8:18" ht="13.5" x14ac:dyDescent="0.25">
      <c r="H237" s="4"/>
      <c r="M237" s="4"/>
      <c r="N237" s="3"/>
      <c r="O237" s="3"/>
      <c r="P237" s="3"/>
      <c r="Q237" s="1"/>
      <c r="R237" s="1"/>
    </row>
    <row r="238" spans="8:18" ht="13.5" x14ac:dyDescent="0.25">
      <c r="H238" s="4"/>
      <c r="M238" s="4"/>
      <c r="N238" s="3"/>
      <c r="O238" s="3"/>
      <c r="P238" s="3"/>
      <c r="Q238" s="1"/>
      <c r="R238" s="1"/>
    </row>
    <row r="239" spans="8:18" ht="13.5" x14ac:dyDescent="0.25">
      <c r="H239" s="4"/>
      <c r="M239" s="4"/>
      <c r="N239" s="3"/>
      <c r="O239" s="3"/>
      <c r="P239" s="3"/>
      <c r="Q239" s="1"/>
      <c r="R239" s="1"/>
    </row>
    <row r="240" spans="8:18" ht="13.5" x14ac:dyDescent="0.25">
      <c r="H240" s="4"/>
      <c r="M240" s="4"/>
      <c r="N240" s="3"/>
      <c r="O240" s="3"/>
      <c r="P240" s="3"/>
      <c r="Q240" s="1"/>
      <c r="R240" s="1"/>
    </row>
    <row r="241" spans="8:18" ht="13.5" x14ac:dyDescent="0.25">
      <c r="H241" s="4"/>
      <c r="M241" s="4"/>
      <c r="N241" s="3"/>
      <c r="O241" s="3"/>
      <c r="P241" s="3"/>
      <c r="Q241" s="1"/>
      <c r="R241" s="1"/>
    </row>
    <row r="242" spans="8:18" ht="13.5" x14ac:dyDescent="0.25">
      <c r="H242" s="4"/>
      <c r="M242" s="4"/>
      <c r="N242" s="3"/>
      <c r="O242" s="3"/>
      <c r="P242" s="3"/>
      <c r="Q242" s="1"/>
      <c r="R242" s="1"/>
    </row>
    <row r="243" spans="8:18" ht="13.5" x14ac:dyDescent="0.25">
      <c r="H243" s="4"/>
      <c r="M243" s="4"/>
      <c r="N243" s="3"/>
      <c r="O243" s="3"/>
      <c r="P243" s="3"/>
      <c r="Q243" s="1"/>
      <c r="R243" s="1"/>
    </row>
    <row r="244" spans="8:18" ht="13.5" x14ac:dyDescent="0.25">
      <c r="H244" s="4"/>
      <c r="M244" s="4"/>
      <c r="N244" s="3"/>
      <c r="O244" s="3"/>
      <c r="P244" s="3"/>
      <c r="Q244" s="1"/>
      <c r="R244" s="1"/>
    </row>
    <row r="245" spans="8:18" ht="13.5" x14ac:dyDescent="0.25">
      <c r="H245" s="4"/>
      <c r="M245" s="4"/>
      <c r="N245" s="3"/>
      <c r="O245" s="3"/>
      <c r="P245" s="3"/>
      <c r="Q245" s="1"/>
      <c r="R245" s="1"/>
    </row>
    <row r="246" spans="8:18" ht="13.5" x14ac:dyDescent="0.25">
      <c r="H246" s="4"/>
      <c r="M246" s="4"/>
      <c r="N246" s="3"/>
      <c r="O246" s="3"/>
      <c r="P246" s="3"/>
      <c r="Q246" s="1"/>
      <c r="R246" s="1"/>
    </row>
    <row r="247" spans="8:18" ht="13.5" x14ac:dyDescent="0.25">
      <c r="H247" s="4"/>
      <c r="M247" s="4"/>
      <c r="N247" s="3"/>
      <c r="O247" s="3"/>
      <c r="P247" s="3"/>
      <c r="Q247" s="1"/>
      <c r="R247" s="1"/>
    </row>
    <row r="248" spans="8:18" ht="13.5" x14ac:dyDescent="0.25">
      <c r="H248" s="4"/>
      <c r="M248" s="4"/>
      <c r="N248" s="3"/>
      <c r="O248" s="3"/>
      <c r="P248" s="3"/>
      <c r="Q248" s="1"/>
      <c r="R248" s="1"/>
    </row>
    <row r="249" spans="8:18" ht="13.5" x14ac:dyDescent="0.25">
      <c r="H249" s="4"/>
      <c r="M249" s="4"/>
      <c r="N249" s="3"/>
      <c r="O249" s="3"/>
      <c r="P249" s="3"/>
      <c r="Q249" s="1"/>
      <c r="R249" s="1"/>
    </row>
    <row r="250" spans="8:18" ht="13.5" x14ac:dyDescent="0.25">
      <c r="H250" s="4"/>
      <c r="M250" s="4"/>
      <c r="N250" s="3"/>
      <c r="O250" s="3"/>
      <c r="P250" s="3"/>
      <c r="Q250" s="1"/>
      <c r="R250" s="1"/>
    </row>
    <row r="251" spans="8:18" ht="13.5" x14ac:dyDescent="0.25">
      <c r="H251" s="4"/>
      <c r="M251" s="4"/>
      <c r="N251" s="3"/>
      <c r="O251" s="3"/>
      <c r="P251" s="3"/>
      <c r="Q251" s="1"/>
      <c r="R251" s="1"/>
    </row>
    <row r="252" spans="8:18" ht="13.5" x14ac:dyDescent="0.25">
      <c r="H252" s="4"/>
      <c r="M252" s="4"/>
      <c r="N252" s="3"/>
      <c r="O252" s="3"/>
      <c r="P252" s="3"/>
      <c r="Q252" s="1"/>
      <c r="R252" s="1"/>
    </row>
    <row r="253" spans="8:18" ht="13.5" x14ac:dyDescent="0.25">
      <c r="H253" s="4"/>
      <c r="M253" s="4"/>
      <c r="N253" s="3"/>
      <c r="O253" s="3"/>
      <c r="P253" s="3"/>
      <c r="Q253" s="1"/>
      <c r="R253" s="1"/>
    </row>
    <row r="254" spans="8:18" ht="13.5" x14ac:dyDescent="0.25">
      <c r="H254" s="4"/>
      <c r="M254" s="4"/>
      <c r="N254" s="3"/>
      <c r="O254" s="3"/>
      <c r="P254" s="3"/>
      <c r="Q254" s="1"/>
      <c r="R254" s="1"/>
    </row>
    <row r="255" spans="8:18" ht="13.5" x14ac:dyDescent="0.25">
      <c r="H255" s="4"/>
      <c r="M255" s="4"/>
      <c r="N255" s="3"/>
      <c r="O255" s="3"/>
      <c r="P255" s="3"/>
      <c r="Q255" s="1"/>
      <c r="R255" s="1"/>
    </row>
    <row r="256" spans="8:18" ht="13.5" x14ac:dyDescent="0.25">
      <c r="H256" s="4"/>
      <c r="M256" s="4"/>
      <c r="N256" s="3"/>
      <c r="O256" s="3"/>
      <c r="P256" s="3"/>
      <c r="Q256" s="1"/>
      <c r="R256" s="1"/>
    </row>
    <row r="257" spans="8:18" ht="13.5" x14ac:dyDescent="0.25">
      <c r="H257" s="4"/>
      <c r="M257" s="4"/>
      <c r="N257" s="3"/>
      <c r="O257" s="3"/>
      <c r="P257" s="3"/>
      <c r="Q257" s="1"/>
      <c r="R257" s="1"/>
    </row>
    <row r="258" spans="8:18" ht="13.5" x14ac:dyDescent="0.25">
      <c r="H258" s="4"/>
      <c r="M258" s="4"/>
      <c r="N258" s="3"/>
      <c r="O258" s="3"/>
      <c r="P258" s="3"/>
      <c r="Q258" s="1"/>
      <c r="R258" s="1"/>
    </row>
    <row r="259" spans="8:18" ht="13.5" x14ac:dyDescent="0.25">
      <c r="H259" s="4"/>
      <c r="M259" s="4"/>
      <c r="N259" s="3"/>
      <c r="O259" s="3"/>
      <c r="P259" s="3"/>
      <c r="Q259" s="1"/>
      <c r="R259" s="1"/>
    </row>
    <row r="260" spans="8:18" ht="13.5" x14ac:dyDescent="0.25">
      <c r="H260" s="4"/>
      <c r="M260" s="4"/>
      <c r="N260" s="3"/>
      <c r="O260" s="3"/>
      <c r="P260" s="3"/>
      <c r="Q260" s="1"/>
      <c r="R260" s="1"/>
    </row>
    <row r="261" spans="8:18" ht="13.5" x14ac:dyDescent="0.25">
      <c r="H261" s="4"/>
      <c r="M261" s="4"/>
      <c r="N261" s="3"/>
      <c r="O261" s="3"/>
      <c r="P261" s="3"/>
      <c r="Q261" s="1"/>
      <c r="R261" s="1"/>
    </row>
    <row r="262" spans="8:18" ht="13.5" x14ac:dyDescent="0.25">
      <c r="H262" s="4"/>
      <c r="M262" s="4"/>
      <c r="N262" s="3"/>
      <c r="O262" s="3"/>
      <c r="P262" s="3"/>
      <c r="Q262" s="1"/>
      <c r="R262" s="1"/>
    </row>
    <row r="263" spans="8:18" ht="13.5" x14ac:dyDescent="0.25">
      <c r="H263" s="4"/>
      <c r="M263" s="4"/>
      <c r="N263" s="3"/>
      <c r="O263" s="3"/>
      <c r="P263" s="3"/>
      <c r="Q263" s="1"/>
      <c r="R263" s="1"/>
    </row>
    <row r="264" spans="8:18" ht="13.5" x14ac:dyDescent="0.25">
      <c r="H264" s="4"/>
      <c r="M264" s="4"/>
      <c r="N264" s="3"/>
      <c r="O264" s="3"/>
      <c r="P264" s="3"/>
      <c r="Q264" s="1"/>
      <c r="R264" s="1"/>
    </row>
    <row r="265" spans="8:18" ht="13.5" x14ac:dyDescent="0.25">
      <c r="H265" s="4"/>
      <c r="M265" s="4"/>
      <c r="N265" s="3"/>
      <c r="O265" s="3"/>
      <c r="P265" s="3"/>
      <c r="Q265" s="1"/>
      <c r="R265" s="1"/>
    </row>
    <row r="266" spans="8:18" ht="13.5" x14ac:dyDescent="0.25">
      <c r="H266" s="4"/>
      <c r="M266" s="4"/>
      <c r="N266" s="3"/>
      <c r="O266" s="3"/>
      <c r="P266" s="3"/>
      <c r="Q266" s="1"/>
      <c r="R266" s="1"/>
    </row>
    <row r="267" spans="8:18" ht="13.5" x14ac:dyDescent="0.25">
      <c r="H267" s="4"/>
      <c r="M267" s="4"/>
      <c r="N267" s="3"/>
      <c r="O267" s="3"/>
      <c r="P267" s="3"/>
      <c r="Q267" s="1"/>
      <c r="R267" s="1"/>
    </row>
    <row r="268" spans="8:18" ht="13.5" x14ac:dyDescent="0.25">
      <c r="H268" s="4"/>
      <c r="M268" s="4"/>
      <c r="N268" s="3"/>
      <c r="O268" s="3"/>
      <c r="P268" s="3"/>
      <c r="Q268" s="1"/>
      <c r="R268" s="1"/>
    </row>
    <row r="269" spans="8:18" ht="13.5" x14ac:dyDescent="0.25">
      <c r="H269" s="4"/>
      <c r="M269" s="4"/>
      <c r="N269" s="3"/>
      <c r="O269" s="3"/>
      <c r="P269" s="3"/>
      <c r="Q269" s="1"/>
      <c r="R269" s="1"/>
    </row>
    <row r="270" spans="8:18" ht="13.5" x14ac:dyDescent="0.25">
      <c r="H270" s="4"/>
      <c r="M270" s="4"/>
      <c r="N270" s="3"/>
      <c r="O270" s="3"/>
      <c r="P270" s="3"/>
      <c r="Q270" s="1"/>
      <c r="R270" s="1"/>
    </row>
    <row r="271" spans="8:18" ht="13.5" x14ac:dyDescent="0.25">
      <c r="H271" s="4"/>
      <c r="M271" s="4"/>
      <c r="N271" s="3"/>
      <c r="O271" s="3"/>
      <c r="P271" s="3"/>
      <c r="Q271" s="1"/>
      <c r="R271" s="1"/>
    </row>
    <row r="272" spans="8:18" ht="13.5" x14ac:dyDescent="0.25">
      <c r="H272" s="4"/>
      <c r="M272" s="4"/>
      <c r="N272" s="3"/>
      <c r="O272" s="3"/>
      <c r="P272" s="3"/>
      <c r="Q272" s="1"/>
      <c r="R272" s="1"/>
    </row>
    <row r="273" spans="8:18" ht="13.5" x14ac:dyDescent="0.25">
      <c r="H273" s="4"/>
      <c r="M273" s="4"/>
      <c r="N273" s="3"/>
      <c r="O273" s="3"/>
      <c r="P273" s="3"/>
      <c r="Q273" s="1"/>
      <c r="R273" s="1"/>
    </row>
    <row r="274" spans="8:18" ht="13.5" x14ac:dyDescent="0.25">
      <c r="H274" s="4"/>
      <c r="M274" s="4"/>
      <c r="N274" s="3"/>
      <c r="O274" s="3"/>
      <c r="P274" s="3"/>
      <c r="Q274" s="1"/>
      <c r="R274" s="1"/>
    </row>
    <row r="275" spans="8:18" ht="13.5" x14ac:dyDescent="0.25">
      <c r="H275" s="4"/>
      <c r="M275" s="4"/>
      <c r="N275" s="3"/>
      <c r="O275" s="3"/>
      <c r="P275" s="3"/>
      <c r="Q275" s="1"/>
      <c r="R275" s="1"/>
    </row>
    <row r="276" spans="8:18" ht="13.5" x14ac:dyDescent="0.25">
      <c r="H276" s="4"/>
      <c r="M276" s="4"/>
      <c r="N276" s="3"/>
      <c r="O276" s="3"/>
      <c r="P276" s="3"/>
      <c r="Q276" s="1"/>
      <c r="R276" s="1"/>
    </row>
    <row r="277" spans="8:18" ht="13.5" x14ac:dyDescent="0.25">
      <c r="H277" s="4"/>
      <c r="M277" s="4"/>
      <c r="N277" s="3"/>
      <c r="O277" s="3"/>
      <c r="P277" s="3"/>
      <c r="Q277" s="1"/>
      <c r="R277" s="1"/>
    </row>
    <row r="278" spans="8:18" ht="13.5" x14ac:dyDescent="0.25">
      <c r="H278" s="4"/>
      <c r="M278" s="4"/>
      <c r="N278" s="3"/>
      <c r="O278" s="3"/>
      <c r="P278" s="3"/>
      <c r="Q278" s="1"/>
      <c r="R278" s="1"/>
    </row>
    <row r="279" spans="8:18" ht="13.5" x14ac:dyDescent="0.25">
      <c r="H279" s="4"/>
      <c r="M279" s="4"/>
      <c r="N279" s="3"/>
      <c r="O279" s="3"/>
      <c r="P279" s="3"/>
      <c r="Q279" s="1"/>
      <c r="R279" s="1"/>
    </row>
    <row r="280" spans="8:18" ht="13.5" x14ac:dyDescent="0.25">
      <c r="H280" s="4"/>
      <c r="M280" s="4"/>
      <c r="N280" s="3"/>
      <c r="O280" s="3"/>
      <c r="P280" s="3"/>
      <c r="Q280" s="1"/>
      <c r="R280" s="1"/>
    </row>
    <row r="281" spans="8:18" ht="13.5" x14ac:dyDescent="0.25">
      <c r="H281" s="4"/>
      <c r="M281" s="4"/>
      <c r="N281" s="3"/>
      <c r="O281" s="3"/>
      <c r="P281" s="3"/>
      <c r="Q281" s="1"/>
      <c r="R281" s="1"/>
    </row>
    <row r="282" spans="8:18" ht="13.5" x14ac:dyDescent="0.25">
      <c r="H282" s="4"/>
      <c r="M282" s="4"/>
      <c r="N282" s="3"/>
      <c r="O282" s="3"/>
      <c r="P282" s="3"/>
      <c r="Q282" s="1"/>
      <c r="R282" s="1"/>
    </row>
    <row r="283" spans="8:18" ht="13.5" x14ac:dyDescent="0.25">
      <c r="H283" s="4"/>
      <c r="M283" s="4"/>
      <c r="N283" s="3"/>
      <c r="O283" s="3"/>
      <c r="P283" s="3"/>
      <c r="Q283" s="1"/>
      <c r="R283" s="1"/>
    </row>
    <row r="284" spans="8:18" ht="13.5" x14ac:dyDescent="0.25">
      <c r="H284" s="4"/>
      <c r="M284" s="4"/>
      <c r="N284" s="3"/>
      <c r="O284" s="3"/>
      <c r="P284" s="3"/>
      <c r="Q284" s="1"/>
      <c r="R284" s="1"/>
    </row>
    <row r="285" spans="8:18" ht="13.5" x14ac:dyDescent="0.25">
      <c r="H285" s="4"/>
      <c r="M285" s="4"/>
      <c r="N285" s="3"/>
      <c r="O285" s="3"/>
      <c r="P285" s="3"/>
      <c r="Q285" s="1"/>
      <c r="R285" s="1"/>
    </row>
    <row r="286" spans="8:18" ht="13.5" x14ac:dyDescent="0.25">
      <c r="H286" s="4"/>
      <c r="M286" s="4"/>
      <c r="N286" s="3"/>
      <c r="O286" s="3"/>
      <c r="P286" s="3"/>
      <c r="Q286" s="1"/>
      <c r="R286" s="1"/>
    </row>
    <row r="287" spans="8:18" ht="13.5" x14ac:dyDescent="0.25">
      <c r="H287" s="4"/>
      <c r="M287" s="4"/>
      <c r="N287" s="3"/>
      <c r="O287" s="3"/>
      <c r="P287" s="3"/>
      <c r="Q287" s="1"/>
      <c r="R287" s="1"/>
    </row>
    <row r="288" spans="8:18" ht="13.5" x14ac:dyDescent="0.25">
      <c r="H288" s="4"/>
      <c r="M288" s="4"/>
      <c r="N288" s="3"/>
      <c r="O288" s="3"/>
      <c r="P288" s="3"/>
      <c r="Q288" s="1"/>
      <c r="R288" s="1"/>
    </row>
    <row r="289" spans="8:18" ht="13.5" x14ac:dyDescent="0.25">
      <c r="H289" s="4"/>
      <c r="M289" s="4"/>
      <c r="N289" s="3"/>
      <c r="O289" s="3"/>
      <c r="P289" s="3"/>
      <c r="Q289" s="1"/>
      <c r="R289" s="1"/>
    </row>
    <row r="290" spans="8:18" ht="13.5" x14ac:dyDescent="0.25">
      <c r="H290" s="4"/>
      <c r="M290" s="4"/>
      <c r="N290" s="3"/>
      <c r="O290" s="3"/>
      <c r="P290" s="3"/>
      <c r="Q290" s="1"/>
      <c r="R290" s="1"/>
    </row>
    <row r="291" spans="8:18" ht="13.5" x14ac:dyDescent="0.25">
      <c r="H291" s="4"/>
      <c r="M291" s="4"/>
      <c r="N291" s="3"/>
      <c r="O291" s="3"/>
      <c r="P291" s="3"/>
      <c r="Q291" s="1"/>
      <c r="R291" s="1"/>
    </row>
    <row r="292" spans="8:18" ht="13.5" x14ac:dyDescent="0.25">
      <c r="H292" s="4"/>
      <c r="M292" s="4"/>
      <c r="N292" s="3"/>
      <c r="O292" s="3"/>
      <c r="P292" s="3"/>
      <c r="Q292" s="1"/>
      <c r="R292" s="1"/>
    </row>
    <row r="293" spans="8:18" ht="13.5" x14ac:dyDescent="0.25">
      <c r="H293" s="4"/>
      <c r="M293" s="4"/>
      <c r="N293" s="3"/>
      <c r="O293" s="3"/>
      <c r="P293" s="3"/>
      <c r="Q293" s="1"/>
      <c r="R293" s="1"/>
    </row>
    <row r="294" spans="8:18" ht="13.5" x14ac:dyDescent="0.25">
      <c r="H294" s="4"/>
      <c r="M294" s="4"/>
      <c r="N294" s="3"/>
      <c r="O294" s="3"/>
      <c r="P294" s="3"/>
      <c r="Q294" s="1"/>
      <c r="R294" s="1"/>
    </row>
    <row r="295" spans="8:18" ht="13.5" x14ac:dyDescent="0.25">
      <c r="H295" s="4"/>
      <c r="M295" s="4"/>
      <c r="N295" s="3"/>
      <c r="O295" s="3"/>
      <c r="P295" s="3"/>
      <c r="Q295" s="1"/>
      <c r="R295" s="1"/>
    </row>
    <row r="296" spans="8:18" ht="13.5" x14ac:dyDescent="0.25">
      <c r="H296" s="4"/>
      <c r="M296" s="4"/>
      <c r="N296" s="3"/>
      <c r="O296" s="3"/>
      <c r="P296" s="3"/>
      <c r="Q296" s="1"/>
      <c r="R296" s="1"/>
    </row>
    <row r="297" spans="8:18" ht="13.5" x14ac:dyDescent="0.25">
      <c r="H297" s="4"/>
      <c r="M297" s="4"/>
      <c r="N297" s="3"/>
      <c r="O297" s="3"/>
      <c r="P297" s="3"/>
      <c r="Q297" s="1"/>
      <c r="R297" s="1"/>
    </row>
    <row r="298" spans="8:18" ht="13.5" x14ac:dyDescent="0.25">
      <c r="H298" s="4"/>
      <c r="M298" s="4"/>
      <c r="N298" s="3"/>
      <c r="O298" s="3"/>
      <c r="P298" s="3"/>
      <c r="Q298" s="1"/>
      <c r="R298" s="1"/>
    </row>
    <row r="299" spans="8:18" ht="13.5" x14ac:dyDescent="0.25">
      <c r="H299" s="4"/>
      <c r="M299" s="4"/>
      <c r="N299" s="3"/>
      <c r="O299" s="3"/>
      <c r="P299" s="3"/>
      <c r="Q299" s="1"/>
      <c r="R299" s="1"/>
    </row>
    <row r="300" spans="8:18" ht="13.5" x14ac:dyDescent="0.25">
      <c r="H300" s="4"/>
      <c r="M300" s="4"/>
      <c r="N300" s="3"/>
      <c r="O300" s="3"/>
      <c r="P300" s="3"/>
      <c r="Q300" s="1"/>
      <c r="R300" s="1"/>
    </row>
    <row r="301" spans="8:18" ht="13.5" x14ac:dyDescent="0.25">
      <c r="H301" s="4"/>
      <c r="M301" s="4"/>
      <c r="N301" s="3"/>
      <c r="O301" s="3"/>
      <c r="P301" s="3"/>
      <c r="Q301" s="1"/>
      <c r="R301" s="1"/>
    </row>
    <row r="302" spans="8:18" ht="13.5" x14ac:dyDescent="0.25">
      <c r="H302" s="4"/>
      <c r="M302" s="4"/>
      <c r="N302" s="3"/>
      <c r="O302" s="3"/>
      <c r="P302" s="3"/>
      <c r="Q302" s="1"/>
      <c r="R302" s="1"/>
    </row>
    <row r="303" spans="8:18" ht="13.5" x14ac:dyDescent="0.25">
      <c r="H303" s="4"/>
      <c r="M303" s="4"/>
      <c r="N303" s="3"/>
      <c r="O303" s="3"/>
      <c r="P303" s="3"/>
      <c r="Q303" s="1"/>
      <c r="R303" s="1"/>
    </row>
    <row r="304" spans="8:18" ht="13.5" x14ac:dyDescent="0.25">
      <c r="H304" s="4"/>
      <c r="M304" s="4"/>
      <c r="N304" s="3"/>
      <c r="O304" s="3"/>
      <c r="P304" s="3"/>
      <c r="Q304" s="1"/>
      <c r="R304" s="1"/>
    </row>
    <row r="305" spans="8:18" ht="13.5" x14ac:dyDescent="0.25">
      <c r="H305" s="4"/>
      <c r="M305" s="4"/>
      <c r="N305" s="3"/>
      <c r="O305" s="3"/>
      <c r="P305" s="3"/>
      <c r="Q305" s="1"/>
      <c r="R305" s="1"/>
    </row>
    <row r="306" spans="8:18" ht="13.5" x14ac:dyDescent="0.25">
      <c r="H306" s="4"/>
      <c r="M306" s="4"/>
      <c r="N306" s="3"/>
      <c r="O306" s="3"/>
      <c r="P306" s="3"/>
      <c r="Q306" s="1"/>
      <c r="R306" s="1"/>
    </row>
    <row r="307" spans="8:18" ht="13.5" x14ac:dyDescent="0.25">
      <c r="H307" s="4"/>
      <c r="M307" s="4"/>
      <c r="N307" s="3"/>
      <c r="O307" s="3"/>
      <c r="P307" s="3"/>
      <c r="Q307" s="1"/>
      <c r="R307" s="1"/>
    </row>
    <row r="308" spans="8:18" ht="13.5" x14ac:dyDescent="0.25">
      <c r="H308" s="4"/>
      <c r="M308" s="4"/>
      <c r="N308" s="3"/>
      <c r="O308" s="3"/>
      <c r="P308" s="3"/>
      <c r="Q308" s="1"/>
      <c r="R308" s="1"/>
    </row>
    <row r="309" spans="8:18" ht="13.5" x14ac:dyDescent="0.25">
      <c r="H309" s="4"/>
      <c r="M309" s="4"/>
      <c r="N309" s="3"/>
      <c r="O309" s="3"/>
      <c r="P309" s="3"/>
      <c r="Q309" s="1"/>
      <c r="R309" s="1"/>
    </row>
    <row r="310" spans="8:18" ht="13.5" x14ac:dyDescent="0.25">
      <c r="H310" s="4"/>
      <c r="M310" s="4"/>
      <c r="N310" s="3"/>
      <c r="O310" s="3"/>
      <c r="P310" s="3"/>
      <c r="Q310" s="1"/>
      <c r="R310" s="1"/>
    </row>
    <row r="311" spans="8:18" ht="13.5" x14ac:dyDescent="0.25">
      <c r="H311" s="4"/>
      <c r="M311" s="4"/>
      <c r="N311" s="3"/>
      <c r="O311" s="3"/>
      <c r="P311" s="3"/>
      <c r="Q311" s="1"/>
      <c r="R311" s="1"/>
    </row>
    <row r="312" spans="8:18" ht="13.5" x14ac:dyDescent="0.25">
      <c r="H312" s="4"/>
      <c r="M312" s="4"/>
      <c r="N312" s="3"/>
      <c r="O312" s="3"/>
      <c r="P312" s="3"/>
      <c r="Q312" s="1"/>
      <c r="R312" s="1"/>
    </row>
    <row r="313" spans="8:18" ht="13.5" x14ac:dyDescent="0.25">
      <c r="H313" s="4"/>
      <c r="M313" s="4"/>
      <c r="N313" s="3"/>
      <c r="O313" s="3"/>
      <c r="P313" s="3"/>
      <c r="Q313" s="1"/>
      <c r="R313" s="1"/>
    </row>
    <row r="314" spans="8:18" ht="13.5" x14ac:dyDescent="0.25">
      <c r="H314" s="4"/>
      <c r="M314" s="4"/>
      <c r="N314" s="3"/>
      <c r="O314" s="3"/>
      <c r="P314" s="3"/>
      <c r="Q314" s="1"/>
      <c r="R314" s="1"/>
    </row>
    <row r="315" spans="8:18" ht="13.5" x14ac:dyDescent="0.25">
      <c r="H315" s="4"/>
      <c r="M315" s="4"/>
      <c r="N315" s="3"/>
      <c r="O315" s="3"/>
      <c r="P315" s="3"/>
      <c r="Q315" s="1"/>
      <c r="R315" s="1"/>
    </row>
    <row r="316" spans="8:18" ht="13.5" x14ac:dyDescent="0.25">
      <c r="H316" s="4"/>
      <c r="M316" s="4"/>
      <c r="N316" s="3"/>
      <c r="O316" s="3"/>
      <c r="P316" s="3"/>
      <c r="Q316" s="1"/>
      <c r="R316" s="1"/>
    </row>
    <row r="317" spans="8:18" ht="13.5" x14ac:dyDescent="0.25">
      <c r="H317" s="4"/>
      <c r="M317" s="4"/>
      <c r="N317" s="3"/>
      <c r="O317" s="3"/>
      <c r="P317" s="3"/>
      <c r="Q317" s="1"/>
      <c r="R317" s="1"/>
    </row>
    <row r="318" spans="8:18" ht="13.5" x14ac:dyDescent="0.25">
      <c r="H318" s="4"/>
      <c r="M318" s="4"/>
      <c r="N318" s="3"/>
      <c r="O318" s="3"/>
      <c r="P318" s="3"/>
      <c r="Q318" s="1"/>
      <c r="R318" s="1"/>
    </row>
    <row r="319" spans="8:18" ht="13.5" x14ac:dyDescent="0.25">
      <c r="H319" s="4"/>
      <c r="M319" s="4"/>
      <c r="N319" s="3"/>
      <c r="O319" s="3"/>
      <c r="P319" s="3"/>
      <c r="Q319" s="1"/>
      <c r="R319" s="1"/>
    </row>
    <row r="320" spans="8:18" ht="13.5" x14ac:dyDescent="0.25">
      <c r="H320" s="4"/>
      <c r="M320" s="4"/>
      <c r="N320" s="3"/>
      <c r="O320" s="3"/>
      <c r="P320" s="3"/>
      <c r="Q320" s="1"/>
      <c r="R320" s="1"/>
    </row>
    <row r="321" spans="8:18" ht="13.5" x14ac:dyDescent="0.25">
      <c r="H321" s="4"/>
      <c r="M321" s="4"/>
      <c r="N321" s="3"/>
      <c r="O321" s="3"/>
      <c r="P321" s="3"/>
      <c r="Q321" s="1"/>
      <c r="R321" s="1"/>
    </row>
    <row r="322" spans="8:18" ht="13.5" x14ac:dyDescent="0.25">
      <c r="H322" s="4"/>
      <c r="M322" s="4"/>
      <c r="N322" s="3"/>
      <c r="O322" s="3"/>
      <c r="P322" s="3"/>
      <c r="Q322" s="1"/>
      <c r="R322" s="1"/>
    </row>
    <row r="323" spans="8:18" ht="13.5" x14ac:dyDescent="0.25">
      <c r="H323" s="4"/>
      <c r="M323" s="4"/>
      <c r="N323" s="3"/>
      <c r="O323" s="3"/>
      <c r="P323" s="3"/>
      <c r="Q323" s="1"/>
      <c r="R323" s="1"/>
    </row>
    <row r="324" spans="8:18" ht="13.5" x14ac:dyDescent="0.25">
      <c r="H324" s="4"/>
      <c r="M324" s="4"/>
      <c r="N324" s="3"/>
      <c r="O324" s="3"/>
      <c r="P324" s="3"/>
      <c r="Q324" s="1"/>
      <c r="R324" s="1"/>
    </row>
    <row r="325" spans="8:18" ht="13.5" x14ac:dyDescent="0.25">
      <c r="H325" s="4"/>
      <c r="M325" s="4"/>
      <c r="N325" s="3"/>
      <c r="O325" s="3"/>
      <c r="P325" s="3"/>
      <c r="Q325" s="1"/>
      <c r="R325" s="1"/>
    </row>
    <row r="326" spans="8:18" ht="13.5" x14ac:dyDescent="0.25">
      <c r="H326" s="4"/>
      <c r="M326" s="4"/>
      <c r="N326" s="3"/>
      <c r="O326" s="3"/>
      <c r="P326" s="3"/>
      <c r="Q326" s="1"/>
      <c r="R326" s="1"/>
    </row>
    <row r="327" spans="8:18" ht="13.5" x14ac:dyDescent="0.25">
      <c r="H327" s="4"/>
      <c r="M327" s="4"/>
      <c r="N327" s="3"/>
      <c r="O327" s="3"/>
      <c r="P327" s="3"/>
      <c r="Q327" s="1"/>
      <c r="R327" s="1"/>
    </row>
    <row r="328" spans="8:18" ht="13.5" x14ac:dyDescent="0.25">
      <c r="H328" s="4"/>
      <c r="M328" s="4"/>
      <c r="N328" s="3"/>
      <c r="O328" s="3"/>
      <c r="P328" s="3"/>
      <c r="Q328" s="1"/>
      <c r="R328" s="1"/>
    </row>
    <row r="329" spans="8:18" ht="13.5" x14ac:dyDescent="0.25">
      <c r="H329" s="4"/>
      <c r="M329" s="4"/>
      <c r="N329" s="3"/>
      <c r="O329" s="3"/>
      <c r="P329" s="3"/>
      <c r="Q329" s="1"/>
      <c r="R329" s="1"/>
    </row>
    <row r="330" spans="8:18" ht="13.5" x14ac:dyDescent="0.25">
      <c r="H330" s="4"/>
      <c r="M330" s="4"/>
      <c r="N330" s="3"/>
      <c r="O330" s="3"/>
      <c r="P330" s="3"/>
      <c r="Q330" s="1"/>
      <c r="R330" s="1"/>
    </row>
    <row r="331" spans="8:18" ht="13.5" x14ac:dyDescent="0.25">
      <c r="H331" s="4"/>
      <c r="M331" s="4"/>
      <c r="N331" s="3"/>
      <c r="O331" s="3"/>
      <c r="P331" s="3"/>
      <c r="Q331" s="1"/>
      <c r="R331" s="1"/>
    </row>
    <row r="332" spans="8:18" ht="13.5" x14ac:dyDescent="0.25">
      <c r="H332" s="4"/>
      <c r="M332" s="4"/>
      <c r="N332" s="3"/>
      <c r="O332" s="3"/>
      <c r="P332" s="3"/>
      <c r="Q332" s="1"/>
      <c r="R332" s="1"/>
    </row>
    <row r="333" spans="8:18" ht="13.5" x14ac:dyDescent="0.25">
      <c r="H333" s="4"/>
      <c r="M333" s="4"/>
      <c r="N333" s="3"/>
      <c r="O333" s="3"/>
      <c r="P333" s="3"/>
      <c r="Q333" s="1"/>
      <c r="R333" s="1"/>
    </row>
    <row r="334" spans="8:18" ht="13.5" x14ac:dyDescent="0.25">
      <c r="H334" s="4"/>
      <c r="M334" s="4"/>
      <c r="N334" s="3"/>
      <c r="O334" s="3"/>
      <c r="P334" s="3"/>
      <c r="Q334" s="1"/>
      <c r="R334" s="1"/>
    </row>
    <row r="335" spans="8:18" ht="13.5" x14ac:dyDescent="0.25">
      <c r="H335" s="4"/>
      <c r="M335" s="4"/>
      <c r="N335" s="3"/>
      <c r="O335" s="3"/>
      <c r="P335" s="3"/>
      <c r="Q335" s="1"/>
      <c r="R335" s="1"/>
    </row>
    <row r="336" spans="8:18" ht="13.5" x14ac:dyDescent="0.25">
      <c r="H336" s="4"/>
      <c r="M336" s="4"/>
      <c r="N336" s="3"/>
      <c r="O336" s="3"/>
      <c r="P336" s="3"/>
      <c r="Q336" s="1"/>
      <c r="R336" s="1"/>
    </row>
    <row r="337" spans="8:18" ht="13.5" x14ac:dyDescent="0.25">
      <c r="H337" s="4"/>
      <c r="M337" s="4"/>
      <c r="N337" s="3"/>
      <c r="O337" s="3"/>
      <c r="P337" s="3"/>
      <c r="Q337" s="1"/>
      <c r="R337" s="1"/>
    </row>
    <row r="338" spans="8:18" ht="13.5" x14ac:dyDescent="0.25">
      <c r="H338" s="4"/>
      <c r="M338" s="4"/>
      <c r="N338" s="3"/>
      <c r="O338" s="3"/>
      <c r="P338" s="3"/>
      <c r="Q338" s="1"/>
      <c r="R338" s="1"/>
    </row>
    <row r="339" spans="8:18" ht="13.5" x14ac:dyDescent="0.25">
      <c r="H339" s="4"/>
      <c r="M339" s="4"/>
      <c r="N339" s="3"/>
      <c r="O339" s="3"/>
      <c r="P339" s="3"/>
      <c r="Q339" s="1"/>
      <c r="R339" s="1"/>
    </row>
    <row r="340" spans="8:18" ht="13.5" x14ac:dyDescent="0.25">
      <c r="H340" s="4"/>
      <c r="M340" s="4"/>
      <c r="N340" s="3"/>
      <c r="O340" s="3"/>
      <c r="P340" s="3"/>
      <c r="Q340" s="1"/>
      <c r="R340" s="1"/>
    </row>
    <row r="341" spans="8:18" ht="13.5" x14ac:dyDescent="0.25">
      <c r="H341" s="4"/>
      <c r="M341" s="4"/>
      <c r="N341" s="3"/>
      <c r="O341" s="3"/>
      <c r="P341" s="3"/>
      <c r="Q341" s="1"/>
      <c r="R341" s="1"/>
    </row>
    <row r="342" spans="8:18" ht="13.5" x14ac:dyDescent="0.25">
      <c r="H342" s="4"/>
      <c r="M342" s="4"/>
      <c r="N342" s="3"/>
      <c r="O342" s="3"/>
      <c r="P342" s="3"/>
      <c r="Q342" s="1"/>
      <c r="R342" s="1"/>
    </row>
    <row r="343" spans="8:18" ht="13.5" x14ac:dyDescent="0.25">
      <c r="H343" s="4"/>
      <c r="M343" s="4"/>
      <c r="N343" s="3"/>
      <c r="O343" s="3"/>
      <c r="P343" s="3"/>
      <c r="Q343" s="1"/>
      <c r="R343" s="1"/>
    </row>
    <row r="344" spans="8:18" ht="13.5" x14ac:dyDescent="0.25">
      <c r="H344" s="4"/>
      <c r="M344" s="4"/>
      <c r="N344" s="3"/>
      <c r="O344" s="3"/>
      <c r="P344" s="3"/>
      <c r="Q344" s="1"/>
      <c r="R344" s="1"/>
    </row>
    <row r="345" spans="8:18" ht="13.5" x14ac:dyDescent="0.25">
      <c r="H345" s="4"/>
      <c r="M345" s="4"/>
      <c r="N345" s="3"/>
      <c r="O345" s="3"/>
      <c r="P345" s="3"/>
      <c r="Q345" s="1"/>
      <c r="R345" s="1"/>
    </row>
    <row r="346" spans="8:18" ht="13.5" x14ac:dyDescent="0.25">
      <c r="H346" s="4"/>
      <c r="M346" s="4"/>
      <c r="N346" s="3"/>
      <c r="O346" s="3"/>
      <c r="P346" s="3"/>
      <c r="Q346" s="1"/>
      <c r="R346" s="1"/>
    </row>
    <row r="347" spans="8:18" ht="13.5" x14ac:dyDescent="0.25">
      <c r="H347" s="4"/>
      <c r="M347" s="4"/>
      <c r="N347" s="3"/>
      <c r="O347" s="3"/>
      <c r="P347" s="3"/>
      <c r="Q347" s="1"/>
      <c r="R347" s="1"/>
    </row>
    <row r="348" spans="8:18" ht="13.5" x14ac:dyDescent="0.25">
      <c r="H348" s="4"/>
      <c r="M348" s="4"/>
      <c r="N348" s="3"/>
      <c r="O348" s="3"/>
      <c r="P348" s="3"/>
      <c r="Q348" s="1"/>
      <c r="R348" s="1"/>
    </row>
    <row r="349" spans="8:18" ht="13.5" x14ac:dyDescent="0.25">
      <c r="H349" s="4"/>
      <c r="M349" s="4"/>
      <c r="N349" s="3"/>
      <c r="O349" s="3"/>
      <c r="P349" s="3"/>
      <c r="Q349" s="1"/>
      <c r="R349" s="1"/>
    </row>
    <row r="350" spans="8:18" ht="13.5" x14ac:dyDescent="0.25">
      <c r="H350" s="4"/>
      <c r="M350" s="4"/>
      <c r="N350" s="3"/>
      <c r="O350" s="3"/>
      <c r="P350" s="3"/>
      <c r="Q350" s="1"/>
      <c r="R350" s="1"/>
    </row>
    <row r="351" spans="8:18" ht="13.5" x14ac:dyDescent="0.25">
      <c r="H351" s="4"/>
      <c r="M351" s="4"/>
      <c r="N351" s="3"/>
      <c r="O351" s="3"/>
      <c r="P351" s="3"/>
      <c r="Q351" s="1"/>
      <c r="R351" s="1"/>
    </row>
    <row r="352" spans="8:18" ht="13.5" x14ac:dyDescent="0.25">
      <c r="H352" s="4"/>
      <c r="M352" s="4"/>
      <c r="N352" s="3"/>
      <c r="O352" s="3"/>
      <c r="P352" s="3"/>
      <c r="Q352" s="1"/>
      <c r="R352" s="1"/>
    </row>
    <row r="353" spans="8:18" ht="13.5" x14ac:dyDescent="0.25">
      <c r="H353" s="4"/>
      <c r="M353" s="4"/>
      <c r="N353" s="3"/>
      <c r="O353" s="3"/>
      <c r="P353" s="3"/>
      <c r="Q353" s="1"/>
      <c r="R353" s="1"/>
    </row>
    <row r="354" spans="8:18" ht="13.5" x14ac:dyDescent="0.25">
      <c r="H354" s="4"/>
      <c r="M354" s="4"/>
      <c r="N354" s="3"/>
      <c r="O354" s="3"/>
      <c r="P354" s="3"/>
      <c r="Q354" s="1"/>
      <c r="R354" s="1"/>
    </row>
    <row r="355" spans="8:18" ht="13.5" x14ac:dyDescent="0.25">
      <c r="H355" s="4"/>
      <c r="M355" s="4"/>
      <c r="N355" s="3"/>
      <c r="O355" s="3"/>
      <c r="P355" s="3"/>
      <c r="Q355" s="1"/>
      <c r="R355" s="1"/>
    </row>
    <row r="356" spans="8:18" ht="13.5" x14ac:dyDescent="0.25">
      <c r="H356" s="4"/>
      <c r="M356" s="4"/>
      <c r="N356" s="3"/>
      <c r="O356" s="3"/>
      <c r="P356" s="3"/>
      <c r="Q356" s="1"/>
      <c r="R356" s="1"/>
    </row>
    <row r="357" spans="8:18" ht="13.5" x14ac:dyDescent="0.25">
      <c r="H357" s="4"/>
      <c r="M357" s="4"/>
      <c r="N357" s="3"/>
      <c r="O357" s="3"/>
      <c r="P357" s="3"/>
      <c r="Q357" s="1"/>
      <c r="R357" s="1"/>
    </row>
    <row r="358" spans="8:18" ht="13.5" x14ac:dyDescent="0.25">
      <c r="H358" s="4"/>
      <c r="M358" s="4"/>
      <c r="N358" s="3"/>
      <c r="O358" s="3"/>
      <c r="P358" s="3"/>
      <c r="Q358" s="1"/>
      <c r="R358" s="1"/>
    </row>
    <row r="359" spans="8:18" ht="13.5" x14ac:dyDescent="0.25">
      <c r="H359" s="4"/>
      <c r="M359" s="4"/>
      <c r="N359" s="3"/>
      <c r="O359" s="3"/>
      <c r="P359" s="3"/>
      <c r="Q359" s="1"/>
      <c r="R359" s="1"/>
    </row>
    <row r="360" spans="8:18" ht="13.5" x14ac:dyDescent="0.25">
      <c r="H360" s="4"/>
      <c r="M360" s="4"/>
      <c r="N360" s="3"/>
      <c r="O360" s="3"/>
      <c r="P360" s="3"/>
      <c r="Q360" s="1"/>
      <c r="R360" s="1"/>
    </row>
    <row r="361" spans="8:18" ht="13.5" x14ac:dyDescent="0.25">
      <c r="H361" s="4"/>
      <c r="M361" s="4"/>
      <c r="N361" s="3"/>
      <c r="O361" s="3"/>
      <c r="P361" s="3"/>
      <c r="Q361" s="1"/>
      <c r="R361" s="1"/>
    </row>
    <row r="362" spans="8:18" ht="13.5" x14ac:dyDescent="0.25">
      <c r="H362" s="4"/>
      <c r="M362" s="4"/>
      <c r="N362" s="3"/>
      <c r="O362" s="3"/>
      <c r="P362" s="3"/>
      <c r="Q362" s="1"/>
      <c r="R362" s="1"/>
    </row>
    <row r="363" spans="8:18" ht="13.5" x14ac:dyDescent="0.25">
      <c r="H363" s="4"/>
      <c r="M363" s="4"/>
      <c r="N363" s="3"/>
      <c r="O363" s="3"/>
      <c r="P363" s="3"/>
      <c r="Q363" s="1"/>
      <c r="R363" s="1"/>
    </row>
    <row r="364" spans="8:18" ht="13.5" x14ac:dyDescent="0.25">
      <c r="H364" s="4"/>
      <c r="M364" s="4"/>
      <c r="N364" s="3"/>
      <c r="O364" s="3"/>
      <c r="P364" s="3"/>
      <c r="Q364" s="1"/>
      <c r="R364" s="1"/>
    </row>
    <row r="365" spans="8:18" ht="13.5" x14ac:dyDescent="0.25">
      <c r="H365" s="4"/>
      <c r="M365" s="4"/>
      <c r="N365" s="3"/>
      <c r="O365" s="3"/>
      <c r="P365" s="3"/>
      <c r="Q365" s="1"/>
      <c r="R365" s="1"/>
    </row>
    <row r="366" spans="8:18" ht="13.5" x14ac:dyDescent="0.25">
      <c r="H366" s="4"/>
      <c r="M366" s="4"/>
      <c r="N366" s="3"/>
      <c r="O366" s="3"/>
      <c r="P366" s="3"/>
      <c r="Q366" s="1"/>
      <c r="R366" s="1"/>
    </row>
    <row r="367" spans="8:18" ht="13.5" x14ac:dyDescent="0.25">
      <c r="H367" s="4"/>
      <c r="M367" s="4"/>
      <c r="N367" s="3"/>
      <c r="O367" s="3"/>
      <c r="P367" s="3"/>
      <c r="Q367" s="1"/>
      <c r="R367" s="1"/>
    </row>
    <row r="368" spans="8:18" ht="13.5" x14ac:dyDescent="0.25">
      <c r="H368" s="4"/>
      <c r="M368" s="4"/>
      <c r="N368" s="3"/>
      <c r="O368" s="3"/>
      <c r="P368" s="3"/>
      <c r="Q368" s="1"/>
      <c r="R368" s="1"/>
    </row>
    <row r="369" spans="8:18" ht="13.5" x14ac:dyDescent="0.25">
      <c r="H369" s="4"/>
      <c r="M369" s="4"/>
      <c r="N369" s="3"/>
      <c r="O369" s="3"/>
      <c r="P369" s="3"/>
      <c r="Q369" s="1"/>
      <c r="R369" s="1"/>
    </row>
    <row r="370" spans="8:18" ht="13.5" x14ac:dyDescent="0.25">
      <c r="H370" s="4"/>
      <c r="M370" s="4"/>
      <c r="N370" s="3"/>
      <c r="O370" s="3"/>
      <c r="P370" s="3"/>
      <c r="Q370" s="1"/>
      <c r="R370" s="1"/>
    </row>
    <row r="371" spans="8:18" ht="13.5" x14ac:dyDescent="0.25">
      <c r="H371" s="4"/>
      <c r="M371" s="4"/>
      <c r="N371" s="3"/>
      <c r="O371" s="3"/>
      <c r="P371" s="3"/>
      <c r="Q371" s="1"/>
      <c r="R371" s="1"/>
    </row>
    <row r="372" spans="8:18" ht="13.5" x14ac:dyDescent="0.25">
      <c r="H372" s="4"/>
      <c r="M372" s="4"/>
      <c r="N372" s="3"/>
      <c r="O372" s="3"/>
      <c r="P372" s="3"/>
      <c r="Q372" s="1"/>
      <c r="R372" s="1"/>
    </row>
    <row r="373" spans="8:18" ht="13.5" x14ac:dyDescent="0.25">
      <c r="H373" s="4"/>
      <c r="M373" s="4"/>
      <c r="N373" s="3"/>
      <c r="O373" s="3"/>
      <c r="P373" s="3"/>
      <c r="Q373" s="1"/>
      <c r="R373" s="1"/>
    </row>
    <row r="374" spans="8:18" ht="13.5" x14ac:dyDescent="0.25">
      <c r="H374" s="4"/>
      <c r="M374" s="4"/>
      <c r="N374" s="3"/>
      <c r="O374" s="3"/>
      <c r="P374" s="3"/>
      <c r="Q374" s="1"/>
      <c r="R374" s="1"/>
    </row>
    <row r="375" spans="8:18" ht="13.5" x14ac:dyDescent="0.25">
      <c r="H375" s="4"/>
      <c r="M375" s="4"/>
      <c r="N375" s="3"/>
      <c r="O375" s="3"/>
      <c r="P375" s="3"/>
      <c r="Q375" s="1"/>
      <c r="R375" s="1"/>
    </row>
    <row r="376" spans="8:18" ht="13.5" x14ac:dyDescent="0.25">
      <c r="H376" s="4"/>
      <c r="M376" s="4"/>
      <c r="N376" s="3"/>
      <c r="O376" s="3"/>
      <c r="P376" s="3"/>
      <c r="Q376" s="1"/>
      <c r="R376" s="1"/>
    </row>
    <row r="377" spans="8:18" ht="13.5" x14ac:dyDescent="0.25">
      <c r="H377" s="4"/>
      <c r="M377" s="4"/>
      <c r="N377" s="3"/>
      <c r="O377" s="3"/>
      <c r="P377" s="3"/>
      <c r="Q377" s="1"/>
      <c r="R377" s="1"/>
    </row>
    <row r="378" spans="8:18" ht="13.5" x14ac:dyDescent="0.25">
      <c r="H378" s="4"/>
      <c r="M378" s="4"/>
      <c r="N378" s="3"/>
      <c r="O378" s="3"/>
      <c r="P378" s="3"/>
      <c r="Q378" s="1"/>
      <c r="R378" s="1"/>
    </row>
    <row r="379" spans="8:18" ht="13.5" x14ac:dyDescent="0.25">
      <c r="H379" s="4"/>
      <c r="M379" s="4"/>
      <c r="N379" s="3"/>
      <c r="O379" s="3"/>
      <c r="P379" s="3"/>
      <c r="Q379" s="1"/>
      <c r="R379" s="1"/>
    </row>
    <row r="380" spans="8:18" ht="13.5" x14ac:dyDescent="0.25">
      <c r="H380" s="4"/>
      <c r="M380" s="4"/>
      <c r="N380" s="3"/>
      <c r="O380" s="3"/>
      <c r="P380" s="3"/>
      <c r="Q380" s="1"/>
      <c r="R380" s="1"/>
    </row>
    <row r="381" spans="8:18" ht="13.5" x14ac:dyDescent="0.25">
      <c r="H381" s="4"/>
      <c r="M381" s="4"/>
      <c r="N381" s="3"/>
      <c r="O381" s="3"/>
      <c r="P381" s="3"/>
      <c r="Q381" s="1"/>
      <c r="R381" s="1"/>
    </row>
    <row r="382" spans="8:18" ht="13.5" x14ac:dyDescent="0.25">
      <c r="H382" s="4"/>
      <c r="M382" s="4"/>
      <c r="N382" s="3"/>
      <c r="O382" s="3"/>
      <c r="P382" s="3"/>
      <c r="Q382" s="1"/>
      <c r="R382" s="1"/>
    </row>
    <row r="383" spans="8:18" ht="13.5" x14ac:dyDescent="0.25">
      <c r="H383" s="4"/>
      <c r="M383" s="4"/>
      <c r="N383" s="3"/>
      <c r="O383" s="3"/>
      <c r="P383" s="3"/>
      <c r="Q383" s="1"/>
      <c r="R383" s="1"/>
    </row>
    <row r="384" spans="8:18" ht="13.5" x14ac:dyDescent="0.25">
      <c r="H384" s="4"/>
      <c r="M384" s="4"/>
      <c r="N384" s="3"/>
      <c r="O384" s="3"/>
      <c r="P384" s="3"/>
      <c r="Q384" s="1"/>
      <c r="R384" s="1"/>
    </row>
    <row r="385" spans="8:18" ht="13.5" x14ac:dyDescent="0.25">
      <c r="H385" s="4"/>
      <c r="M385" s="4"/>
      <c r="N385" s="3"/>
      <c r="O385" s="3"/>
      <c r="P385" s="3"/>
      <c r="Q385" s="1"/>
      <c r="R385" s="1"/>
    </row>
    <row r="386" spans="8:18" ht="13.5" x14ac:dyDescent="0.25">
      <c r="H386" s="4"/>
      <c r="M386" s="4"/>
      <c r="N386" s="3"/>
      <c r="O386" s="3"/>
      <c r="P386" s="3"/>
      <c r="Q386" s="1"/>
      <c r="R386" s="1"/>
    </row>
    <row r="387" spans="8:18" ht="13.5" x14ac:dyDescent="0.25">
      <c r="H387" s="4"/>
      <c r="M387" s="4"/>
      <c r="N387" s="3"/>
      <c r="O387" s="3"/>
      <c r="P387" s="3"/>
      <c r="Q387" s="1"/>
      <c r="R387" s="1"/>
    </row>
    <row r="388" spans="8:18" ht="13.5" x14ac:dyDescent="0.25">
      <c r="H388" s="4"/>
      <c r="M388" s="4"/>
      <c r="N388" s="3"/>
      <c r="O388" s="3"/>
      <c r="P388" s="3"/>
      <c r="Q388" s="1"/>
      <c r="R388" s="1"/>
    </row>
    <row r="389" spans="8:18" ht="13.5" x14ac:dyDescent="0.25">
      <c r="H389" s="4"/>
      <c r="M389" s="4"/>
      <c r="N389" s="3"/>
      <c r="O389" s="3"/>
      <c r="P389" s="3"/>
      <c r="Q389" s="1"/>
      <c r="R389" s="1"/>
    </row>
    <row r="390" spans="8:18" ht="13.5" x14ac:dyDescent="0.25">
      <c r="H390" s="4"/>
      <c r="M390" s="4"/>
      <c r="N390" s="3"/>
      <c r="O390" s="3"/>
      <c r="P390" s="3"/>
      <c r="Q390" s="1"/>
      <c r="R390" s="1"/>
    </row>
    <row r="391" spans="8:18" ht="13.5" x14ac:dyDescent="0.25">
      <c r="H391" s="4"/>
      <c r="M391" s="4"/>
      <c r="N391" s="3"/>
      <c r="O391" s="3"/>
      <c r="P391" s="3"/>
      <c r="Q391" s="1"/>
      <c r="R391" s="1"/>
    </row>
    <row r="392" spans="8:18" ht="13.5" x14ac:dyDescent="0.25">
      <c r="H392" s="4"/>
      <c r="M392" s="4"/>
      <c r="N392" s="3"/>
      <c r="O392" s="3"/>
      <c r="P392" s="3"/>
      <c r="Q392" s="1"/>
      <c r="R392" s="1"/>
    </row>
    <row r="393" spans="8:18" ht="13.5" x14ac:dyDescent="0.25">
      <c r="H393" s="4"/>
      <c r="M393" s="4"/>
      <c r="N393" s="3"/>
      <c r="O393" s="3"/>
      <c r="P393" s="3"/>
      <c r="Q393" s="1"/>
      <c r="R393" s="1"/>
    </row>
    <row r="394" spans="8:18" ht="13.5" x14ac:dyDescent="0.25">
      <c r="H394" s="4"/>
      <c r="M394" s="4"/>
      <c r="N394" s="3"/>
      <c r="O394" s="3"/>
      <c r="P394" s="3"/>
      <c r="Q394" s="1"/>
      <c r="R394" s="1"/>
    </row>
    <row r="395" spans="8:18" ht="13.5" x14ac:dyDescent="0.25">
      <c r="H395" s="4"/>
      <c r="M395" s="4"/>
      <c r="N395" s="3"/>
      <c r="O395" s="3"/>
      <c r="P395" s="3"/>
      <c r="Q395" s="1"/>
      <c r="R395" s="1"/>
    </row>
    <row r="396" spans="8:18" ht="13.5" x14ac:dyDescent="0.25">
      <c r="H396" s="4"/>
      <c r="M396" s="4"/>
      <c r="N396" s="3"/>
      <c r="O396" s="3"/>
      <c r="P396" s="3"/>
      <c r="Q396" s="1"/>
      <c r="R396" s="1"/>
    </row>
    <row r="397" spans="8:18" ht="13.5" x14ac:dyDescent="0.25">
      <c r="H397" s="4"/>
      <c r="M397" s="4"/>
      <c r="N397" s="3"/>
      <c r="O397" s="3"/>
      <c r="P397" s="3"/>
      <c r="Q397" s="1"/>
      <c r="R397" s="1"/>
    </row>
    <row r="398" spans="8:18" ht="13.5" x14ac:dyDescent="0.25">
      <c r="H398" s="4"/>
      <c r="M398" s="4"/>
      <c r="N398" s="3"/>
      <c r="O398" s="3"/>
      <c r="P398" s="3"/>
      <c r="Q398" s="1"/>
      <c r="R398" s="1"/>
    </row>
    <row r="399" spans="8:18" ht="13.5" x14ac:dyDescent="0.25">
      <c r="H399" s="4"/>
      <c r="M399" s="4"/>
      <c r="N399" s="3"/>
      <c r="O399" s="3"/>
      <c r="P399" s="3"/>
      <c r="Q399" s="1"/>
      <c r="R399" s="1"/>
    </row>
    <row r="400" spans="8:18" ht="13.5" x14ac:dyDescent="0.25">
      <c r="H400" s="4"/>
      <c r="M400" s="4"/>
      <c r="N400" s="3"/>
      <c r="O400" s="3"/>
      <c r="P400" s="3"/>
      <c r="Q400" s="1"/>
      <c r="R400" s="1"/>
    </row>
    <row r="401" spans="8:18" ht="13.5" x14ac:dyDescent="0.25">
      <c r="H401" s="4"/>
      <c r="M401" s="4"/>
      <c r="N401" s="3"/>
      <c r="O401" s="3"/>
      <c r="P401" s="3"/>
      <c r="Q401" s="1"/>
      <c r="R401" s="1"/>
    </row>
    <row r="402" spans="8:18" ht="13.5" x14ac:dyDescent="0.25">
      <c r="H402" s="4"/>
      <c r="M402" s="4"/>
      <c r="N402" s="3"/>
      <c r="O402" s="3"/>
      <c r="P402" s="3"/>
      <c r="Q402" s="1"/>
      <c r="R402" s="1"/>
    </row>
    <row r="403" spans="8:18" ht="13.5" x14ac:dyDescent="0.25">
      <c r="H403" s="4"/>
      <c r="M403" s="4"/>
      <c r="N403" s="3"/>
      <c r="O403" s="3"/>
      <c r="P403" s="3"/>
      <c r="Q403" s="1"/>
      <c r="R403" s="1"/>
    </row>
    <row r="404" spans="8:18" ht="13.5" x14ac:dyDescent="0.25">
      <c r="H404" s="4"/>
      <c r="M404" s="4"/>
      <c r="N404" s="3"/>
      <c r="O404" s="3"/>
      <c r="P404" s="3"/>
      <c r="Q404" s="1"/>
      <c r="R404" s="1"/>
    </row>
    <row r="405" spans="8:18" ht="13.5" x14ac:dyDescent="0.25">
      <c r="H405" s="4"/>
      <c r="M405" s="4"/>
      <c r="N405" s="3"/>
      <c r="O405" s="3"/>
      <c r="P405" s="3"/>
      <c r="Q405" s="1"/>
      <c r="R405" s="1"/>
    </row>
    <row r="406" spans="8:18" ht="13.5" x14ac:dyDescent="0.25">
      <c r="H406" s="4"/>
      <c r="M406" s="4"/>
      <c r="N406" s="3"/>
      <c r="O406" s="3"/>
      <c r="P406" s="3"/>
      <c r="Q406" s="1"/>
      <c r="R406" s="1"/>
    </row>
    <row r="407" spans="8:18" ht="13.5" x14ac:dyDescent="0.25">
      <c r="H407" s="4"/>
      <c r="M407" s="4"/>
      <c r="N407" s="3"/>
      <c r="O407" s="3"/>
      <c r="P407" s="3"/>
      <c r="Q407" s="1"/>
      <c r="R407" s="1"/>
    </row>
    <row r="408" spans="8:18" ht="13.5" x14ac:dyDescent="0.25">
      <c r="H408" s="4"/>
      <c r="M408" s="4"/>
      <c r="N408" s="3"/>
      <c r="O408" s="3"/>
      <c r="P408" s="3"/>
      <c r="Q408" s="1"/>
      <c r="R408" s="1"/>
    </row>
    <row r="409" spans="8:18" ht="13.5" x14ac:dyDescent="0.25">
      <c r="H409" s="4"/>
      <c r="M409" s="4"/>
      <c r="N409" s="3"/>
      <c r="O409" s="3"/>
      <c r="P409" s="3"/>
      <c r="Q409" s="1"/>
      <c r="R409" s="1"/>
    </row>
    <row r="410" spans="8:18" ht="13.5" x14ac:dyDescent="0.25">
      <c r="H410" s="4"/>
      <c r="M410" s="4"/>
      <c r="N410" s="3"/>
      <c r="O410" s="3"/>
      <c r="P410" s="3"/>
      <c r="Q410" s="1"/>
      <c r="R410" s="1"/>
    </row>
    <row r="411" spans="8:18" ht="13.5" x14ac:dyDescent="0.25">
      <c r="H411" s="4"/>
      <c r="M411" s="4"/>
      <c r="N411" s="3"/>
      <c r="O411" s="3"/>
      <c r="P411" s="3"/>
      <c r="Q411" s="1"/>
      <c r="R411" s="1"/>
    </row>
    <row r="412" spans="8:18" ht="13.5" x14ac:dyDescent="0.25">
      <c r="H412" s="4"/>
      <c r="M412" s="4"/>
      <c r="N412" s="3"/>
      <c r="O412" s="3"/>
      <c r="P412" s="3"/>
      <c r="Q412" s="1"/>
      <c r="R412" s="1"/>
    </row>
    <row r="413" spans="8:18" ht="13.5" x14ac:dyDescent="0.25">
      <c r="H413" s="4"/>
      <c r="M413" s="4"/>
      <c r="N413" s="3"/>
      <c r="O413" s="3"/>
      <c r="P413" s="3"/>
      <c r="Q413" s="1"/>
      <c r="R413" s="1"/>
    </row>
    <row r="414" spans="8:18" ht="13.5" x14ac:dyDescent="0.25">
      <c r="H414" s="4"/>
      <c r="M414" s="4"/>
      <c r="N414" s="3"/>
      <c r="O414" s="3"/>
      <c r="P414" s="3"/>
      <c r="Q414" s="1"/>
      <c r="R414" s="1"/>
    </row>
    <row r="415" spans="8:18" ht="13.5" x14ac:dyDescent="0.25">
      <c r="H415" s="4"/>
      <c r="M415" s="4"/>
      <c r="N415" s="3"/>
      <c r="O415" s="3"/>
      <c r="P415" s="3"/>
      <c r="Q415" s="1"/>
      <c r="R415" s="1"/>
    </row>
    <row r="416" spans="8:18" ht="13.5" x14ac:dyDescent="0.25">
      <c r="H416" s="4"/>
      <c r="M416" s="4"/>
      <c r="N416" s="3"/>
      <c r="O416" s="3"/>
      <c r="P416" s="3"/>
      <c r="Q416" s="1"/>
      <c r="R416" s="1"/>
    </row>
    <row r="417" spans="8:18" ht="13.5" x14ac:dyDescent="0.25">
      <c r="H417" s="4"/>
      <c r="M417" s="4"/>
      <c r="N417" s="3"/>
      <c r="O417" s="3"/>
      <c r="P417" s="3"/>
      <c r="Q417" s="1"/>
      <c r="R417" s="1"/>
    </row>
    <row r="418" spans="8:18" ht="13.5" x14ac:dyDescent="0.25">
      <c r="H418" s="4"/>
      <c r="M418" s="4"/>
      <c r="N418" s="3"/>
      <c r="O418" s="3"/>
      <c r="P418" s="3"/>
      <c r="Q418" s="1"/>
      <c r="R418" s="1"/>
    </row>
    <row r="419" spans="8:18" ht="13.5" x14ac:dyDescent="0.25">
      <c r="H419" s="4"/>
      <c r="M419" s="4"/>
      <c r="N419" s="3"/>
      <c r="O419" s="3"/>
      <c r="P419" s="3"/>
      <c r="Q419" s="1"/>
      <c r="R419" s="1"/>
    </row>
    <row r="420" spans="8:18" ht="13.5" x14ac:dyDescent="0.25">
      <c r="H420" s="4"/>
      <c r="M420" s="4"/>
      <c r="N420" s="3"/>
      <c r="O420" s="3"/>
      <c r="P420" s="3"/>
      <c r="Q420" s="1"/>
      <c r="R420" s="1"/>
    </row>
    <row r="421" spans="8:18" ht="13.5" x14ac:dyDescent="0.25">
      <c r="H421" s="4"/>
      <c r="M421" s="4"/>
      <c r="N421" s="3"/>
      <c r="O421" s="3"/>
      <c r="P421" s="3"/>
      <c r="Q421" s="1"/>
      <c r="R421" s="1"/>
    </row>
    <row r="422" spans="8:18" ht="13.5" x14ac:dyDescent="0.25">
      <c r="H422" s="4"/>
      <c r="M422" s="4"/>
      <c r="N422" s="3"/>
      <c r="O422" s="3"/>
      <c r="P422" s="3"/>
      <c r="Q422" s="1"/>
      <c r="R422" s="1"/>
    </row>
    <row r="423" spans="8:18" ht="13.5" x14ac:dyDescent="0.25">
      <c r="H423" s="4"/>
      <c r="M423" s="4"/>
      <c r="N423" s="3"/>
      <c r="O423" s="3"/>
      <c r="P423" s="3"/>
      <c r="Q423" s="1"/>
      <c r="R423" s="1"/>
    </row>
    <row r="424" spans="8:18" ht="13.5" x14ac:dyDescent="0.25">
      <c r="H424" s="4"/>
      <c r="M424" s="4"/>
      <c r="N424" s="3"/>
      <c r="O424" s="3"/>
      <c r="P424" s="3"/>
      <c r="Q424" s="1"/>
      <c r="R424" s="1"/>
    </row>
    <row r="425" spans="8:18" ht="13.5" x14ac:dyDescent="0.25">
      <c r="H425" s="4"/>
      <c r="M425" s="4"/>
      <c r="N425" s="3"/>
      <c r="O425" s="3"/>
      <c r="P425" s="3"/>
      <c r="Q425" s="1"/>
      <c r="R425" s="1"/>
    </row>
    <row r="426" spans="8:18" ht="13.5" x14ac:dyDescent="0.25">
      <c r="H426" s="4"/>
      <c r="M426" s="4"/>
      <c r="N426" s="3"/>
      <c r="O426" s="3"/>
      <c r="P426" s="3"/>
      <c r="Q426" s="1"/>
      <c r="R426" s="1"/>
    </row>
    <row r="427" spans="8:18" ht="13.5" x14ac:dyDescent="0.25">
      <c r="H427" s="4"/>
      <c r="M427" s="4"/>
      <c r="N427" s="3"/>
      <c r="O427" s="3"/>
      <c r="P427" s="3"/>
      <c r="Q427" s="1"/>
      <c r="R427" s="1"/>
    </row>
    <row r="428" spans="8:18" ht="13.5" x14ac:dyDescent="0.25">
      <c r="H428" s="4"/>
      <c r="M428" s="4"/>
      <c r="N428" s="3"/>
      <c r="O428" s="3"/>
      <c r="P428" s="3"/>
      <c r="Q428" s="1"/>
      <c r="R428" s="1"/>
    </row>
    <row r="429" spans="8:18" ht="13.5" x14ac:dyDescent="0.25">
      <c r="H429" s="4"/>
      <c r="M429" s="4"/>
      <c r="N429" s="3"/>
      <c r="O429" s="3"/>
      <c r="P429" s="3"/>
      <c r="Q429" s="1"/>
      <c r="R429" s="1"/>
    </row>
    <row r="430" spans="8:18" ht="13.5" x14ac:dyDescent="0.25">
      <c r="H430" s="4"/>
      <c r="M430" s="4"/>
      <c r="N430" s="3"/>
      <c r="O430" s="3"/>
      <c r="P430" s="3"/>
      <c r="Q430" s="1"/>
      <c r="R430" s="1"/>
    </row>
    <row r="431" spans="8:18" ht="13.5" x14ac:dyDescent="0.25">
      <c r="H431" s="4"/>
      <c r="M431" s="4"/>
      <c r="N431" s="3"/>
      <c r="O431" s="3"/>
      <c r="P431" s="3"/>
      <c r="Q431" s="1"/>
      <c r="R431" s="1"/>
    </row>
    <row r="432" spans="8:18" ht="13.5" x14ac:dyDescent="0.25">
      <c r="H432" s="4"/>
      <c r="M432" s="4"/>
      <c r="N432" s="3"/>
      <c r="O432" s="3"/>
      <c r="P432" s="3"/>
      <c r="Q432" s="1"/>
      <c r="R432" s="1"/>
    </row>
    <row r="433" spans="8:18" ht="13.5" x14ac:dyDescent="0.25">
      <c r="H433" s="4"/>
      <c r="M433" s="4"/>
      <c r="N433" s="3"/>
      <c r="O433" s="3"/>
      <c r="P433" s="3"/>
      <c r="Q433" s="1"/>
      <c r="R433" s="1"/>
    </row>
    <row r="434" spans="8:18" ht="13.5" x14ac:dyDescent="0.25">
      <c r="H434" s="4"/>
      <c r="M434" s="4"/>
      <c r="N434" s="3"/>
      <c r="O434" s="3"/>
      <c r="P434" s="3"/>
      <c r="Q434" s="1"/>
      <c r="R434" s="1"/>
    </row>
    <row r="435" spans="8:18" ht="13.5" x14ac:dyDescent="0.25">
      <c r="H435" s="4"/>
      <c r="M435" s="4"/>
      <c r="N435" s="3"/>
      <c r="O435" s="3"/>
      <c r="P435" s="3"/>
      <c r="Q435" s="1"/>
      <c r="R435" s="1"/>
    </row>
    <row r="436" spans="8:18" ht="13.5" x14ac:dyDescent="0.25">
      <c r="H436" s="4"/>
      <c r="M436" s="4"/>
      <c r="N436" s="3"/>
      <c r="O436" s="3"/>
      <c r="P436" s="3"/>
      <c r="Q436" s="1"/>
      <c r="R436" s="1"/>
    </row>
    <row r="437" spans="8:18" ht="13.5" x14ac:dyDescent="0.25">
      <c r="H437" s="4"/>
      <c r="M437" s="4"/>
      <c r="N437" s="3"/>
      <c r="O437" s="3"/>
      <c r="P437" s="3"/>
      <c r="Q437" s="1"/>
      <c r="R437" s="1"/>
    </row>
    <row r="438" spans="8:18" ht="13.5" x14ac:dyDescent="0.25">
      <c r="H438" s="4"/>
      <c r="M438" s="4"/>
      <c r="N438" s="3"/>
      <c r="O438" s="3"/>
      <c r="P438" s="3"/>
      <c r="Q438" s="1"/>
      <c r="R438" s="1"/>
    </row>
    <row r="439" spans="8:18" ht="13.5" x14ac:dyDescent="0.25">
      <c r="H439" s="4"/>
      <c r="M439" s="4"/>
      <c r="N439" s="3"/>
      <c r="O439" s="3"/>
      <c r="P439" s="3"/>
      <c r="Q439" s="1"/>
      <c r="R439" s="1"/>
    </row>
    <row r="440" spans="8:18" ht="13.5" x14ac:dyDescent="0.25">
      <c r="H440" s="4"/>
      <c r="M440" s="4"/>
      <c r="N440" s="3"/>
      <c r="O440" s="3"/>
      <c r="P440" s="3"/>
      <c r="Q440" s="1"/>
      <c r="R440" s="1"/>
    </row>
    <row r="441" spans="8:18" ht="13.5" x14ac:dyDescent="0.25">
      <c r="H441" s="4"/>
      <c r="M441" s="4"/>
      <c r="N441" s="3"/>
      <c r="O441" s="3"/>
      <c r="P441" s="3"/>
      <c r="Q441" s="1"/>
      <c r="R441" s="1"/>
    </row>
    <row r="442" spans="8:18" ht="13.5" x14ac:dyDescent="0.25">
      <c r="H442" s="4"/>
      <c r="M442" s="4"/>
      <c r="N442" s="3"/>
      <c r="O442" s="3"/>
      <c r="P442" s="3"/>
      <c r="Q442" s="1"/>
      <c r="R442" s="1"/>
    </row>
    <row r="443" spans="8:18" ht="13.5" x14ac:dyDescent="0.25">
      <c r="H443" s="4"/>
      <c r="M443" s="4"/>
      <c r="N443" s="3"/>
      <c r="O443" s="3"/>
      <c r="P443" s="3"/>
      <c r="Q443" s="1"/>
      <c r="R443" s="1"/>
    </row>
    <row r="444" spans="8:18" ht="13.5" x14ac:dyDescent="0.25">
      <c r="H444" s="4"/>
      <c r="M444" s="4"/>
      <c r="N444" s="3"/>
      <c r="O444" s="3"/>
      <c r="P444" s="3"/>
      <c r="Q444" s="1"/>
      <c r="R444" s="1"/>
    </row>
    <row r="445" spans="8:18" ht="13.5" x14ac:dyDescent="0.25">
      <c r="H445" s="4"/>
      <c r="M445" s="4"/>
      <c r="N445" s="3"/>
      <c r="O445" s="3"/>
      <c r="P445" s="3"/>
      <c r="Q445" s="1"/>
      <c r="R445" s="1"/>
    </row>
    <row r="446" spans="8:18" ht="13.5" x14ac:dyDescent="0.25">
      <c r="H446" s="4"/>
      <c r="M446" s="4"/>
      <c r="N446" s="3"/>
      <c r="O446" s="3"/>
      <c r="P446" s="3"/>
      <c r="Q446" s="1"/>
      <c r="R446" s="1"/>
    </row>
    <row r="447" spans="8:18" ht="13.5" x14ac:dyDescent="0.25">
      <c r="H447" s="4"/>
      <c r="M447" s="4"/>
      <c r="N447" s="3"/>
      <c r="O447" s="3"/>
      <c r="P447" s="3"/>
      <c r="Q447" s="1"/>
      <c r="R447" s="1"/>
    </row>
    <row r="448" spans="8:18" ht="13.5" x14ac:dyDescent="0.25">
      <c r="H448" s="4"/>
      <c r="M448" s="4"/>
      <c r="N448" s="3"/>
      <c r="O448" s="3"/>
      <c r="P448" s="3"/>
      <c r="Q448" s="1"/>
      <c r="R448" s="1"/>
    </row>
    <row r="449" spans="8:18" ht="13.5" x14ac:dyDescent="0.25">
      <c r="H449" s="4"/>
      <c r="M449" s="4"/>
      <c r="N449" s="3"/>
      <c r="O449" s="3"/>
      <c r="P449" s="3"/>
      <c r="Q449" s="1"/>
      <c r="R449" s="1"/>
    </row>
    <row r="450" spans="8:18" ht="13.5" x14ac:dyDescent="0.25">
      <c r="H450" s="4"/>
      <c r="M450" s="4"/>
      <c r="N450" s="3"/>
      <c r="O450" s="3"/>
      <c r="P450" s="3"/>
      <c r="Q450" s="1"/>
      <c r="R450" s="1"/>
    </row>
    <row r="451" spans="8:18" ht="13.5" x14ac:dyDescent="0.25">
      <c r="H451" s="4"/>
      <c r="M451" s="4"/>
      <c r="N451" s="3"/>
      <c r="O451" s="3"/>
      <c r="P451" s="3"/>
      <c r="Q451" s="1"/>
      <c r="R451" s="1"/>
    </row>
    <row r="452" spans="8:18" ht="13.5" x14ac:dyDescent="0.25">
      <c r="H452" s="4"/>
      <c r="M452" s="4"/>
      <c r="N452" s="3"/>
      <c r="O452" s="3"/>
      <c r="P452" s="3"/>
      <c r="Q452" s="1"/>
      <c r="R452" s="1"/>
    </row>
    <row r="453" spans="8:18" ht="13.5" x14ac:dyDescent="0.25">
      <c r="H453" s="4"/>
      <c r="M453" s="4"/>
      <c r="N453" s="3"/>
      <c r="O453" s="3"/>
      <c r="P453" s="3"/>
      <c r="Q453" s="1"/>
      <c r="R453" s="1"/>
    </row>
    <row r="454" spans="8:18" ht="13.5" x14ac:dyDescent="0.25">
      <c r="H454" s="4"/>
      <c r="M454" s="4"/>
      <c r="N454" s="3"/>
      <c r="O454" s="3"/>
      <c r="P454" s="3"/>
      <c r="Q454" s="1"/>
      <c r="R454" s="1"/>
    </row>
    <row r="455" spans="8:18" ht="13.5" x14ac:dyDescent="0.25">
      <c r="H455" s="4"/>
      <c r="M455" s="4"/>
      <c r="N455" s="3"/>
      <c r="O455" s="3"/>
      <c r="P455" s="3"/>
      <c r="Q455" s="1"/>
      <c r="R455" s="1"/>
    </row>
    <row r="456" spans="8:18" ht="13.5" x14ac:dyDescent="0.25">
      <c r="H456" s="4"/>
      <c r="M456" s="4"/>
      <c r="N456" s="3"/>
      <c r="O456" s="3"/>
      <c r="P456" s="3"/>
      <c r="Q456" s="1"/>
      <c r="R456" s="1"/>
    </row>
    <row r="457" spans="8:18" ht="13.5" x14ac:dyDescent="0.25">
      <c r="H457" s="4"/>
      <c r="M457" s="4"/>
      <c r="N457" s="3"/>
      <c r="O457" s="3"/>
      <c r="P457" s="3"/>
      <c r="Q457" s="1"/>
      <c r="R457" s="1"/>
    </row>
    <row r="458" spans="8:18" ht="13.5" x14ac:dyDescent="0.25">
      <c r="H458" s="4"/>
      <c r="M458" s="4"/>
      <c r="N458" s="3"/>
      <c r="O458" s="3"/>
      <c r="P458" s="3"/>
      <c r="Q458" s="1"/>
      <c r="R458" s="1"/>
    </row>
    <row r="459" spans="8:18" ht="13.5" x14ac:dyDescent="0.25">
      <c r="H459" s="4"/>
      <c r="M459" s="4"/>
      <c r="N459" s="3"/>
      <c r="O459" s="3"/>
      <c r="P459" s="3"/>
      <c r="Q459" s="1"/>
      <c r="R459" s="1"/>
    </row>
    <row r="460" spans="8:18" ht="13.5" x14ac:dyDescent="0.25">
      <c r="H460" s="4"/>
      <c r="M460" s="4"/>
      <c r="N460" s="3"/>
      <c r="O460" s="3"/>
      <c r="P460" s="3"/>
      <c r="Q460" s="1"/>
      <c r="R460" s="1"/>
    </row>
    <row r="461" spans="8:18" ht="13.5" x14ac:dyDescent="0.25">
      <c r="H461" s="4"/>
      <c r="M461" s="4"/>
      <c r="N461" s="3"/>
      <c r="O461" s="3"/>
      <c r="P461" s="3"/>
      <c r="Q461" s="1"/>
      <c r="R461" s="1"/>
    </row>
    <row r="462" spans="8:18" ht="13.5" x14ac:dyDescent="0.25">
      <c r="H462" s="4"/>
      <c r="M462" s="4"/>
      <c r="N462" s="3"/>
      <c r="O462" s="3"/>
      <c r="P462" s="3"/>
      <c r="Q462" s="1"/>
      <c r="R462" s="1"/>
    </row>
    <row r="463" spans="8:18" ht="13.5" x14ac:dyDescent="0.25">
      <c r="H463" s="4"/>
      <c r="M463" s="4"/>
      <c r="N463" s="3"/>
      <c r="O463" s="3"/>
      <c r="P463" s="3"/>
      <c r="Q463" s="1"/>
      <c r="R463" s="1"/>
    </row>
    <row r="464" spans="8:18" ht="13.5" x14ac:dyDescent="0.25">
      <c r="H464" s="4"/>
      <c r="M464" s="4"/>
      <c r="N464" s="3"/>
      <c r="O464" s="3"/>
      <c r="P464" s="3"/>
      <c r="Q464" s="1"/>
      <c r="R464" s="1"/>
    </row>
    <row r="465" spans="8:18" ht="13.5" x14ac:dyDescent="0.25">
      <c r="H465" s="4"/>
      <c r="M465" s="4"/>
      <c r="N465" s="3"/>
      <c r="O465" s="3"/>
      <c r="P465" s="3"/>
      <c r="Q465" s="1"/>
      <c r="R465" s="1"/>
    </row>
    <row r="466" spans="8:18" ht="13.5" x14ac:dyDescent="0.25">
      <c r="H466" s="4"/>
      <c r="M466" s="4"/>
      <c r="N466" s="3"/>
      <c r="O466" s="3"/>
      <c r="P466" s="3"/>
      <c r="Q466" s="1"/>
      <c r="R466" s="1"/>
    </row>
    <row r="467" spans="8:18" ht="13.5" x14ac:dyDescent="0.25">
      <c r="H467" s="4"/>
      <c r="M467" s="4"/>
      <c r="N467" s="3"/>
      <c r="O467" s="3"/>
      <c r="P467" s="3"/>
      <c r="Q467" s="1"/>
      <c r="R467" s="1"/>
    </row>
    <row r="468" spans="8:18" ht="13.5" x14ac:dyDescent="0.25">
      <c r="H468" s="4"/>
      <c r="M468" s="4"/>
      <c r="N468" s="3"/>
      <c r="O468" s="3"/>
      <c r="P468" s="3"/>
      <c r="Q468" s="1"/>
      <c r="R468" s="1"/>
    </row>
    <row r="469" spans="8:18" ht="13.5" x14ac:dyDescent="0.25">
      <c r="H469" s="4"/>
      <c r="M469" s="4"/>
      <c r="N469" s="3"/>
      <c r="O469" s="3"/>
      <c r="P469" s="3"/>
      <c r="Q469" s="1"/>
      <c r="R469" s="1"/>
    </row>
    <row r="470" spans="8:18" ht="13.5" x14ac:dyDescent="0.25">
      <c r="H470" s="4"/>
      <c r="M470" s="4"/>
      <c r="N470" s="3"/>
      <c r="O470" s="3"/>
      <c r="P470" s="3"/>
      <c r="Q470" s="1"/>
      <c r="R470" s="1"/>
    </row>
    <row r="471" spans="8:18" ht="13.5" x14ac:dyDescent="0.25">
      <c r="H471" s="4"/>
      <c r="M471" s="4"/>
      <c r="N471" s="3"/>
      <c r="O471" s="3"/>
      <c r="P471" s="3"/>
      <c r="Q471" s="1"/>
      <c r="R471" s="1"/>
    </row>
    <row r="472" spans="8:18" ht="13.5" x14ac:dyDescent="0.25">
      <c r="H472" s="4"/>
      <c r="M472" s="4"/>
      <c r="N472" s="3"/>
      <c r="O472" s="3"/>
      <c r="P472" s="3"/>
      <c r="Q472" s="1"/>
      <c r="R472" s="1"/>
    </row>
    <row r="473" spans="8:18" ht="13.5" x14ac:dyDescent="0.25">
      <c r="H473" s="4"/>
      <c r="M473" s="4"/>
      <c r="N473" s="3"/>
      <c r="O473" s="3"/>
      <c r="P473" s="3"/>
      <c r="Q473" s="1"/>
      <c r="R473" s="1"/>
    </row>
    <row r="474" spans="8:18" ht="13.5" x14ac:dyDescent="0.25">
      <c r="H474" s="4"/>
      <c r="M474" s="4"/>
      <c r="N474" s="3"/>
      <c r="O474" s="3"/>
      <c r="P474" s="3"/>
      <c r="Q474" s="1"/>
      <c r="R474" s="1"/>
    </row>
    <row r="475" spans="8:18" ht="13.5" x14ac:dyDescent="0.25">
      <c r="H475" s="4"/>
      <c r="M475" s="4"/>
      <c r="N475" s="3"/>
      <c r="O475" s="3"/>
      <c r="P475" s="3"/>
      <c r="Q475" s="1"/>
      <c r="R475" s="1"/>
    </row>
    <row r="476" spans="8:18" ht="13.5" x14ac:dyDescent="0.25">
      <c r="H476" s="4"/>
      <c r="M476" s="4"/>
      <c r="N476" s="3"/>
      <c r="O476" s="3"/>
      <c r="P476" s="3"/>
      <c r="Q476" s="1"/>
      <c r="R476" s="1"/>
    </row>
    <row r="477" spans="8:18" ht="13.5" x14ac:dyDescent="0.25">
      <c r="H477" s="4"/>
      <c r="M477" s="4"/>
      <c r="N477" s="3"/>
      <c r="O477" s="3"/>
      <c r="P477" s="3"/>
      <c r="Q477" s="1"/>
      <c r="R477" s="1"/>
    </row>
    <row r="478" spans="8:18" ht="13.5" x14ac:dyDescent="0.25">
      <c r="H478" s="4"/>
      <c r="M478" s="4"/>
      <c r="N478" s="3"/>
      <c r="O478" s="3"/>
      <c r="P478" s="3"/>
      <c r="Q478" s="1"/>
      <c r="R478" s="1"/>
    </row>
    <row r="479" spans="8:18" ht="13.5" x14ac:dyDescent="0.25">
      <c r="H479" s="4"/>
      <c r="M479" s="4"/>
      <c r="N479" s="3"/>
      <c r="O479" s="3"/>
      <c r="P479" s="3"/>
      <c r="Q479" s="1"/>
      <c r="R479" s="1"/>
    </row>
    <row r="480" spans="8:18" ht="13.5" x14ac:dyDescent="0.25">
      <c r="H480" s="4"/>
      <c r="M480" s="4"/>
      <c r="N480" s="3"/>
      <c r="O480" s="3"/>
      <c r="P480" s="3"/>
      <c r="Q480" s="1"/>
      <c r="R480" s="1"/>
    </row>
    <row r="481" spans="8:18" ht="13.5" x14ac:dyDescent="0.25">
      <c r="H481" s="4"/>
      <c r="M481" s="4"/>
      <c r="N481" s="3"/>
      <c r="O481" s="3"/>
      <c r="P481" s="3"/>
      <c r="Q481" s="1"/>
      <c r="R481" s="1"/>
    </row>
    <row r="482" spans="8:18" ht="13.5" x14ac:dyDescent="0.25">
      <c r="H482" s="4"/>
      <c r="M482" s="4"/>
      <c r="N482" s="3"/>
      <c r="O482" s="3"/>
      <c r="P482" s="3"/>
      <c r="Q482" s="1"/>
      <c r="R482" s="1"/>
    </row>
    <row r="483" spans="8:18" ht="13.5" x14ac:dyDescent="0.25">
      <c r="H483" s="4"/>
      <c r="M483" s="4"/>
      <c r="N483" s="3"/>
      <c r="O483" s="3"/>
      <c r="P483" s="3"/>
      <c r="Q483" s="1"/>
      <c r="R483" s="1"/>
    </row>
    <row r="484" spans="8:18" ht="13.5" x14ac:dyDescent="0.25">
      <c r="H484" s="4"/>
      <c r="M484" s="4"/>
      <c r="N484" s="3"/>
      <c r="O484" s="3"/>
      <c r="P484" s="3"/>
      <c r="Q484" s="1"/>
      <c r="R484" s="1"/>
    </row>
    <row r="485" spans="8:18" ht="13.5" x14ac:dyDescent="0.25">
      <c r="H485" s="4"/>
      <c r="M485" s="4"/>
      <c r="N485" s="3"/>
      <c r="O485" s="3"/>
      <c r="P485" s="3"/>
      <c r="Q485" s="1"/>
      <c r="R485" s="1"/>
    </row>
    <row r="486" spans="8:18" ht="13.5" x14ac:dyDescent="0.25">
      <c r="H486" s="4"/>
      <c r="M486" s="4"/>
      <c r="N486" s="3"/>
      <c r="O486" s="3"/>
      <c r="P486" s="3"/>
      <c r="Q486" s="1"/>
      <c r="R486" s="1"/>
    </row>
    <row r="487" spans="8:18" ht="13.5" x14ac:dyDescent="0.25">
      <c r="H487" s="4"/>
      <c r="M487" s="4"/>
      <c r="N487" s="3"/>
      <c r="O487" s="3"/>
      <c r="P487" s="3"/>
      <c r="Q487" s="1"/>
      <c r="R487" s="1"/>
    </row>
    <row r="488" spans="8:18" ht="13.5" x14ac:dyDescent="0.25">
      <c r="H488" s="4"/>
      <c r="M488" s="4"/>
      <c r="N488" s="3"/>
      <c r="O488" s="3"/>
      <c r="P488" s="3"/>
      <c r="Q488" s="1"/>
      <c r="R488" s="1"/>
    </row>
    <row r="489" spans="8:18" ht="13.5" x14ac:dyDescent="0.25">
      <c r="H489" s="4"/>
      <c r="M489" s="4"/>
      <c r="N489" s="3"/>
      <c r="O489" s="3"/>
      <c r="P489" s="3"/>
      <c r="Q489" s="1"/>
      <c r="R489" s="1"/>
    </row>
    <row r="490" spans="8:18" ht="13.5" x14ac:dyDescent="0.25">
      <c r="H490" s="4"/>
      <c r="M490" s="4"/>
      <c r="N490" s="3"/>
      <c r="O490" s="3"/>
      <c r="P490" s="3"/>
      <c r="Q490" s="1"/>
      <c r="R490" s="1"/>
    </row>
    <row r="491" spans="8:18" ht="13.5" x14ac:dyDescent="0.25">
      <c r="H491" s="4"/>
      <c r="M491" s="4"/>
      <c r="N491" s="3"/>
      <c r="O491" s="3"/>
      <c r="P491" s="3"/>
      <c r="Q491" s="1"/>
      <c r="R491" s="1"/>
    </row>
    <row r="492" spans="8:18" ht="13.5" x14ac:dyDescent="0.25">
      <c r="H492" s="4"/>
      <c r="M492" s="4"/>
      <c r="N492" s="3"/>
      <c r="O492" s="3"/>
      <c r="P492" s="3"/>
      <c r="Q492" s="1"/>
      <c r="R492" s="1"/>
    </row>
    <row r="493" spans="8:18" ht="13.5" x14ac:dyDescent="0.25">
      <c r="H493" s="4"/>
      <c r="M493" s="4"/>
      <c r="N493" s="3"/>
      <c r="O493" s="3"/>
      <c r="P493" s="3"/>
      <c r="Q493" s="1"/>
      <c r="R493" s="1"/>
    </row>
    <row r="494" spans="8:18" ht="13.5" x14ac:dyDescent="0.25">
      <c r="H494" s="4"/>
      <c r="M494" s="4"/>
      <c r="N494" s="3"/>
      <c r="O494" s="3"/>
      <c r="P494" s="3"/>
      <c r="Q494" s="1"/>
      <c r="R494" s="1"/>
    </row>
    <row r="495" spans="8:18" ht="13.5" x14ac:dyDescent="0.25">
      <c r="H495" s="4"/>
      <c r="M495" s="4"/>
      <c r="N495" s="3"/>
      <c r="O495" s="3"/>
      <c r="P495" s="3"/>
      <c r="Q495" s="1"/>
      <c r="R495" s="1"/>
    </row>
    <row r="496" spans="8:18" ht="13.5" x14ac:dyDescent="0.25">
      <c r="H496" s="4"/>
      <c r="M496" s="4"/>
      <c r="N496" s="3"/>
      <c r="O496" s="3"/>
      <c r="P496" s="3"/>
      <c r="Q496" s="1"/>
      <c r="R496" s="1"/>
    </row>
    <row r="497" spans="8:18" ht="13.5" x14ac:dyDescent="0.25">
      <c r="H497" s="4"/>
      <c r="M497" s="4"/>
      <c r="N497" s="3"/>
      <c r="O497" s="3"/>
      <c r="P497" s="3"/>
      <c r="Q497" s="1"/>
      <c r="R497" s="1"/>
    </row>
    <row r="498" spans="8:18" ht="13.5" x14ac:dyDescent="0.25">
      <c r="H498" s="4"/>
      <c r="M498" s="4"/>
      <c r="N498" s="3"/>
      <c r="O498" s="3"/>
      <c r="P498" s="3"/>
      <c r="Q498" s="1"/>
      <c r="R498" s="1"/>
    </row>
    <row r="499" spans="8:18" ht="13.5" x14ac:dyDescent="0.25">
      <c r="H499" s="4"/>
      <c r="M499" s="4"/>
      <c r="N499" s="3"/>
      <c r="O499" s="3"/>
      <c r="P499" s="3"/>
      <c r="Q499" s="1"/>
      <c r="R499" s="1"/>
    </row>
    <row r="500" spans="8:18" ht="13.5" x14ac:dyDescent="0.25">
      <c r="H500" s="4"/>
      <c r="M500" s="4"/>
      <c r="N500" s="3"/>
      <c r="O500" s="3"/>
      <c r="P500" s="3"/>
      <c r="Q500" s="1"/>
      <c r="R500" s="1"/>
    </row>
    <row r="501" spans="8:18" ht="13.5" x14ac:dyDescent="0.25">
      <c r="H501" s="4"/>
      <c r="M501" s="4"/>
      <c r="N501" s="3"/>
      <c r="O501" s="3"/>
      <c r="P501" s="3"/>
      <c r="Q501" s="1"/>
      <c r="R501" s="1"/>
    </row>
    <row r="502" spans="8:18" ht="13.5" x14ac:dyDescent="0.25">
      <c r="H502" s="4"/>
      <c r="M502" s="4"/>
      <c r="N502" s="3"/>
      <c r="O502" s="3"/>
      <c r="P502" s="3"/>
      <c r="Q502" s="1"/>
      <c r="R502" s="1"/>
    </row>
    <row r="503" spans="8:18" ht="13.5" x14ac:dyDescent="0.25">
      <c r="H503" s="4"/>
      <c r="M503" s="4"/>
      <c r="N503" s="3"/>
      <c r="O503" s="3"/>
      <c r="P503" s="3"/>
      <c r="Q503" s="1"/>
      <c r="R503" s="1"/>
    </row>
    <row r="504" spans="8:18" ht="13.5" x14ac:dyDescent="0.25">
      <c r="H504" s="4"/>
      <c r="M504" s="4"/>
      <c r="N504" s="3"/>
      <c r="O504" s="3"/>
      <c r="P504" s="3"/>
      <c r="Q504" s="1"/>
      <c r="R504" s="1"/>
    </row>
    <row r="505" spans="8:18" ht="13.5" x14ac:dyDescent="0.25">
      <c r="H505" s="4"/>
      <c r="M505" s="4"/>
      <c r="N505" s="3"/>
      <c r="O505" s="3"/>
      <c r="P505" s="3"/>
      <c r="Q505" s="1"/>
      <c r="R505" s="1"/>
    </row>
    <row r="506" spans="8:18" ht="13.5" x14ac:dyDescent="0.25">
      <c r="H506" s="4"/>
      <c r="M506" s="4"/>
      <c r="N506" s="3"/>
      <c r="O506" s="3"/>
      <c r="P506" s="3"/>
      <c r="Q506" s="1"/>
      <c r="R506" s="1"/>
    </row>
    <row r="507" spans="8:18" ht="13.5" x14ac:dyDescent="0.25">
      <c r="H507" s="4"/>
      <c r="M507" s="4"/>
      <c r="N507" s="3"/>
      <c r="O507" s="3"/>
      <c r="P507" s="3"/>
      <c r="Q507" s="1"/>
      <c r="R507" s="1"/>
    </row>
    <row r="508" spans="8:18" ht="13.5" x14ac:dyDescent="0.25">
      <c r="H508" s="4"/>
      <c r="M508" s="4"/>
      <c r="N508" s="3"/>
      <c r="O508" s="3"/>
      <c r="P508" s="3"/>
      <c r="Q508" s="1"/>
      <c r="R508" s="1"/>
    </row>
    <row r="509" spans="8:18" ht="13.5" x14ac:dyDescent="0.25">
      <c r="H509" s="4"/>
      <c r="M509" s="4"/>
      <c r="N509" s="3"/>
      <c r="O509" s="3"/>
      <c r="P509" s="3"/>
      <c r="Q509" s="1"/>
      <c r="R509" s="1"/>
    </row>
    <row r="510" spans="8:18" ht="13.5" x14ac:dyDescent="0.25">
      <c r="H510" s="4"/>
      <c r="M510" s="4"/>
      <c r="N510" s="3"/>
      <c r="O510" s="3"/>
      <c r="P510" s="3"/>
      <c r="Q510" s="1"/>
      <c r="R510" s="1"/>
    </row>
    <row r="511" spans="8:18" ht="13.5" x14ac:dyDescent="0.25">
      <c r="H511" s="4"/>
      <c r="M511" s="4"/>
      <c r="N511" s="3"/>
      <c r="O511" s="3"/>
      <c r="P511" s="3"/>
      <c r="Q511" s="1"/>
      <c r="R511" s="1"/>
    </row>
    <row r="512" spans="8:18" ht="13.5" x14ac:dyDescent="0.25">
      <c r="H512" s="4"/>
      <c r="M512" s="4"/>
      <c r="N512" s="3"/>
      <c r="O512" s="3"/>
      <c r="P512" s="3"/>
      <c r="Q512" s="1"/>
      <c r="R512" s="1"/>
    </row>
    <row r="513" spans="8:18" ht="13.5" x14ac:dyDescent="0.25">
      <c r="H513" s="4"/>
      <c r="M513" s="4"/>
      <c r="N513" s="3"/>
      <c r="O513" s="3"/>
      <c r="P513" s="3"/>
      <c r="Q513" s="1"/>
      <c r="R513" s="1"/>
    </row>
    <row r="514" spans="8:18" ht="13.5" x14ac:dyDescent="0.25">
      <c r="H514" s="4"/>
      <c r="M514" s="4"/>
      <c r="N514" s="3"/>
      <c r="O514" s="3"/>
      <c r="P514" s="3"/>
      <c r="Q514" s="1"/>
      <c r="R514" s="1"/>
    </row>
    <row r="515" spans="8:18" ht="13.5" x14ac:dyDescent="0.25">
      <c r="H515" s="4"/>
      <c r="M515" s="4"/>
      <c r="N515" s="3"/>
      <c r="O515" s="3"/>
      <c r="P515" s="3"/>
      <c r="Q515" s="1"/>
      <c r="R515" s="1"/>
    </row>
    <row r="516" spans="8:18" ht="13.5" x14ac:dyDescent="0.25">
      <c r="H516" s="4"/>
      <c r="M516" s="4"/>
      <c r="N516" s="3"/>
      <c r="O516" s="3"/>
      <c r="P516" s="3"/>
      <c r="Q516" s="1"/>
      <c r="R516" s="1"/>
    </row>
    <row r="517" spans="8:18" ht="13.5" x14ac:dyDescent="0.25">
      <c r="H517" s="4"/>
      <c r="M517" s="4"/>
      <c r="N517" s="3"/>
      <c r="O517" s="3"/>
      <c r="P517" s="3"/>
      <c r="Q517" s="1"/>
      <c r="R517" s="1"/>
    </row>
    <row r="518" spans="8:18" ht="13.5" x14ac:dyDescent="0.25">
      <c r="H518" s="4"/>
      <c r="M518" s="4"/>
      <c r="N518" s="3"/>
      <c r="O518" s="3"/>
      <c r="P518" s="3"/>
      <c r="Q518" s="1"/>
      <c r="R518" s="1"/>
    </row>
    <row r="519" spans="8:18" ht="13.5" x14ac:dyDescent="0.25">
      <c r="H519" s="4"/>
      <c r="M519" s="4"/>
      <c r="N519" s="3"/>
      <c r="O519" s="3"/>
      <c r="P519" s="3"/>
      <c r="Q519" s="1"/>
      <c r="R519" s="1"/>
    </row>
    <row r="520" spans="8:18" ht="13.5" x14ac:dyDescent="0.25">
      <c r="H520" s="4"/>
      <c r="M520" s="4"/>
      <c r="N520" s="3"/>
      <c r="O520" s="3"/>
      <c r="P520" s="3"/>
      <c r="Q520" s="1"/>
      <c r="R520" s="1"/>
    </row>
    <row r="521" spans="8:18" ht="13.5" x14ac:dyDescent="0.25">
      <c r="H521" s="4"/>
      <c r="M521" s="4"/>
      <c r="N521" s="3"/>
      <c r="O521" s="3"/>
      <c r="P521" s="3"/>
      <c r="Q521" s="1"/>
      <c r="R521" s="1"/>
    </row>
    <row r="522" spans="8:18" ht="13.5" x14ac:dyDescent="0.25">
      <c r="H522" s="4"/>
      <c r="M522" s="4"/>
      <c r="N522" s="3"/>
      <c r="O522" s="3"/>
      <c r="P522" s="3"/>
      <c r="Q522" s="1"/>
      <c r="R522" s="1"/>
    </row>
    <row r="523" spans="8:18" ht="13.5" x14ac:dyDescent="0.25">
      <c r="H523" s="4"/>
      <c r="M523" s="4"/>
      <c r="N523" s="3"/>
      <c r="O523" s="3"/>
      <c r="P523" s="3"/>
      <c r="Q523" s="1"/>
      <c r="R523" s="1"/>
    </row>
    <row r="524" spans="8:18" ht="13.5" x14ac:dyDescent="0.25">
      <c r="H524" s="4"/>
      <c r="M524" s="4"/>
      <c r="N524" s="3"/>
      <c r="O524" s="3"/>
      <c r="P524" s="3"/>
      <c r="Q524" s="1"/>
      <c r="R524" s="1"/>
    </row>
    <row r="525" spans="8:18" ht="13.5" x14ac:dyDescent="0.25">
      <c r="H525" s="4"/>
      <c r="M525" s="4"/>
      <c r="N525" s="3"/>
      <c r="O525" s="3"/>
      <c r="P525" s="3"/>
      <c r="Q525" s="1"/>
      <c r="R525" s="1"/>
    </row>
    <row r="526" spans="8:18" ht="13.5" x14ac:dyDescent="0.25">
      <c r="H526" s="4"/>
      <c r="M526" s="4"/>
      <c r="N526" s="3"/>
      <c r="O526" s="3"/>
      <c r="P526" s="3"/>
      <c r="Q526" s="1"/>
      <c r="R526" s="1"/>
    </row>
    <row r="527" spans="8:18" ht="13.5" x14ac:dyDescent="0.25">
      <c r="H527" s="4"/>
      <c r="M527" s="4"/>
      <c r="N527" s="3"/>
      <c r="O527" s="3"/>
      <c r="P527" s="3"/>
      <c r="Q527" s="1"/>
      <c r="R527" s="1"/>
    </row>
    <row r="528" spans="8:18" ht="13.5" x14ac:dyDescent="0.25">
      <c r="H528" s="4"/>
      <c r="M528" s="4"/>
      <c r="N528" s="3"/>
      <c r="O528" s="3"/>
      <c r="P528" s="3"/>
      <c r="Q528" s="1"/>
      <c r="R528" s="1"/>
    </row>
    <row r="529" spans="8:18" ht="13.5" x14ac:dyDescent="0.25">
      <c r="H529" s="4"/>
      <c r="M529" s="4"/>
      <c r="N529" s="3"/>
      <c r="O529" s="3"/>
      <c r="P529" s="3"/>
      <c r="Q529" s="1"/>
      <c r="R529" s="1"/>
    </row>
    <row r="530" spans="8:18" ht="13.5" x14ac:dyDescent="0.25">
      <c r="H530" s="4"/>
      <c r="M530" s="4"/>
      <c r="N530" s="3"/>
      <c r="O530" s="3"/>
      <c r="P530" s="3"/>
      <c r="Q530" s="1"/>
      <c r="R530" s="1"/>
    </row>
    <row r="531" spans="8:18" ht="13.5" x14ac:dyDescent="0.25">
      <c r="H531" s="4"/>
      <c r="M531" s="4"/>
      <c r="N531" s="3"/>
      <c r="O531" s="3"/>
      <c r="P531" s="3"/>
      <c r="Q531" s="1"/>
      <c r="R531" s="1"/>
    </row>
    <row r="532" spans="8:18" ht="13.5" x14ac:dyDescent="0.25">
      <c r="H532" s="4"/>
      <c r="M532" s="4"/>
      <c r="N532" s="3"/>
      <c r="O532" s="3"/>
      <c r="P532" s="3"/>
      <c r="Q532" s="1"/>
      <c r="R532" s="1"/>
    </row>
    <row r="533" spans="8:18" ht="13.5" x14ac:dyDescent="0.25">
      <c r="H533" s="4"/>
      <c r="M533" s="4"/>
      <c r="N533" s="3"/>
      <c r="O533" s="3"/>
      <c r="P533" s="3"/>
      <c r="Q533" s="1"/>
      <c r="R533" s="1"/>
    </row>
    <row r="534" spans="8:18" ht="13.5" x14ac:dyDescent="0.25">
      <c r="H534" s="4"/>
      <c r="M534" s="4"/>
      <c r="N534" s="3"/>
      <c r="O534" s="3"/>
      <c r="P534" s="3"/>
      <c r="Q534" s="1"/>
      <c r="R534" s="1"/>
    </row>
    <row r="535" spans="8:18" ht="13.5" x14ac:dyDescent="0.25">
      <c r="H535" s="4"/>
      <c r="M535" s="4"/>
      <c r="N535" s="3"/>
      <c r="O535" s="3"/>
      <c r="P535" s="3"/>
      <c r="Q535" s="1"/>
      <c r="R535" s="1"/>
    </row>
    <row r="536" spans="8:18" ht="13.5" x14ac:dyDescent="0.25">
      <c r="H536" s="4"/>
      <c r="M536" s="4"/>
      <c r="N536" s="3"/>
      <c r="O536" s="3"/>
      <c r="P536" s="3"/>
      <c r="Q536" s="1"/>
      <c r="R536" s="1"/>
    </row>
    <row r="537" spans="8:18" ht="13.5" x14ac:dyDescent="0.25">
      <c r="H537" s="4"/>
      <c r="M537" s="4"/>
      <c r="N537" s="3"/>
      <c r="O537" s="3"/>
      <c r="P537" s="3"/>
      <c r="Q537" s="1"/>
      <c r="R537" s="1"/>
    </row>
    <row r="538" spans="8:18" ht="13.5" x14ac:dyDescent="0.25">
      <c r="H538" s="4"/>
      <c r="M538" s="4"/>
      <c r="N538" s="3"/>
      <c r="O538" s="3"/>
      <c r="P538" s="3"/>
      <c r="Q538" s="1"/>
      <c r="R538" s="1"/>
    </row>
    <row r="539" spans="8:18" ht="13.5" x14ac:dyDescent="0.25">
      <c r="H539" s="4"/>
      <c r="M539" s="4"/>
      <c r="N539" s="3"/>
      <c r="O539" s="3"/>
      <c r="P539" s="3"/>
      <c r="Q539" s="1"/>
      <c r="R539" s="1"/>
    </row>
    <row r="540" spans="8:18" ht="13.5" x14ac:dyDescent="0.25">
      <c r="H540" s="4"/>
      <c r="M540" s="4"/>
      <c r="N540" s="3"/>
      <c r="O540" s="3"/>
      <c r="P540" s="3"/>
      <c r="Q540" s="1"/>
      <c r="R540" s="1"/>
    </row>
    <row r="541" spans="8:18" ht="13.5" x14ac:dyDescent="0.25">
      <c r="H541" s="4"/>
      <c r="M541" s="4"/>
      <c r="N541" s="3"/>
      <c r="O541" s="3"/>
      <c r="P541" s="3"/>
      <c r="Q541" s="1"/>
      <c r="R541" s="1"/>
    </row>
    <row r="542" spans="8:18" ht="13.5" x14ac:dyDescent="0.25">
      <c r="H542" s="4"/>
      <c r="M542" s="4"/>
      <c r="N542" s="3"/>
      <c r="O542" s="3"/>
      <c r="P542" s="3"/>
      <c r="Q542" s="1"/>
      <c r="R542" s="1"/>
    </row>
    <row r="543" spans="8:18" ht="13.5" x14ac:dyDescent="0.25">
      <c r="H543" s="4"/>
      <c r="M543" s="4"/>
      <c r="N543" s="3"/>
      <c r="O543" s="3"/>
      <c r="P543" s="3"/>
      <c r="Q543" s="1"/>
      <c r="R543" s="1"/>
    </row>
    <row r="544" spans="8:18" ht="13.5" x14ac:dyDescent="0.25">
      <c r="H544" s="4"/>
      <c r="M544" s="4"/>
      <c r="N544" s="3"/>
      <c r="O544" s="3"/>
      <c r="P544" s="3"/>
      <c r="Q544" s="1"/>
      <c r="R544" s="1"/>
    </row>
    <row r="545" spans="8:18" ht="13.5" x14ac:dyDescent="0.25">
      <c r="H545" s="4"/>
      <c r="M545" s="4"/>
      <c r="N545" s="3"/>
      <c r="O545" s="3"/>
      <c r="P545" s="3"/>
      <c r="Q545" s="1"/>
      <c r="R545" s="1"/>
    </row>
    <row r="546" spans="8:18" ht="13.5" x14ac:dyDescent="0.25">
      <c r="H546" s="4"/>
      <c r="M546" s="4"/>
      <c r="N546" s="3"/>
      <c r="O546" s="3"/>
      <c r="P546" s="3"/>
      <c r="Q546" s="1"/>
      <c r="R546" s="1"/>
    </row>
    <row r="547" spans="8:18" ht="13.5" x14ac:dyDescent="0.25">
      <c r="H547" s="4"/>
      <c r="M547" s="4"/>
      <c r="N547" s="3"/>
      <c r="O547" s="3"/>
      <c r="P547" s="3"/>
      <c r="Q547" s="1"/>
      <c r="R547" s="1"/>
    </row>
    <row r="548" spans="8:18" ht="13.5" x14ac:dyDescent="0.25">
      <c r="H548" s="4"/>
      <c r="M548" s="4"/>
      <c r="N548" s="3"/>
      <c r="O548" s="3"/>
      <c r="P548" s="3"/>
      <c r="Q548" s="1"/>
      <c r="R548" s="1"/>
    </row>
    <row r="549" spans="8:18" ht="13.5" x14ac:dyDescent="0.25">
      <c r="H549" s="4"/>
      <c r="M549" s="4"/>
      <c r="N549" s="3"/>
      <c r="O549" s="3"/>
      <c r="P549" s="3"/>
      <c r="Q549" s="1"/>
      <c r="R549" s="1"/>
    </row>
    <row r="550" spans="8:18" ht="13.5" x14ac:dyDescent="0.25">
      <c r="H550" s="4"/>
      <c r="M550" s="4"/>
      <c r="N550" s="3"/>
      <c r="O550" s="3"/>
      <c r="P550" s="3"/>
      <c r="Q550" s="1"/>
      <c r="R550" s="1"/>
    </row>
    <row r="551" spans="8:18" ht="13.5" x14ac:dyDescent="0.25">
      <c r="H551" s="4"/>
      <c r="M551" s="4"/>
      <c r="N551" s="3"/>
      <c r="O551" s="3"/>
      <c r="P551" s="3"/>
      <c r="Q551" s="1"/>
      <c r="R551" s="1"/>
    </row>
    <row r="552" spans="8:18" ht="13.5" x14ac:dyDescent="0.25">
      <c r="H552" s="4"/>
      <c r="M552" s="4"/>
      <c r="N552" s="3"/>
      <c r="O552" s="3"/>
      <c r="P552" s="3"/>
      <c r="Q552" s="1"/>
      <c r="R552" s="1"/>
    </row>
    <row r="553" spans="8:18" ht="13.5" x14ac:dyDescent="0.25">
      <c r="H553" s="4"/>
      <c r="M553" s="4"/>
      <c r="N553" s="3"/>
      <c r="O553" s="3"/>
      <c r="P553" s="3"/>
      <c r="Q553" s="1"/>
      <c r="R553" s="1"/>
    </row>
    <row r="554" spans="8:18" ht="13.5" x14ac:dyDescent="0.25">
      <c r="H554" s="4"/>
      <c r="M554" s="4"/>
      <c r="N554" s="3"/>
      <c r="O554" s="3"/>
      <c r="P554" s="3"/>
      <c r="Q554" s="1"/>
      <c r="R554" s="1"/>
    </row>
    <row r="555" spans="8:18" ht="13.5" x14ac:dyDescent="0.25">
      <c r="H555" s="4"/>
      <c r="M555" s="4"/>
      <c r="N555" s="3"/>
      <c r="O555" s="3"/>
      <c r="P555" s="3"/>
      <c r="Q555" s="1"/>
      <c r="R555" s="1"/>
    </row>
    <row r="556" spans="8:18" ht="13.5" x14ac:dyDescent="0.25">
      <c r="H556" s="4"/>
      <c r="M556" s="4"/>
      <c r="N556" s="3"/>
      <c r="O556" s="3"/>
      <c r="P556" s="3"/>
      <c r="Q556" s="1"/>
      <c r="R556" s="1"/>
    </row>
    <row r="557" spans="8:18" ht="13.5" x14ac:dyDescent="0.25">
      <c r="H557" s="4"/>
      <c r="M557" s="4"/>
      <c r="N557" s="3"/>
      <c r="O557" s="3"/>
      <c r="P557" s="3"/>
      <c r="Q557" s="1"/>
      <c r="R557" s="1"/>
    </row>
    <row r="558" spans="8:18" ht="13.5" x14ac:dyDescent="0.25">
      <c r="H558" s="4"/>
      <c r="M558" s="4"/>
      <c r="N558" s="3"/>
      <c r="O558" s="3"/>
      <c r="P558" s="3"/>
      <c r="Q558" s="1"/>
      <c r="R558" s="1"/>
    </row>
    <row r="559" spans="8:18" ht="13.5" x14ac:dyDescent="0.25">
      <c r="H559" s="4"/>
      <c r="M559" s="4"/>
      <c r="N559" s="3"/>
      <c r="O559" s="3"/>
      <c r="P559" s="3"/>
      <c r="Q559" s="1"/>
      <c r="R559" s="1"/>
    </row>
    <row r="560" spans="8:18" ht="13.5" x14ac:dyDescent="0.25">
      <c r="H560" s="4"/>
      <c r="M560" s="4"/>
      <c r="N560" s="3"/>
      <c r="O560" s="3"/>
      <c r="P560" s="3"/>
      <c r="Q560" s="1"/>
      <c r="R560" s="1"/>
    </row>
    <row r="561" spans="8:18" ht="13.5" x14ac:dyDescent="0.25">
      <c r="H561" s="4"/>
      <c r="M561" s="4"/>
      <c r="N561" s="3"/>
      <c r="O561" s="3"/>
      <c r="P561" s="3"/>
      <c r="Q561" s="1"/>
      <c r="R561" s="1"/>
    </row>
    <row r="562" spans="8:18" ht="13.5" x14ac:dyDescent="0.25">
      <c r="H562" s="4"/>
      <c r="M562" s="4"/>
      <c r="N562" s="3"/>
      <c r="O562" s="3"/>
      <c r="P562" s="3"/>
      <c r="Q562" s="1"/>
      <c r="R562" s="1"/>
    </row>
    <row r="563" spans="8:18" ht="13.5" x14ac:dyDescent="0.25">
      <c r="H563" s="4"/>
      <c r="M563" s="4"/>
      <c r="N563" s="3"/>
      <c r="O563" s="3"/>
      <c r="P563" s="3"/>
      <c r="Q563" s="1"/>
      <c r="R563" s="1"/>
    </row>
    <row r="564" spans="8:18" ht="13.5" x14ac:dyDescent="0.25">
      <c r="H564" s="4"/>
      <c r="M564" s="4"/>
      <c r="N564" s="3"/>
      <c r="O564" s="3"/>
      <c r="P564" s="3"/>
      <c r="Q564" s="1"/>
      <c r="R564" s="1"/>
    </row>
    <row r="565" spans="8:18" ht="13.5" x14ac:dyDescent="0.25">
      <c r="H565" s="4"/>
      <c r="M565" s="4"/>
      <c r="N565" s="3"/>
      <c r="O565" s="3"/>
      <c r="P565" s="3"/>
      <c r="Q565" s="1"/>
      <c r="R565" s="1"/>
    </row>
    <row r="566" spans="8:18" ht="13.5" x14ac:dyDescent="0.25">
      <c r="H566" s="4"/>
      <c r="M566" s="4"/>
      <c r="N566" s="3"/>
      <c r="O566" s="3"/>
      <c r="P566" s="3"/>
      <c r="Q566" s="1"/>
      <c r="R566" s="1"/>
    </row>
    <row r="567" spans="8:18" ht="13.5" x14ac:dyDescent="0.25">
      <c r="H567" s="4"/>
      <c r="M567" s="4"/>
      <c r="N567" s="3"/>
      <c r="O567" s="3"/>
      <c r="P567" s="3"/>
      <c r="Q567" s="1"/>
      <c r="R567" s="1"/>
    </row>
    <row r="568" spans="8:18" ht="13.5" x14ac:dyDescent="0.25">
      <c r="H568" s="4"/>
      <c r="M568" s="4"/>
      <c r="N568" s="3"/>
      <c r="O568" s="3"/>
      <c r="P568" s="3"/>
      <c r="Q568" s="1"/>
      <c r="R568" s="1"/>
    </row>
    <row r="569" spans="8:18" ht="13.5" x14ac:dyDescent="0.25">
      <c r="H569" s="4"/>
      <c r="M569" s="4"/>
      <c r="N569" s="3"/>
      <c r="O569" s="3"/>
      <c r="P569" s="3"/>
      <c r="Q569" s="1"/>
      <c r="R569" s="1"/>
    </row>
    <row r="570" spans="8:18" ht="13.5" x14ac:dyDescent="0.25">
      <c r="H570" s="4"/>
      <c r="M570" s="4"/>
      <c r="N570" s="3"/>
      <c r="O570" s="3"/>
      <c r="P570" s="3"/>
      <c r="Q570" s="1"/>
      <c r="R570" s="1"/>
    </row>
    <row r="571" spans="8:18" ht="13.5" x14ac:dyDescent="0.25">
      <c r="H571" s="4"/>
      <c r="M571" s="4"/>
      <c r="N571" s="3"/>
      <c r="O571" s="3"/>
      <c r="P571" s="3"/>
      <c r="Q571" s="1"/>
      <c r="R571" s="1"/>
    </row>
    <row r="572" spans="8:18" ht="13.5" x14ac:dyDescent="0.25">
      <c r="H572" s="4"/>
      <c r="M572" s="4"/>
      <c r="N572" s="3"/>
      <c r="O572" s="3"/>
      <c r="P572" s="3"/>
      <c r="Q572" s="1"/>
      <c r="R572" s="1"/>
    </row>
    <row r="573" spans="8:18" ht="13.5" x14ac:dyDescent="0.25">
      <c r="H573" s="4"/>
      <c r="M573" s="4"/>
      <c r="N573" s="3"/>
      <c r="O573" s="3"/>
      <c r="P573" s="3"/>
      <c r="Q573" s="1"/>
      <c r="R573" s="1"/>
    </row>
    <row r="574" spans="8:18" ht="13.5" x14ac:dyDescent="0.25">
      <c r="H574" s="4"/>
      <c r="M574" s="4"/>
      <c r="N574" s="3"/>
      <c r="O574" s="3"/>
      <c r="P574" s="3"/>
      <c r="Q574" s="1"/>
      <c r="R574" s="1"/>
    </row>
    <row r="575" spans="8:18" ht="13.5" x14ac:dyDescent="0.25">
      <c r="H575" s="4"/>
      <c r="M575" s="4"/>
      <c r="N575" s="3"/>
      <c r="O575" s="3"/>
      <c r="P575" s="3"/>
      <c r="Q575" s="1"/>
      <c r="R575" s="1"/>
    </row>
    <row r="576" spans="8:18" ht="13.5" x14ac:dyDescent="0.25">
      <c r="H576" s="4"/>
      <c r="M576" s="4"/>
      <c r="N576" s="3"/>
      <c r="O576" s="3"/>
      <c r="P576" s="3"/>
      <c r="Q576" s="1"/>
      <c r="R576" s="1"/>
    </row>
    <row r="577" spans="8:18" ht="13.5" x14ac:dyDescent="0.25">
      <c r="H577" s="4"/>
      <c r="M577" s="4"/>
      <c r="N577" s="3"/>
      <c r="O577" s="3"/>
      <c r="P577" s="3"/>
      <c r="Q577" s="1"/>
      <c r="R577" s="1"/>
    </row>
    <row r="578" spans="8:18" ht="13.5" x14ac:dyDescent="0.25">
      <c r="H578" s="4"/>
      <c r="M578" s="4"/>
      <c r="N578" s="3"/>
      <c r="O578" s="3"/>
      <c r="P578" s="3"/>
      <c r="Q578" s="1"/>
      <c r="R578" s="1"/>
    </row>
    <row r="579" spans="8:18" ht="13.5" x14ac:dyDescent="0.25">
      <c r="H579" s="4"/>
      <c r="M579" s="4"/>
      <c r="N579" s="3"/>
      <c r="O579" s="3"/>
      <c r="P579" s="3"/>
      <c r="Q579" s="1"/>
      <c r="R579" s="1"/>
    </row>
    <row r="580" spans="8:18" ht="13.5" x14ac:dyDescent="0.25">
      <c r="H580" s="4"/>
      <c r="M580" s="4"/>
      <c r="N580" s="3"/>
      <c r="O580" s="3"/>
      <c r="P580" s="3"/>
      <c r="Q580" s="1"/>
      <c r="R580" s="1"/>
    </row>
    <row r="581" spans="8:18" ht="13.5" x14ac:dyDescent="0.25">
      <c r="H581" s="4"/>
      <c r="M581" s="4"/>
      <c r="N581" s="3"/>
      <c r="O581" s="3"/>
      <c r="P581" s="3"/>
      <c r="Q581" s="1"/>
      <c r="R581" s="1"/>
    </row>
    <row r="582" spans="8:18" ht="13.5" x14ac:dyDescent="0.25">
      <c r="H582" s="4"/>
      <c r="M582" s="4"/>
      <c r="N582" s="3"/>
      <c r="O582" s="3"/>
      <c r="P582" s="3"/>
      <c r="Q582" s="1"/>
      <c r="R582" s="1"/>
    </row>
    <row r="583" spans="8:18" ht="13.5" x14ac:dyDescent="0.25">
      <c r="H583" s="4"/>
      <c r="M583" s="4"/>
      <c r="N583" s="3"/>
      <c r="O583" s="3"/>
      <c r="P583" s="3"/>
      <c r="Q583" s="1"/>
      <c r="R583" s="1"/>
    </row>
    <row r="584" spans="8:18" ht="13.5" x14ac:dyDescent="0.25">
      <c r="H584" s="4"/>
      <c r="M584" s="4"/>
      <c r="N584" s="3"/>
      <c r="O584" s="3"/>
      <c r="P584" s="3"/>
      <c r="Q584" s="1"/>
      <c r="R584" s="1"/>
    </row>
    <row r="585" spans="8:18" ht="13.5" x14ac:dyDescent="0.25">
      <c r="H585" s="4"/>
      <c r="M585" s="4"/>
      <c r="N585" s="3"/>
      <c r="O585" s="3"/>
      <c r="P585" s="3"/>
      <c r="Q585" s="1"/>
      <c r="R585" s="1"/>
    </row>
    <row r="586" spans="8:18" ht="13.5" x14ac:dyDescent="0.25">
      <c r="H586" s="4"/>
      <c r="M586" s="4"/>
      <c r="N586" s="3"/>
      <c r="O586" s="3"/>
      <c r="P586" s="3"/>
      <c r="Q586" s="1"/>
      <c r="R586" s="1"/>
    </row>
    <row r="587" spans="8:18" ht="13.5" x14ac:dyDescent="0.25">
      <c r="H587" s="4"/>
      <c r="M587" s="4"/>
      <c r="N587" s="3"/>
      <c r="O587" s="3"/>
      <c r="P587" s="3"/>
      <c r="Q587" s="1"/>
      <c r="R587" s="1"/>
    </row>
    <row r="588" spans="8:18" ht="13.5" x14ac:dyDescent="0.25">
      <c r="H588" s="4"/>
      <c r="M588" s="4"/>
      <c r="N588" s="3"/>
      <c r="O588" s="3"/>
      <c r="P588" s="3"/>
      <c r="Q588" s="1"/>
      <c r="R588" s="1"/>
    </row>
    <row r="589" spans="8:18" ht="13.5" x14ac:dyDescent="0.25">
      <c r="H589" s="4"/>
      <c r="M589" s="4"/>
      <c r="N589" s="3"/>
      <c r="O589" s="3"/>
      <c r="P589" s="3"/>
      <c r="Q589" s="1"/>
      <c r="R589" s="1"/>
    </row>
    <row r="590" spans="8:18" ht="13.5" x14ac:dyDescent="0.25">
      <c r="H590" s="4"/>
      <c r="M590" s="4"/>
      <c r="N590" s="3"/>
      <c r="O590" s="3"/>
      <c r="P590" s="3"/>
      <c r="Q590" s="1"/>
      <c r="R590" s="1"/>
    </row>
    <row r="591" spans="8:18" ht="13.5" x14ac:dyDescent="0.25">
      <c r="H591" s="4"/>
      <c r="M591" s="4"/>
      <c r="N591" s="3"/>
      <c r="O591" s="3"/>
      <c r="P591" s="3"/>
      <c r="Q591" s="1"/>
      <c r="R591" s="1"/>
    </row>
    <row r="592" spans="8:18" ht="13.5" x14ac:dyDescent="0.25">
      <c r="H592" s="4"/>
      <c r="M592" s="4"/>
      <c r="N592" s="3"/>
      <c r="O592" s="3"/>
      <c r="P592" s="3"/>
      <c r="Q592" s="1"/>
      <c r="R592" s="1"/>
    </row>
    <row r="593" spans="8:18" ht="13.5" x14ac:dyDescent="0.25">
      <c r="H593" s="4"/>
      <c r="M593" s="4"/>
      <c r="N593" s="3"/>
      <c r="O593" s="3"/>
      <c r="P593" s="3"/>
      <c r="Q593" s="1"/>
      <c r="R593" s="1"/>
    </row>
    <row r="594" spans="8:18" ht="13.5" x14ac:dyDescent="0.25">
      <c r="H594" s="4"/>
      <c r="M594" s="4"/>
      <c r="N594" s="3"/>
      <c r="O594" s="3"/>
      <c r="P594" s="3"/>
      <c r="Q594" s="1"/>
      <c r="R594" s="1"/>
    </row>
    <row r="595" spans="8:18" ht="13.5" x14ac:dyDescent="0.25">
      <c r="H595" s="4"/>
      <c r="M595" s="4"/>
      <c r="N595" s="3"/>
      <c r="O595" s="3"/>
      <c r="P595" s="3"/>
      <c r="Q595" s="1"/>
      <c r="R595" s="1"/>
    </row>
    <row r="596" spans="8:18" ht="13.5" x14ac:dyDescent="0.25">
      <c r="H596" s="4"/>
      <c r="M596" s="4"/>
      <c r="N596" s="3"/>
      <c r="O596" s="3"/>
      <c r="P596" s="3"/>
      <c r="Q596" s="1"/>
      <c r="R596" s="1"/>
    </row>
    <row r="597" spans="8:18" ht="13.5" x14ac:dyDescent="0.25">
      <c r="H597" s="4"/>
      <c r="M597" s="4"/>
      <c r="N597" s="3"/>
      <c r="O597" s="3"/>
      <c r="P597" s="3"/>
      <c r="Q597" s="1"/>
      <c r="R597" s="1"/>
    </row>
    <row r="598" spans="8:18" ht="13.5" x14ac:dyDescent="0.25">
      <c r="H598" s="4"/>
      <c r="M598" s="4"/>
      <c r="N598" s="3"/>
      <c r="O598" s="3"/>
      <c r="P598" s="3"/>
      <c r="Q598" s="1"/>
      <c r="R598" s="1"/>
    </row>
    <row r="599" spans="8:18" ht="13.5" x14ac:dyDescent="0.25">
      <c r="H599" s="4"/>
      <c r="M599" s="4"/>
      <c r="N599" s="3"/>
      <c r="O599" s="3"/>
      <c r="P599" s="3"/>
      <c r="Q599" s="1"/>
      <c r="R599" s="1"/>
    </row>
    <row r="600" spans="8:18" ht="13.5" x14ac:dyDescent="0.25">
      <c r="H600" s="4"/>
      <c r="M600" s="4"/>
      <c r="N600" s="3"/>
      <c r="O600" s="3"/>
      <c r="P600" s="3"/>
      <c r="Q600" s="1"/>
      <c r="R600" s="1"/>
    </row>
    <row r="601" spans="8:18" ht="13.5" x14ac:dyDescent="0.25">
      <c r="H601" s="4"/>
      <c r="M601" s="4"/>
      <c r="N601" s="3"/>
      <c r="O601" s="3"/>
      <c r="P601" s="3"/>
      <c r="Q601" s="1"/>
      <c r="R601" s="1"/>
    </row>
    <row r="602" spans="8:18" ht="13.5" x14ac:dyDescent="0.25">
      <c r="H602" s="4"/>
      <c r="M602" s="4"/>
      <c r="N602" s="3"/>
      <c r="O602" s="3"/>
      <c r="P602" s="3"/>
      <c r="Q602" s="1"/>
      <c r="R602" s="1"/>
    </row>
    <row r="603" spans="8:18" ht="13.5" x14ac:dyDescent="0.25">
      <c r="H603" s="4"/>
      <c r="M603" s="4"/>
      <c r="N603" s="3"/>
      <c r="O603" s="3"/>
      <c r="P603" s="3"/>
      <c r="Q603" s="1"/>
      <c r="R603" s="1"/>
    </row>
    <row r="604" spans="8:18" ht="13.5" x14ac:dyDescent="0.25">
      <c r="H604" s="4"/>
      <c r="M604" s="4"/>
      <c r="N604" s="3"/>
      <c r="O604" s="3"/>
      <c r="P604" s="3"/>
      <c r="Q604" s="1"/>
      <c r="R604" s="1"/>
    </row>
    <row r="605" spans="8:18" ht="13.5" x14ac:dyDescent="0.25">
      <c r="H605" s="4"/>
      <c r="M605" s="4"/>
      <c r="N605" s="3"/>
      <c r="O605" s="3"/>
      <c r="P605" s="3"/>
      <c r="Q605" s="1"/>
      <c r="R605" s="1"/>
    </row>
    <row r="606" spans="8:18" ht="13.5" x14ac:dyDescent="0.25">
      <c r="H606" s="4"/>
      <c r="M606" s="4"/>
      <c r="N606" s="3"/>
      <c r="O606" s="3"/>
      <c r="P606" s="3"/>
      <c r="Q606" s="1"/>
      <c r="R606" s="1"/>
    </row>
    <row r="607" spans="8:18" ht="13.5" x14ac:dyDescent="0.25">
      <c r="H607" s="4"/>
      <c r="M607" s="4"/>
      <c r="N607" s="3"/>
      <c r="O607" s="3"/>
      <c r="P607" s="3"/>
      <c r="Q607" s="1"/>
      <c r="R607" s="1"/>
    </row>
    <row r="608" spans="8:18" ht="13.5" x14ac:dyDescent="0.25">
      <c r="H608" s="4"/>
      <c r="M608" s="4"/>
      <c r="N608" s="3"/>
      <c r="O608" s="3"/>
      <c r="P608" s="3"/>
      <c r="Q608" s="1"/>
      <c r="R608" s="1"/>
    </row>
    <row r="609" spans="8:18" ht="13.5" x14ac:dyDescent="0.25">
      <c r="H609" s="4"/>
      <c r="M609" s="4"/>
      <c r="N609" s="3"/>
      <c r="O609" s="3"/>
      <c r="P609" s="3"/>
      <c r="Q609" s="1"/>
      <c r="R609" s="1"/>
    </row>
    <row r="610" spans="8:18" ht="13.5" x14ac:dyDescent="0.25">
      <c r="H610" s="4"/>
      <c r="M610" s="4"/>
      <c r="N610" s="3"/>
      <c r="O610" s="3"/>
      <c r="P610" s="3"/>
      <c r="Q610" s="1"/>
      <c r="R610" s="1"/>
    </row>
    <row r="611" spans="8:18" ht="13.5" x14ac:dyDescent="0.25">
      <c r="H611" s="4"/>
      <c r="M611" s="4"/>
      <c r="N611" s="3"/>
      <c r="O611" s="3"/>
      <c r="P611" s="3"/>
      <c r="Q611" s="1"/>
      <c r="R611" s="1"/>
    </row>
    <row r="612" spans="8:18" ht="13.5" x14ac:dyDescent="0.25">
      <c r="H612" s="4"/>
      <c r="M612" s="4"/>
      <c r="N612" s="3"/>
      <c r="O612" s="3"/>
      <c r="P612" s="3"/>
      <c r="Q612" s="1"/>
      <c r="R612" s="1"/>
    </row>
    <row r="613" spans="8:18" ht="13.5" x14ac:dyDescent="0.25">
      <c r="H613" s="4"/>
      <c r="M613" s="4"/>
      <c r="N613" s="3"/>
      <c r="O613" s="3"/>
      <c r="P613" s="3"/>
      <c r="Q613" s="1"/>
      <c r="R613" s="1"/>
    </row>
    <row r="614" spans="8:18" ht="13.5" x14ac:dyDescent="0.25">
      <c r="H614" s="4"/>
      <c r="M614" s="4"/>
      <c r="N614" s="3"/>
      <c r="O614" s="3"/>
      <c r="P614" s="3"/>
      <c r="Q614" s="1"/>
      <c r="R614" s="1"/>
    </row>
    <row r="615" spans="8:18" ht="13.5" x14ac:dyDescent="0.25">
      <c r="H615" s="4"/>
      <c r="M615" s="4"/>
      <c r="N615" s="3"/>
      <c r="O615" s="3"/>
      <c r="P615" s="3"/>
      <c r="Q615" s="1"/>
      <c r="R615" s="1"/>
    </row>
    <row r="616" spans="8:18" ht="13.5" x14ac:dyDescent="0.25">
      <c r="H616" s="4"/>
      <c r="M616" s="4"/>
      <c r="N616" s="3"/>
      <c r="O616" s="3"/>
      <c r="P616" s="3"/>
      <c r="Q616" s="1"/>
      <c r="R616" s="1"/>
    </row>
    <row r="617" spans="8:18" ht="13.5" x14ac:dyDescent="0.25">
      <c r="H617" s="4"/>
      <c r="M617" s="4"/>
      <c r="N617" s="3"/>
      <c r="O617" s="3"/>
      <c r="P617" s="3"/>
      <c r="Q617" s="1"/>
      <c r="R617" s="1"/>
    </row>
    <row r="618" spans="8:18" ht="13.5" x14ac:dyDescent="0.25">
      <c r="H618" s="4"/>
      <c r="M618" s="4"/>
      <c r="N618" s="3"/>
      <c r="O618" s="3"/>
      <c r="P618" s="3"/>
      <c r="Q618" s="1"/>
      <c r="R618" s="1"/>
    </row>
    <row r="619" spans="8:18" ht="13.5" x14ac:dyDescent="0.25">
      <c r="H619" s="4"/>
      <c r="M619" s="4"/>
      <c r="N619" s="3"/>
      <c r="O619" s="3"/>
      <c r="P619" s="3"/>
      <c r="Q619" s="1"/>
      <c r="R619" s="1"/>
    </row>
    <row r="620" spans="8:18" ht="13.5" x14ac:dyDescent="0.25">
      <c r="H620" s="4"/>
      <c r="M620" s="4"/>
      <c r="N620" s="3"/>
      <c r="O620" s="3"/>
      <c r="P620" s="3"/>
      <c r="Q620" s="1"/>
      <c r="R620" s="1"/>
    </row>
    <row r="621" spans="8:18" ht="13.5" x14ac:dyDescent="0.25">
      <c r="H621" s="4"/>
      <c r="M621" s="4"/>
      <c r="N621" s="3"/>
      <c r="O621" s="3"/>
      <c r="P621" s="3"/>
      <c r="Q621" s="1"/>
      <c r="R621" s="1"/>
    </row>
    <row r="622" spans="8:18" ht="13.5" x14ac:dyDescent="0.25">
      <c r="H622" s="4"/>
      <c r="M622" s="4"/>
      <c r="N622" s="3"/>
      <c r="O622" s="3"/>
      <c r="P622" s="3"/>
      <c r="Q622" s="1"/>
      <c r="R622" s="1"/>
    </row>
    <row r="623" spans="8:18" ht="13.5" x14ac:dyDescent="0.25">
      <c r="H623" s="4"/>
      <c r="M623" s="4"/>
      <c r="N623" s="3"/>
      <c r="O623" s="3"/>
      <c r="P623" s="3"/>
      <c r="Q623" s="1"/>
      <c r="R623" s="1"/>
    </row>
    <row r="624" spans="8:18" ht="13.5" x14ac:dyDescent="0.25">
      <c r="H624" s="4"/>
      <c r="M624" s="4"/>
      <c r="N624" s="3"/>
      <c r="O624" s="3"/>
      <c r="P624" s="3"/>
      <c r="Q624" s="1"/>
      <c r="R624" s="1"/>
    </row>
    <row r="625" spans="8:18" ht="13.5" x14ac:dyDescent="0.25">
      <c r="H625" s="4"/>
      <c r="M625" s="4"/>
      <c r="N625" s="3"/>
      <c r="O625" s="3"/>
      <c r="P625" s="3"/>
      <c r="Q625" s="1"/>
      <c r="R625" s="1"/>
    </row>
    <row r="626" spans="8:18" ht="13.5" x14ac:dyDescent="0.25">
      <c r="H626" s="4"/>
      <c r="M626" s="4"/>
      <c r="N626" s="3"/>
      <c r="O626" s="3"/>
      <c r="P626" s="3"/>
      <c r="Q626" s="1"/>
      <c r="R626" s="1"/>
    </row>
    <row r="627" spans="8:18" ht="13.5" x14ac:dyDescent="0.25">
      <c r="H627" s="4"/>
      <c r="M627" s="4"/>
      <c r="N627" s="3"/>
      <c r="O627" s="3"/>
      <c r="P627" s="3"/>
      <c r="Q627" s="1"/>
      <c r="R627" s="1"/>
    </row>
    <row r="628" spans="8:18" ht="13.5" x14ac:dyDescent="0.25">
      <c r="H628" s="4"/>
      <c r="M628" s="4"/>
      <c r="N628" s="3"/>
      <c r="O628" s="3"/>
      <c r="P628" s="3"/>
      <c r="Q628" s="1"/>
      <c r="R628" s="1"/>
    </row>
    <row r="629" spans="8:18" ht="13.5" x14ac:dyDescent="0.25">
      <c r="H629" s="4"/>
      <c r="M629" s="4"/>
      <c r="N629" s="3"/>
      <c r="O629" s="3"/>
      <c r="P629" s="3"/>
      <c r="Q629" s="1"/>
      <c r="R629" s="1"/>
    </row>
    <row r="630" spans="8:18" ht="13.5" x14ac:dyDescent="0.25">
      <c r="H630" s="4"/>
      <c r="M630" s="4"/>
      <c r="N630" s="3"/>
      <c r="O630" s="3"/>
      <c r="P630" s="3"/>
      <c r="Q630" s="1"/>
      <c r="R630" s="1"/>
    </row>
    <row r="631" spans="8:18" ht="13.5" x14ac:dyDescent="0.25">
      <c r="H631" s="4"/>
      <c r="M631" s="4"/>
      <c r="N631" s="3"/>
      <c r="O631" s="3"/>
      <c r="P631" s="3"/>
      <c r="Q631" s="1"/>
      <c r="R631" s="1"/>
    </row>
    <row r="632" spans="8:18" ht="13.5" x14ac:dyDescent="0.25">
      <c r="H632" s="4"/>
      <c r="M632" s="4"/>
      <c r="N632" s="3"/>
      <c r="O632" s="3"/>
      <c r="P632" s="3"/>
      <c r="Q632" s="1"/>
      <c r="R632" s="1"/>
    </row>
    <row r="633" spans="8:18" ht="13.5" x14ac:dyDescent="0.25">
      <c r="H633" s="4"/>
      <c r="M633" s="4"/>
      <c r="N633" s="3"/>
      <c r="O633" s="3"/>
      <c r="P633" s="3"/>
      <c r="Q633" s="1"/>
      <c r="R633" s="1"/>
    </row>
    <row r="634" spans="8:18" ht="13.5" x14ac:dyDescent="0.25">
      <c r="H634" s="4"/>
      <c r="M634" s="4"/>
      <c r="N634" s="3"/>
      <c r="O634" s="3"/>
      <c r="P634" s="3"/>
      <c r="Q634" s="1"/>
      <c r="R634" s="1"/>
    </row>
    <row r="635" spans="8:18" ht="13.5" x14ac:dyDescent="0.25">
      <c r="H635" s="4"/>
      <c r="M635" s="4"/>
      <c r="N635" s="3"/>
      <c r="O635" s="3"/>
      <c r="P635" s="3"/>
      <c r="Q635" s="1"/>
      <c r="R635" s="1"/>
    </row>
    <row r="636" spans="8:18" ht="13.5" x14ac:dyDescent="0.25">
      <c r="H636" s="4"/>
      <c r="M636" s="4"/>
      <c r="N636" s="3"/>
      <c r="O636" s="3"/>
      <c r="P636" s="3"/>
      <c r="Q636" s="1"/>
      <c r="R636" s="1"/>
    </row>
    <row r="637" spans="8:18" ht="13.5" x14ac:dyDescent="0.25">
      <c r="H637" s="4"/>
      <c r="M637" s="4"/>
      <c r="N637" s="3"/>
      <c r="O637" s="3"/>
      <c r="P637" s="3"/>
      <c r="Q637" s="1"/>
      <c r="R637" s="1"/>
    </row>
    <row r="638" spans="8:18" ht="13.5" x14ac:dyDescent="0.25">
      <c r="H638" s="4"/>
      <c r="M638" s="4"/>
      <c r="N638" s="3"/>
      <c r="O638" s="3"/>
      <c r="P638" s="3"/>
      <c r="Q638" s="1"/>
      <c r="R638" s="1"/>
    </row>
    <row r="639" spans="8:18" ht="13.5" x14ac:dyDescent="0.25">
      <c r="H639" s="4"/>
      <c r="M639" s="4"/>
      <c r="N639" s="3"/>
      <c r="O639" s="3"/>
      <c r="P639" s="3"/>
      <c r="Q639" s="1"/>
      <c r="R639" s="1"/>
    </row>
    <row r="640" spans="8:18" ht="13.5" x14ac:dyDescent="0.25">
      <c r="H640" s="4"/>
      <c r="M640" s="4"/>
      <c r="N640" s="3"/>
      <c r="O640" s="3"/>
      <c r="P640" s="3"/>
      <c r="Q640" s="1"/>
      <c r="R640" s="1"/>
    </row>
    <row r="641" spans="8:18" ht="13.5" x14ac:dyDescent="0.25">
      <c r="H641" s="4"/>
      <c r="M641" s="4"/>
      <c r="N641" s="3"/>
      <c r="O641" s="3"/>
      <c r="P641" s="3"/>
      <c r="Q641" s="1"/>
      <c r="R641" s="1"/>
    </row>
    <row r="642" spans="8:18" ht="13.5" x14ac:dyDescent="0.25">
      <c r="H642" s="4"/>
      <c r="M642" s="4"/>
      <c r="N642" s="3"/>
      <c r="O642" s="3"/>
      <c r="P642" s="3"/>
      <c r="Q642" s="1"/>
      <c r="R642" s="1"/>
    </row>
    <row r="643" spans="8:18" ht="13.5" x14ac:dyDescent="0.25">
      <c r="H643" s="4"/>
      <c r="M643" s="4"/>
      <c r="N643" s="3"/>
      <c r="O643" s="3"/>
      <c r="P643" s="3"/>
      <c r="Q643" s="1"/>
      <c r="R643" s="1"/>
    </row>
    <row r="644" spans="8:18" ht="13.5" x14ac:dyDescent="0.25">
      <c r="H644" s="4"/>
      <c r="M644" s="4"/>
      <c r="N644" s="3"/>
      <c r="O644" s="3"/>
      <c r="P644" s="3"/>
      <c r="Q644" s="1"/>
      <c r="R644" s="1"/>
    </row>
    <row r="645" spans="8:18" ht="13.5" x14ac:dyDescent="0.25">
      <c r="H645" s="4"/>
      <c r="M645" s="4"/>
      <c r="N645" s="3"/>
      <c r="O645" s="3"/>
      <c r="P645" s="3"/>
      <c r="Q645" s="1"/>
      <c r="R645" s="1"/>
    </row>
    <row r="646" spans="8:18" ht="13.5" x14ac:dyDescent="0.25">
      <c r="H646" s="4"/>
      <c r="M646" s="4"/>
      <c r="N646" s="3"/>
      <c r="O646" s="3"/>
      <c r="P646" s="3"/>
      <c r="Q646" s="1"/>
      <c r="R646" s="1"/>
    </row>
    <row r="647" spans="8:18" ht="13.5" x14ac:dyDescent="0.25">
      <c r="H647" s="4"/>
      <c r="M647" s="4"/>
      <c r="N647" s="3"/>
      <c r="O647" s="3"/>
      <c r="P647" s="3"/>
      <c r="Q647" s="1"/>
      <c r="R647" s="1"/>
    </row>
    <row r="648" spans="8:18" ht="13.5" x14ac:dyDescent="0.25">
      <c r="H648" s="4"/>
      <c r="M648" s="4"/>
      <c r="N648" s="3"/>
      <c r="O648" s="3"/>
      <c r="P648" s="3"/>
      <c r="Q648" s="1"/>
      <c r="R648" s="1"/>
    </row>
    <row r="649" spans="8:18" ht="13.5" x14ac:dyDescent="0.25">
      <c r="H649" s="4"/>
      <c r="M649" s="4"/>
      <c r="N649" s="3"/>
      <c r="O649" s="3"/>
      <c r="P649" s="3"/>
      <c r="Q649" s="1"/>
      <c r="R649" s="1"/>
    </row>
    <row r="650" spans="8:18" ht="13.5" x14ac:dyDescent="0.25">
      <c r="H650" s="4"/>
      <c r="M650" s="4"/>
      <c r="N650" s="3"/>
      <c r="O650" s="3"/>
      <c r="P650" s="3"/>
      <c r="Q650" s="1"/>
      <c r="R650" s="1"/>
    </row>
    <row r="651" spans="8:18" ht="13.5" x14ac:dyDescent="0.25">
      <c r="H651" s="4"/>
      <c r="M651" s="4"/>
      <c r="N651" s="3"/>
      <c r="O651" s="3"/>
      <c r="P651" s="3"/>
      <c r="Q651" s="1"/>
      <c r="R651" s="1"/>
    </row>
    <row r="652" spans="8:18" ht="13.5" x14ac:dyDescent="0.25">
      <c r="H652" s="4"/>
      <c r="M652" s="4"/>
      <c r="N652" s="3"/>
      <c r="O652" s="3"/>
      <c r="P652" s="3"/>
      <c r="Q652" s="1"/>
      <c r="R652" s="1"/>
    </row>
    <row r="653" spans="8:18" ht="13.5" x14ac:dyDescent="0.25">
      <c r="H653" s="4"/>
      <c r="M653" s="4"/>
      <c r="N653" s="3"/>
      <c r="O653" s="3"/>
      <c r="P653" s="3"/>
      <c r="Q653" s="1"/>
      <c r="R653" s="1"/>
    </row>
    <row r="654" spans="8:18" ht="13.5" x14ac:dyDescent="0.25">
      <c r="H654" s="4"/>
      <c r="M654" s="4"/>
      <c r="N654" s="3"/>
      <c r="O654" s="3"/>
      <c r="P654" s="3"/>
      <c r="Q654" s="1"/>
      <c r="R654" s="1"/>
    </row>
    <row r="655" spans="8:18" ht="13.5" x14ac:dyDescent="0.25">
      <c r="H655" s="4"/>
      <c r="M655" s="4"/>
      <c r="N655" s="3"/>
      <c r="O655" s="3"/>
      <c r="P655" s="3"/>
      <c r="Q655" s="1"/>
      <c r="R655" s="1"/>
    </row>
    <row r="656" spans="8:18" ht="13.5" x14ac:dyDescent="0.25">
      <c r="H656" s="4"/>
      <c r="M656" s="4"/>
      <c r="N656" s="3"/>
      <c r="O656" s="3"/>
      <c r="P656" s="3"/>
      <c r="Q656" s="1"/>
      <c r="R656" s="1"/>
    </row>
    <row r="657" spans="8:18" ht="13.5" x14ac:dyDescent="0.25">
      <c r="H657" s="4"/>
      <c r="M657" s="4"/>
      <c r="N657" s="3"/>
      <c r="O657" s="3"/>
      <c r="P657" s="3"/>
      <c r="Q657" s="1"/>
      <c r="R657" s="1"/>
    </row>
    <row r="658" spans="8:18" ht="13.5" x14ac:dyDescent="0.25">
      <c r="H658" s="4"/>
      <c r="M658" s="4"/>
      <c r="N658" s="3"/>
      <c r="O658" s="3"/>
      <c r="P658" s="3"/>
      <c r="Q658" s="1"/>
      <c r="R658" s="1"/>
    </row>
    <row r="659" spans="8:18" ht="13.5" x14ac:dyDescent="0.25">
      <c r="H659" s="4"/>
      <c r="M659" s="4"/>
      <c r="N659" s="3"/>
      <c r="O659" s="3"/>
      <c r="P659" s="3"/>
      <c r="Q659" s="1"/>
      <c r="R659" s="1"/>
    </row>
    <row r="660" spans="8:18" ht="13.5" x14ac:dyDescent="0.25">
      <c r="H660" s="4"/>
      <c r="M660" s="4"/>
      <c r="N660" s="3"/>
      <c r="O660" s="3"/>
      <c r="P660" s="3"/>
      <c r="Q660" s="1"/>
      <c r="R660" s="1"/>
    </row>
    <row r="661" spans="8:18" ht="13.5" x14ac:dyDescent="0.25">
      <c r="H661" s="4"/>
      <c r="M661" s="4"/>
      <c r="N661" s="3"/>
      <c r="O661" s="3"/>
      <c r="P661" s="3"/>
      <c r="Q661" s="1"/>
      <c r="R661" s="1"/>
    </row>
    <row r="662" spans="8:18" ht="13.5" x14ac:dyDescent="0.25">
      <c r="H662" s="4"/>
      <c r="M662" s="4"/>
      <c r="N662" s="3"/>
      <c r="O662" s="3"/>
      <c r="P662" s="3"/>
      <c r="Q662" s="1"/>
      <c r="R662" s="1"/>
    </row>
    <row r="663" spans="8:18" ht="13.5" x14ac:dyDescent="0.25">
      <c r="H663" s="4"/>
      <c r="M663" s="4"/>
      <c r="N663" s="3"/>
      <c r="O663" s="3"/>
      <c r="P663" s="3"/>
      <c r="Q663" s="1"/>
      <c r="R663" s="1"/>
    </row>
    <row r="664" spans="8:18" ht="13.5" x14ac:dyDescent="0.25">
      <c r="H664" s="4"/>
      <c r="M664" s="4"/>
      <c r="N664" s="3"/>
      <c r="O664" s="3"/>
      <c r="P664" s="3"/>
      <c r="Q664" s="1"/>
      <c r="R664" s="1"/>
    </row>
    <row r="665" spans="8:18" ht="13.5" x14ac:dyDescent="0.25">
      <c r="H665" s="4"/>
      <c r="M665" s="4"/>
      <c r="N665" s="3"/>
      <c r="O665" s="3"/>
      <c r="P665" s="3"/>
      <c r="Q665" s="1"/>
      <c r="R665" s="1"/>
    </row>
    <row r="666" spans="8:18" ht="13.5" x14ac:dyDescent="0.25">
      <c r="H666" s="4"/>
      <c r="M666" s="4"/>
      <c r="N666" s="3"/>
      <c r="O666" s="3"/>
      <c r="P666" s="3"/>
      <c r="Q666" s="1"/>
      <c r="R666" s="1"/>
    </row>
    <row r="667" spans="8:18" ht="13.5" x14ac:dyDescent="0.25">
      <c r="H667" s="4"/>
      <c r="M667" s="4"/>
      <c r="N667" s="3"/>
      <c r="O667" s="3"/>
      <c r="P667" s="3"/>
      <c r="Q667" s="1"/>
      <c r="R667" s="1"/>
    </row>
    <row r="668" spans="8:18" ht="13.5" x14ac:dyDescent="0.25">
      <c r="H668" s="4"/>
      <c r="M668" s="4"/>
      <c r="N668" s="3"/>
      <c r="O668" s="3"/>
      <c r="P668" s="3"/>
      <c r="Q668" s="1"/>
      <c r="R668" s="1"/>
    </row>
    <row r="669" spans="8:18" ht="13.5" x14ac:dyDescent="0.25">
      <c r="H669" s="4"/>
      <c r="M669" s="4"/>
      <c r="N669" s="3"/>
      <c r="O669" s="3"/>
      <c r="P669" s="3"/>
      <c r="Q669" s="1"/>
      <c r="R669" s="1"/>
    </row>
    <row r="670" spans="8:18" ht="13.5" x14ac:dyDescent="0.25">
      <c r="H670" s="4"/>
      <c r="M670" s="4"/>
      <c r="N670" s="3"/>
      <c r="O670" s="3"/>
      <c r="P670" s="3"/>
      <c r="Q670" s="1"/>
      <c r="R670" s="1"/>
    </row>
    <row r="671" spans="8:18" ht="13.5" x14ac:dyDescent="0.25">
      <c r="H671" s="4"/>
      <c r="M671" s="4"/>
      <c r="N671" s="3"/>
      <c r="O671" s="3"/>
      <c r="P671" s="3"/>
      <c r="Q671" s="1"/>
      <c r="R671" s="1"/>
    </row>
    <row r="672" spans="8:18" ht="13.5" x14ac:dyDescent="0.25">
      <c r="H672" s="4"/>
      <c r="M672" s="4"/>
      <c r="N672" s="3"/>
      <c r="O672" s="3"/>
      <c r="P672" s="3"/>
      <c r="Q672" s="1"/>
      <c r="R672" s="1"/>
    </row>
    <row r="673" spans="8:18" ht="13.5" x14ac:dyDescent="0.25">
      <c r="H673" s="4"/>
      <c r="M673" s="4"/>
      <c r="N673" s="3"/>
      <c r="O673" s="3"/>
      <c r="P673" s="3"/>
      <c r="Q673" s="1"/>
      <c r="R673" s="1"/>
    </row>
    <row r="674" spans="8:18" ht="13.5" x14ac:dyDescent="0.25">
      <c r="H674" s="4"/>
      <c r="M674" s="4"/>
      <c r="N674" s="3"/>
      <c r="O674" s="3"/>
      <c r="P674" s="3"/>
      <c r="Q674" s="1"/>
      <c r="R674" s="1"/>
    </row>
    <row r="675" spans="8:18" ht="13.5" x14ac:dyDescent="0.25">
      <c r="H675" s="4"/>
      <c r="M675" s="4"/>
      <c r="N675" s="3"/>
      <c r="O675" s="3"/>
      <c r="P675" s="3"/>
      <c r="Q675" s="1"/>
      <c r="R675" s="1"/>
    </row>
    <row r="676" spans="8:18" ht="13.5" x14ac:dyDescent="0.25">
      <c r="H676" s="4"/>
      <c r="M676" s="4"/>
      <c r="N676" s="3"/>
      <c r="O676" s="3"/>
      <c r="P676" s="3"/>
      <c r="Q676" s="1"/>
      <c r="R676" s="1"/>
    </row>
    <row r="677" spans="8:18" ht="13.5" x14ac:dyDescent="0.25">
      <c r="H677" s="4"/>
      <c r="M677" s="4"/>
      <c r="N677" s="3"/>
      <c r="O677" s="3"/>
      <c r="P677" s="3"/>
      <c r="Q677" s="1"/>
      <c r="R677" s="1"/>
    </row>
    <row r="678" spans="8:18" ht="13.5" x14ac:dyDescent="0.25">
      <c r="H678" s="4"/>
      <c r="M678" s="4"/>
      <c r="N678" s="3"/>
      <c r="O678" s="3"/>
      <c r="P678" s="3"/>
      <c r="Q678" s="1"/>
      <c r="R678" s="1"/>
    </row>
    <row r="679" spans="8:18" ht="13.5" x14ac:dyDescent="0.25">
      <c r="H679" s="4"/>
      <c r="M679" s="4"/>
      <c r="N679" s="3"/>
      <c r="O679" s="3"/>
      <c r="P679" s="3"/>
      <c r="Q679" s="1"/>
      <c r="R679" s="1"/>
    </row>
    <row r="680" spans="8:18" ht="13.5" x14ac:dyDescent="0.25">
      <c r="H680" s="4"/>
      <c r="M680" s="4"/>
      <c r="N680" s="3"/>
      <c r="O680" s="3"/>
      <c r="P680" s="3"/>
      <c r="Q680" s="1"/>
      <c r="R680" s="1"/>
    </row>
    <row r="681" spans="8:18" ht="13.5" x14ac:dyDescent="0.25">
      <c r="H681" s="4"/>
      <c r="M681" s="4"/>
      <c r="N681" s="3"/>
      <c r="O681" s="3"/>
      <c r="P681" s="3"/>
      <c r="Q681" s="1"/>
      <c r="R681" s="1"/>
    </row>
    <row r="682" spans="8:18" ht="13.5" x14ac:dyDescent="0.25">
      <c r="H682" s="4"/>
      <c r="M682" s="4"/>
      <c r="N682" s="3"/>
      <c r="O682" s="3"/>
      <c r="P682" s="3"/>
      <c r="Q682" s="1"/>
      <c r="R682" s="1"/>
    </row>
    <row r="683" spans="8:18" ht="13.5" x14ac:dyDescent="0.25">
      <c r="H683" s="4"/>
      <c r="M683" s="4"/>
      <c r="N683" s="3"/>
      <c r="O683" s="3"/>
      <c r="P683" s="3"/>
      <c r="Q683" s="1"/>
      <c r="R683" s="1"/>
    </row>
    <row r="684" spans="8:18" ht="13.5" x14ac:dyDescent="0.25">
      <c r="H684" s="4"/>
      <c r="M684" s="4"/>
      <c r="N684" s="3"/>
      <c r="O684" s="3"/>
      <c r="P684" s="3"/>
      <c r="Q684" s="1"/>
      <c r="R684" s="1"/>
    </row>
    <row r="685" spans="8:18" ht="13.5" x14ac:dyDescent="0.25">
      <c r="H685" s="4"/>
      <c r="M685" s="4"/>
      <c r="N685" s="3"/>
      <c r="O685" s="3"/>
      <c r="P685" s="3"/>
      <c r="Q685" s="1"/>
      <c r="R685" s="1"/>
    </row>
    <row r="686" spans="8:18" ht="13.5" x14ac:dyDescent="0.25">
      <c r="H686" s="4"/>
      <c r="M686" s="4"/>
      <c r="N686" s="3"/>
      <c r="O686" s="3"/>
      <c r="P686" s="3"/>
      <c r="Q686" s="1"/>
      <c r="R686" s="1"/>
    </row>
    <row r="687" spans="8:18" ht="13.5" x14ac:dyDescent="0.25">
      <c r="H687" s="4"/>
      <c r="M687" s="4"/>
      <c r="N687" s="3"/>
      <c r="O687" s="3"/>
      <c r="P687" s="3"/>
      <c r="Q687" s="1"/>
      <c r="R687" s="1"/>
    </row>
    <row r="688" spans="8:18" ht="13.5" x14ac:dyDescent="0.25">
      <c r="H688" s="4"/>
      <c r="M688" s="4"/>
      <c r="N688" s="3"/>
      <c r="O688" s="3"/>
      <c r="P688" s="3"/>
      <c r="Q688" s="1"/>
      <c r="R688" s="1"/>
    </row>
    <row r="689" spans="8:18" ht="13.5" x14ac:dyDescent="0.25">
      <c r="H689" s="4"/>
      <c r="M689" s="4"/>
      <c r="N689" s="3"/>
      <c r="O689" s="3"/>
      <c r="P689" s="3"/>
      <c r="Q689" s="1"/>
      <c r="R689" s="1"/>
    </row>
    <row r="690" spans="8:18" ht="13.5" x14ac:dyDescent="0.25">
      <c r="H690" s="4"/>
      <c r="M690" s="4"/>
      <c r="N690" s="3"/>
      <c r="O690" s="3"/>
      <c r="P690" s="3"/>
      <c r="Q690" s="1"/>
      <c r="R690" s="1"/>
    </row>
    <row r="691" spans="8:18" ht="13.5" x14ac:dyDescent="0.25">
      <c r="H691" s="4"/>
      <c r="M691" s="4"/>
      <c r="N691" s="3"/>
      <c r="O691" s="3"/>
      <c r="P691" s="3"/>
      <c r="Q691" s="1"/>
      <c r="R691" s="1"/>
    </row>
    <row r="692" spans="8:18" ht="13.5" x14ac:dyDescent="0.25">
      <c r="H692" s="4"/>
      <c r="M692" s="4"/>
      <c r="N692" s="3"/>
      <c r="O692" s="3"/>
      <c r="P692" s="3"/>
      <c r="Q692" s="1"/>
      <c r="R692" s="1"/>
    </row>
    <row r="693" spans="8:18" ht="13.5" x14ac:dyDescent="0.25">
      <c r="H693" s="4"/>
      <c r="M693" s="4"/>
      <c r="N693" s="3"/>
      <c r="O693" s="3"/>
      <c r="P693" s="3"/>
      <c r="Q693" s="1"/>
      <c r="R693" s="1"/>
    </row>
    <row r="694" spans="8:18" ht="13.5" x14ac:dyDescent="0.25">
      <c r="H694" s="4"/>
      <c r="M694" s="4"/>
      <c r="N694" s="3"/>
      <c r="O694" s="3"/>
      <c r="P694" s="3"/>
      <c r="Q694" s="1"/>
      <c r="R694" s="1"/>
    </row>
    <row r="695" spans="8:18" ht="13.5" x14ac:dyDescent="0.25">
      <c r="H695" s="4"/>
      <c r="M695" s="4"/>
      <c r="N695" s="3"/>
      <c r="O695" s="3"/>
      <c r="P695" s="3"/>
      <c r="Q695" s="1"/>
      <c r="R695" s="1"/>
    </row>
    <row r="696" spans="8:18" ht="13.5" x14ac:dyDescent="0.25">
      <c r="H696" s="4"/>
      <c r="M696" s="4"/>
      <c r="N696" s="3"/>
      <c r="O696" s="3"/>
      <c r="P696" s="3"/>
      <c r="Q696" s="1"/>
      <c r="R696" s="1"/>
    </row>
    <row r="697" spans="8:18" ht="13.5" x14ac:dyDescent="0.25">
      <c r="H697" s="4"/>
      <c r="M697" s="4"/>
      <c r="N697" s="3"/>
      <c r="O697" s="3"/>
      <c r="P697" s="3"/>
      <c r="Q697" s="1"/>
      <c r="R697" s="1"/>
    </row>
    <row r="698" spans="8:18" ht="13.5" x14ac:dyDescent="0.25">
      <c r="H698" s="4"/>
      <c r="M698" s="4"/>
      <c r="N698" s="3"/>
      <c r="O698" s="3"/>
      <c r="P698" s="3"/>
      <c r="Q698" s="1"/>
      <c r="R698" s="1"/>
    </row>
    <row r="699" spans="8:18" ht="13.5" x14ac:dyDescent="0.25">
      <c r="H699" s="4"/>
      <c r="M699" s="4"/>
      <c r="N699" s="3"/>
      <c r="O699" s="3"/>
      <c r="P699" s="3"/>
      <c r="Q699" s="1"/>
      <c r="R699" s="1"/>
    </row>
    <row r="700" spans="8:18" ht="13.5" x14ac:dyDescent="0.25">
      <c r="H700" s="4"/>
      <c r="M700" s="4"/>
      <c r="N700" s="3"/>
      <c r="O700" s="3"/>
      <c r="P700" s="3"/>
      <c r="Q700" s="1"/>
      <c r="R700" s="1"/>
    </row>
    <row r="701" spans="8:18" ht="13.5" x14ac:dyDescent="0.25">
      <c r="H701" s="4"/>
      <c r="M701" s="4"/>
      <c r="N701" s="3"/>
      <c r="O701" s="3"/>
      <c r="P701" s="3"/>
      <c r="Q701" s="1"/>
      <c r="R701" s="1"/>
    </row>
    <row r="702" spans="8:18" ht="13.5" x14ac:dyDescent="0.25">
      <c r="H702" s="4"/>
      <c r="M702" s="4"/>
      <c r="N702" s="3"/>
      <c r="O702" s="3"/>
      <c r="P702" s="3"/>
      <c r="Q702" s="1"/>
      <c r="R702" s="1"/>
    </row>
    <row r="703" spans="8:18" ht="13.5" x14ac:dyDescent="0.25">
      <c r="H703" s="4"/>
      <c r="M703" s="4"/>
      <c r="N703" s="3"/>
      <c r="O703" s="3"/>
      <c r="P703" s="3"/>
      <c r="Q703" s="1"/>
      <c r="R703" s="1"/>
    </row>
    <row r="704" spans="8:18" ht="13.5" x14ac:dyDescent="0.25">
      <c r="H704" s="4"/>
      <c r="M704" s="4"/>
      <c r="N704" s="3"/>
      <c r="O704" s="3"/>
      <c r="P704" s="3"/>
      <c r="Q704" s="1"/>
      <c r="R704" s="1"/>
    </row>
    <row r="705" spans="8:18" ht="13.5" x14ac:dyDescent="0.25">
      <c r="H705" s="4"/>
      <c r="M705" s="4"/>
      <c r="N705" s="3"/>
      <c r="O705" s="3"/>
      <c r="P705" s="3"/>
      <c r="Q705" s="1"/>
      <c r="R705" s="1"/>
    </row>
    <row r="706" spans="8:18" ht="13.5" x14ac:dyDescent="0.25">
      <c r="H706" s="4"/>
      <c r="M706" s="4"/>
      <c r="N706" s="3"/>
      <c r="O706" s="3"/>
      <c r="P706" s="3"/>
      <c r="Q706" s="1"/>
      <c r="R706" s="1"/>
    </row>
    <row r="707" spans="8:18" ht="13.5" x14ac:dyDescent="0.25">
      <c r="H707" s="4"/>
      <c r="M707" s="4"/>
      <c r="N707" s="3"/>
      <c r="O707" s="3"/>
      <c r="P707" s="3"/>
      <c r="Q707" s="1"/>
      <c r="R707" s="1"/>
    </row>
    <row r="708" spans="8:18" ht="13.5" x14ac:dyDescent="0.25">
      <c r="H708" s="4"/>
      <c r="M708" s="4"/>
      <c r="N708" s="3"/>
      <c r="O708" s="3"/>
      <c r="P708" s="3"/>
      <c r="Q708" s="1"/>
      <c r="R708" s="1"/>
    </row>
    <row r="709" spans="8:18" ht="13.5" x14ac:dyDescent="0.25">
      <c r="H709" s="4"/>
      <c r="M709" s="4"/>
      <c r="N709" s="3"/>
      <c r="O709" s="3"/>
      <c r="P709" s="3"/>
      <c r="Q709" s="1"/>
      <c r="R709" s="1"/>
    </row>
    <row r="710" spans="8:18" ht="13.5" x14ac:dyDescent="0.25">
      <c r="H710" s="4"/>
      <c r="M710" s="4"/>
      <c r="N710" s="3"/>
      <c r="O710" s="3"/>
      <c r="P710" s="3"/>
      <c r="Q710" s="1"/>
      <c r="R710" s="1"/>
    </row>
    <row r="711" spans="8:18" ht="13.5" x14ac:dyDescent="0.25">
      <c r="H711" s="4"/>
      <c r="M711" s="4"/>
      <c r="N711" s="3"/>
      <c r="O711" s="3"/>
      <c r="P711" s="3"/>
      <c r="Q711" s="1"/>
      <c r="R711" s="1"/>
    </row>
    <row r="712" spans="8:18" ht="13.5" x14ac:dyDescent="0.25">
      <c r="H712" s="4"/>
      <c r="M712" s="4"/>
      <c r="N712" s="3"/>
      <c r="O712" s="3"/>
      <c r="P712" s="3"/>
      <c r="Q712" s="1"/>
      <c r="R712" s="1"/>
    </row>
    <row r="713" spans="8:18" ht="13.5" x14ac:dyDescent="0.25">
      <c r="H713" s="4"/>
      <c r="M713" s="4"/>
      <c r="N713" s="3"/>
      <c r="O713" s="3"/>
      <c r="P713" s="3"/>
      <c r="Q713" s="1"/>
      <c r="R713" s="1"/>
    </row>
    <row r="714" spans="8:18" ht="13.5" x14ac:dyDescent="0.25">
      <c r="H714" s="4"/>
      <c r="M714" s="4"/>
      <c r="N714" s="3"/>
      <c r="O714" s="3"/>
      <c r="P714" s="3"/>
      <c r="Q714" s="1"/>
      <c r="R714" s="1"/>
    </row>
    <row r="715" spans="8:18" ht="13.5" x14ac:dyDescent="0.25">
      <c r="H715" s="4"/>
      <c r="M715" s="4"/>
      <c r="N715" s="3"/>
      <c r="O715" s="3"/>
      <c r="P715" s="3"/>
      <c r="Q715" s="1"/>
      <c r="R715" s="1"/>
    </row>
    <row r="716" spans="8:18" ht="13.5" x14ac:dyDescent="0.25">
      <c r="H716" s="4"/>
      <c r="M716" s="4"/>
      <c r="N716" s="3"/>
      <c r="O716" s="3"/>
      <c r="P716" s="3"/>
      <c r="Q716" s="1"/>
      <c r="R716" s="1"/>
    </row>
    <row r="717" spans="8:18" ht="13.5" x14ac:dyDescent="0.25">
      <c r="H717" s="4"/>
      <c r="M717" s="4"/>
      <c r="N717" s="3"/>
      <c r="O717" s="3"/>
      <c r="P717" s="3"/>
      <c r="Q717" s="1"/>
      <c r="R717" s="1"/>
    </row>
    <row r="718" spans="8:18" ht="13.5" x14ac:dyDescent="0.25">
      <c r="H718" s="4"/>
      <c r="M718" s="4"/>
      <c r="N718" s="3"/>
      <c r="O718" s="3"/>
      <c r="P718" s="3"/>
      <c r="Q718" s="1"/>
      <c r="R718" s="1"/>
    </row>
    <row r="719" spans="8:18" ht="13.5" x14ac:dyDescent="0.25">
      <c r="H719" s="4"/>
      <c r="M719" s="4"/>
      <c r="N719" s="3"/>
      <c r="O719" s="3"/>
      <c r="P719" s="3"/>
      <c r="Q719" s="1"/>
      <c r="R719" s="1"/>
    </row>
    <row r="720" spans="8:18" ht="13.5" x14ac:dyDescent="0.25">
      <c r="H720" s="4"/>
      <c r="M720" s="4"/>
      <c r="N720" s="3"/>
      <c r="O720" s="3"/>
      <c r="P720" s="3"/>
      <c r="Q720" s="1"/>
      <c r="R720" s="1"/>
    </row>
    <row r="721" spans="8:18" ht="13.5" x14ac:dyDescent="0.25">
      <c r="H721" s="4"/>
      <c r="M721" s="4"/>
      <c r="N721" s="3"/>
      <c r="O721" s="3"/>
      <c r="P721" s="3"/>
      <c r="Q721" s="1"/>
      <c r="R721" s="1"/>
    </row>
    <row r="722" spans="8:18" ht="13.5" x14ac:dyDescent="0.25">
      <c r="H722" s="4"/>
      <c r="M722" s="4"/>
      <c r="N722" s="3"/>
      <c r="O722" s="3"/>
      <c r="P722" s="3"/>
      <c r="Q722" s="1"/>
      <c r="R722" s="1"/>
    </row>
    <row r="723" spans="8:18" ht="13.5" x14ac:dyDescent="0.25">
      <c r="H723" s="4"/>
      <c r="M723" s="4"/>
      <c r="N723" s="3"/>
      <c r="O723" s="3"/>
      <c r="P723" s="3"/>
      <c r="Q723" s="1"/>
      <c r="R723" s="1"/>
    </row>
    <row r="724" spans="8:18" ht="13.5" x14ac:dyDescent="0.25">
      <c r="H724" s="4"/>
      <c r="M724" s="4"/>
      <c r="N724" s="3"/>
      <c r="O724" s="3"/>
      <c r="P724" s="3"/>
      <c r="Q724" s="1"/>
      <c r="R724" s="1"/>
    </row>
    <row r="725" spans="8:18" ht="13.5" x14ac:dyDescent="0.25">
      <c r="H725" s="4"/>
      <c r="M725" s="4"/>
      <c r="N725" s="3"/>
      <c r="O725" s="3"/>
      <c r="P725" s="3"/>
      <c r="Q725" s="1"/>
      <c r="R725" s="1"/>
    </row>
    <row r="726" spans="8:18" ht="13.5" x14ac:dyDescent="0.25">
      <c r="H726" s="4"/>
      <c r="M726" s="4"/>
      <c r="N726" s="3"/>
      <c r="O726" s="3"/>
      <c r="P726" s="3"/>
      <c r="Q726" s="1"/>
      <c r="R726" s="1"/>
    </row>
    <row r="727" spans="8:18" ht="13.5" x14ac:dyDescent="0.25">
      <c r="H727" s="4"/>
      <c r="M727" s="4"/>
      <c r="N727" s="3"/>
      <c r="O727" s="3"/>
      <c r="P727" s="3"/>
      <c r="Q727" s="1"/>
      <c r="R727" s="1"/>
    </row>
    <row r="728" spans="8:18" ht="13.5" x14ac:dyDescent="0.25">
      <c r="H728" s="4"/>
      <c r="M728" s="4"/>
      <c r="N728" s="3"/>
      <c r="O728" s="3"/>
      <c r="P728" s="3"/>
      <c r="Q728" s="1"/>
      <c r="R728" s="1"/>
    </row>
    <row r="729" spans="8:18" ht="13.5" x14ac:dyDescent="0.25">
      <c r="H729" s="4"/>
      <c r="M729" s="4"/>
      <c r="N729" s="3"/>
      <c r="O729" s="3"/>
      <c r="P729" s="3"/>
      <c r="Q729" s="1"/>
      <c r="R729" s="1"/>
    </row>
    <row r="730" spans="8:18" ht="13.5" x14ac:dyDescent="0.25">
      <c r="H730" s="4"/>
      <c r="M730" s="4"/>
      <c r="N730" s="3"/>
      <c r="O730" s="3"/>
      <c r="P730" s="3"/>
      <c r="Q730" s="1"/>
      <c r="R730" s="1"/>
    </row>
    <row r="731" spans="8:18" ht="13.5" x14ac:dyDescent="0.25">
      <c r="H731" s="4"/>
      <c r="M731" s="4"/>
      <c r="N731" s="3"/>
      <c r="O731" s="3"/>
      <c r="P731" s="3"/>
      <c r="Q731" s="1"/>
      <c r="R731" s="1"/>
    </row>
    <row r="732" spans="8:18" ht="13.5" x14ac:dyDescent="0.25">
      <c r="H732" s="4"/>
      <c r="M732" s="4"/>
      <c r="N732" s="3"/>
      <c r="O732" s="3"/>
      <c r="P732" s="3"/>
      <c r="Q732" s="1"/>
      <c r="R732" s="1"/>
    </row>
    <row r="733" spans="8:18" ht="13.5" x14ac:dyDescent="0.25">
      <c r="H733" s="4"/>
      <c r="M733" s="4"/>
      <c r="N733" s="3"/>
      <c r="O733" s="3"/>
      <c r="P733" s="3"/>
      <c r="Q733" s="1"/>
      <c r="R733" s="1"/>
    </row>
    <row r="734" spans="8:18" ht="13.5" x14ac:dyDescent="0.25">
      <c r="H734" s="4"/>
      <c r="M734" s="4"/>
      <c r="N734" s="3"/>
      <c r="O734" s="3"/>
      <c r="P734" s="3"/>
      <c r="Q734" s="1"/>
      <c r="R734" s="1"/>
    </row>
    <row r="735" spans="8:18" ht="13.5" x14ac:dyDescent="0.25">
      <c r="H735" s="4"/>
      <c r="M735" s="4"/>
      <c r="N735" s="3"/>
      <c r="O735" s="3"/>
      <c r="P735" s="3"/>
      <c r="Q735" s="1"/>
      <c r="R735" s="1"/>
    </row>
    <row r="736" spans="8:18" ht="13.5" x14ac:dyDescent="0.25">
      <c r="H736" s="4"/>
      <c r="M736" s="4"/>
      <c r="N736" s="3"/>
      <c r="O736" s="3"/>
      <c r="P736" s="3"/>
      <c r="Q736" s="1"/>
      <c r="R736" s="1"/>
    </row>
    <row r="737" spans="8:18" ht="13.5" x14ac:dyDescent="0.25">
      <c r="H737" s="4"/>
      <c r="M737" s="4"/>
      <c r="N737" s="3"/>
      <c r="O737" s="3"/>
      <c r="P737" s="3"/>
      <c r="Q737" s="1"/>
      <c r="R737" s="1"/>
    </row>
    <row r="738" spans="8:18" ht="13.5" x14ac:dyDescent="0.25">
      <c r="H738" s="4"/>
      <c r="M738" s="4"/>
      <c r="N738" s="3"/>
      <c r="O738" s="3"/>
      <c r="P738" s="3"/>
      <c r="Q738" s="1"/>
      <c r="R738" s="1"/>
    </row>
    <row r="739" spans="8:18" ht="13.5" x14ac:dyDescent="0.25">
      <c r="H739" s="4"/>
      <c r="M739" s="4"/>
      <c r="N739" s="3"/>
      <c r="O739" s="3"/>
      <c r="P739" s="3"/>
      <c r="Q739" s="1"/>
      <c r="R739" s="1"/>
    </row>
    <row r="740" spans="8:18" ht="13.5" x14ac:dyDescent="0.25">
      <c r="H740" s="4"/>
      <c r="M740" s="4"/>
      <c r="N740" s="3"/>
      <c r="O740" s="3"/>
      <c r="P740" s="3"/>
      <c r="Q740" s="1"/>
      <c r="R740" s="1"/>
    </row>
    <row r="741" spans="8:18" ht="13.5" x14ac:dyDescent="0.25">
      <c r="H741" s="4"/>
      <c r="M741" s="4"/>
      <c r="N741" s="3"/>
      <c r="O741" s="3"/>
      <c r="P741" s="3"/>
      <c r="Q741" s="1"/>
      <c r="R741" s="1"/>
    </row>
    <row r="742" spans="8:18" ht="13.5" x14ac:dyDescent="0.25">
      <c r="H742" s="4"/>
      <c r="M742" s="4"/>
      <c r="N742" s="3"/>
      <c r="O742" s="3"/>
      <c r="P742" s="3"/>
      <c r="Q742" s="1"/>
      <c r="R742" s="1"/>
    </row>
    <row r="743" spans="8:18" ht="13.5" x14ac:dyDescent="0.25">
      <c r="H743" s="4"/>
      <c r="M743" s="4"/>
      <c r="N743" s="3"/>
      <c r="O743" s="3"/>
      <c r="P743" s="3"/>
      <c r="Q743" s="1"/>
      <c r="R743" s="1"/>
    </row>
    <row r="744" spans="8:18" ht="13.5" x14ac:dyDescent="0.25">
      <c r="H744" s="4"/>
      <c r="M744" s="4"/>
      <c r="N744" s="3"/>
      <c r="O744" s="3"/>
      <c r="P744" s="3"/>
      <c r="Q744" s="1"/>
      <c r="R744" s="1"/>
    </row>
    <row r="745" spans="8:18" ht="13.5" x14ac:dyDescent="0.25">
      <c r="H745" s="4"/>
      <c r="M745" s="4"/>
      <c r="N745" s="3"/>
      <c r="O745" s="3"/>
      <c r="P745" s="3"/>
      <c r="Q745" s="1"/>
      <c r="R745" s="1"/>
    </row>
    <row r="746" spans="8:18" ht="13.5" x14ac:dyDescent="0.25">
      <c r="H746" s="4"/>
      <c r="M746" s="4"/>
      <c r="N746" s="3"/>
      <c r="O746" s="3"/>
      <c r="P746" s="3"/>
      <c r="Q746" s="1"/>
      <c r="R746" s="1"/>
    </row>
    <row r="747" spans="8:18" ht="13.5" x14ac:dyDescent="0.25">
      <c r="H747" s="4"/>
      <c r="M747" s="4"/>
      <c r="N747" s="3"/>
      <c r="O747" s="3"/>
      <c r="P747" s="3"/>
      <c r="Q747" s="1"/>
      <c r="R747" s="1"/>
    </row>
    <row r="748" spans="8:18" ht="13.5" x14ac:dyDescent="0.25">
      <c r="H748" s="4"/>
      <c r="M748" s="4"/>
      <c r="N748" s="3"/>
      <c r="O748" s="3"/>
      <c r="P748" s="3"/>
      <c r="Q748" s="1"/>
      <c r="R748" s="1"/>
    </row>
    <row r="749" spans="8:18" ht="13.5" x14ac:dyDescent="0.25">
      <c r="H749" s="4"/>
      <c r="M749" s="4"/>
      <c r="N749" s="3"/>
      <c r="O749" s="3"/>
      <c r="P749" s="3"/>
      <c r="Q749" s="1"/>
      <c r="R749" s="1"/>
    </row>
    <row r="750" spans="8:18" ht="13.5" x14ac:dyDescent="0.25">
      <c r="H750" s="4"/>
      <c r="M750" s="4"/>
      <c r="N750" s="3"/>
      <c r="O750" s="3"/>
      <c r="P750" s="3"/>
      <c r="Q750" s="1"/>
      <c r="R750" s="1"/>
    </row>
    <row r="751" spans="8:18" ht="13.5" x14ac:dyDescent="0.25">
      <c r="H751" s="4"/>
      <c r="M751" s="4"/>
      <c r="N751" s="3"/>
      <c r="O751" s="3"/>
      <c r="P751" s="3"/>
      <c r="Q751" s="1"/>
      <c r="R751" s="1"/>
    </row>
    <row r="752" spans="8:18" ht="13.5" x14ac:dyDescent="0.25">
      <c r="H752" s="4"/>
      <c r="M752" s="4"/>
      <c r="N752" s="3"/>
      <c r="O752" s="3"/>
      <c r="P752" s="3"/>
      <c r="Q752" s="1"/>
      <c r="R752" s="1"/>
    </row>
    <row r="753" spans="8:18" ht="13.5" x14ac:dyDescent="0.25">
      <c r="H753" s="4"/>
      <c r="M753" s="4"/>
      <c r="N753" s="3"/>
      <c r="O753" s="3"/>
      <c r="P753" s="3"/>
      <c r="Q753" s="1"/>
      <c r="R753" s="1"/>
    </row>
    <row r="754" spans="8:18" ht="13.5" x14ac:dyDescent="0.25">
      <c r="H754" s="4"/>
      <c r="M754" s="4"/>
      <c r="N754" s="3"/>
      <c r="O754" s="3"/>
      <c r="P754" s="3"/>
      <c r="Q754" s="1"/>
      <c r="R754" s="1"/>
    </row>
    <row r="755" spans="8:18" ht="13.5" x14ac:dyDescent="0.25">
      <c r="H755" s="4"/>
      <c r="M755" s="4"/>
      <c r="N755" s="3"/>
      <c r="O755" s="3"/>
      <c r="P755" s="3"/>
      <c r="Q755" s="1"/>
      <c r="R755" s="1"/>
    </row>
    <row r="756" spans="8:18" ht="13.5" x14ac:dyDescent="0.25">
      <c r="H756" s="4"/>
      <c r="M756" s="4"/>
      <c r="N756" s="3"/>
      <c r="O756" s="3"/>
      <c r="P756" s="3"/>
      <c r="Q756" s="1"/>
      <c r="R756" s="1"/>
    </row>
    <row r="757" spans="8:18" ht="13.5" x14ac:dyDescent="0.25">
      <c r="H757" s="4"/>
      <c r="M757" s="4"/>
      <c r="N757" s="3"/>
      <c r="O757" s="3"/>
      <c r="P757" s="3"/>
      <c r="Q757" s="1"/>
      <c r="R757" s="1"/>
    </row>
    <row r="758" spans="8:18" ht="13.5" x14ac:dyDescent="0.25">
      <c r="H758" s="4"/>
      <c r="M758" s="4"/>
      <c r="N758" s="3"/>
      <c r="O758" s="3"/>
      <c r="P758" s="3"/>
      <c r="Q758" s="1"/>
      <c r="R758" s="1"/>
    </row>
    <row r="759" spans="8:18" ht="13.5" x14ac:dyDescent="0.25">
      <c r="H759" s="4"/>
      <c r="M759" s="4"/>
      <c r="N759" s="3"/>
      <c r="O759" s="3"/>
      <c r="P759" s="3"/>
      <c r="Q759" s="1"/>
      <c r="R759" s="1"/>
    </row>
    <row r="760" spans="8:18" ht="13.5" x14ac:dyDescent="0.25">
      <c r="H760" s="4"/>
      <c r="M760" s="4"/>
      <c r="N760" s="3"/>
      <c r="O760" s="3"/>
      <c r="P760" s="3"/>
      <c r="Q760" s="1"/>
      <c r="R760" s="1"/>
    </row>
    <row r="761" spans="8:18" ht="13.5" x14ac:dyDescent="0.25">
      <c r="H761" s="4"/>
      <c r="M761" s="4"/>
      <c r="N761" s="3"/>
      <c r="O761" s="3"/>
      <c r="P761" s="3"/>
      <c r="Q761" s="1"/>
      <c r="R761" s="1"/>
    </row>
    <row r="762" spans="8:18" ht="13.5" x14ac:dyDescent="0.25">
      <c r="H762" s="4"/>
      <c r="M762" s="4"/>
      <c r="N762" s="3"/>
      <c r="O762" s="3"/>
      <c r="P762" s="3"/>
      <c r="Q762" s="1"/>
      <c r="R762" s="1"/>
    </row>
    <row r="763" spans="8:18" ht="13.5" x14ac:dyDescent="0.25">
      <c r="H763" s="4"/>
      <c r="M763" s="4"/>
      <c r="N763" s="3"/>
      <c r="O763" s="3"/>
      <c r="P763" s="3"/>
      <c r="Q763" s="1"/>
      <c r="R763" s="1"/>
    </row>
    <row r="764" spans="8:18" ht="13.5" x14ac:dyDescent="0.25">
      <c r="H764" s="4"/>
      <c r="M764" s="4"/>
      <c r="N764" s="3"/>
      <c r="O764" s="3"/>
      <c r="P764" s="3"/>
      <c r="Q764" s="1"/>
      <c r="R764" s="1"/>
    </row>
    <row r="765" spans="8:18" ht="13.5" x14ac:dyDescent="0.25">
      <c r="H765" s="4"/>
      <c r="M765" s="4"/>
      <c r="N765" s="3"/>
      <c r="O765" s="3"/>
      <c r="P765" s="3"/>
      <c r="Q765" s="1"/>
      <c r="R765" s="1"/>
    </row>
    <row r="766" spans="8:18" ht="13.5" x14ac:dyDescent="0.25">
      <c r="H766" s="4"/>
      <c r="M766" s="4"/>
      <c r="N766" s="3"/>
      <c r="O766" s="3"/>
      <c r="P766" s="3"/>
      <c r="Q766" s="1"/>
      <c r="R766" s="1"/>
    </row>
    <row r="767" spans="8:18" ht="13.5" x14ac:dyDescent="0.25">
      <c r="H767" s="4"/>
      <c r="M767" s="4"/>
      <c r="N767" s="3"/>
      <c r="O767" s="3"/>
      <c r="P767" s="3"/>
      <c r="Q767" s="1"/>
      <c r="R767" s="1"/>
    </row>
    <row r="768" spans="8:18" ht="13.5" x14ac:dyDescent="0.25">
      <c r="H768" s="4"/>
      <c r="M768" s="4"/>
      <c r="N768" s="3"/>
      <c r="O768" s="3"/>
      <c r="P768" s="3"/>
      <c r="Q768" s="1"/>
      <c r="R768" s="1"/>
    </row>
    <row r="769" spans="8:18" ht="13.5" x14ac:dyDescent="0.25">
      <c r="H769" s="4"/>
      <c r="M769" s="4"/>
      <c r="N769" s="3"/>
      <c r="O769" s="3"/>
      <c r="P769" s="3"/>
      <c r="Q769" s="1"/>
      <c r="R769" s="1"/>
    </row>
    <row r="770" spans="8:18" ht="13.5" x14ac:dyDescent="0.25">
      <c r="H770" s="4"/>
      <c r="M770" s="4"/>
      <c r="N770" s="3"/>
      <c r="O770" s="3"/>
      <c r="P770" s="3"/>
      <c r="Q770" s="1"/>
      <c r="R770" s="1"/>
    </row>
    <row r="771" spans="8:18" ht="13.5" x14ac:dyDescent="0.25">
      <c r="H771" s="4"/>
      <c r="M771" s="4"/>
      <c r="N771" s="3"/>
      <c r="O771" s="3"/>
      <c r="P771" s="3"/>
      <c r="Q771" s="1"/>
      <c r="R771" s="1"/>
    </row>
    <row r="772" spans="8:18" ht="13.5" x14ac:dyDescent="0.25">
      <c r="H772" s="4"/>
      <c r="M772" s="4"/>
      <c r="N772" s="3"/>
      <c r="O772" s="3"/>
      <c r="P772" s="3"/>
      <c r="Q772" s="1"/>
      <c r="R772" s="1"/>
    </row>
    <row r="773" spans="8:18" ht="13.5" x14ac:dyDescent="0.25">
      <c r="H773" s="4"/>
      <c r="M773" s="4"/>
      <c r="N773" s="3"/>
      <c r="O773" s="3"/>
      <c r="P773" s="3"/>
      <c r="Q773" s="1"/>
      <c r="R773" s="1"/>
    </row>
    <row r="774" spans="8:18" ht="13.5" x14ac:dyDescent="0.25">
      <c r="H774" s="4"/>
      <c r="M774" s="4"/>
      <c r="N774" s="3"/>
      <c r="O774" s="3"/>
      <c r="P774" s="3"/>
      <c r="Q774" s="1"/>
      <c r="R774" s="1"/>
    </row>
    <row r="775" spans="8:18" ht="13.5" x14ac:dyDescent="0.25">
      <c r="H775" s="4"/>
      <c r="M775" s="4"/>
      <c r="N775" s="3"/>
      <c r="O775" s="3"/>
      <c r="P775" s="3"/>
      <c r="Q775" s="1"/>
      <c r="R775" s="1"/>
    </row>
    <row r="776" spans="8:18" ht="13.5" x14ac:dyDescent="0.25">
      <c r="H776" s="4"/>
      <c r="M776" s="4"/>
      <c r="N776" s="3"/>
      <c r="O776" s="3"/>
      <c r="P776" s="3"/>
      <c r="Q776" s="1"/>
      <c r="R776" s="1"/>
    </row>
    <row r="777" spans="8:18" ht="13.5" x14ac:dyDescent="0.25">
      <c r="H777" s="4"/>
      <c r="M777" s="4"/>
      <c r="N777" s="3"/>
      <c r="O777" s="3"/>
      <c r="P777" s="3"/>
      <c r="Q777" s="1"/>
      <c r="R777" s="1"/>
    </row>
    <row r="778" spans="8:18" ht="13.5" x14ac:dyDescent="0.25">
      <c r="H778" s="4"/>
      <c r="M778" s="4"/>
      <c r="N778" s="3"/>
      <c r="O778" s="3"/>
      <c r="P778" s="3"/>
      <c r="Q778" s="1"/>
      <c r="R778" s="1"/>
    </row>
    <row r="779" spans="8:18" ht="13.5" x14ac:dyDescent="0.25">
      <c r="H779" s="4"/>
      <c r="M779" s="4"/>
      <c r="N779" s="3"/>
      <c r="O779" s="3"/>
      <c r="P779" s="3"/>
      <c r="Q779" s="1"/>
      <c r="R779" s="1"/>
    </row>
    <row r="780" spans="8:18" ht="13.5" x14ac:dyDescent="0.25">
      <c r="H780" s="4"/>
      <c r="M780" s="4"/>
      <c r="N780" s="3"/>
      <c r="O780" s="3"/>
      <c r="P780" s="3"/>
      <c r="Q780" s="1"/>
      <c r="R780" s="1"/>
    </row>
    <row r="781" spans="8:18" ht="13.5" x14ac:dyDescent="0.25">
      <c r="H781" s="4"/>
      <c r="M781" s="4"/>
      <c r="N781" s="3"/>
      <c r="O781" s="3"/>
      <c r="P781" s="3"/>
      <c r="Q781" s="1"/>
      <c r="R781" s="1"/>
    </row>
    <row r="782" spans="8:18" ht="13.5" x14ac:dyDescent="0.25">
      <c r="H782" s="4"/>
      <c r="M782" s="4"/>
      <c r="N782" s="3"/>
      <c r="O782" s="3"/>
      <c r="P782" s="3"/>
      <c r="Q782" s="1"/>
      <c r="R782" s="1"/>
    </row>
    <row r="783" spans="8:18" ht="13.5" x14ac:dyDescent="0.25">
      <c r="H783" s="4"/>
      <c r="M783" s="4"/>
      <c r="N783" s="3"/>
      <c r="O783" s="3"/>
      <c r="P783" s="3"/>
      <c r="Q783" s="1"/>
      <c r="R783" s="1"/>
    </row>
    <row r="784" spans="8:18" ht="13.5" x14ac:dyDescent="0.25">
      <c r="H784" s="4"/>
      <c r="M784" s="4"/>
      <c r="N784" s="3"/>
      <c r="O784" s="3"/>
      <c r="P784" s="3"/>
      <c r="Q784" s="1"/>
      <c r="R784" s="1"/>
    </row>
    <row r="785" spans="8:18" ht="13.5" x14ac:dyDescent="0.25">
      <c r="H785" s="4"/>
      <c r="M785" s="4"/>
      <c r="N785" s="3"/>
      <c r="O785" s="3"/>
      <c r="P785" s="3"/>
      <c r="Q785" s="1"/>
      <c r="R785" s="1"/>
    </row>
    <row r="786" spans="8:18" ht="13.5" x14ac:dyDescent="0.25">
      <c r="H786" s="4"/>
      <c r="M786" s="4"/>
      <c r="N786" s="3"/>
      <c r="O786" s="3"/>
      <c r="P786" s="3"/>
      <c r="Q786" s="1"/>
      <c r="R786" s="1"/>
    </row>
    <row r="787" spans="8:18" ht="13.5" x14ac:dyDescent="0.25">
      <c r="H787" s="4"/>
      <c r="M787" s="4"/>
      <c r="N787" s="3"/>
      <c r="O787" s="3"/>
      <c r="P787" s="3"/>
      <c r="Q787" s="1"/>
      <c r="R787" s="1"/>
    </row>
    <row r="788" spans="8:18" ht="13.5" x14ac:dyDescent="0.25">
      <c r="H788" s="4"/>
      <c r="M788" s="4"/>
      <c r="N788" s="3"/>
      <c r="O788" s="3"/>
      <c r="P788" s="3"/>
      <c r="Q788" s="1"/>
      <c r="R788" s="1"/>
    </row>
    <row r="789" spans="8:18" ht="13.5" x14ac:dyDescent="0.25">
      <c r="H789" s="4"/>
      <c r="M789" s="4"/>
      <c r="N789" s="3"/>
      <c r="O789" s="3"/>
      <c r="P789" s="3"/>
      <c r="Q789" s="1"/>
      <c r="R789" s="1"/>
    </row>
    <row r="790" spans="8:18" ht="13.5" x14ac:dyDescent="0.25">
      <c r="H790" s="4"/>
      <c r="M790" s="4"/>
      <c r="N790" s="3"/>
      <c r="O790" s="3"/>
      <c r="P790" s="3"/>
      <c r="Q790" s="1"/>
      <c r="R790" s="1"/>
    </row>
    <row r="791" spans="8:18" ht="13.5" x14ac:dyDescent="0.25">
      <c r="H791" s="4"/>
      <c r="M791" s="4"/>
      <c r="N791" s="3"/>
      <c r="O791" s="3"/>
      <c r="P791" s="3"/>
      <c r="Q791" s="1"/>
      <c r="R791" s="1"/>
    </row>
    <row r="792" spans="8:18" ht="13.5" x14ac:dyDescent="0.25">
      <c r="H792" s="4"/>
      <c r="M792" s="4"/>
      <c r="N792" s="3"/>
      <c r="O792" s="3"/>
      <c r="P792" s="3"/>
      <c r="Q792" s="1"/>
      <c r="R792" s="1"/>
    </row>
    <row r="793" spans="8:18" ht="13.5" x14ac:dyDescent="0.25">
      <c r="H793" s="4"/>
      <c r="M793" s="4"/>
      <c r="N793" s="3"/>
      <c r="O793" s="3"/>
      <c r="P793" s="3"/>
      <c r="Q793" s="1"/>
      <c r="R793" s="1"/>
    </row>
    <row r="794" spans="8:18" ht="13.5" x14ac:dyDescent="0.25">
      <c r="H794" s="4"/>
      <c r="M794" s="4"/>
      <c r="N794" s="3"/>
      <c r="O794" s="3"/>
      <c r="P794" s="3"/>
      <c r="Q794" s="1"/>
      <c r="R794" s="1"/>
    </row>
    <row r="795" spans="8:18" ht="13.5" x14ac:dyDescent="0.25">
      <c r="H795" s="4"/>
      <c r="M795" s="4"/>
      <c r="N795" s="3"/>
      <c r="O795" s="3"/>
      <c r="P795" s="3"/>
      <c r="Q795" s="1"/>
      <c r="R795" s="1"/>
    </row>
    <row r="796" spans="8:18" ht="13.5" x14ac:dyDescent="0.25">
      <c r="H796" s="4"/>
      <c r="M796" s="4"/>
      <c r="N796" s="3"/>
      <c r="O796" s="3"/>
      <c r="P796" s="3"/>
      <c r="Q796" s="1"/>
      <c r="R796" s="1"/>
    </row>
    <row r="797" spans="8:18" ht="13.5" x14ac:dyDescent="0.25">
      <c r="H797" s="4"/>
      <c r="M797" s="4"/>
      <c r="N797" s="3"/>
      <c r="O797" s="3"/>
      <c r="P797" s="3"/>
      <c r="Q797" s="1"/>
      <c r="R797" s="1"/>
    </row>
    <row r="798" spans="8:18" ht="13.5" x14ac:dyDescent="0.25">
      <c r="H798" s="4"/>
      <c r="M798" s="4"/>
      <c r="N798" s="3"/>
      <c r="O798" s="3"/>
      <c r="P798" s="3"/>
      <c r="Q798" s="1"/>
      <c r="R798" s="1"/>
    </row>
    <row r="799" spans="8:18" ht="13.5" x14ac:dyDescent="0.25">
      <c r="H799" s="4"/>
      <c r="M799" s="4"/>
      <c r="N799" s="3"/>
      <c r="O799" s="3"/>
      <c r="P799" s="3"/>
      <c r="Q799" s="1"/>
      <c r="R799" s="1"/>
    </row>
    <row r="800" spans="8:18" ht="13.5" x14ac:dyDescent="0.25">
      <c r="H800" s="4"/>
      <c r="M800" s="4"/>
      <c r="N800" s="3"/>
      <c r="O800" s="3"/>
      <c r="P800" s="3"/>
      <c r="Q800" s="1"/>
      <c r="R800" s="1"/>
    </row>
    <row r="801" spans="8:18" ht="13.5" x14ac:dyDescent="0.25">
      <c r="H801" s="4"/>
      <c r="M801" s="4"/>
      <c r="N801" s="3"/>
      <c r="O801" s="3"/>
      <c r="P801" s="3"/>
      <c r="Q801" s="1"/>
      <c r="R801" s="1"/>
    </row>
    <row r="802" spans="8:18" ht="13.5" x14ac:dyDescent="0.25">
      <c r="H802" s="4"/>
      <c r="M802" s="4"/>
      <c r="N802" s="3"/>
      <c r="O802" s="3"/>
      <c r="P802" s="3"/>
      <c r="Q802" s="1"/>
      <c r="R802" s="1"/>
    </row>
    <row r="803" spans="8:18" ht="13.5" x14ac:dyDescent="0.25">
      <c r="H803" s="4"/>
      <c r="M803" s="4"/>
      <c r="N803" s="3"/>
      <c r="O803" s="3"/>
      <c r="P803" s="3"/>
      <c r="Q803" s="1"/>
      <c r="R803" s="1"/>
    </row>
    <row r="804" spans="8:18" ht="13.5" x14ac:dyDescent="0.25">
      <c r="H804" s="4"/>
      <c r="M804" s="4"/>
      <c r="N804" s="3"/>
      <c r="O804" s="3"/>
      <c r="P804" s="3"/>
      <c r="Q804" s="1"/>
      <c r="R804" s="1"/>
    </row>
    <row r="805" spans="8:18" ht="13.5" x14ac:dyDescent="0.25">
      <c r="H805" s="4"/>
      <c r="M805" s="4"/>
      <c r="N805" s="3"/>
      <c r="O805" s="3"/>
      <c r="P805" s="3"/>
      <c r="Q805" s="1"/>
      <c r="R805" s="1"/>
    </row>
    <row r="806" spans="8:18" ht="13.5" x14ac:dyDescent="0.25">
      <c r="H806" s="4"/>
      <c r="M806" s="4"/>
      <c r="N806" s="3"/>
      <c r="O806" s="3"/>
      <c r="P806" s="3"/>
      <c r="Q806" s="1"/>
      <c r="R806" s="1"/>
    </row>
    <row r="807" spans="8:18" ht="13.5" x14ac:dyDescent="0.25">
      <c r="H807" s="4"/>
      <c r="M807" s="4"/>
      <c r="N807" s="3"/>
      <c r="O807" s="3"/>
      <c r="P807" s="3"/>
      <c r="Q807" s="1"/>
      <c r="R807" s="1"/>
    </row>
    <row r="808" spans="8:18" ht="13.5" x14ac:dyDescent="0.25">
      <c r="H808" s="4"/>
      <c r="M808" s="4"/>
      <c r="N808" s="3"/>
      <c r="O808" s="3"/>
      <c r="P808" s="3"/>
      <c r="Q808" s="1"/>
      <c r="R808" s="1"/>
    </row>
    <row r="809" spans="8:18" ht="13.5" x14ac:dyDescent="0.25">
      <c r="H809" s="4"/>
      <c r="M809" s="4"/>
      <c r="N809" s="3"/>
      <c r="O809" s="3"/>
      <c r="P809" s="3"/>
      <c r="Q809" s="1"/>
      <c r="R809" s="1"/>
    </row>
    <row r="810" spans="8:18" ht="13.5" x14ac:dyDescent="0.25">
      <c r="H810" s="4"/>
      <c r="M810" s="4"/>
      <c r="N810" s="3"/>
      <c r="O810" s="3"/>
      <c r="P810" s="3"/>
      <c r="Q810" s="1"/>
      <c r="R810" s="1"/>
    </row>
    <row r="811" spans="8:18" ht="13.5" x14ac:dyDescent="0.25">
      <c r="H811" s="4"/>
      <c r="M811" s="4"/>
      <c r="N811" s="3"/>
      <c r="O811" s="3"/>
      <c r="P811" s="3"/>
      <c r="Q811" s="1"/>
      <c r="R811" s="1"/>
    </row>
    <row r="812" spans="8:18" ht="13.5" x14ac:dyDescent="0.25">
      <c r="H812" s="4"/>
      <c r="M812" s="4"/>
      <c r="N812" s="3"/>
      <c r="O812" s="3"/>
      <c r="P812" s="3"/>
      <c r="Q812" s="1"/>
      <c r="R812" s="1"/>
    </row>
    <row r="813" spans="8:18" ht="13.5" x14ac:dyDescent="0.25">
      <c r="H813" s="4"/>
      <c r="M813" s="4"/>
      <c r="N813" s="3"/>
      <c r="O813" s="3"/>
      <c r="P813" s="3"/>
      <c r="Q813" s="1"/>
      <c r="R813" s="1"/>
    </row>
    <row r="814" spans="8:18" ht="13.5" x14ac:dyDescent="0.25">
      <c r="H814" s="4"/>
      <c r="M814" s="4"/>
      <c r="N814" s="3"/>
      <c r="O814" s="3"/>
      <c r="P814" s="3"/>
      <c r="Q814" s="1"/>
      <c r="R814" s="1"/>
    </row>
    <row r="815" spans="8:18" ht="13.5" x14ac:dyDescent="0.25">
      <c r="H815" s="4"/>
      <c r="M815" s="4"/>
      <c r="N815" s="3"/>
      <c r="O815" s="3"/>
      <c r="P815" s="3"/>
      <c r="Q815" s="1"/>
      <c r="R815" s="1"/>
    </row>
    <row r="816" spans="8:18" ht="13.5" x14ac:dyDescent="0.25">
      <c r="H816" s="4"/>
      <c r="M816" s="4"/>
      <c r="N816" s="3"/>
      <c r="O816" s="3"/>
      <c r="P816" s="3"/>
      <c r="Q816" s="1"/>
      <c r="R816" s="1"/>
    </row>
    <row r="817" spans="8:18" ht="13.5" x14ac:dyDescent="0.25">
      <c r="H817" s="4"/>
      <c r="M817" s="4"/>
      <c r="N817" s="3"/>
      <c r="O817" s="3"/>
      <c r="P817" s="3"/>
      <c r="Q817" s="1"/>
      <c r="R817" s="1"/>
    </row>
    <row r="818" spans="8:18" ht="13.5" x14ac:dyDescent="0.25">
      <c r="H818" s="4"/>
      <c r="M818" s="4"/>
      <c r="N818" s="3"/>
      <c r="O818" s="3"/>
      <c r="P818" s="3"/>
      <c r="Q818" s="1"/>
      <c r="R818" s="1"/>
    </row>
    <row r="819" spans="8:18" ht="13.5" x14ac:dyDescent="0.25">
      <c r="H819" s="4"/>
      <c r="M819" s="4"/>
      <c r="N819" s="3"/>
      <c r="O819" s="3"/>
      <c r="P819" s="3"/>
      <c r="Q819" s="1"/>
      <c r="R819" s="1"/>
    </row>
    <row r="820" spans="8:18" ht="13.5" x14ac:dyDescent="0.25">
      <c r="H820" s="4"/>
      <c r="M820" s="4"/>
      <c r="N820" s="3"/>
      <c r="O820" s="3"/>
      <c r="P820" s="3"/>
      <c r="Q820" s="1"/>
      <c r="R820" s="1"/>
    </row>
    <row r="821" spans="8:18" ht="13.5" x14ac:dyDescent="0.25">
      <c r="H821" s="4"/>
      <c r="M821" s="4"/>
      <c r="N821" s="3"/>
      <c r="O821" s="3"/>
      <c r="P821" s="3"/>
      <c r="Q821" s="1"/>
      <c r="R821" s="1"/>
    </row>
    <row r="822" spans="8:18" ht="13.5" x14ac:dyDescent="0.25">
      <c r="H822" s="4"/>
      <c r="M822" s="4"/>
      <c r="N822" s="3"/>
      <c r="O822" s="3"/>
      <c r="P822" s="3"/>
      <c r="Q822" s="1"/>
      <c r="R822" s="1"/>
    </row>
    <row r="823" spans="8:18" ht="13.5" x14ac:dyDescent="0.25">
      <c r="H823" s="4"/>
      <c r="M823" s="4"/>
      <c r="N823" s="3"/>
      <c r="O823" s="3"/>
      <c r="P823" s="3"/>
      <c r="Q823" s="1"/>
      <c r="R823" s="1"/>
    </row>
    <row r="824" spans="8:18" ht="13.5" x14ac:dyDescent="0.25">
      <c r="H824" s="4"/>
      <c r="M824" s="4"/>
      <c r="N824" s="3"/>
      <c r="O824" s="3"/>
      <c r="P824" s="3"/>
      <c r="Q824" s="1"/>
      <c r="R824" s="1"/>
    </row>
    <row r="825" spans="8:18" ht="13.5" x14ac:dyDescent="0.25">
      <c r="H825" s="4"/>
      <c r="M825" s="4"/>
      <c r="N825" s="3"/>
      <c r="O825" s="3"/>
      <c r="P825" s="3"/>
      <c r="Q825" s="1"/>
      <c r="R825" s="1"/>
    </row>
    <row r="826" spans="8:18" ht="13.5" x14ac:dyDescent="0.25">
      <c r="H826" s="4"/>
      <c r="M826" s="4"/>
      <c r="N826" s="3"/>
      <c r="O826" s="3"/>
      <c r="P826" s="3"/>
      <c r="Q826" s="1"/>
      <c r="R826" s="1"/>
    </row>
    <row r="827" spans="8:18" ht="13.5" x14ac:dyDescent="0.25">
      <c r="H827" s="4"/>
      <c r="M827" s="4"/>
      <c r="N827" s="3"/>
      <c r="O827" s="3"/>
      <c r="P827" s="3"/>
      <c r="Q827" s="1"/>
      <c r="R827" s="1"/>
    </row>
    <row r="828" spans="8:18" ht="13.5" x14ac:dyDescent="0.25">
      <c r="H828" s="4"/>
      <c r="M828" s="4"/>
      <c r="N828" s="3"/>
      <c r="O828" s="3"/>
      <c r="P828" s="3"/>
      <c r="Q828" s="1"/>
      <c r="R828" s="1"/>
    </row>
    <row r="829" spans="8:18" ht="13.5" x14ac:dyDescent="0.25">
      <c r="H829" s="4"/>
      <c r="M829" s="4"/>
      <c r="N829" s="3"/>
      <c r="O829" s="3"/>
      <c r="P829" s="3"/>
      <c r="Q829" s="1"/>
      <c r="R829" s="1"/>
    </row>
    <row r="830" spans="8:18" ht="13.5" x14ac:dyDescent="0.25">
      <c r="H830" s="4"/>
      <c r="M830" s="4"/>
      <c r="N830" s="3"/>
      <c r="O830" s="3"/>
      <c r="P830" s="3"/>
      <c r="Q830" s="1"/>
      <c r="R830" s="1"/>
    </row>
    <row r="831" spans="8:18" ht="13.5" x14ac:dyDescent="0.25">
      <c r="H831" s="4"/>
      <c r="M831" s="4"/>
      <c r="N831" s="3"/>
      <c r="O831" s="3"/>
      <c r="P831" s="3"/>
      <c r="Q831" s="1"/>
      <c r="R831" s="1"/>
    </row>
    <row r="832" spans="8:18" ht="13.5" x14ac:dyDescent="0.25">
      <c r="H832" s="4"/>
      <c r="M832" s="4"/>
      <c r="N832" s="3"/>
      <c r="O832" s="3"/>
      <c r="P832" s="3"/>
      <c r="Q832" s="1"/>
      <c r="R832" s="1"/>
    </row>
    <row r="833" spans="8:18" ht="13.5" x14ac:dyDescent="0.25">
      <c r="H833" s="4"/>
      <c r="M833" s="4"/>
      <c r="N833" s="3"/>
      <c r="O833" s="3"/>
      <c r="P833" s="3"/>
      <c r="Q833" s="1"/>
      <c r="R833" s="1"/>
    </row>
    <row r="834" spans="8:18" ht="13.5" x14ac:dyDescent="0.25">
      <c r="H834" s="4"/>
      <c r="M834" s="4"/>
      <c r="N834" s="3"/>
      <c r="O834" s="3"/>
      <c r="P834" s="3"/>
      <c r="Q834" s="1"/>
      <c r="R834" s="1"/>
    </row>
    <row r="835" spans="8:18" ht="13.5" x14ac:dyDescent="0.25">
      <c r="H835" s="4"/>
      <c r="M835" s="4"/>
      <c r="N835" s="3"/>
      <c r="O835" s="3"/>
      <c r="P835" s="3"/>
      <c r="Q835" s="1"/>
      <c r="R835" s="1"/>
    </row>
    <row r="836" spans="8:18" ht="13.5" x14ac:dyDescent="0.25">
      <c r="H836" s="4"/>
      <c r="M836" s="4"/>
      <c r="N836" s="3"/>
      <c r="O836" s="3"/>
      <c r="P836" s="3"/>
      <c r="Q836" s="1"/>
      <c r="R836" s="1"/>
    </row>
    <row r="837" spans="8:18" ht="13.5" x14ac:dyDescent="0.25">
      <c r="H837" s="4"/>
      <c r="M837" s="4"/>
      <c r="N837" s="3"/>
      <c r="O837" s="3"/>
      <c r="P837" s="3"/>
      <c r="Q837" s="1"/>
      <c r="R837" s="1"/>
    </row>
    <row r="838" spans="8:18" ht="13.5" x14ac:dyDescent="0.25">
      <c r="H838" s="4"/>
      <c r="M838" s="4"/>
      <c r="N838" s="3"/>
      <c r="O838" s="3"/>
      <c r="P838" s="3"/>
      <c r="Q838" s="1"/>
      <c r="R838" s="1"/>
    </row>
    <row r="839" spans="8:18" ht="13.5" x14ac:dyDescent="0.25">
      <c r="H839" s="4"/>
      <c r="M839" s="4"/>
      <c r="N839" s="3"/>
      <c r="O839" s="3"/>
      <c r="P839" s="3"/>
      <c r="Q839" s="1"/>
      <c r="R839" s="1"/>
    </row>
    <row r="840" spans="8:18" ht="13.5" x14ac:dyDescent="0.25">
      <c r="H840" s="4"/>
      <c r="M840" s="4"/>
      <c r="N840" s="3"/>
      <c r="O840" s="3"/>
      <c r="P840" s="3"/>
      <c r="Q840" s="1"/>
      <c r="R840" s="1"/>
    </row>
    <row r="841" spans="8:18" ht="13.5" x14ac:dyDescent="0.25">
      <c r="H841" s="4"/>
      <c r="M841" s="4"/>
      <c r="N841" s="3"/>
      <c r="O841" s="3"/>
      <c r="P841" s="3"/>
      <c r="Q841" s="1"/>
      <c r="R841" s="1"/>
    </row>
    <row r="842" spans="8:18" ht="13.5" x14ac:dyDescent="0.25">
      <c r="H842" s="4"/>
      <c r="M842" s="4"/>
      <c r="N842" s="3"/>
      <c r="O842" s="3"/>
      <c r="P842" s="3"/>
      <c r="Q842" s="1"/>
      <c r="R842" s="1"/>
    </row>
    <row r="843" spans="8:18" ht="13.5" x14ac:dyDescent="0.25">
      <c r="H843" s="4"/>
      <c r="M843" s="4"/>
      <c r="N843" s="3"/>
      <c r="O843" s="3"/>
      <c r="P843" s="3"/>
      <c r="Q843" s="1"/>
      <c r="R843" s="1"/>
    </row>
    <row r="844" spans="8:18" ht="13.5" x14ac:dyDescent="0.25">
      <c r="H844" s="4"/>
      <c r="M844" s="4"/>
      <c r="N844" s="3"/>
      <c r="O844" s="3"/>
      <c r="P844" s="3"/>
      <c r="Q844" s="1"/>
      <c r="R844" s="1"/>
    </row>
    <row r="845" spans="8:18" ht="13.5" x14ac:dyDescent="0.25">
      <c r="H845" s="4"/>
      <c r="M845" s="4"/>
      <c r="N845" s="3"/>
      <c r="O845" s="3"/>
      <c r="P845" s="3"/>
      <c r="Q845" s="1"/>
      <c r="R845" s="1"/>
    </row>
    <row r="846" spans="8:18" ht="13.5" x14ac:dyDescent="0.25">
      <c r="H846" s="4"/>
      <c r="M846" s="4"/>
      <c r="N846" s="3"/>
      <c r="O846" s="3"/>
      <c r="P846" s="3"/>
      <c r="Q846" s="1"/>
      <c r="R846" s="1"/>
    </row>
    <row r="847" spans="8:18" ht="13.5" x14ac:dyDescent="0.25">
      <c r="H847" s="4"/>
      <c r="M847" s="4"/>
      <c r="N847" s="3"/>
      <c r="O847" s="3"/>
      <c r="P847" s="3"/>
      <c r="Q847" s="1"/>
      <c r="R847" s="1"/>
    </row>
    <row r="848" spans="8:18" ht="13.5" x14ac:dyDescent="0.25">
      <c r="H848" s="4"/>
      <c r="M848" s="4"/>
      <c r="N848" s="3"/>
      <c r="O848" s="3"/>
      <c r="P848" s="3"/>
      <c r="Q848" s="1"/>
      <c r="R848" s="1"/>
    </row>
    <row r="849" spans="8:18" ht="13.5" x14ac:dyDescent="0.25">
      <c r="H849" s="4"/>
      <c r="M849" s="4"/>
      <c r="N849" s="3"/>
      <c r="O849" s="3"/>
      <c r="P849" s="3"/>
      <c r="Q849" s="1"/>
      <c r="R849" s="1"/>
    </row>
    <row r="850" spans="8:18" ht="13.5" x14ac:dyDescent="0.25">
      <c r="H850" s="4"/>
      <c r="M850" s="4"/>
      <c r="N850" s="3"/>
      <c r="O850" s="3"/>
      <c r="P850" s="3"/>
      <c r="Q850" s="1"/>
      <c r="R850" s="1"/>
    </row>
    <row r="851" spans="8:18" ht="13.5" x14ac:dyDescent="0.25">
      <c r="H851" s="4"/>
      <c r="M851" s="4"/>
      <c r="N851" s="3"/>
      <c r="O851" s="3"/>
      <c r="P851" s="3"/>
      <c r="Q851" s="1"/>
      <c r="R851" s="1"/>
    </row>
    <row r="852" spans="8:18" ht="13.5" x14ac:dyDescent="0.25">
      <c r="H852" s="4"/>
      <c r="M852" s="4"/>
      <c r="N852" s="3"/>
      <c r="O852" s="3"/>
      <c r="P852" s="3"/>
      <c r="Q852" s="1"/>
      <c r="R852" s="1"/>
    </row>
    <row r="853" spans="8:18" ht="13.5" x14ac:dyDescent="0.25">
      <c r="H853" s="4"/>
      <c r="M853" s="4"/>
      <c r="N853" s="3"/>
      <c r="O853" s="3"/>
      <c r="P853" s="3"/>
      <c r="Q853" s="1"/>
      <c r="R853" s="1"/>
    </row>
    <row r="854" spans="8:18" ht="13.5" x14ac:dyDescent="0.25">
      <c r="H854" s="4"/>
      <c r="M854" s="4"/>
      <c r="N854" s="3"/>
      <c r="O854" s="3"/>
      <c r="P854" s="3"/>
      <c r="Q854" s="1"/>
      <c r="R854" s="1"/>
    </row>
    <row r="855" spans="8:18" ht="13.5" x14ac:dyDescent="0.25">
      <c r="H855" s="4"/>
      <c r="M855" s="4"/>
      <c r="N855" s="3"/>
      <c r="O855" s="3"/>
      <c r="P855" s="3"/>
      <c r="Q855" s="1"/>
      <c r="R855" s="1"/>
    </row>
    <row r="856" spans="8:18" ht="13.5" x14ac:dyDescent="0.25">
      <c r="H856" s="4"/>
      <c r="M856" s="4"/>
      <c r="N856" s="3"/>
      <c r="O856" s="3"/>
      <c r="P856" s="3"/>
      <c r="Q856" s="1"/>
      <c r="R856" s="1"/>
    </row>
    <row r="857" spans="8:18" ht="13.5" x14ac:dyDescent="0.25">
      <c r="H857" s="4"/>
      <c r="M857" s="4"/>
      <c r="N857" s="3"/>
      <c r="O857" s="3"/>
      <c r="P857" s="3"/>
      <c r="Q857" s="1"/>
      <c r="R857" s="1"/>
    </row>
    <row r="858" spans="8:18" ht="13.5" x14ac:dyDescent="0.25">
      <c r="H858" s="4"/>
      <c r="M858" s="4"/>
      <c r="N858" s="3"/>
      <c r="O858" s="3"/>
      <c r="P858" s="3"/>
      <c r="Q858" s="1"/>
      <c r="R858" s="1"/>
    </row>
    <row r="859" spans="8:18" ht="13.5" x14ac:dyDescent="0.25">
      <c r="H859" s="4"/>
      <c r="M859" s="4"/>
      <c r="N859" s="3"/>
      <c r="O859" s="3"/>
      <c r="P859" s="3"/>
      <c r="Q859" s="1"/>
      <c r="R859" s="1"/>
    </row>
    <row r="860" spans="8:18" ht="13.5" x14ac:dyDescent="0.25">
      <c r="H860" s="4"/>
      <c r="M860" s="4"/>
      <c r="N860" s="3"/>
      <c r="O860" s="3"/>
      <c r="P860" s="3"/>
      <c r="Q860" s="1"/>
      <c r="R860" s="1"/>
    </row>
    <row r="861" spans="8:18" ht="13.5" x14ac:dyDescent="0.25">
      <c r="H861" s="4"/>
      <c r="M861" s="4"/>
      <c r="N861" s="3"/>
      <c r="O861" s="3"/>
      <c r="P861" s="3"/>
      <c r="Q861" s="1"/>
      <c r="R861" s="1"/>
    </row>
    <row r="862" spans="8:18" ht="13.5" x14ac:dyDescent="0.25">
      <c r="H862" s="4"/>
      <c r="M862" s="4"/>
      <c r="N862" s="3"/>
      <c r="O862" s="3"/>
      <c r="P862" s="3"/>
      <c r="Q862" s="1"/>
      <c r="R862" s="1"/>
    </row>
    <row r="863" spans="8:18" ht="13.5" x14ac:dyDescent="0.25">
      <c r="H863" s="4"/>
      <c r="M863" s="4"/>
      <c r="N863" s="3"/>
      <c r="O863" s="3"/>
      <c r="P863" s="3"/>
      <c r="Q863" s="1"/>
      <c r="R863" s="1"/>
    </row>
    <row r="864" spans="8:18" ht="13.5" x14ac:dyDescent="0.25">
      <c r="H864" s="4"/>
      <c r="M864" s="4"/>
      <c r="N864" s="3"/>
      <c r="O864" s="3"/>
      <c r="P864" s="3"/>
      <c r="Q864" s="1"/>
      <c r="R864" s="1"/>
    </row>
    <row r="865" spans="8:18" ht="13.5" x14ac:dyDescent="0.25">
      <c r="H865" s="4"/>
      <c r="M865" s="4"/>
      <c r="N865" s="3"/>
      <c r="O865" s="3"/>
      <c r="P865" s="3"/>
      <c r="Q865" s="1"/>
      <c r="R865" s="1"/>
    </row>
    <row r="866" spans="8:18" ht="13.5" x14ac:dyDescent="0.25">
      <c r="H866" s="4"/>
      <c r="M866" s="4"/>
      <c r="N866" s="3"/>
      <c r="O866" s="3"/>
      <c r="P866" s="3"/>
      <c r="Q866" s="1"/>
      <c r="R866" s="1"/>
    </row>
    <row r="867" spans="8:18" ht="13.5" x14ac:dyDescent="0.25">
      <c r="H867" s="4"/>
      <c r="M867" s="4"/>
      <c r="N867" s="3"/>
      <c r="O867" s="3"/>
      <c r="P867" s="3"/>
      <c r="Q867" s="1"/>
      <c r="R867" s="1"/>
    </row>
    <row r="868" spans="8:18" ht="13.5" x14ac:dyDescent="0.25">
      <c r="H868" s="4"/>
      <c r="M868" s="4"/>
      <c r="N868" s="3"/>
      <c r="O868" s="3"/>
      <c r="P868" s="3"/>
      <c r="Q868" s="1"/>
      <c r="R868" s="1"/>
    </row>
    <row r="869" spans="8:18" ht="13.5" x14ac:dyDescent="0.25">
      <c r="H869" s="4"/>
      <c r="M869" s="4"/>
      <c r="N869" s="3"/>
      <c r="O869" s="3"/>
      <c r="P869" s="3"/>
      <c r="Q869" s="1"/>
      <c r="R869" s="1"/>
    </row>
    <row r="870" spans="8:18" ht="13.5" x14ac:dyDescent="0.25">
      <c r="H870" s="4"/>
      <c r="M870" s="4"/>
      <c r="N870" s="3"/>
      <c r="O870" s="3"/>
      <c r="P870" s="3"/>
      <c r="Q870" s="1"/>
      <c r="R870" s="1"/>
    </row>
    <row r="871" spans="8:18" ht="13.5" x14ac:dyDescent="0.25">
      <c r="H871" s="4"/>
      <c r="M871" s="4"/>
      <c r="N871" s="3"/>
      <c r="O871" s="3"/>
      <c r="P871" s="3"/>
      <c r="Q871" s="1"/>
      <c r="R871" s="1"/>
    </row>
    <row r="872" spans="8:18" ht="13.5" x14ac:dyDescent="0.25">
      <c r="H872" s="4"/>
      <c r="M872" s="4"/>
      <c r="N872" s="3"/>
      <c r="O872" s="3"/>
      <c r="P872" s="3"/>
      <c r="Q872" s="1"/>
      <c r="R872" s="1"/>
    </row>
    <row r="873" spans="8:18" ht="13.5" x14ac:dyDescent="0.25">
      <c r="H873" s="4"/>
      <c r="M873" s="4"/>
      <c r="N873" s="3"/>
      <c r="O873" s="3"/>
      <c r="P873" s="3"/>
      <c r="Q873" s="1"/>
      <c r="R873" s="1"/>
    </row>
    <row r="874" spans="8:18" ht="13.5" x14ac:dyDescent="0.25">
      <c r="H874" s="4"/>
      <c r="M874" s="4"/>
      <c r="N874" s="3"/>
      <c r="O874" s="3"/>
      <c r="P874" s="3"/>
      <c r="Q874" s="1"/>
      <c r="R874" s="1"/>
    </row>
    <row r="875" spans="8:18" ht="13.5" x14ac:dyDescent="0.25">
      <c r="H875" s="4"/>
      <c r="M875" s="4"/>
      <c r="N875" s="3"/>
      <c r="O875" s="3"/>
      <c r="P875" s="3"/>
      <c r="Q875" s="1"/>
      <c r="R875" s="1"/>
    </row>
    <row r="876" spans="8:18" ht="13.5" x14ac:dyDescent="0.25">
      <c r="H876" s="4"/>
      <c r="M876" s="4"/>
      <c r="N876" s="3"/>
      <c r="O876" s="3"/>
      <c r="P876" s="3"/>
      <c r="Q876" s="1"/>
      <c r="R876" s="1"/>
    </row>
    <row r="877" spans="8:18" ht="13.5" x14ac:dyDescent="0.25">
      <c r="H877" s="4"/>
      <c r="M877" s="4"/>
      <c r="N877" s="3"/>
      <c r="O877" s="3"/>
      <c r="P877" s="3"/>
      <c r="Q877" s="1"/>
      <c r="R877" s="1"/>
    </row>
    <row r="878" spans="8:18" ht="13.5" x14ac:dyDescent="0.25">
      <c r="H878" s="4"/>
      <c r="M878" s="4"/>
      <c r="N878" s="3"/>
      <c r="O878" s="3"/>
      <c r="P878" s="3"/>
      <c r="Q878" s="1"/>
      <c r="R878" s="1"/>
    </row>
    <row r="879" spans="8:18" ht="13.5" x14ac:dyDescent="0.25">
      <c r="H879" s="4"/>
      <c r="M879" s="4"/>
      <c r="N879" s="3"/>
      <c r="O879" s="3"/>
      <c r="P879" s="3"/>
      <c r="Q879" s="1"/>
      <c r="R879" s="1"/>
    </row>
    <row r="880" spans="8:18" ht="13.5" x14ac:dyDescent="0.25">
      <c r="H880" s="4"/>
      <c r="M880" s="4"/>
      <c r="N880" s="3"/>
      <c r="O880" s="3"/>
      <c r="P880" s="3"/>
      <c r="Q880" s="1"/>
      <c r="R880" s="1"/>
    </row>
    <row r="881" spans="8:18" ht="13.5" x14ac:dyDescent="0.25">
      <c r="H881" s="4"/>
      <c r="M881" s="4"/>
      <c r="N881" s="3"/>
      <c r="O881" s="3"/>
      <c r="P881" s="3"/>
      <c r="Q881" s="1"/>
      <c r="R881" s="1"/>
    </row>
    <row r="882" spans="8:18" ht="13.5" x14ac:dyDescent="0.25">
      <c r="H882" s="4"/>
      <c r="M882" s="4"/>
      <c r="N882" s="3"/>
      <c r="O882" s="3"/>
      <c r="P882" s="3"/>
      <c r="Q882" s="1"/>
      <c r="R882" s="1"/>
    </row>
    <row r="883" spans="8:18" ht="13.5" x14ac:dyDescent="0.25">
      <c r="H883" s="4"/>
      <c r="M883" s="4"/>
      <c r="N883" s="3"/>
      <c r="O883" s="3"/>
      <c r="P883" s="3"/>
      <c r="Q883" s="1"/>
      <c r="R883" s="1"/>
    </row>
    <row r="884" spans="8:18" ht="13.5" x14ac:dyDescent="0.25">
      <c r="H884" s="4"/>
      <c r="M884" s="4"/>
      <c r="N884" s="3"/>
      <c r="O884" s="3"/>
      <c r="P884" s="3"/>
      <c r="Q884" s="1"/>
      <c r="R884" s="1"/>
    </row>
    <row r="885" spans="8:18" ht="13.5" x14ac:dyDescent="0.25">
      <c r="H885" s="4"/>
      <c r="M885" s="4"/>
      <c r="N885" s="3"/>
      <c r="O885" s="3"/>
      <c r="P885" s="3"/>
      <c r="Q885" s="1"/>
      <c r="R885" s="1"/>
    </row>
    <row r="886" spans="8:18" ht="13.5" x14ac:dyDescent="0.25">
      <c r="H886" s="4"/>
      <c r="M886" s="4"/>
      <c r="N886" s="3"/>
      <c r="O886" s="3"/>
      <c r="P886" s="3"/>
      <c r="Q886" s="1"/>
      <c r="R886" s="1"/>
    </row>
    <row r="887" spans="8:18" ht="13.5" x14ac:dyDescent="0.25">
      <c r="H887" s="4"/>
      <c r="M887" s="4"/>
      <c r="N887" s="3"/>
      <c r="O887" s="3"/>
      <c r="P887" s="3"/>
      <c r="Q887" s="1"/>
      <c r="R887" s="1"/>
    </row>
    <row r="888" spans="8:18" ht="13.5" x14ac:dyDescent="0.25">
      <c r="H888" s="4"/>
      <c r="M888" s="4"/>
      <c r="N888" s="3"/>
      <c r="O888" s="3"/>
      <c r="P888" s="3"/>
      <c r="Q888" s="1"/>
      <c r="R888" s="1"/>
    </row>
    <row r="889" spans="8:18" ht="13.5" x14ac:dyDescent="0.25">
      <c r="H889" s="4"/>
      <c r="M889" s="4"/>
      <c r="N889" s="3"/>
      <c r="O889" s="3"/>
      <c r="P889" s="3"/>
      <c r="Q889" s="1"/>
      <c r="R889" s="1"/>
    </row>
    <row r="890" spans="8:18" ht="13.5" x14ac:dyDescent="0.25">
      <c r="H890" s="4"/>
      <c r="M890" s="4"/>
      <c r="N890" s="3"/>
      <c r="O890" s="3"/>
      <c r="P890" s="3"/>
      <c r="Q890" s="1"/>
      <c r="R890" s="1"/>
    </row>
    <row r="891" spans="8:18" ht="13.5" x14ac:dyDescent="0.25">
      <c r="H891" s="4"/>
      <c r="M891" s="4"/>
      <c r="N891" s="3"/>
      <c r="O891" s="3"/>
      <c r="P891" s="3"/>
      <c r="Q891" s="1"/>
      <c r="R891" s="1"/>
    </row>
    <row r="892" spans="8:18" ht="13.5" x14ac:dyDescent="0.25">
      <c r="H892" s="4"/>
      <c r="M892" s="4"/>
      <c r="N892" s="3"/>
      <c r="O892" s="3"/>
      <c r="P892" s="3"/>
      <c r="Q892" s="1"/>
      <c r="R892" s="1"/>
    </row>
    <row r="893" spans="8:18" ht="13.5" x14ac:dyDescent="0.25">
      <c r="H893" s="4"/>
      <c r="M893" s="4"/>
      <c r="N893" s="3"/>
      <c r="O893" s="3"/>
      <c r="P893" s="3"/>
      <c r="Q893" s="1"/>
      <c r="R893" s="1"/>
    </row>
    <row r="894" spans="8:18" ht="13.5" x14ac:dyDescent="0.25">
      <c r="H894" s="4"/>
      <c r="M894" s="4"/>
      <c r="N894" s="3"/>
      <c r="O894" s="3"/>
      <c r="P894" s="3"/>
      <c r="Q894" s="1"/>
      <c r="R894" s="1"/>
    </row>
    <row r="895" spans="8:18" ht="13.5" x14ac:dyDescent="0.25">
      <c r="H895" s="4"/>
      <c r="M895" s="4"/>
      <c r="N895" s="3"/>
      <c r="O895" s="3"/>
      <c r="P895" s="3"/>
      <c r="Q895" s="1"/>
      <c r="R895" s="1"/>
    </row>
    <row r="896" spans="8:18" ht="13.5" x14ac:dyDescent="0.25">
      <c r="H896" s="4"/>
      <c r="M896" s="4"/>
      <c r="N896" s="3"/>
      <c r="O896" s="3"/>
      <c r="P896" s="3"/>
      <c r="Q896" s="1"/>
      <c r="R896" s="1"/>
    </row>
    <row r="897" spans="8:18" ht="13.5" x14ac:dyDescent="0.25">
      <c r="H897" s="4"/>
      <c r="M897" s="4"/>
      <c r="N897" s="3"/>
      <c r="O897" s="3"/>
      <c r="P897" s="3"/>
      <c r="Q897" s="1"/>
      <c r="R897" s="1"/>
    </row>
    <row r="898" spans="8:18" ht="13.5" x14ac:dyDescent="0.25">
      <c r="H898" s="4"/>
      <c r="M898" s="4"/>
      <c r="N898" s="3"/>
      <c r="O898" s="3"/>
      <c r="P898" s="3"/>
      <c r="Q898" s="1"/>
      <c r="R898" s="1"/>
    </row>
    <row r="899" spans="8:18" ht="13.5" x14ac:dyDescent="0.25">
      <c r="H899" s="4"/>
      <c r="M899" s="4"/>
      <c r="N899" s="3"/>
      <c r="O899" s="3"/>
      <c r="P899" s="3"/>
      <c r="Q899" s="1"/>
      <c r="R899" s="1"/>
    </row>
    <row r="900" spans="8:18" ht="13.5" x14ac:dyDescent="0.25">
      <c r="H900" s="4"/>
      <c r="M900" s="4"/>
      <c r="N900" s="3"/>
      <c r="O900" s="3"/>
      <c r="P900" s="3"/>
      <c r="Q900" s="1"/>
      <c r="R900" s="1"/>
    </row>
    <row r="901" spans="8:18" ht="13.5" x14ac:dyDescent="0.25">
      <c r="H901" s="4"/>
      <c r="M901" s="4"/>
      <c r="N901" s="3"/>
      <c r="O901" s="3"/>
      <c r="P901" s="3"/>
      <c r="Q901" s="1"/>
      <c r="R901" s="1"/>
    </row>
    <row r="902" spans="8:18" ht="13.5" x14ac:dyDescent="0.25">
      <c r="H902" s="4"/>
      <c r="M902" s="4"/>
      <c r="N902" s="3"/>
      <c r="O902" s="3"/>
      <c r="P902" s="3"/>
      <c r="Q902" s="1"/>
      <c r="R902" s="1"/>
    </row>
    <row r="903" spans="8:18" ht="13.5" x14ac:dyDescent="0.25">
      <c r="H903" s="4"/>
      <c r="M903" s="4"/>
      <c r="N903" s="3"/>
      <c r="O903" s="3"/>
      <c r="P903" s="3"/>
      <c r="Q903" s="1"/>
      <c r="R903" s="1"/>
    </row>
    <row r="904" spans="8:18" ht="13.5" x14ac:dyDescent="0.25">
      <c r="H904" s="4"/>
      <c r="M904" s="4"/>
      <c r="N904" s="3"/>
      <c r="O904" s="3"/>
      <c r="P904" s="3"/>
      <c r="Q904" s="1"/>
      <c r="R904" s="1"/>
    </row>
    <row r="905" spans="8:18" ht="13.5" x14ac:dyDescent="0.25">
      <c r="H905" s="4"/>
      <c r="M905" s="4"/>
      <c r="N905" s="3"/>
      <c r="O905" s="3"/>
      <c r="P905" s="3"/>
      <c r="Q905" s="1"/>
      <c r="R905" s="1"/>
    </row>
    <row r="906" spans="8:18" ht="13.5" x14ac:dyDescent="0.25">
      <c r="H906" s="4"/>
      <c r="M906" s="4"/>
      <c r="N906" s="3"/>
      <c r="O906" s="3"/>
      <c r="P906" s="3"/>
      <c r="Q906" s="1"/>
      <c r="R906" s="1"/>
    </row>
    <row r="907" spans="8:18" ht="13.5" x14ac:dyDescent="0.25">
      <c r="H907" s="4"/>
      <c r="M907" s="4"/>
      <c r="N907" s="3"/>
      <c r="O907" s="3"/>
      <c r="P907" s="3"/>
      <c r="Q907" s="1"/>
      <c r="R907" s="1"/>
    </row>
    <row r="908" spans="8:18" ht="13.5" x14ac:dyDescent="0.25">
      <c r="H908" s="4"/>
      <c r="M908" s="4"/>
      <c r="N908" s="3"/>
      <c r="O908" s="3"/>
      <c r="P908" s="3"/>
      <c r="Q908" s="1"/>
      <c r="R908" s="1"/>
    </row>
    <row r="909" spans="8:18" ht="13.5" x14ac:dyDescent="0.25">
      <c r="H909" s="4"/>
      <c r="M909" s="4"/>
      <c r="N909" s="3"/>
      <c r="O909" s="3"/>
      <c r="P909" s="3"/>
      <c r="Q909" s="1"/>
      <c r="R909" s="1"/>
    </row>
    <row r="910" spans="8:18" ht="13.5" x14ac:dyDescent="0.25">
      <c r="H910" s="4"/>
      <c r="M910" s="4"/>
      <c r="N910" s="3"/>
      <c r="O910" s="3"/>
      <c r="P910" s="3"/>
      <c r="Q910" s="1"/>
      <c r="R910" s="1"/>
    </row>
    <row r="911" spans="8:18" ht="13.5" x14ac:dyDescent="0.25">
      <c r="H911" s="4"/>
      <c r="M911" s="4"/>
      <c r="N911" s="3"/>
      <c r="O911" s="3"/>
      <c r="P911" s="3"/>
      <c r="Q911" s="1"/>
      <c r="R911" s="1"/>
    </row>
    <row r="912" spans="8:18" ht="13.5" x14ac:dyDescent="0.25">
      <c r="H912" s="4"/>
      <c r="M912" s="4"/>
      <c r="N912" s="3"/>
      <c r="O912" s="3"/>
      <c r="P912" s="3"/>
      <c r="Q912" s="1"/>
      <c r="R912" s="1"/>
    </row>
    <row r="913" spans="8:18" ht="13.5" x14ac:dyDescent="0.25">
      <c r="H913" s="4"/>
      <c r="M913" s="4"/>
      <c r="N913" s="3"/>
      <c r="O913" s="3"/>
      <c r="P913" s="3"/>
      <c r="Q913" s="1"/>
      <c r="R913" s="1"/>
    </row>
    <row r="914" spans="8:18" ht="13.5" x14ac:dyDescent="0.25">
      <c r="H914" s="4"/>
      <c r="M914" s="4"/>
      <c r="N914" s="3"/>
      <c r="O914" s="3"/>
      <c r="P914" s="3"/>
      <c r="Q914" s="1"/>
      <c r="R914" s="1"/>
    </row>
    <row r="915" spans="8:18" ht="13.5" x14ac:dyDescent="0.25">
      <c r="H915" s="4"/>
      <c r="M915" s="4"/>
      <c r="N915" s="3"/>
      <c r="O915" s="3"/>
      <c r="P915" s="3"/>
      <c r="Q915" s="1"/>
      <c r="R915" s="1"/>
    </row>
    <row r="916" spans="8:18" ht="13.5" x14ac:dyDescent="0.25">
      <c r="H916" s="4"/>
      <c r="M916" s="4"/>
      <c r="N916" s="3"/>
      <c r="O916" s="3"/>
      <c r="P916" s="3"/>
      <c r="Q916" s="1"/>
      <c r="R916" s="1"/>
    </row>
    <row r="917" spans="8:18" ht="13.5" x14ac:dyDescent="0.25">
      <c r="H917" s="4"/>
      <c r="M917" s="4"/>
      <c r="N917" s="3"/>
      <c r="O917" s="3"/>
      <c r="P917" s="3"/>
      <c r="Q917" s="1"/>
      <c r="R917" s="1"/>
    </row>
    <row r="918" spans="8:18" ht="13.5" x14ac:dyDescent="0.25">
      <c r="H918" s="4"/>
      <c r="M918" s="4"/>
      <c r="N918" s="3"/>
      <c r="O918" s="3"/>
      <c r="P918" s="3"/>
      <c r="Q918" s="1"/>
      <c r="R918" s="1"/>
    </row>
    <row r="919" spans="8:18" ht="13.5" x14ac:dyDescent="0.25">
      <c r="H919" s="4"/>
      <c r="M919" s="4"/>
      <c r="N919" s="3"/>
      <c r="O919" s="3"/>
      <c r="P919" s="3"/>
      <c r="Q919" s="1"/>
      <c r="R919" s="1"/>
    </row>
    <row r="920" spans="8:18" ht="13.5" x14ac:dyDescent="0.25">
      <c r="H920" s="4"/>
      <c r="M920" s="4"/>
      <c r="N920" s="3"/>
      <c r="O920" s="3"/>
      <c r="P920" s="3"/>
      <c r="Q920" s="1"/>
      <c r="R920" s="1"/>
    </row>
    <row r="921" spans="8:18" ht="13.5" x14ac:dyDescent="0.25">
      <c r="H921" s="4"/>
      <c r="M921" s="4"/>
      <c r="N921" s="3"/>
      <c r="O921" s="3"/>
      <c r="P921" s="3"/>
      <c r="Q921" s="1"/>
      <c r="R921" s="1"/>
    </row>
    <row r="922" spans="8:18" ht="13.5" x14ac:dyDescent="0.25">
      <c r="H922" s="4"/>
      <c r="M922" s="4"/>
      <c r="N922" s="3"/>
      <c r="O922" s="3"/>
      <c r="P922" s="3"/>
      <c r="Q922" s="1"/>
      <c r="R922" s="1"/>
    </row>
    <row r="923" spans="8:18" ht="13.5" x14ac:dyDescent="0.25">
      <c r="H923" s="4"/>
      <c r="M923" s="4"/>
      <c r="N923" s="3"/>
      <c r="O923" s="3"/>
      <c r="P923" s="3"/>
      <c r="Q923" s="1"/>
      <c r="R923" s="1"/>
    </row>
    <row r="924" spans="8:18" ht="13.5" x14ac:dyDescent="0.25">
      <c r="H924" s="4"/>
      <c r="M924" s="4"/>
      <c r="N924" s="3"/>
      <c r="O924" s="3"/>
      <c r="P924" s="3"/>
      <c r="Q924" s="1"/>
      <c r="R924" s="1"/>
    </row>
    <row r="925" spans="8:18" ht="13.5" x14ac:dyDescent="0.25">
      <c r="H925" s="4"/>
      <c r="M925" s="4"/>
      <c r="N925" s="3"/>
      <c r="O925" s="3"/>
      <c r="P925" s="3"/>
      <c r="Q925" s="1"/>
      <c r="R925" s="1"/>
    </row>
    <row r="926" spans="8:18" ht="13.5" x14ac:dyDescent="0.25">
      <c r="H926" s="4"/>
      <c r="M926" s="4"/>
      <c r="N926" s="3"/>
      <c r="O926" s="3"/>
      <c r="P926" s="3"/>
      <c r="Q926" s="1"/>
      <c r="R926" s="1"/>
    </row>
    <row r="927" spans="8:18" ht="13.5" x14ac:dyDescent="0.25">
      <c r="H927" s="4"/>
      <c r="M927" s="4"/>
      <c r="N927" s="3"/>
      <c r="O927" s="3"/>
      <c r="P927" s="3"/>
      <c r="Q927" s="1"/>
      <c r="R927" s="1"/>
    </row>
    <row r="928" spans="8:18" ht="13.5" x14ac:dyDescent="0.25">
      <c r="H928" s="4"/>
      <c r="M928" s="4"/>
      <c r="N928" s="3"/>
      <c r="O928" s="3"/>
      <c r="P928" s="3"/>
      <c r="Q928" s="1"/>
      <c r="R928" s="1"/>
    </row>
    <row r="929" spans="8:18" ht="13.5" x14ac:dyDescent="0.25">
      <c r="H929" s="4"/>
      <c r="M929" s="4"/>
      <c r="N929" s="3"/>
      <c r="O929" s="3"/>
      <c r="P929" s="3"/>
      <c r="Q929" s="1"/>
      <c r="R929" s="1"/>
    </row>
    <row r="930" spans="8:18" ht="13.5" x14ac:dyDescent="0.25">
      <c r="H930" s="4"/>
      <c r="M930" s="4"/>
      <c r="N930" s="3"/>
      <c r="O930" s="3"/>
      <c r="P930" s="3"/>
      <c r="Q930" s="1"/>
      <c r="R930" s="1"/>
    </row>
    <row r="931" spans="8:18" ht="13.5" x14ac:dyDescent="0.25">
      <c r="H931" s="4"/>
      <c r="M931" s="4"/>
      <c r="N931" s="3"/>
      <c r="O931" s="3"/>
      <c r="P931" s="3"/>
      <c r="Q931" s="1"/>
      <c r="R931" s="1"/>
    </row>
    <row r="932" spans="8:18" ht="13.5" x14ac:dyDescent="0.25">
      <c r="H932" s="4"/>
      <c r="M932" s="4"/>
      <c r="N932" s="3"/>
      <c r="O932" s="3"/>
      <c r="P932" s="3"/>
      <c r="Q932" s="1"/>
      <c r="R932" s="1"/>
    </row>
    <row r="933" spans="8:18" ht="13.5" x14ac:dyDescent="0.25">
      <c r="H933" s="4"/>
      <c r="M933" s="4"/>
      <c r="N933" s="3"/>
      <c r="O933" s="3"/>
      <c r="P933" s="3"/>
      <c r="Q933" s="1"/>
      <c r="R933" s="1"/>
    </row>
    <row r="934" spans="8:18" ht="13.5" x14ac:dyDescent="0.25">
      <c r="H934" s="4"/>
      <c r="M934" s="4"/>
      <c r="N934" s="3"/>
      <c r="O934" s="3"/>
      <c r="P934" s="3"/>
      <c r="Q934" s="1"/>
      <c r="R934" s="1"/>
    </row>
    <row r="935" spans="8:18" ht="13.5" x14ac:dyDescent="0.25">
      <c r="H935" s="4"/>
      <c r="M935" s="4"/>
      <c r="N935" s="3"/>
      <c r="O935" s="3"/>
      <c r="P935" s="3"/>
      <c r="Q935" s="1"/>
      <c r="R935" s="1"/>
    </row>
    <row r="936" spans="8:18" ht="13.5" x14ac:dyDescent="0.25">
      <c r="H936" s="4"/>
      <c r="M936" s="4"/>
      <c r="N936" s="3"/>
      <c r="O936" s="3"/>
      <c r="P936" s="3"/>
      <c r="Q936" s="1"/>
      <c r="R936" s="1"/>
    </row>
    <row r="937" spans="8:18" ht="13.5" x14ac:dyDescent="0.25">
      <c r="H937" s="4"/>
      <c r="M937" s="4"/>
      <c r="N937" s="3"/>
      <c r="O937" s="3"/>
      <c r="P937" s="3"/>
      <c r="Q937" s="1"/>
      <c r="R937" s="1"/>
    </row>
    <row r="938" spans="8:18" ht="13.5" x14ac:dyDescent="0.25">
      <c r="H938" s="4"/>
      <c r="M938" s="4"/>
      <c r="N938" s="3"/>
      <c r="O938" s="3"/>
      <c r="P938" s="3"/>
      <c r="Q938" s="1"/>
      <c r="R938" s="1"/>
    </row>
    <row r="939" spans="8:18" ht="13.5" x14ac:dyDescent="0.25">
      <c r="H939" s="4"/>
      <c r="M939" s="4"/>
      <c r="N939" s="3"/>
      <c r="O939" s="3"/>
      <c r="P939" s="3"/>
      <c r="Q939" s="1"/>
      <c r="R939" s="1"/>
    </row>
    <row r="940" spans="8:18" ht="13.5" x14ac:dyDescent="0.25">
      <c r="H940" s="4"/>
      <c r="M940" s="4"/>
      <c r="N940" s="3"/>
      <c r="O940" s="3"/>
      <c r="P940" s="3"/>
      <c r="Q940" s="1"/>
      <c r="R940" s="1"/>
    </row>
    <row r="941" spans="8:18" ht="13.5" x14ac:dyDescent="0.25">
      <c r="H941" s="4"/>
      <c r="M941" s="4"/>
      <c r="N941" s="3"/>
      <c r="O941" s="3"/>
      <c r="P941" s="3"/>
      <c r="Q941" s="1"/>
      <c r="R941" s="1"/>
    </row>
    <row r="942" spans="8:18" ht="13.5" x14ac:dyDescent="0.25">
      <c r="H942" s="4"/>
      <c r="M942" s="4"/>
      <c r="N942" s="3"/>
      <c r="O942" s="3"/>
      <c r="P942" s="3"/>
      <c r="Q942" s="1"/>
      <c r="R942" s="1"/>
    </row>
    <row r="943" spans="8:18" ht="13.5" x14ac:dyDescent="0.25">
      <c r="H943" s="4"/>
      <c r="M943" s="4"/>
      <c r="N943" s="3"/>
      <c r="O943" s="3"/>
      <c r="P943" s="3"/>
      <c r="Q943" s="1"/>
      <c r="R943" s="1"/>
    </row>
    <row r="944" spans="8:18" ht="13.5" x14ac:dyDescent="0.25">
      <c r="H944" s="4"/>
      <c r="M944" s="4"/>
      <c r="N944" s="3"/>
      <c r="O944" s="3"/>
      <c r="P944" s="3"/>
      <c r="Q944" s="1"/>
      <c r="R944" s="1"/>
    </row>
    <row r="945" spans="8:18" ht="13.5" x14ac:dyDescent="0.25">
      <c r="H945" s="4"/>
      <c r="M945" s="4"/>
      <c r="N945" s="3"/>
      <c r="O945" s="3"/>
      <c r="P945" s="3"/>
      <c r="Q945" s="1"/>
      <c r="R945" s="1"/>
    </row>
    <row r="946" spans="8:18" ht="13.5" x14ac:dyDescent="0.25">
      <c r="H946" s="4"/>
      <c r="M946" s="4"/>
      <c r="N946" s="3"/>
      <c r="O946" s="3"/>
      <c r="P946" s="3"/>
      <c r="Q946" s="1"/>
      <c r="R946" s="1"/>
    </row>
    <row r="947" spans="8:18" ht="13.5" x14ac:dyDescent="0.25">
      <c r="H947" s="4"/>
      <c r="M947" s="4"/>
      <c r="N947" s="3"/>
      <c r="O947" s="3"/>
      <c r="P947" s="3"/>
      <c r="Q947" s="1"/>
      <c r="R947" s="1"/>
    </row>
    <row r="948" spans="8:18" ht="13.5" x14ac:dyDescent="0.25">
      <c r="H948" s="4"/>
      <c r="M948" s="4"/>
      <c r="N948" s="3"/>
      <c r="O948" s="3"/>
      <c r="P948" s="3"/>
      <c r="Q948" s="1"/>
      <c r="R948" s="1"/>
    </row>
    <row r="949" spans="8:18" ht="13.5" x14ac:dyDescent="0.25">
      <c r="H949" s="4"/>
      <c r="M949" s="4"/>
      <c r="N949" s="3"/>
      <c r="O949" s="3"/>
      <c r="P949" s="3"/>
      <c r="Q949" s="1"/>
      <c r="R949" s="1"/>
    </row>
    <row r="950" spans="8:18" ht="13.5" x14ac:dyDescent="0.25">
      <c r="H950" s="4"/>
      <c r="M950" s="4"/>
      <c r="N950" s="3"/>
      <c r="O950" s="3"/>
      <c r="P950" s="3"/>
      <c r="Q950" s="1"/>
      <c r="R950" s="1"/>
    </row>
    <row r="951" spans="8:18" ht="13.5" x14ac:dyDescent="0.25">
      <c r="H951" s="4"/>
      <c r="M951" s="4"/>
      <c r="N951" s="3"/>
      <c r="O951" s="3"/>
      <c r="P951" s="3"/>
      <c r="Q951" s="1"/>
      <c r="R951" s="1"/>
    </row>
    <row r="952" spans="8:18" ht="13.5" x14ac:dyDescent="0.25">
      <c r="H952" s="4"/>
      <c r="M952" s="4"/>
      <c r="N952" s="3"/>
      <c r="O952" s="3"/>
      <c r="P952" s="3"/>
      <c r="Q952" s="1"/>
      <c r="R952" s="1"/>
    </row>
    <row r="953" spans="8:18" ht="13.5" x14ac:dyDescent="0.25">
      <c r="H953" s="4"/>
      <c r="M953" s="4"/>
      <c r="N953" s="3"/>
      <c r="O953" s="3"/>
      <c r="P953" s="3"/>
      <c r="Q953" s="1"/>
      <c r="R953" s="1"/>
    </row>
    <row r="954" spans="8:18" ht="13.5" x14ac:dyDescent="0.25">
      <c r="H954" s="4"/>
      <c r="M954" s="4"/>
      <c r="N954" s="3"/>
      <c r="O954" s="3"/>
      <c r="P954" s="3"/>
      <c r="Q954" s="1"/>
      <c r="R954" s="1"/>
    </row>
    <row r="955" spans="8:18" ht="13.5" x14ac:dyDescent="0.25">
      <c r="H955" s="4"/>
      <c r="M955" s="4"/>
      <c r="N955" s="3"/>
      <c r="O955" s="3"/>
      <c r="P955" s="3"/>
      <c r="Q955" s="1"/>
      <c r="R955" s="1"/>
    </row>
    <row r="956" spans="8:18" ht="13.5" x14ac:dyDescent="0.25">
      <c r="H956" s="4"/>
      <c r="M956" s="4"/>
      <c r="N956" s="3"/>
      <c r="O956" s="3"/>
      <c r="P956" s="3"/>
      <c r="Q956" s="1"/>
      <c r="R956" s="1"/>
    </row>
    <row r="957" spans="8:18" ht="13.5" x14ac:dyDescent="0.25">
      <c r="H957" s="4"/>
      <c r="M957" s="4"/>
      <c r="N957" s="3"/>
      <c r="O957" s="3"/>
      <c r="P957" s="3"/>
      <c r="Q957" s="1"/>
      <c r="R957" s="1"/>
    </row>
    <row r="958" spans="8:18" ht="13.5" x14ac:dyDescent="0.25">
      <c r="H958" s="4"/>
      <c r="M958" s="4"/>
      <c r="N958" s="3"/>
      <c r="O958" s="3"/>
      <c r="P958" s="3"/>
      <c r="Q958" s="1"/>
      <c r="R958" s="1"/>
    </row>
    <row r="959" spans="8:18" ht="13.5" x14ac:dyDescent="0.25">
      <c r="H959" s="4"/>
      <c r="M959" s="4"/>
      <c r="N959" s="3"/>
      <c r="O959" s="3"/>
      <c r="P959" s="3"/>
      <c r="Q959" s="1"/>
      <c r="R959" s="1"/>
    </row>
    <row r="960" spans="8:18" ht="13.5" x14ac:dyDescent="0.25">
      <c r="H960" s="4"/>
      <c r="M960" s="4"/>
      <c r="N960" s="3"/>
      <c r="O960" s="3"/>
      <c r="P960" s="3"/>
      <c r="Q960" s="1"/>
      <c r="R960" s="1"/>
    </row>
    <row r="961" spans="8:18" ht="13.5" x14ac:dyDescent="0.25">
      <c r="H961" s="4"/>
      <c r="M961" s="4"/>
      <c r="N961" s="3"/>
      <c r="O961" s="3"/>
      <c r="P961" s="3"/>
      <c r="Q961" s="1"/>
      <c r="R961" s="1"/>
    </row>
    <row r="962" spans="8:18" ht="13.5" x14ac:dyDescent="0.25">
      <c r="H962" s="4"/>
      <c r="M962" s="4"/>
      <c r="N962" s="3"/>
      <c r="O962" s="3"/>
      <c r="P962" s="3"/>
      <c r="Q962" s="1"/>
      <c r="R962" s="1"/>
    </row>
    <row r="963" spans="8:18" ht="13.5" x14ac:dyDescent="0.25">
      <c r="H963" s="4"/>
      <c r="M963" s="4"/>
      <c r="N963" s="3"/>
      <c r="O963" s="3"/>
      <c r="P963" s="3"/>
      <c r="Q963" s="1"/>
      <c r="R963" s="1"/>
    </row>
    <row r="964" spans="8:18" ht="13.5" x14ac:dyDescent="0.25">
      <c r="H964" s="4"/>
      <c r="M964" s="4"/>
      <c r="N964" s="3"/>
      <c r="O964" s="3"/>
      <c r="P964" s="3"/>
      <c r="Q964" s="1"/>
      <c r="R964" s="1"/>
    </row>
    <row r="965" spans="8:18" ht="13.5" x14ac:dyDescent="0.25">
      <c r="H965" s="4"/>
      <c r="M965" s="4"/>
      <c r="N965" s="3"/>
      <c r="O965" s="3"/>
      <c r="P965" s="3"/>
      <c r="Q965" s="1"/>
      <c r="R965" s="1"/>
    </row>
    <row r="966" spans="8:18" ht="13.5" x14ac:dyDescent="0.25">
      <c r="H966" s="4"/>
      <c r="M966" s="4"/>
      <c r="N966" s="3"/>
      <c r="O966" s="3"/>
      <c r="P966" s="3"/>
      <c r="Q966" s="1"/>
      <c r="R966" s="1"/>
    </row>
    <row r="967" spans="8:18" ht="13.5" x14ac:dyDescent="0.25">
      <c r="H967" s="4"/>
      <c r="M967" s="4"/>
      <c r="N967" s="3"/>
      <c r="O967" s="3"/>
      <c r="P967" s="3"/>
      <c r="Q967" s="1"/>
      <c r="R967" s="1"/>
    </row>
    <row r="968" spans="8:18" ht="13.5" x14ac:dyDescent="0.25">
      <c r="H968" s="4"/>
      <c r="M968" s="4"/>
      <c r="N968" s="3"/>
      <c r="O968" s="3"/>
      <c r="P968" s="3"/>
      <c r="Q968" s="1"/>
      <c r="R968" s="1"/>
    </row>
    <row r="969" spans="8:18" ht="13.5" x14ac:dyDescent="0.25">
      <c r="H969" s="4"/>
      <c r="M969" s="4"/>
      <c r="N969" s="3"/>
      <c r="O969" s="3"/>
      <c r="P969" s="3"/>
      <c r="Q969" s="1"/>
      <c r="R969" s="1"/>
    </row>
    <row r="970" spans="8:18" ht="13.5" x14ac:dyDescent="0.25">
      <c r="H970" s="4"/>
      <c r="M970" s="4"/>
      <c r="N970" s="3"/>
      <c r="O970" s="3"/>
      <c r="P970" s="3"/>
      <c r="Q970" s="1"/>
      <c r="R970" s="1"/>
    </row>
    <row r="971" spans="8:18" ht="13.5" x14ac:dyDescent="0.25">
      <c r="H971" s="4"/>
      <c r="M971" s="4"/>
      <c r="N971" s="3"/>
      <c r="O971" s="3"/>
      <c r="P971" s="3"/>
      <c r="Q971" s="1"/>
      <c r="R971" s="1"/>
    </row>
    <row r="972" spans="8:18" ht="13.5" x14ac:dyDescent="0.25">
      <c r="H972" s="4"/>
      <c r="M972" s="4"/>
      <c r="N972" s="3"/>
      <c r="O972" s="3"/>
      <c r="P972" s="3"/>
      <c r="Q972" s="1"/>
      <c r="R972" s="1"/>
    </row>
    <row r="973" spans="8:18" ht="13.5" x14ac:dyDescent="0.25">
      <c r="H973" s="4"/>
      <c r="M973" s="4"/>
      <c r="N973" s="3"/>
      <c r="O973" s="3"/>
      <c r="P973" s="3"/>
      <c r="Q973" s="1"/>
      <c r="R973" s="1"/>
    </row>
    <row r="974" spans="8:18" ht="13.5" x14ac:dyDescent="0.25">
      <c r="H974" s="4"/>
      <c r="M974" s="4"/>
      <c r="N974" s="3"/>
      <c r="O974" s="3"/>
      <c r="P974" s="3"/>
      <c r="Q974" s="1"/>
      <c r="R974" s="1"/>
    </row>
    <row r="975" spans="8:18" ht="13.5" x14ac:dyDescent="0.25">
      <c r="H975" s="4"/>
      <c r="M975" s="4"/>
      <c r="N975" s="3"/>
      <c r="O975" s="3"/>
      <c r="P975" s="3"/>
      <c r="Q975" s="1"/>
      <c r="R975" s="1"/>
    </row>
    <row r="976" spans="8:18" ht="13.5" x14ac:dyDescent="0.25">
      <c r="H976" s="4"/>
      <c r="M976" s="4"/>
      <c r="N976" s="3"/>
      <c r="O976" s="3"/>
      <c r="P976" s="3"/>
      <c r="Q976" s="1"/>
      <c r="R976" s="1"/>
    </row>
    <row r="977" spans="8:18" ht="13.5" x14ac:dyDescent="0.25">
      <c r="H977" s="4"/>
      <c r="M977" s="4"/>
      <c r="N977" s="3"/>
      <c r="O977" s="3"/>
      <c r="P977" s="3"/>
      <c r="Q977" s="1"/>
      <c r="R977" s="1"/>
    </row>
    <row r="978" spans="8:18" ht="13.5" x14ac:dyDescent="0.25">
      <c r="H978" s="4"/>
      <c r="M978" s="4"/>
      <c r="N978" s="3"/>
      <c r="O978" s="3"/>
      <c r="P978" s="3"/>
      <c r="Q978" s="1"/>
      <c r="R978" s="1"/>
    </row>
    <row r="979" spans="8:18" ht="13.5" x14ac:dyDescent="0.25">
      <c r="H979" s="4"/>
      <c r="M979" s="4"/>
      <c r="N979" s="3"/>
      <c r="O979" s="3"/>
      <c r="P979" s="3"/>
      <c r="Q979" s="1"/>
      <c r="R979" s="1"/>
    </row>
    <row r="980" spans="8:18" ht="13.5" x14ac:dyDescent="0.25">
      <c r="H980" s="4"/>
      <c r="M980" s="4"/>
      <c r="N980" s="3"/>
      <c r="O980" s="3"/>
      <c r="P980" s="3"/>
      <c r="Q980" s="1"/>
      <c r="R980" s="1"/>
    </row>
    <row r="981" spans="8:18" ht="13.5" x14ac:dyDescent="0.25">
      <c r="H981" s="4"/>
      <c r="M981" s="4"/>
      <c r="N981" s="3"/>
      <c r="O981" s="3"/>
      <c r="P981" s="3"/>
      <c r="Q981" s="1"/>
      <c r="R981" s="1"/>
    </row>
    <row r="982" spans="8:18" ht="13.5" x14ac:dyDescent="0.25">
      <c r="H982" s="4"/>
      <c r="M982" s="4"/>
      <c r="N982" s="3"/>
      <c r="O982" s="3"/>
      <c r="P982" s="3"/>
      <c r="Q982" s="1"/>
      <c r="R982" s="1"/>
    </row>
    <row r="983" spans="8:18" ht="13.5" x14ac:dyDescent="0.25">
      <c r="H983" s="4"/>
      <c r="M983" s="4"/>
      <c r="N983" s="3"/>
      <c r="O983" s="3"/>
      <c r="P983" s="3"/>
      <c r="Q983" s="1"/>
      <c r="R983" s="1"/>
    </row>
    <row r="984" spans="8:18" ht="13.5" x14ac:dyDescent="0.25">
      <c r="H984" s="4"/>
      <c r="M984" s="4"/>
      <c r="N984" s="3"/>
      <c r="O984" s="3"/>
      <c r="P984" s="3"/>
      <c r="Q984" s="1"/>
      <c r="R984" s="1"/>
    </row>
    <row r="985" spans="8:18" ht="13.5" x14ac:dyDescent="0.25">
      <c r="H985" s="4"/>
      <c r="M985" s="4"/>
      <c r="N985" s="3"/>
      <c r="O985" s="3"/>
      <c r="P985" s="3"/>
      <c r="Q985" s="1"/>
      <c r="R985" s="1"/>
    </row>
    <row r="986" spans="8:18" ht="13.5" x14ac:dyDescent="0.25">
      <c r="H986" s="4"/>
      <c r="M986" s="4"/>
      <c r="N986" s="3"/>
      <c r="O986" s="3"/>
      <c r="P986" s="3"/>
      <c r="Q986" s="1"/>
      <c r="R986" s="1"/>
    </row>
    <row r="987" spans="8:18" ht="13.5" x14ac:dyDescent="0.25">
      <c r="H987" s="4"/>
      <c r="M987" s="4"/>
      <c r="N987" s="3"/>
      <c r="O987" s="3"/>
      <c r="P987" s="3"/>
      <c r="Q987" s="1"/>
      <c r="R987" s="1"/>
    </row>
    <row r="988" spans="8:18" ht="13.5" x14ac:dyDescent="0.25">
      <c r="H988" s="4"/>
      <c r="M988" s="4"/>
      <c r="N988" s="3"/>
      <c r="O988" s="3"/>
      <c r="P988" s="3"/>
      <c r="Q988" s="1"/>
      <c r="R988" s="1"/>
    </row>
    <row r="989" spans="8:18" ht="13.5" x14ac:dyDescent="0.25">
      <c r="H989" s="4"/>
      <c r="M989" s="4"/>
      <c r="N989" s="3"/>
      <c r="O989" s="3"/>
      <c r="P989" s="3"/>
      <c r="Q989" s="1"/>
      <c r="R989" s="1"/>
    </row>
    <row r="990" spans="8:18" ht="13.5" x14ac:dyDescent="0.25">
      <c r="H990" s="4"/>
      <c r="M990" s="4"/>
      <c r="N990" s="3"/>
      <c r="O990" s="3"/>
      <c r="P990" s="3"/>
      <c r="Q990" s="1"/>
      <c r="R990" s="1"/>
    </row>
    <row r="991" spans="8:18" ht="13.5" x14ac:dyDescent="0.25">
      <c r="H991" s="4"/>
      <c r="M991" s="4"/>
      <c r="N991" s="3"/>
      <c r="O991" s="3"/>
      <c r="P991" s="3"/>
      <c r="Q991" s="1"/>
      <c r="R991" s="1"/>
    </row>
    <row r="992" spans="8:18" ht="13.5" x14ac:dyDescent="0.25">
      <c r="H992" s="4"/>
      <c r="M992" s="4"/>
      <c r="N992" s="3"/>
      <c r="O992" s="3"/>
      <c r="P992" s="3"/>
      <c r="Q992" s="1"/>
      <c r="R992" s="1"/>
    </row>
    <row r="993" spans="8:18" ht="13.5" x14ac:dyDescent="0.25">
      <c r="H993" s="4"/>
      <c r="M993" s="4"/>
      <c r="N993" s="3"/>
      <c r="O993" s="3"/>
      <c r="P993" s="3"/>
      <c r="Q993" s="1"/>
      <c r="R993" s="1"/>
    </row>
    <row r="994" spans="8:18" ht="13.5" x14ac:dyDescent="0.25">
      <c r="H994" s="4"/>
      <c r="M994" s="4"/>
      <c r="N994" s="3"/>
      <c r="O994" s="3"/>
      <c r="P994" s="3"/>
      <c r="Q994" s="1"/>
      <c r="R994" s="1"/>
    </row>
    <row r="995" spans="8:18" ht="13.5" x14ac:dyDescent="0.25">
      <c r="H995" s="4"/>
      <c r="M995" s="4"/>
      <c r="N995" s="3"/>
      <c r="O995" s="3"/>
      <c r="P995" s="3"/>
      <c r="Q995" s="1"/>
      <c r="R995" s="1"/>
    </row>
    <row r="996" spans="8:18" ht="13.5" x14ac:dyDescent="0.25">
      <c r="H996" s="4"/>
      <c r="M996" s="4"/>
      <c r="N996" s="3"/>
      <c r="O996" s="3"/>
      <c r="P996" s="3"/>
      <c r="Q996" s="1"/>
      <c r="R996" s="1"/>
    </row>
    <row r="997" spans="8:18" ht="13.5" x14ac:dyDescent="0.25">
      <c r="H997" s="4"/>
      <c r="M997" s="4"/>
      <c r="N997" s="3"/>
      <c r="O997" s="3"/>
      <c r="P997" s="3"/>
      <c r="Q997" s="1"/>
      <c r="R997" s="1"/>
    </row>
    <row r="998" spans="8:18" ht="13.5" x14ac:dyDescent="0.25">
      <c r="H998" s="4"/>
      <c r="M998" s="4"/>
      <c r="N998" s="3"/>
      <c r="O998" s="3"/>
      <c r="P998" s="3"/>
      <c r="Q998" s="1"/>
      <c r="R998" s="1"/>
    </row>
    <row r="999" spans="8:18" ht="13.5" x14ac:dyDescent="0.25">
      <c r="H999" s="4"/>
      <c r="M999" s="4"/>
      <c r="N999" s="3"/>
      <c r="O999" s="3"/>
      <c r="P999" s="3"/>
      <c r="Q999" s="1"/>
      <c r="R999" s="1"/>
    </row>
    <row r="1000" spans="8:18" ht="13.5" x14ac:dyDescent="0.25">
      <c r="H1000" s="4"/>
      <c r="M1000" s="4"/>
      <c r="N1000" s="3"/>
      <c r="O1000" s="3"/>
      <c r="P1000" s="3"/>
      <c r="Q1000" s="1"/>
      <c r="R1000" s="1"/>
    </row>
    <row r="1001" spans="8:18" ht="13.5" x14ac:dyDescent="0.25">
      <c r="N1001" s="2"/>
      <c r="O1001" s="2"/>
      <c r="P1001" s="2"/>
      <c r="Q1001" s="1"/>
      <c r="R10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DixieFOUS(7)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Overla</dc:creator>
  <cp:lastModifiedBy>Stephanie Overla</cp:lastModifiedBy>
  <dcterms:created xsi:type="dcterms:W3CDTF">2025-08-10T00:23:26Z</dcterms:created>
  <dcterms:modified xsi:type="dcterms:W3CDTF">2025-08-10T00:23:50Z</dcterms:modified>
</cp:coreProperties>
</file>