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94B38CBD-BD4A-4EE2-A3A4-CE0654584BA6}" xr6:coauthVersionLast="47" xr6:coauthVersionMax="47" xr10:uidLastSave="{00000000-0000-0000-0000-000000000000}"/>
  <bookViews>
    <workbookView xWindow="-110" yWindow="-110" windowWidth="19420" windowHeight="11500" xr2:uid="{0CBAE0E5-8B16-43DB-831F-B9B2D30EC5EB}"/>
  </bookViews>
  <sheets>
    <sheet name="LF_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4" i="1" l="1"/>
  <c r="D335" i="1"/>
  <c r="D336" i="1"/>
  <c r="D337" i="1"/>
  <c r="D338" i="1"/>
  <c r="D339" i="1"/>
  <c r="D340" i="1"/>
  <c r="D341" i="1"/>
  <c r="D342" i="1"/>
  <c r="D322" i="1"/>
  <c r="D323" i="1"/>
  <c r="D324" i="1"/>
  <c r="D325" i="1"/>
  <c r="D326" i="1"/>
  <c r="D327" i="1"/>
  <c r="D328" i="1"/>
  <c r="D329" i="1"/>
  <c r="D330" i="1"/>
  <c r="D331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274" i="1"/>
  <c r="D275" i="1"/>
  <c r="D276" i="1"/>
  <c r="D277" i="1"/>
  <c r="D278" i="1"/>
  <c r="D279" i="1"/>
  <c r="D280" i="1"/>
  <c r="D281" i="1"/>
  <c r="D282" i="1"/>
  <c r="D283" i="1"/>
  <c r="D28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24" i="1"/>
  <c r="D225" i="1"/>
  <c r="D226" i="1"/>
  <c r="D227" i="1"/>
  <c r="D228" i="1"/>
  <c r="D229" i="1"/>
  <c r="D230" i="1"/>
  <c r="D231" i="1"/>
  <c r="D232" i="1"/>
  <c r="D212" i="1"/>
  <c r="D213" i="1"/>
  <c r="D214" i="1"/>
  <c r="D215" i="1"/>
  <c r="D216" i="1"/>
  <c r="D217" i="1"/>
  <c r="D218" i="1"/>
  <c r="D219" i="1"/>
  <c r="D220" i="1"/>
  <c r="D221" i="1"/>
  <c r="D203" i="1"/>
  <c r="D204" i="1"/>
  <c r="D205" i="1"/>
  <c r="D206" i="1"/>
  <c r="D207" i="1"/>
  <c r="D208" i="1"/>
  <c r="D209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181" i="1"/>
  <c r="D182" i="1"/>
  <c r="D183" i="1"/>
  <c r="D184" i="1"/>
  <c r="D18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12" i="1"/>
  <c r="D113" i="1"/>
  <c r="D114" i="1"/>
  <c r="D115" i="1"/>
  <c r="D116" i="1"/>
  <c r="D105" i="1"/>
  <c r="D106" i="1"/>
  <c r="D107" i="1"/>
  <c r="D108" i="1"/>
  <c r="D109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" i="1"/>
  <c r="D4" i="1"/>
  <c r="D5" i="1"/>
  <c r="D6" i="1"/>
  <c r="D7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44" i="1"/>
  <c r="D333" i="1"/>
  <c r="D321" i="1"/>
  <c r="D286" i="1"/>
  <c r="D273" i="1"/>
  <c r="D234" i="1"/>
  <c r="D223" i="1"/>
  <c r="D211" i="1"/>
  <c r="D202" i="1"/>
  <c r="D187" i="1"/>
  <c r="D180" i="1"/>
  <c r="D155" i="1"/>
  <c r="D133" i="1"/>
  <c r="D118" i="1"/>
  <c r="D111" i="1"/>
  <c r="D104" i="1"/>
  <c r="D81" i="1"/>
  <c r="D51" i="1"/>
  <c r="D39" i="1"/>
  <c r="D9" i="1"/>
  <c r="D2" i="1"/>
</calcChain>
</file>

<file path=xl/sharedStrings.xml><?xml version="1.0" encoding="utf-8"?>
<sst xmlns="http://schemas.openxmlformats.org/spreadsheetml/2006/main" count="1031" uniqueCount="92">
  <si>
    <t>Lat</t>
  </si>
  <si>
    <t>Lon</t>
  </si>
  <si>
    <t>Date</t>
  </si>
  <si>
    <t>Size</t>
  </si>
  <si>
    <t>Fire_Day</t>
  </si>
  <si>
    <t>Ls</t>
  </si>
  <si>
    <t>Acres_Growth</t>
  </si>
  <si>
    <t>T_sfc</t>
  </si>
  <si>
    <t>RH_sfc</t>
  </si>
  <si>
    <t>U_sfc</t>
  </si>
  <si>
    <t>Fosberg</t>
  </si>
  <si>
    <t>VPD_sfc</t>
  </si>
  <si>
    <t>HDW_sfc</t>
  </si>
  <si>
    <t>U_fix</t>
  </si>
  <si>
    <t>VPD_fix</t>
  </si>
  <si>
    <t>HDW_fix</t>
  </si>
  <si>
    <t>U_max</t>
  </si>
  <si>
    <t>VPD_max</t>
  </si>
  <si>
    <t>HDW_max</t>
  </si>
  <si>
    <t>Haines_T_Low</t>
  </si>
  <si>
    <t>Haines_DPD_Low</t>
  </si>
  <si>
    <t>Haines_A_Low</t>
  </si>
  <si>
    <t>Haines_B_Low</t>
  </si>
  <si>
    <t>Haines_T_Mid</t>
  </si>
  <si>
    <t>Haines_DPD_Mid</t>
  </si>
  <si>
    <t>Haines_A_Mid</t>
  </si>
  <si>
    <t>Haines_B_Mid</t>
  </si>
  <si>
    <t>Haines_T_High</t>
  </si>
  <si>
    <t>Haines_DPD_High</t>
  </si>
  <si>
    <t>Haines_A_High</t>
  </si>
  <si>
    <t>Haines_B_High</t>
  </si>
  <si>
    <t>Haines_High</t>
  </si>
  <si>
    <t>Peak_U</t>
  </si>
  <si>
    <t>Peak_V</t>
  </si>
  <si>
    <t>Day1_U</t>
  </si>
  <si>
    <t>Day1_V</t>
  </si>
  <si>
    <t>Diff_U</t>
  </si>
  <si>
    <t>Diff_V</t>
  </si>
  <si>
    <t>Curl</t>
  </si>
  <si>
    <t>TongRivrCplx</t>
  </si>
  <si>
    <t>Indians</t>
  </si>
  <si>
    <t>DeepHarbor</t>
  </si>
  <si>
    <t>TaylorCreek</t>
  </si>
  <si>
    <t>SForkCplx</t>
  </si>
  <si>
    <t>SnakeOne</t>
  </si>
  <si>
    <t>Ranch</t>
  </si>
  <si>
    <t>ThomRidge</t>
  </si>
  <si>
    <t>Brianhead</t>
  </si>
  <si>
    <t>RabbitFoot</t>
  </si>
  <si>
    <t>ColRivRd</t>
  </si>
  <si>
    <t>ValleyRd</t>
  </si>
  <si>
    <t>Telegraph</t>
  </si>
  <si>
    <t>Moonlight</t>
  </si>
  <si>
    <t>Sand</t>
  </si>
  <si>
    <t>CrescentMtn</t>
  </si>
  <si>
    <t>Cedar</t>
  </si>
  <si>
    <t>Mountain</t>
  </si>
  <si>
    <t>Rey</t>
  </si>
  <si>
    <t>McKinney</t>
  </si>
  <si>
    <t>CountyLine</t>
  </si>
  <si>
    <t>BearTrap</t>
  </si>
  <si>
    <t>Donnell</t>
  </si>
  <si>
    <t>WilliamsFlat</t>
  </si>
  <si>
    <t>Delta</t>
  </si>
  <si>
    <t>Walker</t>
  </si>
  <si>
    <t>Mesa</t>
  </si>
  <si>
    <t>Sarpy</t>
  </si>
  <si>
    <t>BullDraw</t>
  </si>
  <si>
    <t>Mescal</t>
  </si>
  <si>
    <t>Dome</t>
  </si>
  <si>
    <t>TrailCrk</t>
  </si>
  <si>
    <t>Ryan</t>
  </si>
  <si>
    <t>Brattain</t>
  </si>
  <si>
    <t>NenaSprings</t>
  </si>
  <si>
    <t>Lava</t>
  </si>
  <si>
    <t>BeaverCrk</t>
  </si>
  <si>
    <t>As</t>
  </si>
  <si>
    <t>Juniper</t>
  </si>
  <si>
    <t>JollyMtn</t>
  </si>
  <si>
    <t>BlackPine</t>
  </si>
  <si>
    <t>Butte</t>
  </si>
  <si>
    <t>CinderButte</t>
  </si>
  <si>
    <t>Burro</t>
  </si>
  <si>
    <t>Zogg</t>
  </si>
  <si>
    <t>PoleCrk</t>
  </si>
  <si>
    <t>BlackRock</t>
  </si>
  <si>
    <t>WatsonCrk</t>
  </si>
  <si>
    <t>HighPark</t>
  </si>
  <si>
    <t>Chimney</t>
  </si>
  <si>
    <t>Name</t>
  </si>
  <si>
    <t>As_growth</t>
  </si>
  <si>
    <t>fire_ID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</si>
</sst>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79E5-37F6-4AA4-98EF-8850B8540B0D}">
  <dimension ref="A1:AQ1072"/>
  <sheetViews>
    <sheetView tabSelected="1" zoomScale="78" zoomScaleNormal="85" workbookViewId="0">
      <pane ySplit="1" topLeftCell="A514" activePane="bottomLeft" state="frozen"/>
      <selection pane="bottomLeft" activeCell="A525" sqref="A525:A542"/>
    </sheetView>
  </sheetViews>
  <sheetFormatPr defaultRowHeight="15" x14ac:dyDescent="0.25"/>
  <cols>
    <col min="2" max="2" width="14.140625" customWidth="1"/>
    <col min="3" max="3" width="10.42578125" customWidth="1"/>
    <col min="5" max="5" width="13.5703125" customWidth="1"/>
    <col min="6" max="6" width="13.5703125" hidden="1" customWidth="1"/>
    <col min="9" max="9" width="11.42578125" bestFit="1" customWidth="1"/>
    <col min="10" max="10" width="10.28515625" customWidth="1"/>
    <col min="11" max="11" width="14.42578125" customWidth="1"/>
  </cols>
  <sheetData>
    <row r="1" spans="1:43" x14ac:dyDescent="0.25">
      <c r="A1" t="s">
        <v>91</v>
      </c>
      <c r="B1" t="s">
        <v>89</v>
      </c>
      <c r="C1" t="s">
        <v>0</v>
      </c>
      <c r="D1" t="s">
        <v>1</v>
      </c>
      <c r="E1" t="s">
        <v>2</v>
      </c>
      <c r="G1" t="s">
        <v>3</v>
      </c>
      <c r="H1" t="s">
        <v>4</v>
      </c>
      <c r="I1" t="s">
        <v>5</v>
      </c>
      <c r="J1" t="s">
        <v>6</v>
      </c>
      <c r="K1" t="s">
        <v>90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</row>
    <row r="2" spans="1:43" x14ac:dyDescent="0.25">
      <c r="A2">
        <v>-1</v>
      </c>
      <c r="B2" t="s">
        <v>39</v>
      </c>
      <c r="C2">
        <v>45.302</v>
      </c>
      <c r="D2">
        <f>229.467-360</f>
        <v>-130.53299999999999</v>
      </c>
      <c r="E2">
        <v>20170708</v>
      </c>
      <c r="F2">
        <v>20170617</v>
      </c>
      <c r="G2">
        <v>457</v>
      </c>
      <c r="H2">
        <v>1</v>
      </c>
      <c r="I2">
        <v>0.71</v>
      </c>
      <c r="J2">
        <v>457</v>
      </c>
      <c r="K2">
        <v>0.08</v>
      </c>
      <c r="L2">
        <v>35.64</v>
      </c>
      <c r="M2">
        <v>14.2</v>
      </c>
      <c r="N2">
        <v>4.0599999999999996</v>
      </c>
      <c r="O2">
        <v>25</v>
      </c>
      <c r="P2">
        <v>4762</v>
      </c>
      <c r="Q2">
        <v>19345</v>
      </c>
      <c r="R2">
        <v>5.14</v>
      </c>
      <c r="S2">
        <v>4435</v>
      </c>
      <c r="T2">
        <v>22798</v>
      </c>
      <c r="U2">
        <v>5.52</v>
      </c>
      <c r="V2">
        <v>4700</v>
      </c>
      <c r="W2">
        <v>25926</v>
      </c>
      <c r="X2">
        <v>-999</v>
      </c>
      <c r="Y2">
        <v>-999</v>
      </c>
      <c r="Z2">
        <v>-999</v>
      </c>
      <c r="AA2">
        <v>-999</v>
      </c>
      <c r="AB2">
        <v>16.399999999999999</v>
      </c>
      <c r="AC2">
        <v>28.3</v>
      </c>
      <c r="AD2">
        <v>3</v>
      </c>
      <c r="AE2">
        <v>3</v>
      </c>
      <c r="AF2">
        <v>21.7</v>
      </c>
      <c r="AG2">
        <v>16.8</v>
      </c>
      <c r="AH2">
        <v>2</v>
      </c>
      <c r="AI2">
        <v>2</v>
      </c>
      <c r="AJ2">
        <v>4</v>
      </c>
      <c r="AK2">
        <v>1.86</v>
      </c>
      <c r="AL2">
        <v>3.61</v>
      </c>
      <c r="AM2">
        <v>2.97</v>
      </c>
      <c r="AN2">
        <v>-4.1100000000000003</v>
      </c>
      <c r="AO2">
        <v>-2.16</v>
      </c>
      <c r="AP2">
        <v>11.68</v>
      </c>
      <c r="AQ2">
        <v>-25.8</v>
      </c>
    </row>
    <row r="3" spans="1:43" x14ac:dyDescent="0.25">
      <c r="A3">
        <v>-1</v>
      </c>
      <c r="B3" t="s">
        <v>39</v>
      </c>
      <c r="C3">
        <v>45.302</v>
      </c>
      <c r="D3">
        <f t="shared" ref="D3:D7" si="0">229.467-360</f>
        <v>-130.53299999999999</v>
      </c>
      <c r="E3">
        <v>20170709</v>
      </c>
      <c r="G3">
        <v>18104</v>
      </c>
      <c r="H3">
        <v>2</v>
      </c>
      <c r="I3">
        <v>3.74</v>
      </c>
      <c r="J3">
        <v>17647</v>
      </c>
      <c r="K3">
        <v>3.21</v>
      </c>
      <c r="L3">
        <v>34.950000000000003</v>
      </c>
      <c r="M3">
        <v>18.600000000000001</v>
      </c>
      <c r="N3">
        <v>3.18</v>
      </c>
      <c r="O3">
        <v>18</v>
      </c>
      <c r="P3">
        <v>4357</v>
      </c>
      <c r="Q3">
        <v>13840</v>
      </c>
      <c r="R3">
        <v>3.57</v>
      </c>
      <c r="S3">
        <v>4193</v>
      </c>
      <c r="T3">
        <v>14974</v>
      </c>
      <c r="U3">
        <v>3.7</v>
      </c>
      <c r="V3">
        <v>4300</v>
      </c>
      <c r="W3">
        <v>15923</v>
      </c>
      <c r="X3">
        <v>-999</v>
      </c>
      <c r="Y3">
        <v>-999</v>
      </c>
      <c r="Z3">
        <v>-999</v>
      </c>
      <c r="AA3">
        <v>-999</v>
      </c>
      <c r="AB3">
        <v>16.29</v>
      </c>
      <c r="AC3">
        <v>24.78</v>
      </c>
      <c r="AD3">
        <v>3</v>
      </c>
      <c r="AE3">
        <v>3</v>
      </c>
      <c r="AF3">
        <v>22.62</v>
      </c>
      <c r="AG3">
        <v>12.71</v>
      </c>
      <c r="AH3">
        <v>3</v>
      </c>
      <c r="AI3">
        <v>1</v>
      </c>
      <c r="AJ3">
        <v>4</v>
      </c>
      <c r="AK3">
        <v>0.56000000000000005</v>
      </c>
      <c r="AL3">
        <v>-3.13</v>
      </c>
      <c r="AM3">
        <v>0.81</v>
      </c>
      <c r="AN3">
        <v>7.57</v>
      </c>
      <c r="AO3">
        <v>-0.08</v>
      </c>
      <c r="AP3">
        <v>-14.09</v>
      </c>
      <c r="AQ3">
        <v>10.79</v>
      </c>
    </row>
    <row r="4" spans="1:43" x14ac:dyDescent="0.25">
      <c r="A4">
        <v>-1</v>
      </c>
      <c r="B4" t="s">
        <v>39</v>
      </c>
      <c r="C4">
        <v>45.302</v>
      </c>
      <c r="D4">
        <f t="shared" si="0"/>
        <v>-130.53299999999999</v>
      </c>
      <c r="E4">
        <v>20170710</v>
      </c>
      <c r="G4">
        <v>23587</v>
      </c>
      <c r="H4">
        <v>3</v>
      </c>
      <c r="I4">
        <v>0.63</v>
      </c>
      <c r="J4">
        <v>5483</v>
      </c>
      <c r="K4">
        <v>1</v>
      </c>
      <c r="L4">
        <v>33.19</v>
      </c>
      <c r="M4">
        <v>22.7</v>
      </c>
      <c r="N4">
        <v>3.22</v>
      </c>
      <c r="O4">
        <v>18</v>
      </c>
      <c r="P4">
        <v>3771</v>
      </c>
      <c r="Q4">
        <v>12154</v>
      </c>
      <c r="R4">
        <v>3.52</v>
      </c>
      <c r="S4">
        <v>3763</v>
      </c>
      <c r="T4">
        <v>13245</v>
      </c>
      <c r="U4">
        <v>3.62</v>
      </c>
      <c r="V4">
        <v>3765</v>
      </c>
      <c r="W4">
        <v>13637</v>
      </c>
      <c r="X4">
        <v>-999</v>
      </c>
      <c r="Y4">
        <v>-999</v>
      </c>
      <c r="Z4">
        <v>-999</v>
      </c>
      <c r="AA4">
        <v>-999</v>
      </c>
      <c r="AB4">
        <v>15.56</v>
      </c>
      <c r="AC4">
        <v>22.68</v>
      </c>
      <c r="AD4">
        <v>3</v>
      </c>
      <c r="AE4">
        <v>3</v>
      </c>
      <c r="AF4">
        <v>22.64</v>
      </c>
      <c r="AG4">
        <v>12.68</v>
      </c>
      <c r="AH4">
        <v>3</v>
      </c>
      <c r="AI4">
        <v>1</v>
      </c>
      <c r="AJ4">
        <v>4</v>
      </c>
      <c r="AK4">
        <v>3.17</v>
      </c>
      <c r="AL4">
        <v>-0.59</v>
      </c>
      <c r="AM4">
        <v>0.73</v>
      </c>
      <c r="AN4">
        <v>-6.52</v>
      </c>
      <c r="AO4">
        <v>4.2699999999999996</v>
      </c>
      <c r="AP4">
        <v>5.07</v>
      </c>
      <c r="AQ4">
        <v>-31.52</v>
      </c>
    </row>
    <row r="5" spans="1:43" x14ac:dyDescent="0.25">
      <c r="A5">
        <v>-1</v>
      </c>
      <c r="B5" t="s">
        <v>39</v>
      </c>
      <c r="C5">
        <v>45.302</v>
      </c>
      <c r="D5">
        <f t="shared" si="0"/>
        <v>-130.53299999999999</v>
      </c>
      <c r="E5">
        <v>20170711</v>
      </c>
      <c r="G5">
        <v>31299</v>
      </c>
      <c r="H5">
        <v>4</v>
      </c>
      <c r="I5">
        <v>0.77</v>
      </c>
      <c r="J5">
        <v>7712</v>
      </c>
      <c r="K5">
        <v>1.4</v>
      </c>
      <c r="L5">
        <v>28.94</v>
      </c>
      <c r="M5">
        <v>34.6</v>
      </c>
      <c r="N5">
        <v>5.4</v>
      </c>
      <c r="O5">
        <v>25</v>
      </c>
      <c r="P5">
        <v>2533</v>
      </c>
      <c r="Q5">
        <v>13683</v>
      </c>
      <c r="R5">
        <v>5.81</v>
      </c>
      <c r="S5">
        <v>2282</v>
      </c>
      <c r="T5">
        <v>13247</v>
      </c>
      <c r="U5">
        <v>5.96</v>
      </c>
      <c r="V5">
        <v>2500</v>
      </c>
      <c r="W5">
        <v>14898</v>
      </c>
      <c r="X5">
        <v>-999</v>
      </c>
      <c r="Y5">
        <v>-999</v>
      </c>
      <c r="Z5">
        <v>-999</v>
      </c>
      <c r="AA5">
        <v>-999</v>
      </c>
      <c r="AB5">
        <v>14.96</v>
      </c>
      <c r="AC5">
        <v>13.33</v>
      </c>
      <c r="AD5">
        <v>3</v>
      </c>
      <c r="AE5">
        <v>3</v>
      </c>
      <c r="AF5">
        <v>18.2</v>
      </c>
      <c r="AG5">
        <v>4.18</v>
      </c>
      <c r="AH5">
        <v>2</v>
      </c>
      <c r="AI5">
        <v>1</v>
      </c>
      <c r="AJ5">
        <v>3</v>
      </c>
      <c r="AK5">
        <v>-0.76</v>
      </c>
      <c r="AL5">
        <v>-5.35</v>
      </c>
      <c r="AM5">
        <v>4.99</v>
      </c>
      <c r="AN5">
        <v>-1.45</v>
      </c>
      <c r="AO5">
        <v>-3.7</v>
      </c>
      <c r="AP5">
        <v>-5.45</v>
      </c>
      <c r="AQ5">
        <v>32.58</v>
      </c>
    </row>
    <row r="6" spans="1:43" x14ac:dyDescent="0.25">
      <c r="A6">
        <v>-1</v>
      </c>
      <c r="B6" t="s">
        <v>39</v>
      </c>
      <c r="C6">
        <v>45.302</v>
      </c>
      <c r="D6">
        <f t="shared" si="0"/>
        <v>-130.53299999999999</v>
      </c>
      <c r="E6">
        <v>20170712</v>
      </c>
      <c r="G6">
        <v>32293</v>
      </c>
      <c r="H6">
        <v>5</v>
      </c>
      <c r="I6">
        <v>0.09</v>
      </c>
      <c r="J6">
        <v>994</v>
      </c>
      <c r="K6">
        <v>0.18</v>
      </c>
      <c r="L6">
        <v>29.45</v>
      </c>
      <c r="M6">
        <v>36.9</v>
      </c>
      <c r="N6">
        <v>4.0199999999999996</v>
      </c>
      <c r="O6">
        <v>19</v>
      </c>
      <c r="P6">
        <v>2518</v>
      </c>
      <c r="Q6">
        <v>10133</v>
      </c>
      <c r="R6">
        <v>4.8600000000000003</v>
      </c>
      <c r="S6">
        <v>2310</v>
      </c>
      <c r="T6">
        <v>11216</v>
      </c>
      <c r="U6">
        <v>5.18</v>
      </c>
      <c r="V6">
        <v>2485</v>
      </c>
      <c r="W6">
        <v>12882</v>
      </c>
      <c r="X6">
        <v>-999</v>
      </c>
      <c r="Y6">
        <v>-999</v>
      </c>
      <c r="Z6">
        <v>-999</v>
      </c>
      <c r="AA6">
        <v>-999</v>
      </c>
      <c r="AB6">
        <v>15.03</v>
      </c>
      <c r="AC6">
        <v>12.56</v>
      </c>
      <c r="AD6">
        <v>3</v>
      </c>
      <c r="AE6">
        <v>2</v>
      </c>
      <c r="AF6">
        <v>18</v>
      </c>
      <c r="AG6">
        <v>2.9</v>
      </c>
      <c r="AH6">
        <v>1</v>
      </c>
      <c r="AI6">
        <v>1</v>
      </c>
      <c r="AJ6">
        <v>2</v>
      </c>
      <c r="AK6">
        <v>-3.91</v>
      </c>
      <c r="AL6">
        <v>-0.96</v>
      </c>
      <c r="AM6">
        <v>1.3</v>
      </c>
      <c r="AN6">
        <v>-6.9</v>
      </c>
      <c r="AO6">
        <v>-7.17</v>
      </c>
      <c r="AP6">
        <v>6.27</v>
      </c>
      <c r="AQ6">
        <v>41.38</v>
      </c>
    </row>
    <row r="7" spans="1:43" x14ac:dyDescent="0.25">
      <c r="A7">
        <v>-1</v>
      </c>
      <c r="B7" t="s">
        <v>39</v>
      </c>
      <c r="C7">
        <v>45.302</v>
      </c>
      <c r="D7">
        <f t="shared" si="0"/>
        <v>-130.53299999999999</v>
      </c>
      <c r="E7">
        <v>20170713</v>
      </c>
      <c r="G7">
        <v>32944</v>
      </c>
      <c r="H7">
        <v>6</v>
      </c>
      <c r="I7">
        <v>0.06</v>
      </c>
      <c r="J7">
        <v>651</v>
      </c>
      <c r="K7">
        <v>0.12</v>
      </c>
      <c r="L7">
        <v>35.07</v>
      </c>
      <c r="M7">
        <v>21.5</v>
      </c>
      <c r="N7">
        <v>2.2000000000000002</v>
      </c>
      <c r="O7">
        <v>12</v>
      </c>
      <c r="P7">
        <v>4226</v>
      </c>
      <c r="Q7">
        <v>9288</v>
      </c>
      <c r="R7">
        <v>2.79</v>
      </c>
      <c r="S7">
        <v>3924</v>
      </c>
      <c r="T7">
        <v>10967</v>
      </c>
      <c r="U7">
        <v>2.98</v>
      </c>
      <c r="V7">
        <v>4170</v>
      </c>
      <c r="W7">
        <v>12412</v>
      </c>
      <c r="X7">
        <v>-999</v>
      </c>
      <c r="Y7">
        <v>-999</v>
      </c>
      <c r="Z7">
        <v>-999</v>
      </c>
      <c r="AA7">
        <v>-999</v>
      </c>
      <c r="AB7">
        <v>16.27</v>
      </c>
      <c r="AC7">
        <v>22.07</v>
      </c>
      <c r="AD7">
        <v>3</v>
      </c>
      <c r="AE7">
        <v>3</v>
      </c>
      <c r="AF7">
        <v>20.6</v>
      </c>
      <c r="AG7">
        <v>9.6199999999999992</v>
      </c>
      <c r="AH7">
        <v>2</v>
      </c>
      <c r="AI7">
        <v>1</v>
      </c>
      <c r="AJ7">
        <v>3</v>
      </c>
      <c r="AK7">
        <v>-1.53</v>
      </c>
      <c r="AL7">
        <v>1.58</v>
      </c>
      <c r="AM7">
        <v>-5.88</v>
      </c>
      <c r="AN7">
        <v>-0.63</v>
      </c>
      <c r="AO7">
        <v>2.2400000000000002</v>
      </c>
      <c r="AP7">
        <v>3.25</v>
      </c>
      <c r="AQ7">
        <v>17.71</v>
      </c>
    </row>
    <row r="9" spans="1:43" x14ac:dyDescent="0.25">
      <c r="A9">
        <v>-2</v>
      </c>
      <c r="B9" t="s">
        <v>40</v>
      </c>
      <c r="C9">
        <v>36.040999999999997</v>
      </c>
      <c r="D9">
        <f>238.545-360</f>
        <v>-121.45500000000001</v>
      </c>
      <c r="E9">
        <v>20080608</v>
      </c>
      <c r="F9">
        <v>20080518</v>
      </c>
      <c r="H9">
        <v>1</v>
      </c>
      <c r="I9">
        <v>0</v>
      </c>
      <c r="K9">
        <v>0</v>
      </c>
      <c r="L9">
        <v>31.32</v>
      </c>
      <c r="M9">
        <v>13</v>
      </c>
      <c r="N9">
        <v>3.91</v>
      </c>
      <c r="O9">
        <v>24</v>
      </c>
      <c r="P9">
        <v>3851</v>
      </c>
      <c r="Q9">
        <v>15068</v>
      </c>
      <c r="R9">
        <v>4.07</v>
      </c>
      <c r="S9">
        <v>3401</v>
      </c>
      <c r="T9">
        <v>13827</v>
      </c>
      <c r="U9">
        <v>4.59</v>
      </c>
      <c r="V9">
        <v>3800</v>
      </c>
      <c r="W9">
        <v>17427</v>
      </c>
      <c r="X9">
        <v>-999</v>
      </c>
      <c r="Y9">
        <v>-999</v>
      </c>
      <c r="Z9">
        <v>-999</v>
      </c>
      <c r="AA9">
        <v>-999</v>
      </c>
      <c r="AB9">
        <v>10.3</v>
      </c>
      <c r="AC9">
        <v>21.26</v>
      </c>
      <c r="AD9">
        <v>2</v>
      </c>
      <c r="AE9">
        <v>3</v>
      </c>
      <c r="AF9">
        <v>15.03</v>
      </c>
      <c r="AG9">
        <v>25.47</v>
      </c>
      <c r="AH9">
        <v>1</v>
      </c>
      <c r="AI9">
        <v>3</v>
      </c>
      <c r="AJ9">
        <v>4</v>
      </c>
      <c r="AK9">
        <v>-0.04</v>
      </c>
      <c r="AL9">
        <v>-3.91</v>
      </c>
      <c r="AM9">
        <v>-0.76</v>
      </c>
      <c r="AN9">
        <v>-8.56</v>
      </c>
      <c r="AO9">
        <v>-0.89</v>
      </c>
      <c r="AP9">
        <v>2.39</v>
      </c>
      <c r="AQ9">
        <v>9.41</v>
      </c>
    </row>
    <row r="10" spans="1:43" x14ac:dyDescent="0.25">
      <c r="A10">
        <v>-2</v>
      </c>
      <c r="B10" t="s">
        <v>40</v>
      </c>
      <c r="C10">
        <v>36.040999999999997</v>
      </c>
      <c r="D10">
        <f t="shared" ref="D10:D37" si="1">238.545-360</f>
        <v>-121.45500000000001</v>
      </c>
      <c r="E10">
        <v>20080609</v>
      </c>
      <c r="G10">
        <v>950</v>
      </c>
      <c r="H10">
        <v>2</v>
      </c>
      <c r="I10">
        <v>3.48</v>
      </c>
      <c r="J10">
        <v>950</v>
      </c>
      <c r="K10">
        <v>0.42</v>
      </c>
      <c r="L10">
        <v>34.25</v>
      </c>
      <c r="M10">
        <v>11</v>
      </c>
      <c r="N10">
        <v>2.82</v>
      </c>
      <c r="O10">
        <v>18</v>
      </c>
      <c r="P10">
        <v>4607</v>
      </c>
      <c r="Q10">
        <v>12969</v>
      </c>
      <c r="R10">
        <v>3.36</v>
      </c>
      <c r="S10">
        <v>4028</v>
      </c>
      <c r="T10">
        <v>13531</v>
      </c>
      <c r="U10">
        <v>3.69</v>
      </c>
      <c r="V10">
        <v>4546</v>
      </c>
      <c r="W10">
        <v>16791</v>
      </c>
      <c r="X10">
        <v>-999</v>
      </c>
      <c r="Y10">
        <v>-999</v>
      </c>
      <c r="Z10">
        <v>-999</v>
      </c>
      <c r="AA10">
        <v>-999</v>
      </c>
      <c r="AB10">
        <v>11.27</v>
      </c>
      <c r="AC10">
        <v>24.78</v>
      </c>
      <c r="AD10">
        <v>3</v>
      </c>
      <c r="AE10">
        <v>3</v>
      </c>
      <c r="AF10">
        <v>17.149999999999999</v>
      </c>
      <c r="AG10">
        <v>29.39</v>
      </c>
      <c r="AH10">
        <v>1</v>
      </c>
      <c r="AI10">
        <v>3</v>
      </c>
      <c r="AJ10">
        <v>4</v>
      </c>
      <c r="AK10">
        <v>1.87</v>
      </c>
      <c r="AL10">
        <v>-2.1</v>
      </c>
      <c r="AM10">
        <v>-1.65</v>
      </c>
      <c r="AN10">
        <v>-6.17</v>
      </c>
      <c r="AO10">
        <v>2.58</v>
      </c>
      <c r="AP10">
        <v>3.4</v>
      </c>
      <c r="AQ10">
        <v>-10.32</v>
      </c>
    </row>
    <row r="11" spans="1:43" x14ac:dyDescent="0.25">
      <c r="A11">
        <v>-2</v>
      </c>
      <c r="B11" t="s">
        <v>40</v>
      </c>
      <c r="C11">
        <v>36.040999999999997</v>
      </c>
      <c r="D11">
        <f t="shared" si="1"/>
        <v>-121.45500000000001</v>
      </c>
      <c r="E11">
        <v>20080610</v>
      </c>
      <c r="G11">
        <v>4631</v>
      </c>
      <c r="H11">
        <v>3</v>
      </c>
      <c r="I11">
        <v>4.21</v>
      </c>
      <c r="J11">
        <v>3681</v>
      </c>
      <c r="K11">
        <v>1.62</v>
      </c>
      <c r="L11">
        <v>30.24</v>
      </c>
      <c r="M11">
        <v>7</v>
      </c>
      <c r="N11">
        <v>6.61</v>
      </c>
      <c r="O11">
        <v>44</v>
      </c>
      <c r="P11">
        <v>3880</v>
      </c>
      <c r="Q11">
        <v>25632</v>
      </c>
      <c r="R11">
        <v>6.76</v>
      </c>
      <c r="S11">
        <v>3432</v>
      </c>
      <c r="T11">
        <v>23205</v>
      </c>
      <c r="U11">
        <v>6.97</v>
      </c>
      <c r="V11">
        <v>3829</v>
      </c>
      <c r="W11">
        <v>26695</v>
      </c>
      <c r="X11">
        <v>-999</v>
      </c>
      <c r="Y11">
        <v>-999</v>
      </c>
      <c r="Z11">
        <v>-999</v>
      </c>
      <c r="AA11">
        <v>-999</v>
      </c>
      <c r="AB11">
        <v>10.69</v>
      </c>
      <c r="AC11">
        <v>35.090000000000003</v>
      </c>
      <c r="AD11">
        <v>2</v>
      </c>
      <c r="AE11">
        <v>3</v>
      </c>
      <c r="AF11">
        <v>15.88</v>
      </c>
      <c r="AG11">
        <v>39.869999999999997</v>
      </c>
      <c r="AH11">
        <v>1</v>
      </c>
      <c r="AI11">
        <v>3</v>
      </c>
      <c r="AJ11">
        <v>4</v>
      </c>
      <c r="AK11">
        <v>-0.61</v>
      </c>
      <c r="AL11">
        <v>-6.58</v>
      </c>
      <c r="AM11">
        <v>0.93</v>
      </c>
      <c r="AN11">
        <v>-2.77</v>
      </c>
      <c r="AO11">
        <v>-2.86</v>
      </c>
      <c r="AP11">
        <v>-10.220000000000001</v>
      </c>
      <c r="AQ11">
        <v>17.440000000000001</v>
      </c>
    </row>
    <row r="12" spans="1:43" x14ac:dyDescent="0.25">
      <c r="A12">
        <v>-2</v>
      </c>
      <c r="B12" t="s">
        <v>40</v>
      </c>
      <c r="C12">
        <v>36.040999999999997</v>
      </c>
      <c r="D12">
        <f t="shared" si="1"/>
        <v>-121.45500000000001</v>
      </c>
      <c r="E12">
        <v>20080611</v>
      </c>
      <c r="G12">
        <v>16906</v>
      </c>
      <c r="H12">
        <v>4</v>
      </c>
      <c r="I12">
        <v>7.01</v>
      </c>
      <c r="J12">
        <v>12275</v>
      </c>
      <c r="K12">
        <v>5.41</v>
      </c>
      <c r="L12">
        <v>31.23</v>
      </c>
      <c r="M12">
        <v>7</v>
      </c>
      <c r="N12">
        <v>3.29</v>
      </c>
      <c r="O12">
        <v>22</v>
      </c>
      <c r="P12">
        <v>4097</v>
      </c>
      <c r="Q12">
        <v>13485</v>
      </c>
      <c r="R12">
        <v>2.1</v>
      </c>
      <c r="S12">
        <v>3564</v>
      </c>
      <c r="T12">
        <v>7476</v>
      </c>
      <c r="U12">
        <v>3.29</v>
      </c>
      <c r="V12">
        <v>4043</v>
      </c>
      <c r="W12">
        <v>13309</v>
      </c>
      <c r="X12">
        <v>-999</v>
      </c>
      <c r="Y12">
        <v>-999</v>
      </c>
      <c r="Z12">
        <v>-999</v>
      </c>
      <c r="AA12">
        <v>-999</v>
      </c>
      <c r="AB12">
        <v>8.4</v>
      </c>
      <c r="AC12">
        <v>29.19</v>
      </c>
      <c r="AD12">
        <v>2</v>
      </c>
      <c r="AE12">
        <v>3</v>
      </c>
      <c r="AF12">
        <v>18.45</v>
      </c>
      <c r="AG12">
        <v>33.07</v>
      </c>
      <c r="AH12">
        <v>2</v>
      </c>
      <c r="AI12">
        <v>3</v>
      </c>
      <c r="AJ12">
        <v>5</v>
      </c>
      <c r="AK12">
        <v>0.23</v>
      </c>
      <c r="AL12">
        <v>-3.28</v>
      </c>
      <c r="AM12">
        <v>-1.93</v>
      </c>
      <c r="AN12">
        <v>-12.99</v>
      </c>
      <c r="AO12">
        <v>2.1800000000000002</v>
      </c>
      <c r="AP12">
        <v>6.28</v>
      </c>
      <c r="AQ12">
        <v>-16.22</v>
      </c>
    </row>
    <row r="13" spans="1:43" x14ac:dyDescent="0.25">
      <c r="A13">
        <v>-2</v>
      </c>
      <c r="B13" t="s">
        <v>40</v>
      </c>
      <c r="C13">
        <v>36.040999999999997</v>
      </c>
      <c r="D13">
        <f t="shared" si="1"/>
        <v>-121.45500000000001</v>
      </c>
      <c r="E13">
        <v>20080612</v>
      </c>
      <c r="G13">
        <v>18640</v>
      </c>
      <c r="H13">
        <v>5</v>
      </c>
      <c r="I13">
        <v>0.74</v>
      </c>
      <c r="J13">
        <v>1734</v>
      </c>
      <c r="K13">
        <v>0.76</v>
      </c>
      <c r="L13">
        <v>32.1</v>
      </c>
      <c r="M13">
        <v>11</v>
      </c>
      <c r="N13">
        <v>1.41</v>
      </c>
      <c r="O13">
        <v>9</v>
      </c>
      <c r="P13">
        <v>4109</v>
      </c>
      <c r="Q13">
        <v>5810</v>
      </c>
      <c r="R13">
        <v>1.36</v>
      </c>
      <c r="S13">
        <v>3629</v>
      </c>
      <c r="T13">
        <v>4926</v>
      </c>
      <c r="U13">
        <v>1.47</v>
      </c>
      <c r="V13">
        <v>4056</v>
      </c>
      <c r="W13">
        <v>5980</v>
      </c>
      <c r="X13">
        <v>-999</v>
      </c>
      <c r="Y13">
        <v>-999</v>
      </c>
      <c r="Z13">
        <v>-999</v>
      </c>
      <c r="AA13">
        <v>-999</v>
      </c>
      <c r="AB13">
        <v>8.7799999999999994</v>
      </c>
      <c r="AC13">
        <v>23.77</v>
      </c>
      <c r="AD13">
        <v>2</v>
      </c>
      <c r="AE13">
        <v>3</v>
      </c>
      <c r="AF13">
        <v>19.8</v>
      </c>
      <c r="AG13">
        <v>31.88</v>
      </c>
      <c r="AH13">
        <v>2</v>
      </c>
      <c r="AI13">
        <v>3</v>
      </c>
      <c r="AJ13">
        <v>5</v>
      </c>
      <c r="AK13">
        <v>0.61</v>
      </c>
      <c r="AL13">
        <v>-1.27</v>
      </c>
      <c r="AM13">
        <v>0.25</v>
      </c>
      <c r="AN13">
        <v>-6.72</v>
      </c>
      <c r="AO13">
        <v>0.78</v>
      </c>
      <c r="AP13">
        <v>5.89</v>
      </c>
      <c r="AQ13">
        <v>-6.71</v>
      </c>
    </row>
    <row r="14" spans="1:43" x14ac:dyDescent="0.25">
      <c r="A14">
        <v>-2</v>
      </c>
      <c r="B14" t="s">
        <v>40</v>
      </c>
      <c r="C14">
        <v>36.040999999999997</v>
      </c>
      <c r="D14">
        <f t="shared" si="1"/>
        <v>-121.45500000000001</v>
      </c>
      <c r="E14">
        <v>20080613</v>
      </c>
      <c r="G14">
        <v>24818</v>
      </c>
      <c r="H14">
        <v>6</v>
      </c>
      <c r="I14">
        <v>2.38</v>
      </c>
      <c r="J14">
        <v>6178</v>
      </c>
      <c r="K14">
        <v>2.72</v>
      </c>
      <c r="L14">
        <v>30.19</v>
      </c>
      <c r="M14">
        <v>34</v>
      </c>
      <c r="N14">
        <v>3.33</v>
      </c>
      <c r="O14">
        <v>16</v>
      </c>
      <c r="P14">
        <v>2748</v>
      </c>
      <c r="Q14">
        <v>9139</v>
      </c>
      <c r="R14">
        <v>3.18</v>
      </c>
      <c r="S14">
        <v>2673</v>
      </c>
      <c r="T14">
        <v>8507</v>
      </c>
      <c r="U14">
        <v>3.33</v>
      </c>
      <c r="V14">
        <v>2747</v>
      </c>
      <c r="W14">
        <v>9134</v>
      </c>
      <c r="X14">
        <v>-999</v>
      </c>
      <c r="Y14">
        <v>-999</v>
      </c>
      <c r="Z14">
        <v>-999</v>
      </c>
      <c r="AA14">
        <v>-999</v>
      </c>
      <c r="AB14">
        <v>10.6</v>
      </c>
      <c r="AC14">
        <v>21.88</v>
      </c>
      <c r="AD14">
        <v>2</v>
      </c>
      <c r="AE14">
        <v>3</v>
      </c>
      <c r="AF14">
        <v>18.829999999999998</v>
      </c>
      <c r="AG14">
        <v>43.28</v>
      </c>
      <c r="AH14">
        <v>2</v>
      </c>
      <c r="AI14">
        <v>3</v>
      </c>
      <c r="AJ14">
        <v>5</v>
      </c>
      <c r="AK14">
        <v>3.17</v>
      </c>
      <c r="AL14">
        <v>1.01</v>
      </c>
      <c r="AM14">
        <v>1.03</v>
      </c>
      <c r="AN14">
        <v>-0.83</v>
      </c>
      <c r="AO14">
        <v>1.58</v>
      </c>
      <c r="AP14">
        <v>2.2599999999999998</v>
      </c>
      <c r="AQ14">
        <v>-3.63</v>
      </c>
    </row>
    <row r="15" spans="1:43" x14ac:dyDescent="0.25">
      <c r="A15">
        <v>-2</v>
      </c>
      <c r="B15" t="s">
        <v>40</v>
      </c>
      <c r="C15">
        <v>36.040999999999997</v>
      </c>
      <c r="D15">
        <f t="shared" si="1"/>
        <v>-121.45500000000001</v>
      </c>
      <c r="E15">
        <v>20080614</v>
      </c>
      <c r="G15">
        <v>33085</v>
      </c>
      <c r="H15">
        <v>7</v>
      </c>
      <c r="I15">
        <v>2.75</v>
      </c>
      <c r="J15">
        <v>8267</v>
      </c>
      <c r="K15">
        <v>3.64</v>
      </c>
      <c r="L15">
        <v>31.05</v>
      </c>
      <c r="M15">
        <v>21</v>
      </c>
      <c r="N15">
        <v>2.39</v>
      </c>
      <c r="O15">
        <v>13</v>
      </c>
      <c r="P15">
        <v>3447</v>
      </c>
      <c r="Q15">
        <v>8247</v>
      </c>
      <c r="R15">
        <v>1.87</v>
      </c>
      <c r="S15">
        <v>2885</v>
      </c>
      <c r="T15">
        <v>5388</v>
      </c>
      <c r="U15">
        <v>2.39</v>
      </c>
      <c r="V15">
        <v>3402</v>
      </c>
      <c r="W15">
        <v>8139</v>
      </c>
      <c r="X15">
        <v>-999</v>
      </c>
      <c r="Y15">
        <v>-999</v>
      </c>
      <c r="Z15">
        <v>-999</v>
      </c>
      <c r="AA15">
        <v>-999</v>
      </c>
      <c r="AB15">
        <v>10.039999999999999</v>
      </c>
      <c r="AC15">
        <v>20.04</v>
      </c>
      <c r="AD15">
        <v>2</v>
      </c>
      <c r="AE15">
        <v>3</v>
      </c>
      <c r="AF15">
        <v>18.309999999999999</v>
      </c>
      <c r="AG15">
        <v>32.659999999999997</v>
      </c>
      <c r="AH15">
        <v>2</v>
      </c>
      <c r="AI15">
        <v>3</v>
      </c>
      <c r="AJ15">
        <v>5</v>
      </c>
      <c r="AK15">
        <v>2.37</v>
      </c>
      <c r="AL15">
        <v>0.33</v>
      </c>
      <c r="AM15">
        <v>2.61</v>
      </c>
      <c r="AN15">
        <v>1.44</v>
      </c>
      <c r="AO15">
        <v>0.33</v>
      </c>
      <c r="AP15">
        <v>-1.48</v>
      </c>
      <c r="AQ15">
        <v>4.33</v>
      </c>
    </row>
    <row r="16" spans="1:43" x14ac:dyDescent="0.25">
      <c r="A16">
        <v>-2</v>
      </c>
      <c r="B16" t="s">
        <v>40</v>
      </c>
      <c r="C16">
        <v>36.040999999999997</v>
      </c>
      <c r="D16">
        <f t="shared" si="1"/>
        <v>-121.45500000000001</v>
      </c>
      <c r="E16">
        <v>20080615</v>
      </c>
      <c r="G16">
        <v>33305</v>
      </c>
      <c r="H16">
        <v>8</v>
      </c>
      <c r="I16">
        <v>7.0000000000000007E-2</v>
      </c>
      <c r="J16">
        <v>220</v>
      </c>
      <c r="K16">
        <v>0.1</v>
      </c>
      <c r="L16">
        <v>33.4</v>
      </c>
      <c r="M16">
        <v>17</v>
      </c>
      <c r="N16">
        <v>2.67</v>
      </c>
      <c r="O16">
        <v>16</v>
      </c>
      <c r="P16">
        <v>4108</v>
      </c>
      <c r="Q16">
        <v>10949</v>
      </c>
      <c r="R16">
        <v>1.86</v>
      </c>
      <c r="S16">
        <v>3256</v>
      </c>
      <c r="T16">
        <v>6071</v>
      </c>
      <c r="U16">
        <v>2.67</v>
      </c>
      <c r="V16">
        <v>4054</v>
      </c>
      <c r="W16">
        <v>10806</v>
      </c>
      <c r="X16">
        <v>-999</v>
      </c>
      <c r="Y16">
        <v>-999</v>
      </c>
      <c r="Z16">
        <v>-999</v>
      </c>
      <c r="AA16">
        <v>-999</v>
      </c>
      <c r="AB16">
        <v>11.04</v>
      </c>
      <c r="AC16">
        <v>18.87</v>
      </c>
      <c r="AD16">
        <v>3</v>
      </c>
      <c r="AE16">
        <v>3</v>
      </c>
      <c r="AF16">
        <v>20.89</v>
      </c>
      <c r="AG16">
        <v>28.31</v>
      </c>
      <c r="AH16">
        <v>2</v>
      </c>
      <c r="AI16">
        <v>3</v>
      </c>
      <c r="AJ16">
        <v>5</v>
      </c>
      <c r="AK16">
        <v>0.51</v>
      </c>
      <c r="AL16">
        <v>-2.62</v>
      </c>
      <c r="AM16">
        <v>2.94</v>
      </c>
      <c r="AN16">
        <v>-0.04</v>
      </c>
      <c r="AO16">
        <v>-2.17</v>
      </c>
      <c r="AP16">
        <v>-1.99</v>
      </c>
      <c r="AQ16">
        <v>5.93</v>
      </c>
    </row>
    <row r="17" spans="1:43" x14ac:dyDescent="0.25">
      <c r="A17">
        <v>-2</v>
      </c>
      <c r="B17" t="s">
        <v>40</v>
      </c>
      <c r="C17">
        <v>36.040999999999997</v>
      </c>
      <c r="D17">
        <f t="shared" si="1"/>
        <v>-121.45500000000001</v>
      </c>
      <c r="E17">
        <v>20080616</v>
      </c>
      <c r="G17">
        <v>35339</v>
      </c>
      <c r="H17">
        <v>9</v>
      </c>
      <c r="I17">
        <v>0.62</v>
      </c>
      <c r="J17">
        <v>2034</v>
      </c>
      <c r="K17">
        <v>0.9</v>
      </c>
      <c r="L17">
        <v>32.44</v>
      </c>
      <c r="M17">
        <v>15</v>
      </c>
      <c r="N17">
        <v>3.01</v>
      </c>
      <c r="O17">
        <v>18</v>
      </c>
      <c r="P17">
        <v>3997</v>
      </c>
      <c r="Q17">
        <v>12030</v>
      </c>
      <c r="R17">
        <v>2.69</v>
      </c>
      <c r="S17">
        <v>3248</v>
      </c>
      <c r="T17">
        <v>8745</v>
      </c>
      <c r="U17">
        <v>3.04</v>
      </c>
      <c r="V17">
        <v>3945</v>
      </c>
      <c r="W17">
        <v>11979</v>
      </c>
      <c r="X17">
        <v>-999</v>
      </c>
      <c r="Y17">
        <v>-999</v>
      </c>
      <c r="Z17">
        <v>-999</v>
      </c>
      <c r="AA17">
        <v>-999</v>
      </c>
      <c r="AB17">
        <v>9.59</v>
      </c>
      <c r="AC17">
        <v>21.38</v>
      </c>
      <c r="AD17">
        <v>2</v>
      </c>
      <c r="AE17">
        <v>3</v>
      </c>
      <c r="AF17">
        <v>22.03</v>
      </c>
      <c r="AG17">
        <v>33.15</v>
      </c>
      <c r="AH17">
        <v>3</v>
      </c>
      <c r="AI17">
        <v>3</v>
      </c>
      <c r="AJ17">
        <v>6</v>
      </c>
      <c r="AK17">
        <v>0.45</v>
      </c>
      <c r="AL17">
        <v>-2.97</v>
      </c>
      <c r="AM17">
        <v>0.77</v>
      </c>
      <c r="AN17">
        <v>-2.0299999999999998</v>
      </c>
      <c r="AO17">
        <v>-0.2</v>
      </c>
      <c r="AP17">
        <v>-1.29</v>
      </c>
      <c r="AQ17">
        <v>1.41</v>
      </c>
    </row>
    <row r="18" spans="1:43" x14ac:dyDescent="0.25">
      <c r="A18">
        <v>-2</v>
      </c>
      <c r="B18" t="s">
        <v>40</v>
      </c>
      <c r="C18">
        <v>36.040999999999997</v>
      </c>
      <c r="D18">
        <f t="shared" si="1"/>
        <v>-121.45500000000001</v>
      </c>
      <c r="E18">
        <v>20080617</v>
      </c>
      <c r="G18">
        <v>41689</v>
      </c>
      <c r="H18">
        <v>10</v>
      </c>
      <c r="I18">
        <v>1.83</v>
      </c>
      <c r="J18">
        <v>6350</v>
      </c>
      <c r="K18">
        <v>2.8</v>
      </c>
      <c r="L18">
        <v>34</v>
      </c>
      <c r="M18">
        <v>7</v>
      </c>
      <c r="N18">
        <v>4.63</v>
      </c>
      <c r="O18">
        <v>31</v>
      </c>
      <c r="P18">
        <v>4753</v>
      </c>
      <c r="Q18">
        <v>22013</v>
      </c>
      <c r="R18">
        <v>5.08</v>
      </c>
      <c r="S18">
        <v>4308</v>
      </c>
      <c r="T18">
        <v>21864</v>
      </c>
      <c r="U18">
        <v>5.39</v>
      </c>
      <c r="V18">
        <v>4690</v>
      </c>
      <c r="W18">
        <v>25289</v>
      </c>
      <c r="X18">
        <v>-999</v>
      </c>
      <c r="Y18">
        <v>-999</v>
      </c>
      <c r="Z18">
        <v>-999</v>
      </c>
      <c r="AA18">
        <v>-999</v>
      </c>
      <c r="AB18">
        <v>11.42</v>
      </c>
      <c r="AC18">
        <v>31.85</v>
      </c>
      <c r="AD18">
        <v>3</v>
      </c>
      <c r="AE18">
        <v>3</v>
      </c>
      <c r="AF18">
        <v>21.79</v>
      </c>
      <c r="AG18">
        <v>30.37</v>
      </c>
      <c r="AH18">
        <v>2</v>
      </c>
      <c r="AI18">
        <v>3</v>
      </c>
      <c r="AJ18">
        <v>5</v>
      </c>
      <c r="AK18">
        <v>1.03</v>
      </c>
      <c r="AL18">
        <v>-4.5199999999999996</v>
      </c>
      <c r="AM18">
        <v>0.56999999999999995</v>
      </c>
      <c r="AN18">
        <v>-3.32</v>
      </c>
      <c r="AO18">
        <v>0.01</v>
      </c>
      <c r="AP18">
        <v>-1.33</v>
      </c>
      <c r="AQ18">
        <v>0.73</v>
      </c>
    </row>
    <row r="19" spans="1:43" x14ac:dyDescent="0.25">
      <c r="A19">
        <v>-2</v>
      </c>
      <c r="B19" t="s">
        <v>40</v>
      </c>
      <c r="C19">
        <v>36.040999999999997</v>
      </c>
      <c r="D19">
        <f t="shared" si="1"/>
        <v>-121.45500000000001</v>
      </c>
      <c r="E19">
        <v>20080618</v>
      </c>
      <c r="G19">
        <v>47012</v>
      </c>
      <c r="H19">
        <v>11</v>
      </c>
      <c r="I19">
        <v>1.43</v>
      </c>
      <c r="J19">
        <v>5323</v>
      </c>
      <c r="K19">
        <v>2.35</v>
      </c>
      <c r="L19">
        <v>32.92</v>
      </c>
      <c r="M19">
        <v>7</v>
      </c>
      <c r="N19">
        <v>5.71</v>
      </c>
      <c r="O19">
        <v>38</v>
      </c>
      <c r="P19">
        <v>4488</v>
      </c>
      <c r="Q19">
        <v>25604</v>
      </c>
      <c r="R19">
        <v>6.96</v>
      </c>
      <c r="S19">
        <v>4057</v>
      </c>
      <c r="T19">
        <v>28223</v>
      </c>
      <c r="U19">
        <v>7.73</v>
      </c>
      <c r="V19">
        <v>4429</v>
      </c>
      <c r="W19">
        <v>34231</v>
      </c>
      <c r="X19">
        <v>-999</v>
      </c>
      <c r="Y19">
        <v>-999</v>
      </c>
      <c r="Z19">
        <v>-999</v>
      </c>
      <c r="AA19">
        <v>-999</v>
      </c>
      <c r="AB19">
        <v>11.15</v>
      </c>
      <c r="AC19">
        <v>34.229999999999997</v>
      </c>
      <c r="AD19">
        <v>3</v>
      </c>
      <c r="AE19">
        <v>3</v>
      </c>
      <c r="AF19">
        <v>23.45</v>
      </c>
      <c r="AG19">
        <v>20.81</v>
      </c>
      <c r="AH19">
        <v>3</v>
      </c>
      <c r="AI19">
        <v>2</v>
      </c>
      <c r="AJ19">
        <v>5</v>
      </c>
      <c r="AK19">
        <v>1.18</v>
      </c>
      <c r="AL19">
        <v>-5.58</v>
      </c>
      <c r="AM19">
        <v>0.57999999999999996</v>
      </c>
      <c r="AN19">
        <v>-4.6500000000000004</v>
      </c>
      <c r="AO19">
        <v>0.28999999999999998</v>
      </c>
      <c r="AP19">
        <v>-5.26</v>
      </c>
      <c r="AQ19">
        <v>1.74</v>
      </c>
    </row>
    <row r="20" spans="1:43" x14ac:dyDescent="0.25">
      <c r="A20">
        <v>-2</v>
      </c>
      <c r="B20" t="s">
        <v>40</v>
      </c>
      <c r="C20">
        <v>36.040999999999997</v>
      </c>
      <c r="D20">
        <f t="shared" si="1"/>
        <v>-121.45500000000001</v>
      </c>
      <c r="E20">
        <v>20080619</v>
      </c>
      <c r="G20">
        <v>50099</v>
      </c>
      <c r="H20">
        <v>12</v>
      </c>
      <c r="I20">
        <v>0.79</v>
      </c>
      <c r="J20">
        <v>3087</v>
      </c>
      <c r="K20">
        <v>1.36</v>
      </c>
      <c r="L20">
        <v>37.18</v>
      </c>
      <c r="M20">
        <v>8</v>
      </c>
      <c r="N20">
        <v>3.49</v>
      </c>
      <c r="O20">
        <v>23</v>
      </c>
      <c r="P20">
        <v>5541</v>
      </c>
      <c r="Q20">
        <v>19318</v>
      </c>
      <c r="R20">
        <v>2.44</v>
      </c>
      <c r="S20">
        <v>4965</v>
      </c>
      <c r="T20">
        <v>12120</v>
      </c>
      <c r="U20">
        <v>3.49</v>
      </c>
      <c r="V20">
        <v>5469</v>
      </c>
      <c r="W20">
        <v>19065</v>
      </c>
      <c r="X20">
        <v>-999</v>
      </c>
      <c r="Y20">
        <v>-999</v>
      </c>
      <c r="Z20">
        <v>-999</v>
      </c>
      <c r="AA20">
        <v>-999</v>
      </c>
      <c r="AB20">
        <v>15.13</v>
      </c>
      <c r="AC20">
        <v>29.57</v>
      </c>
      <c r="AD20">
        <v>3</v>
      </c>
      <c r="AE20">
        <v>3</v>
      </c>
      <c r="AF20">
        <v>22.46</v>
      </c>
      <c r="AG20">
        <v>24.08</v>
      </c>
      <c r="AH20">
        <v>3</v>
      </c>
      <c r="AI20">
        <v>3</v>
      </c>
      <c r="AJ20">
        <v>6</v>
      </c>
      <c r="AK20">
        <v>1.3</v>
      </c>
      <c r="AL20">
        <v>-3.24</v>
      </c>
      <c r="AM20">
        <v>0.87</v>
      </c>
      <c r="AN20">
        <v>-9.92</v>
      </c>
      <c r="AO20">
        <v>0.89</v>
      </c>
      <c r="AP20">
        <v>7.09</v>
      </c>
      <c r="AQ20">
        <v>-15.05</v>
      </c>
    </row>
    <row r="21" spans="1:43" x14ac:dyDescent="0.25">
      <c r="A21">
        <v>-2</v>
      </c>
      <c r="B21" t="s">
        <v>40</v>
      </c>
      <c r="C21">
        <v>36.040999999999997</v>
      </c>
      <c r="D21">
        <f t="shared" si="1"/>
        <v>-121.45500000000001</v>
      </c>
      <c r="E21">
        <v>20080620</v>
      </c>
      <c r="G21">
        <v>51125</v>
      </c>
      <c r="H21">
        <v>13</v>
      </c>
      <c r="I21">
        <v>0.26</v>
      </c>
      <c r="J21">
        <v>1026</v>
      </c>
      <c r="K21">
        <v>0.45</v>
      </c>
      <c r="L21">
        <v>38.43</v>
      </c>
      <c r="M21">
        <v>11</v>
      </c>
      <c r="N21">
        <v>3.87</v>
      </c>
      <c r="O21">
        <v>24</v>
      </c>
      <c r="P21">
        <v>5713</v>
      </c>
      <c r="Q21">
        <v>22082</v>
      </c>
      <c r="R21">
        <v>2.66</v>
      </c>
      <c r="S21">
        <v>5078</v>
      </c>
      <c r="T21">
        <v>13506</v>
      </c>
      <c r="U21">
        <v>3.87</v>
      </c>
      <c r="V21">
        <v>5638</v>
      </c>
      <c r="W21">
        <v>21793</v>
      </c>
      <c r="X21">
        <v>-999</v>
      </c>
      <c r="Y21">
        <v>-999</v>
      </c>
      <c r="Z21">
        <v>-999</v>
      </c>
      <c r="AA21">
        <v>-999</v>
      </c>
      <c r="AB21">
        <v>16.670000000000002</v>
      </c>
      <c r="AC21">
        <v>25.63</v>
      </c>
      <c r="AD21">
        <v>3</v>
      </c>
      <c r="AE21">
        <v>3</v>
      </c>
      <c r="AF21">
        <v>21.22</v>
      </c>
      <c r="AG21">
        <v>10.26</v>
      </c>
      <c r="AH21">
        <v>2</v>
      </c>
      <c r="AI21">
        <v>1</v>
      </c>
      <c r="AJ21">
        <v>3</v>
      </c>
      <c r="AK21">
        <v>2.0299999999999998</v>
      </c>
      <c r="AL21">
        <v>-3.29</v>
      </c>
      <c r="AM21">
        <v>1.77</v>
      </c>
      <c r="AN21">
        <v>-2.83</v>
      </c>
      <c r="AO21">
        <v>1.17</v>
      </c>
      <c r="AP21">
        <v>-1.0900000000000001</v>
      </c>
      <c r="AQ21">
        <v>-1.38</v>
      </c>
    </row>
    <row r="22" spans="1:43" x14ac:dyDescent="0.25">
      <c r="A22">
        <v>-2</v>
      </c>
      <c r="B22" t="s">
        <v>40</v>
      </c>
      <c r="C22">
        <v>36.040999999999997</v>
      </c>
      <c r="D22">
        <f t="shared" si="1"/>
        <v>-121.45500000000001</v>
      </c>
      <c r="E22">
        <v>20080621</v>
      </c>
      <c r="H22">
        <v>14</v>
      </c>
      <c r="L22">
        <v>36.08</v>
      </c>
      <c r="M22">
        <v>10</v>
      </c>
      <c r="N22">
        <v>3.46</v>
      </c>
      <c r="O22">
        <v>22</v>
      </c>
      <c r="P22">
        <v>5125</v>
      </c>
      <c r="Q22">
        <v>17725</v>
      </c>
      <c r="R22">
        <v>2.6</v>
      </c>
      <c r="S22">
        <v>4739</v>
      </c>
      <c r="T22">
        <v>12310</v>
      </c>
      <c r="U22">
        <v>3.46</v>
      </c>
      <c r="V22">
        <v>5058</v>
      </c>
      <c r="W22">
        <v>17493</v>
      </c>
      <c r="X22">
        <v>-999</v>
      </c>
      <c r="Y22">
        <v>-999</v>
      </c>
      <c r="Z22">
        <v>-999</v>
      </c>
      <c r="AA22">
        <v>-999</v>
      </c>
      <c r="AB22">
        <v>13.1</v>
      </c>
      <c r="AC22">
        <v>24.36</v>
      </c>
      <c r="AD22">
        <v>3</v>
      </c>
      <c r="AE22">
        <v>3</v>
      </c>
      <c r="AF22">
        <v>22.26</v>
      </c>
      <c r="AG22">
        <v>16.05</v>
      </c>
      <c r="AH22">
        <v>3</v>
      </c>
      <c r="AI22">
        <v>2</v>
      </c>
      <c r="AJ22">
        <v>5</v>
      </c>
      <c r="AK22">
        <v>3</v>
      </c>
      <c r="AL22">
        <v>-1.71</v>
      </c>
      <c r="AM22">
        <v>2.94</v>
      </c>
      <c r="AN22">
        <v>-3.92</v>
      </c>
      <c r="AO22">
        <v>1.06</v>
      </c>
      <c r="AP22">
        <v>3.16</v>
      </c>
      <c r="AQ22">
        <v>-13.45</v>
      </c>
    </row>
    <row r="23" spans="1:43" x14ac:dyDescent="0.25">
      <c r="A23">
        <v>-2</v>
      </c>
      <c r="B23" t="s">
        <v>40</v>
      </c>
      <c r="C23">
        <v>36.040999999999997</v>
      </c>
      <c r="D23">
        <f t="shared" si="1"/>
        <v>-121.45500000000001</v>
      </c>
      <c r="E23">
        <v>20080622</v>
      </c>
      <c r="G23">
        <v>57158</v>
      </c>
      <c r="H23">
        <v>15</v>
      </c>
      <c r="L23">
        <v>33.43</v>
      </c>
      <c r="M23">
        <v>16</v>
      </c>
      <c r="N23">
        <v>3.76</v>
      </c>
      <c r="O23">
        <v>22</v>
      </c>
      <c r="P23">
        <v>4164</v>
      </c>
      <c r="Q23">
        <v>15651</v>
      </c>
      <c r="R23">
        <v>3.3</v>
      </c>
      <c r="S23">
        <v>3553</v>
      </c>
      <c r="T23">
        <v>11707</v>
      </c>
      <c r="U23">
        <v>3.76</v>
      </c>
      <c r="V23">
        <v>4109</v>
      </c>
      <c r="W23">
        <v>15447</v>
      </c>
      <c r="X23">
        <v>-999</v>
      </c>
      <c r="Y23">
        <v>-999</v>
      </c>
      <c r="Z23">
        <v>-999</v>
      </c>
      <c r="AA23">
        <v>-999</v>
      </c>
      <c r="AB23">
        <v>11.56</v>
      </c>
      <c r="AC23">
        <v>21.43</v>
      </c>
      <c r="AD23">
        <v>3</v>
      </c>
      <c r="AE23">
        <v>3</v>
      </c>
      <c r="AF23">
        <v>19.36</v>
      </c>
      <c r="AG23">
        <v>21.31</v>
      </c>
      <c r="AH23">
        <v>2</v>
      </c>
      <c r="AI23">
        <v>3</v>
      </c>
      <c r="AJ23">
        <v>5</v>
      </c>
      <c r="AK23">
        <v>2.2400000000000002</v>
      </c>
      <c r="AL23">
        <v>-3.02</v>
      </c>
      <c r="AM23">
        <v>4</v>
      </c>
      <c r="AN23">
        <v>-0.76</v>
      </c>
      <c r="AO23">
        <v>-1.62</v>
      </c>
      <c r="AP23">
        <v>-4.05</v>
      </c>
      <c r="AQ23">
        <v>17.440000000000001</v>
      </c>
    </row>
    <row r="24" spans="1:43" x14ac:dyDescent="0.25">
      <c r="A24">
        <v>-2</v>
      </c>
      <c r="B24" t="s">
        <v>40</v>
      </c>
      <c r="C24">
        <v>36.040999999999997</v>
      </c>
      <c r="D24">
        <f t="shared" si="1"/>
        <v>-121.45500000000001</v>
      </c>
      <c r="E24">
        <v>20080623</v>
      </c>
      <c r="G24">
        <v>57943</v>
      </c>
      <c r="H24">
        <v>16</v>
      </c>
      <c r="I24">
        <v>0.18</v>
      </c>
      <c r="J24">
        <v>785</v>
      </c>
      <c r="K24">
        <v>0.35</v>
      </c>
      <c r="L24">
        <v>29.78</v>
      </c>
      <c r="M24">
        <v>18</v>
      </c>
      <c r="N24">
        <v>3.17</v>
      </c>
      <c r="O24">
        <v>18</v>
      </c>
      <c r="P24">
        <v>3337</v>
      </c>
      <c r="Q24">
        <v>10590</v>
      </c>
      <c r="R24">
        <v>2.75</v>
      </c>
      <c r="S24">
        <v>2729</v>
      </c>
      <c r="T24">
        <v>7517</v>
      </c>
      <c r="U24">
        <v>3.17</v>
      </c>
      <c r="V24">
        <v>3294</v>
      </c>
      <c r="W24">
        <v>10452</v>
      </c>
      <c r="X24">
        <v>-999</v>
      </c>
      <c r="Y24">
        <v>-999</v>
      </c>
      <c r="Z24">
        <v>-999</v>
      </c>
      <c r="AA24">
        <v>-999</v>
      </c>
      <c r="AB24">
        <v>9.3800000000000008</v>
      </c>
      <c r="AC24">
        <v>32.450000000000003</v>
      </c>
      <c r="AD24">
        <v>2</v>
      </c>
      <c r="AE24">
        <v>3</v>
      </c>
      <c r="AF24">
        <v>18.11</v>
      </c>
      <c r="AG24">
        <v>26.31</v>
      </c>
      <c r="AH24">
        <v>2</v>
      </c>
      <c r="AI24">
        <v>3</v>
      </c>
      <c r="AJ24">
        <v>5</v>
      </c>
      <c r="AK24">
        <v>1.1399999999999999</v>
      </c>
      <c r="AL24">
        <v>-2.96</v>
      </c>
      <c r="AM24">
        <v>2.38</v>
      </c>
      <c r="AN24">
        <v>-4.8099999999999996</v>
      </c>
      <c r="AO24">
        <v>-0.47</v>
      </c>
      <c r="AP24">
        <v>-0.01</v>
      </c>
      <c r="AQ24">
        <v>2.29</v>
      </c>
    </row>
    <row r="25" spans="1:43" x14ac:dyDescent="0.25">
      <c r="A25">
        <v>-2</v>
      </c>
      <c r="B25" t="s">
        <v>40</v>
      </c>
      <c r="C25">
        <v>36.040999999999997</v>
      </c>
      <c r="D25">
        <f t="shared" si="1"/>
        <v>-121.45500000000001</v>
      </c>
      <c r="E25">
        <v>20080624</v>
      </c>
      <c r="G25">
        <v>58872</v>
      </c>
      <c r="H25">
        <v>17</v>
      </c>
      <c r="I25">
        <v>0.22</v>
      </c>
      <c r="J25">
        <v>929</v>
      </c>
      <c r="K25">
        <v>0.41</v>
      </c>
      <c r="L25">
        <v>30.83</v>
      </c>
      <c r="M25">
        <v>19</v>
      </c>
      <c r="N25">
        <v>3.97</v>
      </c>
      <c r="O25">
        <v>23</v>
      </c>
      <c r="P25">
        <v>3491</v>
      </c>
      <c r="Q25">
        <v>13856</v>
      </c>
      <c r="R25">
        <v>3.06</v>
      </c>
      <c r="S25">
        <v>2898</v>
      </c>
      <c r="T25">
        <v>8853</v>
      </c>
      <c r="U25">
        <v>3.97</v>
      </c>
      <c r="V25">
        <v>3445</v>
      </c>
      <c r="W25">
        <v>13675</v>
      </c>
      <c r="X25">
        <v>-999</v>
      </c>
      <c r="Y25">
        <v>-999</v>
      </c>
      <c r="Z25">
        <v>-999</v>
      </c>
      <c r="AA25">
        <v>-999</v>
      </c>
      <c r="AB25">
        <v>9.59</v>
      </c>
      <c r="AC25">
        <v>19.010000000000002</v>
      </c>
      <c r="AD25">
        <v>2</v>
      </c>
      <c r="AE25">
        <v>3</v>
      </c>
      <c r="AF25">
        <v>18.690000000000001</v>
      </c>
      <c r="AG25">
        <v>23.92</v>
      </c>
      <c r="AH25">
        <v>2</v>
      </c>
      <c r="AI25">
        <v>3</v>
      </c>
      <c r="AJ25">
        <v>5</v>
      </c>
      <c r="AK25">
        <v>2.2599999999999998</v>
      </c>
      <c r="AL25">
        <v>-3.27</v>
      </c>
      <c r="AM25">
        <v>1.91</v>
      </c>
      <c r="AN25">
        <v>-4.82</v>
      </c>
      <c r="AO25">
        <v>0.31</v>
      </c>
      <c r="AP25">
        <v>-0.2</v>
      </c>
      <c r="AQ25">
        <v>-1.1000000000000001</v>
      </c>
    </row>
    <row r="26" spans="1:43" x14ac:dyDescent="0.25">
      <c r="A26">
        <v>-2</v>
      </c>
      <c r="B26" t="s">
        <v>40</v>
      </c>
      <c r="C26">
        <v>36.040999999999997</v>
      </c>
      <c r="D26">
        <f t="shared" si="1"/>
        <v>-121.45500000000001</v>
      </c>
      <c r="E26">
        <v>20080625</v>
      </c>
      <c r="G26">
        <v>59066</v>
      </c>
      <c r="H26">
        <v>18</v>
      </c>
      <c r="I26">
        <v>0.05</v>
      </c>
      <c r="J26">
        <v>194</v>
      </c>
      <c r="K26">
        <v>0.09</v>
      </c>
      <c r="L26">
        <v>29.18</v>
      </c>
      <c r="M26">
        <v>33</v>
      </c>
      <c r="N26">
        <v>2.4500000000000002</v>
      </c>
      <c r="O26">
        <v>12</v>
      </c>
      <c r="P26">
        <v>2637</v>
      </c>
      <c r="Q26">
        <v>6456</v>
      </c>
      <c r="R26">
        <v>2.27</v>
      </c>
      <c r="S26">
        <v>2162</v>
      </c>
      <c r="T26">
        <v>4909</v>
      </c>
      <c r="U26">
        <v>2.4500000000000002</v>
      </c>
      <c r="V26">
        <v>2603</v>
      </c>
      <c r="W26">
        <v>6372</v>
      </c>
      <c r="X26">
        <v>-999</v>
      </c>
      <c r="Y26">
        <v>-999</v>
      </c>
      <c r="Z26">
        <v>-999</v>
      </c>
      <c r="AA26">
        <v>-999</v>
      </c>
      <c r="AB26">
        <v>7.53</v>
      </c>
      <c r="AC26">
        <v>8.39</v>
      </c>
      <c r="AD26">
        <v>2</v>
      </c>
      <c r="AE26">
        <v>2</v>
      </c>
      <c r="AF26">
        <v>19.510000000000002</v>
      </c>
      <c r="AG26">
        <v>24.75</v>
      </c>
      <c r="AH26">
        <v>2</v>
      </c>
      <c r="AI26">
        <v>3</v>
      </c>
      <c r="AJ26">
        <v>5</v>
      </c>
      <c r="AK26">
        <v>1.28</v>
      </c>
      <c r="AL26">
        <v>-2.09</v>
      </c>
      <c r="AM26">
        <v>2.2200000000000002</v>
      </c>
      <c r="AN26">
        <v>-5.0199999999999996</v>
      </c>
      <c r="AO26">
        <v>-0.4</v>
      </c>
      <c r="AP26">
        <v>2.4500000000000002</v>
      </c>
      <c r="AQ26">
        <v>-3.41</v>
      </c>
    </row>
    <row r="27" spans="1:43" x14ac:dyDescent="0.25">
      <c r="A27">
        <v>-2</v>
      </c>
      <c r="B27" t="s">
        <v>40</v>
      </c>
      <c r="C27">
        <v>36.040999999999997</v>
      </c>
      <c r="D27">
        <f t="shared" si="1"/>
        <v>-121.45500000000001</v>
      </c>
      <c r="E27">
        <v>20080626</v>
      </c>
      <c r="H27">
        <v>19</v>
      </c>
      <c r="L27">
        <v>31.46</v>
      </c>
      <c r="M27">
        <v>25</v>
      </c>
      <c r="N27">
        <v>1.17</v>
      </c>
      <c r="O27">
        <v>7</v>
      </c>
      <c r="P27">
        <v>3345</v>
      </c>
      <c r="Q27">
        <v>3930</v>
      </c>
      <c r="R27">
        <v>1.01</v>
      </c>
      <c r="S27">
        <v>2799</v>
      </c>
      <c r="T27">
        <v>2831</v>
      </c>
      <c r="U27">
        <v>1.23</v>
      </c>
      <c r="V27">
        <v>3301</v>
      </c>
      <c r="W27">
        <v>4054</v>
      </c>
      <c r="X27">
        <v>-999</v>
      </c>
      <c r="Y27">
        <v>-999</v>
      </c>
      <c r="Z27">
        <v>-999</v>
      </c>
      <c r="AA27">
        <v>-999</v>
      </c>
      <c r="AB27">
        <v>9.82</v>
      </c>
      <c r="AC27">
        <v>14.8</v>
      </c>
      <c r="AD27">
        <v>2</v>
      </c>
      <c r="AE27">
        <v>3</v>
      </c>
      <c r="AF27">
        <v>20.97</v>
      </c>
      <c r="AG27">
        <v>28.22</v>
      </c>
      <c r="AH27">
        <v>2</v>
      </c>
      <c r="AI27">
        <v>3</v>
      </c>
      <c r="AJ27">
        <v>5</v>
      </c>
      <c r="AK27">
        <v>1.17</v>
      </c>
      <c r="AL27">
        <v>0.11</v>
      </c>
      <c r="AM27">
        <v>1.82</v>
      </c>
      <c r="AN27">
        <v>-2.57</v>
      </c>
      <c r="AO27">
        <v>-0.56999999999999995</v>
      </c>
      <c r="AP27">
        <v>3.51</v>
      </c>
      <c r="AQ27">
        <v>-4.92</v>
      </c>
    </row>
    <row r="28" spans="1:43" x14ac:dyDescent="0.25">
      <c r="A28">
        <v>-2</v>
      </c>
      <c r="B28" t="s">
        <v>40</v>
      </c>
      <c r="C28">
        <v>36.040999999999997</v>
      </c>
      <c r="D28">
        <f t="shared" si="1"/>
        <v>-121.45500000000001</v>
      </c>
      <c r="E28">
        <v>20080627</v>
      </c>
      <c r="G28">
        <v>59791</v>
      </c>
      <c r="H28">
        <v>20</v>
      </c>
      <c r="L28">
        <v>29.19</v>
      </c>
      <c r="M28">
        <v>43</v>
      </c>
      <c r="N28">
        <v>3.64</v>
      </c>
      <c r="O28">
        <v>16</v>
      </c>
      <c r="P28">
        <v>2245</v>
      </c>
      <c r="Q28">
        <v>8177</v>
      </c>
      <c r="R28">
        <v>1.33</v>
      </c>
      <c r="S28">
        <v>1904</v>
      </c>
      <c r="T28">
        <v>2529</v>
      </c>
      <c r="U28">
        <v>3.64</v>
      </c>
      <c r="V28">
        <v>2215</v>
      </c>
      <c r="W28">
        <v>8070</v>
      </c>
      <c r="X28">
        <v>-999</v>
      </c>
      <c r="Y28">
        <v>-999</v>
      </c>
      <c r="Z28">
        <v>-999</v>
      </c>
      <c r="AA28">
        <v>-999</v>
      </c>
      <c r="AB28">
        <v>10.39</v>
      </c>
      <c r="AC28">
        <v>14.77</v>
      </c>
      <c r="AD28">
        <v>2</v>
      </c>
      <c r="AE28">
        <v>3</v>
      </c>
      <c r="AF28">
        <v>18.54</v>
      </c>
      <c r="AG28">
        <v>23.18</v>
      </c>
      <c r="AH28">
        <v>2</v>
      </c>
      <c r="AI28">
        <v>3</v>
      </c>
      <c r="AJ28">
        <v>5</v>
      </c>
      <c r="AK28">
        <v>2.96</v>
      </c>
      <c r="AL28">
        <v>2.12</v>
      </c>
      <c r="AM28">
        <v>1.25</v>
      </c>
      <c r="AN28">
        <v>0.94</v>
      </c>
      <c r="AO28">
        <v>1.48</v>
      </c>
      <c r="AP28">
        <v>2.6</v>
      </c>
      <c r="AQ28">
        <v>-1.85</v>
      </c>
    </row>
    <row r="29" spans="1:43" x14ac:dyDescent="0.25">
      <c r="A29">
        <v>-2</v>
      </c>
      <c r="B29" t="s">
        <v>40</v>
      </c>
      <c r="C29">
        <v>36.040999999999997</v>
      </c>
      <c r="D29">
        <f t="shared" si="1"/>
        <v>-121.45500000000001</v>
      </c>
      <c r="E29">
        <v>20080628</v>
      </c>
      <c r="G29">
        <v>60665</v>
      </c>
      <c r="H29">
        <v>21</v>
      </c>
      <c r="I29">
        <v>0.2</v>
      </c>
      <c r="J29">
        <v>874</v>
      </c>
      <c r="K29">
        <v>0.39</v>
      </c>
      <c r="L29">
        <v>29.7</v>
      </c>
      <c r="M29">
        <v>26</v>
      </c>
      <c r="N29">
        <v>2.74</v>
      </c>
      <c r="O29">
        <v>14</v>
      </c>
      <c r="P29">
        <v>2998</v>
      </c>
      <c r="Q29">
        <v>8203</v>
      </c>
      <c r="R29">
        <v>2.1800000000000002</v>
      </c>
      <c r="S29">
        <v>2205</v>
      </c>
      <c r="T29">
        <v>4802</v>
      </c>
      <c r="U29">
        <v>2.74</v>
      </c>
      <c r="V29">
        <v>2958</v>
      </c>
      <c r="W29">
        <v>8096</v>
      </c>
      <c r="X29">
        <v>-999</v>
      </c>
      <c r="Y29">
        <v>-999</v>
      </c>
      <c r="Z29">
        <v>-999</v>
      </c>
      <c r="AA29">
        <v>-999</v>
      </c>
      <c r="AB29">
        <v>8.3800000000000008</v>
      </c>
      <c r="AC29">
        <v>16.63</v>
      </c>
      <c r="AD29">
        <v>2</v>
      </c>
      <c r="AE29">
        <v>3</v>
      </c>
      <c r="AF29">
        <v>20.07</v>
      </c>
      <c r="AG29">
        <v>36.08</v>
      </c>
      <c r="AH29">
        <v>2</v>
      </c>
      <c r="AI29">
        <v>3</v>
      </c>
      <c r="AJ29">
        <v>5</v>
      </c>
      <c r="AK29">
        <v>2.4700000000000002</v>
      </c>
      <c r="AL29">
        <v>1.17</v>
      </c>
      <c r="AM29">
        <v>2.72</v>
      </c>
      <c r="AN29">
        <v>3.54</v>
      </c>
      <c r="AO29">
        <v>-0.28999999999999998</v>
      </c>
      <c r="AP29">
        <v>-0.49</v>
      </c>
      <c r="AQ29">
        <v>0.28999999999999998</v>
      </c>
    </row>
    <row r="30" spans="1:43" x14ac:dyDescent="0.25">
      <c r="A30">
        <v>-2</v>
      </c>
      <c r="B30" t="s">
        <v>40</v>
      </c>
      <c r="C30">
        <v>36.040999999999997</v>
      </c>
      <c r="D30">
        <f t="shared" si="1"/>
        <v>-121.45500000000001</v>
      </c>
      <c r="E30">
        <v>20080629</v>
      </c>
      <c r="G30">
        <v>60845</v>
      </c>
      <c r="H30">
        <v>22</v>
      </c>
      <c r="I30">
        <v>0.04</v>
      </c>
      <c r="J30">
        <v>180</v>
      </c>
      <c r="K30">
        <v>0.08</v>
      </c>
      <c r="L30">
        <v>27.9</v>
      </c>
      <c r="M30">
        <v>21</v>
      </c>
      <c r="N30">
        <v>3.99</v>
      </c>
      <c r="O30">
        <v>22</v>
      </c>
      <c r="P30">
        <v>2897</v>
      </c>
      <c r="Q30">
        <v>11545</v>
      </c>
      <c r="R30">
        <v>2.41</v>
      </c>
      <c r="S30">
        <v>2391</v>
      </c>
      <c r="T30">
        <v>5754</v>
      </c>
      <c r="U30">
        <v>3.99</v>
      </c>
      <c r="V30">
        <v>2859</v>
      </c>
      <c r="W30">
        <v>11394</v>
      </c>
      <c r="X30">
        <v>-999</v>
      </c>
      <c r="Y30">
        <v>-999</v>
      </c>
      <c r="Z30">
        <v>-999</v>
      </c>
      <c r="AA30">
        <v>-999</v>
      </c>
      <c r="AB30">
        <v>9.18</v>
      </c>
      <c r="AC30">
        <v>30.16</v>
      </c>
      <c r="AD30">
        <v>2</v>
      </c>
      <c r="AE30">
        <v>3</v>
      </c>
      <c r="AF30">
        <v>19.95</v>
      </c>
      <c r="AG30">
        <v>30.29</v>
      </c>
      <c r="AH30">
        <v>2</v>
      </c>
      <c r="AI30">
        <v>3</v>
      </c>
      <c r="AJ30">
        <v>5</v>
      </c>
      <c r="AK30">
        <v>3.83</v>
      </c>
      <c r="AL30">
        <v>1.1200000000000001</v>
      </c>
      <c r="AM30">
        <v>2.4300000000000002</v>
      </c>
      <c r="AN30">
        <v>3.06</v>
      </c>
      <c r="AO30">
        <v>1.94</v>
      </c>
      <c r="AP30">
        <v>-1.44</v>
      </c>
      <c r="AQ30">
        <v>9.44</v>
      </c>
    </row>
    <row r="31" spans="1:43" x14ac:dyDescent="0.25">
      <c r="A31">
        <v>-2</v>
      </c>
      <c r="B31" t="s">
        <v>40</v>
      </c>
      <c r="C31">
        <v>36.040999999999997</v>
      </c>
      <c r="D31">
        <f t="shared" si="1"/>
        <v>-121.45500000000001</v>
      </c>
      <c r="E31">
        <v>20080630</v>
      </c>
      <c r="G31">
        <v>61632</v>
      </c>
      <c r="H31">
        <v>23</v>
      </c>
      <c r="I31">
        <v>0.18</v>
      </c>
      <c r="J31">
        <v>787</v>
      </c>
      <c r="K31">
        <v>0.35</v>
      </c>
      <c r="L31">
        <v>28.64</v>
      </c>
      <c r="M31">
        <v>31</v>
      </c>
      <c r="N31">
        <v>3.15</v>
      </c>
      <c r="O31">
        <v>16</v>
      </c>
      <c r="P31">
        <v>2636</v>
      </c>
      <c r="Q31">
        <v>8296</v>
      </c>
      <c r="R31">
        <v>1.57</v>
      </c>
      <c r="S31">
        <v>2145</v>
      </c>
      <c r="T31">
        <v>3373</v>
      </c>
      <c r="U31">
        <v>3.15</v>
      </c>
      <c r="V31">
        <v>2601</v>
      </c>
      <c r="W31">
        <v>8188</v>
      </c>
      <c r="X31">
        <v>-999</v>
      </c>
      <c r="Y31">
        <v>-999</v>
      </c>
      <c r="Z31">
        <v>-999</v>
      </c>
      <c r="AA31">
        <v>-999</v>
      </c>
      <c r="AB31">
        <v>9.5299999999999994</v>
      </c>
      <c r="AC31">
        <v>12.86</v>
      </c>
      <c r="AD31">
        <v>2</v>
      </c>
      <c r="AE31">
        <v>2</v>
      </c>
      <c r="AF31">
        <v>19.32</v>
      </c>
      <c r="AG31">
        <v>27.02</v>
      </c>
      <c r="AH31">
        <v>2</v>
      </c>
      <c r="AI31">
        <v>3</v>
      </c>
      <c r="AJ31">
        <v>5</v>
      </c>
      <c r="AK31">
        <v>2.72</v>
      </c>
      <c r="AL31">
        <v>-1.58</v>
      </c>
      <c r="AM31">
        <v>4.38</v>
      </c>
      <c r="AN31">
        <v>1.62</v>
      </c>
      <c r="AO31">
        <v>-0.77</v>
      </c>
      <c r="AP31">
        <v>-3.08</v>
      </c>
      <c r="AQ31">
        <v>12.23</v>
      </c>
    </row>
    <row r="32" spans="1:43" x14ac:dyDescent="0.25">
      <c r="A32">
        <v>-2</v>
      </c>
      <c r="B32" t="s">
        <v>40</v>
      </c>
      <c r="C32">
        <v>36.040999999999997</v>
      </c>
      <c r="D32">
        <f t="shared" si="1"/>
        <v>-121.45500000000001</v>
      </c>
      <c r="E32">
        <v>20080701</v>
      </c>
      <c r="G32">
        <v>63417</v>
      </c>
      <c r="H32">
        <v>24</v>
      </c>
      <c r="I32">
        <v>0.4</v>
      </c>
      <c r="J32">
        <v>1785</v>
      </c>
      <c r="K32">
        <v>0.79</v>
      </c>
      <c r="L32">
        <v>33.17</v>
      </c>
      <c r="M32">
        <v>21</v>
      </c>
      <c r="N32">
        <v>2.59</v>
      </c>
      <c r="O32">
        <v>15</v>
      </c>
      <c r="P32">
        <v>3862</v>
      </c>
      <c r="Q32">
        <v>10020</v>
      </c>
      <c r="R32">
        <v>1.93</v>
      </c>
      <c r="S32">
        <v>3221</v>
      </c>
      <c r="T32">
        <v>6201</v>
      </c>
      <c r="U32">
        <v>2.59</v>
      </c>
      <c r="V32">
        <v>3812</v>
      </c>
      <c r="W32">
        <v>9889</v>
      </c>
      <c r="X32">
        <v>-999</v>
      </c>
      <c r="Y32">
        <v>-999</v>
      </c>
      <c r="Z32">
        <v>-999</v>
      </c>
      <c r="AA32">
        <v>-999</v>
      </c>
      <c r="AB32">
        <v>11.72</v>
      </c>
      <c r="AC32">
        <v>16.579999999999998</v>
      </c>
      <c r="AD32">
        <v>3</v>
      </c>
      <c r="AE32">
        <v>3</v>
      </c>
      <c r="AF32">
        <v>17.8</v>
      </c>
      <c r="AG32">
        <v>24.7</v>
      </c>
      <c r="AH32">
        <v>1</v>
      </c>
      <c r="AI32">
        <v>3</v>
      </c>
      <c r="AJ32">
        <v>4</v>
      </c>
      <c r="AK32">
        <v>0.33</v>
      </c>
      <c r="AL32">
        <v>-2.57</v>
      </c>
      <c r="AM32">
        <v>3.61</v>
      </c>
      <c r="AN32">
        <v>-1.46</v>
      </c>
      <c r="AO32">
        <v>-3.48</v>
      </c>
      <c r="AP32">
        <v>-1.95</v>
      </c>
      <c r="AQ32">
        <v>12.13</v>
      </c>
    </row>
    <row r="33" spans="1:43" x14ac:dyDescent="0.25">
      <c r="A33">
        <v>-2</v>
      </c>
      <c r="B33" t="s">
        <v>40</v>
      </c>
      <c r="C33">
        <v>36.040999999999997</v>
      </c>
      <c r="D33">
        <f t="shared" si="1"/>
        <v>-121.45500000000001</v>
      </c>
      <c r="E33">
        <v>20080702</v>
      </c>
      <c r="G33">
        <v>63515</v>
      </c>
      <c r="H33">
        <v>25</v>
      </c>
      <c r="I33">
        <v>0.02</v>
      </c>
      <c r="J33">
        <v>98</v>
      </c>
      <c r="K33">
        <v>0.04</v>
      </c>
      <c r="L33">
        <v>30.76</v>
      </c>
      <c r="M33">
        <v>20</v>
      </c>
      <c r="N33">
        <v>4.5999999999999996</v>
      </c>
      <c r="O33">
        <v>26</v>
      </c>
      <c r="P33">
        <v>3435</v>
      </c>
      <c r="Q33">
        <v>15802</v>
      </c>
      <c r="R33">
        <v>4.05</v>
      </c>
      <c r="S33">
        <v>2894</v>
      </c>
      <c r="T33">
        <v>11725</v>
      </c>
      <c r="U33">
        <v>4.5999999999999996</v>
      </c>
      <c r="V33">
        <v>3390</v>
      </c>
      <c r="W33">
        <v>15596</v>
      </c>
      <c r="X33">
        <v>-999</v>
      </c>
      <c r="Y33">
        <v>-999</v>
      </c>
      <c r="Z33">
        <v>-999</v>
      </c>
      <c r="AA33">
        <v>-999</v>
      </c>
      <c r="AB33">
        <v>9.0299999999999994</v>
      </c>
      <c r="AC33">
        <v>21.28</v>
      </c>
      <c r="AD33">
        <v>2</v>
      </c>
      <c r="AE33">
        <v>3</v>
      </c>
      <c r="AF33">
        <v>17.260000000000002</v>
      </c>
      <c r="AG33">
        <v>16.13</v>
      </c>
      <c r="AH33">
        <v>1</v>
      </c>
      <c r="AI33">
        <v>2</v>
      </c>
      <c r="AJ33">
        <v>3</v>
      </c>
      <c r="AK33">
        <v>1.37</v>
      </c>
      <c r="AL33">
        <v>-4.3899999999999997</v>
      </c>
      <c r="AM33">
        <v>0.13</v>
      </c>
      <c r="AN33">
        <v>-3.42</v>
      </c>
      <c r="AO33">
        <v>1.26</v>
      </c>
      <c r="AP33">
        <v>-3.64</v>
      </c>
      <c r="AQ33">
        <v>-3.85</v>
      </c>
    </row>
    <row r="34" spans="1:43" x14ac:dyDescent="0.25">
      <c r="A34">
        <v>-2</v>
      </c>
      <c r="B34" t="s">
        <v>40</v>
      </c>
      <c r="C34">
        <v>36.040999999999997</v>
      </c>
      <c r="D34">
        <f t="shared" si="1"/>
        <v>-121.45500000000001</v>
      </c>
      <c r="E34">
        <v>20080703</v>
      </c>
      <c r="G34">
        <v>65544</v>
      </c>
      <c r="H34">
        <v>26</v>
      </c>
      <c r="I34">
        <v>0.45</v>
      </c>
      <c r="J34">
        <v>2029</v>
      </c>
      <c r="K34">
        <v>0.89</v>
      </c>
      <c r="L34">
        <v>29.97</v>
      </c>
      <c r="M34">
        <v>34</v>
      </c>
      <c r="N34">
        <v>5.35</v>
      </c>
      <c r="O34">
        <v>25</v>
      </c>
      <c r="P34">
        <v>2714</v>
      </c>
      <c r="Q34">
        <v>14511</v>
      </c>
      <c r="R34">
        <v>4.16</v>
      </c>
      <c r="S34">
        <v>2222</v>
      </c>
      <c r="T34">
        <v>9255</v>
      </c>
      <c r="U34">
        <v>5.35</v>
      </c>
      <c r="V34">
        <v>2678</v>
      </c>
      <c r="W34">
        <v>14321</v>
      </c>
      <c r="X34">
        <v>-999</v>
      </c>
      <c r="Y34">
        <v>-999</v>
      </c>
      <c r="Z34">
        <v>-999</v>
      </c>
      <c r="AA34">
        <v>-999</v>
      </c>
      <c r="AB34">
        <v>8.39</v>
      </c>
      <c r="AC34">
        <v>9.01</v>
      </c>
      <c r="AD34">
        <v>2</v>
      </c>
      <c r="AE34">
        <v>2</v>
      </c>
      <c r="AF34">
        <v>17.239999999999998</v>
      </c>
      <c r="AG34">
        <v>19.260000000000002</v>
      </c>
      <c r="AH34">
        <v>1</v>
      </c>
      <c r="AI34">
        <v>2</v>
      </c>
      <c r="AJ34">
        <v>3</v>
      </c>
      <c r="AK34">
        <v>2.81</v>
      </c>
      <c r="AL34">
        <v>-4.55</v>
      </c>
      <c r="AM34">
        <v>1.39</v>
      </c>
      <c r="AN34">
        <v>-7.06</v>
      </c>
      <c r="AO34">
        <v>2.0099999999999998</v>
      </c>
      <c r="AP34">
        <v>-0.83</v>
      </c>
      <c r="AQ34">
        <v>-13.02</v>
      </c>
    </row>
    <row r="35" spans="1:43" x14ac:dyDescent="0.25">
      <c r="A35">
        <v>-2</v>
      </c>
      <c r="B35" t="s">
        <v>40</v>
      </c>
      <c r="C35">
        <v>36.040999999999997</v>
      </c>
      <c r="D35">
        <f t="shared" si="1"/>
        <v>-121.45500000000001</v>
      </c>
      <c r="E35">
        <v>20080704</v>
      </c>
      <c r="G35">
        <v>65602</v>
      </c>
      <c r="H35">
        <v>27</v>
      </c>
      <c r="I35">
        <v>0.01</v>
      </c>
      <c r="J35">
        <v>58</v>
      </c>
      <c r="K35">
        <v>0.03</v>
      </c>
      <c r="L35">
        <v>27.91</v>
      </c>
      <c r="M35">
        <v>37</v>
      </c>
      <c r="N35">
        <v>4.3600000000000003</v>
      </c>
      <c r="O35">
        <v>20</v>
      </c>
      <c r="P35">
        <v>2310</v>
      </c>
      <c r="Q35">
        <v>10072</v>
      </c>
      <c r="R35">
        <v>2.92</v>
      </c>
      <c r="S35">
        <v>1910</v>
      </c>
      <c r="T35">
        <v>5570</v>
      </c>
      <c r="U35">
        <v>4.3600000000000003</v>
      </c>
      <c r="V35">
        <v>2280</v>
      </c>
      <c r="W35">
        <v>9940</v>
      </c>
      <c r="X35">
        <v>-999</v>
      </c>
      <c r="Y35">
        <v>-999</v>
      </c>
      <c r="Z35">
        <v>-999</v>
      </c>
      <c r="AA35">
        <v>-999</v>
      </c>
      <c r="AB35">
        <v>6.31</v>
      </c>
      <c r="AC35">
        <v>10.82</v>
      </c>
      <c r="AD35">
        <v>2</v>
      </c>
      <c r="AE35">
        <v>2</v>
      </c>
      <c r="AF35">
        <v>19.45</v>
      </c>
      <c r="AG35">
        <v>27.36</v>
      </c>
      <c r="AH35">
        <v>2</v>
      </c>
      <c r="AI35">
        <v>3</v>
      </c>
      <c r="AJ35">
        <v>5</v>
      </c>
      <c r="AK35">
        <v>1.82</v>
      </c>
      <c r="AL35">
        <v>-3.96</v>
      </c>
      <c r="AM35">
        <v>3.4</v>
      </c>
      <c r="AN35">
        <v>-7.89</v>
      </c>
      <c r="AO35">
        <v>-2.14</v>
      </c>
      <c r="AP35">
        <v>2.14</v>
      </c>
      <c r="AQ35">
        <v>9.64</v>
      </c>
    </row>
    <row r="36" spans="1:43" x14ac:dyDescent="0.25">
      <c r="A36">
        <v>-2</v>
      </c>
      <c r="B36" t="s">
        <v>40</v>
      </c>
      <c r="C36">
        <v>36.040999999999997</v>
      </c>
      <c r="D36">
        <f t="shared" si="1"/>
        <v>-121.45500000000001</v>
      </c>
      <c r="E36">
        <v>20080705</v>
      </c>
      <c r="G36">
        <v>65713</v>
      </c>
      <c r="H36">
        <v>28</v>
      </c>
      <c r="I36">
        <v>0.02</v>
      </c>
      <c r="J36">
        <v>111</v>
      </c>
      <c r="K36">
        <v>0.05</v>
      </c>
      <c r="L36">
        <v>33.119999999999997</v>
      </c>
      <c r="M36">
        <v>20</v>
      </c>
      <c r="N36">
        <v>3.54</v>
      </c>
      <c r="O36">
        <v>20</v>
      </c>
      <c r="P36">
        <v>3901</v>
      </c>
      <c r="Q36">
        <v>13800</v>
      </c>
      <c r="R36">
        <v>2.81</v>
      </c>
      <c r="S36">
        <v>3165</v>
      </c>
      <c r="T36">
        <v>8908</v>
      </c>
      <c r="U36">
        <v>3.54</v>
      </c>
      <c r="V36">
        <v>3850</v>
      </c>
      <c r="W36">
        <v>13620</v>
      </c>
      <c r="X36">
        <v>-999</v>
      </c>
      <c r="Y36">
        <v>-999</v>
      </c>
      <c r="Z36">
        <v>-999</v>
      </c>
      <c r="AA36">
        <v>-999</v>
      </c>
      <c r="AB36">
        <v>9.35</v>
      </c>
      <c r="AC36">
        <v>17</v>
      </c>
      <c r="AD36">
        <v>2</v>
      </c>
      <c r="AE36">
        <v>3</v>
      </c>
      <c r="AF36">
        <v>17.149999999999999</v>
      </c>
      <c r="AG36">
        <v>24.38</v>
      </c>
      <c r="AH36">
        <v>1</v>
      </c>
      <c r="AI36">
        <v>3</v>
      </c>
      <c r="AJ36">
        <v>4</v>
      </c>
      <c r="AK36">
        <v>1.76</v>
      </c>
      <c r="AL36">
        <v>-3.07</v>
      </c>
      <c r="AM36">
        <v>1.26</v>
      </c>
      <c r="AN36">
        <v>-5.76</v>
      </c>
      <c r="AO36">
        <v>-0.13</v>
      </c>
      <c r="AP36">
        <v>0.84</v>
      </c>
      <c r="AQ36">
        <v>-0.3</v>
      </c>
    </row>
    <row r="37" spans="1:43" x14ac:dyDescent="0.25">
      <c r="A37">
        <v>-2</v>
      </c>
      <c r="B37" t="s">
        <v>40</v>
      </c>
      <c r="C37">
        <v>36.040999999999997</v>
      </c>
      <c r="D37">
        <f t="shared" si="1"/>
        <v>-121.45500000000001</v>
      </c>
      <c r="E37">
        <v>20080706</v>
      </c>
      <c r="G37">
        <v>65803</v>
      </c>
      <c r="H37">
        <v>29</v>
      </c>
      <c r="I37">
        <v>0.02</v>
      </c>
      <c r="J37">
        <v>90</v>
      </c>
      <c r="K37">
        <v>0.04</v>
      </c>
      <c r="L37">
        <v>34.82</v>
      </c>
      <c r="M37">
        <v>19</v>
      </c>
      <c r="N37">
        <v>3.09</v>
      </c>
      <c r="O37">
        <v>18</v>
      </c>
      <c r="P37">
        <v>4319</v>
      </c>
      <c r="Q37">
        <v>13364</v>
      </c>
      <c r="R37">
        <v>3.62</v>
      </c>
      <c r="S37">
        <v>3261</v>
      </c>
      <c r="T37">
        <v>11819</v>
      </c>
      <c r="U37">
        <v>3.82</v>
      </c>
      <c r="V37">
        <v>4263</v>
      </c>
      <c r="W37">
        <v>16265</v>
      </c>
      <c r="X37">
        <v>-999</v>
      </c>
      <c r="Y37">
        <v>-999</v>
      </c>
      <c r="Z37">
        <v>-999</v>
      </c>
      <c r="AA37">
        <v>-999</v>
      </c>
      <c r="AB37">
        <v>12.52</v>
      </c>
      <c r="AC37">
        <v>17.329999999999998</v>
      </c>
      <c r="AD37">
        <v>3</v>
      </c>
      <c r="AE37">
        <v>3</v>
      </c>
      <c r="AF37">
        <v>14.58</v>
      </c>
      <c r="AG37">
        <v>25.81</v>
      </c>
      <c r="AH37">
        <v>1</v>
      </c>
      <c r="AI37">
        <v>3</v>
      </c>
      <c r="AJ37">
        <v>4</v>
      </c>
      <c r="AK37">
        <v>1.38</v>
      </c>
      <c r="AL37">
        <v>-2.77</v>
      </c>
      <c r="AM37">
        <v>1.1299999999999999</v>
      </c>
      <c r="AN37">
        <v>-4.92</v>
      </c>
      <c r="AO37">
        <v>-0.5</v>
      </c>
      <c r="AP37">
        <v>0.23</v>
      </c>
      <c r="AQ37">
        <v>2.21</v>
      </c>
    </row>
    <row r="39" spans="1:43" x14ac:dyDescent="0.25">
      <c r="A39">
        <v>-3</v>
      </c>
      <c r="B39" t="s">
        <v>41</v>
      </c>
      <c r="C39">
        <v>47.904000000000003</v>
      </c>
      <c r="D39">
        <f>239.758-360</f>
        <v>-120.24199999999999</v>
      </c>
      <c r="E39">
        <v>20040726</v>
      </c>
      <c r="F39">
        <v>20040705</v>
      </c>
      <c r="G39">
        <v>30</v>
      </c>
      <c r="H39">
        <v>1</v>
      </c>
      <c r="I39">
        <v>0.36</v>
      </c>
      <c r="J39">
        <v>30</v>
      </c>
      <c r="K39">
        <v>0.01</v>
      </c>
      <c r="L39">
        <v>22.37</v>
      </c>
      <c r="M39">
        <v>35</v>
      </c>
      <c r="N39">
        <v>2.65</v>
      </c>
      <c r="O39">
        <v>12</v>
      </c>
      <c r="P39">
        <v>1728</v>
      </c>
      <c r="Q39">
        <v>4583</v>
      </c>
      <c r="R39">
        <v>3.43</v>
      </c>
      <c r="S39">
        <v>1753</v>
      </c>
      <c r="T39">
        <v>6019</v>
      </c>
      <c r="U39">
        <v>3.34</v>
      </c>
      <c r="V39">
        <v>1780</v>
      </c>
      <c r="W39">
        <v>5938</v>
      </c>
      <c r="X39">
        <v>-999</v>
      </c>
      <c r="Y39">
        <v>-999</v>
      </c>
      <c r="Z39">
        <v>-999</v>
      </c>
      <c r="AA39">
        <v>-999</v>
      </c>
      <c r="AB39">
        <v>12.34</v>
      </c>
      <c r="AC39">
        <v>18.63</v>
      </c>
      <c r="AD39">
        <v>3</v>
      </c>
      <c r="AE39">
        <v>3</v>
      </c>
      <c r="AF39">
        <v>17.12</v>
      </c>
      <c r="AG39">
        <v>18.82</v>
      </c>
      <c r="AH39">
        <v>1</v>
      </c>
      <c r="AI39">
        <v>2</v>
      </c>
      <c r="AJ39">
        <v>3</v>
      </c>
      <c r="AK39">
        <v>2.12</v>
      </c>
      <c r="AL39">
        <v>-1.59</v>
      </c>
      <c r="AM39">
        <v>8.35</v>
      </c>
      <c r="AN39">
        <v>-6.53</v>
      </c>
      <c r="AO39">
        <v>-4.3499999999999996</v>
      </c>
      <c r="AP39">
        <v>3.53</v>
      </c>
      <c r="AQ39">
        <v>-1.08</v>
      </c>
    </row>
    <row r="40" spans="1:43" x14ac:dyDescent="0.25">
      <c r="A40">
        <v>-3</v>
      </c>
      <c r="B40" t="s">
        <v>41</v>
      </c>
      <c r="C40">
        <v>47.904000000000003</v>
      </c>
      <c r="D40">
        <v>239.75800000000001</v>
      </c>
      <c r="E40">
        <v>20040727</v>
      </c>
      <c r="G40">
        <v>30</v>
      </c>
      <c r="H40">
        <v>2</v>
      </c>
      <c r="I40">
        <v>0</v>
      </c>
      <c r="J40">
        <v>0</v>
      </c>
      <c r="K40">
        <v>0</v>
      </c>
      <c r="L40">
        <v>22.28</v>
      </c>
      <c r="M40">
        <v>35</v>
      </c>
      <c r="N40">
        <v>2.91</v>
      </c>
      <c r="O40">
        <v>14</v>
      </c>
      <c r="P40">
        <v>1719</v>
      </c>
      <c r="Q40">
        <v>4997</v>
      </c>
      <c r="R40">
        <v>2.57</v>
      </c>
      <c r="S40">
        <v>1662</v>
      </c>
      <c r="T40">
        <v>4270</v>
      </c>
      <c r="U40">
        <v>2.91</v>
      </c>
      <c r="V40">
        <v>1696</v>
      </c>
      <c r="W40">
        <v>4931</v>
      </c>
      <c r="X40">
        <v>-999</v>
      </c>
      <c r="Y40">
        <v>-999</v>
      </c>
      <c r="Z40">
        <v>-999</v>
      </c>
      <c r="AA40">
        <v>-999</v>
      </c>
      <c r="AB40">
        <v>15.49</v>
      </c>
      <c r="AC40">
        <v>16.420000000000002</v>
      </c>
      <c r="AD40">
        <v>3</v>
      </c>
      <c r="AE40">
        <v>3</v>
      </c>
      <c r="AF40">
        <v>14.49</v>
      </c>
      <c r="AG40">
        <v>7.58</v>
      </c>
      <c r="AH40">
        <v>1</v>
      </c>
      <c r="AI40">
        <v>1</v>
      </c>
      <c r="AJ40">
        <v>2</v>
      </c>
      <c r="AK40">
        <v>2.36</v>
      </c>
      <c r="AL40">
        <v>-1.7</v>
      </c>
      <c r="AM40">
        <v>4</v>
      </c>
      <c r="AN40">
        <v>-3</v>
      </c>
      <c r="AO40">
        <v>-0.36</v>
      </c>
      <c r="AP40">
        <v>1.76</v>
      </c>
      <c r="AQ40">
        <v>-5.97</v>
      </c>
    </row>
    <row r="41" spans="1:43" x14ac:dyDescent="0.25">
      <c r="A41">
        <v>-3</v>
      </c>
      <c r="B41" t="s">
        <v>41</v>
      </c>
      <c r="C41">
        <v>47.904000000000003</v>
      </c>
      <c r="D41">
        <v>239.75800000000001</v>
      </c>
      <c r="E41">
        <v>20040728</v>
      </c>
      <c r="G41">
        <v>145</v>
      </c>
      <c r="H41">
        <v>3</v>
      </c>
      <c r="I41">
        <v>0.43</v>
      </c>
      <c r="J41">
        <v>115</v>
      </c>
      <c r="K41">
        <v>0.04</v>
      </c>
      <c r="L41">
        <v>23.35</v>
      </c>
      <c r="M41">
        <v>32</v>
      </c>
      <c r="N41">
        <v>3.54</v>
      </c>
      <c r="O41">
        <v>17</v>
      </c>
      <c r="P41">
        <v>1915</v>
      </c>
      <c r="Q41">
        <v>6776</v>
      </c>
      <c r="R41">
        <v>3.06</v>
      </c>
      <c r="S41">
        <v>1723</v>
      </c>
      <c r="T41">
        <v>5269</v>
      </c>
      <c r="U41">
        <v>3.54</v>
      </c>
      <c r="V41">
        <v>1890</v>
      </c>
      <c r="W41">
        <v>6687</v>
      </c>
      <c r="X41">
        <v>-999</v>
      </c>
      <c r="Y41">
        <v>-999</v>
      </c>
      <c r="Z41">
        <v>-999</v>
      </c>
      <c r="AA41">
        <v>-999</v>
      </c>
      <c r="AB41">
        <v>15.25</v>
      </c>
      <c r="AC41">
        <v>16.079999999999998</v>
      </c>
      <c r="AD41">
        <v>3</v>
      </c>
      <c r="AE41">
        <v>3</v>
      </c>
      <c r="AF41">
        <v>16.21</v>
      </c>
      <c r="AG41">
        <v>6.94</v>
      </c>
      <c r="AH41">
        <v>1</v>
      </c>
      <c r="AI41">
        <v>1</v>
      </c>
      <c r="AJ41">
        <v>2</v>
      </c>
      <c r="AK41">
        <v>2.95</v>
      </c>
      <c r="AL41">
        <v>-1.96</v>
      </c>
      <c r="AM41">
        <v>3.65</v>
      </c>
      <c r="AN41">
        <v>-1.24</v>
      </c>
      <c r="AO41">
        <v>0.15</v>
      </c>
      <c r="AP41">
        <v>-0.64</v>
      </c>
      <c r="AQ41">
        <v>2.16</v>
      </c>
    </row>
    <row r="42" spans="1:43" x14ac:dyDescent="0.25">
      <c r="A42">
        <v>-3</v>
      </c>
      <c r="B42" t="s">
        <v>41</v>
      </c>
      <c r="C42">
        <v>47.904000000000003</v>
      </c>
      <c r="D42">
        <v>239.75800000000001</v>
      </c>
      <c r="E42">
        <v>20040729</v>
      </c>
      <c r="G42">
        <v>2300</v>
      </c>
      <c r="H42">
        <v>4</v>
      </c>
      <c r="I42">
        <v>2.34</v>
      </c>
      <c r="J42">
        <v>2155</v>
      </c>
      <c r="K42">
        <v>0.83</v>
      </c>
      <c r="L42">
        <v>23.55</v>
      </c>
      <c r="M42">
        <v>32</v>
      </c>
      <c r="N42">
        <v>6.03</v>
      </c>
      <c r="O42">
        <v>29</v>
      </c>
      <c r="P42">
        <v>1937</v>
      </c>
      <c r="Q42">
        <v>11673</v>
      </c>
      <c r="R42">
        <v>5.49</v>
      </c>
      <c r="S42">
        <v>1882</v>
      </c>
      <c r="T42">
        <v>10331</v>
      </c>
      <c r="U42">
        <v>6.03</v>
      </c>
      <c r="V42">
        <v>1912</v>
      </c>
      <c r="W42">
        <v>11520</v>
      </c>
      <c r="X42">
        <v>-999</v>
      </c>
      <c r="Y42">
        <v>-999</v>
      </c>
      <c r="Z42">
        <v>-999</v>
      </c>
      <c r="AA42">
        <v>-999</v>
      </c>
      <c r="AB42">
        <v>-999</v>
      </c>
      <c r="AC42">
        <v>-999</v>
      </c>
      <c r="AD42">
        <v>-999</v>
      </c>
      <c r="AE42">
        <v>-999</v>
      </c>
      <c r="AF42">
        <v>15.46</v>
      </c>
      <c r="AG42">
        <v>16.43</v>
      </c>
      <c r="AH42">
        <v>1</v>
      </c>
      <c r="AI42">
        <v>2</v>
      </c>
      <c r="AJ42">
        <v>3</v>
      </c>
      <c r="AK42">
        <v>5.56</v>
      </c>
      <c r="AL42">
        <v>-2.33</v>
      </c>
      <c r="AM42">
        <v>3.8</v>
      </c>
      <c r="AN42">
        <v>-1.89</v>
      </c>
      <c r="AO42">
        <v>3.66</v>
      </c>
      <c r="AP42">
        <v>-1.01</v>
      </c>
      <c r="AQ42">
        <v>-3.09</v>
      </c>
    </row>
    <row r="43" spans="1:43" x14ac:dyDescent="0.25">
      <c r="A43">
        <v>-3</v>
      </c>
      <c r="B43" t="s">
        <v>41</v>
      </c>
      <c r="C43">
        <v>47.904000000000003</v>
      </c>
      <c r="D43">
        <v>239.75800000000001</v>
      </c>
      <c r="E43">
        <v>20040730</v>
      </c>
      <c r="G43">
        <v>9800</v>
      </c>
      <c r="H43">
        <v>5</v>
      </c>
      <c r="I43">
        <v>3.33</v>
      </c>
      <c r="J43">
        <v>7500</v>
      </c>
      <c r="K43">
        <v>2.89</v>
      </c>
      <c r="L43">
        <v>22.44</v>
      </c>
      <c r="M43">
        <v>42</v>
      </c>
      <c r="N43">
        <v>4.0199999999999996</v>
      </c>
      <c r="O43">
        <v>17</v>
      </c>
      <c r="P43">
        <v>1548</v>
      </c>
      <c r="Q43">
        <v>6230</v>
      </c>
      <c r="R43">
        <v>3.76</v>
      </c>
      <c r="S43">
        <v>1455</v>
      </c>
      <c r="T43">
        <v>5467</v>
      </c>
      <c r="U43">
        <v>4.25</v>
      </c>
      <c r="V43">
        <v>1528</v>
      </c>
      <c r="W43">
        <v>6490</v>
      </c>
      <c r="X43">
        <v>-999</v>
      </c>
      <c r="Y43">
        <v>-999</v>
      </c>
      <c r="Z43">
        <v>-999</v>
      </c>
      <c r="AA43">
        <v>-999</v>
      </c>
      <c r="AB43">
        <v>-999</v>
      </c>
      <c r="AC43">
        <v>-999</v>
      </c>
      <c r="AD43">
        <v>-999</v>
      </c>
      <c r="AE43">
        <v>-999</v>
      </c>
      <c r="AF43">
        <v>19.36</v>
      </c>
      <c r="AG43">
        <v>15.92</v>
      </c>
      <c r="AH43">
        <v>2</v>
      </c>
      <c r="AI43">
        <v>2</v>
      </c>
      <c r="AJ43">
        <v>4</v>
      </c>
      <c r="AK43">
        <v>3.53</v>
      </c>
      <c r="AL43">
        <v>-1.92</v>
      </c>
      <c r="AM43">
        <v>7.46</v>
      </c>
      <c r="AN43">
        <v>-2.89</v>
      </c>
      <c r="AO43">
        <v>-0.48</v>
      </c>
      <c r="AP43">
        <v>-0.89</v>
      </c>
      <c r="AQ43">
        <v>8.0500000000000007</v>
      </c>
    </row>
    <row r="44" spans="1:43" x14ac:dyDescent="0.25">
      <c r="A44">
        <v>-3</v>
      </c>
      <c r="B44" t="s">
        <v>41</v>
      </c>
      <c r="C44">
        <v>47.904000000000003</v>
      </c>
      <c r="D44">
        <v>239.75800000000001</v>
      </c>
      <c r="E44">
        <v>20040731</v>
      </c>
      <c r="G44">
        <v>16200</v>
      </c>
      <c r="H44">
        <v>6</v>
      </c>
      <c r="I44">
        <v>1.84</v>
      </c>
      <c r="J44">
        <v>6400</v>
      </c>
      <c r="K44">
        <v>2.4700000000000002</v>
      </c>
      <c r="L44">
        <v>23.26</v>
      </c>
      <c r="M44">
        <v>34</v>
      </c>
      <c r="N44">
        <v>4.6100000000000003</v>
      </c>
      <c r="O44">
        <v>22</v>
      </c>
      <c r="P44">
        <v>1848</v>
      </c>
      <c r="Q44">
        <v>8524</v>
      </c>
      <c r="R44">
        <v>3.54</v>
      </c>
      <c r="S44">
        <v>2040</v>
      </c>
      <c r="T44">
        <v>7229</v>
      </c>
      <c r="U44">
        <v>4.6100000000000003</v>
      </c>
      <c r="V44">
        <v>2100</v>
      </c>
      <c r="W44">
        <v>9682</v>
      </c>
      <c r="X44">
        <v>-999</v>
      </c>
      <c r="Y44">
        <v>-999</v>
      </c>
      <c r="Z44">
        <v>-999</v>
      </c>
      <c r="AA44">
        <v>-999</v>
      </c>
      <c r="AB44">
        <v>-999</v>
      </c>
      <c r="AC44">
        <v>-999</v>
      </c>
      <c r="AD44">
        <v>-999</v>
      </c>
      <c r="AE44">
        <v>-999</v>
      </c>
      <c r="AF44">
        <v>18.850000000000001</v>
      </c>
      <c r="AG44">
        <v>19.48</v>
      </c>
      <c r="AH44">
        <v>2</v>
      </c>
      <c r="AI44">
        <v>2</v>
      </c>
      <c r="AJ44">
        <v>4</v>
      </c>
      <c r="AK44">
        <v>4.16</v>
      </c>
      <c r="AL44">
        <v>-1.99</v>
      </c>
      <c r="AM44">
        <v>6.98</v>
      </c>
      <c r="AN44">
        <v>-3.79</v>
      </c>
      <c r="AO44">
        <v>-2.5299999999999998</v>
      </c>
      <c r="AP44">
        <v>1.7</v>
      </c>
      <c r="AQ44">
        <v>-2.29</v>
      </c>
    </row>
    <row r="45" spans="1:43" x14ac:dyDescent="0.25">
      <c r="A45">
        <v>-3</v>
      </c>
      <c r="B45" t="s">
        <v>41</v>
      </c>
      <c r="C45">
        <v>47.904000000000003</v>
      </c>
      <c r="D45">
        <v>239.75800000000001</v>
      </c>
      <c r="E45">
        <v>20040801</v>
      </c>
      <c r="G45">
        <v>22200</v>
      </c>
      <c r="H45">
        <v>7</v>
      </c>
      <c r="I45">
        <v>1.42</v>
      </c>
      <c r="J45">
        <v>6000</v>
      </c>
      <c r="K45">
        <v>2.3199999999999998</v>
      </c>
      <c r="L45">
        <v>24.22</v>
      </c>
      <c r="M45">
        <v>22</v>
      </c>
      <c r="N45">
        <v>3.48</v>
      </c>
      <c r="O45">
        <v>19</v>
      </c>
      <c r="P45">
        <v>2310</v>
      </c>
      <c r="Q45">
        <v>8048</v>
      </c>
      <c r="R45">
        <v>3.57</v>
      </c>
      <c r="S45">
        <v>2321</v>
      </c>
      <c r="T45">
        <v>8279</v>
      </c>
      <c r="U45">
        <v>3.48</v>
      </c>
      <c r="V45">
        <v>2340</v>
      </c>
      <c r="W45">
        <v>8152</v>
      </c>
      <c r="X45">
        <v>-999</v>
      </c>
      <c r="Y45">
        <v>-999</v>
      </c>
      <c r="Z45">
        <v>-999</v>
      </c>
      <c r="AA45">
        <v>-999</v>
      </c>
      <c r="AB45">
        <v>-999</v>
      </c>
      <c r="AC45">
        <v>-999</v>
      </c>
      <c r="AD45">
        <v>-999</v>
      </c>
      <c r="AE45">
        <v>-999</v>
      </c>
      <c r="AF45">
        <v>19.38</v>
      </c>
      <c r="AG45">
        <v>24.51</v>
      </c>
      <c r="AH45">
        <v>2</v>
      </c>
      <c r="AI45">
        <v>3</v>
      </c>
      <c r="AJ45">
        <v>5</v>
      </c>
      <c r="AK45">
        <v>3.4</v>
      </c>
      <c r="AL45">
        <v>-0.74</v>
      </c>
      <c r="AM45">
        <v>4.45</v>
      </c>
      <c r="AN45">
        <v>-2.09</v>
      </c>
      <c r="AO45">
        <v>0.99</v>
      </c>
      <c r="AP45">
        <v>0.76</v>
      </c>
      <c r="AQ45">
        <v>-5.45</v>
      </c>
    </row>
    <row r="46" spans="1:43" x14ac:dyDescent="0.25">
      <c r="A46">
        <v>-3</v>
      </c>
      <c r="B46" t="s">
        <v>41</v>
      </c>
      <c r="C46">
        <v>47.904000000000003</v>
      </c>
      <c r="D46">
        <v>239.75800000000001</v>
      </c>
      <c r="E46">
        <v>20040802</v>
      </c>
      <c r="G46">
        <v>23120</v>
      </c>
      <c r="H46">
        <v>8</v>
      </c>
      <c r="I46">
        <v>0.2</v>
      </c>
      <c r="J46">
        <v>920</v>
      </c>
      <c r="K46">
        <v>0.36</v>
      </c>
      <c r="L46">
        <v>22.78</v>
      </c>
      <c r="M46">
        <v>30</v>
      </c>
      <c r="N46">
        <v>5.95</v>
      </c>
      <c r="O46">
        <v>29</v>
      </c>
      <c r="P46">
        <v>1906</v>
      </c>
      <c r="Q46">
        <v>11349</v>
      </c>
      <c r="R46">
        <v>5.95</v>
      </c>
      <c r="S46">
        <v>1926</v>
      </c>
      <c r="T46">
        <v>11457</v>
      </c>
      <c r="U46">
        <v>6.41</v>
      </c>
      <c r="V46">
        <v>1941</v>
      </c>
      <c r="W46">
        <v>12433</v>
      </c>
      <c r="X46">
        <v>-999</v>
      </c>
      <c r="Y46">
        <v>-999</v>
      </c>
      <c r="Z46">
        <v>-999</v>
      </c>
      <c r="AA46">
        <v>-999</v>
      </c>
      <c r="AB46">
        <v>-999</v>
      </c>
      <c r="AC46">
        <v>-999</v>
      </c>
      <c r="AD46">
        <v>-999</v>
      </c>
      <c r="AE46">
        <v>-999</v>
      </c>
      <c r="AF46">
        <v>22.81</v>
      </c>
      <c r="AG46">
        <v>23.12</v>
      </c>
      <c r="AH46">
        <v>3</v>
      </c>
      <c r="AI46">
        <v>3</v>
      </c>
      <c r="AJ46">
        <v>6</v>
      </c>
      <c r="AK46">
        <v>5.8</v>
      </c>
      <c r="AL46">
        <v>-1.36</v>
      </c>
      <c r="AM46">
        <v>5.44</v>
      </c>
      <c r="AN46">
        <v>-1.33</v>
      </c>
      <c r="AO46">
        <v>3.57</v>
      </c>
      <c r="AP46">
        <v>-0.39</v>
      </c>
      <c r="AQ46">
        <v>-2.59</v>
      </c>
    </row>
    <row r="47" spans="1:43" x14ac:dyDescent="0.25">
      <c r="A47">
        <v>-3</v>
      </c>
      <c r="B47" t="s">
        <v>41</v>
      </c>
      <c r="C47">
        <v>47.904000000000003</v>
      </c>
      <c r="D47">
        <v>239.75800000000001</v>
      </c>
      <c r="E47">
        <v>20040803</v>
      </c>
      <c r="G47">
        <v>23240</v>
      </c>
      <c r="H47">
        <v>9</v>
      </c>
      <c r="I47">
        <v>0.03</v>
      </c>
      <c r="J47">
        <v>120</v>
      </c>
      <c r="K47">
        <v>0.05</v>
      </c>
      <c r="L47">
        <v>19.13</v>
      </c>
      <c r="M47">
        <v>51</v>
      </c>
      <c r="N47">
        <v>5.7</v>
      </c>
      <c r="O47">
        <v>21</v>
      </c>
      <c r="P47">
        <v>1073</v>
      </c>
      <c r="Q47">
        <v>6112</v>
      </c>
      <c r="R47">
        <v>4.7300000000000004</v>
      </c>
      <c r="S47">
        <v>1045</v>
      </c>
      <c r="T47">
        <v>4946</v>
      </c>
      <c r="U47">
        <v>5.7</v>
      </c>
      <c r="V47">
        <v>1059</v>
      </c>
      <c r="W47">
        <v>6032</v>
      </c>
      <c r="X47">
        <v>-999</v>
      </c>
      <c r="Y47">
        <v>-999</v>
      </c>
      <c r="Z47">
        <v>-999</v>
      </c>
      <c r="AA47">
        <v>-999</v>
      </c>
      <c r="AB47">
        <v>-999</v>
      </c>
      <c r="AC47">
        <v>-999</v>
      </c>
      <c r="AD47">
        <v>-999</v>
      </c>
      <c r="AE47">
        <v>-999</v>
      </c>
      <c r="AF47">
        <v>17.809999999999999</v>
      </c>
      <c r="AG47">
        <v>4.7699999999999996</v>
      </c>
      <c r="AH47">
        <v>1</v>
      </c>
      <c r="AI47">
        <v>1</v>
      </c>
      <c r="AJ47">
        <v>2</v>
      </c>
      <c r="AK47">
        <v>5.51</v>
      </c>
      <c r="AL47">
        <v>-1.46</v>
      </c>
      <c r="AM47">
        <v>9.01</v>
      </c>
      <c r="AN47">
        <v>-1.72</v>
      </c>
      <c r="AO47">
        <v>-0.77</v>
      </c>
      <c r="AP47">
        <v>-2.48</v>
      </c>
      <c r="AQ47">
        <v>23.66</v>
      </c>
    </row>
    <row r="48" spans="1:43" x14ac:dyDescent="0.25">
      <c r="A48">
        <v>-3</v>
      </c>
      <c r="B48" t="s">
        <v>41</v>
      </c>
      <c r="C48">
        <v>47.904000000000003</v>
      </c>
      <c r="D48">
        <v>239.75800000000001</v>
      </c>
      <c r="E48">
        <v>20040804</v>
      </c>
      <c r="G48">
        <v>25260</v>
      </c>
      <c r="H48">
        <v>10</v>
      </c>
      <c r="I48">
        <v>0.42</v>
      </c>
      <c r="J48">
        <v>2020</v>
      </c>
      <c r="K48">
        <v>0.78</v>
      </c>
      <c r="L48">
        <v>19.87</v>
      </c>
      <c r="M48">
        <v>38</v>
      </c>
      <c r="N48">
        <v>3.83</v>
      </c>
      <c r="O48">
        <v>17</v>
      </c>
      <c r="P48">
        <v>1419</v>
      </c>
      <c r="Q48">
        <v>5438</v>
      </c>
      <c r="R48">
        <v>3.47</v>
      </c>
      <c r="S48">
        <v>1371</v>
      </c>
      <c r="T48">
        <v>4753</v>
      </c>
      <c r="U48">
        <v>3.83</v>
      </c>
      <c r="V48">
        <v>1401</v>
      </c>
      <c r="W48">
        <v>5367</v>
      </c>
      <c r="X48">
        <v>-999</v>
      </c>
      <c r="Y48">
        <v>-999</v>
      </c>
      <c r="Z48">
        <v>-999</v>
      </c>
      <c r="AA48">
        <v>-999</v>
      </c>
      <c r="AB48">
        <v>-999</v>
      </c>
      <c r="AC48">
        <v>-999</v>
      </c>
      <c r="AD48">
        <v>-999</v>
      </c>
      <c r="AE48">
        <v>-999</v>
      </c>
      <c r="AF48">
        <v>17.13</v>
      </c>
      <c r="AG48">
        <v>2.93</v>
      </c>
      <c r="AH48">
        <v>1</v>
      </c>
      <c r="AI48">
        <v>1</v>
      </c>
      <c r="AJ48">
        <v>2</v>
      </c>
      <c r="AK48">
        <v>2.76</v>
      </c>
      <c r="AL48">
        <v>2.66</v>
      </c>
      <c r="AM48">
        <v>8.24</v>
      </c>
      <c r="AN48">
        <v>-4.2</v>
      </c>
      <c r="AO48">
        <v>-6.01</v>
      </c>
      <c r="AP48">
        <v>8.94</v>
      </c>
      <c r="AQ48">
        <v>-48.45</v>
      </c>
    </row>
    <row r="49" spans="1:43" x14ac:dyDescent="0.25">
      <c r="A49">
        <v>-3</v>
      </c>
      <c r="B49" t="s">
        <v>41</v>
      </c>
      <c r="C49">
        <v>47.904000000000003</v>
      </c>
      <c r="D49">
        <v>239.75800000000001</v>
      </c>
      <c r="E49">
        <v>20040805</v>
      </c>
      <c r="G49">
        <v>28500</v>
      </c>
      <c r="H49">
        <v>11</v>
      </c>
      <c r="I49">
        <v>0.64</v>
      </c>
      <c r="J49">
        <v>3240</v>
      </c>
      <c r="K49">
        <v>1.25</v>
      </c>
      <c r="L49">
        <v>15.11</v>
      </c>
      <c r="M49">
        <v>52</v>
      </c>
      <c r="N49">
        <v>4.76</v>
      </c>
      <c r="O49">
        <v>17</v>
      </c>
      <c r="P49">
        <v>819</v>
      </c>
      <c r="Q49">
        <v>3901</v>
      </c>
      <c r="R49">
        <v>3.93</v>
      </c>
      <c r="S49">
        <v>556</v>
      </c>
      <c r="T49">
        <v>2187</v>
      </c>
      <c r="U49">
        <v>4.76</v>
      </c>
      <c r="V49">
        <v>809</v>
      </c>
      <c r="W49">
        <v>3850</v>
      </c>
      <c r="X49">
        <v>-999</v>
      </c>
      <c r="Y49">
        <v>-999</v>
      </c>
      <c r="Z49">
        <v>-999</v>
      </c>
      <c r="AA49">
        <v>-999</v>
      </c>
      <c r="AB49">
        <v>-999</v>
      </c>
      <c r="AC49">
        <v>-999</v>
      </c>
      <c r="AD49">
        <v>-999</v>
      </c>
      <c r="AE49">
        <v>-999</v>
      </c>
      <c r="AF49">
        <v>14.25</v>
      </c>
      <c r="AG49">
        <v>0.55000000000000004</v>
      </c>
      <c r="AH49">
        <v>1</v>
      </c>
      <c r="AI49">
        <v>1</v>
      </c>
      <c r="AJ49">
        <v>2</v>
      </c>
      <c r="AK49">
        <v>4.76</v>
      </c>
      <c r="AL49">
        <v>0.2</v>
      </c>
      <c r="AM49">
        <v>2.23</v>
      </c>
      <c r="AN49">
        <v>4.74</v>
      </c>
      <c r="AO49">
        <v>6.06</v>
      </c>
      <c r="AP49">
        <v>-4.1900000000000004</v>
      </c>
      <c r="AQ49">
        <v>38.090000000000003</v>
      </c>
    </row>
    <row r="51" spans="1:43" x14ac:dyDescent="0.25">
      <c r="A51">
        <v>-4</v>
      </c>
      <c r="B51" t="s">
        <v>42</v>
      </c>
      <c r="C51">
        <v>42.527999999999999</v>
      </c>
      <c r="D51">
        <f>236.429-360</f>
        <v>-123.571</v>
      </c>
      <c r="E51">
        <v>20180715</v>
      </c>
      <c r="F51">
        <v>20180624</v>
      </c>
      <c r="G51">
        <v>0</v>
      </c>
      <c r="H51">
        <v>1</v>
      </c>
      <c r="I51">
        <v>0</v>
      </c>
      <c r="J51">
        <v>0</v>
      </c>
      <c r="K51">
        <v>0</v>
      </c>
      <c r="L51">
        <v>34.369999999999997</v>
      </c>
      <c r="M51">
        <v>28.2</v>
      </c>
      <c r="N51">
        <v>0.97</v>
      </c>
      <c r="O51">
        <v>5</v>
      </c>
      <c r="P51">
        <v>3738</v>
      </c>
      <c r="Q51">
        <v>3630</v>
      </c>
      <c r="R51">
        <v>1.36</v>
      </c>
      <c r="S51">
        <v>3325</v>
      </c>
      <c r="T51">
        <v>4529</v>
      </c>
      <c r="U51">
        <v>1.52</v>
      </c>
      <c r="V51">
        <v>3689</v>
      </c>
      <c r="W51">
        <v>5591</v>
      </c>
      <c r="X51">
        <v>-999</v>
      </c>
      <c r="Y51">
        <v>-999</v>
      </c>
      <c r="Z51">
        <v>-999</v>
      </c>
      <c r="AA51">
        <v>-999</v>
      </c>
      <c r="AB51">
        <v>13.04</v>
      </c>
      <c r="AC51">
        <v>12.96</v>
      </c>
      <c r="AD51">
        <v>3</v>
      </c>
      <c r="AE51">
        <v>2</v>
      </c>
      <c r="AF51">
        <v>21.72</v>
      </c>
      <c r="AG51">
        <v>9.98</v>
      </c>
      <c r="AH51">
        <v>2</v>
      </c>
      <c r="AI51">
        <v>1</v>
      </c>
      <c r="AJ51">
        <v>3</v>
      </c>
      <c r="AK51">
        <v>0.1</v>
      </c>
      <c r="AL51">
        <v>-0.97</v>
      </c>
      <c r="AM51">
        <v>-1.1399999999999999</v>
      </c>
      <c r="AN51">
        <v>-3.37</v>
      </c>
      <c r="AO51">
        <v>1.1000000000000001</v>
      </c>
      <c r="AP51">
        <v>2.6</v>
      </c>
      <c r="AQ51">
        <v>-0.73</v>
      </c>
    </row>
    <row r="52" spans="1:43" x14ac:dyDescent="0.25">
      <c r="A52">
        <v>-4</v>
      </c>
      <c r="B52" t="s">
        <v>42</v>
      </c>
      <c r="C52">
        <v>42.527999999999999</v>
      </c>
      <c r="D52">
        <f t="shared" ref="D52:D79" si="2">236.429-360</f>
        <v>-123.571</v>
      </c>
      <c r="E52">
        <v>20180716</v>
      </c>
      <c r="G52">
        <v>0</v>
      </c>
      <c r="H52">
        <v>2</v>
      </c>
      <c r="I52">
        <v>0</v>
      </c>
      <c r="J52">
        <v>0</v>
      </c>
      <c r="K52">
        <v>0</v>
      </c>
      <c r="L52">
        <v>35.49</v>
      </c>
      <c r="M52">
        <v>28.2</v>
      </c>
      <c r="N52">
        <v>2.95</v>
      </c>
      <c r="O52">
        <v>15</v>
      </c>
      <c r="P52">
        <v>3963</v>
      </c>
      <c r="Q52">
        <v>11672</v>
      </c>
      <c r="R52">
        <v>3.54</v>
      </c>
      <c r="S52">
        <v>3541</v>
      </c>
      <c r="T52">
        <v>12536</v>
      </c>
      <c r="U52">
        <v>3.76</v>
      </c>
      <c r="V52">
        <v>3911</v>
      </c>
      <c r="W52">
        <v>14703</v>
      </c>
      <c r="X52">
        <v>-999</v>
      </c>
      <c r="Y52">
        <v>-999</v>
      </c>
      <c r="Z52">
        <v>-999</v>
      </c>
      <c r="AA52">
        <v>-999</v>
      </c>
      <c r="AB52">
        <v>15.31</v>
      </c>
      <c r="AC52">
        <v>13.06</v>
      </c>
      <c r="AD52">
        <v>3</v>
      </c>
      <c r="AE52">
        <v>3</v>
      </c>
      <c r="AF52">
        <v>19.399999999999999</v>
      </c>
      <c r="AG52">
        <v>6.02</v>
      </c>
      <c r="AH52">
        <v>2</v>
      </c>
      <c r="AI52">
        <v>1</v>
      </c>
      <c r="AJ52">
        <v>3</v>
      </c>
      <c r="AK52">
        <v>0.41</v>
      </c>
      <c r="AL52">
        <v>-2.92</v>
      </c>
      <c r="AM52">
        <v>-0.04</v>
      </c>
      <c r="AN52">
        <v>-0.77</v>
      </c>
      <c r="AO52">
        <v>-0.4</v>
      </c>
      <c r="AP52">
        <v>-2.1800000000000002</v>
      </c>
      <c r="AQ52">
        <v>0.21</v>
      </c>
    </row>
    <row r="53" spans="1:43" x14ac:dyDescent="0.25">
      <c r="A53">
        <v>-4</v>
      </c>
      <c r="B53" t="s">
        <v>42</v>
      </c>
      <c r="C53">
        <v>42.527999999999999</v>
      </c>
      <c r="D53">
        <f t="shared" si="2"/>
        <v>-123.571</v>
      </c>
      <c r="E53">
        <v>20180717</v>
      </c>
      <c r="G53">
        <v>0</v>
      </c>
      <c r="H53">
        <v>3</v>
      </c>
      <c r="I53">
        <v>0</v>
      </c>
      <c r="J53">
        <v>0</v>
      </c>
      <c r="K53">
        <v>0</v>
      </c>
      <c r="L53">
        <v>34.67</v>
      </c>
      <c r="M53">
        <v>20</v>
      </c>
      <c r="N53">
        <v>2.97</v>
      </c>
      <c r="O53">
        <v>17</v>
      </c>
      <c r="P53">
        <v>4234</v>
      </c>
      <c r="Q53">
        <v>12585</v>
      </c>
      <c r="R53">
        <v>4.28</v>
      </c>
      <c r="S53">
        <v>3691</v>
      </c>
      <c r="T53">
        <v>15797</v>
      </c>
      <c r="U53">
        <v>4.7</v>
      </c>
      <c r="V53">
        <v>4179</v>
      </c>
      <c r="W53">
        <v>19635</v>
      </c>
      <c r="X53">
        <v>-999</v>
      </c>
      <c r="Y53">
        <v>-999</v>
      </c>
      <c r="Z53">
        <v>-999</v>
      </c>
      <c r="AA53">
        <v>-999</v>
      </c>
      <c r="AB53">
        <v>11.71</v>
      </c>
      <c r="AC53">
        <v>18.03</v>
      </c>
      <c r="AD53">
        <v>3</v>
      </c>
      <c r="AE53">
        <v>3</v>
      </c>
      <c r="AF53">
        <v>19.25</v>
      </c>
      <c r="AG53">
        <v>30.49</v>
      </c>
      <c r="AH53">
        <v>2</v>
      </c>
      <c r="AI53">
        <v>3</v>
      </c>
      <c r="AJ53">
        <v>5</v>
      </c>
      <c r="AK53">
        <v>0.09</v>
      </c>
      <c r="AL53">
        <v>-2.97</v>
      </c>
      <c r="AM53">
        <v>-0.44</v>
      </c>
      <c r="AN53">
        <v>-2.95</v>
      </c>
      <c r="AO53">
        <v>0.31</v>
      </c>
      <c r="AP53">
        <v>-0.92</v>
      </c>
      <c r="AQ53">
        <v>-1.33</v>
      </c>
    </row>
    <row r="54" spans="1:43" x14ac:dyDescent="0.25">
      <c r="A54">
        <v>-4</v>
      </c>
      <c r="B54" t="s">
        <v>42</v>
      </c>
      <c r="C54">
        <v>42.527999999999999</v>
      </c>
      <c r="D54">
        <f t="shared" si="2"/>
        <v>-123.571</v>
      </c>
      <c r="E54">
        <v>20180718</v>
      </c>
      <c r="G54">
        <v>0</v>
      </c>
      <c r="H54">
        <v>4</v>
      </c>
      <c r="I54">
        <v>0</v>
      </c>
      <c r="J54">
        <v>0</v>
      </c>
      <c r="K54">
        <v>0</v>
      </c>
      <c r="L54">
        <v>30.04</v>
      </c>
      <c r="M54">
        <v>33.799999999999997</v>
      </c>
      <c r="N54">
        <v>4.43</v>
      </c>
      <c r="O54">
        <v>21</v>
      </c>
      <c r="P54">
        <v>2733</v>
      </c>
      <c r="Q54">
        <v>12113</v>
      </c>
      <c r="R54">
        <v>6.07</v>
      </c>
      <c r="S54">
        <v>2462</v>
      </c>
      <c r="T54">
        <v>14942</v>
      </c>
      <c r="U54">
        <v>6.69</v>
      </c>
      <c r="V54">
        <v>2697</v>
      </c>
      <c r="W54">
        <v>18031</v>
      </c>
      <c r="X54">
        <v>-999</v>
      </c>
      <c r="Y54">
        <v>-999</v>
      </c>
      <c r="Z54">
        <v>-999</v>
      </c>
      <c r="AA54">
        <v>-999</v>
      </c>
      <c r="AB54">
        <v>7.24</v>
      </c>
      <c r="AC54">
        <v>10.95</v>
      </c>
      <c r="AD54">
        <v>2</v>
      </c>
      <c r="AE54">
        <v>2</v>
      </c>
      <c r="AF54">
        <v>18.62</v>
      </c>
      <c r="AG54">
        <v>38.369999999999997</v>
      </c>
      <c r="AH54">
        <v>2</v>
      </c>
      <c r="AI54">
        <v>3</v>
      </c>
      <c r="AJ54">
        <v>5</v>
      </c>
      <c r="AK54">
        <v>-1.84</v>
      </c>
      <c r="AL54">
        <v>-4.03</v>
      </c>
      <c r="AM54">
        <v>-0.13</v>
      </c>
      <c r="AN54">
        <v>-3.87</v>
      </c>
      <c r="AO54">
        <v>-3.12</v>
      </c>
      <c r="AP54">
        <v>-1.93</v>
      </c>
      <c r="AQ54">
        <v>11.82</v>
      </c>
    </row>
    <row r="55" spans="1:43" x14ac:dyDescent="0.25">
      <c r="A55">
        <v>-4</v>
      </c>
      <c r="B55" t="s">
        <v>42</v>
      </c>
      <c r="C55">
        <v>42.527999999999999</v>
      </c>
      <c r="D55">
        <f t="shared" si="2"/>
        <v>-123.571</v>
      </c>
      <c r="E55">
        <v>20180719</v>
      </c>
      <c r="G55">
        <v>449</v>
      </c>
      <c r="H55">
        <v>5</v>
      </c>
      <c r="I55">
        <v>2.8</v>
      </c>
      <c r="J55">
        <v>449</v>
      </c>
      <c r="K55">
        <v>0.27</v>
      </c>
      <c r="L55">
        <v>28.41</v>
      </c>
      <c r="M55">
        <v>45.7</v>
      </c>
      <c r="N55">
        <v>4.28</v>
      </c>
      <c r="O55">
        <v>18</v>
      </c>
      <c r="P55">
        <v>2048</v>
      </c>
      <c r="Q55">
        <v>8768</v>
      </c>
      <c r="R55">
        <v>5.36</v>
      </c>
      <c r="S55">
        <v>1992</v>
      </c>
      <c r="T55">
        <v>10678</v>
      </c>
      <c r="U55">
        <v>5.78</v>
      </c>
      <c r="V55">
        <v>2021</v>
      </c>
      <c r="W55">
        <v>11688</v>
      </c>
      <c r="X55">
        <v>-999</v>
      </c>
      <c r="Y55">
        <v>-999</v>
      </c>
      <c r="Z55">
        <v>-999</v>
      </c>
      <c r="AA55">
        <v>-999</v>
      </c>
      <c r="AB55">
        <v>7.72</v>
      </c>
      <c r="AC55">
        <v>14.24</v>
      </c>
      <c r="AD55">
        <v>2</v>
      </c>
      <c r="AE55">
        <v>3</v>
      </c>
      <c r="AF55">
        <v>17.66</v>
      </c>
      <c r="AG55">
        <v>31.66</v>
      </c>
      <c r="AH55">
        <v>1</v>
      </c>
      <c r="AI55">
        <v>3</v>
      </c>
      <c r="AJ55">
        <v>4</v>
      </c>
      <c r="AK55">
        <v>-1.28</v>
      </c>
      <c r="AL55">
        <v>-4.09</v>
      </c>
      <c r="AM55">
        <v>-3.25</v>
      </c>
      <c r="AN55">
        <v>-5.79</v>
      </c>
      <c r="AO55">
        <v>0.65</v>
      </c>
      <c r="AP55">
        <v>-0.37</v>
      </c>
      <c r="AQ55">
        <v>-4.95</v>
      </c>
    </row>
    <row r="56" spans="1:43" x14ac:dyDescent="0.25">
      <c r="A56">
        <v>-4</v>
      </c>
      <c r="B56" t="s">
        <v>42</v>
      </c>
      <c r="C56">
        <v>42.527999999999999</v>
      </c>
      <c r="D56">
        <f t="shared" si="2"/>
        <v>-123.571</v>
      </c>
      <c r="E56">
        <v>20180720</v>
      </c>
      <c r="G56">
        <v>2916</v>
      </c>
      <c r="H56">
        <v>6</v>
      </c>
      <c r="I56">
        <v>4.33</v>
      </c>
      <c r="J56">
        <v>2467</v>
      </c>
      <c r="K56">
        <v>1.48</v>
      </c>
      <c r="L56">
        <v>26.85</v>
      </c>
      <c r="M56">
        <v>28.2</v>
      </c>
      <c r="N56">
        <v>4.34</v>
      </c>
      <c r="O56">
        <v>22</v>
      </c>
      <c r="P56">
        <v>2480</v>
      </c>
      <c r="Q56">
        <v>10760</v>
      </c>
      <c r="R56">
        <v>5.91</v>
      </c>
      <c r="S56">
        <v>2197</v>
      </c>
      <c r="T56">
        <v>12990</v>
      </c>
      <c r="U56">
        <v>6.47</v>
      </c>
      <c r="V56">
        <v>2447</v>
      </c>
      <c r="W56">
        <v>15825</v>
      </c>
      <c r="X56">
        <v>-999</v>
      </c>
      <c r="Y56">
        <v>-999</v>
      </c>
      <c r="Z56">
        <v>-999</v>
      </c>
      <c r="AA56">
        <v>-999</v>
      </c>
      <c r="AB56">
        <v>6.81</v>
      </c>
      <c r="AC56">
        <v>25.22</v>
      </c>
      <c r="AD56">
        <v>2</v>
      </c>
      <c r="AE56">
        <v>3</v>
      </c>
      <c r="AF56">
        <v>18.59</v>
      </c>
      <c r="AG56">
        <v>36.19</v>
      </c>
      <c r="AH56">
        <v>2</v>
      </c>
      <c r="AI56">
        <v>3</v>
      </c>
      <c r="AJ56">
        <v>5</v>
      </c>
      <c r="AK56">
        <v>-1.98</v>
      </c>
      <c r="AL56">
        <v>-3.86</v>
      </c>
      <c r="AM56">
        <v>-2.6</v>
      </c>
      <c r="AN56">
        <v>-6.16</v>
      </c>
      <c r="AO56">
        <v>-1.06</v>
      </c>
      <c r="AP56">
        <v>0</v>
      </c>
      <c r="AQ56">
        <v>6.53</v>
      </c>
    </row>
    <row r="57" spans="1:43" x14ac:dyDescent="0.25">
      <c r="A57">
        <v>-4</v>
      </c>
      <c r="B57" t="s">
        <v>42</v>
      </c>
      <c r="C57">
        <v>42.527999999999999</v>
      </c>
      <c r="D57">
        <f t="shared" si="2"/>
        <v>-123.571</v>
      </c>
      <c r="E57">
        <v>20180721</v>
      </c>
      <c r="G57">
        <v>5111</v>
      </c>
      <c r="H57">
        <v>7</v>
      </c>
      <c r="I57">
        <v>2.31</v>
      </c>
      <c r="J57">
        <v>2195</v>
      </c>
      <c r="K57">
        <v>1.32</v>
      </c>
      <c r="L57">
        <v>28.16</v>
      </c>
      <c r="M57">
        <v>24.6</v>
      </c>
      <c r="N57">
        <v>3.62</v>
      </c>
      <c r="O57">
        <v>19</v>
      </c>
      <c r="P57">
        <v>2803</v>
      </c>
      <c r="Q57">
        <v>10155</v>
      </c>
      <c r="R57">
        <v>4.97</v>
      </c>
      <c r="S57">
        <v>2524</v>
      </c>
      <c r="T57">
        <v>12548</v>
      </c>
      <c r="U57">
        <v>5.47</v>
      </c>
      <c r="V57">
        <v>2767</v>
      </c>
      <c r="W57">
        <v>15122</v>
      </c>
      <c r="X57">
        <v>-999</v>
      </c>
      <c r="Y57">
        <v>-999</v>
      </c>
      <c r="Z57">
        <v>-999</v>
      </c>
      <c r="AA57">
        <v>-999</v>
      </c>
      <c r="AB57">
        <v>7.41</v>
      </c>
      <c r="AC57">
        <v>16.239999999999998</v>
      </c>
      <c r="AD57">
        <v>2</v>
      </c>
      <c r="AE57">
        <v>3</v>
      </c>
      <c r="AF57">
        <v>18.2</v>
      </c>
      <c r="AG57">
        <v>34.15</v>
      </c>
      <c r="AH57">
        <v>2</v>
      </c>
      <c r="AI57">
        <v>3</v>
      </c>
      <c r="AJ57">
        <v>5</v>
      </c>
      <c r="AK57">
        <v>-1.97</v>
      </c>
      <c r="AL57">
        <v>-3.04</v>
      </c>
      <c r="AM57">
        <v>-3.66</v>
      </c>
      <c r="AN57">
        <v>-6.16</v>
      </c>
      <c r="AO57">
        <v>0.14000000000000001</v>
      </c>
      <c r="AP57">
        <v>0.73</v>
      </c>
      <c r="AQ57">
        <v>1.83</v>
      </c>
    </row>
    <row r="58" spans="1:43" x14ac:dyDescent="0.25">
      <c r="A58">
        <v>-4</v>
      </c>
      <c r="B58" t="s">
        <v>42</v>
      </c>
      <c r="C58">
        <v>42.527999999999999</v>
      </c>
      <c r="D58">
        <f t="shared" si="2"/>
        <v>-123.571</v>
      </c>
      <c r="E58">
        <v>20180722</v>
      </c>
      <c r="G58">
        <v>7512</v>
      </c>
      <c r="H58">
        <v>8</v>
      </c>
      <c r="I58">
        <v>2</v>
      </c>
      <c r="J58">
        <v>2401</v>
      </c>
      <c r="K58">
        <v>1.44</v>
      </c>
      <c r="L58">
        <v>32.67</v>
      </c>
      <c r="M58">
        <v>23.7</v>
      </c>
      <c r="N58">
        <v>1.82</v>
      </c>
      <c r="O58">
        <v>10</v>
      </c>
      <c r="P58">
        <v>3632</v>
      </c>
      <c r="Q58">
        <v>6612</v>
      </c>
      <c r="R58">
        <v>2.4</v>
      </c>
      <c r="S58">
        <v>3235</v>
      </c>
      <c r="T58">
        <v>7777</v>
      </c>
      <c r="U58">
        <v>2.64</v>
      </c>
      <c r="V58">
        <v>3585</v>
      </c>
      <c r="W58">
        <v>9474</v>
      </c>
      <c r="X58">
        <v>-999</v>
      </c>
      <c r="Y58">
        <v>-999</v>
      </c>
      <c r="Z58">
        <v>-999</v>
      </c>
      <c r="AA58">
        <v>-999</v>
      </c>
      <c r="AB58">
        <v>11.39</v>
      </c>
      <c r="AC58">
        <v>15.31</v>
      </c>
      <c r="AD58">
        <v>3</v>
      </c>
      <c r="AE58">
        <v>3</v>
      </c>
      <c r="AF58">
        <v>18.8</v>
      </c>
      <c r="AG58">
        <v>22.57</v>
      </c>
      <c r="AH58">
        <v>2</v>
      </c>
      <c r="AI58">
        <v>3</v>
      </c>
      <c r="AJ58">
        <v>5</v>
      </c>
      <c r="AK58">
        <v>0.75</v>
      </c>
      <c r="AL58">
        <v>-1.66</v>
      </c>
      <c r="AM58">
        <v>-3.52</v>
      </c>
      <c r="AN58">
        <v>-5.43</v>
      </c>
      <c r="AO58">
        <v>3.94</v>
      </c>
      <c r="AP58">
        <v>4.1900000000000004</v>
      </c>
      <c r="AQ58">
        <v>-6.62</v>
      </c>
    </row>
    <row r="59" spans="1:43" x14ac:dyDescent="0.25">
      <c r="A59">
        <v>-4</v>
      </c>
      <c r="B59" t="s">
        <v>42</v>
      </c>
      <c r="C59">
        <v>42.527999999999999</v>
      </c>
      <c r="D59">
        <f t="shared" si="2"/>
        <v>-123.571</v>
      </c>
      <c r="E59">
        <v>20180723</v>
      </c>
      <c r="G59">
        <v>8879</v>
      </c>
      <c r="H59">
        <v>9</v>
      </c>
      <c r="I59">
        <v>1</v>
      </c>
      <c r="J59">
        <v>1367</v>
      </c>
      <c r="K59">
        <v>0.82</v>
      </c>
      <c r="L59">
        <v>33.96</v>
      </c>
      <c r="M59">
        <v>30.7</v>
      </c>
      <c r="N59">
        <v>2.27</v>
      </c>
      <c r="O59">
        <v>12</v>
      </c>
      <c r="P59">
        <v>3535</v>
      </c>
      <c r="Q59">
        <v>8036</v>
      </c>
      <c r="R59">
        <v>2.73</v>
      </c>
      <c r="S59">
        <v>3025</v>
      </c>
      <c r="T59">
        <v>8270</v>
      </c>
      <c r="U59">
        <v>2.91</v>
      </c>
      <c r="V59">
        <v>3489</v>
      </c>
      <c r="W59">
        <v>10162</v>
      </c>
      <c r="X59">
        <v>-999</v>
      </c>
      <c r="Y59">
        <v>-999</v>
      </c>
      <c r="Z59">
        <v>-999</v>
      </c>
      <c r="AA59">
        <v>-999</v>
      </c>
      <c r="AB59">
        <v>12.23</v>
      </c>
      <c r="AC59">
        <v>10.66</v>
      </c>
      <c r="AD59">
        <v>3</v>
      </c>
      <c r="AE59">
        <v>2</v>
      </c>
      <c r="AF59">
        <v>17.829999999999998</v>
      </c>
      <c r="AG59">
        <v>12.68</v>
      </c>
      <c r="AH59">
        <v>1</v>
      </c>
      <c r="AI59">
        <v>1</v>
      </c>
      <c r="AJ59">
        <v>2</v>
      </c>
      <c r="AK59">
        <v>-0.26</v>
      </c>
      <c r="AL59">
        <v>-2.2599999999999998</v>
      </c>
      <c r="AM59">
        <v>0.41</v>
      </c>
      <c r="AN59">
        <v>-1.24</v>
      </c>
      <c r="AO59">
        <v>-1.01</v>
      </c>
      <c r="AP59">
        <v>-0.32</v>
      </c>
      <c r="AQ59">
        <v>1.39</v>
      </c>
    </row>
    <row r="60" spans="1:43" x14ac:dyDescent="0.25">
      <c r="A60">
        <v>-4</v>
      </c>
      <c r="B60" t="s">
        <v>42</v>
      </c>
      <c r="C60">
        <v>42.527999999999999</v>
      </c>
      <c r="D60">
        <f t="shared" si="2"/>
        <v>-123.571</v>
      </c>
      <c r="E60">
        <v>20180724</v>
      </c>
      <c r="G60">
        <v>10629</v>
      </c>
      <c r="H60">
        <v>10</v>
      </c>
      <c r="I60">
        <v>1.17</v>
      </c>
      <c r="J60">
        <v>1750</v>
      </c>
      <c r="K60">
        <v>1.05</v>
      </c>
      <c r="L60">
        <v>35.01</v>
      </c>
      <c r="M60">
        <v>26.1</v>
      </c>
      <c r="N60">
        <v>3.06</v>
      </c>
      <c r="O60">
        <v>16</v>
      </c>
      <c r="P60">
        <v>3981</v>
      </c>
      <c r="Q60">
        <v>12177</v>
      </c>
      <c r="R60">
        <v>3.45</v>
      </c>
      <c r="S60">
        <v>3439</v>
      </c>
      <c r="T60">
        <v>11856</v>
      </c>
      <c r="U60">
        <v>3.62</v>
      </c>
      <c r="V60">
        <v>3928</v>
      </c>
      <c r="W60">
        <v>14215</v>
      </c>
      <c r="X60">
        <v>-999</v>
      </c>
      <c r="Y60">
        <v>-999</v>
      </c>
      <c r="Z60">
        <v>-999</v>
      </c>
      <c r="AA60">
        <v>-999</v>
      </c>
      <c r="AB60">
        <v>13.11</v>
      </c>
      <c r="AC60">
        <v>12.65</v>
      </c>
      <c r="AD60">
        <v>3</v>
      </c>
      <c r="AE60">
        <v>2</v>
      </c>
      <c r="AF60">
        <v>19.18</v>
      </c>
      <c r="AG60">
        <v>11.14</v>
      </c>
      <c r="AH60">
        <v>2</v>
      </c>
      <c r="AI60">
        <v>1</v>
      </c>
      <c r="AJ60">
        <v>3</v>
      </c>
      <c r="AK60">
        <v>-0.05</v>
      </c>
      <c r="AL60">
        <v>-3.06</v>
      </c>
      <c r="AM60">
        <v>-0.6</v>
      </c>
      <c r="AN60">
        <v>-1.56</v>
      </c>
      <c r="AO60">
        <v>-0.28999999999999998</v>
      </c>
      <c r="AP60">
        <v>-1.77</v>
      </c>
      <c r="AQ60">
        <v>-0.6</v>
      </c>
    </row>
    <row r="61" spans="1:43" x14ac:dyDescent="0.25">
      <c r="A61">
        <v>-4</v>
      </c>
      <c r="B61" t="s">
        <v>42</v>
      </c>
      <c r="C61">
        <v>42.527999999999999</v>
      </c>
      <c r="D61">
        <f t="shared" si="2"/>
        <v>-123.571</v>
      </c>
      <c r="E61">
        <v>20180725</v>
      </c>
      <c r="G61">
        <v>11693</v>
      </c>
      <c r="H61">
        <v>11</v>
      </c>
      <c r="I61">
        <v>0.67</v>
      </c>
      <c r="J61">
        <v>1064</v>
      </c>
      <c r="K61">
        <v>0.64</v>
      </c>
      <c r="L61">
        <v>34.89</v>
      </c>
      <c r="M61">
        <v>26.6</v>
      </c>
      <c r="N61">
        <v>2.87</v>
      </c>
      <c r="O61">
        <v>15</v>
      </c>
      <c r="P61">
        <v>3931</v>
      </c>
      <c r="Q61">
        <v>11268</v>
      </c>
      <c r="R61">
        <v>3.12</v>
      </c>
      <c r="S61">
        <v>3547</v>
      </c>
      <c r="T61">
        <v>11051</v>
      </c>
      <c r="U61">
        <v>3.25</v>
      </c>
      <c r="V61">
        <v>3880</v>
      </c>
      <c r="W61">
        <v>12620</v>
      </c>
      <c r="X61">
        <v>-999</v>
      </c>
      <c r="Y61">
        <v>-999</v>
      </c>
      <c r="Z61">
        <v>-999</v>
      </c>
      <c r="AA61">
        <v>-999</v>
      </c>
      <c r="AB61">
        <v>13.23</v>
      </c>
      <c r="AC61">
        <v>14.05</v>
      </c>
      <c r="AD61">
        <v>3</v>
      </c>
      <c r="AE61">
        <v>3</v>
      </c>
      <c r="AF61">
        <v>19.3</v>
      </c>
      <c r="AG61">
        <v>14.07</v>
      </c>
      <c r="AH61">
        <v>2</v>
      </c>
      <c r="AI61">
        <v>1</v>
      </c>
      <c r="AJ61">
        <v>3</v>
      </c>
      <c r="AK61">
        <v>-0.17</v>
      </c>
      <c r="AL61">
        <v>-2.86</v>
      </c>
      <c r="AM61">
        <v>-0.89</v>
      </c>
      <c r="AN61">
        <v>-3.33</v>
      </c>
      <c r="AO61">
        <v>0.63</v>
      </c>
      <c r="AP61">
        <v>0.6</v>
      </c>
      <c r="AQ61">
        <v>-1.55</v>
      </c>
    </row>
    <row r="62" spans="1:43" x14ac:dyDescent="0.25">
      <c r="A62">
        <v>-4</v>
      </c>
      <c r="B62" t="s">
        <v>42</v>
      </c>
      <c r="C62">
        <v>42.527999999999999</v>
      </c>
      <c r="D62">
        <f t="shared" si="2"/>
        <v>-123.571</v>
      </c>
      <c r="E62">
        <v>20180726</v>
      </c>
      <c r="G62">
        <v>16452</v>
      </c>
      <c r="H62">
        <v>12</v>
      </c>
      <c r="I62">
        <v>2.66</v>
      </c>
      <c r="J62">
        <v>4759</v>
      </c>
      <c r="K62">
        <v>2.86</v>
      </c>
      <c r="L62">
        <v>35.04</v>
      </c>
      <c r="M62">
        <v>21.4</v>
      </c>
      <c r="N62">
        <v>3.17</v>
      </c>
      <c r="O62">
        <v>18</v>
      </c>
      <c r="P62">
        <v>4243</v>
      </c>
      <c r="Q62">
        <v>13462</v>
      </c>
      <c r="R62">
        <v>4.2300000000000004</v>
      </c>
      <c r="S62">
        <v>3762</v>
      </c>
      <c r="T62">
        <v>15920</v>
      </c>
      <c r="U62">
        <v>4.63</v>
      </c>
      <c r="V62">
        <v>4188</v>
      </c>
      <c r="W62">
        <v>19383</v>
      </c>
      <c r="X62">
        <v>-999</v>
      </c>
      <c r="Y62">
        <v>-999</v>
      </c>
      <c r="Z62">
        <v>-999</v>
      </c>
      <c r="AA62">
        <v>-999</v>
      </c>
      <c r="AB62">
        <v>13.11</v>
      </c>
      <c r="AC62">
        <v>16.41</v>
      </c>
      <c r="AD62">
        <v>3</v>
      </c>
      <c r="AE62">
        <v>3</v>
      </c>
      <c r="AF62">
        <v>20.34</v>
      </c>
      <c r="AG62">
        <v>30.39</v>
      </c>
      <c r="AH62">
        <v>2</v>
      </c>
      <c r="AI62">
        <v>3</v>
      </c>
      <c r="AJ62">
        <v>5</v>
      </c>
      <c r="AK62">
        <v>-0.48</v>
      </c>
      <c r="AL62">
        <v>-3.14</v>
      </c>
      <c r="AM62">
        <v>-0.26</v>
      </c>
      <c r="AN62">
        <v>-2.72</v>
      </c>
      <c r="AO62">
        <v>-1.1200000000000001</v>
      </c>
      <c r="AP62">
        <v>-0.86</v>
      </c>
      <c r="AQ62">
        <v>2.81</v>
      </c>
    </row>
    <row r="63" spans="1:43" x14ac:dyDescent="0.25">
      <c r="A63">
        <v>-4</v>
      </c>
      <c r="B63" t="s">
        <v>42</v>
      </c>
      <c r="C63">
        <v>42.527999999999999</v>
      </c>
      <c r="D63">
        <f t="shared" si="2"/>
        <v>-123.571</v>
      </c>
      <c r="E63">
        <v>20180727</v>
      </c>
      <c r="G63">
        <v>19966</v>
      </c>
      <c r="H63">
        <v>13</v>
      </c>
      <c r="I63">
        <v>1.72</v>
      </c>
      <c r="J63">
        <v>3514</v>
      </c>
      <c r="K63">
        <v>2.11</v>
      </c>
      <c r="L63">
        <v>33.880000000000003</v>
      </c>
      <c r="M63">
        <v>20.3</v>
      </c>
      <c r="N63">
        <v>3.1</v>
      </c>
      <c r="O63">
        <v>18</v>
      </c>
      <c r="P63">
        <v>4045</v>
      </c>
      <c r="Q63">
        <v>12547</v>
      </c>
      <c r="R63">
        <v>3.84</v>
      </c>
      <c r="S63">
        <v>3497</v>
      </c>
      <c r="T63">
        <v>13444</v>
      </c>
      <c r="U63">
        <v>4.0999999999999996</v>
      </c>
      <c r="V63">
        <v>3992</v>
      </c>
      <c r="W63">
        <v>16367</v>
      </c>
      <c r="X63">
        <v>-999</v>
      </c>
      <c r="Y63">
        <v>-999</v>
      </c>
      <c r="Z63">
        <v>-999</v>
      </c>
      <c r="AA63">
        <v>-999</v>
      </c>
      <c r="AB63">
        <v>12.55</v>
      </c>
      <c r="AC63">
        <v>17.059999999999999</v>
      </c>
      <c r="AD63">
        <v>3</v>
      </c>
      <c r="AE63">
        <v>3</v>
      </c>
      <c r="AF63">
        <v>19.239999999999998</v>
      </c>
      <c r="AG63">
        <v>25.39</v>
      </c>
      <c r="AH63">
        <v>2</v>
      </c>
      <c r="AI63">
        <v>3</v>
      </c>
      <c r="AJ63">
        <v>5</v>
      </c>
      <c r="AK63">
        <v>0.68</v>
      </c>
      <c r="AL63">
        <v>-3.03</v>
      </c>
      <c r="AM63">
        <v>-1.38</v>
      </c>
      <c r="AN63">
        <v>-3.58</v>
      </c>
      <c r="AO63">
        <v>1.71</v>
      </c>
      <c r="AP63">
        <v>-0.08</v>
      </c>
      <c r="AQ63">
        <v>-6.24</v>
      </c>
    </row>
    <row r="64" spans="1:43" x14ac:dyDescent="0.25">
      <c r="A64">
        <v>-4</v>
      </c>
      <c r="B64" t="s">
        <v>42</v>
      </c>
      <c r="C64">
        <v>42.527999999999999</v>
      </c>
      <c r="D64">
        <f t="shared" si="2"/>
        <v>-123.571</v>
      </c>
      <c r="E64">
        <v>20180728</v>
      </c>
      <c r="G64">
        <v>22774</v>
      </c>
      <c r="H64">
        <v>14</v>
      </c>
      <c r="I64">
        <v>1.27</v>
      </c>
      <c r="J64">
        <v>2808</v>
      </c>
      <c r="K64">
        <v>1.69</v>
      </c>
      <c r="L64">
        <v>33.380000000000003</v>
      </c>
      <c r="M64">
        <v>18.5</v>
      </c>
      <c r="N64">
        <v>2.58</v>
      </c>
      <c r="O64">
        <v>15</v>
      </c>
      <c r="P64">
        <v>4028</v>
      </c>
      <c r="Q64">
        <v>10404</v>
      </c>
      <c r="R64">
        <v>3.09</v>
      </c>
      <c r="S64">
        <v>3475</v>
      </c>
      <c r="T64">
        <v>10731</v>
      </c>
      <c r="U64">
        <v>3.3</v>
      </c>
      <c r="V64">
        <v>3975</v>
      </c>
      <c r="W64">
        <v>13123</v>
      </c>
      <c r="X64">
        <v>-999</v>
      </c>
      <c r="Y64">
        <v>-999</v>
      </c>
      <c r="Z64">
        <v>-999</v>
      </c>
      <c r="AA64">
        <v>-999</v>
      </c>
      <c r="AB64">
        <v>11.67</v>
      </c>
      <c r="AC64">
        <v>16.63</v>
      </c>
      <c r="AD64">
        <v>3</v>
      </c>
      <c r="AE64">
        <v>3</v>
      </c>
      <c r="AF64">
        <v>18.87</v>
      </c>
      <c r="AG64">
        <v>27.29</v>
      </c>
      <c r="AH64">
        <v>2</v>
      </c>
      <c r="AI64">
        <v>3</v>
      </c>
      <c r="AJ64">
        <v>5</v>
      </c>
      <c r="AK64">
        <v>-0.16</v>
      </c>
      <c r="AL64">
        <v>-2.58</v>
      </c>
      <c r="AM64">
        <v>0.34</v>
      </c>
      <c r="AN64">
        <v>-3.66</v>
      </c>
      <c r="AO64">
        <v>-0.98</v>
      </c>
      <c r="AP64">
        <v>1.34</v>
      </c>
      <c r="AQ64">
        <v>3.13</v>
      </c>
    </row>
    <row r="65" spans="1:43" x14ac:dyDescent="0.25">
      <c r="A65">
        <v>-4</v>
      </c>
      <c r="B65" t="s">
        <v>42</v>
      </c>
      <c r="C65">
        <v>42.527999999999999</v>
      </c>
      <c r="D65">
        <f t="shared" si="2"/>
        <v>-123.571</v>
      </c>
      <c r="E65">
        <v>20180729</v>
      </c>
      <c r="G65">
        <v>24965</v>
      </c>
      <c r="H65">
        <v>15</v>
      </c>
      <c r="I65">
        <v>0.94</v>
      </c>
      <c r="J65">
        <v>2191</v>
      </c>
      <c r="K65">
        <v>1.32</v>
      </c>
      <c r="L65">
        <v>34.33</v>
      </c>
      <c r="M65">
        <v>29.1</v>
      </c>
      <c r="N65">
        <v>1.67</v>
      </c>
      <c r="O65">
        <v>9</v>
      </c>
      <c r="P65">
        <v>3684</v>
      </c>
      <c r="Q65">
        <v>6151</v>
      </c>
      <c r="R65">
        <v>2.4</v>
      </c>
      <c r="S65">
        <v>3248</v>
      </c>
      <c r="T65">
        <v>7781</v>
      </c>
      <c r="U65">
        <v>2.64</v>
      </c>
      <c r="V65">
        <v>3636</v>
      </c>
      <c r="W65">
        <v>9617</v>
      </c>
      <c r="X65">
        <v>-999</v>
      </c>
      <c r="Y65">
        <v>-999</v>
      </c>
      <c r="Z65">
        <v>-999</v>
      </c>
      <c r="AA65">
        <v>-999</v>
      </c>
      <c r="AB65">
        <v>11.35</v>
      </c>
      <c r="AC65">
        <v>13.5</v>
      </c>
      <c r="AD65">
        <v>3</v>
      </c>
      <c r="AE65">
        <v>3</v>
      </c>
      <c r="AF65">
        <v>19.579999999999998</v>
      </c>
      <c r="AG65">
        <v>18.37</v>
      </c>
      <c r="AH65">
        <v>2</v>
      </c>
      <c r="AI65">
        <v>2</v>
      </c>
      <c r="AJ65">
        <v>4</v>
      </c>
      <c r="AK65">
        <v>0.54</v>
      </c>
      <c r="AL65">
        <v>-1.58</v>
      </c>
      <c r="AM65">
        <v>-0.64</v>
      </c>
      <c r="AN65">
        <v>-2.3199999999999998</v>
      </c>
      <c r="AO65">
        <v>0.59</v>
      </c>
      <c r="AP65">
        <v>0.78</v>
      </c>
      <c r="AQ65">
        <v>-0.88</v>
      </c>
    </row>
    <row r="66" spans="1:43" x14ac:dyDescent="0.25">
      <c r="A66">
        <v>-4</v>
      </c>
      <c r="B66" t="s">
        <v>42</v>
      </c>
      <c r="C66">
        <v>42.527999999999999</v>
      </c>
      <c r="D66">
        <f t="shared" si="2"/>
        <v>-123.571</v>
      </c>
      <c r="E66">
        <v>20180730</v>
      </c>
      <c r="G66">
        <v>26922</v>
      </c>
      <c r="H66">
        <v>16</v>
      </c>
      <c r="I66">
        <v>0.8</v>
      </c>
      <c r="J66">
        <v>1957</v>
      </c>
      <c r="K66">
        <v>1.18</v>
      </c>
      <c r="L66">
        <v>32.96</v>
      </c>
      <c r="M66">
        <v>32.799999999999997</v>
      </c>
      <c r="N66">
        <v>2.71</v>
      </c>
      <c r="O66">
        <v>13</v>
      </c>
      <c r="P66">
        <v>3250</v>
      </c>
      <c r="Q66">
        <v>8800</v>
      </c>
      <c r="R66">
        <v>3.12</v>
      </c>
      <c r="S66">
        <v>2688</v>
      </c>
      <c r="T66">
        <v>8400</v>
      </c>
      <c r="U66">
        <v>3.29</v>
      </c>
      <c r="V66">
        <v>3208</v>
      </c>
      <c r="W66">
        <v>10557</v>
      </c>
      <c r="X66">
        <v>-999</v>
      </c>
      <c r="Y66">
        <v>-999</v>
      </c>
      <c r="Z66">
        <v>-999</v>
      </c>
      <c r="AA66">
        <v>-999</v>
      </c>
      <c r="AB66">
        <v>9.4700000000000006</v>
      </c>
      <c r="AC66">
        <v>9.6</v>
      </c>
      <c r="AD66">
        <v>2</v>
      </c>
      <c r="AE66">
        <v>2</v>
      </c>
      <c r="AF66">
        <v>19.23</v>
      </c>
      <c r="AG66">
        <v>31.78</v>
      </c>
      <c r="AH66">
        <v>2</v>
      </c>
      <c r="AI66">
        <v>3</v>
      </c>
      <c r="AJ66">
        <v>5</v>
      </c>
      <c r="AK66">
        <v>0.4</v>
      </c>
      <c r="AL66">
        <v>-2.68</v>
      </c>
    </row>
    <row r="67" spans="1:43" x14ac:dyDescent="0.25">
      <c r="A67">
        <v>-4</v>
      </c>
      <c r="B67" t="s">
        <v>42</v>
      </c>
      <c r="C67">
        <v>42.527999999999999</v>
      </c>
      <c r="D67">
        <f t="shared" si="2"/>
        <v>-123.571</v>
      </c>
      <c r="E67">
        <v>20180731</v>
      </c>
      <c r="G67">
        <v>29535</v>
      </c>
      <c r="H67">
        <v>17</v>
      </c>
      <c r="I67">
        <v>1.03</v>
      </c>
      <c r="J67">
        <v>2613</v>
      </c>
      <c r="K67">
        <v>1.57</v>
      </c>
      <c r="L67">
        <v>33.57</v>
      </c>
      <c r="M67">
        <v>21</v>
      </c>
      <c r="N67">
        <v>2.48</v>
      </c>
      <c r="O67">
        <v>14</v>
      </c>
      <c r="P67">
        <v>3943</v>
      </c>
      <c r="Q67">
        <v>9789</v>
      </c>
      <c r="R67">
        <v>3.21</v>
      </c>
      <c r="S67">
        <v>3197</v>
      </c>
      <c r="T67">
        <v>10270</v>
      </c>
      <c r="U67">
        <v>3.47</v>
      </c>
      <c r="V67">
        <v>3892</v>
      </c>
      <c r="W67">
        <v>13489</v>
      </c>
      <c r="X67">
        <v>-999</v>
      </c>
      <c r="Y67">
        <v>-999</v>
      </c>
      <c r="Z67">
        <v>-999</v>
      </c>
      <c r="AA67">
        <v>-999</v>
      </c>
      <c r="AB67">
        <v>10.39</v>
      </c>
      <c r="AC67">
        <v>14.12</v>
      </c>
      <c r="AD67">
        <v>2</v>
      </c>
      <c r="AE67">
        <v>3</v>
      </c>
      <c r="AF67">
        <v>19.12</v>
      </c>
      <c r="AG67">
        <v>31.64</v>
      </c>
      <c r="AH67">
        <v>2</v>
      </c>
      <c r="AI67">
        <v>3</v>
      </c>
      <c r="AJ67">
        <v>5</v>
      </c>
      <c r="AK67">
        <v>0.36</v>
      </c>
      <c r="AL67">
        <v>-2.46</v>
      </c>
    </row>
    <row r="68" spans="1:43" x14ac:dyDescent="0.25">
      <c r="A68">
        <v>-4</v>
      </c>
      <c r="B68" t="s">
        <v>42</v>
      </c>
      <c r="C68">
        <v>42.527999999999999</v>
      </c>
      <c r="D68">
        <f t="shared" si="2"/>
        <v>-123.571</v>
      </c>
      <c r="E68">
        <v>20180801</v>
      </c>
      <c r="G68">
        <v>31596</v>
      </c>
      <c r="H68">
        <v>18</v>
      </c>
      <c r="I68">
        <v>0.78</v>
      </c>
      <c r="J68">
        <v>2061</v>
      </c>
      <c r="K68">
        <v>1.24</v>
      </c>
      <c r="L68">
        <v>30.89</v>
      </c>
      <c r="M68">
        <v>28.8</v>
      </c>
      <c r="N68">
        <v>2.6</v>
      </c>
      <c r="O68">
        <v>13</v>
      </c>
      <c r="P68">
        <v>3080</v>
      </c>
      <c r="Q68">
        <v>8010</v>
      </c>
      <c r="R68">
        <v>3.27</v>
      </c>
      <c r="S68">
        <v>2583</v>
      </c>
      <c r="T68">
        <v>8435</v>
      </c>
      <c r="U68">
        <v>3.51</v>
      </c>
      <c r="V68">
        <v>3040</v>
      </c>
      <c r="W68">
        <v>10668</v>
      </c>
      <c r="X68">
        <v>-999</v>
      </c>
      <c r="Y68">
        <v>-999</v>
      </c>
      <c r="Z68">
        <v>-999</v>
      </c>
      <c r="AA68">
        <v>-999</v>
      </c>
      <c r="AB68">
        <v>9.4600000000000009</v>
      </c>
      <c r="AC68">
        <v>10.99</v>
      </c>
      <c r="AD68">
        <v>2</v>
      </c>
      <c r="AE68">
        <v>2</v>
      </c>
      <c r="AF68">
        <v>19.239999999999998</v>
      </c>
      <c r="AG68">
        <v>26.25</v>
      </c>
      <c r="AH68">
        <v>2</v>
      </c>
      <c r="AI68">
        <v>3</v>
      </c>
      <c r="AJ68">
        <v>5</v>
      </c>
      <c r="AK68">
        <v>0.09</v>
      </c>
      <c r="AL68">
        <v>-2.6</v>
      </c>
      <c r="AM68">
        <v>-0.14000000000000001</v>
      </c>
      <c r="AN68">
        <v>-2.78</v>
      </c>
      <c r="AO68">
        <v>-0.19</v>
      </c>
      <c r="AP68">
        <v>-0.1</v>
      </c>
      <c r="AQ68">
        <v>0.52</v>
      </c>
    </row>
    <row r="69" spans="1:43" x14ac:dyDescent="0.25">
      <c r="A69">
        <v>-4</v>
      </c>
      <c r="B69" t="s">
        <v>42</v>
      </c>
      <c r="C69">
        <v>42.527999999999999</v>
      </c>
      <c r="D69">
        <f t="shared" si="2"/>
        <v>-123.571</v>
      </c>
      <c r="E69">
        <v>20180802</v>
      </c>
      <c r="G69">
        <v>33591</v>
      </c>
      <c r="H69">
        <v>19</v>
      </c>
      <c r="I69">
        <v>0.73</v>
      </c>
      <c r="J69">
        <v>1995</v>
      </c>
      <c r="K69">
        <v>1.2</v>
      </c>
      <c r="L69">
        <v>28.34</v>
      </c>
      <c r="M69">
        <v>35.299999999999997</v>
      </c>
      <c r="N69">
        <v>3.44</v>
      </c>
      <c r="O69">
        <v>16</v>
      </c>
      <c r="P69">
        <v>2430</v>
      </c>
      <c r="Q69">
        <v>8350</v>
      </c>
      <c r="R69">
        <v>4.8499999999999996</v>
      </c>
      <c r="S69">
        <v>2143</v>
      </c>
      <c r="T69">
        <v>10389</v>
      </c>
      <c r="U69">
        <v>5.33</v>
      </c>
      <c r="V69">
        <v>2398</v>
      </c>
      <c r="W69">
        <v>12780</v>
      </c>
      <c r="X69">
        <v>-999</v>
      </c>
      <c r="Y69">
        <v>-999</v>
      </c>
      <c r="Z69">
        <v>-999</v>
      </c>
      <c r="AA69">
        <v>-999</v>
      </c>
      <c r="AB69">
        <v>10.09</v>
      </c>
      <c r="AC69">
        <v>9.92</v>
      </c>
      <c r="AD69">
        <v>2</v>
      </c>
      <c r="AE69">
        <v>2</v>
      </c>
      <c r="AF69">
        <v>17.079999999999998</v>
      </c>
      <c r="AG69">
        <v>24.82</v>
      </c>
      <c r="AH69">
        <v>1</v>
      </c>
      <c r="AI69">
        <v>3</v>
      </c>
      <c r="AJ69">
        <v>4</v>
      </c>
      <c r="AK69">
        <v>0.27</v>
      </c>
      <c r="AL69">
        <v>-3.43</v>
      </c>
      <c r="AM69">
        <v>-0.33</v>
      </c>
      <c r="AN69">
        <v>-2.88</v>
      </c>
      <c r="AO69">
        <v>0</v>
      </c>
      <c r="AP69">
        <v>-0.95</v>
      </c>
      <c r="AQ69">
        <v>-0.33</v>
      </c>
    </row>
    <row r="70" spans="1:43" x14ac:dyDescent="0.25">
      <c r="A70">
        <v>-4</v>
      </c>
      <c r="B70" t="s">
        <v>42</v>
      </c>
      <c r="C70">
        <v>42.527999999999999</v>
      </c>
      <c r="D70">
        <f t="shared" si="2"/>
        <v>-123.571</v>
      </c>
      <c r="E70">
        <v>20180803</v>
      </c>
      <c r="G70">
        <v>36406</v>
      </c>
      <c r="H70">
        <v>20</v>
      </c>
      <c r="I70">
        <v>0.99</v>
      </c>
      <c r="J70">
        <v>2815</v>
      </c>
      <c r="K70">
        <v>1.69</v>
      </c>
      <c r="L70">
        <v>27.3</v>
      </c>
      <c r="M70">
        <v>35.700000000000003</v>
      </c>
      <c r="N70">
        <v>3.25</v>
      </c>
      <c r="O70">
        <v>15</v>
      </c>
      <c r="P70">
        <v>2279</v>
      </c>
      <c r="Q70">
        <v>7406</v>
      </c>
      <c r="R70">
        <v>4.08</v>
      </c>
      <c r="S70">
        <v>1905</v>
      </c>
      <c r="T70">
        <v>7763</v>
      </c>
      <c r="U70">
        <v>4.4000000000000004</v>
      </c>
      <c r="V70">
        <v>2249</v>
      </c>
      <c r="W70">
        <v>9893</v>
      </c>
      <c r="X70">
        <v>-999</v>
      </c>
      <c r="Y70">
        <v>-999</v>
      </c>
      <c r="Z70">
        <v>-999</v>
      </c>
      <c r="AA70">
        <v>-999</v>
      </c>
      <c r="AB70">
        <v>11.19</v>
      </c>
      <c r="AC70">
        <v>7.51</v>
      </c>
      <c r="AD70">
        <v>3</v>
      </c>
      <c r="AE70">
        <v>2</v>
      </c>
      <c r="AF70">
        <v>17.03</v>
      </c>
      <c r="AG70">
        <v>17.84</v>
      </c>
      <c r="AH70">
        <v>1</v>
      </c>
      <c r="AI70">
        <v>2</v>
      </c>
      <c r="AJ70">
        <v>3</v>
      </c>
      <c r="AK70">
        <v>-0.94</v>
      </c>
      <c r="AL70">
        <v>-3.11</v>
      </c>
      <c r="AM70">
        <v>-0.32</v>
      </c>
      <c r="AN70">
        <v>-3.84</v>
      </c>
      <c r="AO70">
        <v>-1.83</v>
      </c>
      <c r="AP70">
        <v>-0.8</v>
      </c>
      <c r="AQ70">
        <v>6.76</v>
      </c>
    </row>
    <row r="71" spans="1:43" x14ac:dyDescent="0.25">
      <c r="A71">
        <v>-4</v>
      </c>
      <c r="B71" t="s">
        <v>42</v>
      </c>
      <c r="C71">
        <v>42.527999999999999</v>
      </c>
      <c r="D71">
        <f t="shared" si="2"/>
        <v>-123.571</v>
      </c>
      <c r="E71">
        <v>20180804</v>
      </c>
      <c r="G71">
        <v>38400</v>
      </c>
      <c r="H71">
        <v>21</v>
      </c>
      <c r="I71">
        <v>0.68</v>
      </c>
      <c r="J71">
        <v>1994</v>
      </c>
      <c r="K71">
        <v>1.2</v>
      </c>
      <c r="L71">
        <v>27.07</v>
      </c>
      <c r="M71">
        <v>35.4</v>
      </c>
      <c r="N71">
        <v>3.18</v>
      </c>
      <c r="O71">
        <v>15</v>
      </c>
      <c r="P71">
        <v>2260</v>
      </c>
      <c r="Q71">
        <v>7184</v>
      </c>
      <c r="R71">
        <v>3.86</v>
      </c>
      <c r="S71">
        <v>1967</v>
      </c>
      <c r="T71">
        <v>7592</v>
      </c>
      <c r="U71">
        <v>4.08</v>
      </c>
      <c r="V71">
        <v>2230</v>
      </c>
      <c r="W71">
        <v>9108</v>
      </c>
      <c r="X71">
        <v>-999</v>
      </c>
      <c r="Y71">
        <v>-999</v>
      </c>
      <c r="Z71">
        <v>-999</v>
      </c>
      <c r="AA71">
        <v>-999</v>
      </c>
      <c r="AB71">
        <v>14.34</v>
      </c>
      <c r="AC71">
        <v>8.36</v>
      </c>
      <c r="AD71">
        <v>3</v>
      </c>
      <c r="AE71">
        <v>2</v>
      </c>
      <c r="AF71">
        <v>18.32</v>
      </c>
      <c r="AG71">
        <v>1.78</v>
      </c>
      <c r="AH71">
        <v>2</v>
      </c>
      <c r="AI71">
        <v>1</v>
      </c>
      <c r="AJ71">
        <v>3</v>
      </c>
      <c r="AK71">
        <v>1.38</v>
      </c>
      <c r="AL71">
        <v>-2.86</v>
      </c>
      <c r="AM71">
        <v>-2.15</v>
      </c>
      <c r="AN71">
        <v>-4.6399999999999997</v>
      </c>
      <c r="AO71">
        <v>3.14</v>
      </c>
      <c r="AP71">
        <v>1.56</v>
      </c>
      <c r="AQ71">
        <v>-11.18</v>
      </c>
    </row>
    <row r="72" spans="1:43" x14ac:dyDescent="0.25">
      <c r="A72">
        <v>-4</v>
      </c>
      <c r="B72" t="s">
        <v>42</v>
      </c>
      <c r="C72">
        <v>42.527999999999999</v>
      </c>
      <c r="D72">
        <f t="shared" si="2"/>
        <v>-123.571</v>
      </c>
      <c r="E72">
        <v>20180805</v>
      </c>
      <c r="G72">
        <v>39804</v>
      </c>
      <c r="H72">
        <v>22</v>
      </c>
      <c r="I72">
        <v>0.47</v>
      </c>
      <c r="J72">
        <v>1404</v>
      </c>
      <c r="K72">
        <v>0.84</v>
      </c>
      <c r="L72">
        <v>29.1</v>
      </c>
      <c r="M72">
        <v>34.4</v>
      </c>
      <c r="N72">
        <v>1.67</v>
      </c>
      <c r="O72">
        <v>8</v>
      </c>
      <c r="P72">
        <v>2571</v>
      </c>
      <c r="Q72">
        <v>4293</v>
      </c>
      <c r="R72">
        <v>1.88</v>
      </c>
      <c r="S72">
        <v>2224</v>
      </c>
      <c r="T72">
        <v>4190</v>
      </c>
      <c r="U72">
        <v>1.98</v>
      </c>
      <c r="V72">
        <v>2537</v>
      </c>
      <c r="W72">
        <v>5034</v>
      </c>
      <c r="X72">
        <v>-999</v>
      </c>
      <c r="Y72">
        <v>-999</v>
      </c>
      <c r="Z72">
        <v>-999</v>
      </c>
      <c r="AA72">
        <v>-999</v>
      </c>
      <c r="AB72">
        <v>12.42</v>
      </c>
      <c r="AC72">
        <v>8.9499999999999993</v>
      </c>
      <c r="AD72">
        <v>3</v>
      </c>
      <c r="AE72">
        <v>2</v>
      </c>
      <c r="AF72">
        <v>16.84</v>
      </c>
      <c r="AG72">
        <v>19.52</v>
      </c>
      <c r="AH72">
        <v>1</v>
      </c>
      <c r="AI72">
        <v>2</v>
      </c>
      <c r="AJ72">
        <v>3</v>
      </c>
      <c r="AK72">
        <v>0.48</v>
      </c>
      <c r="AL72">
        <v>-1.6</v>
      </c>
      <c r="AM72">
        <v>0.98</v>
      </c>
      <c r="AN72">
        <v>-3.07</v>
      </c>
      <c r="AO72">
        <v>-0.89</v>
      </c>
      <c r="AP72">
        <v>1.64</v>
      </c>
      <c r="AQ72">
        <v>1.1100000000000001</v>
      </c>
    </row>
    <row r="73" spans="1:43" x14ac:dyDescent="0.25">
      <c r="A73">
        <v>-4</v>
      </c>
      <c r="B73" t="s">
        <v>42</v>
      </c>
      <c r="C73">
        <v>42.527999999999999</v>
      </c>
      <c r="D73">
        <f t="shared" si="2"/>
        <v>-123.571</v>
      </c>
      <c r="E73">
        <v>20180806</v>
      </c>
      <c r="G73">
        <v>41103</v>
      </c>
      <c r="H73">
        <v>23</v>
      </c>
      <c r="I73">
        <v>0.43</v>
      </c>
      <c r="J73">
        <v>1299</v>
      </c>
      <c r="K73">
        <v>0.78</v>
      </c>
      <c r="L73">
        <v>30.53</v>
      </c>
      <c r="M73">
        <v>29.1</v>
      </c>
      <c r="N73">
        <v>2.09</v>
      </c>
      <c r="O73">
        <v>11</v>
      </c>
      <c r="P73">
        <v>3007</v>
      </c>
      <c r="Q73">
        <v>6271</v>
      </c>
      <c r="R73">
        <v>2.5</v>
      </c>
      <c r="S73">
        <v>2655</v>
      </c>
      <c r="T73">
        <v>6639</v>
      </c>
      <c r="U73">
        <v>2.71</v>
      </c>
      <c r="V73">
        <v>2968</v>
      </c>
      <c r="W73">
        <v>8030</v>
      </c>
      <c r="X73">
        <v>-999</v>
      </c>
      <c r="Y73">
        <v>-999</v>
      </c>
      <c r="Z73">
        <v>-999</v>
      </c>
      <c r="AA73">
        <v>-999</v>
      </c>
      <c r="AB73">
        <v>10.52</v>
      </c>
      <c r="AC73">
        <v>11.61</v>
      </c>
      <c r="AD73">
        <v>2</v>
      </c>
      <c r="AE73">
        <v>2</v>
      </c>
      <c r="AF73">
        <v>15.44</v>
      </c>
      <c r="AG73">
        <v>46.36</v>
      </c>
      <c r="AH73">
        <v>1</v>
      </c>
      <c r="AI73">
        <v>3</v>
      </c>
      <c r="AJ73">
        <v>4</v>
      </c>
      <c r="AK73">
        <v>-0.44</v>
      </c>
      <c r="AL73">
        <v>-2.04</v>
      </c>
      <c r="AM73">
        <v>0.1</v>
      </c>
      <c r="AN73">
        <v>-1.43</v>
      </c>
      <c r="AO73">
        <v>-1.1399999999999999</v>
      </c>
      <c r="AP73">
        <v>-1.29</v>
      </c>
      <c r="AQ73">
        <v>1.77</v>
      </c>
    </row>
    <row r="74" spans="1:43" x14ac:dyDescent="0.25">
      <c r="A74">
        <v>-4</v>
      </c>
      <c r="B74" t="s">
        <v>42</v>
      </c>
      <c r="C74">
        <v>42.527999999999999</v>
      </c>
      <c r="D74">
        <f t="shared" si="2"/>
        <v>-123.571</v>
      </c>
      <c r="E74">
        <v>20180807</v>
      </c>
      <c r="G74">
        <v>41977</v>
      </c>
      <c r="H74">
        <v>24</v>
      </c>
      <c r="I74">
        <v>0.28000000000000003</v>
      </c>
      <c r="J74">
        <v>874</v>
      </c>
      <c r="K74">
        <v>0.53</v>
      </c>
      <c r="L74">
        <v>32.979999999999997</v>
      </c>
      <c r="M74">
        <v>30.4</v>
      </c>
      <c r="N74">
        <v>1.68</v>
      </c>
      <c r="O74">
        <v>9</v>
      </c>
      <c r="P74">
        <v>3366</v>
      </c>
      <c r="Q74">
        <v>5662</v>
      </c>
      <c r="R74">
        <v>2.14</v>
      </c>
      <c r="S74">
        <v>3017</v>
      </c>
      <c r="T74">
        <v>6453</v>
      </c>
      <c r="U74">
        <v>2.33</v>
      </c>
      <c r="V74">
        <v>3322</v>
      </c>
      <c r="W74">
        <v>7752</v>
      </c>
      <c r="X74">
        <v>-999</v>
      </c>
      <c r="Y74">
        <v>-999</v>
      </c>
      <c r="Z74">
        <v>-999</v>
      </c>
      <c r="AA74">
        <v>-999</v>
      </c>
      <c r="AB74">
        <v>10.41</v>
      </c>
      <c r="AC74">
        <v>12.22</v>
      </c>
      <c r="AD74">
        <v>2</v>
      </c>
      <c r="AE74">
        <v>2</v>
      </c>
      <c r="AF74">
        <v>19</v>
      </c>
      <c r="AG74">
        <v>21.09</v>
      </c>
      <c r="AH74">
        <v>2</v>
      </c>
      <c r="AI74">
        <v>3</v>
      </c>
      <c r="AJ74">
        <v>5</v>
      </c>
      <c r="AK74">
        <v>-0.2</v>
      </c>
      <c r="AL74">
        <v>-1.67</v>
      </c>
      <c r="AM74">
        <v>-1.04</v>
      </c>
      <c r="AN74">
        <v>-2.72</v>
      </c>
      <c r="AO74">
        <v>0.3</v>
      </c>
      <c r="AP74">
        <v>1.01</v>
      </c>
      <c r="AQ74">
        <v>0.23</v>
      </c>
    </row>
    <row r="75" spans="1:43" x14ac:dyDescent="0.25">
      <c r="A75">
        <v>-4</v>
      </c>
      <c r="B75" t="s">
        <v>42</v>
      </c>
      <c r="C75">
        <v>42.527999999999999</v>
      </c>
      <c r="D75">
        <f t="shared" si="2"/>
        <v>-123.571</v>
      </c>
      <c r="E75">
        <v>20180808</v>
      </c>
      <c r="G75">
        <v>42996</v>
      </c>
      <c r="H75">
        <v>25</v>
      </c>
      <c r="I75">
        <v>0.33</v>
      </c>
      <c r="J75">
        <v>1019</v>
      </c>
      <c r="K75">
        <v>0.61</v>
      </c>
      <c r="L75">
        <v>34.25</v>
      </c>
      <c r="M75">
        <v>33.200000000000003</v>
      </c>
      <c r="N75">
        <v>1.75</v>
      </c>
      <c r="O75">
        <v>9</v>
      </c>
      <c r="P75">
        <v>3457</v>
      </c>
      <c r="Q75">
        <v>6063</v>
      </c>
      <c r="R75">
        <v>2.2999999999999998</v>
      </c>
      <c r="S75">
        <v>3052</v>
      </c>
      <c r="T75">
        <v>7034</v>
      </c>
      <c r="U75">
        <v>2.48</v>
      </c>
      <c r="V75">
        <v>3411</v>
      </c>
      <c r="W75">
        <v>8471</v>
      </c>
      <c r="X75">
        <v>-999</v>
      </c>
      <c r="Y75">
        <v>-999</v>
      </c>
      <c r="Z75">
        <v>-999</v>
      </c>
      <c r="AA75">
        <v>-999</v>
      </c>
      <c r="AB75">
        <v>10.75</v>
      </c>
      <c r="AC75">
        <v>10.72</v>
      </c>
      <c r="AD75">
        <v>2</v>
      </c>
      <c r="AE75">
        <v>2</v>
      </c>
      <c r="AF75">
        <v>17.559999999999999</v>
      </c>
      <c r="AG75">
        <v>23.02</v>
      </c>
      <c r="AH75">
        <v>1</v>
      </c>
      <c r="AI75">
        <v>3</v>
      </c>
      <c r="AJ75">
        <v>4</v>
      </c>
      <c r="AK75">
        <v>1.1499999999999999</v>
      </c>
      <c r="AL75">
        <v>-1.33</v>
      </c>
      <c r="AM75">
        <v>-0.74</v>
      </c>
      <c r="AN75">
        <v>-1.72</v>
      </c>
      <c r="AO75">
        <v>1.97</v>
      </c>
      <c r="AP75">
        <v>0.9</v>
      </c>
      <c r="AQ75">
        <v>-2.72</v>
      </c>
    </row>
    <row r="76" spans="1:43" x14ac:dyDescent="0.25">
      <c r="A76">
        <v>-4</v>
      </c>
      <c r="B76" t="s">
        <v>42</v>
      </c>
      <c r="C76">
        <v>42.527999999999999</v>
      </c>
      <c r="D76">
        <f t="shared" si="2"/>
        <v>-123.571</v>
      </c>
      <c r="E76">
        <v>20180809</v>
      </c>
      <c r="G76">
        <v>43388</v>
      </c>
      <c r="H76">
        <v>26</v>
      </c>
      <c r="I76">
        <v>0.12</v>
      </c>
      <c r="J76">
        <v>392</v>
      </c>
      <c r="K76">
        <v>0.24</v>
      </c>
      <c r="L76">
        <v>34.32</v>
      </c>
      <c r="M76">
        <v>30.3</v>
      </c>
      <c r="N76">
        <v>2.2400000000000002</v>
      </c>
      <c r="O76">
        <v>11</v>
      </c>
      <c r="P76">
        <v>3621</v>
      </c>
      <c r="Q76">
        <v>8120</v>
      </c>
      <c r="R76">
        <v>2.98</v>
      </c>
      <c r="S76">
        <v>3180</v>
      </c>
      <c r="T76">
        <v>9492</v>
      </c>
      <c r="U76">
        <v>3.26</v>
      </c>
      <c r="V76">
        <v>3574</v>
      </c>
      <c r="W76">
        <v>11634</v>
      </c>
      <c r="X76">
        <v>-999</v>
      </c>
      <c r="Y76">
        <v>-999</v>
      </c>
      <c r="Z76">
        <v>-999</v>
      </c>
      <c r="AA76">
        <v>-999</v>
      </c>
      <c r="AB76">
        <v>10.18</v>
      </c>
      <c r="AC76">
        <v>12.66</v>
      </c>
      <c r="AD76">
        <v>2</v>
      </c>
      <c r="AE76">
        <v>2</v>
      </c>
      <c r="AF76">
        <v>20.170000000000002</v>
      </c>
      <c r="AG76">
        <v>19.16</v>
      </c>
      <c r="AH76">
        <v>2</v>
      </c>
      <c r="AI76">
        <v>2</v>
      </c>
      <c r="AJ76">
        <v>4</v>
      </c>
      <c r="AK76">
        <v>0.17</v>
      </c>
      <c r="AL76">
        <v>-2.2400000000000002</v>
      </c>
      <c r="AM76">
        <v>1.23</v>
      </c>
      <c r="AN76">
        <v>-0.82</v>
      </c>
      <c r="AO76">
        <v>-1.63</v>
      </c>
      <c r="AP76">
        <v>-1.45</v>
      </c>
      <c r="AQ76">
        <v>3.12</v>
      </c>
    </row>
    <row r="77" spans="1:43" x14ac:dyDescent="0.25">
      <c r="A77">
        <v>-4</v>
      </c>
      <c r="B77" t="s">
        <v>42</v>
      </c>
      <c r="C77">
        <v>42.527999999999999</v>
      </c>
      <c r="D77">
        <f t="shared" si="2"/>
        <v>-123.571</v>
      </c>
      <c r="E77">
        <v>20180810</v>
      </c>
      <c r="G77">
        <v>45055</v>
      </c>
      <c r="H77">
        <v>27</v>
      </c>
      <c r="I77">
        <v>0.52</v>
      </c>
      <c r="J77">
        <v>1667</v>
      </c>
      <c r="K77">
        <v>1</v>
      </c>
      <c r="L77">
        <v>30.13</v>
      </c>
      <c r="M77">
        <v>34.200000000000003</v>
      </c>
      <c r="N77">
        <v>3.15</v>
      </c>
      <c r="O77">
        <v>15</v>
      </c>
      <c r="P77">
        <v>2728</v>
      </c>
      <c r="Q77">
        <v>8597</v>
      </c>
      <c r="R77">
        <v>4.04</v>
      </c>
      <c r="S77">
        <v>2463</v>
      </c>
      <c r="T77">
        <v>9941</v>
      </c>
      <c r="U77">
        <v>4.34</v>
      </c>
      <c r="V77">
        <v>2692</v>
      </c>
      <c r="W77">
        <v>11680</v>
      </c>
      <c r="X77">
        <v>-999</v>
      </c>
      <c r="Y77">
        <v>-999</v>
      </c>
      <c r="Z77">
        <v>-999</v>
      </c>
      <c r="AA77">
        <v>-999</v>
      </c>
      <c r="AB77">
        <v>10.039999999999999</v>
      </c>
      <c r="AC77">
        <v>10.96</v>
      </c>
      <c r="AD77">
        <v>2</v>
      </c>
      <c r="AE77">
        <v>2</v>
      </c>
      <c r="AF77">
        <v>17.89</v>
      </c>
      <c r="AG77">
        <v>19.48</v>
      </c>
      <c r="AH77">
        <v>1</v>
      </c>
      <c r="AI77">
        <v>2</v>
      </c>
      <c r="AJ77">
        <v>3</v>
      </c>
      <c r="AK77">
        <v>3.14</v>
      </c>
      <c r="AL77">
        <v>-0.3</v>
      </c>
      <c r="AM77">
        <v>-0.41</v>
      </c>
      <c r="AN77">
        <v>-2.27</v>
      </c>
      <c r="AO77">
        <v>3.81</v>
      </c>
      <c r="AP77">
        <v>2.84</v>
      </c>
      <c r="AQ77">
        <v>-7.49</v>
      </c>
    </row>
    <row r="78" spans="1:43" x14ac:dyDescent="0.25">
      <c r="A78">
        <v>-4</v>
      </c>
      <c r="B78" t="s">
        <v>42</v>
      </c>
      <c r="C78">
        <v>42.527999999999999</v>
      </c>
      <c r="D78">
        <f t="shared" si="2"/>
        <v>-123.571</v>
      </c>
      <c r="E78">
        <v>20180811</v>
      </c>
      <c r="G78">
        <v>46300</v>
      </c>
      <c r="H78">
        <v>28</v>
      </c>
      <c r="I78">
        <v>0.38</v>
      </c>
      <c r="J78">
        <v>1245</v>
      </c>
      <c r="K78">
        <v>0.75</v>
      </c>
      <c r="L78">
        <v>26.71</v>
      </c>
      <c r="M78">
        <v>35.1</v>
      </c>
      <c r="N78">
        <v>3.51</v>
      </c>
      <c r="O78">
        <v>16</v>
      </c>
      <c r="P78">
        <v>2224</v>
      </c>
      <c r="Q78">
        <v>7813</v>
      </c>
      <c r="R78">
        <v>4.0599999999999996</v>
      </c>
      <c r="S78">
        <v>1880</v>
      </c>
      <c r="T78">
        <v>7632</v>
      </c>
      <c r="U78">
        <v>4.28</v>
      </c>
      <c r="V78">
        <v>2195</v>
      </c>
      <c r="W78">
        <v>9383</v>
      </c>
      <c r="X78">
        <v>-999</v>
      </c>
      <c r="Y78">
        <v>-999</v>
      </c>
      <c r="Z78">
        <v>-999</v>
      </c>
      <c r="AA78">
        <v>-999</v>
      </c>
      <c r="AB78">
        <v>8.61</v>
      </c>
      <c r="AC78">
        <v>8.2100000000000009</v>
      </c>
      <c r="AD78">
        <v>2</v>
      </c>
      <c r="AE78">
        <v>2</v>
      </c>
      <c r="AF78">
        <v>14.64</v>
      </c>
      <c r="AG78">
        <v>20.2</v>
      </c>
      <c r="AH78">
        <v>1</v>
      </c>
      <c r="AI78">
        <v>2</v>
      </c>
      <c r="AJ78">
        <v>3</v>
      </c>
      <c r="AK78">
        <v>-0.44</v>
      </c>
      <c r="AL78">
        <v>-3.49</v>
      </c>
      <c r="AM78">
        <v>3.4</v>
      </c>
      <c r="AN78">
        <v>0.56999999999999995</v>
      </c>
      <c r="AO78">
        <v>-4.7699999999999996</v>
      </c>
      <c r="AP78">
        <v>-4.53</v>
      </c>
      <c r="AQ78">
        <v>12.7</v>
      </c>
    </row>
    <row r="79" spans="1:43" x14ac:dyDescent="0.25">
      <c r="A79">
        <v>-4</v>
      </c>
      <c r="B79" t="s">
        <v>42</v>
      </c>
      <c r="C79">
        <v>42.527999999999999</v>
      </c>
      <c r="D79">
        <f t="shared" si="2"/>
        <v>-123.571</v>
      </c>
      <c r="E79">
        <v>20180812</v>
      </c>
      <c r="G79">
        <v>48247</v>
      </c>
      <c r="H79">
        <v>29</v>
      </c>
      <c r="I79">
        <v>0.59</v>
      </c>
      <c r="J79">
        <v>1947</v>
      </c>
      <c r="K79">
        <v>1.17</v>
      </c>
      <c r="L79">
        <v>27.91</v>
      </c>
      <c r="M79">
        <v>31.4</v>
      </c>
      <c r="N79">
        <v>3.66</v>
      </c>
      <c r="O79">
        <v>18</v>
      </c>
      <c r="P79">
        <v>2516</v>
      </c>
      <c r="Q79">
        <v>9214</v>
      </c>
      <c r="R79">
        <v>4.72</v>
      </c>
      <c r="S79">
        <v>2198</v>
      </c>
      <c r="T79">
        <v>10381</v>
      </c>
      <c r="U79">
        <v>5.15</v>
      </c>
      <c r="V79">
        <v>2483</v>
      </c>
      <c r="W79">
        <v>12794</v>
      </c>
      <c r="X79">
        <v>-999</v>
      </c>
      <c r="Y79">
        <v>-999</v>
      </c>
      <c r="Z79">
        <v>-999</v>
      </c>
      <c r="AA79">
        <v>-999</v>
      </c>
      <c r="AB79">
        <v>8.33</v>
      </c>
      <c r="AC79">
        <v>9.69</v>
      </c>
      <c r="AD79">
        <v>2</v>
      </c>
      <c r="AE79">
        <v>2</v>
      </c>
      <c r="AF79">
        <v>18.93</v>
      </c>
      <c r="AG79">
        <v>34.04</v>
      </c>
      <c r="AH79">
        <v>2</v>
      </c>
      <c r="AI79">
        <v>3</v>
      </c>
      <c r="AJ79">
        <v>5</v>
      </c>
      <c r="AK79">
        <v>-1.84</v>
      </c>
      <c r="AL79">
        <v>-3.16</v>
      </c>
      <c r="AM79">
        <v>-1.37</v>
      </c>
      <c r="AN79">
        <v>-3.96</v>
      </c>
      <c r="AO79">
        <v>-1.48</v>
      </c>
      <c r="AP79">
        <v>-1.03</v>
      </c>
      <c r="AQ79">
        <v>4.46</v>
      </c>
    </row>
    <row r="81" spans="1:43" x14ac:dyDescent="0.25">
      <c r="A81">
        <v>-5</v>
      </c>
      <c r="B81" t="s">
        <v>43</v>
      </c>
      <c r="C81">
        <v>44.283000000000001</v>
      </c>
      <c r="D81">
        <f>240.577-360</f>
        <v>-119.423</v>
      </c>
      <c r="E81">
        <v>20140801</v>
      </c>
      <c r="F81">
        <v>20140711</v>
      </c>
      <c r="G81">
        <v>4997</v>
      </c>
      <c r="H81">
        <v>1</v>
      </c>
      <c r="I81">
        <v>6.05</v>
      </c>
      <c r="J81">
        <v>4997</v>
      </c>
      <c r="K81">
        <v>1.66</v>
      </c>
      <c r="L81">
        <v>29.79</v>
      </c>
      <c r="M81">
        <v>24</v>
      </c>
      <c r="N81">
        <v>2.2200000000000002</v>
      </c>
      <c r="O81">
        <v>12</v>
      </c>
      <c r="P81">
        <v>3082</v>
      </c>
      <c r="Q81">
        <v>6856</v>
      </c>
      <c r="R81">
        <v>2.2200000000000002</v>
      </c>
      <c r="S81">
        <v>2860</v>
      </c>
      <c r="T81">
        <v>6362</v>
      </c>
      <c r="U81">
        <v>2.35</v>
      </c>
      <c r="V81">
        <v>3042</v>
      </c>
      <c r="W81">
        <v>7148</v>
      </c>
      <c r="X81">
        <v>-999</v>
      </c>
      <c r="Y81">
        <v>-999</v>
      </c>
      <c r="Z81">
        <v>-999</v>
      </c>
      <c r="AA81">
        <v>-999</v>
      </c>
      <c r="AB81">
        <v>16.420000000000002</v>
      </c>
      <c r="AC81">
        <v>21.71</v>
      </c>
      <c r="AD81">
        <v>3</v>
      </c>
      <c r="AE81">
        <v>3</v>
      </c>
      <c r="AF81">
        <v>21.38</v>
      </c>
      <c r="AG81">
        <v>8.66</v>
      </c>
      <c r="AH81">
        <v>2</v>
      </c>
      <c r="AI81">
        <v>1</v>
      </c>
      <c r="AJ81">
        <v>3</v>
      </c>
      <c r="AK81">
        <v>-1.23</v>
      </c>
      <c r="AL81">
        <v>-1.86</v>
      </c>
      <c r="AM81">
        <v>-0.53</v>
      </c>
      <c r="AN81">
        <v>-0.3</v>
      </c>
      <c r="AO81">
        <v>-0.91</v>
      </c>
      <c r="AP81">
        <v>-2.73</v>
      </c>
      <c r="AQ81">
        <v>-1.18</v>
      </c>
    </row>
    <row r="82" spans="1:43" x14ac:dyDescent="0.25">
      <c r="A82">
        <v>-5</v>
      </c>
      <c r="B82" t="s">
        <v>43</v>
      </c>
      <c r="C82">
        <v>44.283000000000001</v>
      </c>
      <c r="D82">
        <f t="shared" ref="D82:D102" si="3">240.577-360</f>
        <v>-119.423</v>
      </c>
      <c r="E82">
        <v>20140802</v>
      </c>
      <c r="G82">
        <v>10400</v>
      </c>
      <c r="H82">
        <v>2</v>
      </c>
      <c r="I82">
        <v>2.68</v>
      </c>
      <c r="J82">
        <v>5403</v>
      </c>
      <c r="K82">
        <v>1.8</v>
      </c>
      <c r="L82">
        <v>30.77</v>
      </c>
      <c r="M82">
        <v>22</v>
      </c>
      <c r="N82">
        <v>0.53</v>
      </c>
      <c r="O82">
        <v>4</v>
      </c>
      <c r="P82">
        <v>3337</v>
      </c>
      <c r="Q82">
        <v>1756</v>
      </c>
      <c r="R82">
        <v>1.1299999999999999</v>
      </c>
      <c r="S82">
        <v>3217</v>
      </c>
      <c r="T82">
        <v>3634</v>
      </c>
      <c r="U82">
        <v>1.39</v>
      </c>
      <c r="V82">
        <v>3293</v>
      </c>
      <c r="W82">
        <v>4589</v>
      </c>
      <c r="X82">
        <v>-999</v>
      </c>
      <c r="Y82">
        <v>-999</v>
      </c>
      <c r="Z82">
        <v>-999</v>
      </c>
      <c r="AA82">
        <v>-999</v>
      </c>
      <c r="AB82">
        <v>16.71</v>
      </c>
      <c r="AC82">
        <v>23.8</v>
      </c>
      <c r="AD82">
        <v>3</v>
      </c>
      <c r="AE82">
        <v>3</v>
      </c>
      <c r="AF82">
        <v>23.67</v>
      </c>
      <c r="AG82">
        <v>9.81</v>
      </c>
      <c r="AH82">
        <v>3</v>
      </c>
      <c r="AI82">
        <v>1</v>
      </c>
      <c r="AJ82">
        <v>4</v>
      </c>
      <c r="AK82">
        <v>-0.5</v>
      </c>
      <c r="AL82">
        <v>0.15</v>
      </c>
      <c r="AM82">
        <v>-1.44</v>
      </c>
      <c r="AN82">
        <v>-3.03</v>
      </c>
      <c r="AO82">
        <v>0.66</v>
      </c>
      <c r="AP82">
        <v>6.56</v>
      </c>
      <c r="AQ82">
        <v>7.41</v>
      </c>
    </row>
    <row r="83" spans="1:43" x14ac:dyDescent="0.25">
      <c r="A83">
        <v>-5</v>
      </c>
      <c r="B83" t="s">
        <v>43</v>
      </c>
      <c r="C83">
        <v>44.283000000000001</v>
      </c>
      <c r="D83">
        <f t="shared" si="3"/>
        <v>-119.423</v>
      </c>
      <c r="E83">
        <v>20140803</v>
      </c>
      <c r="G83">
        <v>16579</v>
      </c>
      <c r="H83">
        <v>3</v>
      </c>
      <c r="I83">
        <v>2.29</v>
      </c>
      <c r="J83">
        <v>6179</v>
      </c>
      <c r="K83">
        <v>2.06</v>
      </c>
      <c r="L83">
        <v>30.25</v>
      </c>
      <c r="M83">
        <v>30</v>
      </c>
      <c r="N83">
        <v>3.61</v>
      </c>
      <c r="O83">
        <v>18</v>
      </c>
      <c r="P83">
        <v>2911</v>
      </c>
      <c r="Q83">
        <v>10509</v>
      </c>
      <c r="R83">
        <v>3.79</v>
      </c>
      <c r="S83">
        <v>2619</v>
      </c>
      <c r="T83">
        <v>9924</v>
      </c>
      <c r="U83">
        <v>3.99</v>
      </c>
      <c r="V83">
        <v>2873</v>
      </c>
      <c r="W83">
        <v>11464</v>
      </c>
      <c r="X83">
        <v>-999</v>
      </c>
      <c r="Y83">
        <v>-999</v>
      </c>
      <c r="Z83">
        <v>-999</v>
      </c>
      <c r="AA83">
        <v>-999</v>
      </c>
      <c r="AB83">
        <v>16.670000000000002</v>
      </c>
      <c r="AC83">
        <v>17.68</v>
      </c>
      <c r="AD83">
        <v>3</v>
      </c>
      <c r="AE83">
        <v>3</v>
      </c>
      <c r="AF83">
        <v>20.23</v>
      </c>
      <c r="AG83">
        <v>6.3</v>
      </c>
      <c r="AH83">
        <v>2</v>
      </c>
      <c r="AI83">
        <v>1</v>
      </c>
      <c r="AJ83">
        <v>3</v>
      </c>
      <c r="AK83">
        <v>0.56000000000000005</v>
      </c>
      <c r="AL83">
        <v>-3.57</v>
      </c>
      <c r="AM83">
        <v>-0.77</v>
      </c>
      <c r="AN83">
        <v>3.53</v>
      </c>
      <c r="AO83">
        <v>1.24</v>
      </c>
      <c r="AP83">
        <v>-9.81</v>
      </c>
      <c r="AQ83">
        <v>-3.21</v>
      </c>
    </row>
    <row r="84" spans="1:43" x14ac:dyDescent="0.25">
      <c r="A84">
        <v>-5</v>
      </c>
      <c r="B84" t="s">
        <v>43</v>
      </c>
      <c r="C84">
        <v>44.283000000000001</v>
      </c>
      <c r="D84">
        <f t="shared" si="3"/>
        <v>-119.423</v>
      </c>
      <c r="E84">
        <v>20140804</v>
      </c>
      <c r="G84">
        <v>24066</v>
      </c>
      <c r="H84">
        <v>4</v>
      </c>
      <c r="I84">
        <v>2.2599999999999998</v>
      </c>
      <c r="J84">
        <v>7487</v>
      </c>
      <c r="K84">
        <v>2.4900000000000002</v>
      </c>
      <c r="L84">
        <v>30.32</v>
      </c>
      <c r="M84">
        <v>26</v>
      </c>
      <c r="N84">
        <v>4.26</v>
      </c>
      <c r="O84">
        <v>22</v>
      </c>
      <c r="P84">
        <v>3088</v>
      </c>
      <c r="Q84">
        <v>13152</v>
      </c>
      <c r="R84">
        <v>4.8</v>
      </c>
      <c r="S84">
        <v>2732</v>
      </c>
      <c r="T84">
        <v>13103</v>
      </c>
      <c r="U84">
        <v>5.08</v>
      </c>
      <c r="V84">
        <v>3048</v>
      </c>
      <c r="W84">
        <v>15492</v>
      </c>
      <c r="X84">
        <v>-999</v>
      </c>
      <c r="Y84">
        <v>-999</v>
      </c>
      <c r="Z84">
        <v>-999</v>
      </c>
      <c r="AA84">
        <v>-999</v>
      </c>
      <c r="AB84">
        <v>16.649999999999999</v>
      </c>
      <c r="AC84">
        <v>19.600000000000001</v>
      </c>
      <c r="AD84">
        <v>3</v>
      </c>
      <c r="AE84">
        <v>3</v>
      </c>
      <c r="AF84">
        <v>20.84</v>
      </c>
      <c r="AG84">
        <v>5.04</v>
      </c>
      <c r="AH84">
        <v>2</v>
      </c>
      <c r="AI84">
        <v>1</v>
      </c>
      <c r="AJ84">
        <v>3</v>
      </c>
      <c r="AK84">
        <v>-1.02</v>
      </c>
      <c r="AL84">
        <v>-4.13</v>
      </c>
      <c r="AM84">
        <v>0.46</v>
      </c>
      <c r="AN84">
        <v>-6.28</v>
      </c>
      <c r="AO84">
        <v>-1.86</v>
      </c>
      <c r="AP84">
        <v>0.15</v>
      </c>
      <c r="AQ84">
        <v>11.63</v>
      </c>
    </row>
    <row r="85" spans="1:43" x14ac:dyDescent="0.25">
      <c r="A85">
        <v>-5</v>
      </c>
      <c r="B85" t="s">
        <v>43</v>
      </c>
      <c r="C85">
        <v>44.283000000000001</v>
      </c>
      <c r="D85">
        <f t="shared" si="3"/>
        <v>-119.423</v>
      </c>
      <c r="E85">
        <v>20140805</v>
      </c>
      <c r="G85">
        <v>28797</v>
      </c>
      <c r="H85">
        <v>5</v>
      </c>
      <c r="I85">
        <v>1.25</v>
      </c>
      <c r="J85">
        <v>4731</v>
      </c>
      <c r="K85">
        <v>1.57</v>
      </c>
      <c r="L85">
        <v>29.06</v>
      </c>
      <c r="M85">
        <v>24</v>
      </c>
      <c r="N85">
        <v>4.9800000000000004</v>
      </c>
      <c r="O85">
        <v>27</v>
      </c>
      <c r="P85">
        <v>2962</v>
      </c>
      <c r="Q85">
        <v>14756</v>
      </c>
      <c r="R85">
        <v>5.7</v>
      </c>
      <c r="S85">
        <v>2586</v>
      </c>
      <c r="T85">
        <v>14741</v>
      </c>
      <c r="U85">
        <v>6.11</v>
      </c>
      <c r="V85">
        <v>2923</v>
      </c>
      <c r="W85">
        <v>17857</v>
      </c>
      <c r="X85">
        <v>-999</v>
      </c>
      <c r="Y85">
        <v>-999</v>
      </c>
      <c r="Z85">
        <v>-999</v>
      </c>
      <c r="AA85">
        <v>-999</v>
      </c>
      <c r="AB85">
        <v>16.55</v>
      </c>
      <c r="AC85">
        <v>20.420000000000002</v>
      </c>
      <c r="AD85">
        <v>3</v>
      </c>
      <c r="AE85">
        <v>3</v>
      </c>
      <c r="AF85">
        <v>18.04</v>
      </c>
      <c r="AG85">
        <v>7.83</v>
      </c>
      <c r="AH85">
        <v>2</v>
      </c>
      <c r="AI85">
        <v>1</v>
      </c>
      <c r="AJ85">
        <v>3</v>
      </c>
      <c r="AK85">
        <v>1.17</v>
      </c>
      <c r="AL85">
        <v>-4.84</v>
      </c>
      <c r="AM85">
        <v>-1.4</v>
      </c>
      <c r="AN85">
        <v>-6.13</v>
      </c>
      <c r="AO85">
        <v>3.94</v>
      </c>
      <c r="AP85">
        <v>-1.66</v>
      </c>
      <c r="AQ85">
        <v>-26.48</v>
      </c>
    </row>
    <row r="86" spans="1:43" x14ac:dyDescent="0.25">
      <c r="A86">
        <v>-5</v>
      </c>
      <c r="B86" t="s">
        <v>43</v>
      </c>
      <c r="C86">
        <v>44.283000000000001</v>
      </c>
      <c r="D86">
        <f t="shared" si="3"/>
        <v>-119.423</v>
      </c>
      <c r="E86">
        <v>20140806</v>
      </c>
      <c r="G86">
        <v>35964</v>
      </c>
      <c r="H86">
        <v>6</v>
      </c>
      <c r="I86">
        <v>1.71</v>
      </c>
      <c r="J86">
        <v>7167</v>
      </c>
      <c r="K86">
        <v>2.38</v>
      </c>
      <c r="L86">
        <v>26.95</v>
      </c>
      <c r="M86">
        <v>28</v>
      </c>
      <c r="N86">
        <v>5</v>
      </c>
      <c r="O86">
        <v>25</v>
      </c>
      <c r="P86">
        <v>2494</v>
      </c>
      <c r="Q86">
        <v>12477</v>
      </c>
      <c r="R86">
        <v>5.56</v>
      </c>
      <c r="S86">
        <v>2160</v>
      </c>
      <c r="T86">
        <v>12021</v>
      </c>
      <c r="U86">
        <v>5.86</v>
      </c>
      <c r="V86">
        <v>2462</v>
      </c>
      <c r="W86">
        <v>14429</v>
      </c>
      <c r="X86">
        <v>-999</v>
      </c>
      <c r="Y86">
        <v>-999</v>
      </c>
      <c r="Z86">
        <v>-999</v>
      </c>
      <c r="AA86">
        <v>-999</v>
      </c>
      <c r="AB86">
        <v>14.3</v>
      </c>
      <c r="AC86">
        <v>18.559999999999999</v>
      </c>
      <c r="AD86">
        <v>3</v>
      </c>
      <c r="AE86">
        <v>3</v>
      </c>
      <c r="AF86">
        <v>18.45</v>
      </c>
      <c r="AG86">
        <v>18.98</v>
      </c>
      <c r="AH86">
        <v>2</v>
      </c>
      <c r="AI86">
        <v>2</v>
      </c>
      <c r="AJ86">
        <v>4</v>
      </c>
      <c r="AK86">
        <v>2.27</v>
      </c>
      <c r="AL86">
        <v>-4.46</v>
      </c>
      <c r="AM86">
        <v>2.54</v>
      </c>
      <c r="AN86">
        <v>-7.8</v>
      </c>
      <c r="AO86">
        <v>2.8</v>
      </c>
      <c r="AP86">
        <v>0.51</v>
      </c>
      <c r="AQ86">
        <v>-23.16</v>
      </c>
    </row>
    <row r="87" spans="1:43" x14ac:dyDescent="0.25">
      <c r="A87">
        <v>-5</v>
      </c>
      <c r="B87" t="s">
        <v>43</v>
      </c>
      <c r="C87">
        <v>44.283000000000001</v>
      </c>
      <c r="D87">
        <f t="shared" si="3"/>
        <v>-119.423</v>
      </c>
      <c r="E87">
        <v>20140807</v>
      </c>
      <c r="G87">
        <v>41831</v>
      </c>
      <c r="H87">
        <v>7</v>
      </c>
      <c r="I87">
        <v>1.27</v>
      </c>
      <c r="J87">
        <v>5867</v>
      </c>
      <c r="K87">
        <v>1.95</v>
      </c>
      <c r="L87">
        <v>28.26</v>
      </c>
      <c r="M87">
        <v>20</v>
      </c>
      <c r="N87">
        <v>4.79</v>
      </c>
      <c r="O87">
        <v>27</v>
      </c>
      <c r="P87">
        <v>2981</v>
      </c>
      <c r="Q87">
        <v>14267</v>
      </c>
      <c r="R87">
        <v>5.18</v>
      </c>
      <c r="S87">
        <v>2598</v>
      </c>
      <c r="T87">
        <v>13468</v>
      </c>
      <c r="U87">
        <v>5.44</v>
      </c>
      <c r="V87">
        <v>2942</v>
      </c>
      <c r="W87">
        <v>16018</v>
      </c>
      <c r="X87">
        <v>-999</v>
      </c>
      <c r="Y87">
        <v>-999</v>
      </c>
      <c r="Z87">
        <v>-999</v>
      </c>
      <c r="AA87">
        <v>-999</v>
      </c>
      <c r="AB87">
        <v>16.77</v>
      </c>
      <c r="AC87">
        <v>22.59</v>
      </c>
      <c r="AD87">
        <v>3</v>
      </c>
      <c r="AE87">
        <v>3</v>
      </c>
      <c r="AF87">
        <v>18.420000000000002</v>
      </c>
      <c r="AG87">
        <v>9.81</v>
      </c>
      <c r="AH87">
        <v>2</v>
      </c>
      <c r="AI87">
        <v>1</v>
      </c>
      <c r="AJ87">
        <v>3</v>
      </c>
      <c r="AK87">
        <v>2.34</v>
      </c>
      <c r="AL87">
        <v>-4.17</v>
      </c>
      <c r="AM87">
        <v>5.34</v>
      </c>
      <c r="AN87">
        <v>-7.29</v>
      </c>
      <c r="AO87">
        <v>-1.08</v>
      </c>
      <c r="AP87">
        <v>2.25</v>
      </c>
      <c r="AQ87">
        <v>-4.18</v>
      </c>
    </row>
    <row r="88" spans="1:43" x14ac:dyDescent="0.25">
      <c r="A88">
        <v>-5</v>
      </c>
      <c r="B88" t="s">
        <v>43</v>
      </c>
      <c r="C88">
        <v>44.283000000000001</v>
      </c>
      <c r="D88">
        <f t="shared" si="3"/>
        <v>-119.423</v>
      </c>
      <c r="E88">
        <v>20140808</v>
      </c>
      <c r="G88">
        <v>49390</v>
      </c>
      <c r="H88">
        <v>8</v>
      </c>
      <c r="I88">
        <v>1.52</v>
      </c>
      <c r="J88">
        <v>7559</v>
      </c>
      <c r="K88">
        <v>2.5099999999999998</v>
      </c>
      <c r="L88">
        <v>25.9</v>
      </c>
      <c r="M88">
        <v>25</v>
      </c>
      <c r="N88">
        <v>4.9000000000000004</v>
      </c>
      <c r="O88">
        <v>26</v>
      </c>
      <c r="P88">
        <v>2448</v>
      </c>
      <c r="Q88">
        <v>12005</v>
      </c>
      <c r="R88">
        <v>5.24</v>
      </c>
      <c r="S88">
        <v>2115</v>
      </c>
      <c r="T88">
        <v>11082</v>
      </c>
      <c r="U88">
        <v>5.46</v>
      </c>
      <c r="V88">
        <v>2416</v>
      </c>
      <c r="W88">
        <v>13197</v>
      </c>
      <c r="X88">
        <v>-999</v>
      </c>
      <c r="Y88">
        <v>-999</v>
      </c>
      <c r="Z88">
        <v>-999</v>
      </c>
      <c r="AA88">
        <v>-999</v>
      </c>
      <c r="AB88">
        <v>16.29</v>
      </c>
      <c r="AC88">
        <v>19.41</v>
      </c>
      <c r="AD88">
        <v>3</v>
      </c>
      <c r="AE88">
        <v>3</v>
      </c>
      <c r="AF88">
        <v>16.2</v>
      </c>
      <c r="AG88">
        <v>6.95</v>
      </c>
      <c r="AH88">
        <v>1</v>
      </c>
      <c r="AI88">
        <v>1</v>
      </c>
      <c r="AJ88">
        <v>2</v>
      </c>
      <c r="AK88">
        <v>1.76</v>
      </c>
      <c r="AL88">
        <v>-4.58</v>
      </c>
      <c r="AM88">
        <v>4.26</v>
      </c>
      <c r="AN88">
        <v>-5.03</v>
      </c>
      <c r="AO88">
        <v>-1.23</v>
      </c>
      <c r="AP88">
        <v>-2.77</v>
      </c>
      <c r="AQ88">
        <v>17.989999999999998</v>
      </c>
    </row>
    <row r="89" spans="1:43" x14ac:dyDescent="0.25">
      <c r="A89">
        <v>-5</v>
      </c>
      <c r="B89" t="s">
        <v>43</v>
      </c>
      <c r="C89">
        <v>44.283000000000001</v>
      </c>
      <c r="D89">
        <f t="shared" si="3"/>
        <v>-119.423</v>
      </c>
      <c r="E89">
        <v>20140809</v>
      </c>
      <c r="G89">
        <v>60020</v>
      </c>
      <c r="H89">
        <v>9</v>
      </c>
      <c r="I89">
        <v>1.95</v>
      </c>
      <c r="J89">
        <v>10630</v>
      </c>
      <c r="K89">
        <v>3.54</v>
      </c>
      <c r="L89">
        <v>29.31</v>
      </c>
      <c r="M89">
        <v>21</v>
      </c>
      <c r="N89">
        <v>3.09</v>
      </c>
      <c r="O89">
        <v>17</v>
      </c>
      <c r="P89">
        <v>3121</v>
      </c>
      <c r="Q89">
        <v>9655</v>
      </c>
      <c r="R89">
        <v>2.99</v>
      </c>
      <c r="S89">
        <v>2818</v>
      </c>
      <c r="T89">
        <v>8433</v>
      </c>
      <c r="U89">
        <v>3.09</v>
      </c>
      <c r="V89">
        <v>3080</v>
      </c>
      <c r="W89">
        <v>9528</v>
      </c>
      <c r="X89">
        <v>-999</v>
      </c>
      <c r="Y89">
        <v>-999</v>
      </c>
      <c r="Z89">
        <v>-999</v>
      </c>
      <c r="AA89">
        <v>-999</v>
      </c>
      <c r="AB89">
        <v>16.78</v>
      </c>
      <c r="AC89">
        <v>22.74</v>
      </c>
      <c r="AD89">
        <v>3</v>
      </c>
      <c r="AE89">
        <v>3</v>
      </c>
      <c r="AF89">
        <v>19.2</v>
      </c>
      <c r="AG89">
        <v>10.44</v>
      </c>
      <c r="AH89">
        <v>2</v>
      </c>
      <c r="AI89">
        <v>1</v>
      </c>
      <c r="AJ89">
        <v>3</v>
      </c>
      <c r="AK89">
        <v>0.02</v>
      </c>
      <c r="AL89">
        <v>-3.09</v>
      </c>
      <c r="AM89">
        <v>3.03</v>
      </c>
      <c r="AN89">
        <v>-7.8</v>
      </c>
      <c r="AO89">
        <v>-3.19</v>
      </c>
      <c r="AP89">
        <v>3.12</v>
      </c>
      <c r="AQ89">
        <v>15.39</v>
      </c>
    </row>
    <row r="90" spans="1:43" x14ac:dyDescent="0.25">
      <c r="A90">
        <v>-5</v>
      </c>
      <c r="B90" t="s">
        <v>43</v>
      </c>
      <c r="C90">
        <v>44.283000000000001</v>
      </c>
      <c r="D90">
        <f t="shared" si="3"/>
        <v>-119.423</v>
      </c>
      <c r="E90">
        <v>20140810</v>
      </c>
      <c r="G90">
        <v>62476</v>
      </c>
      <c r="H90">
        <v>10</v>
      </c>
      <c r="I90">
        <v>0.42</v>
      </c>
      <c r="J90">
        <v>2456</v>
      </c>
      <c r="K90">
        <v>0.82</v>
      </c>
      <c r="L90">
        <v>31.05</v>
      </c>
      <c r="M90">
        <v>23</v>
      </c>
      <c r="N90">
        <v>2.11</v>
      </c>
      <c r="O90">
        <v>12</v>
      </c>
      <c r="P90">
        <v>3344</v>
      </c>
      <c r="Q90">
        <v>7067</v>
      </c>
      <c r="R90">
        <v>2.31</v>
      </c>
      <c r="S90">
        <v>3104</v>
      </c>
      <c r="T90">
        <v>7172</v>
      </c>
      <c r="U90">
        <v>2.4500000000000002</v>
      </c>
      <c r="V90">
        <v>3301</v>
      </c>
      <c r="W90">
        <v>8090</v>
      </c>
      <c r="X90">
        <v>-999</v>
      </c>
      <c r="Y90">
        <v>-999</v>
      </c>
      <c r="Z90">
        <v>-999</v>
      </c>
      <c r="AA90">
        <v>-999</v>
      </c>
      <c r="AB90">
        <v>16.2</v>
      </c>
      <c r="AC90">
        <v>22.41</v>
      </c>
      <c r="AD90">
        <v>3</v>
      </c>
      <c r="AE90">
        <v>3</v>
      </c>
      <c r="AF90">
        <v>21.85</v>
      </c>
      <c r="AG90">
        <v>10.34</v>
      </c>
      <c r="AH90">
        <v>2</v>
      </c>
      <c r="AI90">
        <v>1</v>
      </c>
      <c r="AJ90">
        <v>3</v>
      </c>
      <c r="AK90">
        <v>-1.67</v>
      </c>
      <c r="AL90">
        <v>-1.29</v>
      </c>
      <c r="AM90">
        <v>-0.15</v>
      </c>
      <c r="AN90">
        <v>-4.68</v>
      </c>
      <c r="AO90">
        <v>-3.04</v>
      </c>
      <c r="AP90">
        <v>3.11</v>
      </c>
      <c r="AQ90">
        <v>14.68</v>
      </c>
    </row>
    <row r="91" spans="1:43" x14ac:dyDescent="0.25">
      <c r="A91">
        <v>-5</v>
      </c>
      <c r="B91" t="s">
        <v>43</v>
      </c>
      <c r="C91">
        <v>44.283000000000001</v>
      </c>
      <c r="D91">
        <f t="shared" si="3"/>
        <v>-119.423</v>
      </c>
      <c r="E91">
        <v>20140811</v>
      </c>
      <c r="G91">
        <v>64272</v>
      </c>
      <c r="H91">
        <v>11</v>
      </c>
      <c r="I91">
        <v>0.31</v>
      </c>
      <c r="J91">
        <v>1796</v>
      </c>
      <c r="K91">
        <v>0.6</v>
      </c>
      <c r="L91">
        <v>29.39</v>
      </c>
      <c r="M91">
        <v>25</v>
      </c>
      <c r="N91">
        <v>1.29</v>
      </c>
      <c r="O91">
        <v>7</v>
      </c>
      <c r="P91">
        <v>2976</v>
      </c>
      <c r="Q91">
        <v>3845</v>
      </c>
      <c r="R91">
        <v>2.1</v>
      </c>
      <c r="S91">
        <v>3134</v>
      </c>
      <c r="T91">
        <v>6568</v>
      </c>
      <c r="U91">
        <v>2.4</v>
      </c>
      <c r="V91">
        <v>3223</v>
      </c>
      <c r="W91">
        <v>7734</v>
      </c>
      <c r="X91">
        <v>-999</v>
      </c>
      <c r="Y91">
        <v>-999</v>
      </c>
      <c r="Z91">
        <v>-999</v>
      </c>
      <c r="AA91">
        <v>-999</v>
      </c>
      <c r="AB91">
        <v>15.89</v>
      </c>
      <c r="AC91">
        <v>23.08</v>
      </c>
      <c r="AD91">
        <v>3</v>
      </c>
      <c r="AE91">
        <v>3</v>
      </c>
      <c r="AF91">
        <v>22.44</v>
      </c>
      <c r="AG91">
        <v>12.86</v>
      </c>
      <c r="AH91">
        <v>3</v>
      </c>
      <c r="AI91">
        <v>1</v>
      </c>
      <c r="AJ91">
        <v>4</v>
      </c>
      <c r="AK91">
        <v>-0.62</v>
      </c>
      <c r="AL91">
        <v>1.1399999999999999</v>
      </c>
      <c r="AM91">
        <v>-3.19</v>
      </c>
      <c r="AN91">
        <v>-1.57</v>
      </c>
      <c r="AO91">
        <v>2.04</v>
      </c>
      <c r="AP91">
        <v>2.52</v>
      </c>
      <c r="AQ91">
        <v>4.84</v>
      </c>
    </row>
    <row r="92" spans="1:43" x14ac:dyDescent="0.25">
      <c r="A92">
        <v>-5</v>
      </c>
      <c r="B92" t="s">
        <v>43</v>
      </c>
      <c r="C92">
        <v>44.283000000000001</v>
      </c>
      <c r="D92">
        <f t="shared" si="3"/>
        <v>-119.423</v>
      </c>
      <c r="E92">
        <v>20140812</v>
      </c>
      <c r="G92">
        <v>64707</v>
      </c>
      <c r="H92">
        <v>12</v>
      </c>
      <c r="I92">
        <v>7.0000000000000007E-2</v>
      </c>
      <c r="J92">
        <v>435</v>
      </c>
      <c r="K92">
        <v>0.14000000000000001</v>
      </c>
      <c r="L92">
        <v>22.16</v>
      </c>
      <c r="M92">
        <v>54</v>
      </c>
      <c r="N92">
        <v>1.27</v>
      </c>
      <c r="O92">
        <v>5</v>
      </c>
      <c r="P92">
        <v>1208</v>
      </c>
      <c r="Q92">
        <v>1530</v>
      </c>
      <c r="R92">
        <v>1.7</v>
      </c>
      <c r="S92">
        <v>1216</v>
      </c>
      <c r="T92">
        <v>2064</v>
      </c>
      <c r="U92">
        <v>2.23</v>
      </c>
      <c r="V92">
        <v>1262</v>
      </c>
      <c r="W92">
        <v>2815</v>
      </c>
      <c r="X92">
        <v>-999</v>
      </c>
      <c r="Y92">
        <v>-999</v>
      </c>
      <c r="Z92">
        <v>-999</v>
      </c>
      <c r="AA92">
        <v>-999</v>
      </c>
      <c r="AB92">
        <v>13.82</v>
      </c>
      <c r="AC92">
        <v>9.0399999999999991</v>
      </c>
      <c r="AD92">
        <v>3</v>
      </c>
      <c r="AE92">
        <v>2</v>
      </c>
      <c r="AF92">
        <v>19.420000000000002</v>
      </c>
      <c r="AG92">
        <v>5.87</v>
      </c>
      <c r="AH92">
        <v>2</v>
      </c>
      <c r="AI92">
        <v>1</v>
      </c>
      <c r="AJ92">
        <v>3</v>
      </c>
      <c r="AK92">
        <v>0.51</v>
      </c>
      <c r="AL92">
        <v>1.1599999999999999</v>
      </c>
      <c r="AM92">
        <v>-1.1499999999999999</v>
      </c>
      <c r="AN92">
        <v>0.95</v>
      </c>
      <c r="AO92">
        <v>2.1</v>
      </c>
      <c r="AP92">
        <v>4.4000000000000004</v>
      </c>
      <c r="AQ92">
        <v>7.06</v>
      </c>
    </row>
    <row r="93" spans="1:43" x14ac:dyDescent="0.25">
      <c r="A93">
        <v>-5</v>
      </c>
      <c r="B93" t="s">
        <v>43</v>
      </c>
      <c r="C93">
        <v>44.283000000000001</v>
      </c>
      <c r="D93">
        <f t="shared" si="3"/>
        <v>-119.423</v>
      </c>
      <c r="E93">
        <v>20140813</v>
      </c>
      <c r="G93">
        <v>64767</v>
      </c>
      <c r="H93">
        <v>13</v>
      </c>
      <c r="I93">
        <v>0.01</v>
      </c>
      <c r="J93">
        <v>60</v>
      </c>
      <c r="K93">
        <v>0.02</v>
      </c>
      <c r="L93">
        <v>24.02</v>
      </c>
      <c r="M93">
        <v>29</v>
      </c>
      <c r="N93">
        <v>2.56</v>
      </c>
      <c r="O93">
        <v>13</v>
      </c>
      <c r="P93">
        <v>2079</v>
      </c>
      <c r="Q93">
        <v>5316</v>
      </c>
      <c r="R93">
        <v>2.2400000000000002</v>
      </c>
      <c r="S93">
        <v>1961</v>
      </c>
      <c r="T93">
        <v>4385</v>
      </c>
      <c r="U93">
        <v>2.56</v>
      </c>
      <c r="V93">
        <v>2052</v>
      </c>
      <c r="W93">
        <v>5246</v>
      </c>
      <c r="X93">
        <v>-999</v>
      </c>
      <c r="Y93">
        <v>-999</v>
      </c>
      <c r="Z93">
        <v>-999</v>
      </c>
      <c r="AA93">
        <v>-999</v>
      </c>
      <c r="AB93">
        <v>14.91</v>
      </c>
      <c r="AC93">
        <v>17.440000000000001</v>
      </c>
      <c r="AD93">
        <v>3</v>
      </c>
      <c r="AE93">
        <v>3</v>
      </c>
      <c r="AF93">
        <v>21.83</v>
      </c>
      <c r="AG93">
        <v>7.93</v>
      </c>
      <c r="AH93">
        <v>2</v>
      </c>
      <c r="AI93">
        <v>1</v>
      </c>
      <c r="AJ93">
        <v>3</v>
      </c>
      <c r="AK93">
        <v>1.62</v>
      </c>
      <c r="AL93">
        <v>-1.98</v>
      </c>
      <c r="AM93">
        <v>0.95</v>
      </c>
      <c r="AN93">
        <v>5.35</v>
      </c>
      <c r="AO93">
        <v>0.84</v>
      </c>
      <c r="AP93">
        <v>-8.2200000000000006</v>
      </c>
      <c r="AQ93">
        <v>12.35</v>
      </c>
    </row>
    <row r="94" spans="1:43" x14ac:dyDescent="0.25">
      <c r="A94">
        <v>-5</v>
      </c>
      <c r="B94" t="s">
        <v>43</v>
      </c>
      <c r="C94">
        <v>44.283000000000001</v>
      </c>
      <c r="D94">
        <f t="shared" si="3"/>
        <v>-119.423</v>
      </c>
      <c r="E94">
        <v>20140814</v>
      </c>
      <c r="H94">
        <v>14</v>
      </c>
      <c r="L94">
        <v>19.64</v>
      </c>
      <c r="M94">
        <v>51</v>
      </c>
      <c r="N94">
        <v>1.8</v>
      </c>
      <c r="O94">
        <v>7</v>
      </c>
      <c r="P94">
        <v>1107</v>
      </c>
      <c r="Q94">
        <v>1991</v>
      </c>
      <c r="R94">
        <v>1.63</v>
      </c>
      <c r="S94">
        <v>990</v>
      </c>
      <c r="T94">
        <v>1612</v>
      </c>
      <c r="U94">
        <v>1.8</v>
      </c>
      <c r="V94">
        <v>1093</v>
      </c>
      <c r="W94">
        <v>1965</v>
      </c>
      <c r="X94">
        <v>-999</v>
      </c>
      <c r="Y94">
        <v>-999</v>
      </c>
      <c r="Z94">
        <v>-999</v>
      </c>
      <c r="AA94">
        <v>-999</v>
      </c>
      <c r="AB94">
        <v>14.67</v>
      </c>
      <c r="AC94">
        <v>8.08</v>
      </c>
      <c r="AD94">
        <v>3</v>
      </c>
      <c r="AE94">
        <v>2</v>
      </c>
      <c r="AF94">
        <v>16.57</v>
      </c>
      <c r="AG94">
        <v>0.87</v>
      </c>
      <c r="AH94">
        <v>1</v>
      </c>
      <c r="AI94">
        <v>1</v>
      </c>
      <c r="AJ94">
        <v>2</v>
      </c>
      <c r="AK94">
        <v>0.25</v>
      </c>
      <c r="AL94">
        <v>-1.78</v>
      </c>
      <c r="AM94">
        <v>1.8</v>
      </c>
      <c r="AN94">
        <v>-2.87</v>
      </c>
      <c r="AO94">
        <v>-1.1599999999999999</v>
      </c>
      <c r="AP94">
        <v>0.11</v>
      </c>
      <c r="AQ94">
        <v>3.15</v>
      </c>
    </row>
    <row r="95" spans="1:43" x14ac:dyDescent="0.25">
      <c r="A95">
        <v>-5</v>
      </c>
      <c r="B95" t="s">
        <v>43</v>
      </c>
      <c r="C95">
        <v>44.283000000000001</v>
      </c>
      <c r="D95">
        <f t="shared" si="3"/>
        <v>-119.423</v>
      </c>
      <c r="E95">
        <v>20140815</v>
      </c>
      <c r="G95">
        <v>64883</v>
      </c>
      <c r="H95">
        <v>15</v>
      </c>
      <c r="L95">
        <v>24.08</v>
      </c>
      <c r="M95">
        <v>35</v>
      </c>
      <c r="N95">
        <v>2.58</v>
      </c>
      <c r="O95">
        <v>12</v>
      </c>
      <c r="P95">
        <v>1910</v>
      </c>
      <c r="Q95">
        <v>4921</v>
      </c>
      <c r="R95">
        <v>2.92</v>
      </c>
      <c r="S95">
        <v>1610</v>
      </c>
      <c r="T95">
        <v>4694</v>
      </c>
      <c r="U95">
        <v>3.26</v>
      </c>
      <c r="V95">
        <v>1885</v>
      </c>
      <c r="W95">
        <v>6143</v>
      </c>
      <c r="X95">
        <v>-999</v>
      </c>
      <c r="Y95">
        <v>-999</v>
      </c>
      <c r="Z95">
        <v>-999</v>
      </c>
      <c r="AA95">
        <v>-999</v>
      </c>
      <c r="AB95">
        <v>16.22</v>
      </c>
      <c r="AC95">
        <v>14.11</v>
      </c>
      <c r="AD95">
        <v>3</v>
      </c>
      <c r="AE95">
        <v>3</v>
      </c>
      <c r="AF95">
        <v>14.5</v>
      </c>
      <c r="AG95">
        <v>0.57999999999999996</v>
      </c>
      <c r="AH95">
        <v>1</v>
      </c>
      <c r="AI95">
        <v>1</v>
      </c>
      <c r="AJ95">
        <v>2</v>
      </c>
      <c r="AK95">
        <v>2.3199999999999998</v>
      </c>
      <c r="AL95">
        <v>-1.1200000000000001</v>
      </c>
      <c r="AM95">
        <v>0.63</v>
      </c>
      <c r="AN95">
        <v>-2.76</v>
      </c>
      <c r="AO95">
        <v>3.51</v>
      </c>
      <c r="AP95">
        <v>1.78</v>
      </c>
      <c r="AQ95">
        <v>-10.82</v>
      </c>
    </row>
    <row r="96" spans="1:43" x14ac:dyDescent="0.25">
      <c r="A96">
        <v>-5</v>
      </c>
      <c r="B96" t="s">
        <v>43</v>
      </c>
      <c r="C96">
        <v>44.283000000000001</v>
      </c>
      <c r="D96">
        <f t="shared" si="3"/>
        <v>-119.423</v>
      </c>
      <c r="E96">
        <v>20140816</v>
      </c>
      <c r="H96">
        <v>16</v>
      </c>
      <c r="L96">
        <v>27.61</v>
      </c>
      <c r="M96">
        <v>25</v>
      </c>
      <c r="N96">
        <v>3.09</v>
      </c>
      <c r="O96">
        <v>16</v>
      </c>
      <c r="P96">
        <v>2696</v>
      </c>
      <c r="Q96">
        <v>8325</v>
      </c>
      <c r="R96">
        <v>3.27</v>
      </c>
      <c r="S96">
        <v>2295</v>
      </c>
      <c r="T96">
        <v>7503</v>
      </c>
      <c r="U96">
        <v>3.45</v>
      </c>
      <c r="V96">
        <v>2661</v>
      </c>
      <c r="W96">
        <v>9179</v>
      </c>
      <c r="X96">
        <v>-999</v>
      </c>
      <c r="Y96">
        <v>-999</v>
      </c>
      <c r="Z96">
        <v>-999</v>
      </c>
      <c r="AA96">
        <v>-999</v>
      </c>
      <c r="AB96">
        <v>16.54</v>
      </c>
      <c r="AC96">
        <v>19.16</v>
      </c>
      <c r="AD96">
        <v>3</v>
      </c>
      <c r="AE96">
        <v>3</v>
      </c>
      <c r="AF96">
        <v>18.920000000000002</v>
      </c>
      <c r="AG96">
        <v>5.73</v>
      </c>
      <c r="AH96">
        <v>2</v>
      </c>
      <c r="AI96">
        <v>1</v>
      </c>
      <c r="AJ96">
        <v>3</v>
      </c>
      <c r="AK96">
        <v>1.28</v>
      </c>
      <c r="AL96">
        <v>-2.81</v>
      </c>
      <c r="AM96">
        <v>4.1399999999999997</v>
      </c>
      <c r="AN96">
        <v>-0.99</v>
      </c>
      <c r="AO96">
        <v>-1.48</v>
      </c>
      <c r="AP96">
        <v>-1.8</v>
      </c>
      <c r="AQ96">
        <v>8.91</v>
      </c>
    </row>
    <row r="97" spans="1:43" x14ac:dyDescent="0.25">
      <c r="A97">
        <v>-5</v>
      </c>
      <c r="B97" t="s">
        <v>43</v>
      </c>
      <c r="C97">
        <v>44.283000000000001</v>
      </c>
      <c r="D97">
        <f t="shared" si="3"/>
        <v>-119.423</v>
      </c>
      <c r="E97">
        <v>20140817</v>
      </c>
      <c r="G97">
        <v>64990</v>
      </c>
      <c r="H97">
        <v>17</v>
      </c>
      <c r="L97">
        <v>27.56</v>
      </c>
      <c r="M97">
        <v>29</v>
      </c>
      <c r="N97">
        <v>3.3</v>
      </c>
      <c r="O97">
        <v>17</v>
      </c>
      <c r="P97">
        <v>2545</v>
      </c>
      <c r="Q97">
        <v>8395</v>
      </c>
      <c r="R97">
        <v>3.37</v>
      </c>
      <c r="S97">
        <v>2311</v>
      </c>
      <c r="T97">
        <v>7796</v>
      </c>
      <c r="U97">
        <v>3.47</v>
      </c>
      <c r="V97">
        <v>2512</v>
      </c>
      <c r="W97">
        <v>8707</v>
      </c>
      <c r="X97">
        <v>-999</v>
      </c>
      <c r="Y97">
        <v>-999</v>
      </c>
      <c r="Z97">
        <v>-999</v>
      </c>
      <c r="AA97">
        <v>-999</v>
      </c>
      <c r="AB97">
        <v>16.399999999999999</v>
      </c>
      <c r="AC97">
        <v>17.809999999999999</v>
      </c>
      <c r="AD97">
        <v>3</v>
      </c>
      <c r="AE97">
        <v>3</v>
      </c>
      <c r="AF97">
        <v>20.95</v>
      </c>
      <c r="AG97">
        <v>5.56</v>
      </c>
      <c r="AH97">
        <v>2</v>
      </c>
      <c r="AI97">
        <v>1</v>
      </c>
      <c r="AJ97">
        <v>3</v>
      </c>
      <c r="AK97">
        <v>0.3</v>
      </c>
      <c r="AL97">
        <v>-3.29</v>
      </c>
      <c r="AM97">
        <v>2.66</v>
      </c>
      <c r="AN97">
        <v>-2.79</v>
      </c>
      <c r="AO97">
        <v>-2.4500000000000002</v>
      </c>
      <c r="AP97">
        <v>-2.0099999999999998</v>
      </c>
      <c r="AQ97">
        <v>12.17</v>
      </c>
    </row>
    <row r="98" spans="1:43" x14ac:dyDescent="0.25">
      <c r="A98">
        <v>-5</v>
      </c>
      <c r="B98" t="s">
        <v>43</v>
      </c>
      <c r="C98">
        <v>44.283000000000001</v>
      </c>
      <c r="D98">
        <f t="shared" si="3"/>
        <v>-119.423</v>
      </c>
      <c r="E98">
        <v>20140818</v>
      </c>
      <c r="G98">
        <v>65138</v>
      </c>
      <c r="H98">
        <v>18</v>
      </c>
      <c r="I98">
        <v>0.02</v>
      </c>
      <c r="J98">
        <v>148</v>
      </c>
      <c r="K98">
        <v>0.05</v>
      </c>
      <c r="L98">
        <v>28.84</v>
      </c>
      <c r="M98">
        <v>25</v>
      </c>
      <c r="N98">
        <v>3.33</v>
      </c>
      <c r="O98">
        <v>18</v>
      </c>
      <c r="P98">
        <v>2887</v>
      </c>
      <c r="Q98">
        <v>9627</v>
      </c>
      <c r="R98">
        <v>3.41</v>
      </c>
      <c r="S98">
        <v>2581</v>
      </c>
      <c r="T98">
        <v>8788</v>
      </c>
      <c r="U98">
        <v>3.52</v>
      </c>
      <c r="V98">
        <v>2849</v>
      </c>
      <c r="W98">
        <v>10021</v>
      </c>
      <c r="X98">
        <v>-999</v>
      </c>
      <c r="Y98">
        <v>-999</v>
      </c>
      <c r="Z98">
        <v>-999</v>
      </c>
      <c r="AA98">
        <v>-999</v>
      </c>
      <c r="AB98">
        <v>16.7</v>
      </c>
      <c r="AC98">
        <v>20.010000000000002</v>
      </c>
      <c r="AD98">
        <v>3</v>
      </c>
      <c r="AE98">
        <v>3</v>
      </c>
      <c r="AF98">
        <v>21.54</v>
      </c>
      <c r="AG98">
        <v>7.63</v>
      </c>
      <c r="AH98">
        <v>2</v>
      </c>
      <c r="AI98">
        <v>1</v>
      </c>
      <c r="AJ98">
        <v>3</v>
      </c>
      <c r="AK98">
        <v>0.71</v>
      </c>
      <c r="AL98">
        <v>-3.26</v>
      </c>
      <c r="AM98">
        <v>0.22</v>
      </c>
      <c r="AN98">
        <v>-4.8</v>
      </c>
      <c r="AO98">
        <v>0.48</v>
      </c>
      <c r="AP98">
        <v>-0.5</v>
      </c>
      <c r="AQ98">
        <v>-2.21</v>
      </c>
    </row>
    <row r="99" spans="1:43" x14ac:dyDescent="0.25">
      <c r="A99">
        <v>-5</v>
      </c>
      <c r="B99" t="s">
        <v>43</v>
      </c>
      <c r="C99">
        <v>44.283000000000001</v>
      </c>
      <c r="D99">
        <f t="shared" si="3"/>
        <v>-119.423</v>
      </c>
      <c r="E99">
        <v>20140819</v>
      </c>
      <c r="G99">
        <v>65232</v>
      </c>
      <c r="H99">
        <v>19</v>
      </c>
      <c r="I99">
        <v>0.02</v>
      </c>
      <c r="J99">
        <v>94</v>
      </c>
      <c r="K99">
        <v>0.03</v>
      </c>
      <c r="L99">
        <v>26.43</v>
      </c>
      <c r="M99">
        <v>29</v>
      </c>
      <c r="N99">
        <v>4.91</v>
      </c>
      <c r="O99">
        <v>25</v>
      </c>
      <c r="P99">
        <v>2387</v>
      </c>
      <c r="Q99">
        <v>11713</v>
      </c>
      <c r="R99">
        <v>6.01</v>
      </c>
      <c r="S99">
        <v>2050</v>
      </c>
      <c r="T99">
        <v>12323</v>
      </c>
      <c r="U99">
        <v>6.39</v>
      </c>
      <c r="V99">
        <v>2356</v>
      </c>
      <c r="W99">
        <v>15055</v>
      </c>
      <c r="X99">
        <v>-999</v>
      </c>
      <c r="Y99">
        <v>-999</v>
      </c>
      <c r="Z99">
        <v>-999</v>
      </c>
      <c r="AA99">
        <v>-999</v>
      </c>
      <c r="AB99">
        <v>16.84</v>
      </c>
      <c r="AC99">
        <v>17.309999999999999</v>
      </c>
      <c r="AD99">
        <v>3</v>
      </c>
      <c r="AE99">
        <v>3</v>
      </c>
      <c r="AF99">
        <v>20.440000000000001</v>
      </c>
      <c r="AG99">
        <v>3.22</v>
      </c>
      <c r="AH99">
        <v>2</v>
      </c>
      <c r="AI99">
        <v>1</v>
      </c>
      <c r="AJ99">
        <v>3</v>
      </c>
      <c r="AK99">
        <v>2.48</v>
      </c>
      <c r="AL99">
        <v>-4.2300000000000004</v>
      </c>
      <c r="AM99">
        <v>0.7</v>
      </c>
      <c r="AN99">
        <v>-5.3</v>
      </c>
      <c r="AO99">
        <v>3.06</v>
      </c>
      <c r="AP99">
        <v>-1.17</v>
      </c>
      <c r="AQ99">
        <v>-15.38</v>
      </c>
    </row>
    <row r="100" spans="1:43" x14ac:dyDescent="0.25">
      <c r="A100">
        <v>-5</v>
      </c>
      <c r="B100" t="s">
        <v>43</v>
      </c>
      <c r="C100">
        <v>44.283000000000001</v>
      </c>
      <c r="D100">
        <f t="shared" si="3"/>
        <v>-119.423</v>
      </c>
      <c r="E100">
        <v>20140820</v>
      </c>
      <c r="G100">
        <v>65256</v>
      </c>
      <c r="H100">
        <v>20</v>
      </c>
      <c r="I100">
        <v>0</v>
      </c>
      <c r="J100">
        <v>24</v>
      </c>
      <c r="K100">
        <v>0.01</v>
      </c>
      <c r="L100">
        <v>22.88</v>
      </c>
      <c r="M100">
        <v>33</v>
      </c>
      <c r="N100">
        <v>4.93</v>
      </c>
      <c r="O100">
        <v>23</v>
      </c>
      <c r="P100">
        <v>1836</v>
      </c>
      <c r="Q100">
        <v>9044</v>
      </c>
      <c r="R100">
        <v>5.71</v>
      </c>
      <c r="S100">
        <v>1480</v>
      </c>
      <c r="T100">
        <v>8455</v>
      </c>
      <c r="U100">
        <v>6.02</v>
      </c>
      <c r="V100">
        <v>1812</v>
      </c>
      <c r="W100">
        <v>10914</v>
      </c>
      <c r="X100">
        <v>-999</v>
      </c>
      <c r="Y100">
        <v>-999</v>
      </c>
      <c r="Z100">
        <v>-999</v>
      </c>
      <c r="AA100">
        <v>-999</v>
      </c>
      <c r="AB100">
        <v>15.63</v>
      </c>
      <c r="AC100">
        <v>14.81</v>
      </c>
      <c r="AD100">
        <v>3</v>
      </c>
      <c r="AE100">
        <v>3</v>
      </c>
      <c r="AF100">
        <v>16.309999999999999</v>
      </c>
      <c r="AG100">
        <v>1.82</v>
      </c>
      <c r="AH100">
        <v>1</v>
      </c>
      <c r="AI100">
        <v>1</v>
      </c>
      <c r="AJ100">
        <v>2</v>
      </c>
      <c r="AK100">
        <v>1.71</v>
      </c>
      <c r="AL100">
        <v>-4.62</v>
      </c>
      <c r="AM100">
        <v>3.76</v>
      </c>
      <c r="AN100">
        <v>-6.47</v>
      </c>
      <c r="AO100">
        <v>-0.18</v>
      </c>
      <c r="AP100">
        <v>-0.11</v>
      </c>
      <c r="AQ100">
        <v>1.54</v>
      </c>
    </row>
    <row r="101" spans="1:43" x14ac:dyDescent="0.25">
      <c r="A101">
        <v>-5</v>
      </c>
      <c r="B101" t="s">
        <v>43</v>
      </c>
      <c r="C101">
        <v>44.283000000000001</v>
      </c>
      <c r="D101">
        <f t="shared" si="3"/>
        <v>-119.423</v>
      </c>
      <c r="E101">
        <v>20140821</v>
      </c>
      <c r="G101">
        <v>65436</v>
      </c>
      <c r="H101">
        <v>21</v>
      </c>
      <c r="I101">
        <v>0.03</v>
      </c>
      <c r="J101">
        <v>180</v>
      </c>
      <c r="K101">
        <v>0.06</v>
      </c>
      <c r="L101">
        <v>24.15</v>
      </c>
      <c r="M101">
        <v>14</v>
      </c>
      <c r="N101">
        <v>3.23</v>
      </c>
      <c r="O101">
        <v>19</v>
      </c>
      <c r="P101">
        <v>2538</v>
      </c>
      <c r="Q101">
        <v>8206</v>
      </c>
      <c r="R101">
        <v>3.42</v>
      </c>
      <c r="S101">
        <v>2232</v>
      </c>
      <c r="T101">
        <v>7643</v>
      </c>
      <c r="U101">
        <v>3.58</v>
      </c>
      <c r="V101">
        <v>2505</v>
      </c>
      <c r="W101">
        <v>8960</v>
      </c>
      <c r="X101">
        <v>-999</v>
      </c>
      <c r="Y101">
        <v>-999</v>
      </c>
      <c r="Z101">
        <v>-999</v>
      </c>
      <c r="AA101">
        <v>-999</v>
      </c>
      <c r="AB101">
        <v>16.36</v>
      </c>
      <c r="AC101">
        <v>26.88</v>
      </c>
      <c r="AD101">
        <v>3</v>
      </c>
      <c r="AE101">
        <v>3</v>
      </c>
      <c r="AF101">
        <v>17.95</v>
      </c>
      <c r="AG101">
        <v>13.14</v>
      </c>
      <c r="AH101">
        <v>1</v>
      </c>
      <c r="AI101">
        <v>1</v>
      </c>
      <c r="AJ101">
        <v>2</v>
      </c>
      <c r="AK101">
        <v>2.0699999999999998</v>
      </c>
      <c r="AL101">
        <v>-2.48</v>
      </c>
      <c r="AM101">
        <v>3.58</v>
      </c>
      <c r="AN101">
        <v>-6.58</v>
      </c>
      <c r="AO101">
        <v>-0.02</v>
      </c>
      <c r="AP101">
        <v>4.26</v>
      </c>
      <c r="AQ101">
        <v>-15.13</v>
      </c>
    </row>
    <row r="102" spans="1:43" x14ac:dyDescent="0.25">
      <c r="A102">
        <v>-5</v>
      </c>
      <c r="B102" t="s">
        <v>43</v>
      </c>
      <c r="C102">
        <v>44.283000000000001</v>
      </c>
      <c r="D102">
        <f t="shared" si="3"/>
        <v>-119.423</v>
      </c>
      <c r="E102">
        <v>20140822</v>
      </c>
      <c r="G102">
        <v>66126</v>
      </c>
      <c r="H102">
        <v>22</v>
      </c>
      <c r="I102">
        <v>0.12</v>
      </c>
      <c r="J102">
        <v>690</v>
      </c>
      <c r="K102">
        <v>0.23</v>
      </c>
      <c r="L102">
        <v>18.86</v>
      </c>
      <c r="M102">
        <v>34</v>
      </c>
      <c r="N102">
        <v>4.82</v>
      </c>
      <c r="O102">
        <v>22</v>
      </c>
      <c r="P102">
        <v>1422</v>
      </c>
      <c r="Q102">
        <v>6857</v>
      </c>
      <c r="R102">
        <v>6.18</v>
      </c>
      <c r="S102">
        <v>1179</v>
      </c>
      <c r="T102">
        <v>7287</v>
      </c>
      <c r="U102">
        <v>6.74</v>
      </c>
      <c r="V102">
        <v>1403</v>
      </c>
      <c r="W102">
        <v>9462</v>
      </c>
      <c r="X102">
        <v>-999</v>
      </c>
      <c r="Y102">
        <v>-999</v>
      </c>
      <c r="Z102">
        <v>-999</v>
      </c>
      <c r="AA102">
        <v>-999</v>
      </c>
      <c r="AB102">
        <v>15.97</v>
      </c>
      <c r="AC102">
        <v>13.59</v>
      </c>
      <c r="AD102">
        <v>3</v>
      </c>
      <c r="AE102">
        <v>3</v>
      </c>
      <c r="AF102">
        <v>17.12</v>
      </c>
      <c r="AG102">
        <v>1.59</v>
      </c>
      <c r="AH102">
        <v>1</v>
      </c>
      <c r="AI102">
        <v>1</v>
      </c>
      <c r="AJ102">
        <v>2</v>
      </c>
      <c r="AK102">
        <v>1.21</v>
      </c>
      <c r="AL102">
        <v>-4.67</v>
      </c>
      <c r="AM102">
        <v>3.56</v>
      </c>
      <c r="AN102">
        <v>-2.3199999999999998</v>
      </c>
      <c r="AO102">
        <v>-1.34</v>
      </c>
      <c r="AP102">
        <v>-5.77</v>
      </c>
      <c r="AQ102">
        <v>23.64</v>
      </c>
    </row>
    <row r="104" spans="1:43" x14ac:dyDescent="0.25">
      <c r="A104">
        <v>-6</v>
      </c>
      <c r="B104" t="s">
        <v>44</v>
      </c>
      <c r="C104">
        <v>44.564999999999998</v>
      </c>
      <c r="D104">
        <f>242.85-360</f>
        <v>-117.15</v>
      </c>
      <c r="E104">
        <v>20050728</v>
      </c>
      <c r="F104">
        <v>20050707</v>
      </c>
      <c r="G104">
        <v>2500</v>
      </c>
      <c r="H104">
        <v>1</v>
      </c>
      <c r="I104">
        <v>1.89</v>
      </c>
      <c r="J104">
        <v>2500</v>
      </c>
      <c r="K104">
        <v>0.59</v>
      </c>
      <c r="L104">
        <v>31.17</v>
      </c>
      <c r="M104">
        <v>18</v>
      </c>
      <c r="N104">
        <v>3.91</v>
      </c>
      <c r="O104">
        <v>23</v>
      </c>
      <c r="P104">
        <v>3585</v>
      </c>
      <c r="Q104">
        <v>14023</v>
      </c>
      <c r="R104">
        <v>3.25</v>
      </c>
      <c r="S104">
        <v>3440</v>
      </c>
      <c r="T104">
        <v>11178</v>
      </c>
      <c r="U104">
        <v>3.91</v>
      </c>
      <c r="V104">
        <v>3539</v>
      </c>
      <c r="W104">
        <v>13840</v>
      </c>
      <c r="X104">
        <v>-999</v>
      </c>
      <c r="Y104">
        <v>-999</v>
      </c>
      <c r="Z104">
        <v>-999</v>
      </c>
      <c r="AA104">
        <v>-999</v>
      </c>
      <c r="AB104">
        <v>16.79</v>
      </c>
      <c r="AC104">
        <v>28.28</v>
      </c>
      <c r="AD104">
        <v>3</v>
      </c>
      <c r="AE104">
        <v>3</v>
      </c>
      <c r="AF104">
        <v>20.62</v>
      </c>
      <c r="AG104">
        <v>14.21</v>
      </c>
      <c r="AH104">
        <v>2</v>
      </c>
      <c r="AI104">
        <v>1</v>
      </c>
      <c r="AJ104">
        <v>3</v>
      </c>
      <c r="AK104">
        <v>3.82</v>
      </c>
      <c r="AL104">
        <v>0.86</v>
      </c>
      <c r="AM104">
        <v>1.1100000000000001</v>
      </c>
      <c r="AN104">
        <v>4.43</v>
      </c>
      <c r="AO104">
        <v>1.03</v>
      </c>
      <c r="AP104">
        <v>-0.57999999999999996</v>
      </c>
      <c r="AQ104">
        <v>5.21</v>
      </c>
    </row>
    <row r="105" spans="1:43" x14ac:dyDescent="0.25">
      <c r="A105">
        <v>-6</v>
      </c>
      <c r="B105" t="s">
        <v>44</v>
      </c>
      <c r="C105">
        <v>44.564999999999998</v>
      </c>
      <c r="D105">
        <f t="shared" ref="D105:D109" si="4">242.85-360</f>
        <v>-117.15</v>
      </c>
      <c r="E105">
        <v>20050729</v>
      </c>
      <c r="G105">
        <v>9000</v>
      </c>
      <c r="H105">
        <v>2</v>
      </c>
      <c r="I105">
        <v>1.69</v>
      </c>
      <c r="J105">
        <v>6500</v>
      </c>
      <c r="K105">
        <v>1.54</v>
      </c>
      <c r="L105">
        <v>30.54</v>
      </c>
      <c r="M105">
        <v>21</v>
      </c>
      <c r="N105">
        <v>4.1500000000000004</v>
      </c>
      <c r="O105">
        <v>23</v>
      </c>
      <c r="P105">
        <v>3338</v>
      </c>
      <c r="Q105">
        <v>13856</v>
      </c>
      <c r="R105">
        <v>3.77</v>
      </c>
      <c r="S105">
        <v>2896</v>
      </c>
      <c r="T105">
        <v>10914</v>
      </c>
      <c r="U105">
        <v>4.1500000000000004</v>
      </c>
      <c r="V105">
        <v>3295</v>
      </c>
      <c r="W105">
        <v>13675</v>
      </c>
      <c r="X105">
        <v>-999</v>
      </c>
      <c r="Y105">
        <v>-999</v>
      </c>
      <c r="Z105">
        <v>-999</v>
      </c>
      <c r="AA105">
        <v>-999</v>
      </c>
      <c r="AB105">
        <v>16.59</v>
      </c>
      <c r="AC105">
        <v>22.27</v>
      </c>
      <c r="AD105">
        <v>3</v>
      </c>
      <c r="AE105">
        <v>3</v>
      </c>
      <c r="AF105">
        <v>20.89</v>
      </c>
      <c r="AG105">
        <v>10.52</v>
      </c>
      <c r="AH105">
        <v>2</v>
      </c>
      <c r="AI105">
        <v>1</v>
      </c>
      <c r="AJ105">
        <v>3</v>
      </c>
      <c r="AK105">
        <v>4.1100000000000003</v>
      </c>
      <c r="AL105">
        <v>-0.57999999999999996</v>
      </c>
      <c r="AM105">
        <v>2.14</v>
      </c>
      <c r="AN105">
        <v>3.85</v>
      </c>
      <c r="AO105">
        <v>2.27</v>
      </c>
      <c r="AP105">
        <v>-5.77</v>
      </c>
      <c r="AQ105">
        <v>21.07</v>
      </c>
    </row>
    <row r="106" spans="1:43" x14ac:dyDescent="0.25">
      <c r="A106">
        <v>-6</v>
      </c>
      <c r="B106" t="s">
        <v>44</v>
      </c>
      <c r="C106">
        <v>44.564999999999998</v>
      </c>
      <c r="D106">
        <f t="shared" si="4"/>
        <v>-117.15</v>
      </c>
      <c r="E106">
        <v>20050730</v>
      </c>
      <c r="G106">
        <v>12800</v>
      </c>
      <c r="H106">
        <v>3</v>
      </c>
      <c r="I106">
        <v>0.69</v>
      </c>
      <c r="J106">
        <v>3800</v>
      </c>
      <c r="K106">
        <v>0.9</v>
      </c>
      <c r="L106">
        <v>31.24</v>
      </c>
      <c r="M106">
        <v>25</v>
      </c>
      <c r="N106">
        <v>4.04</v>
      </c>
      <c r="O106">
        <v>22</v>
      </c>
      <c r="P106">
        <v>3293</v>
      </c>
      <c r="Q106">
        <v>13311</v>
      </c>
      <c r="R106">
        <v>3.85</v>
      </c>
      <c r="S106">
        <v>3149</v>
      </c>
      <c r="T106">
        <v>12119</v>
      </c>
      <c r="U106">
        <v>4.04</v>
      </c>
      <c r="V106">
        <v>3249</v>
      </c>
      <c r="W106">
        <v>13137</v>
      </c>
      <c r="X106">
        <v>-999</v>
      </c>
      <c r="Y106">
        <v>-999</v>
      </c>
      <c r="Z106">
        <v>-999</v>
      </c>
      <c r="AA106">
        <v>-999</v>
      </c>
      <c r="AB106">
        <v>16.52</v>
      </c>
      <c r="AC106">
        <v>21.89</v>
      </c>
      <c r="AD106">
        <v>3</v>
      </c>
      <c r="AE106">
        <v>3</v>
      </c>
      <c r="AF106">
        <v>21.54</v>
      </c>
      <c r="AG106">
        <v>9.7899999999999991</v>
      </c>
      <c r="AH106">
        <v>2</v>
      </c>
      <c r="AI106">
        <v>1</v>
      </c>
      <c r="AJ106">
        <v>3</v>
      </c>
      <c r="AK106">
        <v>2.84</v>
      </c>
      <c r="AL106">
        <v>2.88</v>
      </c>
      <c r="AM106">
        <v>4.41</v>
      </c>
      <c r="AN106">
        <v>-1.92</v>
      </c>
      <c r="AO106">
        <v>-2.48</v>
      </c>
      <c r="AP106">
        <v>7.62</v>
      </c>
      <c r="AQ106">
        <v>-28.82</v>
      </c>
    </row>
    <row r="107" spans="1:43" x14ac:dyDescent="0.25">
      <c r="A107">
        <v>-6</v>
      </c>
      <c r="B107" t="s">
        <v>44</v>
      </c>
      <c r="C107">
        <v>44.564999999999998</v>
      </c>
      <c r="D107">
        <f t="shared" si="4"/>
        <v>-117.15</v>
      </c>
      <c r="E107">
        <v>20050731</v>
      </c>
      <c r="G107">
        <v>19000</v>
      </c>
      <c r="H107">
        <v>4</v>
      </c>
      <c r="I107">
        <v>0.93</v>
      </c>
      <c r="J107">
        <v>6200</v>
      </c>
      <c r="K107">
        <v>1.47</v>
      </c>
      <c r="L107">
        <v>31.95</v>
      </c>
      <c r="M107">
        <v>22</v>
      </c>
      <c r="N107">
        <v>2.58</v>
      </c>
      <c r="O107">
        <v>14</v>
      </c>
      <c r="P107">
        <v>3557</v>
      </c>
      <c r="Q107">
        <v>9182</v>
      </c>
      <c r="R107">
        <v>2.12</v>
      </c>
      <c r="S107">
        <v>3381</v>
      </c>
      <c r="T107">
        <v>7167</v>
      </c>
      <c r="U107">
        <v>2.58</v>
      </c>
      <c r="V107">
        <v>3511</v>
      </c>
      <c r="W107">
        <v>9062</v>
      </c>
      <c r="X107">
        <v>-999</v>
      </c>
      <c r="Y107">
        <v>-999</v>
      </c>
      <c r="Z107">
        <v>-999</v>
      </c>
      <c r="AA107">
        <v>-999</v>
      </c>
      <c r="AB107">
        <v>16.22</v>
      </c>
      <c r="AC107">
        <v>24.53</v>
      </c>
      <c r="AD107">
        <v>3</v>
      </c>
      <c r="AE107">
        <v>3</v>
      </c>
      <c r="AF107">
        <v>22.84</v>
      </c>
      <c r="AG107">
        <v>12.58</v>
      </c>
      <c r="AH107">
        <v>3</v>
      </c>
      <c r="AI107">
        <v>1</v>
      </c>
      <c r="AJ107">
        <v>4</v>
      </c>
      <c r="AK107">
        <v>1.91</v>
      </c>
      <c r="AL107">
        <v>1.73</v>
      </c>
      <c r="AM107">
        <v>1.93</v>
      </c>
      <c r="AN107">
        <v>5.69</v>
      </c>
      <c r="AO107">
        <v>-0.2</v>
      </c>
      <c r="AP107">
        <v>-1.6</v>
      </c>
      <c r="AQ107">
        <v>1.97</v>
      </c>
    </row>
    <row r="108" spans="1:43" x14ac:dyDescent="0.25">
      <c r="A108">
        <v>-6</v>
      </c>
      <c r="B108" t="s">
        <v>44</v>
      </c>
      <c r="C108">
        <v>44.564999999999998</v>
      </c>
      <c r="D108">
        <f t="shared" si="4"/>
        <v>-117.15</v>
      </c>
      <c r="E108">
        <v>20050801</v>
      </c>
      <c r="G108">
        <v>25000</v>
      </c>
      <c r="H108">
        <v>5</v>
      </c>
      <c r="I108">
        <v>0.77</v>
      </c>
      <c r="J108">
        <v>6000</v>
      </c>
      <c r="K108">
        <v>1.42</v>
      </c>
      <c r="L108">
        <v>29.13</v>
      </c>
      <c r="M108">
        <v>30</v>
      </c>
      <c r="N108">
        <v>3.4</v>
      </c>
      <c r="O108">
        <v>17</v>
      </c>
      <c r="P108">
        <v>2738</v>
      </c>
      <c r="Q108">
        <v>9302</v>
      </c>
      <c r="R108">
        <v>2.42</v>
      </c>
      <c r="S108">
        <v>2536</v>
      </c>
      <c r="T108">
        <v>6149</v>
      </c>
      <c r="U108">
        <v>3.4</v>
      </c>
      <c r="V108">
        <v>2702</v>
      </c>
      <c r="W108">
        <v>9181</v>
      </c>
      <c r="X108">
        <v>-999</v>
      </c>
      <c r="Y108">
        <v>-999</v>
      </c>
      <c r="Z108">
        <v>-999</v>
      </c>
      <c r="AA108">
        <v>-999</v>
      </c>
      <c r="AB108">
        <v>16.54</v>
      </c>
      <c r="AC108">
        <v>18.97</v>
      </c>
      <c r="AD108">
        <v>3</v>
      </c>
      <c r="AE108">
        <v>3</v>
      </c>
      <c r="AF108">
        <v>20.16</v>
      </c>
      <c r="AG108">
        <v>6.7</v>
      </c>
      <c r="AH108">
        <v>2</v>
      </c>
      <c r="AI108">
        <v>1</v>
      </c>
      <c r="AJ108">
        <v>3</v>
      </c>
      <c r="AK108">
        <v>3.01</v>
      </c>
      <c r="AL108">
        <v>-1.57</v>
      </c>
      <c r="AM108">
        <v>1.73</v>
      </c>
      <c r="AN108">
        <v>4.09</v>
      </c>
      <c r="AO108">
        <v>0.49</v>
      </c>
      <c r="AP108">
        <v>-5.08</v>
      </c>
      <c r="AQ108">
        <v>10.8</v>
      </c>
    </row>
    <row r="109" spans="1:43" x14ac:dyDescent="0.25">
      <c r="A109">
        <v>-6</v>
      </c>
      <c r="B109" t="s">
        <v>44</v>
      </c>
      <c r="C109">
        <v>44.564999999999998</v>
      </c>
      <c r="D109">
        <f t="shared" si="4"/>
        <v>-117.15</v>
      </c>
      <c r="E109">
        <v>20070802</v>
      </c>
      <c r="G109">
        <v>25280</v>
      </c>
      <c r="H109">
        <v>6</v>
      </c>
      <c r="I109">
        <v>0.03</v>
      </c>
      <c r="J109">
        <v>280</v>
      </c>
      <c r="K109">
        <v>7.0000000000000007E-2</v>
      </c>
      <c r="L109">
        <v>25.46</v>
      </c>
      <c r="M109">
        <v>33</v>
      </c>
      <c r="N109">
        <v>3.44</v>
      </c>
      <c r="O109">
        <v>17</v>
      </c>
      <c r="P109">
        <v>2133</v>
      </c>
      <c r="Q109">
        <v>7343</v>
      </c>
      <c r="R109">
        <v>4.47</v>
      </c>
      <c r="S109">
        <v>2150</v>
      </c>
      <c r="T109">
        <v>9600</v>
      </c>
      <c r="U109">
        <v>4.79</v>
      </c>
      <c r="V109">
        <v>2205</v>
      </c>
      <c r="W109">
        <v>10553</v>
      </c>
      <c r="X109">
        <v>-999</v>
      </c>
      <c r="Y109">
        <v>-999</v>
      </c>
      <c r="Z109">
        <v>-999</v>
      </c>
      <c r="AA109">
        <v>-999</v>
      </c>
      <c r="AB109">
        <v>16.510000000000002</v>
      </c>
      <c r="AC109">
        <v>19.95</v>
      </c>
      <c r="AD109">
        <v>3</v>
      </c>
      <c r="AE109">
        <v>3</v>
      </c>
      <c r="AF109">
        <v>17.73</v>
      </c>
      <c r="AG109">
        <v>4.47</v>
      </c>
      <c r="AH109">
        <v>1</v>
      </c>
      <c r="AI109">
        <v>1</v>
      </c>
      <c r="AJ109">
        <v>2</v>
      </c>
      <c r="AK109">
        <v>1.93</v>
      </c>
      <c r="AL109">
        <v>-2.85</v>
      </c>
      <c r="AM109">
        <v>2.2200000000000002</v>
      </c>
      <c r="AN109">
        <v>-0.99</v>
      </c>
      <c r="AO109">
        <v>-0.18</v>
      </c>
      <c r="AP109">
        <v>-6.07</v>
      </c>
      <c r="AQ109">
        <v>13.66</v>
      </c>
    </row>
    <row r="111" spans="1:43" x14ac:dyDescent="0.25">
      <c r="A111">
        <v>-7</v>
      </c>
      <c r="B111" t="s">
        <v>45</v>
      </c>
      <c r="C111">
        <v>34.595999999999997</v>
      </c>
      <c r="D111">
        <f>241.296-360</f>
        <v>-118.70400000000001</v>
      </c>
      <c r="E111">
        <v>20071021</v>
      </c>
      <c r="F111">
        <v>20070930</v>
      </c>
      <c r="G111">
        <v>12000</v>
      </c>
      <c r="H111">
        <v>1</v>
      </c>
      <c r="I111">
        <v>2.72</v>
      </c>
      <c r="J111">
        <v>12000</v>
      </c>
      <c r="K111">
        <v>1.23</v>
      </c>
      <c r="L111">
        <v>21.8</v>
      </c>
      <c r="M111">
        <v>10</v>
      </c>
      <c r="N111">
        <v>13.35</v>
      </c>
      <c r="O111">
        <v>82</v>
      </c>
      <c r="P111">
        <v>2321</v>
      </c>
      <c r="Q111">
        <v>30988</v>
      </c>
      <c r="R111">
        <v>10.27</v>
      </c>
      <c r="S111">
        <v>2276</v>
      </c>
      <c r="T111">
        <v>23369</v>
      </c>
      <c r="U111">
        <v>13.35</v>
      </c>
      <c r="V111">
        <v>2304</v>
      </c>
      <c r="W111">
        <v>30764</v>
      </c>
      <c r="X111">
        <v>7.42</v>
      </c>
      <c r="Y111">
        <v>29.75</v>
      </c>
      <c r="Z111">
        <v>2</v>
      </c>
      <c r="AA111">
        <v>3</v>
      </c>
      <c r="AB111">
        <v>1.36</v>
      </c>
      <c r="AC111">
        <v>29.75</v>
      </c>
      <c r="AD111">
        <v>1</v>
      </c>
      <c r="AE111">
        <v>3</v>
      </c>
      <c r="AF111">
        <v>19.440000000000001</v>
      </c>
      <c r="AG111">
        <v>30.56</v>
      </c>
      <c r="AH111">
        <v>2</v>
      </c>
      <c r="AI111">
        <v>3</v>
      </c>
      <c r="AJ111">
        <v>5</v>
      </c>
      <c r="AK111">
        <v>-11.9</v>
      </c>
      <c r="AL111">
        <v>-6.04</v>
      </c>
      <c r="AM111">
        <v>-0.97</v>
      </c>
      <c r="AN111">
        <v>-17.46</v>
      </c>
      <c r="AO111">
        <v>-25.3</v>
      </c>
      <c r="AP111">
        <v>2.44</v>
      </c>
      <c r="AQ111">
        <v>444.25</v>
      </c>
    </row>
    <row r="112" spans="1:43" x14ac:dyDescent="0.25">
      <c r="A112">
        <v>-7</v>
      </c>
      <c r="B112" t="s">
        <v>45</v>
      </c>
      <c r="C112">
        <v>34.595999999999997</v>
      </c>
      <c r="D112">
        <f t="shared" ref="D112:D116" si="5">241.296-360</f>
        <v>-118.70400000000001</v>
      </c>
      <c r="E112">
        <v>20071022</v>
      </c>
      <c r="G112">
        <v>41000</v>
      </c>
      <c r="H112">
        <v>2</v>
      </c>
      <c r="I112">
        <v>2.31</v>
      </c>
      <c r="J112">
        <v>29000</v>
      </c>
      <c r="K112">
        <v>2.98</v>
      </c>
      <c r="L112">
        <v>25.4</v>
      </c>
      <c r="M112">
        <v>9</v>
      </c>
      <c r="N112">
        <v>10.029999999999999</v>
      </c>
      <c r="O112">
        <v>65</v>
      </c>
      <c r="P112">
        <v>2897</v>
      </c>
      <c r="Q112">
        <v>29051</v>
      </c>
      <c r="R112">
        <v>11.1</v>
      </c>
      <c r="S112">
        <v>2890</v>
      </c>
      <c r="T112">
        <v>32075</v>
      </c>
      <c r="U112">
        <v>11.9</v>
      </c>
      <c r="V112">
        <v>2930</v>
      </c>
      <c r="W112">
        <v>34864</v>
      </c>
      <c r="X112">
        <v>6.13</v>
      </c>
      <c r="Y112">
        <v>33.28</v>
      </c>
      <c r="Z112">
        <v>2</v>
      </c>
      <c r="AA112">
        <v>3</v>
      </c>
      <c r="AB112">
        <v>5.0599999999999996</v>
      </c>
      <c r="AC112">
        <v>33.28</v>
      </c>
      <c r="AD112">
        <v>1</v>
      </c>
      <c r="AE112">
        <v>3</v>
      </c>
      <c r="AF112">
        <v>19.82</v>
      </c>
      <c r="AG112">
        <v>27.7</v>
      </c>
      <c r="AH112">
        <v>2</v>
      </c>
      <c r="AI112">
        <v>3</v>
      </c>
      <c r="AJ112">
        <v>5</v>
      </c>
      <c r="AK112">
        <v>-8.6300000000000008</v>
      </c>
      <c r="AL112">
        <v>-5.1100000000000003</v>
      </c>
      <c r="AM112">
        <v>-26.27</v>
      </c>
      <c r="AN112">
        <v>-15.02</v>
      </c>
      <c r="AO112">
        <v>6.66</v>
      </c>
      <c r="AP112">
        <v>4.63</v>
      </c>
      <c r="AQ112">
        <v>21.71</v>
      </c>
    </row>
    <row r="113" spans="1:43" x14ac:dyDescent="0.25">
      <c r="A113">
        <v>-7</v>
      </c>
      <c r="B113" t="s">
        <v>45</v>
      </c>
      <c r="C113">
        <v>34.595999999999997</v>
      </c>
      <c r="D113">
        <f t="shared" si="5"/>
        <v>-118.70400000000001</v>
      </c>
      <c r="E113">
        <v>20071023</v>
      </c>
      <c r="G113">
        <v>52052</v>
      </c>
      <c r="H113">
        <v>3</v>
      </c>
      <c r="I113">
        <v>1.89</v>
      </c>
      <c r="J113">
        <v>11052</v>
      </c>
      <c r="K113">
        <v>1.1399999999999999</v>
      </c>
      <c r="L113">
        <v>30.62</v>
      </c>
      <c r="M113">
        <v>11</v>
      </c>
      <c r="N113">
        <v>8.5299999999999994</v>
      </c>
      <c r="O113">
        <v>53</v>
      </c>
      <c r="P113">
        <v>3795</v>
      </c>
      <c r="Q113">
        <v>32363</v>
      </c>
      <c r="R113">
        <v>10.75</v>
      </c>
      <c r="S113">
        <v>3686</v>
      </c>
      <c r="T113">
        <v>39612</v>
      </c>
      <c r="U113">
        <v>11.92</v>
      </c>
      <c r="V113">
        <v>3745</v>
      </c>
      <c r="W113">
        <v>44627</v>
      </c>
      <c r="X113">
        <v>9.42</v>
      </c>
      <c r="Y113">
        <v>24.31</v>
      </c>
      <c r="Z113">
        <v>3</v>
      </c>
      <c r="AA113">
        <v>3</v>
      </c>
      <c r="AB113">
        <v>7.91</v>
      </c>
      <c r="AC113">
        <v>24.31</v>
      </c>
      <c r="AD113">
        <v>2</v>
      </c>
      <c r="AE113">
        <v>3</v>
      </c>
      <c r="AF113">
        <v>18.809999999999999</v>
      </c>
      <c r="AG113">
        <v>27.56</v>
      </c>
      <c r="AH113">
        <v>2</v>
      </c>
      <c r="AI113">
        <v>3</v>
      </c>
      <c r="AJ113">
        <v>5</v>
      </c>
      <c r="AK113">
        <v>-8.11</v>
      </c>
      <c r="AL113">
        <v>-2.63</v>
      </c>
      <c r="AM113">
        <v>-19.61</v>
      </c>
      <c r="AN113">
        <v>-10.39</v>
      </c>
      <c r="AO113">
        <v>2.5</v>
      </c>
      <c r="AP113">
        <v>2.97</v>
      </c>
      <c r="AQ113">
        <v>32.24</v>
      </c>
    </row>
    <row r="114" spans="1:43" x14ac:dyDescent="0.25">
      <c r="A114">
        <v>-7</v>
      </c>
      <c r="B114" t="s">
        <v>45</v>
      </c>
      <c r="C114">
        <v>34.595999999999997</v>
      </c>
      <c r="D114">
        <f t="shared" si="5"/>
        <v>-118.70400000000001</v>
      </c>
      <c r="E114">
        <v>20071024</v>
      </c>
      <c r="G114">
        <v>52383</v>
      </c>
      <c r="H114">
        <v>4</v>
      </c>
      <c r="I114">
        <v>0.02</v>
      </c>
      <c r="J114">
        <v>331</v>
      </c>
      <c r="K114">
        <v>0.03</v>
      </c>
      <c r="L114">
        <v>32.869999999999997</v>
      </c>
      <c r="M114">
        <v>11</v>
      </c>
      <c r="N114">
        <v>3.3</v>
      </c>
      <c r="O114">
        <v>21</v>
      </c>
      <c r="P114">
        <v>4285</v>
      </c>
      <c r="Q114">
        <v>14126</v>
      </c>
      <c r="R114">
        <v>4.83</v>
      </c>
      <c r="S114">
        <v>4057</v>
      </c>
      <c r="T114">
        <v>19602</v>
      </c>
      <c r="U114">
        <v>5.07</v>
      </c>
      <c r="V114">
        <v>4229</v>
      </c>
      <c r="W114">
        <v>21419</v>
      </c>
      <c r="X114">
        <v>9.18</v>
      </c>
      <c r="Y114">
        <v>24.72</v>
      </c>
      <c r="Z114">
        <v>3</v>
      </c>
      <c r="AA114">
        <v>3</v>
      </c>
      <c r="AB114">
        <v>12.48</v>
      </c>
      <c r="AC114">
        <v>24.72</v>
      </c>
      <c r="AD114">
        <v>3</v>
      </c>
      <c r="AE114">
        <v>3</v>
      </c>
      <c r="AF114">
        <v>16.559999999999999</v>
      </c>
      <c r="AG114">
        <v>22.51</v>
      </c>
      <c r="AH114">
        <v>1</v>
      </c>
      <c r="AI114">
        <v>3</v>
      </c>
      <c r="AJ114">
        <v>4</v>
      </c>
      <c r="AK114">
        <v>-2.5499999999999998</v>
      </c>
      <c r="AL114">
        <v>-2.09</v>
      </c>
      <c r="AM114">
        <v>-17.12</v>
      </c>
      <c r="AN114">
        <v>-7.42</v>
      </c>
      <c r="AO114">
        <v>7.52</v>
      </c>
      <c r="AP114">
        <v>2.81</v>
      </c>
      <c r="AQ114">
        <v>-7.67</v>
      </c>
    </row>
    <row r="115" spans="1:43" x14ac:dyDescent="0.25">
      <c r="A115">
        <v>-7</v>
      </c>
      <c r="B115" t="s">
        <v>45</v>
      </c>
      <c r="C115">
        <v>34.595999999999997</v>
      </c>
      <c r="D115">
        <f t="shared" si="5"/>
        <v>-118.70400000000001</v>
      </c>
      <c r="E115">
        <v>20071025</v>
      </c>
      <c r="G115">
        <v>52476</v>
      </c>
      <c r="H115">
        <v>5</v>
      </c>
      <c r="I115">
        <v>1.1399999999999999</v>
      </c>
      <c r="J115">
        <v>93</v>
      </c>
      <c r="K115">
        <v>0.01</v>
      </c>
      <c r="L115">
        <v>29.55</v>
      </c>
      <c r="M115">
        <v>15</v>
      </c>
      <c r="N115">
        <v>5.77</v>
      </c>
      <c r="O115">
        <v>34</v>
      </c>
      <c r="P115">
        <v>3416</v>
      </c>
      <c r="Q115">
        <v>19713</v>
      </c>
      <c r="R115">
        <v>6.39</v>
      </c>
      <c r="S115">
        <v>3227</v>
      </c>
      <c r="T115">
        <v>20619</v>
      </c>
      <c r="U115">
        <v>6.89</v>
      </c>
      <c r="V115">
        <v>3371</v>
      </c>
      <c r="W115">
        <v>23214</v>
      </c>
      <c r="X115">
        <v>-999</v>
      </c>
      <c r="Y115">
        <v>-999</v>
      </c>
      <c r="Z115">
        <v>-999</v>
      </c>
      <c r="AA115">
        <v>-999</v>
      </c>
      <c r="AB115">
        <v>12.17</v>
      </c>
      <c r="AC115">
        <v>23.73</v>
      </c>
      <c r="AD115">
        <v>3</v>
      </c>
      <c r="AE115">
        <v>3</v>
      </c>
      <c r="AF115">
        <v>17.57</v>
      </c>
      <c r="AG115">
        <v>17.43</v>
      </c>
      <c r="AH115">
        <v>1</v>
      </c>
      <c r="AI115">
        <v>2</v>
      </c>
      <c r="AJ115">
        <v>3</v>
      </c>
      <c r="AK115">
        <v>4.5199999999999996</v>
      </c>
      <c r="AL115">
        <v>3.58</v>
      </c>
      <c r="AM115">
        <v>-9.59</v>
      </c>
      <c r="AN115">
        <v>-4.6100000000000003</v>
      </c>
      <c r="AO115">
        <v>11.9</v>
      </c>
      <c r="AP115">
        <v>6.98</v>
      </c>
      <c r="AQ115">
        <v>12.17</v>
      </c>
    </row>
    <row r="116" spans="1:43" x14ac:dyDescent="0.25">
      <c r="A116">
        <v>-7</v>
      </c>
      <c r="B116" t="s">
        <v>45</v>
      </c>
      <c r="C116">
        <v>34.595999999999997</v>
      </c>
      <c r="D116">
        <f t="shared" si="5"/>
        <v>-118.70400000000001</v>
      </c>
      <c r="E116">
        <v>20071026</v>
      </c>
      <c r="G116">
        <v>58401</v>
      </c>
      <c r="H116">
        <v>6</v>
      </c>
      <c r="I116">
        <v>0.31</v>
      </c>
      <c r="J116">
        <v>5925</v>
      </c>
      <c r="K116">
        <v>0.61</v>
      </c>
      <c r="L116">
        <v>25.13</v>
      </c>
      <c r="M116">
        <v>21</v>
      </c>
      <c r="N116">
        <v>4.33</v>
      </c>
      <c r="O116">
        <v>24</v>
      </c>
      <c r="P116">
        <v>2476</v>
      </c>
      <c r="Q116">
        <v>10720</v>
      </c>
      <c r="R116">
        <v>4.09</v>
      </c>
      <c r="S116">
        <v>2275</v>
      </c>
      <c r="T116">
        <v>9300</v>
      </c>
      <c r="U116">
        <v>4.54</v>
      </c>
      <c r="V116">
        <v>2443</v>
      </c>
      <c r="W116">
        <v>11089</v>
      </c>
      <c r="X116">
        <v>6.48</v>
      </c>
      <c r="Y116">
        <v>28.49</v>
      </c>
      <c r="Z116">
        <v>2</v>
      </c>
      <c r="AA116">
        <v>3</v>
      </c>
      <c r="AB116">
        <v>9.34</v>
      </c>
      <c r="AC116">
        <v>28.49</v>
      </c>
      <c r="AD116">
        <v>2</v>
      </c>
      <c r="AE116">
        <v>3</v>
      </c>
      <c r="AF116">
        <v>18.43</v>
      </c>
      <c r="AG116">
        <v>23.39</v>
      </c>
      <c r="AH116">
        <v>2</v>
      </c>
      <c r="AI116">
        <v>3</v>
      </c>
      <c r="AJ116">
        <v>5</v>
      </c>
      <c r="AK116">
        <v>1.48</v>
      </c>
      <c r="AL116">
        <v>4.07</v>
      </c>
      <c r="AM116">
        <v>2.2999999999999998</v>
      </c>
      <c r="AN116">
        <v>2.38</v>
      </c>
      <c r="AO116">
        <v>-0.64</v>
      </c>
      <c r="AP116">
        <v>4.07</v>
      </c>
      <c r="AQ116">
        <v>-10.89</v>
      </c>
    </row>
    <row r="118" spans="1:43" x14ac:dyDescent="0.25">
      <c r="A118">
        <v>-8</v>
      </c>
      <c r="B118" t="s">
        <v>46</v>
      </c>
      <c r="C118">
        <v>35.887</v>
      </c>
      <c r="D118">
        <f>253.344-360</f>
        <v>-106.65600000000001</v>
      </c>
      <c r="E118">
        <v>20130531</v>
      </c>
      <c r="F118">
        <v>20130510</v>
      </c>
      <c r="G118">
        <v>653</v>
      </c>
      <c r="H118">
        <v>1</v>
      </c>
      <c r="I118">
        <v>2.15</v>
      </c>
      <c r="J118">
        <v>653</v>
      </c>
      <c r="K118">
        <v>0.36</v>
      </c>
      <c r="L118">
        <v>19.07</v>
      </c>
      <c r="M118">
        <v>12</v>
      </c>
      <c r="N118">
        <v>9.16</v>
      </c>
      <c r="O118">
        <v>55</v>
      </c>
      <c r="P118">
        <v>1912</v>
      </c>
      <c r="Q118">
        <v>17525</v>
      </c>
      <c r="R118">
        <v>12.77</v>
      </c>
      <c r="S118">
        <v>1601</v>
      </c>
      <c r="T118">
        <v>20441</v>
      </c>
      <c r="U118">
        <v>15.37</v>
      </c>
      <c r="V118">
        <v>1887</v>
      </c>
      <c r="W118">
        <v>29000</v>
      </c>
      <c r="X118">
        <v>-999</v>
      </c>
      <c r="Y118">
        <v>-999</v>
      </c>
      <c r="Z118">
        <v>-999</v>
      </c>
      <c r="AA118">
        <v>-999</v>
      </c>
      <c r="AB118">
        <v>-999</v>
      </c>
      <c r="AC118">
        <v>-999</v>
      </c>
      <c r="AD118">
        <v>-999</v>
      </c>
      <c r="AE118">
        <v>-999</v>
      </c>
      <c r="AF118">
        <v>19.29</v>
      </c>
      <c r="AG118">
        <v>24.05</v>
      </c>
      <c r="AH118">
        <v>2</v>
      </c>
      <c r="AI118">
        <v>3</v>
      </c>
      <c r="AJ118">
        <v>5</v>
      </c>
      <c r="AK118">
        <v>7.4</v>
      </c>
      <c r="AL118">
        <v>-5.4</v>
      </c>
      <c r="AM118">
        <v>17.53</v>
      </c>
      <c r="AN118">
        <v>-4.3600000000000003</v>
      </c>
      <c r="AO118">
        <v>-2.12</v>
      </c>
      <c r="AP118">
        <v>-4</v>
      </c>
      <c r="AQ118">
        <v>79.42</v>
      </c>
    </row>
    <row r="119" spans="1:43" x14ac:dyDescent="0.25">
      <c r="A119">
        <v>-8</v>
      </c>
      <c r="B119" t="s">
        <v>46</v>
      </c>
      <c r="C119">
        <v>35.887</v>
      </c>
      <c r="D119">
        <f t="shared" ref="D119:D131" si="6">253.344-360</f>
        <v>-106.65600000000001</v>
      </c>
      <c r="E119">
        <v>20130601</v>
      </c>
      <c r="G119">
        <v>1745</v>
      </c>
      <c r="H119">
        <v>2</v>
      </c>
      <c r="I119">
        <v>1.36</v>
      </c>
      <c r="J119">
        <v>1092</v>
      </c>
      <c r="K119">
        <v>0.59</v>
      </c>
      <c r="L119">
        <v>23</v>
      </c>
      <c r="M119">
        <v>6</v>
      </c>
      <c r="N119">
        <v>3.03</v>
      </c>
      <c r="O119">
        <v>21</v>
      </c>
      <c r="P119">
        <v>2581</v>
      </c>
      <c r="Q119">
        <v>7824</v>
      </c>
      <c r="R119">
        <v>1.88</v>
      </c>
      <c r="S119">
        <v>2201</v>
      </c>
      <c r="T119">
        <v>4141</v>
      </c>
      <c r="U119">
        <v>3.03</v>
      </c>
      <c r="V119">
        <v>2547</v>
      </c>
      <c r="W119">
        <v>7721</v>
      </c>
      <c r="X119">
        <v>-999</v>
      </c>
      <c r="Y119">
        <v>-999</v>
      </c>
      <c r="Z119">
        <v>-999</v>
      </c>
      <c r="AA119">
        <v>-999</v>
      </c>
      <c r="AB119">
        <v>-999</v>
      </c>
      <c r="AC119">
        <v>-999</v>
      </c>
      <c r="AD119">
        <v>-999</v>
      </c>
      <c r="AE119">
        <v>-999</v>
      </c>
      <c r="AF119">
        <v>24.13</v>
      </c>
      <c r="AG119">
        <v>32.590000000000003</v>
      </c>
      <c r="AH119">
        <v>3</v>
      </c>
      <c r="AI119">
        <v>3</v>
      </c>
      <c r="AJ119">
        <v>6</v>
      </c>
      <c r="AK119">
        <v>2.86</v>
      </c>
      <c r="AL119">
        <v>0.99</v>
      </c>
      <c r="AM119">
        <v>15.41</v>
      </c>
      <c r="AN119">
        <v>-8.36</v>
      </c>
      <c r="AO119">
        <v>-10.56</v>
      </c>
      <c r="AP119">
        <v>10.07</v>
      </c>
      <c r="AQ119">
        <v>-67.010000000000005</v>
      </c>
    </row>
    <row r="120" spans="1:43" x14ac:dyDescent="0.25">
      <c r="A120">
        <v>-8</v>
      </c>
      <c r="B120" t="s">
        <v>46</v>
      </c>
      <c r="C120">
        <v>35.887</v>
      </c>
      <c r="D120">
        <f t="shared" si="6"/>
        <v>-106.65600000000001</v>
      </c>
      <c r="E120">
        <v>20130602</v>
      </c>
      <c r="G120">
        <v>2229</v>
      </c>
      <c r="H120">
        <v>3</v>
      </c>
      <c r="I120">
        <v>0.46</v>
      </c>
      <c r="J120">
        <v>484</v>
      </c>
      <c r="K120">
        <v>0.26</v>
      </c>
      <c r="L120">
        <v>18.78</v>
      </c>
      <c r="M120">
        <v>29</v>
      </c>
      <c r="N120">
        <v>3.58</v>
      </c>
      <c r="O120">
        <v>18</v>
      </c>
      <c r="P120">
        <v>1517</v>
      </c>
      <c r="Q120">
        <v>5426</v>
      </c>
      <c r="R120">
        <v>3.79</v>
      </c>
      <c r="S120">
        <v>1516</v>
      </c>
      <c r="T120">
        <v>5740</v>
      </c>
      <c r="U120">
        <v>3.93</v>
      </c>
      <c r="V120">
        <v>1528</v>
      </c>
      <c r="W120">
        <v>5998</v>
      </c>
      <c r="X120">
        <v>-999</v>
      </c>
      <c r="Y120">
        <v>-999</v>
      </c>
      <c r="Z120">
        <v>-999</v>
      </c>
      <c r="AA120">
        <v>-999</v>
      </c>
      <c r="AB120">
        <v>-999</v>
      </c>
      <c r="AC120">
        <v>-999</v>
      </c>
      <c r="AD120">
        <v>-999</v>
      </c>
      <c r="AE120">
        <v>-999</v>
      </c>
      <c r="AF120">
        <v>23.08</v>
      </c>
      <c r="AG120">
        <v>15.52</v>
      </c>
      <c r="AH120">
        <v>3</v>
      </c>
      <c r="AI120">
        <v>2</v>
      </c>
      <c r="AJ120">
        <v>5</v>
      </c>
      <c r="AK120">
        <v>1.28</v>
      </c>
      <c r="AL120">
        <v>3.34</v>
      </c>
      <c r="AM120">
        <v>4.8600000000000003</v>
      </c>
      <c r="AN120">
        <v>1.71</v>
      </c>
      <c r="AO120">
        <v>-3.52</v>
      </c>
      <c r="AP120">
        <v>5.37</v>
      </c>
      <c r="AQ120">
        <v>-32.1</v>
      </c>
    </row>
    <row r="121" spans="1:43" x14ac:dyDescent="0.25">
      <c r="A121">
        <v>-8</v>
      </c>
      <c r="B121" t="s">
        <v>46</v>
      </c>
      <c r="C121">
        <v>35.887</v>
      </c>
      <c r="D121">
        <f t="shared" si="6"/>
        <v>-106.65600000000001</v>
      </c>
      <c r="E121">
        <v>20130603</v>
      </c>
      <c r="G121">
        <v>4450</v>
      </c>
      <c r="H121">
        <v>4</v>
      </c>
      <c r="I121">
        <v>1.64</v>
      </c>
      <c r="J121">
        <v>2221</v>
      </c>
      <c r="K121">
        <v>1.21</v>
      </c>
      <c r="L121">
        <v>23.06</v>
      </c>
      <c r="M121">
        <v>15</v>
      </c>
      <c r="N121">
        <v>6.84</v>
      </c>
      <c r="O121">
        <v>40</v>
      </c>
      <c r="P121">
        <v>2342</v>
      </c>
      <c r="Q121">
        <v>16028</v>
      </c>
      <c r="R121">
        <v>9.27</v>
      </c>
      <c r="S121">
        <v>2108</v>
      </c>
      <c r="T121">
        <v>19551</v>
      </c>
      <c r="U121">
        <v>11.42</v>
      </c>
      <c r="V121">
        <v>2311</v>
      </c>
      <c r="W121">
        <v>26391</v>
      </c>
      <c r="X121">
        <v>-999</v>
      </c>
      <c r="Y121">
        <v>-999</v>
      </c>
      <c r="Z121">
        <v>-999</v>
      </c>
      <c r="AA121">
        <v>-999</v>
      </c>
      <c r="AB121">
        <v>-999</v>
      </c>
      <c r="AC121">
        <v>-999</v>
      </c>
      <c r="AD121">
        <v>-999</v>
      </c>
      <c r="AE121">
        <v>-999</v>
      </c>
      <c r="AF121">
        <v>26.35</v>
      </c>
      <c r="AG121">
        <v>23.6</v>
      </c>
      <c r="AH121">
        <v>3</v>
      </c>
      <c r="AI121">
        <v>3</v>
      </c>
      <c r="AJ121">
        <v>6</v>
      </c>
      <c r="AK121">
        <v>6.84</v>
      </c>
      <c r="AL121">
        <v>-0.22</v>
      </c>
      <c r="AM121">
        <v>1.34</v>
      </c>
      <c r="AN121">
        <v>7.08</v>
      </c>
      <c r="AO121">
        <v>10.84</v>
      </c>
      <c r="AP121">
        <v>-5.51</v>
      </c>
      <c r="AQ121">
        <v>84.11</v>
      </c>
    </row>
    <row r="122" spans="1:43" x14ac:dyDescent="0.25">
      <c r="A122">
        <v>-8</v>
      </c>
      <c r="B122" t="s">
        <v>46</v>
      </c>
      <c r="C122">
        <v>35.887</v>
      </c>
      <c r="D122">
        <f t="shared" si="6"/>
        <v>-106.65600000000001</v>
      </c>
      <c r="E122">
        <v>20130604</v>
      </c>
      <c r="G122">
        <v>9394</v>
      </c>
      <c r="H122">
        <v>5</v>
      </c>
      <c r="I122">
        <v>2.54</v>
      </c>
      <c r="J122">
        <v>4944</v>
      </c>
      <c r="K122">
        <v>2.69</v>
      </c>
      <c r="L122">
        <v>23.93</v>
      </c>
      <c r="M122">
        <v>12</v>
      </c>
      <c r="N122">
        <v>3.93</v>
      </c>
      <c r="O122">
        <v>24</v>
      </c>
      <c r="P122">
        <v>2549</v>
      </c>
      <c r="Q122">
        <v>10010</v>
      </c>
      <c r="R122">
        <v>3.93</v>
      </c>
      <c r="S122">
        <v>2448</v>
      </c>
      <c r="T122">
        <v>9613</v>
      </c>
      <c r="U122">
        <v>4.5999999999999996</v>
      </c>
      <c r="V122">
        <v>2516</v>
      </c>
      <c r="W122">
        <v>11571</v>
      </c>
      <c r="X122">
        <v>-999</v>
      </c>
      <c r="Y122">
        <v>-999</v>
      </c>
      <c r="Z122">
        <v>-999</v>
      </c>
      <c r="AA122">
        <v>-999</v>
      </c>
      <c r="AB122">
        <v>-999</v>
      </c>
      <c r="AC122">
        <v>-999</v>
      </c>
      <c r="AD122">
        <v>-999</v>
      </c>
      <c r="AE122">
        <v>-999</v>
      </c>
      <c r="AF122">
        <v>27.16</v>
      </c>
      <c r="AG122">
        <v>29.78</v>
      </c>
      <c r="AH122">
        <v>3</v>
      </c>
      <c r="AI122">
        <v>3</v>
      </c>
      <c r="AJ122">
        <v>6</v>
      </c>
      <c r="AK122">
        <v>3.8</v>
      </c>
      <c r="AL122">
        <v>1</v>
      </c>
      <c r="AM122">
        <v>12.17</v>
      </c>
      <c r="AN122">
        <v>1.58</v>
      </c>
      <c r="AO122">
        <v>-5.73</v>
      </c>
      <c r="AP122">
        <v>1.34</v>
      </c>
      <c r="AQ122">
        <v>-25.31</v>
      </c>
    </row>
    <row r="123" spans="1:43" x14ac:dyDescent="0.25">
      <c r="A123">
        <v>-8</v>
      </c>
      <c r="B123" t="s">
        <v>46</v>
      </c>
      <c r="C123">
        <v>35.887</v>
      </c>
      <c r="D123">
        <f t="shared" si="6"/>
        <v>-106.65600000000001</v>
      </c>
      <c r="E123">
        <v>20130605</v>
      </c>
      <c r="G123">
        <v>12164</v>
      </c>
      <c r="H123">
        <v>6</v>
      </c>
      <c r="I123">
        <v>1.1200000000000001</v>
      </c>
      <c r="J123">
        <v>2770</v>
      </c>
      <c r="K123">
        <v>1.51</v>
      </c>
      <c r="L123">
        <v>21.07</v>
      </c>
      <c r="M123">
        <v>23</v>
      </c>
      <c r="N123">
        <v>3.25</v>
      </c>
      <c r="O123">
        <v>17</v>
      </c>
      <c r="P123">
        <v>1887</v>
      </c>
      <c r="Q123">
        <v>6133</v>
      </c>
      <c r="R123">
        <v>4.17</v>
      </c>
      <c r="S123">
        <v>1924</v>
      </c>
      <c r="T123">
        <v>8022</v>
      </c>
      <c r="U123">
        <v>5.69</v>
      </c>
      <c r="V123">
        <v>1960</v>
      </c>
      <c r="W123">
        <v>11148</v>
      </c>
      <c r="X123">
        <v>-999</v>
      </c>
      <c r="Y123">
        <v>-999</v>
      </c>
      <c r="Z123">
        <v>-999</v>
      </c>
      <c r="AA123">
        <v>-999</v>
      </c>
      <c r="AB123">
        <v>-999</v>
      </c>
      <c r="AC123">
        <v>-999</v>
      </c>
      <c r="AD123">
        <v>-999</v>
      </c>
      <c r="AE123">
        <v>-999</v>
      </c>
      <c r="AF123">
        <v>26.86</v>
      </c>
      <c r="AG123">
        <v>21.66</v>
      </c>
      <c r="AH123">
        <v>3</v>
      </c>
      <c r="AI123">
        <v>3</v>
      </c>
      <c r="AJ123">
        <v>6</v>
      </c>
      <c r="AK123">
        <v>2.93</v>
      </c>
      <c r="AL123">
        <v>-1.4</v>
      </c>
      <c r="AM123">
        <v>6.44</v>
      </c>
      <c r="AN123">
        <v>2.91</v>
      </c>
      <c r="AO123">
        <v>-2.02</v>
      </c>
      <c r="AP123">
        <v>0.52</v>
      </c>
      <c r="AQ123">
        <v>-9.2100000000000009</v>
      </c>
    </row>
    <row r="124" spans="1:43" x14ac:dyDescent="0.25">
      <c r="A124">
        <v>-8</v>
      </c>
      <c r="B124" t="s">
        <v>46</v>
      </c>
      <c r="C124">
        <v>35.887</v>
      </c>
      <c r="D124">
        <f t="shared" si="6"/>
        <v>-106.65600000000001</v>
      </c>
      <c r="E124">
        <v>20130606</v>
      </c>
      <c r="G124">
        <v>14430</v>
      </c>
      <c r="H124">
        <v>7</v>
      </c>
      <c r="I124">
        <v>0.83</v>
      </c>
      <c r="J124">
        <v>2266</v>
      </c>
      <c r="K124">
        <v>1.23</v>
      </c>
      <c r="L124">
        <v>21.58</v>
      </c>
      <c r="M124">
        <v>22</v>
      </c>
      <c r="N124">
        <v>2.85</v>
      </c>
      <c r="O124">
        <v>15</v>
      </c>
      <c r="P124">
        <v>1970</v>
      </c>
      <c r="Q124">
        <v>5612</v>
      </c>
      <c r="R124">
        <v>2.95</v>
      </c>
      <c r="S124">
        <v>2104</v>
      </c>
      <c r="T124">
        <v>6210</v>
      </c>
      <c r="U124">
        <v>3.73</v>
      </c>
      <c r="V124">
        <v>2177</v>
      </c>
      <c r="W124">
        <v>8116</v>
      </c>
      <c r="X124">
        <v>-999</v>
      </c>
      <c r="Y124">
        <v>-999</v>
      </c>
      <c r="Z124">
        <v>-999</v>
      </c>
      <c r="AA124">
        <v>-999</v>
      </c>
      <c r="AB124">
        <v>-999</v>
      </c>
      <c r="AC124">
        <v>-999</v>
      </c>
      <c r="AD124">
        <v>-999</v>
      </c>
      <c r="AE124">
        <v>-999</v>
      </c>
      <c r="AF124">
        <v>26.76</v>
      </c>
      <c r="AG124">
        <v>24.45</v>
      </c>
      <c r="AH124">
        <v>3</v>
      </c>
      <c r="AI124">
        <v>3</v>
      </c>
      <c r="AJ124">
        <v>6</v>
      </c>
      <c r="AK124">
        <v>2.83</v>
      </c>
      <c r="AL124">
        <v>-0.32</v>
      </c>
      <c r="AM124">
        <v>4.42</v>
      </c>
      <c r="AN124">
        <v>3.43</v>
      </c>
      <c r="AO124">
        <v>1.48</v>
      </c>
      <c r="AP124">
        <v>-4.25</v>
      </c>
      <c r="AQ124">
        <v>23.86</v>
      </c>
    </row>
    <row r="125" spans="1:43" x14ac:dyDescent="0.25">
      <c r="A125">
        <v>-8</v>
      </c>
      <c r="B125" t="s">
        <v>46</v>
      </c>
      <c r="C125">
        <v>35.887</v>
      </c>
      <c r="D125">
        <f t="shared" si="6"/>
        <v>-106.65600000000001</v>
      </c>
      <c r="E125">
        <v>20130607</v>
      </c>
      <c r="G125">
        <v>18527</v>
      </c>
      <c r="H125">
        <v>8</v>
      </c>
      <c r="I125">
        <v>1.34</v>
      </c>
      <c r="J125">
        <v>4097</v>
      </c>
      <c r="K125">
        <v>2.23</v>
      </c>
      <c r="L125">
        <v>21.32</v>
      </c>
      <c r="M125">
        <v>20</v>
      </c>
      <c r="N125">
        <v>6.01</v>
      </c>
      <c r="O125">
        <v>33</v>
      </c>
      <c r="P125">
        <v>1990</v>
      </c>
      <c r="Q125">
        <v>11954</v>
      </c>
      <c r="R125">
        <v>8.5</v>
      </c>
      <c r="S125">
        <v>2091</v>
      </c>
      <c r="T125">
        <v>17781</v>
      </c>
      <c r="U125">
        <v>10.94</v>
      </c>
      <c r="V125">
        <v>2136</v>
      </c>
      <c r="W125">
        <v>23366</v>
      </c>
      <c r="X125">
        <v>-999</v>
      </c>
      <c r="Y125">
        <v>-999</v>
      </c>
      <c r="Z125">
        <v>-999</v>
      </c>
      <c r="AA125">
        <v>-999</v>
      </c>
      <c r="AB125">
        <v>-999</v>
      </c>
      <c r="AC125">
        <v>-999</v>
      </c>
      <c r="AD125">
        <v>-999</v>
      </c>
      <c r="AE125">
        <v>-999</v>
      </c>
      <c r="AF125">
        <v>26.87</v>
      </c>
      <c r="AG125">
        <v>24.41</v>
      </c>
      <c r="AH125">
        <v>3</v>
      </c>
      <c r="AI125">
        <v>3</v>
      </c>
      <c r="AJ125">
        <v>6</v>
      </c>
      <c r="AK125">
        <v>4.4400000000000004</v>
      </c>
      <c r="AL125">
        <v>-4.05</v>
      </c>
      <c r="AM125">
        <v>5.9</v>
      </c>
      <c r="AN125">
        <v>-0.82</v>
      </c>
      <c r="AO125">
        <v>1.55</v>
      </c>
      <c r="AP125">
        <v>-3.14</v>
      </c>
      <c r="AQ125">
        <v>17.25</v>
      </c>
    </row>
    <row r="126" spans="1:43" x14ac:dyDescent="0.25">
      <c r="A126">
        <v>-8</v>
      </c>
      <c r="B126" t="s">
        <v>46</v>
      </c>
      <c r="C126">
        <v>35.887</v>
      </c>
      <c r="D126">
        <f t="shared" si="6"/>
        <v>-106.65600000000001</v>
      </c>
      <c r="E126">
        <v>20130608</v>
      </c>
      <c r="G126">
        <v>20687</v>
      </c>
      <c r="H126">
        <v>9</v>
      </c>
      <c r="I126">
        <v>0.65</v>
      </c>
      <c r="J126">
        <v>2160</v>
      </c>
      <c r="K126">
        <v>1.17</v>
      </c>
      <c r="L126">
        <v>25.72</v>
      </c>
      <c r="M126">
        <v>17</v>
      </c>
      <c r="N126">
        <v>7.38</v>
      </c>
      <c r="O126">
        <v>42</v>
      </c>
      <c r="P126">
        <v>2665</v>
      </c>
      <c r="Q126">
        <v>19660</v>
      </c>
      <c r="R126">
        <v>10.01</v>
      </c>
      <c r="S126">
        <v>2421</v>
      </c>
      <c r="T126">
        <v>24243</v>
      </c>
      <c r="U126">
        <v>12.15</v>
      </c>
      <c r="V126">
        <v>2630</v>
      </c>
      <c r="W126">
        <v>31966</v>
      </c>
      <c r="X126">
        <v>-999</v>
      </c>
      <c r="Y126">
        <v>-999</v>
      </c>
      <c r="Z126">
        <v>-999</v>
      </c>
      <c r="AA126">
        <v>-999</v>
      </c>
      <c r="AB126">
        <v>-999</v>
      </c>
      <c r="AC126">
        <v>-999</v>
      </c>
      <c r="AD126">
        <v>-999</v>
      </c>
      <c r="AE126">
        <v>-999</v>
      </c>
      <c r="AF126">
        <v>26.02</v>
      </c>
      <c r="AG126">
        <v>22.77</v>
      </c>
      <c r="AH126">
        <v>3</v>
      </c>
      <c r="AI126">
        <v>3</v>
      </c>
      <c r="AJ126">
        <v>6</v>
      </c>
      <c r="AK126">
        <v>4.99</v>
      </c>
      <c r="AL126">
        <v>-5.43</v>
      </c>
      <c r="AM126">
        <v>7.45</v>
      </c>
      <c r="AN126">
        <v>-3.95</v>
      </c>
      <c r="AO126">
        <v>2.1</v>
      </c>
      <c r="AP126">
        <v>-3.87</v>
      </c>
      <c r="AQ126">
        <v>20.57</v>
      </c>
    </row>
    <row r="127" spans="1:43" x14ac:dyDescent="0.25">
      <c r="A127">
        <v>-8</v>
      </c>
      <c r="B127" t="s">
        <v>46</v>
      </c>
      <c r="C127">
        <v>35.887</v>
      </c>
      <c r="D127">
        <f t="shared" si="6"/>
        <v>-106.65600000000001</v>
      </c>
      <c r="E127">
        <v>20130609</v>
      </c>
      <c r="G127">
        <v>21089</v>
      </c>
      <c r="H127">
        <v>10</v>
      </c>
      <c r="I127">
        <v>0.12</v>
      </c>
      <c r="J127">
        <v>402</v>
      </c>
      <c r="K127">
        <v>0.22</v>
      </c>
      <c r="L127">
        <v>27.71</v>
      </c>
      <c r="M127">
        <v>15</v>
      </c>
      <c r="N127">
        <v>2.75</v>
      </c>
      <c r="O127">
        <v>16</v>
      </c>
      <c r="P127">
        <v>3052</v>
      </c>
      <c r="Q127">
        <v>8398</v>
      </c>
      <c r="R127">
        <v>1.86</v>
      </c>
      <c r="S127">
        <v>2836</v>
      </c>
      <c r="T127">
        <v>5263</v>
      </c>
      <c r="U127">
        <v>2.75</v>
      </c>
      <c r="V127">
        <v>3012</v>
      </c>
      <c r="W127">
        <v>8288</v>
      </c>
      <c r="X127">
        <v>-999</v>
      </c>
      <c r="Y127">
        <v>-999</v>
      </c>
      <c r="Z127">
        <v>-999</v>
      </c>
      <c r="AA127">
        <v>-999</v>
      </c>
      <c r="AB127">
        <v>-999</v>
      </c>
      <c r="AC127">
        <v>-999</v>
      </c>
      <c r="AD127">
        <v>-999</v>
      </c>
      <c r="AE127">
        <v>-999</v>
      </c>
      <c r="AF127">
        <v>27.34</v>
      </c>
      <c r="AG127">
        <v>24.51</v>
      </c>
      <c r="AH127">
        <v>3</v>
      </c>
      <c r="AI127">
        <v>3</v>
      </c>
      <c r="AJ127">
        <v>6</v>
      </c>
      <c r="AK127">
        <v>2.4300000000000002</v>
      </c>
      <c r="AL127">
        <v>1.28</v>
      </c>
      <c r="AM127">
        <v>9.5399999999999991</v>
      </c>
      <c r="AN127">
        <v>-7.83</v>
      </c>
      <c r="AO127">
        <v>-5.47</v>
      </c>
      <c r="AP127">
        <v>8.73</v>
      </c>
      <c r="AQ127">
        <v>-40.5</v>
      </c>
    </row>
    <row r="128" spans="1:43" x14ac:dyDescent="0.25">
      <c r="A128">
        <v>-8</v>
      </c>
      <c r="B128" t="s">
        <v>46</v>
      </c>
      <c r="C128">
        <v>35.887</v>
      </c>
      <c r="D128">
        <f t="shared" si="6"/>
        <v>-106.65600000000001</v>
      </c>
      <c r="E128">
        <v>20130610</v>
      </c>
      <c r="G128">
        <v>21871</v>
      </c>
      <c r="H128">
        <v>11</v>
      </c>
      <c r="I128">
        <v>0.22</v>
      </c>
      <c r="J128">
        <v>782</v>
      </c>
      <c r="K128">
        <v>0.43</v>
      </c>
      <c r="L128">
        <v>27.42</v>
      </c>
      <c r="M128">
        <v>13</v>
      </c>
      <c r="N128">
        <v>3.79</v>
      </c>
      <c r="O128">
        <v>23</v>
      </c>
      <c r="P128">
        <v>3073</v>
      </c>
      <c r="Q128">
        <v>11654</v>
      </c>
      <c r="R128">
        <v>3.88</v>
      </c>
      <c r="S128">
        <v>2921</v>
      </c>
      <c r="T128">
        <v>11334</v>
      </c>
      <c r="U128">
        <v>3.79</v>
      </c>
      <c r="V128">
        <v>3033</v>
      </c>
      <c r="W128">
        <v>11502</v>
      </c>
      <c r="X128">
        <v>-999</v>
      </c>
      <c r="Y128">
        <v>-999</v>
      </c>
      <c r="Z128">
        <v>-999</v>
      </c>
      <c r="AA128">
        <v>-999</v>
      </c>
      <c r="AB128">
        <v>-999</v>
      </c>
      <c r="AC128">
        <v>-999</v>
      </c>
      <c r="AD128">
        <v>-999</v>
      </c>
      <c r="AE128">
        <v>-999</v>
      </c>
      <c r="AF128">
        <v>27.46</v>
      </c>
      <c r="AG128">
        <v>28.48</v>
      </c>
      <c r="AH128">
        <v>3</v>
      </c>
      <c r="AI128">
        <v>3</v>
      </c>
      <c r="AJ128">
        <v>6</v>
      </c>
      <c r="AK128">
        <v>3.46</v>
      </c>
      <c r="AL128">
        <v>1.55</v>
      </c>
      <c r="AM128">
        <v>4.07</v>
      </c>
      <c r="AN128">
        <v>0.91</v>
      </c>
      <c r="AO128">
        <v>0.47</v>
      </c>
      <c r="AP128">
        <v>4.0999999999999996</v>
      </c>
      <c r="AQ128">
        <v>-16.27</v>
      </c>
    </row>
    <row r="129" spans="1:43" x14ac:dyDescent="0.25">
      <c r="A129">
        <v>-8</v>
      </c>
      <c r="B129" t="s">
        <v>46</v>
      </c>
      <c r="C129">
        <v>35.887</v>
      </c>
      <c r="D129">
        <f t="shared" si="6"/>
        <v>-106.65600000000001</v>
      </c>
      <c r="E129">
        <v>20130611</v>
      </c>
      <c r="G129">
        <v>22852</v>
      </c>
      <c r="H129">
        <v>12</v>
      </c>
      <c r="I129">
        <v>0.28000000000000003</v>
      </c>
      <c r="J129">
        <v>981</v>
      </c>
      <c r="K129">
        <v>0.53</v>
      </c>
      <c r="L129">
        <v>27.85</v>
      </c>
      <c r="M129">
        <v>7</v>
      </c>
      <c r="N129">
        <v>7.12</v>
      </c>
      <c r="O129">
        <v>47</v>
      </c>
      <c r="P129">
        <v>3365</v>
      </c>
      <c r="Q129">
        <v>23958</v>
      </c>
      <c r="R129">
        <v>8.8000000000000007</v>
      </c>
      <c r="S129">
        <v>3028</v>
      </c>
      <c r="T129">
        <v>26648</v>
      </c>
      <c r="U129">
        <v>8.99</v>
      </c>
      <c r="V129">
        <v>3321</v>
      </c>
      <c r="W129">
        <v>29842</v>
      </c>
      <c r="X129">
        <v>-999</v>
      </c>
      <c r="Y129">
        <v>-999</v>
      </c>
      <c r="Z129">
        <v>-999</v>
      </c>
      <c r="AA129">
        <v>-999</v>
      </c>
      <c r="AB129">
        <v>-999</v>
      </c>
      <c r="AC129">
        <v>-999</v>
      </c>
      <c r="AD129">
        <v>-999</v>
      </c>
      <c r="AE129">
        <v>-999</v>
      </c>
      <c r="AF129">
        <v>27.23</v>
      </c>
      <c r="AG129">
        <v>32.64</v>
      </c>
      <c r="AH129">
        <v>3</v>
      </c>
      <c r="AI129">
        <v>3</v>
      </c>
      <c r="AJ129">
        <v>6</v>
      </c>
      <c r="AK129">
        <v>7.02</v>
      </c>
      <c r="AL129">
        <v>-1.2</v>
      </c>
      <c r="AM129">
        <v>4.54</v>
      </c>
      <c r="AN129">
        <v>5.01</v>
      </c>
      <c r="AO129">
        <v>9.2899999999999991</v>
      </c>
      <c r="AP129">
        <v>-3.97</v>
      </c>
      <c r="AQ129">
        <v>64.510000000000005</v>
      </c>
    </row>
    <row r="130" spans="1:43" x14ac:dyDescent="0.25">
      <c r="A130">
        <v>-8</v>
      </c>
      <c r="B130" t="s">
        <v>46</v>
      </c>
      <c r="C130">
        <v>35.887</v>
      </c>
      <c r="D130">
        <f t="shared" si="6"/>
        <v>-106.65600000000001</v>
      </c>
      <c r="E130">
        <v>20130612</v>
      </c>
      <c r="G130">
        <v>23903</v>
      </c>
      <c r="H130">
        <v>13</v>
      </c>
      <c r="I130">
        <v>0.28999999999999998</v>
      </c>
      <c r="J130">
        <v>1051</v>
      </c>
      <c r="K130">
        <v>0.56999999999999995</v>
      </c>
      <c r="L130">
        <v>27.42</v>
      </c>
      <c r="M130">
        <v>11</v>
      </c>
      <c r="N130">
        <v>3.79</v>
      </c>
      <c r="O130">
        <v>23</v>
      </c>
      <c r="P130">
        <v>3145</v>
      </c>
      <c r="Q130">
        <v>11910</v>
      </c>
      <c r="R130">
        <v>4.05</v>
      </c>
      <c r="S130">
        <v>2964</v>
      </c>
      <c r="T130">
        <v>12002</v>
      </c>
      <c r="U130">
        <v>3.79</v>
      </c>
      <c r="V130">
        <v>3104</v>
      </c>
      <c r="W130">
        <v>11754</v>
      </c>
      <c r="X130">
        <v>-999</v>
      </c>
      <c r="Y130">
        <v>-999</v>
      </c>
      <c r="Z130">
        <v>-999</v>
      </c>
      <c r="AA130">
        <v>-999</v>
      </c>
      <c r="AB130">
        <v>-999</v>
      </c>
      <c r="AC130">
        <v>-999</v>
      </c>
      <c r="AD130">
        <v>-999</v>
      </c>
      <c r="AE130">
        <v>-999</v>
      </c>
      <c r="AF130">
        <v>27.27</v>
      </c>
      <c r="AG130">
        <v>30.41</v>
      </c>
      <c r="AH130">
        <v>3</v>
      </c>
      <c r="AI130">
        <v>3</v>
      </c>
      <c r="AJ130">
        <v>6</v>
      </c>
      <c r="AK130">
        <v>3.79</v>
      </c>
      <c r="AL130">
        <v>-0.03</v>
      </c>
      <c r="AM130">
        <v>13.83</v>
      </c>
      <c r="AN130">
        <v>1.04</v>
      </c>
      <c r="AO130">
        <v>-6.49</v>
      </c>
      <c r="AP130">
        <v>0.53</v>
      </c>
      <c r="AQ130">
        <v>-14.11</v>
      </c>
    </row>
    <row r="131" spans="1:43" x14ac:dyDescent="0.25">
      <c r="A131">
        <v>-8</v>
      </c>
      <c r="B131" t="s">
        <v>46</v>
      </c>
      <c r="C131">
        <v>35.887</v>
      </c>
      <c r="D131">
        <f t="shared" si="6"/>
        <v>-106.65600000000001</v>
      </c>
      <c r="E131">
        <v>20130613</v>
      </c>
      <c r="L131">
        <v>23.92</v>
      </c>
      <c r="M131">
        <v>21</v>
      </c>
      <c r="N131">
        <v>3.45</v>
      </c>
      <c r="O131">
        <v>19</v>
      </c>
      <c r="P131">
        <v>2289</v>
      </c>
      <c r="Q131">
        <v>7900</v>
      </c>
      <c r="R131">
        <v>4.1500000000000004</v>
      </c>
      <c r="S131">
        <v>2377</v>
      </c>
      <c r="T131">
        <v>9859</v>
      </c>
      <c r="U131">
        <v>3.94</v>
      </c>
      <c r="V131">
        <v>2413</v>
      </c>
      <c r="W131">
        <v>9495</v>
      </c>
      <c r="X131">
        <v>-999</v>
      </c>
      <c r="Y131">
        <v>-999</v>
      </c>
      <c r="Z131">
        <v>-999</v>
      </c>
      <c r="AA131">
        <v>-999</v>
      </c>
      <c r="AB131">
        <v>-999</v>
      </c>
      <c r="AC131">
        <v>-999</v>
      </c>
      <c r="AD131">
        <v>-999</v>
      </c>
      <c r="AE131">
        <v>-999</v>
      </c>
      <c r="AF131">
        <v>26.37</v>
      </c>
      <c r="AG131">
        <v>22.76</v>
      </c>
      <c r="AH131">
        <v>3</v>
      </c>
      <c r="AI131">
        <v>3</v>
      </c>
      <c r="AJ131">
        <v>6</v>
      </c>
      <c r="AK131">
        <v>3.32</v>
      </c>
      <c r="AL131">
        <v>0.93</v>
      </c>
      <c r="AM131">
        <v>7.34</v>
      </c>
      <c r="AN131">
        <v>1.57</v>
      </c>
      <c r="AO131">
        <v>-2.35</v>
      </c>
      <c r="AP131">
        <v>2.42</v>
      </c>
      <c r="AQ131">
        <v>-21.44</v>
      </c>
    </row>
    <row r="133" spans="1:43" x14ac:dyDescent="0.25">
      <c r="A133">
        <v>-10</v>
      </c>
      <c r="B133" t="s">
        <v>47</v>
      </c>
      <c r="C133">
        <v>37.718000000000004</v>
      </c>
      <c r="D133">
        <f>247.163-360</f>
        <v>-112.83699999999999</v>
      </c>
      <c r="E133">
        <v>20170617</v>
      </c>
      <c r="F133">
        <v>20170527</v>
      </c>
      <c r="G133">
        <v>866</v>
      </c>
      <c r="H133">
        <v>1</v>
      </c>
      <c r="I133">
        <v>2.31</v>
      </c>
      <c r="J133">
        <v>866</v>
      </c>
      <c r="K133">
        <v>0.25</v>
      </c>
      <c r="L133">
        <v>25.82</v>
      </c>
      <c r="M133">
        <v>20.5</v>
      </c>
      <c r="N133">
        <v>3.68</v>
      </c>
      <c r="O133">
        <v>20</v>
      </c>
      <c r="P133">
        <v>2569</v>
      </c>
      <c r="Q133">
        <v>9454</v>
      </c>
      <c r="R133">
        <v>4.9800000000000004</v>
      </c>
      <c r="S133">
        <v>2420</v>
      </c>
      <c r="T133">
        <v>12041</v>
      </c>
      <c r="U133">
        <v>5.42</v>
      </c>
      <c r="V133">
        <v>2535</v>
      </c>
      <c r="W133">
        <v>13734</v>
      </c>
      <c r="X133">
        <v>-999</v>
      </c>
      <c r="Y133">
        <v>-999</v>
      </c>
      <c r="Z133">
        <v>-999</v>
      </c>
      <c r="AA133">
        <v>-999</v>
      </c>
      <c r="AB133">
        <v>-999</v>
      </c>
      <c r="AC133">
        <v>-999</v>
      </c>
      <c r="AD133">
        <v>-999</v>
      </c>
      <c r="AE133">
        <v>-999</v>
      </c>
      <c r="AF133">
        <v>22.84</v>
      </c>
      <c r="AG133">
        <v>19.760000000000002</v>
      </c>
      <c r="AH133">
        <v>3</v>
      </c>
      <c r="AI133">
        <v>2</v>
      </c>
      <c r="AJ133">
        <v>5</v>
      </c>
      <c r="AK133">
        <v>2.62</v>
      </c>
      <c r="AL133">
        <v>-2.58</v>
      </c>
      <c r="AM133">
        <v>3.63</v>
      </c>
      <c r="AN133">
        <v>-5.2</v>
      </c>
      <c r="AO133">
        <v>0.51</v>
      </c>
      <c r="AP133">
        <v>0.15</v>
      </c>
      <c r="AQ133">
        <v>-3.17</v>
      </c>
    </row>
    <row r="134" spans="1:43" x14ac:dyDescent="0.25">
      <c r="A134">
        <v>-10</v>
      </c>
      <c r="B134" t="s">
        <v>47</v>
      </c>
      <c r="C134">
        <v>37.718000000000004</v>
      </c>
      <c r="D134">
        <f t="shared" ref="D134:D153" si="7">247.163-360</f>
        <v>-112.83699999999999</v>
      </c>
      <c r="E134">
        <v>20170618</v>
      </c>
      <c r="G134">
        <v>913</v>
      </c>
      <c r="H134">
        <v>2</v>
      </c>
      <c r="I134">
        <v>0.06</v>
      </c>
      <c r="J134">
        <v>47</v>
      </c>
      <c r="K134">
        <v>0.01</v>
      </c>
      <c r="L134">
        <v>25.96</v>
      </c>
      <c r="M134">
        <v>23.6</v>
      </c>
      <c r="N134">
        <v>5.2</v>
      </c>
      <c r="O134">
        <v>28</v>
      </c>
      <c r="P134">
        <v>2488</v>
      </c>
      <c r="Q134">
        <v>12931</v>
      </c>
      <c r="R134">
        <v>6.14</v>
      </c>
      <c r="S134">
        <v>2282</v>
      </c>
      <c r="T134">
        <v>14005</v>
      </c>
      <c r="U134">
        <v>6.44</v>
      </c>
      <c r="V134">
        <v>2455</v>
      </c>
      <c r="W134">
        <v>15812</v>
      </c>
      <c r="X134">
        <v>-999</v>
      </c>
      <c r="Y134">
        <v>-999</v>
      </c>
      <c r="Z134">
        <v>-999</v>
      </c>
      <c r="AA134">
        <v>-999</v>
      </c>
      <c r="AB134">
        <v>-999</v>
      </c>
      <c r="AC134">
        <v>-999</v>
      </c>
      <c r="AD134">
        <v>-999</v>
      </c>
      <c r="AE134">
        <v>-999</v>
      </c>
      <c r="AF134">
        <v>22.06</v>
      </c>
      <c r="AG134">
        <v>16.86</v>
      </c>
      <c r="AH134">
        <v>3</v>
      </c>
      <c r="AI134">
        <v>2</v>
      </c>
      <c r="AJ134">
        <v>5</v>
      </c>
      <c r="AK134">
        <v>0.39</v>
      </c>
      <c r="AL134">
        <v>-5.18</v>
      </c>
      <c r="AM134">
        <v>4.1399999999999997</v>
      </c>
      <c r="AN134">
        <v>-5.05</v>
      </c>
      <c r="AO134">
        <v>-3.51</v>
      </c>
      <c r="AP134">
        <v>-3.7</v>
      </c>
      <c r="AQ134">
        <v>33.090000000000003</v>
      </c>
    </row>
    <row r="135" spans="1:43" x14ac:dyDescent="0.25">
      <c r="A135">
        <v>-10</v>
      </c>
      <c r="B135" t="s">
        <v>47</v>
      </c>
      <c r="C135">
        <v>37.718000000000004</v>
      </c>
      <c r="D135">
        <f t="shared" si="7"/>
        <v>-112.83699999999999</v>
      </c>
      <c r="E135">
        <v>20170619</v>
      </c>
      <c r="G135">
        <v>954</v>
      </c>
      <c r="H135">
        <v>3</v>
      </c>
      <c r="I135">
        <v>0.05</v>
      </c>
      <c r="J135">
        <v>41</v>
      </c>
      <c r="K135">
        <v>0.01</v>
      </c>
      <c r="L135">
        <v>28.18</v>
      </c>
      <c r="M135">
        <v>15.9</v>
      </c>
      <c r="N135">
        <v>4.03</v>
      </c>
      <c r="O135">
        <v>24</v>
      </c>
      <c r="P135">
        <v>3104</v>
      </c>
      <c r="Q135">
        <v>12523</v>
      </c>
      <c r="R135">
        <v>3.84</v>
      </c>
      <c r="S135">
        <v>2942</v>
      </c>
      <c r="T135">
        <v>11303</v>
      </c>
      <c r="U135">
        <v>4.03</v>
      </c>
      <c r="V135">
        <v>3064</v>
      </c>
      <c r="W135">
        <v>12359</v>
      </c>
      <c r="X135">
        <v>-999</v>
      </c>
      <c r="Y135">
        <v>-999</v>
      </c>
      <c r="Z135">
        <v>-999</v>
      </c>
      <c r="AA135">
        <v>-999</v>
      </c>
      <c r="AB135">
        <v>-999</v>
      </c>
      <c r="AC135">
        <v>-999</v>
      </c>
      <c r="AD135">
        <v>-999</v>
      </c>
      <c r="AE135">
        <v>-999</v>
      </c>
      <c r="AF135">
        <v>26.47</v>
      </c>
      <c r="AG135">
        <v>23.6</v>
      </c>
      <c r="AH135">
        <v>3</v>
      </c>
      <c r="AI135">
        <v>3</v>
      </c>
      <c r="AJ135">
        <v>6</v>
      </c>
      <c r="AK135">
        <v>0.33</v>
      </c>
      <c r="AL135">
        <v>-4.0199999999999996</v>
      </c>
      <c r="AM135">
        <v>0.62</v>
      </c>
      <c r="AN135">
        <v>-8.76</v>
      </c>
      <c r="AO135">
        <v>-0.52</v>
      </c>
      <c r="AP135">
        <v>3.72</v>
      </c>
      <c r="AQ135">
        <v>2.19</v>
      </c>
    </row>
    <row r="136" spans="1:43" x14ac:dyDescent="0.25">
      <c r="A136">
        <v>-10</v>
      </c>
      <c r="B136" t="s">
        <v>47</v>
      </c>
      <c r="C136">
        <v>37.718000000000004</v>
      </c>
      <c r="D136">
        <f t="shared" si="7"/>
        <v>-112.83699999999999</v>
      </c>
      <c r="E136">
        <v>20170620</v>
      </c>
      <c r="G136">
        <v>2761</v>
      </c>
      <c r="H136">
        <v>4</v>
      </c>
      <c r="I136">
        <v>1.7</v>
      </c>
      <c r="J136">
        <v>1807</v>
      </c>
      <c r="K136">
        <v>0.53</v>
      </c>
      <c r="L136">
        <v>28.38</v>
      </c>
      <c r="M136">
        <v>18</v>
      </c>
      <c r="N136">
        <v>4.55</v>
      </c>
      <c r="O136">
        <v>26</v>
      </c>
      <c r="P136">
        <v>3059</v>
      </c>
      <c r="Q136">
        <v>13919</v>
      </c>
      <c r="R136">
        <v>5.63</v>
      </c>
      <c r="S136">
        <v>2919</v>
      </c>
      <c r="T136">
        <v>16446</v>
      </c>
      <c r="U136">
        <v>5.98</v>
      </c>
      <c r="V136">
        <v>3019</v>
      </c>
      <c r="W136">
        <v>18056</v>
      </c>
      <c r="X136">
        <v>-999</v>
      </c>
      <c r="Y136">
        <v>-999</v>
      </c>
      <c r="Z136">
        <v>-999</v>
      </c>
      <c r="AA136">
        <v>-999</v>
      </c>
      <c r="AB136">
        <v>-999</v>
      </c>
      <c r="AC136">
        <v>-999</v>
      </c>
      <c r="AD136">
        <v>-999</v>
      </c>
      <c r="AE136">
        <v>-999</v>
      </c>
      <c r="AF136">
        <v>26.51</v>
      </c>
      <c r="AG136">
        <v>22.99</v>
      </c>
      <c r="AH136">
        <v>3</v>
      </c>
      <c r="AI136">
        <v>3</v>
      </c>
      <c r="AJ136">
        <v>6</v>
      </c>
      <c r="AK136">
        <v>3.68</v>
      </c>
      <c r="AL136">
        <v>-2.68</v>
      </c>
      <c r="AM136">
        <v>0.11</v>
      </c>
      <c r="AN136">
        <v>-5.03</v>
      </c>
      <c r="AO136">
        <v>6.03</v>
      </c>
      <c r="AP136">
        <v>0.66</v>
      </c>
      <c r="AQ136">
        <v>-30.41</v>
      </c>
    </row>
    <row r="137" spans="1:43" x14ac:dyDescent="0.25">
      <c r="A137">
        <v>-10</v>
      </c>
      <c r="B137" t="s">
        <v>47</v>
      </c>
      <c r="C137">
        <v>37.718000000000004</v>
      </c>
      <c r="D137">
        <f t="shared" si="7"/>
        <v>-112.83699999999999</v>
      </c>
      <c r="E137">
        <v>20170621</v>
      </c>
      <c r="G137">
        <v>10956</v>
      </c>
      <c r="H137">
        <v>5</v>
      </c>
      <c r="I137">
        <v>4.09</v>
      </c>
      <c r="J137">
        <v>8195</v>
      </c>
      <c r="K137">
        <v>2.4</v>
      </c>
      <c r="L137">
        <v>28.41</v>
      </c>
      <c r="M137">
        <v>13.3</v>
      </c>
      <c r="N137">
        <v>6.33</v>
      </c>
      <c r="O137">
        <v>38</v>
      </c>
      <c r="P137">
        <v>3237</v>
      </c>
      <c r="Q137">
        <v>20487</v>
      </c>
      <c r="R137">
        <v>8.2899999999999991</v>
      </c>
      <c r="S137">
        <v>3123</v>
      </c>
      <c r="T137">
        <v>25891</v>
      </c>
      <c r="U137">
        <v>9.08</v>
      </c>
      <c r="V137">
        <v>3195</v>
      </c>
      <c r="W137">
        <v>28996</v>
      </c>
      <c r="X137">
        <v>-999</v>
      </c>
      <c r="Y137">
        <v>-999</v>
      </c>
      <c r="Z137">
        <v>-999</v>
      </c>
      <c r="AA137">
        <v>-999</v>
      </c>
      <c r="AB137">
        <v>-999</v>
      </c>
      <c r="AC137">
        <v>-999</v>
      </c>
      <c r="AD137">
        <v>-999</v>
      </c>
      <c r="AE137">
        <v>-999</v>
      </c>
      <c r="AF137">
        <v>27.14</v>
      </c>
      <c r="AG137">
        <v>27.58</v>
      </c>
      <c r="AH137">
        <v>3</v>
      </c>
      <c r="AI137">
        <v>3</v>
      </c>
      <c r="AJ137">
        <v>6</v>
      </c>
      <c r="AK137">
        <v>6.3</v>
      </c>
      <c r="AL137">
        <v>0.62</v>
      </c>
      <c r="AM137">
        <v>6.14</v>
      </c>
      <c r="AN137">
        <v>-4.38</v>
      </c>
      <c r="AO137">
        <v>2.87</v>
      </c>
      <c r="AP137">
        <v>4.0999999999999996</v>
      </c>
      <c r="AQ137">
        <v>-37.74</v>
      </c>
    </row>
    <row r="138" spans="1:43" x14ac:dyDescent="0.25">
      <c r="A138">
        <v>-10</v>
      </c>
      <c r="B138" t="s">
        <v>47</v>
      </c>
      <c r="C138">
        <v>37.718000000000004</v>
      </c>
      <c r="D138">
        <f t="shared" si="7"/>
        <v>-112.83699999999999</v>
      </c>
      <c r="E138">
        <v>20170622</v>
      </c>
      <c r="G138">
        <v>27744</v>
      </c>
      <c r="H138">
        <v>6</v>
      </c>
      <c r="I138">
        <v>4.8600000000000003</v>
      </c>
      <c r="J138">
        <v>16788</v>
      </c>
      <c r="K138">
        <v>4.93</v>
      </c>
      <c r="L138">
        <v>25.61</v>
      </c>
      <c r="M138">
        <v>15.2</v>
      </c>
      <c r="N138">
        <v>4.54</v>
      </c>
      <c r="O138">
        <v>27</v>
      </c>
      <c r="P138">
        <v>2707</v>
      </c>
      <c r="Q138">
        <v>12280</v>
      </c>
      <c r="R138">
        <v>6.04</v>
      </c>
      <c r="S138">
        <v>2567</v>
      </c>
      <c r="T138">
        <v>15509</v>
      </c>
      <c r="U138">
        <v>6.51</v>
      </c>
      <c r="V138">
        <v>2672</v>
      </c>
      <c r="W138">
        <v>17400</v>
      </c>
      <c r="X138">
        <v>-999</v>
      </c>
      <c r="Y138">
        <v>-999</v>
      </c>
      <c r="Z138">
        <v>-999</v>
      </c>
      <c r="AA138">
        <v>-999</v>
      </c>
      <c r="AB138">
        <v>-999</v>
      </c>
      <c r="AC138">
        <v>-999</v>
      </c>
      <c r="AD138">
        <v>-999</v>
      </c>
      <c r="AE138">
        <v>-999</v>
      </c>
      <c r="AF138">
        <v>24.42</v>
      </c>
      <c r="AG138">
        <v>23.9</v>
      </c>
      <c r="AH138">
        <v>3</v>
      </c>
      <c r="AI138">
        <v>3</v>
      </c>
      <c r="AJ138">
        <v>6</v>
      </c>
      <c r="AK138">
        <v>2.66</v>
      </c>
      <c r="AL138">
        <v>-3.67</v>
      </c>
      <c r="AM138">
        <v>9.01</v>
      </c>
      <c r="AN138">
        <v>-0.27</v>
      </c>
      <c r="AO138">
        <v>-4.29</v>
      </c>
      <c r="AP138">
        <v>-6.04</v>
      </c>
      <c r="AQ138">
        <v>55.54</v>
      </c>
    </row>
    <row r="139" spans="1:43" x14ac:dyDescent="0.25">
      <c r="A139">
        <v>-10</v>
      </c>
      <c r="B139" t="s">
        <v>47</v>
      </c>
      <c r="C139">
        <v>37.718000000000004</v>
      </c>
      <c r="D139">
        <f t="shared" si="7"/>
        <v>-112.83699999999999</v>
      </c>
      <c r="E139">
        <v>20170623</v>
      </c>
      <c r="G139">
        <v>37560</v>
      </c>
      <c r="H139">
        <v>7</v>
      </c>
      <c r="I139">
        <v>2.14</v>
      </c>
      <c r="J139">
        <v>9816</v>
      </c>
      <c r="K139">
        <v>2.88</v>
      </c>
      <c r="L139">
        <v>25.44</v>
      </c>
      <c r="M139">
        <v>12.7</v>
      </c>
      <c r="N139">
        <v>4.72</v>
      </c>
      <c r="O139">
        <v>29</v>
      </c>
      <c r="P139">
        <v>2760</v>
      </c>
      <c r="Q139">
        <v>13035</v>
      </c>
      <c r="R139">
        <v>5.75</v>
      </c>
      <c r="S139">
        <v>2623</v>
      </c>
      <c r="T139">
        <v>15096</v>
      </c>
      <c r="U139">
        <v>6.22</v>
      </c>
      <c r="V139">
        <v>2724</v>
      </c>
      <c r="W139">
        <v>16942</v>
      </c>
      <c r="X139">
        <v>-999</v>
      </c>
      <c r="Y139">
        <v>-999</v>
      </c>
      <c r="Z139">
        <v>-999</v>
      </c>
      <c r="AA139">
        <v>-999</v>
      </c>
      <c r="AB139">
        <v>-999</v>
      </c>
      <c r="AC139">
        <v>-999</v>
      </c>
      <c r="AD139">
        <v>-999</v>
      </c>
      <c r="AE139">
        <v>-999</v>
      </c>
      <c r="AF139">
        <v>23.8</v>
      </c>
      <c r="AG139">
        <v>26.94</v>
      </c>
      <c r="AH139">
        <v>3</v>
      </c>
      <c r="AI139">
        <v>3</v>
      </c>
      <c r="AJ139">
        <v>6</v>
      </c>
      <c r="AK139">
        <v>1.62</v>
      </c>
      <c r="AL139">
        <v>-4.4400000000000004</v>
      </c>
      <c r="AM139">
        <v>4.71</v>
      </c>
      <c r="AN139">
        <v>-6.31</v>
      </c>
      <c r="AO139">
        <v>-2.69</v>
      </c>
      <c r="AP139">
        <v>-0.52</v>
      </c>
      <c r="AQ139">
        <v>19.45</v>
      </c>
    </row>
    <row r="140" spans="1:43" x14ac:dyDescent="0.25">
      <c r="A140">
        <v>-10</v>
      </c>
      <c r="B140" t="s">
        <v>47</v>
      </c>
      <c r="C140">
        <v>37.718000000000004</v>
      </c>
      <c r="D140">
        <f t="shared" si="7"/>
        <v>-112.83699999999999</v>
      </c>
      <c r="E140">
        <v>20170624</v>
      </c>
      <c r="G140">
        <v>42800</v>
      </c>
      <c r="H140">
        <v>8</v>
      </c>
      <c r="I140">
        <v>1.03</v>
      </c>
      <c r="J140">
        <v>5240</v>
      </c>
      <c r="K140">
        <v>1.54</v>
      </c>
      <c r="L140">
        <v>26.36</v>
      </c>
      <c r="M140">
        <v>11.1</v>
      </c>
      <c r="N140">
        <v>5.18</v>
      </c>
      <c r="O140">
        <v>32</v>
      </c>
      <c r="P140">
        <v>2961</v>
      </c>
      <c r="Q140">
        <v>15344</v>
      </c>
      <c r="R140">
        <v>5.93</v>
      </c>
      <c r="S140">
        <v>2801</v>
      </c>
      <c r="T140">
        <v>16609</v>
      </c>
      <c r="U140">
        <v>6.16</v>
      </c>
      <c r="V140">
        <v>2922</v>
      </c>
      <c r="W140">
        <v>18005</v>
      </c>
      <c r="X140">
        <v>-999</v>
      </c>
      <c r="Y140">
        <v>-999</v>
      </c>
      <c r="Z140">
        <v>-999</v>
      </c>
      <c r="AA140">
        <v>-999</v>
      </c>
      <c r="AB140">
        <v>-999</v>
      </c>
      <c r="AC140">
        <v>-999</v>
      </c>
      <c r="AD140">
        <v>-999</v>
      </c>
      <c r="AE140">
        <v>-999</v>
      </c>
      <c r="AF140">
        <v>24.31</v>
      </c>
      <c r="AG140">
        <v>29.83</v>
      </c>
      <c r="AH140">
        <v>3</v>
      </c>
      <c r="AI140">
        <v>3</v>
      </c>
      <c r="AJ140">
        <v>6</v>
      </c>
      <c r="AK140">
        <v>1.54</v>
      </c>
      <c r="AL140">
        <v>-4.95</v>
      </c>
      <c r="AM140">
        <v>2.02</v>
      </c>
      <c r="AN140">
        <v>-6.83</v>
      </c>
      <c r="AO140">
        <v>-0.19</v>
      </c>
      <c r="AP140">
        <v>-0.68</v>
      </c>
      <c r="AQ140">
        <v>2.65</v>
      </c>
    </row>
    <row r="141" spans="1:43" x14ac:dyDescent="0.25">
      <c r="A141">
        <v>-10</v>
      </c>
      <c r="B141" t="s">
        <v>47</v>
      </c>
      <c r="C141">
        <v>37.718000000000004</v>
      </c>
      <c r="D141">
        <f t="shared" si="7"/>
        <v>-112.83699999999999</v>
      </c>
      <c r="E141">
        <v>20170625</v>
      </c>
      <c r="G141">
        <v>43436</v>
      </c>
      <c r="H141">
        <v>9</v>
      </c>
      <c r="I141">
        <v>0.12</v>
      </c>
      <c r="J141">
        <v>636</v>
      </c>
      <c r="K141">
        <v>0.19</v>
      </c>
      <c r="L141">
        <v>25.64</v>
      </c>
      <c r="M141">
        <v>16.899999999999999</v>
      </c>
      <c r="N141">
        <v>2.72</v>
      </c>
      <c r="O141">
        <v>16</v>
      </c>
      <c r="P141">
        <v>2660</v>
      </c>
      <c r="Q141">
        <v>7240</v>
      </c>
      <c r="R141">
        <v>3.83</v>
      </c>
      <c r="S141">
        <v>2510</v>
      </c>
      <c r="T141">
        <v>9622</v>
      </c>
      <c r="U141">
        <v>4.17</v>
      </c>
      <c r="V141">
        <v>2625</v>
      </c>
      <c r="W141">
        <v>10937</v>
      </c>
      <c r="X141">
        <v>-999</v>
      </c>
      <c r="Y141">
        <v>-999</v>
      </c>
      <c r="Z141">
        <v>-999</v>
      </c>
      <c r="AA141">
        <v>-999</v>
      </c>
      <c r="AB141">
        <v>-999</v>
      </c>
      <c r="AC141">
        <v>-999</v>
      </c>
      <c r="AD141">
        <v>-999</v>
      </c>
      <c r="AE141">
        <v>-999</v>
      </c>
      <c r="AF141">
        <v>26.22</v>
      </c>
      <c r="AG141">
        <v>22.52</v>
      </c>
      <c r="AH141">
        <v>3</v>
      </c>
      <c r="AI141">
        <v>3</v>
      </c>
      <c r="AJ141">
        <v>6</v>
      </c>
      <c r="AK141">
        <v>1.78</v>
      </c>
      <c r="AL141">
        <v>-2.06</v>
      </c>
      <c r="AM141">
        <v>1.83</v>
      </c>
      <c r="AN141">
        <v>-7.51</v>
      </c>
      <c r="AO141">
        <v>0.7</v>
      </c>
      <c r="AP141">
        <v>3.33</v>
      </c>
      <c r="AQ141">
        <v>-11.35</v>
      </c>
    </row>
    <row r="142" spans="1:43" x14ac:dyDescent="0.25">
      <c r="A142">
        <v>-10</v>
      </c>
      <c r="B142" t="s">
        <v>47</v>
      </c>
      <c r="C142">
        <v>37.718000000000004</v>
      </c>
      <c r="D142">
        <f t="shared" si="7"/>
        <v>-112.83699999999999</v>
      </c>
      <c r="E142">
        <v>20170626</v>
      </c>
      <c r="G142">
        <v>49626</v>
      </c>
      <c r="H142">
        <v>10</v>
      </c>
      <c r="I142">
        <v>1.1299999999999999</v>
      </c>
      <c r="J142">
        <v>6190</v>
      </c>
      <c r="K142">
        <v>1.82</v>
      </c>
      <c r="L142">
        <v>26.35</v>
      </c>
      <c r="M142">
        <v>10.7</v>
      </c>
      <c r="N142">
        <v>7.03</v>
      </c>
      <c r="O142">
        <v>43</v>
      </c>
      <c r="P142">
        <v>2973</v>
      </c>
      <c r="Q142">
        <v>20904</v>
      </c>
      <c r="R142">
        <v>10.16</v>
      </c>
      <c r="S142">
        <v>2660</v>
      </c>
      <c r="T142">
        <v>27034</v>
      </c>
      <c r="U142">
        <v>11.07</v>
      </c>
      <c r="V142">
        <v>2934</v>
      </c>
      <c r="W142">
        <v>32474</v>
      </c>
      <c r="X142">
        <v>-999</v>
      </c>
      <c r="Y142">
        <v>-999</v>
      </c>
      <c r="Z142">
        <v>-999</v>
      </c>
      <c r="AA142">
        <v>-999</v>
      </c>
      <c r="AB142">
        <v>-999</v>
      </c>
      <c r="AC142">
        <v>-999</v>
      </c>
      <c r="AD142">
        <v>-999</v>
      </c>
      <c r="AE142">
        <v>-999</v>
      </c>
      <c r="AF142">
        <v>23.33</v>
      </c>
      <c r="AG142">
        <v>27.71</v>
      </c>
      <c r="AH142">
        <v>3</v>
      </c>
      <c r="AI142">
        <v>3</v>
      </c>
      <c r="AJ142">
        <v>6</v>
      </c>
      <c r="AK142">
        <v>5.49</v>
      </c>
      <c r="AL142">
        <v>4.4000000000000004</v>
      </c>
      <c r="AM142">
        <v>2.5299999999999998</v>
      </c>
      <c r="AN142">
        <v>-4.18</v>
      </c>
      <c r="AO142">
        <v>6.71</v>
      </c>
      <c r="AP142">
        <v>10.77</v>
      </c>
      <c r="AQ142">
        <v>-55.3</v>
      </c>
    </row>
    <row r="143" spans="1:43" x14ac:dyDescent="0.25">
      <c r="A143">
        <v>-10</v>
      </c>
      <c r="B143" t="s">
        <v>47</v>
      </c>
      <c r="C143">
        <v>37.718000000000004</v>
      </c>
      <c r="D143">
        <f t="shared" si="7"/>
        <v>-112.83699999999999</v>
      </c>
      <c r="E143">
        <v>20170627</v>
      </c>
      <c r="G143">
        <v>54202</v>
      </c>
      <c r="H143">
        <v>11</v>
      </c>
      <c r="I143">
        <v>0.79</v>
      </c>
      <c r="J143">
        <v>4576</v>
      </c>
      <c r="K143">
        <v>1.34</v>
      </c>
      <c r="L143">
        <v>24.49</v>
      </c>
      <c r="M143">
        <v>12.7</v>
      </c>
      <c r="N143">
        <v>5.09</v>
      </c>
      <c r="O143">
        <v>31</v>
      </c>
      <c r="P143">
        <v>2614</v>
      </c>
      <c r="Q143">
        <v>13302</v>
      </c>
      <c r="R143">
        <v>7.14</v>
      </c>
      <c r="S143">
        <v>2453</v>
      </c>
      <c r="T143">
        <v>17505</v>
      </c>
      <c r="U143">
        <v>7.71</v>
      </c>
      <c r="V143">
        <v>2580</v>
      </c>
      <c r="W143">
        <v>19880</v>
      </c>
      <c r="X143">
        <v>-999</v>
      </c>
      <c r="Y143">
        <v>-999</v>
      </c>
      <c r="Z143">
        <v>-999</v>
      </c>
      <c r="AA143">
        <v>-999</v>
      </c>
      <c r="AB143">
        <v>-999</v>
      </c>
      <c r="AC143">
        <v>-999</v>
      </c>
      <c r="AD143">
        <v>-999</v>
      </c>
      <c r="AE143">
        <v>-999</v>
      </c>
      <c r="AF143">
        <v>24.34</v>
      </c>
      <c r="AG143">
        <v>26.75</v>
      </c>
      <c r="AH143">
        <v>3</v>
      </c>
      <c r="AI143">
        <v>3</v>
      </c>
      <c r="AJ143">
        <v>6</v>
      </c>
      <c r="AK143">
        <v>5.01</v>
      </c>
      <c r="AL143">
        <v>-0.88</v>
      </c>
      <c r="AM143">
        <v>9.24</v>
      </c>
      <c r="AN143">
        <v>6.6</v>
      </c>
      <c r="AO143">
        <v>-1.1000000000000001</v>
      </c>
      <c r="AP143">
        <v>-7.45</v>
      </c>
      <c r="AQ143">
        <v>61.64</v>
      </c>
    </row>
    <row r="144" spans="1:43" x14ac:dyDescent="0.25">
      <c r="A144">
        <v>-10</v>
      </c>
      <c r="B144" t="s">
        <v>47</v>
      </c>
      <c r="C144">
        <v>37.718000000000004</v>
      </c>
      <c r="D144">
        <f t="shared" si="7"/>
        <v>-112.83699999999999</v>
      </c>
      <c r="E144">
        <v>20170628</v>
      </c>
      <c r="G144">
        <v>58319</v>
      </c>
      <c r="H144">
        <v>12</v>
      </c>
      <c r="I144">
        <v>0.68</v>
      </c>
      <c r="J144">
        <v>4117</v>
      </c>
      <c r="K144">
        <v>1.21</v>
      </c>
      <c r="L144">
        <v>23.72</v>
      </c>
      <c r="M144">
        <v>10.5</v>
      </c>
      <c r="N144">
        <v>6.16</v>
      </c>
      <c r="O144">
        <v>38</v>
      </c>
      <c r="P144">
        <v>2562</v>
      </c>
      <c r="Q144">
        <v>15789</v>
      </c>
      <c r="R144">
        <v>9.41</v>
      </c>
      <c r="S144">
        <v>2413</v>
      </c>
      <c r="T144">
        <v>22717</v>
      </c>
      <c r="U144">
        <v>10.26</v>
      </c>
      <c r="V144">
        <v>2529</v>
      </c>
      <c r="W144">
        <v>25943</v>
      </c>
      <c r="X144">
        <v>-999</v>
      </c>
      <c r="Y144">
        <v>-999</v>
      </c>
      <c r="Z144">
        <v>-999</v>
      </c>
      <c r="AA144">
        <v>-999</v>
      </c>
      <c r="AB144">
        <v>-999</v>
      </c>
      <c r="AC144">
        <v>-999</v>
      </c>
      <c r="AD144">
        <v>-999</v>
      </c>
      <c r="AE144">
        <v>-999</v>
      </c>
      <c r="AF144">
        <v>24.13</v>
      </c>
      <c r="AG144">
        <v>28.45</v>
      </c>
      <c r="AH144">
        <v>3</v>
      </c>
      <c r="AI144">
        <v>3</v>
      </c>
      <c r="AJ144">
        <v>6</v>
      </c>
      <c r="AK144">
        <v>5.8</v>
      </c>
      <c r="AL144">
        <v>2.09</v>
      </c>
      <c r="AM144">
        <v>8.14</v>
      </c>
      <c r="AN144">
        <v>-0.86</v>
      </c>
      <c r="AO144">
        <v>2.0699999999999998</v>
      </c>
      <c r="AP144">
        <v>3.24</v>
      </c>
      <c r="AQ144">
        <v>-28.15</v>
      </c>
    </row>
    <row r="145" spans="1:43" x14ac:dyDescent="0.25">
      <c r="A145">
        <v>-10</v>
      </c>
      <c r="B145" t="s">
        <v>47</v>
      </c>
      <c r="C145">
        <v>37.718000000000004</v>
      </c>
      <c r="D145">
        <f t="shared" si="7"/>
        <v>-112.83699999999999</v>
      </c>
      <c r="E145">
        <v>20170629</v>
      </c>
      <c r="G145">
        <v>59956</v>
      </c>
      <c r="H145">
        <v>13</v>
      </c>
      <c r="I145">
        <v>0.26</v>
      </c>
      <c r="J145">
        <v>1637</v>
      </c>
      <c r="K145">
        <v>0.48</v>
      </c>
      <c r="L145">
        <v>23.95</v>
      </c>
      <c r="M145">
        <v>13</v>
      </c>
      <c r="N145">
        <v>4.7699999999999996</v>
      </c>
      <c r="O145">
        <v>29</v>
      </c>
      <c r="P145">
        <v>2526</v>
      </c>
      <c r="Q145">
        <v>12049</v>
      </c>
      <c r="R145">
        <v>5.7</v>
      </c>
      <c r="S145">
        <v>2403</v>
      </c>
      <c r="T145">
        <v>13707</v>
      </c>
      <c r="U145">
        <v>6.06</v>
      </c>
      <c r="V145">
        <v>2493</v>
      </c>
      <c r="W145">
        <v>15120</v>
      </c>
      <c r="X145">
        <v>-999</v>
      </c>
      <c r="Y145">
        <v>-999</v>
      </c>
      <c r="Z145">
        <v>-999</v>
      </c>
      <c r="AA145">
        <v>-999</v>
      </c>
      <c r="AB145">
        <v>-999</v>
      </c>
      <c r="AC145">
        <v>-999</v>
      </c>
      <c r="AD145">
        <v>-999</v>
      </c>
      <c r="AE145">
        <v>-999</v>
      </c>
      <c r="AF145">
        <v>23.32</v>
      </c>
      <c r="AG145">
        <v>27.46</v>
      </c>
      <c r="AH145">
        <v>3</v>
      </c>
      <c r="AI145">
        <v>3</v>
      </c>
      <c r="AJ145">
        <v>6</v>
      </c>
      <c r="AK145">
        <v>3.85</v>
      </c>
      <c r="AL145">
        <v>-2.82</v>
      </c>
      <c r="AM145">
        <v>10.210000000000001</v>
      </c>
      <c r="AN145">
        <v>2.38</v>
      </c>
      <c r="AO145">
        <v>-3.43</v>
      </c>
      <c r="AP145">
        <v>-7.36</v>
      </c>
      <c r="AQ145">
        <v>67</v>
      </c>
    </row>
    <row r="146" spans="1:43" x14ac:dyDescent="0.25">
      <c r="A146">
        <v>-10</v>
      </c>
      <c r="B146" t="s">
        <v>47</v>
      </c>
      <c r="C146">
        <v>37.718000000000004</v>
      </c>
      <c r="D146">
        <f t="shared" si="7"/>
        <v>-112.83699999999999</v>
      </c>
      <c r="E146">
        <v>20170630</v>
      </c>
      <c r="G146">
        <v>60301</v>
      </c>
      <c r="H146">
        <v>14</v>
      </c>
      <c r="I146">
        <v>0.06</v>
      </c>
      <c r="J146">
        <v>345</v>
      </c>
      <c r="K146">
        <v>0.1</v>
      </c>
      <c r="L146">
        <v>23.84</v>
      </c>
      <c r="M146">
        <v>13.1</v>
      </c>
      <c r="N146">
        <v>5.07</v>
      </c>
      <c r="O146">
        <v>30</v>
      </c>
      <c r="P146">
        <v>2506</v>
      </c>
      <c r="Q146">
        <v>12701</v>
      </c>
      <c r="R146">
        <v>5.7</v>
      </c>
      <c r="S146">
        <v>2298</v>
      </c>
      <c r="T146">
        <v>13105</v>
      </c>
      <c r="U146">
        <v>5.93</v>
      </c>
      <c r="V146">
        <v>2473</v>
      </c>
      <c r="W146">
        <v>14667</v>
      </c>
      <c r="X146">
        <v>-999</v>
      </c>
      <c r="Y146">
        <v>-999</v>
      </c>
      <c r="Z146">
        <v>-999</v>
      </c>
      <c r="AA146">
        <v>-999</v>
      </c>
      <c r="AB146">
        <v>-999</v>
      </c>
      <c r="AC146">
        <v>-999</v>
      </c>
      <c r="AD146">
        <v>-999</v>
      </c>
      <c r="AE146">
        <v>-999</v>
      </c>
      <c r="AF146">
        <v>23.25</v>
      </c>
      <c r="AG146">
        <v>25.66</v>
      </c>
      <c r="AH146">
        <v>3</v>
      </c>
      <c r="AI146">
        <v>3</v>
      </c>
      <c r="AJ146">
        <v>6</v>
      </c>
      <c r="AK146">
        <v>2.27</v>
      </c>
      <c r="AL146">
        <v>-4.53</v>
      </c>
      <c r="AM146">
        <v>6.78</v>
      </c>
      <c r="AN146">
        <v>-4.9800000000000004</v>
      </c>
      <c r="AO146">
        <v>-4.28</v>
      </c>
      <c r="AP146">
        <v>-2.2400000000000002</v>
      </c>
      <c r="AQ146">
        <v>36.5</v>
      </c>
    </row>
    <row r="147" spans="1:43" x14ac:dyDescent="0.25">
      <c r="A147">
        <v>-10</v>
      </c>
      <c r="B147" t="s">
        <v>47</v>
      </c>
      <c r="C147">
        <v>37.718000000000004</v>
      </c>
      <c r="D147">
        <f t="shared" si="7"/>
        <v>-112.83699999999999</v>
      </c>
      <c r="E147">
        <v>20170701</v>
      </c>
      <c r="G147">
        <v>65377</v>
      </c>
      <c r="H147">
        <v>15</v>
      </c>
      <c r="I147">
        <v>0.79</v>
      </c>
      <c r="J147">
        <v>5076</v>
      </c>
      <c r="K147">
        <v>1.49</v>
      </c>
      <c r="L147">
        <v>27.1</v>
      </c>
      <c r="M147">
        <v>10.8</v>
      </c>
      <c r="N147">
        <v>3.41</v>
      </c>
      <c r="O147">
        <v>21</v>
      </c>
      <c r="P147">
        <v>3099</v>
      </c>
      <c r="Q147">
        <v>10561</v>
      </c>
      <c r="R147">
        <v>3.72</v>
      </c>
      <c r="S147">
        <v>2879</v>
      </c>
      <c r="T147">
        <v>10703</v>
      </c>
      <c r="U147">
        <v>3.89</v>
      </c>
      <c r="V147">
        <v>3059</v>
      </c>
      <c r="W147">
        <v>11900</v>
      </c>
      <c r="X147">
        <v>-999</v>
      </c>
      <c r="Y147">
        <v>-999</v>
      </c>
      <c r="Z147">
        <v>-999</v>
      </c>
      <c r="AA147">
        <v>-999</v>
      </c>
      <c r="AB147">
        <v>-999</v>
      </c>
      <c r="AC147">
        <v>-999</v>
      </c>
      <c r="AD147">
        <v>-999</v>
      </c>
      <c r="AE147">
        <v>-999</v>
      </c>
      <c r="AF147">
        <v>26.86</v>
      </c>
      <c r="AG147">
        <v>30.01</v>
      </c>
      <c r="AH147">
        <v>3</v>
      </c>
      <c r="AI147">
        <v>3</v>
      </c>
      <c r="AJ147">
        <v>6</v>
      </c>
      <c r="AK147">
        <v>2.8</v>
      </c>
      <c r="AL147">
        <v>-1.94</v>
      </c>
      <c r="AM147">
        <v>2.4900000000000002</v>
      </c>
      <c r="AN147">
        <v>-7.22</v>
      </c>
      <c r="AO147">
        <v>0.69</v>
      </c>
      <c r="AP147">
        <v>4.0199999999999996</v>
      </c>
      <c r="AQ147">
        <v>-15.01</v>
      </c>
    </row>
    <row r="148" spans="1:43" x14ac:dyDescent="0.25">
      <c r="A148">
        <v>-10</v>
      </c>
      <c r="B148" t="s">
        <v>47</v>
      </c>
      <c r="C148">
        <v>37.718000000000004</v>
      </c>
      <c r="D148">
        <f t="shared" si="7"/>
        <v>-112.83699999999999</v>
      </c>
      <c r="E148">
        <v>20170702</v>
      </c>
      <c r="G148">
        <v>66768</v>
      </c>
      <c r="H148">
        <v>16</v>
      </c>
      <c r="I148">
        <v>0.21</v>
      </c>
      <c r="J148">
        <v>1391</v>
      </c>
      <c r="K148">
        <v>0.41</v>
      </c>
      <c r="L148">
        <v>25.21</v>
      </c>
      <c r="M148">
        <v>11.9</v>
      </c>
      <c r="N148">
        <v>4.4000000000000004</v>
      </c>
      <c r="O148">
        <v>27</v>
      </c>
      <c r="P148">
        <v>2751</v>
      </c>
      <c r="Q148">
        <v>12116</v>
      </c>
      <c r="R148">
        <v>5.55</v>
      </c>
      <c r="S148">
        <v>2481</v>
      </c>
      <c r="T148">
        <v>13774</v>
      </c>
      <c r="U148">
        <v>5.97</v>
      </c>
      <c r="V148">
        <v>2715</v>
      </c>
      <c r="W148">
        <v>16199</v>
      </c>
      <c r="X148">
        <v>-999</v>
      </c>
      <c r="Y148">
        <v>-999</v>
      </c>
      <c r="Z148">
        <v>-999</v>
      </c>
      <c r="AA148">
        <v>-999</v>
      </c>
      <c r="AB148">
        <v>-999</v>
      </c>
      <c r="AC148">
        <v>-999</v>
      </c>
      <c r="AD148">
        <v>-999</v>
      </c>
      <c r="AE148">
        <v>-999</v>
      </c>
      <c r="AF148">
        <v>24.96</v>
      </c>
      <c r="AG148">
        <v>26.64</v>
      </c>
      <c r="AH148">
        <v>3</v>
      </c>
      <c r="AI148">
        <v>3</v>
      </c>
      <c r="AJ148">
        <v>6</v>
      </c>
      <c r="AK148">
        <v>4.37</v>
      </c>
      <c r="AL148">
        <v>0.59</v>
      </c>
      <c r="AM148">
        <v>3.18</v>
      </c>
      <c r="AN148">
        <v>-3.19</v>
      </c>
      <c r="AO148">
        <v>2.56</v>
      </c>
      <c r="AP148">
        <v>5.25</v>
      </c>
      <c r="AQ148">
        <v>-24.89</v>
      </c>
    </row>
    <row r="149" spans="1:43" x14ac:dyDescent="0.25">
      <c r="A149">
        <v>-10</v>
      </c>
      <c r="B149" t="s">
        <v>47</v>
      </c>
      <c r="C149">
        <v>37.718000000000004</v>
      </c>
      <c r="D149">
        <f t="shared" si="7"/>
        <v>-112.83699999999999</v>
      </c>
      <c r="E149">
        <v>20170703</v>
      </c>
      <c r="G149">
        <v>67430</v>
      </c>
      <c r="H149">
        <v>17</v>
      </c>
      <c r="I149">
        <v>0.1</v>
      </c>
      <c r="J149">
        <v>662</v>
      </c>
      <c r="K149">
        <v>0.19</v>
      </c>
      <c r="L149">
        <v>25.73</v>
      </c>
      <c r="M149">
        <v>14.2</v>
      </c>
      <c r="N149">
        <v>4.1100000000000003</v>
      </c>
      <c r="O149">
        <v>24</v>
      </c>
      <c r="P149">
        <v>2759</v>
      </c>
      <c r="Q149">
        <v>11339</v>
      </c>
      <c r="R149">
        <v>4.45</v>
      </c>
      <c r="S149">
        <v>2480</v>
      </c>
      <c r="T149">
        <v>11045</v>
      </c>
      <c r="U149">
        <v>4.62</v>
      </c>
      <c r="V149">
        <v>2723</v>
      </c>
      <c r="W149">
        <v>12572</v>
      </c>
      <c r="X149">
        <v>-999</v>
      </c>
      <c r="Y149">
        <v>-999</v>
      </c>
      <c r="Z149">
        <v>-999</v>
      </c>
      <c r="AA149">
        <v>-999</v>
      </c>
      <c r="AB149">
        <v>-999</v>
      </c>
      <c r="AC149">
        <v>-999</v>
      </c>
      <c r="AD149">
        <v>-999</v>
      </c>
      <c r="AE149">
        <v>-999</v>
      </c>
      <c r="AF149">
        <v>25.65</v>
      </c>
      <c r="AG149">
        <v>23.04</v>
      </c>
      <c r="AH149">
        <v>3</v>
      </c>
      <c r="AI149">
        <v>3</v>
      </c>
      <c r="AJ149">
        <v>6</v>
      </c>
      <c r="AK149">
        <v>3.67</v>
      </c>
      <c r="AL149">
        <v>-1.85</v>
      </c>
      <c r="AM149">
        <v>5.74</v>
      </c>
      <c r="AN149">
        <v>2.06</v>
      </c>
      <c r="AO149">
        <v>0.56000000000000005</v>
      </c>
      <c r="AP149">
        <v>-4.58</v>
      </c>
      <c r="AQ149">
        <v>27.46</v>
      </c>
    </row>
    <row r="150" spans="1:43" x14ac:dyDescent="0.25">
      <c r="A150">
        <v>-10</v>
      </c>
      <c r="B150" t="s">
        <v>47</v>
      </c>
      <c r="C150">
        <v>37.718000000000004</v>
      </c>
      <c r="D150">
        <f t="shared" si="7"/>
        <v>-112.83699999999999</v>
      </c>
      <c r="E150">
        <v>20170704</v>
      </c>
      <c r="G150">
        <v>68407</v>
      </c>
      <c r="H150">
        <v>18</v>
      </c>
      <c r="I150">
        <v>0.15</v>
      </c>
      <c r="J150">
        <v>977</v>
      </c>
      <c r="K150">
        <v>0.28999999999999998</v>
      </c>
      <c r="L150">
        <v>26.41</v>
      </c>
      <c r="M150">
        <v>13.6</v>
      </c>
      <c r="N150">
        <v>2.99</v>
      </c>
      <c r="O150">
        <v>18</v>
      </c>
      <c r="P150">
        <v>2887</v>
      </c>
      <c r="Q150">
        <v>8637</v>
      </c>
      <c r="R150">
        <v>3.06</v>
      </c>
      <c r="S150">
        <v>2840</v>
      </c>
      <c r="T150">
        <v>8692</v>
      </c>
      <c r="U150">
        <v>3.12</v>
      </c>
      <c r="V150">
        <v>2852</v>
      </c>
      <c r="W150">
        <v>8898</v>
      </c>
      <c r="X150">
        <v>-999</v>
      </c>
      <c r="Y150">
        <v>-999</v>
      </c>
      <c r="Z150">
        <v>-999</v>
      </c>
      <c r="AA150">
        <v>-999</v>
      </c>
      <c r="AB150">
        <v>-999</v>
      </c>
      <c r="AC150">
        <v>-999</v>
      </c>
      <c r="AD150">
        <v>-999</v>
      </c>
      <c r="AE150">
        <v>-999</v>
      </c>
      <c r="AF150">
        <v>27.08</v>
      </c>
      <c r="AG150">
        <v>25.6</v>
      </c>
      <c r="AH150">
        <v>3</v>
      </c>
      <c r="AI150">
        <v>3</v>
      </c>
      <c r="AJ150">
        <v>6</v>
      </c>
      <c r="AK150">
        <v>2.37</v>
      </c>
      <c r="AL150">
        <v>-1.82</v>
      </c>
      <c r="AM150">
        <v>6.3</v>
      </c>
      <c r="AN150">
        <v>-2.52</v>
      </c>
      <c r="AO150">
        <v>-3.7</v>
      </c>
      <c r="AP150">
        <v>-0.03</v>
      </c>
      <c r="AQ150">
        <v>9.4700000000000006</v>
      </c>
    </row>
    <row r="151" spans="1:43" x14ac:dyDescent="0.25">
      <c r="A151">
        <v>-10</v>
      </c>
      <c r="B151" t="s">
        <v>47</v>
      </c>
      <c r="C151">
        <v>37.718000000000004</v>
      </c>
      <c r="D151">
        <f t="shared" si="7"/>
        <v>-112.83699999999999</v>
      </c>
      <c r="E151">
        <v>20170705</v>
      </c>
      <c r="G151">
        <v>69568</v>
      </c>
      <c r="H151">
        <v>19</v>
      </c>
      <c r="I151">
        <v>0.17</v>
      </c>
      <c r="J151">
        <v>1161</v>
      </c>
      <c r="K151">
        <v>0.34</v>
      </c>
      <c r="L151">
        <v>27.23</v>
      </c>
      <c r="M151">
        <v>9.6999999999999993</v>
      </c>
      <c r="N151">
        <v>4.99</v>
      </c>
      <c r="O151">
        <v>32</v>
      </c>
      <c r="P151">
        <v>3161</v>
      </c>
      <c r="Q151">
        <v>15758</v>
      </c>
      <c r="R151">
        <v>5.87</v>
      </c>
      <c r="S151">
        <v>3033</v>
      </c>
      <c r="T151">
        <v>17818</v>
      </c>
      <c r="U151">
        <v>6.22</v>
      </c>
      <c r="V151">
        <v>3120</v>
      </c>
      <c r="W151">
        <v>19401</v>
      </c>
      <c r="X151">
        <v>-999</v>
      </c>
      <c r="Y151">
        <v>-999</v>
      </c>
      <c r="Z151">
        <v>-999</v>
      </c>
      <c r="AA151">
        <v>-999</v>
      </c>
      <c r="AB151">
        <v>-999</v>
      </c>
      <c r="AC151">
        <v>-999</v>
      </c>
      <c r="AD151">
        <v>-999</v>
      </c>
      <c r="AE151">
        <v>-999</v>
      </c>
      <c r="AF151">
        <v>26.4</v>
      </c>
      <c r="AG151">
        <v>30.02</v>
      </c>
      <c r="AH151">
        <v>3</v>
      </c>
      <c r="AI151">
        <v>3</v>
      </c>
      <c r="AJ151">
        <v>6</v>
      </c>
      <c r="AK151">
        <v>4.83</v>
      </c>
      <c r="AL151">
        <v>-1.23</v>
      </c>
      <c r="AM151">
        <v>2.6</v>
      </c>
      <c r="AN151">
        <v>-2.54</v>
      </c>
      <c r="AO151">
        <v>4.38</v>
      </c>
      <c r="AP151">
        <v>1.4</v>
      </c>
      <c r="AQ151">
        <v>-14.78</v>
      </c>
    </row>
    <row r="152" spans="1:43" x14ac:dyDescent="0.25">
      <c r="A152">
        <v>-10</v>
      </c>
      <c r="B152" t="s">
        <v>47</v>
      </c>
      <c r="C152">
        <v>37.718000000000004</v>
      </c>
      <c r="D152">
        <f t="shared" si="7"/>
        <v>-112.83699999999999</v>
      </c>
      <c r="E152">
        <v>20170706</v>
      </c>
      <c r="G152">
        <v>70589</v>
      </c>
      <c r="H152">
        <v>20</v>
      </c>
      <c r="I152">
        <v>0.15</v>
      </c>
      <c r="J152">
        <v>1021</v>
      </c>
      <c r="K152">
        <v>0.3</v>
      </c>
      <c r="L152">
        <v>26.75</v>
      </c>
      <c r="M152">
        <v>15.1</v>
      </c>
      <c r="N152">
        <v>1.71</v>
      </c>
      <c r="O152">
        <v>10</v>
      </c>
      <c r="P152">
        <v>2893</v>
      </c>
      <c r="Q152">
        <v>4943</v>
      </c>
      <c r="R152">
        <v>1.7</v>
      </c>
      <c r="S152">
        <v>2826</v>
      </c>
      <c r="T152">
        <v>4791</v>
      </c>
      <c r="U152">
        <v>1.8</v>
      </c>
      <c r="V152">
        <v>2856</v>
      </c>
      <c r="W152">
        <v>5150</v>
      </c>
      <c r="X152">
        <v>-999</v>
      </c>
      <c r="Y152">
        <v>-999</v>
      </c>
      <c r="Z152">
        <v>-999</v>
      </c>
      <c r="AA152">
        <v>-999</v>
      </c>
      <c r="AB152">
        <v>-999</v>
      </c>
      <c r="AC152">
        <v>-999</v>
      </c>
      <c r="AD152">
        <v>-999</v>
      </c>
      <c r="AE152">
        <v>-999</v>
      </c>
      <c r="AF152">
        <v>26.59</v>
      </c>
      <c r="AG152">
        <v>22.79</v>
      </c>
      <c r="AH152">
        <v>3</v>
      </c>
      <c r="AI152">
        <v>3</v>
      </c>
      <c r="AJ152">
        <v>6</v>
      </c>
      <c r="AK152">
        <v>0.35</v>
      </c>
      <c r="AL152">
        <v>-1.67</v>
      </c>
      <c r="AM152">
        <v>6.98</v>
      </c>
      <c r="AN152">
        <v>-1.1499999999999999</v>
      </c>
      <c r="AO152">
        <v>-7.31</v>
      </c>
      <c r="AP152">
        <v>-2.74</v>
      </c>
      <c r="AQ152">
        <v>27.49</v>
      </c>
    </row>
    <row r="153" spans="1:43" x14ac:dyDescent="0.25">
      <c r="A153">
        <v>-10</v>
      </c>
      <c r="B153" t="s">
        <v>47</v>
      </c>
      <c r="C153">
        <v>37.718000000000004</v>
      </c>
      <c r="D153">
        <f t="shared" si="7"/>
        <v>-112.83699999999999</v>
      </c>
      <c r="E153">
        <v>20170707</v>
      </c>
      <c r="G153">
        <v>71571</v>
      </c>
      <c r="H153">
        <v>21</v>
      </c>
      <c r="I153">
        <v>0.14000000000000001</v>
      </c>
      <c r="J153">
        <v>982</v>
      </c>
      <c r="K153">
        <v>0.28999999999999998</v>
      </c>
      <c r="L153">
        <v>25.09</v>
      </c>
      <c r="M153">
        <v>27.1</v>
      </c>
      <c r="N153">
        <v>2.85</v>
      </c>
      <c r="O153">
        <v>15</v>
      </c>
      <c r="P153">
        <v>2261</v>
      </c>
      <c r="Q153">
        <v>6456</v>
      </c>
      <c r="R153">
        <v>3.25</v>
      </c>
      <c r="S153">
        <v>2353</v>
      </c>
      <c r="T153">
        <v>7657</v>
      </c>
      <c r="U153">
        <v>3.47</v>
      </c>
      <c r="V153">
        <v>2397</v>
      </c>
      <c r="W153">
        <v>8326</v>
      </c>
      <c r="X153">
        <v>-999</v>
      </c>
      <c r="Y153">
        <v>-999</v>
      </c>
      <c r="Z153">
        <v>-999</v>
      </c>
      <c r="AA153">
        <v>-999</v>
      </c>
      <c r="AB153">
        <v>-999</v>
      </c>
      <c r="AC153">
        <v>-999</v>
      </c>
      <c r="AD153">
        <v>-999</v>
      </c>
      <c r="AE153">
        <v>-999</v>
      </c>
      <c r="AF153">
        <v>25.24</v>
      </c>
      <c r="AG153">
        <v>18.27</v>
      </c>
      <c r="AH153">
        <v>3</v>
      </c>
      <c r="AI153">
        <v>2</v>
      </c>
      <c r="AJ153">
        <v>5</v>
      </c>
      <c r="AK153">
        <v>-2.74</v>
      </c>
      <c r="AL153">
        <v>-0.79</v>
      </c>
      <c r="AM153">
        <v>-0.33</v>
      </c>
      <c r="AN153">
        <v>-3.88</v>
      </c>
      <c r="AO153">
        <v>-3.02</v>
      </c>
      <c r="AP153">
        <v>2.62</v>
      </c>
      <c r="AQ153">
        <v>12.59</v>
      </c>
    </row>
    <row r="155" spans="1:43" x14ac:dyDescent="0.25">
      <c r="A155">
        <v>-12</v>
      </c>
      <c r="B155" t="s">
        <v>48</v>
      </c>
      <c r="C155">
        <v>44.856000000000002</v>
      </c>
      <c r="D155">
        <f>245.693-360</f>
        <v>-114.30699999999999</v>
      </c>
      <c r="E155">
        <v>20180802</v>
      </c>
      <c r="F155">
        <v>20180712</v>
      </c>
      <c r="H155">
        <v>1</v>
      </c>
      <c r="L155">
        <v>25.12</v>
      </c>
      <c r="M155">
        <v>18</v>
      </c>
      <c r="N155">
        <v>5.59</v>
      </c>
      <c r="O155">
        <v>32</v>
      </c>
      <c r="P155">
        <v>2549</v>
      </c>
      <c r="Q155">
        <v>14258</v>
      </c>
      <c r="R155">
        <v>7.9</v>
      </c>
      <c r="S155">
        <v>2387</v>
      </c>
      <c r="T155">
        <v>18870</v>
      </c>
      <c r="U155">
        <v>8.75</v>
      </c>
      <c r="V155">
        <v>2515</v>
      </c>
      <c r="W155">
        <v>21997</v>
      </c>
      <c r="X155">
        <v>-999</v>
      </c>
      <c r="Y155">
        <v>-999</v>
      </c>
      <c r="Z155">
        <v>-999</v>
      </c>
      <c r="AA155">
        <v>-999</v>
      </c>
      <c r="AB155">
        <v>-999</v>
      </c>
      <c r="AC155">
        <v>-999</v>
      </c>
      <c r="AD155">
        <v>-999</v>
      </c>
      <c r="AE155">
        <v>-999</v>
      </c>
      <c r="AF155">
        <v>24.28</v>
      </c>
      <c r="AG155">
        <v>19.28</v>
      </c>
      <c r="AH155">
        <v>3</v>
      </c>
      <c r="AI155">
        <v>2</v>
      </c>
      <c r="AJ155">
        <v>5</v>
      </c>
      <c r="AK155">
        <v>5.59</v>
      </c>
      <c r="AL155">
        <v>0.12</v>
      </c>
      <c r="AM155">
        <v>7.57</v>
      </c>
      <c r="AN155">
        <v>0.53</v>
      </c>
      <c r="AO155">
        <v>0.62</v>
      </c>
      <c r="AP155">
        <v>0.06</v>
      </c>
      <c r="AQ155">
        <v>-0.09</v>
      </c>
    </row>
    <row r="156" spans="1:43" x14ac:dyDescent="0.25">
      <c r="A156">
        <v>-12</v>
      </c>
      <c r="B156" t="s">
        <v>48</v>
      </c>
      <c r="C156">
        <v>44.856000000000002</v>
      </c>
      <c r="D156">
        <f t="shared" ref="D156:D178" si="8">245.693-360</f>
        <v>-114.30699999999999</v>
      </c>
      <c r="E156">
        <v>20180803</v>
      </c>
      <c r="G156">
        <v>1600</v>
      </c>
      <c r="H156">
        <v>2</v>
      </c>
      <c r="L156">
        <v>21.41</v>
      </c>
      <c r="M156">
        <v>15.2</v>
      </c>
      <c r="N156">
        <v>6.17</v>
      </c>
      <c r="O156">
        <v>36</v>
      </c>
      <c r="P156">
        <v>2124</v>
      </c>
      <c r="Q156">
        <v>13112</v>
      </c>
      <c r="R156">
        <v>8.15</v>
      </c>
      <c r="S156">
        <v>1916</v>
      </c>
      <c r="T156">
        <v>15611</v>
      </c>
      <c r="U156">
        <v>8.9600000000000009</v>
      </c>
      <c r="V156">
        <v>2096</v>
      </c>
      <c r="W156">
        <v>18782</v>
      </c>
      <c r="X156">
        <v>-999</v>
      </c>
      <c r="Y156">
        <v>-999</v>
      </c>
      <c r="Z156">
        <v>-999</v>
      </c>
      <c r="AA156">
        <v>-999</v>
      </c>
      <c r="AB156">
        <v>-999</v>
      </c>
      <c r="AC156">
        <v>-999</v>
      </c>
      <c r="AD156">
        <v>-999</v>
      </c>
      <c r="AE156">
        <v>-999</v>
      </c>
      <c r="AF156">
        <v>23.53</v>
      </c>
      <c r="AG156">
        <v>20.239999999999998</v>
      </c>
      <c r="AH156">
        <v>3</v>
      </c>
      <c r="AI156">
        <v>2</v>
      </c>
      <c r="AJ156">
        <v>5</v>
      </c>
      <c r="AK156">
        <v>6.07</v>
      </c>
      <c r="AL156">
        <v>-1.1399999999999999</v>
      </c>
      <c r="AM156">
        <v>8.1999999999999993</v>
      </c>
      <c r="AN156">
        <v>0.57999999999999996</v>
      </c>
      <c r="AO156">
        <v>3.22</v>
      </c>
      <c r="AP156">
        <v>-0.67</v>
      </c>
      <c r="AQ156">
        <v>7.35</v>
      </c>
    </row>
    <row r="157" spans="1:43" x14ac:dyDescent="0.25">
      <c r="A157">
        <v>-12</v>
      </c>
      <c r="B157" t="s">
        <v>48</v>
      </c>
      <c r="C157">
        <v>44.856000000000002</v>
      </c>
      <c r="D157">
        <f t="shared" si="8"/>
        <v>-114.30699999999999</v>
      </c>
      <c r="E157">
        <v>20180804</v>
      </c>
      <c r="G157">
        <v>2500</v>
      </c>
      <c r="H157">
        <v>3</v>
      </c>
      <c r="I157">
        <v>1.91</v>
      </c>
      <c r="J157">
        <v>900</v>
      </c>
      <c r="K157">
        <v>0.91</v>
      </c>
      <c r="L157">
        <v>20.6</v>
      </c>
      <c r="M157">
        <v>18.399999999999999</v>
      </c>
      <c r="N157">
        <v>3.33</v>
      </c>
      <c r="O157">
        <v>19</v>
      </c>
      <c r="P157">
        <v>1947</v>
      </c>
      <c r="Q157">
        <v>6476</v>
      </c>
      <c r="R157">
        <v>3.75</v>
      </c>
      <c r="S157">
        <v>1808</v>
      </c>
      <c r="T157">
        <v>6778</v>
      </c>
      <c r="U157">
        <v>4.0999999999999996</v>
      </c>
      <c r="V157">
        <v>1922</v>
      </c>
      <c r="W157">
        <v>7874</v>
      </c>
      <c r="X157">
        <v>-999</v>
      </c>
      <c r="Y157">
        <v>-999</v>
      </c>
      <c r="Z157">
        <v>-999</v>
      </c>
      <c r="AA157">
        <v>-999</v>
      </c>
      <c r="AB157">
        <v>-999</v>
      </c>
      <c r="AC157">
        <v>-999</v>
      </c>
      <c r="AD157">
        <v>-999</v>
      </c>
      <c r="AE157">
        <v>-999</v>
      </c>
      <c r="AF157">
        <v>25.22</v>
      </c>
      <c r="AG157">
        <v>18.170000000000002</v>
      </c>
      <c r="AH157">
        <v>3</v>
      </c>
      <c r="AI157">
        <v>2</v>
      </c>
      <c r="AJ157">
        <v>5</v>
      </c>
      <c r="AK157">
        <v>3.32</v>
      </c>
      <c r="AL157">
        <v>-0.08</v>
      </c>
      <c r="AM157">
        <v>11.42</v>
      </c>
      <c r="AN157">
        <v>-0.09</v>
      </c>
      <c r="AO157">
        <v>-4.4000000000000004</v>
      </c>
      <c r="AP157">
        <v>1.1599999999999999</v>
      </c>
      <c r="AQ157">
        <v>-12.91</v>
      </c>
    </row>
    <row r="158" spans="1:43" x14ac:dyDescent="0.25">
      <c r="A158">
        <v>-12</v>
      </c>
      <c r="B158" t="s">
        <v>48</v>
      </c>
      <c r="C158">
        <v>44.856000000000002</v>
      </c>
      <c r="D158">
        <f t="shared" si="8"/>
        <v>-114.30699999999999</v>
      </c>
      <c r="E158">
        <v>20180805</v>
      </c>
      <c r="H158">
        <v>4</v>
      </c>
      <c r="L158">
        <v>20.010000000000002</v>
      </c>
      <c r="M158">
        <v>23.7</v>
      </c>
      <c r="N158">
        <v>2.62</v>
      </c>
      <c r="O158">
        <v>14</v>
      </c>
      <c r="P158">
        <v>1758</v>
      </c>
      <c r="Q158">
        <v>4605</v>
      </c>
      <c r="R158">
        <v>2.59</v>
      </c>
      <c r="S158">
        <v>1634</v>
      </c>
      <c r="T158">
        <v>4226</v>
      </c>
      <c r="U158">
        <v>2.68</v>
      </c>
      <c r="V158">
        <v>1735</v>
      </c>
      <c r="W158">
        <v>4653</v>
      </c>
      <c r="X158">
        <v>-999</v>
      </c>
      <c r="Y158">
        <v>-999</v>
      </c>
      <c r="Z158">
        <v>-999</v>
      </c>
      <c r="AA158">
        <v>-999</v>
      </c>
      <c r="AB158">
        <v>-999</v>
      </c>
      <c r="AC158">
        <v>-999</v>
      </c>
      <c r="AD158">
        <v>-999</v>
      </c>
      <c r="AE158">
        <v>-999</v>
      </c>
      <c r="AF158">
        <v>24.14</v>
      </c>
      <c r="AG158">
        <v>13.62</v>
      </c>
      <c r="AH158">
        <v>3</v>
      </c>
      <c r="AI158">
        <v>1</v>
      </c>
      <c r="AJ158">
        <v>4</v>
      </c>
      <c r="AK158">
        <v>-1.1399999999999999</v>
      </c>
      <c r="AL158">
        <v>-2.36</v>
      </c>
      <c r="AM158">
        <v>7.01</v>
      </c>
      <c r="AN158">
        <v>1.08</v>
      </c>
      <c r="AO158">
        <v>-8.8800000000000008</v>
      </c>
      <c r="AP158">
        <v>-4.63</v>
      </c>
      <c r="AQ158">
        <v>22.93</v>
      </c>
    </row>
    <row r="159" spans="1:43" x14ac:dyDescent="0.25">
      <c r="A159">
        <v>-12</v>
      </c>
      <c r="B159" t="s">
        <v>48</v>
      </c>
      <c r="C159">
        <v>44.856000000000002</v>
      </c>
      <c r="D159">
        <f t="shared" si="8"/>
        <v>-114.30699999999999</v>
      </c>
      <c r="E159">
        <v>20180806</v>
      </c>
      <c r="G159">
        <v>2546</v>
      </c>
      <c r="H159">
        <v>5</v>
      </c>
      <c r="L159">
        <v>23.87</v>
      </c>
      <c r="M159">
        <v>21.2</v>
      </c>
      <c r="N159">
        <v>1.49</v>
      </c>
      <c r="O159">
        <v>8</v>
      </c>
      <c r="P159">
        <v>2281</v>
      </c>
      <c r="Q159">
        <v>3400</v>
      </c>
      <c r="R159">
        <v>1.78</v>
      </c>
      <c r="S159">
        <v>2056</v>
      </c>
      <c r="T159">
        <v>3649</v>
      </c>
      <c r="U159">
        <v>1.9</v>
      </c>
      <c r="V159">
        <v>2251</v>
      </c>
      <c r="W159">
        <v>4267</v>
      </c>
      <c r="X159">
        <v>-999</v>
      </c>
      <c r="Y159">
        <v>-999</v>
      </c>
      <c r="Z159">
        <v>-999</v>
      </c>
      <c r="AA159">
        <v>-999</v>
      </c>
      <c r="AB159">
        <v>-999</v>
      </c>
      <c r="AC159">
        <v>-999</v>
      </c>
      <c r="AD159">
        <v>-999</v>
      </c>
      <c r="AE159">
        <v>-999</v>
      </c>
      <c r="AF159">
        <v>22.54</v>
      </c>
      <c r="AG159">
        <v>15.37</v>
      </c>
      <c r="AH159">
        <v>3</v>
      </c>
      <c r="AI159">
        <v>2</v>
      </c>
      <c r="AJ159">
        <v>5</v>
      </c>
      <c r="AK159">
        <v>0.2</v>
      </c>
      <c r="AL159">
        <v>-1.48</v>
      </c>
      <c r="AM159">
        <v>-1.86</v>
      </c>
      <c r="AN159">
        <v>-3.55</v>
      </c>
      <c r="AO159">
        <v>2.61</v>
      </c>
      <c r="AP159">
        <v>2.12</v>
      </c>
      <c r="AQ159">
        <v>-5.32</v>
      </c>
    </row>
    <row r="160" spans="1:43" x14ac:dyDescent="0.25">
      <c r="A160">
        <v>-12</v>
      </c>
      <c r="B160" t="s">
        <v>48</v>
      </c>
      <c r="C160">
        <v>44.856000000000002</v>
      </c>
      <c r="D160">
        <f t="shared" si="8"/>
        <v>-114.30699999999999</v>
      </c>
      <c r="E160">
        <v>20180807</v>
      </c>
      <c r="G160">
        <v>4268</v>
      </c>
      <c r="H160">
        <v>6</v>
      </c>
      <c r="I160">
        <v>2.84</v>
      </c>
      <c r="J160">
        <v>1722</v>
      </c>
      <c r="K160">
        <v>1.74</v>
      </c>
      <c r="L160">
        <v>24.69</v>
      </c>
      <c r="M160">
        <v>17.3</v>
      </c>
      <c r="N160">
        <v>3.06</v>
      </c>
      <c r="O160">
        <v>18</v>
      </c>
      <c r="P160">
        <v>2508</v>
      </c>
      <c r="Q160">
        <v>7676</v>
      </c>
      <c r="R160">
        <v>3.7</v>
      </c>
      <c r="S160">
        <v>2294</v>
      </c>
      <c r="T160">
        <v>8478</v>
      </c>
      <c r="U160">
        <v>3.94</v>
      </c>
      <c r="V160">
        <v>2475</v>
      </c>
      <c r="W160">
        <v>9762</v>
      </c>
      <c r="X160">
        <v>-999</v>
      </c>
      <c r="Y160">
        <v>-999</v>
      </c>
      <c r="Z160">
        <v>-999</v>
      </c>
      <c r="AA160">
        <v>-999</v>
      </c>
      <c r="AB160">
        <v>-999</v>
      </c>
      <c r="AC160">
        <v>-999</v>
      </c>
      <c r="AD160">
        <v>-999</v>
      </c>
      <c r="AE160">
        <v>-999</v>
      </c>
      <c r="AF160">
        <v>20.399999999999999</v>
      </c>
      <c r="AG160">
        <v>19.100000000000001</v>
      </c>
      <c r="AH160">
        <v>2</v>
      </c>
      <c r="AI160">
        <v>2</v>
      </c>
      <c r="AJ160">
        <v>4</v>
      </c>
      <c r="AK160">
        <v>1.95</v>
      </c>
      <c r="AL160">
        <v>-2.36</v>
      </c>
      <c r="AM160">
        <v>0.75</v>
      </c>
      <c r="AN160">
        <v>-1.43</v>
      </c>
      <c r="AO160">
        <v>1.64</v>
      </c>
      <c r="AP160">
        <v>-2.37</v>
      </c>
      <c r="AQ160">
        <v>-0.59</v>
      </c>
    </row>
    <row r="161" spans="1:43" x14ac:dyDescent="0.25">
      <c r="A161">
        <v>-12</v>
      </c>
      <c r="B161" t="s">
        <v>48</v>
      </c>
      <c r="C161">
        <v>44.856000000000002</v>
      </c>
      <c r="D161">
        <f t="shared" si="8"/>
        <v>-114.30699999999999</v>
      </c>
      <c r="E161">
        <v>20180808</v>
      </c>
      <c r="G161">
        <v>5627</v>
      </c>
      <c r="H161">
        <v>7</v>
      </c>
      <c r="I161">
        <v>1.85</v>
      </c>
      <c r="J161">
        <v>1359</v>
      </c>
      <c r="K161">
        <v>1.38</v>
      </c>
      <c r="L161">
        <v>27.51</v>
      </c>
      <c r="M161">
        <v>18.399999999999999</v>
      </c>
      <c r="N161">
        <v>3.63</v>
      </c>
      <c r="O161">
        <v>21</v>
      </c>
      <c r="P161">
        <v>2904</v>
      </c>
      <c r="Q161">
        <v>10536</v>
      </c>
      <c r="R161">
        <v>4.45</v>
      </c>
      <c r="S161">
        <v>2706</v>
      </c>
      <c r="T161">
        <v>12048</v>
      </c>
      <c r="U161">
        <v>4.75</v>
      </c>
      <c r="V161">
        <v>2866</v>
      </c>
      <c r="W161">
        <v>13619</v>
      </c>
      <c r="X161">
        <v>-999</v>
      </c>
      <c r="Y161">
        <v>-999</v>
      </c>
      <c r="Z161">
        <v>-999</v>
      </c>
      <c r="AA161">
        <v>-999</v>
      </c>
      <c r="AB161">
        <v>-999</v>
      </c>
      <c r="AC161">
        <v>-999</v>
      </c>
      <c r="AD161">
        <v>-999</v>
      </c>
      <c r="AE161">
        <v>-999</v>
      </c>
      <c r="AF161">
        <v>22.86</v>
      </c>
      <c r="AG161">
        <v>19.53</v>
      </c>
      <c r="AH161">
        <v>3</v>
      </c>
      <c r="AI161">
        <v>2</v>
      </c>
      <c r="AJ161">
        <v>5</v>
      </c>
      <c r="AK161">
        <v>1.64</v>
      </c>
      <c r="AL161">
        <v>-3.24</v>
      </c>
      <c r="AM161">
        <v>2.39</v>
      </c>
      <c r="AN161">
        <v>-3.81</v>
      </c>
      <c r="AO161">
        <v>1.01</v>
      </c>
      <c r="AP161">
        <v>-0.37</v>
      </c>
      <c r="AQ161">
        <v>-2.96</v>
      </c>
    </row>
    <row r="162" spans="1:43" x14ac:dyDescent="0.25">
      <c r="A162">
        <v>-12</v>
      </c>
      <c r="B162" t="s">
        <v>48</v>
      </c>
      <c r="C162">
        <v>44.856000000000002</v>
      </c>
      <c r="D162">
        <f t="shared" si="8"/>
        <v>-114.30699999999999</v>
      </c>
      <c r="E162">
        <v>20180809</v>
      </c>
      <c r="G162">
        <v>6357</v>
      </c>
      <c r="H162">
        <v>8</v>
      </c>
      <c r="I162">
        <v>0.9</v>
      </c>
      <c r="J162">
        <v>730</v>
      </c>
      <c r="K162">
        <v>0.74</v>
      </c>
      <c r="L162">
        <v>29.42</v>
      </c>
      <c r="M162">
        <v>13.1</v>
      </c>
      <c r="N162">
        <v>3.05</v>
      </c>
      <c r="O162">
        <v>19</v>
      </c>
      <c r="P162">
        <v>3439</v>
      </c>
      <c r="Q162">
        <v>10477</v>
      </c>
      <c r="R162">
        <v>3.2</v>
      </c>
      <c r="S162">
        <v>3253</v>
      </c>
      <c r="T162">
        <v>10398</v>
      </c>
      <c r="U162">
        <v>3.31</v>
      </c>
      <c r="V162">
        <v>3394</v>
      </c>
      <c r="W162">
        <v>11236</v>
      </c>
      <c r="X162">
        <v>-999</v>
      </c>
      <c r="Y162">
        <v>-999</v>
      </c>
      <c r="Z162">
        <v>-999</v>
      </c>
      <c r="AA162">
        <v>-999</v>
      </c>
      <c r="AB162">
        <v>-999</v>
      </c>
      <c r="AC162">
        <v>-999</v>
      </c>
      <c r="AD162">
        <v>-999</v>
      </c>
      <c r="AE162">
        <v>-999</v>
      </c>
      <c r="AF162">
        <v>23.27</v>
      </c>
      <c r="AG162">
        <v>25.43</v>
      </c>
      <c r="AH162">
        <v>3</v>
      </c>
      <c r="AI162">
        <v>3</v>
      </c>
      <c r="AJ162">
        <v>6</v>
      </c>
      <c r="AK162">
        <v>-1.4</v>
      </c>
      <c r="AL162">
        <v>-2.71</v>
      </c>
      <c r="AM162">
        <v>3.4</v>
      </c>
      <c r="AN162">
        <v>-4.18</v>
      </c>
      <c r="AO162">
        <v>-4.75</v>
      </c>
      <c r="AP162">
        <v>0.87</v>
      </c>
      <c r="AQ162">
        <v>16.91</v>
      </c>
    </row>
    <row r="163" spans="1:43" x14ac:dyDescent="0.25">
      <c r="A163">
        <v>-12</v>
      </c>
      <c r="B163" t="s">
        <v>48</v>
      </c>
      <c r="C163">
        <v>44.856000000000002</v>
      </c>
      <c r="D163">
        <f t="shared" si="8"/>
        <v>-114.30699999999999</v>
      </c>
      <c r="E163">
        <v>20180810</v>
      </c>
      <c r="G163">
        <v>7558</v>
      </c>
      <c r="H163">
        <v>9</v>
      </c>
      <c r="I163">
        <v>1.38</v>
      </c>
      <c r="J163">
        <v>1201</v>
      </c>
      <c r="K163">
        <v>1.22</v>
      </c>
      <c r="L163">
        <v>30.39</v>
      </c>
      <c r="M163">
        <v>13.7</v>
      </c>
      <c r="N163">
        <v>1.1100000000000001</v>
      </c>
      <c r="O163">
        <v>7</v>
      </c>
      <c r="P163">
        <v>3598</v>
      </c>
      <c r="Q163">
        <v>4004</v>
      </c>
      <c r="R163">
        <v>0.74</v>
      </c>
      <c r="S163">
        <v>3465</v>
      </c>
      <c r="T163">
        <v>2557</v>
      </c>
      <c r="U163">
        <v>1.1100000000000001</v>
      </c>
      <c r="V163">
        <v>3550</v>
      </c>
      <c r="W163">
        <v>3952</v>
      </c>
      <c r="X163">
        <v>-999</v>
      </c>
      <c r="Y163">
        <v>-999</v>
      </c>
      <c r="Z163">
        <v>-999</v>
      </c>
      <c r="AA163">
        <v>-999</v>
      </c>
      <c r="AB163">
        <v>-999</v>
      </c>
      <c r="AC163">
        <v>-999</v>
      </c>
      <c r="AD163">
        <v>-999</v>
      </c>
      <c r="AE163">
        <v>-999</v>
      </c>
      <c r="AF163">
        <v>26.59</v>
      </c>
      <c r="AG163">
        <v>24.99</v>
      </c>
      <c r="AH163">
        <v>3</v>
      </c>
      <c r="AI163">
        <v>3</v>
      </c>
      <c r="AJ163">
        <v>6</v>
      </c>
      <c r="AK163">
        <v>-0.96</v>
      </c>
      <c r="AL163">
        <v>0.56000000000000005</v>
      </c>
      <c r="AM163">
        <v>-1.36</v>
      </c>
      <c r="AN163">
        <v>-3.31</v>
      </c>
      <c r="AO163">
        <v>0.53</v>
      </c>
      <c r="AP163">
        <v>5.36</v>
      </c>
      <c r="AQ163">
        <v>5.51</v>
      </c>
    </row>
    <row r="164" spans="1:43" x14ac:dyDescent="0.25">
      <c r="A164">
        <v>-12</v>
      </c>
      <c r="B164" t="s">
        <v>48</v>
      </c>
      <c r="C164">
        <v>44.856000000000002</v>
      </c>
      <c r="D164">
        <f t="shared" si="8"/>
        <v>-114.30699999999999</v>
      </c>
      <c r="E164">
        <v>20180811</v>
      </c>
      <c r="G164">
        <v>9930</v>
      </c>
      <c r="H164">
        <v>10</v>
      </c>
      <c r="I164">
        <v>2.4300000000000002</v>
      </c>
      <c r="J164">
        <v>2372</v>
      </c>
      <c r="K164">
        <v>2.4</v>
      </c>
      <c r="L164">
        <v>27.75</v>
      </c>
      <c r="M164">
        <v>17.8</v>
      </c>
      <c r="N164">
        <v>2.81</v>
      </c>
      <c r="O164">
        <v>16</v>
      </c>
      <c r="P164">
        <v>2964</v>
      </c>
      <c r="Q164">
        <v>8320</v>
      </c>
      <c r="R164">
        <v>3.83</v>
      </c>
      <c r="S164">
        <v>2858</v>
      </c>
      <c r="T164">
        <v>10947</v>
      </c>
      <c r="U164">
        <v>4.2300000000000004</v>
      </c>
      <c r="V164">
        <v>2925</v>
      </c>
      <c r="W164">
        <v>12379</v>
      </c>
      <c r="X164">
        <v>-999</v>
      </c>
      <c r="Y164">
        <v>-999</v>
      </c>
      <c r="Z164">
        <v>-999</v>
      </c>
      <c r="AA164">
        <v>-999</v>
      </c>
      <c r="AB164">
        <v>-999</v>
      </c>
      <c r="AC164">
        <v>-999</v>
      </c>
      <c r="AD164">
        <v>-999</v>
      </c>
      <c r="AE164">
        <v>-999</v>
      </c>
      <c r="AF164">
        <v>25.84</v>
      </c>
      <c r="AG164">
        <v>20.78</v>
      </c>
      <c r="AH164">
        <v>3</v>
      </c>
      <c r="AI164">
        <v>2</v>
      </c>
      <c r="AJ164">
        <v>5</v>
      </c>
      <c r="AK164">
        <v>2.81</v>
      </c>
      <c r="AL164">
        <v>0.01</v>
      </c>
      <c r="AM164">
        <v>-0.83</v>
      </c>
      <c r="AN164">
        <v>2.0499999999999998</v>
      </c>
      <c r="AO164">
        <v>4.7</v>
      </c>
      <c r="AP164">
        <v>-1.94</v>
      </c>
      <c r="AQ164">
        <v>8.02</v>
      </c>
    </row>
    <row r="165" spans="1:43" x14ac:dyDescent="0.25">
      <c r="A165">
        <v>-12</v>
      </c>
      <c r="B165" t="s">
        <v>48</v>
      </c>
      <c r="C165">
        <v>44.856000000000002</v>
      </c>
      <c r="D165">
        <f t="shared" si="8"/>
        <v>-114.30699999999999</v>
      </c>
      <c r="E165">
        <v>20180812</v>
      </c>
      <c r="G165">
        <v>10015</v>
      </c>
      <c r="H165">
        <v>11</v>
      </c>
      <c r="I165">
        <v>0.08</v>
      </c>
      <c r="J165">
        <v>85</v>
      </c>
      <c r="K165">
        <v>0.09</v>
      </c>
      <c r="L165">
        <v>24.66</v>
      </c>
      <c r="M165">
        <v>14</v>
      </c>
      <c r="N165">
        <v>5.13</v>
      </c>
      <c r="O165">
        <v>31</v>
      </c>
      <c r="P165">
        <v>2605</v>
      </c>
      <c r="Q165">
        <v>13367</v>
      </c>
      <c r="R165">
        <v>6.43</v>
      </c>
      <c r="S165">
        <v>2491</v>
      </c>
      <c r="T165">
        <v>16009</v>
      </c>
      <c r="U165">
        <v>6.96</v>
      </c>
      <c r="V165">
        <v>2571</v>
      </c>
      <c r="W165">
        <v>17891</v>
      </c>
      <c r="X165">
        <v>-999</v>
      </c>
      <c r="Y165">
        <v>-999</v>
      </c>
      <c r="Z165">
        <v>-999</v>
      </c>
      <c r="AA165">
        <v>-999</v>
      </c>
      <c r="AB165">
        <v>-999</v>
      </c>
      <c r="AC165">
        <v>-999</v>
      </c>
      <c r="AD165">
        <v>-999</v>
      </c>
      <c r="AE165">
        <v>-999</v>
      </c>
      <c r="AF165">
        <v>24.13</v>
      </c>
      <c r="AG165">
        <v>24.7</v>
      </c>
      <c r="AH165">
        <v>3</v>
      </c>
      <c r="AI165">
        <v>3</v>
      </c>
      <c r="AJ165">
        <v>6</v>
      </c>
      <c r="AK165">
        <v>5.13</v>
      </c>
      <c r="AL165">
        <v>0.25</v>
      </c>
      <c r="AM165">
        <v>3.87</v>
      </c>
      <c r="AN165">
        <v>0.11</v>
      </c>
      <c r="AO165">
        <v>4.28</v>
      </c>
      <c r="AP165">
        <v>0.4</v>
      </c>
      <c r="AQ165">
        <v>-1.07</v>
      </c>
    </row>
    <row r="166" spans="1:43" x14ac:dyDescent="0.25">
      <c r="A166">
        <v>-12</v>
      </c>
      <c r="B166" t="s">
        <v>48</v>
      </c>
      <c r="C166">
        <v>44.856000000000002</v>
      </c>
      <c r="D166">
        <f t="shared" si="8"/>
        <v>-114.30699999999999</v>
      </c>
      <c r="E166">
        <v>20180813</v>
      </c>
      <c r="G166">
        <v>23008</v>
      </c>
      <c r="H166">
        <v>12</v>
      </c>
      <c r="I166">
        <v>9.85</v>
      </c>
      <c r="J166">
        <v>12993</v>
      </c>
      <c r="K166">
        <v>13.15</v>
      </c>
      <c r="L166">
        <v>24.3</v>
      </c>
      <c r="M166">
        <v>19</v>
      </c>
      <c r="N166">
        <v>2.88</v>
      </c>
      <c r="O166">
        <v>16</v>
      </c>
      <c r="P166">
        <v>2403</v>
      </c>
      <c r="Q166">
        <v>6919</v>
      </c>
      <c r="R166">
        <v>3.53</v>
      </c>
      <c r="S166">
        <v>2162</v>
      </c>
      <c r="T166">
        <v>7634</v>
      </c>
      <c r="U166">
        <v>3.8</v>
      </c>
      <c r="V166">
        <v>2371</v>
      </c>
      <c r="W166">
        <v>9015</v>
      </c>
      <c r="X166">
        <v>-999</v>
      </c>
      <c r="Y166">
        <v>-999</v>
      </c>
      <c r="Z166">
        <v>-999</v>
      </c>
      <c r="AA166">
        <v>-999</v>
      </c>
      <c r="AB166">
        <v>-999</v>
      </c>
      <c r="AC166">
        <v>-999</v>
      </c>
      <c r="AD166">
        <v>-999</v>
      </c>
      <c r="AE166">
        <v>-999</v>
      </c>
      <c r="AF166">
        <v>24.22</v>
      </c>
      <c r="AG166">
        <v>17.63</v>
      </c>
      <c r="AH166">
        <v>3</v>
      </c>
      <c r="AI166">
        <v>2</v>
      </c>
      <c r="AJ166">
        <v>5</v>
      </c>
      <c r="AK166">
        <v>1.74</v>
      </c>
      <c r="AL166">
        <v>-2.2999999999999998</v>
      </c>
      <c r="AM166">
        <v>8.15</v>
      </c>
      <c r="AN166">
        <v>0.51</v>
      </c>
      <c r="AO166">
        <v>-5.58</v>
      </c>
      <c r="AP166">
        <v>-1.84</v>
      </c>
      <c r="AQ166">
        <v>12.14</v>
      </c>
    </row>
    <row r="167" spans="1:43" x14ac:dyDescent="0.25">
      <c r="A167">
        <v>-12</v>
      </c>
      <c r="B167" t="s">
        <v>48</v>
      </c>
      <c r="C167">
        <v>44.856000000000002</v>
      </c>
      <c r="D167">
        <f t="shared" si="8"/>
        <v>-114.30699999999999</v>
      </c>
      <c r="E167">
        <v>20180814</v>
      </c>
      <c r="G167">
        <v>25255</v>
      </c>
      <c r="H167">
        <v>13</v>
      </c>
      <c r="I167">
        <v>1.38</v>
      </c>
      <c r="J167">
        <v>2247</v>
      </c>
      <c r="K167">
        <v>2.27</v>
      </c>
      <c r="L167">
        <v>24.39</v>
      </c>
      <c r="M167">
        <v>15.7</v>
      </c>
      <c r="N167">
        <v>2.98</v>
      </c>
      <c r="O167">
        <v>17</v>
      </c>
      <c r="P167">
        <v>2513</v>
      </c>
      <c r="Q167">
        <v>7484</v>
      </c>
      <c r="R167">
        <v>3.31</v>
      </c>
      <c r="S167">
        <v>2323</v>
      </c>
      <c r="T167">
        <v>7690</v>
      </c>
      <c r="U167">
        <v>3.54</v>
      </c>
      <c r="V167">
        <v>2480</v>
      </c>
      <c r="W167">
        <v>8778</v>
      </c>
      <c r="X167">
        <v>-999</v>
      </c>
      <c r="Y167">
        <v>-999</v>
      </c>
      <c r="Z167">
        <v>-999</v>
      </c>
      <c r="AA167">
        <v>-999</v>
      </c>
      <c r="AB167">
        <v>-999</v>
      </c>
      <c r="AC167">
        <v>-999</v>
      </c>
      <c r="AD167">
        <v>-999</v>
      </c>
      <c r="AE167">
        <v>-999</v>
      </c>
      <c r="AF167">
        <v>21.52</v>
      </c>
      <c r="AG167">
        <v>21.31</v>
      </c>
      <c r="AH167">
        <v>2</v>
      </c>
      <c r="AI167">
        <v>3</v>
      </c>
      <c r="AJ167">
        <v>5</v>
      </c>
      <c r="AK167">
        <v>1.58</v>
      </c>
      <c r="AL167">
        <v>-2.52</v>
      </c>
      <c r="AM167">
        <v>2.57</v>
      </c>
      <c r="AN167">
        <v>-1.33</v>
      </c>
      <c r="AO167">
        <v>0.42</v>
      </c>
      <c r="AP167">
        <v>-1.1399999999999999</v>
      </c>
      <c r="AQ167">
        <v>2.38</v>
      </c>
    </row>
    <row r="168" spans="1:43" x14ac:dyDescent="0.25">
      <c r="A168">
        <v>-12</v>
      </c>
      <c r="B168" t="s">
        <v>48</v>
      </c>
      <c r="C168">
        <v>44.856000000000002</v>
      </c>
      <c r="D168">
        <f t="shared" si="8"/>
        <v>-114.30699999999999</v>
      </c>
      <c r="E168">
        <v>20180815</v>
      </c>
      <c r="G168">
        <v>29075</v>
      </c>
      <c r="H168">
        <v>14</v>
      </c>
      <c r="I168">
        <v>2.21</v>
      </c>
      <c r="J168">
        <v>3820</v>
      </c>
      <c r="K168">
        <v>3.87</v>
      </c>
      <c r="L168">
        <v>25.77</v>
      </c>
      <c r="M168">
        <v>11.6</v>
      </c>
      <c r="N168">
        <v>3.74</v>
      </c>
      <c r="O168">
        <v>23</v>
      </c>
      <c r="P168">
        <v>2853</v>
      </c>
      <c r="Q168">
        <v>10674</v>
      </c>
      <c r="R168">
        <v>4.68</v>
      </c>
      <c r="S168">
        <v>2716</v>
      </c>
      <c r="T168">
        <v>12709</v>
      </c>
      <c r="U168">
        <v>5.05</v>
      </c>
      <c r="V168">
        <v>2815</v>
      </c>
      <c r="W168">
        <v>14218</v>
      </c>
      <c r="X168">
        <v>-999</v>
      </c>
      <c r="Y168">
        <v>-999</v>
      </c>
      <c r="Z168">
        <v>-999</v>
      </c>
      <c r="AA168">
        <v>-999</v>
      </c>
      <c r="AB168">
        <v>-999</v>
      </c>
      <c r="AC168">
        <v>-999</v>
      </c>
      <c r="AD168">
        <v>-999</v>
      </c>
      <c r="AE168">
        <v>-999</v>
      </c>
      <c r="AF168">
        <v>24.91</v>
      </c>
      <c r="AG168">
        <v>26.48</v>
      </c>
      <c r="AH168">
        <v>3</v>
      </c>
      <c r="AI168">
        <v>3</v>
      </c>
      <c r="AJ168">
        <v>6</v>
      </c>
      <c r="AK168">
        <v>1.73</v>
      </c>
      <c r="AL168">
        <v>-3.32</v>
      </c>
      <c r="AM168">
        <v>3</v>
      </c>
      <c r="AN168">
        <v>-2.4700000000000002</v>
      </c>
      <c r="AO168">
        <v>0.49</v>
      </c>
      <c r="AP168">
        <v>-1.18</v>
      </c>
      <c r="AQ168">
        <v>2.33</v>
      </c>
    </row>
    <row r="169" spans="1:43" x14ac:dyDescent="0.25">
      <c r="A169">
        <v>-12</v>
      </c>
      <c r="B169" t="s">
        <v>48</v>
      </c>
      <c r="C169">
        <v>44.856000000000002</v>
      </c>
      <c r="D169">
        <f t="shared" si="8"/>
        <v>-114.30699999999999</v>
      </c>
      <c r="E169">
        <v>20180816</v>
      </c>
      <c r="G169">
        <v>30331</v>
      </c>
      <c r="H169">
        <v>15</v>
      </c>
      <c r="I169">
        <v>0.7</v>
      </c>
      <c r="J169">
        <v>1256</v>
      </c>
      <c r="K169">
        <v>1.27</v>
      </c>
      <c r="L169">
        <v>24.57</v>
      </c>
      <c r="M169">
        <v>22.6</v>
      </c>
      <c r="N169">
        <v>1.47</v>
      </c>
      <c r="O169">
        <v>8</v>
      </c>
      <c r="P169">
        <v>2332</v>
      </c>
      <c r="Q169">
        <v>3434</v>
      </c>
      <c r="R169">
        <v>1.37</v>
      </c>
      <c r="S169">
        <v>2321</v>
      </c>
      <c r="T169">
        <v>3176</v>
      </c>
      <c r="U169">
        <v>1.5</v>
      </c>
      <c r="V169">
        <v>2371</v>
      </c>
      <c r="W169">
        <v>3547</v>
      </c>
      <c r="X169">
        <v>-999</v>
      </c>
      <c r="Y169">
        <v>-999</v>
      </c>
      <c r="Z169">
        <v>-999</v>
      </c>
      <c r="AA169">
        <v>-999</v>
      </c>
      <c r="AB169">
        <v>-999</v>
      </c>
      <c r="AC169">
        <v>-999</v>
      </c>
      <c r="AD169">
        <v>-999</v>
      </c>
      <c r="AE169">
        <v>-999</v>
      </c>
      <c r="AF169">
        <v>25.61</v>
      </c>
      <c r="AG169">
        <v>18.29</v>
      </c>
      <c r="AH169">
        <v>3</v>
      </c>
      <c r="AI169">
        <v>2</v>
      </c>
      <c r="AJ169">
        <v>5</v>
      </c>
      <c r="AK169">
        <v>0.12</v>
      </c>
      <c r="AL169">
        <v>1.47</v>
      </c>
      <c r="AM169">
        <v>3.48</v>
      </c>
      <c r="AN169">
        <v>-3.65</v>
      </c>
      <c r="AO169">
        <v>-4.12</v>
      </c>
      <c r="AP169">
        <v>6.24</v>
      </c>
      <c r="AQ169">
        <v>-6.7</v>
      </c>
    </row>
    <row r="170" spans="1:43" x14ac:dyDescent="0.25">
      <c r="A170">
        <v>-12</v>
      </c>
      <c r="B170" t="s">
        <v>48</v>
      </c>
      <c r="C170">
        <v>44.856000000000002</v>
      </c>
      <c r="D170">
        <f t="shared" si="8"/>
        <v>-114.30699999999999</v>
      </c>
      <c r="E170">
        <v>20180817</v>
      </c>
      <c r="G170">
        <v>34512</v>
      </c>
      <c r="H170">
        <v>16</v>
      </c>
      <c r="I170">
        <v>2.2200000000000002</v>
      </c>
      <c r="J170">
        <v>4181</v>
      </c>
      <c r="K170">
        <v>4.2300000000000004</v>
      </c>
      <c r="L170">
        <v>22.6</v>
      </c>
      <c r="M170">
        <v>30.5</v>
      </c>
      <c r="N170">
        <v>2.59</v>
      </c>
      <c r="O170">
        <v>13</v>
      </c>
      <c r="P170">
        <v>1868</v>
      </c>
      <c r="Q170">
        <v>4839</v>
      </c>
      <c r="R170">
        <v>3</v>
      </c>
      <c r="S170">
        <v>1607</v>
      </c>
      <c r="T170">
        <v>4825</v>
      </c>
      <c r="U170">
        <v>3.1</v>
      </c>
      <c r="V170">
        <v>1844</v>
      </c>
      <c r="W170">
        <v>5708</v>
      </c>
      <c r="X170">
        <v>-999</v>
      </c>
      <c r="Y170">
        <v>-999</v>
      </c>
      <c r="Z170">
        <v>-999</v>
      </c>
      <c r="AA170">
        <v>-999</v>
      </c>
      <c r="AB170">
        <v>-999</v>
      </c>
      <c r="AC170">
        <v>-999</v>
      </c>
      <c r="AD170">
        <v>-999</v>
      </c>
      <c r="AE170">
        <v>-999</v>
      </c>
      <c r="AF170">
        <v>24.29</v>
      </c>
      <c r="AG170">
        <v>10.33</v>
      </c>
      <c r="AH170">
        <v>3</v>
      </c>
      <c r="AI170">
        <v>1</v>
      </c>
      <c r="AJ170">
        <v>4</v>
      </c>
      <c r="AK170">
        <v>-0.71</v>
      </c>
      <c r="AL170">
        <v>2.4900000000000002</v>
      </c>
      <c r="AM170">
        <v>-0.64</v>
      </c>
      <c r="AN170">
        <v>2.59</v>
      </c>
      <c r="AO170">
        <v>0.62</v>
      </c>
      <c r="AP170">
        <v>0.65</v>
      </c>
      <c r="AQ170">
        <v>2.0099999999999998</v>
      </c>
    </row>
    <row r="171" spans="1:43" x14ac:dyDescent="0.25">
      <c r="A171">
        <v>-12</v>
      </c>
      <c r="B171" t="s">
        <v>48</v>
      </c>
      <c r="C171">
        <v>44.856000000000002</v>
      </c>
      <c r="D171">
        <f t="shared" si="8"/>
        <v>-114.30699999999999</v>
      </c>
      <c r="E171">
        <v>20180818</v>
      </c>
      <c r="G171">
        <v>34518</v>
      </c>
      <c r="H171">
        <v>17</v>
      </c>
      <c r="I171">
        <v>0</v>
      </c>
      <c r="J171">
        <v>6</v>
      </c>
      <c r="K171">
        <v>0.01</v>
      </c>
      <c r="L171">
        <v>21.29</v>
      </c>
      <c r="M171">
        <v>31.9</v>
      </c>
      <c r="N171">
        <v>2.59</v>
      </c>
      <c r="O171">
        <v>13</v>
      </c>
      <c r="P171">
        <v>1694</v>
      </c>
      <c r="Q171">
        <v>4390</v>
      </c>
      <c r="R171">
        <v>2.96</v>
      </c>
      <c r="S171">
        <v>1504</v>
      </c>
      <c r="T171">
        <v>4458</v>
      </c>
      <c r="U171">
        <v>3.13</v>
      </c>
      <c r="V171">
        <v>1672</v>
      </c>
      <c r="W171">
        <v>5238</v>
      </c>
      <c r="X171">
        <v>-999</v>
      </c>
      <c r="Y171">
        <v>-999</v>
      </c>
      <c r="Z171">
        <v>-999</v>
      </c>
      <c r="AA171">
        <v>-999</v>
      </c>
      <c r="AB171">
        <v>-999</v>
      </c>
      <c r="AC171">
        <v>-999</v>
      </c>
      <c r="AD171">
        <v>-999</v>
      </c>
      <c r="AE171">
        <v>-999</v>
      </c>
      <c r="AF171">
        <v>18.899999999999999</v>
      </c>
      <c r="AG171">
        <v>9.1199999999999992</v>
      </c>
      <c r="AH171">
        <v>2</v>
      </c>
      <c r="AI171">
        <v>1</v>
      </c>
      <c r="AJ171">
        <v>3</v>
      </c>
      <c r="AK171">
        <v>-0.35</v>
      </c>
      <c r="AL171">
        <v>-2.57</v>
      </c>
      <c r="AM171">
        <v>-0.02</v>
      </c>
      <c r="AN171">
        <v>3.24</v>
      </c>
      <c r="AO171">
        <v>-0.1</v>
      </c>
      <c r="AP171">
        <v>-8.33</v>
      </c>
      <c r="AQ171">
        <v>-0.5</v>
      </c>
    </row>
    <row r="172" spans="1:43" x14ac:dyDescent="0.25">
      <c r="A172">
        <v>-12</v>
      </c>
      <c r="B172" t="s">
        <v>48</v>
      </c>
      <c r="C172">
        <v>44.856000000000002</v>
      </c>
      <c r="D172">
        <f t="shared" si="8"/>
        <v>-114.30699999999999</v>
      </c>
      <c r="E172">
        <v>20180819</v>
      </c>
      <c r="H172">
        <v>18</v>
      </c>
      <c r="L172">
        <v>23.93</v>
      </c>
      <c r="M172">
        <v>21.2</v>
      </c>
      <c r="N172">
        <v>1.65</v>
      </c>
      <c r="O172">
        <v>9</v>
      </c>
      <c r="P172">
        <v>2287</v>
      </c>
      <c r="Q172">
        <v>3769</v>
      </c>
      <c r="R172">
        <v>1.74</v>
      </c>
      <c r="S172">
        <v>2147</v>
      </c>
      <c r="T172">
        <v>3738</v>
      </c>
      <c r="U172">
        <v>1.82</v>
      </c>
      <c r="V172">
        <v>2257</v>
      </c>
      <c r="W172">
        <v>4117</v>
      </c>
      <c r="X172">
        <v>-999</v>
      </c>
      <c r="Y172">
        <v>-999</v>
      </c>
      <c r="Z172">
        <v>-999</v>
      </c>
      <c r="AA172">
        <v>-999</v>
      </c>
      <c r="AB172">
        <v>-999</v>
      </c>
      <c r="AC172">
        <v>-999</v>
      </c>
      <c r="AD172">
        <v>-999</v>
      </c>
      <c r="AE172">
        <v>-999</v>
      </c>
      <c r="AF172">
        <v>25.16</v>
      </c>
      <c r="AG172">
        <v>16.39</v>
      </c>
      <c r="AH172">
        <v>3</v>
      </c>
      <c r="AI172">
        <v>2</v>
      </c>
      <c r="AJ172">
        <v>5</v>
      </c>
      <c r="AK172">
        <v>-0.83</v>
      </c>
      <c r="AL172">
        <v>-1.42</v>
      </c>
      <c r="AM172">
        <v>-0.12</v>
      </c>
      <c r="AN172">
        <v>-5.09</v>
      </c>
      <c r="AO172">
        <v>0.92</v>
      </c>
      <c r="AP172">
        <v>5.32</v>
      </c>
      <c r="AQ172">
        <v>-4.0599999999999996</v>
      </c>
    </row>
    <row r="173" spans="1:43" x14ac:dyDescent="0.25">
      <c r="A173">
        <v>-12</v>
      </c>
      <c r="B173" t="s">
        <v>48</v>
      </c>
      <c r="C173">
        <v>44.856000000000002</v>
      </c>
      <c r="D173">
        <f t="shared" si="8"/>
        <v>-114.30699999999999</v>
      </c>
      <c r="E173">
        <v>20180820</v>
      </c>
      <c r="H173">
        <v>19</v>
      </c>
      <c r="L173">
        <v>13.47</v>
      </c>
      <c r="M173">
        <v>69.099999999999994</v>
      </c>
      <c r="N173">
        <v>3.54</v>
      </c>
      <c r="O173">
        <v>10</v>
      </c>
      <c r="P173">
        <v>475</v>
      </c>
      <c r="Q173">
        <v>1682</v>
      </c>
      <c r="R173">
        <v>5.39</v>
      </c>
      <c r="S173">
        <v>398</v>
      </c>
      <c r="T173">
        <v>2144</v>
      </c>
      <c r="U173">
        <v>5.99</v>
      </c>
      <c r="V173">
        <v>469</v>
      </c>
      <c r="W173">
        <v>2807</v>
      </c>
      <c r="X173">
        <v>-999</v>
      </c>
      <c r="Y173">
        <v>-999</v>
      </c>
      <c r="Z173">
        <v>-999</v>
      </c>
      <c r="AA173">
        <v>-999</v>
      </c>
      <c r="AB173">
        <v>-999</v>
      </c>
      <c r="AC173">
        <v>-999</v>
      </c>
      <c r="AD173">
        <v>-999</v>
      </c>
      <c r="AE173">
        <v>-999</v>
      </c>
      <c r="AF173">
        <v>16</v>
      </c>
      <c r="AG173">
        <v>1.65</v>
      </c>
      <c r="AH173">
        <v>1</v>
      </c>
      <c r="AI173">
        <v>1</v>
      </c>
      <c r="AJ173">
        <v>2</v>
      </c>
      <c r="AK173">
        <v>-0.93</v>
      </c>
      <c r="AL173">
        <v>-3.42</v>
      </c>
      <c r="AM173">
        <v>0.8</v>
      </c>
      <c r="AN173">
        <v>0.22</v>
      </c>
      <c r="AO173">
        <v>-3.46</v>
      </c>
      <c r="AP173">
        <v>-3.98</v>
      </c>
      <c r="AQ173">
        <v>2.42</v>
      </c>
    </row>
    <row r="174" spans="1:43" x14ac:dyDescent="0.25">
      <c r="A174">
        <v>-12</v>
      </c>
      <c r="B174" t="s">
        <v>48</v>
      </c>
      <c r="C174">
        <v>44.856000000000002</v>
      </c>
      <c r="D174">
        <f t="shared" si="8"/>
        <v>-114.30699999999999</v>
      </c>
      <c r="E174">
        <v>20180821</v>
      </c>
      <c r="H174">
        <v>20</v>
      </c>
      <c r="L174">
        <v>17.41</v>
      </c>
      <c r="M174">
        <v>42.6</v>
      </c>
      <c r="N174">
        <v>2.56</v>
      </c>
      <c r="O174">
        <v>11</v>
      </c>
      <c r="P174">
        <v>1128</v>
      </c>
      <c r="Q174">
        <v>2894</v>
      </c>
      <c r="R174">
        <v>2.39</v>
      </c>
      <c r="S174">
        <v>976</v>
      </c>
      <c r="T174">
        <v>2336</v>
      </c>
      <c r="U174">
        <v>2.62</v>
      </c>
      <c r="V174">
        <v>1114</v>
      </c>
      <c r="W174">
        <v>2913</v>
      </c>
      <c r="X174">
        <v>-999</v>
      </c>
      <c r="Y174">
        <v>-999</v>
      </c>
      <c r="Z174">
        <v>-999</v>
      </c>
      <c r="AA174">
        <v>-999</v>
      </c>
      <c r="AB174">
        <v>-999</v>
      </c>
      <c r="AC174">
        <v>-999</v>
      </c>
      <c r="AD174">
        <v>-999</v>
      </c>
      <c r="AE174">
        <v>-999</v>
      </c>
      <c r="AF174">
        <v>19.27</v>
      </c>
      <c r="AG174">
        <v>3.57</v>
      </c>
      <c r="AH174">
        <v>2</v>
      </c>
      <c r="AI174">
        <v>1</v>
      </c>
      <c r="AJ174">
        <v>3</v>
      </c>
      <c r="AK174">
        <v>-2.12</v>
      </c>
      <c r="AL174">
        <v>-1.45</v>
      </c>
      <c r="AM174">
        <v>-2.66</v>
      </c>
      <c r="AN174">
        <v>-3.75</v>
      </c>
      <c r="AO174">
        <v>-1.36</v>
      </c>
      <c r="AP174">
        <v>2.98</v>
      </c>
      <c r="AQ174">
        <v>13.02</v>
      </c>
    </row>
    <row r="175" spans="1:43" x14ac:dyDescent="0.25">
      <c r="A175">
        <v>-12</v>
      </c>
      <c r="B175" t="s">
        <v>48</v>
      </c>
      <c r="C175">
        <v>44.856000000000002</v>
      </c>
      <c r="D175">
        <f t="shared" si="8"/>
        <v>-114.30699999999999</v>
      </c>
      <c r="E175">
        <v>20180822</v>
      </c>
      <c r="H175">
        <v>21</v>
      </c>
      <c r="L175">
        <v>16.59</v>
      </c>
      <c r="M175">
        <v>35.4</v>
      </c>
      <c r="N175">
        <v>1.95</v>
      </c>
      <c r="O175">
        <v>9</v>
      </c>
      <c r="P175">
        <v>1207</v>
      </c>
      <c r="Q175">
        <v>2357</v>
      </c>
      <c r="R175">
        <v>3.31</v>
      </c>
      <c r="S175">
        <v>1119</v>
      </c>
      <c r="T175">
        <v>3702</v>
      </c>
      <c r="U175">
        <v>3.77</v>
      </c>
      <c r="V175">
        <v>1191</v>
      </c>
      <c r="W175">
        <v>4495</v>
      </c>
      <c r="X175">
        <v>-999</v>
      </c>
      <c r="Y175">
        <v>-999</v>
      </c>
      <c r="Z175">
        <v>-999</v>
      </c>
      <c r="AA175">
        <v>-999</v>
      </c>
      <c r="AB175">
        <v>-999</v>
      </c>
      <c r="AC175">
        <v>-999</v>
      </c>
      <c r="AD175">
        <v>-999</v>
      </c>
      <c r="AE175">
        <v>-999</v>
      </c>
      <c r="AF175">
        <v>21.7</v>
      </c>
      <c r="AG175">
        <v>9.49</v>
      </c>
      <c r="AH175">
        <v>2</v>
      </c>
      <c r="AI175">
        <v>1</v>
      </c>
      <c r="AJ175">
        <v>3</v>
      </c>
      <c r="AK175">
        <v>-0.31</v>
      </c>
      <c r="AL175">
        <v>1.93</v>
      </c>
      <c r="AM175">
        <v>-4.0199999999999996</v>
      </c>
      <c r="AN175">
        <v>-0.78</v>
      </c>
      <c r="AO175">
        <v>5.55</v>
      </c>
      <c r="AP175">
        <v>4.68</v>
      </c>
      <c r="AQ175">
        <v>14.48</v>
      </c>
    </row>
    <row r="176" spans="1:43" x14ac:dyDescent="0.25">
      <c r="A176">
        <v>-12</v>
      </c>
      <c r="B176" t="s">
        <v>48</v>
      </c>
      <c r="C176">
        <v>44.856000000000002</v>
      </c>
      <c r="D176">
        <f t="shared" si="8"/>
        <v>-114.30699999999999</v>
      </c>
      <c r="E176">
        <v>20180823</v>
      </c>
      <c r="G176">
        <v>34846</v>
      </c>
      <c r="H176">
        <v>22</v>
      </c>
      <c r="L176">
        <v>21.81</v>
      </c>
      <c r="M176">
        <v>21.5</v>
      </c>
      <c r="N176">
        <v>3.75</v>
      </c>
      <c r="O176">
        <v>20</v>
      </c>
      <c r="P176">
        <v>2011</v>
      </c>
      <c r="Q176">
        <v>7541</v>
      </c>
      <c r="R176">
        <v>4.87</v>
      </c>
      <c r="S176">
        <v>1900</v>
      </c>
      <c r="T176">
        <v>9259</v>
      </c>
      <c r="U176">
        <v>5.34</v>
      </c>
      <c r="V176">
        <v>1985</v>
      </c>
      <c r="W176">
        <v>10597</v>
      </c>
      <c r="X176">
        <v>-999</v>
      </c>
      <c r="Y176">
        <v>-999</v>
      </c>
      <c r="Z176">
        <v>-999</v>
      </c>
      <c r="AA176">
        <v>-999</v>
      </c>
      <c r="AB176">
        <v>-999</v>
      </c>
      <c r="AC176">
        <v>-999</v>
      </c>
      <c r="AD176">
        <v>-999</v>
      </c>
      <c r="AE176">
        <v>-999</v>
      </c>
      <c r="AF176">
        <v>21.65</v>
      </c>
      <c r="AG176">
        <v>16.559999999999999</v>
      </c>
      <c r="AH176">
        <v>2</v>
      </c>
      <c r="AI176">
        <v>2</v>
      </c>
      <c r="AJ176">
        <v>4</v>
      </c>
      <c r="AK176">
        <v>3.75</v>
      </c>
      <c r="AL176">
        <v>-0.12</v>
      </c>
      <c r="AM176">
        <v>1.53</v>
      </c>
      <c r="AN176">
        <v>3.9</v>
      </c>
      <c r="AO176">
        <v>5.35</v>
      </c>
      <c r="AP176">
        <v>-4.58</v>
      </c>
      <c r="AQ176">
        <v>27.89</v>
      </c>
    </row>
    <row r="177" spans="1:43" x14ac:dyDescent="0.25">
      <c r="A177">
        <v>-12</v>
      </c>
      <c r="B177" t="s">
        <v>48</v>
      </c>
      <c r="C177">
        <v>44.856000000000002</v>
      </c>
      <c r="D177">
        <f t="shared" si="8"/>
        <v>-114.30699999999999</v>
      </c>
      <c r="E177">
        <v>20180824</v>
      </c>
      <c r="G177">
        <v>34945</v>
      </c>
      <c r="H177">
        <v>23</v>
      </c>
      <c r="I177">
        <v>0.05</v>
      </c>
      <c r="J177">
        <v>99</v>
      </c>
      <c r="K177">
        <v>0.1</v>
      </c>
      <c r="L177">
        <v>19.079999999999998</v>
      </c>
      <c r="M177">
        <v>21.6</v>
      </c>
      <c r="N177">
        <v>5.5</v>
      </c>
      <c r="O177">
        <v>30</v>
      </c>
      <c r="P177">
        <v>1708</v>
      </c>
      <c r="Q177">
        <v>9400</v>
      </c>
      <c r="R177">
        <v>8.06</v>
      </c>
      <c r="S177">
        <v>1573</v>
      </c>
      <c r="T177">
        <v>12677</v>
      </c>
      <c r="U177">
        <v>9.02</v>
      </c>
      <c r="V177">
        <v>1686</v>
      </c>
      <c r="W177">
        <v>15201</v>
      </c>
      <c r="X177">
        <v>-999</v>
      </c>
      <c r="Y177">
        <v>-999</v>
      </c>
      <c r="Z177">
        <v>-999</v>
      </c>
      <c r="AA177">
        <v>-999</v>
      </c>
      <c r="AB177">
        <v>-999</v>
      </c>
      <c r="AC177">
        <v>-999</v>
      </c>
      <c r="AD177">
        <v>-999</v>
      </c>
      <c r="AE177">
        <v>-999</v>
      </c>
      <c r="AF177">
        <v>22.21</v>
      </c>
      <c r="AG177">
        <v>15.41</v>
      </c>
      <c r="AH177">
        <v>3</v>
      </c>
      <c r="AI177">
        <v>2</v>
      </c>
      <c r="AJ177">
        <v>5</v>
      </c>
      <c r="AK177">
        <v>5.49</v>
      </c>
      <c r="AL177">
        <v>0.39</v>
      </c>
      <c r="AM177">
        <v>6.88</v>
      </c>
      <c r="AN177">
        <v>-0.68</v>
      </c>
      <c r="AO177">
        <v>1.1399999999999999</v>
      </c>
      <c r="AP177">
        <v>1.52</v>
      </c>
      <c r="AQ177">
        <v>-11.24</v>
      </c>
    </row>
    <row r="178" spans="1:43" x14ac:dyDescent="0.25">
      <c r="A178">
        <v>-12</v>
      </c>
      <c r="B178" t="s">
        <v>48</v>
      </c>
      <c r="C178">
        <v>44.856000000000002</v>
      </c>
      <c r="D178">
        <f t="shared" si="8"/>
        <v>-114.30699999999999</v>
      </c>
      <c r="E178">
        <v>20180825</v>
      </c>
      <c r="G178">
        <v>35271</v>
      </c>
      <c r="H178">
        <v>24</v>
      </c>
      <c r="I178">
        <v>0.17</v>
      </c>
      <c r="J178">
        <v>326</v>
      </c>
      <c r="K178">
        <v>0.33</v>
      </c>
      <c r="L178">
        <v>19.55</v>
      </c>
      <c r="M178">
        <v>21.4</v>
      </c>
      <c r="N178">
        <v>5.42</v>
      </c>
      <c r="O178">
        <v>29</v>
      </c>
      <c r="P178">
        <v>1763</v>
      </c>
      <c r="Q178">
        <v>9557</v>
      </c>
      <c r="R178">
        <v>7.44</v>
      </c>
      <c r="S178">
        <v>1633</v>
      </c>
      <c r="T178">
        <v>12156</v>
      </c>
      <c r="U178">
        <v>8.32</v>
      </c>
      <c r="V178">
        <v>1739</v>
      </c>
      <c r="W178">
        <v>14477</v>
      </c>
      <c r="X178">
        <v>-999</v>
      </c>
      <c r="Y178">
        <v>-999</v>
      </c>
      <c r="Z178">
        <v>-999</v>
      </c>
      <c r="AA178">
        <v>-999</v>
      </c>
      <c r="AB178">
        <v>-999</v>
      </c>
      <c r="AC178">
        <v>-999</v>
      </c>
      <c r="AD178">
        <v>-999</v>
      </c>
      <c r="AE178">
        <v>-999</v>
      </c>
      <c r="AF178">
        <v>22.61</v>
      </c>
      <c r="AG178">
        <v>16.27</v>
      </c>
      <c r="AH178">
        <v>3</v>
      </c>
      <c r="AI178">
        <v>2</v>
      </c>
      <c r="AJ178">
        <v>5</v>
      </c>
      <c r="AK178">
        <v>5.27</v>
      </c>
      <c r="AL178">
        <v>1.26</v>
      </c>
      <c r="AM178">
        <v>8.02</v>
      </c>
      <c r="AN178">
        <v>0.84</v>
      </c>
      <c r="AO178">
        <v>1.61</v>
      </c>
      <c r="AP178">
        <v>1.77</v>
      </c>
      <c r="AQ178">
        <v>-12.86</v>
      </c>
    </row>
    <row r="180" spans="1:43" x14ac:dyDescent="0.25">
      <c r="A180">
        <v>-14</v>
      </c>
      <c r="B180" t="s">
        <v>49</v>
      </c>
      <c r="C180">
        <v>48.13</v>
      </c>
      <c r="D180">
        <f>240.763-360</f>
        <v>-119.23699999999999</v>
      </c>
      <c r="E180">
        <v>20080807</v>
      </c>
      <c r="F180">
        <v>20080717</v>
      </c>
      <c r="G180">
        <v>5000</v>
      </c>
      <c r="H180">
        <v>1</v>
      </c>
      <c r="I180">
        <v>2.85</v>
      </c>
      <c r="J180">
        <v>5000</v>
      </c>
      <c r="K180">
        <v>1.35</v>
      </c>
      <c r="L180">
        <v>33.869999999999997</v>
      </c>
      <c r="M180">
        <v>15</v>
      </c>
      <c r="N180">
        <v>3.5</v>
      </c>
      <c r="O180">
        <v>21</v>
      </c>
      <c r="P180">
        <v>4309</v>
      </c>
      <c r="Q180">
        <v>15101</v>
      </c>
      <c r="R180">
        <v>2.65</v>
      </c>
      <c r="S180">
        <v>3722</v>
      </c>
      <c r="T180">
        <v>9866</v>
      </c>
      <c r="U180">
        <v>3.5</v>
      </c>
      <c r="V180">
        <v>4253</v>
      </c>
      <c r="W180">
        <v>14903</v>
      </c>
      <c r="X180">
        <v>-999</v>
      </c>
      <c r="Y180">
        <v>-999</v>
      </c>
      <c r="Z180">
        <v>-999</v>
      </c>
      <c r="AA180">
        <v>-999</v>
      </c>
      <c r="AB180">
        <v>16.059999999999999</v>
      </c>
      <c r="AC180">
        <v>22.47</v>
      </c>
      <c r="AD180">
        <v>3</v>
      </c>
      <c r="AE180">
        <v>3</v>
      </c>
      <c r="AF180">
        <v>19.940000000000001</v>
      </c>
      <c r="AG180">
        <v>9.27</v>
      </c>
      <c r="AH180">
        <v>2</v>
      </c>
      <c r="AI180">
        <v>1</v>
      </c>
      <c r="AJ180">
        <v>3</v>
      </c>
      <c r="AK180">
        <v>2.25</v>
      </c>
      <c r="AL180">
        <v>2.69</v>
      </c>
      <c r="AM180">
        <v>-0.22</v>
      </c>
      <c r="AN180">
        <v>-0.55000000000000004</v>
      </c>
      <c r="AO180">
        <v>2.8</v>
      </c>
      <c r="AP180">
        <v>5.03</v>
      </c>
      <c r="AQ180">
        <v>-0.47</v>
      </c>
    </row>
    <row r="181" spans="1:43" x14ac:dyDescent="0.25">
      <c r="A181">
        <v>-14</v>
      </c>
      <c r="B181" t="s">
        <v>49</v>
      </c>
      <c r="C181">
        <v>48.13</v>
      </c>
      <c r="D181">
        <f t="shared" ref="D181:D185" si="9">240.763-360</f>
        <v>-119.23699999999999</v>
      </c>
      <c r="E181">
        <v>20080808</v>
      </c>
      <c r="G181">
        <v>18723</v>
      </c>
      <c r="H181">
        <v>2</v>
      </c>
      <c r="I181">
        <v>2.67</v>
      </c>
      <c r="J181">
        <v>13723</v>
      </c>
      <c r="K181">
        <v>3.72</v>
      </c>
      <c r="L181">
        <v>30.48</v>
      </c>
      <c r="M181">
        <v>24</v>
      </c>
      <c r="N181">
        <v>2.46</v>
      </c>
      <c r="O181">
        <v>13</v>
      </c>
      <c r="P181">
        <v>3211</v>
      </c>
      <c r="Q181">
        <v>7908</v>
      </c>
      <c r="R181">
        <v>0.95</v>
      </c>
      <c r="S181">
        <v>2963</v>
      </c>
      <c r="T181">
        <v>2809</v>
      </c>
      <c r="U181">
        <v>2.46</v>
      </c>
      <c r="V181">
        <v>3169</v>
      </c>
      <c r="W181">
        <v>7805</v>
      </c>
      <c r="X181">
        <v>-999</v>
      </c>
      <c r="Y181">
        <v>-999</v>
      </c>
      <c r="Z181">
        <v>-999</v>
      </c>
      <c r="AA181">
        <v>-999</v>
      </c>
      <c r="AB181">
        <v>15.25</v>
      </c>
      <c r="AC181">
        <v>17.440000000000001</v>
      </c>
      <c r="AD181">
        <v>3</v>
      </c>
      <c r="AE181">
        <v>3</v>
      </c>
      <c r="AF181">
        <v>18.739999999999998</v>
      </c>
      <c r="AG181">
        <v>5.28</v>
      </c>
      <c r="AH181">
        <v>2</v>
      </c>
      <c r="AI181">
        <v>1</v>
      </c>
      <c r="AJ181">
        <v>3</v>
      </c>
      <c r="AK181">
        <v>-1.07</v>
      </c>
      <c r="AL181">
        <v>2.2200000000000002</v>
      </c>
      <c r="AM181">
        <v>2.59</v>
      </c>
      <c r="AN181">
        <v>4.4800000000000004</v>
      </c>
      <c r="AO181">
        <v>-5.6</v>
      </c>
      <c r="AP181">
        <v>1.24</v>
      </c>
      <c r="AQ181">
        <v>-28.29</v>
      </c>
    </row>
    <row r="182" spans="1:43" x14ac:dyDescent="0.25">
      <c r="A182">
        <v>-14</v>
      </c>
      <c r="B182" t="s">
        <v>49</v>
      </c>
      <c r="C182">
        <v>48.13</v>
      </c>
      <c r="D182">
        <f t="shared" si="9"/>
        <v>-119.23699999999999</v>
      </c>
      <c r="E182">
        <v>20080809</v>
      </c>
      <c r="H182">
        <v>3</v>
      </c>
      <c r="L182">
        <v>25.92</v>
      </c>
      <c r="M182">
        <v>33</v>
      </c>
      <c r="N182">
        <v>6.94</v>
      </c>
      <c r="O182">
        <v>33</v>
      </c>
      <c r="P182">
        <v>2195</v>
      </c>
      <c r="Q182">
        <v>15223</v>
      </c>
      <c r="R182">
        <v>6.4</v>
      </c>
      <c r="S182">
        <v>1803</v>
      </c>
      <c r="T182">
        <v>11547</v>
      </c>
      <c r="U182">
        <v>7.36</v>
      </c>
      <c r="V182">
        <v>2166</v>
      </c>
      <c r="W182">
        <v>15947</v>
      </c>
      <c r="X182">
        <v>-999</v>
      </c>
      <c r="Y182">
        <v>-999</v>
      </c>
      <c r="Z182">
        <v>-999</v>
      </c>
      <c r="AA182">
        <v>-999</v>
      </c>
      <c r="AB182">
        <v>14.93</v>
      </c>
      <c r="AC182">
        <v>10.74</v>
      </c>
      <c r="AD182">
        <v>3</v>
      </c>
      <c r="AE182">
        <v>2</v>
      </c>
      <c r="AF182">
        <v>17.149999999999999</v>
      </c>
      <c r="AG182">
        <v>6.26</v>
      </c>
      <c r="AH182">
        <v>1</v>
      </c>
      <c r="AI182">
        <v>1</v>
      </c>
      <c r="AJ182">
        <v>2</v>
      </c>
      <c r="AK182">
        <v>5.22</v>
      </c>
      <c r="AL182">
        <v>4.57</v>
      </c>
      <c r="AM182">
        <v>-3.01</v>
      </c>
      <c r="AN182">
        <v>5.72</v>
      </c>
      <c r="AO182">
        <v>8.56</v>
      </c>
      <c r="AP182">
        <v>2.7</v>
      </c>
      <c r="AQ182">
        <v>57.12</v>
      </c>
    </row>
    <row r="183" spans="1:43" x14ac:dyDescent="0.25">
      <c r="A183">
        <v>-14</v>
      </c>
      <c r="B183" t="s">
        <v>49</v>
      </c>
      <c r="C183">
        <v>48.13</v>
      </c>
      <c r="D183">
        <f t="shared" si="9"/>
        <v>-119.23699999999999</v>
      </c>
      <c r="E183">
        <v>20080810</v>
      </c>
      <c r="G183">
        <v>20655</v>
      </c>
      <c r="H183">
        <v>4</v>
      </c>
      <c r="L183">
        <v>21.68</v>
      </c>
      <c r="M183">
        <v>31</v>
      </c>
      <c r="N183">
        <v>2.7</v>
      </c>
      <c r="O183">
        <v>13</v>
      </c>
      <c r="P183">
        <v>1766</v>
      </c>
      <c r="Q183">
        <v>4761</v>
      </c>
      <c r="R183">
        <v>1.8</v>
      </c>
      <c r="S183">
        <v>1529</v>
      </c>
      <c r="T183">
        <v>2757</v>
      </c>
      <c r="U183">
        <v>2.7</v>
      </c>
      <c r="V183">
        <v>1743</v>
      </c>
      <c r="W183">
        <v>4699</v>
      </c>
      <c r="X183">
        <v>-999</v>
      </c>
      <c r="Y183">
        <v>-999</v>
      </c>
      <c r="Z183">
        <v>-999</v>
      </c>
      <c r="AA183">
        <v>-999</v>
      </c>
      <c r="AB183">
        <v>13.9</v>
      </c>
      <c r="AC183">
        <v>11.82</v>
      </c>
      <c r="AD183">
        <v>3</v>
      </c>
      <c r="AE183">
        <v>2</v>
      </c>
      <c r="AF183">
        <v>15.35</v>
      </c>
      <c r="AG183">
        <v>4.16</v>
      </c>
      <c r="AH183">
        <v>1</v>
      </c>
      <c r="AI183">
        <v>1</v>
      </c>
      <c r="AJ183">
        <v>2</v>
      </c>
      <c r="AK183">
        <v>2.2400000000000002</v>
      </c>
      <c r="AL183">
        <v>1.5</v>
      </c>
      <c r="AM183">
        <v>5.56</v>
      </c>
      <c r="AN183">
        <v>8.42</v>
      </c>
      <c r="AO183">
        <v>-1.1299999999999999</v>
      </c>
      <c r="AP183">
        <v>-5.39</v>
      </c>
      <c r="AQ183">
        <v>20.420000000000002</v>
      </c>
    </row>
    <row r="184" spans="1:43" x14ac:dyDescent="0.25">
      <c r="A184">
        <v>-14</v>
      </c>
      <c r="B184" t="s">
        <v>49</v>
      </c>
      <c r="C184">
        <v>48.13</v>
      </c>
      <c r="D184">
        <f t="shared" si="9"/>
        <v>-119.23699999999999</v>
      </c>
      <c r="E184">
        <v>20080811</v>
      </c>
      <c r="G184">
        <v>21914</v>
      </c>
      <c r="H184">
        <v>5</v>
      </c>
      <c r="I184">
        <v>0.17</v>
      </c>
      <c r="J184">
        <v>1259</v>
      </c>
      <c r="K184">
        <v>0.34</v>
      </c>
      <c r="L184">
        <v>24.33</v>
      </c>
      <c r="M184">
        <v>27</v>
      </c>
      <c r="N184">
        <v>2.34</v>
      </c>
      <c r="O184">
        <v>12</v>
      </c>
      <c r="P184">
        <v>2182</v>
      </c>
      <c r="Q184">
        <v>5100</v>
      </c>
      <c r="R184">
        <v>2.7</v>
      </c>
      <c r="S184">
        <v>1920</v>
      </c>
      <c r="T184">
        <v>5175</v>
      </c>
      <c r="U184">
        <v>2.85</v>
      </c>
      <c r="V184">
        <v>2153</v>
      </c>
      <c r="W184">
        <v>6142</v>
      </c>
      <c r="X184">
        <v>-999</v>
      </c>
      <c r="Y184">
        <v>-999</v>
      </c>
      <c r="Z184">
        <v>-999</v>
      </c>
      <c r="AA184">
        <v>-999</v>
      </c>
      <c r="AB184">
        <v>9.64</v>
      </c>
      <c r="AC184">
        <v>12.7</v>
      </c>
      <c r="AD184">
        <v>2</v>
      </c>
      <c r="AE184">
        <v>2</v>
      </c>
      <c r="AF184">
        <v>15.34</v>
      </c>
      <c r="AG184">
        <v>12.72</v>
      </c>
      <c r="AH184">
        <v>1</v>
      </c>
      <c r="AI184">
        <v>1</v>
      </c>
      <c r="AJ184">
        <v>2</v>
      </c>
      <c r="AK184">
        <v>2.1800000000000002</v>
      </c>
      <c r="AL184">
        <v>0.84</v>
      </c>
      <c r="AM184">
        <v>4.42</v>
      </c>
      <c r="AN184">
        <v>3.03</v>
      </c>
      <c r="AO184">
        <v>-0.74</v>
      </c>
      <c r="AP184">
        <v>-1.17</v>
      </c>
      <c r="AQ184">
        <v>2.93</v>
      </c>
    </row>
    <row r="185" spans="1:43" x14ac:dyDescent="0.25">
      <c r="A185">
        <v>-14</v>
      </c>
      <c r="B185" t="s">
        <v>49</v>
      </c>
      <c r="C185">
        <v>48.13</v>
      </c>
      <c r="D185">
        <f t="shared" si="9"/>
        <v>-119.23699999999999</v>
      </c>
      <c r="E185">
        <v>20080812</v>
      </c>
      <c r="G185">
        <v>22155</v>
      </c>
      <c r="H185">
        <v>6</v>
      </c>
      <c r="I185">
        <v>0.03</v>
      </c>
      <c r="J185">
        <v>241</v>
      </c>
      <c r="K185">
        <v>7.0000000000000007E-2</v>
      </c>
      <c r="L185">
        <v>29.23</v>
      </c>
      <c r="M185">
        <v>21</v>
      </c>
      <c r="N185">
        <v>4.6900000000000004</v>
      </c>
      <c r="O185">
        <v>26</v>
      </c>
      <c r="P185">
        <v>3116</v>
      </c>
      <c r="Q185">
        <v>14613</v>
      </c>
      <c r="R185">
        <v>3.75</v>
      </c>
      <c r="S185">
        <v>3031</v>
      </c>
      <c r="T185">
        <v>11360</v>
      </c>
      <c r="U185">
        <v>4.6900000000000004</v>
      </c>
      <c r="V185">
        <v>3075</v>
      </c>
      <c r="W185">
        <v>14422</v>
      </c>
      <c r="X185">
        <v>-999</v>
      </c>
      <c r="Y185">
        <v>-999</v>
      </c>
      <c r="Z185">
        <v>-999</v>
      </c>
      <c r="AA185">
        <v>-999</v>
      </c>
      <c r="AB185">
        <v>17.27</v>
      </c>
      <c r="AC185">
        <v>22.63</v>
      </c>
      <c r="AD185">
        <v>3</v>
      </c>
      <c r="AE185">
        <v>3</v>
      </c>
      <c r="AF185">
        <v>18.96</v>
      </c>
      <c r="AG185">
        <v>5.58</v>
      </c>
      <c r="AH185">
        <v>2</v>
      </c>
      <c r="AI185">
        <v>1</v>
      </c>
      <c r="AJ185">
        <v>3</v>
      </c>
      <c r="AK185">
        <v>4.3899999999999997</v>
      </c>
      <c r="AL185">
        <v>1.65</v>
      </c>
      <c r="AM185">
        <v>3.69</v>
      </c>
      <c r="AN185">
        <v>1.86</v>
      </c>
      <c r="AO185">
        <v>1.71</v>
      </c>
      <c r="AP185">
        <v>1.38</v>
      </c>
      <c r="AQ185">
        <v>-1.92</v>
      </c>
    </row>
    <row r="187" spans="1:43" x14ac:dyDescent="0.25">
      <c r="A187">
        <v>-16</v>
      </c>
      <c r="B187" t="s">
        <v>50</v>
      </c>
      <c r="C187">
        <v>43.988</v>
      </c>
      <c r="D187">
        <f>245.163-360</f>
        <v>-114.83699999999999</v>
      </c>
      <c r="E187">
        <v>20050903</v>
      </c>
      <c r="F187">
        <v>20050813</v>
      </c>
      <c r="G187">
        <v>2800</v>
      </c>
      <c r="H187">
        <v>1</v>
      </c>
      <c r="I187">
        <v>2.36</v>
      </c>
      <c r="J187">
        <v>2800</v>
      </c>
      <c r="K187">
        <v>0.62</v>
      </c>
      <c r="L187">
        <v>18.32</v>
      </c>
      <c r="M187">
        <v>23</v>
      </c>
      <c r="N187">
        <v>7.25</v>
      </c>
      <c r="O187">
        <v>38</v>
      </c>
      <c r="P187">
        <v>1600</v>
      </c>
      <c r="Q187">
        <v>11595</v>
      </c>
      <c r="R187">
        <v>5.76</v>
      </c>
      <c r="S187">
        <v>1550</v>
      </c>
      <c r="T187">
        <v>8922</v>
      </c>
      <c r="U187">
        <v>7.25</v>
      </c>
      <c r="V187">
        <v>1579</v>
      </c>
      <c r="W187">
        <v>11443</v>
      </c>
      <c r="X187">
        <v>-999</v>
      </c>
      <c r="Y187">
        <v>-999</v>
      </c>
      <c r="Z187">
        <v>-999</v>
      </c>
      <c r="AA187">
        <v>-999</v>
      </c>
      <c r="AB187">
        <v>-999</v>
      </c>
      <c r="AC187">
        <v>-999</v>
      </c>
      <c r="AD187">
        <v>-999</v>
      </c>
      <c r="AE187">
        <v>-999</v>
      </c>
      <c r="AF187">
        <v>21.89</v>
      </c>
      <c r="AG187">
        <v>18.29</v>
      </c>
      <c r="AH187">
        <v>2</v>
      </c>
      <c r="AI187">
        <v>2</v>
      </c>
      <c r="AJ187">
        <v>4</v>
      </c>
      <c r="AK187">
        <v>5.94</v>
      </c>
      <c r="AL187">
        <v>4.16</v>
      </c>
      <c r="AM187">
        <v>6.94</v>
      </c>
      <c r="AN187">
        <v>9.84</v>
      </c>
      <c r="AO187">
        <v>5.35</v>
      </c>
      <c r="AP187">
        <v>-0.21</v>
      </c>
      <c r="AQ187">
        <v>54.09</v>
      </c>
    </row>
    <row r="188" spans="1:43" x14ac:dyDescent="0.25">
      <c r="A188">
        <v>-16</v>
      </c>
      <c r="B188" t="s">
        <v>50</v>
      </c>
      <c r="C188">
        <v>43.988</v>
      </c>
      <c r="D188">
        <f t="shared" ref="D188:D200" si="10">245.163-360</f>
        <v>-114.83699999999999</v>
      </c>
      <c r="E188">
        <v>20050904</v>
      </c>
      <c r="G188">
        <v>4000</v>
      </c>
      <c r="H188">
        <v>2</v>
      </c>
      <c r="I188">
        <v>0.46</v>
      </c>
      <c r="J188">
        <v>1200</v>
      </c>
      <c r="K188">
        <v>0.26</v>
      </c>
      <c r="L188">
        <v>15.19</v>
      </c>
      <c r="M188">
        <v>36</v>
      </c>
      <c r="N188">
        <v>5.98</v>
      </c>
      <c r="O188">
        <v>27</v>
      </c>
      <c r="P188">
        <v>1095</v>
      </c>
      <c r="Q188">
        <v>6553</v>
      </c>
      <c r="R188">
        <v>6.62</v>
      </c>
      <c r="S188">
        <v>1158</v>
      </c>
      <c r="T188">
        <v>7672</v>
      </c>
      <c r="U188">
        <v>6.84</v>
      </c>
      <c r="V188">
        <v>1188</v>
      </c>
      <c r="W188">
        <v>8119</v>
      </c>
      <c r="X188">
        <v>-999</v>
      </c>
      <c r="Y188">
        <v>-999</v>
      </c>
      <c r="Z188">
        <v>-999</v>
      </c>
      <c r="AA188">
        <v>-999</v>
      </c>
      <c r="AB188">
        <v>-999</v>
      </c>
      <c r="AC188">
        <v>-999</v>
      </c>
      <c r="AD188">
        <v>-999</v>
      </c>
      <c r="AE188">
        <v>-999</v>
      </c>
      <c r="AF188">
        <v>23.61</v>
      </c>
      <c r="AG188">
        <v>13.57</v>
      </c>
      <c r="AH188">
        <v>3</v>
      </c>
      <c r="AI188">
        <v>1</v>
      </c>
      <c r="AJ188">
        <v>4</v>
      </c>
      <c r="AK188">
        <v>5.96</v>
      </c>
      <c r="AL188">
        <v>0.54</v>
      </c>
      <c r="AM188">
        <v>12.29</v>
      </c>
      <c r="AN188">
        <v>9.6300000000000008</v>
      </c>
      <c r="AO188">
        <v>-1.33</v>
      </c>
      <c r="AP188">
        <v>-6.15</v>
      </c>
      <c r="AQ188">
        <v>62.71</v>
      </c>
    </row>
    <row r="189" spans="1:43" x14ac:dyDescent="0.25">
      <c r="A189">
        <v>-16</v>
      </c>
      <c r="B189" t="s">
        <v>50</v>
      </c>
      <c r="C189">
        <v>43.988</v>
      </c>
      <c r="D189">
        <f t="shared" si="10"/>
        <v>-114.83699999999999</v>
      </c>
      <c r="E189">
        <v>20050905</v>
      </c>
      <c r="G189">
        <v>12841</v>
      </c>
      <c r="H189">
        <v>3</v>
      </c>
      <c r="I189">
        <v>2.23</v>
      </c>
      <c r="J189">
        <v>8841</v>
      </c>
      <c r="K189">
        <v>1.95</v>
      </c>
      <c r="L189">
        <v>15.01</v>
      </c>
      <c r="M189">
        <v>35</v>
      </c>
      <c r="N189">
        <v>6.06</v>
      </c>
      <c r="O189">
        <v>28</v>
      </c>
      <c r="P189">
        <v>1100</v>
      </c>
      <c r="Q189">
        <v>6663</v>
      </c>
      <c r="R189">
        <v>4.7300000000000004</v>
      </c>
      <c r="S189">
        <v>927</v>
      </c>
      <c r="T189">
        <v>4387</v>
      </c>
      <c r="U189">
        <v>6.06</v>
      </c>
      <c r="V189">
        <v>1086</v>
      </c>
      <c r="W189">
        <v>6576</v>
      </c>
      <c r="X189">
        <v>-999</v>
      </c>
      <c r="Y189">
        <v>-999</v>
      </c>
      <c r="Z189">
        <v>-999</v>
      </c>
      <c r="AA189">
        <v>-999</v>
      </c>
      <c r="AB189">
        <v>-999</v>
      </c>
      <c r="AC189">
        <v>-999</v>
      </c>
      <c r="AD189">
        <v>-999</v>
      </c>
      <c r="AE189">
        <v>-999</v>
      </c>
      <c r="AF189">
        <v>21.65</v>
      </c>
      <c r="AG189">
        <v>8.68</v>
      </c>
      <c r="AH189">
        <v>2</v>
      </c>
      <c r="AI189">
        <v>1</v>
      </c>
      <c r="AJ189">
        <v>3</v>
      </c>
      <c r="AK189">
        <v>5.92</v>
      </c>
      <c r="AL189">
        <v>1.3</v>
      </c>
      <c r="AM189">
        <v>10.96</v>
      </c>
      <c r="AN189">
        <v>3.49</v>
      </c>
      <c r="AO189">
        <v>7.0000000000000007E-2</v>
      </c>
      <c r="AP189">
        <v>-1.75</v>
      </c>
      <c r="AQ189">
        <v>19.39</v>
      </c>
    </row>
    <row r="190" spans="1:43" x14ac:dyDescent="0.25">
      <c r="A190">
        <v>-16</v>
      </c>
      <c r="B190" t="s">
        <v>50</v>
      </c>
      <c r="C190">
        <v>43.988</v>
      </c>
      <c r="D190">
        <f t="shared" si="10"/>
        <v>-114.83699999999999</v>
      </c>
      <c r="E190">
        <v>20050906</v>
      </c>
      <c r="G190">
        <v>13576</v>
      </c>
      <c r="H190">
        <v>4</v>
      </c>
      <c r="I190">
        <v>0.14000000000000001</v>
      </c>
      <c r="J190">
        <v>735</v>
      </c>
      <c r="K190">
        <v>0.16</v>
      </c>
      <c r="L190">
        <v>17.21</v>
      </c>
      <c r="M190">
        <v>23</v>
      </c>
      <c r="N190">
        <v>7.68</v>
      </c>
      <c r="O190">
        <v>41</v>
      </c>
      <c r="P190">
        <v>1494</v>
      </c>
      <c r="Q190">
        <v>11468</v>
      </c>
      <c r="R190">
        <v>5.51</v>
      </c>
      <c r="S190">
        <v>1400</v>
      </c>
      <c r="T190">
        <v>7721</v>
      </c>
      <c r="U190">
        <v>7.68</v>
      </c>
      <c r="V190">
        <v>1475</v>
      </c>
      <c r="W190">
        <v>11318</v>
      </c>
      <c r="X190">
        <v>-999</v>
      </c>
      <c r="Y190">
        <v>-999</v>
      </c>
      <c r="Z190">
        <v>-999</v>
      </c>
      <c r="AA190">
        <v>-999</v>
      </c>
      <c r="AB190">
        <v>-999</v>
      </c>
      <c r="AC190">
        <v>-999</v>
      </c>
      <c r="AD190">
        <v>-999</v>
      </c>
      <c r="AE190">
        <v>-999</v>
      </c>
      <c r="AF190">
        <v>21.74</v>
      </c>
      <c r="AG190">
        <v>17.170000000000002</v>
      </c>
      <c r="AH190">
        <v>2</v>
      </c>
      <c r="AI190">
        <v>2</v>
      </c>
      <c r="AJ190">
        <v>4</v>
      </c>
      <c r="AK190">
        <v>6.48</v>
      </c>
      <c r="AL190">
        <v>4.1100000000000003</v>
      </c>
      <c r="AM190">
        <v>11.03</v>
      </c>
      <c r="AN190">
        <v>1.74</v>
      </c>
      <c r="AO190">
        <v>-3.18</v>
      </c>
      <c r="AP190">
        <v>4.5999999999999996</v>
      </c>
      <c r="AQ190">
        <v>-56.3</v>
      </c>
    </row>
    <row r="191" spans="1:43" x14ac:dyDescent="0.25">
      <c r="A191">
        <v>-16</v>
      </c>
      <c r="B191" t="s">
        <v>50</v>
      </c>
      <c r="C191">
        <v>43.988</v>
      </c>
      <c r="D191">
        <f t="shared" si="10"/>
        <v>-114.83699999999999</v>
      </c>
      <c r="E191">
        <v>20050907</v>
      </c>
      <c r="G191">
        <v>15312</v>
      </c>
      <c r="H191">
        <v>5</v>
      </c>
      <c r="I191">
        <v>0.32</v>
      </c>
      <c r="J191">
        <v>1736</v>
      </c>
      <c r="K191">
        <v>0.38</v>
      </c>
      <c r="L191">
        <v>19.53</v>
      </c>
      <c r="M191">
        <v>20</v>
      </c>
      <c r="N191">
        <v>5.34</v>
      </c>
      <c r="O191">
        <v>29</v>
      </c>
      <c r="P191">
        <v>1788</v>
      </c>
      <c r="Q191">
        <v>9550</v>
      </c>
      <c r="R191">
        <v>4.37</v>
      </c>
      <c r="S191">
        <v>1766</v>
      </c>
      <c r="T191">
        <v>7724</v>
      </c>
      <c r="U191">
        <v>5.34</v>
      </c>
      <c r="V191">
        <v>1788</v>
      </c>
      <c r="W191">
        <v>9550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23.89</v>
      </c>
      <c r="AG191">
        <v>21.08</v>
      </c>
      <c r="AH191">
        <v>3</v>
      </c>
      <c r="AI191">
        <v>3</v>
      </c>
      <c r="AJ191">
        <v>6</v>
      </c>
      <c r="AK191">
        <v>4.78</v>
      </c>
      <c r="AL191">
        <v>2.38</v>
      </c>
      <c r="AM191">
        <v>7.85</v>
      </c>
      <c r="AN191">
        <v>6.34</v>
      </c>
      <c r="AO191">
        <v>-2.17</v>
      </c>
      <c r="AP191">
        <v>-2.7</v>
      </c>
      <c r="AQ191">
        <v>7.41</v>
      </c>
    </row>
    <row r="192" spans="1:43" x14ac:dyDescent="0.25">
      <c r="A192">
        <v>-16</v>
      </c>
      <c r="B192" t="s">
        <v>50</v>
      </c>
      <c r="C192">
        <v>43.988</v>
      </c>
      <c r="D192">
        <f t="shared" si="10"/>
        <v>-114.83699999999999</v>
      </c>
      <c r="E192">
        <v>20050908</v>
      </c>
      <c r="G192">
        <v>18021</v>
      </c>
      <c r="H192">
        <v>6</v>
      </c>
      <c r="I192">
        <v>0.47</v>
      </c>
      <c r="J192">
        <v>2709</v>
      </c>
      <c r="K192">
        <v>0.6</v>
      </c>
      <c r="L192">
        <v>18.79</v>
      </c>
      <c r="M192">
        <v>31</v>
      </c>
      <c r="N192">
        <v>6.81</v>
      </c>
      <c r="O192">
        <v>33</v>
      </c>
      <c r="P192">
        <v>1475</v>
      </c>
      <c r="Q192">
        <v>10038</v>
      </c>
      <c r="R192">
        <v>6.7</v>
      </c>
      <c r="S192">
        <v>1417</v>
      </c>
      <c r="T192">
        <v>9493</v>
      </c>
      <c r="U192">
        <v>6.81</v>
      </c>
      <c r="V192">
        <v>1456</v>
      </c>
      <c r="W192">
        <v>9907</v>
      </c>
      <c r="X192">
        <v>-999</v>
      </c>
      <c r="Y192">
        <v>-999</v>
      </c>
      <c r="Z192">
        <v>-999</v>
      </c>
      <c r="AA192">
        <v>-999</v>
      </c>
      <c r="AB192">
        <v>-999</v>
      </c>
      <c r="AC192">
        <v>-999</v>
      </c>
      <c r="AD192">
        <v>-999</v>
      </c>
      <c r="AE192">
        <v>-999</v>
      </c>
      <c r="AF192">
        <v>20.420000000000002</v>
      </c>
      <c r="AG192">
        <v>13.51</v>
      </c>
      <c r="AH192">
        <v>2</v>
      </c>
      <c r="AI192">
        <v>1</v>
      </c>
      <c r="AJ192">
        <v>3</v>
      </c>
      <c r="AK192">
        <v>4.51</v>
      </c>
      <c r="AL192">
        <v>5.0999999999999996</v>
      </c>
      <c r="AM192">
        <v>5.68</v>
      </c>
      <c r="AN192">
        <v>3.64</v>
      </c>
      <c r="AO192">
        <v>-0.65</v>
      </c>
      <c r="AP192">
        <v>6.1</v>
      </c>
      <c r="AQ192">
        <v>-37.04</v>
      </c>
    </row>
    <row r="193" spans="1:43" x14ac:dyDescent="0.25">
      <c r="A193">
        <v>-16</v>
      </c>
      <c r="B193" t="s">
        <v>50</v>
      </c>
      <c r="C193">
        <v>43.988</v>
      </c>
      <c r="D193">
        <f t="shared" si="10"/>
        <v>-114.83699999999999</v>
      </c>
      <c r="E193">
        <v>20050909</v>
      </c>
      <c r="G193">
        <v>27936</v>
      </c>
      <c r="H193">
        <v>7</v>
      </c>
      <c r="I193">
        <v>1.47</v>
      </c>
      <c r="J193">
        <v>9915</v>
      </c>
      <c r="K193">
        <v>2.19</v>
      </c>
      <c r="L193">
        <v>13.29</v>
      </c>
      <c r="M193">
        <v>38</v>
      </c>
      <c r="N193">
        <v>7.54</v>
      </c>
      <c r="O193">
        <v>33</v>
      </c>
      <c r="P193">
        <v>940</v>
      </c>
      <c r="Q193">
        <v>7088</v>
      </c>
      <c r="R193">
        <v>5.63</v>
      </c>
      <c r="S193">
        <v>680</v>
      </c>
      <c r="T193">
        <v>3828</v>
      </c>
      <c r="U193">
        <v>7.54</v>
      </c>
      <c r="V193">
        <v>928</v>
      </c>
      <c r="W193">
        <v>6995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21.28</v>
      </c>
      <c r="AG193">
        <v>5.0599999999999996</v>
      </c>
      <c r="AH193">
        <v>2</v>
      </c>
      <c r="AI193">
        <v>1</v>
      </c>
      <c r="AJ193">
        <v>3</v>
      </c>
      <c r="AK193">
        <v>7.17</v>
      </c>
      <c r="AL193">
        <v>2.3199999999999998</v>
      </c>
      <c r="AM193">
        <v>5.0199999999999996</v>
      </c>
      <c r="AN193">
        <v>9.75</v>
      </c>
      <c r="AO193">
        <v>7.3</v>
      </c>
      <c r="AP193">
        <v>3.72</v>
      </c>
      <c r="AQ193">
        <v>52.48</v>
      </c>
    </row>
    <row r="194" spans="1:43" x14ac:dyDescent="0.25">
      <c r="A194">
        <v>-16</v>
      </c>
      <c r="B194" t="s">
        <v>50</v>
      </c>
      <c r="C194">
        <v>43.988</v>
      </c>
      <c r="D194">
        <f t="shared" si="10"/>
        <v>-114.83699999999999</v>
      </c>
      <c r="E194">
        <v>20050910</v>
      </c>
      <c r="G194">
        <v>40483</v>
      </c>
      <c r="H194">
        <v>8</v>
      </c>
      <c r="I194">
        <v>1.52</v>
      </c>
      <c r="J194">
        <v>12547</v>
      </c>
      <c r="K194">
        <v>2.77</v>
      </c>
      <c r="L194">
        <v>4.9000000000000004</v>
      </c>
      <c r="M194">
        <v>35</v>
      </c>
      <c r="N194">
        <v>6.16</v>
      </c>
      <c r="O194">
        <v>28</v>
      </c>
      <c r="P194">
        <v>564</v>
      </c>
      <c r="Q194">
        <v>3477</v>
      </c>
      <c r="R194">
        <v>5.96</v>
      </c>
      <c r="S194">
        <v>538</v>
      </c>
      <c r="T194">
        <v>3205</v>
      </c>
      <c r="U194">
        <v>6.16</v>
      </c>
      <c r="V194">
        <v>557</v>
      </c>
      <c r="W194">
        <v>3431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22.27</v>
      </c>
      <c r="AG194">
        <v>11.45</v>
      </c>
      <c r="AH194">
        <v>3</v>
      </c>
      <c r="AI194">
        <v>1</v>
      </c>
      <c r="AJ194">
        <v>4</v>
      </c>
      <c r="AK194">
        <v>5.86</v>
      </c>
      <c r="AL194">
        <v>1.92</v>
      </c>
      <c r="AM194">
        <v>12.32</v>
      </c>
      <c r="AN194">
        <v>13.47</v>
      </c>
      <c r="AO194">
        <v>2.69</v>
      </c>
      <c r="AP194">
        <v>-12.01</v>
      </c>
      <c r="AQ194">
        <v>184.26</v>
      </c>
    </row>
    <row r="195" spans="1:43" x14ac:dyDescent="0.25">
      <c r="A195">
        <v>-16</v>
      </c>
      <c r="B195" t="s">
        <v>50</v>
      </c>
      <c r="C195">
        <v>43.988</v>
      </c>
      <c r="D195">
        <f t="shared" si="10"/>
        <v>-114.83699999999999</v>
      </c>
      <c r="E195">
        <v>20050911</v>
      </c>
      <c r="G195">
        <v>40786</v>
      </c>
      <c r="H195">
        <v>9</v>
      </c>
      <c r="I195">
        <v>0.03</v>
      </c>
      <c r="J195">
        <v>303</v>
      </c>
      <c r="K195">
        <v>7.0000000000000007E-2</v>
      </c>
      <c r="L195">
        <v>6.76</v>
      </c>
      <c r="M195">
        <v>33</v>
      </c>
      <c r="N195">
        <v>4.7699999999999996</v>
      </c>
      <c r="O195">
        <v>22</v>
      </c>
      <c r="P195">
        <v>661</v>
      </c>
      <c r="Q195">
        <v>3148</v>
      </c>
      <c r="R195">
        <v>4.3</v>
      </c>
      <c r="S195">
        <v>607</v>
      </c>
      <c r="T195">
        <v>2614</v>
      </c>
      <c r="U195">
        <v>4.7699999999999996</v>
      </c>
      <c r="V195">
        <v>652</v>
      </c>
      <c r="W195">
        <v>3106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22.57</v>
      </c>
      <c r="AG195">
        <v>10.47</v>
      </c>
      <c r="AH195">
        <v>3</v>
      </c>
      <c r="AI195">
        <v>1</v>
      </c>
      <c r="AJ195">
        <v>4</v>
      </c>
      <c r="AK195">
        <v>4.76</v>
      </c>
      <c r="AL195">
        <v>-0.25</v>
      </c>
      <c r="AM195">
        <v>15.02</v>
      </c>
      <c r="AN195">
        <v>1.46</v>
      </c>
      <c r="AO195">
        <v>-6.19</v>
      </c>
      <c r="AP195">
        <v>1</v>
      </c>
      <c r="AQ195">
        <v>-24.12</v>
      </c>
    </row>
    <row r="196" spans="1:43" x14ac:dyDescent="0.25">
      <c r="A196">
        <v>-16</v>
      </c>
      <c r="B196" t="s">
        <v>50</v>
      </c>
      <c r="C196">
        <v>43.988</v>
      </c>
      <c r="D196">
        <f t="shared" si="10"/>
        <v>-114.83699999999999</v>
      </c>
      <c r="E196">
        <v>20050912</v>
      </c>
      <c r="H196">
        <v>10</v>
      </c>
      <c r="L196">
        <v>7.2</v>
      </c>
      <c r="M196">
        <v>40</v>
      </c>
      <c r="N196">
        <v>6.61</v>
      </c>
      <c r="O196">
        <v>28</v>
      </c>
      <c r="P196">
        <v>610</v>
      </c>
      <c r="Q196">
        <v>4026</v>
      </c>
      <c r="R196">
        <v>5.7</v>
      </c>
      <c r="S196">
        <v>554</v>
      </c>
      <c r="T196">
        <v>3154</v>
      </c>
      <c r="U196">
        <v>6.61</v>
      </c>
      <c r="V196">
        <v>602</v>
      </c>
      <c r="W196">
        <v>3974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19.010000000000002</v>
      </c>
      <c r="AG196">
        <v>7.73</v>
      </c>
      <c r="AH196">
        <v>2</v>
      </c>
      <c r="AI196">
        <v>1</v>
      </c>
      <c r="AJ196">
        <v>3</v>
      </c>
      <c r="AK196">
        <v>6.53</v>
      </c>
      <c r="AL196">
        <v>1.01</v>
      </c>
      <c r="AM196">
        <v>8.83</v>
      </c>
      <c r="AN196">
        <v>2.46</v>
      </c>
      <c r="AO196">
        <v>3.04</v>
      </c>
      <c r="AP196">
        <v>-2.23</v>
      </c>
      <c r="AQ196">
        <v>27.19</v>
      </c>
    </row>
    <row r="197" spans="1:43" x14ac:dyDescent="0.25">
      <c r="A197">
        <v>-16</v>
      </c>
      <c r="B197" t="s">
        <v>50</v>
      </c>
      <c r="C197">
        <v>43.988</v>
      </c>
      <c r="D197">
        <f t="shared" si="10"/>
        <v>-114.83699999999999</v>
      </c>
      <c r="E197">
        <v>20050913</v>
      </c>
      <c r="G197">
        <v>40838</v>
      </c>
      <c r="H197">
        <v>11</v>
      </c>
      <c r="L197">
        <v>9.4600000000000009</v>
      </c>
      <c r="M197">
        <v>47</v>
      </c>
      <c r="N197">
        <v>4.6399999999999997</v>
      </c>
      <c r="O197">
        <v>18</v>
      </c>
      <c r="P197">
        <v>626</v>
      </c>
      <c r="Q197">
        <v>2906</v>
      </c>
      <c r="R197">
        <v>4.33</v>
      </c>
      <c r="S197">
        <v>632</v>
      </c>
      <c r="T197">
        <v>2738</v>
      </c>
      <c r="U197">
        <v>4.6399999999999997</v>
      </c>
      <c r="V197">
        <v>650</v>
      </c>
      <c r="W197">
        <v>3014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19.63</v>
      </c>
      <c r="AG197">
        <v>7.43</v>
      </c>
      <c r="AH197">
        <v>2</v>
      </c>
      <c r="AI197">
        <v>1</v>
      </c>
      <c r="AJ197">
        <v>3</v>
      </c>
      <c r="AK197">
        <v>3.82</v>
      </c>
      <c r="AL197">
        <v>-2.64</v>
      </c>
      <c r="AM197">
        <v>11.87</v>
      </c>
      <c r="AN197">
        <v>0.23</v>
      </c>
      <c r="AO197">
        <v>-5.19</v>
      </c>
      <c r="AP197">
        <v>-2.4500000000000002</v>
      </c>
      <c r="AQ197">
        <v>27.89</v>
      </c>
    </row>
    <row r="198" spans="1:43" x14ac:dyDescent="0.25">
      <c r="A198">
        <v>-16</v>
      </c>
      <c r="B198" t="s">
        <v>50</v>
      </c>
      <c r="C198">
        <v>43.988</v>
      </c>
      <c r="D198">
        <f t="shared" si="10"/>
        <v>-114.83699999999999</v>
      </c>
      <c r="E198">
        <v>20050914</v>
      </c>
      <c r="H198">
        <v>12</v>
      </c>
      <c r="L198">
        <v>10.29</v>
      </c>
      <c r="M198">
        <v>42</v>
      </c>
      <c r="N198">
        <v>6.61</v>
      </c>
      <c r="O198">
        <v>27</v>
      </c>
      <c r="P198">
        <v>724</v>
      </c>
      <c r="Q198">
        <v>4784</v>
      </c>
      <c r="R198">
        <v>5.86</v>
      </c>
      <c r="S198">
        <v>684</v>
      </c>
      <c r="T198">
        <v>4008</v>
      </c>
      <c r="U198">
        <v>6.61</v>
      </c>
      <c r="V198">
        <v>715</v>
      </c>
      <c r="W198">
        <v>4721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16.97</v>
      </c>
      <c r="AG198">
        <v>7.69</v>
      </c>
      <c r="AH198">
        <v>1</v>
      </c>
      <c r="AI198">
        <v>1</v>
      </c>
      <c r="AJ198">
        <v>2</v>
      </c>
      <c r="AK198">
        <v>6.6</v>
      </c>
      <c r="AL198">
        <v>0.39</v>
      </c>
      <c r="AM198">
        <v>6.67</v>
      </c>
      <c r="AN198">
        <v>-2.2200000000000002</v>
      </c>
      <c r="AO198">
        <v>4.03</v>
      </c>
      <c r="AP198">
        <v>1.5</v>
      </c>
      <c r="AQ198">
        <v>-18.98</v>
      </c>
    </row>
    <row r="199" spans="1:43" x14ac:dyDescent="0.25">
      <c r="A199">
        <v>-16</v>
      </c>
      <c r="B199" t="s">
        <v>50</v>
      </c>
      <c r="C199">
        <v>43.988</v>
      </c>
      <c r="D199">
        <f t="shared" si="10"/>
        <v>-114.83699999999999</v>
      </c>
      <c r="E199">
        <v>20050915</v>
      </c>
      <c r="H199">
        <v>13</v>
      </c>
      <c r="L199">
        <v>12.14</v>
      </c>
      <c r="M199">
        <v>35</v>
      </c>
      <c r="N199">
        <v>8.31</v>
      </c>
      <c r="O199">
        <v>38</v>
      </c>
      <c r="P199">
        <v>916</v>
      </c>
      <c r="Q199">
        <v>7611</v>
      </c>
      <c r="R199">
        <v>8.49</v>
      </c>
      <c r="S199">
        <v>922</v>
      </c>
      <c r="T199">
        <v>7834</v>
      </c>
      <c r="U199">
        <v>8.31</v>
      </c>
      <c r="V199">
        <v>939</v>
      </c>
      <c r="W199">
        <v>7809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19.07</v>
      </c>
      <c r="AG199">
        <v>11.91</v>
      </c>
      <c r="AH199">
        <v>2</v>
      </c>
      <c r="AI199">
        <v>1</v>
      </c>
      <c r="AJ199">
        <v>3</v>
      </c>
      <c r="AK199">
        <v>7.14</v>
      </c>
      <c r="AL199">
        <v>4.25</v>
      </c>
      <c r="AM199">
        <v>10.7</v>
      </c>
      <c r="AN199">
        <v>-0.71</v>
      </c>
      <c r="AO199">
        <v>2.27</v>
      </c>
      <c r="AP199">
        <v>9.83</v>
      </c>
      <c r="AQ199">
        <v>-106.85</v>
      </c>
    </row>
    <row r="200" spans="1:43" x14ac:dyDescent="0.25">
      <c r="A200">
        <v>-16</v>
      </c>
      <c r="B200" t="s">
        <v>50</v>
      </c>
      <c r="C200">
        <v>43.988</v>
      </c>
      <c r="D200">
        <f t="shared" si="10"/>
        <v>-114.83699999999999</v>
      </c>
      <c r="E200">
        <v>20050916</v>
      </c>
      <c r="G200">
        <v>40868</v>
      </c>
      <c r="H200">
        <v>14</v>
      </c>
      <c r="L200">
        <v>10.93</v>
      </c>
      <c r="M200">
        <v>42</v>
      </c>
      <c r="N200">
        <v>6.73</v>
      </c>
      <c r="O200">
        <v>28</v>
      </c>
      <c r="P200">
        <v>755</v>
      </c>
      <c r="Q200">
        <v>5081</v>
      </c>
      <c r="R200">
        <v>7.37</v>
      </c>
      <c r="S200">
        <v>717</v>
      </c>
      <c r="T200">
        <v>5288</v>
      </c>
      <c r="U200">
        <v>7.33</v>
      </c>
      <c r="V200">
        <v>745</v>
      </c>
      <c r="W200">
        <v>5467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21.46</v>
      </c>
      <c r="AG200">
        <v>7.77</v>
      </c>
      <c r="AH200">
        <v>2</v>
      </c>
      <c r="AI200">
        <v>1</v>
      </c>
      <c r="AJ200">
        <v>3</v>
      </c>
      <c r="AK200">
        <v>5.45</v>
      </c>
      <c r="AL200">
        <v>3.95</v>
      </c>
      <c r="AM200">
        <v>12.97</v>
      </c>
      <c r="AN200">
        <v>9.1199999999999992</v>
      </c>
      <c r="AO200">
        <v>-2.2200000000000002</v>
      </c>
      <c r="AP200">
        <v>-1.18</v>
      </c>
      <c r="AQ200">
        <v>-5.01</v>
      </c>
    </row>
    <row r="202" spans="1:43" x14ac:dyDescent="0.25">
      <c r="A202">
        <v>-17</v>
      </c>
      <c r="B202" t="s">
        <v>51</v>
      </c>
      <c r="C202">
        <v>37.567</v>
      </c>
      <c r="D202">
        <f>239.952-360</f>
        <v>-120.048</v>
      </c>
      <c r="E202">
        <v>20080725</v>
      </c>
      <c r="F202">
        <v>20080704</v>
      </c>
      <c r="G202">
        <v>1286</v>
      </c>
      <c r="H202">
        <v>1</v>
      </c>
      <c r="I202">
        <v>1.55</v>
      </c>
      <c r="J202">
        <v>1286</v>
      </c>
      <c r="K202">
        <v>0.3</v>
      </c>
      <c r="L202">
        <v>36.19</v>
      </c>
      <c r="M202">
        <v>11</v>
      </c>
      <c r="N202">
        <v>4.82</v>
      </c>
      <c r="O202">
        <v>30</v>
      </c>
      <c r="P202">
        <v>5094</v>
      </c>
      <c r="Q202">
        <v>24568</v>
      </c>
      <c r="R202">
        <v>4.34</v>
      </c>
      <c r="S202">
        <v>4350</v>
      </c>
      <c r="T202">
        <v>18874</v>
      </c>
      <c r="U202">
        <v>4.82</v>
      </c>
      <c r="V202">
        <v>5028</v>
      </c>
      <c r="W202">
        <v>24246</v>
      </c>
      <c r="X202">
        <v>-999</v>
      </c>
      <c r="Y202">
        <v>-999</v>
      </c>
      <c r="Z202">
        <v>-999</v>
      </c>
      <c r="AA202">
        <v>-999</v>
      </c>
      <c r="AB202">
        <v>10.88</v>
      </c>
      <c r="AC202">
        <v>27.61</v>
      </c>
      <c r="AD202">
        <v>2</v>
      </c>
      <c r="AE202">
        <v>3</v>
      </c>
      <c r="AF202">
        <v>20.84</v>
      </c>
      <c r="AG202">
        <v>37.11</v>
      </c>
      <c r="AH202">
        <v>2</v>
      </c>
      <c r="AI202">
        <v>3</v>
      </c>
      <c r="AJ202">
        <v>5</v>
      </c>
      <c r="AK202">
        <v>4.37</v>
      </c>
      <c r="AL202">
        <v>-2.0499999999999998</v>
      </c>
      <c r="AM202">
        <v>6.83</v>
      </c>
      <c r="AN202">
        <v>0.27</v>
      </c>
      <c r="AO202">
        <v>0.81</v>
      </c>
      <c r="AP202">
        <v>-2.2400000000000002</v>
      </c>
      <c r="AQ202">
        <v>15.48</v>
      </c>
    </row>
    <row r="203" spans="1:43" x14ac:dyDescent="0.25">
      <c r="A203">
        <v>-17</v>
      </c>
      <c r="B203" t="s">
        <v>51</v>
      </c>
      <c r="C203">
        <v>37.567</v>
      </c>
      <c r="D203">
        <f t="shared" ref="D203:D209" si="11">239.952-360</f>
        <v>-120.048</v>
      </c>
      <c r="E203">
        <v>20080726</v>
      </c>
      <c r="G203">
        <v>18152</v>
      </c>
      <c r="H203">
        <v>2</v>
      </c>
      <c r="I203">
        <v>4.28</v>
      </c>
      <c r="J203">
        <v>16866</v>
      </c>
      <c r="K203">
        <v>3.96</v>
      </c>
      <c r="L203">
        <v>36.82</v>
      </c>
      <c r="M203">
        <v>8</v>
      </c>
      <c r="N203">
        <v>4.25</v>
      </c>
      <c r="O203">
        <v>28</v>
      </c>
      <c r="P203">
        <v>5439</v>
      </c>
      <c r="Q203">
        <v>23104</v>
      </c>
      <c r="R203">
        <v>4.88</v>
      </c>
      <c r="S203">
        <v>4973</v>
      </c>
      <c r="T203">
        <v>24277</v>
      </c>
      <c r="U203">
        <v>5.12</v>
      </c>
      <c r="V203">
        <v>5368</v>
      </c>
      <c r="W203">
        <v>27497</v>
      </c>
      <c r="X203">
        <v>-999</v>
      </c>
      <c r="Y203">
        <v>-999</v>
      </c>
      <c r="Z203">
        <v>-999</v>
      </c>
      <c r="AA203">
        <v>-999</v>
      </c>
      <c r="AB203">
        <v>12.68</v>
      </c>
      <c r="AC203">
        <v>32.82</v>
      </c>
      <c r="AD203">
        <v>3</v>
      </c>
      <c r="AE203">
        <v>3</v>
      </c>
      <c r="AF203">
        <v>20.100000000000001</v>
      </c>
      <c r="AG203">
        <v>33.659999999999997</v>
      </c>
      <c r="AH203">
        <v>2</v>
      </c>
      <c r="AI203">
        <v>3</v>
      </c>
      <c r="AJ203">
        <v>5</v>
      </c>
      <c r="AK203">
        <v>4.01</v>
      </c>
      <c r="AL203">
        <v>-1.41</v>
      </c>
      <c r="AM203">
        <v>7.64</v>
      </c>
      <c r="AN203">
        <v>-1.97</v>
      </c>
      <c r="AO203">
        <v>-0.08</v>
      </c>
      <c r="AP203">
        <v>0.2</v>
      </c>
      <c r="AQ203">
        <v>-1.33</v>
      </c>
    </row>
    <row r="204" spans="1:43" x14ac:dyDescent="0.25">
      <c r="A204">
        <v>-17</v>
      </c>
      <c r="B204" t="s">
        <v>51</v>
      </c>
      <c r="C204">
        <v>37.567</v>
      </c>
      <c r="D204">
        <f t="shared" si="11"/>
        <v>-120.048</v>
      </c>
      <c r="E204">
        <v>20080727</v>
      </c>
      <c r="G204">
        <v>26132</v>
      </c>
      <c r="H204">
        <v>3</v>
      </c>
      <c r="I204">
        <v>2.33</v>
      </c>
      <c r="J204">
        <v>7980</v>
      </c>
      <c r="K204">
        <v>1.87</v>
      </c>
      <c r="L204">
        <v>33.49</v>
      </c>
      <c r="M204">
        <v>13</v>
      </c>
      <c r="N204">
        <v>4.2699999999999996</v>
      </c>
      <c r="O204">
        <v>26</v>
      </c>
      <c r="P204">
        <v>4325</v>
      </c>
      <c r="Q204">
        <v>18460</v>
      </c>
      <c r="R204">
        <v>3.68</v>
      </c>
      <c r="S204">
        <v>3767</v>
      </c>
      <c r="T204">
        <v>13858</v>
      </c>
      <c r="U204">
        <v>4.2699999999999996</v>
      </c>
      <c r="V204">
        <v>4268</v>
      </c>
      <c r="W204">
        <v>18219</v>
      </c>
      <c r="X204">
        <v>-999</v>
      </c>
      <c r="Y204">
        <v>-999</v>
      </c>
      <c r="Z204">
        <v>-999</v>
      </c>
      <c r="AA204">
        <v>-999</v>
      </c>
      <c r="AB204">
        <v>10.11</v>
      </c>
      <c r="AC204">
        <v>26.49</v>
      </c>
      <c r="AD204">
        <v>2</v>
      </c>
      <c r="AE204">
        <v>3</v>
      </c>
      <c r="AF204">
        <v>22.04</v>
      </c>
      <c r="AG204">
        <v>32.26</v>
      </c>
      <c r="AH204">
        <v>3</v>
      </c>
      <c r="AI204">
        <v>3</v>
      </c>
      <c r="AJ204">
        <v>6</v>
      </c>
      <c r="AK204">
        <v>4.09</v>
      </c>
      <c r="AL204">
        <v>-1.22</v>
      </c>
      <c r="AM204">
        <v>7.55</v>
      </c>
      <c r="AN204">
        <v>-1.77</v>
      </c>
      <c r="AO204">
        <v>7.0000000000000007E-2</v>
      </c>
      <c r="AP204">
        <v>1.82</v>
      </c>
      <c r="AQ204">
        <v>-13.86</v>
      </c>
    </row>
    <row r="205" spans="1:43" x14ac:dyDescent="0.25">
      <c r="A205">
        <v>-17</v>
      </c>
      <c r="B205" t="s">
        <v>51</v>
      </c>
      <c r="C205">
        <v>37.567</v>
      </c>
      <c r="D205">
        <f t="shared" si="11"/>
        <v>-120.048</v>
      </c>
      <c r="E205">
        <v>20080728</v>
      </c>
      <c r="G205">
        <v>29600</v>
      </c>
      <c r="H205">
        <v>4</v>
      </c>
      <c r="I205">
        <v>0.45</v>
      </c>
      <c r="J205">
        <v>3468</v>
      </c>
      <c r="K205">
        <v>0.81</v>
      </c>
      <c r="L205">
        <v>32.68</v>
      </c>
      <c r="M205">
        <v>15</v>
      </c>
      <c r="N205">
        <v>4.3600000000000003</v>
      </c>
      <c r="O205">
        <v>26</v>
      </c>
      <c r="P205">
        <v>4046</v>
      </c>
      <c r="Q205">
        <v>17630</v>
      </c>
      <c r="R205">
        <v>3.63</v>
      </c>
      <c r="S205">
        <v>3334</v>
      </c>
      <c r="T205">
        <v>12116</v>
      </c>
      <c r="U205">
        <v>4.3600000000000003</v>
      </c>
      <c r="V205">
        <v>3993</v>
      </c>
      <c r="W205">
        <v>17399</v>
      </c>
      <c r="X205">
        <v>-999</v>
      </c>
      <c r="Y205">
        <v>-999</v>
      </c>
      <c r="Z205">
        <v>-999</v>
      </c>
      <c r="AA205">
        <v>-999</v>
      </c>
      <c r="AB205">
        <v>8.07</v>
      </c>
      <c r="AC205">
        <v>20.86</v>
      </c>
      <c r="AD205">
        <v>2</v>
      </c>
      <c r="AE205">
        <v>3</v>
      </c>
      <c r="AF205">
        <v>22.29</v>
      </c>
      <c r="AG205">
        <v>23.16</v>
      </c>
      <c r="AH205">
        <v>3</v>
      </c>
      <c r="AI205">
        <v>3</v>
      </c>
      <c r="AJ205">
        <v>6</v>
      </c>
      <c r="AK205">
        <v>3.95</v>
      </c>
      <c r="AL205">
        <v>-1.83</v>
      </c>
      <c r="AM205">
        <v>7.63</v>
      </c>
      <c r="AN205">
        <v>0.04</v>
      </c>
      <c r="AO205">
        <v>0.39</v>
      </c>
      <c r="AP205">
        <v>-1.02</v>
      </c>
      <c r="AQ205">
        <v>7.78</v>
      </c>
    </row>
    <row r="206" spans="1:43" x14ac:dyDescent="0.25">
      <c r="A206">
        <v>-17</v>
      </c>
      <c r="B206" t="s">
        <v>51</v>
      </c>
      <c r="C206">
        <v>37.567</v>
      </c>
      <c r="D206">
        <f t="shared" si="11"/>
        <v>-120.048</v>
      </c>
      <c r="E206">
        <v>20080729</v>
      </c>
      <c r="G206">
        <v>32757</v>
      </c>
      <c r="H206">
        <v>5</v>
      </c>
      <c r="I206">
        <v>1.57</v>
      </c>
      <c r="J206">
        <v>3157</v>
      </c>
      <c r="K206">
        <v>0.74</v>
      </c>
      <c r="L206">
        <v>31.72</v>
      </c>
      <c r="M206">
        <v>17</v>
      </c>
      <c r="N206">
        <v>4.91</v>
      </c>
      <c r="O206">
        <v>29</v>
      </c>
      <c r="P206">
        <v>3753</v>
      </c>
      <c r="Q206">
        <v>18445</v>
      </c>
      <c r="R206">
        <v>4.76</v>
      </c>
      <c r="S206">
        <v>3244</v>
      </c>
      <c r="T206">
        <v>15429</v>
      </c>
      <c r="U206">
        <v>4.91</v>
      </c>
      <c r="V206">
        <v>3704</v>
      </c>
      <c r="W206">
        <v>18203</v>
      </c>
      <c r="X206">
        <v>-999</v>
      </c>
      <c r="Y206">
        <v>-999</v>
      </c>
      <c r="Z206">
        <v>-999</v>
      </c>
      <c r="AA206">
        <v>-999</v>
      </c>
      <c r="AB206">
        <v>8.82</v>
      </c>
      <c r="AC206">
        <v>17.73</v>
      </c>
      <c r="AD206">
        <v>2</v>
      </c>
      <c r="AE206">
        <v>3</v>
      </c>
      <c r="AF206">
        <v>19.43</v>
      </c>
      <c r="AG206">
        <v>33.19</v>
      </c>
      <c r="AH206">
        <v>2</v>
      </c>
      <c r="AI206">
        <v>3</v>
      </c>
      <c r="AJ206">
        <v>5</v>
      </c>
      <c r="AK206">
        <v>4.1100000000000003</v>
      </c>
      <c r="AL206">
        <v>-2.69</v>
      </c>
      <c r="AM206">
        <v>8.02</v>
      </c>
      <c r="AN206">
        <v>-0.97</v>
      </c>
      <c r="AO206">
        <v>-0.28000000000000003</v>
      </c>
      <c r="AP206">
        <v>-0.81</v>
      </c>
      <c r="AQ206">
        <v>6.76</v>
      </c>
    </row>
    <row r="207" spans="1:43" x14ac:dyDescent="0.25">
      <c r="A207">
        <v>-17</v>
      </c>
      <c r="B207" t="s">
        <v>51</v>
      </c>
      <c r="C207">
        <v>37.567</v>
      </c>
      <c r="D207">
        <f t="shared" si="11"/>
        <v>-120.048</v>
      </c>
      <c r="E207">
        <v>20080730</v>
      </c>
      <c r="G207">
        <v>33705</v>
      </c>
      <c r="H207">
        <v>6</v>
      </c>
      <c r="I207">
        <v>0.11</v>
      </c>
      <c r="J207">
        <v>948</v>
      </c>
      <c r="K207">
        <v>0.22</v>
      </c>
      <c r="L207">
        <v>33.229999999999997</v>
      </c>
      <c r="M207">
        <v>9</v>
      </c>
      <c r="N207">
        <v>4.0999999999999996</v>
      </c>
      <c r="O207">
        <v>27</v>
      </c>
      <c r="P207">
        <v>4462</v>
      </c>
      <c r="Q207">
        <v>18282</v>
      </c>
      <c r="R207">
        <v>3.67</v>
      </c>
      <c r="S207">
        <v>3733</v>
      </c>
      <c r="T207">
        <v>13681</v>
      </c>
      <c r="U207">
        <v>4.0999999999999996</v>
      </c>
      <c r="V207">
        <v>4403</v>
      </c>
      <c r="W207">
        <v>18043</v>
      </c>
      <c r="X207">
        <v>-999</v>
      </c>
      <c r="Y207">
        <v>-999</v>
      </c>
      <c r="Z207">
        <v>-999</v>
      </c>
      <c r="AA207">
        <v>-999</v>
      </c>
      <c r="AB207">
        <v>10.86</v>
      </c>
      <c r="AC207">
        <v>22.81</v>
      </c>
      <c r="AD207">
        <v>2</v>
      </c>
      <c r="AE207">
        <v>3</v>
      </c>
      <c r="AF207">
        <v>16.14</v>
      </c>
      <c r="AG207">
        <v>30.63</v>
      </c>
      <c r="AH207">
        <v>1</v>
      </c>
      <c r="AI207">
        <v>3</v>
      </c>
      <c r="AJ207">
        <v>4</v>
      </c>
      <c r="AK207">
        <v>3.33</v>
      </c>
      <c r="AL207">
        <v>-2.38</v>
      </c>
      <c r="AM207">
        <v>7.74</v>
      </c>
      <c r="AN207">
        <v>-1.78</v>
      </c>
      <c r="AO207">
        <v>-0.64</v>
      </c>
      <c r="AP207">
        <v>-0.16</v>
      </c>
      <c r="AQ207">
        <v>2.4</v>
      </c>
    </row>
    <row r="208" spans="1:43" x14ac:dyDescent="0.25">
      <c r="A208">
        <v>-17</v>
      </c>
      <c r="B208" t="s">
        <v>51</v>
      </c>
      <c r="C208">
        <v>37.567</v>
      </c>
      <c r="D208">
        <f t="shared" si="11"/>
        <v>-120.048</v>
      </c>
      <c r="E208">
        <v>20080731</v>
      </c>
      <c r="G208">
        <v>34034</v>
      </c>
      <c r="H208">
        <v>7</v>
      </c>
      <c r="I208">
        <v>1.1399999999999999</v>
      </c>
      <c r="J208">
        <v>329</v>
      </c>
      <c r="K208">
        <v>0.08</v>
      </c>
      <c r="L208">
        <v>33.950000000000003</v>
      </c>
      <c r="M208">
        <v>12</v>
      </c>
      <c r="N208">
        <v>4.0199999999999996</v>
      </c>
      <c r="O208">
        <v>25</v>
      </c>
      <c r="P208">
        <v>4482</v>
      </c>
      <c r="Q208">
        <v>18013</v>
      </c>
      <c r="R208">
        <v>3.86</v>
      </c>
      <c r="S208">
        <v>3765</v>
      </c>
      <c r="T208">
        <v>14519</v>
      </c>
      <c r="U208">
        <v>4.0199999999999996</v>
      </c>
      <c r="V208">
        <v>4424</v>
      </c>
      <c r="W208">
        <v>17777</v>
      </c>
      <c r="X208">
        <v>-999</v>
      </c>
      <c r="Y208">
        <v>-999</v>
      </c>
      <c r="Z208">
        <v>-999</v>
      </c>
      <c r="AA208">
        <v>-999</v>
      </c>
      <c r="AB208">
        <v>10.98</v>
      </c>
      <c r="AC208">
        <v>27.17</v>
      </c>
      <c r="AD208">
        <v>2</v>
      </c>
      <c r="AE208">
        <v>3</v>
      </c>
      <c r="AF208">
        <v>17.89</v>
      </c>
      <c r="AG208">
        <v>27.56</v>
      </c>
      <c r="AH208">
        <v>1</v>
      </c>
      <c r="AI208">
        <v>3</v>
      </c>
      <c r="AJ208">
        <v>4</v>
      </c>
      <c r="AK208">
        <v>3.92</v>
      </c>
      <c r="AL208">
        <v>-0.88</v>
      </c>
      <c r="AM208">
        <v>7.1</v>
      </c>
      <c r="AN208">
        <v>-1.95</v>
      </c>
      <c r="AO208">
        <v>0.86</v>
      </c>
      <c r="AP208">
        <v>1.63</v>
      </c>
      <c r="AQ208">
        <v>-13.25</v>
      </c>
    </row>
    <row r="209" spans="1:43" x14ac:dyDescent="0.25">
      <c r="A209">
        <v>-17</v>
      </c>
      <c r="B209" t="s">
        <v>51</v>
      </c>
      <c r="C209">
        <v>37.567</v>
      </c>
      <c r="D209">
        <f t="shared" si="11"/>
        <v>-120.048</v>
      </c>
      <c r="E209">
        <v>20080801</v>
      </c>
      <c r="G209">
        <v>34091</v>
      </c>
      <c r="H209">
        <v>8</v>
      </c>
      <c r="I209">
        <v>0.01</v>
      </c>
      <c r="J209">
        <v>57</v>
      </c>
      <c r="K209">
        <v>0.01</v>
      </c>
      <c r="L209">
        <v>35.46</v>
      </c>
      <c r="M209">
        <v>9</v>
      </c>
      <c r="N209">
        <v>5.39</v>
      </c>
      <c r="O209">
        <v>35</v>
      </c>
      <c r="P209">
        <v>5014</v>
      </c>
      <c r="Q209">
        <v>27000</v>
      </c>
      <c r="R209">
        <v>5.57</v>
      </c>
      <c r="S209">
        <v>4365</v>
      </c>
      <c r="T209">
        <v>24321</v>
      </c>
      <c r="U209">
        <v>5.82</v>
      </c>
      <c r="V209">
        <v>4948</v>
      </c>
      <c r="W209">
        <v>28804</v>
      </c>
      <c r="X209">
        <v>-999</v>
      </c>
      <c r="Y209">
        <v>-999</v>
      </c>
      <c r="Z209">
        <v>-999</v>
      </c>
      <c r="AA209">
        <v>-999</v>
      </c>
      <c r="AB209">
        <v>13.37</v>
      </c>
      <c r="AC209">
        <v>30.37</v>
      </c>
      <c r="AD209">
        <v>3</v>
      </c>
      <c r="AE209">
        <v>3</v>
      </c>
      <c r="AF209">
        <v>20.66</v>
      </c>
      <c r="AG209">
        <v>22.87</v>
      </c>
      <c r="AH209">
        <v>2</v>
      </c>
      <c r="AI209">
        <v>3</v>
      </c>
      <c r="AJ209">
        <v>5</v>
      </c>
      <c r="AK209">
        <v>4.08</v>
      </c>
      <c r="AL209">
        <v>-3.52</v>
      </c>
      <c r="AM209">
        <v>7.96</v>
      </c>
      <c r="AN209">
        <v>-0.32</v>
      </c>
      <c r="AO209">
        <v>0.22</v>
      </c>
      <c r="AP209">
        <v>-3.88</v>
      </c>
      <c r="AQ209">
        <v>30.83</v>
      </c>
    </row>
    <row r="211" spans="1:43" x14ac:dyDescent="0.25">
      <c r="A211">
        <v>-18</v>
      </c>
      <c r="B211" t="s">
        <v>52</v>
      </c>
      <c r="C211">
        <v>40.262</v>
      </c>
      <c r="D211">
        <f>239.155-360</f>
        <v>-120.845</v>
      </c>
      <c r="E211">
        <v>20070903</v>
      </c>
      <c r="F211">
        <v>20070813</v>
      </c>
      <c r="G211">
        <v>242</v>
      </c>
      <c r="H211">
        <v>1</v>
      </c>
      <c r="I211">
        <v>0.61</v>
      </c>
      <c r="J211">
        <v>242</v>
      </c>
      <c r="K211">
        <v>0.04</v>
      </c>
      <c r="L211">
        <v>25.52</v>
      </c>
      <c r="M211">
        <v>14</v>
      </c>
      <c r="N211">
        <v>7.11</v>
      </c>
      <c r="O211">
        <v>42</v>
      </c>
      <c r="P211">
        <v>2742</v>
      </c>
      <c r="Q211">
        <v>19493</v>
      </c>
      <c r="R211">
        <v>8.4</v>
      </c>
      <c r="S211">
        <v>2432</v>
      </c>
      <c r="T211">
        <v>20422</v>
      </c>
      <c r="U211">
        <v>8.9499999999999993</v>
      </c>
      <c r="V211">
        <v>2706</v>
      </c>
      <c r="W211">
        <v>24208</v>
      </c>
      <c r="X211">
        <v>-999</v>
      </c>
      <c r="Y211">
        <v>-999</v>
      </c>
      <c r="Z211">
        <v>-999</v>
      </c>
      <c r="AA211">
        <v>-999</v>
      </c>
      <c r="AB211">
        <v>-999</v>
      </c>
      <c r="AC211">
        <v>-999</v>
      </c>
      <c r="AD211">
        <v>-999</v>
      </c>
      <c r="AE211">
        <v>-999</v>
      </c>
      <c r="AF211">
        <v>17.170000000000002</v>
      </c>
      <c r="AG211">
        <v>24.94</v>
      </c>
      <c r="AH211">
        <v>1</v>
      </c>
      <c r="AI211">
        <v>3</v>
      </c>
      <c r="AJ211">
        <v>4</v>
      </c>
      <c r="AK211">
        <v>6.17</v>
      </c>
      <c r="AL211">
        <v>3.53</v>
      </c>
      <c r="AM211">
        <v>6.36</v>
      </c>
      <c r="AN211">
        <v>4.9800000000000004</v>
      </c>
      <c r="AO211">
        <v>2.12</v>
      </c>
      <c r="AP211">
        <v>1.53</v>
      </c>
      <c r="AQ211">
        <v>0.86</v>
      </c>
    </row>
    <row r="212" spans="1:43" x14ac:dyDescent="0.25">
      <c r="A212">
        <v>-18</v>
      </c>
      <c r="B212" t="s">
        <v>52</v>
      </c>
      <c r="C212">
        <v>40.262</v>
      </c>
      <c r="D212">
        <f t="shared" ref="D212:D221" si="12">239.155-360</f>
        <v>-120.845</v>
      </c>
      <c r="E212">
        <v>20070904</v>
      </c>
      <c r="G212">
        <v>1810</v>
      </c>
      <c r="H212">
        <v>2</v>
      </c>
      <c r="I212">
        <v>1.06</v>
      </c>
      <c r="J212">
        <v>1568</v>
      </c>
      <c r="K212">
        <v>0.24</v>
      </c>
      <c r="L212">
        <v>19.829999999999998</v>
      </c>
      <c r="M212">
        <v>43</v>
      </c>
      <c r="N212">
        <v>5.99</v>
      </c>
      <c r="O212">
        <v>25</v>
      </c>
      <c r="P212">
        <v>1301</v>
      </c>
      <c r="Q212">
        <v>7791</v>
      </c>
      <c r="R212">
        <v>6.73</v>
      </c>
      <c r="S212">
        <v>1243</v>
      </c>
      <c r="T212">
        <v>8361</v>
      </c>
      <c r="U212">
        <v>7.19</v>
      </c>
      <c r="V212">
        <v>1325</v>
      </c>
      <c r="W212">
        <v>9529</v>
      </c>
      <c r="X212">
        <v>-999</v>
      </c>
      <c r="Y212">
        <v>-999</v>
      </c>
      <c r="Z212">
        <v>-999</v>
      </c>
      <c r="AA212">
        <v>-999</v>
      </c>
      <c r="AB212">
        <v>-999</v>
      </c>
      <c r="AC212">
        <v>-999</v>
      </c>
      <c r="AD212">
        <v>-999</v>
      </c>
      <c r="AE212">
        <v>-999</v>
      </c>
      <c r="AF212">
        <v>18.329999999999998</v>
      </c>
      <c r="AG212">
        <v>3.33</v>
      </c>
      <c r="AH212">
        <v>2</v>
      </c>
      <c r="AI212">
        <v>1</v>
      </c>
      <c r="AJ212">
        <v>3</v>
      </c>
      <c r="AK212">
        <v>5.96</v>
      </c>
      <c r="AL212">
        <v>-0.56999999999999995</v>
      </c>
      <c r="AM212">
        <v>8.48</v>
      </c>
      <c r="AN212">
        <v>6.51</v>
      </c>
      <c r="AO212">
        <v>3.4</v>
      </c>
      <c r="AP212">
        <v>-5.16</v>
      </c>
      <c r="AQ212">
        <v>65.91</v>
      </c>
    </row>
    <row r="213" spans="1:43" x14ac:dyDescent="0.25">
      <c r="A213">
        <v>-18</v>
      </c>
      <c r="B213" t="s">
        <v>52</v>
      </c>
      <c r="C213">
        <v>40.262</v>
      </c>
      <c r="D213">
        <f t="shared" si="12"/>
        <v>-120.845</v>
      </c>
      <c r="E213">
        <v>20070905</v>
      </c>
      <c r="G213">
        <v>24300</v>
      </c>
      <c r="H213">
        <v>3</v>
      </c>
      <c r="I213">
        <v>4.45</v>
      </c>
      <c r="J213">
        <v>22490</v>
      </c>
      <c r="K213">
        <v>3.46</v>
      </c>
      <c r="L213">
        <v>20.84</v>
      </c>
      <c r="M213">
        <v>29</v>
      </c>
      <c r="N213">
        <v>3.43</v>
      </c>
      <c r="O213">
        <v>17</v>
      </c>
      <c r="P213">
        <v>1722</v>
      </c>
      <c r="Q213">
        <v>5902</v>
      </c>
      <c r="R213">
        <v>5.04</v>
      </c>
      <c r="S213">
        <v>1543</v>
      </c>
      <c r="T213">
        <v>7774</v>
      </c>
      <c r="U213">
        <v>5.47</v>
      </c>
      <c r="V213">
        <v>1700</v>
      </c>
      <c r="W213">
        <v>9297</v>
      </c>
      <c r="X213">
        <v>-999</v>
      </c>
      <c r="Y213">
        <v>-999</v>
      </c>
      <c r="Z213">
        <v>-999</v>
      </c>
      <c r="AA213">
        <v>-999</v>
      </c>
      <c r="AB213">
        <v>-999</v>
      </c>
      <c r="AC213">
        <v>-999</v>
      </c>
      <c r="AD213">
        <v>-999</v>
      </c>
      <c r="AE213">
        <v>-999</v>
      </c>
      <c r="AF213">
        <v>14.69</v>
      </c>
      <c r="AG213">
        <v>16.86</v>
      </c>
      <c r="AH213">
        <v>1</v>
      </c>
      <c r="AI213">
        <v>2</v>
      </c>
      <c r="AJ213">
        <v>3</v>
      </c>
      <c r="AK213">
        <v>-2.9</v>
      </c>
      <c r="AL213">
        <v>-1.83</v>
      </c>
      <c r="AM213">
        <v>11.89</v>
      </c>
      <c r="AN213">
        <v>1.36</v>
      </c>
      <c r="AO213">
        <v>-21.53</v>
      </c>
      <c r="AP213">
        <v>-4.5199999999999996</v>
      </c>
      <c r="AQ213">
        <v>24.55</v>
      </c>
    </row>
    <row r="214" spans="1:43" x14ac:dyDescent="0.25">
      <c r="A214">
        <v>-18</v>
      </c>
      <c r="B214" t="s">
        <v>52</v>
      </c>
      <c r="C214">
        <v>40.262</v>
      </c>
      <c r="D214">
        <f t="shared" si="12"/>
        <v>-120.845</v>
      </c>
      <c r="E214">
        <v>20070906</v>
      </c>
      <c r="G214">
        <v>28126</v>
      </c>
      <c r="H214">
        <v>4</v>
      </c>
      <c r="I214">
        <v>0.46</v>
      </c>
      <c r="J214">
        <v>3826</v>
      </c>
      <c r="K214">
        <v>0.59</v>
      </c>
      <c r="L214">
        <v>24.43</v>
      </c>
      <c r="M214">
        <v>22</v>
      </c>
      <c r="N214">
        <v>0.84</v>
      </c>
      <c r="O214">
        <v>5</v>
      </c>
      <c r="P214">
        <v>2336</v>
      </c>
      <c r="Q214">
        <v>1959</v>
      </c>
      <c r="R214">
        <v>0.67</v>
      </c>
      <c r="S214">
        <v>2068</v>
      </c>
      <c r="T214">
        <v>1383</v>
      </c>
      <c r="U214">
        <v>0.84</v>
      </c>
      <c r="V214">
        <v>2306</v>
      </c>
      <c r="W214">
        <v>1934</v>
      </c>
      <c r="X214">
        <v>-999</v>
      </c>
      <c r="Y214">
        <v>-999</v>
      </c>
      <c r="Z214">
        <v>-999</v>
      </c>
      <c r="AA214">
        <v>-999</v>
      </c>
      <c r="AB214">
        <v>-999</v>
      </c>
      <c r="AC214">
        <v>-999</v>
      </c>
      <c r="AD214">
        <v>-999</v>
      </c>
      <c r="AE214">
        <v>-999</v>
      </c>
      <c r="AF214">
        <v>16.34</v>
      </c>
      <c r="AG214">
        <v>14.28</v>
      </c>
      <c r="AH214">
        <v>1</v>
      </c>
      <c r="AI214">
        <v>1</v>
      </c>
      <c r="AJ214">
        <v>2</v>
      </c>
      <c r="AK214">
        <v>-0.81</v>
      </c>
      <c r="AL214">
        <v>-0.22</v>
      </c>
      <c r="AM214">
        <v>-9.65</v>
      </c>
      <c r="AN214">
        <v>-3.17</v>
      </c>
      <c r="AO214">
        <v>3.86</v>
      </c>
      <c r="AP214">
        <v>3.85</v>
      </c>
      <c r="AQ214">
        <v>24.94</v>
      </c>
    </row>
    <row r="215" spans="1:43" x14ac:dyDescent="0.25">
      <c r="A215">
        <v>-18</v>
      </c>
      <c r="B215" t="s">
        <v>52</v>
      </c>
      <c r="C215">
        <v>40.262</v>
      </c>
      <c r="D215">
        <f t="shared" si="12"/>
        <v>-120.845</v>
      </c>
      <c r="E215">
        <v>20070907</v>
      </c>
      <c r="G215">
        <v>31796</v>
      </c>
      <c r="H215">
        <v>5</v>
      </c>
      <c r="I215">
        <v>0.42</v>
      </c>
      <c r="J215">
        <v>3670</v>
      </c>
      <c r="K215">
        <v>0.56000000000000005</v>
      </c>
      <c r="L215">
        <v>25.25</v>
      </c>
      <c r="M215">
        <v>17</v>
      </c>
      <c r="N215">
        <v>5.24</v>
      </c>
      <c r="O215">
        <v>30</v>
      </c>
      <c r="P215">
        <v>2606</v>
      </c>
      <c r="Q215">
        <v>13655</v>
      </c>
      <c r="R215">
        <v>5.68</v>
      </c>
      <c r="S215">
        <v>2338</v>
      </c>
      <c r="T215">
        <v>13269</v>
      </c>
      <c r="U215">
        <v>5.83</v>
      </c>
      <c r="V215">
        <v>2572</v>
      </c>
      <c r="W215">
        <v>15001</v>
      </c>
      <c r="X215">
        <v>-999</v>
      </c>
      <c r="Y215">
        <v>-999</v>
      </c>
      <c r="Z215">
        <v>-999</v>
      </c>
      <c r="AA215">
        <v>-999</v>
      </c>
      <c r="AB215">
        <v>-999</v>
      </c>
      <c r="AC215">
        <v>-999</v>
      </c>
      <c r="AD215">
        <v>-999</v>
      </c>
      <c r="AE215">
        <v>-999</v>
      </c>
      <c r="AF215">
        <v>18.12</v>
      </c>
      <c r="AG215">
        <v>16.7</v>
      </c>
      <c r="AH215">
        <v>2</v>
      </c>
      <c r="AI215">
        <v>2</v>
      </c>
      <c r="AJ215">
        <v>4</v>
      </c>
      <c r="AK215">
        <v>5.07</v>
      </c>
      <c r="AL215">
        <v>1.33</v>
      </c>
      <c r="AM215">
        <v>-5.79</v>
      </c>
      <c r="AN215">
        <v>0.68</v>
      </c>
      <c r="AO215">
        <v>11.7</v>
      </c>
      <c r="AP215">
        <v>1.9</v>
      </c>
      <c r="AQ215">
        <v>19.010000000000002</v>
      </c>
    </row>
    <row r="216" spans="1:43" x14ac:dyDescent="0.25">
      <c r="A216">
        <v>-18</v>
      </c>
      <c r="B216" t="s">
        <v>52</v>
      </c>
      <c r="C216">
        <v>40.262</v>
      </c>
      <c r="D216">
        <f t="shared" si="12"/>
        <v>-120.845</v>
      </c>
      <c r="E216">
        <v>20070908</v>
      </c>
      <c r="G216">
        <v>43497</v>
      </c>
      <c r="H216">
        <v>6</v>
      </c>
      <c r="I216">
        <v>1.19</v>
      </c>
      <c r="J216">
        <v>11701</v>
      </c>
      <c r="K216">
        <v>1.8</v>
      </c>
      <c r="L216">
        <v>26.42</v>
      </c>
      <c r="M216">
        <v>15</v>
      </c>
      <c r="N216">
        <v>2.08</v>
      </c>
      <c r="O216">
        <v>13</v>
      </c>
      <c r="P216">
        <v>2852</v>
      </c>
      <c r="Q216">
        <v>5943</v>
      </c>
      <c r="R216">
        <v>2.5</v>
      </c>
      <c r="S216">
        <v>2561</v>
      </c>
      <c r="T216">
        <v>6414</v>
      </c>
      <c r="U216">
        <v>2.68</v>
      </c>
      <c r="V216">
        <v>2815</v>
      </c>
      <c r="W216">
        <v>7539</v>
      </c>
      <c r="X216">
        <v>-999</v>
      </c>
      <c r="Y216">
        <v>-999</v>
      </c>
      <c r="Z216">
        <v>-999</v>
      </c>
      <c r="AA216">
        <v>-999</v>
      </c>
      <c r="AB216">
        <v>-999</v>
      </c>
      <c r="AC216">
        <v>-999</v>
      </c>
      <c r="AD216">
        <v>-999</v>
      </c>
      <c r="AE216">
        <v>-999</v>
      </c>
      <c r="AF216">
        <v>21.11</v>
      </c>
      <c r="AG216">
        <v>18.73</v>
      </c>
      <c r="AH216">
        <v>2</v>
      </c>
      <c r="AI216">
        <v>2</v>
      </c>
      <c r="AJ216">
        <v>4</v>
      </c>
      <c r="AK216">
        <v>1.56</v>
      </c>
      <c r="AL216">
        <v>-1.38</v>
      </c>
      <c r="AM216">
        <v>5.91</v>
      </c>
      <c r="AN216">
        <v>2.58</v>
      </c>
      <c r="AO216">
        <v>-7.75</v>
      </c>
      <c r="AP216">
        <v>-3.35</v>
      </c>
      <c r="AQ216">
        <v>-0.2</v>
      </c>
    </row>
    <row r="217" spans="1:43" x14ac:dyDescent="0.25">
      <c r="A217">
        <v>-18</v>
      </c>
      <c r="B217" t="s">
        <v>52</v>
      </c>
      <c r="C217">
        <v>40.262</v>
      </c>
      <c r="D217">
        <f t="shared" si="12"/>
        <v>-120.845</v>
      </c>
      <c r="E217">
        <v>20070909</v>
      </c>
      <c r="G217">
        <v>59885</v>
      </c>
      <c r="H217">
        <v>7</v>
      </c>
      <c r="I217">
        <v>1.42</v>
      </c>
      <c r="J217">
        <v>16388</v>
      </c>
      <c r="K217">
        <v>2.52</v>
      </c>
      <c r="L217">
        <v>25.91</v>
      </c>
      <c r="M217">
        <v>17</v>
      </c>
      <c r="N217">
        <v>1.44</v>
      </c>
      <c r="O217">
        <v>9</v>
      </c>
      <c r="P217">
        <v>2706</v>
      </c>
      <c r="Q217">
        <v>3890</v>
      </c>
      <c r="R217">
        <v>0.64</v>
      </c>
      <c r="S217">
        <v>2416</v>
      </c>
      <c r="T217">
        <v>1537</v>
      </c>
      <c r="U217">
        <v>1.44</v>
      </c>
      <c r="V217">
        <v>2671</v>
      </c>
      <c r="W217">
        <v>3839</v>
      </c>
      <c r="X217">
        <v>-999</v>
      </c>
      <c r="Y217">
        <v>-999</v>
      </c>
      <c r="Z217">
        <v>-999</v>
      </c>
      <c r="AA217">
        <v>-999</v>
      </c>
      <c r="AB217">
        <v>-999</v>
      </c>
      <c r="AC217">
        <v>-999</v>
      </c>
      <c r="AD217">
        <v>-999</v>
      </c>
      <c r="AE217">
        <v>-999</v>
      </c>
      <c r="AF217">
        <v>19.22</v>
      </c>
      <c r="AG217">
        <v>12.99</v>
      </c>
      <c r="AH217">
        <v>2</v>
      </c>
      <c r="AI217">
        <v>1</v>
      </c>
      <c r="AJ217">
        <v>3</v>
      </c>
      <c r="AK217">
        <v>-0.96</v>
      </c>
      <c r="AL217">
        <v>-1.07</v>
      </c>
      <c r="AM217">
        <v>-1.83</v>
      </c>
      <c r="AN217">
        <v>-0.77</v>
      </c>
      <c r="AO217">
        <v>-4.03</v>
      </c>
      <c r="AP217">
        <v>-0.76</v>
      </c>
      <c r="AQ217">
        <v>1.69</v>
      </c>
    </row>
    <row r="218" spans="1:43" x14ac:dyDescent="0.25">
      <c r="A218">
        <v>-18</v>
      </c>
      <c r="B218" t="s">
        <v>52</v>
      </c>
      <c r="C218">
        <v>40.262</v>
      </c>
      <c r="D218">
        <f t="shared" si="12"/>
        <v>-120.845</v>
      </c>
      <c r="E218">
        <v>20070910</v>
      </c>
      <c r="G218">
        <v>61281</v>
      </c>
      <c r="H218">
        <v>8</v>
      </c>
      <c r="I218">
        <v>0.11</v>
      </c>
      <c r="J218">
        <v>1396</v>
      </c>
      <c r="K218">
        <v>0.21</v>
      </c>
      <c r="L218">
        <v>23.91</v>
      </c>
      <c r="M218">
        <v>12</v>
      </c>
      <c r="N218">
        <v>2.89</v>
      </c>
      <c r="O218">
        <v>18</v>
      </c>
      <c r="P218">
        <v>2559</v>
      </c>
      <c r="Q218">
        <v>7396</v>
      </c>
      <c r="R218">
        <v>3.7</v>
      </c>
      <c r="S218">
        <v>2296</v>
      </c>
      <c r="T218">
        <v>8497</v>
      </c>
      <c r="U218">
        <v>3.92</v>
      </c>
      <c r="V218">
        <v>2525</v>
      </c>
      <c r="W218">
        <v>9896</v>
      </c>
      <c r="X218">
        <v>-999</v>
      </c>
      <c r="Y218">
        <v>-999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-999</v>
      </c>
      <c r="AF218">
        <v>18.62</v>
      </c>
      <c r="AG218">
        <v>34.33</v>
      </c>
      <c r="AH218">
        <v>2</v>
      </c>
      <c r="AI218">
        <v>3</v>
      </c>
      <c r="AJ218">
        <v>5</v>
      </c>
      <c r="AK218">
        <v>-2.68</v>
      </c>
      <c r="AL218">
        <v>-1.0900000000000001</v>
      </c>
      <c r="AM218">
        <v>-5.86</v>
      </c>
      <c r="AN218">
        <v>-1.53</v>
      </c>
      <c r="AO218">
        <v>-1.55</v>
      </c>
      <c r="AP218">
        <v>0.35</v>
      </c>
      <c r="AQ218">
        <v>4.45</v>
      </c>
    </row>
    <row r="219" spans="1:43" x14ac:dyDescent="0.25">
      <c r="A219">
        <v>-18</v>
      </c>
      <c r="B219" t="s">
        <v>52</v>
      </c>
      <c r="C219">
        <v>40.262</v>
      </c>
      <c r="D219">
        <f t="shared" si="12"/>
        <v>-120.845</v>
      </c>
      <c r="E219">
        <v>20070911</v>
      </c>
      <c r="G219">
        <v>64373</v>
      </c>
      <c r="H219">
        <v>9</v>
      </c>
      <c r="I219">
        <v>0.24</v>
      </c>
      <c r="J219">
        <v>3092</v>
      </c>
      <c r="K219">
        <v>0.48</v>
      </c>
      <c r="L219">
        <v>26.78</v>
      </c>
      <c r="M219">
        <v>11</v>
      </c>
      <c r="N219">
        <v>3.12</v>
      </c>
      <c r="O219">
        <v>19</v>
      </c>
      <c r="P219">
        <v>3048</v>
      </c>
      <c r="Q219">
        <v>9513</v>
      </c>
      <c r="R219">
        <v>4.32</v>
      </c>
      <c r="S219">
        <v>2761</v>
      </c>
      <c r="T219">
        <v>11927</v>
      </c>
      <c r="U219">
        <v>4.62</v>
      </c>
      <c r="V219">
        <v>3009</v>
      </c>
      <c r="W219">
        <v>13890</v>
      </c>
      <c r="X219">
        <v>-999</v>
      </c>
      <c r="Y219">
        <v>-999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-999</v>
      </c>
      <c r="AF219">
        <v>19.54</v>
      </c>
      <c r="AG219">
        <v>20.29</v>
      </c>
      <c r="AH219">
        <v>2</v>
      </c>
      <c r="AI219">
        <v>2</v>
      </c>
      <c r="AJ219">
        <v>4</v>
      </c>
      <c r="AK219">
        <v>3.08</v>
      </c>
      <c r="AL219">
        <v>-0.47</v>
      </c>
      <c r="AM219">
        <v>-7.42</v>
      </c>
      <c r="AN219">
        <v>-1.18</v>
      </c>
      <c r="AO219">
        <v>9.6</v>
      </c>
      <c r="AP219">
        <v>0.82</v>
      </c>
      <c r="AQ219">
        <v>-5.18</v>
      </c>
    </row>
    <row r="220" spans="1:43" x14ac:dyDescent="0.25">
      <c r="A220">
        <v>-18</v>
      </c>
      <c r="B220" t="s">
        <v>52</v>
      </c>
      <c r="C220">
        <v>40.262</v>
      </c>
      <c r="D220">
        <f t="shared" si="12"/>
        <v>-120.845</v>
      </c>
      <c r="E220">
        <v>20070912</v>
      </c>
      <c r="G220">
        <v>65001</v>
      </c>
      <c r="H220">
        <v>10</v>
      </c>
      <c r="I220">
        <v>0.05</v>
      </c>
      <c r="J220">
        <v>628</v>
      </c>
      <c r="K220">
        <v>0.1</v>
      </c>
      <c r="L220">
        <v>23.47</v>
      </c>
      <c r="M220">
        <v>25</v>
      </c>
      <c r="N220">
        <v>6.62</v>
      </c>
      <c r="O220">
        <v>35</v>
      </c>
      <c r="P220">
        <v>2125</v>
      </c>
      <c r="Q220">
        <v>14074</v>
      </c>
      <c r="R220">
        <v>6.6</v>
      </c>
      <c r="S220">
        <v>1939</v>
      </c>
      <c r="T220">
        <v>12799</v>
      </c>
      <c r="U220">
        <v>6.94</v>
      </c>
      <c r="V220">
        <v>2097</v>
      </c>
      <c r="W220">
        <v>14551</v>
      </c>
      <c r="X220">
        <v>-999</v>
      </c>
      <c r="Y220">
        <v>-999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-999</v>
      </c>
      <c r="AF220">
        <v>18.239999999999998</v>
      </c>
      <c r="AG220">
        <v>23.81</v>
      </c>
      <c r="AH220">
        <v>2</v>
      </c>
      <c r="AI220">
        <v>3</v>
      </c>
      <c r="AJ220">
        <v>5</v>
      </c>
      <c r="AK220">
        <v>6.31</v>
      </c>
      <c r="AL220">
        <v>2.0099999999999998</v>
      </c>
      <c r="AM220">
        <v>2.1800000000000002</v>
      </c>
      <c r="AN220">
        <v>-0.35</v>
      </c>
      <c r="AO220">
        <v>5.93</v>
      </c>
      <c r="AP220">
        <v>2.68</v>
      </c>
      <c r="AQ220">
        <v>-7.94</v>
      </c>
    </row>
    <row r="221" spans="1:43" x14ac:dyDescent="0.25">
      <c r="A221">
        <v>-18</v>
      </c>
      <c r="B221" t="s">
        <v>52</v>
      </c>
      <c r="C221">
        <v>40.262</v>
      </c>
      <c r="D221">
        <f t="shared" si="12"/>
        <v>-120.845</v>
      </c>
      <c r="E221">
        <v>20070913</v>
      </c>
      <c r="L221">
        <v>16.420000000000002</v>
      </c>
      <c r="M221">
        <v>33</v>
      </c>
      <c r="N221">
        <v>6.46</v>
      </c>
      <c r="O221">
        <v>30</v>
      </c>
      <c r="P221">
        <v>1241</v>
      </c>
      <c r="Q221">
        <v>8020</v>
      </c>
      <c r="R221">
        <v>7.13</v>
      </c>
      <c r="S221">
        <v>1135</v>
      </c>
      <c r="T221">
        <v>8097</v>
      </c>
      <c r="U221">
        <v>7.63</v>
      </c>
      <c r="V221">
        <v>1225</v>
      </c>
      <c r="W221">
        <v>9337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18.8</v>
      </c>
      <c r="AG221">
        <v>10.31</v>
      </c>
      <c r="AH221">
        <v>2</v>
      </c>
      <c r="AI221">
        <v>1</v>
      </c>
      <c r="AJ221">
        <v>3</v>
      </c>
      <c r="AK221">
        <v>6.07</v>
      </c>
      <c r="AL221">
        <v>2.2400000000000002</v>
      </c>
      <c r="AM221">
        <v>8.11</v>
      </c>
      <c r="AN221">
        <v>2.33</v>
      </c>
      <c r="AO221">
        <v>2.38</v>
      </c>
      <c r="AP221">
        <v>3.74</v>
      </c>
      <c r="AQ221">
        <v>-24.74</v>
      </c>
    </row>
    <row r="223" spans="1:43" x14ac:dyDescent="0.25">
      <c r="A223">
        <v>-19</v>
      </c>
      <c r="B223" t="s">
        <v>53</v>
      </c>
      <c r="C223">
        <v>34.420999999999999</v>
      </c>
      <c r="D223">
        <f>241.6-360</f>
        <v>-118.4</v>
      </c>
      <c r="E223">
        <v>20160722</v>
      </c>
      <c r="F223">
        <v>20160701</v>
      </c>
      <c r="G223">
        <v>3327</v>
      </c>
      <c r="H223">
        <v>1</v>
      </c>
      <c r="I223">
        <v>2.83</v>
      </c>
      <c r="J223">
        <v>3327</v>
      </c>
      <c r="K223">
        <v>0.8</v>
      </c>
      <c r="L223">
        <v>40.729999999999997</v>
      </c>
      <c r="M223">
        <v>8</v>
      </c>
      <c r="N223">
        <v>4.04</v>
      </c>
      <c r="O223">
        <v>27</v>
      </c>
      <c r="P223">
        <v>6611</v>
      </c>
      <c r="Q223">
        <v>26676</v>
      </c>
      <c r="R223">
        <v>4.43</v>
      </c>
      <c r="S223">
        <v>5798</v>
      </c>
      <c r="T223">
        <v>25663</v>
      </c>
      <c r="U223">
        <v>4.62</v>
      </c>
      <c r="V223">
        <v>6524</v>
      </c>
      <c r="W223">
        <v>30118</v>
      </c>
      <c r="X223">
        <v>-999</v>
      </c>
      <c r="Y223">
        <v>-999</v>
      </c>
      <c r="Z223">
        <v>-999</v>
      </c>
      <c r="AA223">
        <v>-999</v>
      </c>
      <c r="AB223">
        <v>14.23</v>
      </c>
      <c r="AC223">
        <v>29.49</v>
      </c>
      <c r="AD223">
        <v>3</v>
      </c>
      <c r="AE223">
        <v>3</v>
      </c>
      <c r="AF223">
        <v>20.07</v>
      </c>
      <c r="AG223">
        <v>27.46</v>
      </c>
      <c r="AH223">
        <v>2</v>
      </c>
      <c r="AI223">
        <v>3</v>
      </c>
      <c r="AJ223">
        <v>5</v>
      </c>
      <c r="AK223">
        <v>3.28</v>
      </c>
      <c r="AL223">
        <v>-2.36</v>
      </c>
      <c r="AM223">
        <v>6.92</v>
      </c>
      <c r="AN223">
        <v>5.7</v>
      </c>
      <c r="AO223">
        <v>-2.59</v>
      </c>
      <c r="AP223">
        <v>-11.14</v>
      </c>
      <c r="AQ223">
        <v>62.33</v>
      </c>
    </row>
    <row r="224" spans="1:43" x14ac:dyDescent="0.25">
      <c r="A224">
        <v>-19</v>
      </c>
      <c r="B224" t="s">
        <v>53</v>
      </c>
      <c r="C224">
        <v>34.420999999999999</v>
      </c>
      <c r="D224">
        <f t="shared" ref="D224:D232" si="13">241.6-360</f>
        <v>-118.4</v>
      </c>
      <c r="E224">
        <v>20160723</v>
      </c>
      <c r="G224">
        <v>22009</v>
      </c>
      <c r="H224">
        <v>2</v>
      </c>
      <c r="I224">
        <v>4.46</v>
      </c>
      <c r="J224">
        <v>18682</v>
      </c>
      <c r="K224">
        <v>4.51</v>
      </c>
      <c r="L224">
        <v>32.9</v>
      </c>
      <c r="M224">
        <v>32</v>
      </c>
      <c r="N224">
        <v>5.31</v>
      </c>
      <c r="O224">
        <v>26</v>
      </c>
      <c r="P224">
        <v>3274</v>
      </c>
      <c r="Q224">
        <v>17397</v>
      </c>
      <c r="R224">
        <v>5.08</v>
      </c>
      <c r="S224">
        <v>3040</v>
      </c>
      <c r="T224">
        <v>15444</v>
      </c>
      <c r="U224">
        <v>5.31</v>
      </c>
      <c r="V224">
        <v>3232</v>
      </c>
      <c r="W224">
        <v>17169</v>
      </c>
      <c r="X224">
        <v>-999</v>
      </c>
      <c r="Y224">
        <v>-999</v>
      </c>
      <c r="Z224">
        <v>-999</v>
      </c>
      <c r="AA224">
        <v>-999</v>
      </c>
      <c r="AB224">
        <v>9.4600000000000009</v>
      </c>
      <c r="AC224">
        <v>27.91</v>
      </c>
      <c r="AD224">
        <v>2</v>
      </c>
      <c r="AE224">
        <v>3</v>
      </c>
      <c r="AF224">
        <v>22.06</v>
      </c>
      <c r="AG224">
        <v>33.15</v>
      </c>
      <c r="AH224">
        <v>3</v>
      </c>
      <c r="AI224">
        <v>3</v>
      </c>
      <c r="AJ224">
        <v>6</v>
      </c>
      <c r="AK224">
        <v>4.72</v>
      </c>
      <c r="AL224">
        <v>2.4500000000000002</v>
      </c>
      <c r="AM224">
        <v>4.33</v>
      </c>
      <c r="AN224">
        <v>-5.43</v>
      </c>
      <c r="AO224">
        <v>0.77</v>
      </c>
      <c r="AP224">
        <v>6.26</v>
      </c>
      <c r="AQ224">
        <v>-31.31</v>
      </c>
    </row>
    <row r="225" spans="1:43" x14ac:dyDescent="0.25">
      <c r="A225">
        <v>-19</v>
      </c>
      <c r="B225" t="s">
        <v>53</v>
      </c>
      <c r="C225">
        <v>34.420999999999999</v>
      </c>
      <c r="D225">
        <f t="shared" si="13"/>
        <v>-118.4</v>
      </c>
      <c r="E225">
        <v>20160724</v>
      </c>
      <c r="G225">
        <v>35172</v>
      </c>
      <c r="H225">
        <v>3</v>
      </c>
      <c r="I225">
        <v>1.93</v>
      </c>
      <c r="J225">
        <v>13163</v>
      </c>
      <c r="K225">
        <v>3.18</v>
      </c>
      <c r="L225">
        <v>32.21</v>
      </c>
      <c r="M225">
        <v>28</v>
      </c>
      <c r="N225">
        <v>5.98</v>
      </c>
      <c r="O225">
        <v>31</v>
      </c>
      <c r="P225">
        <v>3342</v>
      </c>
      <c r="Q225">
        <v>19978</v>
      </c>
      <c r="R225">
        <v>5.61</v>
      </c>
      <c r="S225">
        <v>2880</v>
      </c>
      <c r="T225">
        <v>16171</v>
      </c>
      <c r="U225">
        <v>5.98</v>
      </c>
      <c r="V225">
        <v>3299</v>
      </c>
      <c r="W225">
        <v>19717</v>
      </c>
      <c r="X225">
        <v>-999</v>
      </c>
      <c r="Y225">
        <v>-999</v>
      </c>
      <c r="Z225">
        <v>-999</v>
      </c>
      <c r="AA225">
        <v>-999</v>
      </c>
      <c r="AB225">
        <v>10.08</v>
      </c>
      <c r="AC225">
        <v>27.45</v>
      </c>
      <c r="AD225">
        <v>2</v>
      </c>
      <c r="AE225">
        <v>3</v>
      </c>
      <c r="AF225">
        <v>19.510000000000002</v>
      </c>
      <c r="AG225">
        <v>13.08</v>
      </c>
      <c r="AH225">
        <v>2</v>
      </c>
      <c r="AI225">
        <v>1</v>
      </c>
      <c r="AJ225">
        <v>3</v>
      </c>
      <c r="AK225">
        <v>4.3</v>
      </c>
      <c r="AL225">
        <v>4.1500000000000004</v>
      </c>
      <c r="AM225">
        <v>5.1100000000000003</v>
      </c>
      <c r="AN225">
        <v>0.82</v>
      </c>
      <c r="AO225">
        <v>2.06</v>
      </c>
      <c r="AP225">
        <v>6.94</v>
      </c>
      <c r="AQ225">
        <v>-33.729999999999997</v>
      </c>
    </row>
    <row r="226" spans="1:43" x14ac:dyDescent="0.25">
      <c r="A226">
        <v>-19</v>
      </c>
      <c r="B226" t="s">
        <v>53</v>
      </c>
      <c r="C226">
        <v>34.420999999999999</v>
      </c>
      <c r="D226">
        <f t="shared" si="13"/>
        <v>-118.4</v>
      </c>
      <c r="E226">
        <v>20160725</v>
      </c>
      <c r="G226">
        <v>37573</v>
      </c>
      <c r="H226">
        <v>4</v>
      </c>
      <c r="I226">
        <v>0.31</v>
      </c>
      <c r="J226">
        <v>2401</v>
      </c>
      <c r="K226">
        <v>0.57999999999999996</v>
      </c>
      <c r="L226">
        <v>34.22</v>
      </c>
      <c r="M226">
        <v>19</v>
      </c>
      <c r="N226">
        <v>5.97</v>
      </c>
      <c r="O226">
        <v>34</v>
      </c>
      <c r="P226">
        <v>4182</v>
      </c>
      <c r="Q226">
        <v>24965</v>
      </c>
      <c r="R226">
        <v>5.93</v>
      </c>
      <c r="S226">
        <v>3671</v>
      </c>
      <c r="T226">
        <v>21763</v>
      </c>
      <c r="U226">
        <v>6.12</v>
      </c>
      <c r="V226">
        <v>4127</v>
      </c>
      <c r="W226">
        <v>25248</v>
      </c>
      <c r="X226">
        <v>-999</v>
      </c>
      <c r="Y226">
        <v>-999</v>
      </c>
      <c r="Z226">
        <v>-999</v>
      </c>
      <c r="AA226">
        <v>-999</v>
      </c>
      <c r="AB226">
        <v>11.77</v>
      </c>
      <c r="AC226">
        <v>23.92</v>
      </c>
      <c r="AD226">
        <v>3</v>
      </c>
      <c r="AE226">
        <v>3</v>
      </c>
      <c r="AF226">
        <v>18.989999999999998</v>
      </c>
      <c r="AG226">
        <v>11.1</v>
      </c>
      <c r="AH226">
        <v>2</v>
      </c>
      <c r="AI226">
        <v>1</v>
      </c>
      <c r="AJ226">
        <v>3</v>
      </c>
      <c r="AK226">
        <v>4.5599999999999996</v>
      </c>
      <c r="AL226">
        <v>3.85</v>
      </c>
      <c r="AM226">
        <v>7.16</v>
      </c>
      <c r="AN226">
        <v>7.76</v>
      </c>
      <c r="AO226">
        <v>0.04</v>
      </c>
      <c r="AP226">
        <v>-0.39</v>
      </c>
      <c r="AQ226">
        <v>3.08</v>
      </c>
    </row>
    <row r="227" spans="1:43" x14ac:dyDescent="0.25">
      <c r="A227">
        <v>-19</v>
      </c>
      <c r="B227" t="s">
        <v>53</v>
      </c>
      <c r="C227">
        <v>34.420999999999999</v>
      </c>
      <c r="D227">
        <f t="shared" si="13"/>
        <v>-118.4</v>
      </c>
      <c r="E227">
        <v>20160726</v>
      </c>
      <c r="G227">
        <v>38546</v>
      </c>
      <c r="H227">
        <v>5</v>
      </c>
      <c r="I227">
        <v>0.12</v>
      </c>
      <c r="J227">
        <v>973</v>
      </c>
      <c r="K227">
        <v>0.23</v>
      </c>
      <c r="L227">
        <v>34.380000000000003</v>
      </c>
      <c r="M227">
        <v>21</v>
      </c>
      <c r="N227">
        <v>6.14</v>
      </c>
      <c r="O227">
        <v>34</v>
      </c>
      <c r="P227">
        <v>4112</v>
      </c>
      <c r="Q227">
        <v>25253</v>
      </c>
      <c r="R227">
        <v>6.07</v>
      </c>
      <c r="S227">
        <v>3477</v>
      </c>
      <c r="T227">
        <v>21118</v>
      </c>
      <c r="U227">
        <v>6.32</v>
      </c>
      <c r="V227">
        <v>4059</v>
      </c>
      <c r="W227">
        <v>25668</v>
      </c>
      <c r="X227">
        <v>-999</v>
      </c>
      <c r="Y227">
        <v>-999</v>
      </c>
      <c r="Z227">
        <v>-999</v>
      </c>
      <c r="AA227">
        <v>-999</v>
      </c>
      <c r="AB227">
        <v>12.51</v>
      </c>
      <c r="AC227">
        <v>22.3</v>
      </c>
      <c r="AD227">
        <v>3</v>
      </c>
      <c r="AE227">
        <v>3</v>
      </c>
      <c r="AF227">
        <v>19.47</v>
      </c>
      <c r="AG227">
        <v>11.18</v>
      </c>
      <c r="AH227">
        <v>2</v>
      </c>
      <c r="AI227">
        <v>1</v>
      </c>
      <c r="AJ227">
        <v>3</v>
      </c>
      <c r="AK227">
        <v>4.92</v>
      </c>
      <c r="AL227">
        <v>3.68</v>
      </c>
      <c r="AM227">
        <v>7.2</v>
      </c>
      <c r="AN227">
        <v>7.37</v>
      </c>
      <c r="AO227">
        <v>0.56000000000000005</v>
      </c>
      <c r="AP227">
        <v>-2.02</v>
      </c>
      <c r="AQ227">
        <v>18.68</v>
      </c>
    </row>
    <row r="228" spans="1:43" x14ac:dyDescent="0.25">
      <c r="A228">
        <v>-19</v>
      </c>
      <c r="B228" t="s">
        <v>53</v>
      </c>
      <c r="C228">
        <v>34.420999999999999</v>
      </c>
      <c r="D228">
        <f t="shared" si="13"/>
        <v>-118.4</v>
      </c>
      <c r="E228">
        <v>20160727</v>
      </c>
      <c r="G228">
        <v>38547</v>
      </c>
      <c r="H228">
        <v>6</v>
      </c>
      <c r="I228">
        <v>0</v>
      </c>
      <c r="J228">
        <v>1</v>
      </c>
      <c r="K228">
        <v>0</v>
      </c>
      <c r="L228">
        <v>33.119999999999997</v>
      </c>
      <c r="M228">
        <v>23</v>
      </c>
      <c r="N228">
        <v>6.33</v>
      </c>
      <c r="O228">
        <v>34</v>
      </c>
      <c r="P228">
        <v>3751</v>
      </c>
      <c r="Q228">
        <v>23741</v>
      </c>
      <c r="R228">
        <v>6.58</v>
      </c>
      <c r="S228">
        <v>3173</v>
      </c>
      <c r="T228">
        <v>20888</v>
      </c>
      <c r="U228">
        <v>6.78</v>
      </c>
      <c r="V228">
        <v>3702</v>
      </c>
      <c r="W228">
        <v>25090</v>
      </c>
      <c r="X228">
        <v>-999</v>
      </c>
      <c r="Y228">
        <v>-999</v>
      </c>
      <c r="Z228">
        <v>-999</v>
      </c>
      <c r="AA228">
        <v>-999</v>
      </c>
      <c r="AB228">
        <v>10.99</v>
      </c>
      <c r="AC228">
        <v>20.96</v>
      </c>
      <c r="AD228">
        <v>2</v>
      </c>
      <c r="AE228">
        <v>3</v>
      </c>
      <c r="AF228">
        <v>19.309999999999999</v>
      </c>
      <c r="AG228">
        <v>10.61</v>
      </c>
      <c r="AH228">
        <v>2</v>
      </c>
      <c r="AI228">
        <v>1</v>
      </c>
      <c r="AJ228">
        <v>3</v>
      </c>
      <c r="AK228">
        <v>4.51</v>
      </c>
      <c r="AL228">
        <v>4.4400000000000004</v>
      </c>
      <c r="AM228">
        <v>7.76</v>
      </c>
      <c r="AN228">
        <v>5.36</v>
      </c>
      <c r="AO228">
        <v>-0.03</v>
      </c>
      <c r="AP228">
        <v>1.71</v>
      </c>
      <c r="AQ228">
        <v>-13.47</v>
      </c>
    </row>
    <row r="229" spans="1:43" x14ac:dyDescent="0.25">
      <c r="A229">
        <v>-19</v>
      </c>
      <c r="B229" t="s">
        <v>53</v>
      </c>
      <c r="C229">
        <v>34.420999999999999</v>
      </c>
      <c r="D229">
        <f t="shared" si="13"/>
        <v>-118.4</v>
      </c>
      <c r="E229">
        <v>20160728</v>
      </c>
      <c r="H229">
        <v>7</v>
      </c>
      <c r="L229">
        <v>33.57</v>
      </c>
      <c r="M229">
        <v>30</v>
      </c>
      <c r="N229">
        <v>5.36</v>
      </c>
      <c r="O229">
        <v>27</v>
      </c>
      <c r="P229">
        <v>3493</v>
      </c>
      <c r="Q229">
        <v>18707</v>
      </c>
      <c r="R229">
        <v>5.16</v>
      </c>
      <c r="S229">
        <v>3092</v>
      </c>
      <c r="T229">
        <v>15947</v>
      </c>
      <c r="U229">
        <v>5.36</v>
      </c>
      <c r="V229">
        <v>3447</v>
      </c>
      <c r="W229">
        <v>18463</v>
      </c>
      <c r="X229">
        <v>-999</v>
      </c>
      <c r="Y229">
        <v>-999</v>
      </c>
      <c r="Z229">
        <v>-999</v>
      </c>
      <c r="AA229">
        <v>-999</v>
      </c>
      <c r="AB229">
        <v>10.199999999999999</v>
      </c>
      <c r="AC229">
        <v>22.92</v>
      </c>
      <c r="AD229">
        <v>2</v>
      </c>
      <c r="AE229">
        <v>3</v>
      </c>
      <c r="AF229">
        <v>21.91</v>
      </c>
      <c r="AG229">
        <v>16.37</v>
      </c>
      <c r="AH229">
        <v>2</v>
      </c>
      <c r="AI229">
        <v>2</v>
      </c>
      <c r="AJ229">
        <v>4</v>
      </c>
      <c r="AK229">
        <v>4.12</v>
      </c>
      <c r="AL229">
        <v>3.42</v>
      </c>
      <c r="AM229">
        <v>7.73</v>
      </c>
      <c r="AN229">
        <v>7.07</v>
      </c>
      <c r="AO229">
        <v>-1.19</v>
      </c>
      <c r="AP229">
        <v>-2.0099999999999998</v>
      </c>
      <c r="AQ229">
        <v>7.16</v>
      </c>
    </row>
    <row r="230" spans="1:43" x14ac:dyDescent="0.25">
      <c r="A230">
        <v>-19</v>
      </c>
      <c r="B230" t="s">
        <v>53</v>
      </c>
      <c r="C230">
        <v>34.420999999999999</v>
      </c>
      <c r="D230">
        <f t="shared" si="13"/>
        <v>-118.4</v>
      </c>
      <c r="E230">
        <v>20160729</v>
      </c>
      <c r="H230">
        <v>8</v>
      </c>
      <c r="L230">
        <v>33.340000000000003</v>
      </c>
      <c r="M230">
        <v>31</v>
      </c>
      <c r="N230">
        <v>6.04</v>
      </c>
      <c r="O230">
        <v>30</v>
      </c>
      <c r="P230">
        <v>3401</v>
      </c>
      <c r="Q230">
        <v>20552</v>
      </c>
      <c r="R230">
        <v>5.87</v>
      </c>
      <c r="S230">
        <v>3291</v>
      </c>
      <c r="T230">
        <v>19319</v>
      </c>
      <c r="U230">
        <v>6.2</v>
      </c>
      <c r="V230">
        <v>4033</v>
      </c>
      <c r="W230">
        <v>25005</v>
      </c>
      <c r="X230">
        <v>-999</v>
      </c>
      <c r="Y230">
        <v>-999</v>
      </c>
      <c r="Z230">
        <v>-999</v>
      </c>
      <c r="AA230">
        <v>-999</v>
      </c>
      <c r="AB230">
        <v>13.23</v>
      </c>
      <c r="AC230">
        <v>25.29</v>
      </c>
      <c r="AD230">
        <v>3</v>
      </c>
      <c r="AE230">
        <v>3</v>
      </c>
      <c r="AF230">
        <v>22.43</v>
      </c>
      <c r="AG230">
        <v>17.12</v>
      </c>
      <c r="AH230">
        <v>3</v>
      </c>
      <c r="AI230">
        <v>2</v>
      </c>
      <c r="AJ230">
        <v>5</v>
      </c>
      <c r="AK230">
        <v>4.38</v>
      </c>
      <c r="AL230">
        <v>4.16</v>
      </c>
      <c r="AM230">
        <v>6.55</v>
      </c>
      <c r="AN230">
        <v>5.0599999999999996</v>
      </c>
      <c r="AO230">
        <v>0.63</v>
      </c>
      <c r="AP230">
        <v>0.61</v>
      </c>
      <c r="AQ230">
        <v>-0.8</v>
      </c>
    </row>
    <row r="231" spans="1:43" x14ac:dyDescent="0.25">
      <c r="A231">
        <v>-19</v>
      </c>
      <c r="B231" t="s">
        <v>53</v>
      </c>
      <c r="C231">
        <v>34.420999999999999</v>
      </c>
      <c r="D231">
        <f t="shared" si="13"/>
        <v>-118.4</v>
      </c>
      <c r="E231">
        <v>20160730</v>
      </c>
      <c r="G231">
        <v>38852</v>
      </c>
      <c r="H231">
        <v>9</v>
      </c>
      <c r="L231">
        <v>30.63</v>
      </c>
      <c r="M231">
        <v>43</v>
      </c>
      <c r="N231">
        <v>6.42</v>
      </c>
      <c r="O231">
        <v>27</v>
      </c>
      <c r="P231">
        <v>2428</v>
      </c>
      <c r="Q231">
        <v>15599</v>
      </c>
      <c r="R231">
        <v>6.5</v>
      </c>
      <c r="S231">
        <v>1959</v>
      </c>
      <c r="T231">
        <v>12725</v>
      </c>
      <c r="U231">
        <v>6.71</v>
      </c>
      <c r="V231">
        <v>2397</v>
      </c>
      <c r="W231">
        <v>16070</v>
      </c>
      <c r="X231">
        <v>-999</v>
      </c>
      <c r="Y231">
        <v>-999</v>
      </c>
      <c r="Z231">
        <v>-999</v>
      </c>
      <c r="AA231">
        <v>-999</v>
      </c>
      <c r="AB231">
        <v>8.16</v>
      </c>
      <c r="AC231">
        <v>10.08</v>
      </c>
      <c r="AD231">
        <v>2</v>
      </c>
      <c r="AE231">
        <v>2</v>
      </c>
      <c r="AF231">
        <v>20.95</v>
      </c>
      <c r="AG231">
        <v>13.79</v>
      </c>
      <c r="AH231">
        <v>2</v>
      </c>
      <c r="AI231">
        <v>1</v>
      </c>
      <c r="AJ231">
        <v>3</v>
      </c>
      <c r="AK231">
        <v>4.4800000000000004</v>
      </c>
      <c r="AL231">
        <v>4.5999999999999996</v>
      </c>
      <c r="AM231">
        <v>7.18</v>
      </c>
      <c r="AN231">
        <v>5.67</v>
      </c>
      <c r="AO231">
        <v>0.21</v>
      </c>
      <c r="AP231">
        <v>2.1800000000000002</v>
      </c>
      <c r="AQ231">
        <v>-14.47</v>
      </c>
    </row>
    <row r="232" spans="1:43" x14ac:dyDescent="0.25">
      <c r="A232">
        <v>-19</v>
      </c>
      <c r="B232" t="s">
        <v>53</v>
      </c>
      <c r="C232">
        <v>34.420999999999999</v>
      </c>
      <c r="D232">
        <f t="shared" si="13"/>
        <v>-118.4</v>
      </c>
      <c r="E232">
        <v>20160731</v>
      </c>
      <c r="G232">
        <v>41405</v>
      </c>
      <c r="H232">
        <v>10</v>
      </c>
      <c r="I232">
        <v>0.31</v>
      </c>
      <c r="J232">
        <v>2553</v>
      </c>
      <c r="K232">
        <v>0.62</v>
      </c>
      <c r="L232">
        <v>28.94</v>
      </c>
      <c r="M232">
        <v>38</v>
      </c>
      <c r="N232">
        <v>6.23</v>
      </c>
      <c r="O232">
        <v>28</v>
      </c>
      <c r="P232">
        <v>2406</v>
      </c>
      <c r="Q232">
        <v>14989</v>
      </c>
      <c r="R232">
        <v>6.06</v>
      </c>
      <c r="S232">
        <v>1931</v>
      </c>
      <c r="T232">
        <v>11703</v>
      </c>
      <c r="U232">
        <v>6.28</v>
      </c>
      <c r="V232">
        <v>2375</v>
      </c>
      <c r="W232">
        <v>14921</v>
      </c>
      <c r="X232">
        <v>-999</v>
      </c>
      <c r="Y232">
        <v>-999</v>
      </c>
      <c r="Z232">
        <v>-999</v>
      </c>
      <c r="AA232">
        <v>-999</v>
      </c>
      <c r="AB232">
        <v>9.35</v>
      </c>
      <c r="AC232">
        <v>14.67</v>
      </c>
      <c r="AD232">
        <v>2</v>
      </c>
      <c r="AE232">
        <v>3</v>
      </c>
      <c r="AF232">
        <v>18.91</v>
      </c>
      <c r="AG232">
        <v>15.53</v>
      </c>
      <c r="AH232">
        <v>2</v>
      </c>
      <c r="AI232">
        <v>2</v>
      </c>
      <c r="AJ232">
        <v>4</v>
      </c>
      <c r="AK232">
        <v>4.72</v>
      </c>
      <c r="AL232">
        <v>4.07</v>
      </c>
      <c r="AM232">
        <v>7.39</v>
      </c>
      <c r="AN232">
        <v>7.85</v>
      </c>
      <c r="AO232">
        <v>-0.56000000000000005</v>
      </c>
      <c r="AP232">
        <v>-1</v>
      </c>
      <c r="AQ232">
        <v>2.96</v>
      </c>
    </row>
    <row r="234" spans="1:43" x14ac:dyDescent="0.25">
      <c r="A234">
        <v>-20</v>
      </c>
      <c r="B234" t="s">
        <v>54</v>
      </c>
      <c r="C234">
        <v>48.451000000000001</v>
      </c>
      <c r="D234">
        <f>239.421-360</f>
        <v>-120.57900000000001</v>
      </c>
      <c r="E234">
        <v>20180729</v>
      </c>
      <c r="F234">
        <v>20180708</v>
      </c>
      <c r="H234">
        <v>1</v>
      </c>
      <c r="L234">
        <v>27.36</v>
      </c>
      <c r="M234">
        <v>23</v>
      </c>
      <c r="N234">
        <v>3.39</v>
      </c>
      <c r="O234">
        <v>18</v>
      </c>
      <c r="P234">
        <v>2728</v>
      </c>
      <c r="Q234">
        <v>9240</v>
      </c>
      <c r="R234">
        <v>3.8</v>
      </c>
      <c r="S234">
        <v>2577</v>
      </c>
      <c r="T234">
        <v>9793</v>
      </c>
      <c r="U234">
        <v>3.98</v>
      </c>
      <c r="V234">
        <v>2692</v>
      </c>
      <c r="W234">
        <v>10725</v>
      </c>
      <c r="X234">
        <v>-999</v>
      </c>
      <c r="Y234">
        <v>-999</v>
      </c>
      <c r="Z234">
        <v>-999</v>
      </c>
      <c r="AA234">
        <v>-999</v>
      </c>
      <c r="AB234">
        <v>16.25</v>
      </c>
      <c r="AC234">
        <v>23.08</v>
      </c>
      <c r="AD234">
        <v>3</v>
      </c>
      <c r="AE234">
        <v>3</v>
      </c>
      <c r="AF234">
        <v>18.579999999999998</v>
      </c>
      <c r="AG234">
        <v>10.73</v>
      </c>
      <c r="AH234">
        <v>2</v>
      </c>
      <c r="AI234">
        <v>1</v>
      </c>
      <c r="AJ234">
        <v>3</v>
      </c>
      <c r="AK234">
        <v>-2.54</v>
      </c>
      <c r="AL234">
        <v>2.2400000000000002</v>
      </c>
      <c r="AM234">
        <v>-0.17</v>
      </c>
      <c r="AN234">
        <v>2.4</v>
      </c>
      <c r="AO234">
        <v>-4.04</v>
      </c>
      <c r="AP234">
        <v>1.17</v>
      </c>
      <c r="AQ234">
        <v>-9.48</v>
      </c>
    </row>
    <row r="235" spans="1:43" x14ac:dyDescent="0.25">
      <c r="A235">
        <v>-20</v>
      </c>
      <c r="B235" t="s">
        <v>54</v>
      </c>
      <c r="C235">
        <v>48.451000000000001</v>
      </c>
      <c r="D235">
        <f t="shared" ref="D235:D271" si="14">239.421-360</f>
        <v>-120.57900000000001</v>
      </c>
      <c r="E235">
        <v>20180730</v>
      </c>
      <c r="H235">
        <v>2</v>
      </c>
      <c r="L235">
        <v>29.35</v>
      </c>
      <c r="M235">
        <v>23.1</v>
      </c>
      <c r="N235">
        <v>1.51</v>
      </c>
      <c r="O235">
        <v>8</v>
      </c>
      <c r="P235">
        <v>3045</v>
      </c>
      <c r="Q235">
        <v>4599</v>
      </c>
      <c r="R235">
        <v>2.11</v>
      </c>
      <c r="S235">
        <v>2792</v>
      </c>
      <c r="T235">
        <v>5888</v>
      </c>
      <c r="U235">
        <v>2.23</v>
      </c>
      <c r="V235">
        <v>3005</v>
      </c>
      <c r="W235">
        <v>6687</v>
      </c>
      <c r="X235">
        <v>-999</v>
      </c>
      <c r="Y235">
        <v>-999</v>
      </c>
      <c r="Z235">
        <v>-999</v>
      </c>
      <c r="AA235">
        <v>-999</v>
      </c>
      <c r="AB235">
        <v>16.57</v>
      </c>
      <c r="AC235">
        <v>22.84</v>
      </c>
      <c r="AD235">
        <v>3</v>
      </c>
      <c r="AE235">
        <v>3</v>
      </c>
      <c r="AF235">
        <v>20.53</v>
      </c>
      <c r="AG235">
        <v>10.02</v>
      </c>
      <c r="AH235">
        <v>2</v>
      </c>
      <c r="AI235">
        <v>1</v>
      </c>
      <c r="AJ235">
        <v>3</v>
      </c>
      <c r="AK235">
        <v>-0.93</v>
      </c>
      <c r="AL235">
        <v>1.19</v>
      </c>
    </row>
    <row r="236" spans="1:43" x14ac:dyDescent="0.25">
      <c r="A236">
        <v>-20</v>
      </c>
      <c r="B236" t="s">
        <v>54</v>
      </c>
      <c r="C236">
        <v>48.451000000000001</v>
      </c>
      <c r="D236">
        <f t="shared" si="14"/>
        <v>-120.57900000000001</v>
      </c>
      <c r="E236">
        <v>20180731</v>
      </c>
      <c r="G236">
        <v>250</v>
      </c>
      <c r="H236">
        <v>3</v>
      </c>
      <c r="L236">
        <v>27.64</v>
      </c>
      <c r="M236">
        <v>32</v>
      </c>
      <c r="N236">
        <v>0.9</v>
      </c>
      <c r="O236">
        <v>5</v>
      </c>
      <c r="P236">
        <v>2446</v>
      </c>
      <c r="Q236">
        <v>2212</v>
      </c>
      <c r="R236">
        <v>1.8</v>
      </c>
      <c r="S236">
        <v>2287</v>
      </c>
      <c r="T236">
        <v>4119</v>
      </c>
      <c r="U236">
        <v>1.89</v>
      </c>
      <c r="V236">
        <v>2414</v>
      </c>
      <c r="W236">
        <v>4566</v>
      </c>
      <c r="X236">
        <v>-999</v>
      </c>
      <c r="Y236">
        <v>-999</v>
      </c>
      <c r="Z236">
        <v>-999</v>
      </c>
      <c r="AA236">
        <v>-999</v>
      </c>
      <c r="AB236">
        <v>15.89</v>
      </c>
      <c r="AC236">
        <v>17.510000000000002</v>
      </c>
      <c r="AD236">
        <v>3</v>
      </c>
      <c r="AE236">
        <v>3</v>
      </c>
      <c r="AF236">
        <v>20.62</v>
      </c>
      <c r="AG236">
        <v>7.43</v>
      </c>
      <c r="AH236">
        <v>2</v>
      </c>
      <c r="AI236">
        <v>1</v>
      </c>
      <c r="AJ236">
        <v>3</v>
      </c>
      <c r="AK236">
        <v>0.42</v>
      </c>
      <c r="AL236">
        <v>0.8</v>
      </c>
    </row>
    <row r="237" spans="1:43" x14ac:dyDescent="0.25">
      <c r="A237">
        <v>-20</v>
      </c>
      <c r="B237" t="s">
        <v>54</v>
      </c>
      <c r="C237">
        <v>48.451000000000001</v>
      </c>
      <c r="D237">
        <f t="shared" si="14"/>
        <v>-120.57900000000001</v>
      </c>
      <c r="E237">
        <v>20180801</v>
      </c>
      <c r="G237">
        <v>5000</v>
      </c>
      <c r="H237">
        <v>4</v>
      </c>
      <c r="I237">
        <v>10.17</v>
      </c>
      <c r="J237">
        <v>4750</v>
      </c>
      <c r="K237">
        <v>3.88</v>
      </c>
      <c r="L237">
        <v>23.92</v>
      </c>
      <c r="M237">
        <v>29.1</v>
      </c>
      <c r="N237">
        <v>3.29</v>
      </c>
      <c r="O237">
        <v>17</v>
      </c>
      <c r="P237">
        <v>2065</v>
      </c>
      <c r="Q237">
        <v>6799</v>
      </c>
      <c r="R237">
        <v>4.66</v>
      </c>
      <c r="S237">
        <v>1725</v>
      </c>
      <c r="T237">
        <v>8034</v>
      </c>
      <c r="U237">
        <v>5.01</v>
      </c>
      <c r="V237">
        <v>2038</v>
      </c>
      <c r="W237">
        <v>10202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18.04</v>
      </c>
      <c r="AG237">
        <v>16.73</v>
      </c>
      <c r="AH237">
        <v>2</v>
      </c>
      <c r="AI237">
        <v>2</v>
      </c>
      <c r="AJ237">
        <v>4</v>
      </c>
      <c r="AK237">
        <v>3.12</v>
      </c>
      <c r="AL237">
        <v>-1.04</v>
      </c>
      <c r="AM237">
        <v>-0.56000000000000005</v>
      </c>
      <c r="AN237">
        <v>2.5099999999999998</v>
      </c>
      <c r="AO237">
        <v>6.35</v>
      </c>
      <c r="AP237">
        <v>-4.8600000000000003</v>
      </c>
      <c r="AQ237">
        <v>13.23</v>
      </c>
    </row>
    <row r="238" spans="1:43" x14ac:dyDescent="0.25">
      <c r="A238">
        <v>-20</v>
      </c>
      <c r="B238" t="s">
        <v>54</v>
      </c>
      <c r="C238">
        <v>48.451000000000001</v>
      </c>
      <c r="D238">
        <f t="shared" si="14"/>
        <v>-120.57900000000001</v>
      </c>
      <c r="E238">
        <v>20180802</v>
      </c>
      <c r="G238">
        <v>6000</v>
      </c>
      <c r="H238">
        <v>5</v>
      </c>
      <c r="I238">
        <v>1.25</v>
      </c>
      <c r="J238">
        <v>1000</v>
      </c>
      <c r="K238">
        <v>0.82</v>
      </c>
      <c r="L238">
        <v>19.260000000000002</v>
      </c>
      <c r="M238">
        <v>39.700000000000003</v>
      </c>
      <c r="N238">
        <v>3.68</v>
      </c>
      <c r="O238">
        <v>16</v>
      </c>
      <c r="P238">
        <v>1330</v>
      </c>
      <c r="Q238">
        <v>4893</v>
      </c>
      <c r="R238">
        <v>5.39</v>
      </c>
      <c r="S238">
        <v>1167</v>
      </c>
      <c r="T238">
        <v>6290</v>
      </c>
      <c r="U238">
        <v>6.18</v>
      </c>
      <c r="V238">
        <v>1313</v>
      </c>
      <c r="W238">
        <v>8111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19.78</v>
      </c>
      <c r="AG238">
        <v>18.72</v>
      </c>
      <c r="AH238">
        <v>2</v>
      </c>
      <c r="AI238">
        <v>2</v>
      </c>
      <c r="AJ238">
        <v>4</v>
      </c>
      <c r="AK238">
        <v>3.52</v>
      </c>
      <c r="AL238">
        <v>-1.06</v>
      </c>
      <c r="AM238">
        <v>5.79</v>
      </c>
      <c r="AN238">
        <v>-2.35</v>
      </c>
      <c r="AO238">
        <v>0.72</v>
      </c>
      <c r="AP238">
        <v>0.1</v>
      </c>
      <c r="AQ238">
        <v>-2.25</v>
      </c>
    </row>
    <row r="239" spans="1:43" x14ac:dyDescent="0.25">
      <c r="A239">
        <v>-20</v>
      </c>
      <c r="B239" t="s">
        <v>54</v>
      </c>
      <c r="C239">
        <v>48.451000000000001</v>
      </c>
      <c r="D239">
        <f t="shared" si="14"/>
        <v>-120.57900000000001</v>
      </c>
      <c r="E239">
        <v>20180803</v>
      </c>
      <c r="G239">
        <v>7480</v>
      </c>
      <c r="H239">
        <v>6</v>
      </c>
      <c r="I239">
        <v>1.67</v>
      </c>
      <c r="J239">
        <v>1480</v>
      </c>
      <c r="K239">
        <v>1.21</v>
      </c>
      <c r="L239">
        <v>16.98</v>
      </c>
      <c r="M239">
        <v>50.5</v>
      </c>
      <c r="N239">
        <v>3.23</v>
      </c>
      <c r="O239">
        <v>12</v>
      </c>
      <c r="P239">
        <v>950</v>
      </c>
      <c r="Q239">
        <v>3067</v>
      </c>
      <c r="R239">
        <v>4.0199999999999996</v>
      </c>
      <c r="S239">
        <v>687</v>
      </c>
      <c r="T239">
        <v>2762</v>
      </c>
      <c r="U239">
        <v>4.24</v>
      </c>
      <c r="V239">
        <v>938</v>
      </c>
      <c r="W239">
        <v>3971</v>
      </c>
      <c r="X239">
        <v>-999</v>
      </c>
      <c r="Y239">
        <v>-999</v>
      </c>
      <c r="Z239">
        <v>-999</v>
      </c>
      <c r="AA239">
        <v>-999</v>
      </c>
      <c r="AB239">
        <v>14.19</v>
      </c>
      <c r="AC239">
        <v>7.67</v>
      </c>
      <c r="AD239">
        <v>3</v>
      </c>
      <c r="AE239">
        <v>2</v>
      </c>
      <c r="AF239">
        <v>15.43</v>
      </c>
      <c r="AG239">
        <v>1.29</v>
      </c>
      <c r="AH239">
        <v>1</v>
      </c>
      <c r="AI239">
        <v>1</v>
      </c>
      <c r="AJ239">
        <v>2</v>
      </c>
      <c r="AK239">
        <v>2.4900000000000002</v>
      </c>
      <c r="AL239">
        <v>-2.06</v>
      </c>
      <c r="AM239">
        <v>6.52</v>
      </c>
      <c r="AN239">
        <v>-2.2599999999999998</v>
      </c>
      <c r="AO239">
        <v>-1.71</v>
      </c>
      <c r="AP239">
        <v>-2.02</v>
      </c>
      <c r="AQ239">
        <v>17.010000000000002</v>
      </c>
    </row>
    <row r="240" spans="1:43" x14ac:dyDescent="0.25">
      <c r="A240">
        <v>-20</v>
      </c>
      <c r="B240" t="s">
        <v>54</v>
      </c>
      <c r="C240">
        <v>48.451000000000001</v>
      </c>
      <c r="D240">
        <f t="shared" si="14"/>
        <v>-120.57900000000001</v>
      </c>
      <c r="E240">
        <v>20180804</v>
      </c>
      <c r="G240">
        <v>7671</v>
      </c>
      <c r="H240">
        <v>7</v>
      </c>
      <c r="I240">
        <v>0.2</v>
      </c>
      <c r="J240">
        <v>191</v>
      </c>
      <c r="K240">
        <v>0.16</v>
      </c>
      <c r="L240">
        <v>19.420000000000002</v>
      </c>
      <c r="M240">
        <v>41.3</v>
      </c>
      <c r="N240">
        <v>2.65</v>
      </c>
      <c r="O240">
        <v>11</v>
      </c>
      <c r="P240">
        <v>1308</v>
      </c>
      <c r="Q240">
        <v>3466</v>
      </c>
      <c r="R240">
        <v>1.65</v>
      </c>
      <c r="S240">
        <v>1233</v>
      </c>
      <c r="T240">
        <v>2033</v>
      </c>
      <c r="U240">
        <v>2.65</v>
      </c>
      <c r="V240">
        <v>1291</v>
      </c>
      <c r="W240">
        <v>3421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17.62</v>
      </c>
      <c r="AG240">
        <v>1.78</v>
      </c>
      <c r="AH240">
        <v>1</v>
      </c>
      <c r="AI240">
        <v>1</v>
      </c>
      <c r="AJ240">
        <v>2</v>
      </c>
      <c r="AK240">
        <v>-2.4</v>
      </c>
      <c r="AL240">
        <v>-1.1299999999999999</v>
      </c>
      <c r="AM240">
        <v>4.8099999999999996</v>
      </c>
      <c r="AN240">
        <v>-4.28</v>
      </c>
      <c r="AO240">
        <v>-8.24</v>
      </c>
      <c r="AP240">
        <v>5.14</v>
      </c>
      <c r="AQ240">
        <v>10.51</v>
      </c>
    </row>
    <row r="241" spans="1:43" x14ac:dyDescent="0.25">
      <c r="A241">
        <v>-20</v>
      </c>
      <c r="B241" t="s">
        <v>54</v>
      </c>
      <c r="C241">
        <v>48.451000000000001</v>
      </c>
      <c r="D241">
        <f t="shared" si="14"/>
        <v>-120.57900000000001</v>
      </c>
      <c r="E241">
        <v>20180805</v>
      </c>
      <c r="G241">
        <v>7789</v>
      </c>
      <c r="H241">
        <v>8</v>
      </c>
      <c r="I241">
        <v>0.12</v>
      </c>
      <c r="J241">
        <v>118</v>
      </c>
      <c r="K241">
        <v>0.1</v>
      </c>
      <c r="L241">
        <v>22.75</v>
      </c>
      <c r="M241">
        <v>33.700000000000003</v>
      </c>
      <c r="N241">
        <v>1.47</v>
      </c>
      <c r="O241">
        <v>7</v>
      </c>
      <c r="P241">
        <v>1802</v>
      </c>
      <c r="Q241">
        <v>2648</v>
      </c>
      <c r="R241">
        <v>1.91</v>
      </c>
      <c r="S241">
        <v>1584</v>
      </c>
      <c r="T241">
        <v>3024</v>
      </c>
      <c r="U241">
        <v>1.98</v>
      </c>
      <c r="V241">
        <v>1779</v>
      </c>
      <c r="W241">
        <v>3530</v>
      </c>
      <c r="X241">
        <v>-999</v>
      </c>
      <c r="Y241">
        <v>-999</v>
      </c>
      <c r="Z241">
        <v>-999</v>
      </c>
      <c r="AA241">
        <v>-999</v>
      </c>
      <c r="AB241">
        <v>15.92</v>
      </c>
      <c r="AC241">
        <v>15.64</v>
      </c>
      <c r="AD241">
        <v>3</v>
      </c>
      <c r="AE241">
        <v>3</v>
      </c>
      <c r="AF241">
        <v>15.74</v>
      </c>
      <c r="AG241">
        <v>3.15</v>
      </c>
      <c r="AH241">
        <v>1</v>
      </c>
      <c r="AI241">
        <v>1</v>
      </c>
      <c r="AJ241">
        <v>2</v>
      </c>
      <c r="AK241">
        <v>-0.57999999999999996</v>
      </c>
      <c r="AL241">
        <v>1.35</v>
      </c>
      <c r="AM241">
        <v>-3.44</v>
      </c>
      <c r="AN241">
        <v>0.87</v>
      </c>
      <c r="AO241">
        <v>2.59</v>
      </c>
      <c r="AP241">
        <v>1.58</v>
      </c>
      <c r="AQ241">
        <v>7.67</v>
      </c>
    </row>
    <row r="242" spans="1:43" x14ac:dyDescent="0.25">
      <c r="A242">
        <v>-20</v>
      </c>
      <c r="B242" t="s">
        <v>54</v>
      </c>
      <c r="C242">
        <v>48.451000000000001</v>
      </c>
      <c r="D242">
        <f t="shared" si="14"/>
        <v>-120.57900000000001</v>
      </c>
      <c r="E242">
        <v>20180806</v>
      </c>
      <c r="G242">
        <v>10192</v>
      </c>
      <c r="H242">
        <v>9</v>
      </c>
      <c r="I242">
        <v>2.35</v>
      </c>
      <c r="J242">
        <v>2403</v>
      </c>
      <c r="K242">
        <v>1.96</v>
      </c>
      <c r="L242">
        <v>24.58</v>
      </c>
      <c r="M242">
        <v>25</v>
      </c>
      <c r="N242">
        <v>3.5</v>
      </c>
      <c r="O242">
        <v>18</v>
      </c>
      <c r="P242">
        <v>2269</v>
      </c>
      <c r="Q242">
        <v>7949</v>
      </c>
      <c r="R242">
        <v>4.72</v>
      </c>
      <c r="S242">
        <v>2063</v>
      </c>
      <c r="T242">
        <v>9741</v>
      </c>
      <c r="U242">
        <v>5.01</v>
      </c>
      <c r="V242">
        <v>2239</v>
      </c>
      <c r="W242">
        <v>11210</v>
      </c>
      <c r="X242">
        <v>-999</v>
      </c>
      <c r="Y242">
        <v>-999</v>
      </c>
      <c r="Z242">
        <v>-999</v>
      </c>
      <c r="AA242">
        <v>-999</v>
      </c>
      <c r="AB242">
        <v>16.420000000000002</v>
      </c>
      <c r="AC242">
        <v>20.48</v>
      </c>
      <c r="AD242">
        <v>3</v>
      </c>
      <c r="AE242">
        <v>3</v>
      </c>
      <c r="AF242">
        <v>16.84</v>
      </c>
      <c r="AG242">
        <v>8.83</v>
      </c>
      <c r="AH242">
        <v>1</v>
      </c>
      <c r="AI242">
        <v>1</v>
      </c>
      <c r="AJ242">
        <v>2</v>
      </c>
      <c r="AK242">
        <v>3.41</v>
      </c>
      <c r="AL242">
        <v>-0.82</v>
      </c>
      <c r="AM242">
        <v>-0.84</v>
      </c>
      <c r="AN242">
        <v>2.4500000000000002</v>
      </c>
      <c r="AO242">
        <v>4.88</v>
      </c>
      <c r="AP242">
        <v>-3.23</v>
      </c>
      <c r="AQ242">
        <v>9.2100000000000009</v>
      </c>
    </row>
    <row r="243" spans="1:43" x14ac:dyDescent="0.25">
      <c r="A243">
        <v>-20</v>
      </c>
      <c r="B243" t="s">
        <v>54</v>
      </c>
      <c r="C243">
        <v>48.451000000000001</v>
      </c>
      <c r="D243">
        <f t="shared" si="14"/>
        <v>-120.57900000000001</v>
      </c>
      <c r="E243">
        <v>20180807</v>
      </c>
      <c r="G243">
        <v>11262</v>
      </c>
      <c r="H243">
        <v>10</v>
      </c>
      <c r="I243">
        <v>0.96</v>
      </c>
      <c r="J243">
        <v>1070</v>
      </c>
      <c r="K243">
        <v>0.87</v>
      </c>
      <c r="L243">
        <v>27.16</v>
      </c>
      <c r="M243">
        <v>22.5</v>
      </c>
      <c r="N243">
        <v>1.02</v>
      </c>
      <c r="O243">
        <v>6</v>
      </c>
      <c r="P243">
        <v>2714</v>
      </c>
      <c r="Q243">
        <v>2757</v>
      </c>
      <c r="R243">
        <v>1.35</v>
      </c>
      <c r="S243">
        <v>2464</v>
      </c>
      <c r="T243">
        <v>3320</v>
      </c>
      <c r="U243">
        <v>1.4</v>
      </c>
      <c r="V243">
        <v>2678</v>
      </c>
      <c r="W243">
        <v>3744</v>
      </c>
      <c r="X243">
        <v>-999</v>
      </c>
      <c r="Y243">
        <v>-999</v>
      </c>
      <c r="Z243">
        <v>-999</v>
      </c>
      <c r="AA243">
        <v>-999</v>
      </c>
      <c r="AB243">
        <v>16.21</v>
      </c>
      <c r="AC243">
        <v>22.6</v>
      </c>
      <c r="AD243">
        <v>3</v>
      </c>
      <c r="AE243">
        <v>3</v>
      </c>
      <c r="AF243">
        <v>16</v>
      </c>
      <c r="AG243">
        <v>10.130000000000001</v>
      </c>
      <c r="AH243">
        <v>1</v>
      </c>
      <c r="AI243">
        <v>1</v>
      </c>
      <c r="AJ243">
        <v>2</v>
      </c>
      <c r="AK243">
        <v>0.27</v>
      </c>
      <c r="AL243">
        <v>0.98</v>
      </c>
      <c r="AM243">
        <v>4.04</v>
      </c>
      <c r="AN243">
        <v>-0.78</v>
      </c>
      <c r="AO243">
        <v>-4.0599999999999996</v>
      </c>
      <c r="AP243">
        <v>1.35</v>
      </c>
      <c r="AQ243">
        <v>-2.25</v>
      </c>
    </row>
    <row r="244" spans="1:43" x14ac:dyDescent="0.25">
      <c r="A244">
        <v>-20</v>
      </c>
      <c r="B244" t="s">
        <v>54</v>
      </c>
      <c r="C244">
        <v>48.451000000000001</v>
      </c>
      <c r="D244">
        <f t="shared" si="14"/>
        <v>-120.57900000000001</v>
      </c>
      <c r="E244">
        <v>20180808</v>
      </c>
      <c r="H244">
        <v>11</v>
      </c>
      <c r="L244">
        <v>29.54</v>
      </c>
      <c r="M244">
        <v>25</v>
      </c>
      <c r="N244">
        <v>1.1399999999999999</v>
      </c>
      <c r="O244">
        <v>6</v>
      </c>
      <c r="P244">
        <v>2999</v>
      </c>
      <c r="Q244">
        <v>3409</v>
      </c>
      <c r="R244">
        <v>1.93</v>
      </c>
      <c r="S244">
        <v>2755</v>
      </c>
      <c r="T244">
        <v>5305</v>
      </c>
      <c r="U244">
        <v>2.0299999999999998</v>
      </c>
      <c r="V244">
        <v>2959</v>
      </c>
      <c r="W244">
        <v>6020</v>
      </c>
      <c r="X244">
        <v>-999</v>
      </c>
      <c r="Y244">
        <v>-999</v>
      </c>
      <c r="Z244">
        <v>-999</v>
      </c>
      <c r="AA244">
        <v>-999</v>
      </c>
      <c r="AB244">
        <v>16.05</v>
      </c>
      <c r="AC244">
        <v>21.8</v>
      </c>
      <c r="AD244">
        <v>3</v>
      </c>
      <c r="AE244">
        <v>3</v>
      </c>
      <c r="AF244">
        <v>18.96</v>
      </c>
      <c r="AG244">
        <v>9.7799999999999994</v>
      </c>
      <c r="AH244">
        <v>2</v>
      </c>
      <c r="AI244">
        <v>1</v>
      </c>
      <c r="AJ244">
        <v>3</v>
      </c>
      <c r="AK244">
        <v>0.64</v>
      </c>
      <c r="AL244">
        <v>0.94</v>
      </c>
      <c r="AM244">
        <v>-0.02</v>
      </c>
      <c r="AN244">
        <v>0.56000000000000005</v>
      </c>
      <c r="AO244">
        <v>-0.03</v>
      </c>
      <c r="AP244">
        <v>1.93</v>
      </c>
      <c r="AQ244">
        <v>0.03</v>
      </c>
    </row>
    <row r="245" spans="1:43" x14ac:dyDescent="0.25">
      <c r="A245">
        <v>-20</v>
      </c>
      <c r="B245" t="s">
        <v>54</v>
      </c>
      <c r="C245">
        <v>48.451000000000001</v>
      </c>
      <c r="D245">
        <f t="shared" si="14"/>
        <v>-120.57900000000001</v>
      </c>
      <c r="E245">
        <v>20180809</v>
      </c>
      <c r="G245">
        <v>15091</v>
      </c>
      <c r="H245">
        <v>12</v>
      </c>
      <c r="L245">
        <v>30.73</v>
      </c>
      <c r="M245">
        <v>26.4</v>
      </c>
      <c r="N245">
        <v>1.0900000000000001</v>
      </c>
      <c r="O245">
        <v>6</v>
      </c>
      <c r="P245">
        <v>3141</v>
      </c>
      <c r="Q245">
        <v>3414</v>
      </c>
      <c r="R245">
        <v>1.96</v>
      </c>
      <c r="S245">
        <v>2903</v>
      </c>
      <c r="T245">
        <v>5678</v>
      </c>
      <c r="U245">
        <v>2.08</v>
      </c>
      <c r="V245">
        <v>3100</v>
      </c>
      <c r="W245">
        <v>6437</v>
      </c>
      <c r="X245">
        <v>-999</v>
      </c>
      <c r="Y245">
        <v>-999</v>
      </c>
      <c r="Z245">
        <v>-999</v>
      </c>
      <c r="AA245">
        <v>-999</v>
      </c>
      <c r="AB245">
        <v>15.78</v>
      </c>
      <c r="AC245">
        <v>20.87</v>
      </c>
      <c r="AD245">
        <v>3</v>
      </c>
      <c r="AE245">
        <v>3</v>
      </c>
      <c r="AF245">
        <v>19.37</v>
      </c>
      <c r="AG245">
        <v>10.18</v>
      </c>
      <c r="AH245">
        <v>2</v>
      </c>
      <c r="AI245">
        <v>1</v>
      </c>
      <c r="AJ245">
        <v>3</v>
      </c>
      <c r="AK245">
        <v>0.39</v>
      </c>
      <c r="AL245">
        <v>1.01</v>
      </c>
      <c r="AM245">
        <v>-0.05</v>
      </c>
      <c r="AN245">
        <v>2.4900000000000002</v>
      </c>
      <c r="AO245">
        <v>-0.33</v>
      </c>
      <c r="AP245">
        <v>-0.7</v>
      </c>
      <c r="AQ245">
        <v>-0.87</v>
      </c>
    </row>
    <row r="246" spans="1:43" x14ac:dyDescent="0.25">
      <c r="A246">
        <v>-20</v>
      </c>
      <c r="B246" t="s">
        <v>54</v>
      </c>
      <c r="C246">
        <v>48.451000000000001</v>
      </c>
      <c r="D246">
        <f t="shared" si="14"/>
        <v>-120.57900000000001</v>
      </c>
      <c r="E246">
        <v>20180810</v>
      </c>
      <c r="G246">
        <v>15975</v>
      </c>
      <c r="H246">
        <v>13</v>
      </c>
      <c r="I246">
        <v>0.66</v>
      </c>
      <c r="J246">
        <v>884</v>
      </c>
      <c r="K246">
        <v>0.72</v>
      </c>
      <c r="L246">
        <v>29.11</v>
      </c>
      <c r="M246">
        <v>34.799999999999997</v>
      </c>
      <c r="N246">
        <v>1.69</v>
      </c>
      <c r="O246">
        <v>8</v>
      </c>
      <c r="P246">
        <v>2544</v>
      </c>
      <c r="Q246">
        <v>4307</v>
      </c>
      <c r="R246">
        <v>2.09</v>
      </c>
      <c r="S246">
        <v>2305</v>
      </c>
      <c r="T246">
        <v>4827</v>
      </c>
      <c r="U246">
        <v>2.23</v>
      </c>
      <c r="V246">
        <v>2511</v>
      </c>
      <c r="W246">
        <v>5606</v>
      </c>
      <c r="X246">
        <v>-999</v>
      </c>
      <c r="Y246">
        <v>-999</v>
      </c>
      <c r="Z246">
        <v>-999</v>
      </c>
      <c r="AA246">
        <v>-999</v>
      </c>
      <c r="AB246">
        <v>-999</v>
      </c>
      <c r="AC246">
        <v>-999</v>
      </c>
      <c r="AD246">
        <v>-999</v>
      </c>
      <c r="AE246">
        <v>-999</v>
      </c>
      <c r="AF246">
        <v>19.89</v>
      </c>
      <c r="AG246">
        <v>4.8499999999999996</v>
      </c>
      <c r="AH246">
        <v>2</v>
      </c>
      <c r="AI246">
        <v>1</v>
      </c>
      <c r="AJ246">
        <v>3</v>
      </c>
      <c r="AK246">
        <v>1.6</v>
      </c>
      <c r="AL246">
        <v>-0.56000000000000005</v>
      </c>
      <c r="AM246">
        <v>-0.39</v>
      </c>
      <c r="AN246">
        <v>1.79</v>
      </c>
      <c r="AO246">
        <v>0.92</v>
      </c>
      <c r="AP246">
        <v>-1.36</v>
      </c>
      <c r="AQ246">
        <v>1.1200000000000001</v>
      </c>
    </row>
    <row r="247" spans="1:43" x14ac:dyDescent="0.25">
      <c r="A247">
        <v>-20</v>
      </c>
      <c r="B247" t="s">
        <v>54</v>
      </c>
      <c r="C247">
        <v>48.451000000000001</v>
      </c>
      <c r="D247">
        <f t="shared" si="14"/>
        <v>-120.57900000000001</v>
      </c>
      <c r="E247">
        <v>20180811</v>
      </c>
      <c r="H247">
        <v>14</v>
      </c>
      <c r="L247">
        <v>16.36</v>
      </c>
      <c r="M247">
        <v>49.2</v>
      </c>
      <c r="N247">
        <v>3.36</v>
      </c>
      <c r="O247">
        <v>13</v>
      </c>
      <c r="P247">
        <v>937</v>
      </c>
      <c r="Q247">
        <v>3152</v>
      </c>
      <c r="R247">
        <v>5.43</v>
      </c>
      <c r="S247">
        <v>714</v>
      </c>
      <c r="T247">
        <v>3879</v>
      </c>
      <c r="U247">
        <v>6.49</v>
      </c>
      <c r="V247">
        <v>925</v>
      </c>
      <c r="W247">
        <v>6004</v>
      </c>
      <c r="X247">
        <v>-999</v>
      </c>
      <c r="Y247">
        <v>-999</v>
      </c>
      <c r="Z247">
        <v>-999</v>
      </c>
      <c r="AA247">
        <v>-999</v>
      </c>
      <c r="AB247">
        <v>-999</v>
      </c>
      <c r="AC247">
        <v>-999</v>
      </c>
      <c r="AD247">
        <v>-999</v>
      </c>
      <c r="AE247">
        <v>-999</v>
      </c>
      <c r="AF247">
        <v>17.34</v>
      </c>
      <c r="AG247">
        <v>3.57</v>
      </c>
      <c r="AH247">
        <v>1</v>
      </c>
      <c r="AI247">
        <v>1</v>
      </c>
      <c r="AJ247">
        <v>2</v>
      </c>
      <c r="AK247">
        <v>3.35</v>
      </c>
      <c r="AL247">
        <v>-0.33</v>
      </c>
      <c r="AM247">
        <v>0.53</v>
      </c>
      <c r="AN247">
        <v>0.43</v>
      </c>
      <c r="AO247">
        <v>5.81</v>
      </c>
      <c r="AP247">
        <v>-2.23</v>
      </c>
      <c r="AQ247">
        <v>3.66</v>
      </c>
    </row>
    <row r="248" spans="1:43" x14ac:dyDescent="0.25">
      <c r="A248">
        <v>-20</v>
      </c>
      <c r="B248" t="s">
        <v>54</v>
      </c>
      <c r="C248">
        <v>48.451000000000001</v>
      </c>
      <c r="D248">
        <f t="shared" si="14"/>
        <v>-120.57900000000001</v>
      </c>
      <c r="E248">
        <v>20180812</v>
      </c>
      <c r="G248">
        <v>16923</v>
      </c>
      <c r="H248">
        <v>15</v>
      </c>
      <c r="L248">
        <v>19.54</v>
      </c>
      <c r="M248">
        <v>45.8</v>
      </c>
      <c r="N248">
        <v>0.76</v>
      </c>
      <c r="O248">
        <v>4</v>
      </c>
      <c r="P248">
        <v>1217</v>
      </c>
      <c r="Q248">
        <v>930</v>
      </c>
      <c r="R248">
        <v>0.97</v>
      </c>
      <c r="S248">
        <v>1032</v>
      </c>
      <c r="T248">
        <v>1003</v>
      </c>
      <c r="U248">
        <v>1.03</v>
      </c>
      <c r="V248">
        <v>1201</v>
      </c>
      <c r="W248">
        <v>1235</v>
      </c>
      <c r="X248">
        <v>-999</v>
      </c>
      <c r="Y248">
        <v>-999</v>
      </c>
      <c r="Z248">
        <v>-999</v>
      </c>
      <c r="AA248">
        <v>-999</v>
      </c>
      <c r="AB248">
        <v>16.13</v>
      </c>
      <c r="AC248">
        <v>11.12</v>
      </c>
      <c r="AD248">
        <v>3</v>
      </c>
      <c r="AE248">
        <v>2</v>
      </c>
      <c r="AF248">
        <v>13.83</v>
      </c>
      <c r="AG248">
        <v>2.56</v>
      </c>
      <c r="AH248">
        <v>1</v>
      </c>
      <c r="AI248">
        <v>1</v>
      </c>
      <c r="AJ248">
        <v>2</v>
      </c>
      <c r="AK248">
        <v>0.56999999999999995</v>
      </c>
      <c r="AL248">
        <v>-0.51</v>
      </c>
      <c r="AM248">
        <v>6.34</v>
      </c>
      <c r="AN248">
        <v>-1.8</v>
      </c>
      <c r="AO248">
        <v>-3.92</v>
      </c>
      <c r="AP248">
        <v>0.36</v>
      </c>
      <c r="AQ248">
        <v>4.79</v>
      </c>
    </row>
    <row r="249" spans="1:43" x14ac:dyDescent="0.25">
      <c r="A249">
        <v>-20</v>
      </c>
      <c r="B249" t="s">
        <v>54</v>
      </c>
      <c r="C249">
        <v>48.451000000000001</v>
      </c>
      <c r="D249">
        <f t="shared" si="14"/>
        <v>-120.57900000000001</v>
      </c>
      <c r="E249">
        <v>20180813</v>
      </c>
      <c r="G249">
        <v>17075</v>
      </c>
      <c r="H249">
        <v>16</v>
      </c>
      <c r="I249">
        <v>0.11</v>
      </c>
      <c r="J249">
        <v>152</v>
      </c>
      <c r="K249">
        <v>0.12</v>
      </c>
      <c r="L249">
        <v>22.83</v>
      </c>
      <c r="M249">
        <v>26.7</v>
      </c>
      <c r="N249">
        <v>1.1299999999999999</v>
      </c>
      <c r="O249">
        <v>6</v>
      </c>
      <c r="P249">
        <v>2002</v>
      </c>
      <c r="Q249">
        <v>2255</v>
      </c>
      <c r="R249">
        <v>1.34</v>
      </c>
      <c r="S249">
        <v>1822</v>
      </c>
      <c r="T249">
        <v>2440</v>
      </c>
      <c r="U249">
        <v>1.27</v>
      </c>
      <c r="V249">
        <v>1976</v>
      </c>
      <c r="W249">
        <v>2514</v>
      </c>
      <c r="X249">
        <v>-999</v>
      </c>
      <c r="Y249">
        <v>-999</v>
      </c>
      <c r="Z249">
        <v>-999</v>
      </c>
      <c r="AA249">
        <v>-999</v>
      </c>
      <c r="AB249">
        <v>15.54</v>
      </c>
      <c r="AC249">
        <v>18.98</v>
      </c>
      <c r="AD249">
        <v>3</v>
      </c>
      <c r="AE249">
        <v>3</v>
      </c>
      <c r="AF249">
        <v>15.42</v>
      </c>
      <c r="AG249">
        <v>9.31</v>
      </c>
      <c r="AH249">
        <v>1</v>
      </c>
      <c r="AI249">
        <v>1</v>
      </c>
      <c r="AJ249">
        <v>2</v>
      </c>
      <c r="AK249">
        <v>0.04</v>
      </c>
      <c r="AL249">
        <v>-1.1299999999999999</v>
      </c>
      <c r="AM249">
        <v>2.42</v>
      </c>
      <c r="AN249">
        <v>-1.44</v>
      </c>
      <c r="AO249">
        <v>-2.91</v>
      </c>
      <c r="AP249">
        <v>0.21</v>
      </c>
      <c r="AQ249">
        <v>3.68</v>
      </c>
    </row>
    <row r="250" spans="1:43" x14ac:dyDescent="0.25">
      <c r="A250">
        <v>-20</v>
      </c>
      <c r="B250" t="s">
        <v>54</v>
      </c>
      <c r="C250">
        <v>48.451000000000001</v>
      </c>
      <c r="D250">
        <f t="shared" si="14"/>
        <v>-120.57900000000001</v>
      </c>
      <c r="E250">
        <v>20180814</v>
      </c>
      <c r="G250">
        <v>17100</v>
      </c>
      <c r="H250">
        <v>17</v>
      </c>
      <c r="I250">
        <v>0.02</v>
      </c>
      <c r="J250">
        <v>25</v>
      </c>
      <c r="K250">
        <v>0.02</v>
      </c>
      <c r="L250">
        <v>24.87</v>
      </c>
      <c r="M250">
        <v>31.9</v>
      </c>
      <c r="N250">
        <v>1.45</v>
      </c>
      <c r="O250">
        <v>7</v>
      </c>
      <c r="P250">
        <v>2093</v>
      </c>
      <c r="Q250">
        <v>3041</v>
      </c>
      <c r="R250">
        <v>1.47</v>
      </c>
      <c r="S250">
        <v>1991</v>
      </c>
      <c r="T250">
        <v>2920</v>
      </c>
      <c r="U250">
        <v>1.54</v>
      </c>
      <c r="V250">
        <v>2066</v>
      </c>
      <c r="W250">
        <v>3183</v>
      </c>
      <c r="X250">
        <v>-999</v>
      </c>
      <c r="Y250">
        <v>-999</v>
      </c>
      <c r="Z250">
        <v>-999</v>
      </c>
      <c r="AA250">
        <v>-999</v>
      </c>
      <c r="AB250">
        <v>15.87</v>
      </c>
      <c r="AC250">
        <v>18.079999999999998</v>
      </c>
      <c r="AD250">
        <v>3</v>
      </c>
      <c r="AE250">
        <v>3</v>
      </c>
      <c r="AF250">
        <v>14.42</v>
      </c>
      <c r="AG250">
        <v>7.03</v>
      </c>
      <c r="AH250">
        <v>1</v>
      </c>
      <c r="AI250">
        <v>1</v>
      </c>
      <c r="AJ250">
        <v>2</v>
      </c>
      <c r="AK250">
        <v>-0.32</v>
      </c>
      <c r="AL250">
        <v>1.42</v>
      </c>
      <c r="AM250">
        <v>-0.49</v>
      </c>
      <c r="AN250">
        <v>-1.23</v>
      </c>
      <c r="AO250">
        <v>-0.02</v>
      </c>
      <c r="AP250">
        <v>3.8</v>
      </c>
      <c r="AQ250">
        <v>1.87</v>
      </c>
    </row>
    <row r="251" spans="1:43" x14ac:dyDescent="0.25">
      <c r="A251">
        <v>-20</v>
      </c>
      <c r="B251" t="s">
        <v>54</v>
      </c>
      <c r="C251">
        <v>48.451000000000001</v>
      </c>
      <c r="D251">
        <f t="shared" si="14"/>
        <v>-120.57900000000001</v>
      </c>
      <c r="E251">
        <v>20180815</v>
      </c>
      <c r="G251">
        <v>17925</v>
      </c>
      <c r="H251">
        <v>18</v>
      </c>
      <c r="I251">
        <v>0.57999999999999996</v>
      </c>
      <c r="J251">
        <v>825</v>
      </c>
      <c r="K251">
        <v>0.67</v>
      </c>
      <c r="L251">
        <v>26.44</v>
      </c>
      <c r="M251">
        <v>26.7</v>
      </c>
      <c r="N251">
        <v>1.1100000000000001</v>
      </c>
      <c r="O251">
        <v>6</v>
      </c>
      <c r="P251">
        <v>2465</v>
      </c>
      <c r="Q251">
        <v>2735</v>
      </c>
      <c r="R251">
        <v>1.61</v>
      </c>
      <c r="S251">
        <v>2359</v>
      </c>
      <c r="T251">
        <v>3797</v>
      </c>
      <c r="U251">
        <v>1.72</v>
      </c>
      <c r="V251">
        <v>2433</v>
      </c>
      <c r="W251">
        <v>4187</v>
      </c>
      <c r="X251">
        <v>-999</v>
      </c>
      <c r="Y251">
        <v>-999</v>
      </c>
      <c r="Z251">
        <v>-999</v>
      </c>
      <c r="AA251">
        <v>-999</v>
      </c>
      <c r="AB251">
        <v>-999</v>
      </c>
      <c r="AC251">
        <v>-999</v>
      </c>
      <c r="AD251">
        <v>-999</v>
      </c>
      <c r="AE251">
        <v>-999</v>
      </c>
      <c r="AF251">
        <v>20.21</v>
      </c>
      <c r="AG251">
        <v>10.43</v>
      </c>
      <c r="AH251">
        <v>2</v>
      </c>
      <c r="AI251">
        <v>1</v>
      </c>
      <c r="AJ251">
        <v>3</v>
      </c>
      <c r="AK251">
        <v>0.32</v>
      </c>
      <c r="AL251">
        <v>1.06</v>
      </c>
      <c r="AM251">
        <v>-0.5</v>
      </c>
      <c r="AN251">
        <v>2.57</v>
      </c>
      <c r="AO251">
        <v>1.28</v>
      </c>
      <c r="AP251">
        <v>-1.0900000000000001</v>
      </c>
      <c r="AQ251">
        <v>2.73</v>
      </c>
    </row>
    <row r="252" spans="1:43" x14ac:dyDescent="0.25">
      <c r="A252">
        <v>-20</v>
      </c>
      <c r="B252" t="s">
        <v>54</v>
      </c>
      <c r="C252">
        <v>48.451000000000001</v>
      </c>
      <c r="D252">
        <f t="shared" si="14"/>
        <v>-120.57900000000001</v>
      </c>
      <c r="E252">
        <v>20180816</v>
      </c>
      <c r="G252">
        <v>19747</v>
      </c>
      <c r="H252">
        <v>19</v>
      </c>
      <c r="I252">
        <v>1.23</v>
      </c>
      <c r="J252">
        <v>1822</v>
      </c>
      <c r="K252">
        <v>1.49</v>
      </c>
      <c r="L252">
        <v>25.91</v>
      </c>
      <c r="M252">
        <v>26</v>
      </c>
      <c r="N252">
        <v>1.42</v>
      </c>
      <c r="O252">
        <v>8</v>
      </c>
      <c r="P252">
        <v>2414</v>
      </c>
      <c r="Q252">
        <v>3418</v>
      </c>
      <c r="R252">
        <v>1.96</v>
      </c>
      <c r="S252">
        <v>2170</v>
      </c>
      <c r="T252">
        <v>4258</v>
      </c>
      <c r="U252">
        <v>2</v>
      </c>
      <c r="V252">
        <v>2383</v>
      </c>
      <c r="W252">
        <v>4764</v>
      </c>
      <c r="X252">
        <v>-999</v>
      </c>
      <c r="Y252">
        <v>-999</v>
      </c>
      <c r="Z252">
        <v>-999</v>
      </c>
      <c r="AA252">
        <v>-999</v>
      </c>
      <c r="AB252">
        <v>15.58</v>
      </c>
      <c r="AC252">
        <v>20.11</v>
      </c>
      <c r="AD252">
        <v>3</v>
      </c>
      <c r="AE252">
        <v>3</v>
      </c>
      <c r="AF252">
        <v>19.91</v>
      </c>
      <c r="AG252">
        <v>12.78</v>
      </c>
      <c r="AH252">
        <v>2</v>
      </c>
      <c r="AI252">
        <v>1</v>
      </c>
      <c r="AJ252">
        <v>3</v>
      </c>
      <c r="AK252">
        <v>1.29</v>
      </c>
      <c r="AL252">
        <v>-0.57999999999999996</v>
      </c>
      <c r="AM252">
        <v>0.77</v>
      </c>
      <c r="AN252">
        <v>1.48</v>
      </c>
      <c r="AO252">
        <v>1.94</v>
      </c>
      <c r="AP252">
        <v>-2.94</v>
      </c>
      <c r="AQ252">
        <v>5.15</v>
      </c>
    </row>
    <row r="253" spans="1:43" x14ac:dyDescent="0.25">
      <c r="A253">
        <v>-20</v>
      </c>
      <c r="B253" t="s">
        <v>54</v>
      </c>
      <c r="C253">
        <v>48.451000000000001</v>
      </c>
      <c r="D253">
        <f t="shared" si="14"/>
        <v>-120.57900000000001</v>
      </c>
      <c r="E253">
        <v>20180817</v>
      </c>
      <c r="G253">
        <v>23514</v>
      </c>
      <c r="H253">
        <v>20</v>
      </c>
      <c r="I253">
        <v>2.38</v>
      </c>
      <c r="J253">
        <v>3767</v>
      </c>
      <c r="K253">
        <v>3.08</v>
      </c>
      <c r="L253">
        <v>23.05</v>
      </c>
      <c r="M253">
        <v>39.4</v>
      </c>
      <c r="N253">
        <v>2.08</v>
      </c>
      <c r="O253">
        <v>9</v>
      </c>
      <c r="P253">
        <v>1677</v>
      </c>
      <c r="Q253">
        <v>3484</v>
      </c>
      <c r="R253">
        <v>3.05</v>
      </c>
      <c r="S253">
        <v>1328</v>
      </c>
      <c r="T253">
        <v>4047</v>
      </c>
      <c r="U253">
        <v>3.26</v>
      </c>
      <c r="V253">
        <v>1655</v>
      </c>
      <c r="W253">
        <v>5392</v>
      </c>
      <c r="X253">
        <v>-999</v>
      </c>
      <c r="Y253">
        <v>-999</v>
      </c>
      <c r="Z253">
        <v>-999</v>
      </c>
      <c r="AA253">
        <v>-999</v>
      </c>
      <c r="AB253">
        <v>15.06</v>
      </c>
      <c r="AC253">
        <v>12.33</v>
      </c>
      <c r="AD253">
        <v>3</v>
      </c>
      <c r="AE253">
        <v>2</v>
      </c>
      <c r="AF253">
        <v>16.29</v>
      </c>
      <c r="AG253">
        <v>5.0199999999999996</v>
      </c>
      <c r="AH253">
        <v>1</v>
      </c>
      <c r="AI253">
        <v>1</v>
      </c>
      <c r="AJ253">
        <v>2</v>
      </c>
      <c r="AK253">
        <v>1.78</v>
      </c>
      <c r="AL253">
        <v>-1.07</v>
      </c>
      <c r="AM253">
        <v>2.71</v>
      </c>
      <c r="AN253">
        <v>-1.46</v>
      </c>
      <c r="AO253">
        <v>0.32</v>
      </c>
      <c r="AP253">
        <v>-0.61</v>
      </c>
      <c r="AQ253">
        <v>1.2</v>
      </c>
    </row>
    <row r="254" spans="1:43" x14ac:dyDescent="0.25">
      <c r="A254">
        <v>-20</v>
      </c>
      <c r="B254" t="s">
        <v>54</v>
      </c>
      <c r="C254">
        <v>48.451000000000001</v>
      </c>
      <c r="D254">
        <f t="shared" si="14"/>
        <v>-120.57900000000001</v>
      </c>
      <c r="E254">
        <v>20180818</v>
      </c>
      <c r="G254">
        <v>24953</v>
      </c>
      <c r="H254">
        <v>21</v>
      </c>
      <c r="I254">
        <v>0.86</v>
      </c>
      <c r="J254">
        <v>1439</v>
      </c>
      <c r="K254">
        <v>1.18</v>
      </c>
      <c r="L254">
        <v>23.52</v>
      </c>
      <c r="M254">
        <v>34.799999999999997</v>
      </c>
      <c r="N254">
        <v>2.09</v>
      </c>
      <c r="O254">
        <v>10</v>
      </c>
      <c r="P254">
        <v>1854</v>
      </c>
      <c r="Q254">
        <v>3872</v>
      </c>
      <c r="R254">
        <v>1.62</v>
      </c>
      <c r="S254">
        <v>1766</v>
      </c>
      <c r="T254">
        <v>2860</v>
      </c>
      <c r="U254">
        <v>2.09</v>
      </c>
      <c r="V254">
        <v>1830</v>
      </c>
      <c r="W254">
        <v>3822</v>
      </c>
      <c r="X254">
        <v>-999</v>
      </c>
      <c r="Y254">
        <v>-999</v>
      </c>
      <c r="Z254">
        <v>-999</v>
      </c>
      <c r="AA254">
        <v>-999</v>
      </c>
      <c r="AB254">
        <v>16.03</v>
      </c>
      <c r="AC254">
        <v>16.18</v>
      </c>
      <c r="AD254">
        <v>3</v>
      </c>
      <c r="AE254">
        <v>3</v>
      </c>
      <c r="AF254">
        <v>16.5</v>
      </c>
      <c r="AG254">
        <v>4.47</v>
      </c>
      <c r="AH254">
        <v>1</v>
      </c>
      <c r="AI254">
        <v>1</v>
      </c>
      <c r="AJ254">
        <v>2</v>
      </c>
      <c r="AK254">
        <v>-1.57</v>
      </c>
      <c r="AL254">
        <v>1.38</v>
      </c>
      <c r="AM254">
        <v>3.03</v>
      </c>
      <c r="AN254">
        <v>-2.0699999999999998</v>
      </c>
      <c r="AO254">
        <v>-5.78</v>
      </c>
      <c r="AP254">
        <v>4.55</v>
      </c>
      <c r="AQ254">
        <v>-1.8</v>
      </c>
    </row>
    <row r="255" spans="1:43" x14ac:dyDescent="0.25">
      <c r="A255">
        <v>-20</v>
      </c>
      <c r="B255" t="s">
        <v>54</v>
      </c>
      <c r="C255">
        <v>48.451000000000001</v>
      </c>
      <c r="D255">
        <f t="shared" si="14"/>
        <v>-120.57900000000001</v>
      </c>
      <c r="E255">
        <v>20180819</v>
      </c>
      <c r="G255">
        <v>26181</v>
      </c>
      <c r="H255">
        <v>22</v>
      </c>
      <c r="I255">
        <v>0.71</v>
      </c>
      <c r="J255">
        <v>1228</v>
      </c>
      <c r="K255">
        <v>1</v>
      </c>
      <c r="L255">
        <v>23.31</v>
      </c>
      <c r="M255">
        <v>33.6</v>
      </c>
      <c r="N255">
        <v>2.0099999999999998</v>
      </c>
      <c r="O255">
        <v>10</v>
      </c>
      <c r="P255">
        <v>1864</v>
      </c>
      <c r="Q255">
        <v>3739</v>
      </c>
      <c r="R255">
        <v>1.53</v>
      </c>
      <c r="S255">
        <v>1859</v>
      </c>
      <c r="T255">
        <v>2841</v>
      </c>
      <c r="U255">
        <v>2.0099999999999998</v>
      </c>
      <c r="V255">
        <v>1874</v>
      </c>
      <c r="W255">
        <v>3758</v>
      </c>
      <c r="X255">
        <v>-999</v>
      </c>
      <c r="Y255">
        <v>-999</v>
      </c>
      <c r="Z255">
        <v>-999</v>
      </c>
      <c r="AA255">
        <v>-999</v>
      </c>
      <c r="AB255">
        <v>15.34</v>
      </c>
      <c r="AC255">
        <v>17.440000000000001</v>
      </c>
      <c r="AD255">
        <v>3</v>
      </c>
      <c r="AE255">
        <v>3</v>
      </c>
      <c r="AF255">
        <v>18.46</v>
      </c>
      <c r="AG255">
        <v>7.21</v>
      </c>
      <c r="AH255">
        <v>2</v>
      </c>
      <c r="AI255">
        <v>1</v>
      </c>
      <c r="AJ255">
        <v>3</v>
      </c>
      <c r="AK255">
        <v>-1.62</v>
      </c>
      <c r="AL255">
        <v>1.18</v>
      </c>
      <c r="AM255">
        <v>-2.75</v>
      </c>
      <c r="AN255">
        <v>2.48</v>
      </c>
      <c r="AO255">
        <v>0.3</v>
      </c>
      <c r="AP255">
        <v>-0.28999999999999998</v>
      </c>
      <c r="AQ255">
        <v>-0.06</v>
      </c>
    </row>
    <row r="256" spans="1:43" x14ac:dyDescent="0.25">
      <c r="A256">
        <v>-20</v>
      </c>
      <c r="B256" t="s">
        <v>54</v>
      </c>
      <c r="C256">
        <v>48.451000000000001</v>
      </c>
      <c r="D256">
        <f t="shared" si="14"/>
        <v>-120.57900000000001</v>
      </c>
      <c r="E256">
        <v>20180820</v>
      </c>
      <c r="G256">
        <v>31056</v>
      </c>
      <c r="H256">
        <v>23</v>
      </c>
      <c r="I256">
        <v>2.67</v>
      </c>
      <c r="J256">
        <v>4875</v>
      </c>
      <c r="K256">
        <v>3.99</v>
      </c>
      <c r="L256">
        <v>21.15</v>
      </c>
      <c r="M256">
        <v>32.1</v>
      </c>
      <c r="N256">
        <v>2.97</v>
      </c>
      <c r="O256">
        <v>14</v>
      </c>
      <c r="P256">
        <v>1680</v>
      </c>
      <c r="Q256">
        <v>4989</v>
      </c>
      <c r="R256">
        <v>3.47</v>
      </c>
      <c r="S256">
        <v>1516</v>
      </c>
      <c r="T256">
        <v>5255</v>
      </c>
      <c r="U256">
        <v>3.62</v>
      </c>
      <c r="V256">
        <v>1658</v>
      </c>
      <c r="W256">
        <v>6002</v>
      </c>
      <c r="X256">
        <v>-999</v>
      </c>
      <c r="Y256">
        <v>-999</v>
      </c>
      <c r="Z256">
        <v>-999</v>
      </c>
      <c r="AA256">
        <v>-999</v>
      </c>
      <c r="AB256">
        <v>14.7</v>
      </c>
      <c r="AC256">
        <v>16.71</v>
      </c>
      <c r="AD256">
        <v>3</v>
      </c>
      <c r="AE256">
        <v>3</v>
      </c>
      <c r="AF256">
        <v>15.2</v>
      </c>
      <c r="AG256">
        <v>10.36</v>
      </c>
      <c r="AH256">
        <v>1</v>
      </c>
      <c r="AI256">
        <v>1</v>
      </c>
      <c r="AJ256">
        <v>2</v>
      </c>
      <c r="AK256">
        <v>-2.65</v>
      </c>
      <c r="AL256">
        <v>1.34</v>
      </c>
      <c r="AM256">
        <v>-2.4500000000000002</v>
      </c>
      <c r="AN256">
        <v>2.1800000000000002</v>
      </c>
      <c r="AO256">
        <v>-1.74</v>
      </c>
      <c r="AP256">
        <v>-2.54</v>
      </c>
      <c r="AQ256">
        <v>-10</v>
      </c>
    </row>
    <row r="257" spans="1:43" x14ac:dyDescent="0.25">
      <c r="A257">
        <v>-20</v>
      </c>
      <c r="B257" t="s">
        <v>54</v>
      </c>
      <c r="C257">
        <v>48.451000000000001</v>
      </c>
      <c r="D257">
        <f t="shared" si="14"/>
        <v>-120.57900000000001</v>
      </c>
      <c r="E257">
        <v>20180821</v>
      </c>
      <c r="G257">
        <v>32828</v>
      </c>
      <c r="H257">
        <v>24</v>
      </c>
      <c r="I257">
        <v>0.92</v>
      </c>
      <c r="J257">
        <v>1772</v>
      </c>
      <c r="K257">
        <v>1.45</v>
      </c>
      <c r="L257">
        <v>23.83</v>
      </c>
      <c r="M257">
        <v>29.5</v>
      </c>
      <c r="N257">
        <v>1.58</v>
      </c>
      <c r="O257">
        <v>8</v>
      </c>
      <c r="P257">
        <v>2041</v>
      </c>
      <c r="Q257">
        <v>3220</v>
      </c>
      <c r="R257">
        <v>1.57</v>
      </c>
      <c r="S257">
        <v>1874</v>
      </c>
      <c r="T257">
        <v>2951</v>
      </c>
      <c r="U257">
        <v>1.63</v>
      </c>
      <c r="V257">
        <v>2014</v>
      </c>
      <c r="W257">
        <v>3279</v>
      </c>
      <c r="X257">
        <v>-999</v>
      </c>
      <c r="Y257">
        <v>-999</v>
      </c>
      <c r="Z257">
        <v>-999</v>
      </c>
      <c r="AA257">
        <v>-999</v>
      </c>
      <c r="AB257">
        <v>14.69</v>
      </c>
      <c r="AC257">
        <v>18.77</v>
      </c>
      <c r="AD257">
        <v>3</v>
      </c>
      <c r="AE257">
        <v>3</v>
      </c>
      <c r="AF257">
        <v>14.37</v>
      </c>
      <c r="AG257">
        <v>11.43</v>
      </c>
      <c r="AH257">
        <v>1</v>
      </c>
      <c r="AI257">
        <v>1</v>
      </c>
      <c r="AJ257">
        <v>2</v>
      </c>
      <c r="AK257">
        <v>-0.81</v>
      </c>
      <c r="AL257">
        <v>1.35</v>
      </c>
      <c r="AM257">
        <v>-4.1900000000000004</v>
      </c>
      <c r="AN257">
        <v>-0.35</v>
      </c>
      <c r="AO257">
        <v>2.38</v>
      </c>
      <c r="AP257">
        <v>3.09</v>
      </c>
      <c r="AQ257">
        <v>12.08</v>
      </c>
    </row>
    <row r="258" spans="1:43" x14ac:dyDescent="0.25">
      <c r="A258">
        <v>-20</v>
      </c>
      <c r="B258" t="s">
        <v>54</v>
      </c>
      <c r="C258">
        <v>48.451000000000001</v>
      </c>
      <c r="D258">
        <f t="shared" si="14"/>
        <v>-120.57900000000001</v>
      </c>
      <c r="E258">
        <v>20180822</v>
      </c>
      <c r="G258">
        <v>36963</v>
      </c>
      <c r="H258">
        <v>25</v>
      </c>
      <c r="I258">
        <v>2.0499999999999998</v>
      </c>
      <c r="J258">
        <v>4135</v>
      </c>
      <c r="K258">
        <v>3.38</v>
      </c>
      <c r="L258">
        <v>25.38</v>
      </c>
      <c r="M258">
        <v>29.9</v>
      </c>
      <c r="N258">
        <v>2.58</v>
      </c>
      <c r="O258">
        <v>13</v>
      </c>
      <c r="P258">
        <v>2218</v>
      </c>
      <c r="Q258">
        <v>5720</v>
      </c>
      <c r="R258">
        <v>3.51</v>
      </c>
      <c r="S258">
        <v>2071</v>
      </c>
      <c r="T258">
        <v>7264</v>
      </c>
      <c r="U258">
        <v>3.73</v>
      </c>
      <c r="V258">
        <v>2189</v>
      </c>
      <c r="W258">
        <v>8156</v>
      </c>
      <c r="X258">
        <v>-999</v>
      </c>
      <c r="Y258">
        <v>-999</v>
      </c>
      <c r="Z258">
        <v>-999</v>
      </c>
      <c r="AA258">
        <v>-999</v>
      </c>
      <c r="AB258">
        <v>-999</v>
      </c>
      <c r="AC258">
        <v>-999</v>
      </c>
      <c r="AD258">
        <v>-999</v>
      </c>
      <c r="AE258">
        <v>-999</v>
      </c>
      <c r="AF258">
        <v>16.2</v>
      </c>
      <c r="AG258">
        <v>8.2200000000000006</v>
      </c>
      <c r="AH258">
        <v>1</v>
      </c>
      <c r="AI258">
        <v>1</v>
      </c>
      <c r="AJ258">
        <v>2</v>
      </c>
      <c r="AK258">
        <v>2.54</v>
      </c>
      <c r="AL258">
        <v>-0.47</v>
      </c>
      <c r="AM258">
        <v>-1.81</v>
      </c>
      <c r="AN258">
        <v>2.73</v>
      </c>
      <c r="AO258">
        <v>4.92</v>
      </c>
      <c r="AP258">
        <v>-2.66</v>
      </c>
      <c r="AQ258">
        <v>8.6300000000000008</v>
      </c>
    </row>
    <row r="259" spans="1:43" x14ac:dyDescent="0.25">
      <c r="A259">
        <v>-20</v>
      </c>
      <c r="B259" t="s">
        <v>54</v>
      </c>
      <c r="C259">
        <v>48.451000000000001</v>
      </c>
      <c r="D259">
        <f t="shared" si="14"/>
        <v>-120.57900000000001</v>
      </c>
      <c r="E259">
        <v>20180823</v>
      </c>
      <c r="G259">
        <v>40128</v>
      </c>
      <c r="H259">
        <v>26</v>
      </c>
      <c r="I259">
        <v>1.49</v>
      </c>
      <c r="J259">
        <v>3165</v>
      </c>
      <c r="K259">
        <v>2.59</v>
      </c>
      <c r="L259">
        <v>18.77</v>
      </c>
      <c r="M259">
        <v>40</v>
      </c>
      <c r="N259">
        <v>3.42</v>
      </c>
      <c r="O259">
        <v>15</v>
      </c>
      <c r="P259">
        <v>1284</v>
      </c>
      <c r="Q259">
        <v>4397</v>
      </c>
      <c r="R259">
        <v>5.0199999999999996</v>
      </c>
      <c r="S259">
        <v>1070</v>
      </c>
      <c r="T259">
        <v>5374</v>
      </c>
      <c r="U259">
        <v>5.78</v>
      </c>
      <c r="V259">
        <v>1267</v>
      </c>
      <c r="W259">
        <v>7327</v>
      </c>
      <c r="X259">
        <v>-999</v>
      </c>
      <c r="Y259">
        <v>-999</v>
      </c>
      <c r="Z259">
        <v>-999</v>
      </c>
      <c r="AA259">
        <v>-999</v>
      </c>
      <c r="AB259">
        <v>-999</v>
      </c>
      <c r="AC259">
        <v>-999</v>
      </c>
      <c r="AD259">
        <v>-999</v>
      </c>
      <c r="AE259">
        <v>-999</v>
      </c>
      <c r="AF259">
        <v>15.65</v>
      </c>
      <c r="AG259">
        <v>11.98</v>
      </c>
      <c r="AH259">
        <v>1</v>
      </c>
      <c r="AI259">
        <v>1</v>
      </c>
      <c r="AJ259">
        <v>2</v>
      </c>
      <c r="AK259">
        <v>3.11</v>
      </c>
      <c r="AL259">
        <v>-1.44</v>
      </c>
      <c r="AM259">
        <v>3.11</v>
      </c>
      <c r="AN259">
        <v>7.0000000000000007E-2</v>
      </c>
      <c r="AO259">
        <v>2.94</v>
      </c>
      <c r="AP259">
        <v>-2.93</v>
      </c>
      <c r="AQ259">
        <v>9.33</v>
      </c>
    </row>
    <row r="260" spans="1:43" x14ac:dyDescent="0.25">
      <c r="A260">
        <v>-20</v>
      </c>
      <c r="B260" t="s">
        <v>54</v>
      </c>
      <c r="C260">
        <v>48.451000000000001</v>
      </c>
      <c r="D260">
        <f t="shared" si="14"/>
        <v>-120.57900000000001</v>
      </c>
      <c r="E260">
        <v>20180824</v>
      </c>
      <c r="G260">
        <v>42763</v>
      </c>
      <c r="H260">
        <v>27</v>
      </c>
      <c r="I260">
        <v>1.2</v>
      </c>
      <c r="J260">
        <v>2635</v>
      </c>
      <c r="K260">
        <v>2.15</v>
      </c>
      <c r="L260">
        <v>14.98</v>
      </c>
      <c r="M260">
        <v>55.4</v>
      </c>
      <c r="N260">
        <v>3.18</v>
      </c>
      <c r="O260">
        <v>11</v>
      </c>
      <c r="P260">
        <v>756</v>
      </c>
      <c r="Q260">
        <v>2402</v>
      </c>
      <c r="R260">
        <v>3.88</v>
      </c>
      <c r="S260">
        <v>569</v>
      </c>
      <c r="T260">
        <v>2210</v>
      </c>
      <c r="U260">
        <v>4.26</v>
      </c>
      <c r="V260">
        <v>746</v>
      </c>
      <c r="W260">
        <v>3176</v>
      </c>
      <c r="X260">
        <v>-999</v>
      </c>
      <c r="Y260">
        <v>-999</v>
      </c>
      <c r="Z260">
        <v>-999</v>
      </c>
      <c r="AA260">
        <v>-999</v>
      </c>
      <c r="AB260">
        <v>-999</v>
      </c>
      <c r="AC260">
        <v>-999</v>
      </c>
      <c r="AD260">
        <v>-999</v>
      </c>
      <c r="AE260">
        <v>-999</v>
      </c>
      <c r="AF260">
        <v>12.41</v>
      </c>
      <c r="AG260">
        <v>2.04</v>
      </c>
      <c r="AH260">
        <v>1</v>
      </c>
      <c r="AI260">
        <v>1</v>
      </c>
      <c r="AJ260">
        <v>2</v>
      </c>
      <c r="AK260">
        <v>2.4300000000000002</v>
      </c>
      <c r="AL260">
        <v>-2.0499999999999998</v>
      </c>
      <c r="AM260">
        <v>6.05</v>
      </c>
      <c r="AN260">
        <v>-2.86</v>
      </c>
      <c r="AO260">
        <v>-1.38</v>
      </c>
      <c r="AP260">
        <v>-1.27</v>
      </c>
      <c r="AQ260">
        <v>11.64</v>
      </c>
    </row>
    <row r="261" spans="1:43" x14ac:dyDescent="0.25">
      <c r="A261">
        <v>-20</v>
      </c>
      <c r="B261" t="s">
        <v>54</v>
      </c>
      <c r="C261">
        <v>48.451000000000001</v>
      </c>
      <c r="D261">
        <f t="shared" si="14"/>
        <v>-120.57900000000001</v>
      </c>
      <c r="E261">
        <v>20180825</v>
      </c>
      <c r="H261">
        <v>28</v>
      </c>
      <c r="L261">
        <v>11.3</v>
      </c>
      <c r="M261">
        <v>69.3</v>
      </c>
      <c r="N261">
        <v>3.44</v>
      </c>
      <c r="O261">
        <v>10</v>
      </c>
      <c r="P261">
        <v>411</v>
      </c>
      <c r="Q261">
        <v>1413</v>
      </c>
      <c r="R261">
        <v>4.09</v>
      </c>
      <c r="S261">
        <v>360</v>
      </c>
      <c r="T261">
        <v>1471</v>
      </c>
      <c r="U261">
        <v>4.6399999999999997</v>
      </c>
      <c r="V261">
        <v>406</v>
      </c>
      <c r="W261">
        <v>1882</v>
      </c>
      <c r="X261">
        <v>-999</v>
      </c>
      <c r="Y261">
        <v>-999</v>
      </c>
      <c r="Z261">
        <v>-999</v>
      </c>
      <c r="AA261">
        <v>-999</v>
      </c>
      <c r="AB261">
        <v>-999</v>
      </c>
      <c r="AC261">
        <v>-999</v>
      </c>
      <c r="AD261">
        <v>-999</v>
      </c>
      <c r="AE261">
        <v>-999</v>
      </c>
      <c r="AF261">
        <v>13.11</v>
      </c>
      <c r="AG261">
        <v>0.27</v>
      </c>
      <c r="AH261">
        <v>1</v>
      </c>
      <c r="AI261">
        <v>1</v>
      </c>
      <c r="AJ261">
        <v>2</v>
      </c>
      <c r="AK261">
        <v>2.4700000000000002</v>
      </c>
      <c r="AL261">
        <v>-2.39</v>
      </c>
      <c r="AM261">
        <v>4.67</v>
      </c>
      <c r="AN261">
        <v>-4.13</v>
      </c>
      <c r="AO261">
        <v>-0.12</v>
      </c>
      <c r="AP261">
        <v>0.7</v>
      </c>
      <c r="AQ261">
        <v>-2.76</v>
      </c>
    </row>
    <row r="262" spans="1:43" x14ac:dyDescent="0.25">
      <c r="A262">
        <v>-20</v>
      </c>
      <c r="B262" t="s">
        <v>54</v>
      </c>
      <c r="C262">
        <v>48.451000000000001</v>
      </c>
      <c r="D262">
        <f t="shared" si="14"/>
        <v>-120.57900000000001</v>
      </c>
      <c r="E262">
        <v>20180826</v>
      </c>
      <c r="H262">
        <v>29</v>
      </c>
      <c r="L262">
        <v>11.5</v>
      </c>
      <c r="M262">
        <v>64.599999999999994</v>
      </c>
      <c r="N262">
        <v>3.59</v>
      </c>
      <c r="O262">
        <v>11</v>
      </c>
      <c r="P262">
        <v>480</v>
      </c>
      <c r="Q262">
        <v>1720</v>
      </c>
      <c r="R262">
        <v>4.6100000000000003</v>
      </c>
      <c r="S262">
        <v>392</v>
      </c>
      <c r="T262">
        <v>1804</v>
      </c>
      <c r="U262">
        <v>5.12</v>
      </c>
      <c r="V262">
        <v>473</v>
      </c>
      <c r="W262">
        <v>2423</v>
      </c>
      <c r="X262">
        <v>-999</v>
      </c>
      <c r="Y262">
        <v>-999</v>
      </c>
      <c r="Z262">
        <v>-999</v>
      </c>
      <c r="AA262">
        <v>-999</v>
      </c>
      <c r="AB262">
        <v>-999</v>
      </c>
      <c r="AC262">
        <v>-999</v>
      </c>
      <c r="AD262">
        <v>-999</v>
      </c>
      <c r="AE262">
        <v>-999</v>
      </c>
      <c r="AF262">
        <v>11.37</v>
      </c>
      <c r="AG262">
        <v>0.27</v>
      </c>
      <c r="AH262">
        <v>1</v>
      </c>
      <c r="AI262">
        <v>1</v>
      </c>
      <c r="AJ262">
        <v>2</v>
      </c>
      <c r="AK262">
        <v>3.23</v>
      </c>
      <c r="AL262">
        <v>-1.56</v>
      </c>
      <c r="AM262">
        <v>4.55</v>
      </c>
      <c r="AN262">
        <v>-3.43</v>
      </c>
      <c r="AO262">
        <v>1.64</v>
      </c>
      <c r="AP262">
        <v>0.37</v>
      </c>
      <c r="AQ262">
        <v>-7.32</v>
      </c>
    </row>
    <row r="263" spans="1:43" x14ac:dyDescent="0.25">
      <c r="A263">
        <v>-20</v>
      </c>
      <c r="B263" t="s">
        <v>54</v>
      </c>
      <c r="C263">
        <v>48.451000000000001</v>
      </c>
      <c r="D263">
        <f t="shared" si="14"/>
        <v>-120.57900000000001</v>
      </c>
      <c r="E263">
        <v>20180827</v>
      </c>
      <c r="G263">
        <v>43454</v>
      </c>
      <c r="H263">
        <v>30</v>
      </c>
      <c r="L263">
        <v>18.09</v>
      </c>
      <c r="M263">
        <v>31.5</v>
      </c>
      <c r="N263">
        <v>1.55</v>
      </c>
      <c r="O263">
        <v>8</v>
      </c>
      <c r="P263">
        <v>1408</v>
      </c>
      <c r="Q263">
        <v>2180</v>
      </c>
      <c r="R263">
        <v>2.16</v>
      </c>
      <c r="S263">
        <v>1161</v>
      </c>
      <c r="T263">
        <v>2509</v>
      </c>
      <c r="U263">
        <v>2.2599999999999998</v>
      </c>
      <c r="V263">
        <v>1389</v>
      </c>
      <c r="W263">
        <v>3143</v>
      </c>
      <c r="X263">
        <v>-999</v>
      </c>
      <c r="Y263">
        <v>-999</v>
      </c>
      <c r="Z263">
        <v>-999</v>
      </c>
      <c r="AA263">
        <v>-999</v>
      </c>
      <c r="AB263">
        <v>15.87</v>
      </c>
      <c r="AC263">
        <v>15.16</v>
      </c>
      <c r="AD263">
        <v>3</v>
      </c>
      <c r="AE263">
        <v>3</v>
      </c>
      <c r="AF263">
        <v>13.1</v>
      </c>
      <c r="AG263">
        <v>3.02</v>
      </c>
      <c r="AH263">
        <v>1</v>
      </c>
      <c r="AI263">
        <v>1</v>
      </c>
      <c r="AJ263">
        <v>2</v>
      </c>
      <c r="AK263">
        <v>0.52</v>
      </c>
      <c r="AL263">
        <v>-1.46</v>
      </c>
      <c r="AM263">
        <v>6.19</v>
      </c>
      <c r="AN263">
        <v>-3.06</v>
      </c>
      <c r="AO263">
        <v>-6.71</v>
      </c>
      <c r="AP263">
        <v>-1.0900000000000001</v>
      </c>
      <c r="AQ263">
        <v>27.31</v>
      </c>
    </row>
    <row r="264" spans="1:43" x14ac:dyDescent="0.25">
      <c r="A264">
        <v>-20</v>
      </c>
      <c r="B264" t="s">
        <v>54</v>
      </c>
      <c r="C264">
        <v>48.451000000000001</v>
      </c>
      <c r="D264">
        <f t="shared" si="14"/>
        <v>-120.57900000000001</v>
      </c>
      <c r="E264">
        <v>20180828</v>
      </c>
      <c r="G264">
        <v>43685</v>
      </c>
      <c r="H264">
        <v>31</v>
      </c>
      <c r="I264">
        <v>0.1</v>
      </c>
      <c r="J264">
        <v>231</v>
      </c>
      <c r="K264">
        <v>0.19</v>
      </c>
      <c r="L264">
        <v>21.39</v>
      </c>
      <c r="M264">
        <v>34.1</v>
      </c>
      <c r="N264">
        <v>2.11</v>
      </c>
      <c r="O264">
        <v>10</v>
      </c>
      <c r="P264">
        <v>1654</v>
      </c>
      <c r="Q264">
        <v>3495</v>
      </c>
      <c r="R264">
        <v>2.98</v>
      </c>
      <c r="S264">
        <v>1445</v>
      </c>
      <c r="T264">
        <v>4301</v>
      </c>
      <c r="U264">
        <v>3.16</v>
      </c>
      <c r="V264">
        <v>1633</v>
      </c>
      <c r="W264">
        <v>5155</v>
      </c>
      <c r="X264">
        <v>-999</v>
      </c>
      <c r="Y264">
        <v>-999</v>
      </c>
      <c r="Z264">
        <v>-999</v>
      </c>
      <c r="AA264">
        <v>-999</v>
      </c>
      <c r="AB264">
        <v>15.8</v>
      </c>
      <c r="AC264">
        <v>14.97</v>
      </c>
      <c r="AD264">
        <v>3</v>
      </c>
      <c r="AE264">
        <v>3</v>
      </c>
      <c r="AF264">
        <v>16.05</v>
      </c>
      <c r="AG264">
        <v>3.12</v>
      </c>
      <c r="AH264">
        <v>1</v>
      </c>
      <c r="AI264">
        <v>1</v>
      </c>
      <c r="AJ264">
        <v>2</v>
      </c>
      <c r="AK264">
        <v>2.0099999999999998</v>
      </c>
      <c r="AL264">
        <v>0.65</v>
      </c>
      <c r="AM264">
        <v>-0.51</v>
      </c>
      <c r="AN264">
        <v>-4.16</v>
      </c>
      <c r="AO264">
        <v>3.51</v>
      </c>
      <c r="AP264">
        <v>5.56</v>
      </c>
      <c r="AQ264">
        <v>-11.73</v>
      </c>
    </row>
    <row r="265" spans="1:43" x14ac:dyDescent="0.25">
      <c r="A265">
        <v>-20</v>
      </c>
      <c r="B265" t="s">
        <v>54</v>
      </c>
      <c r="C265">
        <v>48.451000000000001</v>
      </c>
      <c r="D265">
        <f t="shared" si="14"/>
        <v>-120.57900000000001</v>
      </c>
      <c r="E265">
        <v>20180829</v>
      </c>
      <c r="G265">
        <v>44450</v>
      </c>
      <c r="H265">
        <v>32</v>
      </c>
      <c r="I265">
        <v>0.34</v>
      </c>
      <c r="J265">
        <v>765</v>
      </c>
      <c r="K265">
        <v>0.63</v>
      </c>
      <c r="L265">
        <v>16.260000000000002</v>
      </c>
      <c r="M265">
        <v>45.5</v>
      </c>
      <c r="N265">
        <v>4.1399999999999997</v>
      </c>
      <c r="O265">
        <v>17</v>
      </c>
      <c r="P265">
        <v>1001</v>
      </c>
      <c r="Q265">
        <v>4145</v>
      </c>
      <c r="R265">
        <v>7.31</v>
      </c>
      <c r="S265">
        <v>818</v>
      </c>
      <c r="T265">
        <v>5974</v>
      </c>
      <c r="U265">
        <v>8.82</v>
      </c>
      <c r="V265">
        <v>988</v>
      </c>
      <c r="W265">
        <v>8715</v>
      </c>
      <c r="X265">
        <v>-999</v>
      </c>
      <c r="Y265">
        <v>-999</v>
      </c>
      <c r="Z265">
        <v>-999</v>
      </c>
      <c r="AA265">
        <v>-999</v>
      </c>
      <c r="AB265">
        <v>-999</v>
      </c>
      <c r="AC265">
        <v>-999</v>
      </c>
      <c r="AD265">
        <v>-999</v>
      </c>
      <c r="AE265">
        <v>-999</v>
      </c>
      <c r="AF265">
        <v>13.36</v>
      </c>
      <c r="AG265">
        <v>3.91</v>
      </c>
      <c r="AH265">
        <v>1</v>
      </c>
      <c r="AI265">
        <v>1</v>
      </c>
      <c r="AJ265">
        <v>2</v>
      </c>
      <c r="AK265">
        <v>4.1399999999999997</v>
      </c>
      <c r="AL265">
        <v>0.16</v>
      </c>
      <c r="AM265">
        <v>3</v>
      </c>
      <c r="AN265">
        <v>1.41</v>
      </c>
      <c r="AO265">
        <v>4.24</v>
      </c>
      <c r="AP265">
        <v>-0.8</v>
      </c>
      <c r="AQ265">
        <v>8.36</v>
      </c>
    </row>
    <row r="266" spans="1:43" x14ac:dyDescent="0.25">
      <c r="A266">
        <v>-20</v>
      </c>
      <c r="B266" t="s">
        <v>54</v>
      </c>
      <c r="C266">
        <v>48.451000000000001</v>
      </c>
      <c r="D266">
        <f t="shared" si="14"/>
        <v>-120.57900000000001</v>
      </c>
      <c r="E266">
        <v>20180830</v>
      </c>
      <c r="G266">
        <v>45120</v>
      </c>
      <c r="H266">
        <v>33</v>
      </c>
      <c r="I266">
        <v>0.28999999999999998</v>
      </c>
      <c r="J266">
        <v>670</v>
      </c>
      <c r="K266">
        <v>0.55000000000000004</v>
      </c>
      <c r="L266">
        <v>15.84</v>
      </c>
      <c r="M266">
        <v>42.3</v>
      </c>
      <c r="N266">
        <v>4.0999999999999996</v>
      </c>
      <c r="O266">
        <v>17</v>
      </c>
      <c r="P266">
        <v>1032</v>
      </c>
      <c r="Q266">
        <v>4229</v>
      </c>
      <c r="R266">
        <v>6.12</v>
      </c>
      <c r="S266">
        <v>853</v>
      </c>
      <c r="T266">
        <v>5221</v>
      </c>
      <c r="U266">
        <v>7.1</v>
      </c>
      <c r="V266">
        <v>1018</v>
      </c>
      <c r="W266">
        <v>7224</v>
      </c>
      <c r="X266">
        <v>-999</v>
      </c>
      <c r="Y266">
        <v>-999</v>
      </c>
      <c r="Z266">
        <v>-999</v>
      </c>
      <c r="AA266">
        <v>-999</v>
      </c>
      <c r="AB266">
        <v>-999</v>
      </c>
      <c r="AC266">
        <v>-999</v>
      </c>
      <c r="AD266">
        <v>-999</v>
      </c>
      <c r="AE266">
        <v>-999</v>
      </c>
      <c r="AF266">
        <v>13.12</v>
      </c>
      <c r="AG266">
        <v>3.68</v>
      </c>
      <c r="AH266">
        <v>1</v>
      </c>
      <c r="AI266">
        <v>1</v>
      </c>
      <c r="AJ266">
        <v>2</v>
      </c>
      <c r="AK266">
        <v>3.74</v>
      </c>
      <c r="AL266">
        <v>-1.68</v>
      </c>
      <c r="AM266">
        <v>7.24</v>
      </c>
      <c r="AN266">
        <v>0.61</v>
      </c>
      <c r="AO266">
        <v>-0.75</v>
      </c>
      <c r="AP266">
        <v>-3.04</v>
      </c>
      <c r="AQ266">
        <v>21.52</v>
      </c>
    </row>
    <row r="267" spans="1:43" x14ac:dyDescent="0.25">
      <c r="A267">
        <v>-20</v>
      </c>
      <c r="B267" t="s">
        <v>54</v>
      </c>
      <c r="C267">
        <v>48.451000000000001</v>
      </c>
      <c r="D267">
        <f t="shared" si="14"/>
        <v>-120.57900000000001</v>
      </c>
      <c r="E267">
        <v>20180831</v>
      </c>
      <c r="G267">
        <v>45788</v>
      </c>
      <c r="H267">
        <v>34</v>
      </c>
      <c r="I267">
        <v>0.28999999999999998</v>
      </c>
      <c r="J267">
        <v>668</v>
      </c>
      <c r="K267">
        <v>0.55000000000000004</v>
      </c>
      <c r="L267">
        <v>17.239999999999998</v>
      </c>
      <c r="M267">
        <v>42.2</v>
      </c>
      <c r="N267">
        <v>3.22</v>
      </c>
      <c r="O267">
        <v>14</v>
      </c>
      <c r="P267">
        <v>1128</v>
      </c>
      <c r="Q267">
        <v>3627</v>
      </c>
      <c r="R267">
        <v>4.33</v>
      </c>
      <c r="S267">
        <v>903</v>
      </c>
      <c r="T267">
        <v>3908</v>
      </c>
      <c r="U267">
        <v>4.62</v>
      </c>
      <c r="V267">
        <v>1113</v>
      </c>
      <c r="W267">
        <v>5148</v>
      </c>
      <c r="X267">
        <v>-999</v>
      </c>
      <c r="Y267">
        <v>-999</v>
      </c>
      <c r="Z267">
        <v>-999</v>
      </c>
      <c r="AA267">
        <v>-999</v>
      </c>
      <c r="AB267">
        <v>-999</v>
      </c>
      <c r="AC267">
        <v>-999</v>
      </c>
      <c r="AD267">
        <v>-999</v>
      </c>
      <c r="AE267">
        <v>-999</v>
      </c>
      <c r="AF267">
        <v>14.27</v>
      </c>
      <c r="AG267">
        <v>8.56</v>
      </c>
      <c r="AH267">
        <v>1</v>
      </c>
      <c r="AI267">
        <v>1</v>
      </c>
      <c r="AJ267">
        <v>2</v>
      </c>
      <c r="AK267">
        <v>2.95</v>
      </c>
      <c r="AL267">
        <v>-1.28</v>
      </c>
      <c r="AM267">
        <v>6.49</v>
      </c>
      <c r="AN267">
        <v>-2.4300000000000002</v>
      </c>
      <c r="AO267">
        <v>-1.26</v>
      </c>
      <c r="AP267">
        <v>-0.78</v>
      </c>
      <c r="AQ267">
        <v>8.1</v>
      </c>
    </row>
    <row r="268" spans="1:43" x14ac:dyDescent="0.25">
      <c r="A268">
        <v>-20</v>
      </c>
      <c r="B268" t="s">
        <v>54</v>
      </c>
      <c r="C268">
        <v>48.451000000000001</v>
      </c>
      <c r="D268">
        <f t="shared" si="14"/>
        <v>-120.57900000000001</v>
      </c>
      <c r="E268">
        <v>20180901</v>
      </c>
      <c r="G268">
        <v>46650</v>
      </c>
      <c r="H268">
        <v>35</v>
      </c>
      <c r="I268">
        <v>0.37</v>
      </c>
      <c r="J268">
        <v>862</v>
      </c>
      <c r="K268">
        <v>0.7</v>
      </c>
      <c r="L268">
        <v>16.41</v>
      </c>
      <c r="M268">
        <v>41</v>
      </c>
      <c r="N268">
        <v>2.72</v>
      </c>
      <c r="O268">
        <v>12</v>
      </c>
      <c r="P268">
        <v>1092</v>
      </c>
      <c r="Q268">
        <v>2967</v>
      </c>
      <c r="R268">
        <v>3.42</v>
      </c>
      <c r="S268">
        <v>862</v>
      </c>
      <c r="T268">
        <v>2949</v>
      </c>
      <c r="U268">
        <v>3.61</v>
      </c>
      <c r="V268">
        <v>1078</v>
      </c>
      <c r="W268">
        <v>3887</v>
      </c>
      <c r="X268">
        <v>-999</v>
      </c>
      <c r="Y268">
        <v>-999</v>
      </c>
      <c r="Z268">
        <v>-999</v>
      </c>
      <c r="AA268">
        <v>-999</v>
      </c>
      <c r="AB268">
        <v>14.92</v>
      </c>
      <c r="AC268">
        <v>11.41</v>
      </c>
      <c r="AD268">
        <v>3</v>
      </c>
      <c r="AE268">
        <v>2</v>
      </c>
      <c r="AF268">
        <v>11.21</v>
      </c>
      <c r="AG268">
        <v>4.76</v>
      </c>
      <c r="AH268">
        <v>1</v>
      </c>
      <c r="AI268">
        <v>1</v>
      </c>
      <c r="AJ268">
        <v>2</v>
      </c>
      <c r="AK268">
        <v>2.4</v>
      </c>
      <c r="AL268">
        <v>-1.27</v>
      </c>
      <c r="AM268">
        <v>5.23</v>
      </c>
      <c r="AN268">
        <v>-3.2</v>
      </c>
      <c r="AO268">
        <v>-1.06</v>
      </c>
      <c r="AP268">
        <v>0.61</v>
      </c>
      <c r="AQ268">
        <v>0.2</v>
      </c>
    </row>
    <row r="269" spans="1:43" x14ac:dyDescent="0.25">
      <c r="A269">
        <v>-20</v>
      </c>
      <c r="B269" t="s">
        <v>54</v>
      </c>
      <c r="C269">
        <v>48.451000000000001</v>
      </c>
      <c r="D269">
        <f t="shared" si="14"/>
        <v>-120.57900000000001</v>
      </c>
      <c r="E269">
        <v>20180902</v>
      </c>
      <c r="H269">
        <v>36</v>
      </c>
      <c r="L269">
        <v>18.22</v>
      </c>
      <c r="M269">
        <v>34.299999999999997</v>
      </c>
      <c r="N269">
        <v>3.95</v>
      </c>
      <c r="O269">
        <v>18</v>
      </c>
      <c r="P269">
        <v>1360</v>
      </c>
      <c r="Q269">
        <v>5376</v>
      </c>
      <c r="R269">
        <v>5.86</v>
      </c>
      <c r="S269">
        <v>1186</v>
      </c>
      <c r="T269">
        <v>6945</v>
      </c>
      <c r="U269">
        <v>6.33</v>
      </c>
      <c r="V269">
        <v>1343</v>
      </c>
      <c r="W269">
        <v>8501</v>
      </c>
      <c r="X269">
        <v>-999</v>
      </c>
      <c r="Y269">
        <v>-999</v>
      </c>
      <c r="Z269">
        <v>-999</v>
      </c>
      <c r="AA269">
        <v>-999</v>
      </c>
      <c r="AB269">
        <v>-999</v>
      </c>
      <c r="AC269">
        <v>-999</v>
      </c>
      <c r="AD269">
        <v>-999</v>
      </c>
      <c r="AE269">
        <v>-999</v>
      </c>
      <c r="AF269">
        <v>11.94</v>
      </c>
      <c r="AG269">
        <v>9.5</v>
      </c>
      <c r="AH269">
        <v>1</v>
      </c>
      <c r="AI269">
        <v>1</v>
      </c>
      <c r="AJ269">
        <v>2</v>
      </c>
      <c r="AK269">
        <v>3.88</v>
      </c>
      <c r="AL269">
        <v>-0.75</v>
      </c>
      <c r="AM269">
        <v>4.16</v>
      </c>
      <c r="AN269">
        <v>-2.59</v>
      </c>
      <c r="AO269">
        <v>2.33</v>
      </c>
      <c r="AP269">
        <v>0.4</v>
      </c>
      <c r="AQ269">
        <v>-7.69</v>
      </c>
    </row>
    <row r="270" spans="1:43" x14ac:dyDescent="0.25">
      <c r="A270">
        <v>-20</v>
      </c>
      <c r="B270" t="s">
        <v>54</v>
      </c>
      <c r="C270">
        <v>48.451000000000001</v>
      </c>
      <c r="D270">
        <f t="shared" si="14"/>
        <v>-120.57900000000001</v>
      </c>
      <c r="E270">
        <v>20180903</v>
      </c>
      <c r="G270">
        <v>48871</v>
      </c>
      <c r="H270">
        <v>37</v>
      </c>
      <c r="L270">
        <v>18</v>
      </c>
      <c r="M270">
        <v>33.700000000000003</v>
      </c>
      <c r="N270">
        <v>1.1200000000000001</v>
      </c>
      <c r="O270">
        <v>6</v>
      </c>
      <c r="P270">
        <v>1356</v>
      </c>
      <c r="Q270">
        <v>1514</v>
      </c>
      <c r="R270">
        <v>1.7</v>
      </c>
      <c r="S270">
        <v>1176</v>
      </c>
      <c r="T270">
        <v>1993</v>
      </c>
      <c r="U270">
        <v>1.78</v>
      </c>
      <c r="V270">
        <v>1338</v>
      </c>
      <c r="W270">
        <v>2386</v>
      </c>
      <c r="X270">
        <v>-999</v>
      </c>
      <c r="Y270">
        <v>-999</v>
      </c>
      <c r="Z270">
        <v>-999</v>
      </c>
      <c r="AA270">
        <v>-999</v>
      </c>
      <c r="AB270">
        <v>15.64</v>
      </c>
      <c r="AC270">
        <v>15.03</v>
      </c>
      <c r="AD270">
        <v>3</v>
      </c>
      <c r="AE270">
        <v>3</v>
      </c>
      <c r="AF270">
        <v>15.91</v>
      </c>
      <c r="AG270">
        <v>3.54</v>
      </c>
      <c r="AH270">
        <v>1</v>
      </c>
      <c r="AI270">
        <v>1</v>
      </c>
      <c r="AJ270">
        <v>2</v>
      </c>
      <c r="AK270">
        <v>1.1100000000000001</v>
      </c>
      <c r="AL270">
        <v>-0.15</v>
      </c>
      <c r="AM270">
        <v>6.49</v>
      </c>
      <c r="AN270">
        <v>-2.19</v>
      </c>
      <c r="AO270">
        <v>-4.41</v>
      </c>
      <c r="AP270">
        <v>0.34</v>
      </c>
      <c r="AQ270">
        <v>7.49</v>
      </c>
    </row>
    <row r="271" spans="1:43" x14ac:dyDescent="0.25">
      <c r="A271">
        <v>-20</v>
      </c>
      <c r="B271" t="s">
        <v>54</v>
      </c>
      <c r="C271">
        <v>48.451000000000001</v>
      </c>
      <c r="D271">
        <f t="shared" si="14"/>
        <v>-120.57900000000001</v>
      </c>
      <c r="E271">
        <v>20180904</v>
      </c>
      <c r="G271">
        <v>49277</v>
      </c>
      <c r="H271">
        <v>38</v>
      </c>
      <c r="I271">
        <v>0.17</v>
      </c>
      <c r="J271">
        <v>406</v>
      </c>
      <c r="K271">
        <v>0.33</v>
      </c>
      <c r="L271">
        <v>18.329999999999998</v>
      </c>
      <c r="M271">
        <v>32.799999999999997</v>
      </c>
      <c r="N271">
        <v>1.19</v>
      </c>
      <c r="O271">
        <v>6</v>
      </c>
      <c r="P271">
        <v>1401</v>
      </c>
      <c r="Q271">
        <v>1671</v>
      </c>
      <c r="R271">
        <v>0.95</v>
      </c>
      <c r="S271">
        <v>1248</v>
      </c>
      <c r="T271">
        <v>1188</v>
      </c>
      <c r="U271">
        <v>1.19</v>
      </c>
      <c r="V271">
        <v>1383</v>
      </c>
      <c r="W271">
        <v>1649</v>
      </c>
      <c r="X271">
        <v>-999</v>
      </c>
      <c r="Y271">
        <v>-999</v>
      </c>
      <c r="Z271">
        <v>-999</v>
      </c>
      <c r="AA271">
        <v>-999</v>
      </c>
      <c r="AB271">
        <v>15.53</v>
      </c>
      <c r="AC271">
        <v>15.88</v>
      </c>
      <c r="AD271">
        <v>3</v>
      </c>
      <c r="AE271">
        <v>3</v>
      </c>
      <c r="AF271">
        <v>13.23</v>
      </c>
      <c r="AG271">
        <v>4.46</v>
      </c>
      <c r="AH271">
        <v>1</v>
      </c>
      <c r="AI271">
        <v>1</v>
      </c>
      <c r="AJ271">
        <v>2</v>
      </c>
      <c r="AK271">
        <v>-0.48</v>
      </c>
      <c r="AL271">
        <v>1.0900000000000001</v>
      </c>
      <c r="AM271">
        <v>2.08</v>
      </c>
      <c r="AN271">
        <v>-1.86</v>
      </c>
      <c r="AO271">
        <v>-3.94</v>
      </c>
      <c r="AP271">
        <v>4.5199999999999996</v>
      </c>
      <c r="AQ271">
        <v>-2.11</v>
      </c>
    </row>
    <row r="273" spans="1:43" x14ac:dyDescent="0.25">
      <c r="A273">
        <v>-21</v>
      </c>
      <c r="B273" t="s">
        <v>55</v>
      </c>
      <c r="C273">
        <v>34.055</v>
      </c>
      <c r="D273">
        <f>249.816-360</f>
        <v>-110.184</v>
      </c>
      <c r="E273">
        <v>20160615</v>
      </c>
      <c r="F273">
        <v>20160525</v>
      </c>
      <c r="G273">
        <v>7740</v>
      </c>
      <c r="H273">
        <v>1</v>
      </c>
      <c r="I273">
        <v>4.97</v>
      </c>
      <c r="J273">
        <v>7740</v>
      </c>
      <c r="K273">
        <v>2.0499999999999998</v>
      </c>
      <c r="L273">
        <v>26.8</v>
      </c>
      <c r="M273">
        <v>13</v>
      </c>
      <c r="N273">
        <v>7.03</v>
      </c>
      <c r="O273">
        <v>42</v>
      </c>
      <c r="P273">
        <v>2980</v>
      </c>
      <c r="Q273">
        <v>20963</v>
      </c>
      <c r="R273">
        <v>7.96</v>
      </c>
      <c r="S273">
        <v>2585</v>
      </c>
      <c r="T273">
        <v>20586</v>
      </c>
      <c r="U273">
        <v>9.5</v>
      </c>
      <c r="V273">
        <v>2941</v>
      </c>
      <c r="W273">
        <v>27951</v>
      </c>
      <c r="X273">
        <v>-999</v>
      </c>
      <c r="Y273">
        <v>-999</v>
      </c>
      <c r="Z273">
        <v>-999</v>
      </c>
      <c r="AA273">
        <v>-999</v>
      </c>
      <c r="AB273">
        <v>-999</v>
      </c>
      <c r="AC273">
        <v>-999</v>
      </c>
      <c r="AD273">
        <v>-999</v>
      </c>
      <c r="AE273">
        <v>-999</v>
      </c>
      <c r="AF273">
        <v>17.649999999999999</v>
      </c>
      <c r="AG273">
        <v>18.32</v>
      </c>
      <c r="AH273">
        <v>1</v>
      </c>
      <c r="AI273">
        <v>2</v>
      </c>
      <c r="AJ273">
        <v>3</v>
      </c>
      <c r="AK273">
        <v>3.6</v>
      </c>
      <c r="AL273">
        <v>6.04</v>
      </c>
      <c r="AM273">
        <v>5.14</v>
      </c>
      <c r="AN273">
        <v>9.51</v>
      </c>
      <c r="AO273">
        <v>1.25</v>
      </c>
      <c r="AP273">
        <v>2.7</v>
      </c>
      <c r="AQ273">
        <v>-1.94</v>
      </c>
    </row>
    <row r="274" spans="1:43" x14ac:dyDescent="0.25">
      <c r="A274">
        <v>-21</v>
      </c>
      <c r="B274" t="s">
        <v>55</v>
      </c>
      <c r="C274">
        <v>34.055</v>
      </c>
      <c r="D274">
        <f t="shared" ref="D274:D284" si="15">249.816-360</f>
        <v>-110.184</v>
      </c>
      <c r="E274">
        <v>20160616</v>
      </c>
      <c r="G274">
        <v>9652</v>
      </c>
      <c r="H274">
        <v>2</v>
      </c>
      <c r="I274">
        <v>0.57999999999999996</v>
      </c>
      <c r="J274">
        <v>1912</v>
      </c>
      <c r="K274">
        <v>0.51</v>
      </c>
      <c r="L274">
        <v>27.19</v>
      </c>
      <c r="M274">
        <v>12</v>
      </c>
      <c r="N274">
        <v>5.96</v>
      </c>
      <c r="O274">
        <v>36</v>
      </c>
      <c r="P274">
        <v>3083</v>
      </c>
      <c r="Q274">
        <v>18381</v>
      </c>
      <c r="R274">
        <v>6.52</v>
      </c>
      <c r="S274">
        <v>2685</v>
      </c>
      <c r="T274">
        <v>17515</v>
      </c>
      <c r="U274">
        <v>7.7</v>
      </c>
      <c r="V274">
        <v>3042</v>
      </c>
      <c r="W274">
        <v>23424</v>
      </c>
      <c r="X274">
        <v>-999</v>
      </c>
      <c r="Y274">
        <v>-999</v>
      </c>
      <c r="Z274">
        <v>-999</v>
      </c>
      <c r="AA274">
        <v>-999</v>
      </c>
      <c r="AB274">
        <v>-999</v>
      </c>
      <c r="AC274">
        <v>-999</v>
      </c>
      <c r="AD274">
        <v>-999</v>
      </c>
      <c r="AE274">
        <v>-999</v>
      </c>
      <c r="AF274">
        <v>17.239999999999998</v>
      </c>
      <c r="AG274">
        <v>18.82</v>
      </c>
      <c r="AH274">
        <v>1</v>
      </c>
      <c r="AI274">
        <v>2</v>
      </c>
      <c r="AJ274">
        <v>3</v>
      </c>
      <c r="AK274">
        <v>3.94</v>
      </c>
      <c r="AL274">
        <v>4.4800000000000004</v>
      </c>
      <c r="AM274">
        <v>6.39</v>
      </c>
      <c r="AN274">
        <v>12.21</v>
      </c>
      <c r="AO274">
        <v>0.77</v>
      </c>
      <c r="AP274">
        <v>-1.66</v>
      </c>
      <c r="AQ274">
        <v>20.05</v>
      </c>
    </row>
    <row r="275" spans="1:43" x14ac:dyDescent="0.25">
      <c r="A275">
        <v>-21</v>
      </c>
      <c r="B275" t="s">
        <v>55</v>
      </c>
      <c r="C275">
        <v>34.055</v>
      </c>
      <c r="D275">
        <f t="shared" si="15"/>
        <v>-110.184</v>
      </c>
      <c r="E275">
        <v>20160617</v>
      </c>
      <c r="G275">
        <v>11464</v>
      </c>
      <c r="H275">
        <v>3</v>
      </c>
      <c r="I275">
        <v>0.5</v>
      </c>
      <c r="J275">
        <v>1812</v>
      </c>
      <c r="K275">
        <v>0.48</v>
      </c>
      <c r="L275">
        <v>29.21</v>
      </c>
      <c r="M275">
        <v>9</v>
      </c>
      <c r="N275">
        <v>4.4800000000000004</v>
      </c>
      <c r="O275">
        <v>29</v>
      </c>
      <c r="P275">
        <v>3566</v>
      </c>
      <c r="Q275">
        <v>15987</v>
      </c>
      <c r="R275">
        <v>4.3899999999999997</v>
      </c>
      <c r="S275">
        <v>3072</v>
      </c>
      <c r="T275">
        <v>13481</v>
      </c>
      <c r="U275">
        <v>4.79</v>
      </c>
      <c r="V275">
        <v>3519</v>
      </c>
      <c r="W275">
        <v>16849</v>
      </c>
      <c r="X275">
        <v>-999</v>
      </c>
      <c r="Y275">
        <v>-999</v>
      </c>
      <c r="Z275">
        <v>-999</v>
      </c>
      <c r="AA275">
        <v>-999</v>
      </c>
      <c r="AB275">
        <v>-999</v>
      </c>
      <c r="AC275">
        <v>-999</v>
      </c>
      <c r="AD275">
        <v>-999</v>
      </c>
      <c r="AE275">
        <v>-999</v>
      </c>
      <c r="AF275">
        <v>18.38</v>
      </c>
      <c r="AG275">
        <v>26.16</v>
      </c>
      <c r="AH275">
        <v>2</v>
      </c>
      <c r="AI275">
        <v>3</v>
      </c>
      <c r="AJ275">
        <v>5</v>
      </c>
      <c r="AK275">
        <v>3.03</v>
      </c>
      <c r="AL275">
        <v>3.31</v>
      </c>
      <c r="AM275">
        <v>7.17</v>
      </c>
      <c r="AN275">
        <v>10.55</v>
      </c>
      <c r="AO275">
        <v>-1.99</v>
      </c>
      <c r="AP275">
        <v>-4.41</v>
      </c>
      <c r="AQ275">
        <v>10.61</v>
      </c>
    </row>
    <row r="276" spans="1:43" x14ac:dyDescent="0.25">
      <c r="A276">
        <v>-21</v>
      </c>
      <c r="B276" t="s">
        <v>55</v>
      </c>
      <c r="C276">
        <v>34.055</v>
      </c>
      <c r="D276">
        <f t="shared" si="15"/>
        <v>-110.184</v>
      </c>
      <c r="E276">
        <v>20160618</v>
      </c>
      <c r="G276">
        <v>13187</v>
      </c>
      <c r="H276">
        <v>4</v>
      </c>
      <c r="I276">
        <v>0.44</v>
      </c>
      <c r="J276">
        <v>1723</v>
      </c>
      <c r="K276">
        <v>0.46</v>
      </c>
      <c r="L276">
        <v>33.479999999999997</v>
      </c>
      <c r="M276">
        <v>8</v>
      </c>
      <c r="N276">
        <v>3.91</v>
      </c>
      <c r="O276">
        <v>26</v>
      </c>
      <c r="P276">
        <v>4536</v>
      </c>
      <c r="Q276">
        <v>17755</v>
      </c>
      <c r="R276">
        <v>4.07</v>
      </c>
      <c r="S276">
        <v>4047</v>
      </c>
      <c r="T276">
        <v>16460</v>
      </c>
      <c r="U276">
        <v>4.4800000000000004</v>
      </c>
      <c r="V276">
        <v>4477</v>
      </c>
      <c r="W276">
        <v>20070</v>
      </c>
      <c r="X276">
        <v>-999</v>
      </c>
      <c r="Y276">
        <v>-999</v>
      </c>
      <c r="Z276">
        <v>-999</v>
      </c>
      <c r="AA276">
        <v>-999</v>
      </c>
      <c r="AB276">
        <v>-999</v>
      </c>
      <c r="AC276">
        <v>-999</v>
      </c>
      <c r="AD276">
        <v>-999</v>
      </c>
      <c r="AE276">
        <v>-999</v>
      </c>
      <c r="AF276">
        <v>22.09</v>
      </c>
      <c r="AG276">
        <v>25.31</v>
      </c>
      <c r="AH276">
        <v>3</v>
      </c>
      <c r="AI276">
        <v>3</v>
      </c>
      <c r="AJ276">
        <v>6</v>
      </c>
      <c r="AK276">
        <v>3.33</v>
      </c>
      <c r="AL276">
        <v>2.06</v>
      </c>
      <c r="AM276">
        <v>5.17</v>
      </c>
      <c r="AN276">
        <v>6.13</v>
      </c>
      <c r="AO276">
        <v>-0.62</v>
      </c>
      <c r="AP276">
        <v>-2.25</v>
      </c>
      <c r="AQ276">
        <v>7.79</v>
      </c>
    </row>
    <row r="277" spans="1:43" x14ac:dyDescent="0.25">
      <c r="A277">
        <v>-21</v>
      </c>
      <c r="B277" t="s">
        <v>55</v>
      </c>
      <c r="C277">
        <v>34.055</v>
      </c>
      <c r="D277">
        <f t="shared" si="15"/>
        <v>-110.184</v>
      </c>
      <c r="E277">
        <v>20160619</v>
      </c>
      <c r="G277">
        <v>26739</v>
      </c>
      <c r="H277">
        <v>5</v>
      </c>
      <c r="I277">
        <v>2.75</v>
      </c>
      <c r="J277">
        <v>13552</v>
      </c>
      <c r="K277">
        <v>3.6</v>
      </c>
      <c r="L277">
        <v>36.520000000000003</v>
      </c>
      <c r="M277">
        <v>7</v>
      </c>
      <c r="N277">
        <v>3.02</v>
      </c>
      <c r="O277">
        <v>20</v>
      </c>
      <c r="P277">
        <v>5366</v>
      </c>
      <c r="Q277">
        <v>16201</v>
      </c>
      <c r="R277">
        <v>3.26</v>
      </c>
      <c r="S277">
        <v>4907</v>
      </c>
      <c r="T277">
        <v>15975</v>
      </c>
      <c r="U277">
        <v>3.74</v>
      </c>
      <c r="V277">
        <v>5295</v>
      </c>
      <c r="W277">
        <v>19819</v>
      </c>
      <c r="X277">
        <v>-999</v>
      </c>
      <c r="Y277">
        <v>-999</v>
      </c>
      <c r="Z277">
        <v>-999</v>
      </c>
      <c r="AA277">
        <v>-999</v>
      </c>
      <c r="AB277">
        <v>-999</v>
      </c>
      <c r="AC277">
        <v>-999</v>
      </c>
      <c r="AD277">
        <v>-999</v>
      </c>
      <c r="AE277">
        <v>-999</v>
      </c>
      <c r="AF277">
        <v>26.94</v>
      </c>
      <c r="AG277">
        <v>29.55</v>
      </c>
      <c r="AH277">
        <v>3</v>
      </c>
      <c r="AI277">
        <v>3</v>
      </c>
      <c r="AJ277">
        <v>6</v>
      </c>
      <c r="AK277">
        <v>0.05</v>
      </c>
      <c r="AL277">
        <v>-3.02</v>
      </c>
      <c r="AM277">
        <v>4.55</v>
      </c>
      <c r="AN277">
        <v>3.89</v>
      </c>
      <c r="AO277">
        <v>-6.48</v>
      </c>
      <c r="AP277">
        <v>-9.9499999999999993</v>
      </c>
      <c r="AQ277">
        <v>20.079999999999998</v>
      </c>
    </row>
    <row r="278" spans="1:43" x14ac:dyDescent="0.25">
      <c r="A278">
        <v>-21</v>
      </c>
      <c r="B278" t="s">
        <v>55</v>
      </c>
      <c r="C278">
        <v>34.055</v>
      </c>
      <c r="D278">
        <f t="shared" si="15"/>
        <v>-110.184</v>
      </c>
      <c r="E278">
        <v>20160620</v>
      </c>
      <c r="G278">
        <v>35877</v>
      </c>
      <c r="H278">
        <v>6</v>
      </c>
      <c r="I278">
        <v>1.46</v>
      </c>
      <c r="J278">
        <v>9138</v>
      </c>
      <c r="K278">
        <v>2.4300000000000002</v>
      </c>
      <c r="L278">
        <v>34.4</v>
      </c>
      <c r="M278">
        <v>16</v>
      </c>
      <c r="N278">
        <v>3.9</v>
      </c>
      <c r="O278">
        <v>23</v>
      </c>
      <c r="P278">
        <v>4345</v>
      </c>
      <c r="Q278">
        <v>16945</v>
      </c>
      <c r="R278">
        <v>3.85</v>
      </c>
      <c r="S278">
        <v>4052</v>
      </c>
      <c r="T278">
        <v>15600</v>
      </c>
      <c r="U278">
        <v>4.1500000000000004</v>
      </c>
      <c r="V278">
        <v>4288</v>
      </c>
      <c r="W278">
        <v>17788</v>
      </c>
      <c r="X278">
        <v>-999</v>
      </c>
      <c r="Y278">
        <v>-999</v>
      </c>
      <c r="Z278">
        <v>-999</v>
      </c>
      <c r="AA278">
        <v>-999</v>
      </c>
      <c r="AB278">
        <v>-999</v>
      </c>
      <c r="AC278">
        <v>-999</v>
      </c>
      <c r="AD278">
        <v>-999</v>
      </c>
      <c r="AE278">
        <v>-999</v>
      </c>
      <c r="AF278">
        <v>25.9</v>
      </c>
      <c r="AG278">
        <v>20.57</v>
      </c>
      <c r="AH278">
        <v>3</v>
      </c>
      <c r="AI278">
        <v>2</v>
      </c>
      <c r="AJ278">
        <v>5</v>
      </c>
      <c r="AK278">
        <v>2.7</v>
      </c>
      <c r="AL278">
        <v>2.81</v>
      </c>
      <c r="AM278">
        <v>-1.93</v>
      </c>
      <c r="AN278">
        <v>-6.06</v>
      </c>
      <c r="AO278">
        <v>5.42</v>
      </c>
      <c r="AP278">
        <v>8.93</v>
      </c>
      <c r="AQ278">
        <v>-15.66</v>
      </c>
    </row>
    <row r="279" spans="1:43" x14ac:dyDescent="0.25">
      <c r="A279">
        <v>-21</v>
      </c>
      <c r="B279" t="s">
        <v>55</v>
      </c>
      <c r="C279">
        <v>34.055</v>
      </c>
      <c r="D279">
        <f t="shared" si="15"/>
        <v>-110.184</v>
      </c>
      <c r="E279">
        <v>20160621</v>
      </c>
      <c r="G279">
        <v>41020</v>
      </c>
      <c r="H279">
        <v>7</v>
      </c>
      <c r="I279">
        <v>0.74</v>
      </c>
      <c r="J279">
        <v>5143</v>
      </c>
      <c r="K279">
        <v>1.37</v>
      </c>
      <c r="L279">
        <v>31.7</v>
      </c>
      <c r="M279">
        <v>21</v>
      </c>
      <c r="N279">
        <v>4.33</v>
      </c>
      <c r="O279">
        <v>24</v>
      </c>
      <c r="P279">
        <v>3543</v>
      </c>
      <c r="Q279">
        <v>15338</v>
      </c>
      <c r="R279">
        <v>4.42</v>
      </c>
      <c r="S279">
        <v>3170</v>
      </c>
      <c r="T279">
        <v>14017</v>
      </c>
      <c r="U279">
        <v>4.9400000000000004</v>
      </c>
      <c r="V279">
        <v>3497</v>
      </c>
      <c r="W279">
        <v>17291</v>
      </c>
      <c r="X279">
        <v>-999</v>
      </c>
      <c r="Y279">
        <v>-999</v>
      </c>
      <c r="Z279">
        <v>-999</v>
      </c>
      <c r="AA279">
        <v>-999</v>
      </c>
      <c r="AB279">
        <v>-999</v>
      </c>
      <c r="AC279">
        <v>-999</v>
      </c>
      <c r="AD279">
        <v>-999</v>
      </c>
      <c r="AE279">
        <v>-999</v>
      </c>
      <c r="AF279">
        <v>21.67</v>
      </c>
      <c r="AG279">
        <v>13.99</v>
      </c>
      <c r="AH279">
        <v>2</v>
      </c>
      <c r="AI279">
        <v>1</v>
      </c>
      <c r="AJ279">
        <v>3</v>
      </c>
      <c r="AK279">
        <v>2.99</v>
      </c>
      <c r="AL279">
        <v>3.13</v>
      </c>
      <c r="AM279">
        <v>3.49</v>
      </c>
      <c r="AN279">
        <v>2.87</v>
      </c>
      <c r="AO279">
        <v>1.82</v>
      </c>
      <c r="AP279">
        <v>4.43</v>
      </c>
      <c r="AQ279">
        <v>-10.26</v>
      </c>
    </row>
    <row r="280" spans="1:43" x14ac:dyDescent="0.25">
      <c r="A280">
        <v>-21</v>
      </c>
      <c r="B280" t="s">
        <v>55</v>
      </c>
      <c r="C280">
        <v>34.055</v>
      </c>
      <c r="D280">
        <f t="shared" si="15"/>
        <v>-110.184</v>
      </c>
      <c r="E280">
        <v>20160622</v>
      </c>
      <c r="G280">
        <v>43951</v>
      </c>
      <c r="H280">
        <v>8</v>
      </c>
      <c r="I280">
        <v>0.4</v>
      </c>
      <c r="J280">
        <v>2931</v>
      </c>
      <c r="K280">
        <v>0.78</v>
      </c>
      <c r="L280">
        <v>32.22</v>
      </c>
      <c r="M280">
        <v>18</v>
      </c>
      <c r="N280">
        <v>5.0999999999999996</v>
      </c>
      <c r="O280">
        <v>29</v>
      </c>
      <c r="P280">
        <v>3782</v>
      </c>
      <c r="Q280">
        <v>19285</v>
      </c>
      <c r="R280">
        <v>5.46</v>
      </c>
      <c r="S280">
        <v>3344</v>
      </c>
      <c r="T280">
        <v>18249</v>
      </c>
      <c r="U280">
        <v>6.62</v>
      </c>
      <c r="V280">
        <v>3732</v>
      </c>
      <c r="W280">
        <v>24698</v>
      </c>
      <c r="X280">
        <v>-999</v>
      </c>
      <c r="Y280">
        <v>-999</v>
      </c>
      <c r="Z280">
        <v>-999</v>
      </c>
      <c r="AA280">
        <v>-999</v>
      </c>
      <c r="AB280">
        <v>-999</v>
      </c>
      <c r="AC280">
        <v>-999</v>
      </c>
      <c r="AD280">
        <v>-999</v>
      </c>
      <c r="AE280">
        <v>-999</v>
      </c>
      <c r="AF280">
        <v>23.05</v>
      </c>
      <c r="AG280">
        <v>16.850000000000001</v>
      </c>
      <c r="AH280">
        <v>3</v>
      </c>
      <c r="AI280">
        <v>2</v>
      </c>
      <c r="AJ280">
        <v>5</v>
      </c>
      <c r="AK280">
        <v>4.47</v>
      </c>
      <c r="AL280">
        <v>2.4500000000000002</v>
      </c>
      <c r="AM280">
        <v>5.31</v>
      </c>
      <c r="AN280">
        <v>7.29</v>
      </c>
      <c r="AO280">
        <v>2.87</v>
      </c>
      <c r="AP280">
        <v>-2.77</v>
      </c>
      <c r="AQ280">
        <v>35.630000000000003</v>
      </c>
    </row>
    <row r="281" spans="1:43" x14ac:dyDescent="0.25">
      <c r="A281">
        <v>-21</v>
      </c>
      <c r="B281" t="s">
        <v>55</v>
      </c>
      <c r="C281">
        <v>34.055</v>
      </c>
      <c r="D281">
        <f t="shared" si="15"/>
        <v>-110.184</v>
      </c>
      <c r="E281">
        <v>20160623</v>
      </c>
      <c r="G281">
        <v>45076</v>
      </c>
      <c r="H281">
        <v>9</v>
      </c>
      <c r="I281">
        <v>0.15</v>
      </c>
      <c r="J281">
        <v>1125</v>
      </c>
      <c r="K281">
        <v>0.3</v>
      </c>
      <c r="L281">
        <v>29.17</v>
      </c>
      <c r="M281">
        <v>22</v>
      </c>
      <c r="N281">
        <v>5.86</v>
      </c>
      <c r="O281">
        <v>32</v>
      </c>
      <c r="P281">
        <v>3049</v>
      </c>
      <c r="Q281">
        <v>17865</v>
      </c>
      <c r="R281">
        <v>6.74</v>
      </c>
      <c r="S281">
        <v>2667</v>
      </c>
      <c r="T281">
        <v>17971</v>
      </c>
      <c r="U281">
        <v>8.44</v>
      </c>
      <c r="V281">
        <v>3010</v>
      </c>
      <c r="W281">
        <v>25396</v>
      </c>
      <c r="X281">
        <v>-999</v>
      </c>
      <c r="Y281">
        <v>-999</v>
      </c>
      <c r="Z281">
        <v>-999</v>
      </c>
      <c r="AA281">
        <v>-999</v>
      </c>
      <c r="AB281">
        <v>-999</v>
      </c>
      <c r="AC281">
        <v>-999</v>
      </c>
      <c r="AD281">
        <v>-999</v>
      </c>
      <c r="AE281">
        <v>-999</v>
      </c>
      <c r="AF281">
        <v>20.43</v>
      </c>
      <c r="AG281">
        <v>13.77</v>
      </c>
      <c r="AH281">
        <v>2</v>
      </c>
      <c r="AI281">
        <v>1</v>
      </c>
      <c r="AJ281">
        <v>3</v>
      </c>
      <c r="AK281">
        <v>4.92</v>
      </c>
      <c r="AL281">
        <v>3.18</v>
      </c>
      <c r="AM281">
        <v>8.18</v>
      </c>
      <c r="AN281">
        <v>4.5199999999999996</v>
      </c>
      <c r="AO281">
        <v>-0.81</v>
      </c>
      <c r="AP281">
        <v>1.51</v>
      </c>
      <c r="AQ281">
        <v>-16.04</v>
      </c>
    </row>
    <row r="282" spans="1:43" x14ac:dyDescent="0.25">
      <c r="A282">
        <v>-21</v>
      </c>
      <c r="B282" t="s">
        <v>55</v>
      </c>
      <c r="C282">
        <v>34.055</v>
      </c>
      <c r="D282">
        <f t="shared" si="15"/>
        <v>-110.184</v>
      </c>
      <c r="E282">
        <v>20160624</v>
      </c>
      <c r="G282">
        <v>45141</v>
      </c>
      <c r="H282">
        <v>10</v>
      </c>
      <c r="I282">
        <v>0.01</v>
      </c>
      <c r="J282">
        <v>65</v>
      </c>
      <c r="K282">
        <v>0.02</v>
      </c>
      <c r="L282">
        <v>28.61</v>
      </c>
      <c r="M282">
        <v>22</v>
      </c>
      <c r="N282">
        <v>4.24</v>
      </c>
      <c r="O282">
        <v>23</v>
      </c>
      <c r="P282">
        <v>2957</v>
      </c>
      <c r="Q282">
        <v>12527</v>
      </c>
      <c r="R282">
        <v>4.5999999999999996</v>
      </c>
      <c r="S282">
        <v>2611</v>
      </c>
      <c r="T282">
        <v>12020</v>
      </c>
      <c r="U282">
        <v>5.5</v>
      </c>
      <c r="V282">
        <v>2918</v>
      </c>
      <c r="W282">
        <v>16063</v>
      </c>
      <c r="X282">
        <v>-999</v>
      </c>
      <c r="Y282">
        <v>-999</v>
      </c>
      <c r="Z282">
        <v>-999</v>
      </c>
      <c r="AA282">
        <v>-999</v>
      </c>
      <c r="AB282">
        <v>-999</v>
      </c>
      <c r="AC282">
        <v>-999</v>
      </c>
      <c r="AD282">
        <v>-999</v>
      </c>
      <c r="AE282">
        <v>-999</v>
      </c>
      <c r="AF282">
        <v>20.96</v>
      </c>
      <c r="AG282">
        <v>12.99</v>
      </c>
      <c r="AH282">
        <v>2</v>
      </c>
      <c r="AI282">
        <v>1</v>
      </c>
      <c r="AJ282">
        <v>3</v>
      </c>
      <c r="AK282">
        <v>3.42</v>
      </c>
      <c r="AL282">
        <v>2.5099999999999998</v>
      </c>
      <c r="AM282">
        <v>7.37</v>
      </c>
      <c r="AN282">
        <v>6.04</v>
      </c>
      <c r="AO282">
        <v>-1.35</v>
      </c>
      <c r="AP282">
        <v>-0.25</v>
      </c>
      <c r="AQ282">
        <v>-6.29</v>
      </c>
    </row>
    <row r="283" spans="1:43" x14ac:dyDescent="0.25">
      <c r="A283">
        <v>-21</v>
      </c>
      <c r="B283" t="s">
        <v>55</v>
      </c>
      <c r="C283">
        <v>34.055</v>
      </c>
      <c r="D283">
        <f t="shared" si="15"/>
        <v>-110.184</v>
      </c>
      <c r="E283">
        <v>20160625</v>
      </c>
      <c r="G283">
        <v>45203</v>
      </c>
      <c r="H283">
        <v>11</v>
      </c>
      <c r="I283">
        <v>0.01</v>
      </c>
      <c r="J283">
        <v>62</v>
      </c>
      <c r="K283">
        <v>0.02</v>
      </c>
      <c r="L283">
        <v>28.56</v>
      </c>
      <c r="M283">
        <v>27</v>
      </c>
      <c r="N283">
        <v>3.6</v>
      </c>
      <c r="O283">
        <v>19</v>
      </c>
      <c r="P283">
        <v>2759</v>
      </c>
      <c r="Q283">
        <v>9925</v>
      </c>
      <c r="R283">
        <v>3.39</v>
      </c>
      <c r="S283">
        <v>2587</v>
      </c>
      <c r="T283">
        <v>8760</v>
      </c>
      <c r="U283">
        <v>3.6</v>
      </c>
      <c r="V283">
        <v>2723</v>
      </c>
      <c r="W283">
        <v>9795</v>
      </c>
      <c r="X283">
        <v>-999</v>
      </c>
      <c r="Y283">
        <v>-999</v>
      </c>
      <c r="Z283">
        <v>-999</v>
      </c>
      <c r="AA283">
        <v>-999</v>
      </c>
      <c r="AB283">
        <v>-999</v>
      </c>
      <c r="AC283">
        <v>-999</v>
      </c>
      <c r="AD283">
        <v>-999</v>
      </c>
      <c r="AE283">
        <v>-999</v>
      </c>
      <c r="AF283">
        <v>22.96</v>
      </c>
      <c r="AG283">
        <v>12.15</v>
      </c>
      <c r="AH283">
        <v>3</v>
      </c>
      <c r="AI283">
        <v>1</v>
      </c>
      <c r="AJ283">
        <v>4</v>
      </c>
      <c r="AK283">
        <v>2.65</v>
      </c>
      <c r="AL283">
        <v>2.44</v>
      </c>
      <c r="AM283">
        <v>6.03</v>
      </c>
      <c r="AN283">
        <v>5.79</v>
      </c>
      <c r="AO283">
        <v>-1.65</v>
      </c>
      <c r="AP283">
        <v>-1.38</v>
      </c>
      <c r="AQ283">
        <v>-1.25</v>
      </c>
    </row>
    <row r="284" spans="1:43" x14ac:dyDescent="0.25">
      <c r="A284">
        <v>-21</v>
      </c>
      <c r="B284" t="s">
        <v>55</v>
      </c>
      <c r="C284">
        <v>34.055</v>
      </c>
      <c r="D284">
        <f t="shared" si="15"/>
        <v>-110.184</v>
      </c>
      <c r="E284">
        <v>20160626</v>
      </c>
      <c r="G284">
        <v>45207</v>
      </c>
      <c r="H284">
        <v>12</v>
      </c>
      <c r="I284">
        <v>0</v>
      </c>
      <c r="J284">
        <v>4</v>
      </c>
      <c r="K284">
        <v>0</v>
      </c>
      <c r="L284">
        <v>26.92</v>
      </c>
      <c r="M284">
        <v>36</v>
      </c>
      <c r="N284">
        <v>4.6500000000000004</v>
      </c>
      <c r="O284">
        <v>22</v>
      </c>
      <c r="P284">
        <v>2208</v>
      </c>
      <c r="Q284">
        <v>10272</v>
      </c>
      <c r="R284">
        <v>4.6500000000000004</v>
      </c>
      <c r="S284">
        <v>2089</v>
      </c>
      <c r="T284">
        <v>9724</v>
      </c>
      <c r="U284">
        <v>4.68</v>
      </c>
      <c r="V284">
        <v>2179</v>
      </c>
      <c r="W284">
        <v>10188</v>
      </c>
      <c r="X284">
        <v>-999</v>
      </c>
      <c r="Y284">
        <v>-999</v>
      </c>
      <c r="Z284">
        <v>-999</v>
      </c>
      <c r="AA284">
        <v>-999</v>
      </c>
      <c r="AB284">
        <v>-999</v>
      </c>
      <c r="AC284">
        <v>-999</v>
      </c>
      <c r="AD284">
        <v>-999</v>
      </c>
      <c r="AE284">
        <v>-999</v>
      </c>
      <c r="AF284">
        <v>21.16</v>
      </c>
      <c r="AG284">
        <v>9.9600000000000009</v>
      </c>
      <c r="AH284">
        <v>2</v>
      </c>
      <c r="AI284">
        <v>1</v>
      </c>
      <c r="AJ284">
        <v>3</v>
      </c>
      <c r="AK284">
        <v>-1.04</v>
      </c>
      <c r="AL284">
        <v>4.53</v>
      </c>
      <c r="AM284">
        <v>4.37</v>
      </c>
      <c r="AN284">
        <v>4.41</v>
      </c>
      <c r="AO284">
        <v>-3.67</v>
      </c>
      <c r="AP284">
        <v>2.15</v>
      </c>
      <c r="AQ284">
        <v>-25.59</v>
      </c>
    </row>
    <row r="286" spans="1:43" x14ac:dyDescent="0.25">
      <c r="A286">
        <v>-22</v>
      </c>
      <c r="B286">
        <v>416</v>
      </c>
      <c r="C286">
        <v>37.460999999999999</v>
      </c>
      <c r="D286">
        <f>252.192-360</f>
        <v>-107.80799999999999</v>
      </c>
      <c r="E286">
        <v>20180601</v>
      </c>
      <c r="F286">
        <v>20180511</v>
      </c>
      <c r="G286">
        <v>1573</v>
      </c>
      <c r="H286">
        <v>1</v>
      </c>
      <c r="I286">
        <v>5.8</v>
      </c>
      <c r="J286">
        <v>1573</v>
      </c>
      <c r="K286">
        <v>0.99</v>
      </c>
      <c r="L286">
        <v>20.52</v>
      </c>
      <c r="M286">
        <v>11.6</v>
      </c>
      <c r="N286">
        <v>5.3</v>
      </c>
      <c r="O286">
        <v>32</v>
      </c>
      <c r="P286">
        <v>2095</v>
      </c>
      <c r="Q286">
        <v>11104</v>
      </c>
      <c r="R286">
        <v>6.36</v>
      </c>
      <c r="S286">
        <v>1887</v>
      </c>
      <c r="T286">
        <v>12012</v>
      </c>
      <c r="U286">
        <v>7.82</v>
      </c>
      <c r="V286">
        <v>2068</v>
      </c>
      <c r="W286">
        <v>16180</v>
      </c>
      <c r="X286">
        <v>-999</v>
      </c>
      <c r="Y286">
        <v>-999</v>
      </c>
      <c r="Z286">
        <v>-999</v>
      </c>
      <c r="AA286">
        <v>-999</v>
      </c>
      <c r="AB286">
        <v>-999</v>
      </c>
      <c r="AC286">
        <v>-999</v>
      </c>
      <c r="AD286">
        <v>-999</v>
      </c>
      <c r="AE286">
        <v>-999</v>
      </c>
      <c r="AF286">
        <v>23.86</v>
      </c>
      <c r="AG286">
        <v>27.95</v>
      </c>
      <c r="AH286">
        <v>3</v>
      </c>
      <c r="AI286">
        <v>3</v>
      </c>
      <c r="AJ286">
        <v>6</v>
      </c>
      <c r="AK286">
        <v>5.2</v>
      </c>
      <c r="AL286">
        <v>1.01</v>
      </c>
      <c r="AM286">
        <v>2.56</v>
      </c>
      <c r="AN286">
        <v>9.94</v>
      </c>
      <c r="AO286">
        <v>5.45</v>
      </c>
      <c r="AP286">
        <v>-6.05</v>
      </c>
      <c r="AQ286">
        <v>69.62</v>
      </c>
    </row>
    <row r="287" spans="1:43" x14ac:dyDescent="0.25">
      <c r="A287">
        <v>-22</v>
      </c>
      <c r="B287">
        <v>416</v>
      </c>
      <c r="C287">
        <v>37.460999999999999</v>
      </c>
      <c r="D287">
        <f t="shared" ref="D287:D319" si="16">252.192-360</f>
        <v>-107.80799999999999</v>
      </c>
      <c r="E287">
        <v>20180602</v>
      </c>
      <c r="G287">
        <v>2255</v>
      </c>
      <c r="H287">
        <v>2</v>
      </c>
      <c r="I287">
        <v>1.1399999999999999</v>
      </c>
      <c r="J287">
        <v>682</v>
      </c>
      <c r="K287">
        <v>0.43</v>
      </c>
      <c r="L287">
        <v>22.47</v>
      </c>
      <c r="M287">
        <v>12.8</v>
      </c>
      <c r="N287">
        <v>4.17</v>
      </c>
      <c r="O287">
        <v>25</v>
      </c>
      <c r="P287">
        <v>2321</v>
      </c>
      <c r="Q287">
        <v>9677</v>
      </c>
      <c r="R287">
        <v>3.44</v>
      </c>
      <c r="S287">
        <v>2163</v>
      </c>
      <c r="T287">
        <v>7438</v>
      </c>
      <c r="U287">
        <v>4.17</v>
      </c>
      <c r="V287">
        <v>2291</v>
      </c>
      <c r="W287">
        <v>9551</v>
      </c>
      <c r="X287">
        <v>-999</v>
      </c>
      <c r="Y287">
        <v>-999</v>
      </c>
      <c r="Z287">
        <v>-999</v>
      </c>
      <c r="AA287">
        <v>-999</v>
      </c>
      <c r="AB287">
        <v>-999</v>
      </c>
      <c r="AC287">
        <v>-999</v>
      </c>
      <c r="AD287">
        <v>-999</v>
      </c>
      <c r="AE287">
        <v>-999</v>
      </c>
      <c r="AF287">
        <v>24.36</v>
      </c>
      <c r="AG287">
        <v>28.36</v>
      </c>
      <c r="AH287">
        <v>3</v>
      </c>
      <c r="AI287">
        <v>3</v>
      </c>
      <c r="AJ287">
        <v>6</v>
      </c>
      <c r="AK287">
        <v>2.23</v>
      </c>
      <c r="AL287">
        <v>3.52</v>
      </c>
      <c r="AM287">
        <v>8</v>
      </c>
      <c r="AN287">
        <v>3.89</v>
      </c>
      <c r="AO287">
        <v>-4.7699999999999996</v>
      </c>
      <c r="AP287">
        <v>2.61</v>
      </c>
      <c r="AQ287">
        <v>-39.479999999999997</v>
      </c>
    </row>
    <row r="288" spans="1:43" x14ac:dyDescent="0.25">
      <c r="A288">
        <v>-22</v>
      </c>
      <c r="B288">
        <v>416</v>
      </c>
      <c r="C288">
        <v>37.460999999999999</v>
      </c>
      <c r="D288">
        <f t="shared" si="16"/>
        <v>-107.80799999999999</v>
      </c>
      <c r="E288">
        <v>20180603</v>
      </c>
      <c r="G288">
        <v>2402</v>
      </c>
      <c r="H288">
        <v>3</v>
      </c>
      <c r="I288">
        <v>0.22</v>
      </c>
      <c r="J288">
        <v>147</v>
      </c>
      <c r="K288">
        <v>0.09</v>
      </c>
      <c r="L288">
        <v>18.010000000000002</v>
      </c>
      <c r="M288">
        <v>35.5</v>
      </c>
      <c r="N288">
        <v>1.78</v>
      </c>
      <c r="O288">
        <v>8</v>
      </c>
      <c r="P288">
        <v>1313</v>
      </c>
      <c r="Q288">
        <v>2338</v>
      </c>
      <c r="R288">
        <v>0.89</v>
      </c>
      <c r="S288">
        <v>1212</v>
      </c>
      <c r="T288">
        <v>1073</v>
      </c>
      <c r="U288">
        <v>1.78</v>
      </c>
      <c r="V288">
        <v>1296</v>
      </c>
      <c r="W288">
        <v>2308</v>
      </c>
      <c r="X288">
        <v>-999</v>
      </c>
      <c r="Y288">
        <v>-999</v>
      </c>
      <c r="Z288">
        <v>-999</v>
      </c>
      <c r="AA288">
        <v>-999</v>
      </c>
      <c r="AB288">
        <v>-999</v>
      </c>
      <c r="AC288">
        <v>-999</v>
      </c>
      <c r="AD288">
        <v>-999</v>
      </c>
      <c r="AE288">
        <v>-999</v>
      </c>
      <c r="AF288">
        <v>24.37</v>
      </c>
      <c r="AG288">
        <v>10.67</v>
      </c>
      <c r="AH288">
        <v>3</v>
      </c>
      <c r="AI288">
        <v>1</v>
      </c>
      <c r="AJ288">
        <v>4</v>
      </c>
      <c r="AK288">
        <v>-0.5</v>
      </c>
      <c r="AL288">
        <v>-1.71</v>
      </c>
      <c r="AM288">
        <v>3.24</v>
      </c>
      <c r="AN288">
        <v>6.51</v>
      </c>
      <c r="AO288">
        <v>-6.21</v>
      </c>
      <c r="AP288">
        <v>-5.71</v>
      </c>
      <c r="AQ288">
        <v>-21.9</v>
      </c>
    </row>
    <row r="289" spans="1:43" x14ac:dyDescent="0.25">
      <c r="A289">
        <v>-22</v>
      </c>
      <c r="B289">
        <v>416</v>
      </c>
      <c r="C289">
        <v>37.460999999999999</v>
      </c>
      <c r="D289">
        <f t="shared" si="16"/>
        <v>-107.80799999999999</v>
      </c>
      <c r="E289">
        <v>20180604</v>
      </c>
      <c r="G289">
        <v>2933</v>
      </c>
      <c r="H289">
        <v>4</v>
      </c>
      <c r="I289">
        <v>0.75</v>
      </c>
      <c r="J289">
        <v>531</v>
      </c>
      <c r="K289">
        <v>0.33</v>
      </c>
      <c r="L289">
        <v>23.49</v>
      </c>
      <c r="M289">
        <v>17.8</v>
      </c>
      <c r="N289">
        <v>4.63</v>
      </c>
      <c r="O289">
        <v>26</v>
      </c>
      <c r="P289">
        <v>2322</v>
      </c>
      <c r="Q289">
        <v>10751</v>
      </c>
      <c r="R289">
        <v>4.9400000000000004</v>
      </c>
      <c r="S289">
        <v>2142</v>
      </c>
      <c r="T289">
        <v>10582</v>
      </c>
      <c r="U289">
        <v>5.86</v>
      </c>
      <c r="V289">
        <v>2291</v>
      </c>
      <c r="W289">
        <v>13433</v>
      </c>
      <c r="X289">
        <v>-999</v>
      </c>
      <c r="Y289">
        <v>-999</v>
      </c>
      <c r="Z289">
        <v>-999</v>
      </c>
      <c r="AA289">
        <v>-999</v>
      </c>
      <c r="AB289">
        <v>-999</v>
      </c>
      <c r="AC289">
        <v>-999</v>
      </c>
      <c r="AD289">
        <v>-999</v>
      </c>
      <c r="AE289">
        <v>-999</v>
      </c>
      <c r="AF289">
        <v>26.64</v>
      </c>
      <c r="AG289">
        <v>23.12</v>
      </c>
      <c r="AH289">
        <v>3</v>
      </c>
      <c r="AI289">
        <v>3</v>
      </c>
      <c r="AJ289">
        <v>6</v>
      </c>
      <c r="AK289">
        <v>4.07</v>
      </c>
      <c r="AL289">
        <v>2.2200000000000002</v>
      </c>
      <c r="AM289">
        <v>-2.97</v>
      </c>
      <c r="AN289">
        <v>0.79</v>
      </c>
      <c r="AO289">
        <v>10.26</v>
      </c>
      <c r="AP289">
        <v>3.6</v>
      </c>
      <c r="AQ289">
        <v>18.82</v>
      </c>
    </row>
    <row r="290" spans="1:43" x14ac:dyDescent="0.25">
      <c r="A290">
        <v>-22</v>
      </c>
      <c r="B290">
        <v>416</v>
      </c>
      <c r="C290">
        <v>37.460999999999999</v>
      </c>
      <c r="D290">
        <f t="shared" si="16"/>
        <v>-107.80799999999999</v>
      </c>
      <c r="E290">
        <v>20180605</v>
      </c>
      <c r="G290">
        <v>4015</v>
      </c>
      <c r="H290">
        <v>5</v>
      </c>
      <c r="I290">
        <v>1.35</v>
      </c>
      <c r="J290">
        <v>1082</v>
      </c>
      <c r="K290">
        <v>0.68</v>
      </c>
      <c r="L290">
        <v>23.66</v>
      </c>
      <c r="M290">
        <v>11.7</v>
      </c>
      <c r="N290">
        <v>5.25</v>
      </c>
      <c r="O290">
        <v>32</v>
      </c>
      <c r="P290">
        <v>2519</v>
      </c>
      <c r="Q290">
        <v>13230</v>
      </c>
      <c r="R290">
        <v>5.71</v>
      </c>
      <c r="S290">
        <v>2405</v>
      </c>
      <c r="T290">
        <v>13741</v>
      </c>
      <c r="U290">
        <v>7</v>
      </c>
      <c r="V290">
        <v>2486</v>
      </c>
      <c r="W290">
        <v>17406</v>
      </c>
      <c r="X290">
        <v>-999</v>
      </c>
      <c r="Y290">
        <v>-999</v>
      </c>
      <c r="Z290">
        <v>-999</v>
      </c>
      <c r="AA290">
        <v>-999</v>
      </c>
      <c r="AB290">
        <v>-999</v>
      </c>
      <c r="AC290">
        <v>-999</v>
      </c>
      <c r="AD290">
        <v>-999</v>
      </c>
      <c r="AE290">
        <v>-999</v>
      </c>
      <c r="AF290">
        <v>26.25</v>
      </c>
      <c r="AG290">
        <v>29.81</v>
      </c>
      <c r="AH290">
        <v>3</v>
      </c>
      <c r="AI290">
        <v>3</v>
      </c>
      <c r="AJ290">
        <v>6</v>
      </c>
      <c r="AK290">
        <v>3.85</v>
      </c>
      <c r="AL290">
        <v>3.57</v>
      </c>
      <c r="AM290">
        <v>7.28</v>
      </c>
      <c r="AN290">
        <v>4.3899999999999997</v>
      </c>
      <c r="AO290">
        <v>-2.58</v>
      </c>
      <c r="AP290">
        <v>3.23</v>
      </c>
      <c r="AQ290">
        <v>-34.880000000000003</v>
      </c>
    </row>
    <row r="291" spans="1:43" x14ac:dyDescent="0.25">
      <c r="A291">
        <v>-22</v>
      </c>
      <c r="B291">
        <v>416</v>
      </c>
      <c r="C291">
        <v>37.460999999999999</v>
      </c>
      <c r="D291">
        <f t="shared" si="16"/>
        <v>-107.80799999999999</v>
      </c>
      <c r="E291">
        <v>20180606</v>
      </c>
      <c r="G291">
        <v>5103</v>
      </c>
      <c r="H291">
        <v>6</v>
      </c>
      <c r="I291">
        <v>1.18</v>
      </c>
      <c r="J291">
        <v>1088</v>
      </c>
      <c r="K291">
        <v>0.68</v>
      </c>
      <c r="L291">
        <v>21.69</v>
      </c>
      <c r="M291">
        <v>18.399999999999999</v>
      </c>
      <c r="N291">
        <v>4.6500000000000004</v>
      </c>
      <c r="O291">
        <v>26</v>
      </c>
      <c r="P291">
        <v>2074</v>
      </c>
      <c r="Q291">
        <v>9648</v>
      </c>
      <c r="R291">
        <v>4.4400000000000004</v>
      </c>
      <c r="S291">
        <v>1984</v>
      </c>
      <c r="T291">
        <v>8808</v>
      </c>
      <c r="U291">
        <v>5.5</v>
      </c>
      <c r="V291">
        <v>2047</v>
      </c>
      <c r="W291">
        <v>11252</v>
      </c>
      <c r="X291">
        <v>-999</v>
      </c>
      <c r="Y291">
        <v>-999</v>
      </c>
      <c r="Z291">
        <v>-999</v>
      </c>
      <c r="AA291">
        <v>-999</v>
      </c>
      <c r="AB291">
        <v>-999</v>
      </c>
      <c r="AC291">
        <v>-999</v>
      </c>
      <c r="AD291">
        <v>-999</v>
      </c>
      <c r="AE291">
        <v>-999</v>
      </c>
      <c r="AF291">
        <v>24.83</v>
      </c>
      <c r="AG291">
        <v>22.35</v>
      </c>
      <c r="AH291">
        <v>3</v>
      </c>
      <c r="AI291">
        <v>3</v>
      </c>
      <c r="AJ291">
        <v>6</v>
      </c>
      <c r="AK291">
        <v>2.54</v>
      </c>
      <c r="AL291">
        <v>3.9</v>
      </c>
      <c r="AM291">
        <v>4.7</v>
      </c>
      <c r="AN291">
        <v>7.63</v>
      </c>
      <c r="AO291">
        <v>-1.28</v>
      </c>
      <c r="AP291">
        <v>-0.06</v>
      </c>
      <c r="AQ291">
        <v>-9.5</v>
      </c>
    </row>
    <row r="292" spans="1:43" x14ac:dyDescent="0.25">
      <c r="A292">
        <v>-22</v>
      </c>
      <c r="B292">
        <v>416</v>
      </c>
      <c r="C292">
        <v>37.460999999999999</v>
      </c>
      <c r="D292">
        <f t="shared" si="16"/>
        <v>-107.80799999999999</v>
      </c>
      <c r="E292">
        <v>20180607</v>
      </c>
      <c r="G292">
        <v>7180</v>
      </c>
      <c r="H292">
        <v>7</v>
      </c>
      <c r="I292">
        <v>1.94</v>
      </c>
      <c r="J292">
        <v>2077</v>
      </c>
      <c r="K292">
        <v>1.3</v>
      </c>
      <c r="L292">
        <v>22.8</v>
      </c>
      <c r="M292">
        <v>11.9</v>
      </c>
      <c r="N292">
        <v>5.19</v>
      </c>
      <c r="O292">
        <v>32</v>
      </c>
      <c r="P292">
        <v>2392</v>
      </c>
      <c r="Q292">
        <v>12416</v>
      </c>
      <c r="R292">
        <v>5.77</v>
      </c>
      <c r="S292">
        <v>2256</v>
      </c>
      <c r="T292">
        <v>13010</v>
      </c>
      <c r="U292">
        <v>7.13</v>
      </c>
      <c r="V292">
        <v>2360</v>
      </c>
      <c r="W292">
        <v>16822</v>
      </c>
      <c r="X292">
        <v>-999</v>
      </c>
      <c r="Y292">
        <v>-999</v>
      </c>
      <c r="Z292">
        <v>-999</v>
      </c>
      <c r="AA292">
        <v>-999</v>
      </c>
      <c r="AB292">
        <v>-999</v>
      </c>
      <c r="AC292">
        <v>-999</v>
      </c>
      <c r="AD292">
        <v>-999</v>
      </c>
      <c r="AE292">
        <v>-999</v>
      </c>
      <c r="AF292">
        <v>25.89</v>
      </c>
      <c r="AG292">
        <v>29.54</v>
      </c>
      <c r="AH292">
        <v>3</v>
      </c>
      <c r="AI292">
        <v>3</v>
      </c>
      <c r="AJ292">
        <v>6</v>
      </c>
      <c r="AK292">
        <v>3.68</v>
      </c>
      <c r="AL292">
        <v>3.66</v>
      </c>
      <c r="AM292">
        <v>3.42</v>
      </c>
      <c r="AN292">
        <v>7.57</v>
      </c>
      <c r="AO292">
        <v>2.02</v>
      </c>
      <c r="AP292">
        <v>0.28000000000000003</v>
      </c>
      <c r="AQ292">
        <v>14.34</v>
      </c>
    </row>
    <row r="293" spans="1:43" x14ac:dyDescent="0.25">
      <c r="A293">
        <v>-22</v>
      </c>
      <c r="B293">
        <v>416</v>
      </c>
      <c r="C293">
        <v>37.460999999999999</v>
      </c>
      <c r="D293">
        <f t="shared" si="16"/>
        <v>-107.80799999999999</v>
      </c>
      <c r="E293">
        <v>20180608</v>
      </c>
      <c r="G293">
        <v>8691</v>
      </c>
      <c r="H293">
        <v>8</v>
      </c>
      <c r="I293">
        <v>1.24</v>
      </c>
      <c r="J293">
        <v>1511</v>
      </c>
      <c r="K293">
        <v>0.95</v>
      </c>
      <c r="L293">
        <v>22.97</v>
      </c>
      <c r="M293">
        <v>12.2</v>
      </c>
      <c r="N293">
        <v>4.3499999999999996</v>
      </c>
      <c r="O293">
        <v>26</v>
      </c>
      <c r="P293">
        <v>2407</v>
      </c>
      <c r="Q293">
        <v>10473</v>
      </c>
      <c r="R293">
        <v>4.6900000000000004</v>
      </c>
      <c r="S293">
        <v>2263</v>
      </c>
      <c r="T293">
        <v>10609</v>
      </c>
      <c r="U293">
        <v>5.82</v>
      </c>
      <c r="V293">
        <v>2376</v>
      </c>
      <c r="W293">
        <v>13839</v>
      </c>
      <c r="X293">
        <v>-999</v>
      </c>
      <c r="Y293">
        <v>-999</v>
      </c>
      <c r="Z293">
        <v>-999</v>
      </c>
      <c r="AA293">
        <v>-999</v>
      </c>
      <c r="AB293">
        <v>-999</v>
      </c>
      <c r="AC293">
        <v>-999</v>
      </c>
      <c r="AD293">
        <v>-999</v>
      </c>
      <c r="AE293">
        <v>-999</v>
      </c>
      <c r="AF293">
        <v>25.65</v>
      </c>
      <c r="AG293">
        <v>29.46</v>
      </c>
      <c r="AH293">
        <v>3</v>
      </c>
      <c r="AI293">
        <v>3</v>
      </c>
      <c r="AJ293">
        <v>6</v>
      </c>
      <c r="AK293">
        <v>3.04</v>
      </c>
      <c r="AL293">
        <v>3.11</v>
      </c>
      <c r="AM293">
        <v>5.44</v>
      </c>
      <c r="AN293">
        <v>7.84</v>
      </c>
      <c r="AO293">
        <v>-0.21</v>
      </c>
      <c r="AP293">
        <v>-1.27</v>
      </c>
      <c r="AQ293">
        <v>5.28</v>
      </c>
    </row>
    <row r="294" spans="1:43" x14ac:dyDescent="0.25">
      <c r="A294">
        <v>-22</v>
      </c>
      <c r="B294">
        <v>416</v>
      </c>
      <c r="C294">
        <v>37.460999999999999</v>
      </c>
      <c r="D294">
        <f t="shared" si="16"/>
        <v>-107.80799999999999</v>
      </c>
      <c r="E294">
        <v>20180609</v>
      </c>
      <c r="G294">
        <v>16766</v>
      </c>
      <c r="H294">
        <v>9</v>
      </c>
      <c r="I294">
        <v>5.3</v>
      </c>
      <c r="J294">
        <v>8075</v>
      </c>
      <c r="K294">
        <v>5.07</v>
      </c>
      <c r="L294">
        <v>23.16</v>
      </c>
      <c r="M294">
        <v>13.5</v>
      </c>
      <c r="N294">
        <v>5.0199999999999996</v>
      </c>
      <c r="O294">
        <v>30</v>
      </c>
      <c r="P294">
        <v>2397</v>
      </c>
      <c r="Q294">
        <v>12043</v>
      </c>
      <c r="R294">
        <v>5.75</v>
      </c>
      <c r="S294">
        <v>2215</v>
      </c>
      <c r="T294">
        <v>12736</v>
      </c>
      <c r="U294">
        <v>7.08</v>
      </c>
      <c r="V294">
        <v>2366</v>
      </c>
      <c r="W294">
        <v>16739</v>
      </c>
      <c r="X294">
        <v>-999</v>
      </c>
      <c r="Y294">
        <v>-999</v>
      </c>
      <c r="Z294">
        <v>-999</v>
      </c>
      <c r="AA294">
        <v>-999</v>
      </c>
      <c r="AB294">
        <v>-999</v>
      </c>
      <c r="AC294">
        <v>-999</v>
      </c>
      <c r="AD294">
        <v>-999</v>
      </c>
      <c r="AE294">
        <v>-999</v>
      </c>
      <c r="AF294">
        <v>25.96</v>
      </c>
      <c r="AG294">
        <v>27.64</v>
      </c>
      <c r="AH294">
        <v>3</v>
      </c>
      <c r="AI294">
        <v>3</v>
      </c>
      <c r="AJ294">
        <v>6</v>
      </c>
      <c r="AK294">
        <v>2.82</v>
      </c>
      <c r="AL294">
        <v>4.16</v>
      </c>
      <c r="AM294">
        <v>5.23</v>
      </c>
      <c r="AN294">
        <v>6.57</v>
      </c>
      <c r="AO294">
        <v>-0.82</v>
      </c>
      <c r="AP294">
        <v>2.02</v>
      </c>
      <c r="AQ294">
        <v>-15.94</v>
      </c>
    </row>
    <row r="295" spans="1:43" x14ac:dyDescent="0.25">
      <c r="A295">
        <v>-22</v>
      </c>
      <c r="B295">
        <v>416</v>
      </c>
      <c r="C295">
        <v>37.460999999999999</v>
      </c>
      <c r="D295">
        <f t="shared" si="16"/>
        <v>-107.80799999999999</v>
      </c>
      <c r="E295">
        <v>20180610</v>
      </c>
      <c r="H295">
        <v>10</v>
      </c>
      <c r="L295">
        <v>23</v>
      </c>
      <c r="M295">
        <v>11.2</v>
      </c>
      <c r="N295">
        <v>5.29</v>
      </c>
      <c r="O295">
        <v>32</v>
      </c>
      <c r="P295">
        <v>2437</v>
      </c>
      <c r="Q295">
        <v>12902</v>
      </c>
      <c r="R295">
        <v>7.06</v>
      </c>
      <c r="S295">
        <v>2156</v>
      </c>
      <c r="T295">
        <v>15231</v>
      </c>
      <c r="U295">
        <v>8.4499999999999993</v>
      </c>
      <c r="V295">
        <v>2406</v>
      </c>
      <c r="W295">
        <v>20318</v>
      </c>
      <c r="X295">
        <v>-999</v>
      </c>
      <c r="Y295">
        <v>-999</v>
      </c>
      <c r="Z295">
        <v>-999</v>
      </c>
      <c r="AA295">
        <v>-999</v>
      </c>
      <c r="AB295">
        <v>-999</v>
      </c>
      <c r="AC295">
        <v>-999</v>
      </c>
      <c r="AD295">
        <v>-999</v>
      </c>
      <c r="AE295">
        <v>-999</v>
      </c>
      <c r="AF295">
        <v>24.24</v>
      </c>
      <c r="AG295">
        <v>28.47</v>
      </c>
      <c r="AH295">
        <v>3</v>
      </c>
      <c r="AI295">
        <v>3</v>
      </c>
      <c r="AJ295">
        <v>6</v>
      </c>
      <c r="AK295">
        <v>4.87</v>
      </c>
      <c r="AL295">
        <v>2.0699999999999998</v>
      </c>
      <c r="AM295">
        <v>4.41</v>
      </c>
      <c r="AN295">
        <v>8.59</v>
      </c>
      <c r="AO295">
        <v>4.12</v>
      </c>
      <c r="AP295">
        <v>-2.81</v>
      </c>
      <c r="AQ295">
        <v>47.8</v>
      </c>
    </row>
    <row r="296" spans="1:43" x14ac:dyDescent="0.25">
      <c r="A296">
        <v>-22</v>
      </c>
      <c r="B296">
        <v>416</v>
      </c>
      <c r="C296">
        <v>37.460999999999999</v>
      </c>
      <c r="D296">
        <f t="shared" si="16"/>
        <v>-107.80799999999999</v>
      </c>
      <c r="E296">
        <v>20180611</v>
      </c>
      <c r="G296">
        <v>23378</v>
      </c>
      <c r="H296">
        <v>11</v>
      </c>
      <c r="L296">
        <v>24.28</v>
      </c>
      <c r="M296">
        <v>13.6</v>
      </c>
      <c r="N296">
        <v>4.8499999999999996</v>
      </c>
      <c r="O296">
        <v>29</v>
      </c>
      <c r="P296">
        <v>2553</v>
      </c>
      <c r="Q296">
        <v>12380</v>
      </c>
      <c r="R296">
        <v>5.03</v>
      </c>
      <c r="S296">
        <v>2325</v>
      </c>
      <c r="T296">
        <v>11704</v>
      </c>
      <c r="U296">
        <v>5.83</v>
      </c>
      <c r="V296">
        <v>2520</v>
      </c>
      <c r="W296">
        <v>14694</v>
      </c>
      <c r="X296">
        <v>-999</v>
      </c>
      <c r="Y296">
        <v>-999</v>
      </c>
      <c r="Z296">
        <v>-999</v>
      </c>
      <c r="AA296">
        <v>-999</v>
      </c>
      <c r="AB296">
        <v>-999</v>
      </c>
      <c r="AC296">
        <v>-999</v>
      </c>
      <c r="AD296">
        <v>-999</v>
      </c>
      <c r="AE296">
        <v>-999</v>
      </c>
      <c r="AF296">
        <v>23.54</v>
      </c>
      <c r="AG296">
        <v>26.95</v>
      </c>
      <c r="AH296">
        <v>3</v>
      </c>
      <c r="AI296">
        <v>3</v>
      </c>
      <c r="AJ296">
        <v>6</v>
      </c>
      <c r="AK296">
        <v>4.0199999999999996</v>
      </c>
      <c r="AL296">
        <v>2.72</v>
      </c>
      <c r="AM296">
        <v>8.5299999999999994</v>
      </c>
      <c r="AN296">
        <v>5.78</v>
      </c>
      <c r="AO296">
        <v>-1.32</v>
      </c>
      <c r="AP296">
        <v>-1.04</v>
      </c>
      <c r="AQ296">
        <v>1.24</v>
      </c>
    </row>
    <row r="297" spans="1:43" x14ac:dyDescent="0.25">
      <c r="A297">
        <v>-22</v>
      </c>
      <c r="B297">
        <v>416</v>
      </c>
      <c r="C297">
        <v>37.460999999999999</v>
      </c>
      <c r="D297">
        <f t="shared" si="16"/>
        <v>-107.80799999999999</v>
      </c>
      <c r="E297">
        <v>20180612</v>
      </c>
      <c r="G297">
        <v>27420</v>
      </c>
      <c r="H297">
        <v>12</v>
      </c>
      <c r="I297">
        <v>1.85</v>
      </c>
      <c r="J297">
        <v>4042</v>
      </c>
      <c r="K297">
        <v>2.54</v>
      </c>
      <c r="L297">
        <v>25.71</v>
      </c>
      <c r="M297">
        <v>11</v>
      </c>
      <c r="N297">
        <v>4.25</v>
      </c>
      <c r="O297">
        <v>26</v>
      </c>
      <c r="P297">
        <v>2856</v>
      </c>
      <c r="Q297">
        <v>12147</v>
      </c>
      <c r="R297">
        <v>4.51</v>
      </c>
      <c r="S297">
        <v>2663</v>
      </c>
      <c r="T297">
        <v>11999</v>
      </c>
      <c r="U297">
        <v>5.45</v>
      </c>
      <c r="V297">
        <v>2818</v>
      </c>
      <c r="W297">
        <v>15361</v>
      </c>
      <c r="X297">
        <v>-999</v>
      </c>
      <c r="Y297">
        <v>-999</v>
      </c>
      <c r="Z297">
        <v>-999</v>
      </c>
      <c r="AA297">
        <v>-999</v>
      </c>
      <c r="AB297">
        <v>-999</v>
      </c>
      <c r="AC297">
        <v>-999</v>
      </c>
      <c r="AD297">
        <v>-999</v>
      </c>
      <c r="AE297">
        <v>-999</v>
      </c>
      <c r="AF297">
        <v>26.32</v>
      </c>
      <c r="AG297">
        <v>31.2</v>
      </c>
      <c r="AH297">
        <v>3</v>
      </c>
      <c r="AI297">
        <v>3</v>
      </c>
      <c r="AJ297">
        <v>6</v>
      </c>
      <c r="AK297">
        <v>3.36</v>
      </c>
      <c r="AL297">
        <v>2.6</v>
      </c>
      <c r="AM297">
        <v>7.21</v>
      </c>
      <c r="AN297">
        <v>4.74</v>
      </c>
      <c r="AO297">
        <v>-0.21</v>
      </c>
      <c r="AP297">
        <v>-0.56000000000000005</v>
      </c>
      <c r="AQ297">
        <v>3.09</v>
      </c>
    </row>
    <row r="298" spans="1:43" x14ac:dyDescent="0.25">
      <c r="A298">
        <v>-22</v>
      </c>
      <c r="B298">
        <v>416</v>
      </c>
      <c r="C298">
        <v>37.460999999999999</v>
      </c>
      <c r="D298">
        <f t="shared" si="16"/>
        <v>-107.80799999999999</v>
      </c>
      <c r="E298">
        <v>20180613</v>
      </c>
      <c r="G298">
        <v>32076</v>
      </c>
      <c r="H298">
        <v>13</v>
      </c>
      <c r="I298">
        <v>1.97</v>
      </c>
      <c r="J298">
        <v>4656</v>
      </c>
      <c r="K298">
        <v>2.92</v>
      </c>
      <c r="L298">
        <v>25.55</v>
      </c>
      <c r="M298">
        <v>11.6</v>
      </c>
      <c r="N298">
        <v>5.12</v>
      </c>
      <c r="O298">
        <v>31</v>
      </c>
      <c r="P298">
        <v>2808</v>
      </c>
      <c r="Q298">
        <v>14386</v>
      </c>
      <c r="R298">
        <v>5.35</v>
      </c>
      <c r="S298">
        <v>2683</v>
      </c>
      <c r="T298">
        <v>14359</v>
      </c>
      <c r="U298">
        <v>6.41</v>
      </c>
      <c r="V298">
        <v>2771</v>
      </c>
      <c r="W298">
        <v>17751</v>
      </c>
      <c r="X298">
        <v>-999</v>
      </c>
      <c r="Y298">
        <v>-999</v>
      </c>
      <c r="Z298">
        <v>-999</v>
      </c>
      <c r="AA298">
        <v>-999</v>
      </c>
      <c r="AB298">
        <v>-999</v>
      </c>
      <c r="AC298">
        <v>-999</v>
      </c>
      <c r="AD298">
        <v>-999</v>
      </c>
      <c r="AE298">
        <v>-999</v>
      </c>
      <c r="AF298">
        <v>27.04</v>
      </c>
      <c r="AG298">
        <v>30.22</v>
      </c>
      <c r="AH298">
        <v>3</v>
      </c>
      <c r="AI298">
        <v>3</v>
      </c>
      <c r="AJ298">
        <v>6</v>
      </c>
      <c r="AK298">
        <v>3.98</v>
      </c>
      <c r="AL298">
        <v>3.23</v>
      </c>
      <c r="AM298">
        <v>7</v>
      </c>
      <c r="AN298">
        <v>4.17</v>
      </c>
      <c r="AO298">
        <v>-1.77</v>
      </c>
      <c r="AP298">
        <v>2.5</v>
      </c>
      <c r="AQ298">
        <v>-24.87</v>
      </c>
    </row>
    <row r="299" spans="1:43" x14ac:dyDescent="0.25">
      <c r="A299">
        <v>-22</v>
      </c>
      <c r="B299">
        <v>416</v>
      </c>
      <c r="C299">
        <v>37.460999999999999</v>
      </c>
      <c r="D299">
        <f t="shared" si="16"/>
        <v>-107.80799999999999</v>
      </c>
      <c r="E299">
        <v>20180614</v>
      </c>
      <c r="G299">
        <v>32959</v>
      </c>
      <c r="H299">
        <v>14</v>
      </c>
      <c r="I299">
        <v>0.36</v>
      </c>
      <c r="J299">
        <v>883</v>
      </c>
      <c r="K299">
        <v>0.55000000000000004</v>
      </c>
      <c r="L299">
        <v>22.62</v>
      </c>
      <c r="M299">
        <v>24.1</v>
      </c>
      <c r="N299">
        <v>3.3</v>
      </c>
      <c r="O299">
        <v>18</v>
      </c>
      <c r="P299">
        <v>2038</v>
      </c>
      <c r="Q299">
        <v>6725</v>
      </c>
      <c r="R299">
        <v>3.77</v>
      </c>
      <c r="S299">
        <v>1910</v>
      </c>
      <c r="T299">
        <v>7197</v>
      </c>
      <c r="U299">
        <v>4.83</v>
      </c>
      <c r="V299">
        <v>2011</v>
      </c>
      <c r="W299">
        <v>9710</v>
      </c>
      <c r="X299">
        <v>-999</v>
      </c>
      <c r="Y299">
        <v>-999</v>
      </c>
      <c r="Z299">
        <v>-999</v>
      </c>
      <c r="AA299">
        <v>-999</v>
      </c>
      <c r="AB299">
        <v>-999</v>
      </c>
      <c r="AC299">
        <v>-999</v>
      </c>
      <c r="AD299">
        <v>-999</v>
      </c>
      <c r="AE299">
        <v>-999</v>
      </c>
      <c r="AF299">
        <v>24.95</v>
      </c>
      <c r="AG299">
        <v>17.71</v>
      </c>
      <c r="AH299">
        <v>3</v>
      </c>
      <c r="AI299">
        <v>2</v>
      </c>
      <c r="AJ299">
        <v>5</v>
      </c>
      <c r="AK299">
        <v>2.92</v>
      </c>
      <c r="AL299">
        <v>1.54</v>
      </c>
      <c r="AM299">
        <v>5.23</v>
      </c>
      <c r="AN299">
        <v>6.67</v>
      </c>
      <c r="AO299">
        <v>0.98</v>
      </c>
      <c r="AP299">
        <v>-2.9</v>
      </c>
      <c r="AQ299">
        <v>21.7</v>
      </c>
    </row>
    <row r="300" spans="1:43" x14ac:dyDescent="0.25">
      <c r="A300">
        <v>-22</v>
      </c>
      <c r="B300">
        <v>416</v>
      </c>
      <c r="C300">
        <v>37.460999999999999</v>
      </c>
      <c r="D300">
        <f t="shared" si="16"/>
        <v>-107.80799999999999</v>
      </c>
      <c r="E300">
        <v>20180615</v>
      </c>
      <c r="G300">
        <v>34161</v>
      </c>
      <c r="H300">
        <v>15</v>
      </c>
      <c r="I300">
        <v>0.48</v>
      </c>
      <c r="J300">
        <v>1202</v>
      </c>
      <c r="K300">
        <v>0.76</v>
      </c>
      <c r="L300">
        <v>23.71</v>
      </c>
      <c r="M300">
        <v>20.3</v>
      </c>
      <c r="N300">
        <v>4.53</v>
      </c>
      <c r="O300">
        <v>25</v>
      </c>
      <c r="P300">
        <v>2278</v>
      </c>
      <c r="Q300">
        <v>10309</v>
      </c>
      <c r="R300">
        <v>5.42</v>
      </c>
      <c r="S300">
        <v>2053</v>
      </c>
      <c r="T300">
        <v>11119</v>
      </c>
      <c r="U300">
        <v>6.37</v>
      </c>
      <c r="V300">
        <v>2248</v>
      </c>
      <c r="W300">
        <v>14318</v>
      </c>
      <c r="X300">
        <v>-999</v>
      </c>
      <c r="Y300">
        <v>-999</v>
      </c>
      <c r="Z300">
        <v>-999</v>
      </c>
      <c r="AA300">
        <v>-999</v>
      </c>
      <c r="AB300">
        <v>-999</v>
      </c>
      <c r="AC300">
        <v>-999</v>
      </c>
      <c r="AD300">
        <v>-999</v>
      </c>
      <c r="AE300">
        <v>-999</v>
      </c>
      <c r="AF300">
        <v>25.62</v>
      </c>
      <c r="AG300">
        <v>19.25</v>
      </c>
      <c r="AH300">
        <v>3</v>
      </c>
      <c r="AI300">
        <v>2</v>
      </c>
      <c r="AJ300">
        <v>5</v>
      </c>
      <c r="AK300">
        <v>3</v>
      </c>
      <c r="AL300">
        <v>3.39</v>
      </c>
      <c r="AM300">
        <v>6.21</v>
      </c>
      <c r="AN300">
        <v>3.77</v>
      </c>
      <c r="AO300">
        <v>0.26</v>
      </c>
      <c r="AP300">
        <v>2.1800000000000002</v>
      </c>
      <c r="AQ300">
        <v>-12.55</v>
      </c>
    </row>
    <row r="301" spans="1:43" x14ac:dyDescent="0.25">
      <c r="A301">
        <v>-22</v>
      </c>
      <c r="B301">
        <v>416</v>
      </c>
      <c r="C301">
        <v>37.460999999999999</v>
      </c>
      <c r="D301">
        <f t="shared" si="16"/>
        <v>-107.80799999999999</v>
      </c>
      <c r="E301">
        <v>20180616</v>
      </c>
      <c r="H301">
        <v>16</v>
      </c>
      <c r="L301">
        <v>13.14</v>
      </c>
      <c r="M301">
        <v>84.5</v>
      </c>
      <c r="N301">
        <v>2.31</v>
      </c>
      <c r="O301">
        <v>4</v>
      </c>
      <c r="P301">
        <v>233</v>
      </c>
      <c r="Q301">
        <v>536</v>
      </c>
      <c r="R301">
        <v>1.7</v>
      </c>
      <c r="S301">
        <v>275</v>
      </c>
      <c r="T301">
        <v>467</v>
      </c>
      <c r="U301">
        <v>2.31</v>
      </c>
      <c r="V301">
        <v>325</v>
      </c>
      <c r="W301">
        <v>749</v>
      </c>
      <c r="X301">
        <v>-999</v>
      </c>
      <c r="Y301">
        <v>-999</v>
      </c>
      <c r="Z301">
        <v>-999</v>
      </c>
      <c r="AA301">
        <v>-999</v>
      </c>
      <c r="AB301">
        <v>-999</v>
      </c>
      <c r="AC301">
        <v>-999</v>
      </c>
      <c r="AD301">
        <v>-999</v>
      </c>
      <c r="AE301">
        <v>-999</v>
      </c>
      <c r="AF301">
        <v>15.51</v>
      </c>
      <c r="AG301">
        <v>0.76</v>
      </c>
      <c r="AH301">
        <v>1</v>
      </c>
      <c r="AI301">
        <v>1</v>
      </c>
      <c r="AJ301">
        <v>2</v>
      </c>
      <c r="AK301">
        <v>-0.34</v>
      </c>
      <c r="AL301">
        <v>2.2799999999999998</v>
      </c>
      <c r="AM301">
        <v>6.48</v>
      </c>
      <c r="AN301">
        <v>5.95</v>
      </c>
      <c r="AO301">
        <v>-8.4700000000000006</v>
      </c>
      <c r="AP301">
        <v>-3.1</v>
      </c>
      <c r="AQ301">
        <v>-30.27</v>
      </c>
    </row>
    <row r="302" spans="1:43" x14ac:dyDescent="0.25">
      <c r="A302">
        <v>-22</v>
      </c>
      <c r="B302">
        <v>416</v>
      </c>
      <c r="C302">
        <v>37.460999999999999</v>
      </c>
      <c r="D302">
        <f t="shared" si="16"/>
        <v>-107.80799999999999</v>
      </c>
      <c r="E302">
        <v>20180617</v>
      </c>
      <c r="H302">
        <v>17</v>
      </c>
      <c r="L302">
        <v>12.44</v>
      </c>
      <c r="M302">
        <v>87.5</v>
      </c>
      <c r="N302">
        <v>2.48</v>
      </c>
      <c r="O302">
        <v>4</v>
      </c>
      <c r="P302">
        <v>179</v>
      </c>
      <c r="Q302">
        <v>446</v>
      </c>
      <c r="R302">
        <v>2.62</v>
      </c>
      <c r="S302">
        <v>245</v>
      </c>
      <c r="T302">
        <v>641</v>
      </c>
      <c r="U302">
        <v>3.25</v>
      </c>
      <c r="V302">
        <v>299</v>
      </c>
      <c r="W302">
        <v>969</v>
      </c>
      <c r="X302">
        <v>-999</v>
      </c>
      <c r="Y302">
        <v>-999</v>
      </c>
      <c r="Z302">
        <v>-999</v>
      </c>
      <c r="AA302">
        <v>-999</v>
      </c>
      <c r="AB302">
        <v>-999</v>
      </c>
      <c r="AC302">
        <v>-999</v>
      </c>
      <c r="AD302">
        <v>-999</v>
      </c>
      <c r="AE302">
        <v>-999</v>
      </c>
      <c r="AF302">
        <v>15.61</v>
      </c>
      <c r="AG302">
        <v>0.15</v>
      </c>
      <c r="AH302">
        <v>1</v>
      </c>
      <c r="AI302">
        <v>1</v>
      </c>
      <c r="AJ302">
        <v>2</v>
      </c>
      <c r="AK302">
        <v>0</v>
      </c>
      <c r="AL302">
        <v>2.48</v>
      </c>
      <c r="AM302">
        <v>-1.99</v>
      </c>
      <c r="AN302">
        <v>2.84</v>
      </c>
      <c r="AO302">
        <v>1.95</v>
      </c>
      <c r="AP302">
        <v>2.4900000000000002</v>
      </c>
      <c r="AQ302">
        <v>10.53</v>
      </c>
    </row>
    <row r="303" spans="1:43" x14ac:dyDescent="0.25">
      <c r="A303">
        <v>-22</v>
      </c>
      <c r="B303">
        <v>416</v>
      </c>
      <c r="C303">
        <v>37.460999999999999</v>
      </c>
      <c r="D303">
        <f t="shared" si="16"/>
        <v>-107.80799999999999</v>
      </c>
      <c r="E303">
        <v>20180618</v>
      </c>
      <c r="G303">
        <v>34162</v>
      </c>
      <c r="H303">
        <v>18</v>
      </c>
      <c r="L303">
        <v>19.63</v>
      </c>
      <c r="M303">
        <v>33.299999999999997</v>
      </c>
      <c r="N303">
        <v>4.24</v>
      </c>
      <c r="O303">
        <v>20</v>
      </c>
      <c r="P303">
        <v>1498</v>
      </c>
      <c r="Q303">
        <v>6358</v>
      </c>
      <c r="R303">
        <v>4.2</v>
      </c>
      <c r="S303">
        <v>1330</v>
      </c>
      <c r="T303">
        <v>5592</v>
      </c>
      <c r="U303">
        <v>5.0599999999999996</v>
      </c>
      <c r="V303">
        <v>1478</v>
      </c>
      <c r="W303">
        <v>7484</v>
      </c>
      <c r="X303">
        <v>-999</v>
      </c>
      <c r="Y303">
        <v>-999</v>
      </c>
      <c r="Z303">
        <v>-999</v>
      </c>
      <c r="AA303">
        <v>-999</v>
      </c>
      <c r="AB303">
        <v>-999</v>
      </c>
      <c r="AC303">
        <v>-999</v>
      </c>
      <c r="AD303">
        <v>-999</v>
      </c>
      <c r="AE303">
        <v>-999</v>
      </c>
      <c r="AF303">
        <v>19.98</v>
      </c>
      <c r="AG303">
        <v>11.98</v>
      </c>
      <c r="AH303">
        <v>2</v>
      </c>
      <c r="AI303">
        <v>1</v>
      </c>
      <c r="AJ303">
        <v>3</v>
      </c>
      <c r="AK303">
        <v>1.65</v>
      </c>
      <c r="AL303">
        <v>3.91</v>
      </c>
      <c r="AM303">
        <v>-0.04</v>
      </c>
      <c r="AN303">
        <v>5.34</v>
      </c>
      <c r="AO303">
        <v>3.31</v>
      </c>
      <c r="AP303">
        <v>2.46</v>
      </c>
      <c r="AQ303">
        <v>17.75</v>
      </c>
    </row>
    <row r="304" spans="1:43" x14ac:dyDescent="0.25">
      <c r="A304">
        <v>-22</v>
      </c>
      <c r="B304">
        <v>416</v>
      </c>
      <c r="C304">
        <v>37.460999999999999</v>
      </c>
      <c r="D304">
        <f t="shared" si="16"/>
        <v>-107.80799999999999</v>
      </c>
      <c r="E304">
        <v>20180619</v>
      </c>
      <c r="G304">
        <v>34177</v>
      </c>
      <c r="H304">
        <v>19</v>
      </c>
      <c r="I304">
        <v>0.01</v>
      </c>
      <c r="J304">
        <v>15</v>
      </c>
      <c r="K304">
        <v>0.01</v>
      </c>
      <c r="L304">
        <v>22.56</v>
      </c>
      <c r="M304">
        <v>15.8</v>
      </c>
      <c r="N304">
        <v>4.55</v>
      </c>
      <c r="O304">
        <v>26</v>
      </c>
      <c r="P304">
        <v>2253</v>
      </c>
      <c r="Q304">
        <v>10255</v>
      </c>
      <c r="R304">
        <v>5.48</v>
      </c>
      <c r="S304">
        <v>2029</v>
      </c>
      <c r="T304">
        <v>11120</v>
      </c>
      <c r="U304">
        <v>6.57</v>
      </c>
      <c r="V304">
        <v>2224</v>
      </c>
      <c r="W304">
        <v>14608</v>
      </c>
      <c r="X304">
        <v>-999</v>
      </c>
      <c r="Y304">
        <v>-999</v>
      </c>
      <c r="Z304">
        <v>-999</v>
      </c>
      <c r="AA304">
        <v>-999</v>
      </c>
      <c r="AB304">
        <v>-999</v>
      </c>
      <c r="AC304">
        <v>-999</v>
      </c>
      <c r="AD304">
        <v>-999</v>
      </c>
      <c r="AE304">
        <v>-999</v>
      </c>
      <c r="AF304">
        <v>23.21</v>
      </c>
      <c r="AG304">
        <v>24.27</v>
      </c>
      <c r="AH304">
        <v>3</v>
      </c>
      <c r="AI304">
        <v>3</v>
      </c>
      <c r="AJ304">
        <v>6</v>
      </c>
      <c r="AK304">
        <v>4.37</v>
      </c>
      <c r="AL304">
        <v>1.26</v>
      </c>
      <c r="AM304">
        <v>3.27</v>
      </c>
      <c r="AN304">
        <v>7.8</v>
      </c>
      <c r="AO304">
        <v>3.7</v>
      </c>
      <c r="AP304">
        <v>-3.4</v>
      </c>
      <c r="AQ304">
        <v>39.99</v>
      </c>
    </row>
    <row r="305" spans="1:43" x14ac:dyDescent="0.25">
      <c r="A305">
        <v>-22</v>
      </c>
      <c r="B305">
        <v>416</v>
      </c>
      <c r="C305">
        <v>37.460999999999999</v>
      </c>
      <c r="D305">
        <f t="shared" si="16"/>
        <v>-107.80799999999999</v>
      </c>
      <c r="E305">
        <v>20180620</v>
      </c>
      <c r="G305">
        <v>34184</v>
      </c>
      <c r="H305">
        <v>20</v>
      </c>
      <c r="I305">
        <v>0</v>
      </c>
      <c r="J305">
        <v>7</v>
      </c>
      <c r="K305">
        <v>0</v>
      </c>
      <c r="L305">
        <v>25.11</v>
      </c>
      <c r="M305">
        <v>16.600000000000001</v>
      </c>
      <c r="N305">
        <v>5.09</v>
      </c>
      <c r="O305">
        <v>29</v>
      </c>
      <c r="P305">
        <v>2587</v>
      </c>
      <c r="Q305">
        <v>13173</v>
      </c>
      <c r="R305">
        <v>5.66</v>
      </c>
      <c r="S305">
        <v>2355</v>
      </c>
      <c r="T305">
        <v>13332</v>
      </c>
      <c r="U305">
        <v>6.86</v>
      </c>
      <c r="V305">
        <v>2553</v>
      </c>
      <c r="W305">
        <v>17516</v>
      </c>
      <c r="X305">
        <v>-999</v>
      </c>
      <c r="Y305">
        <v>-999</v>
      </c>
      <c r="Z305">
        <v>-999</v>
      </c>
      <c r="AA305">
        <v>-999</v>
      </c>
      <c r="AB305">
        <v>-999</v>
      </c>
      <c r="AC305">
        <v>-999</v>
      </c>
      <c r="AD305">
        <v>-999</v>
      </c>
      <c r="AE305">
        <v>-999</v>
      </c>
      <c r="AF305">
        <v>22.95</v>
      </c>
      <c r="AG305">
        <v>23.37</v>
      </c>
      <c r="AH305">
        <v>3</v>
      </c>
      <c r="AI305">
        <v>3</v>
      </c>
      <c r="AJ305">
        <v>6</v>
      </c>
      <c r="AK305">
        <v>4.09</v>
      </c>
      <c r="AL305">
        <v>-3.03</v>
      </c>
      <c r="AM305">
        <v>6.97</v>
      </c>
      <c r="AN305">
        <v>4.4000000000000004</v>
      </c>
      <c r="AO305">
        <v>0.23</v>
      </c>
      <c r="AP305">
        <v>-7.24</v>
      </c>
      <c r="AQ305">
        <v>51.51</v>
      </c>
    </row>
    <row r="306" spans="1:43" x14ac:dyDescent="0.25">
      <c r="A306">
        <v>-22</v>
      </c>
      <c r="B306">
        <v>416</v>
      </c>
      <c r="C306">
        <v>37.460999999999999</v>
      </c>
      <c r="D306">
        <f t="shared" si="16"/>
        <v>-107.80799999999999</v>
      </c>
      <c r="E306">
        <v>20180621</v>
      </c>
      <c r="G306">
        <v>34224</v>
      </c>
      <c r="H306">
        <v>21</v>
      </c>
      <c r="I306">
        <v>0.02</v>
      </c>
      <c r="J306">
        <v>40</v>
      </c>
      <c r="K306">
        <v>0.03</v>
      </c>
      <c r="L306">
        <v>25.99</v>
      </c>
      <c r="M306">
        <v>13.5</v>
      </c>
      <c r="N306">
        <v>4.34</v>
      </c>
      <c r="O306">
        <v>26</v>
      </c>
      <c r="P306">
        <v>2820</v>
      </c>
      <c r="Q306">
        <v>12246</v>
      </c>
      <c r="R306">
        <v>5.77</v>
      </c>
      <c r="S306">
        <v>2576</v>
      </c>
      <c r="T306">
        <v>14875</v>
      </c>
      <c r="U306">
        <v>7.32</v>
      </c>
      <c r="V306">
        <v>2783</v>
      </c>
      <c r="W306">
        <v>20379</v>
      </c>
      <c r="X306">
        <v>-999</v>
      </c>
      <c r="Y306">
        <v>-999</v>
      </c>
      <c r="Z306">
        <v>-999</v>
      </c>
      <c r="AA306">
        <v>-999</v>
      </c>
      <c r="AB306">
        <v>-999</v>
      </c>
      <c r="AC306">
        <v>-999</v>
      </c>
      <c r="AD306">
        <v>-999</v>
      </c>
      <c r="AE306">
        <v>-999</v>
      </c>
      <c r="AF306">
        <v>26.14</v>
      </c>
      <c r="AG306">
        <v>25.67</v>
      </c>
      <c r="AH306">
        <v>3</v>
      </c>
      <c r="AI306">
        <v>3</v>
      </c>
      <c r="AJ306">
        <v>6</v>
      </c>
      <c r="AK306">
        <v>4.21</v>
      </c>
      <c r="AL306">
        <v>1.06</v>
      </c>
      <c r="AM306">
        <v>7.2</v>
      </c>
      <c r="AN306">
        <v>-2.85</v>
      </c>
      <c r="AO306">
        <v>-0.17</v>
      </c>
      <c r="AP306">
        <v>7.1</v>
      </c>
      <c r="AQ306">
        <v>-50.63</v>
      </c>
    </row>
    <row r="307" spans="1:43" x14ac:dyDescent="0.25">
      <c r="A307">
        <v>-22</v>
      </c>
      <c r="B307">
        <v>416</v>
      </c>
      <c r="C307">
        <v>37.460999999999999</v>
      </c>
      <c r="D307">
        <f t="shared" si="16"/>
        <v>-107.80799999999999</v>
      </c>
      <c r="E307">
        <v>20180622</v>
      </c>
      <c r="G307">
        <v>34278</v>
      </c>
      <c r="H307">
        <v>22</v>
      </c>
      <c r="I307">
        <v>0.02</v>
      </c>
      <c r="J307">
        <v>54</v>
      </c>
      <c r="K307">
        <v>0.03</v>
      </c>
      <c r="L307">
        <v>24.39</v>
      </c>
      <c r="M307">
        <v>11.5</v>
      </c>
      <c r="N307">
        <v>5.79</v>
      </c>
      <c r="O307">
        <v>35</v>
      </c>
      <c r="P307">
        <v>2634</v>
      </c>
      <c r="Q307">
        <v>15246</v>
      </c>
      <c r="R307">
        <v>7.26</v>
      </c>
      <c r="S307">
        <v>2401</v>
      </c>
      <c r="T307">
        <v>17432</v>
      </c>
      <c r="U307">
        <v>8.7200000000000006</v>
      </c>
      <c r="V307">
        <v>2599</v>
      </c>
      <c r="W307">
        <v>22659</v>
      </c>
      <c r="X307">
        <v>-999</v>
      </c>
      <c r="Y307">
        <v>-999</v>
      </c>
      <c r="Z307">
        <v>-999</v>
      </c>
      <c r="AA307">
        <v>-999</v>
      </c>
      <c r="AB307">
        <v>-999</v>
      </c>
      <c r="AC307">
        <v>-999</v>
      </c>
      <c r="AD307">
        <v>-999</v>
      </c>
      <c r="AE307">
        <v>-999</v>
      </c>
      <c r="AF307">
        <v>27.09</v>
      </c>
      <c r="AG307">
        <v>27.96</v>
      </c>
      <c r="AH307">
        <v>3</v>
      </c>
      <c r="AI307">
        <v>3</v>
      </c>
      <c r="AJ307">
        <v>6</v>
      </c>
      <c r="AK307">
        <v>5.42</v>
      </c>
      <c r="AL307">
        <v>-2.0299999999999998</v>
      </c>
      <c r="AM307">
        <v>7.03</v>
      </c>
      <c r="AN307">
        <v>4.25</v>
      </c>
      <c r="AO307">
        <v>2.71</v>
      </c>
      <c r="AP307">
        <v>-4.53</v>
      </c>
      <c r="AQ307">
        <v>43.35</v>
      </c>
    </row>
    <row r="308" spans="1:43" x14ac:dyDescent="0.25">
      <c r="A308">
        <v>-22</v>
      </c>
      <c r="B308">
        <v>416</v>
      </c>
      <c r="C308">
        <v>37.460999999999999</v>
      </c>
      <c r="D308">
        <f t="shared" si="16"/>
        <v>-107.80799999999999</v>
      </c>
      <c r="E308">
        <v>20180623</v>
      </c>
      <c r="G308">
        <v>34378</v>
      </c>
      <c r="H308">
        <v>23</v>
      </c>
      <c r="I308">
        <v>0.04</v>
      </c>
      <c r="J308">
        <v>100</v>
      </c>
      <c r="K308">
        <v>0.06</v>
      </c>
      <c r="L308">
        <v>24.18</v>
      </c>
      <c r="M308">
        <v>12.6</v>
      </c>
      <c r="N308">
        <v>5.49</v>
      </c>
      <c r="O308">
        <v>33</v>
      </c>
      <c r="P308">
        <v>2568</v>
      </c>
      <c r="Q308">
        <v>14107</v>
      </c>
      <c r="R308">
        <v>6.76</v>
      </c>
      <c r="S308">
        <v>2308</v>
      </c>
      <c r="T308">
        <v>15596</v>
      </c>
      <c r="U308">
        <v>7.98</v>
      </c>
      <c r="V308">
        <v>2535</v>
      </c>
      <c r="W308">
        <v>20225</v>
      </c>
      <c r="X308">
        <v>-999</v>
      </c>
      <c r="Y308">
        <v>-999</v>
      </c>
      <c r="Z308">
        <v>-999</v>
      </c>
      <c r="AA308">
        <v>-999</v>
      </c>
      <c r="AB308">
        <v>-999</v>
      </c>
      <c r="AC308">
        <v>-999</v>
      </c>
      <c r="AD308">
        <v>-999</v>
      </c>
      <c r="AE308">
        <v>-999</v>
      </c>
      <c r="AF308">
        <v>26.78</v>
      </c>
      <c r="AG308">
        <v>26.96</v>
      </c>
      <c r="AH308">
        <v>3</v>
      </c>
      <c r="AI308">
        <v>3</v>
      </c>
      <c r="AJ308">
        <v>6</v>
      </c>
      <c r="AK308">
        <v>5.47</v>
      </c>
      <c r="AL308">
        <v>0.53</v>
      </c>
      <c r="AM308">
        <v>9.74</v>
      </c>
      <c r="AN308">
        <v>-0.28000000000000003</v>
      </c>
      <c r="AO308">
        <v>0.39</v>
      </c>
      <c r="AP308">
        <v>0.2</v>
      </c>
      <c r="AQ308">
        <v>-2.0499999999999998</v>
      </c>
    </row>
    <row r="309" spans="1:43" x14ac:dyDescent="0.25">
      <c r="A309">
        <v>-22</v>
      </c>
      <c r="B309">
        <v>416</v>
      </c>
      <c r="C309">
        <v>37.460999999999999</v>
      </c>
      <c r="D309">
        <f t="shared" si="16"/>
        <v>-107.80799999999999</v>
      </c>
      <c r="E309">
        <v>20180624</v>
      </c>
      <c r="G309">
        <v>34962</v>
      </c>
      <c r="H309">
        <v>24</v>
      </c>
      <c r="I309">
        <v>0.23</v>
      </c>
      <c r="J309">
        <v>584</v>
      </c>
      <c r="K309">
        <v>0.37</v>
      </c>
      <c r="L309">
        <v>22.48</v>
      </c>
      <c r="M309">
        <v>13</v>
      </c>
      <c r="N309">
        <v>5.8</v>
      </c>
      <c r="O309">
        <v>35</v>
      </c>
      <c r="P309">
        <v>2316</v>
      </c>
      <c r="Q309">
        <v>13439</v>
      </c>
      <c r="R309">
        <v>7.23</v>
      </c>
      <c r="S309">
        <v>2083</v>
      </c>
      <c r="T309">
        <v>15053</v>
      </c>
      <c r="U309">
        <v>8.83</v>
      </c>
      <c r="V309">
        <v>2285</v>
      </c>
      <c r="W309">
        <v>20171</v>
      </c>
      <c r="X309">
        <v>-999</v>
      </c>
      <c r="Y309">
        <v>-999</v>
      </c>
      <c r="Z309">
        <v>-999</v>
      </c>
      <c r="AA309">
        <v>-999</v>
      </c>
      <c r="AB309">
        <v>-999</v>
      </c>
      <c r="AC309">
        <v>-999</v>
      </c>
      <c r="AD309">
        <v>-999</v>
      </c>
      <c r="AE309">
        <v>-999</v>
      </c>
      <c r="AF309">
        <v>25.15</v>
      </c>
      <c r="AG309">
        <v>25.04</v>
      </c>
      <c r="AH309">
        <v>3</v>
      </c>
      <c r="AI309">
        <v>3</v>
      </c>
      <c r="AJ309">
        <v>6</v>
      </c>
      <c r="AK309">
        <v>5.16</v>
      </c>
      <c r="AL309">
        <v>-2.66</v>
      </c>
      <c r="AM309">
        <v>10.130000000000001</v>
      </c>
      <c r="AN309">
        <v>-0.08</v>
      </c>
      <c r="AO309">
        <v>1.24</v>
      </c>
      <c r="AP309">
        <v>-2.9</v>
      </c>
      <c r="AQ309">
        <v>29.27</v>
      </c>
    </row>
    <row r="310" spans="1:43" x14ac:dyDescent="0.25">
      <c r="A310">
        <v>-22</v>
      </c>
      <c r="B310">
        <v>416</v>
      </c>
      <c r="C310">
        <v>37.460999999999999</v>
      </c>
      <c r="D310">
        <f t="shared" si="16"/>
        <v>-107.80799999999999</v>
      </c>
      <c r="E310">
        <v>20180625</v>
      </c>
      <c r="H310">
        <v>25</v>
      </c>
      <c r="L310">
        <v>25.37</v>
      </c>
      <c r="M310">
        <v>12.9</v>
      </c>
      <c r="N310">
        <v>4.6100000000000003</v>
      </c>
      <c r="O310">
        <v>28</v>
      </c>
      <c r="P310">
        <v>2739</v>
      </c>
      <c r="Q310">
        <v>12637</v>
      </c>
      <c r="R310">
        <v>5.38</v>
      </c>
      <c r="S310">
        <v>2490</v>
      </c>
      <c r="T310">
        <v>13393</v>
      </c>
      <c r="U310">
        <v>6.54</v>
      </c>
      <c r="V310">
        <v>2703</v>
      </c>
      <c r="W310">
        <v>17678</v>
      </c>
      <c r="X310">
        <v>-999</v>
      </c>
      <c r="Y310">
        <v>-999</v>
      </c>
      <c r="Z310">
        <v>-999</v>
      </c>
      <c r="AA310">
        <v>-999</v>
      </c>
      <c r="AB310">
        <v>-999</v>
      </c>
      <c r="AC310">
        <v>-999</v>
      </c>
      <c r="AD310">
        <v>-999</v>
      </c>
      <c r="AE310">
        <v>-999</v>
      </c>
      <c r="AF310">
        <v>25.71</v>
      </c>
      <c r="AG310">
        <v>26.33</v>
      </c>
      <c r="AH310">
        <v>3</v>
      </c>
      <c r="AI310">
        <v>3</v>
      </c>
      <c r="AJ310">
        <v>6</v>
      </c>
      <c r="AK310">
        <v>4.4400000000000004</v>
      </c>
      <c r="AL310">
        <v>-1.24</v>
      </c>
      <c r="AM310">
        <v>11.37</v>
      </c>
      <c r="AN310">
        <v>-2.98</v>
      </c>
      <c r="AO310">
        <v>-3.34</v>
      </c>
      <c r="AP310">
        <v>3.45</v>
      </c>
      <c r="AQ310">
        <v>-29.29</v>
      </c>
    </row>
    <row r="311" spans="1:43" x14ac:dyDescent="0.25">
      <c r="A311">
        <v>-22</v>
      </c>
      <c r="B311">
        <v>416</v>
      </c>
      <c r="C311">
        <v>37.460999999999999</v>
      </c>
      <c r="D311">
        <f t="shared" si="16"/>
        <v>-107.80799999999999</v>
      </c>
      <c r="E311">
        <v>20180626</v>
      </c>
      <c r="H311">
        <v>26</v>
      </c>
      <c r="L311">
        <v>27.37</v>
      </c>
      <c r="M311">
        <v>10.7</v>
      </c>
      <c r="N311">
        <v>4.2300000000000004</v>
      </c>
      <c r="O311">
        <v>26</v>
      </c>
      <c r="P311">
        <v>3145</v>
      </c>
      <c r="Q311">
        <v>13305</v>
      </c>
      <c r="R311">
        <v>4.79</v>
      </c>
      <c r="S311">
        <v>2883</v>
      </c>
      <c r="T311">
        <v>13799</v>
      </c>
      <c r="U311">
        <v>5.79</v>
      </c>
      <c r="V311">
        <v>3104</v>
      </c>
      <c r="W311">
        <v>17986</v>
      </c>
      <c r="X311">
        <v>-999</v>
      </c>
      <c r="Y311">
        <v>-999</v>
      </c>
      <c r="Z311">
        <v>-999</v>
      </c>
      <c r="AA311">
        <v>-999</v>
      </c>
      <c r="AB311">
        <v>-999</v>
      </c>
      <c r="AC311">
        <v>-999</v>
      </c>
      <c r="AD311">
        <v>-999</v>
      </c>
      <c r="AE311">
        <v>-999</v>
      </c>
      <c r="AF311">
        <v>27.14</v>
      </c>
      <c r="AG311">
        <v>29.39</v>
      </c>
      <c r="AH311">
        <v>3</v>
      </c>
      <c r="AI311">
        <v>3</v>
      </c>
      <c r="AJ311">
        <v>6</v>
      </c>
      <c r="AK311">
        <v>3.25</v>
      </c>
      <c r="AL311">
        <v>2.7</v>
      </c>
      <c r="AM311">
        <v>8.0399999999999991</v>
      </c>
      <c r="AN311">
        <v>0.47</v>
      </c>
      <c r="AO311">
        <v>-2.4700000000000002</v>
      </c>
      <c r="AP311">
        <v>4.33</v>
      </c>
      <c r="AQ311">
        <v>-35.92</v>
      </c>
    </row>
    <row r="312" spans="1:43" x14ac:dyDescent="0.25">
      <c r="A312">
        <v>-22</v>
      </c>
      <c r="B312">
        <v>416</v>
      </c>
      <c r="C312">
        <v>37.460999999999999</v>
      </c>
      <c r="D312">
        <f t="shared" si="16"/>
        <v>-107.80799999999999</v>
      </c>
      <c r="E312">
        <v>20180627</v>
      </c>
      <c r="G312">
        <v>37488</v>
      </c>
      <c r="H312">
        <v>27</v>
      </c>
      <c r="L312">
        <v>27.57</v>
      </c>
      <c r="M312">
        <v>9.6999999999999993</v>
      </c>
      <c r="N312">
        <v>4.17</v>
      </c>
      <c r="O312">
        <v>27</v>
      </c>
      <c r="P312">
        <v>3216</v>
      </c>
      <c r="Q312">
        <v>13419</v>
      </c>
      <c r="R312">
        <v>4.93</v>
      </c>
      <c r="S312">
        <v>2933</v>
      </c>
      <c r="T312">
        <v>14458</v>
      </c>
      <c r="U312">
        <v>6.17</v>
      </c>
      <c r="V312">
        <v>3174</v>
      </c>
      <c r="W312">
        <v>19579</v>
      </c>
      <c r="X312">
        <v>-999</v>
      </c>
      <c r="Y312">
        <v>-999</v>
      </c>
      <c r="Z312">
        <v>-999</v>
      </c>
      <c r="AA312">
        <v>-999</v>
      </c>
      <c r="AB312">
        <v>-999</v>
      </c>
      <c r="AC312">
        <v>-999</v>
      </c>
      <c r="AD312">
        <v>-999</v>
      </c>
      <c r="AE312">
        <v>-999</v>
      </c>
      <c r="AF312">
        <v>26.96</v>
      </c>
      <c r="AG312">
        <v>30.46</v>
      </c>
      <c r="AH312">
        <v>3</v>
      </c>
      <c r="AI312">
        <v>3</v>
      </c>
      <c r="AJ312">
        <v>6</v>
      </c>
      <c r="AK312">
        <v>3.66</v>
      </c>
      <c r="AL312">
        <v>2</v>
      </c>
      <c r="AM312">
        <v>5.57</v>
      </c>
      <c r="AN312">
        <v>4.8</v>
      </c>
      <c r="AO312">
        <v>0.84</v>
      </c>
      <c r="AP312">
        <v>-0.03</v>
      </c>
      <c r="AQ312">
        <v>4.22</v>
      </c>
    </row>
    <row r="313" spans="1:43" x14ac:dyDescent="0.25">
      <c r="A313">
        <v>-22</v>
      </c>
      <c r="B313">
        <v>416</v>
      </c>
      <c r="C313">
        <v>37.460999999999999</v>
      </c>
      <c r="D313">
        <f t="shared" si="16"/>
        <v>-107.80799999999999</v>
      </c>
      <c r="E313">
        <v>20180628</v>
      </c>
      <c r="G313">
        <v>41617</v>
      </c>
      <c r="H313">
        <v>28</v>
      </c>
      <c r="I313">
        <v>1.52</v>
      </c>
      <c r="J313">
        <v>4129</v>
      </c>
      <c r="K313">
        <v>2.59</v>
      </c>
      <c r="L313">
        <v>25.96</v>
      </c>
      <c r="M313">
        <v>10.8</v>
      </c>
      <c r="N313">
        <v>5.57</v>
      </c>
      <c r="O313">
        <v>34</v>
      </c>
      <c r="P313">
        <v>2901</v>
      </c>
      <c r="Q313">
        <v>16166</v>
      </c>
      <c r="R313">
        <v>6.66</v>
      </c>
      <c r="S313">
        <v>2650</v>
      </c>
      <c r="T313">
        <v>17656</v>
      </c>
      <c r="U313">
        <v>8.1999999999999993</v>
      </c>
      <c r="V313">
        <v>2863</v>
      </c>
      <c r="W313">
        <v>23487</v>
      </c>
      <c r="X313">
        <v>-999</v>
      </c>
      <c r="Y313">
        <v>-999</v>
      </c>
      <c r="Z313">
        <v>-999</v>
      </c>
      <c r="AA313">
        <v>-999</v>
      </c>
      <c r="AB313">
        <v>-999</v>
      </c>
      <c r="AC313">
        <v>-999</v>
      </c>
      <c r="AD313">
        <v>-999</v>
      </c>
      <c r="AE313">
        <v>-999</v>
      </c>
      <c r="AF313">
        <v>26.47</v>
      </c>
      <c r="AG313">
        <v>28.24</v>
      </c>
      <c r="AH313">
        <v>3</v>
      </c>
      <c r="AI313">
        <v>3</v>
      </c>
      <c r="AJ313">
        <v>6</v>
      </c>
      <c r="AK313">
        <v>3.36</v>
      </c>
      <c r="AL313">
        <v>4.4400000000000004</v>
      </c>
      <c r="AM313">
        <v>6.41</v>
      </c>
      <c r="AN313">
        <v>4.76</v>
      </c>
      <c r="AO313">
        <v>-1.26</v>
      </c>
      <c r="AP313">
        <v>3.17</v>
      </c>
      <c r="AQ313">
        <v>-26.28</v>
      </c>
    </row>
    <row r="314" spans="1:43" x14ac:dyDescent="0.25">
      <c r="A314">
        <v>-22</v>
      </c>
      <c r="B314">
        <v>416</v>
      </c>
      <c r="C314">
        <v>37.460999999999999</v>
      </c>
      <c r="D314">
        <f t="shared" si="16"/>
        <v>-107.80799999999999</v>
      </c>
      <c r="E314">
        <v>20180629</v>
      </c>
      <c r="G314">
        <v>47031</v>
      </c>
      <c r="H314">
        <v>29</v>
      </c>
      <c r="I314">
        <v>1.88</v>
      </c>
      <c r="J314">
        <v>5414</v>
      </c>
      <c r="K314">
        <v>3.4</v>
      </c>
      <c r="L314">
        <v>23.78</v>
      </c>
      <c r="M314">
        <v>14.9</v>
      </c>
      <c r="N314">
        <v>5.14</v>
      </c>
      <c r="O314">
        <v>30</v>
      </c>
      <c r="P314">
        <v>2443</v>
      </c>
      <c r="Q314">
        <v>12562</v>
      </c>
      <c r="R314">
        <v>6.24</v>
      </c>
      <c r="S314">
        <v>2256</v>
      </c>
      <c r="T314">
        <v>14072</v>
      </c>
      <c r="U314">
        <v>7.57</v>
      </c>
      <c r="V314">
        <v>2411</v>
      </c>
      <c r="W314">
        <v>18252</v>
      </c>
      <c r="X314">
        <v>-999</v>
      </c>
      <c r="Y314">
        <v>-999</v>
      </c>
      <c r="Z314">
        <v>-999</v>
      </c>
      <c r="AA314">
        <v>-999</v>
      </c>
      <c r="AB314">
        <v>-999</v>
      </c>
      <c r="AC314">
        <v>-999</v>
      </c>
      <c r="AD314">
        <v>-999</v>
      </c>
      <c r="AE314">
        <v>-999</v>
      </c>
      <c r="AF314">
        <v>26.47</v>
      </c>
      <c r="AG314">
        <v>24.63</v>
      </c>
      <c r="AH314">
        <v>3</v>
      </c>
      <c r="AI314">
        <v>3</v>
      </c>
      <c r="AJ314">
        <v>6</v>
      </c>
      <c r="AK314">
        <v>4.13</v>
      </c>
      <c r="AL314">
        <v>3.06</v>
      </c>
      <c r="AM314">
        <v>5.15</v>
      </c>
      <c r="AN314">
        <v>7.93</v>
      </c>
      <c r="AO314">
        <v>1.7</v>
      </c>
      <c r="AP314">
        <v>-2.3199999999999998</v>
      </c>
      <c r="AQ314">
        <v>25.36</v>
      </c>
    </row>
    <row r="315" spans="1:43" x14ac:dyDescent="0.25">
      <c r="A315">
        <v>-22</v>
      </c>
      <c r="B315">
        <v>416</v>
      </c>
      <c r="C315">
        <v>37.460999999999999</v>
      </c>
      <c r="D315">
        <f t="shared" si="16"/>
        <v>-107.80799999999999</v>
      </c>
      <c r="E315">
        <v>20180630</v>
      </c>
      <c r="G315">
        <v>49301</v>
      </c>
      <c r="H315">
        <v>30</v>
      </c>
      <c r="I315">
        <v>0.76</v>
      </c>
      <c r="J315">
        <v>2270</v>
      </c>
      <c r="K315">
        <v>1.43</v>
      </c>
      <c r="L315">
        <v>23.89</v>
      </c>
      <c r="M315">
        <v>15.2</v>
      </c>
      <c r="N315">
        <v>4.5</v>
      </c>
      <c r="O315">
        <v>26</v>
      </c>
      <c r="P315">
        <v>2450</v>
      </c>
      <c r="Q315">
        <v>11019</v>
      </c>
      <c r="R315">
        <v>5.36</v>
      </c>
      <c r="S315">
        <v>2219</v>
      </c>
      <c r="T315">
        <v>11888</v>
      </c>
      <c r="U315">
        <v>6.38</v>
      </c>
      <c r="V315">
        <v>2418</v>
      </c>
      <c r="W315">
        <v>15429</v>
      </c>
      <c r="X315">
        <v>-999</v>
      </c>
      <c r="Y315">
        <v>-999</v>
      </c>
      <c r="Z315">
        <v>-999</v>
      </c>
      <c r="AA315">
        <v>-999</v>
      </c>
      <c r="AB315">
        <v>-999</v>
      </c>
      <c r="AC315">
        <v>-999</v>
      </c>
      <c r="AD315">
        <v>-999</v>
      </c>
      <c r="AE315">
        <v>-999</v>
      </c>
      <c r="AF315">
        <v>25.7</v>
      </c>
      <c r="AG315">
        <v>24.56</v>
      </c>
      <c r="AH315">
        <v>3</v>
      </c>
      <c r="AI315">
        <v>3</v>
      </c>
      <c r="AJ315">
        <v>6</v>
      </c>
      <c r="AK315">
        <v>4.5</v>
      </c>
      <c r="AL315">
        <v>0.14000000000000001</v>
      </c>
      <c r="AM315">
        <v>6.84</v>
      </c>
      <c r="AN315">
        <v>5.61</v>
      </c>
      <c r="AO315">
        <v>1.05</v>
      </c>
      <c r="AP315">
        <v>-4.0199999999999996</v>
      </c>
      <c r="AQ315">
        <v>33.380000000000003</v>
      </c>
    </row>
    <row r="316" spans="1:43" x14ac:dyDescent="0.25">
      <c r="A316">
        <v>-22</v>
      </c>
      <c r="B316">
        <v>416</v>
      </c>
      <c r="C316">
        <v>37.460999999999999</v>
      </c>
      <c r="D316">
        <f t="shared" si="16"/>
        <v>-107.80799999999999</v>
      </c>
      <c r="E316">
        <v>20180701</v>
      </c>
      <c r="G316">
        <v>51068</v>
      </c>
      <c r="H316">
        <v>31</v>
      </c>
      <c r="I316">
        <v>0.57999999999999996</v>
      </c>
      <c r="J316">
        <v>1767</v>
      </c>
      <c r="K316">
        <v>1.1100000000000001</v>
      </c>
      <c r="L316">
        <v>24.96</v>
      </c>
      <c r="M316">
        <v>12.2</v>
      </c>
      <c r="N316">
        <v>4.96</v>
      </c>
      <c r="O316">
        <v>30</v>
      </c>
      <c r="P316">
        <v>2699</v>
      </c>
      <c r="Q316">
        <v>13380</v>
      </c>
      <c r="R316">
        <v>5.43</v>
      </c>
      <c r="S316">
        <v>2461</v>
      </c>
      <c r="T316">
        <v>13359</v>
      </c>
      <c r="U316">
        <v>6.51</v>
      </c>
      <c r="V316">
        <v>2664</v>
      </c>
      <c r="W316">
        <v>17334</v>
      </c>
      <c r="X316">
        <v>-999</v>
      </c>
      <c r="Y316">
        <v>-999</v>
      </c>
      <c r="Z316">
        <v>-999</v>
      </c>
      <c r="AA316">
        <v>-999</v>
      </c>
      <c r="AB316">
        <v>-999</v>
      </c>
      <c r="AC316">
        <v>-999</v>
      </c>
      <c r="AD316">
        <v>-999</v>
      </c>
      <c r="AE316">
        <v>-999</v>
      </c>
      <c r="AF316">
        <v>26.47</v>
      </c>
      <c r="AG316">
        <v>27.96</v>
      </c>
      <c r="AH316">
        <v>3</v>
      </c>
      <c r="AI316">
        <v>3</v>
      </c>
      <c r="AJ316">
        <v>6</v>
      </c>
      <c r="AK316">
        <v>4.84</v>
      </c>
      <c r="AL316">
        <v>1.06</v>
      </c>
      <c r="AM316">
        <v>7.89</v>
      </c>
      <c r="AN316">
        <v>1.59</v>
      </c>
      <c r="AO316">
        <v>7.0000000000000007E-2</v>
      </c>
      <c r="AP316">
        <v>1.93</v>
      </c>
      <c r="AQ316">
        <v>-15.15</v>
      </c>
    </row>
    <row r="317" spans="1:43" x14ac:dyDescent="0.25">
      <c r="A317">
        <v>-22</v>
      </c>
      <c r="B317">
        <v>416</v>
      </c>
      <c r="C317">
        <v>37.460999999999999</v>
      </c>
      <c r="D317">
        <f t="shared" si="16"/>
        <v>-107.80799999999999</v>
      </c>
      <c r="E317">
        <v>20180702</v>
      </c>
      <c r="G317">
        <v>52778</v>
      </c>
      <c r="H317">
        <v>32</v>
      </c>
      <c r="I317">
        <v>0.55000000000000004</v>
      </c>
      <c r="J317">
        <v>1710</v>
      </c>
      <c r="K317">
        <v>1.07</v>
      </c>
      <c r="L317">
        <v>25.52</v>
      </c>
      <c r="M317">
        <v>10.1</v>
      </c>
      <c r="N317">
        <v>4.47</v>
      </c>
      <c r="O317">
        <v>28</v>
      </c>
      <c r="P317">
        <v>2855</v>
      </c>
      <c r="Q317">
        <v>12757</v>
      </c>
      <c r="R317">
        <v>5.04</v>
      </c>
      <c r="S317">
        <v>2597</v>
      </c>
      <c r="T317">
        <v>13094</v>
      </c>
      <c r="U317">
        <v>6.06</v>
      </c>
      <c r="V317">
        <v>2818</v>
      </c>
      <c r="W317">
        <v>17078</v>
      </c>
      <c r="X317">
        <v>-999</v>
      </c>
      <c r="Y317">
        <v>-999</v>
      </c>
      <c r="Z317">
        <v>-999</v>
      </c>
      <c r="AA317">
        <v>-999</v>
      </c>
      <c r="AB317">
        <v>-999</v>
      </c>
      <c r="AC317">
        <v>-999</v>
      </c>
      <c r="AD317">
        <v>-999</v>
      </c>
      <c r="AE317">
        <v>-999</v>
      </c>
      <c r="AF317">
        <v>26.96</v>
      </c>
      <c r="AG317">
        <v>30.03</v>
      </c>
      <c r="AH317">
        <v>3</v>
      </c>
      <c r="AI317">
        <v>3</v>
      </c>
      <c r="AJ317">
        <v>6</v>
      </c>
      <c r="AK317">
        <v>4.2300000000000004</v>
      </c>
      <c r="AL317">
        <v>1.43</v>
      </c>
      <c r="AM317">
        <v>7.95</v>
      </c>
      <c r="AN317">
        <v>3.53</v>
      </c>
      <c r="AO317">
        <v>-0.48</v>
      </c>
      <c r="AP317">
        <v>0.82</v>
      </c>
      <c r="AQ317">
        <v>-8.1999999999999993</v>
      </c>
    </row>
    <row r="318" spans="1:43" x14ac:dyDescent="0.25">
      <c r="A318">
        <v>-22</v>
      </c>
      <c r="B318">
        <v>416</v>
      </c>
      <c r="C318">
        <v>37.460999999999999</v>
      </c>
      <c r="D318">
        <f t="shared" si="16"/>
        <v>-107.80799999999999</v>
      </c>
      <c r="E318">
        <v>20180703</v>
      </c>
      <c r="G318">
        <v>53260</v>
      </c>
      <c r="H318">
        <v>33</v>
      </c>
      <c r="I318">
        <v>0.15</v>
      </c>
      <c r="J318">
        <v>482</v>
      </c>
      <c r="K318">
        <v>0.3</v>
      </c>
      <c r="L318">
        <v>23.26</v>
      </c>
      <c r="M318">
        <v>18.8</v>
      </c>
      <c r="N318">
        <v>3.92</v>
      </c>
      <c r="O318">
        <v>22</v>
      </c>
      <c r="P318">
        <v>2263</v>
      </c>
      <c r="Q318">
        <v>8873</v>
      </c>
      <c r="R318">
        <v>4.42</v>
      </c>
      <c r="S318">
        <v>2053</v>
      </c>
      <c r="T318">
        <v>9077</v>
      </c>
      <c r="U318">
        <v>5.38</v>
      </c>
      <c r="V318">
        <v>2234</v>
      </c>
      <c r="W318">
        <v>12023</v>
      </c>
      <c r="X318">
        <v>-999</v>
      </c>
      <c r="Y318">
        <v>-999</v>
      </c>
      <c r="Z318">
        <v>-999</v>
      </c>
      <c r="AA318">
        <v>-999</v>
      </c>
      <c r="AB318">
        <v>-999</v>
      </c>
      <c r="AC318">
        <v>-999</v>
      </c>
      <c r="AD318">
        <v>-999</v>
      </c>
      <c r="AE318">
        <v>-999</v>
      </c>
      <c r="AF318">
        <v>25.51</v>
      </c>
      <c r="AG318">
        <v>21.22</v>
      </c>
      <c r="AH318">
        <v>3</v>
      </c>
      <c r="AI318">
        <v>3</v>
      </c>
      <c r="AJ318">
        <v>6</v>
      </c>
      <c r="AK318">
        <v>2.64</v>
      </c>
      <c r="AL318">
        <v>2.89</v>
      </c>
      <c r="AM318">
        <v>7.48</v>
      </c>
      <c r="AN318">
        <v>4.3499999999999996</v>
      </c>
      <c r="AO318">
        <v>-2.69</v>
      </c>
      <c r="AP318">
        <v>1.41</v>
      </c>
      <c r="AQ318">
        <v>-22.24</v>
      </c>
    </row>
    <row r="319" spans="1:43" x14ac:dyDescent="0.25">
      <c r="A319">
        <v>-22</v>
      </c>
      <c r="B319">
        <v>416</v>
      </c>
      <c r="C319">
        <v>37.460999999999999</v>
      </c>
      <c r="D319">
        <f t="shared" si="16"/>
        <v>-107.80799999999999</v>
      </c>
      <c r="E319">
        <v>20180704</v>
      </c>
      <c r="G319">
        <v>54129</v>
      </c>
      <c r="H319">
        <v>34</v>
      </c>
      <c r="I319">
        <v>0.27</v>
      </c>
      <c r="J319">
        <v>869</v>
      </c>
      <c r="K319">
        <v>0.55000000000000004</v>
      </c>
      <c r="L319">
        <v>24.64</v>
      </c>
      <c r="M319">
        <v>13.6</v>
      </c>
      <c r="N319">
        <v>3.97</v>
      </c>
      <c r="O319">
        <v>24</v>
      </c>
      <c r="P319">
        <v>2608</v>
      </c>
      <c r="Q319">
        <v>10367</v>
      </c>
      <c r="R319">
        <v>3.25</v>
      </c>
      <c r="S319">
        <v>2400</v>
      </c>
      <c r="T319">
        <v>7795</v>
      </c>
      <c r="U319">
        <v>3.97</v>
      </c>
      <c r="V319">
        <v>2574</v>
      </c>
      <c r="W319">
        <v>10232</v>
      </c>
      <c r="X319">
        <v>-999</v>
      </c>
      <c r="Y319">
        <v>-999</v>
      </c>
      <c r="Z319">
        <v>-999</v>
      </c>
      <c r="AA319">
        <v>-999</v>
      </c>
      <c r="AB319">
        <v>-999</v>
      </c>
      <c r="AC319">
        <v>-999</v>
      </c>
      <c r="AD319">
        <v>-999</v>
      </c>
      <c r="AE319">
        <v>-999</v>
      </c>
      <c r="AF319">
        <v>25.99</v>
      </c>
      <c r="AG319">
        <v>26.09</v>
      </c>
      <c r="AH319">
        <v>3</v>
      </c>
      <c r="AI319">
        <v>3</v>
      </c>
      <c r="AJ319">
        <v>6</v>
      </c>
      <c r="AK319">
        <v>2.13</v>
      </c>
      <c r="AL319">
        <v>3.36</v>
      </c>
      <c r="AM319">
        <v>4.79</v>
      </c>
      <c r="AN319">
        <v>5.76</v>
      </c>
      <c r="AO319">
        <v>-1.26</v>
      </c>
      <c r="AP319">
        <v>0.38</v>
      </c>
      <c r="AQ319">
        <v>-9.06</v>
      </c>
    </row>
    <row r="321" spans="1:43" x14ac:dyDescent="0.25">
      <c r="A321">
        <v>-23</v>
      </c>
      <c r="B321" t="s">
        <v>56</v>
      </c>
      <c r="C321">
        <v>33.704999999999998</v>
      </c>
      <c r="D321">
        <f>243.274-360</f>
        <v>-116.726</v>
      </c>
      <c r="E321">
        <v>20130715</v>
      </c>
      <c r="F321">
        <v>20130624</v>
      </c>
      <c r="G321">
        <v>2400</v>
      </c>
      <c r="H321">
        <v>1</v>
      </c>
      <c r="I321">
        <v>3.25</v>
      </c>
      <c r="J321">
        <v>2400</v>
      </c>
      <c r="K321">
        <v>0.96</v>
      </c>
      <c r="L321">
        <v>29.33</v>
      </c>
      <c r="M321">
        <v>28</v>
      </c>
      <c r="N321">
        <v>9.4499999999999993</v>
      </c>
      <c r="O321">
        <v>48</v>
      </c>
      <c r="P321">
        <v>2849</v>
      </c>
      <c r="Q321">
        <v>26909</v>
      </c>
      <c r="R321">
        <v>11.9</v>
      </c>
      <c r="S321">
        <v>2351</v>
      </c>
      <c r="T321">
        <v>27988</v>
      </c>
      <c r="U321">
        <v>13.08</v>
      </c>
      <c r="V321">
        <v>2811</v>
      </c>
      <c r="W321">
        <v>36767</v>
      </c>
      <c r="X321">
        <v>-999</v>
      </c>
      <c r="Y321">
        <v>-999</v>
      </c>
      <c r="Z321">
        <v>-999</v>
      </c>
      <c r="AA321">
        <v>-999</v>
      </c>
      <c r="AB321">
        <v>11.6</v>
      </c>
      <c r="AC321">
        <v>16.010000000000002</v>
      </c>
      <c r="AD321">
        <v>3</v>
      </c>
      <c r="AE321">
        <v>3</v>
      </c>
      <c r="AF321">
        <v>17.059999999999999</v>
      </c>
      <c r="AG321">
        <v>6.62</v>
      </c>
      <c r="AH321">
        <v>1</v>
      </c>
      <c r="AI321">
        <v>1</v>
      </c>
      <c r="AJ321">
        <v>2</v>
      </c>
      <c r="AK321">
        <v>9.44</v>
      </c>
      <c r="AL321">
        <v>-0.23</v>
      </c>
      <c r="AM321">
        <v>4.8099999999999996</v>
      </c>
      <c r="AN321">
        <v>-0.99</v>
      </c>
      <c r="AO321">
        <v>6.77</v>
      </c>
      <c r="AP321">
        <v>0.59</v>
      </c>
      <c r="AQ321">
        <v>-9.49</v>
      </c>
    </row>
    <row r="322" spans="1:43" x14ac:dyDescent="0.25">
      <c r="A322">
        <v>-23</v>
      </c>
      <c r="B322" t="s">
        <v>56</v>
      </c>
      <c r="C322">
        <v>33.704999999999998</v>
      </c>
      <c r="D322">
        <f t="shared" ref="D322:D331" si="17">243.274-360</f>
        <v>-116.726</v>
      </c>
      <c r="E322">
        <v>20130716</v>
      </c>
      <c r="G322">
        <v>14508</v>
      </c>
      <c r="H322">
        <v>2</v>
      </c>
      <c r="I322">
        <v>4.74</v>
      </c>
      <c r="J322">
        <v>12108</v>
      </c>
      <c r="K322">
        <v>2.66</v>
      </c>
      <c r="L322">
        <v>30.56</v>
      </c>
      <c r="M322">
        <v>16</v>
      </c>
      <c r="N322">
        <v>6.01</v>
      </c>
      <c r="O322">
        <v>35</v>
      </c>
      <c r="P322">
        <v>3556</v>
      </c>
      <c r="Q322">
        <v>21378</v>
      </c>
      <c r="R322">
        <v>6.45</v>
      </c>
      <c r="S322">
        <v>3101</v>
      </c>
      <c r="T322">
        <v>20003</v>
      </c>
      <c r="U322">
        <v>6.49</v>
      </c>
      <c r="V322">
        <v>3509</v>
      </c>
      <c r="W322">
        <v>22768</v>
      </c>
      <c r="X322">
        <v>-999</v>
      </c>
      <c r="Y322">
        <v>-999</v>
      </c>
      <c r="Z322">
        <v>-999</v>
      </c>
      <c r="AA322">
        <v>-999</v>
      </c>
      <c r="AB322">
        <v>13.88</v>
      </c>
      <c r="AC322">
        <v>26.12</v>
      </c>
      <c r="AD322">
        <v>3</v>
      </c>
      <c r="AE322">
        <v>3</v>
      </c>
      <c r="AF322">
        <v>17.05</v>
      </c>
      <c r="AG322">
        <v>18.399999999999999</v>
      </c>
      <c r="AH322">
        <v>1</v>
      </c>
      <c r="AI322">
        <v>2</v>
      </c>
      <c r="AJ322">
        <v>3</v>
      </c>
      <c r="AK322">
        <v>6.01</v>
      </c>
      <c r="AL322">
        <v>0.17</v>
      </c>
      <c r="AM322">
        <v>11.57</v>
      </c>
      <c r="AN322">
        <v>-0.4</v>
      </c>
      <c r="AO322">
        <v>-2.65</v>
      </c>
      <c r="AP322">
        <v>1.24</v>
      </c>
      <c r="AQ322">
        <v>-13.28</v>
      </c>
    </row>
    <row r="323" spans="1:43" x14ac:dyDescent="0.25">
      <c r="A323">
        <v>-23</v>
      </c>
      <c r="B323" t="s">
        <v>56</v>
      </c>
      <c r="C323">
        <v>33.704999999999998</v>
      </c>
      <c r="D323">
        <f t="shared" si="17"/>
        <v>-116.726</v>
      </c>
      <c r="E323">
        <v>20130717</v>
      </c>
      <c r="G323">
        <v>20998</v>
      </c>
      <c r="H323">
        <v>3</v>
      </c>
      <c r="I323">
        <v>1.62</v>
      </c>
      <c r="J323">
        <v>6490</v>
      </c>
      <c r="K323">
        <v>1.43</v>
      </c>
      <c r="L323">
        <v>33.450000000000003</v>
      </c>
      <c r="M323">
        <v>10</v>
      </c>
      <c r="N323">
        <v>4.42</v>
      </c>
      <c r="O323">
        <v>28</v>
      </c>
      <c r="P323">
        <v>4449</v>
      </c>
      <c r="Q323">
        <v>19648</v>
      </c>
      <c r="R323">
        <v>3.71</v>
      </c>
      <c r="S323">
        <v>3782</v>
      </c>
      <c r="T323">
        <v>14018</v>
      </c>
      <c r="U323">
        <v>4.42</v>
      </c>
      <c r="V323">
        <v>4391</v>
      </c>
      <c r="W323">
        <v>19391</v>
      </c>
      <c r="X323">
        <v>-999</v>
      </c>
      <c r="Y323">
        <v>-999</v>
      </c>
      <c r="Z323">
        <v>-999</v>
      </c>
      <c r="AA323">
        <v>-999</v>
      </c>
      <c r="AB323">
        <v>14</v>
      </c>
      <c r="AC323">
        <v>29.95</v>
      </c>
      <c r="AD323">
        <v>3</v>
      </c>
      <c r="AE323">
        <v>3</v>
      </c>
      <c r="AF323">
        <v>19.940000000000001</v>
      </c>
      <c r="AG323">
        <v>26.18</v>
      </c>
      <c r="AH323">
        <v>2</v>
      </c>
      <c r="AI323">
        <v>3</v>
      </c>
      <c r="AJ323">
        <v>5</v>
      </c>
      <c r="AK323">
        <v>4.3899999999999997</v>
      </c>
      <c r="AL323">
        <v>-0.48</v>
      </c>
      <c r="AM323">
        <v>8.92</v>
      </c>
      <c r="AN323">
        <v>0.84</v>
      </c>
      <c r="AO323">
        <v>-3.94</v>
      </c>
      <c r="AP323">
        <v>-0.8</v>
      </c>
      <c r="AQ323">
        <v>3.82</v>
      </c>
    </row>
    <row r="324" spans="1:43" x14ac:dyDescent="0.25">
      <c r="A324">
        <v>-23</v>
      </c>
      <c r="B324" t="s">
        <v>56</v>
      </c>
      <c r="C324">
        <v>33.704999999999998</v>
      </c>
      <c r="D324">
        <f t="shared" si="17"/>
        <v>-116.726</v>
      </c>
      <c r="E324">
        <v>20130718</v>
      </c>
      <c r="G324">
        <v>25215</v>
      </c>
      <c r="H324">
        <v>4</v>
      </c>
      <c r="I324">
        <v>0.92</v>
      </c>
      <c r="J324">
        <v>4217</v>
      </c>
      <c r="K324">
        <v>0.93</v>
      </c>
      <c r="L324">
        <v>33.909999999999997</v>
      </c>
      <c r="M324">
        <v>16</v>
      </c>
      <c r="N324">
        <v>4.3899999999999997</v>
      </c>
      <c r="O324">
        <v>26</v>
      </c>
      <c r="P324">
        <v>4253</v>
      </c>
      <c r="Q324">
        <v>18692</v>
      </c>
      <c r="R324">
        <v>3.04</v>
      </c>
      <c r="S324">
        <v>3763</v>
      </c>
      <c r="T324">
        <v>11430</v>
      </c>
      <c r="U324">
        <v>4.3899999999999997</v>
      </c>
      <c r="V324">
        <v>4198</v>
      </c>
      <c r="W324">
        <v>18447</v>
      </c>
      <c r="X324">
        <v>-999</v>
      </c>
      <c r="Y324">
        <v>-999</v>
      </c>
      <c r="Z324">
        <v>-999</v>
      </c>
      <c r="AA324">
        <v>-999</v>
      </c>
      <c r="AB324">
        <v>13.89</v>
      </c>
      <c r="AC324">
        <v>26.73</v>
      </c>
      <c r="AD324">
        <v>3</v>
      </c>
      <c r="AE324">
        <v>3</v>
      </c>
      <c r="AF324">
        <v>20.079999999999998</v>
      </c>
      <c r="AG324">
        <v>24.14</v>
      </c>
      <c r="AH324">
        <v>2</v>
      </c>
      <c r="AI324">
        <v>3</v>
      </c>
      <c r="AJ324">
        <v>5</v>
      </c>
      <c r="AK324">
        <v>4.29</v>
      </c>
      <c r="AL324">
        <v>-0.96</v>
      </c>
      <c r="AM324">
        <v>4.9800000000000004</v>
      </c>
      <c r="AN324">
        <v>0.04</v>
      </c>
      <c r="AO324">
        <v>-0.09</v>
      </c>
      <c r="AP324">
        <v>-1.1499999999999999</v>
      </c>
      <c r="AQ324">
        <v>5.71</v>
      </c>
    </row>
    <row r="325" spans="1:43" x14ac:dyDescent="0.25">
      <c r="A325">
        <v>-23</v>
      </c>
      <c r="B325" t="s">
        <v>56</v>
      </c>
      <c r="C325">
        <v>33.704999999999998</v>
      </c>
      <c r="D325">
        <f t="shared" si="17"/>
        <v>-116.726</v>
      </c>
      <c r="E325">
        <v>20130719</v>
      </c>
      <c r="G325">
        <v>26667</v>
      </c>
      <c r="H325">
        <v>5</v>
      </c>
      <c r="I325">
        <v>0.3</v>
      </c>
      <c r="J325">
        <v>1452</v>
      </c>
      <c r="K325">
        <v>0.32</v>
      </c>
      <c r="L325">
        <v>30.1</v>
      </c>
      <c r="M325">
        <v>31</v>
      </c>
      <c r="N325">
        <v>2.96</v>
      </c>
      <c r="O325">
        <v>15</v>
      </c>
      <c r="P325">
        <v>2848</v>
      </c>
      <c r="Q325">
        <v>8428</v>
      </c>
      <c r="R325">
        <v>2.41</v>
      </c>
      <c r="S325">
        <v>2592</v>
      </c>
      <c r="T325">
        <v>6234</v>
      </c>
      <c r="U325">
        <v>2.96</v>
      </c>
      <c r="V325">
        <v>2811</v>
      </c>
      <c r="W325">
        <v>8318</v>
      </c>
      <c r="X325">
        <v>-999</v>
      </c>
      <c r="Y325">
        <v>-999</v>
      </c>
      <c r="Z325">
        <v>-999</v>
      </c>
      <c r="AA325">
        <v>-999</v>
      </c>
      <c r="AB325">
        <v>11.59</v>
      </c>
      <c r="AC325">
        <v>15.79</v>
      </c>
      <c r="AD325">
        <v>3</v>
      </c>
      <c r="AE325">
        <v>3</v>
      </c>
      <c r="AF325">
        <v>19.84</v>
      </c>
      <c r="AG325">
        <v>3.59</v>
      </c>
      <c r="AH325">
        <v>2</v>
      </c>
      <c r="AI325">
        <v>1</v>
      </c>
      <c r="AJ325">
        <v>3</v>
      </c>
      <c r="AK325">
        <v>2.96</v>
      </c>
      <c r="AL325">
        <v>-0.12</v>
      </c>
      <c r="AM325">
        <v>4.9000000000000004</v>
      </c>
      <c r="AN325">
        <v>-1.1100000000000001</v>
      </c>
      <c r="AO325">
        <v>-2.23</v>
      </c>
      <c r="AP325">
        <v>1.29</v>
      </c>
      <c r="AQ325">
        <v>-3.85</v>
      </c>
    </row>
    <row r="326" spans="1:43" x14ac:dyDescent="0.25">
      <c r="A326">
        <v>-23</v>
      </c>
      <c r="B326" t="s">
        <v>56</v>
      </c>
      <c r="C326">
        <v>33.704999999999998</v>
      </c>
      <c r="D326">
        <f t="shared" si="17"/>
        <v>-116.726</v>
      </c>
      <c r="E326">
        <v>20130720</v>
      </c>
      <c r="G326">
        <v>27296</v>
      </c>
      <c r="H326">
        <v>6</v>
      </c>
      <c r="I326">
        <v>0.13</v>
      </c>
      <c r="J326">
        <v>629</v>
      </c>
      <c r="K326">
        <v>0.14000000000000001</v>
      </c>
      <c r="L326">
        <v>25.48</v>
      </c>
      <c r="M326">
        <v>62</v>
      </c>
      <c r="N326">
        <v>1.29</v>
      </c>
      <c r="O326">
        <v>5</v>
      </c>
      <c r="P326">
        <v>1211</v>
      </c>
      <c r="Q326">
        <v>1562</v>
      </c>
      <c r="R326">
        <v>0.83</v>
      </c>
      <c r="S326">
        <v>1262</v>
      </c>
      <c r="T326">
        <v>1045</v>
      </c>
      <c r="U326">
        <v>1.29</v>
      </c>
      <c r="V326">
        <v>1207</v>
      </c>
      <c r="W326">
        <v>1556</v>
      </c>
      <c r="X326">
        <v>-999</v>
      </c>
      <c r="Y326">
        <v>-999</v>
      </c>
      <c r="Z326">
        <v>-999</v>
      </c>
      <c r="AA326">
        <v>-999</v>
      </c>
      <c r="AB326">
        <v>10.31</v>
      </c>
      <c r="AC326">
        <v>6.21</v>
      </c>
      <c r="AD326">
        <v>2</v>
      </c>
      <c r="AE326">
        <v>2</v>
      </c>
      <c r="AF326">
        <v>18.52</v>
      </c>
      <c r="AG326">
        <v>1.76</v>
      </c>
      <c r="AH326">
        <v>2</v>
      </c>
      <c r="AI326">
        <v>1</v>
      </c>
      <c r="AJ326">
        <v>3</v>
      </c>
      <c r="AK326">
        <v>-0.17</v>
      </c>
      <c r="AL326">
        <v>1.28</v>
      </c>
      <c r="AM326">
        <v>2.67</v>
      </c>
      <c r="AN326">
        <v>0.18</v>
      </c>
      <c r="AO326">
        <v>-3.13</v>
      </c>
      <c r="AP326">
        <v>1.54</v>
      </c>
      <c r="AQ326">
        <v>-4.67</v>
      </c>
    </row>
    <row r="327" spans="1:43" x14ac:dyDescent="0.25">
      <c r="A327">
        <v>-23</v>
      </c>
      <c r="B327" t="s">
        <v>56</v>
      </c>
      <c r="C327">
        <v>33.704999999999998</v>
      </c>
      <c r="D327">
        <f t="shared" si="17"/>
        <v>-116.726</v>
      </c>
      <c r="E327">
        <v>20130721</v>
      </c>
      <c r="H327">
        <v>7</v>
      </c>
      <c r="L327">
        <v>19.87</v>
      </c>
      <c r="M327">
        <v>96</v>
      </c>
      <c r="N327">
        <v>0.25</v>
      </c>
      <c r="O327">
        <v>0</v>
      </c>
      <c r="P327">
        <v>92</v>
      </c>
      <c r="Q327">
        <v>23</v>
      </c>
      <c r="R327">
        <v>1.21</v>
      </c>
      <c r="S327">
        <v>309</v>
      </c>
      <c r="T327">
        <v>374</v>
      </c>
      <c r="U327">
        <v>1.36</v>
      </c>
      <c r="V327">
        <v>298</v>
      </c>
      <c r="W327">
        <v>404</v>
      </c>
      <c r="X327">
        <v>-999</v>
      </c>
      <c r="Y327">
        <v>-999</v>
      </c>
      <c r="Z327">
        <v>-999</v>
      </c>
      <c r="AA327">
        <v>-999</v>
      </c>
      <c r="AB327">
        <v>8.4</v>
      </c>
      <c r="AC327">
        <v>0.16</v>
      </c>
      <c r="AD327">
        <v>2</v>
      </c>
      <c r="AE327">
        <v>1</v>
      </c>
      <c r="AF327">
        <v>14.79</v>
      </c>
      <c r="AG327">
        <v>0</v>
      </c>
      <c r="AH327">
        <v>1</v>
      </c>
      <c r="AI327">
        <v>1</v>
      </c>
      <c r="AJ327">
        <v>2</v>
      </c>
      <c r="AK327">
        <v>-0.21</v>
      </c>
      <c r="AL327">
        <v>0.13</v>
      </c>
      <c r="AM327">
        <v>-0.47</v>
      </c>
      <c r="AN327">
        <v>1.72</v>
      </c>
      <c r="AO327">
        <v>-0.71</v>
      </c>
      <c r="AP327">
        <v>-0.94</v>
      </c>
      <c r="AQ327">
        <v>-1.65</v>
      </c>
    </row>
    <row r="328" spans="1:43" x14ac:dyDescent="0.25">
      <c r="A328">
        <v>-23</v>
      </c>
      <c r="B328" t="s">
        <v>56</v>
      </c>
      <c r="C328">
        <v>33.704999999999998</v>
      </c>
      <c r="D328">
        <f t="shared" si="17"/>
        <v>-116.726</v>
      </c>
      <c r="E328">
        <v>20130722</v>
      </c>
      <c r="G328">
        <v>27416</v>
      </c>
      <c r="H328">
        <v>8</v>
      </c>
      <c r="L328">
        <v>24.09</v>
      </c>
      <c r="M328">
        <v>66</v>
      </c>
      <c r="N328">
        <v>4.49</v>
      </c>
      <c r="O328">
        <v>14</v>
      </c>
      <c r="P328">
        <v>1001</v>
      </c>
      <c r="Q328">
        <v>4489</v>
      </c>
      <c r="R328">
        <v>5.56</v>
      </c>
      <c r="S328">
        <v>906</v>
      </c>
      <c r="T328">
        <v>5038</v>
      </c>
      <c r="U328">
        <v>5.74</v>
      </c>
      <c r="V328">
        <v>988</v>
      </c>
      <c r="W328">
        <v>5671</v>
      </c>
      <c r="X328">
        <v>-999</v>
      </c>
      <c r="Y328">
        <v>-999</v>
      </c>
      <c r="Z328">
        <v>-999</v>
      </c>
      <c r="AA328">
        <v>-999</v>
      </c>
      <c r="AB328">
        <v>10.39</v>
      </c>
      <c r="AC328">
        <v>4.37</v>
      </c>
      <c r="AD328">
        <v>2</v>
      </c>
      <c r="AE328">
        <v>1</v>
      </c>
      <c r="AF328">
        <v>15.84</v>
      </c>
      <c r="AG328">
        <v>0.3</v>
      </c>
      <c r="AH328">
        <v>1</v>
      </c>
      <c r="AI328">
        <v>1</v>
      </c>
      <c r="AJ328">
        <v>2</v>
      </c>
      <c r="AK328">
        <v>4.45</v>
      </c>
      <c r="AL328">
        <v>-0.57999999999999996</v>
      </c>
      <c r="AM328">
        <v>-1.17</v>
      </c>
      <c r="AN328">
        <v>0.78</v>
      </c>
      <c r="AO328">
        <v>4.8600000000000003</v>
      </c>
      <c r="AP328">
        <v>-0.55000000000000004</v>
      </c>
      <c r="AQ328">
        <v>3.15</v>
      </c>
    </row>
    <row r="329" spans="1:43" x14ac:dyDescent="0.25">
      <c r="A329">
        <v>-23</v>
      </c>
      <c r="B329" t="s">
        <v>56</v>
      </c>
      <c r="C329">
        <v>33.704999999999998</v>
      </c>
      <c r="D329">
        <f t="shared" si="17"/>
        <v>-116.726</v>
      </c>
      <c r="E329">
        <v>20130723</v>
      </c>
      <c r="G329">
        <v>27452</v>
      </c>
      <c r="H329">
        <v>9</v>
      </c>
      <c r="I329">
        <v>0.01</v>
      </c>
      <c r="J329">
        <v>36</v>
      </c>
      <c r="K329">
        <v>0.01</v>
      </c>
      <c r="L329">
        <v>28.57</v>
      </c>
      <c r="M329">
        <v>41</v>
      </c>
      <c r="N329">
        <v>6.97</v>
      </c>
      <c r="O329">
        <v>30</v>
      </c>
      <c r="P329">
        <v>2238</v>
      </c>
      <c r="Q329">
        <v>15601</v>
      </c>
      <c r="R329">
        <v>7.91</v>
      </c>
      <c r="S329">
        <v>1848</v>
      </c>
      <c r="T329">
        <v>14621</v>
      </c>
      <c r="U329">
        <v>7.94</v>
      </c>
      <c r="V329">
        <v>2209</v>
      </c>
      <c r="W329">
        <v>17534</v>
      </c>
      <c r="X329">
        <v>-999</v>
      </c>
      <c r="Y329">
        <v>-999</v>
      </c>
      <c r="Z329">
        <v>-999</v>
      </c>
      <c r="AA329">
        <v>-999</v>
      </c>
      <c r="AB329">
        <v>12.41</v>
      </c>
      <c r="AC329">
        <v>11.32</v>
      </c>
      <c r="AD329">
        <v>3</v>
      </c>
      <c r="AE329">
        <v>2</v>
      </c>
      <c r="AF329">
        <v>14.25</v>
      </c>
      <c r="AG329">
        <v>1.0900000000000001</v>
      </c>
      <c r="AH329">
        <v>1</v>
      </c>
      <c r="AI329">
        <v>1</v>
      </c>
      <c r="AJ329">
        <v>2</v>
      </c>
      <c r="AK329">
        <v>6.97</v>
      </c>
      <c r="AL329">
        <v>-0.25</v>
      </c>
      <c r="AM329">
        <v>3.69</v>
      </c>
      <c r="AN329">
        <v>0.23</v>
      </c>
      <c r="AO329">
        <v>5.69</v>
      </c>
      <c r="AP329">
        <v>-0.24</v>
      </c>
      <c r="AQ329">
        <v>2.16</v>
      </c>
    </row>
    <row r="330" spans="1:43" x14ac:dyDescent="0.25">
      <c r="A330">
        <v>-23</v>
      </c>
      <c r="B330" t="s">
        <v>56</v>
      </c>
      <c r="C330">
        <v>33.704999999999998</v>
      </c>
      <c r="D330">
        <f t="shared" si="17"/>
        <v>-116.726</v>
      </c>
      <c r="E330">
        <v>20130724</v>
      </c>
      <c r="G330">
        <v>27503</v>
      </c>
      <c r="H330">
        <v>10</v>
      </c>
      <c r="I330">
        <v>0.01</v>
      </c>
      <c r="J330">
        <v>51</v>
      </c>
      <c r="K330">
        <v>0.01</v>
      </c>
      <c r="L330">
        <v>29.62</v>
      </c>
      <c r="M330">
        <v>37</v>
      </c>
      <c r="N330">
        <v>5.75</v>
      </c>
      <c r="O330">
        <v>26</v>
      </c>
      <c r="P330">
        <v>2533</v>
      </c>
      <c r="Q330">
        <v>14569</v>
      </c>
      <c r="R330">
        <v>5.79</v>
      </c>
      <c r="S330">
        <v>2242</v>
      </c>
      <c r="T330">
        <v>12988</v>
      </c>
      <c r="U330">
        <v>5.87</v>
      </c>
      <c r="V330">
        <v>2500</v>
      </c>
      <c r="W330">
        <v>14678</v>
      </c>
      <c r="X330">
        <v>-999</v>
      </c>
      <c r="Y330">
        <v>-999</v>
      </c>
      <c r="Z330">
        <v>-999</v>
      </c>
      <c r="AA330">
        <v>-999</v>
      </c>
      <c r="AB330">
        <v>13.51</v>
      </c>
      <c r="AC330">
        <v>13.87</v>
      </c>
      <c r="AD330">
        <v>3</v>
      </c>
      <c r="AE330">
        <v>3</v>
      </c>
      <c r="AF330">
        <v>13.32</v>
      </c>
      <c r="AG330">
        <v>0.78</v>
      </c>
      <c r="AH330">
        <v>1</v>
      </c>
      <c r="AI330">
        <v>1</v>
      </c>
      <c r="AJ330">
        <v>2</v>
      </c>
      <c r="AK330">
        <v>5.75</v>
      </c>
      <c r="AL330">
        <v>-0.27</v>
      </c>
      <c r="AM330">
        <v>9.3800000000000008</v>
      </c>
      <c r="AN330">
        <v>-0.01</v>
      </c>
      <c r="AO330">
        <v>-1.57</v>
      </c>
      <c r="AP330">
        <v>-0.01</v>
      </c>
      <c r="AQ330">
        <v>0.15</v>
      </c>
    </row>
    <row r="331" spans="1:43" x14ac:dyDescent="0.25">
      <c r="A331">
        <v>-23</v>
      </c>
      <c r="B331" t="s">
        <v>56</v>
      </c>
      <c r="C331">
        <v>33.704999999999998</v>
      </c>
      <c r="D331">
        <f t="shared" si="17"/>
        <v>-116.726</v>
      </c>
      <c r="E331">
        <v>20130725</v>
      </c>
      <c r="G331">
        <v>27531</v>
      </c>
      <c r="H331">
        <v>11</v>
      </c>
      <c r="I331">
        <v>0.01</v>
      </c>
      <c r="J331">
        <v>28</v>
      </c>
      <c r="K331">
        <v>0.01</v>
      </c>
      <c r="L331">
        <v>32.1</v>
      </c>
      <c r="M331">
        <v>26</v>
      </c>
      <c r="N331">
        <v>3.99</v>
      </c>
      <c r="O331">
        <v>21</v>
      </c>
      <c r="P331">
        <v>3405</v>
      </c>
      <c r="Q331">
        <v>13598</v>
      </c>
      <c r="R331">
        <v>4.71</v>
      </c>
      <c r="S331">
        <v>3049</v>
      </c>
      <c r="T331">
        <v>14348</v>
      </c>
      <c r="U331">
        <v>4.76</v>
      </c>
      <c r="V331">
        <v>3360</v>
      </c>
      <c r="W331">
        <v>16007</v>
      </c>
      <c r="X331">
        <v>-999</v>
      </c>
      <c r="Y331">
        <v>-999</v>
      </c>
      <c r="Z331">
        <v>-999</v>
      </c>
      <c r="AA331">
        <v>-999</v>
      </c>
      <c r="AB331">
        <v>15.91</v>
      </c>
      <c r="AC331">
        <v>18.8</v>
      </c>
      <c r="AD331">
        <v>3</v>
      </c>
      <c r="AE331">
        <v>3</v>
      </c>
      <c r="AF331">
        <v>17.850000000000001</v>
      </c>
      <c r="AG331">
        <v>2.99</v>
      </c>
      <c r="AH331">
        <v>1</v>
      </c>
      <c r="AI331">
        <v>1</v>
      </c>
      <c r="AJ331">
        <v>2</v>
      </c>
      <c r="AK331">
        <v>3.95</v>
      </c>
      <c r="AL331">
        <v>0.57999999999999996</v>
      </c>
      <c r="AM331">
        <v>7.82</v>
      </c>
      <c r="AN331">
        <v>-0.02</v>
      </c>
      <c r="AO331">
        <v>-4.5999999999999996</v>
      </c>
      <c r="AP331">
        <v>1.67</v>
      </c>
      <c r="AQ331">
        <v>-12.97</v>
      </c>
    </row>
    <row r="333" spans="1:43" x14ac:dyDescent="0.25">
      <c r="A333">
        <v>-24</v>
      </c>
      <c r="B333" t="s">
        <v>57</v>
      </c>
      <c r="C333">
        <v>34.954000000000001</v>
      </c>
      <c r="D333">
        <f>240.015-360</f>
        <v>-119.98500000000001</v>
      </c>
      <c r="E333">
        <v>20160818</v>
      </c>
      <c r="F333">
        <v>20160728</v>
      </c>
      <c r="G333">
        <v>2107</v>
      </c>
      <c r="H333">
        <v>1</v>
      </c>
      <c r="I333">
        <v>2.5299999999999998</v>
      </c>
      <c r="J333">
        <v>2107</v>
      </c>
      <c r="K333">
        <v>0.64</v>
      </c>
      <c r="L333">
        <v>26</v>
      </c>
      <c r="M333">
        <v>44</v>
      </c>
      <c r="N333">
        <v>2.31</v>
      </c>
      <c r="O333">
        <v>10</v>
      </c>
      <c r="P333">
        <v>1843</v>
      </c>
      <c r="Q333">
        <v>4259</v>
      </c>
      <c r="R333">
        <v>1.51</v>
      </c>
      <c r="S333">
        <v>2165</v>
      </c>
      <c r="T333">
        <v>3264</v>
      </c>
      <c r="U333">
        <v>2.31</v>
      </c>
      <c r="V333">
        <v>2396</v>
      </c>
      <c r="W333">
        <v>5537</v>
      </c>
      <c r="X333">
        <v>-999</v>
      </c>
      <c r="Y333">
        <v>-999</v>
      </c>
      <c r="Z333">
        <v>-999</v>
      </c>
      <c r="AA333">
        <v>-999</v>
      </c>
      <c r="AB333">
        <v>10.16</v>
      </c>
      <c r="AC333">
        <v>31.86</v>
      </c>
      <c r="AD333">
        <v>2</v>
      </c>
      <c r="AE333">
        <v>3</v>
      </c>
      <c r="AF333">
        <v>20.27</v>
      </c>
      <c r="AG333">
        <v>38.479999999999997</v>
      </c>
      <c r="AH333">
        <v>2</v>
      </c>
      <c r="AI333">
        <v>3</v>
      </c>
      <c r="AJ333">
        <v>5</v>
      </c>
      <c r="AK333">
        <v>1.71</v>
      </c>
      <c r="AL333">
        <v>1.55</v>
      </c>
      <c r="AM333">
        <v>3.68</v>
      </c>
      <c r="AN333">
        <v>2.17</v>
      </c>
      <c r="AO333">
        <v>-2.67</v>
      </c>
      <c r="AP333">
        <v>1.53</v>
      </c>
      <c r="AQ333">
        <v>-11.43</v>
      </c>
    </row>
    <row r="334" spans="1:43" x14ac:dyDescent="0.25">
      <c r="A334">
        <v>-24</v>
      </c>
      <c r="B334" t="s">
        <v>57</v>
      </c>
      <c r="C334">
        <v>34.954000000000001</v>
      </c>
      <c r="D334">
        <f t="shared" ref="D334:D342" si="18">240.015-360</f>
        <v>-119.98500000000001</v>
      </c>
      <c r="E334">
        <v>20160819</v>
      </c>
      <c r="G334">
        <v>10732</v>
      </c>
      <c r="H334">
        <v>2</v>
      </c>
      <c r="I334">
        <v>3.18</v>
      </c>
      <c r="J334">
        <v>8625</v>
      </c>
      <c r="K334">
        <v>2.61</v>
      </c>
      <c r="L334">
        <v>27.91</v>
      </c>
      <c r="M334">
        <v>36</v>
      </c>
      <c r="N334">
        <v>2.2999999999999998</v>
      </c>
      <c r="O334">
        <v>11</v>
      </c>
      <c r="P334">
        <v>2347</v>
      </c>
      <c r="Q334">
        <v>5392</v>
      </c>
      <c r="R334">
        <v>1.62</v>
      </c>
      <c r="S334">
        <v>2823</v>
      </c>
      <c r="T334">
        <v>4582</v>
      </c>
      <c r="U334">
        <v>2.2999999999999998</v>
      </c>
      <c r="V334">
        <v>2990</v>
      </c>
      <c r="W334">
        <v>6868</v>
      </c>
      <c r="X334">
        <v>-999</v>
      </c>
      <c r="Y334">
        <v>-999</v>
      </c>
      <c r="Z334">
        <v>-999</v>
      </c>
      <c r="AA334">
        <v>-999</v>
      </c>
      <c r="AB334">
        <v>13.34</v>
      </c>
      <c r="AC334">
        <v>26.93</v>
      </c>
      <c r="AD334">
        <v>3</v>
      </c>
      <c r="AE334">
        <v>3</v>
      </c>
      <c r="AF334">
        <v>17.899999999999999</v>
      </c>
      <c r="AG334">
        <v>16.149999999999999</v>
      </c>
      <c r="AH334">
        <v>1</v>
      </c>
      <c r="AI334">
        <v>2</v>
      </c>
      <c r="AJ334">
        <v>3</v>
      </c>
      <c r="AK334">
        <v>1.03</v>
      </c>
      <c r="AL334">
        <v>2.06</v>
      </c>
      <c r="AM334">
        <v>1.02</v>
      </c>
      <c r="AN334">
        <v>3.7</v>
      </c>
      <c r="AO334">
        <v>-0.37</v>
      </c>
      <c r="AP334">
        <v>0.34</v>
      </c>
      <c r="AQ334">
        <v>-1.72</v>
      </c>
    </row>
    <row r="335" spans="1:43" x14ac:dyDescent="0.25">
      <c r="A335">
        <v>-24</v>
      </c>
      <c r="B335" t="s">
        <v>57</v>
      </c>
      <c r="C335">
        <v>34.954000000000001</v>
      </c>
      <c r="D335">
        <f t="shared" si="18"/>
        <v>-119.98500000000001</v>
      </c>
      <c r="E335">
        <v>20160820</v>
      </c>
      <c r="G335">
        <v>12031</v>
      </c>
      <c r="H335">
        <v>3</v>
      </c>
      <c r="I335">
        <v>0.34</v>
      </c>
      <c r="J335">
        <v>1299</v>
      </c>
      <c r="K335">
        <v>0.39</v>
      </c>
      <c r="L335">
        <v>27.42</v>
      </c>
      <c r="M335">
        <v>41</v>
      </c>
      <c r="N335">
        <v>3.63</v>
      </c>
      <c r="O335">
        <v>16</v>
      </c>
      <c r="P335">
        <v>2105</v>
      </c>
      <c r="Q335">
        <v>7649</v>
      </c>
      <c r="R335">
        <v>2.98</v>
      </c>
      <c r="S335">
        <v>2392</v>
      </c>
      <c r="T335">
        <v>7130</v>
      </c>
      <c r="U335">
        <v>3.63</v>
      </c>
      <c r="V335">
        <v>2542</v>
      </c>
      <c r="W335">
        <v>9238</v>
      </c>
      <c r="X335">
        <v>-999</v>
      </c>
      <c r="Y335">
        <v>-999</v>
      </c>
      <c r="Z335">
        <v>-999</v>
      </c>
      <c r="AA335">
        <v>-999</v>
      </c>
      <c r="AB335">
        <v>10.79</v>
      </c>
      <c r="AC335">
        <v>16.05</v>
      </c>
      <c r="AD335">
        <v>2</v>
      </c>
      <c r="AE335">
        <v>3</v>
      </c>
      <c r="AF335">
        <v>19.41</v>
      </c>
      <c r="AG335">
        <v>13.69</v>
      </c>
      <c r="AH335">
        <v>2</v>
      </c>
      <c r="AI335">
        <v>1</v>
      </c>
      <c r="AJ335">
        <v>3</v>
      </c>
      <c r="AK335">
        <v>3.63</v>
      </c>
      <c r="AL335">
        <v>-0.19</v>
      </c>
      <c r="AM335">
        <v>0.65</v>
      </c>
      <c r="AN335">
        <v>4.04</v>
      </c>
      <c r="AO335">
        <v>4.4400000000000004</v>
      </c>
      <c r="AP335">
        <v>-3.9</v>
      </c>
      <c r="AQ335">
        <v>20.47</v>
      </c>
    </row>
    <row r="336" spans="1:43" x14ac:dyDescent="0.25">
      <c r="A336">
        <v>-24</v>
      </c>
      <c r="B336" t="s">
        <v>57</v>
      </c>
      <c r="C336">
        <v>34.954000000000001</v>
      </c>
      <c r="D336">
        <f t="shared" si="18"/>
        <v>-119.98500000000001</v>
      </c>
      <c r="E336">
        <v>20160821</v>
      </c>
      <c r="G336">
        <v>23456</v>
      </c>
      <c r="H336">
        <v>4</v>
      </c>
      <c r="I336">
        <v>2.39</v>
      </c>
      <c r="J336">
        <v>11425</v>
      </c>
      <c r="K336">
        <v>3.46</v>
      </c>
      <c r="L336">
        <v>27.07</v>
      </c>
      <c r="M336">
        <v>42</v>
      </c>
      <c r="N336">
        <v>3.4</v>
      </c>
      <c r="O336">
        <v>15</v>
      </c>
      <c r="P336">
        <v>2029</v>
      </c>
      <c r="Q336">
        <v>6902</v>
      </c>
      <c r="R336">
        <v>2.41</v>
      </c>
      <c r="S336">
        <v>2116</v>
      </c>
      <c r="T336">
        <v>5104</v>
      </c>
      <c r="U336">
        <v>3.4</v>
      </c>
      <c r="V336">
        <v>2229</v>
      </c>
      <c r="W336">
        <v>7581</v>
      </c>
      <c r="X336">
        <v>-999</v>
      </c>
      <c r="Y336">
        <v>-999</v>
      </c>
      <c r="Z336">
        <v>-999</v>
      </c>
      <c r="AA336">
        <v>-999</v>
      </c>
      <c r="AB336">
        <v>10.53</v>
      </c>
      <c r="AC336">
        <v>13.32</v>
      </c>
      <c r="AD336">
        <v>2</v>
      </c>
      <c r="AE336">
        <v>3</v>
      </c>
      <c r="AF336">
        <v>18.96</v>
      </c>
      <c r="AG336">
        <v>11.96</v>
      </c>
      <c r="AH336">
        <v>2</v>
      </c>
      <c r="AI336">
        <v>1</v>
      </c>
      <c r="AJ336">
        <v>3</v>
      </c>
      <c r="AK336">
        <v>3.26</v>
      </c>
      <c r="AL336">
        <v>0.97</v>
      </c>
      <c r="AM336">
        <v>5.09</v>
      </c>
      <c r="AN336">
        <v>0.14000000000000001</v>
      </c>
      <c r="AO336">
        <v>-0.24</v>
      </c>
      <c r="AP336">
        <v>1.69</v>
      </c>
      <c r="AQ336">
        <v>-8.6300000000000008</v>
      </c>
    </row>
    <row r="337" spans="1:43" x14ac:dyDescent="0.25">
      <c r="A337">
        <v>-24</v>
      </c>
      <c r="B337" t="s">
        <v>57</v>
      </c>
      <c r="C337">
        <v>34.954000000000001</v>
      </c>
      <c r="D337">
        <f t="shared" si="18"/>
        <v>-119.98500000000001</v>
      </c>
      <c r="E337">
        <v>20160822</v>
      </c>
      <c r="G337">
        <v>29664</v>
      </c>
      <c r="H337">
        <v>5</v>
      </c>
      <c r="I337">
        <v>1.05</v>
      </c>
      <c r="J337">
        <v>6208</v>
      </c>
      <c r="K337">
        <v>1.88</v>
      </c>
      <c r="L337">
        <v>27.52</v>
      </c>
      <c r="M337">
        <v>39</v>
      </c>
      <c r="N337">
        <v>3.24</v>
      </c>
      <c r="O337">
        <v>15</v>
      </c>
      <c r="P337">
        <v>2189</v>
      </c>
      <c r="Q337">
        <v>7087</v>
      </c>
      <c r="R337">
        <v>2.4900000000000002</v>
      </c>
      <c r="S337">
        <v>2068</v>
      </c>
      <c r="T337">
        <v>5154</v>
      </c>
      <c r="U337">
        <v>3.24</v>
      </c>
      <c r="V337">
        <v>2197</v>
      </c>
      <c r="W337">
        <v>7112</v>
      </c>
      <c r="X337">
        <v>-999</v>
      </c>
      <c r="Y337">
        <v>-999</v>
      </c>
      <c r="Z337">
        <v>-999</v>
      </c>
      <c r="AA337">
        <v>-999</v>
      </c>
      <c r="AB337">
        <v>9.91</v>
      </c>
      <c r="AC337">
        <v>12.22</v>
      </c>
      <c r="AD337">
        <v>2</v>
      </c>
      <c r="AE337">
        <v>2</v>
      </c>
      <c r="AF337">
        <v>19.260000000000002</v>
      </c>
      <c r="AG337">
        <v>5.6</v>
      </c>
      <c r="AH337">
        <v>2</v>
      </c>
      <c r="AI337">
        <v>1</v>
      </c>
      <c r="AJ337">
        <v>3</v>
      </c>
      <c r="AK337">
        <v>3.22</v>
      </c>
      <c r="AL337">
        <v>0.38</v>
      </c>
      <c r="AM337">
        <v>4.8499999999999996</v>
      </c>
      <c r="AN337">
        <v>1.83</v>
      </c>
      <c r="AO337">
        <v>-0.28000000000000003</v>
      </c>
      <c r="AP337">
        <v>-0.45</v>
      </c>
      <c r="AQ337">
        <v>1.67</v>
      </c>
    </row>
    <row r="338" spans="1:43" x14ac:dyDescent="0.25">
      <c r="A338">
        <v>-24</v>
      </c>
      <c r="B338" t="s">
        <v>57</v>
      </c>
      <c r="C338">
        <v>34.954000000000001</v>
      </c>
      <c r="D338">
        <f t="shared" si="18"/>
        <v>-119.98500000000001</v>
      </c>
      <c r="E338">
        <v>20160823</v>
      </c>
      <c r="G338">
        <v>31255</v>
      </c>
      <c r="H338">
        <v>6</v>
      </c>
      <c r="I338">
        <v>0.25</v>
      </c>
      <c r="J338">
        <v>1591</v>
      </c>
      <c r="K338">
        <v>0.48</v>
      </c>
      <c r="L338">
        <v>30.27</v>
      </c>
      <c r="M338">
        <v>32</v>
      </c>
      <c r="N338">
        <v>3.67</v>
      </c>
      <c r="O338">
        <v>18</v>
      </c>
      <c r="P338">
        <v>2843</v>
      </c>
      <c r="Q338">
        <v>10418</v>
      </c>
      <c r="R338">
        <v>3.51</v>
      </c>
      <c r="S338">
        <v>2756</v>
      </c>
      <c r="T338">
        <v>9662</v>
      </c>
      <c r="U338">
        <v>3.67</v>
      </c>
      <c r="V338">
        <v>2844</v>
      </c>
      <c r="W338">
        <v>10423</v>
      </c>
      <c r="X338">
        <v>-999</v>
      </c>
      <c r="Y338">
        <v>-999</v>
      </c>
      <c r="Z338">
        <v>-999</v>
      </c>
      <c r="AA338">
        <v>-999</v>
      </c>
      <c r="AB338">
        <v>13.51</v>
      </c>
      <c r="AC338">
        <v>14</v>
      </c>
      <c r="AD338">
        <v>3</v>
      </c>
      <c r="AE338">
        <v>3</v>
      </c>
      <c r="AF338">
        <v>15.69</v>
      </c>
      <c r="AG338">
        <v>9.3800000000000008</v>
      </c>
      <c r="AH338">
        <v>1</v>
      </c>
      <c r="AI338">
        <v>1</v>
      </c>
      <c r="AJ338">
        <v>2</v>
      </c>
      <c r="AK338">
        <v>3.55</v>
      </c>
      <c r="AL338">
        <v>-0.9</v>
      </c>
      <c r="AM338">
        <v>4.57</v>
      </c>
      <c r="AN338">
        <v>1.38</v>
      </c>
      <c r="AO338">
        <v>0.28999999999999998</v>
      </c>
      <c r="AP338">
        <v>-2.5099999999999998</v>
      </c>
      <c r="AQ338">
        <v>11.86</v>
      </c>
    </row>
    <row r="339" spans="1:43" x14ac:dyDescent="0.25">
      <c r="A339">
        <v>-24</v>
      </c>
      <c r="B339" t="s">
        <v>57</v>
      </c>
      <c r="C339">
        <v>34.954000000000001</v>
      </c>
      <c r="D339">
        <f t="shared" si="18"/>
        <v>-119.98500000000001</v>
      </c>
      <c r="E339">
        <v>20160824</v>
      </c>
      <c r="G339">
        <v>31965</v>
      </c>
      <c r="H339">
        <v>7</v>
      </c>
      <c r="I339">
        <v>0.11</v>
      </c>
      <c r="J339">
        <v>710</v>
      </c>
      <c r="K339">
        <v>0.22</v>
      </c>
      <c r="L339">
        <v>32.25</v>
      </c>
      <c r="M339">
        <v>24</v>
      </c>
      <c r="N339">
        <v>2.87</v>
      </c>
      <c r="O339">
        <v>16</v>
      </c>
      <c r="P339">
        <v>3538</v>
      </c>
      <c r="Q339">
        <v>10165</v>
      </c>
      <c r="R339">
        <v>2.5099999999999998</v>
      </c>
      <c r="S339">
        <v>3422</v>
      </c>
      <c r="T339">
        <v>8590</v>
      </c>
      <c r="U339">
        <v>2.87</v>
      </c>
      <c r="V339">
        <v>3491</v>
      </c>
      <c r="W339">
        <v>10032</v>
      </c>
      <c r="X339">
        <v>-999</v>
      </c>
      <c r="Y339">
        <v>-999</v>
      </c>
      <c r="Z339">
        <v>-999</v>
      </c>
      <c r="AA339">
        <v>-999</v>
      </c>
      <c r="AB339">
        <v>15.67</v>
      </c>
      <c r="AC339">
        <v>18.350000000000001</v>
      </c>
      <c r="AD339">
        <v>3</v>
      </c>
      <c r="AE339">
        <v>3</v>
      </c>
      <c r="AF339">
        <v>14.95</v>
      </c>
      <c r="AG339">
        <v>8.34</v>
      </c>
      <c r="AH339">
        <v>1</v>
      </c>
      <c r="AI339">
        <v>1</v>
      </c>
      <c r="AJ339">
        <v>2</v>
      </c>
      <c r="AK339">
        <v>2.72</v>
      </c>
      <c r="AL339">
        <v>-0.93</v>
      </c>
      <c r="AM339">
        <v>4.8600000000000003</v>
      </c>
      <c r="AN339">
        <v>-1.1299999999999999</v>
      </c>
      <c r="AO339">
        <v>-0.93</v>
      </c>
      <c r="AP339">
        <v>-0.75</v>
      </c>
      <c r="AQ339">
        <v>4.7</v>
      </c>
    </row>
    <row r="340" spans="1:43" x14ac:dyDescent="0.25">
      <c r="A340">
        <v>-24</v>
      </c>
      <c r="B340" t="s">
        <v>57</v>
      </c>
      <c r="C340">
        <v>34.954000000000001</v>
      </c>
      <c r="D340">
        <f t="shared" si="18"/>
        <v>-119.98500000000001</v>
      </c>
      <c r="E340">
        <v>20160825</v>
      </c>
      <c r="G340">
        <v>33006</v>
      </c>
      <c r="H340">
        <v>8</v>
      </c>
      <c r="I340">
        <v>0.16</v>
      </c>
      <c r="J340">
        <v>1041</v>
      </c>
      <c r="K340">
        <v>0.32</v>
      </c>
      <c r="L340">
        <v>25.52</v>
      </c>
      <c r="M340">
        <v>48</v>
      </c>
      <c r="N340">
        <v>3.54</v>
      </c>
      <c r="O340">
        <v>14</v>
      </c>
      <c r="P340">
        <v>1666</v>
      </c>
      <c r="Q340">
        <v>5888</v>
      </c>
      <c r="R340">
        <v>2.82</v>
      </c>
      <c r="S340">
        <v>1528</v>
      </c>
      <c r="T340">
        <v>4309</v>
      </c>
      <c r="U340">
        <v>3.54</v>
      </c>
      <c r="V340">
        <v>1644</v>
      </c>
      <c r="W340">
        <v>5811</v>
      </c>
      <c r="X340">
        <v>-999</v>
      </c>
      <c r="Y340">
        <v>-999</v>
      </c>
      <c r="Z340">
        <v>-999</v>
      </c>
      <c r="AA340">
        <v>-999</v>
      </c>
      <c r="AB340">
        <v>10</v>
      </c>
      <c r="AC340">
        <v>10.130000000000001</v>
      </c>
      <c r="AD340">
        <v>2</v>
      </c>
      <c r="AE340">
        <v>2</v>
      </c>
      <c r="AF340">
        <v>16.12</v>
      </c>
      <c r="AG340">
        <v>7.86</v>
      </c>
      <c r="AH340">
        <v>1</v>
      </c>
      <c r="AI340">
        <v>1</v>
      </c>
      <c r="AJ340">
        <v>2</v>
      </c>
      <c r="AK340">
        <v>3.53</v>
      </c>
      <c r="AL340">
        <v>0.25</v>
      </c>
      <c r="AM340">
        <v>3.93</v>
      </c>
      <c r="AN340">
        <v>-1.88</v>
      </c>
      <c r="AO340">
        <v>0.34</v>
      </c>
      <c r="AP340">
        <v>3.22</v>
      </c>
      <c r="AQ340">
        <v>-13.29</v>
      </c>
    </row>
    <row r="341" spans="1:43" x14ac:dyDescent="0.25">
      <c r="A341">
        <v>-24</v>
      </c>
      <c r="B341" t="s">
        <v>57</v>
      </c>
      <c r="C341">
        <v>34.954000000000001</v>
      </c>
      <c r="D341">
        <f t="shared" si="18"/>
        <v>-119.98500000000001</v>
      </c>
      <c r="E341">
        <v>20160826</v>
      </c>
      <c r="G341">
        <v>33007</v>
      </c>
      <c r="H341">
        <v>9</v>
      </c>
      <c r="I341">
        <v>0</v>
      </c>
      <c r="J341">
        <v>1</v>
      </c>
      <c r="K341">
        <v>0</v>
      </c>
      <c r="L341">
        <v>23.07</v>
      </c>
      <c r="M341">
        <v>55</v>
      </c>
      <c r="N341">
        <v>3.18</v>
      </c>
      <c r="O341">
        <v>12</v>
      </c>
      <c r="P341">
        <v>1250</v>
      </c>
      <c r="Q341">
        <v>3982</v>
      </c>
      <c r="R341">
        <v>2.73</v>
      </c>
      <c r="S341">
        <v>1240</v>
      </c>
      <c r="T341">
        <v>3385</v>
      </c>
      <c r="U341">
        <v>3.18</v>
      </c>
      <c r="V341">
        <v>1344</v>
      </c>
      <c r="W341">
        <v>4280</v>
      </c>
      <c r="X341">
        <v>-999</v>
      </c>
      <c r="Y341">
        <v>-999</v>
      </c>
      <c r="Z341">
        <v>-999</v>
      </c>
      <c r="AA341">
        <v>-999</v>
      </c>
      <c r="AB341">
        <v>10.65</v>
      </c>
      <c r="AC341">
        <v>10.32</v>
      </c>
      <c r="AD341">
        <v>2</v>
      </c>
      <c r="AE341">
        <v>2</v>
      </c>
      <c r="AF341">
        <v>15.63</v>
      </c>
      <c r="AG341">
        <v>7.5</v>
      </c>
      <c r="AH341">
        <v>1</v>
      </c>
      <c r="AI341">
        <v>1</v>
      </c>
      <c r="AJ341">
        <v>2</v>
      </c>
      <c r="AK341">
        <v>3.13</v>
      </c>
      <c r="AL341">
        <v>-0.56000000000000005</v>
      </c>
      <c r="AM341">
        <v>4.26</v>
      </c>
      <c r="AN341">
        <v>1.34</v>
      </c>
      <c r="AO341">
        <v>-1.59</v>
      </c>
      <c r="AP341">
        <v>-0.84</v>
      </c>
      <c r="AQ341">
        <v>1.46</v>
      </c>
    </row>
    <row r="342" spans="1:43" x14ac:dyDescent="0.25">
      <c r="A342">
        <v>-24</v>
      </c>
      <c r="B342" t="s">
        <v>57</v>
      </c>
      <c r="C342">
        <v>34.954000000000001</v>
      </c>
      <c r="D342">
        <f t="shared" si="18"/>
        <v>-119.98500000000001</v>
      </c>
      <c r="E342">
        <v>20160827</v>
      </c>
      <c r="G342">
        <v>33011</v>
      </c>
      <c r="H342">
        <v>10</v>
      </c>
      <c r="I342">
        <v>0</v>
      </c>
      <c r="J342">
        <v>4</v>
      </c>
      <c r="K342">
        <v>0</v>
      </c>
      <c r="L342">
        <v>25.63</v>
      </c>
      <c r="M342">
        <v>46</v>
      </c>
      <c r="N342">
        <v>3.81</v>
      </c>
      <c r="O342">
        <v>16</v>
      </c>
      <c r="P342">
        <v>1740</v>
      </c>
      <c r="Q342">
        <v>6626</v>
      </c>
      <c r="R342">
        <v>3.18</v>
      </c>
      <c r="S342">
        <v>1547</v>
      </c>
      <c r="T342">
        <v>4913</v>
      </c>
      <c r="U342">
        <v>3.81</v>
      </c>
      <c r="V342">
        <v>1718</v>
      </c>
      <c r="W342">
        <v>6540</v>
      </c>
      <c r="X342">
        <v>-999</v>
      </c>
      <c r="Y342">
        <v>-999</v>
      </c>
      <c r="Z342">
        <v>-999</v>
      </c>
      <c r="AA342">
        <v>-999</v>
      </c>
      <c r="AB342">
        <v>10.210000000000001</v>
      </c>
      <c r="AC342">
        <v>9.5399999999999991</v>
      </c>
      <c r="AD342">
        <v>2</v>
      </c>
      <c r="AE342">
        <v>2</v>
      </c>
      <c r="AF342">
        <v>16.59</v>
      </c>
      <c r="AG342">
        <v>7.35</v>
      </c>
      <c r="AH342">
        <v>1</v>
      </c>
      <c r="AI342">
        <v>1</v>
      </c>
      <c r="AJ342">
        <v>2</v>
      </c>
      <c r="AK342">
        <v>3.74</v>
      </c>
      <c r="AL342">
        <v>-0.71</v>
      </c>
      <c r="AM342">
        <v>2.68</v>
      </c>
      <c r="AN342">
        <v>0.5</v>
      </c>
      <c r="AO342">
        <v>2.0299999999999998</v>
      </c>
      <c r="AP342">
        <v>-0.7</v>
      </c>
      <c r="AQ342">
        <v>2.88</v>
      </c>
    </row>
    <row r="344" spans="1:43" x14ac:dyDescent="0.25">
      <c r="A344">
        <v>-25</v>
      </c>
      <c r="B344" t="s">
        <v>58</v>
      </c>
      <c r="C344">
        <v>41.811999999999998</v>
      </c>
      <c r="D344">
        <f>-122.833</f>
        <v>-122.833</v>
      </c>
      <c r="E344">
        <v>20220729</v>
      </c>
      <c r="G344">
        <v>158</v>
      </c>
      <c r="H344">
        <v>1</v>
      </c>
      <c r="I344">
        <v>1.281747306</v>
      </c>
      <c r="J344">
        <v>158</v>
      </c>
      <c r="K344">
        <v>6.5715046250000006E-2</v>
      </c>
    </row>
    <row r="345" spans="1:43" x14ac:dyDescent="0.25">
      <c r="A345">
        <v>-25</v>
      </c>
      <c r="B345" t="s">
        <v>58</v>
      </c>
      <c r="C345">
        <v>41.811999999999998</v>
      </c>
      <c r="D345">
        <f t="shared" ref="D345:D369" si="19">-122.833</f>
        <v>-122.833</v>
      </c>
      <c r="E345">
        <v>20220730</v>
      </c>
      <c r="G345">
        <v>29677</v>
      </c>
      <c r="H345">
        <v>2</v>
      </c>
      <c r="I345">
        <v>17.56644451</v>
      </c>
      <c r="J345">
        <v>29519</v>
      </c>
      <c r="K345">
        <v>12.27748386</v>
      </c>
    </row>
    <row r="346" spans="1:43" x14ac:dyDescent="0.25">
      <c r="A346">
        <v>-25</v>
      </c>
      <c r="B346" t="s">
        <v>58</v>
      </c>
      <c r="C346">
        <v>41.811999999999998</v>
      </c>
      <c r="D346">
        <f t="shared" si="19"/>
        <v>-122.833</v>
      </c>
      <c r="E346">
        <v>20220731</v>
      </c>
      <c r="G346">
        <v>51468</v>
      </c>
      <c r="H346">
        <v>3</v>
      </c>
      <c r="I346">
        <v>5.5671178819999998</v>
      </c>
      <c r="J346">
        <v>21791</v>
      </c>
      <c r="K346">
        <v>9.0632694479999998</v>
      </c>
    </row>
    <row r="347" spans="1:43" x14ac:dyDescent="0.25">
      <c r="A347">
        <v>-25</v>
      </c>
      <c r="B347" t="s">
        <v>58</v>
      </c>
      <c r="C347">
        <v>41.811999999999998</v>
      </c>
      <c r="D347">
        <f t="shared" si="19"/>
        <v>-122.833</v>
      </c>
      <c r="E347">
        <v>20220801</v>
      </c>
      <c r="G347">
        <v>55493</v>
      </c>
      <c r="H347">
        <v>4</v>
      </c>
      <c r="I347">
        <v>0.88754206069999997</v>
      </c>
      <c r="J347">
        <v>4025</v>
      </c>
      <c r="K347">
        <v>1.6740700070000001</v>
      </c>
    </row>
    <row r="348" spans="1:43" x14ac:dyDescent="0.25">
      <c r="A348">
        <v>-25</v>
      </c>
      <c r="B348" t="s">
        <v>58</v>
      </c>
      <c r="C348">
        <v>41.811999999999998</v>
      </c>
      <c r="D348">
        <f t="shared" si="19"/>
        <v>-122.833</v>
      </c>
      <c r="E348">
        <v>20220802</v>
      </c>
      <c r="G348">
        <v>56309</v>
      </c>
      <c r="H348">
        <v>5</v>
      </c>
      <c r="I348">
        <v>0.1759653414</v>
      </c>
      <c r="J348">
        <v>816</v>
      </c>
      <c r="K348">
        <v>0.33938909960000002</v>
      </c>
    </row>
    <row r="349" spans="1:43" x14ac:dyDescent="0.25">
      <c r="A349">
        <v>-25</v>
      </c>
      <c r="B349" t="s">
        <v>58</v>
      </c>
      <c r="C349">
        <v>41.811999999999998</v>
      </c>
      <c r="D349">
        <f t="shared" si="19"/>
        <v>-122.833</v>
      </c>
      <c r="E349">
        <v>20220803</v>
      </c>
      <c r="G349">
        <v>57521</v>
      </c>
      <c r="H349">
        <v>6</v>
      </c>
      <c r="I349">
        <v>0.25902356630000001</v>
      </c>
      <c r="J349">
        <v>1212</v>
      </c>
      <c r="K349">
        <v>0.50409263329999998</v>
      </c>
    </row>
    <row r="350" spans="1:43" x14ac:dyDescent="0.25">
      <c r="A350">
        <v>-25</v>
      </c>
      <c r="B350" t="s">
        <v>58</v>
      </c>
      <c r="C350">
        <v>41.811999999999998</v>
      </c>
      <c r="D350">
        <f t="shared" si="19"/>
        <v>-122.833</v>
      </c>
      <c r="E350">
        <v>20220804</v>
      </c>
      <c r="G350">
        <v>58667</v>
      </c>
      <c r="H350">
        <v>7</v>
      </c>
      <c r="I350">
        <v>0.24241982479999999</v>
      </c>
      <c r="J350">
        <v>1146</v>
      </c>
      <c r="K350">
        <v>0.47664204430000001</v>
      </c>
    </row>
    <row r="351" spans="1:43" x14ac:dyDescent="0.25">
      <c r="A351">
        <v>-25</v>
      </c>
      <c r="B351" t="s">
        <v>58</v>
      </c>
      <c r="C351">
        <v>41.811999999999998</v>
      </c>
      <c r="D351">
        <f t="shared" si="19"/>
        <v>-122.833</v>
      </c>
      <c r="E351">
        <v>20220805</v>
      </c>
      <c r="G351">
        <v>59668</v>
      </c>
      <c r="H351">
        <v>7</v>
      </c>
      <c r="I351">
        <v>0.20981678419999999</v>
      </c>
      <c r="J351">
        <v>1001</v>
      </c>
      <c r="K351">
        <v>0.41633393229999999</v>
      </c>
    </row>
    <row r="352" spans="1:43" x14ac:dyDescent="0.25">
      <c r="A352">
        <v>-25</v>
      </c>
      <c r="B352" t="s">
        <v>58</v>
      </c>
      <c r="C352">
        <v>41.811999999999998</v>
      </c>
      <c r="D352">
        <f t="shared" si="19"/>
        <v>-122.833</v>
      </c>
      <c r="E352">
        <v>20220806</v>
      </c>
      <c r="G352">
        <v>60044</v>
      </c>
      <c r="H352">
        <v>8</v>
      </c>
      <c r="I352">
        <v>7.8357109889999998E-2</v>
      </c>
      <c r="J352">
        <v>376</v>
      </c>
      <c r="K352">
        <v>0.15638517339999999</v>
      </c>
    </row>
    <row r="353" spans="1:11" x14ac:dyDescent="0.25">
      <c r="A353">
        <v>-25</v>
      </c>
      <c r="B353" t="s">
        <v>58</v>
      </c>
      <c r="C353">
        <v>41.811999999999998</v>
      </c>
      <c r="D353">
        <f t="shared" si="19"/>
        <v>-122.833</v>
      </c>
      <c r="E353">
        <v>20220807</v>
      </c>
      <c r="G353">
        <v>60271</v>
      </c>
      <c r="H353">
        <v>9</v>
      </c>
      <c r="I353">
        <v>4.718728984E-2</v>
      </c>
      <c r="J353">
        <v>227</v>
      </c>
      <c r="K353">
        <v>9.4413389230000005E-2</v>
      </c>
    </row>
    <row r="354" spans="1:11" x14ac:dyDescent="0.25">
      <c r="A354">
        <v>-25</v>
      </c>
      <c r="B354" t="s">
        <v>58</v>
      </c>
      <c r="C354">
        <v>41.811999999999998</v>
      </c>
      <c r="D354">
        <f t="shared" si="19"/>
        <v>-122.833</v>
      </c>
      <c r="E354">
        <v>20220808</v>
      </c>
      <c r="G354">
        <v>60302</v>
      </c>
      <c r="H354">
        <v>10</v>
      </c>
      <c r="I354">
        <v>6.4371782610000003E-3</v>
      </c>
      <c r="J354">
        <v>31</v>
      </c>
      <c r="K354">
        <v>1.289345844E-2</v>
      </c>
    </row>
    <row r="355" spans="1:11" x14ac:dyDescent="0.25">
      <c r="A355">
        <v>-25</v>
      </c>
      <c r="B355" t="s">
        <v>58</v>
      </c>
      <c r="C355">
        <v>41.811999999999998</v>
      </c>
      <c r="D355">
        <f t="shared" si="19"/>
        <v>-122.833</v>
      </c>
      <c r="E355">
        <v>20220809</v>
      </c>
      <c r="G355">
        <v>60312</v>
      </c>
      <c r="H355">
        <v>11</v>
      </c>
      <c r="I355">
        <v>2.0761561399999999E-3</v>
      </c>
      <c r="J355">
        <v>10</v>
      </c>
      <c r="K355">
        <v>4.1591801419999996E-3</v>
      </c>
    </row>
    <row r="356" spans="1:11" x14ac:dyDescent="0.25">
      <c r="A356">
        <v>-25</v>
      </c>
      <c r="B356" t="s">
        <v>58</v>
      </c>
      <c r="C356">
        <v>41.811999999999998</v>
      </c>
      <c r="D356">
        <f t="shared" si="19"/>
        <v>-122.833</v>
      </c>
      <c r="E356">
        <v>20220810</v>
      </c>
      <c r="G356">
        <v>60320</v>
      </c>
      <c r="H356">
        <v>12</v>
      </c>
      <c r="I356">
        <v>1.66080099E-3</v>
      </c>
      <c r="J356">
        <v>8</v>
      </c>
      <c r="K356">
        <v>3.3273441139999999E-3</v>
      </c>
    </row>
    <row r="357" spans="1:11" x14ac:dyDescent="0.25">
      <c r="A357">
        <v>-25</v>
      </c>
      <c r="B357" t="s">
        <v>58</v>
      </c>
      <c r="C357">
        <v>41.811999999999998</v>
      </c>
      <c r="D357">
        <f t="shared" si="19"/>
        <v>-122.833</v>
      </c>
      <c r="E357">
        <v>20220811</v>
      </c>
      <c r="G357">
        <v>60320</v>
      </c>
      <c r="H357">
        <v>13</v>
      </c>
      <c r="I357">
        <v>0</v>
      </c>
      <c r="J357">
        <v>0</v>
      </c>
      <c r="K357">
        <v>0</v>
      </c>
    </row>
    <row r="358" spans="1:11" x14ac:dyDescent="0.25">
      <c r="A358">
        <v>-25</v>
      </c>
      <c r="B358" t="s">
        <v>58</v>
      </c>
      <c r="C358">
        <v>41.811999999999998</v>
      </c>
      <c r="D358">
        <f t="shared" si="19"/>
        <v>-122.833</v>
      </c>
      <c r="E358">
        <v>20220812</v>
      </c>
      <c r="G358">
        <v>60320</v>
      </c>
      <c r="H358">
        <v>14</v>
      </c>
      <c r="I358">
        <v>0</v>
      </c>
      <c r="J358">
        <v>0</v>
      </c>
      <c r="K358">
        <v>0</v>
      </c>
    </row>
    <row r="359" spans="1:11" x14ac:dyDescent="0.25">
      <c r="A359">
        <v>-25</v>
      </c>
      <c r="B359" t="s">
        <v>58</v>
      </c>
      <c r="C359">
        <v>41.811999999999998</v>
      </c>
      <c r="D359">
        <f t="shared" si="19"/>
        <v>-122.833</v>
      </c>
      <c r="E359">
        <v>20220813</v>
      </c>
      <c r="G359">
        <v>60320</v>
      </c>
      <c r="H359">
        <v>15</v>
      </c>
      <c r="I359">
        <v>0</v>
      </c>
      <c r="J359">
        <v>0</v>
      </c>
      <c r="K359">
        <v>0</v>
      </c>
    </row>
    <row r="360" spans="1:11" x14ac:dyDescent="0.25">
      <c r="A360">
        <v>-25</v>
      </c>
      <c r="B360" t="s">
        <v>58</v>
      </c>
      <c r="C360">
        <v>41.811999999999998</v>
      </c>
      <c r="D360">
        <f t="shared" si="19"/>
        <v>-122.833</v>
      </c>
      <c r="E360">
        <v>20220814</v>
      </c>
      <c r="G360">
        <v>60320</v>
      </c>
      <c r="H360">
        <v>16</v>
      </c>
      <c r="I360">
        <v>0</v>
      </c>
      <c r="J360">
        <v>0</v>
      </c>
      <c r="K360">
        <v>0</v>
      </c>
    </row>
    <row r="361" spans="1:11" x14ac:dyDescent="0.25">
      <c r="A361">
        <v>-25</v>
      </c>
      <c r="B361" t="s">
        <v>58</v>
      </c>
      <c r="C361">
        <v>41.811999999999998</v>
      </c>
      <c r="D361">
        <f t="shared" si="19"/>
        <v>-122.833</v>
      </c>
      <c r="E361">
        <v>20220815</v>
      </c>
      <c r="G361">
        <v>60320</v>
      </c>
      <c r="H361">
        <v>17</v>
      </c>
      <c r="I361">
        <v>0</v>
      </c>
      <c r="J361">
        <v>0</v>
      </c>
      <c r="K361">
        <v>0</v>
      </c>
    </row>
    <row r="362" spans="1:11" x14ac:dyDescent="0.25">
      <c r="A362">
        <v>-25</v>
      </c>
      <c r="B362" t="s">
        <v>58</v>
      </c>
      <c r="C362">
        <v>41.811999999999998</v>
      </c>
      <c r="D362">
        <f t="shared" si="19"/>
        <v>-122.833</v>
      </c>
      <c r="E362">
        <v>20220816</v>
      </c>
      <c r="G362">
        <v>60320</v>
      </c>
      <c r="H362">
        <v>18</v>
      </c>
      <c r="I362">
        <v>0</v>
      </c>
      <c r="J362">
        <v>0</v>
      </c>
      <c r="K362">
        <v>0</v>
      </c>
    </row>
    <row r="363" spans="1:11" x14ac:dyDescent="0.25">
      <c r="A363">
        <v>-25</v>
      </c>
      <c r="B363" t="s">
        <v>58</v>
      </c>
      <c r="C363">
        <v>41.811999999999998</v>
      </c>
      <c r="D363">
        <f t="shared" si="19"/>
        <v>-122.833</v>
      </c>
      <c r="E363">
        <v>20220817</v>
      </c>
      <c r="G363">
        <v>60392</v>
      </c>
      <c r="H363">
        <v>19</v>
      </c>
      <c r="I363">
        <v>1.4942255729999999E-2</v>
      </c>
      <c r="J363">
        <v>72</v>
      </c>
      <c r="K363">
        <v>2.994609703E-2</v>
      </c>
    </row>
    <row r="364" spans="1:11" x14ac:dyDescent="0.25">
      <c r="A364">
        <v>-25</v>
      </c>
      <c r="B364" t="s">
        <v>58</v>
      </c>
      <c r="C364">
        <v>41.811999999999998</v>
      </c>
      <c r="D364">
        <f t="shared" si="19"/>
        <v>-122.833</v>
      </c>
      <c r="E364">
        <v>20220818</v>
      </c>
      <c r="G364">
        <v>60392</v>
      </c>
      <c r="H364">
        <v>20</v>
      </c>
      <c r="I364">
        <v>0</v>
      </c>
      <c r="J364">
        <v>0</v>
      </c>
      <c r="K364">
        <v>0</v>
      </c>
    </row>
    <row r="365" spans="1:11" x14ac:dyDescent="0.25">
      <c r="A365">
        <v>-25</v>
      </c>
      <c r="B365" t="s">
        <v>58</v>
      </c>
      <c r="C365">
        <v>41.811999999999998</v>
      </c>
      <c r="D365">
        <f t="shared" si="19"/>
        <v>-122.833</v>
      </c>
      <c r="E365">
        <v>20220819</v>
      </c>
      <c r="G365">
        <v>60392</v>
      </c>
      <c r="H365">
        <v>21</v>
      </c>
      <c r="I365">
        <v>0</v>
      </c>
      <c r="J365">
        <v>0</v>
      </c>
      <c r="K365">
        <v>0</v>
      </c>
    </row>
    <row r="366" spans="1:11" x14ac:dyDescent="0.25">
      <c r="A366">
        <v>-25</v>
      </c>
      <c r="B366" t="s">
        <v>58</v>
      </c>
      <c r="C366">
        <v>41.811999999999998</v>
      </c>
      <c r="D366">
        <f t="shared" si="19"/>
        <v>-122.833</v>
      </c>
      <c r="E366">
        <v>20220820</v>
      </c>
      <c r="G366">
        <v>60146</v>
      </c>
      <c r="H366">
        <v>22</v>
      </c>
      <c r="I366">
        <v>-5.108956613E-2</v>
      </c>
      <c r="J366">
        <v>-246</v>
      </c>
      <c r="K366">
        <v>-0.1023158315</v>
      </c>
    </row>
    <row r="367" spans="1:11" x14ac:dyDescent="0.25">
      <c r="A367">
        <v>-25</v>
      </c>
      <c r="B367" t="s">
        <v>58</v>
      </c>
      <c r="C367">
        <v>41.811999999999998</v>
      </c>
      <c r="D367">
        <f t="shared" si="19"/>
        <v>-122.833</v>
      </c>
      <c r="E367">
        <v>20220821</v>
      </c>
      <c r="G367">
        <v>60097</v>
      </c>
      <c r="H367">
        <v>23</v>
      </c>
      <c r="I367">
        <v>-1.0188847440000001E-2</v>
      </c>
      <c r="J367">
        <v>-49</v>
      </c>
      <c r="K367">
        <v>-2.03799827E-2</v>
      </c>
    </row>
    <row r="368" spans="1:11" x14ac:dyDescent="0.25">
      <c r="A368">
        <v>-25</v>
      </c>
      <c r="B368" t="s">
        <v>58</v>
      </c>
      <c r="C368">
        <v>41.811999999999998</v>
      </c>
      <c r="D368">
        <f t="shared" si="19"/>
        <v>-122.833</v>
      </c>
      <c r="E368">
        <v>20220822</v>
      </c>
      <c r="G368">
        <v>60075</v>
      </c>
      <c r="H368">
        <v>24</v>
      </c>
      <c r="I368">
        <v>-4.5759356670000001E-3</v>
      </c>
      <c r="J368">
        <v>-22</v>
      </c>
      <c r="K368">
        <v>-9.1501963130000002E-3</v>
      </c>
    </row>
    <row r="369" spans="1:11" x14ac:dyDescent="0.25">
      <c r="A369">
        <v>-25</v>
      </c>
      <c r="B369" t="s">
        <v>58</v>
      </c>
      <c r="C369">
        <v>41.811999999999998</v>
      </c>
      <c r="D369">
        <f t="shared" si="19"/>
        <v>-122.833</v>
      </c>
      <c r="E369">
        <v>20220823</v>
      </c>
      <c r="G369">
        <v>60108</v>
      </c>
      <c r="H369">
        <v>25</v>
      </c>
      <c r="I369">
        <v>6.8635894119999999E-3</v>
      </c>
      <c r="J369">
        <v>33</v>
      </c>
      <c r="K369">
        <v>1.372529447E-2</v>
      </c>
    </row>
    <row r="371" spans="1:11" x14ac:dyDescent="0.25">
      <c r="A371">
        <v>-26</v>
      </c>
      <c r="B371" t="s">
        <v>59</v>
      </c>
      <c r="C371">
        <v>44.829000000000001</v>
      </c>
      <c r="D371">
        <v>-121.41200000000001</v>
      </c>
      <c r="E371">
        <v>20150812</v>
      </c>
      <c r="G371">
        <v>9000</v>
      </c>
      <c r="H371">
        <v>1</v>
      </c>
      <c r="I371">
        <v>8.050756303</v>
      </c>
      <c r="J371">
        <v>9000</v>
      </c>
      <c r="K371">
        <v>2.946121684</v>
      </c>
    </row>
    <row r="372" spans="1:11" x14ac:dyDescent="0.25">
      <c r="A372">
        <v>-26</v>
      </c>
      <c r="B372" t="s">
        <v>59</v>
      </c>
      <c r="C372">
        <v>44.829000000000001</v>
      </c>
      <c r="D372">
        <v>-121.41200000000001</v>
      </c>
      <c r="E372">
        <v>20150813</v>
      </c>
      <c r="H372">
        <v>2</v>
      </c>
      <c r="I372">
        <v>0</v>
      </c>
      <c r="J372">
        <v>0</v>
      </c>
      <c r="K372">
        <v>0</v>
      </c>
    </row>
    <row r="373" spans="1:11" x14ac:dyDescent="0.25">
      <c r="A373">
        <v>-26</v>
      </c>
      <c r="B373" t="s">
        <v>59</v>
      </c>
      <c r="C373">
        <v>44.829000000000001</v>
      </c>
      <c r="D373">
        <v>-121.41200000000001</v>
      </c>
      <c r="E373">
        <v>20150814</v>
      </c>
      <c r="G373">
        <v>55200</v>
      </c>
      <c r="H373">
        <v>3</v>
      </c>
      <c r="I373">
        <v>7.8255492310000001</v>
      </c>
      <c r="J373">
        <v>26000</v>
      </c>
      <c r="K373">
        <v>8.5110181980000004</v>
      </c>
    </row>
    <row r="374" spans="1:11" x14ac:dyDescent="0.25">
      <c r="A374">
        <v>-26</v>
      </c>
      <c r="B374" t="s">
        <v>59</v>
      </c>
      <c r="C374">
        <v>44.829000000000001</v>
      </c>
      <c r="D374">
        <v>-121.41200000000001</v>
      </c>
      <c r="E374">
        <v>20150815</v>
      </c>
      <c r="G374">
        <v>55200</v>
      </c>
      <c r="H374">
        <v>4</v>
      </c>
      <c r="I374">
        <v>0.74698459699999997</v>
      </c>
      <c r="J374">
        <v>3371</v>
      </c>
      <c r="K374">
        <v>1.1034862439999999</v>
      </c>
    </row>
    <row r="375" spans="1:11" x14ac:dyDescent="0.25">
      <c r="A375">
        <v>-26</v>
      </c>
      <c r="B375" t="s">
        <v>59</v>
      </c>
      <c r="C375">
        <v>44.829000000000001</v>
      </c>
      <c r="D375">
        <v>-121.41200000000001</v>
      </c>
      <c r="E375">
        <v>20150816</v>
      </c>
      <c r="G375">
        <v>55400</v>
      </c>
      <c r="H375">
        <v>5</v>
      </c>
      <c r="I375">
        <v>3.339952238</v>
      </c>
      <c r="J375">
        <v>16968</v>
      </c>
      <c r="K375">
        <v>5.5544214140000001</v>
      </c>
    </row>
    <row r="376" spans="1:11" x14ac:dyDescent="0.25">
      <c r="A376">
        <v>-26</v>
      </c>
      <c r="B376" t="s">
        <v>59</v>
      </c>
      <c r="C376">
        <v>44.829000000000001</v>
      </c>
      <c r="D376">
        <v>-121.41200000000001</v>
      </c>
      <c r="E376">
        <v>20150817</v>
      </c>
      <c r="G376">
        <v>59900</v>
      </c>
      <c r="H376">
        <v>6</v>
      </c>
      <c r="I376">
        <v>0.77446685400000004</v>
      </c>
      <c r="J376">
        <v>4377</v>
      </c>
      <c r="K376">
        <v>1.432797179</v>
      </c>
    </row>
    <row r="377" spans="1:11" x14ac:dyDescent="0.25">
      <c r="A377">
        <v>-26</v>
      </c>
      <c r="B377" t="s">
        <v>59</v>
      </c>
      <c r="C377">
        <v>44.829000000000001</v>
      </c>
      <c r="D377">
        <v>-121.41200000000001</v>
      </c>
      <c r="E377">
        <v>20150818</v>
      </c>
      <c r="G377">
        <v>62000</v>
      </c>
      <c r="H377">
        <v>7</v>
      </c>
      <c r="I377">
        <v>0.39593073509999999</v>
      </c>
      <c r="J377">
        <v>2302</v>
      </c>
      <c r="K377">
        <v>0.75355245729999998</v>
      </c>
    </row>
    <row r="378" spans="1:11" x14ac:dyDescent="0.25">
      <c r="A378">
        <v>-26</v>
      </c>
      <c r="B378" t="s">
        <v>59</v>
      </c>
      <c r="C378">
        <v>44.829000000000001</v>
      </c>
      <c r="D378">
        <v>-121.41200000000001</v>
      </c>
      <c r="E378">
        <v>20150819</v>
      </c>
      <c r="G378">
        <v>63600</v>
      </c>
      <c r="H378">
        <v>8</v>
      </c>
      <c r="I378">
        <v>0.26010779119999999</v>
      </c>
      <c r="J378">
        <v>1536</v>
      </c>
      <c r="K378">
        <v>0.50280476740000002</v>
      </c>
    </row>
    <row r="379" spans="1:11" x14ac:dyDescent="0.25">
      <c r="A379">
        <v>-26</v>
      </c>
      <c r="B379" t="s">
        <v>59</v>
      </c>
      <c r="C379">
        <v>44.829000000000001</v>
      </c>
      <c r="D379">
        <v>-121.41200000000001</v>
      </c>
      <c r="E379">
        <v>20150820</v>
      </c>
      <c r="G379">
        <v>64450</v>
      </c>
      <c r="H379">
        <v>9</v>
      </c>
      <c r="I379">
        <v>0.1502793566</v>
      </c>
      <c r="J379">
        <v>896</v>
      </c>
      <c r="K379">
        <v>0.29330278100000001</v>
      </c>
    </row>
    <row r="380" spans="1:11" x14ac:dyDescent="0.25">
      <c r="A380">
        <v>-26</v>
      </c>
      <c r="B380" t="s">
        <v>59</v>
      </c>
      <c r="C380">
        <v>44.829000000000001</v>
      </c>
      <c r="D380">
        <v>-121.41200000000001</v>
      </c>
      <c r="E380">
        <v>20150821</v>
      </c>
      <c r="G380">
        <v>64950</v>
      </c>
      <c r="H380">
        <v>10</v>
      </c>
      <c r="I380">
        <v>8.3407308080000006E-2</v>
      </c>
      <c r="J380">
        <v>500</v>
      </c>
      <c r="K380">
        <v>0.1636734269</v>
      </c>
    </row>
    <row r="381" spans="1:11" x14ac:dyDescent="0.25">
      <c r="A381">
        <v>-26</v>
      </c>
      <c r="B381" t="s">
        <v>59</v>
      </c>
      <c r="C381">
        <v>44.829000000000001</v>
      </c>
      <c r="D381">
        <v>-121.41200000000001</v>
      </c>
      <c r="E381">
        <v>20150822</v>
      </c>
      <c r="G381">
        <v>65155</v>
      </c>
      <c r="H381">
        <v>11</v>
      </c>
      <c r="I381">
        <v>-1.715557819E-2</v>
      </c>
      <c r="J381">
        <v>-103</v>
      </c>
      <c r="K381">
        <v>-3.3716725939999997E-2</v>
      </c>
    </row>
    <row r="382" spans="1:11" x14ac:dyDescent="0.25">
      <c r="A382">
        <v>-26</v>
      </c>
      <c r="B382" t="s">
        <v>59</v>
      </c>
      <c r="C382">
        <v>44.829000000000001</v>
      </c>
      <c r="D382">
        <v>-121.41200000000001</v>
      </c>
      <c r="E382">
        <v>20150823</v>
      </c>
      <c r="G382">
        <v>65155</v>
      </c>
      <c r="H382">
        <v>12</v>
      </c>
      <c r="I382">
        <v>5.1259743949999999E-2</v>
      </c>
      <c r="J382">
        <v>308</v>
      </c>
      <c r="K382">
        <v>0.100822831</v>
      </c>
    </row>
    <row r="383" spans="1:11" x14ac:dyDescent="0.25">
      <c r="A383">
        <v>-26</v>
      </c>
      <c r="B383" t="s">
        <v>59</v>
      </c>
      <c r="C383">
        <v>44.829000000000001</v>
      </c>
      <c r="D383">
        <v>-121.41200000000001</v>
      </c>
      <c r="E383">
        <v>20150824</v>
      </c>
      <c r="G383">
        <v>65200</v>
      </c>
      <c r="H383">
        <v>13</v>
      </c>
      <c r="I383">
        <v>3.1581554199999998E-3</v>
      </c>
      <c r="J383">
        <v>19</v>
      </c>
      <c r="K383">
        <v>6.2195902210000001E-3</v>
      </c>
    </row>
    <row r="384" spans="1:11" x14ac:dyDescent="0.25">
      <c r="A384">
        <v>-26</v>
      </c>
      <c r="B384" t="s">
        <v>59</v>
      </c>
      <c r="C384">
        <v>44.829000000000001</v>
      </c>
      <c r="D384">
        <v>-121.41200000000001</v>
      </c>
      <c r="E384">
        <v>20150825</v>
      </c>
      <c r="G384">
        <v>65300</v>
      </c>
      <c r="H384">
        <v>14</v>
      </c>
      <c r="I384">
        <v>0.198538194</v>
      </c>
      <c r="J384">
        <v>1200</v>
      </c>
      <c r="K384">
        <v>0.39281622449999998</v>
      </c>
    </row>
    <row r="385" spans="1:11" x14ac:dyDescent="0.25">
      <c r="A385">
        <v>-26</v>
      </c>
      <c r="B385" t="s">
        <v>59</v>
      </c>
      <c r="C385">
        <v>44.829000000000001</v>
      </c>
      <c r="D385">
        <v>-121.41200000000001</v>
      </c>
      <c r="E385">
        <v>20150826</v>
      </c>
      <c r="G385">
        <v>65800</v>
      </c>
      <c r="H385">
        <v>15</v>
      </c>
      <c r="I385">
        <v>-9.4741515550000002E-2</v>
      </c>
      <c r="J385">
        <v>-574</v>
      </c>
      <c r="K385">
        <v>-0.1878970941</v>
      </c>
    </row>
    <row r="386" spans="1:11" x14ac:dyDescent="0.25">
      <c r="A386">
        <v>-26</v>
      </c>
      <c r="B386" t="s">
        <v>59</v>
      </c>
      <c r="C386">
        <v>44.829000000000001</v>
      </c>
      <c r="D386">
        <v>-121.41200000000001</v>
      </c>
      <c r="E386">
        <v>20150827</v>
      </c>
      <c r="G386">
        <v>65800</v>
      </c>
      <c r="H386">
        <v>16</v>
      </c>
      <c r="I386">
        <v>0</v>
      </c>
      <c r="J386">
        <v>0</v>
      </c>
      <c r="K386">
        <v>0</v>
      </c>
    </row>
    <row r="387" spans="1:11" x14ac:dyDescent="0.25">
      <c r="A387">
        <v>-26</v>
      </c>
      <c r="B387" t="s">
        <v>59</v>
      </c>
      <c r="C387">
        <v>44.829000000000001</v>
      </c>
      <c r="D387">
        <v>-121.41200000000001</v>
      </c>
      <c r="E387">
        <v>20150828</v>
      </c>
      <c r="G387">
        <v>66433</v>
      </c>
      <c r="H387">
        <v>17</v>
      </c>
      <c r="I387">
        <v>0.10445649680000001</v>
      </c>
      <c r="J387">
        <v>633</v>
      </c>
      <c r="K387">
        <v>0.20721055839999999</v>
      </c>
    </row>
    <row r="388" spans="1:11" x14ac:dyDescent="0.25">
      <c r="A388">
        <v>-26</v>
      </c>
      <c r="B388" t="s">
        <v>59</v>
      </c>
      <c r="C388">
        <v>44.829000000000001</v>
      </c>
      <c r="D388">
        <v>-121.41200000000001</v>
      </c>
      <c r="E388">
        <v>20150829</v>
      </c>
      <c r="G388">
        <v>66496</v>
      </c>
      <c r="H388">
        <v>18</v>
      </c>
      <c r="I388">
        <v>1.036886263E-2</v>
      </c>
      <c r="J388">
        <v>63</v>
      </c>
      <c r="K388">
        <v>2.0622851790000001E-2</v>
      </c>
    </row>
    <row r="389" spans="1:11" x14ac:dyDescent="0.25">
      <c r="A389">
        <v>-26</v>
      </c>
      <c r="B389" t="s">
        <v>59</v>
      </c>
      <c r="C389">
        <v>44.829000000000001</v>
      </c>
      <c r="D389">
        <v>-121.41200000000001</v>
      </c>
      <c r="E389">
        <v>20150830</v>
      </c>
      <c r="G389">
        <v>67083</v>
      </c>
      <c r="H389">
        <v>19</v>
      </c>
      <c r="I389">
        <v>9.6376352050000003E-2</v>
      </c>
      <c r="J389">
        <v>587</v>
      </c>
      <c r="K389">
        <v>0.19215260319999999</v>
      </c>
    </row>
    <row r="390" spans="1:11" x14ac:dyDescent="0.25">
      <c r="A390">
        <v>-26</v>
      </c>
      <c r="B390" t="s">
        <v>59</v>
      </c>
      <c r="C390">
        <v>44.829000000000001</v>
      </c>
      <c r="D390">
        <v>-121.41200000000001</v>
      </c>
      <c r="E390">
        <v>20150831</v>
      </c>
      <c r="G390">
        <v>67247</v>
      </c>
      <c r="H390">
        <v>20</v>
      </c>
      <c r="I390">
        <v>2.6850838330000001E-2</v>
      </c>
      <c r="J390">
        <v>164</v>
      </c>
      <c r="K390">
        <v>5.3684884019999997E-2</v>
      </c>
    </row>
    <row r="391" spans="1:11" x14ac:dyDescent="0.25">
      <c r="A391">
        <v>-26</v>
      </c>
      <c r="B391" t="s">
        <v>59</v>
      </c>
      <c r="C391">
        <v>44.829000000000001</v>
      </c>
      <c r="D391">
        <v>-121.41200000000001</v>
      </c>
      <c r="E391">
        <v>20150901</v>
      </c>
      <c r="G391">
        <v>67207</v>
      </c>
      <c r="H391">
        <v>21</v>
      </c>
      <c r="I391">
        <v>-6.5459632200000001E-3</v>
      </c>
      <c r="J391">
        <v>-40</v>
      </c>
      <c r="K391">
        <v>-1.309387415E-2</v>
      </c>
    </row>
    <row r="392" spans="1:11" x14ac:dyDescent="0.25">
      <c r="A392">
        <v>-26</v>
      </c>
      <c r="B392" t="s">
        <v>59</v>
      </c>
      <c r="C392">
        <v>44.829000000000001</v>
      </c>
      <c r="D392">
        <v>-121.41200000000001</v>
      </c>
      <c r="E392">
        <v>20150902</v>
      </c>
      <c r="G392">
        <v>67207</v>
      </c>
      <c r="H392">
        <v>22</v>
      </c>
      <c r="I392">
        <v>0</v>
      </c>
      <c r="J392">
        <v>0</v>
      </c>
      <c r="K392">
        <v>0</v>
      </c>
    </row>
    <row r="394" spans="1:11" x14ac:dyDescent="0.25">
      <c r="A394">
        <v>-27</v>
      </c>
      <c r="B394" t="s">
        <v>60</v>
      </c>
      <c r="C394">
        <v>33.798000000000002</v>
      </c>
      <c r="D394">
        <v>-107.51900000000001</v>
      </c>
      <c r="E394">
        <v>20220528</v>
      </c>
      <c r="G394">
        <v>1097</v>
      </c>
      <c r="H394">
        <v>1</v>
      </c>
      <c r="I394">
        <v>4.7433765049999996</v>
      </c>
      <c r="J394">
        <v>1097</v>
      </c>
      <c r="K394">
        <v>0.80355788100000003</v>
      </c>
    </row>
    <row r="395" spans="1:11" x14ac:dyDescent="0.25">
      <c r="A395">
        <v>-27</v>
      </c>
      <c r="B395" t="s">
        <v>60</v>
      </c>
      <c r="C395">
        <v>33.798000000000002</v>
      </c>
      <c r="D395">
        <v>-107.51900000000001</v>
      </c>
      <c r="E395">
        <v>20220529</v>
      </c>
      <c r="G395">
        <v>1906</v>
      </c>
      <c r="H395">
        <v>2</v>
      </c>
      <c r="I395">
        <v>1.509008782</v>
      </c>
      <c r="J395">
        <v>809</v>
      </c>
      <c r="K395">
        <v>0.59259646830000001</v>
      </c>
    </row>
    <row r="396" spans="1:11" x14ac:dyDescent="0.25">
      <c r="A396">
        <v>-27</v>
      </c>
      <c r="B396" t="s">
        <v>60</v>
      </c>
      <c r="C396">
        <v>33.798000000000002</v>
      </c>
      <c r="D396">
        <v>-107.51900000000001</v>
      </c>
      <c r="E396">
        <v>20220530</v>
      </c>
      <c r="G396">
        <v>2309</v>
      </c>
      <c r="H396">
        <v>3</v>
      </c>
      <c r="I396">
        <v>0.62932286770000001</v>
      </c>
      <c r="J396">
        <v>403</v>
      </c>
      <c r="K396">
        <v>0.29519947680000003</v>
      </c>
    </row>
    <row r="397" spans="1:11" x14ac:dyDescent="0.25">
      <c r="A397">
        <v>-27</v>
      </c>
      <c r="B397" t="s">
        <v>60</v>
      </c>
      <c r="C397">
        <v>33.798000000000002</v>
      </c>
      <c r="D397">
        <v>-107.51900000000001</v>
      </c>
      <c r="E397">
        <v>20220531</v>
      </c>
      <c r="G397">
        <v>2694</v>
      </c>
      <c r="H397">
        <v>4</v>
      </c>
      <c r="I397">
        <v>0.55161613549999999</v>
      </c>
      <c r="J397">
        <v>385</v>
      </c>
      <c r="K397">
        <v>0.28201438849999999</v>
      </c>
    </row>
    <row r="398" spans="1:11" x14ac:dyDescent="0.25">
      <c r="A398">
        <v>-27</v>
      </c>
      <c r="B398" t="s">
        <v>60</v>
      </c>
      <c r="C398">
        <v>33.798000000000002</v>
      </c>
      <c r="D398">
        <v>-107.51900000000001</v>
      </c>
      <c r="E398">
        <v>20220601</v>
      </c>
      <c r="G398">
        <v>3237</v>
      </c>
      <c r="H398">
        <v>5</v>
      </c>
      <c r="I398">
        <v>0.71476226929999997</v>
      </c>
      <c r="J398">
        <v>543</v>
      </c>
      <c r="K398">
        <v>0.39775016349999998</v>
      </c>
    </row>
    <row r="399" spans="1:11" x14ac:dyDescent="0.25">
      <c r="A399">
        <v>-27</v>
      </c>
      <c r="B399" t="s">
        <v>60</v>
      </c>
      <c r="C399">
        <v>33.798000000000002</v>
      </c>
      <c r="D399">
        <v>-107.51900000000001</v>
      </c>
      <c r="E399">
        <v>20220602</v>
      </c>
      <c r="G399">
        <v>4406</v>
      </c>
      <c r="H399">
        <v>6</v>
      </c>
      <c r="I399">
        <v>1.358104325</v>
      </c>
      <c r="J399">
        <v>1169</v>
      </c>
      <c r="K399">
        <v>0.85629823410000006</v>
      </c>
    </row>
    <row r="400" spans="1:11" x14ac:dyDescent="0.25">
      <c r="A400">
        <v>-27</v>
      </c>
      <c r="B400" t="s">
        <v>60</v>
      </c>
      <c r="C400">
        <v>33.798000000000002</v>
      </c>
      <c r="D400">
        <v>-107.51900000000001</v>
      </c>
      <c r="E400">
        <v>20220603</v>
      </c>
      <c r="G400">
        <v>5619</v>
      </c>
      <c r="H400">
        <v>7</v>
      </c>
      <c r="I400">
        <v>1.229099597</v>
      </c>
      <c r="J400">
        <v>1213</v>
      </c>
      <c r="K400">
        <v>0.88852845000000003</v>
      </c>
    </row>
    <row r="401" spans="1:11" x14ac:dyDescent="0.25">
      <c r="A401">
        <v>-27</v>
      </c>
      <c r="B401" t="s">
        <v>60</v>
      </c>
      <c r="C401">
        <v>33.798000000000002</v>
      </c>
      <c r="D401">
        <v>-107.51900000000001</v>
      </c>
      <c r="E401">
        <v>20220604</v>
      </c>
      <c r="G401">
        <v>6134</v>
      </c>
      <c r="H401">
        <v>8</v>
      </c>
      <c r="I401">
        <v>0.48117876929999998</v>
      </c>
      <c r="J401">
        <v>515</v>
      </c>
      <c r="K401">
        <v>0.37724002620000002</v>
      </c>
    </row>
    <row r="402" spans="1:11" x14ac:dyDescent="0.25">
      <c r="A402">
        <v>-27</v>
      </c>
      <c r="B402" t="s">
        <v>60</v>
      </c>
      <c r="C402">
        <v>33.798000000000002</v>
      </c>
      <c r="D402">
        <v>-107.51900000000001</v>
      </c>
      <c r="E402">
        <v>20220605</v>
      </c>
      <c r="G402">
        <v>6655</v>
      </c>
      <c r="H402">
        <v>9</v>
      </c>
      <c r="I402">
        <v>0.4666366723</v>
      </c>
      <c r="J402">
        <v>521</v>
      </c>
      <c r="K402">
        <v>0.38163505559999999</v>
      </c>
    </row>
    <row r="403" spans="1:11" x14ac:dyDescent="0.25">
      <c r="A403">
        <v>-27</v>
      </c>
      <c r="B403" t="s">
        <v>60</v>
      </c>
      <c r="C403">
        <v>33.798000000000002</v>
      </c>
      <c r="D403">
        <v>-107.51900000000001</v>
      </c>
      <c r="E403">
        <v>20220606</v>
      </c>
      <c r="G403">
        <v>7249</v>
      </c>
      <c r="H403">
        <v>10</v>
      </c>
      <c r="I403">
        <v>0.51025233430000005</v>
      </c>
      <c r="J403">
        <v>594</v>
      </c>
      <c r="K403">
        <v>0.43510791370000002</v>
      </c>
    </row>
    <row r="404" spans="1:11" x14ac:dyDescent="0.25">
      <c r="A404">
        <v>-27</v>
      </c>
      <c r="B404" t="s">
        <v>60</v>
      </c>
      <c r="C404">
        <v>33.798000000000002</v>
      </c>
      <c r="D404">
        <v>-107.51900000000001</v>
      </c>
      <c r="E404">
        <v>20220607</v>
      </c>
      <c r="G404">
        <v>7552</v>
      </c>
      <c r="H404">
        <v>11</v>
      </c>
      <c r="I404">
        <v>0.25222558620000002</v>
      </c>
      <c r="J404">
        <v>303</v>
      </c>
      <c r="K404">
        <v>0.22194898630000001</v>
      </c>
    </row>
    <row r="405" spans="1:11" x14ac:dyDescent="0.25">
      <c r="A405">
        <v>-27</v>
      </c>
      <c r="B405" t="s">
        <v>60</v>
      </c>
      <c r="C405">
        <v>33.798000000000002</v>
      </c>
      <c r="D405">
        <v>-107.51900000000001</v>
      </c>
      <c r="E405">
        <v>20220608</v>
      </c>
      <c r="G405">
        <v>8158</v>
      </c>
      <c r="H405">
        <v>12</v>
      </c>
      <c r="I405">
        <v>0.48970511480000001</v>
      </c>
      <c r="J405">
        <v>606</v>
      </c>
      <c r="K405">
        <v>0.44389797250000002</v>
      </c>
    </row>
    <row r="406" spans="1:11" x14ac:dyDescent="0.25">
      <c r="A406">
        <v>-27</v>
      </c>
      <c r="B406" t="s">
        <v>60</v>
      </c>
      <c r="C406">
        <v>33.798000000000002</v>
      </c>
      <c r="D406">
        <v>-107.51900000000001</v>
      </c>
      <c r="E406">
        <v>20220609</v>
      </c>
      <c r="G406">
        <v>9563</v>
      </c>
      <c r="H406">
        <v>13</v>
      </c>
      <c r="I406">
        <v>1.069654576</v>
      </c>
      <c r="J406">
        <v>1405</v>
      </c>
      <c r="K406">
        <v>1.029169392</v>
      </c>
    </row>
    <row r="407" spans="1:11" x14ac:dyDescent="0.25">
      <c r="A407">
        <v>-27</v>
      </c>
      <c r="B407" t="s">
        <v>60</v>
      </c>
      <c r="C407">
        <v>33.798000000000002</v>
      </c>
      <c r="D407">
        <v>-107.51900000000001</v>
      </c>
      <c r="E407">
        <v>20220610</v>
      </c>
      <c r="G407">
        <v>11550</v>
      </c>
      <c r="H407">
        <v>14</v>
      </c>
      <c r="I407">
        <v>1.3863555110000001</v>
      </c>
      <c r="J407">
        <v>1987</v>
      </c>
      <c r="K407">
        <v>1.455487247</v>
      </c>
    </row>
    <row r="408" spans="1:11" x14ac:dyDescent="0.25">
      <c r="A408">
        <v>-27</v>
      </c>
      <c r="B408" t="s">
        <v>60</v>
      </c>
      <c r="C408">
        <v>33.798000000000002</v>
      </c>
      <c r="D408">
        <v>-107.51900000000001</v>
      </c>
      <c r="E408">
        <v>20220611</v>
      </c>
      <c r="G408">
        <v>13504</v>
      </c>
      <c r="H408">
        <v>15</v>
      </c>
      <c r="I408">
        <v>1.2510834369999999</v>
      </c>
      <c r="J408">
        <v>1954</v>
      </c>
      <c r="K408">
        <v>1.431314585</v>
      </c>
    </row>
    <row r="409" spans="1:11" x14ac:dyDescent="0.25">
      <c r="A409">
        <v>-27</v>
      </c>
      <c r="B409" t="s">
        <v>60</v>
      </c>
      <c r="C409">
        <v>33.798000000000002</v>
      </c>
      <c r="D409">
        <v>-107.51900000000001</v>
      </c>
      <c r="E409">
        <v>20220612</v>
      </c>
      <c r="G409">
        <v>15215</v>
      </c>
      <c r="H409">
        <v>16</v>
      </c>
      <c r="I409">
        <v>1.0228868250000001</v>
      </c>
      <c r="J409">
        <v>1711</v>
      </c>
      <c r="K409">
        <v>1.2533158929999999</v>
      </c>
    </row>
    <row r="410" spans="1:11" x14ac:dyDescent="0.25">
      <c r="A410">
        <v>-27</v>
      </c>
      <c r="B410" t="s">
        <v>60</v>
      </c>
      <c r="C410">
        <v>33.798000000000002</v>
      </c>
      <c r="D410">
        <v>-107.51900000000001</v>
      </c>
      <c r="E410">
        <v>20220613</v>
      </c>
      <c r="G410">
        <v>17122</v>
      </c>
      <c r="H410">
        <v>17</v>
      </c>
      <c r="I410">
        <v>1.0743830809999999</v>
      </c>
      <c r="J410">
        <v>1907</v>
      </c>
      <c r="K410">
        <v>1.3968868539999999</v>
      </c>
    </row>
    <row r="411" spans="1:11" x14ac:dyDescent="0.25">
      <c r="A411">
        <v>-27</v>
      </c>
      <c r="B411" t="s">
        <v>60</v>
      </c>
      <c r="C411">
        <v>33.798000000000002</v>
      </c>
      <c r="D411">
        <v>-107.51900000000001</v>
      </c>
      <c r="E411">
        <v>20220614</v>
      </c>
      <c r="G411">
        <v>19148</v>
      </c>
      <c r="H411">
        <v>18</v>
      </c>
      <c r="I411">
        <v>1.077716506</v>
      </c>
      <c r="J411">
        <v>2026</v>
      </c>
      <c r="K411">
        <v>1.4840549380000001</v>
      </c>
    </row>
    <row r="412" spans="1:11" x14ac:dyDescent="0.25">
      <c r="A412">
        <v>-27</v>
      </c>
      <c r="B412" t="s">
        <v>60</v>
      </c>
      <c r="C412">
        <v>33.798000000000002</v>
      </c>
      <c r="D412">
        <v>-107.51900000000001</v>
      </c>
      <c r="E412">
        <v>20220615</v>
      </c>
      <c r="G412">
        <v>20940</v>
      </c>
      <c r="H412">
        <v>19</v>
      </c>
      <c r="I412">
        <v>0.90658526539999995</v>
      </c>
      <c r="J412">
        <v>1792</v>
      </c>
      <c r="K412">
        <v>1.3126487899999999</v>
      </c>
    </row>
    <row r="413" spans="1:11" x14ac:dyDescent="0.25">
      <c r="A413">
        <v>-27</v>
      </c>
      <c r="B413" t="s">
        <v>60</v>
      </c>
      <c r="C413">
        <v>33.798000000000002</v>
      </c>
      <c r="D413">
        <v>-107.51900000000001</v>
      </c>
      <c r="E413">
        <v>20220616</v>
      </c>
      <c r="G413">
        <v>21723</v>
      </c>
      <c r="H413">
        <v>20</v>
      </c>
      <c r="I413">
        <v>0.38390488750000001</v>
      </c>
      <c r="J413">
        <v>783</v>
      </c>
      <c r="K413">
        <v>0.57355134070000002</v>
      </c>
    </row>
    <row r="414" spans="1:11" x14ac:dyDescent="0.25">
      <c r="A414">
        <v>-27</v>
      </c>
      <c r="B414" t="s">
        <v>60</v>
      </c>
      <c r="C414">
        <v>33.798000000000002</v>
      </c>
      <c r="D414">
        <v>-107.51900000000001</v>
      </c>
      <c r="E414">
        <v>20220617</v>
      </c>
      <c r="G414">
        <v>23043</v>
      </c>
      <c r="H414">
        <v>21</v>
      </c>
      <c r="I414">
        <v>0.63185334400000004</v>
      </c>
      <c r="J414">
        <v>1320</v>
      </c>
      <c r="K414">
        <v>0.96690647480000003</v>
      </c>
    </row>
    <row r="415" spans="1:11" x14ac:dyDescent="0.25">
      <c r="A415">
        <v>-27</v>
      </c>
      <c r="B415" t="s">
        <v>60</v>
      </c>
      <c r="C415">
        <v>33.798000000000002</v>
      </c>
      <c r="D415">
        <v>-107.51900000000001</v>
      </c>
      <c r="E415">
        <v>20220618</v>
      </c>
      <c r="G415">
        <v>24243</v>
      </c>
      <c r="H415">
        <v>22</v>
      </c>
      <c r="I415">
        <v>0.55888083050000004</v>
      </c>
      <c r="J415">
        <v>1200</v>
      </c>
      <c r="K415">
        <v>0.87900588619999998</v>
      </c>
    </row>
    <row r="416" spans="1:11" x14ac:dyDescent="0.25">
      <c r="A416">
        <v>-27</v>
      </c>
      <c r="B416" t="s">
        <v>60</v>
      </c>
      <c r="C416">
        <v>33.798000000000002</v>
      </c>
      <c r="D416">
        <v>-107.51900000000001</v>
      </c>
      <c r="E416">
        <v>20220619</v>
      </c>
      <c r="G416">
        <v>26128</v>
      </c>
      <c r="H416">
        <v>23</v>
      </c>
      <c r="I416">
        <v>0.85068038599999996</v>
      </c>
      <c r="J416">
        <v>1885</v>
      </c>
      <c r="K416">
        <v>1.380771746</v>
      </c>
    </row>
    <row r="417" spans="1:11" x14ac:dyDescent="0.25">
      <c r="A417">
        <v>-27</v>
      </c>
      <c r="B417" t="s">
        <v>60</v>
      </c>
      <c r="C417">
        <v>33.798000000000002</v>
      </c>
      <c r="D417">
        <v>-107.51900000000001</v>
      </c>
      <c r="E417">
        <v>20220620</v>
      </c>
      <c r="G417">
        <v>28973</v>
      </c>
      <c r="H417">
        <v>24</v>
      </c>
      <c r="I417">
        <v>1.2277690619999999</v>
      </c>
      <c r="J417">
        <v>2845</v>
      </c>
      <c r="K417">
        <v>2.0839764550000002</v>
      </c>
    </row>
    <row r="418" spans="1:11" x14ac:dyDescent="0.25">
      <c r="A418">
        <v>-27</v>
      </c>
      <c r="B418" t="s">
        <v>60</v>
      </c>
      <c r="C418">
        <v>33.798000000000002</v>
      </c>
      <c r="D418">
        <v>-107.51900000000001</v>
      </c>
      <c r="E418">
        <v>20220621</v>
      </c>
      <c r="G418">
        <v>28988</v>
      </c>
      <c r="H418">
        <v>25</v>
      </c>
      <c r="I418">
        <v>6.309466144E-3</v>
      </c>
      <c r="J418">
        <v>15</v>
      </c>
      <c r="K418">
        <v>1.098757358E-2</v>
      </c>
    </row>
    <row r="419" spans="1:11" x14ac:dyDescent="0.25">
      <c r="A419">
        <v>-27</v>
      </c>
      <c r="B419" t="s">
        <v>60</v>
      </c>
      <c r="C419">
        <v>33.798000000000002</v>
      </c>
      <c r="D419">
        <v>-107.51900000000001</v>
      </c>
      <c r="E419">
        <v>20220622</v>
      </c>
      <c r="G419">
        <v>33196</v>
      </c>
      <c r="H419">
        <v>26</v>
      </c>
      <c r="I419">
        <v>1.7098370009999999</v>
      </c>
      <c r="J419">
        <v>4208</v>
      </c>
      <c r="K419">
        <v>3.0823806409999999</v>
      </c>
    </row>
    <row r="420" spans="1:11" x14ac:dyDescent="0.25">
      <c r="A420">
        <v>-27</v>
      </c>
      <c r="B420" t="s">
        <v>60</v>
      </c>
      <c r="C420">
        <v>33.798000000000002</v>
      </c>
      <c r="D420">
        <v>-107.51900000000001</v>
      </c>
      <c r="E420">
        <v>20220623</v>
      </c>
      <c r="G420">
        <v>35382</v>
      </c>
      <c r="H420">
        <v>27</v>
      </c>
      <c r="I420">
        <v>0.8454388826</v>
      </c>
      <c r="J420">
        <v>2186</v>
      </c>
      <c r="K420">
        <v>1.601255723</v>
      </c>
    </row>
    <row r="421" spans="1:11" x14ac:dyDescent="0.25">
      <c r="A421">
        <v>-27</v>
      </c>
      <c r="B421" t="s">
        <v>60</v>
      </c>
      <c r="C421">
        <v>33.798000000000002</v>
      </c>
      <c r="D421">
        <v>-107.51900000000001</v>
      </c>
      <c r="E421">
        <v>20220624</v>
      </c>
      <c r="G421">
        <v>38225</v>
      </c>
      <c r="H421">
        <v>28</v>
      </c>
      <c r="I421">
        <v>1.061371981</v>
      </c>
      <c r="J421">
        <v>2843</v>
      </c>
      <c r="K421">
        <v>2.0825114450000002</v>
      </c>
    </row>
    <row r="423" spans="1:11" x14ac:dyDescent="0.25">
      <c r="A423">
        <v>-28</v>
      </c>
      <c r="B423" t="s">
        <v>61</v>
      </c>
      <c r="C423">
        <v>38.383000000000003</v>
      </c>
      <c r="D423">
        <v>-119.822</v>
      </c>
      <c r="E423">
        <v>20180801</v>
      </c>
      <c r="G423">
        <v>0</v>
      </c>
      <c r="H423">
        <v>1</v>
      </c>
      <c r="I423">
        <v>0</v>
      </c>
      <c r="J423">
        <v>0</v>
      </c>
      <c r="K423">
        <v>0</v>
      </c>
    </row>
    <row r="424" spans="1:11" x14ac:dyDescent="0.25">
      <c r="A424">
        <v>-28</v>
      </c>
      <c r="B424" t="s">
        <v>61</v>
      </c>
      <c r="C424">
        <v>38.383000000000003</v>
      </c>
      <c r="D424">
        <v>-119.822</v>
      </c>
      <c r="E424">
        <v>20180802</v>
      </c>
      <c r="G424">
        <v>563</v>
      </c>
      <c r="H424">
        <v>2</v>
      </c>
      <c r="I424">
        <v>3.9815888230000001</v>
      </c>
      <c r="J424">
        <v>563</v>
      </c>
      <c r="K424">
        <v>0.4954077985</v>
      </c>
    </row>
    <row r="425" spans="1:11" x14ac:dyDescent="0.25">
      <c r="A425">
        <v>-28</v>
      </c>
      <c r="B425" t="s">
        <v>61</v>
      </c>
      <c r="C425">
        <v>38.383000000000003</v>
      </c>
      <c r="D425">
        <v>-119.822</v>
      </c>
      <c r="E425">
        <v>20180803</v>
      </c>
      <c r="G425">
        <v>893</v>
      </c>
      <c r="H425">
        <v>3</v>
      </c>
      <c r="I425">
        <v>1.0329146979999999</v>
      </c>
      <c r="J425">
        <v>330</v>
      </c>
      <c r="K425">
        <v>0.29038112519999998</v>
      </c>
    </row>
    <row r="426" spans="1:11" x14ac:dyDescent="0.25">
      <c r="A426">
        <v>-28</v>
      </c>
      <c r="B426" t="s">
        <v>61</v>
      </c>
      <c r="C426">
        <v>38.383000000000003</v>
      </c>
      <c r="D426">
        <v>-119.822</v>
      </c>
      <c r="E426">
        <v>20180804</v>
      </c>
      <c r="G426">
        <v>2057</v>
      </c>
      <c r="H426">
        <v>4</v>
      </c>
      <c r="I426">
        <v>2.5961045440000001</v>
      </c>
      <c r="J426">
        <v>1164</v>
      </c>
      <c r="K426">
        <v>1.0242534240000001</v>
      </c>
    </row>
    <row r="427" spans="1:11" x14ac:dyDescent="0.25">
      <c r="A427">
        <v>-28</v>
      </c>
      <c r="B427" t="s">
        <v>61</v>
      </c>
      <c r="C427">
        <v>38.383000000000003</v>
      </c>
      <c r="D427">
        <v>-119.822</v>
      </c>
      <c r="E427">
        <v>20180805</v>
      </c>
      <c r="G427">
        <v>5814</v>
      </c>
      <c r="H427">
        <v>5</v>
      </c>
      <c r="I427">
        <v>5.1843752780000001</v>
      </c>
      <c r="J427">
        <v>3757</v>
      </c>
      <c r="K427">
        <v>3.305945114</v>
      </c>
    </row>
    <row r="428" spans="1:11" x14ac:dyDescent="0.25">
      <c r="A428">
        <v>-28</v>
      </c>
      <c r="B428" t="s">
        <v>61</v>
      </c>
      <c r="C428">
        <v>38.383000000000003</v>
      </c>
      <c r="D428">
        <v>-119.822</v>
      </c>
      <c r="E428">
        <v>20180806</v>
      </c>
      <c r="G428">
        <v>11074</v>
      </c>
      <c r="H428">
        <v>6</v>
      </c>
      <c r="I428">
        <v>4.8635435339999997</v>
      </c>
      <c r="J428">
        <v>5260</v>
      </c>
      <c r="K428">
        <v>4.6284991480000004</v>
      </c>
    </row>
    <row r="429" spans="1:11" x14ac:dyDescent="0.25">
      <c r="A429">
        <v>-28</v>
      </c>
      <c r="B429" t="s">
        <v>61</v>
      </c>
      <c r="C429">
        <v>38.383000000000003</v>
      </c>
      <c r="D429">
        <v>-119.822</v>
      </c>
      <c r="E429">
        <v>20180807</v>
      </c>
      <c r="G429">
        <v>13814</v>
      </c>
      <c r="H429">
        <v>7</v>
      </c>
      <c r="I429">
        <v>2.0639718619999998</v>
      </c>
      <c r="J429">
        <v>2740</v>
      </c>
      <c r="K429">
        <v>2.4110432820000001</v>
      </c>
    </row>
    <row r="430" spans="1:11" x14ac:dyDescent="0.25">
      <c r="A430">
        <v>-28</v>
      </c>
      <c r="B430" t="s">
        <v>61</v>
      </c>
      <c r="C430">
        <v>38.383000000000003</v>
      </c>
      <c r="D430">
        <v>-119.822</v>
      </c>
      <c r="E430">
        <v>20180808</v>
      </c>
      <c r="G430">
        <v>17684</v>
      </c>
      <c r="H430">
        <v>8</v>
      </c>
      <c r="I430">
        <v>2.5922737969999998</v>
      </c>
      <c r="J430">
        <v>3870</v>
      </c>
      <c r="K430">
        <v>3.4053786499999998</v>
      </c>
    </row>
    <row r="431" spans="1:11" x14ac:dyDescent="0.25">
      <c r="A431">
        <v>-28</v>
      </c>
      <c r="B431" t="s">
        <v>61</v>
      </c>
      <c r="C431">
        <v>38.383000000000003</v>
      </c>
      <c r="D431">
        <v>-119.822</v>
      </c>
      <c r="E431">
        <v>20180809</v>
      </c>
      <c r="G431">
        <v>21097</v>
      </c>
      <c r="H431">
        <v>9</v>
      </c>
      <c r="I431">
        <v>2.058428046</v>
      </c>
      <c r="J431">
        <v>3413</v>
      </c>
      <c r="K431">
        <v>3.003244789</v>
      </c>
    </row>
    <row r="432" spans="1:11" x14ac:dyDescent="0.25">
      <c r="A432">
        <v>-28</v>
      </c>
      <c r="B432" t="s">
        <v>61</v>
      </c>
      <c r="C432">
        <v>38.383000000000003</v>
      </c>
      <c r="D432">
        <v>-119.822</v>
      </c>
      <c r="E432">
        <v>20180810</v>
      </c>
      <c r="G432">
        <v>23823</v>
      </c>
      <c r="H432">
        <v>10</v>
      </c>
      <c r="I432">
        <v>1.52683952</v>
      </c>
      <c r="J432">
        <v>2726</v>
      </c>
      <c r="K432">
        <v>2.3987240829999998</v>
      </c>
    </row>
    <row r="433" spans="1:11" x14ac:dyDescent="0.25">
      <c r="A433">
        <v>-28</v>
      </c>
      <c r="B433" t="s">
        <v>61</v>
      </c>
      <c r="C433">
        <v>38.383000000000003</v>
      </c>
      <c r="D433">
        <v>-119.822</v>
      </c>
      <c r="E433">
        <v>20180811</v>
      </c>
      <c r="G433">
        <v>26814</v>
      </c>
      <c r="H433">
        <v>11</v>
      </c>
      <c r="I433">
        <v>1.5778266809999999</v>
      </c>
      <c r="J433">
        <v>2991</v>
      </c>
      <c r="K433">
        <v>2.6319089259999999</v>
      </c>
    </row>
    <row r="434" spans="1:11" x14ac:dyDescent="0.25">
      <c r="A434">
        <v>-28</v>
      </c>
      <c r="B434" t="s">
        <v>61</v>
      </c>
      <c r="C434">
        <v>38.383000000000003</v>
      </c>
      <c r="D434">
        <v>-119.822</v>
      </c>
      <c r="E434">
        <v>20180812</v>
      </c>
      <c r="G434">
        <v>27769</v>
      </c>
      <c r="H434">
        <v>12</v>
      </c>
      <c r="I434">
        <v>0.48504105980000001</v>
      </c>
      <c r="J434">
        <v>955</v>
      </c>
      <c r="K434">
        <v>0.84034537760000005</v>
      </c>
    </row>
    <row r="435" spans="1:11" x14ac:dyDescent="0.25">
      <c r="A435">
        <v>-28</v>
      </c>
      <c r="B435" t="s">
        <v>61</v>
      </c>
      <c r="C435">
        <v>38.383000000000003</v>
      </c>
      <c r="D435">
        <v>-119.822</v>
      </c>
      <c r="E435">
        <v>20180813</v>
      </c>
      <c r="G435">
        <v>28765</v>
      </c>
      <c r="H435">
        <v>13</v>
      </c>
      <c r="I435">
        <v>0.49705969169999997</v>
      </c>
      <c r="J435">
        <v>996</v>
      </c>
      <c r="K435">
        <v>0.87642303249999998</v>
      </c>
    </row>
    <row r="436" spans="1:11" x14ac:dyDescent="0.25">
      <c r="A436">
        <v>-28</v>
      </c>
      <c r="B436" t="s">
        <v>61</v>
      </c>
      <c r="C436">
        <v>38.383000000000003</v>
      </c>
      <c r="D436">
        <v>-119.822</v>
      </c>
      <c r="E436">
        <v>20180814</v>
      </c>
      <c r="G436">
        <v>29570</v>
      </c>
      <c r="H436">
        <v>14</v>
      </c>
      <c r="I436">
        <v>0.3954839208</v>
      </c>
      <c r="J436">
        <v>805</v>
      </c>
      <c r="K436">
        <v>0.70835395700000003</v>
      </c>
    </row>
    <row r="437" spans="1:11" x14ac:dyDescent="0.25">
      <c r="A437">
        <v>-28</v>
      </c>
      <c r="B437" t="s">
        <v>61</v>
      </c>
      <c r="C437">
        <v>38.383000000000003</v>
      </c>
      <c r="D437">
        <v>-119.822</v>
      </c>
      <c r="E437">
        <v>20180815</v>
      </c>
      <c r="G437">
        <v>29824</v>
      </c>
      <c r="H437">
        <v>15</v>
      </c>
      <c r="I437">
        <v>0.1236660916</v>
      </c>
      <c r="J437">
        <v>254</v>
      </c>
      <c r="K437">
        <v>0.22350547209999999</v>
      </c>
    </row>
    <row r="438" spans="1:11" x14ac:dyDescent="0.25">
      <c r="A438">
        <v>-28</v>
      </c>
      <c r="B438" t="s">
        <v>61</v>
      </c>
      <c r="C438">
        <v>38.383000000000003</v>
      </c>
      <c r="D438">
        <v>-119.822</v>
      </c>
      <c r="E438">
        <v>20180816</v>
      </c>
      <c r="G438">
        <v>30079</v>
      </c>
      <c r="H438">
        <v>16</v>
      </c>
      <c r="I438">
        <v>0.1236243699</v>
      </c>
      <c r="J438">
        <v>255</v>
      </c>
      <c r="K438">
        <v>0.2243854149</v>
      </c>
    </row>
    <row r="439" spans="1:11" x14ac:dyDescent="0.25">
      <c r="A439">
        <v>-28</v>
      </c>
      <c r="B439" t="s">
        <v>61</v>
      </c>
      <c r="C439">
        <v>38.383000000000003</v>
      </c>
      <c r="D439">
        <v>-119.822</v>
      </c>
      <c r="E439">
        <v>20180817</v>
      </c>
      <c r="G439">
        <v>31369</v>
      </c>
      <c r="H439">
        <v>17</v>
      </c>
      <c r="I439">
        <v>0.61751423979999998</v>
      </c>
      <c r="J439">
        <v>1290</v>
      </c>
      <c r="K439">
        <v>1.135126217</v>
      </c>
    </row>
    <row r="440" spans="1:11" x14ac:dyDescent="0.25">
      <c r="A440">
        <v>-28</v>
      </c>
      <c r="B440" t="s">
        <v>61</v>
      </c>
      <c r="C440">
        <v>38.383000000000003</v>
      </c>
      <c r="D440">
        <v>-119.822</v>
      </c>
      <c r="E440">
        <v>20180818</v>
      </c>
      <c r="G440">
        <v>31743</v>
      </c>
      <c r="H440">
        <v>18</v>
      </c>
      <c r="I440">
        <v>0.1766463835</v>
      </c>
      <c r="J440">
        <v>374</v>
      </c>
      <c r="K440">
        <v>0.32909860860000001</v>
      </c>
    </row>
    <row r="441" spans="1:11" x14ac:dyDescent="0.25">
      <c r="A441">
        <v>-28</v>
      </c>
      <c r="B441" t="s">
        <v>61</v>
      </c>
      <c r="C441">
        <v>38.383000000000003</v>
      </c>
      <c r="D441">
        <v>-119.822</v>
      </c>
      <c r="E441">
        <v>20180819</v>
      </c>
      <c r="G441">
        <v>31743</v>
      </c>
      <c r="H441">
        <v>19</v>
      </c>
      <c r="I441">
        <v>0</v>
      </c>
      <c r="J441">
        <v>0</v>
      </c>
      <c r="K441">
        <v>0</v>
      </c>
    </row>
    <row r="442" spans="1:11" x14ac:dyDescent="0.25">
      <c r="A442">
        <v>-28</v>
      </c>
      <c r="B442" t="s">
        <v>61</v>
      </c>
      <c r="C442">
        <v>38.383000000000003</v>
      </c>
      <c r="D442">
        <v>-119.822</v>
      </c>
      <c r="E442">
        <v>20180820</v>
      </c>
      <c r="G442">
        <v>31743</v>
      </c>
      <c r="H442">
        <v>20</v>
      </c>
      <c r="I442">
        <v>0</v>
      </c>
      <c r="J442">
        <v>0</v>
      </c>
      <c r="K442">
        <v>0</v>
      </c>
    </row>
    <row r="443" spans="1:11" x14ac:dyDescent="0.25">
      <c r="A443">
        <v>-28</v>
      </c>
      <c r="B443" t="s">
        <v>61</v>
      </c>
      <c r="C443">
        <v>38.383000000000003</v>
      </c>
      <c r="D443">
        <v>-119.822</v>
      </c>
      <c r="E443">
        <v>20180821</v>
      </c>
      <c r="G443">
        <v>34637</v>
      </c>
      <c r="H443">
        <v>21</v>
      </c>
      <c r="I443">
        <v>1.3331234709999999</v>
      </c>
      <c r="J443">
        <v>2894</v>
      </c>
      <c r="K443">
        <v>2.5465544740000001</v>
      </c>
    </row>
    <row r="444" spans="1:11" x14ac:dyDescent="0.25">
      <c r="A444">
        <v>-28</v>
      </c>
      <c r="B444" t="s">
        <v>61</v>
      </c>
      <c r="C444">
        <v>38.383000000000003</v>
      </c>
      <c r="D444">
        <v>-119.822</v>
      </c>
      <c r="E444">
        <v>20180822</v>
      </c>
      <c r="G444">
        <v>34566</v>
      </c>
      <c r="H444">
        <v>22</v>
      </c>
      <c r="I444">
        <v>-3.2024559020000003E-2</v>
      </c>
      <c r="J444">
        <v>-71</v>
      </c>
      <c r="K444">
        <v>-6.2475939059999999E-2</v>
      </c>
    </row>
    <row r="445" spans="1:11" x14ac:dyDescent="0.25">
      <c r="A445">
        <v>-28</v>
      </c>
      <c r="B445" t="s">
        <v>61</v>
      </c>
      <c r="C445">
        <v>38.383000000000003</v>
      </c>
      <c r="D445">
        <v>-119.822</v>
      </c>
      <c r="E445">
        <v>20180823</v>
      </c>
      <c r="G445">
        <v>35684</v>
      </c>
      <c r="H445">
        <v>23</v>
      </c>
      <c r="I445">
        <v>0.50051788799999997</v>
      </c>
      <c r="J445">
        <v>1118</v>
      </c>
      <c r="K445">
        <v>0.98377605459999995</v>
      </c>
    </row>
    <row r="446" spans="1:11" x14ac:dyDescent="0.25">
      <c r="A446">
        <v>-28</v>
      </c>
      <c r="B446" t="s">
        <v>61</v>
      </c>
      <c r="C446">
        <v>38.383000000000003</v>
      </c>
      <c r="D446">
        <v>-119.822</v>
      </c>
      <c r="E446">
        <v>20180824</v>
      </c>
      <c r="G446">
        <v>35288</v>
      </c>
      <c r="H446">
        <v>24</v>
      </c>
      <c r="I446">
        <v>-0.17637643789999999</v>
      </c>
      <c r="J446">
        <v>-396</v>
      </c>
      <c r="K446">
        <v>-0.34845735030000002</v>
      </c>
    </row>
    <row r="447" spans="1:11" x14ac:dyDescent="0.25">
      <c r="A447">
        <v>-28</v>
      </c>
      <c r="B447" t="s">
        <v>61</v>
      </c>
      <c r="C447">
        <v>38.383000000000003</v>
      </c>
      <c r="D447">
        <v>-119.822</v>
      </c>
      <c r="E447">
        <v>20180825</v>
      </c>
      <c r="G447">
        <v>35684</v>
      </c>
      <c r="H447">
        <v>25</v>
      </c>
      <c r="I447">
        <v>0.17637643789999999</v>
      </c>
      <c r="J447">
        <v>396</v>
      </c>
      <c r="K447">
        <v>0.34845735030000002</v>
      </c>
    </row>
    <row r="448" spans="1:11" x14ac:dyDescent="0.25">
      <c r="A448">
        <v>-28</v>
      </c>
      <c r="B448" t="s">
        <v>61</v>
      </c>
      <c r="C448">
        <v>38.383000000000003</v>
      </c>
      <c r="D448">
        <v>-119.822</v>
      </c>
      <c r="E448">
        <v>20180826</v>
      </c>
      <c r="G448">
        <v>36623</v>
      </c>
      <c r="H448">
        <v>26</v>
      </c>
      <c r="I448">
        <v>0.41435424230000001</v>
      </c>
      <c r="J448">
        <v>939</v>
      </c>
      <c r="K448">
        <v>0.82626629269999996</v>
      </c>
    </row>
    <row r="449" spans="1:11" x14ac:dyDescent="0.25">
      <c r="A449">
        <v>-28</v>
      </c>
      <c r="B449" t="s">
        <v>61</v>
      </c>
      <c r="C449">
        <v>38.383000000000003</v>
      </c>
      <c r="D449">
        <v>-119.822</v>
      </c>
      <c r="E449">
        <v>20180827</v>
      </c>
      <c r="G449">
        <v>36749</v>
      </c>
      <c r="H449">
        <v>27</v>
      </c>
      <c r="I449">
        <v>5.5194110640000002E-2</v>
      </c>
      <c r="J449">
        <v>126</v>
      </c>
      <c r="K449">
        <v>0.11087279329999999</v>
      </c>
    </row>
    <row r="450" spans="1:11" x14ac:dyDescent="0.25">
      <c r="A450">
        <v>-28</v>
      </c>
      <c r="B450" t="s">
        <v>61</v>
      </c>
      <c r="C450">
        <v>38.383000000000003</v>
      </c>
      <c r="D450">
        <v>-119.822</v>
      </c>
      <c r="E450">
        <v>20180828</v>
      </c>
      <c r="G450">
        <v>36318</v>
      </c>
      <c r="H450">
        <v>28</v>
      </c>
      <c r="I450">
        <v>-0.18919329200000001</v>
      </c>
      <c r="J450">
        <v>-431</v>
      </c>
      <c r="K450">
        <v>-0.37925534840000003</v>
      </c>
    </row>
    <row r="451" spans="1:11" x14ac:dyDescent="0.25">
      <c r="A451">
        <v>-28</v>
      </c>
      <c r="B451" t="s">
        <v>61</v>
      </c>
      <c r="C451">
        <v>38.383000000000003</v>
      </c>
      <c r="D451">
        <v>-119.822</v>
      </c>
      <c r="E451">
        <v>20180829</v>
      </c>
      <c r="G451">
        <v>36325</v>
      </c>
      <c r="H451">
        <v>29</v>
      </c>
      <c r="I451">
        <v>3.0816858780000002E-3</v>
      </c>
      <c r="J451">
        <v>7</v>
      </c>
      <c r="K451">
        <v>6.1595996260000001E-3</v>
      </c>
    </row>
    <row r="452" spans="1:11" x14ac:dyDescent="0.25">
      <c r="A452">
        <v>-28</v>
      </c>
      <c r="B452" t="s">
        <v>61</v>
      </c>
      <c r="C452">
        <v>38.383000000000003</v>
      </c>
      <c r="D452">
        <v>-119.822</v>
      </c>
      <c r="E452">
        <v>20180830</v>
      </c>
      <c r="G452">
        <v>36349</v>
      </c>
      <c r="H452">
        <v>30</v>
      </c>
      <c r="I452">
        <v>1.056352656E-2</v>
      </c>
      <c r="J452">
        <v>24</v>
      </c>
      <c r="K452">
        <v>2.1118627290000001E-2</v>
      </c>
    </row>
    <row r="453" spans="1:11" x14ac:dyDescent="0.25">
      <c r="A453">
        <v>-28</v>
      </c>
      <c r="B453" t="s">
        <v>61</v>
      </c>
      <c r="C453">
        <v>38.383000000000003</v>
      </c>
      <c r="D453">
        <v>-119.822</v>
      </c>
      <c r="E453">
        <v>20180831</v>
      </c>
      <c r="G453">
        <v>36359</v>
      </c>
      <c r="H453">
        <v>31</v>
      </c>
      <c r="I453">
        <v>4.4004401139999998E-3</v>
      </c>
      <c r="J453">
        <v>10</v>
      </c>
      <c r="K453">
        <v>8.799428037E-3</v>
      </c>
    </row>
    <row r="454" spans="1:11" x14ac:dyDescent="0.25">
      <c r="A454">
        <v>-28</v>
      </c>
      <c r="B454" t="s">
        <v>61</v>
      </c>
      <c r="C454">
        <v>38.383000000000003</v>
      </c>
      <c r="D454">
        <v>-119.822</v>
      </c>
      <c r="E454">
        <v>20180901</v>
      </c>
      <c r="G454">
        <v>36366</v>
      </c>
      <c r="H454">
        <v>32</v>
      </c>
      <c r="I454">
        <v>3.0799480330000002E-3</v>
      </c>
      <c r="J454">
        <v>7</v>
      </c>
      <c r="K454">
        <v>6.1595996260000001E-3</v>
      </c>
    </row>
    <row r="456" spans="1:11" x14ac:dyDescent="0.25">
      <c r="A456">
        <v>-29</v>
      </c>
      <c r="B456" t="s">
        <v>62</v>
      </c>
      <c r="C456">
        <v>47.976999999999997</v>
      </c>
      <c r="D456">
        <v>-118.498</v>
      </c>
      <c r="E456">
        <v>20190802</v>
      </c>
      <c r="G456">
        <v>1540</v>
      </c>
      <c r="H456">
        <v>1</v>
      </c>
      <c r="I456">
        <v>0</v>
      </c>
      <c r="J456">
        <v>1540</v>
      </c>
      <c r="K456">
        <v>0.72762453309999997</v>
      </c>
    </row>
    <row r="457" spans="1:11" x14ac:dyDescent="0.25">
      <c r="A457">
        <v>-29</v>
      </c>
      <c r="B457" t="s">
        <v>62</v>
      </c>
      <c r="C457">
        <v>47.976999999999997</v>
      </c>
      <c r="D457">
        <v>-118.498</v>
      </c>
      <c r="E457">
        <v>20190803</v>
      </c>
      <c r="G457">
        <v>1540</v>
      </c>
      <c r="H457">
        <v>2</v>
      </c>
      <c r="I457">
        <v>6.2678296539999998</v>
      </c>
      <c r="J457">
        <v>0</v>
      </c>
      <c r="K457">
        <v>0</v>
      </c>
    </row>
    <row r="458" spans="1:11" x14ac:dyDescent="0.25">
      <c r="A458">
        <v>-29</v>
      </c>
      <c r="B458" t="s">
        <v>62</v>
      </c>
      <c r="C458">
        <v>47.976999999999997</v>
      </c>
      <c r="D458">
        <v>-118.498</v>
      </c>
      <c r="E458">
        <v>20190804</v>
      </c>
      <c r="G458">
        <v>10438</v>
      </c>
      <c r="H458">
        <v>3</v>
      </c>
      <c r="I458">
        <v>1.395542021</v>
      </c>
      <c r="J458">
        <v>8898</v>
      </c>
      <c r="K458">
        <v>4.204157854</v>
      </c>
    </row>
    <row r="459" spans="1:11" x14ac:dyDescent="0.25">
      <c r="A459">
        <v>-29</v>
      </c>
      <c r="B459" t="s">
        <v>62</v>
      </c>
      <c r="C459">
        <v>47.976999999999997</v>
      </c>
      <c r="D459">
        <v>-118.498</v>
      </c>
      <c r="E459">
        <v>20190805</v>
      </c>
      <c r="G459">
        <v>13497</v>
      </c>
      <c r="H459">
        <v>4</v>
      </c>
      <c r="I459">
        <v>1.331278669</v>
      </c>
      <c r="J459">
        <v>3059</v>
      </c>
      <c r="K459">
        <v>1.445326914</v>
      </c>
    </row>
    <row r="460" spans="1:11" x14ac:dyDescent="0.25">
      <c r="A460">
        <v>-29</v>
      </c>
      <c r="B460" t="s">
        <v>62</v>
      </c>
      <c r="C460">
        <v>47.976999999999997</v>
      </c>
      <c r="D460">
        <v>-118.498</v>
      </c>
      <c r="E460">
        <v>20190806</v>
      </c>
      <c r="G460">
        <v>16781</v>
      </c>
      <c r="H460">
        <v>5</v>
      </c>
      <c r="I460">
        <v>1.5963852169999999</v>
      </c>
      <c r="J460">
        <v>3284</v>
      </c>
      <c r="K460">
        <v>1.5516356929999999</v>
      </c>
    </row>
    <row r="461" spans="1:11" x14ac:dyDescent="0.25">
      <c r="A461">
        <v>-29</v>
      </c>
      <c r="B461" t="s">
        <v>62</v>
      </c>
      <c r="C461">
        <v>47.976999999999997</v>
      </c>
      <c r="D461">
        <v>-118.498</v>
      </c>
      <c r="E461">
        <v>20190807</v>
      </c>
      <c r="G461">
        <v>21190</v>
      </c>
      <c r="H461">
        <v>6</v>
      </c>
      <c r="I461">
        <v>3.9151787179999999</v>
      </c>
      <c r="J461">
        <v>4409</v>
      </c>
      <c r="K461">
        <v>2.0831795890000002</v>
      </c>
    </row>
    <row r="462" spans="1:11" x14ac:dyDescent="0.25">
      <c r="A462">
        <v>-29</v>
      </c>
      <c r="B462" t="s">
        <v>62</v>
      </c>
      <c r="C462">
        <v>47.976999999999997</v>
      </c>
      <c r="D462">
        <v>-118.498</v>
      </c>
      <c r="E462">
        <v>20190808</v>
      </c>
      <c r="G462">
        <v>34178</v>
      </c>
      <c r="H462">
        <v>7</v>
      </c>
      <c r="I462">
        <v>1.5068075569999999</v>
      </c>
      <c r="J462">
        <v>12988</v>
      </c>
      <c r="K462">
        <v>6.1366152180000002</v>
      </c>
    </row>
    <row r="463" spans="1:11" x14ac:dyDescent="0.25">
      <c r="A463">
        <v>-29</v>
      </c>
      <c r="B463" t="s">
        <v>62</v>
      </c>
      <c r="C463">
        <v>47.976999999999997</v>
      </c>
      <c r="D463">
        <v>-118.498</v>
      </c>
      <c r="E463">
        <v>20190809</v>
      </c>
      <c r="G463">
        <v>40000</v>
      </c>
      <c r="H463">
        <v>8</v>
      </c>
      <c r="I463">
        <v>0.73356925510000004</v>
      </c>
      <c r="J463">
        <v>5822</v>
      </c>
      <c r="K463">
        <v>2.7507987219999999</v>
      </c>
    </row>
    <row r="464" spans="1:11" x14ac:dyDescent="0.25">
      <c r="A464">
        <v>-29</v>
      </c>
      <c r="B464" t="s">
        <v>62</v>
      </c>
      <c r="C464">
        <v>47.976999999999997</v>
      </c>
      <c r="D464">
        <v>-118.498</v>
      </c>
      <c r="E464">
        <v>20190810</v>
      </c>
      <c r="G464">
        <v>43000</v>
      </c>
      <c r="H464">
        <v>9</v>
      </c>
      <c r="I464">
        <v>0.39728175859999998</v>
      </c>
      <c r="J464">
        <v>3000</v>
      </c>
      <c r="K464">
        <v>1.4174503890000001</v>
      </c>
    </row>
    <row r="465" spans="1:11" x14ac:dyDescent="0.25">
      <c r="A465">
        <v>-29</v>
      </c>
      <c r="B465" t="s">
        <v>62</v>
      </c>
      <c r="C465">
        <v>47.976999999999997</v>
      </c>
      <c r="D465">
        <v>-118.498</v>
      </c>
      <c r="E465">
        <v>20190811</v>
      </c>
      <c r="G465">
        <v>44670</v>
      </c>
      <c r="H465">
        <v>10</v>
      </c>
      <c r="I465">
        <v>0</v>
      </c>
      <c r="J465">
        <v>1670</v>
      </c>
      <c r="K465">
        <v>0.78904738330000002</v>
      </c>
    </row>
    <row r="466" spans="1:11" x14ac:dyDescent="0.25">
      <c r="A466">
        <v>-29</v>
      </c>
      <c r="B466" t="s">
        <v>62</v>
      </c>
      <c r="C466">
        <v>47.976999999999997</v>
      </c>
      <c r="D466">
        <v>-118.498</v>
      </c>
      <c r="E466">
        <v>20190812</v>
      </c>
      <c r="G466">
        <v>44670</v>
      </c>
      <c r="H466">
        <v>11</v>
      </c>
      <c r="I466">
        <v>0.14044941259999999</v>
      </c>
      <c r="J466">
        <v>0</v>
      </c>
      <c r="K466">
        <v>0</v>
      </c>
    </row>
    <row r="467" spans="1:11" x14ac:dyDescent="0.25">
      <c r="A467">
        <v>-29</v>
      </c>
      <c r="B467" t="s">
        <v>62</v>
      </c>
      <c r="C467">
        <v>47.976999999999997</v>
      </c>
      <c r="D467">
        <v>-118.498</v>
      </c>
      <c r="E467">
        <v>20190813</v>
      </c>
      <c r="G467">
        <v>45268</v>
      </c>
      <c r="H467">
        <v>12</v>
      </c>
      <c r="I467">
        <v>9.36327335E-4</v>
      </c>
      <c r="J467">
        <v>598</v>
      </c>
      <c r="K467">
        <v>0.28254511090000001</v>
      </c>
    </row>
    <row r="468" spans="1:11" x14ac:dyDescent="0.25">
      <c r="A468">
        <v>-29</v>
      </c>
      <c r="B468" t="s">
        <v>62</v>
      </c>
      <c r="C468">
        <v>47.976999999999997</v>
      </c>
      <c r="D468">
        <v>-118.498</v>
      </c>
      <c r="E468">
        <v>20190814</v>
      </c>
      <c r="G468">
        <v>45272</v>
      </c>
      <c r="H468">
        <v>13</v>
      </c>
      <c r="I468">
        <v>2.0354895290000001E-2</v>
      </c>
      <c r="J468">
        <v>4</v>
      </c>
      <c r="K468">
        <v>1.889933852E-3</v>
      </c>
    </row>
    <row r="469" spans="1:11" x14ac:dyDescent="0.25">
      <c r="A469">
        <v>-29</v>
      </c>
      <c r="B469" t="s">
        <v>62</v>
      </c>
      <c r="C469">
        <v>47.976999999999997</v>
      </c>
      <c r="D469">
        <v>-118.498</v>
      </c>
      <c r="E469">
        <v>20190815</v>
      </c>
      <c r="G469">
        <v>45359</v>
      </c>
      <c r="H469">
        <v>14</v>
      </c>
      <c r="I469">
        <v>-0.1982979181</v>
      </c>
      <c r="J469">
        <v>87</v>
      </c>
      <c r="K469">
        <v>4.1106061290000002E-2</v>
      </c>
    </row>
    <row r="470" spans="1:11" x14ac:dyDescent="0.25">
      <c r="A470">
        <v>-29</v>
      </c>
      <c r="B470" t="s">
        <v>62</v>
      </c>
      <c r="C470">
        <v>47.976999999999997</v>
      </c>
      <c r="D470">
        <v>-118.498</v>
      </c>
      <c r="E470">
        <v>20190816</v>
      </c>
      <c r="G470">
        <v>44515</v>
      </c>
      <c r="H470">
        <v>15</v>
      </c>
      <c r="I470">
        <v>0</v>
      </c>
      <c r="J470">
        <v>-844</v>
      </c>
      <c r="K470">
        <v>-0.39877604280000001</v>
      </c>
    </row>
    <row r="471" spans="1:11" x14ac:dyDescent="0.25">
      <c r="A471">
        <v>-29</v>
      </c>
      <c r="B471" t="s">
        <v>62</v>
      </c>
      <c r="C471">
        <v>47.976999999999997</v>
      </c>
      <c r="D471">
        <v>-118.498</v>
      </c>
      <c r="E471">
        <v>20190817</v>
      </c>
      <c r="G471">
        <v>44515</v>
      </c>
      <c r="H471">
        <v>16</v>
      </c>
      <c r="I471">
        <v>0</v>
      </c>
      <c r="J471">
        <v>0</v>
      </c>
      <c r="K471">
        <v>0</v>
      </c>
    </row>
    <row r="472" spans="1:11" x14ac:dyDescent="0.25">
      <c r="A472">
        <v>-29</v>
      </c>
      <c r="B472" t="s">
        <v>62</v>
      </c>
      <c r="C472">
        <v>47.976999999999997</v>
      </c>
      <c r="D472">
        <v>-118.498</v>
      </c>
      <c r="E472">
        <v>20190818</v>
      </c>
      <c r="G472">
        <v>44515</v>
      </c>
      <c r="H472">
        <v>17</v>
      </c>
      <c r="I472">
        <v>0</v>
      </c>
      <c r="J472">
        <v>0</v>
      </c>
      <c r="K472">
        <v>0</v>
      </c>
    </row>
    <row r="473" spans="1:11" x14ac:dyDescent="0.25">
      <c r="A473">
        <v>-29</v>
      </c>
      <c r="B473" t="s">
        <v>62</v>
      </c>
      <c r="C473">
        <v>47.976999999999997</v>
      </c>
      <c r="D473">
        <v>-118.498</v>
      </c>
      <c r="E473">
        <v>20190819</v>
      </c>
      <c r="G473">
        <v>44515</v>
      </c>
      <c r="H473">
        <v>18</v>
      </c>
      <c r="I473">
        <v>0</v>
      </c>
      <c r="J473">
        <v>0</v>
      </c>
      <c r="K473">
        <v>0</v>
      </c>
    </row>
    <row r="474" spans="1:11" x14ac:dyDescent="0.25">
      <c r="A474">
        <v>-29</v>
      </c>
      <c r="B474" t="s">
        <v>62</v>
      </c>
      <c r="C474">
        <v>47.976999999999997</v>
      </c>
      <c r="D474">
        <v>-118.498</v>
      </c>
      <c r="E474">
        <v>20190820</v>
      </c>
      <c r="G474">
        <v>44515</v>
      </c>
      <c r="H474">
        <v>19</v>
      </c>
      <c r="I474">
        <v>-5.5783856129999997E-2</v>
      </c>
      <c r="J474">
        <v>0</v>
      </c>
      <c r="K474">
        <v>0</v>
      </c>
    </row>
    <row r="475" spans="1:11" x14ac:dyDescent="0.25">
      <c r="A475">
        <v>-29</v>
      </c>
      <c r="B475" t="s">
        <v>62</v>
      </c>
      <c r="C475">
        <v>47.976999999999997</v>
      </c>
      <c r="D475">
        <v>-118.498</v>
      </c>
      <c r="E475">
        <v>20190821</v>
      </c>
      <c r="G475">
        <v>44279</v>
      </c>
      <c r="H475">
        <v>20</v>
      </c>
      <c r="I475">
        <v>3.9489498230000003E-2</v>
      </c>
      <c r="J475">
        <v>-236</v>
      </c>
      <c r="K475">
        <v>-0.1115060973</v>
      </c>
    </row>
    <row r="476" spans="1:11" x14ac:dyDescent="0.25">
      <c r="A476">
        <v>-29</v>
      </c>
      <c r="B476" t="s">
        <v>62</v>
      </c>
      <c r="C476">
        <v>47.976999999999997</v>
      </c>
      <c r="D476">
        <v>-118.498</v>
      </c>
      <c r="E476">
        <v>20190822</v>
      </c>
      <c r="G476">
        <v>44446</v>
      </c>
      <c r="H476">
        <v>21</v>
      </c>
      <c r="I476">
        <v>0</v>
      </c>
      <c r="J476">
        <v>167</v>
      </c>
      <c r="K476">
        <v>7.8904738330000002E-2</v>
      </c>
    </row>
    <row r="478" spans="1:11" x14ac:dyDescent="0.25">
      <c r="A478">
        <v>-30</v>
      </c>
      <c r="B478" t="s">
        <v>63</v>
      </c>
      <c r="C478">
        <v>41.006999999999998</v>
      </c>
      <c r="D478">
        <v>-122.462</v>
      </c>
      <c r="E478">
        <v>20180905</v>
      </c>
      <c r="G478">
        <v>15249</v>
      </c>
      <c r="H478">
        <v>1</v>
      </c>
      <c r="I478">
        <v>0.21944732989999999</v>
      </c>
      <c r="J478">
        <v>15249</v>
      </c>
      <c r="K478">
        <v>7.4358454060000003</v>
      </c>
    </row>
    <row r="479" spans="1:11" x14ac:dyDescent="0.25">
      <c r="A479">
        <v>-30</v>
      </c>
      <c r="B479" t="s">
        <v>63</v>
      </c>
      <c r="C479">
        <v>41.006999999999998</v>
      </c>
      <c r="D479">
        <v>-122.462</v>
      </c>
      <c r="E479">
        <v>20180906</v>
      </c>
      <c r="G479">
        <v>15693</v>
      </c>
      <c r="H479">
        <v>2</v>
      </c>
      <c r="I479">
        <v>6.3585578570000001</v>
      </c>
      <c r="J479">
        <v>444</v>
      </c>
      <c r="K479">
        <v>0.2165070077</v>
      </c>
    </row>
    <row r="480" spans="1:11" x14ac:dyDescent="0.25">
      <c r="A480">
        <v>-30</v>
      </c>
      <c r="B480" t="s">
        <v>63</v>
      </c>
      <c r="C480">
        <v>41.006999999999998</v>
      </c>
      <c r="D480">
        <v>-122.462</v>
      </c>
      <c r="E480">
        <v>20180907</v>
      </c>
      <c r="G480">
        <v>31325</v>
      </c>
      <c r="H480">
        <v>3</v>
      </c>
      <c r="I480">
        <v>1.879540454</v>
      </c>
      <c r="J480">
        <v>15632</v>
      </c>
      <c r="K480">
        <v>7.622607082</v>
      </c>
    </row>
    <row r="481" spans="1:11" x14ac:dyDescent="0.25">
      <c r="A481">
        <v>-30</v>
      </c>
      <c r="B481" t="s">
        <v>63</v>
      </c>
      <c r="C481">
        <v>41.006999999999998</v>
      </c>
      <c r="D481">
        <v>-122.462</v>
      </c>
      <c r="E481">
        <v>20180908</v>
      </c>
      <c r="G481">
        <v>36970</v>
      </c>
      <c r="H481">
        <v>4</v>
      </c>
      <c r="I481">
        <v>1.1273126410000001</v>
      </c>
      <c r="J481">
        <v>5645</v>
      </c>
      <c r="K481">
        <v>2.7526622939999998</v>
      </c>
    </row>
    <row r="482" spans="1:11" x14ac:dyDescent="0.25">
      <c r="A482">
        <v>-30</v>
      </c>
      <c r="B482" t="s">
        <v>63</v>
      </c>
      <c r="C482">
        <v>41.006999999999998</v>
      </c>
      <c r="D482">
        <v>-122.462</v>
      </c>
      <c r="E482">
        <v>20180909</v>
      </c>
      <c r="G482">
        <v>40580</v>
      </c>
      <c r="H482">
        <v>5</v>
      </c>
      <c r="I482">
        <v>1.9184485410000001</v>
      </c>
      <c r="J482">
        <v>3610</v>
      </c>
      <c r="K482">
        <v>1.760338508</v>
      </c>
    </row>
    <row r="483" spans="1:11" x14ac:dyDescent="0.25">
      <c r="A483">
        <v>-30</v>
      </c>
      <c r="B483" t="s">
        <v>63</v>
      </c>
      <c r="C483">
        <v>41.006999999999998</v>
      </c>
      <c r="D483">
        <v>-122.462</v>
      </c>
      <c r="E483">
        <v>20180910</v>
      </c>
      <c r="G483">
        <v>47110</v>
      </c>
      <c r="H483">
        <v>6</v>
      </c>
      <c r="I483">
        <v>1.702029563</v>
      </c>
      <c r="J483">
        <v>6530</v>
      </c>
      <c r="K483">
        <v>3.1842134240000002</v>
      </c>
    </row>
    <row r="484" spans="1:11" x14ac:dyDescent="0.25">
      <c r="A484">
        <v>-30</v>
      </c>
      <c r="B484" t="s">
        <v>63</v>
      </c>
      <c r="C484">
        <v>41.006999999999998</v>
      </c>
      <c r="D484">
        <v>-122.462</v>
      </c>
      <c r="E484">
        <v>20180911</v>
      </c>
      <c r="G484">
        <v>53311</v>
      </c>
      <c r="H484">
        <v>7</v>
      </c>
      <c r="I484">
        <v>1.0256961170000001</v>
      </c>
      <c r="J484">
        <v>6201</v>
      </c>
      <c r="K484">
        <v>3.0237836819999999</v>
      </c>
    </row>
    <row r="485" spans="1:11" x14ac:dyDescent="0.25">
      <c r="A485">
        <v>-30</v>
      </c>
      <c r="B485" t="s">
        <v>63</v>
      </c>
      <c r="C485">
        <v>41.006999999999998</v>
      </c>
      <c r="D485">
        <v>-122.462</v>
      </c>
      <c r="E485">
        <v>20180912</v>
      </c>
      <c r="G485">
        <v>57233</v>
      </c>
      <c r="H485">
        <v>8</v>
      </c>
      <c r="I485">
        <v>0.68932267759999999</v>
      </c>
      <c r="J485">
        <v>3922</v>
      </c>
      <c r="K485">
        <v>1.912478568</v>
      </c>
    </row>
    <row r="486" spans="1:11" x14ac:dyDescent="0.25">
      <c r="A486">
        <v>-30</v>
      </c>
      <c r="B486" t="s">
        <v>63</v>
      </c>
      <c r="C486">
        <v>41.006999999999998</v>
      </c>
      <c r="D486">
        <v>-122.462</v>
      </c>
      <c r="E486">
        <v>20180913</v>
      </c>
      <c r="G486">
        <v>59947</v>
      </c>
      <c r="H486">
        <v>9</v>
      </c>
      <c r="I486">
        <v>1.782138414E-2</v>
      </c>
      <c r="J486">
        <v>2714</v>
      </c>
      <c r="K486">
        <v>1.3234234659999999</v>
      </c>
    </row>
    <row r="487" spans="1:11" x14ac:dyDescent="0.25">
      <c r="A487">
        <v>-30</v>
      </c>
      <c r="B487" t="s">
        <v>63</v>
      </c>
      <c r="C487">
        <v>41.006999999999998</v>
      </c>
      <c r="D487">
        <v>-122.462</v>
      </c>
      <c r="E487">
        <v>20180914</v>
      </c>
      <c r="G487">
        <v>60018</v>
      </c>
      <c r="H487">
        <v>10</v>
      </c>
      <c r="I487">
        <v>1.229311801E-2</v>
      </c>
      <c r="J487">
        <v>71</v>
      </c>
      <c r="K487">
        <v>3.4621616090000001E-2</v>
      </c>
    </row>
    <row r="488" spans="1:11" x14ac:dyDescent="0.25">
      <c r="A488">
        <v>-30</v>
      </c>
      <c r="B488" t="s">
        <v>63</v>
      </c>
      <c r="C488">
        <v>41.006999999999998</v>
      </c>
      <c r="D488">
        <v>-122.462</v>
      </c>
      <c r="E488">
        <v>20180915</v>
      </c>
      <c r="G488">
        <v>60067</v>
      </c>
      <c r="H488">
        <v>11</v>
      </c>
      <c r="I488">
        <v>-1.229311801E-2</v>
      </c>
      <c r="J488">
        <v>49</v>
      </c>
      <c r="K488">
        <v>2.3893791389999999E-2</v>
      </c>
    </row>
    <row r="489" spans="1:11" x14ac:dyDescent="0.25">
      <c r="A489">
        <v>-30</v>
      </c>
      <c r="B489" t="s">
        <v>63</v>
      </c>
      <c r="C489">
        <v>41.006999999999998</v>
      </c>
      <c r="D489">
        <v>-122.462</v>
      </c>
      <c r="E489">
        <v>20180916</v>
      </c>
      <c r="G489">
        <v>60018</v>
      </c>
      <c r="H489">
        <v>12</v>
      </c>
      <c r="I489">
        <v>6.4921204740000002E-2</v>
      </c>
      <c r="J489">
        <v>-49</v>
      </c>
      <c r="K489">
        <v>-2.3893791389999999E-2</v>
      </c>
    </row>
    <row r="490" spans="1:11" x14ac:dyDescent="0.25">
      <c r="A490">
        <v>-30</v>
      </c>
      <c r="B490" t="s">
        <v>63</v>
      </c>
      <c r="C490">
        <v>41.006999999999998</v>
      </c>
      <c r="D490">
        <v>-122.462</v>
      </c>
      <c r="E490">
        <v>20180917</v>
      </c>
      <c r="G490">
        <v>60277</v>
      </c>
      <c r="H490">
        <v>13</v>
      </c>
      <c r="I490">
        <v>0</v>
      </c>
      <c r="J490">
        <v>259</v>
      </c>
      <c r="K490">
        <v>0.1262957545</v>
      </c>
    </row>
    <row r="491" spans="1:11" x14ac:dyDescent="0.25">
      <c r="A491">
        <v>-30</v>
      </c>
      <c r="B491" t="s">
        <v>63</v>
      </c>
      <c r="C491">
        <v>41.006999999999998</v>
      </c>
      <c r="D491">
        <v>-122.462</v>
      </c>
      <c r="E491">
        <v>20180918</v>
      </c>
      <c r="G491">
        <v>60277</v>
      </c>
      <c r="H491">
        <v>13</v>
      </c>
      <c r="I491">
        <v>7.8770536040000005E-2</v>
      </c>
      <c r="J491">
        <v>0</v>
      </c>
      <c r="K491">
        <v>0</v>
      </c>
    </row>
    <row r="492" spans="1:11" x14ac:dyDescent="0.25">
      <c r="A492">
        <v>-30</v>
      </c>
      <c r="B492" t="s">
        <v>63</v>
      </c>
      <c r="C492">
        <v>41.006999999999998</v>
      </c>
      <c r="D492">
        <v>-122.462</v>
      </c>
      <c r="E492">
        <v>20180919</v>
      </c>
      <c r="G492">
        <v>60592</v>
      </c>
      <c r="H492">
        <v>15</v>
      </c>
      <c r="I492">
        <v>0</v>
      </c>
      <c r="J492">
        <v>315</v>
      </c>
      <c r="K492">
        <v>0.15360294460000001</v>
      </c>
    </row>
    <row r="493" spans="1:11" x14ac:dyDescent="0.25">
      <c r="A493">
        <v>-30</v>
      </c>
      <c r="B493" t="s">
        <v>63</v>
      </c>
      <c r="C493">
        <v>41.006999999999998</v>
      </c>
      <c r="D493">
        <v>-122.462</v>
      </c>
      <c r="E493">
        <v>20180920</v>
      </c>
      <c r="G493">
        <v>60592</v>
      </c>
      <c r="H493">
        <v>16</v>
      </c>
      <c r="I493">
        <v>2.7458917579999999E-2</v>
      </c>
      <c r="J493">
        <v>0</v>
      </c>
      <c r="K493">
        <v>0</v>
      </c>
    </row>
    <row r="494" spans="1:11" x14ac:dyDescent="0.25">
      <c r="A494">
        <v>-30</v>
      </c>
      <c r="B494" t="s">
        <v>63</v>
      </c>
      <c r="C494">
        <v>41.006999999999998</v>
      </c>
      <c r="D494">
        <v>-122.462</v>
      </c>
      <c r="E494">
        <v>20180921</v>
      </c>
      <c r="G494">
        <v>60702</v>
      </c>
      <c r="H494">
        <v>17</v>
      </c>
      <c r="I494">
        <v>7.4853090120000001E-4</v>
      </c>
      <c r="J494">
        <v>110</v>
      </c>
      <c r="K494">
        <v>5.3639123529999999E-2</v>
      </c>
    </row>
    <row r="495" spans="1:11" x14ac:dyDescent="0.25">
      <c r="A495">
        <v>-30</v>
      </c>
      <c r="B495" t="s">
        <v>63</v>
      </c>
      <c r="C495">
        <v>41.006999999999998</v>
      </c>
      <c r="D495">
        <v>-122.462</v>
      </c>
      <c r="E495">
        <v>20180922</v>
      </c>
      <c r="G495">
        <v>60705</v>
      </c>
      <c r="H495">
        <v>18</v>
      </c>
      <c r="I495">
        <v>0</v>
      </c>
      <c r="J495">
        <v>3</v>
      </c>
      <c r="K495">
        <v>1.462885187E-3</v>
      </c>
    </row>
    <row r="496" spans="1:11" x14ac:dyDescent="0.25">
      <c r="A496">
        <v>-30</v>
      </c>
      <c r="B496" t="s">
        <v>63</v>
      </c>
      <c r="C496">
        <v>41.006999999999998</v>
      </c>
      <c r="D496">
        <v>-122.462</v>
      </c>
      <c r="E496">
        <v>20180923</v>
      </c>
      <c r="G496">
        <v>60705</v>
      </c>
      <c r="H496">
        <v>19</v>
      </c>
      <c r="I496">
        <v>0</v>
      </c>
      <c r="J496">
        <v>0</v>
      </c>
      <c r="K496">
        <v>0</v>
      </c>
    </row>
    <row r="497" spans="1:11" x14ac:dyDescent="0.25">
      <c r="A497">
        <v>-30</v>
      </c>
      <c r="B497" t="s">
        <v>63</v>
      </c>
      <c r="C497">
        <v>41.006999999999998</v>
      </c>
      <c r="D497">
        <v>-122.462</v>
      </c>
      <c r="E497">
        <v>20180924</v>
      </c>
      <c r="G497">
        <v>60705</v>
      </c>
      <c r="H497">
        <v>20</v>
      </c>
      <c r="I497">
        <v>2.4949694320000001E-3</v>
      </c>
      <c r="J497">
        <v>0</v>
      </c>
      <c r="K497">
        <v>0</v>
      </c>
    </row>
    <row r="498" spans="1:11" x14ac:dyDescent="0.25">
      <c r="A498">
        <v>-30</v>
      </c>
      <c r="B498" t="s">
        <v>63</v>
      </c>
      <c r="C498">
        <v>41.006999999999998</v>
      </c>
      <c r="D498">
        <v>-122.462</v>
      </c>
      <c r="E498">
        <v>20180925</v>
      </c>
      <c r="G498">
        <v>60715</v>
      </c>
      <c r="H498">
        <v>21</v>
      </c>
      <c r="I498">
        <v>5.9501520320000001E-2</v>
      </c>
      <c r="J498">
        <v>10</v>
      </c>
      <c r="K498">
        <v>4.8762839570000004E-3</v>
      </c>
    </row>
    <row r="499" spans="1:11" x14ac:dyDescent="0.25">
      <c r="A499">
        <v>-30</v>
      </c>
      <c r="B499" t="s">
        <v>63</v>
      </c>
      <c r="C499">
        <v>41.006999999999998</v>
      </c>
      <c r="D499">
        <v>-122.462</v>
      </c>
      <c r="E499">
        <v>20180926</v>
      </c>
      <c r="G499">
        <v>60953.73</v>
      </c>
      <c r="H499">
        <v>22</v>
      </c>
      <c r="I499">
        <v>0.20158394460000001</v>
      </c>
      <c r="J499">
        <v>238.73</v>
      </c>
      <c r="K499">
        <v>0.11641152690000001</v>
      </c>
    </row>
    <row r="500" spans="1:11" x14ac:dyDescent="0.25">
      <c r="A500">
        <v>-30</v>
      </c>
      <c r="B500" t="s">
        <v>63</v>
      </c>
      <c r="C500">
        <v>41.006999999999998</v>
      </c>
      <c r="D500">
        <v>-122.462</v>
      </c>
      <c r="E500">
        <v>20180927</v>
      </c>
      <c r="G500">
        <v>61766</v>
      </c>
      <c r="H500">
        <v>23</v>
      </c>
      <c r="I500">
        <v>9.7056354619999993E-2</v>
      </c>
      <c r="J500">
        <v>812.27</v>
      </c>
      <c r="K500">
        <v>0.39608591700000001</v>
      </c>
    </row>
    <row r="501" spans="1:11" x14ac:dyDescent="0.25">
      <c r="A501">
        <v>-30</v>
      </c>
      <c r="B501" t="s">
        <v>63</v>
      </c>
      <c r="C501">
        <v>41.006999999999998</v>
      </c>
      <c r="D501">
        <v>-122.462</v>
      </c>
      <c r="E501">
        <v>20180928</v>
      </c>
      <c r="G501">
        <v>62159</v>
      </c>
      <c r="H501">
        <v>24</v>
      </c>
      <c r="I501">
        <v>0.28661395270000001</v>
      </c>
      <c r="J501">
        <v>393</v>
      </c>
      <c r="K501">
        <v>0.19163795950000001</v>
      </c>
    </row>
    <row r="502" spans="1:11" x14ac:dyDescent="0.25">
      <c r="A502">
        <v>-30</v>
      </c>
      <c r="B502" t="s">
        <v>63</v>
      </c>
      <c r="C502">
        <v>41.006999999999998</v>
      </c>
      <c r="D502">
        <v>-122.462</v>
      </c>
      <c r="E502">
        <v>20180929</v>
      </c>
      <c r="G502">
        <v>63326.83</v>
      </c>
      <c r="H502">
        <v>25</v>
      </c>
      <c r="I502">
        <v>-8.2653544310000004E-3</v>
      </c>
      <c r="J502">
        <v>1167.83</v>
      </c>
      <c r="K502">
        <v>0.56946706940000003</v>
      </c>
    </row>
    <row r="503" spans="1:11" x14ac:dyDescent="0.25">
      <c r="A503">
        <v>-30</v>
      </c>
      <c r="B503" t="s">
        <v>63</v>
      </c>
      <c r="C503">
        <v>41.006999999999998</v>
      </c>
      <c r="D503">
        <v>-122.462</v>
      </c>
      <c r="E503">
        <v>20180930</v>
      </c>
      <c r="G503">
        <v>63293</v>
      </c>
      <c r="H503">
        <v>26</v>
      </c>
      <c r="I503">
        <v>4.4684305620000003E-2</v>
      </c>
      <c r="J503">
        <v>-33.83</v>
      </c>
      <c r="K503">
        <v>-1.649646863E-2</v>
      </c>
    </row>
    <row r="504" spans="1:11" x14ac:dyDescent="0.25">
      <c r="A504">
        <v>-30</v>
      </c>
      <c r="B504" t="s">
        <v>63</v>
      </c>
      <c r="C504">
        <v>41.006999999999998</v>
      </c>
      <c r="D504">
        <v>-122.462</v>
      </c>
      <c r="E504">
        <v>20181001</v>
      </c>
      <c r="G504">
        <v>63476</v>
      </c>
      <c r="H504">
        <v>27</v>
      </c>
      <c r="I504">
        <v>-4.4684305620000003E-2</v>
      </c>
      <c r="J504">
        <v>183</v>
      </c>
      <c r="K504">
        <v>8.9235996410000004E-2</v>
      </c>
    </row>
    <row r="505" spans="1:11" x14ac:dyDescent="0.25">
      <c r="A505">
        <v>-30</v>
      </c>
      <c r="B505" t="s">
        <v>63</v>
      </c>
      <c r="C505">
        <v>41.006999999999998</v>
      </c>
      <c r="D505">
        <v>-122.462</v>
      </c>
      <c r="E505">
        <v>20181002</v>
      </c>
      <c r="G505">
        <v>63293</v>
      </c>
      <c r="H505">
        <v>28</v>
      </c>
      <c r="I505">
        <v>0</v>
      </c>
      <c r="J505">
        <v>-183</v>
      </c>
      <c r="K505">
        <v>-8.9235996410000004E-2</v>
      </c>
    </row>
    <row r="506" spans="1:11" x14ac:dyDescent="0.25">
      <c r="A506">
        <v>-30</v>
      </c>
      <c r="B506" t="s">
        <v>63</v>
      </c>
      <c r="C506">
        <v>41.006999999999998</v>
      </c>
      <c r="D506">
        <v>-122.462</v>
      </c>
      <c r="E506">
        <v>20181003</v>
      </c>
      <c r="G506">
        <v>63293</v>
      </c>
      <c r="H506">
        <v>29</v>
      </c>
      <c r="I506">
        <v>0</v>
      </c>
      <c r="J506">
        <v>0</v>
      </c>
      <c r="K506">
        <v>0</v>
      </c>
    </row>
    <row r="507" spans="1:11" x14ac:dyDescent="0.25">
      <c r="A507">
        <v>-30</v>
      </c>
      <c r="B507" t="s">
        <v>63</v>
      </c>
      <c r="C507">
        <v>41.006999999999998</v>
      </c>
      <c r="D507">
        <v>-122.462</v>
      </c>
      <c r="E507">
        <v>20181004</v>
      </c>
      <c r="G507">
        <v>63293</v>
      </c>
      <c r="H507">
        <v>30</v>
      </c>
      <c r="I507">
        <v>6.8343311010000005E-2</v>
      </c>
      <c r="J507">
        <v>0</v>
      </c>
      <c r="K507">
        <v>0</v>
      </c>
    </row>
    <row r="508" spans="1:11" x14ac:dyDescent="0.25">
      <c r="A508">
        <v>-30</v>
      </c>
      <c r="B508" t="s">
        <v>63</v>
      </c>
      <c r="C508">
        <v>41.006999999999998</v>
      </c>
      <c r="D508">
        <v>-122.462</v>
      </c>
      <c r="E508">
        <v>20181005</v>
      </c>
      <c r="G508">
        <v>63573</v>
      </c>
      <c r="H508">
        <v>31</v>
      </c>
      <c r="I508">
        <v>-31</v>
      </c>
      <c r="J508">
        <v>280</v>
      </c>
      <c r="K508">
        <v>0.1365359508</v>
      </c>
    </row>
    <row r="510" spans="1:11" x14ac:dyDescent="0.25">
      <c r="A510">
        <v>-31</v>
      </c>
      <c r="B510" t="s">
        <v>64</v>
      </c>
      <c r="C510">
        <v>40.090000000000003</v>
      </c>
      <c r="D510">
        <v>-120.58499999999999</v>
      </c>
      <c r="E510">
        <v>20190904</v>
      </c>
      <c r="G510">
        <v>0</v>
      </c>
      <c r="H510">
        <v>1</v>
      </c>
      <c r="I510">
        <v>0</v>
      </c>
      <c r="J510">
        <v>0</v>
      </c>
      <c r="K510">
        <v>0</v>
      </c>
    </row>
    <row r="511" spans="1:11" x14ac:dyDescent="0.25">
      <c r="A511">
        <v>-31</v>
      </c>
      <c r="B511" t="s">
        <v>64</v>
      </c>
      <c r="C511">
        <v>40.090000000000003</v>
      </c>
      <c r="D511">
        <v>-120.58499999999999</v>
      </c>
      <c r="E511">
        <v>20190905</v>
      </c>
      <c r="G511">
        <v>850</v>
      </c>
      <c r="H511">
        <v>2</v>
      </c>
      <c r="I511">
        <v>1.7466000079999999</v>
      </c>
      <c r="J511">
        <v>850</v>
      </c>
      <c r="K511">
        <v>0.21790082769999999</v>
      </c>
    </row>
    <row r="512" spans="1:11" x14ac:dyDescent="0.25">
      <c r="A512">
        <v>-31</v>
      </c>
      <c r="B512" t="s">
        <v>64</v>
      </c>
      <c r="C512">
        <v>40.090000000000003</v>
      </c>
      <c r="D512">
        <v>-120.58499999999999</v>
      </c>
      <c r="E512">
        <v>20190906</v>
      </c>
      <c r="G512">
        <v>2900</v>
      </c>
      <c r="H512">
        <v>3</v>
      </c>
      <c r="I512">
        <v>1.4795383870000001</v>
      </c>
      <c r="J512">
        <v>2050</v>
      </c>
      <c r="K512">
        <v>0.52552552549999998</v>
      </c>
    </row>
    <row r="513" spans="1:11" x14ac:dyDescent="0.25">
      <c r="A513">
        <v>-31</v>
      </c>
      <c r="B513" t="s">
        <v>64</v>
      </c>
      <c r="C513">
        <v>40.090000000000003</v>
      </c>
      <c r="D513">
        <v>-120.58499999999999</v>
      </c>
      <c r="E513">
        <v>20190907</v>
      </c>
      <c r="G513">
        <v>24034</v>
      </c>
      <c r="H513">
        <v>4</v>
      </c>
      <c r="I513">
        <v>6.0613230380000003</v>
      </c>
      <c r="J513">
        <v>21134</v>
      </c>
      <c r="K513">
        <v>5.4177836370000003</v>
      </c>
    </row>
    <row r="514" spans="1:11" x14ac:dyDescent="0.25">
      <c r="A514">
        <v>-31</v>
      </c>
      <c r="B514" t="s">
        <v>64</v>
      </c>
      <c r="C514">
        <v>40.090000000000003</v>
      </c>
      <c r="D514">
        <v>-120.58499999999999</v>
      </c>
      <c r="E514">
        <v>20190908</v>
      </c>
      <c r="G514">
        <v>38049</v>
      </c>
      <c r="H514">
        <v>5</v>
      </c>
      <c r="I514">
        <v>2.3982624000000001</v>
      </c>
      <c r="J514">
        <v>14015</v>
      </c>
      <c r="K514">
        <v>3.5928001169999999</v>
      </c>
    </row>
    <row r="515" spans="1:11" x14ac:dyDescent="0.25">
      <c r="A515">
        <v>-31</v>
      </c>
      <c r="B515" t="s">
        <v>64</v>
      </c>
      <c r="C515">
        <v>40.090000000000003</v>
      </c>
      <c r="D515">
        <v>-120.58499999999999</v>
      </c>
      <c r="E515">
        <v>20190909</v>
      </c>
      <c r="G515">
        <v>47340</v>
      </c>
      <c r="H515">
        <v>6</v>
      </c>
      <c r="I515">
        <v>1.3488885749999999</v>
      </c>
      <c r="J515">
        <v>9291</v>
      </c>
      <c r="K515">
        <v>2.3817842229999999</v>
      </c>
    </row>
    <row r="516" spans="1:11" x14ac:dyDescent="0.25">
      <c r="A516">
        <v>-31</v>
      </c>
      <c r="B516" t="s">
        <v>64</v>
      </c>
      <c r="C516">
        <v>40.090000000000003</v>
      </c>
      <c r="D516">
        <v>-120.58499999999999</v>
      </c>
      <c r="E516">
        <v>20190910</v>
      </c>
      <c r="G516">
        <v>47340</v>
      </c>
      <c r="H516">
        <v>7</v>
      </c>
      <c r="I516">
        <v>0</v>
      </c>
      <c r="J516">
        <v>0</v>
      </c>
      <c r="K516">
        <v>0</v>
      </c>
    </row>
    <row r="517" spans="1:11" x14ac:dyDescent="0.25">
      <c r="A517">
        <v>-31</v>
      </c>
      <c r="B517" t="s">
        <v>64</v>
      </c>
      <c r="C517">
        <v>40.090000000000003</v>
      </c>
      <c r="D517">
        <v>-120.58499999999999</v>
      </c>
      <c r="E517">
        <v>20190911</v>
      </c>
      <c r="G517">
        <v>48507</v>
      </c>
      <c r="H517">
        <v>8</v>
      </c>
      <c r="I517">
        <v>0.15968298389999999</v>
      </c>
      <c r="J517">
        <v>1167</v>
      </c>
      <c r="K517">
        <v>0.29916501870000001</v>
      </c>
    </row>
    <row r="518" spans="1:11" x14ac:dyDescent="0.25">
      <c r="A518">
        <v>-31</v>
      </c>
      <c r="B518" t="s">
        <v>64</v>
      </c>
      <c r="C518">
        <v>40.090000000000003</v>
      </c>
      <c r="D518">
        <v>-120.58499999999999</v>
      </c>
      <c r="E518">
        <v>20190912</v>
      </c>
      <c r="G518">
        <v>49272</v>
      </c>
      <c r="H518">
        <v>9</v>
      </c>
      <c r="I518">
        <v>0.1036360757</v>
      </c>
      <c r="J518">
        <v>765</v>
      </c>
      <c r="K518">
        <v>0.19611074489999999</v>
      </c>
    </row>
    <row r="519" spans="1:11" x14ac:dyDescent="0.25">
      <c r="A519">
        <v>-31</v>
      </c>
      <c r="B519" t="s">
        <v>64</v>
      </c>
      <c r="C519">
        <v>40.090000000000003</v>
      </c>
      <c r="D519">
        <v>-120.58499999999999</v>
      </c>
      <c r="E519">
        <v>20190913</v>
      </c>
      <c r="G519">
        <v>51872</v>
      </c>
      <c r="H519">
        <v>10</v>
      </c>
      <c r="I519">
        <v>0.34634439519999999</v>
      </c>
      <c r="J519">
        <v>2600</v>
      </c>
      <c r="K519">
        <v>0.66652017870000002</v>
      </c>
    </row>
    <row r="520" spans="1:11" x14ac:dyDescent="0.25">
      <c r="A520">
        <v>-31</v>
      </c>
      <c r="B520" t="s">
        <v>64</v>
      </c>
      <c r="C520">
        <v>40.090000000000003</v>
      </c>
      <c r="D520">
        <v>-120.58499999999999</v>
      </c>
      <c r="E520">
        <v>20190914</v>
      </c>
      <c r="G520">
        <v>52282</v>
      </c>
      <c r="H520">
        <v>11</v>
      </c>
      <c r="I520">
        <v>5.3816533280000002E-2</v>
      </c>
      <c r="J520">
        <v>410</v>
      </c>
      <c r="K520">
        <v>0.1051051051</v>
      </c>
    </row>
    <row r="521" spans="1:11" x14ac:dyDescent="0.25">
      <c r="A521">
        <v>-31</v>
      </c>
      <c r="B521" t="s">
        <v>64</v>
      </c>
      <c r="C521">
        <v>40.090000000000003</v>
      </c>
      <c r="D521">
        <v>-120.58499999999999</v>
      </c>
      <c r="E521">
        <v>20190915</v>
      </c>
      <c r="G521">
        <v>54518</v>
      </c>
      <c r="H521">
        <v>12</v>
      </c>
      <c r="I521">
        <v>0.28985378070000001</v>
      </c>
      <c r="J521">
        <v>2236</v>
      </c>
      <c r="K521">
        <v>0.57320735369999998</v>
      </c>
    </row>
    <row r="522" spans="1:11" x14ac:dyDescent="0.25">
      <c r="A522">
        <v>-31</v>
      </c>
      <c r="B522" t="s">
        <v>64</v>
      </c>
      <c r="C522">
        <v>40.090000000000003</v>
      </c>
      <c r="D522">
        <v>-120.58499999999999</v>
      </c>
      <c r="E522">
        <v>20190916</v>
      </c>
      <c r="G522">
        <v>54518</v>
      </c>
      <c r="H522">
        <v>13</v>
      </c>
      <c r="I522">
        <v>0</v>
      </c>
      <c r="J522">
        <v>0</v>
      </c>
      <c r="K522">
        <v>0</v>
      </c>
    </row>
    <row r="523" spans="1:11" x14ac:dyDescent="0.25">
      <c r="A523">
        <v>-31</v>
      </c>
      <c r="B523" t="s">
        <v>64</v>
      </c>
      <c r="C523">
        <v>40.090000000000003</v>
      </c>
      <c r="D523">
        <v>-120.58499999999999</v>
      </c>
      <c r="E523">
        <v>20190917</v>
      </c>
      <c r="G523">
        <v>54612</v>
      </c>
      <c r="H523">
        <v>14</v>
      </c>
      <c r="I523">
        <v>1.205382309E-2</v>
      </c>
      <c r="J523">
        <v>94</v>
      </c>
      <c r="K523">
        <v>2.4097268000000002E-2</v>
      </c>
    </row>
    <row r="525" spans="1:11" x14ac:dyDescent="0.25">
      <c r="A525">
        <v>-32</v>
      </c>
      <c r="B525" t="s">
        <v>65</v>
      </c>
      <c r="C525">
        <v>44.662999999999997</v>
      </c>
      <c r="D525">
        <v>-116.35</v>
      </c>
      <c r="E525">
        <v>20180726</v>
      </c>
      <c r="G525">
        <v>6000</v>
      </c>
      <c r="H525">
        <v>1</v>
      </c>
      <c r="I525">
        <v>4.2860562209999999</v>
      </c>
      <c r="J525">
        <v>6000</v>
      </c>
      <c r="K525">
        <v>3.1123919309999999</v>
      </c>
    </row>
    <row r="526" spans="1:11" x14ac:dyDescent="0.25">
      <c r="A526">
        <v>-32</v>
      </c>
      <c r="B526" t="s">
        <v>65</v>
      </c>
      <c r="C526">
        <v>44.662999999999997</v>
      </c>
      <c r="D526">
        <v>-116.35</v>
      </c>
      <c r="E526">
        <v>20180727</v>
      </c>
      <c r="G526">
        <v>14839</v>
      </c>
      <c r="H526">
        <v>2</v>
      </c>
      <c r="I526">
        <v>3.6827920390000002</v>
      </c>
      <c r="J526">
        <v>8839</v>
      </c>
      <c r="K526">
        <v>4.5850720459999996</v>
      </c>
    </row>
    <row r="527" spans="1:11" x14ac:dyDescent="0.25">
      <c r="A527">
        <v>-32</v>
      </c>
      <c r="B527" t="s">
        <v>65</v>
      </c>
      <c r="C527">
        <v>44.662999999999997</v>
      </c>
      <c r="D527">
        <v>-116.35</v>
      </c>
      <c r="E527">
        <v>20180728</v>
      </c>
      <c r="G527">
        <v>25577</v>
      </c>
      <c r="H527">
        <v>3</v>
      </c>
      <c r="I527">
        <v>0.45315456869999998</v>
      </c>
      <c r="J527">
        <v>10738</v>
      </c>
      <c r="K527">
        <v>5.5701440919999996</v>
      </c>
    </row>
    <row r="528" spans="1:11" x14ac:dyDescent="0.25">
      <c r="A528">
        <v>-32</v>
      </c>
      <c r="B528" t="s">
        <v>65</v>
      </c>
      <c r="C528">
        <v>44.662999999999997</v>
      </c>
      <c r="D528">
        <v>-116.35</v>
      </c>
      <c r="E528">
        <v>20180729</v>
      </c>
      <c r="G528">
        <v>27099</v>
      </c>
      <c r="H528">
        <v>4</v>
      </c>
      <c r="I528">
        <v>0.79767741469999998</v>
      </c>
      <c r="J528">
        <v>1522</v>
      </c>
      <c r="K528">
        <v>0.78951008649999999</v>
      </c>
    </row>
    <row r="529" spans="1:11" x14ac:dyDescent="0.25">
      <c r="A529">
        <v>-32</v>
      </c>
      <c r="B529" t="s">
        <v>65</v>
      </c>
      <c r="C529">
        <v>44.662999999999997</v>
      </c>
      <c r="D529">
        <v>-116.35</v>
      </c>
      <c r="E529">
        <v>20180730</v>
      </c>
      <c r="G529">
        <v>29885</v>
      </c>
      <c r="H529">
        <v>5</v>
      </c>
      <c r="I529">
        <v>0.57262227799999998</v>
      </c>
      <c r="J529">
        <v>2786</v>
      </c>
      <c r="K529">
        <v>1.4451873200000001</v>
      </c>
    </row>
    <row r="530" spans="1:11" x14ac:dyDescent="0.25">
      <c r="A530">
        <v>-32</v>
      </c>
      <c r="B530" t="s">
        <v>65</v>
      </c>
      <c r="C530">
        <v>44.662999999999997</v>
      </c>
      <c r="D530">
        <v>-116.35</v>
      </c>
      <c r="E530">
        <v>20180731</v>
      </c>
      <c r="G530">
        <v>31969</v>
      </c>
      <c r="H530">
        <v>6</v>
      </c>
      <c r="I530">
        <v>0.1047967242</v>
      </c>
      <c r="J530">
        <v>2084</v>
      </c>
      <c r="K530">
        <v>1.081037464</v>
      </c>
    </row>
    <row r="531" spans="1:11" x14ac:dyDescent="0.25">
      <c r="A531">
        <v>-32</v>
      </c>
      <c r="B531" t="s">
        <v>65</v>
      </c>
      <c r="C531">
        <v>44.662999999999997</v>
      </c>
      <c r="D531">
        <v>-116.35</v>
      </c>
      <c r="E531">
        <v>20180901</v>
      </c>
      <c r="G531">
        <v>32358</v>
      </c>
      <c r="H531">
        <v>7</v>
      </c>
      <c r="I531">
        <v>0.2342421012</v>
      </c>
      <c r="J531">
        <v>389</v>
      </c>
      <c r="K531">
        <v>0.2017867435</v>
      </c>
    </row>
    <row r="532" spans="1:11" x14ac:dyDescent="0.25">
      <c r="A532">
        <v>-32</v>
      </c>
      <c r="B532" t="s">
        <v>65</v>
      </c>
      <c r="C532">
        <v>44.662999999999997</v>
      </c>
      <c r="D532">
        <v>-116.35</v>
      </c>
      <c r="E532">
        <v>20180902</v>
      </c>
      <c r="G532">
        <v>33236</v>
      </c>
      <c r="H532">
        <v>8</v>
      </c>
      <c r="I532">
        <v>4.4202348699999998E-2</v>
      </c>
      <c r="J532">
        <v>878</v>
      </c>
      <c r="K532">
        <v>0.45544668589999998</v>
      </c>
    </row>
    <row r="533" spans="1:11" x14ac:dyDescent="0.25">
      <c r="A533">
        <v>-32</v>
      </c>
      <c r="B533" t="s">
        <v>65</v>
      </c>
      <c r="C533">
        <v>44.662999999999997</v>
      </c>
      <c r="D533">
        <v>-116.35</v>
      </c>
      <c r="E533">
        <v>20180903</v>
      </c>
      <c r="G533">
        <v>33403</v>
      </c>
      <c r="H533">
        <v>9</v>
      </c>
      <c r="I533">
        <v>0.1529272492</v>
      </c>
      <c r="J533">
        <v>167</v>
      </c>
      <c r="K533">
        <v>8.662824207E-2</v>
      </c>
    </row>
    <row r="534" spans="1:11" x14ac:dyDescent="0.25">
      <c r="A534">
        <v>-32</v>
      </c>
      <c r="B534" t="s">
        <v>65</v>
      </c>
      <c r="C534">
        <v>44.662999999999997</v>
      </c>
      <c r="D534">
        <v>-116.35</v>
      </c>
      <c r="E534">
        <v>20180904</v>
      </c>
      <c r="G534">
        <v>33984</v>
      </c>
      <c r="H534">
        <v>10</v>
      </c>
      <c r="I534">
        <v>1.3103718519999999E-3</v>
      </c>
      <c r="J534">
        <v>581</v>
      </c>
      <c r="K534">
        <v>0.30138328530000003</v>
      </c>
    </row>
    <row r="535" spans="1:11" x14ac:dyDescent="0.25">
      <c r="A535">
        <v>-32</v>
      </c>
      <c r="B535" t="s">
        <v>65</v>
      </c>
      <c r="C535">
        <v>44.662999999999997</v>
      </c>
      <c r="D535">
        <v>-116.35</v>
      </c>
      <c r="E535">
        <v>20180905</v>
      </c>
      <c r="G535">
        <v>33989</v>
      </c>
      <c r="H535">
        <v>11</v>
      </c>
      <c r="I535">
        <v>-1.3103718519999999E-3</v>
      </c>
      <c r="J535">
        <v>5</v>
      </c>
      <c r="K535">
        <v>2.593659942E-3</v>
      </c>
    </row>
    <row r="536" spans="1:11" x14ac:dyDescent="0.25">
      <c r="A536">
        <v>-32</v>
      </c>
      <c r="B536" t="s">
        <v>65</v>
      </c>
      <c r="C536">
        <v>44.662999999999997</v>
      </c>
      <c r="D536">
        <v>-116.35</v>
      </c>
      <c r="E536">
        <v>20180906</v>
      </c>
      <c r="G536">
        <v>33984</v>
      </c>
      <c r="H536">
        <v>12</v>
      </c>
      <c r="I536">
        <v>-0.1051439121</v>
      </c>
      <c r="J536">
        <v>-5</v>
      </c>
      <c r="K536">
        <v>-2.593659942E-3</v>
      </c>
    </row>
    <row r="537" spans="1:11" x14ac:dyDescent="0.25">
      <c r="A537">
        <v>-32</v>
      </c>
      <c r="B537" t="s">
        <v>65</v>
      </c>
      <c r="C537">
        <v>44.662999999999997</v>
      </c>
      <c r="D537">
        <v>-116.35</v>
      </c>
      <c r="E537">
        <v>20180907</v>
      </c>
      <c r="G537">
        <v>33584</v>
      </c>
      <c r="H537">
        <v>13</v>
      </c>
      <c r="I537">
        <v>8.8100297869999997E-2</v>
      </c>
      <c r="J537">
        <v>-400</v>
      </c>
      <c r="K537">
        <v>-0.20749279540000001</v>
      </c>
    </row>
    <row r="538" spans="1:11" x14ac:dyDescent="0.25">
      <c r="A538">
        <v>-32</v>
      </c>
      <c r="B538" t="s">
        <v>65</v>
      </c>
      <c r="C538">
        <v>44.662999999999997</v>
      </c>
      <c r="D538">
        <v>-116.35</v>
      </c>
      <c r="E538">
        <v>20180908</v>
      </c>
      <c r="G538">
        <v>33919</v>
      </c>
      <c r="H538">
        <v>14</v>
      </c>
      <c r="I538">
        <v>7.7482488850000003E-2</v>
      </c>
      <c r="J538">
        <v>335</v>
      </c>
      <c r="K538">
        <v>0.17377521609999999</v>
      </c>
    </row>
    <row r="539" spans="1:11" x14ac:dyDescent="0.25">
      <c r="A539">
        <v>-32</v>
      </c>
      <c r="B539" t="s">
        <v>65</v>
      </c>
      <c r="C539">
        <v>44.662999999999997</v>
      </c>
      <c r="D539">
        <v>-116.35</v>
      </c>
      <c r="E539">
        <v>20180909</v>
      </c>
      <c r="G539">
        <v>34215</v>
      </c>
      <c r="H539">
        <v>15</v>
      </c>
      <c r="I539">
        <v>1.488207852E-2</v>
      </c>
      <c r="J539">
        <v>296</v>
      </c>
      <c r="K539">
        <v>0.15354466859999999</v>
      </c>
    </row>
    <row r="540" spans="1:11" x14ac:dyDescent="0.25">
      <c r="A540">
        <v>-32</v>
      </c>
      <c r="B540" t="s">
        <v>65</v>
      </c>
      <c r="C540">
        <v>44.662999999999997</v>
      </c>
      <c r="D540">
        <v>-116.35</v>
      </c>
      <c r="E540">
        <v>20180910</v>
      </c>
      <c r="G540">
        <v>34272</v>
      </c>
      <c r="H540">
        <v>16</v>
      </c>
      <c r="I540">
        <v>5.5762912800000002E-2</v>
      </c>
      <c r="J540">
        <v>57</v>
      </c>
      <c r="K540">
        <v>2.9567723340000001E-2</v>
      </c>
    </row>
    <row r="541" spans="1:11" x14ac:dyDescent="0.25">
      <c r="A541">
        <v>-32</v>
      </c>
      <c r="B541" t="s">
        <v>65</v>
      </c>
      <c r="C541">
        <v>44.662999999999997</v>
      </c>
      <c r="D541">
        <v>-116.35</v>
      </c>
      <c r="E541">
        <v>20180911</v>
      </c>
      <c r="G541">
        <v>34486</v>
      </c>
      <c r="H541">
        <v>17</v>
      </c>
      <c r="I541">
        <v>5.5590163499999998E-2</v>
      </c>
      <c r="J541">
        <v>214</v>
      </c>
      <c r="K541">
        <v>0.1110086455</v>
      </c>
    </row>
    <row r="542" spans="1:11" x14ac:dyDescent="0.25">
      <c r="A542">
        <v>-32</v>
      </c>
      <c r="B542" t="s">
        <v>65</v>
      </c>
      <c r="C542">
        <v>44.662999999999997</v>
      </c>
      <c r="D542">
        <v>-116.35</v>
      </c>
      <c r="E542">
        <v>20180912</v>
      </c>
      <c r="G542">
        <v>34700</v>
      </c>
      <c r="H542">
        <v>18</v>
      </c>
      <c r="I542">
        <v>0</v>
      </c>
      <c r="J542">
        <v>214</v>
      </c>
      <c r="K542">
        <v>0.1110086455</v>
      </c>
    </row>
    <row r="544" spans="1:11" x14ac:dyDescent="0.25">
      <c r="A544">
        <v>-33</v>
      </c>
      <c r="B544" t="s">
        <v>66</v>
      </c>
      <c r="C544">
        <v>45.658000000000001</v>
      </c>
      <c r="D544">
        <v>-107.00700000000001</v>
      </c>
      <c r="E544">
        <v>20200902</v>
      </c>
      <c r="G544">
        <v>0</v>
      </c>
      <c r="H544">
        <v>1</v>
      </c>
      <c r="I544">
        <v>0</v>
      </c>
      <c r="J544">
        <v>0</v>
      </c>
      <c r="K544">
        <v>0</v>
      </c>
    </row>
    <row r="545" spans="1:11" x14ac:dyDescent="0.25">
      <c r="A545">
        <v>-33</v>
      </c>
      <c r="B545" t="s">
        <v>66</v>
      </c>
      <c r="C545">
        <v>45.658000000000001</v>
      </c>
      <c r="D545">
        <v>-107.00700000000001</v>
      </c>
      <c r="E545">
        <v>20200903</v>
      </c>
      <c r="G545">
        <v>1500</v>
      </c>
      <c r="H545">
        <v>2</v>
      </c>
      <c r="I545">
        <v>1.0189513589999999</v>
      </c>
      <c r="J545">
        <v>1500</v>
      </c>
      <c r="K545">
        <v>0.17304364550000001</v>
      </c>
    </row>
    <row r="546" spans="1:11" x14ac:dyDescent="0.25">
      <c r="A546">
        <v>-33</v>
      </c>
      <c r="B546" t="s">
        <v>66</v>
      </c>
      <c r="C546">
        <v>45.658000000000001</v>
      </c>
      <c r="D546">
        <v>-107.00700000000001</v>
      </c>
      <c r="E546">
        <v>20200904</v>
      </c>
      <c r="G546">
        <v>47851</v>
      </c>
      <c r="H546">
        <v>3</v>
      </c>
      <c r="I546">
        <v>4.7361547140000004</v>
      </c>
      <c r="J546">
        <v>46351</v>
      </c>
      <c r="K546">
        <v>5.3471640069999999</v>
      </c>
    </row>
    <row r="547" spans="1:11" x14ac:dyDescent="0.25">
      <c r="A547">
        <v>-33</v>
      </c>
      <c r="B547" t="s">
        <v>66</v>
      </c>
      <c r="C547">
        <v>45.658000000000001</v>
      </c>
      <c r="D547">
        <v>-107.00700000000001</v>
      </c>
      <c r="E547">
        <v>20200905</v>
      </c>
      <c r="G547">
        <v>50000</v>
      </c>
      <c r="H547">
        <v>4</v>
      </c>
      <c r="I547">
        <v>0.12781234289999999</v>
      </c>
      <c r="J547">
        <v>2149</v>
      </c>
      <c r="K547">
        <v>0.24791386269999999</v>
      </c>
    </row>
    <row r="548" spans="1:11" x14ac:dyDescent="0.25">
      <c r="A548">
        <v>-33</v>
      </c>
      <c r="B548" t="s">
        <v>66</v>
      </c>
      <c r="C548">
        <v>45.658000000000001</v>
      </c>
      <c r="D548">
        <v>-107.00700000000001</v>
      </c>
      <c r="E548">
        <v>20200906</v>
      </c>
      <c r="G548">
        <v>51981</v>
      </c>
      <c r="H548">
        <v>5</v>
      </c>
      <c r="I548">
        <v>0.11540859539999999</v>
      </c>
      <c r="J548">
        <v>1981</v>
      </c>
      <c r="K548">
        <v>0.22853297440000001</v>
      </c>
    </row>
    <row r="549" spans="1:11" x14ac:dyDescent="0.25">
      <c r="A549">
        <v>-33</v>
      </c>
      <c r="B549" t="s">
        <v>66</v>
      </c>
      <c r="C549">
        <v>45.658000000000001</v>
      </c>
      <c r="D549">
        <v>-107.00700000000001</v>
      </c>
      <c r="E549">
        <v>20200907</v>
      </c>
      <c r="G549">
        <v>52010</v>
      </c>
      <c r="H549">
        <v>6</v>
      </c>
      <c r="I549">
        <v>1.6729884800000001E-3</v>
      </c>
      <c r="J549">
        <v>29</v>
      </c>
      <c r="K549">
        <v>3.3455104790000001E-3</v>
      </c>
    </row>
    <row r="551" spans="1:11" x14ac:dyDescent="0.25">
      <c r="A551">
        <v>-34</v>
      </c>
      <c r="B551" t="s">
        <v>67</v>
      </c>
      <c r="C551">
        <v>38.511000000000003</v>
      </c>
      <c r="D551">
        <v>-108.658</v>
      </c>
      <c r="E551">
        <v>20180729</v>
      </c>
      <c r="G551">
        <v>847</v>
      </c>
      <c r="H551">
        <v>1</v>
      </c>
      <c r="I551">
        <v>1.4986337789999999</v>
      </c>
      <c r="J551">
        <v>847</v>
      </c>
      <c r="K551">
        <v>0.64549370439999998</v>
      </c>
    </row>
    <row r="552" spans="1:11" x14ac:dyDescent="0.25">
      <c r="A552">
        <v>-34</v>
      </c>
      <c r="B552" t="s">
        <v>67</v>
      </c>
      <c r="C552">
        <v>38.511000000000003</v>
      </c>
      <c r="D552">
        <v>-108.658</v>
      </c>
      <c r="E552">
        <v>20180730</v>
      </c>
      <c r="G552">
        <v>1634</v>
      </c>
      <c r="H552">
        <v>2</v>
      </c>
      <c r="I552">
        <v>1.7594404690000001</v>
      </c>
      <c r="J552">
        <v>787</v>
      </c>
      <c r="K552">
        <v>0.59976805830000002</v>
      </c>
    </row>
    <row r="553" spans="1:11" x14ac:dyDescent="0.25">
      <c r="A553">
        <v>-34</v>
      </c>
      <c r="B553" t="s">
        <v>67</v>
      </c>
      <c r="C553">
        <v>38.511000000000003</v>
      </c>
      <c r="D553">
        <v>-108.658</v>
      </c>
      <c r="E553">
        <v>20180731</v>
      </c>
      <c r="G553">
        <v>2885</v>
      </c>
      <c r="H553">
        <v>3</v>
      </c>
      <c r="I553">
        <v>1.067305253</v>
      </c>
      <c r="J553">
        <v>1251</v>
      </c>
      <c r="K553">
        <v>0.95337972169999996</v>
      </c>
    </row>
    <row r="554" spans="1:11" x14ac:dyDescent="0.25">
      <c r="A554">
        <v>-34</v>
      </c>
      <c r="B554" t="s">
        <v>67</v>
      </c>
      <c r="C554">
        <v>38.511000000000003</v>
      </c>
      <c r="D554">
        <v>-108.658</v>
      </c>
      <c r="E554">
        <v>20180801</v>
      </c>
      <c r="G554">
        <v>3816</v>
      </c>
      <c r="H554">
        <v>4</v>
      </c>
      <c r="I554">
        <v>0.17599255559999999</v>
      </c>
      <c r="J554">
        <v>931</v>
      </c>
      <c r="K554">
        <v>0.70950960900000004</v>
      </c>
    </row>
    <row r="555" spans="1:11" x14ac:dyDescent="0.25">
      <c r="A555">
        <v>-34</v>
      </c>
      <c r="B555" t="s">
        <v>67</v>
      </c>
      <c r="C555">
        <v>38.511000000000003</v>
      </c>
      <c r="D555">
        <v>-108.658</v>
      </c>
      <c r="E555">
        <v>20180802</v>
      </c>
      <c r="G555">
        <v>3982</v>
      </c>
      <c r="H555">
        <v>5</v>
      </c>
      <c r="I555">
        <v>0.2796079554</v>
      </c>
      <c r="J555">
        <v>166</v>
      </c>
      <c r="K555">
        <v>0.12650762090000001</v>
      </c>
    </row>
    <row r="556" spans="1:11" x14ac:dyDescent="0.25">
      <c r="A556">
        <v>-34</v>
      </c>
      <c r="B556" t="s">
        <v>67</v>
      </c>
      <c r="C556">
        <v>38.511000000000003</v>
      </c>
      <c r="D556">
        <v>-108.658</v>
      </c>
      <c r="E556">
        <v>20180803</v>
      </c>
      <c r="G556">
        <v>4253</v>
      </c>
      <c r="H556">
        <v>6</v>
      </c>
      <c r="I556">
        <v>1.703680069</v>
      </c>
      <c r="J556">
        <v>271</v>
      </c>
      <c r="K556">
        <v>0.2065275017</v>
      </c>
    </row>
    <row r="557" spans="1:11" x14ac:dyDescent="0.25">
      <c r="A557">
        <v>-34</v>
      </c>
      <c r="B557" t="s">
        <v>67</v>
      </c>
      <c r="C557">
        <v>38.511000000000003</v>
      </c>
      <c r="D557">
        <v>-108.658</v>
      </c>
      <c r="E557">
        <v>20180804</v>
      </c>
      <c r="G557">
        <v>6097</v>
      </c>
      <c r="H557">
        <v>7</v>
      </c>
      <c r="I557">
        <v>0.2859830216</v>
      </c>
      <c r="J557">
        <v>1844</v>
      </c>
      <c r="K557">
        <v>1.405301524</v>
      </c>
    </row>
    <row r="558" spans="1:11" x14ac:dyDescent="0.25">
      <c r="A558">
        <v>-34</v>
      </c>
      <c r="B558" t="s">
        <v>67</v>
      </c>
      <c r="C558">
        <v>38.511000000000003</v>
      </c>
      <c r="D558">
        <v>-108.658</v>
      </c>
      <c r="E558">
        <v>20180805</v>
      </c>
      <c r="G558">
        <v>6439</v>
      </c>
      <c r="H558">
        <v>8</v>
      </c>
      <c r="I558">
        <v>0.39442988769999998</v>
      </c>
      <c r="J558">
        <v>342</v>
      </c>
      <c r="K558">
        <v>0.26063618290000001</v>
      </c>
    </row>
    <row r="559" spans="1:11" x14ac:dyDescent="0.25">
      <c r="A559">
        <v>-34</v>
      </c>
      <c r="B559" t="s">
        <v>67</v>
      </c>
      <c r="C559">
        <v>38.511000000000003</v>
      </c>
      <c r="D559">
        <v>-108.658</v>
      </c>
      <c r="E559">
        <v>20180806</v>
      </c>
      <c r="G559">
        <v>6926</v>
      </c>
      <c r="H559">
        <v>9</v>
      </c>
      <c r="I559">
        <v>0</v>
      </c>
      <c r="J559">
        <v>487</v>
      </c>
      <c r="K559">
        <v>0.37113982769999998</v>
      </c>
    </row>
    <row r="560" spans="1:11" x14ac:dyDescent="0.25">
      <c r="A560">
        <v>-34</v>
      </c>
      <c r="B560" t="s">
        <v>67</v>
      </c>
      <c r="C560">
        <v>38.511000000000003</v>
      </c>
      <c r="D560">
        <v>-108.658</v>
      </c>
      <c r="E560">
        <v>20180807</v>
      </c>
      <c r="G560">
        <v>6926</v>
      </c>
      <c r="H560">
        <v>10</v>
      </c>
      <c r="I560">
        <v>0.68129321450000002</v>
      </c>
      <c r="J560">
        <v>0</v>
      </c>
      <c r="K560">
        <v>0</v>
      </c>
    </row>
    <row r="561" spans="1:11" x14ac:dyDescent="0.25">
      <c r="A561">
        <v>-34</v>
      </c>
      <c r="B561" t="s">
        <v>67</v>
      </c>
      <c r="C561">
        <v>38.511000000000003</v>
      </c>
      <c r="D561">
        <v>-108.658</v>
      </c>
      <c r="E561">
        <v>20180808</v>
      </c>
      <c r="G561">
        <v>7809</v>
      </c>
      <c r="H561">
        <v>11</v>
      </c>
      <c r="I561">
        <v>2.479678158</v>
      </c>
      <c r="J561">
        <v>883</v>
      </c>
      <c r="K561">
        <v>0.67292909209999996</v>
      </c>
    </row>
    <row r="562" spans="1:11" x14ac:dyDescent="0.25">
      <c r="A562">
        <v>-34</v>
      </c>
      <c r="B562" t="s">
        <v>67</v>
      </c>
      <c r="C562">
        <v>38.511000000000003</v>
      </c>
      <c r="D562">
        <v>-108.658</v>
      </c>
      <c r="E562">
        <v>20180809</v>
      </c>
      <c r="G562">
        <v>11470</v>
      </c>
      <c r="H562">
        <v>12</v>
      </c>
      <c r="I562">
        <v>3.9569003779999998</v>
      </c>
      <c r="J562">
        <v>3661</v>
      </c>
      <c r="K562">
        <v>2.790026508</v>
      </c>
    </row>
    <row r="563" spans="1:11" x14ac:dyDescent="0.25">
      <c r="A563">
        <v>-34</v>
      </c>
      <c r="B563" t="s">
        <v>67</v>
      </c>
      <c r="C563">
        <v>38.511000000000003</v>
      </c>
      <c r="D563">
        <v>-108.658</v>
      </c>
      <c r="E563">
        <v>20180810</v>
      </c>
      <c r="G563">
        <v>18765</v>
      </c>
      <c r="H563">
        <v>13</v>
      </c>
      <c r="I563">
        <v>0.54042678879999995</v>
      </c>
      <c r="J563">
        <v>7295</v>
      </c>
      <c r="K563">
        <v>5.5594764740000002</v>
      </c>
    </row>
    <row r="564" spans="1:11" x14ac:dyDescent="0.25">
      <c r="A564">
        <v>-34</v>
      </c>
      <c r="B564" t="s">
        <v>67</v>
      </c>
      <c r="C564">
        <v>38.511000000000003</v>
      </c>
      <c r="D564">
        <v>-108.658</v>
      </c>
      <c r="E564">
        <v>20180811</v>
      </c>
      <c r="G564">
        <v>19900</v>
      </c>
      <c r="H564">
        <v>14</v>
      </c>
      <c r="I564">
        <v>0.86678369830000002</v>
      </c>
      <c r="J564">
        <v>1135</v>
      </c>
      <c r="K564">
        <v>0.86497680580000003</v>
      </c>
    </row>
    <row r="565" spans="1:11" x14ac:dyDescent="0.25">
      <c r="A565">
        <v>-34</v>
      </c>
      <c r="B565" t="s">
        <v>67</v>
      </c>
      <c r="C565">
        <v>38.511000000000003</v>
      </c>
      <c r="D565">
        <v>-108.658</v>
      </c>
      <c r="E565">
        <v>20180812</v>
      </c>
      <c r="G565">
        <v>21790</v>
      </c>
      <c r="H565">
        <v>15</v>
      </c>
      <c r="I565">
        <v>1.4694693219999999</v>
      </c>
      <c r="J565">
        <v>1890</v>
      </c>
      <c r="K565">
        <v>1.4403578530000001</v>
      </c>
    </row>
    <row r="566" spans="1:11" x14ac:dyDescent="0.25">
      <c r="A566">
        <v>-34</v>
      </c>
      <c r="B566" t="s">
        <v>67</v>
      </c>
      <c r="C566">
        <v>38.511000000000003</v>
      </c>
      <c r="D566">
        <v>-108.658</v>
      </c>
      <c r="E566">
        <v>20180813</v>
      </c>
      <c r="G566">
        <v>25190</v>
      </c>
      <c r="H566">
        <v>16</v>
      </c>
      <c r="I566">
        <v>0.486527298</v>
      </c>
      <c r="J566">
        <v>3400</v>
      </c>
      <c r="K566">
        <v>2.5911199470000001</v>
      </c>
    </row>
    <row r="567" spans="1:11" x14ac:dyDescent="0.25">
      <c r="A567">
        <v>-34</v>
      </c>
      <c r="B567" t="s">
        <v>67</v>
      </c>
      <c r="C567">
        <v>38.511000000000003</v>
      </c>
      <c r="D567">
        <v>-108.658</v>
      </c>
      <c r="E567">
        <v>20180814</v>
      </c>
      <c r="G567">
        <v>26370</v>
      </c>
      <c r="H567">
        <v>17</v>
      </c>
      <c r="I567">
        <v>0.38383725260000001</v>
      </c>
      <c r="J567">
        <v>1180</v>
      </c>
      <c r="K567">
        <v>0.89927104040000005</v>
      </c>
    </row>
    <row r="568" spans="1:11" x14ac:dyDescent="0.25">
      <c r="A568">
        <v>-34</v>
      </c>
      <c r="B568" t="s">
        <v>67</v>
      </c>
      <c r="C568">
        <v>38.511000000000003</v>
      </c>
      <c r="D568">
        <v>-108.658</v>
      </c>
      <c r="E568">
        <v>20180815</v>
      </c>
      <c r="G568">
        <v>27320</v>
      </c>
      <c r="H568">
        <v>18</v>
      </c>
      <c r="I568">
        <v>0.27066322390000003</v>
      </c>
      <c r="J568">
        <v>950</v>
      </c>
      <c r="K568">
        <v>0.72398939699999998</v>
      </c>
    </row>
    <row r="569" spans="1:11" x14ac:dyDescent="0.25">
      <c r="A569">
        <v>-34</v>
      </c>
      <c r="B569" t="s">
        <v>67</v>
      </c>
      <c r="C569">
        <v>38.511000000000003</v>
      </c>
      <c r="D569">
        <v>-108.658</v>
      </c>
      <c r="E569">
        <v>20180816</v>
      </c>
      <c r="G569">
        <v>28000</v>
      </c>
      <c r="H569">
        <v>19</v>
      </c>
      <c r="I569">
        <v>0</v>
      </c>
      <c r="J569">
        <v>680</v>
      </c>
      <c r="K569">
        <v>0.51822398940000003</v>
      </c>
    </row>
    <row r="570" spans="1:11" x14ac:dyDescent="0.25">
      <c r="A570">
        <v>-34</v>
      </c>
      <c r="B570" t="s">
        <v>67</v>
      </c>
      <c r="C570">
        <v>38.511000000000003</v>
      </c>
      <c r="D570">
        <v>-108.658</v>
      </c>
      <c r="E570">
        <v>20180817</v>
      </c>
      <c r="G570">
        <v>28000</v>
      </c>
      <c r="H570">
        <v>20</v>
      </c>
      <c r="I570">
        <v>0.1537515055</v>
      </c>
      <c r="J570">
        <v>0</v>
      </c>
      <c r="K570">
        <v>0</v>
      </c>
    </row>
    <row r="571" spans="1:11" x14ac:dyDescent="0.25">
      <c r="A571">
        <v>-34</v>
      </c>
      <c r="B571" t="s">
        <v>67</v>
      </c>
      <c r="C571">
        <v>38.511000000000003</v>
      </c>
      <c r="D571">
        <v>-108.658</v>
      </c>
      <c r="E571">
        <v>20180818</v>
      </c>
      <c r="G571">
        <v>28390</v>
      </c>
      <c r="H571">
        <v>21</v>
      </c>
      <c r="I571">
        <v>0.25314729590000001</v>
      </c>
      <c r="J571">
        <v>390</v>
      </c>
      <c r="K571">
        <v>0.29721669979999998</v>
      </c>
    </row>
    <row r="572" spans="1:11" x14ac:dyDescent="0.25">
      <c r="A572">
        <v>-34</v>
      </c>
      <c r="B572" t="s">
        <v>67</v>
      </c>
      <c r="C572">
        <v>38.511000000000003</v>
      </c>
      <c r="D572">
        <v>-108.658</v>
      </c>
      <c r="E572">
        <v>20180819</v>
      </c>
      <c r="G572">
        <v>29038</v>
      </c>
      <c r="H572">
        <v>22</v>
      </c>
      <c r="I572">
        <v>0.4393520413</v>
      </c>
      <c r="J572">
        <v>648</v>
      </c>
      <c r="K572">
        <v>0.49383697809999999</v>
      </c>
    </row>
    <row r="573" spans="1:11" x14ac:dyDescent="0.25">
      <c r="A573">
        <v>-34</v>
      </c>
      <c r="B573" t="s">
        <v>67</v>
      </c>
      <c r="C573">
        <v>38.511000000000003</v>
      </c>
      <c r="D573">
        <v>-108.658</v>
      </c>
      <c r="E573">
        <v>20180820</v>
      </c>
      <c r="G573">
        <v>30180</v>
      </c>
      <c r="H573">
        <v>23</v>
      </c>
      <c r="I573">
        <v>0</v>
      </c>
      <c r="J573">
        <v>1142</v>
      </c>
      <c r="K573">
        <v>0.87031146449999996</v>
      </c>
    </row>
    <row r="575" spans="1:11" x14ac:dyDescent="0.25">
      <c r="A575">
        <v>-35</v>
      </c>
      <c r="B575" t="s">
        <v>68</v>
      </c>
      <c r="C575">
        <v>33.244</v>
      </c>
      <c r="D575">
        <v>-110.61499999999999</v>
      </c>
      <c r="E575">
        <v>20210601</v>
      </c>
      <c r="G575">
        <v>1300</v>
      </c>
      <c r="H575">
        <v>1</v>
      </c>
      <c r="I575">
        <v>1.475521138</v>
      </c>
      <c r="J575">
        <v>1300</v>
      </c>
      <c r="K575">
        <v>0.1979238754</v>
      </c>
    </row>
    <row r="576" spans="1:11" x14ac:dyDescent="0.25">
      <c r="A576">
        <v>-35</v>
      </c>
      <c r="B576" t="s">
        <v>68</v>
      </c>
      <c r="C576">
        <v>33.244</v>
      </c>
      <c r="D576">
        <v>-110.61499999999999</v>
      </c>
      <c r="E576">
        <v>20210602</v>
      </c>
      <c r="G576">
        <v>1693</v>
      </c>
      <c r="H576">
        <v>2</v>
      </c>
      <c r="I576">
        <v>0.2083243534</v>
      </c>
      <c r="J576">
        <v>393</v>
      </c>
      <c r="K576">
        <v>5.983391003E-2</v>
      </c>
    </row>
    <row r="577" spans="1:11" x14ac:dyDescent="0.25">
      <c r="A577">
        <v>-35</v>
      </c>
      <c r="B577" t="s">
        <v>68</v>
      </c>
      <c r="C577">
        <v>33.244</v>
      </c>
      <c r="D577">
        <v>-110.61499999999999</v>
      </c>
      <c r="E577">
        <v>20210603</v>
      </c>
      <c r="G577">
        <v>1870</v>
      </c>
      <c r="H577">
        <v>3</v>
      </c>
      <c r="I577">
        <v>8.5833774619999997E-2</v>
      </c>
      <c r="J577">
        <v>177</v>
      </c>
      <c r="K577">
        <v>2.6948096889999999E-2</v>
      </c>
    </row>
    <row r="578" spans="1:11" x14ac:dyDescent="0.25">
      <c r="A578">
        <v>-35</v>
      </c>
      <c r="B578" t="s">
        <v>68</v>
      </c>
      <c r="C578">
        <v>33.244</v>
      </c>
      <c r="D578">
        <v>-110.61499999999999</v>
      </c>
      <c r="E578">
        <v>20210604</v>
      </c>
      <c r="G578">
        <v>24105</v>
      </c>
      <c r="H578">
        <v>4</v>
      </c>
      <c r="I578">
        <v>4.5840298380000002</v>
      </c>
      <c r="J578">
        <v>22235</v>
      </c>
      <c r="K578">
        <v>3.3852595160000001</v>
      </c>
    </row>
    <row r="579" spans="1:11" x14ac:dyDescent="0.25">
      <c r="A579">
        <v>-35</v>
      </c>
      <c r="B579" t="s">
        <v>68</v>
      </c>
      <c r="C579">
        <v>33.244</v>
      </c>
      <c r="D579">
        <v>-110.61499999999999</v>
      </c>
      <c r="E579">
        <v>20210605</v>
      </c>
      <c r="G579">
        <v>38702</v>
      </c>
      <c r="H579">
        <v>5</v>
      </c>
      <c r="I579">
        <v>1.697117327</v>
      </c>
      <c r="J579">
        <v>14597</v>
      </c>
      <c r="K579">
        <v>2.2223806229999998</v>
      </c>
    </row>
    <row r="580" spans="1:11" x14ac:dyDescent="0.25">
      <c r="A580">
        <v>-35</v>
      </c>
      <c r="B580" t="s">
        <v>68</v>
      </c>
      <c r="C580">
        <v>33.244</v>
      </c>
      <c r="D580">
        <v>-110.61499999999999</v>
      </c>
      <c r="E580">
        <v>20210606</v>
      </c>
      <c r="G580">
        <v>52850</v>
      </c>
      <c r="H580">
        <v>6</v>
      </c>
      <c r="I580">
        <v>1.357150748</v>
      </c>
      <c r="J580">
        <v>14148</v>
      </c>
      <c r="K580">
        <v>2.154020761</v>
      </c>
    </row>
    <row r="581" spans="1:11" x14ac:dyDescent="0.25">
      <c r="A581">
        <v>-35</v>
      </c>
      <c r="B581" t="s">
        <v>68</v>
      </c>
      <c r="C581">
        <v>33.244</v>
      </c>
      <c r="D581">
        <v>-110.61499999999999</v>
      </c>
      <c r="E581">
        <v>20210607</v>
      </c>
      <c r="G581">
        <v>66862</v>
      </c>
      <c r="H581">
        <v>7</v>
      </c>
      <c r="I581">
        <v>1.1739176549999999</v>
      </c>
      <c r="J581">
        <v>14012</v>
      </c>
      <c r="K581">
        <v>2.1333148789999998</v>
      </c>
    </row>
    <row r="582" spans="1:11" x14ac:dyDescent="0.25">
      <c r="A582">
        <v>-35</v>
      </c>
      <c r="B582" t="s">
        <v>68</v>
      </c>
      <c r="C582">
        <v>33.244</v>
      </c>
      <c r="D582">
        <v>-110.61499999999999</v>
      </c>
      <c r="E582">
        <v>20210608</v>
      </c>
      <c r="G582">
        <v>70066</v>
      </c>
      <c r="H582">
        <v>8</v>
      </c>
      <c r="I582">
        <v>0.2505733423</v>
      </c>
      <c r="J582">
        <v>3204</v>
      </c>
      <c r="K582">
        <v>0.48780622839999999</v>
      </c>
    </row>
    <row r="583" spans="1:11" x14ac:dyDescent="0.25">
      <c r="A583">
        <v>-35</v>
      </c>
      <c r="B583" t="s">
        <v>68</v>
      </c>
      <c r="C583">
        <v>33.244</v>
      </c>
      <c r="D583">
        <v>-110.61499999999999</v>
      </c>
      <c r="E583">
        <v>20210609</v>
      </c>
      <c r="G583">
        <v>72196</v>
      </c>
      <c r="H583">
        <v>9</v>
      </c>
      <c r="I583">
        <v>0.16342032910000001</v>
      </c>
      <c r="J583">
        <v>2130</v>
      </c>
      <c r="K583">
        <v>0.32429065740000002</v>
      </c>
    </row>
    <row r="584" spans="1:11" x14ac:dyDescent="0.25">
      <c r="A584">
        <v>-35</v>
      </c>
      <c r="B584" t="s">
        <v>68</v>
      </c>
      <c r="C584">
        <v>33.244</v>
      </c>
      <c r="D584">
        <v>-110.61499999999999</v>
      </c>
      <c r="E584">
        <v>20210610</v>
      </c>
      <c r="G584">
        <v>72250</v>
      </c>
      <c r="H584">
        <v>10</v>
      </c>
      <c r="I584">
        <v>4.1114950250000001E-3</v>
      </c>
      <c r="J584">
        <v>54</v>
      </c>
      <c r="K584">
        <v>8.2214532870000002E-3</v>
      </c>
    </row>
    <row r="585" spans="1:11" x14ac:dyDescent="0.25">
      <c r="A585">
        <v>-35</v>
      </c>
      <c r="B585" t="s">
        <v>68</v>
      </c>
      <c r="C585">
        <v>33.244</v>
      </c>
      <c r="D585">
        <v>-110.61499999999999</v>
      </c>
      <c r="E585">
        <v>20210611</v>
      </c>
      <c r="G585">
        <v>72250</v>
      </c>
      <c r="H585">
        <v>11</v>
      </c>
      <c r="I585">
        <v>0</v>
      </c>
      <c r="J585">
        <v>0</v>
      </c>
      <c r="K585">
        <v>0</v>
      </c>
    </row>
    <row r="587" spans="1:11" x14ac:dyDescent="0.25">
      <c r="A587">
        <v>-36</v>
      </c>
      <c r="B587" t="s">
        <v>69</v>
      </c>
      <c r="C587">
        <v>35.302</v>
      </c>
      <c r="D587">
        <v>-115.589</v>
      </c>
      <c r="E587">
        <v>20200815</v>
      </c>
      <c r="G587">
        <v>2560</v>
      </c>
      <c r="H587">
        <v>1</v>
      </c>
      <c r="I587">
        <v>1.459360982</v>
      </c>
      <c r="J587">
        <v>2560</v>
      </c>
      <c r="K587">
        <v>0.35495574610000002</v>
      </c>
    </row>
    <row r="588" spans="1:11" x14ac:dyDescent="0.25">
      <c r="A588">
        <v>-36</v>
      </c>
      <c r="B588" t="s">
        <v>69</v>
      </c>
      <c r="C588">
        <v>35.302</v>
      </c>
      <c r="D588">
        <v>-115.589</v>
      </c>
      <c r="E588">
        <v>20200816</v>
      </c>
      <c r="G588">
        <v>15595</v>
      </c>
      <c r="H588">
        <v>2</v>
      </c>
      <c r="I588">
        <v>2.1425704200000002</v>
      </c>
      <c r="J588">
        <v>13035</v>
      </c>
      <c r="K588">
        <v>1.807362559</v>
      </c>
    </row>
    <row r="589" spans="1:11" x14ac:dyDescent="0.25">
      <c r="A589">
        <v>-36</v>
      </c>
      <c r="B589" t="s">
        <v>69</v>
      </c>
      <c r="C589">
        <v>35.302</v>
      </c>
      <c r="D589">
        <v>-115.589</v>
      </c>
      <c r="E589">
        <v>20200817</v>
      </c>
      <c r="G589">
        <v>43000</v>
      </c>
      <c r="H589">
        <v>3</v>
      </c>
      <c r="I589">
        <v>2.3791123010000002</v>
      </c>
      <c r="J589">
        <v>27405</v>
      </c>
      <c r="K589">
        <v>3.7998289930000002</v>
      </c>
    </row>
    <row r="590" spans="1:11" x14ac:dyDescent="0.25">
      <c r="A590">
        <v>-36</v>
      </c>
      <c r="B590" t="s">
        <v>69</v>
      </c>
      <c r="C590">
        <v>35.302</v>
      </c>
      <c r="D590">
        <v>-115.589</v>
      </c>
      <c r="E590">
        <v>20200818</v>
      </c>
      <c r="G590">
        <v>43248</v>
      </c>
      <c r="H590">
        <v>4</v>
      </c>
      <c r="I590">
        <v>1.722286365E-2</v>
      </c>
      <c r="J590">
        <v>248</v>
      </c>
      <c r="K590">
        <v>3.4386337900000001E-2</v>
      </c>
    </row>
    <row r="591" spans="1:11" x14ac:dyDescent="0.25">
      <c r="A591">
        <v>-36</v>
      </c>
      <c r="B591" t="s">
        <v>69</v>
      </c>
      <c r="C591">
        <v>35.302</v>
      </c>
      <c r="D591">
        <v>-115.589</v>
      </c>
      <c r="E591">
        <v>20200819</v>
      </c>
      <c r="G591">
        <v>43248</v>
      </c>
      <c r="H591">
        <v>5</v>
      </c>
      <c r="I591">
        <v>0</v>
      </c>
      <c r="J591">
        <v>0</v>
      </c>
      <c r="K591">
        <v>0</v>
      </c>
    </row>
    <row r="592" spans="1:11" x14ac:dyDescent="0.25">
      <c r="A592">
        <v>-36</v>
      </c>
      <c r="B592" t="s">
        <v>69</v>
      </c>
      <c r="C592">
        <v>35.302</v>
      </c>
      <c r="D592">
        <v>-115.589</v>
      </c>
      <c r="E592">
        <v>20200820</v>
      </c>
      <c r="G592">
        <v>43273</v>
      </c>
      <c r="H592">
        <v>6</v>
      </c>
      <c r="I592">
        <v>1.7334327530000001E-3</v>
      </c>
      <c r="J592">
        <v>25</v>
      </c>
      <c r="K592">
        <v>3.4663647080000002E-3</v>
      </c>
    </row>
    <row r="594" spans="1:11" x14ac:dyDescent="0.25">
      <c r="A594">
        <v>-37</v>
      </c>
      <c r="B594" t="s">
        <v>70</v>
      </c>
      <c r="C594">
        <v>45.624000000000002</v>
      </c>
      <c r="D594">
        <v>-113.76600000000001</v>
      </c>
      <c r="E594">
        <v>20210708</v>
      </c>
      <c r="G594">
        <v>0</v>
      </c>
      <c r="H594">
        <v>1</v>
      </c>
      <c r="I594">
        <v>0</v>
      </c>
      <c r="J594">
        <v>0</v>
      </c>
      <c r="K594">
        <v>0</v>
      </c>
    </row>
    <row r="595" spans="1:11" x14ac:dyDescent="0.25">
      <c r="A595">
        <v>-37</v>
      </c>
      <c r="B595" t="s">
        <v>70</v>
      </c>
      <c r="C595">
        <v>45.624000000000002</v>
      </c>
      <c r="D595">
        <v>-113.76600000000001</v>
      </c>
      <c r="E595">
        <v>20210709</v>
      </c>
      <c r="G595">
        <v>582</v>
      </c>
      <c r="H595">
        <v>2</v>
      </c>
      <c r="I595">
        <v>8.8157956320000004</v>
      </c>
      <c r="J595">
        <v>582</v>
      </c>
      <c r="K595">
        <v>0.85404673210000004</v>
      </c>
    </row>
    <row r="596" spans="1:11" x14ac:dyDescent="0.25">
      <c r="A596">
        <v>-37</v>
      </c>
      <c r="B596" t="s">
        <v>70</v>
      </c>
      <c r="C596">
        <v>45.624000000000002</v>
      </c>
      <c r="D596">
        <v>-113.76600000000001</v>
      </c>
      <c r="E596">
        <v>20210710</v>
      </c>
      <c r="G596">
        <v>904</v>
      </c>
      <c r="H596">
        <v>3</v>
      </c>
      <c r="I596">
        <v>2.1713336999999999</v>
      </c>
      <c r="J596">
        <v>322</v>
      </c>
      <c r="K596">
        <v>0.4725138277</v>
      </c>
    </row>
    <row r="597" spans="1:11" x14ac:dyDescent="0.25">
      <c r="A597">
        <v>-37</v>
      </c>
      <c r="B597" t="s">
        <v>70</v>
      </c>
      <c r="C597">
        <v>45.624000000000002</v>
      </c>
      <c r="D597">
        <v>-113.76600000000001</v>
      </c>
      <c r="E597">
        <v>20210711</v>
      </c>
      <c r="G597">
        <v>1959</v>
      </c>
      <c r="H597">
        <v>4</v>
      </c>
      <c r="I597">
        <v>5.1868632459999997</v>
      </c>
      <c r="J597">
        <v>1055</v>
      </c>
      <c r="K597">
        <v>1.548143131</v>
      </c>
    </row>
    <row r="598" spans="1:11" x14ac:dyDescent="0.25">
      <c r="A598">
        <v>-37</v>
      </c>
      <c r="B598" t="s">
        <v>70</v>
      </c>
      <c r="C598">
        <v>45.624000000000002</v>
      </c>
      <c r="D598">
        <v>-113.76600000000001</v>
      </c>
      <c r="E598">
        <v>20210712</v>
      </c>
      <c r="G598">
        <v>5383</v>
      </c>
      <c r="H598">
        <v>5</v>
      </c>
      <c r="I598">
        <v>10.63695796</v>
      </c>
      <c r="J598">
        <v>3424</v>
      </c>
      <c r="K598">
        <v>5.0244948640000002</v>
      </c>
    </row>
    <row r="599" spans="1:11" x14ac:dyDescent="0.25">
      <c r="A599">
        <v>-37</v>
      </c>
      <c r="B599" t="s">
        <v>70</v>
      </c>
      <c r="C599">
        <v>45.624000000000002</v>
      </c>
      <c r="D599">
        <v>-113.76600000000001</v>
      </c>
      <c r="E599">
        <v>20210713</v>
      </c>
      <c r="G599">
        <v>8543</v>
      </c>
      <c r="H599">
        <v>6</v>
      </c>
      <c r="I599">
        <v>6.9648168269999999</v>
      </c>
      <c r="J599">
        <v>3160</v>
      </c>
      <c r="K599">
        <v>4.6370922229999998</v>
      </c>
    </row>
    <row r="600" spans="1:11" x14ac:dyDescent="0.25">
      <c r="A600">
        <v>-37</v>
      </c>
      <c r="B600" t="s">
        <v>70</v>
      </c>
      <c r="C600">
        <v>45.624000000000002</v>
      </c>
      <c r="D600">
        <v>-113.76600000000001</v>
      </c>
      <c r="E600">
        <v>20210714</v>
      </c>
      <c r="G600">
        <v>9560</v>
      </c>
      <c r="H600">
        <v>7</v>
      </c>
      <c r="I600">
        <v>1.953899558</v>
      </c>
      <c r="J600">
        <v>1017</v>
      </c>
      <c r="K600">
        <v>1.49238063</v>
      </c>
    </row>
    <row r="601" spans="1:11" x14ac:dyDescent="0.25">
      <c r="A601">
        <v>-37</v>
      </c>
      <c r="B601" t="s">
        <v>70</v>
      </c>
      <c r="C601">
        <v>45.624000000000002</v>
      </c>
      <c r="D601">
        <v>-113.76600000000001</v>
      </c>
      <c r="E601">
        <v>20210715</v>
      </c>
      <c r="G601">
        <v>9560</v>
      </c>
      <c r="H601">
        <v>8</v>
      </c>
      <c r="I601">
        <v>0</v>
      </c>
      <c r="J601">
        <v>0</v>
      </c>
      <c r="K601">
        <v>0</v>
      </c>
    </row>
    <row r="602" spans="1:11" x14ac:dyDescent="0.25">
      <c r="A602">
        <v>-37</v>
      </c>
      <c r="B602" t="s">
        <v>70</v>
      </c>
      <c r="C602">
        <v>45.624000000000002</v>
      </c>
      <c r="D602">
        <v>-113.76600000000001</v>
      </c>
      <c r="E602">
        <v>20210716</v>
      </c>
      <c r="G602">
        <v>15080</v>
      </c>
      <c r="H602">
        <v>9</v>
      </c>
      <c r="I602">
        <v>9.1449436019999997</v>
      </c>
      <c r="J602">
        <v>5520</v>
      </c>
      <c r="K602">
        <v>8.1002370470000002</v>
      </c>
    </row>
    <row r="603" spans="1:11" x14ac:dyDescent="0.25">
      <c r="A603">
        <v>-37</v>
      </c>
      <c r="B603" t="s">
        <v>70</v>
      </c>
      <c r="C603">
        <v>45.624000000000002</v>
      </c>
      <c r="D603">
        <v>-113.76600000000001</v>
      </c>
      <c r="E603">
        <v>20210717</v>
      </c>
      <c r="G603">
        <v>19862</v>
      </c>
      <c r="H603">
        <v>10</v>
      </c>
      <c r="I603">
        <v>6.6258971610000001</v>
      </c>
      <c r="J603">
        <v>4782</v>
      </c>
      <c r="K603">
        <v>7.0172705720000002</v>
      </c>
    </row>
    <row r="604" spans="1:11" x14ac:dyDescent="0.25">
      <c r="A604">
        <v>-37</v>
      </c>
      <c r="B604" t="s">
        <v>70</v>
      </c>
      <c r="C604">
        <v>45.624000000000002</v>
      </c>
      <c r="D604">
        <v>-113.76600000000001</v>
      </c>
      <c r="E604">
        <v>20210718</v>
      </c>
      <c r="G604">
        <v>23070</v>
      </c>
      <c r="H604">
        <v>11</v>
      </c>
      <c r="I604">
        <v>4.0034330479999998</v>
      </c>
      <c r="J604">
        <v>3208</v>
      </c>
      <c r="K604">
        <v>4.7075290660000002</v>
      </c>
    </row>
    <row r="605" spans="1:11" x14ac:dyDescent="0.25">
      <c r="A605">
        <v>-37</v>
      </c>
      <c r="B605" t="s">
        <v>70</v>
      </c>
      <c r="C605">
        <v>45.624000000000002</v>
      </c>
      <c r="D605">
        <v>-113.76600000000001</v>
      </c>
      <c r="E605">
        <v>20210719</v>
      </c>
      <c r="G605">
        <v>23070</v>
      </c>
      <c r="H605">
        <v>12</v>
      </c>
      <c r="I605">
        <v>0</v>
      </c>
      <c r="J605">
        <v>0</v>
      </c>
      <c r="K605">
        <v>0</v>
      </c>
    </row>
    <row r="606" spans="1:11" x14ac:dyDescent="0.25">
      <c r="A606">
        <v>-37</v>
      </c>
      <c r="B606" t="s">
        <v>70</v>
      </c>
      <c r="C606">
        <v>45.624000000000002</v>
      </c>
      <c r="D606">
        <v>-113.76600000000001</v>
      </c>
      <c r="E606">
        <v>20210720</v>
      </c>
      <c r="G606">
        <v>23875</v>
      </c>
      <c r="H606">
        <v>13</v>
      </c>
      <c r="I606">
        <v>0.96006844729999996</v>
      </c>
      <c r="J606">
        <v>805</v>
      </c>
      <c r="K606">
        <v>1.181284569</v>
      </c>
    </row>
    <row r="607" spans="1:11" x14ac:dyDescent="0.25">
      <c r="A607">
        <v>-37</v>
      </c>
      <c r="B607" t="s">
        <v>70</v>
      </c>
      <c r="C607">
        <v>45.624000000000002</v>
      </c>
      <c r="D607">
        <v>-113.76600000000001</v>
      </c>
      <c r="E607">
        <v>20210721</v>
      </c>
      <c r="G607">
        <v>24135</v>
      </c>
      <c r="H607">
        <v>14</v>
      </c>
      <c r="I607">
        <v>0.30661550370000001</v>
      </c>
      <c r="J607">
        <v>260</v>
      </c>
      <c r="K607">
        <v>0.38153290439999998</v>
      </c>
    </row>
    <row r="608" spans="1:11" x14ac:dyDescent="0.25">
      <c r="A608">
        <v>-37</v>
      </c>
      <c r="B608" t="s">
        <v>70</v>
      </c>
      <c r="C608">
        <v>45.624000000000002</v>
      </c>
      <c r="D608">
        <v>-113.76600000000001</v>
      </c>
      <c r="E608">
        <v>20210722</v>
      </c>
      <c r="G608">
        <v>24454</v>
      </c>
      <c r="H608">
        <v>15</v>
      </c>
      <c r="I608">
        <v>0.37394614990000002</v>
      </c>
      <c r="J608">
        <v>319</v>
      </c>
      <c r="K608">
        <v>0.46811152499999997</v>
      </c>
    </row>
    <row r="609" spans="1:11" x14ac:dyDescent="0.25">
      <c r="A609">
        <v>-37</v>
      </c>
      <c r="B609" t="s">
        <v>70</v>
      </c>
      <c r="C609">
        <v>45.624000000000002</v>
      </c>
      <c r="D609">
        <v>-113.76600000000001</v>
      </c>
      <c r="E609">
        <v>20210723</v>
      </c>
      <c r="G609">
        <v>26530</v>
      </c>
      <c r="H609">
        <v>16</v>
      </c>
      <c r="I609">
        <v>2.3762136379999999</v>
      </c>
      <c r="J609">
        <v>2076</v>
      </c>
      <c r="K609">
        <v>3.046393498</v>
      </c>
    </row>
    <row r="610" spans="1:11" x14ac:dyDescent="0.25">
      <c r="A610">
        <v>-37</v>
      </c>
      <c r="B610" t="s">
        <v>70</v>
      </c>
      <c r="C610">
        <v>45.624000000000002</v>
      </c>
      <c r="D610">
        <v>-113.76600000000001</v>
      </c>
      <c r="E610">
        <v>20210724</v>
      </c>
      <c r="G610">
        <v>27844</v>
      </c>
      <c r="H610">
        <v>17</v>
      </c>
      <c r="I610">
        <v>1.4561846789999999</v>
      </c>
      <c r="J610">
        <v>1314</v>
      </c>
      <c r="K610">
        <v>1.9282086009999999</v>
      </c>
    </row>
    <row r="611" spans="1:11" x14ac:dyDescent="0.25">
      <c r="A611">
        <v>-37</v>
      </c>
      <c r="B611" t="s">
        <v>70</v>
      </c>
      <c r="C611">
        <v>45.624000000000002</v>
      </c>
      <c r="D611">
        <v>-113.76600000000001</v>
      </c>
      <c r="E611">
        <v>20210725</v>
      </c>
      <c r="G611">
        <v>31124</v>
      </c>
      <c r="H611">
        <v>18</v>
      </c>
      <c r="I611">
        <v>3.4915544949999999</v>
      </c>
      <c r="J611">
        <v>3280</v>
      </c>
      <c r="K611">
        <v>4.8131843319999996</v>
      </c>
    </row>
    <row r="612" spans="1:11" x14ac:dyDescent="0.25">
      <c r="A612">
        <v>-37</v>
      </c>
      <c r="B612" t="s">
        <v>70</v>
      </c>
      <c r="C612">
        <v>45.624000000000002</v>
      </c>
      <c r="D612">
        <v>-113.76600000000001</v>
      </c>
      <c r="E612">
        <v>20210726</v>
      </c>
      <c r="G612">
        <v>32933</v>
      </c>
      <c r="H612">
        <v>19</v>
      </c>
      <c r="I612">
        <v>1.847071047</v>
      </c>
      <c r="J612">
        <v>1809</v>
      </c>
      <c r="K612">
        <v>2.654588554</v>
      </c>
    </row>
    <row r="613" spans="1:11" x14ac:dyDescent="0.25">
      <c r="A613">
        <v>-37</v>
      </c>
      <c r="B613" t="s">
        <v>70</v>
      </c>
      <c r="C613">
        <v>45.624000000000002</v>
      </c>
      <c r="D613">
        <v>-113.76600000000001</v>
      </c>
      <c r="E613">
        <v>20210727</v>
      </c>
      <c r="G613">
        <v>32933</v>
      </c>
      <c r="H613">
        <v>20</v>
      </c>
      <c r="I613">
        <v>0</v>
      </c>
      <c r="J613">
        <v>0</v>
      </c>
      <c r="K613">
        <v>0</v>
      </c>
    </row>
    <row r="614" spans="1:11" x14ac:dyDescent="0.25">
      <c r="A614">
        <v>-37</v>
      </c>
      <c r="B614" t="s">
        <v>70</v>
      </c>
      <c r="C614">
        <v>45.624000000000002</v>
      </c>
      <c r="D614">
        <v>-113.76600000000001</v>
      </c>
      <c r="E614">
        <v>20210728</v>
      </c>
      <c r="G614">
        <v>32933</v>
      </c>
      <c r="H614">
        <v>21</v>
      </c>
      <c r="I614">
        <v>0</v>
      </c>
      <c r="J614">
        <v>0</v>
      </c>
      <c r="K614">
        <v>0</v>
      </c>
    </row>
    <row r="615" spans="1:11" x14ac:dyDescent="0.25">
      <c r="A615">
        <v>-37</v>
      </c>
      <c r="B615" t="s">
        <v>70</v>
      </c>
      <c r="C615">
        <v>45.624000000000002</v>
      </c>
      <c r="D615">
        <v>-113.76600000000001</v>
      </c>
      <c r="E615">
        <v>20210729</v>
      </c>
      <c r="G615">
        <v>34244</v>
      </c>
      <c r="H615">
        <v>22</v>
      </c>
      <c r="I615">
        <v>1.3070677260000001</v>
      </c>
      <c r="J615">
        <v>1311</v>
      </c>
      <c r="K615">
        <v>1.923806299</v>
      </c>
    </row>
    <row r="616" spans="1:11" x14ac:dyDescent="0.25">
      <c r="A616">
        <v>-37</v>
      </c>
      <c r="B616" t="s">
        <v>70</v>
      </c>
      <c r="C616">
        <v>45.624000000000002</v>
      </c>
      <c r="D616">
        <v>-113.76600000000001</v>
      </c>
      <c r="E616">
        <v>20210730</v>
      </c>
      <c r="G616">
        <v>35111</v>
      </c>
      <c r="H616">
        <v>23</v>
      </c>
      <c r="I616">
        <v>0.85069468049999997</v>
      </c>
      <c r="J616">
        <v>867</v>
      </c>
      <c r="K616">
        <v>1.2722654929999999</v>
      </c>
    </row>
    <row r="617" spans="1:11" x14ac:dyDescent="0.25">
      <c r="A617">
        <v>-37</v>
      </c>
      <c r="B617" t="s">
        <v>70</v>
      </c>
      <c r="C617">
        <v>45.624000000000002</v>
      </c>
      <c r="D617">
        <v>-113.76600000000001</v>
      </c>
      <c r="E617">
        <v>20210731</v>
      </c>
      <c r="G617">
        <v>35111</v>
      </c>
      <c r="H617">
        <v>24</v>
      </c>
      <c r="I617">
        <v>0</v>
      </c>
      <c r="J617">
        <v>0</v>
      </c>
      <c r="K617">
        <v>0</v>
      </c>
    </row>
    <row r="618" spans="1:11" x14ac:dyDescent="0.25">
      <c r="A618">
        <v>-37</v>
      </c>
      <c r="B618" t="s">
        <v>70</v>
      </c>
      <c r="C618">
        <v>45.624000000000002</v>
      </c>
      <c r="D618">
        <v>-113.76600000000001</v>
      </c>
      <c r="E618">
        <v>20210801</v>
      </c>
      <c r="G618">
        <v>35111</v>
      </c>
      <c r="H618">
        <v>25</v>
      </c>
      <c r="I618">
        <v>0</v>
      </c>
      <c r="J618">
        <v>0</v>
      </c>
      <c r="K618">
        <v>0</v>
      </c>
    </row>
    <row r="619" spans="1:11" x14ac:dyDescent="0.25">
      <c r="A619">
        <v>-37</v>
      </c>
      <c r="B619" t="s">
        <v>70</v>
      </c>
      <c r="C619">
        <v>45.624000000000002</v>
      </c>
      <c r="D619">
        <v>-113.76600000000001</v>
      </c>
      <c r="E619">
        <v>20210802</v>
      </c>
      <c r="G619">
        <v>35602</v>
      </c>
      <c r="H619">
        <v>26</v>
      </c>
      <c r="I619">
        <v>0.47711107949999998</v>
      </c>
      <c r="J619">
        <v>491</v>
      </c>
      <c r="K619">
        <v>0.72051021559999995</v>
      </c>
    </row>
    <row r="620" spans="1:11" x14ac:dyDescent="0.25">
      <c r="A620">
        <v>-37</v>
      </c>
      <c r="B620" t="s">
        <v>70</v>
      </c>
      <c r="C620">
        <v>45.624000000000002</v>
      </c>
      <c r="D620">
        <v>-113.76600000000001</v>
      </c>
      <c r="E620">
        <v>20210803</v>
      </c>
      <c r="G620">
        <v>35661</v>
      </c>
      <c r="H620">
        <v>27</v>
      </c>
      <c r="I620">
        <v>5.7109061320000001E-2</v>
      </c>
      <c r="J620">
        <v>59</v>
      </c>
      <c r="K620">
        <v>8.6578620610000004E-2</v>
      </c>
    </row>
    <row r="621" spans="1:11" x14ac:dyDescent="0.25">
      <c r="A621">
        <v>-37</v>
      </c>
      <c r="B621" t="s">
        <v>70</v>
      </c>
      <c r="C621">
        <v>45.624000000000002</v>
      </c>
      <c r="D621">
        <v>-113.76600000000001</v>
      </c>
      <c r="E621">
        <v>20210804</v>
      </c>
      <c r="G621">
        <v>35881</v>
      </c>
      <c r="H621">
        <v>28</v>
      </c>
      <c r="I621">
        <v>0.21253363950000001</v>
      </c>
      <c r="J621">
        <v>220</v>
      </c>
      <c r="K621">
        <v>0.32283553450000002</v>
      </c>
    </row>
    <row r="622" spans="1:11" x14ac:dyDescent="0.25">
      <c r="A622">
        <v>-37</v>
      </c>
      <c r="B622" t="s">
        <v>70</v>
      </c>
      <c r="C622">
        <v>45.624000000000002</v>
      </c>
      <c r="D622">
        <v>-113.76600000000001</v>
      </c>
      <c r="E622">
        <v>20210805</v>
      </c>
      <c r="G622">
        <v>35881</v>
      </c>
      <c r="H622">
        <v>29</v>
      </c>
      <c r="I622">
        <v>0</v>
      </c>
      <c r="J622">
        <v>0</v>
      </c>
      <c r="K622">
        <v>0</v>
      </c>
    </row>
    <row r="623" spans="1:11" x14ac:dyDescent="0.25">
      <c r="A623">
        <v>-37</v>
      </c>
      <c r="B623" t="s">
        <v>70</v>
      </c>
      <c r="C623">
        <v>45.624000000000002</v>
      </c>
      <c r="D623">
        <v>-113.76600000000001</v>
      </c>
      <c r="E623">
        <v>20210806</v>
      </c>
      <c r="G623">
        <v>35897</v>
      </c>
      <c r="H623">
        <v>30</v>
      </c>
      <c r="I623">
        <v>1.543154226E-2</v>
      </c>
      <c r="J623">
        <v>16</v>
      </c>
      <c r="K623">
        <v>2.347894796E-2</v>
      </c>
    </row>
    <row r="624" spans="1:11" x14ac:dyDescent="0.25">
      <c r="A624">
        <v>-37</v>
      </c>
      <c r="B624" t="s">
        <v>70</v>
      </c>
      <c r="C624">
        <v>45.624000000000002</v>
      </c>
      <c r="D624">
        <v>-113.76600000000001</v>
      </c>
      <c r="E624">
        <v>20210807</v>
      </c>
      <c r="G624">
        <v>35908</v>
      </c>
      <c r="H624">
        <v>31</v>
      </c>
      <c r="I624">
        <v>1.0607190460000001E-2</v>
      </c>
      <c r="J624">
        <v>11</v>
      </c>
      <c r="K624">
        <v>1.6141776720000001E-2</v>
      </c>
    </row>
    <row r="625" spans="1:11" x14ac:dyDescent="0.25">
      <c r="A625">
        <v>-37</v>
      </c>
      <c r="B625" t="s">
        <v>70</v>
      </c>
      <c r="C625">
        <v>45.624000000000002</v>
      </c>
      <c r="D625">
        <v>-113.76600000000001</v>
      </c>
      <c r="E625">
        <v>20210808</v>
      </c>
      <c r="G625">
        <v>35915</v>
      </c>
      <c r="H625">
        <v>32</v>
      </c>
      <c r="I625">
        <v>6.7491843920000003E-3</v>
      </c>
      <c r="J625">
        <v>7</v>
      </c>
      <c r="K625">
        <v>1.027203973E-2</v>
      </c>
    </row>
    <row r="626" spans="1:11" x14ac:dyDescent="0.25">
      <c r="A626">
        <v>-37</v>
      </c>
      <c r="B626" t="s">
        <v>70</v>
      </c>
      <c r="C626">
        <v>45.624000000000002</v>
      </c>
      <c r="D626">
        <v>-113.76600000000001</v>
      </c>
      <c r="E626">
        <v>20210809</v>
      </c>
      <c r="G626">
        <v>35928</v>
      </c>
      <c r="H626">
        <v>33</v>
      </c>
      <c r="I626">
        <v>1.2532454829999999E-2</v>
      </c>
      <c r="J626">
        <v>13</v>
      </c>
      <c r="K626">
        <v>1.9076645220000001E-2</v>
      </c>
    </row>
    <row r="627" spans="1:11" x14ac:dyDescent="0.25">
      <c r="A627">
        <v>-37</v>
      </c>
      <c r="B627" t="s">
        <v>70</v>
      </c>
      <c r="C627">
        <v>45.624000000000002</v>
      </c>
      <c r="D627">
        <v>-113.76600000000001</v>
      </c>
      <c r="E627">
        <v>20210810</v>
      </c>
      <c r="G627">
        <v>35965</v>
      </c>
      <c r="H627">
        <v>34</v>
      </c>
      <c r="I627">
        <v>3.5656889800000001E-2</v>
      </c>
      <c r="J627">
        <v>37</v>
      </c>
      <c r="K627">
        <v>5.4295067160000002E-2</v>
      </c>
    </row>
    <row r="628" spans="1:11" x14ac:dyDescent="0.25">
      <c r="A628">
        <v>-37</v>
      </c>
      <c r="B628" t="s">
        <v>70</v>
      </c>
      <c r="C628">
        <v>45.624000000000002</v>
      </c>
      <c r="D628">
        <v>-113.76600000000001</v>
      </c>
      <c r="E628">
        <v>20210811</v>
      </c>
      <c r="G628">
        <v>36076</v>
      </c>
      <c r="H628">
        <v>35</v>
      </c>
      <c r="I628">
        <v>0.10686076160000001</v>
      </c>
      <c r="J628">
        <v>111</v>
      </c>
      <c r="K628">
        <v>0.16288520149999999</v>
      </c>
    </row>
    <row r="629" spans="1:11" x14ac:dyDescent="0.25">
      <c r="A629">
        <v>-37</v>
      </c>
      <c r="B629" t="s">
        <v>70</v>
      </c>
      <c r="C629">
        <v>45.624000000000002</v>
      </c>
      <c r="D629">
        <v>-113.76600000000001</v>
      </c>
      <c r="E629">
        <v>20210812</v>
      </c>
      <c r="G629">
        <v>36380</v>
      </c>
      <c r="H629">
        <v>36</v>
      </c>
      <c r="I629">
        <v>0.29182492700000001</v>
      </c>
      <c r="J629">
        <v>304</v>
      </c>
      <c r="K629">
        <v>0.44610001129999999</v>
      </c>
    </row>
    <row r="630" spans="1:11" x14ac:dyDescent="0.25">
      <c r="A630">
        <v>-37</v>
      </c>
      <c r="B630" t="s">
        <v>70</v>
      </c>
      <c r="C630">
        <v>45.624000000000002</v>
      </c>
      <c r="D630">
        <v>-113.76600000000001</v>
      </c>
      <c r="E630">
        <v>20210813</v>
      </c>
      <c r="G630">
        <v>36788</v>
      </c>
      <c r="H630">
        <v>37</v>
      </c>
      <c r="I630">
        <v>0.38975014260000002</v>
      </c>
      <c r="J630">
        <v>408</v>
      </c>
      <c r="K630">
        <v>0.59871317300000004</v>
      </c>
    </row>
    <row r="631" spans="1:11" x14ac:dyDescent="0.25">
      <c r="A631">
        <v>-37</v>
      </c>
      <c r="B631" t="s">
        <v>70</v>
      </c>
      <c r="C631">
        <v>45.624000000000002</v>
      </c>
      <c r="D631">
        <v>-113.76600000000001</v>
      </c>
      <c r="E631">
        <v>20210814</v>
      </c>
      <c r="G631">
        <v>37412</v>
      </c>
      <c r="H631">
        <v>38</v>
      </c>
      <c r="I631">
        <v>0.59193156579999995</v>
      </c>
      <c r="J631">
        <v>624</v>
      </c>
      <c r="K631">
        <v>0.91567897050000002</v>
      </c>
    </row>
    <row r="632" spans="1:11" x14ac:dyDescent="0.25">
      <c r="A632">
        <v>-37</v>
      </c>
      <c r="B632" t="s">
        <v>70</v>
      </c>
      <c r="C632">
        <v>45.624000000000002</v>
      </c>
      <c r="D632">
        <v>-113.76600000000001</v>
      </c>
      <c r="E632">
        <v>20210815</v>
      </c>
      <c r="G632">
        <v>37987</v>
      </c>
      <c r="H632">
        <v>39</v>
      </c>
      <c r="I632">
        <v>0.54109464090000003</v>
      </c>
      <c r="J632">
        <v>575</v>
      </c>
      <c r="K632">
        <v>0.84377469240000003</v>
      </c>
    </row>
    <row r="633" spans="1:11" x14ac:dyDescent="0.25">
      <c r="A633">
        <v>-37</v>
      </c>
      <c r="B633" t="s">
        <v>70</v>
      </c>
      <c r="C633">
        <v>45.624000000000002</v>
      </c>
      <c r="D633">
        <v>-113.76600000000001</v>
      </c>
      <c r="E633">
        <v>20210816</v>
      </c>
      <c r="G633">
        <v>38846</v>
      </c>
      <c r="H633">
        <v>40</v>
      </c>
      <c r="I633">
        <v>0.80077605429999998</v>
      </c>
      <c r="J633">
        <v>859</v>
      </c>
      <c r="K633">
        <v>1.2605260190000001</v>
      </c>
    </row>
    <row r="634" spans="1:11" x14ac:dyDescent="0.25">
      <c r="A634">
        <v>-37</v>
      </c>
      <c r="B634" t="s">
        <v>70</v>
      </c>
      <c r="C634">
        <v>45.624000000000002</v>
      </c>
      <c r="D634">
        <v>-113.76600000000001</v>
      </c>
      <c r="E634">
        <v>20210817</v>
      </c>
      <c r="G634">
        <v>38845</v>
      </c>
      <c r="H634">
        <v>41</v>
      </c>
      <c r="I634">
        <v>-9.2704254949999996E-4</v>
      </c>
      <c r="J634">
        <v>-1</v>
      </c>
      <c r="K634">
        <v>-1.467434248E-3</v>
      </c>
    </row>
    <row r="635" spans="1:11" x14ac:dyDescent="0.25">
      <c r="A635">
        <v>-37</v>
      </c>
      <c r="B635" t="s">
        <v>70</v>
      </c>
      <c r="C635">
        <v>45.624000000000002</v>
      </c>
      <c r="D635">
        <v>-113.76600000000001</v>
      </c>
      <c r="E635">
        <v>20210818</v>
      </c>
      <c r="G635">
        <v>38845</v>
      </c>
      <c r="H635">
        <v>42</v>
      </c>
      <c r="I635">
        <v>0</v>
      </c>
      <c r="J635">
        <v>0</v>
      </c>
      <c r="K635">
        <v>0</v>
      </c>
    </row>
    <row r="636" spans="1:11" x14ac:dyDescent="0.25">
      <c r="A636">
        <v>-37</v>
      </c>
      <c r="B636" t="s">
        <v>70</v>
      </c>
      <c r="C636">
        <v>45.624000000000002</v>
      </c>
      <c r="D636">
        <v>-113.76600000000001</v>
      </c>
      <c r="E636">
        <v>20210819</v>
      </c>
      <c r="G636">
        <v>39196</v>
      </c>
      <c r="H636">
        <v>43</v>
      </c>
      <c r="I636">
        <v>0.32466227339999998</v>
      </c>
      <c r="J636">
        <v>351</v>
      </c>
      <c r="K636">
        <v>0.51506942089999996</v>
      </c>
    </row>
    <row r="637" spans="1:11" x14ac:dyDescent="0.25">
      <c r="A637">
        <v>-37</v>
      </c>
      <c r="B637" t="s">
        <v>70</v>
      </c>
      <c r="C637">
        <v>45.624000000000002</v>
      </c>
      <c r="D637">
        <v>-113.76600000000001</v>
      </c>
      <c r="E637">
        <v>20210820</v>
      </c>
      <c r="G637">
        <v>39196</v>
      </c>
      <c r="H637">
        <v>44</v>
      </c>
      <c r="I637">
        <v>0</v>
      </c>
      <c r="J637">
        <v>0</v>
      </c>
      <c r="K637">
        <v>0</v>
      </c>
    </row>
    <row r="638" spans="1:11" x14ac:dyDescent="0.25">
      <c r="A638">
        <v>-37</v>
      </c>
      <c r="B638" t="s">
        <v>70</v>
      </c>
      <c r="C638">
        <v>45.624000000000002</v>
      </c>
      <c r="D638">
        <v>-113.76600000000001</v>
      </c>
      <c r="E638">
        <v>20210821</v>
      </c>
      <c r="G638">
        <v>39196</v>
      </c>
      <c r="H638">
        <v>45</v>
      </c>
      <c r="I638">
        <v>0</v>
      </c>
      <c r="J638">
        <v>0</v>
      </c>
      <c r="K638">
        <v>0</v>
      </c>
    </row>
    <row r="639" spans="1:11" x14ac:dyDescent="0.25">
      <c r="A639">
        <v>-37</v>
      </c>
      <c r="B639" t="s">
        <v>70</v>
      </c>
      <c r="C639">
        <v>45.624000000000002</v>
      </c>
      <c r="D639">
        <v>-113.76600000000001</v>
      </c>
      <c r="E639">
        <v>20210822</v>
      </c>
      <c r="G639">
        <v>39196</v>
      </c>
      <c r="H639">
        <v>46</v>
      </c>
      <c r="I639">
        <v>0</v>
      </c>
      <c r="J639">
        <v>0</v>
      </c>
      <c r="K639">
        <v>0</v>
      </c>
    </row>
    <row r="640" spans="1:11" x14ac:dyDescent="0.25">
      <c r="A640">
        <v>-37</v>
      </c>
      <c r="B640" t="s">
        <v>70</v>
      </c>
      <c r="C640">
        <v>45.624000000000002</v>
      </c>
      <c r="D640">
        <v>-113.76600000000001</v>
      </c>
      <c r="E640">
        <v>20210823</v>
      </c>
      <c r="G640">
        <v>39243</v>
      </c>
      <c r="H640">
        <v>47</v>
      </c>
      <c r="I640">
        <v>4.3362756010000003E-2</v>
      </c>
      <c r="J640">
        <v>47</v>
      </c>
      <c r="K640">
        <v>6.8969409640000007E-2</v>
      </c>
    </row>
    <row r="641" spans="1:11" x14ac:dyDescent="0.25">
      <c r="A641">
        <v>-37</v>
      </c>
      <c r="B641" t="s">
        <v>70</v>
      </c>
      <c r="C641">
        <v>45.624000000000002</v>
      </c>
      <c r="D641">
        <v>-113.76600000000001</v>
      </c>
      <c r="E641">
        <v>20210824</v>
      </c>
      <c r="G641">
        <v>39264</v>
      </c>
      <c r="H641">
        <v>48</v>
      </c>
      <c r="I641">
        <v>1.9366455009999999E-2</v>
      </c>
      <c r="J641">
        <v>21</v>
      </c>
      <c r="K641">
        <v>3.0816119199999999E-2</v>
      </c>
    </row>
    <row r="642" spans="1:11" x14ac:dyDescent="0.25">
      <c r="A642">
        <v>-37</v>
      </c>
      <c r="B642" t="s">
        <v>70</v>
      </c>
      <c r="C642">
        <v>45.624000000000002</v>
      </c>
      <c r="D642">
        <v>-113.76600000000001</v>
      </c>
      <c r="E642">
        <v>20210825</v>
      </c>
      <c r="G642">
        <v>39243</v>
      </c>
      <c r="H642">
        <v>49</v>
      </c>
      <c r="I642">
        <v>-1.9366455009999999E-2</v>
      </c>
      <c r="J642">
        <v>-21</v>
      </c>
      <c r="K642">
        <v>-3.0816119199999999E-2</v>
      </c>
    </row>
    <row r="643" spans="1:11" x14ac:dyDescent="0.25">
      <c r="A643">
        <v>-37</v>
      </c>
      <c r="B643" t="s">
        <v>70</v>
      </c>
      <c r="C643">
        <v>45.624000000000002</v>
      </c>
      <c r="D643">
        <v>-113.76600000000001</v>
      </c>
      <c r="E643">
        <v>20210826</v>
      </c>
      <c r="G643">
        <v>39305</v>
      </c>
      <c r="H643">
        <v>50</v>
      </c>
      <c r="I643">
        <v>5.7162232389999998E-2</v>
      </c>
      <c r="J643">
        <v>62</v>
      </c>
      <c r="K643">
        <v>9.0980923350000006E-2</v>
      </c>
    </row>
    <row r="644" spans="1:11" x14ac:dyDescent="0.25">
      <c r="A644">
        <v>-37</v>
      </c>
      <c r="B644" t="s">
        <v>70</v>
      </c>
      <c r="C644">
        <v>45.624000000000002</v>
      </c>
      <c r="D644">
        <v>-113.76600000000001</v>
      </c>
      <c r="E644">
        <v>20210827</v>
      </c>
      <c r="G644">
        <v>39317</v>
      </c>
      <c r="H644">
        <v>51</v>
      </c>
      <c r="I644">
        <v>1.1058449200000001E-2</v>
      </c>
      <c r="J644">
        <v>12</v>
      </c>
      <c r="K644">
        <v>1.7609210970000001E-2</v>
      </c>
    </row>
    <row r="645" spans="1:11" x14ac:dyDescent="0.25">
      <c r="A645">
        <v>-37</v>
      </c>
      <c r="B645" t="s">
        <v>70</v>
      </c>
      <c r="C645">
        <v>45.624000000000002</v>
      </c>
      <c r="D645">
        <v>-113.76600000000001</v>
      </c>
      <c r="E645">
        <v>20210828</v>
      </c>
      <c r="G645">
        <v>39340</v>
      </c>
      <c r="H645">
        <v>52</v>
      </c>
      <c r="I645">
        <v>2.1190644960000001E-2</v>
      </c>
      <c r="J645">
        <v>23</v>
      </c>
      <c r="K645">
        <v>3.3750987699999999E-2</v>
      </c>
    </row>
    <row r="646" spans="1:11" x14ac:dyDescent="0.25">
      <c r="A646">
        <v>-37</v>
      </c>
      <c r="B646" t="s">
        <v>70</v>
      </c>
      <c r="C646">
        <v>45.624000000000002</v>
      </c>
      <c r="D646">
        <v>-113.76600000000001</v>
      </c>
      <c r="E646">
        <v>20210829</v>
      </c>
      <c r="G646">
        <v>39405</v>
      </c>
      <c r="H646">
        <v>53</v>
      </c>
      <c r="I646">
        <v>5.9853137850000002E-2</v>
      </c>
      <c r="J646">
        <v>65</v>
      </c>
      <c r="K646">
        <v>9.5383226099999996E-2</v>
      </c>
    </row>
    <row r="647" spans="1:11" x14ac:dyDescent="0.25">
      <c r="A647">
        <v>-37</v>
      </c>
      <c r="B647" t="s">
        <v>70</v>
      </c>
      <c r="C647">
        <v>45.624000000000002</v>
      </c>
      <c r="D647">
        <v>-113.76600000000001</v>
      </c>
      <c r="E647">
        <v>20210830</v>
      </c>
      <c r="G647">
        <v>39405</v>
      </c>
      <c r="H647">
        <v>54</v>
      </c>
      <c r="I647">
        <v>0</v>
      </c>
      <c r="J647">
        <v>0</v>
      </c>
      <c r="K647">
        <v>0</v>
      </c>
    </row>
    <row r="648" spans="1:11" x14ac:dyDescent="0.25">
      <c r="A648">
        <v>-37</v>
      </c>
      <c r="B648" t="s">
        <v>70</v>
      </c>
      <c r="C648">
        <v>45.624000000000002</v>
      </c>
      <c r="D648">
        <v>-113.76600000000001</v>
      </c>
      <c r="E648">
        <v>20210831</v>
      </c>
      <c r="G648">
        <v>39825</v>
      </c>
      <c r="H648">
        <v>55</v>
      </c>
      <c r="I648">
        <v>0.38555914769999999</v>
      </c>
      <c r="J648">
        <v>420</v>
      </c>
      <c r="K648">
        <v>0.61632238399999995</v>
      </c>
    </row>
    <row r="649" spans="1:11" x14ac:dyDescent="0.25">
      <c r="A649">
        <v>-37</v>
      </c>
      <c r="B649" t="s">
        <v>70</v>
      </c>
      <c r="C649">
        <v>45.624000000000002</v>
      </c>
      <c r="D649">
        <v>-113.76600000000001</v>
      </c>
      <c r="E649">
        <v>20210901</v>
      </c>
      <c r="G649">
        <v>40122</v>
      </c>
      <c r="H649">
        <v>56</v>
      </c>
      <c r="I649">
        <v>0.27141955639999998</v>
      </c>
      <c r="J649">
        <v>297</v>
      </c>
      <c r="K649">
        <v>0.43582797159999997</v>
      </c>
    </row>
    <row r="650" spans="1:11" x14ac:dyDescent="0.25">
      <c r="A650">
        <v>-37</v>
      </c>
      <c r="B650" t="s">
        <v>70</v>
      </c>
      <c r="C650">
        <v>45.624000000000002</v>
      </c>
      <c r="D650">
        <v>-113.76600000000001</v>
      </c>
      <c r="E650">
        <v>20210902</v>
      </c>
      <c r="G650">
        <v>40459</v>
      </c>
      <c r="H650">
        <v>57</v>
      </c>
      <c r="I650">
        <v>0.30676057820000002</v>
      </c>
      <c r="J650">
        <v>337</v>
      </c>
      <c r="K650">
        <v>0.49452534149999999</v>
      </c>
    </row>
    <row r="651" spans="1:11" x14ac:dyDescent="0.25">
      <c r="A651">
        <v>-37</v>
      </c>
      <c r="B651" t="s">
        <v>70</v>
      </c>
      <c r="C651">
        <v>45.624000000000002</v>
      </c>
      <c r="D651">
        <v>-113.76600000000001</v>
      </c>
      <c r="E651">
        <v>20210903</v>
      </c>
      <c r="G651">
        <v>40736</v>
      </c>
      <c r="H651">
        <v>58</v>
      </c>
      <c r="I651">
        <v>0.25118909509999998</v>
      </c>
      <c r="J651">
        <v>277</v>
      </c>
      <c r="K651">
        <v>0.40647928659999999</v>
      </c>
    </row>
    <row r="652" spans="1:11" x14ac:dyDescent="0.25">
      <c r="A652">
        <v>-37</v>
      </c>
      <c r="B652" t="s">
        <v>70</v>
      </c>
      <c r="C652">
        <v>45.624000000000002</v>
      </c>
      <c r="D652">
        <v>-113.76600000000001</v>
      </c>
      <c r="E652">
        <v>20210904</v>
      </c>
      <c r="G652">
        <v>41045</v>
      </c>
      <c r="H652">
        <v>59</v>
      </c>
      <c r="I652">
        <v>0.2792017074</v>
      </c>
      <c r="J652">
        <v>309</v>
      </c>
      <c r="K652">
        <v>0.45343718249999998</v>
      </c>
    </row>
    <row r="653" spans="1:11" x14ac:dyDescent="0.25">
      <c r="A653">
        <v>-37</v>
      </c>
      <c r="B653" t="s">
        <v>70</v>
      </c>
      <c r="C653">
        <v>45.624000000000002</v>
      </c>
      <c r="D653">
        <v>-113.76600000000001</v>
      </c>
      <c r="E653">
        <v>20210905</v>
      </c>
      <c r="G653">
        <v>42207</v>
      </c>
      <c r="H653">
        <v>60</v>
      </c>
      <c r="I653">
        <v>1.0406492860000001</v>
      </c>
      <c r="J653">
        <v>1162</v>
      </c>
      <c r="K653">
        <v>1.705158596</v>
      </c>
    </row>
    <row r="654" spans="1:11" x14ac:dyDescent="0.25">
      <c r="A654">
        <v>-37</v>
      </c>
      <c r="B654" t="s">
        <v>70</v>
      </c>
      <c r="C654">
        <v>45.624000000000002</v>
      </c>
      <c r="D654">
        <v>-113.76600000000001</v>
      </c>
      <c r="E654">
        <v>20210906</v>
      </c>
      <c r="G654">
        <v>44239</v>
      </c>
      <c r="H654">
        <v>61</v>
      </c>
      <c r="I654">
        <v>1.785937586</v>
      </c>
      <c r="J654">
        <v>2032</v>
      </c>
      <c r="K654">
        <v>2.9818263909999998</v>
      </c>
    </row>
    <row r="655" spans="1:11" x14ac:dyDescent="0.25">
      <c r="A655">
        <v>-37</v>
      </c>
      <c r="B655" t="s">
        <v>70</v>
      </c>
      <c r="C655">
        <v>45.624000000000002</v>
      </c>
      <c r="D655">
        <v>-113.76600000000001</v>
      </c>
      <c r="E655">
        <v>20210907</v>
      </c>
      <c r="G655">
        <v>44254</v>
      </c>
      <c r="H655">
        <v>62</v>
      </c>
      <c r="I655">
        <v>1.302932224E-2</v>
      </c>
      <c r="J655">
        <v>15</v>
      </c>
      <c r="K655">
        <v>2.201151371E-2</v>
      </c>
    </row>
    <row r="656" spans="1:11" x14ac:dyDescent="0.25">
      <c r="A656">
        <v>-37</v>
      </c>
      <c r="B656" t="s">
        <v>70</v>
      </c>
      <c r="C656">
        <v>45.624000000000002</v>
      </c>
      <c r="D656">
        <v>-113.76600000000001</v>
      </c>
      <c r="E656">
        <v>20210908</v>
      </c>
      <c r="G656">
        <v>47470</v>
      </c>
      <c r="H656">
        <v>63</v>
      </c>
      <c r="I656">
        <v>2.7442668389999998</v>
      </c>
      <c r="J656">
        <v>3216</v>
      </c>
      <c r="K656">
        <v>4.7192685399999998</v>
      </c>
    </row>
    <row r="657" spans="1:11" x14ac:dyDescent="0.25">
      <c r="A657">
        <v>-37</v>
      </c>
      <c r="B657" t="s">
        <v>70</v>
      </c>
      <c r="C657">
        <v>45.624000000000002</v>
      </c>
      <c r="D657">
        <v>-113.76600000000001</v>
      </c>
      <c r="E657">
        <v>20210909</v>
      </c>
      <c r="G657">
        <v>49446</v>
      </c>
      <c r="H657">
        <v>64</v>
      </c>
      <c r="I657">
        <v>1.6401999490000001</v>
      </c>
      <c r="J657">
        <v>1976</v>
      </c>
      <c r="K657">
        <v>2.8996500730000001</v>
      </c>
    </row>
    <row r="658" spans="1:11" x14ac:dyDescent="0.25">
      <c r="A658">
        <v>-37</v>
      </c>
      <c r="B658" t="s">
        <v>70</v>
      </c>
      <c r="C658">
        <v>45.624000000000002</v>
      </c>
      <c r="D658">
        <v>-113.76600000000001</v>
      </c>
      <c r="E658">
        <v>20210910</v>
      </c>
      <c r="G658">
        <v>49440</v>
      </c>
      <c r="H658">
        <v>65</v>
      </c>
      <c r="I658">
        <v>-4.9302491780000004E-3</v>
      </c>
      <c r="J658">
        <v>-6</v>
      </c>
      <c r="K658">
        <v>-8.8046054860000007E-3</v>
      </c>
    </row>
    <row r="659" spans="1:11" x14ac:dyDescent="0.25">
      <c r="A659">
        <v>-37</v>
      </c>
      <c r="B659" t="s">
        <v>70</v>
      </c>
      <c r="C659">
        <v>45.624000000000002</v>
      </c>
      <c r="D659">
        <v>-113.76600000000001</v>
      </c>
      <c r="E659">
        <v>20210911</v>
      </c>
      <c r="G659">
        <v>50825</v>
      </c>
      <c r="H659">
        <v>66</v>
      </c>
      <c r="I659">
        <v>1.1302394899999999</v>
      </c>
      <c r="J659">
        <v>1385</v>
      </c>
      <c r="K659">
        <v>2.0323964330000002</v>
      </c>
    </row>
    <row r="660" spans="1:11" x14ac:dyDescent="0.25">
      <c r="A660">
        <v>-37</v>
      </c>
      <c r="B660" t="s">
        <v>70</v>
      </c>
      <c r="C660">
        <v>45.624000000000002</v>
      </c>
      <c r="D660">
        <v>-113.76600000000001</v>
      </c>
      <c r="E660">
        <v>20210912</v>
      </c>
      <c r="G660">
        <v>50856</v>
      </c>
      <c r="H660">
        <v>67</v>
      </c>
      <c r="I660">
        <v>2.5120415480000002E-2</v>
      </c>
      <c r="J660">
        <v>31</v>
      </c>
      <c r="K660">
        <v>4.5490461679999997E-2</v>
      </c>
    </row>
    <row r="661" spans="1:11" x14ac:dyDescent="0.25">
      <c r="A661">
        <v>-37</v>
      </c>
      <c r="B661" t="s">
        <v>70</v>
      </c>
      <c r="C661">
        <v>45.624000000000002</v>
      </c>
      <c r="D661">
        <v>-113.76600000000001</v>
      </c>
      <c r="E661">
        <v>20210913</v>
      </c>
      <c r="G661">
        <v>51815</v>
      </c>
      <c r="H661">
        <v>68</v>
      </c>
      <c r="I661">
        <v>0.77336492489999997</v>
      </c>
      <c r="J661">
        <v>959</v>
      </c>
      <c r="K661">
        <v>1.407269444</v>
      </c>
    </row>
    <row r="662" spans="1:11" x14ac:dyDescent="0.25">
      <c r="A662">
        <v>-37</v>
      </c>
      <c r="B662" t="s">
        <v>70</v>
      </c>
      <c r="C662">
        <v>45.624000000000002</v>
      </c>
      <c r="D662">
        <v>-113.76600000000001</v>
      </c>
      <c r="E662">
        <v>20210914</v>
      </c>
      <c r="G662">
        <v>51834</v>
      </c>
      <c r="H662">
        <v>69</v>
      </c>
      <c r="I662">
        <v>1.5249516290000001E-2</v>
      </c>
      <c r="J662">
        <v>19</v>
      </c>
      <c r="K662">
        <v>2.788125071E-2</v>
      </c>
    </row>
    <row r="663" spans="1:11" x14ac:dyDescent="0.25">
      <c r="A663">
        <v>-37</v>
      </c>
      <c r="B663" t="s">
        <v>70</v>
      </c>
      <c r="C663">
        <v>45.624000000000002</v>
      </c>
      <c r="D663">
        <v>-113.76600000000001</v>
      </c>
      <c r="E663">
        <v>20210915</v>
      </c>
      <c r="G663">
        <v>51834</v>
      </c>
      <c r="H663">
        <v>70</v>
      </c>
      <c r="I663">
        <v>0</v>
      </c>
      <c r="J663">
        <v>0</v>
      </c>
      <c r="K663">
        <v>0</v>
      </c>
    </row>
    <row r="664" spans="1:11" x14ac:dyDescent="0.25">
      <c r="A664">
        <v>-37</v>
      </c>
      <c r="B664" t="s">
        <v>70</v>
      </c>
      <c r="C664">
        <v>45.624000000000002</v>
      </c>
      <c r="D664">
        <v>-113.76600000000001</v>
      </c>
      <c r="E664">
        <v>20210916</v>
      </c>
      <c r="G664">
        <v>52932</v>
      </c>
      <c r="H664">
        <v>71</v>
      </c>
      <c r="I664">
        <v>0.87656302129999997</v>
      </c>
      <c r="J664">
        <v>1098</v>
      </c>
      <c r="K664">
        <v>1.611242804</v>
      </c>
    </row>
    <row r="665" spans="1:11" x14ac:dyDescent="0.25">
      <c r="A665">
        <v>-37</v>
      </c>
      <c r="B665" t="s">
        <v>70</v>
      </c>
      <c r="C665">
        <v>45.624000000000002</v>
      </c>
      <c r="D665">
        <v>-113.76600000000001</v>
      </c>
      <c r="E665">
        <v>20210917</v>
      </c>
      <c r="G665">
        <v>55838</v>
      </c>
      <c r="H665">
        <v>72</v>
      </c>
      <c r="I665">
        <v>2.2770094310000002</v>
      </c>
      <c r="J665">
        <v>2906</v>
      </c>
      <c r="K665">
        <v>4.2643639240000004</v>
      </c>
    </row>
    <row r="666" spans="1:11" x14ac:dyDescent="0.25">
      <c r="A666">
        <v>-37</v>
      </c>
      <c r="B666" t="s">
        <v>70</v>
      </c>
      <c r="C666">
        <v>45.624000000000002</v>
      </c>
      <c r="D666">
        <v>-113.76600000000001</v>
      </c>
      <c r="E666">
        <v>20210918</v>
      </c>
      <c r="G666">
        <v>55860</v>
      </c>
      <c r="H666">
        <v>73</v>
      </c>
      <c r="I666">
        <v>1.700924388E-2</v>
      </c>
      <c r="J666">
        <v>22</v>
      </c>
      <c r="K666">
        <v>3.2283553450000002E-2</v>
      </c>
    </row>
    <row r="667" spans="1:11" x14ac:dyDescent="0.25">
      <c r="A667">
        <v>-37</v>
      </c>
      <c r="B667" t="s">
        <v>70</v>
      </c>
      <c r="C667">
        <v>45.624000000000002</v>
      </c>
      <c r="D667">
        <v>-113.76600000000001</v>
      </c>
      <c r="E667">
        <v>20210919</v>
      </c>
      <c r="G667">
        <v>55860</v>
      </c>
      <c r="H667">
        <v>74</v>
      </c>
      <c r="I667">
        <v>0</v>
      </c>
      <c r="J667">
        <v>0</v>
      </c>
      <c r="K667">
        <v>0</v>
      </c>
    </row>
    <row r="668" spans="1:11" x14ac:dyDescent="0.25">
      <c r="A668">
        <v>-37</v>
      </c>
      <c r="B668" t="s">
        <v>70</v>
      </c>
      <c r="C668">
        <v>45.624000000000002</v>
      </c>
      <c r="D668">
        <v>-113.76600000000001</v>
      </c>
      <c r="E668">
        <v>20210920</v>
      </c>
      <c r="G668">
        <v>55860</v>
      </c>
      <c r="H668">
        <v>75</v>
      </c>
      <c r="I668">
        <v>0</v>
      </c>
      <c r="J668">
        <v>0</v>
      </c>
      <c r="K668">
        <v>0</v>
      </c>
    </row>
    <row r="669" spans="1:11" x14ac:dyDescent="0.25">
      <c r="A669">
        <v>-37</v>
      </c>
      <c r="B669" t="s">
        <v>70</v>
      </c>
      <c r="C669">
        <v>45.624000000000002</v>
      </c>
      <c r="D669">
        <v>-113.76600000000001</v>
      </c>
      <c r="E669">
        <v>20210921</v>
      </c>
      <c r="G669">
        <v>56743</v>
      </c>
      <c r="H669">
        <v>76</v>
      </c>
      <c r="I669">
        <v>0.67994547029999997</v>
      </c>
      <c r="J669">
        <v>883</v>
      </c>
      <c r="K669">
        <v>1.2957444410000001</v>
      </c>
    </row>
    <row r="670" spans="1:11" x14ac:dyDescent="0.25">
      <c r="A670">
        <v>-37</v>
      </c>
      <c r="B670" t="s">
        <v>70</v>
      </c>
      <c r="C670">
        <v>45.624000000000002</v>
      </c>
      <c r="D670">
        <v>-113.76600000000001</v>
      </c>
      <c r="E670">
        <v>20210922</v>
      </c>
      <c r="G670">
        <v>56743</v>
      </c>
      <c r="H670">
        <v>77</v>
      </c>
      <c r="I670">
        <v>0</v>
      </c>
      <c r="J670">
        <v>0</v>
      </c>
      <c r="K670">
        <v>0</v>
      </c>
    </row>
    <row r="671" spans="1:11" x14ac:dyDescent="0.25">
      <c r="A671">
        <v>-37</v>
      </c>
      <c r="B671" t="s">
        <v>70</v>
      </c>
      <c r="C671">
        <v>45.624000000000002</v>
      </c>
      <c r="D671">
        <v>-113.76600000000001</v>
      </c>
      <c r="E671">
        <v>20210923</v>
      </c>
      <c r="G671">
        <v>56798</v>
      </c>
      <c r="H671">
        <v>78</v>
      </c>
      <c r="I671">
        <v>4.2176580730000003E-2</v>
      </c>
      <c r="J671">
        <v>55</v>
      </c>
      <c r="K671">
        <v>8.0708883620000005E-2</v>
      </c>
    </row>
    <row r="672" spans="1:11" x14ac:dyDescent="0.25">
      <c r="A672">
        <v>-37</v>
      </c>
      <c r="B672" t="s">
        <v>70</v>
      </c>
      <c r="C672">
        <v>45.624000000000002</v>
      </c>
      <c r="D672">
        <v>-113.76600000000001</v>
      </c>
      <c r="E672">
        <v>20210924</v>
      </c>
      <c r="G672">
        <v>56798</v>
      </c>
      <c r="H672">
        <v>79</v>
      </c>
      <c r="I672">
        <v>0</v>
      </c>
      <c r="J672">
        <v>0</v>
      </c>
      <c r="K672">
        <v>0</v>
      </c>
    </row>
    <row r="673" spans="1:11" x14ac:dyDescent="0.25">
      <c r="A673">
        <v>-37</v>
      </c>
      <c r="B673" t="s">
        <v>70</v>
      </c>
      <c r="C673">
        <v>45.624000000000002</v>
      </c>
      <c r="D673">
        <v>-113.76600000000001</v>
      </c>
      <c r="E673">
        <v>20210925</v>
      </c>
      <c r="G673">
        <v>57052</v>
      </c>
      <c r="H673">
        <v>80</v>
      </c>
      <c r="I673">
        <v>0.19451472920000001</v>
      </c>
      <c r="J673">
        <v>254</v>
      </c>
      <c r="K673">
        <v>0.37272829889999998</v>
      </c>
    </row>
    <row r="674" spans="1:11" x14ac:dyDescent="0.25">
      <c r="A674">
        <v>-37</v>
      </c>
      <c r="B674" t="s">
        <v>70</v>
      </c>
      <c r="C674">
        <v>45.624000000000002</v>
      </c>
      <c r="D674">
        <v>-113.76600000000001</v>
      </c>
      <c r="E674">
        <v>20210926</v>
      </c>
      <c r="G674">
        <v>57299</v>
      </c>
      <c r="H674">
        <v>81</v>
      </c>
      <c r="I674">
        <v>0.18873925950000001</v>
      </c>
      <c r="J674">
        <v>247</v>
      </c>
      <c r="K674">
        <v>0.36245625920000002</v>
      </c>
    </row>
    <row r="675" spans="1:11" x14ac:dyDescent="0.25">
      <c r="A675">
        <v>-37</v>
      </c>
      <c r="B675" t="s">
        <v>70</v>
      </c>
      <c r="C675">
        <v>45.624000000000002</v>
      </c>
      <c r="D675">
        <v>-113.76600000000001</v>
      </c>
      <c r="E675">
        <v>20210927</v>
      </c>
      <c r="G675">
        <v>57325</v>
      </c>
      <c r="H675">
        <v>82</v>
      </c>
      <c r="I675">
        <v>1.984360596E-2</v>
      </c>
      <c r="J675">
        <v>26</v>
      </c>
      <c r="K675">
        <v>3.8153290440000001E-2</v>
      </c>
    </row>
    <row r="676" spans="1:11" x14ac:dyDescent="0.25">
      <c r="A676">
        <v>-37</v>
      </c>
      <c r="B676" t="s">
        <v>70</v>
      </c>
      <c r="C676">
        <v>45.624000000000002</v>
      </c>
      <c r="D676">
        <v>-113.76600000000001</v>
      </c>
      <c r="E676">
        <v>20210928</v>
      </c>
      <c r="G676">
        <v>57325</v>
      </c>
      <c r="H676">
        <v>83</v>
      </c>
      <c r="I676">
        <v>0</v>
      </c>
      <c r="J676">
        <v>0</v>
      </c>
      <c r="K676">
        <v>0</v>
      </c>
    </row>
    <row r="677" spans="1:11" x14ac:dyDescent="0.25">
      <c r="A677">
        <v>-37</v>
      </c>
      <c r="B677" t="s">
        <v>70</v>
      </c>
      <c r="C677">
        <v>45.624000000000002</v>
      </c>
      <c r="D677">
        <v>-113.76600000000001</v>
      </c>
      <c r="E677">
        <v>20210929</v>
      </c>
      <c r="G677">
        <v>62000</v>
      </c>
      <c r="H677">
        <v>84</v>
      </c>
      <c r="I677">
        <v>3.4977139899999998</v>
      </c>
      <c r="J677">
        <v>4675</v>
      </c>
      <c r="K677">
        <v>6.8602551079999996</v>
      </c>
    </row>
    <row r="678" spans="1:11" x14ac:dyDescent="0.25">
      <c r="A678">
        <v>-37</v>
      </c>
      <c r="B678" t="s">
        <v>70</v>
      </c>
      <c r="C678">
        <v>45.624000000000002</v>
      </c>
      <c r="D678">
        <v>-113.76600000000001</v>
      </c>
      <c r="E678">
        <v>20210930</v>
      </c>
      <c r="G678">
        <v>62002</v>
      </c>
      <c r="H678">
        <v>85</v>
      </c>
      <c r="I678">
        <v>1.467576248E-3</v>
      </c>
      <c r="J678">
        <v>2</v>
      </c>
      <c r="K678">
        <v>2.934868495E-3</v>
      </c>
    </row>
    <row r="679" spans="1:11" x14ac:dyDescent="0.25">
      <c r="A679">
        <v>-37</v>
      </c>
      <c r="B679" t="s">
        <v>70</v>
      </c>
      <c r="C679">
        <v>45.624000000000002</v>
      </c>
      <c r="D679">
        <v>-113.76600000000001</v>
      </c>
      <c r="E679">
        <v>20211001</v>
      </c>
      <c r="G679">
        <v>62002</v>
      </c>
      <c r="H679">
        <v>86</v>
      </c>
      <c r="I679">
        <v>0</v>
      </c>
      <c r="J679">
        <v>0</v>
      </c>
      <c r="K679">
        <v>0</v>
      </c>
    </row>
    <row r="680" spans="1:11" x14ac:dyDescent="0.25">
      <c r="A680">
        <v>-37</v>
      </c>
      <c r="B680" t="s">
        <v>70</v>
      </c>
      <c r="C680">
        <v>45.624000000000002</v>
      </c>
      <c r="D680">
        <v>-113.76600000000001</v>
      </c>
      <c r="E680">
        <v>20211002</v>
      </c>
      <c r="G680">
        <v>62004</v>
      </c>
      <c r="H680">
        <v>87</v>
      </c>
      <c r="I680">
        <v>1.4675525790000001E-3</v>
      </c>
      <c r="J680">
        <v>2</v>
      </c>
      <c r="K680">
        <v>2.934868495E-3</v>
      </c>
    </row>
    <row r="681" spans="1:11" x14ac:dyDescent="0.25">
      <c r="A681">
        <v>-37</v>
      </c>
      <c r="B681" t="s">
        <v>70</v>
      </c>
      <c r="C681">
        <v>45.624000000000002</v>
      </c>
      <c r="D681">
        <v>-113.76600000000001</v>
      </c>
      <c r="E681">
        <v>20211003</v>
      </c>
      <c r="G681">
        <v>61990</v>
      </c>
      <c r="H681">
        <v>88</v>
      </c>
      <c r="I681">
        <v>-1.027336515E-2</v>
      </c>
      <c r="J681">
        <v>-14</v>
      </c>
      <c r="K681">
        <v>-2.0544079470000001E-2</v>
      </c>
    </row>
    <row r="682" spans="1:11" x14ac:dyDescent="0.25">
      <c r="A682">
        <v>-37</v>
      </c>
      <c r="B682" t="s">
        <v>70</v>
      </c>
      <c r="C682">
        <v>45.624000000000002</v>
      </c>
      <c r="D682">
        <v>-113.76600000000001</v>
      </c>
      <c r="E682">
        <v>20211004</v>
      </c>
      <c r="G682">
        <v>61992</v>
      </c>
      <c r="H682">
        <v>89</v>
      </c>
      <c r="I682">
        <v>1.467694614E-3</v>
      </c>
      <c r="J682">
        <v>2</v>
      </c>
      <c r="K682">
        <v>2.934868495E-3</v>
      </c>
    </row>
    <row r="683" spans="1:11" x14ac:dyDescent="0.25">
      <c r="A683">
        <v>-37</v>
      </c>
      <c r="B683" t="s">
        <v>70</v>
      </c>
      <c r="C683">
        <v>45.624000000000002</v>
      </c>
      <c r="D683">
        <v>-113.76600000000001</v>
      </c>
      <c r="E683">
        <v>20211005</v>
      </c>
      <c r="G683">
        <v>61992</v>
      </c>
      <c r="H683">
        <v>90</v>
      </c>
      <c r="I683">
        <v>0</v>
      </c>
      <c r="J683">
        <v>0</v>
      </c>
      <c r="K683">
        <v>0</v>
      </c>
    </row>
    <row r="684" spans="1:11" x14ac:dyDescent="0.25">
      <c r="A684">
        <v>-37</v>
      </c>
      <c r="B684" t="s">
        <v>70</v>
      </c>
      <c r="C684">
        <v>45.624000000000002</v>
      </c>
      <c r="D684">
        <v>-113.76600000000001</v>
      </c>
      <c r="E684">
        <v>20211006</v>
      </c>
      <c r="G684">
        <v>62013</v>
      </c>
      <c r="H684">
        <v>91</v>
      </c>
      <c r="I684">
        <v>1.5409364260000001E-2</v>
      </c>
      <c r="J684">
        <v>21</v>
      </c>
    </row>
    <row r="686" spans="1:11" x14ac:dyDescent="0.25">
      <c r="A686">
        <v>-38</v>
      </c>
      <c r="B686" t="s">
        <v>71</v>
      </c>
      <c r="C686">
        <v>41.04</v>
      </c>
      <c r="D686">
        <v>-106.613</v>
      </c>
      <c r="E686">
        <v>20180915</v>
      </c>
      <c r="G686">
        <v>0</v>
      </c>
      <c r="H686">
        <v>1</v>
      </c>
      <c r="I686">
        <v>0</v>
      </c>
      <c r="J686">
        <v>0</v>
      </c>
      <c r="K686">
        <v>0</v>
      </c>
    </row>
    <row r="687" spans="1:11" x14ac:dyDescent="0.25">
      <c r="A687">
        <v>-38</v>
      </c>
      <c r="B687" t="s">
        <v>71</v>
      </c>
      <c r="C687">
        <v>41.04</v>
      </c>
      <c r="D687">
        <v>-106.613</v>
      </c>
      <c r="E687">
        <v>20180916</v>
      </c>
      <c r="G687">
        <v>650</v>
      </c>
      <c r="H687">
        <v>2</v>
      </c>
      <c r="I687">
        <v>2.5714925480000002</v>
      </c>
      <c r="J687">
        <v>650</v>
      </c>
      <c r="K687">
        <v>0.38897493659999999</v>
      </c>
    </row>
    <row r="688" spans="1:11" x14ac:dyDescent="0.25">
      <c r="A688">
        <v>-38</v>
      </c>
      <c r="B688" t="s">
        <v>71</v>
      </c>
      <c r="C688">
        <v>41.04</v>
      </c>
      <c r="D688">
        <v>-106.613</v>
      </c>
      <c r="E688">
        <v>20180917</v>
      </c>
      <c r="G688">
        <v>2500</v>
      </c>
      <c r="H688">
        <v>3</v>
      </c>
      <c r="I688">
        <v>2.471619252</v>
      </c>
      <c r="J688">
        <v>1850</v>
      </c>
      <c r="K688">
        <v>1.1070825120000001</v>
      </c>
    </row>
    <row r="689" spans="1:11" x14ac:dyDescent="0.25">
      <c r="A689">
        <v>-38</v>
      </c>
      <c r="B689" t="s">
        <v>71</v>
      </c>
      <c r="C689">
        <v>41.04</v>
      </c>
      <c r="D689">
        <v>-106.613</v>
      </c>
      <c r="E689">
        <v>20180918</v>
      </c>
      <c r="G689">
        <v>2512</v>
      </c>
      <c r="H689">
        <v>4</v>
      </c>
      <c r="I689">
        <v>1.2088978909999999E-2</v>
      </c>
      <c r="J689">
        <v>12</v>
      </c>
      <c r="K689">
        <v>7.1810757530000003E-3</v>
      </c>
    </row>
    <row r="690" spans="1:11" x14ac:dyDescent="0.25">
      <c r="A690">
        <v>-38</v>
      </c>
      <c r="B690" t="s">
        <v>71</v>
      </c>
      <c r="C690">
        <v>41.04</v>
      </c>
      <c r="D690">
        <v>-106.613</v>
      </c>
      <c r="E690">
        <v>20180919</v>
      </c>
      <c r="G690">
        <v>2594</v>
      </c>
      <c r="H690">
        <v>5</v>
      </c>
      <c r="I690">
        <v>8.1846675460000004E-2</v>
      </c>
      <c r="J690">
        <v>82</v>
      </c>
      <c r="K690">
        <v>4.9070684310000001E-2</v>
      </c>
    </row>
    <row r="691" spans="1:11" x14ac:dyDescent="0.25">
      <c r="A691">
        <v>-38</v>
      </c>
      <c r="B691" t="s">
        <v>71</v>
      </c>
      <c r="C691">
        <v>41.04</v>
      </c>
      <c r="D691">
        <v>-106.613</v>
      </c>
      <c r="E691">
        <v>20180920</v>
      </c>
      <c r="G691">
        <v>2725</v>
      </c>
      <c r="H691">
        <v>6</v>
      </c>
      <c r="I691">
        <v>0.12811584070000001</v>
      </c>
      <c r="J691">
        <v>131</v>
      </c>
      <c r="K691">
        <v>7.8393410309999995E-2</v>
      </c>
    </row>
    <row r="692" spans="1:11" x14ac:dyDescent="0.25">
      <c r="A692">
        <v>-38</v>
      </c>
      <c r="B692" t="s">
        <v>71</v>
      </c>
      <c r="C692">
        <v>41.04</v>
      </c>
      <c r="D692">
        <v>-106.613</v>
      </c>
      <c r="E692">
        <v>20180921</v>
      </c>
      <c r="G692">
        <v>2986</v>
      </c>
      <c r="H692">
        <v>7</v>
      </c>
      <c r="I692">
        <v>0.24638342830000001</v>
      </c>
      <c r="J692">
        <v>261</v>
      </c>
      <c r="K692">
        <v>0.1561883976</v>
      </c>
    </row>
    <row r="693" spans="1:11" x14ac:dyDescent="0.25">
      <c r="A693">
        <v>-38</v>
      </c>
      <c r="B693" t="s">
        <v>71</v>
      </c>
      <c r="C693">
        <v>41.04</v>
      </c>
      <c r="D693">
        <v>-106.613</v>
      </c>
      <c r="E693">
        <v>20180922</v>
      </c>
      <c r="G693">
        <v>8685</v>
      </c>
      <c r="H693">
        <v>8</v>
      </c>
      <c r="I693">
        <v>3.8881426760000002</v>
      </c>
      <c r="J693">
        <v>5699</v>
      </c>
      <c r="K693">
        <v>3.4104125600000001</v>
      </c>
    </row>
    <row r="694" spans="1:11" x14ac:dyDescent="0.25">
      <c r="A694">
        <v>-38</v>
      </c>
      <c r="B694" t="s">
        <v>71</v>
      </c>
      <c r="C694">
        <v>41.04</v>
      </c>
      <c r="D694">
        <v>-106.613</v>
      </c>
      <c r="E694">
        <v>20180923</v>
      </c>
      <c r="G694">
        <v>19543</v>
      </c>
      <c r="H694">
        <v>9</v>
      </c>
      <c r="I694">
        <v>4.7004760210000001</v>
      </c>
      <c r="J694">
        <v>10858</v>
      </c>
      <c r="K694">
        <v>6.4976767110000004</v>
      </c>
    </row>
    <row r="695" spans="1:11" x14ac:dyDescent="0.25">
      <c r="A695">
        <v>-38</v>
      </c>
      <c r="B695" t="s">
        <v>71</v>
      </c>
      <c r="C695">
        <v>41.04</v>
      </c>
      <c r="D695">
        <v>-106.613</v>
      </c>
      <c r="E695">
        <v>20180924</v>
      </c>
      <c r="G695">
        <v>19963</v>
      </c>
      <c r="H695">
        <v>10</v>
      </c>
      <c r="I695">
        <v>0.15070841090000001</v>
      </c>
      <c r="J695">
        <v>420</v>
      </c>
      <c r="K695">
        <v>0.25133765139999997</v>
      </c>
    </row>
    <row r="696" spans="1:11" x14ac:dyDescent="0.25">
      <c r="A696">
        <v>-38</v>
      </c>
      <c r="B696" t="s">
        <v>71</v>
      </c>
      <c r="C696">
        <v>41.04</v>
      </c>
      <c r="D696">
        <v>-106.613</v>
      </c>
      <c r="E696">
        <v>20180925</v>
      </c>
      <c r="G696">
        <v>21071</v>
      </c>
      <c r="H696">
        <v>11</v>
      </c>
      <c r="I696">
        <v>0.3901404845</v>
      </c>
      <c r="J696">
        <v>1108</v>
      </c>
      <c r="K696">
        <v>0.66305266119999995</v>
      </c>
    </row>
    <row r="697" spans="1:11" x14ac:dyDescent="0.25">
      <c r="A697">
        <v>-38</v>
      </c>
      <c r="B697" t="s">
        <v>71</v>
      </c>
      <c r="C697">
        <v>41.04</v>
      </c>
      <c r="D697">
        <v>-106.613</v>
      </c>
      <c r="E697">
        <v>20180926</v>
      </c>
      <c r="G697">
        <v>21100</v>
      </c>
      <c r="H697">
        <v>12</v>
      </c>
      <c r="I697">
        <v>1.0071743750000001E-2</v>
      </c>
      <c r="J697">
        <v>29</v>
      </c>
      <c r="K697">
        <v>1.7354266399999999E-2</v>
      </c>
    </row>
    <row r="698" spans="1:11" x14ac:dyDescent="0.25">
      <c r="A698">
        <v>-38</v>
      </c>
      <c r="B698" t="s">
        <v>71</v>
      </c>
      <c r="C698">
        <v>41.04</v>
      </c>
      <c r="D698">
        <v>-106.613</v>
      </c>
      <c r="E698">
        <v>20180927</v>
      </c>
      <c r="G698">
        <v>21761</v>
      </c>
      <c r="H698">
        <v>13</v>
      </c>
      <c r="I698">
        <v>0.22771771439999999</v>
      </c>
      <c r="J698">
        <v>661</v>
      </c>
      <c r="K698">
        <v>0.39555758940000002</v>
      </c>
    </row>
    <row r="699" spans="1:11" x14ac:dyDescent="0.25">
      <c r="A699">
        <v>-38</v>
      </c>
      <c r="B699" t="s">
        <v>71</v>
      </c>
      <c r="C699">
        <v>41.04</v>
      </c>
      <c r="D699">
        <v>-106.613</v>
      </c>
      <c r="E699">
        <v>20180928</v>
      </c>
      <c r="G699">
        <v>22253</v>
      </c>
      <c r="H699">
        <v>14</v>
      </c>
      <c r="I699">
        <v>0.1672592175</v>
      </c>
      <c r="J699">
        <v>492</v>
      </c>
      <c r="K699">
        <v>0.29442410590000001</v>
      </c>
    </row>
    <row r="700" spans="1:11" x14ac:dyDescent="0.25">
      <c r="A700">
        <v>-38</v>
      </c>
      <c r="B700" t="s">
        <v>71</v>
      </c>
      <c r="C700">
        <v>41.04</v>
      </c>
      <c r="D700">
        <v>-106.613</v>
      </c>
      <c r="E700">
        <v>20180929</v>
      </c>
      <c r="G700">
        <v>23778</v>
      </c>
      <c r="H700">
        <v>15</v>
      </c>
      <c r="I700">
        <v>0.5070115369</v>
      </c>
      <c r="J700">
        <v>1525</v>
      </c>
      <c r="K700">
        <v>0.91259504359999999</v>
      </c>
    </row>
    <row r="701" spans="1:11" x14ac:dyDescent="0.25">
      <c r="A701">
        <v>-38</v>
      </c>
      <c r="B701" t="s">
        <v>71</v>
      </c>
      <c r="C701">
        <v>41.04</v>
      </c>
      <c r="D701">
        <v>-106.613</v>
      </c>
      <c r="E701">
        <v>20180930</v>
      </c>
      <c r="G701">
        <v>27553</v>
      </c>
      <c r="H701">
        <v>16</v>
      </c>
      <c r="I701">
        <v>1.1891452170000001</v>
      </c>
      <c r="J701">
        <v>3775</v>
      </c>
      <c r="K701">
        <v>2.2590467470000002</v>
      </c>
    </row>
    <row r="702" spans="1:11" x14ac:dyDescent="0.25">
      <c r="A702">
        <v>-38</v>
      </c>
      <c r="B702" t="s">
        <v>71</v>
      </c>
      <c r="C702">
        <v>41.04</v>
      </c>
      <c r="D702">
        <v>-106.613</v>
      </c>
      <c r="E702">
        <v>20180931</v>
      </c>
      <c r="G702">
        <v>28408</v>
      </c>
      <c r="H702">
        <v>17</v>
      </c>
      <c r="I702">
        <v>0.25778025490000001</v>
      </c>
      <c r="J702">
        <v>855</v>
      </c>
      <c r="K702">
        <v>0.51165164740000002</v>
      </c>
    </row>
    <row r="704" spans="1:11" x14ac:dyDescent="0.25">
      <c r="A704">
        <v>-39</v>
      </c>
      <c r="B704" t="s">
        <v>72</v>
      </c>
      <c r="C704">
        <v>42.619</v>
      </c>
      <c r="D704">
        <v>-120.577</v>
      </c>
      <c r="E704">
        <v>20200907</v>
      </c>
      <c r="G704">
        <v>0</v>
      </c>
      <c r="H704">
        <v>1</v>
      </c>
      <c r="I704">
        <v>0</v>
      </c>
      <c r="J704">
        <v>0</v>
      </c>
      <c r="K704">
        <v>0</v>
      </c>
    </row>
    <row r="705" spans="1:11" x14ac:dyDescent="0.25">
      <c r="A705">
        <v>-39</v>
      </c>
      <c r="B705" t="s">
        <v>72</v>
      </c>
      <c r="C705">
        <v>42.619</v>
      </c>
      <c r="D705">
        <v>-120.577</v>
      </c>
      <c r="E705">
        <v>20200908</v>
      </c>
      <c r="G705">
        <v>1000</v>
      </c>
      <c r="H705">
        <v>2</v>
      </c>
      <c r="I705">
        <v>2.105524988</v>
      </c>
      <c r="J705">
        <v>1000</v>
      </c>
      <c r="K705">
        <v>0.29554903160000001</v>
      </c>
    </row>
    <row r="706" spans="1:11" x14ac:dyDescent="0.25">
      <c r="A706">
        <v>-39</v>
      </c>
      <c r="B706" t="s">
        <v>72</v>
      </c>
      <c r="C706">
        <v>42.619</v>
      </c>
      <c r="D706">
        <v>-120.577</v>
      </c>
      <c r="E706">
        <v>20200909</v>
      </c>
      <c r="G706">
        <v>4000</v>
      </c>
      <c r="H706">
        <v>3</v>
      </c>
      <c r="I706">
        <v>2.105524988</v>
      </c>
      <c r="J706">
        <v>3000</v>
      </c>
      <c r="K706">
        <v>0.88664709480000004</v>
      </c>
    </row>
    <row r="707" spans="1:11" x14ac:dyDescent="0.25">
      <c r="A707">
        <v>-39</v>
      </c>
      <c r="B707" t="s">
        <v>72</v>
      </c>
      <c r="C707">
        <v>42.619</v>
      </c>
      <c r="D707">
        <v>-120.577</v>
      </c>
      <c r="E707">
        <v>20200910</v>
      </c>
      <c r="G707">
        <v>6000</v>
      </c>
      <c r="H707">
        <v>4</v>
      </c>
      <c r="I707">
        <v>0.94641188509999996</v>
      </c>
      <c r="J707">
        <v>2000</v>
      </c>
      <c r="K707">
        <v>0.59109806320000002</v>
      </c>
    </row>
    <row r="708" spans="1:11" x14ac:dyDescent="0.25">
      <c r="A708">
        <v>-39</v>
      </c>
      <c r="B708" t="s">
        <v>72</v>
      </c>
      <c r="C708">
        <v>42.619</v>
      </c>
      <c r="D708">
        <v>-120.577</v>
      </c>
      <c r="E708">
        <v>20200911</v>
      </c>
      <c r="G708">
        <v>8000</v>
      </c>
      <c r="H708">
        <v>5</v>
      </c>
      <c r="I708">
        <v>0.79786212649999999</v>
      </c>
      <c r="J708">
        <v>2000</v>
      </c>
      <c r="K708">
        <v>0.59109806320000002</v>
      </c>
    </row>
    <row r="709" spans="1:11" x14ac:dyDescent="0.25">
      <c r="A709">
        <v>-39</v>
      </c>
      <c r="B709" t="s">
        <v>72</v>
      </c>
      <c r="C709">
        <v>42.619</v>
      </c>
      <c r="D709">
        <v>-120.577</v>
      </c>
      <c r="E709">
        <v>20200912</v>
      </c>
      <c r="G709">
        <v>14660</v>
      </c>
      <c r="H709">
        <v>6</v>
      </c>
      <c r="I709">
        <v>2.1063899780000002</v>
      </c>
      <c r="J709">
        <v>6660</v>
      </c>
      <c r="K709">
        <v>1.96835655</v>
      </c>
    </row>
    <row r="710" spans="1:11" x14ac:dyDescent="0.25">
      <c r="A710">
        <v>-39</v>
      </c>
      <c r="B710" t="s">
        <v>72</v>
      </c>
      <c r="C710">
        <v>42.619</v>
      </c>
      <c r="D710">
        <v>-120.577</v>
      </c>
      <c r="E710">
        <v>20200913</v>
      </c>
      <c r="G710">
        <v>30170</v>
      </c>
      <c r="H710">
        <v>7</v>
      </c>
      <c r="I710">
        <v>3.5033504209999999</v>
      </c>
      <c r="J710">
        <v>15510</v>
      </c>
      <c r="K710">
        <v>4.5839654799999998</v>
      </c>
    </row>
    <row r="711" spans="1:11" x14ac:dyDescent="0.25">
      <c r="A711">
        <v>-39</v>
      </c>
      <c r="B711" t="s">
        <v>72</v>
      </c>
      <c r="C711">
        <v>42.619</v>
      </c>
      <c r="D711">
        <v>-120.577</v>
      </c>
      <c r="E711">
        <v>20200914</v>
      </c>
      <c r="G711">
        <v>35296</v>
      </c>
      <c r="H711">
        <v>8</v>
      </c>
      <c r="I711">
        <v>0.9439515342</v>
      </c>
      <c r="J711">
        <v>5126</v>
      </c>
      <c r="K711">
        <v>1.5149843359999999</v>
      </c>
    </row>
    <row r="712" spans="1:11" x14ac:dyDescent="0.25">
      <c r="A712">
        <v>-39</v>
      </c>
      <c r="B712" t="s">
        <v>72</v>
      </c>
      <c r="C712">
        <v>42.619</v>
      </c>
      <c r="D712">
        <v>-120.577</v>
      </c>
      <c r="E712">
        <v>20200915</v>
      </c>
      <c r="G712">
        <v>40316</v>
      </c>
      <c r="H712">
        <v>9</v>
      </c>
      <c r="I712">
        <v>0.85999007770000002</v>
      </c>
      <c r="J712">
        <v>5020</v>
      </c>
      <c r="K712">
        <v>1.483656139</v>
      </c>
    </row>
    <row r="713" spans="1:11" x14ac:dyDescent="0.25">
      <c r="A713">
        <v>-39</v>
      </c>
      <c r="B713" t="s">
        <v>72</v>
      </c>
      <c r="C713">
        <v>42.619</v>
      </c>
      <c r="D713">
        <v>-120.577</v>
      </c>
      <c r="E713">
        <v>20200916</v>
      </c>
      <c r="G713">
        <v>43493</v>
      </c>
      <c r="H713">
        <v>10</v>
      </c>
      <c r="I713">
        <v>0.51676767420000003</v>
      </c>
      <c r="J713">
        <v>3177</v>
      </c>
      <c r="K713">
        <v>0.93895927329999995</v>
      </c>
    </row>
    <row r="714" spans="1:11" x14ac:dyDescent="0.25">
      <c r="A714">
        <v>-39</v>
      </c>
      <c r="B714" t="s">
        <v>72</v>
      </c>
      <c r="C714">
        <v>42.619</v>
      </c>
      <c r="D714">
        <v>-120.577</v>
      </c>
      <c r="E714">
        <v>20200917</v>
      </c>
      <c r="G714">
        <v>44800</v>
      </c>
      <c r="H714">
        <v>11</v>
      </c>
      <c r="I714">
        <v>0.20709506489999999</v>
      </c>
      <c r="J714">
        <v>1307</v>
      </c>
      <c r="K714">
        <v>0.38628258430000001</v>
      </c>
    </row>
    <row r="715" spans="1:11" x14ac:dyDescent="0.25">
      <c r="A715">
        <v>-39</v>
      </c>
      <c r="B715" t="s">
        <v>72</v>
      </c>
      <c r="C715">
        <v>42.619</v>
      </c>
      <c r="D715">
        <v>-120.577</v>
      </c>
      <c r="E715">
        <v>20200918</v>
      </c>
      <c r="G715">
        <v>47243</v>
      </c>
      <c r="H715">
        <v>12</v>
      </c>
      <c r="I715">
        <v>0.37915059350000002</v>
      </c>
      <c r="J715">
        <v>2443</v>
      </c>
      <c r="K715">
        <v>0.72202628420000003</v>
      </c>
    </row>
    <row r="716" spans="1:11" x14ac:dyDescent="0.25">
      <c r="A716">
        <v>-39</v>
      </c>
      <c r="B716" t="s">
        <v>72</v>
      </c>
      <c r="C716">
        <v>42.619</v>
      </c>
      <c r="D716">
        <v>-120.577</v>
      </c>
      <c r="E716">
        <v>20200919</v>
      </c>
      <c r="G716">
        <v>50447</v>
      </c>
      <c r="H716">
        <v>13</v>
      </c>
      <c r="I716">
        <v>0.48269330329999999</v>
      </c>
      <c r="J716">
        <v>3204</v>
      </c>
      <c r="K716">
        <v>0.94693909720000002</v>
      </c>
    </row>
    <row r="717" spans="1:11" x14ac:dyDescent="0.25">
      <c r="A717">
        <v>-39</v>
      </c>
      <c r="B717" t="s">
        <v>72</v>
      </c>
      <c r="C717">
        <v>42.619</v>
      </c>
      <c r="D717">
        <v>-120.577</v>
      </c>
      <c r="E717">
        <v>20200920</v>
      </c>
      <c r="G717">
        <v>50202</v>
      </c>
      <c r="H717">
        <v>14</v>
      </c>
      <c r="I717">
        <v>-3.6358593610000003E-2</v>
      </c>
      <c r="J717">
        <v>-245</v>
      </c>
      <c r="K717">
        <v>-7.2409512740000001E-2</v>
      </c>
    </row>
    <row r="718" spans="1:11" x14ac:dyDescent="0.25">
      <c r="A718">
        <v>-39</v>
      </c>
      <c r="B718" t="s">
        <v>72</v>
      </c>
      <c r="C718">
        <v>42.619</v>
      </c>
      <c r="D718">
        <v>-120.577</v>
      </c>
      <c r="E718">
        <v>20200921</v>
      </c>
      <c r="G718">
        <v>50753</v>
      </c>
      <c r="H718">
        <v>15</v>
      </c>
      <c r="I718">
        <v>8.1645960300000001E-2</v>
      </c>
      <c r="J718">
        <v>551</v>
      </c>
      <c r="K718">
        <v>0.1628475164</v>
      </c>
    </row>
    <row r="720" spans="1:11" x14ac:dyDescent="0.25">
      <c r="A720">
        <v>-40</v>
      </c>
      <c r="B720" t="s">
        <v>73</v>
      </c>
      <c r="C720">
        <v>44.973999999999997</v>
      </c>
      <c r="D720">
        <v>-121.19799999999999</v>
      </c>
      <c r="E720">
        <v>20170808</v>
      </c>
      <c r="G720">
        <v>0</v>
      </c>
      <c r="H720">
        <v>1</v>
      </c>
      <c r="I720">
        <v>0</v>
      </c>
      <c r="J720">
        <v>0</v>
      </c>
      <c r="K720">
        <v>0</v>
      </c>
    </row>
    <row r="721" spans="1:11" x14ac:dyDescent="0.25">
      <c r="A721">
        <v>-40</v>
      </c>
      <c r="B721" t="s">
        <v>73</v>
      </c>
      <c r="C721">
        <v>44.973999999999997</v>
      </c>
      <c r="D721">
        <v>-121.19799999999999</v>
      </c>
      <c r="E721">
        <v>20170809</v>
      </c>
      <c r="G721">
        <v>14000</v>
      </c>
      <c r="H721">
        <v>2</v>
      </c>
      <c r="I721">
        <v>5.4395144369999997</v>
      </c>
      <c r="J721">
        <v>14000</v>
      </c>
      <c r="K721">
        <v>2.465693109</v>
      </c>
    </row>
    <row r="722" spans="1:11" x14ac:dyDescent="0.25">
      <c r="A722">
        <v>-40</v>
      </c>
      <c r="B722" t="s">
        <v>73</v>
      </c>
      <c r="C722">
        <v>44.973999999999997</v>
      </c>
      <c r="D722">
        <v>-121.19799999999999</v>
      </c>
      <c r="E722">
        <v>20170810</v>
      </c>
      <c r="G722">
        <v>20841</v>
      </c>
      <c r="H722">
        <v>3</v>
      </c>
      <c r="I722">
        <v>1.1972345579999999</v>
      </c>
      <c r="J722">
        <v>6841</v>
      </c>
      <c r="K722">
        <v>1.204843326</v>
      </c>
    </row>
    <row r="723" spans="1:11" x14ac:dyDescent="0.25">
      <c r="A723">
        <v>-40</v>
      </c>
      <c r="B723" t="s">
        <v>73</v>
      </c>
      <c r="C723">
        <v>44.973999999999997</v>
      </c>
      <c r="D723">
        <v>-121.19799999999999</v>
      </c>
      <c r="E723">
        <v>20170811</v>
      </c>
      <c r="G723">
        <v>34000</v>
      </c>
      <c r="H723">
        <v>4</v>
      </c>
      <c r="I723">
        <v>1.8401220110000001</v>
      </c>
      <c r="J723">
        <v>13159</v>
      </c>
      <c r="K723">
        <v>2.3175754020000001</v>
      </c>
    </row>
    <row r="724" spans="1:11" x14ac:dyDescent="0.25">
      <c r="A724">
        <v>-40</v>
      </c>
      <c r="B724" t="s">
        <v>73</v>
      </c>
      <c r="C724">
        <v>44.973999999999997</v>
      </c>
      <c r="D724">
        <v>-121.19799999999999</v>
      </c>
      <c r="E724">
        <v>20170812</v>
      </c>
      <c r="G724">
        <v>40000</v>
      </c>
      <c r="H724">
        <v>5</v>
      </c>
      <c r="I724">
        <v>0.71758653500000003</v>
      </c>
      <c r="J724">
        <v>6000</v>
      </c>
      <c r="K724">
        <v>1.056725618</v>
      </c>
    </row>
    <row r="725" spans="1:11" x14ac:dyDescent="0.25">
      <c r="A725">
        <v>-40</v>
      </c>
      <c r="B725" t="s">
        <v>73</v>
      </c>
      <c r="C725">
        <v>44.973999999999997</v>
      </c>
      <c r="D725">
        <v>-121.19799999999999</v>
      </c>
      <c r="E725">
        <v>20170813</v>
      </c>
      <c r="G725">
        <v>40000</v>
      </c>
      <c r="H725">
        <v>6</v>
      </c>
      <c r="I725">
        <v>0</v>
      </c>
      <c r="J725">
        <v>0</v>
      </c>
      <c r="K725">
        <v>0</v>
      </c>
    </row>
    <row r="726" spans="1:11" x14ac:dyDescent="0.25">
      <c r="A726">
        <v>-40</v>
      </c>
      <c r="B726" t="s">
        <v>73</v>
      </c>
      <c r="C726">
        <v>44.973999999999997</v>
      </c>
      <c r="D726">
        <v>-121.19799999999999</v>
      </c>
      <c r="E726">
        <v>20170814</v>
      </c>
      <c r="G726">
        <v>40000</v>
      </c>
      <c r="H726">
        <v>7</v>
      </c>
      <c r="I726">
        <v>0</v>
      </c>
      <c r="J726">
        <v>0</v>
      </c>
      <c r="K726">
        <v>0</v>
      </c>
    </row>
    <row r="727" spans="1:11" x14ac:dyDescent="0.25">
      <c r="A727">
        <v>-40</v>
      </c>
      <c r="B727" t="s">
        <v>73</v>
      </c>
      <c r="C727">
        <v>44.973999999999997</v>
      </c>
      <c r="D727">
        <v>-121.19799999999999</v>
      </c>
      <c r="E727">
        <v>20170815</v>
      </c>
      <c r="G727">
        <v>40000</v>
      </c>
      <c r="H727">
        <v>8</v>
      </c>
      <c r="I727">
        <v>0</v>
      </c>
      <c r="J727">
        <v>0</v>
      </c>
      <c r="K727">
        <v>0</v>
      </c>
    </row>
    <row r="728" spans="1:11" x14ac:dyDescent="0.25">
      <c r="A728">
        <v>-40</v>
      </c>
      <c r="B728" t="s">
        <v>73</v>
      </c>
      <c r="C728">
        <v>44.973999999999997</v>
      </c>
      <c r="D728">
        <v>-121.19799999999999</v>
      </c>
      <c r="E728">
        <v>20170816</v>
      </c>
      <c r="G728">
        <v>39526</v>
      </c>
      <c r="H728">
        <v>9</v>
      </c>
      <c r="I728">
        <v>-5.4639512879999998E-2</v>
      </c>
      <c r="J728">
        <v>-474</v>
      </c>
      <c r="K728">
        <v>-8.3481323839999996E-2</v>
      </c>
    </row>
    <row r="729" spans="1:11" x14ac:dyDescent="0.25">
      <c r="A729">
        <v>-40</v>
      </c>
      <c r="B729" t="s">
        <v>73</v>
      </c>
      <c r="C729">
        <v>44.973999999999997</v>
      </c>
      <c r="D729">
        <v>-121.19799999999999</v>
      </c>
      <c r="E729">
        <v>20170817</v>
      </c>
      <c r="G729">
        <v>46000</v>
      </c>
      <c r="H729">
        <v>10</v>
      </c>
      <c r="I729">
        <v>0.72013921790000002</v>
      </c>
      <c r="J729">
        <v>6474</v>
      </c>
      <c r="K729">
        <v>1.1402069420000001</v>
      </c>
    </row>
    <row r="730" spans="1:11" x14ac:dyDescent="0.25">
      <c r="A730">
        <v>-40</v>
      </c>
      <c r="B730" t="s">
        <v>73</v>
      </c>
      <c r="C730">
        <v>44.973999999999997</v>
      </c>
      <c r="D730">
        <v>-121.19799999999999</v>
      </c>
      <c r="E730">
        <v>20170818</v>
      </c>
      <c r="G730">
        <v>66003</v>
      </c>
      <c r="H730">
        <v>11</v>
      </c>
      <c r="I730">
        <v>1.950805726</v>
      </c>
      <c r="J730">
        <v>20003</v>
      </c>
      <c r="K730">
        <v>3.5229470900000002</v>
      </c>
    </row>
    <row r="731" spans="1:11" x14ac:dyDescent="0.25">
      <c r="A731">
        <v>-40</v>
      </c>
      <c r="B731" t="s">
        <v>73</v>
      </c>
      <c r="C731">
        <v>44.973999999999997</v>
      </c>
      <c r="D731">
        <v>-121.19799999999999</v>
      </c>
      <c r="E731">
        <v>20170819</v>
      </c>
      <c r="G731">
        <v>68135</v>
      </c>
      <c r="H731">
        <v>12</v>
      </c>
      <c r="I731">
        <v>0.1892370287</v>
      </c>
      <c r="J731">
        <v>2132</v>
      </c>
      <c r="K731">
        <v>0.3754898364</v>
      </c>
    </row>
    <row r="733" spans="1:11" x14ac:dyDescent="0.25">
      <c r="A733">
        <v>-41</v>
      </c>
      <c r="B733" t="s">
        <v>74</v>
      </c>
      <c r="C733">
        <v>41.494999999999997</v>
      </c>
      <c r="D733">
        <v>-122.276</v>
      </c>
      <c r="E733">
        <v>20210624</v>
      </c>
      <c r="G733">
        <v>0</v>
      </c>
      <c r="H733">
        <v>1</v>
      </c>
      <c r="I733">
        <v>0</v>
      </c>
      <c r="J733">
        <v>0</v>
      </c>
      <c r="K733">
        <v>0</v>
      </c>
    </row>
    <row r="734" spans="1:11" x14ac:dyDescent="0.25">
      <c r="A734">
        <v>-41</v>
      </c>
      <c r="B734" t="s">
        <v>74</v>
      </c>
      <c r="C734">
        <v>41.494999999999997</v>
      </c>
      <c r="D734">
        <v>-122.276</v>
      </c>
      <c r="E734">
        <v>20210625</v>
      </c>
      <c r="G734">
        <v>0</v>
      </c>
      <c r="H734">
        <v>2</v>
      </c>
      <c r="I734">
        <v>0</v>
      </c>
      <c r="J734">
        <v>0</v>
      </c>
      <c r="K734">
        <v>0</v>
      </c>
    </row>
    <row r="735" spans="1:11" x14ac:dyDescent="0.25">
      <c r="A735">
        <v>-41</v>
      </c>
      <c r="B735" t="s">
        <v>74</v>
      </c>
      <c r="C735">
        <v>41.494999999999997</v>
      </c>
      <c r="D735">
        <v>-122.276</v>
      </c>
      <c r="E735">
        <v>20210626</v>
      </c>
      <c r="G735">
        <v>380</v>
      </c>
      <c r="H735">
        <v>3</v>
      </c>
      <c r="I735">
        <v>2.6436535490000002</v>
      </c>
      <c r="J735">
        <v>380</v>
      </c>
      <c r="K735">
        <v>0.31767745860000002</v>
      </c>
    </row>
    <row r="736" spans="1:11" x14ac:dyDescent="0.25">
      <c r="A736">
        <v>-41</v>
      </c>
      <c r="B736" t="s">
        <v>74</v>
      </c>
      <c r="C736">
        <v>41.494999999999997</v>
      </c>
      <c r="D736">
        <v>-122.276</v>
      </c>
      <c r="E736">
        <v>20210627</v>
      </c>
      <c r="G736">
        <v>812</v>
      </c>
      <c r="H736">
        <v>4</v>
      </c>
      <c r="I736">
        <v>1.2208237150000001</v>
      </c>
      <c r="J736">
        <v>432</v>
      </c>
      <c r="K736">
        <v>0.36114911080000001</v>
      </c>
    </row>
    <row r="737" spans="1:11" x14ac:dyDescent="0.25">
      <c r="A737">
        <v>-41</v>
      </c>
      <c r="B737" t="s">
        <v>74</v>
      </c>
      <c r="C737">
        <v>41.494999999999997</v>
      </c>
      <c r="D737">
        <v>-122.276</v>
      </c>
      <c r="E737">
        <v>20210628</v>
      </c>
      <c r="G737">
        <v>1423</v>
      </c>
      <c r="H737">
        <v>5</v>
      </c>
      <c r="I737">
        <v>1.2513419880000001</v>
      </c>
      <c r="J737">
        <v>611</v>
      </c>
      <c r="K737">
        <v>0.51079191369999999</v>
      </c>
    </row>
    <row r="738" spans="1:11" x14ac:dyDescent="0.25">
      <c r="A738">
        <v>-41</v>
      </c>
      <c r="B738" t="s">
        <v>74</v>
      </c>
      <c r="C738">
        <v>41.494999999999997</v>
      </c>
      <c r="D738">
        <v>-122.276</v>
      </c>
      <c r="E738">
        <v>20210629</v>
      </c>
      <c r="G738">
        <v>13305</v>
      </c>
      <c r="I738">
        <v>10.52718565</v>
      </c>
      <c r="J738">
        <v>11882</v>
      </c>
      <c r="K738">
        <v>9.9332725340000003</v>
      </c>
    </row>
    <row r="739" spans="1:11" x14ac:dyDescent="0.25">
      <c r="A739">
        <v>-41</v>
      </c>
      <c r="B739" t="s">
        <v>74</v>
      </c>
      <c r="C739">
        <v>41.494999999999997</v>
      </c>
      <c r="D739">
        <v>-122.276</v>
      </c>
      <c r="E739">
        <v>20210630</v>
      </c>
      <c r="G739">
        <v>16777</v>
      </c>
      <c r="H739">
        <v>6</v>
      </c>
      <c r="I739">
        <v>1.9228743960000001</v>
      </c>
      <c r="J739">
        <v>3472</v>
      </c>
      <c r="K739">
        <v>2.9025687790000001</v>
      </c>
    </row>
    <row r="740" spans="1:11" x14ac:dyDescent="0.25">
      <c r="A740">
        <v>-41</v>
      </c>
      <c r="B740" t="s">
        <v>74</v>
      </c>
      <c r="C740">
        <v>41.494999999999997</v>
      </c>
      <c r="D740">
        <v>-122.276</v>
      </c>
      <c r="E740">
        <v>20210701</v>
      </c>
      <c r="G740">
        <v>19680</v>
      </c>
      <c r="H740">
        <v>8</v>
      </c>
      <c r="I740">
        <v>1.459148018</v>
      </c>
      <c r="J740">
        <v>2903</v>
      </c>
      <c r="K740">
        <v>2.4268885849999999</v>
      </c>
    </row>
    <row r="741" spans="1:11" x14ac:dyDescent="0.25">
      <c r="A741">
        <v>-41</v>
      </c>
      <c r="B741" t="s">
        <v>74</v>
      </c>
      <c r="C741">
        <v>41.494999999999997</v>
      </c>
      <c r="D741">
        <v>-122.276</v>
      </c>
      <c r="E741">
        <v>20210702</v>
      </c>
      <c r="G741">
        <v>23750</v>
      </c>
      <c r="H741">
        <v>9</v>
      </c>
      <c r="I741">
        <v>1.8748890840000001</v>
      </c>
      <c r="J741">
        <v>4070</v>
      </c>
      <c r="K741">
        <v>3.4024927800000002</v>
      </c>
    </row>
    <row r="742" spans="1:11" x14ac:dyDescent="0.25">
      <c r="A742">
        <v>-41</v>
      </c>
      <c r="B742" t="s">
        <v>74</v>
      </c>
      <c r="C742">
        <v>41.494999999999997</v>
      </c>
      <c r="D742">
        <v>-122.276</v>
      </c>
      <c r="E742">
        <v>20210703</v>
      </c>
      <c r="G742">
        <v>24460</v>
      </c>
      <c r="H742">
        <v>10</v>
      </c>
      <c r="I742">
        <v>0.31009824079999998</v>
      </c>
      <c r="J742">
        <v>710</v>
      </c>
      <c r="K742">
        <v>0.5935552516</v>
      </c>
    </row>
    <row r="743" spans="1:11" x14ac:dyDescent="0.25">
      <c r="A743">
        <v>-41</v>
      </c>
      <c r="B743" t="s">
        <v>74</v>
      </c>
      <c r="C743">
        <v>41.494999999999997</v>
      </c>
      <c r="D743">
        <v>-122.276</v>
      </c>
      <c r="E743">
        <v>20210704</v>
      </c>
      <c r="G743">
        <v>24752</v>
      </c>
      <c r="H743">
        <v>11</v>
      </c>
      <c r="I743">
        <v>0.12622547079999999</v>
      </c>
      <c r="J743">
        <v>292</v>
      </c>
      <c r="K743">
        <v>0.2441100471</v>
      </c>
    </row>
    <row r="744" spans="1:11" x14ac:dyDescent="0.25">
      <c r="A744">
        <v>-41</v>
      </c>
      <c r="B744" t="s">
        <v>74</v>
      </c>
      <c r="C744">
        <v>41.494999999999997</v>
      </c>
      <c r="D744">
        <v>-122.276</v>
      </c>
      <c r="E744">
        <v>20210705</v>
      </c>
      <c r="G744">
        <v>24974</v>
      </c>
      <c r="H744">
        <v>12</v>
      </c>
      <c r="I744">
        <v>9.5468486549999995E-2</v>
      </c>
      <c r="J744">
        <v>222</v>
      </c>
      <c r="K744">
        <v>0.18559051530000001</v>
      </c>
    </row>
    <row r="745" spans="1:11" x14ac:dyDescent="0.25">
      <c r="A745">
        <v>-41</v>
      </c>
      <c r="B745" t="s">
        <v>74</v>
      </c>
      <c r="C745">
        <v>41.494999999999997</v>
      </c>
      <c r="D745">
        <v>-122.276</v>
      </c>
      <c r="E745">
        <v>20210706</v>
      </c>
      <c r="G745">
        <v>24993</v>
      </c>
      <c r="H745">
        <v>13</v>
      </c>
      <c r="I745">
        <v>8.1509778930000006E-3</v>
      </c>
      <c r="J745">
        <v>19</v>
      </c>
      <c r="K745">
        <v>1.5883872930000001E-2</v>
      </c>
    </row>
    <row r="746" spans="1:11" x14ac:dyDescent="0.25">
      <c r="A746">
        <v>-41</v>
      </c>
      <c r="B746" t="s">
        <v>74</v>
      </c>
      <c r="C746">
        <v>41.494999999999997</v>
      </c>
      <c r="D746">
        <v>-122.276</v>
      </c>
      <c r="E746">
        <v>20210707</v>
      </c>
      <c r="G746">
        <v>25001</v>
      </c>
      <c r="H746">
        <v>14</v>
      </c>
      <c r="I746">
        <v>3.4310637669999998E-3</v>
      </c>
      <c r="J746">
        <v>8</v>
      </c>
      <c r="K746">
        <v>6.6879464959999999E-3</v>
      </c>
    </row>
    <row r="747" spans="1:11" x14ac:dyDescent="0.25">
      <c r="A747">
        <v>-41</v>
      </c>
      <c r="B747" t="s">
        <v>74</v>
      </c>
      <c r="C747">
        <v>41.494999999999997</v>
      </c>
      <c r="D747">
        <v>-122.276</v>
      </c>
      <c r="E747">
        <v>20210708</v>
      </c>
      <c r="G747">
        <v>25109</v>
      </c>
      <c r="H747">
        <v>15</v>
      </c>
      <c r="I747">
        <v>4.6265743999999998E-2</v>
      </c>
      <c r="J747">
        <v>108</v>
      </c>
      <c r="K747">
        <v>9.0287277700000002E-2</v>
      </c>
    </row>
    <row r="748" spans="1:11" x14ac:dyDescent="0.25">
      <c r="A748">
        <v>-41</v>
      </c>
      <c r="B748" t="s">
        <v>74</v>
      </c>
      <c r="C748">
        <v>41.494999999999997</v>
      </c>
      <c r="D748">
        <v>-122.276</v>
      </c>
      <c r="E748">
        <v>20210709</v>
      </c>
      <c r="G748">
        <v>25164</v>
      </c>
      <c r="H748">
        <v>16</v>
      </c>
      <c r="I748">
        <v>2.352302107E-2</v>
      </c>
      <c r="J748">
        <v>55</v>
      </c>
      <c r="K748">
        <v>4.5979632159999999E-2</v>
      </c>
    </row>
    <row r="749" spans="1:11" x14ac:dyDescent="0.25">
      <c r="A749">
        <v>-41</v>
      </c>
      <c r="B749" t="s">
        <v>74</v>
      </c>
      <c r="C749">
        <v>41.494999999999997</v>
      </c>
      <c r="D749">
        <v>-122.276</v>
      </c>
      <c r="E749">
        <v>20210710</v>
      </c>
      <c r="G749">
        <v>25409</v>
      </c>
      <c r="H749">
        <v>17</v>
      </c>
      <c r="I749">
        <v>0.10447340369999999</v>
      </c>
      <c r="J749">
        <v>245</v>
      </c>
      <c r="K749">
        <v>0.20481836149999999</v>
      </c>
    </row>
    <row r="750" spans="1:11" x14ac:dyDescent="0.25">
      <c r="A750">
        <v>-41</v>
      </c>
      <c r="B750" t="s">
        <v>74</v>
      </c>
      <c r="C750">
        <v>41.494999999999997</v>
      </c>
      <c r="D750">
        <v>-122.276</v>
      </c>
      <c r="E750">
        <v>20210711</v>
      </c>
      <c r="G750">
        <v>26162</v>
      </c>
      <c r="H750">
        <v>18</v>
      </c>
      <c r="I750">
        <v>0.31798125459999999</v>
      </c>
      <c r="J750">
        <v>753</v>
      </c>
      <c r="K750">
        <v>0.62950296400000005</v>
      </c>
    </row>
    <row r="751" spans="1:11" x14ac:dyDescent="0.25">
      <c r="A751">
        <v>-41</v>
      </c>
      <c r="B751" t="s">
        <v>74</v>
      </c>
      <c r="C751">
        <v>41.494999999999997</v>
      </c>
      <c r="D751">
        <v>-122.276</v>
      </c>
      <c r="E751">
        <v>20210712</v>
      </c>
      <c r="G751">
        <v>26203</v>
      </c>
      <c r="H751">
        <v>19</v>
      </c>
      <c r="I751">
        <v>1.7181500150000001E-2</v>
      </c>
      <c r="J751">
        <v>41</v>
      </c>
      <c r="K751">
        <v>3.4275725790000003E-2</v>
      </c>
    </row>
    <row r="752" spans="1:11" x14ac:dyDescent="0.25">
      <c r="A752">
        <v>-41</v>
      </c>
      <c r="B752" t="s">
        <v>74</v>
      </c>
      <c r="C752">
        <v>41.494999999999997</v>
      </c>
      <c r="D752">
        <v>-122.276</v>
      </c>
      <c r="E752">
        <v>20210713</v>
      </c>
      <c r="G752">
        <v>26203</v>
      </c>
      <c r="H752">
        <v>20</v>
      </c>
      <c r="I752">
        <v>0</v>
      </c>
      <c r="J752">
        <v>0</v>
      </c>
      <c r="K752">
        <v>0</v>
      </c>
    </row>
    <row r="753" spans="1:11" x14ac:dyDescent="0.25">
      <c r="A753">
        <v>-41</v>
      </c>
      <c r="B753" t="s">
        <v>74</v>
      </c>
      <c r="C753">
        <v>41.494999999999997</v>
      </c>
      <c r="D753">
        <v>-122.276</v>
      </c>
      <c r="E753">
        <v>20210714</v>
      </c>
      <c r="G753">
        <v>26300</v>
      </c>
      <c r="H753">
        <v>21</v>
      </c>
      <c r="I753">
        <v>4.0595472809999998E-2</v>
      </c>
      <c r="J753">
        <v>97</v>
      </c>
      <c r="K753">
        <v>8.1091351270000001E-2</v>
      </c>
    </row>
    <row r="754" spans="1:11" x14ac:dyDescent="0.25">
      <c r="A754">
        <v>-41</v>
      </c>
      <c r="B754" t="s">
        <v>74</v>
      </c>
      <c r="C754">
        <v>41.494999999999997</v>
      </c>
      <c r="D754">
        <v>-122.276</v>
      </c>
      <c r="E754">
        <v>20210715</v>
      </c>
      <c r="G754">
        <v>26316</v>
      </c>
      <c r="H754">
        <v>22</v>
      </c>
      <c r="I754">
        <v>6.6889633649999999E-3</v>
      </c>
      <c r="J754">
        <v>16</v>
      </c>
      <c r="K754">
        <v>1.3375892990000001E-2</v>
      </c>
    </row>
    <row r="756" spans="1:11" x14ac:dyDescent="0.25">
      <c r="A756">
        <v>-42</v>
      </c>
      <c r="B756" t="s">
        <v>75</v>
      </c>
      <c r="C756">
        <v>40.957000000000001</v>
      </c>
      <c r="D756">
        <v>-106.505</v>
      </c>
      <c r="E756">
        <v>20160619</v>
      </c>
      <c r="G756">
        <v>500</v>
      </c>
      <c r="H756">
        <v>1</v>
      </c>
      <c r="I756">
        <v>10.383501219999999</v>
      </c>
      <c r="J756">
        <v>500</v>
      </c>
      <c r="K756" t="s">
        <v>76</v>
      </c>
    </row>
    <row r="757" spans="1:11" x14ac:dyDescent="0.25">
      <c r="A757">
        <v>-42</v>
      </c>
      <c r="B757" t="s">
        <v>75</v>
      </c>
      <c r="C757">
        <v>40.957000000000001</v>
      </c>
      <c r="D757">
        <v>-106.505</v>
      </c>
      <c r="E757">
        <v>20160620</v>
      </c>
      <c r="G757">
        <v>500</v>
      </c>
      <c r="H757">
        <v>2</v>
      </c>
      <c r="I757">
        <v>0</v>
      </c>
      <c r="J757">
        <v>0</v>
      </c>
      <c r="K757">
        <v>1.184803271</v>
      </c>
    </row>
    <row r="758" spans="1:11" x14ac:dyDescent="0.25">
      <c r="A758">
        <v>-42</v>
      </c>
      <c r="B758" t="s">
        <v>75</v>
      </c>
      <c r="C758">
        <v>40.957000000000001</v>
      </c>
      <c r="D758">
        <v>-106.505</v>
      </c>
      <c r="E758">
        <v>20160621</v>
      </c>
      <c r="G758">
        <v>3744</v>
      </c>
      <c r="H758">
        <v>3</v>
      </c>
      <c r="I758">
        <v>18.03012979</v>
      </c>
      <c r="J758">
        <v>3244</v>
      </c>
      <c r="K758">
        <v>0</v>
      </c>
    </row>
    <row r="759" spans="1:11" x14ac:dyDescent="0.25">
      <c r="A759">
        <v>-42</v>
      </c>
      <c r="B759" t="s">
        <v>75</v>
      </c>
      <c r="C759">
        <v>40.957000000000001</v>
      </c>
      <c r="D759">
        <v>-106.505</v>
      </c>
      <c r="E759">
        <v>20160622</v>
      </c>
      <c r="G759">
        <v>5366</v>
      </c>
      <c r="H759">
        <v>4</v>
      </c>
      <c r="I759">
        <v>5.6024400730000004</v>
      </c>
      <c r="J759">
        <v>1622</v>
      </c>
      <c r="K759">
        <v>7.6870036199999996</v>
      </c>
    </row>
    <row r="760" spans="1:11" x14ac:dyDescent="0.25">
      <c r="A760">
        <v>-42</v>
      </c>
      <c r="B760" t="s">
        <v>75</v>
      </c>
      <c r="C760">
        <v>40.957000000000001</v>
      </c>
      <c r="D760">
        <v>-106.505</v>
      </c>
      <c r="E760">
        <v>20160623</v>
      </c>
      <c r="G760">
        <v>5482</v>
      </c>
      <c r="H760">
        <v>5</v>
      </c>
      <c r="I760">
        <v>0.36570691890000001</v>
      </c>
      <c r="J760">
        <v>116</v>
      </c>
      <c r="K760">
        <v>3.8435018099999998</v>
      </c>
    </row>
    <row r="761" spans="1:11" x14ac:dyDescent="0.25">
      <c r="A761">
        <v>-42</v>
      </c>
      <c r="B761" t="s">
        <v>75</v>
      </c>
      <c r="C761">
        <v>40.957000000000001</v>
      </c>
      <c r="D761">
        <v>-106.505</v>
      </c>
      <c r="E761">
        <v>20160624</v>
      </c>
      <c r="G761">
        <v>5843</v>
      </c>
      <c r="H761">
        <v>6</v>
      </c>
      <c r="I761">
        <v>1.1140048890000001</v>
      </c>
      <c r="J761">
        <v>361</v>
      </c>
      <c r="K761">
        <v>0.2748743588</v>
      </c>
    </row>
    <row r="762" spans="1:11" x14ac:dyDescent="0.25">
      <c r="A762">
        <v>-42</v>
      </c>
      <c r="B762" t="s">
        <v>75</v>
      </c>
      <c r="C762">
        <v>40.957000000000001</v>
      </c>
      <c r="D762">
        <v>-106.505</v>
      </c>
      <c r="E762">
        <v>20160625</v>
      </c>
      <c r="G762">
        <v>6235</v>
      </c>
      <c r="H762">
        <v>7</v>
      </c>
      <c r="I762">
        <v>1.1713578149999999</v>
      </c>
      <c r="J762">
        <v>392</v>
      </c>
      <c r="K762">
        <v>0.85542796139999999</v>
      </c>
    </row>
    <row r="763" spans="1:11" x14ac:dyDescent="0.25">
      <c r="A763">
        <v>-42</v>
      </c>
      <c r="B763" t="s">
        <v>75</v>
      </c>
      <c r="C763">
        <v>40.957000000000001</v>
      </c>
      <c r="D763">
        <v>-106.505</v>
      </c>
      <c r="E763">
        <v>20160626</v>
      </c>
      <c r="G763">
        <v>6235</v>
      </c>
      <c r="H763">
        <v>8</v>
      </c>
      <c r="I763">
        <v>0</v>
      </c>
      <c r="J763">
        <v>0</v>
      </c>
      <c r="K763">
        <v>0.92888576410000001</v>
      </c>
    </row>
    <row r="764" spans="1:11" x14ac:dyDescent="0.25">
      <c r="A764">
        <v>-42</v>
      </c>
      <c r="B764" t="s">
        <v>75</v>
      </c>
      <c r="C764">
        <v>40.957000000000001</v>
      </c>
      <c r="D764">
        <v>-106.505</v>
      </c>
      <c r="E764">
        <v>20160627</v>
      </c>
      <c r="G764">
        <v>9114</v>
      </c>
      <c r="H764">
        <v>9</v>
      </c>
      <c r="I764">
        <v>7.6644513669999998</v>
      </c>
      <c r="J764">
        <v>2879</v>
      </c>
      <c r="K764">
        <v>0</v>
      </c>
    </row>
    <row r="765" spans="1:11" x14ac:dyDescent="0.25">
      <c r="A765">
        <v>-42</v>
      </c>
      <c r="B765" t="s">
        <v>75</v>
      </c>
      <c r="C765">
        <v>40.957000000000001</v>
      </c>
      <c r="D765">
        <v>-106.505</v>
      </c>
      <c r="E765">
        <v>20160628</v>
      </c>
      <c r="G765">
        <v>11776</v>
      </c>
      <c r="H765">
        <v>10</v>
      </c>
      <c r="I765">
        <v>6.0599576500000003</v>
      </c>
      <c r="J765">
        <v>2662</v>
      </c>
      <c r="K765">
        <v>6.822097232</v>
      </c>
    </row>
    <row r="766" spans="1:11" x14ac:dyDescent="0.25">
      <c r="A766">
        <v>-42</v>
      </c>
      <c r="B766" t="s">
        <v>75</v>
      </c>
      <c r="C766">
        <v>40.957000000000001</v>
      </c>
      <c r="D766">
        <v>-106.505</v>
      </c>
      <c r="E766">
        <v>20160629</v>
      </c>
      <c r="G766">
        <v>13275</v>
      </c>
      <c r="H766">
        <v>11</v>
      </c>
      <c r="I766">
        <v>3.11119733</v>
      </c>
      <c r="J766">
        <v>1499</v>
      </c>
      <c r="K766">
        <v>6.3078926129999999</v>
      </c>
    </row>
    <row r="767" spans="1:11" x14ac:dyDescent="0.25">
      <c r="A767">
        <v>-42</v>
      </c>
      <c r="B767" t="s">
        <v>75</v>
      </c>
      <c r="C767">
        <v>40.957000000000001</v>
      </c>
      <c r="D767">
        <v>-106.505</v>
      </c>
      <c r="E767">
        <v>20160630</v>
      </c>
      <c r="G767">
        <v>13275</v>
      </c>
      <c r="H767">
        <v>12</v>
      </c>
      <c r="I767">
        <v>0</v>
      </c>
      <c r="J767">
        <v>0</v>
      </c>
      <c r="K767">
        <v>3.552040205</v>
      </c>
    </row>
    <row r="768" spans="1:11" x14ac:dyDescent="0.25">
      <c r="A768">
        <v>-42</v>
      </c>
      <c r="B768" t="s">
        <v>75</v>
      </c>
      <c r="C768">
        <v>40.957000000000001</v>
      </c>
      <c r="D768">
        <v>-106.505</v>
      </c>
      <c r="E768">
        <v>20160701</v>
      </c>
      <c r="G768">
        <v>13275</v>
      </c>
      <c r="H768">
        <v>13</v>
      </c>
      <c r="I768">
        <v>0</v>
      </c>
      <c r="J768">
        <v>0</v>
      </c>
      <c r="K768">
        <v>0</v>
      </c>
    </row>
    <row r="769" spans="1:11" x14ac:dyDescent="0.25">
      <c r="A769">
        <v>-42</v>
      </c>
      <c r="B769" t="s">
        <v>75</v>
      </c>
      <c r="C769">
        <v>40.957000000000001</v>
      </c>
      <c r="D769">
        <v>-106.505</v>
      </c>
      <c r="E769">
        <v>20160702</v>
      </c>
      <c r="G769">
        <v>13275</v>
      </c>
      <c r="H769">
        <v>14</v>
      </c>
      <c r="I769">
        <v>0</v>
      </c>
      <c r="J769">
        <v>0</v>
      </c>
      <c r="K769">
        <v>0</v>
      </c>
    </row>
    <row r="770" spans="1:11" x14ac:dyDescent="0.25">
      <c r="A770">
        <v>-42</v>
      </c>
      <c r="B770" t="s">
        <v>75</v>
      </c>
      <c r="C770">
        <v>40.957000000000001</v>
      </c>
      <c r="D770">
        <v>-106.505</v>
      </c>
      <c r="E770">
        <v>20160703</v>
      </c>
      <c r="G770">
        <v>13275</v>
      </c>
      <c r="H770">
        <v>15</v>
      </c>
      <c r="I770">
        <v>0</v>
      </c>
      <c r="J770">
        <v>0</v>
      </c>
      <c r="K770">
        <v>0</v>
      </c>
    </row>
    <row r="771" spans="1:11" x14ac:dyDescent="0.25">
      <c r="A771">
        <v>-42</v>
      </c>
      <c r="B771" t="s">
        <v>75</v>
      </c>
      <c r="C771">
        <v>40.957000000000001</v>
      </c>
      <c r="D771">
        <v>-106.505</v>
      </c>
      <c r="E771">
        <v>20160704</v>
      </c>
      <c r="G771">
        <v>13275</v>
      </c>
      <c r="H771">
        <v>16</v>
      </c>
      <c r="I771">
        <v>0</v>
      </c>
      <c r="J771">
        <v>0</v>
      </c>
      <c r="K771">
        <v>0</v>
      </c>
    </row>
    <row r="772" spans="1:11" x14ac:dyDescent="0.25">
      <c r="A772">
        <v>-42</v>
      </c>
      <c r="B772" t="s">
        <v>75</v>
      </c>
      <c r="C772">
        <v>40.957000000000001</v>
      </c>
      <c r="D772">
        <v>-106.505</v>
      </c>
      <c r="E772">
        <v>20160705</v>
      </c>
      <c r="G772">
        <v>13275</v>
      </c>
      <c r="H772">
        <v>17</v>
      </c>
      <c r="I772">
        <v>0</v>
      </c>
      <c r="J772">
        <v>0</v>
      </c>
      <c r="K772">
        <v>0</v>
      </c>
    </row>
    <row r="773" spans="1:11" x14ac:dyDescent="0.25">
      <c r="A773">
        <v>-42</v>
      </c>
      <c r="B773" t="s">
        <v>75</v>
      </c>
      <c r="C773">
        <v>40.957000000000001</v>
      </c>
      <c r="D773">
        <v>-106.505</v>
      </c>
      <c r="E773">
        <v>20160706</v>
      </c>
      <c r="G773">
        <v>13640</v>
      </c>
      <c r="H773">
        <v>18</v>
      </c>
      <c r="I773">
        <v>0.73054920940000001</v>
      </c>
      <c r="J773">
        <v>365</v>
      </c>
      <c r="K773">
        <v>0</v>
      </c>
    </row>
    <row r="774" spans="1:11" x14ac:dyDescent="0.25">
      <c r="A774">
        <v>-42</v>
      </c>
      <c r="B774" t="s">
        <v>75</v>
      </c>
      <c r="C774">
        <v>40.957000000000001</v>
      </c>
      <c r="D774">
        <v>-106.505</v>
      </c>
      <c r="E774">
        <v>20160707</v>
      </c>
      <c r="G774">
        <v>13642</v>
      </c>
      <c r="H774">
        <v>19</v>
      </c>
      <c r="I774">
        <v>3.9759023740000001E-3</v>
      </c>
      <c r="J774">
        <v>2</v>
      </c>
      <c r="K774">
        <v>0.86490638750000004</v>
      </c>
    </row>
    <row r="775" spans="1:11" x14ac:dyDescent="0.25">
      <c r="A775">
        <v>-42</v>
      </c>
      <c r="B775" t="s">
        <v>75</v>
      </c>
      <c r="C775">
        <v>40.957000000000001</v>
      </c>
      <c r="D775">
        <v>-106.505</v>
      </c>
      <c r="E775">
        <v>20160708</v>
      </c>
      <c r="G775">
        <v>13642</v>
      </c>
      <c r="H775">
        <v>20</v>
      </c>
      <c r="I775">
        <v>0</v>
      </c>
      <c r="J775">
        <v>0</v>
      </c>
      <c r="K775">
        <v>4.7392130819999996E-3</v>
      </c>
    </row>
    <row r="776" spans="1:11" x14ac:dyDescent="0.25">
      <c r="A776">
        <v>-42</v>
      </c>
      <c r="B776" t="s">
        <v>75</v>
      </c>
      <c r="C776">
        <v>40.957000000000001</v>
      </c>
      <c r="D776">
        <v>-106.505</v>
      </c>
      <c r="E776">
        <v>20160709</v>
      </c>
      <c r="G776">
        <v>15323</v>
      </c>
      <c r="H776">
        <v>21</v>
      </c>
      <c r="I776">
        <v>3.2445751789999999</v>
      </c>
      <c r="J776">
        <v>1681</v>
      </c>
      <c r="K776">
        <v>0</v>
      </c>
    </row>
    <row r="777" spans="1:11" x14ac:dyDescent="0.25">
      <c r="A777">
        <v>-42</v>
      </c>
      <c r="B777" t="s">
        <v>75</v>
      </c>
      <c r="C777">
        <v>40.957000000000001</v>
      </c>
      <c r="D777">
        <v>-106.505</v>
      </c>
      <c r="E777">
        <v>20160710</v>
      </c>
      <c r="G777">
        <v>18787</v>
      </c>
      <c r="H777">
        <v>22</v>
      </c>
      <c r="I777">
        <v>6.1665589709999997</v>
      </c>
      <c r="J777">
        <v>3464</v>
      </c>
      <c r="K777">
        <v>3.9833085960000001</v>
      </c>
    </row>
    <row r="778" spans="1:11" x14ac:dyDescent="0.25">
      <c r="A778">
        <v>-42</v>
      </c>
      <c r="B778" t="s">
        <v>75</v>
      </c>
      <c r="C778">
        <v>40.957000000000001</v>
      </c>
      <c r="D778">
        <v>-106.505</v>
      </c>
      <c r="E778">
        <v>20160711</v>
      </c>
      <c r="G778">
        <v>19464</v>
      </c>
      <c r="H778">
        <v>23</v>
      </c>
      <c r="I778">
        <v>1.136653511</v>
      </c>
      <c r="J778">
        <v>677</v>
      </c>
      <c r="K778">
        <v>8.2083170590000005</v>
      </c>
    </row>
    <row r="779" spans="1:11" x14ac:dyDescent="0.25">
      <c r="A779">
        <v>-42</v>
      </c>
      <c r="B779" t="s">
        <v>75</v>
      </c>
      <c r="C779">
        <v>40.957000000000001</v>
      </c>
      <c r="D779">
        <v>-106.505</v>
      </c>
      <c r="E779">
        <v>20160712</v>
      </c>
      <c r="G779">
        <v>20107</v>
      </c>
      <c r="H779">
        <v>24</v>
      </c>
      <c r="I779">
        <v>1.06140374</v>
      </c>
      <c r="J779">
        <v>643</v>
      </c>
      <c r="K779">
        <v>1.604223628</v>
      </c>
    </row>
    <row r="780" spans="1:11" x14ac:dyDescent="0.25">
      <c r="A780">
        <v>-42</v>
      </c>
      <c r="B780" t="s">
        <v>75</v>
      </c>
      <c r="C780">
        <v>40.957000000000001</v>
      </c>
      <c r="D780">
        <v>-106.505</v>
      </c>
      <c r="E780">
        <v>20160713</v>
      </c>
      <c r="G780">
        <v>20981</v>
      </c>
      <c r="H780">
        <v>25</v>
      </c>
      <c r="I780">
        <v>1.415866536</v>
      </c>
      <c r="J780">
        <v>874</v>
      </c>
      <c r="K780">
        <v>1.5236570060000001</v>
      </c>
    </row>
    <row r="781" spans="1:11" x14ac:dyDescent="0.25">
      <c r="A781">
        <v>-42</v>
      </c>
      <c r="B781" t="s">
        <v>75</v>
      </c>
      <c r="C781">
        <v>40.957000000000001</v>
      </c>
      <c r="D781">
        <v>-106.505</v>
      </c>
      <c r="E781">
        <v>20160714</v>
      </c>
      <c r="G781">
        <v>21878</v>
      </c>
      <c r="H781">
        <v>26</v>
      </c>
      <c r="I781">
        <v>1.4227841800000001</v>
      </c>
      <c r="J781">
        <v>897</v>
      </c>
      <c r="K781">
        <v>2.0710361169999998</v>
      </c>
    </row>
    <row r="782" spans="1:11" x14ac:dyDescent="0.25">
      <c r="A782">
        <v>-42</v>
      </c>
      <c r="B782" t="s">
        <v>75</v>
      </c>
      <c r="C782">
        <v>40.957000000000001</v>
      </c>
      <c r="D782">
        <v>-106.505</v>
      </c>
      <c r="E782">
        <v>20160715</v>
      </c>
      <c r="G782">
        <v>22294</v>
      </c>
      <c r="H782">
        <v>27</v>
      </c>
      <c r="I782">
        <v>0.64993276609999995</v>
      </c>
      <c r="J782">
        <v>416</v>
      </c>
      <c r="K782">
        <v>2.1255370669999998</v>
      </c>
    </row>
    <row r="783" spans="1:11" x14ac:dyDescent="0.25">
      <c r="A783">
        <v>-42</v>
      </c>
      <c r="B783" t="s">
        <v>75</v>
      </c>
      <c r="C783">
        <v>40.957000000000001</v>
      </c>
      <c r="D783">
        <v>-106.505</v>
      </c>
      <c r="E783">
        <v>20160716</v>
      </c>
      <c r="G783">
        <v>22885</v>
      </c>
      <c r="H783">
        <v>28</v>
      </c>
      <c r="I783">
        <v>0.91300316370000001</v>
      </c>
      <c r="J783">
        <v>591</v>
      </c>
      <c r="K783">
        <v>0.9857563211</v>
      </c>
    </row>
    <row r="784" spans="1:11" x14ac:dyDescent="0.25">
      <c r="A784">
        <v>-42</v>
      </c>
      <c r="B784" t="s">
        <v>75</v>
      </c>
      <c r="C784">
        <v>40.957000000000001</v>
      </c>
      <c r="D784">
        <v>-106.505</v>
      </c>
      <c r="E784">
        <v>20160717</v>
      </c>
      <c r="G784">
        <v>24798</v>
      </c>
      <c r="H784">
        <v>29</v>
      </c>
      <c r="I784">
        <v>2.8771627729999998</v>
      </c>
      <c r="J784">
        <v>1913</v>
      </c>
      <c r="K784">
        <v>1.4004374660000001</v>
      </c>
    </row>
    <row r="785" spans="1:11" x14ac:dyDescent="0.25">
      <c r="A785">
        <v>-42</v>
      </c>
      <c r="B785" t="s">
        <v>75</v>
      </c>
      <c r="C785">
        <v>40.957000000000001</v>
      </c>
      <c r="D785">
        <v>-106.505</v>
      </c>
      <c r="E785">
        <v>20160718</v>
      </c>
      <c r="G785">
        <v>24798</v>
      </c>
      <c r="H785">
        <v>30</v>
      </c>
      <c r="I785">
        <v>0</v>
      </c>
      <c r="J785">
        <v>0</v>
      </c>
      <c r="K785">
        <v>4.5330573129999996</v>
      </c>
    </row>
    <row r="786" spans="1:11" x14ac:dyDescent="0.25">
      <c r="A786">
        <v>-42</v>
      </c>
      <c r="B786" t="s">
        <v>75</v>
      </c>
      <c r="C786">
        <v>40.957000000000001</v>
      </c>
      <c r="D786">
        <v>-106.505</v>
      </c>
      <c r="E786">
        <v>20160719</v>
      </c>
      <c r="G786">
        <v>25431</v>
      </c>
      <c r="H786">
        <v>31</v>
      </c>
      <c r="I786">
        <v>0.92742518340000002</v>
      </c>
      <c r="J786">
        <v>633</v>
      </c>
      <c r="K786">
        <v>0</v>
      </c>
    </row>
    <row r="787" spans="1:11" x14ac:dyDescent="0.25">
      <c r="A787">
        <v>-42</v>
      </c>
      <c r="B787" t="s">
        <v>75</v>
      </c>
      <c r="C787">
        <v>40.957000000000001</v>
      </c>
      <c r="D787">
        <v>-106.505</v>
      </c>
      <c r="E787">
        <v>20160720</v>
      </c>
      <c r="G787">
        <v>25362</v>
      </c>
      <c r="H787">
        <v>32</v>
      </c>
      <c r="I787">
        <v>-0.10052893390000001</v>
      </c>
      <c r="J787">
        <v>-69</v>
      </c>
      <c r="K787">
        <v>1.4999609410000001</v>
      </c>
    </row>
    <row r="788" spans="1:11" x14ac:dyDescent="0.25">
      <c r="A788">
        <v>-42</v>
      </c>
      <c r="B788" t="s">
        <v>75</v>
      </c>
      <c r="C788">
        <v>40.957000000000001</v>
      </c>
      <c r="D788">
        <v>-106.505</v>
      </c>
      <c r="E788">
        <v>20160721</v>
      </c>
      <c r="G788">
        <v>25491</v>
      </c>
      <c r="H788">
        <v>33</v>
      </c>
      <c r="I788">
        <v>0.18783459750000001</v>
      </c>
      <c r="J788">
        <v>129</v>
      </c>
      <c r="K788">
        <v>-0.1635028513</v>
      </c>
    </row>
    <row r="789" spans="1:11" x14ac:dyDescent="0.25">
      <c r="A789">
        <v>-42</v>
      </c>
      <c r="B789" t="s">
        <v>75</v>
      </c>
      <c r="C789">
        <v>40.957000000000001</v>
      </c>
      <c r="D789">
        <v>-106.505</v>
      </c>
      <c r="E789">
        <v>20160722</v>
      </c>
      <c r="G789">
        <v>25491</v>
      </c>
      <c r="H789">
        <v>34</v>
      </c>
      <c r="I789">
        <v>0</v>
      </c>
      <c r="J789">
        <v>0</v>
      </c>
      <c r="K789">
        <v>0.3056792438</v>
      </c>
    </row>
    <row r="790" spans="1:11" x14ac:dyDescent="0.25">
      <c r="A790">
        <v>-42</v>
      </c>
      <c r="B790" t="s">
        <v>75</v>
      </c>
      <c r="C790">
        <v>40.957000000000001</v>
      </c>
      <c r="D790">
        <v>-106.505</v>
      </c>
      <c r="E790">
        <v>20160723</v>
      </c>
      <c r="G790">
        <v>25687</v>
      </c>
      <c r="H790">
        <v>35</v>
      </c>
      <c r="I790">
        <v>0.28448477639999997</v>
      </c>
      <c r="J790">
        <v>196</v>
      </c>
      <c r="K790">
        <v>0</v>
      </c>
    </row>
    <row r="791" spans="1:11" x14ac:dyDescent="0.25">
      <c r="A791">
        <v>-42</v>
      </c>
      <c r="B791" t="s">
        <v>75</v>
      </c>
      <c r="C791">
        <v>40.957000000000001</v>
      </c>
      <c r="D791">
        <v>-106.505</v>
      </c>
      <c r="E791">
        <v>20160724</v>
      </c>
      <c r="G791">
        <v>25877</v>
      </c>
      <c r="H791">
        <v>36</v>
      </c>
      <c r="I791">
        <v>0.27474187420000001</v>
      </c>
      <c r="J791">
        <v>190</v>
      </c>
      <c r="K791">
        <v>0.46444288210000001</v>
      </c>
    </row>
    <row r="792" spans="1:11" x14ac:dyDescent="0.25">
      <c r="A792">
        <v>-42</v>
      </c>
      <c r="B792" t="s">
        <v>75</v>
      </c>
      <c r="C792">
        <v>40.957000000000001</v>
      </c>
      <c r="D792">
        <v>-106.505</v>
      </c>
      <c r="E792">
        <v>20160725</v>
      </c>
      <c r="G792">
        <v>26067</v>
      </c>
      <c r="H792">
        <v>37</v>
      </c>
      <c r="I792">
        <v>0.27373507590000001</v>
      </c>
      <c r="J792">
        <v>190</v>
      </c>
      <c r="K792">
        <v>0.45022524279999998</v>
      </c>
    </row>
    <row r="793" spans="1:11" x14ac:dyDescent="0.25">
      <c r="A793">
        <v>-42</v>
      </c>
      <c r="B793" t="s">
        <v>75</v>
      </c>
      <c r="C793">
        <v>40.957000000000001</v>
      </c>
      <c r="D793">
        <v>-106.505</v>
      </c>
      <c r="E793">
        <v>20160726</v>
      </c>
      <c r="G793">
        <v>26537</v>
      </c>
      <c r="H793">
        <v>38</v>
      </c>
      <c r="I793">
        <v>0.6728784592</v>
      </c>
      <c r="J793">
        <v>470</v>
      </c>
      <c r="K793">
        <v>0.45022524279999998</v>
      </c>
    </row>
    <row r="794" spans="1:11" x14ac:dyDescent="0.25">
      <c r="A794">
        <v>-42</v>
      </c>
      <c r="B794" t="s">
        <v>75</v>
      </c>
      <c r="C794">
        <v>40.957000000000001</v>
      </c>
      <c r="D794">
        <v>-106.505</v>
      </c>
      <c r="E794">
        <v>20160727</v>
      </c>
      <c r="G794">
        <v>27893</v>
      </c>
      <c r="H794">
        <v>39</v>
      </c>
      <c r="I794">
        <v>1.90861372</v>
      </c>
      <c r="J794">
        <v>1356</v>
      </c>
      <c r="K794">
        <v>1.1137150739999999</v>
      </c>
    </row>
    <row r="795" spans="1:11" x14ac:dyDescent="0.25">
      <c r="A795">
        <v>-42</v>
      </c>
      <c r="B795" t="s">
        <v>75</v>
      </c>
      <c r="C795">
        <v>40.957000000000001</v>
      </c>
      <c r="D795">
        <v>-106.505</v>
      </c>
      <c r="E795">
        <v>20160728</v>
      </c>
      <c r="G795">
        <v>30137</v>
      </c>
      <c r="H795">
        <v>40</v>
      </c>
      <c r="I795">
        <v>3.0592967729999998</v>
      </c>
      <c r="J795">
        <v>2244</v>
      </c>
      <c r="K795">
        <v>3.2131864700000001</v>
      </c>
    </row>
    <row r="796" spans="1:11" x14ac:dyDescent="0.25">
      <c r="A796">
        <v>-42</v>
      </c>
      <c r="B796" t="s">
        <v>75</v>
      </c>
      <c r="C796">
        <v>40.957000000000001</v>
      </c>
      <c r="D796">
        <v>-106.505</v>
      </c>
      <c r="E796">
        <v>20160729</v>
      </c>
      <c r="G796">
        <v>31216</v>
      </c>
      <c r="H796">
        <v>41</v>
      </c>
      <c r="I796">
        <v>1.430421911</v>
      </c>
      <c r="J796">
        <v>1079</v>
      </c>
      <c r="K796">
        <v>5.3173970779999999</v>
      </c>
    </row>
    <row r="797" spans="1:11" x14ac:dyDescent="0.25">
      <c r="A797">
        <v>-42</v>
      </c>
      <c r="B797" t="s">
        <v>75</v>
      </c>
      <c r="C797">
        <v>40.957000000000001</v>
      </c>
      <c r="D797">
        <v>-106.505</v>
      </c>
      <c r="E797">
        <v>20160730</v>
      </c>
      <c r="G797">
        <v>32109</v>
      </c>
      <c r="H797">
        <v>42</v>
      </c>
      <c r="I797">
        <v>1.1652482900000001</v>
      </c>
      <c r="J797">
        <v>893</v>
      </c>
      <c r="K797">
        <v>2.5568054579999999</v>
      </c>
    </row>
    <row r="798" spans="1:11" x14ac:dyDescent="0.25">
      <c r="A798">
        <v>-42</v>
      </c>
      <c r="B798" t="s">
        <v>75</v>
      </c>
      <c r="C798">
        <v>40.957000000000001</v>
      </c>
      <c r="D798">
        <v>-106.505</v>
      </c>
      <c r="E798">
        <v>20160731</v>
      </c>
      <c r="G798">
        <v>33193</v>
      </c>
      <c r="H798">
        <v>43</v>
      </c>
      <c r="I798">
        <v>1.392915656</v>
      </c>
      <c r="J798">
        <v>1084</v>
      </c>
      <c r="K798">
        <v>2.116058641</v>
      </c>
    </row>
    <row r="799" spans="1:11" x14ac:dyDescent="0.25">
      <c r="A799">
        <v>-42</v>
      </c>
      <c r="B799" t="s">
        <v>75</v>
      </c>
      <c r="C799">
        <v>40.957000000000001</v>
      </c>
      <c r="D799">
        <v>-106.505</v>
      </c>
      <c r="E799">
        <v>20160801</v>
      </c>
      <c r="G799">
        <v>34090</v>
      </c>
      <c r="H799">
        <v>44</v>
      </c>
      <c r="I799">
        <v>1.1355159450000001</v>
      </c>
      <c r="J799">
        <v>897</v>
      </c>
      <c r="K799">
        <v>2.5686534910000001</v>
      </c>
    </row>
    <row r="800" spans="1:11" x14ac:dyDescent="0.25">
      <c r="A800">
        <v>-42</v>
      </c>
      <c r="B800" t="s">
        <v>75</v>
      </c>
      <c r="C800">
        <v>40.957000000000001</v>
      </c>
      <c r="D800">
        <v>-106.505</v>
      </c>
      <c r="E800">
        <v>20160802</v>
      </c>
      <c r="G800">
        <v>34149</v>
      </c>
      <c r="H800">
        <v>45</v>
      </c>
      <c r="I800">
        <v>7.4161677300000006E-2</v>
      </c>
      <c r="J800">
        <v>59</v>
      </c>
      <c r="K800">
        <v>2.1255370669999998</v>
      </c>
    </row>
    <row r="801" spans="1:11" x14ac:dyDescent="0.25">
      <c r="A801">
        <v>-42</v>
      </c>
      <c r="B801" t="s">
        <v>75</v>
      </c>
      <c r="C801">
        <v>40.957000000000001</v>
      </c>
      <c r="D801">
        <v>-106.505</v>
      </c>
      <c r="E801">
        <v>20160803</v>
      </c>
      <c r="G801">
        <v>34149</v>
      </c>
      <c r="H801">
        <v>46</v>
      </c>
      <c r="I801">
        <v>0</v>
      </c>
      <c r="J801">
        <v>0</v>
      </c>
      <c r="K801">
        <v>0.13980678590000001</v>
      </c>
    </row>
    <row r="802" spans="1:11" x14ac:dyDescent="0.25">
      <c r="A802">
        <v>-42</v>
      </c>
      <c r="B802" t="s">
        <v>75</v>
      </c>
      <c r="C802">
        <v>40.957000000000001</v>
      </c>
      <c r="D802">
        <v>-106.505</v>
      </c>
      <c r="E802">
        <v>20160804</v>
      </c>
      <c r="G802">
        <v>34764</v>
      </c>
      <c r="H802">
        <v>47</v>
      </c>
      <c r="I802">
        <v>0.76925916569999997</v>
      </c>
      <c r="J802">
        <v>615</v>
      </c>
      <c r="K802">
        <v>0</v>
      </c>
    </row>
    <row r="803" spans="1:11" x14ac:dyDescent="0.25">
      <c r="A803">
        <v>-42</v>
      </c>
      <c r="B803" t="s">
        <v>75</v>
      </c>
      <c r="C803">
        <v>40.957000000000001</v>
      </c>
      <c r="D803">
        <v>-106.505</v>
      </c>
      <c r="E803">
        <v>20160805</v>
      </c>
      <c r="G803">
        <v>35269</v>
      </c>
      <c r="H803">
        <v>48</v>
      </c>
      <c r="I803">
        <v>0.62659460889999996</v>
      </c>
      <c r="J803">
        <v>505</v>
      </c>
      <c r="K803">
        <v>1.457308023</v>
      </c>
    </row>
    <row r="804" spans="1:11" x14ac:dyDescent="0.25">
      <c r="A804">
        <v>-42</v>
      </c>
      <c r="B804" t="s">
        <v>75</v>
      </c>
      <c r="C804">
        <v>40.957000000000001</v>
      </c>
      <c r="D804">
        <v>-106.505</v>
      </c>
      <c r="E804">
        <v>20160806</v>
      </c>
      <c r="G804">
        <v>35372</v>
      </c>
      <c r="H804">
        <v>49</v>
      </c>
      <c r="I804">
        <v>0.12724851979999999</v>
      </c>
      <c r="J804">
        <v>103</v>
      </c>
      <c r="K804">
        <v>1.1966513030000001</v>
      </c>
    </row>
    <row r="805" spans="1:11" x14ac:dyDescent="0.25">
      <c r="A805">
        <v>-42</v>
      </c>
      <c r="B805" t="s">
        <v>75</v>
      </c>
      <c r="C805">
        <v>40.957000000000001</v>
      </c>
      <c r="D805">
        <v>-106.505</v>
      </c>
      <c r="E805">
        <v>20160807</v>
      </c>
      <c r="G805">
        <v>35394</v>
      </c>
      <c r="H805">
        <v>50</v>
      </c>
      <c r="I805">
        <v>2.715527345E-2</v>
      </c>
      <c r="J805">
        <v>22</v>
      </c>
      <c r="K805">
        <v>0.24406947370000001</v>
      </c>
    </row>
    <row r="806" spans="1:11" x14ac:dyDescent="0.25">
      <c r="A806">
        <v>-42</v>
      </c>
      <c r="B806" t="s">
        <v>75</v>
      </c>
      <c r="C806">
        <v>40.957000000000001</v>
      </c>
      <c r="D806">
        <v>-106.505</v>
      </c>
      <c r="E806">
        <v>20160808</v>
      </c>
      <c r="G806">
        <v>35428</v>
      </c>
      <c r="H806">
        <v>51</v>
      </c>
      <c r="I806">
        <v>4.1950646139999999E-2</v>
      </c>
      <c r="J806">
        <v>34</v>
      </c>
      <c r="K806">
        <v>5.2131343910000003E-2</v>
      </c>
    </row>
    <row r="807" spans="1:11" x14ac:dyDescent="0.25">
      <c r="A807">
        <v>-42</v>
      </c>
      <c r="B807" t="s">
        <v>75</v>
      </c>
      <c r="C807">
        <v>40.957000000000001</v>
      </c>
      <c r="D807">
        <v>-106.505</v>
      </c>
      <c r="E807">
        <v>20160809</v>
      </c>
      <c r="G807">
        <v>35543</v>
      </c>
      <c r="H807">
        <v>52</v>
      </c>
      <c r="I807">
        <v>0.14174290810000001</v>
      </c>
      <c r="J807">
        <v>115</v>
      </c>
      <c r="K807">
        <v>8.0566622399999996E-2</v>
      </c>
    </row>
    <row r="808" spans="1:11" x14ac:dyDescent="0.25">
      <c r="A808">
        <v>-42</v>
      </c>
      <c r="B808" t="s">
        <v>75</v>
      </c>
      <c r="C808">
        <v>40.957000000000001</v>
      </c>
      <c r="D808">
        <v>-106.505</v>
      </c>
      <c r="E808">
        <v>20160810</v>
      </c>
      <c r="G808">
        <v>35644</v>
      </c>
      <c r="H808">
        <v>53</v>
      </c>
      <c r="I808">
        <v>0.12429823330000001</v>
      </c>
      <c r="J808">
        <v>101</v>
      </c>
      <c r="K808">
        <v>0.27250475219999998</v>
      </c>
    </row>
    <row r="809" spans="1:11" x14ac:dyDescent="0.25">
      <c r="A809">
        <v>-42</v>
      </c>
      <c r="B809" t="s">
        <v>75</v>
      </c>
      <c r="C809">
        <v>40.957000000000001</v>
      </c>
      <c r="D809">
        <v>-106.505</v>
      </c>
      <c r="E809">
        <v>20160811</v>
      </c>
      <c r="G809">
        <v>35665</v>
      </c>
      <c r="H809">
        <v>54</v>
      </c>
      <c r="I809">
        <v>2.5822063490000002E-2</v>
      </c>
      <c r="J809">
        <v>21</v>
      </c>
      <c r="K809">
        <v>0.23933026069999999</v>
      </c>
    </row>
    <row r="810" spans="1:11" x14ac:dyDescent="0.25">
      <c r="A810">
        <v>-42</v>
      </c>
      <c r="B810" t="s">
        <v>75</v>
      </c>
      <c r="C810">
        <v>40.957000000000001</v>
      </c>
      <c r="D810">
        <v>-106.505</v>
      </c>
      <c r="E810">
        <v>20160812</v>
      </c>
      <c r="G810">
        <v>35746</v>
      </c>
      <c r="H810">
        <v>55</v>
      </c>
      <c r="I810">
        <v>9.9528245809999999E-2</v>
      </c>
      <c r="J810">
        <v>81</v>
      </c>
      <c r="K810">
        <v>4.9761737360000002E-2</v>
      </c>
    </row>
    <row r="811" spans="1:11" x14ac:dyDescent="0.25">
      <c r="A811">
        <v>-42</v>
      </c>
      <c r="B811" t="s">
        <v>75</v>
      </c>
      <c r="C811">
        <v>40.957000000000001</v>
      </c>
      <c r="D811">
        <v>-106.505</v>
      </c>
      <c r="E811">
        <v>20160813</v>
      </c>
      <c r="G811">
        <v>36010</v>
      </c>
      <c r="H811">
        <v>56</v>
      </c>
      <c r="I811">
        <v>0.32360808949999997</v>
      </c>
      <c r="J811">
        <v>264</v>
      </c>
      <c r="K811">
        <v>0.1919381298</v>
      </c>
    </row>
    <row r="812" spans="1:11" x14ac:dyDescent="0.25">
      <c r="A812">
        <v>-42</v>
      </c>
      <c r="B812" t="s">
        <v>75</v>
      </c>
      <c r="C812">
        <v>40.957000000000001</v>
      </c>
      <c r="D812">
        <v>-106.505</v>
      </c>
      <c r="E812">
        <v>20160814</v>
      </c>
      <c r="G812">
        <v>36435</v>
      </c>
      <c r="H812">
        <v>57</v>
      </c>
      <c r="I812">
        <v>0.51847808979999999</v>
      </c>
      <c r="J812">
        <v>425</v>
      </c>
      <c r="K812">
        <v>0.62557612689999997</v>
      </c>
    </row>
    <row r="813" spans="1:11" x14ac:dyDescent="0.25">
      <c r="A813">
        <v>-42</v>
      </c>
      <c r="B813" t="s">
        <v>75</v>
      </c>
      <c r="C813">
        <v>40.957000000000001</v>
      </c>
      <c r="D813">
        <v>-106.505</v>
      </c>
      <c r="E813">
        <v>20160815</v>
      </c>
      <c r="G813">
        <v>36723</v>
      </c>
      <c r="H813">
        <v>58</v>
      </c>
      <c r="I813">
        <v>0.34962802370000001</v>
      </c>
      <c r="J813">
        <v>288</v>
      </c>
      <c r="K813">
        <v>1.00708278</v>
      </c>
    </row>
    <row r="814" spans="1:11" x14ac:dyDescent="0.25">
      <c r="A814">
        <v>-42</v>
      </c>
      <c r="B814" t="s">
        <v>75</v>
      </c>
      <c r="C814">
        <v>40.957000000000001</v>
      </c>
      <c r="D814">
        <v>-106.505</v>
      </c>
      <c r="E814">
        <v>20160816</v>
      </c>
      <c r="G814">
        <v>36724</v>
      </c>
      <c r="H814">
        <v>59</v>
      </c>
      <c r="I814">
        <v>1.21159309E-3</v>
      </c>
      <c r="J814">
        <v>1</v>
      </c>
      <c r="K814">
        <v>0.68244668389999996</v>
      </c>
    </row>
    <row r="815" spans="1:11" x14ac:dyDescent="0.25">
      <c r="A815">
        <v>-42</v>
      </c>
      <c r="B815" t="s">
        <v>75</v>
      </c>
      <c r="C815">
        <v>40.957000000000001</v>
      </c>
      <c r="D815">
        <v>-106.505</v>
      </c>
      <c r="E815">
        <v>20160817</v>
      </c>
      <c r="G815">
        <v>36916</v>
      </c>
      <c r="H815">
        <v>60</v>
      </c>
      <c r="I815">
        <v>0.2323210309</v>
      </c>
      <c r="J815">
        <v>192</v>
      </c>
      <c r="K815">
        <v>2.3696065409999998E-3</v>
      </c>
    </row>
    <row r="816" spans="1:11" x14ac:dyDescent="0.25">
      <c r="A816">
        <v>-42</v>
      </c>
      <c r="B816" t="s">
        <v>75</v>
      </c>
      <c r="C816">
        <v>40.957000000000001</v>
      </c>
      <c r="D816">
        <v>-106.505</v>
      </c>
      <c r="E816">
        <v>20160818</v>
      </c>
      <c r="G816">
        <v>36916</v>
      </c>
      <c r="H816">
        <v>61</v>
      </c>
      <c r="I816">
        <v>0</v>
      </c>
      <c r="J816">
        <v>0</v>
      </c>
      <c r="K816">
        <v>0.45496445590000001</v>
      </c>
    </row>
    <row r="817" spans="1:11" x14ac:dyDescent="0.25">
      <c r="A817">
        <v>-42</v>
      </c>
      <c r="B817" t="s">
        <v>75</v>
      </c>
      <c r="C817">
        <v>40.957000000000001</v>
      </c>
      <c r="D817">
        <v>-106.505</v>
      </c>
      <c r="E817">
        <v>20160819</v>
      </c>
      <c r="G817">
        <v>36963</v>
      </c>
      <c r="H817">
        <v>62</v>
      </c>
      <c r="I817">
        <v>5.6778144279999998E-2</v>
      </c>
      <c r="J817">
        <v>47</v>
      </c>
      <c r="K817">
        <v>0</v>
      </c>
    </row>
    <row r="818" spans="1:11" x14ac:dyDescent="0.25">
      <c r="A818">
        <v>-42</v>
      </c>
      <c r="B818" t="s">
        <v>75</v>
      </c>
      <c r="C818">
        <v>40.957000000000001</v>
      </c>
      <c r="D818">
        <v>-106.505</v>
      </c>
      <c r="E818">
        <v>20160820</v>
      </c>
      <c r="G818">
        <v>37005</v>
      </c>
      <c r="H818">
        <v>63</v>
      </c>
      <c r="I818">
        <v>5.0707381939999997E-2</v>
      </c>
      <c r="J818">
        <v>42</v>
      </c>
      <c r="K818">
        <v>0.1113715074</v>
      </c>
    </row>
    <row r="819" spans="1:11" x14ac:dyDescent="0.25">
      <c r="A819">
        <v>-42</v>
      </c>
      <c r="B819" t="s">
        <v>75</v>
      </c>
      <c r="C819">
        <v>40.957000000000001</v>
      </c>
      <c r="D819">
        <v>-106.505</v>
      </c>
      <c r="E819">
        <v>20160821</v>
      </c>
      <c r="G819">
        <v>37170</v>
      </c>
      <c r="H819">
        <v>64</v>
      </c>
      <c r="I819">
        <v>0.1989295287</v>
      </c>
      <c r="J819">
        <v>165</v>
      </c>
      <c r="K819">
        <v>9.9523474730000006E-2</v>
      </c>
    </row>
    <row r="820" spans="1:11" x14ac:dyDescent="0.25">
      <c r="A820">
        <v>-42</v>
      </c>
      <c r="B820" t="s">
        <v>75</v>
      </c>
      <c r="C820">
        <v>40.957000000000001</v>
      </c>
      <c r="D820">
        <v>-106.505</v>
      </c>
      <c r="E820">
        <v>20160822</v>
      </c>
      <c r="G820">
        <v>37288</v>
      </c>
      <c r="H820">
        <v>65</v>
      </c>
      <c r="I820">
        <v>0.1419940932</v>
      </c>
      <c r="J820">
        <v>118</v>
      </c>
      <c r="K820">
        <v>0.39098507929999998</v>
      </c>
    </row>
    <row r="821" spans="1:11" x14ac:dyDescent="0.25">
      <c r="A821">
        <v>-42</v>
      </c>
      <c r="B821" t="s">
        <v>75</v>
      </c>
      <c r="C821">
        <v>40.957000000000001</v>
      </c>
      <c r="D821">
        <v>-106.505</v>
      </c>
      <c r="E821">
        <v>20160823</v>
      </c>
      <c r="G821">
        <v>37311</v>
      </c>
      <c r="H821">
        <v>66</v>
      </c>
      <c r="I821">
        <v>2.7650638009999999E-2</v>
      </c>
      <c r="J821">
        <v>23</v>
      </c>
      <c r="K821">
        <v>0.27961357190000002</v>
      </c>
    </row>
    <row r="822" spans="1:11" x14ac:dyDescent="0.25">
      <c r="A822">
        <v>-42</v>
      </c>
      <c r="B822" t="s">
        <v>75</v>
      </c>
      <c r="C822">
        <v>40.957000000000001</v>
      </c>
      <c r="D822">
        <v>-106.505</v>
      </c>
      <c r="E822">
        <v>20160824</v>
      </c>
      <c r="G822">
        <v>37381</v>
      </c>
      <c r="H822">
        <v>67</v>
      </c>
      <c r="I822">
        <v>8.4101716889999997E-2</v>
      </c>
      <c r="J822">
        <v>70</v>
      </c>
      <c r="K822">
        <v>5.4500950450000002E-2</v>
      </c>
    </row>
    <row r="823" spans="1:11" x14ac:dyDescent="0.25">
      <c r="A823">
        <v>-42</v>
      </c>
      <c r="B823" t="s">
        <v>75</v>
      </c>
      <c r="C823">
        <v>40.957000000000001</v>
      </c>
      <c r="D823">
        <v>-106.505</v>
      </c>
      <c r="E823">
        <v>20160825</v>
      </c>
      <c r="G823">
        <v>37403</v>
      </c>
      <c r="H823">
        <v>68</v>
      </c>
      <c r="I823">
        <v>2.6415702119999999E-2</v>
      </c>
      <c r="J823">
        <v>22</v>
      </c>
      <c r="K823">
        <v>0.16587245789999999</v>
      </c>
    </row>
    <row r="824" spans="1:11" x14ac:dyDescent="0.25">
      <c r="A824">
        <v>-42</v>
      </c>
      <c r="B824" t="s">
        <v>75</v>
      </c>
      <c r="C824">
        <v>40.957000000000001</v>
      </c>
      <c r="D824">
        <v>-106.505</v>
      </c>
      <c r="E824">
        <v>20160826</v>
      </c>
      <c r="G824">
        <v>37403</v>
      </c>
      <c r="H824">
        <v>69</v>
      </c>
      <c r="I824">
        <v>0</v>
      </c>
      <c r="J824">
        <v>0</v>
      </c>
      <c r="K824">
        <v>5.2131343910000003E-2</v>
      </c>
    </row>
    <row r="825" spans="1:11" x14ac:dyDescent="0.25">
      <c r="A825">
        <v>-42</v>
      </c>
      <c r="B825" t="s">
        <v>75</v>
      </c>
      <c r="C825">
        <v>40.957000000000001</v>
      </c>
      <c r="D825">
        <v>-106.505</v>
      </c>
      <c r="E825">
        <v>20160827</v>
      </c>
      <c r="G825">
        <v>37403</v>
      </c>
      <c r="H825">
        <v>70</v>
      </c>
      <c r="I825">
        <v>0</v>
      </c>
      <c r="J825">
        <v>0</v>
      </c>
      <c r="K825">
        <v>0</v>
      </c>
    </row>
    <row r="826" spans="1:11" x14ac:dyDescent="0.25">
      <c r="A826">
        <v>-42</v>
      </c>
      <c r="B826" t="s">
        <v>75</v>
      </c>
      <c r="C826">
        <v>40.957000000000001</v>
      </c>
      <c r="D826">
        <v>-106.505</v>
      </c>
      <c r="E826">
        <v>20160828</v>
      </c>
      <c r="G826">
        <v>37403</v>
      </c>
      <c r="H826">
        <v>71</v>
      </c>
      <c r="I826">
        <v>0</v>
      </c>
      <c r="J826">
        <v>0</v>
      </c>
      <c r="K826">
        <v>0</v>
      </c>
    </row>
    <row r="827" spans="1:11" x14ac:dyDescent="0.25">
      <c r="A827">
        <v>-42</v>
      </c>
      <c r="B827" t="s">
        <v>75</v>
      </c>
      <c r="C827">
        <v>40.957000000000001</v>
      </c>
      <c r="D827">
        <v>-106.505</v>
      </c>
      <c r="E827">
        <v>20160829</v>
      </c>
      <c r="G827">
        <v>37403</v>
      </c>
      <c r="H827">
        <v>72</v>
      </c>
      <c r="I827">
        <v>0</v>
      </c>
      <c r="J827">
        <v>0</v>
      </c>
      <c r="K827">
        <v>0</v>
      </c>
    </row>
    <row r="828" spans="1:11" x14ac:dyDescent="0.25">
      <c r="A828">
        <v>-42</v>
      </c>
      <c r="B828" t="s">
        <v>75</v>
      </c>
      <c r="C828">
        <v>40.957000000000001</v>
      </c>
      <c r="D828">
        <v>-106.505</v>
      </c>
      <c r="E828">
        <v>20160830</v>
      </c>
      <c r="G828">
        <v>37571</v>
      </c>
      <c r="H828">
        <v>73</v>
      </c>
      <c r="I828">
        <v>0.2014642687</v>
      </c>
      <c r="J828">
        <v>168</v>
      </c>
      <c r="K828">
        <v>0</v>
      </c>
    </row>
    <row r="829" spans="1:11" x14ac:dyDescent="0.25">
      <c r="A829">
        <v>-42</v>
      </c>
      <c r="B829" t="s">
        <v>75</v>
      </c>
      <c r="C829">
        <v>40.957000000000001</v>
      </c>
      <c r="D829">
        <v>-106.505</v>
      </c>
      <c r="E829">
        <v>20160831</v>
      </c>
      <c r="G829">
        <v>37571</v>
      </c>
      <c r="H829">
        <v>74</v>
      </c>
      <c r="I829">
        <v>0</v>
      </c>
      <c r="J829">
        <v>0</v>
      </c>
      <c r="K829">
        <v>0.39809389890000002</v>
      </c>
    </row>
    <row r="830" spans="1:11" x14ac:dyDescent="0.25">
      <c r="A830">
        <v>-42</v>
      </c>
      <c r="B830" t="s">
        <v>75</v>
      </c>
      <c r="C830">
        <v>40.957000000000001</v>
      </c>
      <c r="D830">
        <v>-106.505</v>
      </c>
      <c r="E830">
        <v>20160901</v>
      </c>
      <c r="G830">
        <v>37627</v>
      </c>
      <c r="H830">
        <v>75</v>
      </c>
      <c r="I830">
        <v>6.7054623820000006E-2</v>
      </c>
      <c r="J830">
        <v>56</v>
      </c>
      <c r="K830">
        <v>0</v>
      </c>
    </row>
    <row r="831" spans="1:11" x14ac:dyDescent="0.25">
      <c r="A831">
        <v>-42</v>
      </c>
      <c r="B831" t="s">
        <v>75</v>
      </c>
      <c r="C831">
        <v>40.957000000000001</v>
      </c>
      <c r="D831">
        <v>-106.505</v>
      </c>
      <c r="E831">
        <v>20160902</v>
      </c>
      <c r="G831">
        <v>37627</v>
      </c>
      <c r="H831">
        <v>76</v>
      </c>
      <c r="I831">
        <v>0</v>
      </c>
      <c r="J831">
        <v>0</v>
      </c>
      <c r="K831">
        <v>0.1326979663</v>
      </c>
    </row>
    <row r="832" spans="1:11" x14ac:dyDescent="0.25">
      <c r="A832">
        <v>-42</v>
      </c>
      <c r="B832" t="s">
        <v>75</v>
      </c>
      <c r="C832">
        <v>40.957000000000001</v>
      </c>
      <c r="D832">
        <v>-106.505</v>
      </c>
      <c r="E832">
        <v>20160903</v>
      </c>
      <c r="G832">
        <v>37627</v>
      </c>
      <c r="H832">
        <v>77</v>
      </c>
      <c r="I832">
        <v>0</v>
      </c>
      <c r="J832">
        <v>0</v>
      </c>
      <c r="K832">
        <v>0</v>
      </c>
    </row>
    <row r="833" spans="1:11" x14ac:dyDescent="0.25">
      <c r="A833">
        <v>-42</v>
      </c>
      <c r="B833" t="s">
        <v>75</v>
      </c>
      <c r="C833">
        <v>40.957000000000001</v>
      </c>
      <c r="D833">
        <v>-106.505</v>
      </c>
      <c r="E833">
        <v>20160904</v>
      </c>
      <c r="G833">
        <v>37627</v>
      </c>
      <c r="H833">
        <v>78</v>
      </c>
      <c r="I833">
        <v>0</v>
      </c>
      <c r="J833">
        <v>0</v>
      </c>
      <c r="K833">
        <v>0</v>
      </c>
    </row>
    <row r="834" spans="1:11" x14ac:dyDescent="0.25">
      <c r="A834">
        <v>-42</v>
      </c>
      <c r="B834" t="s">
        <v>75</v>
      </c>
      <c r="C834">
        <v>40.957000000000001</v>
      </c>
      <c r="D834">
        <v>-106.505</v>
      </c>
      <c r="E834">
        <v>20160905</v>
      </c>
      <c r="G834">
        <v>37659</v>
      </c>
      <c r="H834">
        <v>79</v>
      </c>
      <c r="I834">
        <v>3.8294525689999998E-2</v>
      </c>
      <c r="J834">
        <v>32</v>
      </c>
      <c r="K834">
        <v>0</v>
      </c>
    </row>
    <row r="835" spans="1:11" x14ac:dyDescent="0.25">
      <c r="A835">
        <v>-42</v>
      </c>
      <c r="B835" t="s">
        <v>75</v>
      </c>
      <c r="C835">
        <v>40.957000000000001</v>
      </c>
      <c r="D835">
        <v>-106.505</v>
      </c>
      <c r="E835">
        <v>20160906</v>
      </c>
      <c r="G835">
        <v>37673</v>
      </c>
      <c r="H835">
        <v>80</v>
      </c>
      <c r="I835">
        <v>1.6748738700000002E-2</v>
      </c>
      <c r="J835">
        <v>14</v>
      </c>
      <c r="K835">
        <v>7.5827409319999997E-2</v>
      </c>
    </row>
    <row r="836" spans="1:11" x14ac:dyDescent="0.25">
      <c r="A836">
        <v>-42</v>
      </c>
      <c r="B836" t="s">
        <v>75</v>
      </c>
      <c r="C836">
        <v>40.957000000000001</v>
      </c>
      <c r="D836">
        <v>-106.505</v>
      </c>
      <c r="E836">
        <v>20160907</v>
      </c>
      <c r="G836">
        <v>37674</v>
      </c>
      <c r="H836">
        <v>81</v>
      </c>
      <c r="I836">
        <v>1.1962193840000001E-3</v>
      </c>
      <c r="J836">
        <v>1</v>
      </c>
      <c r="K836">
        <v>3.317449158E-2</v>
      </c>
    </row>
    <row r="837" spans="1:11" x14ac:dyDescent="0.25">
      <c r="A837">
        <v>-42</v>
      </c>
      <c r="B837" t="s">
        <v>75</v>
      </c>
      <c r="C837">
        <v>40.957000000000001</v>
      </c>
      <c r="D837">
        <v>-106.505</v>
      </c>
      <c r="E837">
        <v>20160908</v>
      </c>
      <c r="G837">
        <v>37674</v>
      </c>
      <c r="H837">
        <v>82</v>
      </c>
      <c r="I837">
        <v>0</v>
      </c>
      <c r="J837">
        <v>0</v>
      </c>
      <c r="K837">
        <v>2.3696065409999998E-3</v>
      </c>
    </row>
    <row r="838" spans="1:11" x14ac:dyDescent="0.25">
      <c r="A838">
        <v>-42</v>
      </c>
      <c r="B838" t="s">
        <v>75</v>
      </c>
      <c r="C838">
        <v>40.957000000000001</v>
      </c>
      <c r="D838">
        <v>-106.505</v>
      </c>
      <c r="E838">
        <v>20160909</v>
      </c>
      <c r="G838">
        <v>37808</v>
      </c>
      <c r="H838">
        <v>83</v>
      </c>
      <c r="I838">
        <v>0.16015005360000001</v>
      </c>
      <c r="J838">
        <v>134</v>
      </c>
      <c r="K838">
        <v>0</v>
      </c>
    </row>
    <row r="839" spans="1:11" x14ac:dyDescent="0.25">
      <c r="A839">
        <v>-42</v>
      </c>
      <c r="B839" t="s">
        <v>75</v>
      </c>
      <c r="C839">
        <v>40.957000000000001</v>
      </c>
      <c r="D839">
        <v>-106.505</v>
      </c>
      <c r="E839">
        <v>20160910</v>
      </c>
      <c r="G839">
        <v>37870</v>
      </c>
      <c r="H839">
        <v>84</v>
      </c>
      <c r="I839">
        <v>7.4003237760000007E-2</v>
      </c>
      <c r="J839">
        <v>62</v>
      </c>
      <c r="K839">
        <v>0.31752727650000001</v>
      </c>
    </row>
    <row r="840" spans="1:11" x14ac:dyDescent="0.25">
      <c r="A840">
        <v>-42</v>
      </c>
      <c r="B840" t="s">
        <v>75</v>
      </c>
      <c r="C840">
        <v>40.957000000000001</v>
      </c>
      <c r="D840">
        <v>-106.505</v>
      </c>
      <c r="E840">
        <v>20160911</v>
      </c>
      <c r="G840">
        <v>38264</v>
      </c>
      <c r="H840">
        <v>85</v>
      </c>
      <c r="I840">
        <v>0.46886970230000002</v>
      </c>
      <c r="J840">
        <v>394</v>
      </c>
      <c r="K840">
        <v>0.1469156056</v>
      </c>
    </row>
    <row r="841" spans="1:11" x14ac:dyDescent="0.25">
      <c r="A841">
        <v>-42</v>
      </c>
      <c r="B841" t="s">
        <v>75</v>
      </c>
      <c r="C841">
        <v>40.957000000000001</v>
      </c>
      <c r="D841">
        <v>-106.505</v>
      </c>
      <c r="E841">
        <v>20160912</v>
      </c>
      <c r="G841">
        <v>38267</v>
      </c>
      <c r="H841">
        <v>86</v>
      </c>
      <c r="I841">
        <v>3.5607901430000002E-3</v>
      </c>
      <c r="J841">
        <v>3</v>
      </c>
      <c r="K841">
        <v>0.93362497720000004</v>
      </c>
    </row>
    <row r="842" spans="1:11" x14ac:dyDescent="0.25">
      <c r="A842">
        <v>-42</v>
      </c>
      <c r="B842" t="s">
        <v>75</v>
      </c>
      <c r="C842">
        <v>40.957000000000001</v>
      </c>
      <c r="D842">
        <v>-106.505</v>
      </c>
      <c r="E842">
        <v>20160913</v>
      </c>
      <c r="G842">
        <v>38349</v>
      </c>
      <c r="H842">
        <v>87</v>
      </c>
      <c r="I842">
        <v>9.7274273450000004E-2</v>
      </c>
      <c r="J842">
        <v>82</v>
      </c>
      <c r="K842">
        <v>7.1088196230000003E-3</v>
      </c>
    </row>
    <row r="843" spans="1:11" x14ac:dyDescent="0.25">
      <c r="A843">
        <v>-42</v>
      </c>
      <c r="B843" t="s">
        <v>75</v>
      </c>
      <c r="C843">
        <v>40.957000000000001</v>
      </c>
      <c r="D843">
        <v>-106.505</v>
      </c>
      <c r="E843">
        <v>20160914</v>
      </c>
      <c r="G843">
        <v>38267</v>
      </c>
      <c r="H843">
        <v>88</v>
      </c>
      <c r="I843">
        <v>-9.7274273450000004E-2</v>
      </c>
      <c r="J843">
        <v>-82</v>
      </c>
      <c r="K843">
        <v>0.19430773639999999</v>
      </c>
    </row>
    <row r="844" spans="1:11" x14ac:dyDescent="0.25">
      <c r="A844">
        <v>-42</v>
      </c>
      <c r="B844" t="s">
        <v>75</v>
      </c>
      <c r="C844">
        <v>40.957000000000001</v>
      </c>
      <c r="D844">
        <v>-106.505</v>
      </c>
      <c r="E844">
        <v>20160915</v>
      </c>
      <c r="G844">
        <v>38350</v>
      </c>
      <c r="H844">
        <v>89</v>
      </c>
      <c r="I844">
        <v>9.8459902870000005E-2</v>
      </c>
      <c r="J844">
        <v>83</v>
      </c>
      <c r="K844">
        <v>-0.19430773639999999</v>
      </c>
    </row>
    <row r="845" spans="1:11" x14ac:dyDescent="0.25">
      <c r="A845">
        <v>-42</v>
      </c>
      <c r="B845" t="s">
        <v>75</v>
      </c>
      <c r="C845">
        <v>40.957000000000001</v>
      </c>
      <c r="D845">
        <v>-106.505</v>
      </c>
      <c r="E845">
        <v>20160916</v>
      </c>
      <c r="G845">
        <v>38350</v>
      </c>
      <c r="H845">
        <v>90</v>
      </c>
      <c r="I845">
        <v>0</v>
      </c>
      <c r="J845">
        <v>0</v>
      </c>
      <c r="K845">
        <v>0.1966773429</v>
      </c>
    </row>
    <row r="846" spans="1:11" x14ac:dyDescent="0.25">
      <c r="A846">
        <v>-42</v>
      </c>
      <c r="B846" t="s">
        <v>75</v>
      </c>
      <c r="C846">
        <v>40.957000000000001</v>
      </c>
      <c r="D846">
        <v>-106.505</v>
      </c>
      <c r="E846">
        <v>20160917</v>
      </c>
      <c r="G846">
        <v>38403</v>
      </c>
      <c r="H846">
        <v>91</v>
      </c>
      <c r="I846">
        <v>6.2816254010000003E-2</v>
      </c>
      <c r="J846">
        <v>53</v>
      </c>
      <c r="K846">
        <v>0</v>
      </c>
    </row>
    <row r="848" spans="1:11" x14ac:dyDescent="0.25">
      <c r="A848">
        <v>-43</v>
      </c>
      <c r="B848" t="s">
        <v>77</v>
      </c>
      <c r="C848">
        <v>33.863999999999997</v>
      </c>
      <c r="D848">
        <v>-110.926</v>
      </c>
      <c r="E848">
        <v>20160520</v>
      </c>
      <c r="G848">
        <v>0</v>
      </c>
      <c r="H848">
        <v>1</v>
      </c>
      <c r="I848">
        <v>0</v>
      </c>
      <c r="J848">
        <v>0</v>
      </c>
      <c r="K848">
        <v>0</v>
      </c>
    </row>
    <row r="849" spans="1:11" x14ac:dyDescent="0.25">
      <c r="A849">
        <v>-43</v>
      </c>
      <c r="B849" t="s">
        <v>77</v>
      </c>
      <c r="C849">
        <v>33.863999999999997</v>
      </c>
      <c r="D849">
        <v>-110.926</v>
      </c>
      <c r="E849">
        <v>20160521</v>
      </c>
      <c r="G849">
        <v>0</v>
      </c>
      <c r="H849">
        <v>2</v>
      </c>
      <c r="I849">
        <v>0</v>
      </c>
      <c r="J849">
        <v>0</v>
      </c>
      <c r="K849">
        <v>0</v>
      </c>
    </row>
    <row r="850" spans="1:11" x14ac:dyDescent="0.25">
      <c r="A850">
        <v>-43</v>
      </c>
      <c r="B850" t="s">
        <v>77</v>
      </c>
      <c r="C850">
        <v>33.863999999999997</v>
      </c>
      <c r="D850">
        <v>-110.926</v>
      </c>
      <c r="E850">
        <v>20160522</v>
      </c>
      <c r="G850">
        <v>0</v>
      </c>
      <c r="H850">
        <v>3</v>
      </c>
      <c r="I850">
        <v>0</v>
      </c>
      <c r="J850">
        <v>0</v>
      </c>
      <c r="K850">
        <v>0</v>
      </c>
    </row>
    <row r="851" spans="1:11" x14ac:dyDescent="0.25">
      <c r="A851">
        <v>-43</v>
      </c>
      <c r="B851" t="s">
        <v>77</v>
      </c>
      <c r="C851">
        <v>33.863999999999997</v>
      </c>
      <c r="D851">
        <v>-110.926</v>
      </c>
      <c r="E851">
        <v>20160523</v>
      </c>
      <c r="G851">
        <v>64</v>
      </c>
      <c r="H851">
        <v>4</v>
      </c>
      <c r="I851">
        <v>0.8529225319</v>
      </c>
      <c r="J851">
        <v>64</v>
      </c>
      <c r="K851">
        <v>4.596650452E-2</v>
      </c>
    </row>
    <row r="852" spans="1:11" x14ac:dyDescent="0.25">
      <c r="A852">
        <v>-43</v>
      </c>
      <c r="B852" t="s">
        <v>77</v>
      </c>
      <c r="C852">
        <v>33.863999999999997</v>
      </c>
      <c r="D852">
        <v>-110.926</v>
      </c>
      <c r="E852">
        <v>20160524</v>
      </c>
      <c r="G852">
        <v>1078</v>
      </c>
      <c r="H852">
        <v>5</v>
      </c>
      <c r="I852">
        <v>2.6475685929999999</v>
      </c>
      <c r="J852">
        <v>1014</v>
      </c>
      <c r="K852">
        <v>0.72828180600000003</v>
      </c>
    </row>
    <row r="853" spans="1:11" x14ac:dyDescent="0.25">
      <c r="A853">
        <v>-43</v>
      </c>
      <c r="B853" t="s">
        <v>77</v>
      </c>
      <c r="C853">
        <v>33.863999999999997</v>
      </c>
      <c r="D853">
        <v>-110.926</v>
      </c>
      <c r="E853">
        <v>20160525</v>
      </c>
      <c r="G853">
        <v>1657</v>
      </c>
      <c r="H853">
        <v>6</v>
      </c>
      <c r="I853">
        <v>0.83942018770000004</v>
      </c>
      <c r="J853">
        <v>579</v>
      </c>
      <c r="K853">
        <v>0.41585322060000002</v>
      </c>
    </row>
    <row r="854" spans="1:11" x14ac:dyDescent="0.25">
      <c r="A854">
        <v>-43</v>
      </c>
      <c r="B854" t="s">
        <v>77</v>
      </c>
      <c r="C854">
        <v>33.863999999999997</v>
      </c>
      <c r="D854">
        <v>-110.926</v>
      </c>
      <c r="E854">
        <v>20160526</v>
      </c>
      <c r="G854">
        <v>2563</v>
      </c>
      <c r="H854">
        <v>7</v>
      </c>
      <c r="I854">
        <v>1.0576042539999999</v>
      </c>
      <c r="J854">
        <v>906</v>
      </c>
      <c r="K854">
        <v>0.65071332959999995</v>
      </c>
    </row>
    <row r="855" spans="1:11" x14ac:dyDescent="0.25">
      <c r="A855">
        <v>-43</v>
      </c>
      <c r="B855" t="s">
        <v>77</v>
      </c>
      <c r="C855">
        <v>33.863999999999997</v>
      </c>
      <c r="D855">
        <v>-110.926</v>
      </c>
      <c r="E855">
        <v>20160527</v>
      </c>
      <c r="G855">
        <v>3670</v>
      </c>
      <c r="H855">
        <v>8</v>
      </c>
      <c r="I855">
        <v>1.061296271</v>
      </c>
      <c r="J855">
        <v>1107</v>
      </c>
      <c r="K855">
        <v>0.7950768829</v>
      </c>
    </row>
    <row r="856" spans="1:11" x14ac:dyDescent="0.25">
      <c r="A856">
        <v>-43</v>
      </c>
      <c r="B856" t="s">
        <v>77</v>
      </c>
      <c r="C856">
        <v>33.863999999999997</v>
      </c>
      <c r="D856">
        <v>-110.926</v>
      </c>
      <c r="E856">
        <v>20160528</v>
      </c>
      <c r="G856">
        <v>5217</v>
      </c>
      <c r="H856">
        <v>9</v>
      </c>
      <c r="I856">
        <v>1.2418848659999999</v>
      </c>
      <c r="J856">
        <v>1547</v>
      </c>
      <c r="K856">
        <v>1.1110966010000001</v>
      </c>
    </row>
    <row r="857" spans="1:11" x14ac:dyDescent="0.25">
      <c r="A857">
        <v>-43</v>
      </c>
      <c r="B857" t="s">
        <v>77</v>
      </c>
      <c r="C857">
        <v>33.863999999999997</v>
      </c>
      <c r="D857">
        <v>-110.926</v>
      </c>
      <c r="E857">
        <v>20160529</v>
      </c>
      <c r="G857">
        <v>6615</v>
      </c>
      <c r="H857">
        <v>10</v>
      </c>
      <c r="I857">
        <v>0.97060954529999999</v>
      </c>
      <c r="J857">
        <v>1398</v>
      </c>
      <c r="K857">
        <v>1.004080833</v>
      </c>
    </row>
    <row r="858" spans="1:11" x14ac:dyDescent="0.25">
      <c r="A858">
        <v>-43</v>
      </c>
      <c r="B858" t="s">
        <v>77</v>
      </c>
      <c r="C858">
        <v>33.863999999999997</v>
      </c>
      <c r="D858">
        <v>-110.926</v>
      </c>
      <c r="E858">
        <v>20160530</v>
      </c>
      <c r="G858">
        <v>7814</v>
      </c>
      <c r="H858">
        <v>11</v>
      </c>
      <c r="I858">
        <v>0.75315002649999996</v>
      </c>
      <c r="J858">
        <v>1199</v>
      </c>
      <c r="K858">
        <v>0.86115373309999999</v>
      </c>
    </row>
    <row r="859" spans="1:11" x14ac:dyDescent="0.25">
      <c r="A859">
        <v>-43</v>
      </c>
      <c r="B859" t="s">
        <v>77</v>
      </c>
      <c r="C859">
        <v>33.863999999999997</v>
      </c>
      <c r="D859">
        <v>-110.926</v>
      </c>
      <c r="E859">
        <v>20160531</v>
      </c>
      <c r="G859">
        <v>9723</v>
      </c>
      <c r="H859">
        <v>12</v>
      </c>
      <c r="I859">
        <v>1.0883761860000001</v>
      </c>
      <c r="J859">
        <v>1909</v>
      </c>
      <c r="K859">
        <v>1.3710946429999999</v>
      </c>
    </row>
    <row r="860" spans="1:11" x14ac:dyDescent="0.25">
      <c r="A860">
        <v>-43</v>
      </c>
      <c r="B860" t="s">
        <v>77</v>
      </c>
      <c r="C860">
        <v>33.863999999999997</v>
      </c>
      <c r="D860">
        <v>-110.926</v>
      </c>
      <c r="E860">
        <v>20160532</v>
      </c>
      <c r="G860">
        <v>12682</v>
      </c>
      <c r="H860">
        <v>13</v>
      </c>
      <c r="I860">
        <v>1.4935859730000001</v>
      </c>
      <c r="J860">
        <v>2959</v>
      </c>
      <c r="K860">
        <v>2.1252326070000001</v>
      </c>
    </row>
    <row r="861" spans="1:11" x14ac:dyDescent="0.25">
      <c r="A861">
        <v>-43</v>
      </c>
      <c r="B861" t="s">
        <v>77</v>
      </c>
      <c r="C861">
        <v>33.863999999999997</v>
      </c>
      <c r="D861">
        <v>-110.926</v>
      </c>
      <c r="E861">
        <v>20160533</v>
      </c>
      <c r="G861">
        <v>14974</v>
      </c>
      <c r="H861">
        <v>14</v>
      </c>
      <c r="I861">
        <v>1.0399162289999999</v>
      </c>
      <c r="J861">
        <v>2292</v>
      </c>
      <c r="K861">
        <v>1.646175443</v>
      </c>
    </row>
    <row r="862" spans="1:11" x14ac:dyDescent="0.25">
      <c r="A862">
        <v>-43</v>
      </c>
      <c r="B862" t="s">
        <v>77</v>
      </c>
      <c r="C862">
        <v>33.863999999999997</v>
      </c>
      <c r="D862">
        <v>-110.926</v>
      </c>
      <c r="E862">
        <v>20160534</v>
      </c>
      <c r="G862">
        <v>17971</v>
      </c>
      <c r="H862">
        <v>15</v>
      </c>
      <c r="I862">
        <v>1.2460837739999999</v>
      </c>
      <c r="J862">
        <v>2997</v>
      </c>
      <c r="K862">
        <v>2.1525252199999998</v>
      </c>
    </row>
    <row r="863" spans="1:11" x14ac:dyDescent="0.25">
      <c r="A863">
        <v>-43</v>
      </c>
      <c r="B863" t="s">
        <v>77</v>
      </c>
      <c r="C863">
        <v>33.863999999999997</v>
      </c>
      <c r="D863">
        <v>-110.926</v>
      </c>
      <c r="E863">
        <v>20160535</v>
      </c>
      <c r="G863">
        <v>22962</v>
      </c>
      <c r="H863">
        <v>16</v>
      </c>
      <c r="I863">
        <v>1.863232336</v>
      </c>
      <c r="J863">
        <v>4991</v>
      </c>
      <c r="K863">
        <v>3.5846691260000001</v>
      </c>
    </row>
    <row r="864" spans="1:11" x14ac:dyDescent="0.25">
      <c r="A864">
        <v>-43</v>
      </c>
      <c r="B864" t="s">
        <v>77</v>
      </c>
      <c r="C864">
        <v>33.863999999999997</v>
      </c>
      <c r="D864">
        <v>-110.926</v>
      </c>
      <c r="E864">
        <v>20160536</v>
      </c>
      <c r="G864">
        <v>26060</v>
      </c>
      <c r="H864">
        <v>17</v>
      </c>
      <c r="I864">
        <v>1.055377027</v>
      </c>
      <c r="J864">
        <v>3098</v>
      </c>
      <c r="K864">
        <v>2.2250661090000001</v>
      </c>
    </row>
    <row r="865" spans="1:11" x14ac:dyDescent="0.25">
      <c r="A865">
        <v>-43</v>
      </c>
      <c r="B865" t="s">
        <v>77</v>
      </c>
      <c r="C865">
        <v>33.863999999999997</v>
      </c>
      <c r="D865">
        <v>-110.926</v>
      </c>
      <c r="E865">
        <v>20160537</v>
      </c>
      <c r="G865">
        <v>28504</v>
      </c>
      <c r="H865">
        <v>18</v>
      </c>
      <c r="I865">
        <v>0.78897219900000004</v>
      </c>
      <c r="J865">
        <v>2444</v>
      </c>
      <c r="K865">
        <v>1.7553458909999999</v>
      </c>
    </row>
    <row r="866" spans="1:11" x14ac:dyDescent="0.25">
      <c r="A866">
        <v>-43</v>
      </c>
      <c r="B866" t="s">
        <v>77</v>
      </c>
      <c r="C866">
        <v>33.863999999999997</v>
      </c>
      <c r="D866">
        <v>-110.926</v>
      </c>
      <c r="E866">
        <v>20160538</v>
      </c>
      <c r="G866">
        <v>29592</v>
      </c>
      <c r="H866">
        <v>19</v>
      </c>
      <c r="I866">
        <v>0.34031369340000001</v>
      </c>
      <c r="J866">
        <v>1088</v>
      </c>
      <c r="K866">
        <v>0.78143057689999995</v>
      </c>
    </row>
    <row r="867" spans="1:11" x14ac:dyDescent="0.25">
      <c r="A867">
        <v>-43</v>
      </c>
      <c r="B867" t="s">
        <v>77</v>
      </c>
      <c r="C867">
        <v>33.863999999999997</v>
      </c>
      <c r="D867">
        <v>-110.926</v>
      </c>
      <c r="E867">
        <v>20160539</v>
      </c>
      <c r="G867">
        <v>30357</v>
      </c>
      <c r="H867">
        <v>20</v>
      </c>
      <c r="I867">
        <v>0.2355504329</v>
      </c>
      <c r="J867">
        <v>765</v>
      </c>
      <c r="K867">
        <v>0.54944337440000002</v>
      </c>
    </row>
    <row r="868" spans="1:11" x14ac:dyDescent="0.25">
      <c r="A868">
        <v>-43</v>
      </c>
      <c r="B868" t="s">
        <v>77</v>
      </c>
      <c r="C868">
        <v>33.863999999999997</v>
      </c>
      <c r="D868">
        <v>-110.926</v>
      </c>
      <c r="E868">
        <v>20160540</v>
      </c>
      <c r="G868">
        <v>30567</v>
      </c>
      <c r="H868">
        <v>21</v>
      </c>
      <c r="I868">
        <v>6.4140204110000001E-2</v>
      </c>
      <c r="J868">
        <v>210</v>
      </c>
      <c r="K868">
        <v>0.15082759300000001</v>
      </c>
    </row>
    <row r="869" spans="1:11" x14ac:dyDescent="0.25">
      <c r="A869">
        <v>-43</v>
      </c>
      <c r="B869" t="s">
        <v>77</v>
      </c>
      <c r="C869">
        <v>33.863999999999997</v>
      </c>
      <c r="D869">
        <v>-110.926</v>
      </c>
      <c r="E869">
        <v>20160541</v>
      </c>
      <c r="G869">
        <v>30631</v>
      </c>
      <c r="H869">
        <v>22</v>
      </c>
      <c r="I869">
        <v>1.9503655679999999E-2</v>
      </c>
      <c r="J869">
        <v>64</v>
      </c>
      <c r="K869">
        <v>4.596650452E-2</v>
      </c>
    </row>
    <row r="871" spans="1:11" x14ac:dyDescent="0.25">
      <c r="A871">
        <v>-44</v>
      </c>
      <c r="B871" t="s">
        <v>78</v>
      </c>
      <c r="C871">
        <v>47.341000000000001</v>
      </c>
      <c r="D871">
        <v>-120.97799999999999</v>
      </c>
      <c r="E871">
        <v>20170811</v>
      </c>
      <c r="G871">
        <v>240</v>
      </c>
      <c r="H871">
        <v>1</v>
      </c>
      <c r="I871">
        <v>2.906946316</v>
      </c>
      <c r="J871">
        <v>240</v>
      </c>
      <c r="K871">
        <v>0.2347315801</v>
      </c>
    </row>
    <row r="872" spans="1:11" x14ac:dyDescent="0.25">
      <c r="A872">
        <v>-44</v>
      </c>
      <c r="B872" t="s">
        <v>78</v>
      </c>
      <c r="C872">
        <v>47.341000000000001</v>
      </c>
      <c r="D872">
        <v>-120.97799999999999</v>
      </c>
      <c r="E872">
        <v>20170812</v>
      </c>
      <c r="G872">
        <v>326</v>
      </c>
      <c r="H872">
        <v>2</v>
      </c>
      <c r="I872">
        <v>0.48102863480000002</v>
      </c>
      <c r="J872">
        <v>86</v>
      </c>
      <c r="K872">
        <v>8.4112149529999999E-2</v>
      </c>
    </row>
    <row r="873" spans="1:11" x14ac:dyDescent="0.25">
      <c r="A873">
        <v>-44</v>
      </c>
      <c r="B873" t="s">
        <v>78</v>
      </c>
      <c r="C873">
        <v>47.341000000000001</v>
      </c>
      <c r="D873">
        <v>-120.97799999999999</v>
      </c>
      <c r="E873">
        <v>20170813</v>
      </c>
      <c r="G873">
        <v>335</v>
      </c>
      <c r="H873">
        <v>3</v>
      </c>
      <c r="I873">
        <v>4.6448130359999999E-2</v>
      </c>
      <c r="J873">
        <v>9</v>
      </c>
      <c r="K873">
        <v>8.8024342530000008E-3</v>
      </c>
    </row>
    <row r="874" spans="1:11" x14ac:dyDescent="0.25">
      <c r="A874">
        <v>-44</v>
      </c>
      <c r="B874" t="s">
        <v>78</v>
      </c>
      <c r="C874">
        <v>47.341000000000001</v>
      </c>
      <c r="D874">
        <v>-120.97799999999999</v>
      </c>
      <c r="E874">
        <v>20170814</v>
      </c>
      <c r="G874">
        <v>379</v>
      </c>
      <c r="H874">
        <v>4</v>
      </c>
      <c r="I874">
        <v>0.2185880506</v>
      </c>
      <c r="J874">
        <v>44</v>
      </c>
      <c r="K874">
        <v>4.3034123020000002E-2</v>
      </c>
    </row>
    <row r="875" spans="1:11" x14ac:dyDescent="0.25">
      <c r="A875">
        <v>-44</v>
      </c>
      <c r="B875" t="s">
        <v>78</v>
      </c>
      <c r="C875">
        <v>47.341000000000001</v>
      </c>
      <c r="D875">
        <v>-120.97799999999999</v>
      </c>
      <c r="E875">
        <v>20170815</v>
      </c>
      <c r="G875">
        <v>478</v>
      </c>
      <c r="H875">
        <v>5</v>
      </c>
      <c r="I875">
        <v>0.44945816039999997</v>
      </c>
      <c r="J875">
        <v>99</v>
      </c>
      <c r="K875">
        <v>9.6826776789999999E-2</v>
      </c>
    </row>
    <row r="876" spans="1:11" x14ac:dyDescent="0.25">
      <c r="A876">
        <v>-44</v>
      </c>
      <c r="B876" t="s">
        <v>78</v>
      </c>
      <c r="C876">
        <v>47.341000000000001</v>
      </c>
      <c r="D876">
        <v>-120.97799999999999</v>
      </c>
      <c r="E876">
        <v>20170816</v>
      </c>
      <c r="G876">
        <v>511</v>
      </c>
      <c r="H876">
        <v>6</v>
      </c>
      <c r="I876">
        <v>0.13924918210000001</v>
      </c>
      <c r="J876">
        <v>33</v>
      </c>
      <c r="K876">
        <v>3.2275592259999999E-2</v>
      </c>
    </row>
    <row r="877" spans="1:11" x14ac:dyDescent="0.25">
      <c r="A877">
        <v>-44</v>
      </c>
      <c r="B877" t="s">
        <v>78</v>
      </c>
      <c r="C877">
        <v>47.341000000000001</v>
      </c>
      <c r="D877">
        <v>-120.97799999999999</v>
      </c>
      <c r="E877">
        <v>20170817</v>
      </c>
      <c r="G877">
        <v>530</v>
      </c>
      <c r="H877">
        <v>7</v>
      </c>
      <c r="I877">
        <v>7.8138076390000005E-2</v>
      </c>
      <c r="J877">
        <v>19</v>
      </c>
      <c r="K877">
        <v>1.8582916759999998E-2</v>
      </c>
    </row>
    <row r="878" spans="1:11" x14ac:dyDescent="0.25">
      <c r="A878">
        <v>-44</v>
      </c>
      <c r="B878" t="s">
        <v>78</v>
      </c>
      <c r="C878">
        <v>47.341000000000001</v>
      </c>
      <c r="D878">
        <v>-120.97799999999999</v>
      </c>
      <c r="E878">
        <v>20170818</v>
      </c>
      <c r="G878">
        <v>549</v>
      </c>
      <c r="H878">
        <v>8</v>
      </c>
      <c r="I878">
        <v>7.6749597449999998E-2</v>
      </c>
      <c r="J878">
        <v>19</v>
      </c>
      <c r="K878">
        <v>1.8582916759999998E-2</v>
      </c>
    </row>
    <row r="879" spans="1:11" x14ac:dyDescent="0.25">
      <c r="A879">
        <v>-44</v>
      </c>
      <c r="B879" t="s">
        <v>78</v>
      </c>
      <c r="C879">
        <v>47.341000000000001</v>
      </c>
      <c r="D879">
        <v>-120.97799999999999</v>
      </c>
      <c r="E879">
        <v>20170819</v>
      </c>
      <c r="G879">
        <v>586</v>
      </c>
      <c r="H879">
        <v>9</v>
      </c>
      <c r="I879">
        <v>0.14573970959999999</v>
      </c>
      <c r="J879">
        <v>37</v>
      </c>
      <c r="K879">
        <v>3.6187785260000001E-2</v>
      </c>
    </row>
    <row r="880" spans="1:11" x14ac:dyDescent="0.25">
      <c r="A880">
        <v>-44</v>
      </c>
      <c r="B880" t="s">
        <v>78</v>
      </c>
      <c r="C880">
        <v>47.341000000000001</v>
      </c>
      <c r="D880">
        <v>-120.97799999999999</v>
      </c>
      <c r="E880">
        <v>20170820</v>
      </c>
      <c r="G880">
        <v>639</v>
      </c>
      <c r="H880">
        <v>10</v>
      </c>
      <c r="I880">
        <v>0.20096753619999999</v>
      </c>
      <c r="J880">
        <v>53</v>
      </c>
      <c r="K880">
        <v>5.183655727E-2</v>
      </c>
    </row>
    <row r="881" spans="1:11" x14ac:dyDescent="0.25">
      <c r="A881">
        <v>-44</v>
      </c>
      <c r="B881" t="s">
        <v>78</v>
      </c>
      <c r="C881">
        <v>47.341000000000001</v>
      </c>
      <c r="D881">
        <v>-120.97799999999999</v>
      </c>
      <c r="E881">
        <v>20170821</v>
      </c>
      <c r="G881">
        <v>917</v>
      </c>
      <c r="H881">
        <v>11</v>
      </c>
      <c r="I881">
        <v>0.93888062269999994</v>
      </c>
      <c r="J881">
        <v>278</v>
      </c>
      <c r="K881">
        <v>0.27189741360000003</v>
      </c>
    </row>
    <row r="882" spans="1:11" x14ac:dyDescent="0.25">
      <c r="A882">
        <v>-44</v>
      </c>
      <c r="B882" t="s">
        <v>78</v>
      </c>
      <c r="C882">
        <v>47.341000000000001</v>
      </c>
      <c r="D882">
        <v>-120.97799999999999</v>
      </c>
      <c r="E882">
        <v>20170822</v>
      </c>
      <c r="G882">
        <v>1208</v>
      </c>
      <c r="H882">
        <v>12</v>
      </c>
      <c r="I882">
        <v>0.83956665929999996</v>
      </c>
      <c r="J882">
        <v>291</v>
      </c>
      <c r="K882">
        <v>0.28461204089999997</v>
      </c>
    </row>
    <row r="883" spans="1:11" x14ac:dyDescent="0.25">
      <c r="A883">
        <v>-44</v>
      </c>
      <c r="B883" t="s">
        <v>78</v>
      </c>
      <c r="C883">
        <v>47.341000000000001</v>
      </c>
      <c r="D883">
        <v>-120.97799999999999</v>
      </c>
      <c r="E883">
        <v>20170823</v>
      </c>
      <c r="G883">
        <v>1735</v>
      </c>
      <c r="H883">
        <v>13</v>
      </c>
      <c r="I883">
        <v>1.294177766</v>
      </c>
      <c r="J883">
        <v>527</v>
      </c>
      <c r="K883">
        <v>0.51543142799999997</v>
      </c>
    </row>
    <row r="884" spans="1:11" x14ac:dyDescent="0.25">
      <c r="A884">
        <v>-44</v>
      </c>
      <c r="B884" t="s">
        <v>78</v>
      </c>
      <c r="C884">
        <v>47.341000000000001</v>
      </c>
      <c r="D884">
        <v>-120.97799999999999</v>
      </c>
      <c r="E884">
        <v>20170824</v>
      </c>
      <c r="G884">
        <v>2707</v>
      </c>
      <c r="H884">
        <v>14</v>
      </c>
      <c r="I884">
        <v>1.9468868720000001</v>
      </c>
      <c r="J884">
        <v>972</v>
      </c>
      <c r="K884">
        <v>0.95066289940000004</v>
      </c>
    </row>
    <row r="885" spans="1:11" x14ac:dyDescent="0.25">
      <c r="A885">
        <v>-44</v>
      </c>
      <c r="B885" t="s">
        <v>78</v>
      </c>
      <c r="C885">
        <v>47.341000000000001</v>
      </c>
      <c r="D885">
        <v>-120.97799999999999</v>
      </c>
      <c r="E885">
        <v>20170825</v>
      </c>
      <c r="G885">
        <v>3316</v>
      </c>
      <c r="H885">
        <v>15</v>
      </c>
      <c r="I885">
        <v>1.042520028</v>
      </c>
      <c r="J885">
        <v>609</v>
      </c>
      <c r="K885">
        <v>0.59563138449999997</v>
      </c>
    </row>
    <row r="886" spans="1:11" x14ac:dyDescent="0.25">
      <c r="A886">
        <v>-44</v>
      </c>
      <c r="B886" t="s">
        <v>78</v>
      </c>
      <c r="C886">
        <v>47.341000000000001</v>
      </c>
      <c r="D886">
        <v>-120.97799999999999</v>
      </c>
      <c r="E886">
        <v>20170826</v>
      </c>
      <c r="G886">
        <v>4312</v>
      </c>
      <c r="H886">
        <v>16</v>
      </c>
      <c r="I886">
        <v>1.516358519</v>
      </c>
      <c r="J886">
        <v>996</v>
      </c>
      <c r="K886">
        <v>0.97413605739999998</v>
      </c>
    </row>
    <row r="887" spans="1:11" x14ac:dyDescent="0.25">
      <c r="A887">
        <v>-44</v>
      </c>
      <c r="B887" t="s">
        <v>78</v>
      </c>
      <c r="C887">
        <v>47.341000000000001</v>
      </c>
      <c r="D887">
        <v>-120.97799999999999</v>
      </c>
      <c r="E887">
        <v>20170827</v>
      </c>
      <c r="G887">
        <v>4682</v>
      </c>
      <c r="H887">
        <v>17</v>
      </c>
      <c r="I887">
        <v>0.51776609439999999</v>
      </c>
      <c r="J887">
        <v>370</v>
      </c>
      <c r="K887">
        <v>0.36187785259999999</v>
      </c>
    </row>
    <row r="888" spans="1:11" x14ac:dyDescent="0.25">
      <c r="A888">
        <v>-44</v>
      </c>
      <c r="B888" t="s">
        <v>78</v>
      </c>
      <c r="C888">
        <v>47.341000000000001</v>
      </c>
      <c r="D888">
        <v>-120.97799999999999</v>
      </c>
      <c r="E888">
        <v>20170828</v>
      </c>
      <c r="G888">
        <v>5164</v>
      </c>
      <c r="H888">
        <v>18</v>
      </c>
      <c r="I888">
        <v>0.64470899540000004</v>
      </c>
      <c r="J888">
        <v>482</v>
      </c>
      <c r="K888">
        <v>0.47141925670000001</v>
      </c>
    </row>
    <row r="889" spans="1:11" x14ac:dyDescent="0.25">
      <c r="A889">
        <v>-44</v>
      </c>
      <c r="B889" t="s">
        <v>78</v>
      </c>
      <c r="C889">
        <v>47.341000000000001</v>
      </c>
      <c r="D889">
        <v>-120.97799999999999</v>
      </c>
      <c r="E889">
        <v>20170829</v>
      </c>
      <c r="G889">
        <v>7692</v>
      </c>
      <c r="H889">
        <v>19</v>
      </c>
      <c r="I889">
        <v>2.9728346650000002</v>
      </c>
      <c r="J889">
        <v>2528</v>
      </c>
      <c r="K889">
        <v>2.472505977</v>
      </c>
    </row>
    <row r="890" spans="1:11" x14ac:dyDescent="0.25">
      <c r="A890">
        <v>-44</v>
      </c>
      <c r="B890" t="s">
        <v>78</v>
      </c>
      <c r="C890">
        <v>47.341000000000001</v>
      </c>
      <c r="D890">
        <v>-120.97799999999999</v>
      </c>
      <c r="E890">
        <v>20170830</v>
      </c>
      <c r="G890">
        <v>9386</v>
      </c>
      <c r="H890">
        <v>20</v>
      </c>
      <c r="I890">
        <v>1.7220565379999999</v>
      </c>
      <c r="J890">
        <v>1694</v>
      </c>
      <c r="K890">
        <v>1.6568137359999999</v>
      </c>
    </row>
    <row r="891" spans="1:11" x14ac:dyDescent="0.25">
      <c r="A891">
        <v>-44</v>
      </c>
      <c r="B891" t="s">
        <v>78</v>
      </c>
      <c r="C891">
        <v>47.341000000000001</v>
      </c>
      <c r="D891">
        <v>-120.97799999999999</v>
      </c>
      <c r="E891">
        <v>20170831</v>
      </c>
      <c r="G891">
        <v>11496</v>
      </c>
      <c r="H891">
        <v>21</v>
      </c>
      <c r="I891">
        <v>1.939854687</v>
      </c>
      <c r="J891">
        <v>2110</v>
      </c>
      <c r="K891">
        <v>2.0636818080000001</v>
      </c>
    </row>
    <row r="892" spans="1:11" x14ac:dyDescent="0.25">
      <c r="A892">
        <v>-44</v>
      </c>
      <c r="B892" t="s">
        <v>78</v>
      </c>
      <c r="C892">
        <v>47.341000000000001</v>
      </c>
      <c r="D892">
        <v>-120.97799999999999</v>
      </c>
      <c r="E892">
        <v>20170901</v>
      </c>
      <c r="G892">
        <v>14563</v>
      </c>
      <c r="H892">
        <v>22</v>
      </c>
      <c r="I892">
        <v>2.5252664710000001</v>
      </c>
      <c r="J892">
        <v>3067</v>
      </c>
      <c r="K892">
        <v>2.9996739840000002</v>
      </c>
    </row>
    <row r="893" spans="1:11" x14ac:dyDescent="0.25">
      <c r="A893">
        <v>-44</v>
      </c>
      <c r="B893" t="s">
        <v>78</v>
      </c>
      <c r="C893">
        <v>47.341000000000001</v>
      </c>
      <c r="D893">
        <v>-120.97799999999999</v>
      </c>
      <c r="E893">
        <v>20170902</v>
      </c>
      <c r="G893">
        <v>18085</v>
      </c>
      <c r="H893">
        <v>23</v>
      </c>
      <c r="I893">
        <v>2.5900729720000002</v>
      </c>
      <c r="J893">
        <v>3522</v>
      </c>
      <c r="K893">
        <v>3.4446859380000001</v>
      </c>
    </row>
    <row r="894" spans="1:11" x14ac:dyDescent="0.25">
      <c r="A894">
        <v>-44</v>
      </c>
      <c r="B894" t="s">
        <v>78</v>
      </c>
      <c r="C894">
        <v>47.341000000000001</v>
      </c>
      <c r="D894">
        <v>-120.97799999999999</v>
      </c>
      <c r="E894">
        <v>20170903</v>
      </c>
      <c r="G894">
        <v>20975</v>
      </c>
      <c r="H894">
        <v>24</v>
      </c>
      <c r="I894">
        <v>1.9415380760000001</v>
      </c>
      <c r="J894">
        <v>2890</v>
      </c>
      <c r="K894">
        <v>2.8265594439999999</v>
      </c>
    </row>
    <row r="895" spans="1:11" x14ac:dyDescent="0.25">
      <c r="A895">
        <v>-44</v>
      </c>
      <c r="B895" t="s">
        <v>78</v>
      </c>
      <c r="C895">
        <v>47.341000000000001</v>
      </c>
      <c r="D895">
        <v>-120.97799999999999</v>
      </c>
      <c r="E895">
        <v>20170904</v>
      </c>
      <c r="G895">
        <v>23106</v>
      </c>
      <c r="H895">
        <v>25</v>
      </c>
      <c r="I895">
        <v>1.347103935</v>
      </c>
      <c r="J895">
        <v>2131</v>
      </c>
      <c r="K895">
        <v>2.0842208219999998</v>
      </c>
    </row>
    <row r="896" spans="1:11" x14ac:dyDescent="0.25">
      <c r="A896">
        <v>-44</v>
      </c>
      <c r="B896" t="s">
        <v>78</v>
      </c>
      <c r="C896">
        <v>47.341000000000001</v>
      </c>
      <c r="D896">
        <v>-120.97799999999999</v>
      </c>
      <c r="E896">
        <v>20170905</v>
      </c>
      <c r="G896">
        <v>24514</v>
      </c>
      <c r="H896">
        <v>26</v>
      </c>
      <c r="I896">
        <v>0.85619330370000002</v>
      </c>
      <c r="J896">
        <v>1408</v>
      </c>
      <c r="K896">
        <v>1.3770919370000001</v>
      </c>
    </row>
    <row r="897" spans="1:11" x14ac:dyDescent="0.25">
      <c r="A897">
        <v>-44</v>
      </c>
      <c r="B897" t="s">
        <v>78</v>
      </c>
      <c r="C897">
        <v>47.341000000000001</v>
      </c>
      <c r="D897">
        <v>-120.97799999999999</v>
      </c>
      <c r="E897">
        <v>20170906</v>
      </c>
      <c r="G897">
        <v>26325</v>
      </c>
      <c r="H897">
        <v>27</v>
      </c>
      <c r="I897">
        <v>1.065872514</v>
      </c>
      <c r="J897">
        <v>1811</v>
      </c>
      <c r="K897">
        <v>1.771245381</v>
      </c>
    </row>
    <row r="898" spans="1:11" x14ac:dyDescent="0.25">
      <c r="A898">
        <v>-44</v>
      </c>
      <c r="B898" t="s">
        <v>78</v>
      </c>
      <c r="C898">
        <v>47.341000000000001</v>
      </c>
      <c r="D898">
        <v>-120.97799999999999</v>
      </c>
      <c r="E898">
        <v>20170907</v>
      </c>
      <c r="G898">
        <v>26325</v>
      </c>
      <c r="H898">
        <v>28</v>
      </c>
      <c r="I898">
        <v>0</v>
      </c>
      <c r="J898">
        <v>0</v>
      </c>
      <c r="K898">
        <v>0</v>
      </c>
    </row>
    <row r="899" spans="1:11" x14ac:dyDescent="0.25">
      <c r="A899">
        <v>-44</v>
      </c>
      <c r="B899" t="s">
        <v>78</v>
      </c>
      <c r="C899">
        <v>47.341000000000001</v>
      </c>
      <c r="D899">
        <v>-120.97799999999999</v>
      </c>
      <c r="E899">
        <v>20170908</v>
      </c>
      <c r="G899">
        <v>27412</v>
      </c>
      <c r="H899">
        <v>29</v>
      </c>
      <c r="I899">
        <v>0.62220206</v>
      </c>
      <c r="J899">
        <v>1087</v>
      </c>
      <c r="K899">
        <v>1.0631384479999999</v>
      </c>
    </row>
    <row r="900" spans="1:11" x14ac:dyDescent="0.25">
      <c r="A900">
        <v>-44</v>
      </c>
      <c r="B900" t="s">
        <v>78</v>
      </c>
      <c r="C900">
        <v>47.341000000000001</v>
      </c>
      <c r="D900">
        <v>-120.97799999999999</v>
      </c>
      <c r="E900">
        <v>20170909</v>
      </c>
      <c r="G900">
        <v>29432</v>
      </c>
      <c r="H900">
        <v>30</v>
      </c>
      <c r="I900">
        <v>1.1243306049999999</v>
      </c>
      <c r="J900">
        <v>2020</v>
      </c>
      <c r="K900">
        <v>1.9756574659999999</v>
      </c>
    </row>
    <row r="901" spans="1:11" x14ac:dyDescent="0.25">
      <c r="A901">
        <v>-44</v>
      </c>
      <c r="B901" t="s">
        <v>78</v>
      </c>
      <c r="C901">
        <v>47.341000000000001</v>
      </c>
      <c r="D901">
        <v>-120.97799999999999</v>
      </c>
      <c r="E901">
        <v>20170910</v>
      </c>
      <c r="G901">
        <v>30720</v>
      </c>
      <c r="H901">
        <v>31</v>
      </c>
      <c r="I901">
        <v>0.69683846309999997</v>
      </c>
      <c r="J901">
        <v>1288</v>
      </c>
      <c r="K901">
        <v>1.259726146</v>
      </c>
    </row>
    <row r="902" spans="1:11" x14ac:dyDescent="0.25">
      <c r="A902">
        <v>-44</v>
      </c>
      <c r="B902" t="s">
        <v>78</v>
      </c>
      <c r="C902">
        <v>47.341000000000001</v>
      </c>
      <c r="D902">
        <v>-120.97799999999999</v>
      </c>
      <c r="E902">
        <v>20170911</v>
      </c>
      <c r="G902">
        <v>32509</v>
      </c>
      <c r="H902">
        <v>32</v>
      </c>
      <c r="I902">
        <v>0.94408706870000003</v>
      </c>
      <c r="J902">
        <v>1789</v>
      </c>
      <c r="K902">
        <v>1.74972832</v>
      </c>
    </row>
    <row r="903" spans="1:11" x14ac:dyDescent="0.25">
      <c r="A903">
        <v>-44</v>
      </c>
      <c r="B903" t="s">
        <v>78</v>
      </c>
      <c r="C903">
        <v>47.341000000000001</v>
      </c>
      <c r="D903">
        <v>-120.97799999999999</v>
      </c>
      <c r="E903">
        <v>20170912</v>
      </c>
      <c r="G903">
        <v>33950</v>
      </c>
      <c r="H903">
        <v>33</v>
      </c>
      <c r="I903">
        <v>0.74170122959999996</v>
      </c>
      <c r="J903">
        <v>1441</v>
      </c>
      <c r="K903">
        <v>1.4093675290000001</v>
      </c>
    </row>
    <row r="904" spans="1:11" x14ac:dyDescent="0.25">
      <c r="A904">
        <v>-44</v>
      </c>
      <c r="B904" t="s">
        <v>78</v>
      </c>
      <c r="C904">
        <v>47.341000000000001</v>
      </c>
      <c r="D904">
        <v>-120.97799999999999</v>
      </c>
      <c r="E904">
        <v>20170913</v>
      </c>
      <c r="G904">
        <v>34222</v>
      </c>
      <c r="H904">
        <v>34</v>
      </c>
      <c r="I904">
        <v>0.13822390030000001</v>
      </c>
      <c r="J904">
        <v>272</v>
      </c>
      <c r="K904">
        <v>0.26602912410000001</v>
      </c>
    </row>
    <row r="905" spans="1:11" x14ac:dyDescent="0.25">
      <c r="A905">
        <v>-44</v>
      </c>
      <c r="B905" t="s">
        <v>78</v>
      </c>
      <c r="C905">
        <v>47.341000000000001</v>
      </c>
      <c r="D905">
        <v>-120.97799999999999</v>
      </c>
      <c r="E905">
        <v>20170914</v>
      </c>
      <c r="G905">
        <v>34222</v>
      </c>
      <c r="H905">
        <v>35</v>
      </c>
      <c r="I905">
        <v>0</v>
      </c>
      <c r="J905">
        <v>0</v>
      </c>
      <c r="K905">
        <v>0</v>
      </c>
    </row>
    <row r="906" spans="1:11" x14ac:dyDescent="0.25">
      <c r="A906">
        <v>-44</v>
      </c>
      <c r="B906" t="s">
        <v>78</v>
      </c>
      <c r="C906">
        <v>47.341000000000001</v>
      </c>
      <c r="D906">
        <v>-120.97799999999999</v>
      </c>
      <c r="E906">
        <v>20170915</v>
      </c>
      <c r="G906">
        <v>36808</v>
      </c>
      <c r="H906">
        <v>36</v>
      </c>
      <c r="I906">
        <v>1.2876445620000001</v>
      </c>
      <c r="J906">
        <v>2586</v>
      </c>
      <c r="K906">
        <v>2.5292327750000001</v>
      </c>
    </row>
    <row r="908" spans="1:11" x14ac:dyDescent="0.25">
      <c r="A908">
        <v>-45</v>
      </c>
      <c r="B908" t="s">
        <v>79</v>
      </c>
      <c r="C908">
        <v>42.220999999999997</v>
      </c>
      <c r="D908">
        <v>-113.193</v>
      </c>
      <c r="E908">
        <v>20070706</v>
      </c>
      <c r="G908">
        <v>4800</v>
      </c>
      <c r="H908">
        <v>1</v>
      </c>
      <c r="I908">
        <v>2.0655911179999999</v>
      </c>
      <c r="J908">
        <v>4800</v>
      </c>
      <c r="K908">
        <v>0.53333333329999999</v>
      </c>
    </row>
    <row r="909" spans="1:11" x14ac:dyDescent="0.25">
      <c r="A909">
        <v>-45</v>
      </c>
      <c r="B909" t="s">
        <v>79</v>
      </c>
      <c r="C909">
        <v>42.220999999999997</v>
      </c>
      <c r="D909">
        <v>-113.193</v>
      </c>
      <c r="E909">
        <v>20070707</v>
      </c>
      <c r="G909">
        <v>21875</v>
      </c>
      <c r="H909">
        <v>2</v>
      </c>
      <c r="I909">
        <v>2.3439944000000001</v>
      </c>
      <c r="J909">
        <v>17075</v>
      </c>
      <c r="K909">
        <v>1.8972222219999999</v>
      </c>
    </row>
    <row r="910" spans="1:11" x14ac:dyDescent="0.25">
      <c r="A910">
        <v>-45</v>
      </c>
      <c r="B910" t="s">
        <v>79</v>
      </c>
      <c r="C910">
        <v>42.220999999999997</v>
      </c>
      <c r="D910">
        <v>-113.193</v>
      </c>
      <c r="E910">
        <v>20070708</v>
      </c>
      <c r="G910">
        <v>44982</v>
      </c>
      <c r="H910">
        <v>3</v>
      </c>
      <c r="I910">
        <v>1.913704764</v>
      </c>
      <c r="J910">
        <v>23107</v>
      </c>
      <c r="K910">
        <v>2.5674444439999999</v>
      </c>
    </row>
    <row r="911" spans="1:11" x14ac:dyDescent="0.25">
      <c r="A911">
        <v>-45</v>
      </c>
      <c r="B911" t="s">
        <v>79</v>
      </c>
      <c r="C911">
        <v>42.220999999999997</v>
      </c>
      <c r="D911">
        <v>-113.193</v>
      </c>
      <c r="E911">
        <v>20070709</v>
      </c>
      <c r="G911">
        <v>50000</v>
      </c>
      <c r="H911">
        <v>4</v>
      </c>
      <c r="I911">
        <v>0.34337638390000003</v>
      </c>
      <c r="J911">
        <v>5018</v>
      </c>
      <c r="K911">
        <v>0.55755555560000003</v>
      </c>
    </row>
    <row r="912" spans="1:11" x14ac:dyDescent="0.25">
      <c r="A912">
        <v>-45</v>
      </c>
      <c r="B912" t="s">
        <v>79</v>
      </c>
      <c r="C912">
        <v>42.220999999999997</v>
      </c>
      <c r="D912">
        <v>-113.193</v>
      </c>
      <c r="E912">
        <v>20070710</v>
      </c>
      <c r="G912">
        <v>52000</v>
      </c>
      <c r="H912">
        <v>5</v>
      </c>
      <c r="I912">
        <v>0.1320260181</v>
      </c>
      <c r="J912">
        <v>2000</v>
      </c>
      <c r="K912">
        <v>0.22222222220000001</v>
      </c>
    </row>
    <row r="913" spans="1:11" x14ac:dyDescent="0.25">
      <c r="A913">
        <v>-45</v>
      </c>
      <c r="B913" t="s">
        <v>79</v>
      </c>
      <c r="C913">
        <v>42.220999999999997</v>
      </c>
      <c r="D913">
        <v>-113.193</v>
      </c>
      <c r="E913">
        <v>20070711</v>
      </c>
      <c r="G913">
        <v>65000</v>
      </c>
      <c r="H913">
        <v>6</v>
      </c>
      <c r="I913">
        <v>0.80247681589999997</v>
      </c>
      <c r="J913">
        <v>13000</v>
      </c>
      <c r="K913">
        <v>1.4444444439999999</v>
      </c>
    </row>
    <row r="914" spans="1:11" x14ac:dyDescent="0.25">
      <c r="A914">
        <v>-45</v>
      </c>
      <c r="B914" t="s">
        <v>79</v>
      </c>
      <c r="C914">
        <v>42.220999999999997</v>
      </c>
      <c r="D914">
        <v>-113.193</v>
      </c>
      <c r="E914">
        <v>20070712</v>
      </c>
      <c r="G914">
        <v>70000</v>
      </c>
      <c r="H914">
        <v>7</v>
      </c>
      <c r="I914">
        <v>0.28693687680000002</v>
      </c>
      <c r="J914">
        <v>5000</v>
      </c>
      <c r="K914">
        <v>0.55555555560000003</v>
      </c>
    </row>
    <row r="915" spans="1:11" x14ac:dyDescent="0.25">
      <c r="A915">
        <v>-45</v>
      </c>
      <c r="B915" t="s">
        <v>79</v>
      </c>
      <c r="C915">
        <v>42.220999999999997</v>
      </c>
      <c r="D915">
        <v>-113.193</v>
      </c>
      <c r="E915">
        <v>20070713</v>
      </c>
      <c r="G915">
        <v>72000</v>
      </c>
      <c r="H915">
        <v>8</v>
      </c>
      <c r="I915">
        <v>0.1118936225</v>
      </c>
      <c r="J915">
        <v>2000</v>
      </c>
      <c r="K915">
        <v>0.22222222220000001</v>
      </c>
    </row>
    <row r="917" spans="1:11" x14ac:dyDescent="0.25">
      <c r="A917">
        <v>-46</v>
      </c>
      <c r="B917" t="s">
        <v>80</v>
      </c>
      <c r="C917">
        <v>38.265999999999998</v>
      </c>
      <c r="D917">
        <v>-120.592</v>
      </c>
      <c r="E917">
        <v>20150909</v>
      </c>
      <c r="G917">
        <v>0</v>
      </c>
      <c r="H917">
        <v>1</v>
      </c>
      <c r="I917">
        <v>0</v>
      </c>
      <c r="J917">
        <v>0</v>
      </c>
      <c r="K917">
        <v>0</v>
      </c>
    </row>
    <row r="918" spans="1:11" x14ac:dyDescent="0.25">
      <c r="A918">
        <v>-46</v>
      </c>
      <c r="B918" t="s">
        <v>80</v>
      </c>
      <c r="C918">
        <v>38.265999999999998</v>
      </c>
      <c r="D918">
        <v>-120.592</v>
      </c>
      <c r="E918">
        <v>20150910</v>
      </c>
      <c r="G918">
        <v>4000</v>
      </c>
      <c r="H918">
        <v>2</v>
      </c>
      <c r="I918">
        <v>3.088504651</v>
      </c>
      <c r="J918">
        <v>4000</v>
      </c>
      <c r="K918">
        <v>0.73375853700000004</v>
      </c>
    </row>
    <row r="919" spans="1:11" x14ac:dyDescent="0.25">
      <c r="A919">
        <v>-46</v>
      </c>
      <c r="B919" t="s">
        <v>80</v>
      </c>
      <c r="C919">
        <v>38.265999999999998</v>
      </c>
      <c r="D919">
        <v>-120.592</v>
      </c>
      <c r="E919">
        <v>20150911</v>
      </c>
      <c r="G919">
        <v>31974</v>
      </c>
      <c r="H919">
        <v>3</v>
      </c>
      <c r="I919">
        <v>5.6435561160000001</v>
      </c>
      <c r="J919">
        <v>27974</v>
      </c>
      <c r="K919">
        <v>5.1315403279999998</v>
      </c>
    </row>
    <row r="920" spans="1:11" x14ac:dyDescent="0.25">
      <c r="A920">
        <v>-46</v>
      </c>
      <c r="B920" t="s">
        <v>80</v>
      </c>
      <c r="C920">
        <v>38.265999999999998</v>
      </c>
      <c r="D920">
        <v>-120.592</v>
      </c>
      <c r="E920">
        <v>20150912</v>
      </c>
      <c r="G920">
        <v>64728</v>
      </c>
      <c r="H920">
        <v>3</v>
      </c>
      <c r="I920">
        <v>3.6920226349999998</v>
      </c>
      <c r="J920">
        <v>32754</v>
      </c>
      <c r="K920">
        <v>6.0083817799999997</v>
      </c>
    </row>
    <row r="921" spans="1:11" x14ac:dyDescent="0.25">
      <c r="A921">
        <v>-46</v>
      </c>
      <c r="B921" t="s">
        <v>80</v>
      </c>
      <c r="C921">
        <v>38.265999999999998</v>
      </c>
      <c r="D921">
        <v>-120.592</v>
      </c>
      <c r="E921">
        <v>20150913</v>
      </c>
      <c r="G921">
        <v>65000</v>
      </c>
      <c r="H921">
        <v>4</v>
      </c>
      <c r="I921">
        <v>2.6076875140000001E-2</v>
      </c>
      <c r="J921">
        <v>272</v>
      </c>
      <c r="K921">
        <v>4.9895580520000003E-2</v>
      </c>
    </row>
    <row r="922" spans="1:11" x14ac:dyDescent="0.25">
      <c r="A922">
        <v>-46</v>
      </c>
      <c r="B922" t="s">
        <v>80</v>
      </c>
      <c r="C922">
        <v>38.265999999999998</v>
      </c>
      <c r="D922">
        <v>-120.592</v>
      </c>
      <c r="E922">
        <v>20150914</v>
      </c>
      <c r="H922">
        <v>5</v>
      </c>
      <c r="J922">
        <v>0</v>
      </c>
      <c r="K922">
        <v>0</v>
      </c>
    </row>
    <row r="923" spans="1:11" x14ac:dyDescent="0.25">
      <c r="A923">
        <v>-46</v>
      </c>
      <c r="B923" t="s">
        <v>80</v>
      </c>
      <c r="C923">
        <v>38.265999999999998</v>
      </c>
      <c r="D923">
        <v>-120.592</v>
      </c>
      <c r="E923">
        <v>20150915</v>
      </c>
      <c r="G923">
        <v>71063</v>
      </c>
      <c r="H923">
        <v>6</v>
      </c>
      <c r="I923">
        <v>13.017873079999999</v>
      </c>
      <c r="J923">
        <v>6063</v>
      </c>
      <c r="K923">
        <v>1.1121945019999999</v>
      </c>
    </row>
    <row r="924" spans="1:11" x14ac:dyDescent="0.25">
      <c r="A924">
        <v>-46</v>
      </c>
      <c r="B924" t="s">
        <v>80</v>
      </c>
      <c r="C924">
        <v>38.265999999999998</v>
      </c>
      <c r="D924">
        <v>-120.592</v>
      </c>
      <c r="E924">
        <v>20150916</v>
      </c>
      <c r="G924">
        <v>71523</v>
      </c>
      <c r="H924">
        <v>6</v>
      </c>
      <c r="I924">
        <v>4.2065225370000001E-2</v>
      </c>
      <c r="J924">
        <v>460</v>
      </c>
      <c r="K924">
        <v>8.4382231749999995E-2</v>
      </c>
    </row>
    <row r="925" spans="1:11" x14ac:dyDescent="0.25">
      <c r="A925">
        <v>-46</v>
      </c>
      <c r="B925" t="s">
        <v>80</v>
      </c>
      <c r="C925">
        <v>38.265999999999998</v>
      </c>
      <c r="D925">
        <v>-120.592</v>
      </c>
      <c r="E925">
        <v>20150917</v>
      </c>
      <c r="G925">
        <v>71780</v>
      </c>
      <c r="H925">
        <v>7</v>
      </c>
      <c r="I925">
        <v>2.3442769799999999E-2</v>
      </c>
      <c r="J925">
        <v>257</v>
      </c>
      <c r="K925">
        <v>4.7143985999999999E-2</v>
      </c>
    </row>
    <row r="926" spans="1:11" x14ac:dyDescent="0.25">
      <c r="A926">
        <v>-46</v>
      </c>
      <c r="B926" t="s">
        <v>80</v>
      </c>
      <c r="C926">
        <v>38.265999999999998</v>
      </c>
      <c r="D926">
        <v>-120.592</v>
      </c>
      <c r="E926">
        <v>20150918</v>
      </c>
      <c r="G926">
        <v>71780</v>
      </c>
      <c r="H926">
        <v>6</v>
      </c>
      <c r="I926">
        <v>0</v>
      </c>
      <c r="J926">
        <v>0</v>
      </c>
      <c r="K926">
        <v>0</v>
      </c>
    </row>
    <row r="927" spans="1:11" x14ac:dyDescent="0.25">
      <c r="A927">
        <v>-46</v>
      </c>
      <c r="B927" t="s">
        <v>80</v>
      </c>
      <c r="C927">
        <v>38.265999999999998</v>
      </c>
      <c r="D927">
        <v>-120.592</v>
      </c>
      <c r="E927">
        <v>20150919</v>
      </c>
      <c r="G927">
        <v>70760</v>
      </c>
      <c r="H927">
        <v>8</v>
      </c>
      <c r="I927">
        <v>-9.3290590199999995E-2</v>
      </c>
      <c r="J927">
        <v>-1020</v>
      </c>
      <c r="K927">
        <v>-0.18710842690000001</v>
      </c>
    </row>
    <row r="928" spans="1:11" x14ac:dyDescent="0.25">
      <c r="A928">
        <v>-46</v>
      </c>
      <c r="B928" t="s">
        <v>80</v>
      </c>
      <c r="C928">
        <v>38.265999999999998</v>
      </c>
      <c r="D928">
        <v>-120.592</v>
      </c>
      <c r="E928">
        <v>20150920</v>
      </c>
      <c r="H928">
        <v>9</v>
      </c>
      <c r="J928">
        <v>0</v>
      </c>
      <c r="K928">
        <v>0</v>
      </c>
    </row>
    <row r="929" spans="1:11" x14ac:dyDescent="0.25">
      <c r="A929">
        <v>-46</v>
      </c>
      <c r="B929" t="s">
        <v>80</v>
      </c>
      <c r="C929">
        <v>38.265999999999998</v>
      </c>
      <c r="D929">
        <v>-120.592</v>
      </c>
      <c r="E929">
        <v>20150921</v>
      </c>
      <c r="G929">
        <v>70760</v>
      </c>
      <c r="H929">
        <v>10</v>
      </c>
      <c r="I929">
        <v>12.990090479999999</v>
      </c>
      <c r="J929">
        <v>0</v>
      </c>
      <c r="K929">
        <v>0</v>
      </c>
    </row>
    <row r="930" spans="1:11" x14ac:dyDescent="0.25">
      <c r="A930">
        <v>-46</v>
      </c>
      <c r="B930" t="s">
        <v>80</v>
      </c>
      <c r="C930">
        <v>38.265999999999998</v>
      </c>
      <c r="D930">
        <v>-120.592</v>
      </c>
      <c r="E930">
        <v>20150922</v>
      </c>
      <c r="G930">
        <v>70760</v>
      </c>
      <c r="H930">
        <v>10</v>
      </c>
      <c r="I930">
        <v>0</v>
      </c>
      <c r="J930">
        <v>0</v>
      </c>
      <c r="K930">
        <v>0</v>
      </c>
    </row>
    <row r="931" spans="1:11" x14ac:dyDescent="0.25">
      <c r="A931">
        <v>-46</v>
      </c>
      <c r="B931" t="s">
        <v>80</v>
      </c>
      <c r="C931">
        <v>38.265999999999998</v>
      </c>
      <c r="D931">
        <v>-120.592</v>
      </c>
      <c r="E931">
        <v>20150923</v>
      </c>
      <c r="G931">
        <v>70760</v>
      </c>
      <c r="H931">
        <v>11</v>
      </c>
      <c r="I931">
        <v>0</v>
      </c>
      <c r="J931">
        <v>0</v>
      </c>
      <c r="K931">
        <v>0</v>
      </c>
    </row>
    <row r="932" spans="1:11" x14ac:dyDescent="0.25">
      <c r="A932">
        <v>-46</v>
      </c>
      <c r="B932" t="s">
        <v>80</v>
      </c>
      <c r="C932">
        <v>38.265999999999998</v>
      </c>
      <c r="D932">
        <v>-120.592</v>
      </c>
      <c r="E932">
        <v>20150924</v>
      </c>
      <c r="G932">
        <v>70760</v>
      </c>
      <c r="H932">
        <v>12</v>
      </c>
      <c r="I932">
        <v>0</v>
      </c>
      <c r="J932">
        <v>0</v>
      </c>
      <c r="K932">
        <v>0</v>
      </c>
    </row>
    <row r="933" spans="1:11" x14ac:dyDescent="0.25">
      <c r="A933">
        <v>-46</v>
      </c>
      <c r="B933" t="s">
        <v>80</v>
      </c>
      <c r="C933">
        <v>38.265999999999998</v>
      </c>
      <c r="D933">
        <v>-120.592</v>
      </c>
      <c r="E933">
        <v>20150925</v>
      </c>
      <c r="G933">
        <v>70868</v>
      </c>
      <c r="H933">
        <v>13</v>
      </c>
      <c r="I933">
        <v>9.9095171159999992E-3</v>
      </c>
      <c r="J933">
        <v>108</v>
      </c>
      <c r="K933">
        <v>1.9811480499999999E-2</v>
      </c>
    </row>
    <row r="935" spans="1:11" x14ac:dyDescent="0.25">
      <c r="A935">
        <v>-47</v>
      </c>
      <c r="B935" t="s">
        <v>81</v>
      </c>
      <c r="C935">
        <v>43.43</v>
      </c>
      <c r="D935">
        <v>-119.88800000000001</v>
      </c>
      <c r="E935">
        <v>20170802</v>
      </c>
      <c r="G935">
        <v>10714</v>
      </c>
      <c r="H935">
        <v>1</v>
      </c>
      <c r="I935">
        <v>3.1632901019999999</v>
      </c>
      <c r="J935">
        <v>10714</v>
      </c>
      <c r="K935">
        <v>1.429486324</v>
      </c>
    </row>
    <row r="936" spans="1:11" x14ac:dyDescent="0.25">
      <c r="A936">
        <v>-47</v>
      </c>
      <c r="B936" t="s">
        <v>81</v>
      </c>
      <c r="C936">
        <v>43.43</v>
      </c>
      <c r="D936">
        <v>-119.88800000000001</v>
      </c>
      <c r="E936">
        <v>20170803</v>
      </c>
      <c r="G936">
        <v>10714</v>
      </c>
      <c r="H936">
        <v>2</v>
      </c>
      <c r="I936">
        <v>0</v>
      </c>
      <c r="J936">
        <v>0</v>
      </c>
      <c r="K936">
        <v>0</v>
      </c>
    </row>
    <row r="937" spans="1:11" x14ac:dyDescent="0.25">
      <c r="A937">
        <v>-47</v>
      </c>
      <c r="B937" t="s">
        <v>81</v>
      </c>
      <c r="C937">
        <v>43.43</v>
      </c>
      <c r="D937">
        <v>-119.88800000000001</v>
      </c>
      <c r="E937">
        <v>20170804</v>
      </c>
      <c r="G937">
        <v>15839</v>
      </c>
      <c r="H937">
        <v>3</v>
      </c>
      <c r="I937">
        <v>0.68286754149999995</v>
      </c>
      <c r="J937">
        <v>5125</v>
      </c>
      <c r="K937">
        <v>0.68378919279999995</v>
      </c>
    </row>
    <row r="938" spans="1:11" x14ac:dyDescent="0.25">
      <c r="A938">
        <v>-47</v>
      </c>
      <c r="B938" t="s">
        <v>81</v>
      </c>
      <c r="C938">
        <v>43.43</v>
      </c>
      <c r="D938">
        <v>-119.88800000000001</v>
      </c>
      <c r="E938">
        <v>20170805</v>
      </c>
      <c r="G938">
        <v>52223</v>
      </c>
      <c r="H938">
        <v>4</v>
      </c>
      <c r="I938">
        <v>3.1376796009999999</v>
      </c>
      <c r="J938">
        <v>36384</v>
      </c>
      <c r="K938">
        <v>4.8544362909999998</v>
      </c>
    </row>
    <row r="939" spans="1:11" x14ac:dyDescent="0.25">
      <c r="A939">
        <v>-47</v>
      </c>
      <c r="B939" t="s">
        <v>81</v>
      </c>
      <c r="C939">
        <v>43.43</v>
      </c>
      <c r="D939">
        <v>-119.88800000000001</v>
      </c>
      <c r="E939">
        <v>20170806</v>
      </c>
      <c r="G939">
        <v>52531</v>
      </c>
      <c r="H939">
        <v>5</v>
      </c>
      <c r="I939">
        <v>2.0564307140000002E-2</v>
      </c>
      <c r="J939">
        <v>308</v>
      </c>
      <c r="K939">
        <v>4.1094062709999997E-2</v>
      </c>
    </row>
    <row r="940" spans="1:11" x14ac:dyDescent="0.25">
      <c r="A940">
        <v>-47</v>
      </c>
      <c r="B940" t="s">
        <v>81</v>
      </c>
      <c r="C940">
        <v>43.43</v>
      </c>
      <c r="D940">
        <v>-119.88800000000001</v>
      </c>
      <c r="E940">
        <v>20170807</v>
      </c>
      <c r="G940">
        <v>52531</v>
      </c>
      <c r="H940">
        <v>6</v>
      </c>
      <c r="I940">
        <v>0</v>
      </c>
      <c r="J940">
        <v>0</v>
      </c>
      <c r="K940">
        <v>0</v>
      </c>
    </row>
    <row r="941" spans="1:11" x14ac:dyDescent="0.25">
      <c r="A941">
        <v>-47</v>
      </c>
      <c r="B941" t="s">
        <v>81</v>
      </c>
      <c r="C941">
        <v>43.43</v>
      </c>
      <c r="D941">
        <v>-119.88800000000001</v>
      </c>
      <c r="E941">
        <v>20170808</v>
      </c>
      <c r="G941">
        <v>52465</v>
      </c>
      <c r="H941">
        <v>7</v>
      </c>
      <c r="I941">
        <v>-4.401551458E-3</v>
      </c>
      <c r="J941">
        <v>-66</v>
      </c>
      <c r="K941">
        <v>-8.8058705799999998E-3</v>
      </c>
    </row>
    <row r="943" spans="1:11" x14ac:dyDescent="0.25">
      <c r="A943">
        <v>-48</v>
      </c>
      <c r="B943" t="s">
        <v>82</v>
      </c>
      <c r="C943">
        <v>32.378</v>
      </c>
      <c r="D943">
        <v>-110.60899999999999</v>
      </c>
      <c r="E943">
        <v>20170630</v>
      </c>
      <c r="G943">
        <v>329</v>
      </c>
      <c r="H943">
        <v>1</v>
      </c>
      <c r="I943">
        <v>0.98749870299999998</v>
      </c>
      <c r="J943">
        <v>329</v>
      </c>
      <c r="K943">
        <v>0.10835040980000001</v>
      </c>
    </row>
    <row r="944" spans="1:11" x14ac:dyDescent="0.25">
      <c r="A944">
        <v>-48</v>
      </c>
      <c r="B944" t="s">
        <v>82</v>
      </c>
      <c r="C944">
        <v>32.378</v>
      </c>
      <c r="D944">
        <v>-110.60899999999999</v>
      </c>
      <c r="E944">
        <v>20170701</v>
      </c>
      <c r="G944">
        <v>3573</v>
      </c>
      <c r="H944">
        <v>2</v>
      </c>
      <c r="I944">
        <v>2.2667826149999999</v>
      </c>
      <c r="J944">
        <v>3244</v>
      </c>
      <c r="K944">
        <v>1.0683548009999999</v>
      </c>
    </row>
    <row r="945" spans="1:11" x14ac:dyDescent="0.25">
      <c r="A945">
        <v>-48</v>
      </c>
      <c r="B945" t="s">
        <v>82</v>
      </c>
      <c r="C945">
        <v>32.378</v>
      </c>
      <c r="D945">
        <v>-110.60899999999999</v>
      </c>
      <c r="E945">
        <v>20170702</v>
      </c>
      <c r="G945">
        <v>11321</v>
      </c>
      <c r="H945">
        <v>3</v>
      </c>
      <c r="I945">
        <v>2.5384179200000001</v>
      </c>
      <c r="J945">
        <v>7748</v>
      </c>
      <c r="K945">
        <v>2.5516686179999999</v>
      </c>
    </row>
    <row r="946" spans="1:11" x14ac:dyDescent="0.25">
      <c r="A946">
        <v>-48</v>
      </c>
      <c r="B946" t="s">
        <v>82</v>
      </c>
      <c r="C946">
        <v>32.378</v>
      </c>
      <c r="D946">
        <v>-110.60899999999999</v>
      </c>
      <c r="E946">
        <v>20170703</v>
      </c>
      <c r="G946">
        <v>19089</v>
      </c>
      <c r="H946">
        <v>4</v>
      </c>
      <c r="I946">
        <v>1.7292461139999999</v>
      </c>
      <c r="J946">
        <v>7768</v>
      </c>
      <c r="K946">
        <v>2.558255269</v>
      </c>
    </row>
    <row r="947" spans="1:11" x14ac:dyDescent="0.25">
      <c r="A947">
        <v>-48</v>
      </c>
      <c r="B947" t="s">
        <v>82</v>
      </c>
      <c r="C947">
        <v>32.378</v>
      </c>
      <c r="D947">
        <v>-110.60899999999999</v>
      </c>
      <c r="E947">
        <v>20170704</v>
      </c>
      <c r="G947">
        <v>23274</v>
      </c>
      <c r="H947">
        <v>5</v>
      </c>
      <c r="I947">
        <v>0.7837137113</v>
      </c>
      <c r="J947">
        <v>4185</v>
      </c>
      <c r="K947">
        <v>1.378256733</v>
      </c>
    </row>
    <row r="948" spans="1:11" x14ac:dyDescent="0.25">
      <c r="A948">
        <v>-48</v>
      </c>
      <c r="B948" t="s">
        <v>82</v>
      </c>
      <c r="C948">
        <v>32.378</v>
      </c>
      <c r="D948">
        <v>-110.60899999999999</v>
      </c>
      <c r="E948">
        <v>20170705</v>
      </c>
      <c r="G948">
        <v>25090</v>
      </c>
      <c r="H948">
        <v>6</v>
      </c>
      <c r="I948">
        <v>0.31794712650000001</v>
      </c>
      <c r="J948">
        <v>1816</v>
      </c>
      <c r="K948">
        <v>0.59806791569999995</v>
      </c>
    </row>
    <row r="949" spans="1:11" x14ac:dyDescent="0.25">
      <c r="A949">
        <v>-48</v>
      </c>
      <c r="B949" t="s">
        <v>82</v>
      </c>
      <c r="C949">
        <v>32.378</v>
      </c>
      <c r="D949">
        <v>-110.60899999999999</v>
      </c>
      <c r="E949">
        <v>20170706</v>
      </c>
      <c r="G949">
        <v>26089</v>
      </c>
      <c r="H949">
        <v>7</v>
      </c>
      <c r="I949">
        <v>0.1700058495</v>
      </c>
      <c r="J949">
        <v>999</v>
      </c>
      <c r="K949">
        <v>0.32900322009999999</v>
      </c>
    </row>
    <row r="950" spans="1:11" x14ac:dyDescent="0.25">
      <c r="A950">
        <v>-48</v>
      </c>
      <c r="B950" t="s">
        <v>82</v>
      </c>
      <c r="C950">
        <v>32.378</v>
      </c>
      <c r="D950">
        <v>-110.60899999999999</v>
      </c>
      <c r="E950">
        <v>20170707</v>
      </c>
      <c r="G950">
        <v>26659</v>
      </c>
      <c r="H950">
        <v>8</v>
      </c>
      <c r="I950">
        <v>9.5543640119999995E-2</v>
      </c>
      <c r="J950">
        <v>570</v>
      </c>
      <c r="K950">
        <v>0.18771955500000001</v>
      </c>
    </row>
    <row r="951" spans="1:11" x14ac:dyDescent="0.25">
      <c r="A951">
        <v>-48</v>
      </c>
      <c r="B951" t="s">
        <v>82</v>
      </c>
      <c r="C951">
        <v>32.378</v>
      </c>
      <c r="D951">
        <v>-110.60899999999999</v>
      </c>
      <c r="E951">
        <v>20170708</v>
      </c>
      <c r="G951">
        <v>27328</v>
      </c>
      <c r="H951">
        <v>9</v>
      </c>
      <c r="I951">
        <v>0.1108443202</v>
      </c>
      <c r="J951">
        <v>669</v>
      </c>
      <c r="K951">
        <v>0.2203234778</v>
      </c>
    </row>
    <row r="953" spans="1:11" x14ac:dyDescent="0.25">
      <c r="A953">
        <v>-49</v>
      </c>
      <c r="B953" t="s">
        <v>83</v>
      </c>
      <c r="C953">
        <v>40.421999999999997</v>
      </c>
      <c r="D953">
        <v>-122.62</v>
      </c>
      <c r="E953">
        <v>20200927</v>
      </c>
      <c r="G953">
        <v>7000</v>
      </c>
      <c r="H953">
        <v>1</v>
      </c>
      <c r="I953">
        <v>3.8774034500000001</v>
      </c>
      <c r="J953">
        <v>7000</v>
      </c>
      <c r="K953">
        <v>1.366750683</v>
      </c>
    </row>
    <row r="954" spans="1:11" x14ac:dyDescent="0.25">
      <c r="A954">
        <v>-49</v>
      </c>
      <c r="B954" t="s">
        <v>83</v>
      </c>
      <c r="C954">
        <v>40.421999999999997</v>
      </c>
      <c r="D954">
        <v>-122.62</v>
      </c>
      <c r="E954">
        <v>20200928</v>
      </c>
      <c r="G954">
        <v>31237</v>
      </c>
      <c r="H954">
        <v>2</v>
      </c>
      <c r="I954">
        <v>4.3134023890000002</v>
      </c>
      <c r="J954">
        <v>24237</v>
      </c>
      <c r="K954">
        <v>4.732276616</v>
      </c>
    </row>
    <row r="955" spans="1:11" x14ac:dyDescent="0.25">
      <c r="A955">
        <v>-49</v>
      </c>
      <c r="B955" t="s">
        <v>83</v>
      </c>
      <c r="C955">
        <v>40.421999999999997</v>
      </c>
      <c r="D955">
        <v>-122.62</v>
      </c>
      <c r="E955">
        <v>20200929</v>
      </c>
      <c r="G955">
        <v>50102</v>
      </c>
      <c r="H955">
        <v>3</v>
      </c>
      <c r="I955">
        <v>2.1825554440000001</v>
      </c>
      <c r="J955">
        <v>18865</v>
      </c>
      <c r="K955">
        <v>3.6833930920000002</v>
      </c>
    </row>
    <row r="956" spans="1:11" x14ac:dyDescent="0.25">
      <c r="A956">
        <v>-49</v>
      </c>
      <c r="B956" t="s">
        <v>83</v>
      </c>
      <c r="C956">
        <v>40.421999999999997</v>
      </c>
      <c r="D956">
        <v>-122.62</v>
      </c>
      <c r="E956">
        <v>20200930</v>
      </c>
      <c r="G956">
        <v>55303</v>
      </c>
      <c r="H956">
        <v>4</v>
      </c>
      <c r="I956">
        <v>0.52512841249999997</v>
      </c>
      <c r="J956">
        <v>5201</v>
      </c>
      <c r="K956">
        <v>1.0154957579999999</v>
      </c>
    </row>
    <row r="957" spans="1:11" x14ac:dyDescent="0.25">
      <c r="A957">
        <v>-49</v>
      </c>
      <c r="B957" t="s">
        <v>83</v>
      </c>
      <c r="C957">
        <v>40.421999999999997</v>
      </c>
      <c r="D957">
        <v>-122.62</v>
      </c>
      <c r="E957">
        <v>20201001</v>
      </c>
      <c r="G957">
        <v>56018</v>
      </c>
      <c r="H957">
        <v>5</v>
      </c>
      <c r="I957">
        <v>7.0225801800000001E-2</v>
      </c>
      <c r="J957">
        <v>715</v>
      </c>
      <c r="K957">
        <v>0.1396038198</v>
      </c>
    </row>
    <row r="958" spans="1:11" x14ac:dyDescent="0.25">
      <c r="A958">
        <v>-49</v>
      </c>
      <c r="B958" t="s">
        <v>83</v>
      </c>
      <c r="C958">
        <v>40.421999999999997</v>
      </c>
      <c r="D958">
        <v>-122.62</v>
      </c>
      <c r="E958">
        <v>20201002</v>
      </c>
      <c r="G958">
        <v>56305</v>
      </c>
      <c r="H958">
        <v>6</v>
      </c>
      <c r="I958">
        <v>2.8062404379999999E-2</v>
      </c>
      <c r="J958">
        <v>287</v>
      </c>
      <c r="K958">
        <v>5.6036778019999997E-2</v>
      </c>
    </row>
    <row r="959" spans="1:11" x14ac:dyDescent="0.25">
      <c r="A959">
        <v>-49</v>
      </c>
      <c r="B959" t="s">
        <v>83</v>
      </c>
      <c r="C959">
        <v>40.421999999999997</v>
      </c>
      <c r="D959">
        <v>-122.62</v>
      </c>
      <c r="E959">
        <v>20201003</v>
      </c>
      <c r="G959">
        <v>56305</v>
      </c>
      <c r="H959">
        <v>7</v>
      </c>
      <c r="I959">
        <v>0</v>
      </c>
      <c r="J959">
        <v>0</v>
      </c>
      <c r="K959">
        <v>0</v>
      </c>
    </row>
    <row r="960" spans="1:11" x14ac:dyDescent="0.25">
      <c r="A960">
        <v>-49</v>
      </c>
      <c r="B960" t="s">
        <v>83</v>
      </c>
      <c r="C960">
        <v>40.421999999999997</v>
      </c>
      <c r="D960">
        <v>-122.62</v>
      </c>
      <c r="E960">
        <v>20201004</v>
      </c>
      <c r="G960">
        <v>56305</v>
      </c>
      <c r="H960">
        <v>8</v>
      </c>
      <c r="I960">
        <v>0</v>
      </c>
      <c r="J960">
        <v>0</v>
      </c>
      <c r="K960">
        <v>0</v>
      </c>
    </row>
    <row r="961" spans="1:11" x14ac:dyDescent="0.25">
      <c r="A961">
        <v>-49</v>
      </c>
      <c r="B961" t="s">
        <v>83</v>
      </c>
      <c r="C961">
        <v>40.421999999999997</v>
      </c>
      <c r="D961">
        <v>-122.62</v>
      </c>
      <c r="E961">
        <v>20201005</v>
      </c>
      <c r="G961">
        <v>56305</v>
      </c>
      <c r="H961">
        <v>9</v>
      </c>
      <c r="I961">
        <v>0</v>
      </c>
      <c r="J961">
        <v>0</v>
      </c>
      <c r="K961">
        <v>0</v>
      </c>
    </row>
    <row r="962" spans="1:11" x14ac:dyDescent="0.25">
      <c r="A962">
        <v>-49</v>
      </c>
      <c r="B962" t="s">
        <v>83</v>
      </c>
      <c r="C962">
        <v>40.421999999999997</v>
      </c>
      <c r="D962">
        <v>-122.62</v>
      </c>
      <c r="E962">
        <v>20201006</v>
      </c>
      <c r="G962">
        <v>56305</v>
      </c>
      <c r="H962">
        <v>10</v>
      </c>
      <c r="I962">
        <v>0</v>
      </c>
      <c r="J962">
        <v>0</v>
      </c>
      <c r="K962">
        <v>0</v>
      </c>
    </row>
    <row r="963" spans="1:11" x14ac:dyDescent="0.25">
      <c r="A963">
        <v>-49</v>
      </c>
      <c r="B963" t="s">
        <v>83</v>
      </c>
      <c r="C963">
        <v>40.421999999999997</v>
      </c>
      <c r="D963">
        <v>-122.62</v>
      </c>
      <c r="E963">
        <v>20201007</v>
      </c>
      <c r="G963">
        <v>56338</v>
      </c>
      <c r="H963">
        <v>11</v>
      </c>
      <c r="I963">
        <v>3.2220985160000002E-3</v>
      </c>
      <c r="J963">
        <v>33</v>
      </c>
      <c r="K963">
        <v>6.4432532220000003E-3</v>
      </c>
    </row>
    <row r="965" spans="1:11" x14ac:dyDescent="0.25">
      <c r="A965">
        <v>-50</v>
      </c>
      <c r="B965" t="s">
        <v>84</v>
      </c>
      <c r="C965">
        <v>44.177999999999997</v>
      </c>
      <c r="D965">
        <v>-121.675</v>
      </c>
      <c r="E965">
        <v>20120909</v>
      </c>
      <c r="G965">
        <v>1500</v>
      </c>
      <c r="H965">
        <v>1</v>
      </c>
      <c r="I965">
        <v>3.8221842760000002</v>
      </c>
      <c r="J965">
        <v>1500</v>
      </c>
      <c r="K965">
        <v>0.9130682899</v>
      </c>
    </row>
    <row r="966" spans="1:11" x14ac:dyDescent="0.25">
      <c r="A966">
        <v>-50</v>
      </c>
      <c r="B966" t="s">
        <v>84</v>
      </c>
      <c r="C966">
        <v>44.177999999999997</v>
      </c>
      <c r="D966">
        <v>-121.675</v>
      </c>
      <c r="E966">
        <v>20120910</v>
      </c>
      <c r="G966">
        <v>4300</v>
      </c>
      <c r="H966">
        <v>2</v>
      </c>
      <c r="I966">
        <v>2.6492451560000001</v>
      </c>
      <c r="J966">
        <v>2800</v>
      </c>
      <c r="K966">
        <v>1.7043941410000001</v>
      </c>
    </row>
    <row r="967" spans="1:11" x14ac:dyDescent="0.25">
      <c r="A967">
        <v>-50</v>
      </c>
      <c r="B967" t="s">
        <v>84</v>
      </c>
      <c r="C967">
        <v>44.177999999999997</v>
      </c>
      <c r="D967">
        <v>-121.675</v>
      </c>
      <c r="E967">
        <v>20120911</v>
      </c>
      <c r="G967">
        <v>4312</v>
      </c>
      <c r="H967">
        <v>3</v>
      </c>
      <c r="I967">
        <v>9.0236103770000003E-3</v>
      </c>
      <c r="J967">
        <v>4312</v>
      </c>
      <c r="K967">
        <v>2.6247669770000002</v>
      </c>
    </row>
    <row r="968" spans="1:11" x14ac:dyDescent="0.25">
      <c r="A968">
        <v>-50</v>
      </c>
      <c r="B968" t="s">
        <v>84</v>
      </c>
      <c r="C968">
        <v>44.177999999999997</v>
      </c>
      <c r="D968">
        <v>-121.675</v>
      </c>
      <c r="E968">
        <v>20120912</v>
      </c>
      <c r="G968">
        <v>4583</v>
      </c>
      <c r="H968">
        <v>4</v>
      </c>
      <c r="I968">
        <v>0.20053847869999999</v>
      </c>
      <c r="J968">
        <v>271</v>
      </c>
      <c r="K968">
        <v>0.1649610044</v>
      </c>
    </row>
    <row r="969" spans="1:11" x14ac:dyDescent="0.25">
      <c r="A969">
        <v>-50</v>
      </c>
      <c r="B969" t="s">
        <v>84</v>
      </c>
      <c r="C969">
        <v>44.177999999999997</v>
      </c>
      <c r="D969">
        <v>-121.675</v>
      </c>
      <c r="E969">
        <v>20120913</v>
      </c>
      <c r="G969">
        <v>5000</v>
      </c>
      <c r="H969">
        <v>5</v>
      </c>
      <c r="I969">
        <v>0.2973303014</v>
      </c>
      <c r="J969">
        <v>5000</v>
      </c>
      <c r="K969">
        <v>3.0435609659999998</v>
      </c>
    </row>
    <row r="970" spans="1:11" x14ac:dyDescent="0.25">
      <c r="A970">
        <v>-50</v>
      </c>
      <c r="B970" t="s">
        <v>84</v>
      </c>
      <c r="C970">
        <v>44.177999999999997</v>
      </c>
      <c r="D970">
        <v>-121.675</v>
      </c>
      <c r="E970">
        <v>20120914</v>
      </c>
      <c r="G970">
        <v>7000</v>
      </c>
      <c r="H970">
        <v>6</v>
      </c>
      <c r="I970">
        <v>1.2785399079999999</v>
      </c>
      <c r="J970">
        <v>2000</v>
      </c>
      <c r="K970">
        <v>1.2174243870000001</v>
      </c>
    </row>
    <row r="971" spans="1:11" x14ac:dyDescent="0.25">
      <c r="A971">
        <v>-50</v>
      </c>
      <c r="B971" t="s">
        <v>84</v>
      </c>
      <c r="C971">
        <v>44.177999999999997</v>
      </c>
      <c r="D971">
        <v>-121.675</v>
      </c>
      <c r="E971">
        <v>20120915</v>
      </c>
      <c r="G971">
        <v>15000</v>
      </c>
      <c r="H971">
        <v>7</v>
      </c>
      <c r="I971">
        <v>3.8299462169999998</v>
      </c>
      <c r="J971">
        <v>15000</v>
      </c>
      <c r="K971">
        <v>9.130682899</v>
      </c>
    </row>
    <row r="972" spans="1:11" x14ac:dyDescent="0.25">
      <c r="A972">
        <v>-50</v>
      </c>
      <c r="B972" t="s">
        <v>84</v>
      </c>
      <c r="C972">
        <v>44.177999999999997</v>
      </c>
      <c r="D972">
        <v>-121.675</v>
      </c>
      <c r="E972">
        <v>20120916</v>
      </c>
      <c r="G972">
        <v>16000</v>
      </c>
      <c r="H972">
        <v>8</v>
      </c>
      <c r="I972">
        <v>0.39639362309999998</v>
      </c>
      <c r="J972">
        <v>1000</v>
      </c>
      <c r="K972">
        <v>0.60871219330000004</v>
      </c>
    </row>
    <row r="973" spans="1:11" x14ac:dyDescent="0.25">
      <c r="A973">
        <v>-50</v>
      </c>
      <c r="B973" t="s">
        <v>84</v>
      </c>
      <c r="C973">
        <v>44.177999999999997</v>
      </c>
      <c r="D973">
        <v>-121.675</v>
      </c>
      <c r="E973">
        <v>20120917</v>
      </c>
      <c r="G973">
        <v>16500</v>
      </c>
      <c r="H973">
        <v>9</v>
      </c>
      <c r="I973">
        <v>0.19354955099999999</v>
      </c>
      <c r="J973">
        <v>16500</v>
      </c>
      <c r="K973">
        <v>10.04375119</v>
      </c>
    </row>
    <row r="974" spans="1:11" x14ac:dyDescent="0.25">
      <c r="A974">
        <v>-50</v>
      </c>
      <c r="B974" t="s">
        <v>84</v>
      </c>
      <c r="C974">
        <v>44.177999999999997</v>
      </c>
      <c r="D974">
        <v>-121.675</v>
      </c>
      <c r="E974">
        <v>20120918</v>
      </c>
      <c r="G974">
        <v>17500</v>
      </c>
      <c r="H974">
        <v>10</v>
      </c>
      <c r="I974">
        <v>0.37849357509999998</v>
      </c>
      <c r="J974">
        <v>1000</v>
      </c>
      <c r="K974">
        <v>0.60871219330000004</v>
      </c>
    </row>
    <row r="975" spans="1:11" x14ac:dyDescent="0.25">
      <c r="A975">
        <v>-50</v>
      </c>
      <c r="B975" t="s">
        <v>84</v>
      </c>
      <c r="C975">
        <v>44.177999999999997</v>
      </c>
      <c r="D975">
        <v>-121.675</v>
      </c>
      <c r="E975">
        <v>20120919</v>
      </c>
      <c r="G975">
        <v>22152</v>
      </c>
      <c r="H975">
        <v>11</v>
      </c>
      <c r="I975">
        <v>1.633086729</v>
      </c>
      <c r="J975">
        <v>22152</v>
      </c>
      <c r="K975">
        <v>13.48419251</v>
      </c>
    </row>
    <row r="976" spans="1:11" x14ac:dyDescent="0.25">
      <c r="A976">
        <v>-50</v>
      </c>
      <c r="B976" t="s">
        <v>84</v>
      </c>
      <c r="C976">
        <v>44.177999999999997</v>
      </c>
      <c r="D976">
        <v>-121.675</v>
      </c>
      <c r="E976">
        <v>20120920</v>
      </c>
      <c r="G976">
        <v>24392</v>
      </c>
      <c r="H976">
        <v>12</v>
      </c>
      <c r="I976">
        <v>0.72475798160000005</v>
      </c>
      <c r="J976">
        <v>2240</v>
      </c>
      <c r="K976">
        <v>1.363515313</v>
      </c>
    </row>
    <row r="977" spans="1:11" x14ac:dyDescent="0.25">
      <c r="A977">
        <v>-50</v>
      </c>
      <c r="B977" t="s">
        <v>84</v>
      </c>
      <c r="C977">
        <v>44.177999999999997</v>
      </c>
      <c r="D977">
        <v>-121.675</v>
      </c>
      <c r="E977">
        <v>20120921</v>
      </c>
      <c r="G977">
        <v>25553</v>
      </c>
      <c r="H977">
        <v>13</v>
      </c>
      <c r="I977">
        <v>0.36254886120000002</v>
      </c>
      <c r="J977">
        <v>25553</v>
      </c>
      <c r="K977">
        <v>15.554422669999999</v>
      </c>
    </row>
    <row r="978" spans="1:11" x14ac:dyDescent="0.25">
      <c r="A978">
        <v>-50</v>
      </c>
      <c r="B978" t="s">
        <v>84</v>
      </c>
      <c r="C978">
        <v>44.177999999999997</v>
      </c>
      <c r="D978">
        <v>-121.675</v>
      </c>
      <c r="E978">
        <v>20120922</v>
      </c>
      <c r="G978">
        <v>25553</v>
      </c>
      <c r="H978">
        <v>14</v>
      </c>
      <c r="I978">
        <v>0</v>
      </c>
      <c r="J978">
        <v>0</v>
      </c>
      <c r="K978">
        <v>0</v>
      </c>
    </row>
    <row r="979" spans="1:11" x14ac:dyDescent="0.25">
      <c r="A979">
        <v>-50</v>
      </c>
      <c r="B979" t="s">
        <v>84</v>
      </c>
      <c r="C979">
        <v>44.177999999999997</v>
      </c>
      <c r="D979">
        <v>-121.675</v>
      </c>
      <c r="E979">
        <v>20120923</v>
      </c>
      <c r="G979">
        <v>25886</v>
      </c>
      <c r="H979">
        <v>15</v>
      </c>
      <c r="I979">
        <v>0.1024592669</v>
      </c>
      <c r="J979">
        <v>25886</v>
      </c>
      <c r="K979">
        <v>15.757123829999999</v>
      </c>
    </row>
    <row r="980" spans="1:11" x14ac:dyDescent="0.25">
      <c r="A980">
        <v>-50</v>
      </c>
      <c r="B980" t="s">
        <v>84</v>
      </c>
      <c r="C980">
        <v>44.177999999999997</v>
      </c>
      <c r="D980">
        <v>-121.675</v>
      </c>
      <c r="E980">
        <v>20120924</v>
      </c>
      <c r="G980">
        <v>26285</v>
      </c>
      <c r="H980">
        <v>16</v>
      </c>
      <c r="I980">
        <v>0.1219024641</v>
      </c>
      <c r="J980">
        <v>399</v>
      </c>
      <c r="K980">
        <v>0.24287616510000001</v>
      </c>
    </row>
    <row r="982" spans="1:11" x14ac:dyDescent="0.25">
      <c r="A982">
        <v>-51</v>
      </c>
      <c r="B982" t="s">
        <v>85</v>
      </c>
      <c r="C982">
        <v>45.01</v>
      </c>
      <c r="D982">
        <v>-120.554</v>
      </c>
      <c r="E982">
        <v>20140714</v>
      </c>
      <c r="H982">
        <v>1</v>
      </c>
      <c r="I982">
        <v>0</v>
      </c>
      <c r="J982">
        <v>0</v>
      </c>
      <c r="K982">
        <v>0</v>
      </c>
    </row>
    <row r="983" spans="1:11" x14ac:dyDescent="0.25">
      <c r="A983">
        <v>-51</v>
      </c>
      <c r="B983" t="s">
        <v>85</v>
      </c>
      <c r="C983">
        <v>45.01</v>
      </c>
      <c r="D983">
        <v>-120.554</v>
      </c>
      <c r="E983">
        <v>20140715</v>
      </c>
      <c r="H983">
        <v>2</v>
      </c>
      <c r="I983">
        <v>0</v>
      </c>
      <c r="J983">
        <v>0</v>
      </c>
      <c r="K983">
        <v>0</v>
      </c>
    </row>
    <row r="984" spans="1:11" x14ac:dyDescent="0.25">
      <c r="A984">
        <v>-51</v>
      </c>
      <c r="B984" t="s">
        <v>85</v>
      </c>
      <c r="C984">
        <v>45.01</v>
      </c>
      <c r="D984">
        <v>-120.554</v>
      </c>
      <c r="E984">
        <v>20140716</v>
      </c>
      <c r="H984">
        <v>3</v>
      </c>
      <c r="I984">
        <v>0</v>
      </c>
      <c r="J984">
        <v>0</v>
      </c>
      <c r="K984">
        <v>0</v>
      </c>
    </row>
    <row r="985" spans="1:11" x14ac:dyDescent="0.25">
      <c r="A985">
        <v>-51</v>
      </c>
      <c r="B985" t="s">
        <v>85</v>
      </c>
      <c r="C985">
        <v>45.01</v>
      </c>
      <c r="D985">
        <v>-120.554</v>
      </c>
      <c r="E985">
        <v>20140717</v>
      </c>
      <c r="H985">
        <v>4</v>
      </c>
      <c r="I985">
        <v>0</v>
      </c>
      <c r="J985">
        <v>0</v>
      </c>
      <c r="K985">
        <v>0</v>
      </c>
    </row>
    <row r="986" spans="1:11" x14ac:dyDescent="0.25">
      <c r="A986">
        <v>-51</v>
      </c>
      <c r="B986" t="s">
        <v>85</v>
      </c>
      <c r="C986">
        <v>45.01</v>
      </c>
      <c r="D986">
        <v>-120.554</v>
      </c>
      <c r="E986">
        <v>20140718</v>
      </c>
      <c r="H986">
        <v>5</v>
      </c>
      <c r="I986">
        <v>0</v>
      </c>
      <c r="J986">
        <v>0</v>
      </c>
      <c r="K986">
        <v>0</v>
      </c>
    </row>
    <row r="987" spans="1:11" x14ac:dyDescent="0.25">
      <c r="A987">
        <v>-51</v>
      </c>
      <c r="B987" t="s">
        <v>85</v>
      </c>
      <c r="C987">
        <v>45.01</v>
      </c>
      <c r="D987">
        <v>-120.554</v>
      </c>
      <c r="E987">
        <v>20140719</v>
      </c>
      <c r="G987">
        <v>29058</v>
      </c>
      <c r="H987">
        <v>6</v>
      </c>
      <c r="I987">
        <v>9.891</v>
      </c>
      <c r="J987">
        <v>29058</v>
      </c>
      <c r="K987">
        <v>10.510999999999999</v>
      </c>
    </row>
    <row r="988" spans="1:11" x14ac:dyDescent="0.25">
      <c r="A988">
        <v>-51</v>
      </c>
      <c r="B988" t="s">
        <v>85</v>
      </c>
      <c r="C988">
        <v>45.01</v>
      </c>
      <c r="D988">
        <v>-120.554</v>
      </c>
      <c r="E988">
        <v>20140720</v>
      </c>
      <c r="G988">
        <v>34177</v>
      </c>
      <c r="H988">
        <v>7</v>
      </c>
      <c r="I988">
        <v>0.83599999999999997</v>
      </c>
      <c r="J988">
        <v>5119</v>
      </c>
      <c r="K988">
        <v>1.8520000000000001</v>
      </c>
    </row>
    <row r="989" spans="1:11" x14ac:dyDescent="0.25">
      <c r="A989">
        <v>-51</v>
      </c>
      <c r="B989" t="s">
        <v>85</v>
      </c>
      <c r="C989">
        <v>45.01</v>
      </c>
      <c r="D989">
        <v>-120.554</v>
      </c>
      <c r="E989">
        <v>20140721</v>
      </c>
      <c r="G989">
        <v>35731</v>
      </c>
      <c r="H989">
        <v>8</v>
      </c>
      <c r="I989">
        <v>0.24099999999999999</v>
      </c>
      <c r="J989">
        <v>1554</v>
      </c>
      <c r="K989">
        <v>0.56200000000000006</v>
      </c>
    </row>
    <row r="990" spans="1:11" x14ac:dyDescent="0.25">
      <c r="A990">
        <v>-51</v>
      </c>
      <c r="B990" t="s">
        <v>85</v>
      </c>
      <c r="C990">
        <v>45.01</v>
      </c>
      <c r="D990">
        <v>-120.554</v>
      </c>
      <c r="E990">
        <v>20140722</v>
      </c>
      <c r="G990">
        <v>35731</v>
      </c>
      <c r="H990">
        <v>9</v>
      </c>
      <c r="I990">
        <v>0</v>
      </c>
      <c r="J990">
        <v>0</v>
      </c>
      <c r="K990">
        <v>0</v>
      </c>
    </row>
    <row r="991" spans="1:11" x14ac:dyDescent="0.25">
      <c r="A991">
        <v>-51</v>
      </c>
      <c r="B991" t="s">
        <v>85</v>
      </c>
      <c r="C991">
        <v>45.01</v>
      </c>
      <c r="D991">
        <v>-120.554</v>
      </c>
      <c r="E991">
        <v>20140723</v>
      </c>
      <c r="G991">
        <v>35731</v>
      </c>
      <c r="H991">
        <v>10</v>
      </c>
      <c r="I991">
        <v>0</v>
      </c>
      <c r="J991">
        <v>0</v>
      </c>
      <c r="K991">
        <v>0</v>
      </c>
    </row>
    <row r="992" spans="1:11" x14ac:dyDescent="0.25">
      <c r="A992">
        <v>-51</v>
      </c>
      <c r="B992" t="s">
        <v>85</v>
      </c>
      <c r="C992">
        <v>45.01</v>
      </c>
      <c r="D992">
        <v>-120.554</v>
      </c>
      <c r="E992">
        <v>20140724</v>
      </c>
      <c r="G992">
        <v>35938</v>
      </c>
      <c r="H992">
        <v>11</v>
      </c>
      <c r="I992">
        <v>3.2000000000000001E-2</v>
      </c>
      <c r="J992">
        <v>207</v>
      </c>
      <c r="K992">
        <v>7.4999999999999997E-2</v>
      </c>
    </row>
    <row r="993" spans="1:11" x14ac:dyDescent="0.25">
      <c r="A993">
        <v>-51</v>
      </c>
      <c r="B993" t="s">
        <v>85</v>
      </c>
      <c r="C993">
        <v>45.01</v>
      </c>
      <c r="D993">
        <v>-120.554</v>
      </c>
      <c r="E993">
        <v>20140725</v>
      </c>
      <c r="G993">
        <v>35938</v>
      </c>
      <c r="H993">
        <v>12</v>
      </c>
      <c r="I993">
        <v>0</v>
      </c>
      <c r="J993">
        <v>0</v>
      </c>
      <c r="K993">
        <v>0</v>
      </c>
    </row>
    <row r="994" spans="1:11" x14ac:dyDescent="0.25">
      <c r="A994">
        <v>-51</v>
      </c>
      <c r="B994" t="s">
        <v>85</v>
      </c>
      <c r="C994">
        <v>45.01</v>
      </c>
      <c r="D994">
        <v>-120.554</v>
      </c>
      <c r="E994">
        <v>20140726</v>
      </c>
      <c r="G994">
        <v>35938</v>
      </c>
      <c r="H994">
        <v>13</v>
      </c>
      <c r="I994">
        <v>0</v>
      </c>
      <c r="J994">
        <v>0</v>
      </c>
      <c r="K994">
        <v>0</v>
      </c>
    </row>
    <row r="996" spans="1:11" x14ac:dyDescent="0.25">
      <c r="A996">
        <v>-52</v>
      </c>
      <c r="B996" t="s">
        <v>86</v>
      </c>
      <c r="C996">
        <v>42.597000000000001</v>
      </c>
      <c r="D996">
        <v>-120.74299999999999</v>
      </c>
      <c r="E996">
        <v>20180815</v>
      </c>
      <c r="G996">
        <v>0</v>
      </c>
      <c r="H996">
        <v>1</v>
      </c>
      <c r="I996">
        <v>0</v>
      </c>
      <c r="J996">
        <v>0</v>
      </c>
      <c r="K996">
        <v>0</v>
      </c>
    </row>
    <row r="997" spans="1:11" x14ac:dyDescent="0.25">
      <c r="A997">
        <v>-52</v>
      </c>
      <c r="B997" t="s">
        <v>86</v>
      </c>
      <c r="C997">
        <v>42.597000000000001</v>
      </c>
      <c r="D997">
        <v>-120.74299999999999</v>
      </c>
      <c r="E997">
        <v>20180816</v>
      </c>
      <c r="G997">
        <v>1000</v>
      </c>
      <c r="H997">
        <v>2</v>
      </c>
      <c r="I997">
        <v>3.2519999999999998</v>
      </c>
      <c r="J997">
        <v>1000</v>
      </c>
      <c r="K997">
        <v>0.42299999999999999</v>
      </c>
    </row>
    <row r="998" spans="1:11" x14ac:dyDescent="0.25">
      <c r="A998">
        <v>-52</v>
      </c>
      <c r="B998" t="s">
        <v>86</v>
      </c>
      <c r="C998">
        <v>42.597000000000001</v>
      </c>
      <c r="D998">
        <v>-120.74299999999999</v>
      </c>
      <c r="E998">
        <v>20180817</v>
      </c>
      <c r="G998">
        <v>10464</v>
      </c>
      <c r="H998">
        <v>3</v>
      </c>
      <c r="I998">
        <v>7.2679999999999998</v>
      </c>
      <c r="J998">
        <v>9464</v>
      </c>
      <c r="K998">
        <v>4.0039999999999996</v>
      </c>
    </row>
    <row r="999" spans="1:11" x14ac:dyDescent="0.25">
      <c r="A999">
        <v>-52</v>
      </c>
      <c r="B999" t="s">
        <v>86</v>
      </c>
      <c r="C999">
        <v>42.597000000000001</v>
      </c>
      <c r="D999">
        <v>-120.74299999999999</v>
      </c>
      <c r="E999">
        <v>20180818</v>
      </c>
      <c r="G999">
        <v>16227</v>
      </c>
      <c r="H999">
        <v>4</v>
      </c>
      <c r="I999">
        <v>2.58</v>
      </c>
      <c r="J999">
        <v>5763</v>
      </c>
      <c r="K999">
        <v>2.4380000000000002</v>
      </c>
    </row>
    <row r="1000" spans="1:11" x14ac:dyDescent="0.25">
      <c r="A1000">
        <v>-52</v>
      </c>
      <c r="B1000" t="s">
        <v>86</v>
      </c>
      <c r="C1000">
        <v>42.597000000000001</v>
      </c>
      <c r="D1000">
        <v>-120.74299999999999</v>
      </c>
      <c r="E1000">
        <v>20180819</v>
      </c>
      <c r="G1000">
        <v>25788</v>
      </c>
      <c r="H1000">
        <v>5</v>
      </c>
      <c r="I1000">
        <v>3.4140000000000001</v>
      </c>
      <c r="J1000">
        <v>9561</v>
      </c>
      <c r="K1000">
        <v>4.0449999999999999</v>
      </c>
    </row>
    <row r="1001" spans="1:11" x14ac:dyDescent="0.25">
      <c r="A1001">
        <v>-52</v>
      </c>
      <c r="B1001" t="s">
        <v>86</v>
      </c>
      <c r="C1001">
        <v>42.597000000000001</v>
      </c>
      <c r="D1001">
        <v>-120.74299999999999</v>
      </c>
      <c r="E1001">
        <v>20180820</v>
      </c>
      <c r="G1001">
        <v>32104</v>
      </c>
      <c r="H1001">
        <v>6</v>
      </c>
      <c r="I1001">
        <v>1.9119999999999999</v>
      </c>
      <c r="J1001">
        <v>6316</v>
      </c>
      <c r="K1001">
        <v>2.6720000000000002</v>
      </c>
    </row>
    <row r="1002" spans="1:11" x14ac:dyDescent="0.25">
      <c r="A1002">
        <v>-52</v>
      </c>
      <c r="B1002" t="s">
        <v>86</v>
      </c>
      <c r="C1002">
        <v>42.597000000000001</v>
      </c>
      <c r="D1002">
        <v>-120.74299999999999</v>
      </c>
      <c r="E1002">
        <v>20180821</v>
      </c>
      <c r="G1002">
        <v>35287</v>
      </c>
      <c r="H1002">
        <v>7</v>
      </c>
      <c r="I1002">
        <v>0.89200000000000002</v>
      </c>
      <c r="J1002">
        <v>3183</v>
      </c>
      <c r="K1002">
        <v>1.347</v>
      </c>
    </row>
    <row r="1003" spans="1:11" x14ac:dyDescent="0.25">
      <c r="A1003">
        <v>-52</v>
      </c>
      <c r="B1003" t="s">
        <v>86</v>
      </c>
      <c r="C1003">
        <v>42.597000000000001</v>
      </c>
      <c r="D1003">
        <v>-120.74299999999999</v>
      </c>
      <c r="E1003">
        <v>20180822</v>
      </c>
      <c r="G1003">
        <v>40272</v>
      </c>
      <c r="H1003">
        <v>8</v>
      </c>
      <c r="I1003">
        <v>1.319</v>
      </c>
      <c r="J1003">
        <v>4985</v>
      </c>
      <c r="K1003">
        <v>2.109</v>
      </c>
    </row>
    <row r="1004" spans="1:11" x14ac:dyDescent="0.25">
      <c r="A1004">
        <v>-52</v>
      </c>
      <c r="B1004" t="s">
        <v>86</v>
      </c>
      <c r="C1004">
        <v>42.597000000000001</v>
      </c>
      <c r="D1004">
        <v>-120.74299999999999</v>
      </c>
      <c r="E1004">
        <v>20180823</v>
      </c>
      <c r="G1004">
        <v>46525</v>
      </c>
      <c r="H1004">
        <v>9</v>
      </c>
      <c r="I1004">
        <v>1.544</v>
      </c>
      <c r="J1004">
        <v>6253</v>
      </c>
      <c r="K1004">
        <v>2.645</v>
      </c>
    </row>
    <row r="1005" spans="1:11" x14ac:dyDescent="0.25">
      <c r="A1005">
        <v>-52</v>
      </c>
      <c r="B1005" t="s">
        <v>86</v>
      </c>
      <c r="C1005">
        <v>42.597000000000001</v>
      </c>
      <c r="D1005">
        <v>-120.74299999999999</v>
      </c>
      <c r="E1005">
        <v>20180824</v>
      </c>
      <c r="G1005">
        <v>50144</v>
      </c>
      <c r="H1005">
        <v>10</v>
      </c>
      <c r="I1005">
        <v>0.84699999999999998</v>
      </c>
      <c r="J1005">
        <v>3619</v>
      </c>
      <c r="K1005">
        <v>1.5309999999999999</v>
      </c>
    </row>
    <row r="1006" spans="1:11" x14ac:dyDescent="0.25">
      <c r="A1006">
        <v>-52</v>
      </c>
      <c r="B1006" t="s">
        <v>86</v>
      </c>
      <c r="C1006">
        <v>42.597000000000001</v>
      </c>
      <c r="D1006">
        <v>-120.74299999999999</v>
      </c>
      <c r="E1006">
        <v>20180825</v>
      </c>
      <c r="G1006">
        <v>54859</v>
      </c>
      <c r="H1006">
        <v>11</v>
      </c>
      <c r="I1006">
        <v>1.0580000000000001</v>
      </c>
      <c r="J1006">
        <v>4715</v>
      </c>
      <c r="K1006">
        <v>1.9950000000000001</v>
      </c>
    </row>
    <row r="1007" spans="1:11" x14ac:dyDescent="0.25">
      <c r="A1007">
        <v>-52</v>
      </c>
      <c r="B1007" t="s">
        <v>86</v>
      </c>
      <c r="C1007">
        <v>42.597000000000001</v>
      </c>
      <c r="D1007">
        <v>-120.74299999999999</v>
      </c>
      <c r="E1007">
        <v>20180826</v>
      </c>
      <c r="G1007">
        <v>56185</v>
      </c>
      <c r="H1007">
        <v>12</v>
      </c>
      <c r="I1007">
        <v>0.28899999999999998</v>
      </c>
      <c r="J1007">
        <v>1326</v>
      </c>
      <c r="K1007">
        <v>0.56100000000000005</v>
      </c>
    </row>
    <row r="1008" spans="1:11" x14ac:dyDescent="0.25">
      <c r="A1008">
        <v>-52</v>
      </c>
      <c r="B1008" t="s">
        <v>86</v>
      </c>
      <c r="C1008">
        <v>42.597000000000001</v>
      </c>
      <c r="D1008">
        <v>-120.74299999999999</v>
      </c>
      <c r="E1008">
        <v>20180827</v>
      </c>
      <c r="G1008">
        <v>56695</v>
      </c>
      <c r="H1008">
        <v>13</v>
      </c>
      <c r="I1008">
        <v>0.11</v>
      </c>
      <c r="J1008">
        <v>510</v>
      </c>
      <c r="K1008">
        <v>0.216</v>
      </c>
    </row>
    <row r="1009" spans="1:11" x14ac:dyDescent="0.25">
      <c r="A1009">
        <v>-52</v>
      </c>
      <c r="B1009" t="s">
        <v>86</v>
      </c>
      <c r="C1009">
        <v>42.597000000000001</v>
      </c>
      <c r="D1009">
        <v>-120.74299999999999</v>
      </c>
      <c r="E1009">
        <v>20180828</v>
      </c>
      <c r="G1009">
        <v>57371</v>
      </c>
      <c r="H1009">
        <v>14</v>
      </c>
      <c r="I1009">
        <v>0.14599999999999999</v>
      </c>
      <c r="J1009">
        <v>676</v>
      </c>
      <c r="K1009">
        <v>0.28599999999999998</v>
      </c>
    </row>
    <row r="1010" spans="1:11" x14ac:dyDescent="0.25">
      <c r="A1010">
        <v>-52</v>
      </c>
      <c r="B1010" t="s">
        <v>86</v>
      </c>
      <c r="C1010">
        <v>42.597000000000001</v>
      </c>
      <c r="D1010">
        <v>-120.74299999999999</v>
      </c>
      <c r="E1010">
        <v>20180829</v>
      </c>
      <c r="G1010">
        <v>58218</v>
      </c>
      <c r="H1010">
        <v>15</v>
      </c>
      <c r="I1010">
        <v>0.18099999999999999</v>
      </c>
      <c r="J1010">
        <v>847</v>
      </c>
      <c r="K1010">
        <v>0.35799999999999998</v>
      </c>
    </row>
    <row r="1011" spans="1:11" x14ac:dyDescent="0.25">
      <c r="A1011">
        <v>-52</v>
      </c>
      <c r="B1011" t="s">
        <v>86</v>
      </c>
      <c r="C1011">
        <v>42.597000000000001</v>
      </c>
      <c r="D1011">
        <v>-120.74299999999999</v>
      </c>
      <c r="E1011">
        <v>20180830</v>
      </c>
      <c r="G1011">
        <v>58218</v>
      </c>
      <c r="H1011">
        <v>16</v>
      </c>
      <c r="I1011">
        <v>0</v>
      </c>
      <c r="J1011">
        <v>0</v>
      </c>
      <c r="K1011">
        <v>0</v>
      </c>
    </row>
    <row r="1012" spans="1:11" x14ac:dyDescent="0.25">
      <c r="A1012">
        <v>-52</v>
      </c>
      <c r="B1012" t="s">
        <v>86</v>
      </c>
      <c r="C1012">
        <v>42.597000000000001</v>
      </c>
      <c r="D1012">
        <v>-120.74299999999999</v>
      </c>
      <c r="E1012">
        <v>20180831</v>
      </c>
      <c r="G1012">
        <v>58330</v>
      </c>
      <c r="H1012">
        <v>17</v>
      </c>
      <c r="I1012">
        <v>2.4E-2</v>
      </c>
      <c r="J1012">
        <v>112</v>
      </c>
      <c r="K1012">
        <v>4.7E-2</v>
      </c>
    </row>
    <row r="1013" spans="1:11" x14ac:dyDescent="0.25">
      <c r="A1013">
        <v>-52</v>
      </c>
      <c r="B1013" t="s">
        <v>86</v>
      </c>
      <c r="C1013">
        <v>42.597000000000001</v>
      </c>
      <c r="D1013">
        <v>-120.74299999999999</v>
      </c>
      <c r="E1013">
        <v>20180901</v>
      </c>
      <c r="G1013">
        <v>58330</v>
      </c>
      <c r="H1013">
        <v>18</v>
      </c>
      <c r="I1013">
        <v>0</v>
      </c>
      <c r="J1013">
        <v>0</v>
      </c>
      <c r="K1013">
        <v>0</v>
      </c>
    </row>
    <row r="1014" spans="1:11" x14ac:dyDescent="0.25">
      <c r="A1014">
        <v>-52</v>
      </c>
      <c r="B1014" t="s">
        <v>86</v>
      </c>
      <c r="C1014">
        <v>42.597000000000001</v>
      </c>
      <c r="D1014">
        <v>-120.74299999999999</v>
      </c>
      <c r="E1014">
        <v>20180902</v>
      </c>
      <c r="G1014">
        <v>58761</v>
      </c>
      <c r="H1014">
        <v>19</v>
      </c>
      <c r="I1014">
        <v>9.1999999999999998E-2</v>
      </c>
      <c r="J1014">
        <v>431</v>
      </c>
      <c r="K1014">
        <v>0.182</v>
      </c>
    </row>
    <row r="1015" spans="1:11" x14ac:dyDescent="0.25">
      <c r="A1015">
        <v>-52</v>
      </c>
      <c r="B1015" t="s">
        <v>86</v>
      </c>
      <c r="C1015">
        <v>42.597000000000001</v>
      </c>
      <c r="D1015">
        <v>-120.74299999999999</v>
      </c>
      <c r="E1015">
        <v>20180903</v>
      </c>
      <c r="G1015">
        <v>58761</v>
      </c>
      <c r="H1015">
        <v>20</v>
      </c>
      <c r="I1015">
        <v>0</v>
      </c>
      <c r="J1015">
        <v>0</v>
      </c>
      <c r="K1015">
        <v>0</v>
      </c>
    </row>
    <row r="1016" spans="1:11" x14ac:dyDescent="0.25">
      <c r="A1016">
        <v>-52</v>
      </c>
      <c r="B1016" t="s">
        <v>86</v>
      </c>
      <c r="C1016">
        <v>42.597000000000001</v>
      </c>
      <c r="D1016">
        <v>-120.74299999999999</v>
      </c>
      <c r="E1016">
        <v>20180904</v>
      </c>
      <c r="G1016">
        <v>58892</v>
      </c>
      <c r="H1016">
        <v>21</v>
      </c>
      <c r="I1016">
        <v>2.8000000000000001E-2</v>
      </c>
      <c r="J1016">
        <v>131</v>
      </c>
      <c r="K1016">
        <v>5.5E-2</v>
      </c>
    </row>
    <row r="1017" spans="1:11" x14ac:dyDescent="0.25">
      <c r="A1017">
        <v>-52</v>
      </c>
      <c r="B1017" t="s">
        <v>86</v>
      </c>
      <c r="C1017">
        <v>42.597000000000001</v>
      </c>
      <c r="D1017">
        <v>-120.74299999999999</v>
      </c>
      <c r="E1017">
        <v>20180905</v>
      </c>
      <c r="G1017">
        <v>58892</v>
      </c>
      <c r="H1017">
        <v>22</v>
      </c>
      <c r="I1017">
        <v>0</v>
      </c>
      <c r="J1017">
        <v>0</v>
      </c>
      <c r="K1017">
        <v>0</v>
      </c>
    </row>
    <row r="1018" spans="1:11" x14ac:dyDescent="0.25">
      <c r="A1018">
        <v>-52</v>
      </c>
      <c r="B1018" t="s">
        <v>86</v>
      </c>
      <c r="C1018">
        <v>42.597000000000001</v>
      </c>
      <c r="D1018">
        <v>-120.74299999999999</v>
      </c>
      <c r="E1018">
        <v>20180906</v>
      </c>
      <c r="G1018">
        <v>58892</v>
      </c>
      <c r="H1018">
        <v>23</v>
      </c>
      <c r="I1018">
        <v>0</v>
      </c>
      <c r="J1018">
        <v>0</v>
      </c>
      <c r="K1018">
        <v>0</v>
      </c>
    </row>
    <row r="1019" spans="1:11" x14ac:dyDescent="0.25">
      <c r="A1019">
        <v>-52</v>
      </c>
      <c r="B1019" t="s">
        <v>86</v>
      </c>
      <c r="C1019">
        <v>42.597000000000001</v>
      </c>
      <c r="D1019">
        <v>-120.74299999999999</v>
      </c>
      <c r="E1019">
        <v>20180907</v>
      </c>
      <c r="G1019">
        <v>58961</v>
      </c>
      <c r="H1019">
        <v>24</v>
      </c>
      <c r="I1019">
        <v>1.4999999999999999E-2</v>
      </c>
      <c r="J1019">
        <v>69</v>
      </c>
      <c r="K1019">
        <v>2.9000000000000001E-2</v>
      </c>
    </row>
    <row r="1020" spans="1:11" x14ac:dyDescent="0.25">
      <c r="A1020">
        <v>-52</v>
      </c>
      <c r="B1020" t="s">
        <v>86</v>
      </c>
      <c r="C1020">
        <v>42.597000000000001</v>
      </c>
      <c r="D1020">
        <v>-120.74299999999999</v>
      </c>
      <c r="E1020">
        <v>20180908</v>
      </c>
      <c r="G1020">
        <v>59097</v>
      </c>
      <c r="H1020">
        <v>25</v>
      </c>
      <c r="I1020">
        <v>2.9000000000000001E-2</v>
      </c>
      <c r="J1020">
        <v>136</v>
      </c>
      <c r="K1020">
        <v>5.8000000000000003E-2</v>
      </c>
    </row>
    <row r="1022" spans="1:11" x14ac:dyDescent="0.25">
      <c r="A1022">
        <v>-53</v>
      </c>
      <c r="B1022" t="s">
        <v>87</v>
      </c>
      <c r="C1022">
        <v>40.658000000000001</v>
      </c>
      <c r="D1022">
        <v>-105.357</v>
      </c>
      <c r="E1022">
        <v>20120609</v>
      </c>
      <c r="G1022">
        <v>3000</v>
      </c>
      <c r="H1022">
        <v>1</v>
      </c>
      <c r="I1022">
        <v>4.8202177209999997</v>
      </c>
      <c r="J1022">
        <v>3000</v>
      </c>
      <c r="K1022">
        <v>0.89363457219999998</v>
      </c>
    </row>
    <row r="1023" spans="1:11" x14ac:dyDescent="0.25">
      <c r="A1023">
        <v>-53</v>
      </c>
      <c r="B1023" t="s">
        <v>87</v>
      </c>
      <c r="C1023">
        <v>40.658000000000001</v>
      </c>
      <c r="D1023">
        <v>-105.357</v>
      </c>
      <c r="E1023">
        <v>20120610</v>
      </c>
      <c r="G1023">
        <v>20000</v>
      </c>
      <c r="H1023">
        <v>2</v>
      </c>
      <c r="I1023">
        <v>7.6255309179999999</v>
      </c>
      <c r="J1023">
        <v>17000</v>
      </c>
      <c r="K1023">
        <v>5.0639292420000004</v>
      </c>
    </row>
    <row r="1024" spans="1:11" x14ac:dyDescent="0.25">
      <c r="A1024">
        <v>-53</v>
      </c>
      <c r="B1024" t="s">
        <v>87</v>
      </c>
      <c r="C1024">
        <v>40.658000000000001</v>
      </c>
      <c r="D1024">
        <v>-105.357</v>
      </c>
      <c r="E1024">
        <v>20120611</v>
      </c>
      <c r="G1024">
        <v>41140</v>
      </c>
      <c r="H1024">
        <v>3</v>
      </c>
      <c r="I1024">
        <v>5.404249343</v>
      </c>
      <c r="J1024">
        <v>21140</v>
      </c>
      <c r="K1024">
        <v>6.297144952</v>
      </c>
    </row>
    <row r="1025" spans="1:11" x14ac:dyDescent="0.25">
      <c r="A1025">
        <v>-53</v>
      </c>
      <c r="B1025" t="s">
        <v>87</v>
      </c>
      <c r="C1025">
        <v>40.658000000000001</v>
      </c>
      <c r="D1025">
        <v>-105.357</v>
      </c>
      <c r="E1025">
        <v>20120612</v>
      </c>
      <c r="G1025">
        <v>43372</v>
      </c>
      <c r="H1025">
        <v>4</v>
      </c>
      <c r="I1025">
        <v>0.4778195401</v>
      </c>
      <c r="J1025">
        <v>2232</v>
      </c>
      <c r="K1025">
        <v>0.66486412169999998</v>
      </c>
    </row>
    <row r="1026" spans="1:11" x14ac:dyDescent="0.25">
      <c r="A1026">
        <v>-53</v>
      </c>
      <c r="B1026" t="s">
        <v>87</v>
      </c>
      <c r="C1026">
        <v>40.658000000000001</v>
      </c>
      <c r="D1026">
        <v>-105.357</v>
      </c>
      <c r="E1026">
        <v>20120613</v>
      </c>
      <c r="G1026">
        <v>46820</v>
      </c>
      <c r="H1026">
        <v>5</v>
      </c>
      <c r="I1026">
        <v>0.71458461539999996</v>
      </c>
      <c r="J1026">
        <v>3448</v>
      </c>
      <c r="K1026">
        <v>1.0270840020000001</v>
      </c>
    </row>
    <row r="1027" spans="1:11" x14ac:dyDescent="0.25">
      <c r="A1027">
        <v>-53</v>
      </c>
      <c r="B1027" t="s">
        <v>87</v>
      </c>
      <c r="C1027">
        <v>40.658000000000001</v>
      </c>
      <c r="D1027">
        <v>-105.357</v>
      </c>
      <c r="E1027">
        <v>20120614</v>
      </c>
      <c r="G1027">
        <v>49760</v>
      </c>
      <c r="H1027">
        <v>6</v>
      </c>
      <c r="I1027">
        <v>0.58876919959999996</v>
      </c>
      <c r="J1027">
        <v>2940</v>
      </c>
      <c r="K1027">
        <v>0.87576188079999995</v>
      </c>
    </row>
    <row r="1028" spans="1:11" x14ac:dyDescent="0.25">
      <c r="A1028">
        <v>-53</v>
      </c>
      <c r="B1028" t="s">
        <v>87</v>
      </c>
      <c r="C1028">
        <v>40.658000000000001</v>
      </c>
      <c r="D1028">
        <v>-105.357</v>
      </c>
      <c r="E1028">
        <v>20120615</v>
      </c>
      <c r="G1028">
        <v>54230</v>
      </c>
      <c r="H1028">
        <v>7</v>
      </c>
      <c r="I1028">
        <v>0.86278609900000003</v>
      </c>
      <c r="J1028">
        <v>4470</v>
      </c>
      <c r="K1028">
        <v>1.331515513</v>
      </c>
    </row>
    <row r="1029" spans="1:11" x14ac:dyDescent="0.25">
      <c r="A1029">
        <v>-53</v>
      </c>
      <c r="B1029" t="s">
        <v>87</v>
      </c>
      <c r="C1029">
        <v>40.658000000000001</v>
      </c>
      <c r="D1029">
        <v>-105.357</v>
      </c>
      <c r="E1029">
        <v>20120616</v>
      </c>
      <c r="G1029">
        <v>55050</v>
      </c>
      <c r="H1029">
        <v>8</v>
      </c>
      <c r="I1029">
        <v>0.1543610044</v>
      </c>
      <c r="J1029">
        <v>820</v>
      </c>
      <c r="K1029">
        <v>0.2442601164</v>
      </c>
    </row>
    <row r="1030" spans="1:11" x14ac:dyDescent="0.25">
      <c r="A1030">
        <v>-53</v>
      </c>
      <c r="B1030" t="s">
        <v>87</v>
      </c>
      <c r="C1030">
        <v>40.658000000000001</v>
      </c>
      <c r="D1030">
        <v>-105.357</v>
      </c>
      <c r="E1030">
        <v>20120617</v>
      </c>
      <c r="G1030">
        <v>56480</v>
      </c>
      <c r="H1030">
        <v>9</v>
      </c>
      <c r="I1030">
        <v>0.26646498060000001</v>
      </c>
      <c r="J1030">
        <v>1430</v>
      </c>
      <c r="K1030">
        <v>0.4259658127</v>
      </c>
    </row>
    <row r="1031" spans="1:11" x14ac:dyDescent="0.25">
      <c r="A1031">
        <v>-53</v>
      </c>
      <c r="B1031" t="s">
        <v>87</v>
      </c>
      <c r="C1031">
        <v>40.658000000000001</v>
      </c>
      <c r="D1031">
        <v>-105.357</v>
      </c>
      <c r="E1031">
        <v>20120618</v>
      </c>
      <c r="G1031">
        <v>58770</v>
      </c>
      <c r="H1031">
        <v>10</v>
      </c>
      <c r="I1031">
        <v>0.41978554639999999</v>
      </c>
      <c r="J1031">
        <v>2290</v>
      </c>
      <c r="K1031">
        <v>0.68214105680000003</v>
      </c>
    </row>
    <row r="1032" spans="1:11" x14ac:dyDescent="0.25">
      <c r="A1032">
        <v>-53</v>
      </c>
      <c r="B1032" t="s">
        <v>87</v>
      </c>
      <c r="C1032">
        <v>40.658000000000001</v>
      </c>
      <c r="D1032">
        <v>-105.357</v>
      </c>
      <c r="E1032">
        <v>20120619</v>
      </c>
      <c r="G1032">
        <v>59845</v>
      </c>
      <c r="H1032">
        <v>11</v>
      </c>
      <c r="I1032">
        <v>0.19423797719999999</v>
      </c>
      <c r="J1032">
        <v>1075</v>
      </c>
      <c r="K1032">
        <v>0.32021905499999997</v>
      </c>
    </row>
    <row r="1033" spans="1:11" x14ac:dyDescent="0.25">
      <c r="A1033">
        <v>-53</v>
      </c>
      <c r="B1033" t="s">
        <v>87</v>
      </c>
      <c r="C1033">
        <v>40.658000000000001</v>
      </c>
      <c r="D1033">
        <v>-105.357</v>
      </c>
      <c r="E1033">
        <v>20120620</v>
      </c>
      <c r="G1033">
        <v>68200</v>
      </c>
      <c r="H1033">
        <v>12</v>
      </c>
      <c r="I1033">
        <v>1.4537431279999999</v>
      </c>
      <c r="J1033">
        <v>8355</v>
      </c>
      <c r="K1033">
        <v>2.4887722839999999</v>
      </c>
    </row>
    <row r="1034" spans="1:11" x14ac:dyDescent="0.25">
      <c r="A1034">
        <v>-53</v>
      </c>
      <c r="B1034" t="s">
        <v>87</v>
      </c>
      <c r="C1034">
        <v>40.658000000000001</v>
      </c>
      <c r="D1034">
        <v>-105.357</v>
      </c>
      <c r="E1034">
        <v>20120621</v>
      </c>
      <c r="G1034">
        <v>68200</v>
      </c>
      <c r="H1034">
        <v>13</v>
      </c>
      <c r="I1034">
        <v>0</v>
      </c>
      <c r="J1034">
        <v>0</v>
      </c>
      <c r="K1034">
        <v>0</v>
      </c>
    </row>
    <row r="1035" spans="1:11" x14ac:dyDescent="0.25">
      <c r="A1035">
        <v>-53</v>
      </c>
      <c r="B1035" t="s">
        <v>87</v>
      </c>
      <c r="C1035">
        <v>40.658000000000001</v>
      </c>
      <c r="D1035">
        <v>-105.357</v>
      </c>
      <c r="E1035">
        <v>20120622</v>
      </c>
      <c r="G1035">
        <v>69543</v>
      </c>
      <c r="H1035">
        <v>14</v>
      </c>
      <c r="I1035">
        <v>0.22518395090000001</v>
      </c>
      <c r="J1035">
        <v>1343</v>
      </c>
      <c r="K1035">
        <v>0.40005041019999998</v>
      </c>
    </row>
    <row r="1036" spans="1:11" x14ac:dyDescent="0.25">
      <c r="A1036">
        <v>-53</v>
      </c>
      <c r="B1036" t="s">
        <v>87</v>
      </c>
      <c r="C1036">
        <v>40.658000000000001</v>
      </c>
      <c r="D1036">
        <v>-105.357</v>
      </c>
      <c r="E1036">
        <v>20120623</v>
      </c>
      <c r="G1036">
        <v>81190</v>
      </c>
      <c r="H1036">
        <v>15</v>
      </c>
      <c r="I1036">
        <v>1.868210385</v>
      </c>
      <c r="J1036">
        <v>11647</v>
      </c>
      <c r="K1036">
        <v>3.469387287</v>
      </c>
    </row>
    <row r="1037" spans="1:11" x14ac:dyDescent="0.25">
      <c r="A1037">
        <v>-53</v>
      </c>
      <c r="B1037" t="s">
        <v>87</v>
      </c>
      <c r="C1037">
        <v>40.658000000000001</v>
      </c>
      <c r="D1037">
        <v>-105.357</v>
      </c>
      <c r="E1037">
        <v>20120624</v>
      </c>
      <c r="G1037">
        <v>83205</v>
      </c>
      <c r="H1037">
        <v>16</v>
      </c>
      <c r="I1037">
        <v>0.3092644028</v>
      </c>
      <c r="J1037">
        <v>2015</v>
      </c>
      <c r="K1037">
        <v>0.60022455429999999</v>
      </c>
    </row>
    <row r="1038" spans="1:11" x14ac:dyDescent="0.25">
      <c r="A1038">
        <v>-53</v>
      </c>
      <c r="B1038" t="s">
        <v>87</v>
      </c>
      <c r="C1038">
        <v>40.658000000000001</v>
      </c>
      <c r="D1038">
        <v>-105.357</v>
      </c>
      <c r="E1038">
        <v>20120625</v>
      </c>
      <c r="G1038">
        <v>83262</v>
      </c>
      <c r="H1038">
        <v>17</v>
      </c>
      <c r="I1038">
        <v>8.6936432650000003E-3</v>
      </c>
      <c r="J1038">
        <v>57</v>
      </c>
      <c r="K1038">
        <v>1.6979056869999998E-2</v>
      </c>
    </row>
    <row r="1039" spans="1:11" x14ac:dyDescent="0.25">
      <c r="A1039">
        <v>-53</v>
      </c>
      <c r="B1039" t="s">
        <v>87</v>
      </c>
      <c r="C1039">
        <v>40.658000000000001</v>
      </c>
      <c r="D1039">
        <v>-105.357</v>
      </c>
      <c r="E1039">
        <v>20120626</v>
      </c>
      <c r="G1039">
        <v>87284</v>
      </c>
      <c r="H1039">
        <v>18</v>
      </c>
      <c r="I1039">
        <v>0.6060975461</v>
      </c>
      <c r="J1039">
        <v>4022</v>
      </c>
      <c r="K1039">
        <v>1.1980660830000001</v>
      </c>
    </row>
    <row r="1040" spans="1:11" x14ac:dyDescent="0.25">
      <c r="A1040">
        <v>-53</v>
      </c>
      <c r="B1040" t="s">
        <v>87</v>
      </c>
      <c r="C1040">
        <v>40.658000000000001</v>
      </c>
      <c r="D1040">
        <v>-105.357</v>
      </c>
      <c r="E1040">
        <v>20120627</v>
      </c>
      <c r="G1040">
        <v>87284</v>
      </c>
      <c r="H1040">
        <v>19</v>
      </c>
      <c r="I1040">
        <v>0</v>
      </c>
      <c r="J1040">
        <v>0</v>
      </c>
      <c r="K1040">
        <v>0</v>
      </c>
    </row>
    <row r="1041" spans="1:11" x14ac:dyDescent="0.25">
      <c r="A1041">
        <v>-53</v>
      </c>
      <c r="B1041" t="s">
        <v>87</v>
      </c>
      <c r="C1041">
        <v>40.658000000000001</v>
      </c>
      <c r="D1041">
        <v>-105.357</v>
      </c>
      <c r="E1041">
        <v>20120628</v>
      </c>
      <c r="G1041">
        <v>87284</v>
      </c>
      <c r="H1041">
        <v>20</v>
      </c>
      <c r="I1041">
        <v>0</v>
      </c>
      <c r="J1041">
        <v>0</v>
      </c>
      <c r="K1041">
        <v>0</v>
      </c>
    </row>
    <row r="1042" spans="1:11" x14ac:dyDescent="0.25">
      <c r="A1042">
        <v>-53</v>
      </c>
      <c r="B1042" t="s">
        <v>87</v>
      </c>
      <c r="C1042">
        <v>40.658000000000001</v>
      </c>
      <c r="D1042">
        <v>-105.357</v>
      </c>
      <c r="E1042">
        <v>20120629</v>
      </c>
      <c r="G1042">
        <v>87284</v>
      </c>
      <c r="H1042">
        <v>21</v>
      </c>
      <c r="I1042">
        <v>0</v>
      </c>
      <c r="J1042">
        <v>0</v>
      </c>
      <c r="K1042">
        <v>0</v>
      </c>
    </row>
    <row r="1043" spans="1:11" x14ac:dyDescent="0.25">
      <c r="A1043">
        <v>-53</v>
      </c>
      <c r="B1043" t="s">
        <v>87</v>
      </c>
      <c r="C1043">
        <v>40.658000000000001</v>
      </c>
      <c r="D1043">
        <v>-105.357</v>
      </c>
      <c r="E1043">
        <v>20120630</v>
      </c>
      <c r="G1043">
        <v>87284</v>
      </c>
      <c r="H1043">
        <v>22</v>
      </c>
      <c r="I1043">
        <v>0</v>
      </c>
      <c r="J1043">
        <v>0</v>
      </c>
      <c r="K1043">
        <v>0</v>
      </c>
    </row>
    <row r="1044" spans="1:11" x14ac:dyDescent="0.25">
      <c r="A1044">
        <v>-53</v>
      </c>
      <c r="B1044" t="s">
        <v>87</v>
      </c>
      <c r="C1044">
        <v>40.658000000000001</v>
      </c>
      <c r="D1044">
        <v>-105.357</v>
      </c>
      <c r="E1044">
        <v>20120701</v>
      </c>
      <c r="G1044">
        <v>87284</v>
      </c>
      <c r="H1044">
        <v>23</v>
      </c>
      <c r="I1044">
        <v>0</v>
      </c>
      <c r="J1044">
        <v>0</v>
      </c>
      <c r="K1044">
        <v>0</v>
      </c>
    </row>
    <row r="1045" spans="1:11" x14ac:dyDescent="0.25">
      <c r="A1045">
        <v>-53</v>
      </c>
      <c r="B1045" t="s">
        <v>87</v>
      </c>
      <c r="C1045">
        <v>40.658000000000001</v>
      </c>
      <c r="D1045">
        <v>-105.357</v>
      </c>
      <c r="E1045">
        <v>20120702</v>
      </c>
      <c r="G1045">
        <v>87284</v>
      </c>
      <c r="H1045">
        <v>24</v>
      </c>
      <c r="I1045">
        <v>0</v>
      </c>
      <c r="J1045">
        <v>0</v>
      </c>
      <c r="K1045">
        <v>0</v>
      </c>
    </row>
    <row r="1046" spans="1:11" x14ac:dyDescent="0.25">
      <c r="A1046">
        <v>-53</v>
      </c>
      <c r="B1046" t="s">
        <v>87</v>
      </c>
      <c r="C1046">
        <v>40.658000000000001</v>
      </c>
      <c r="D1046">
        <v>-105.357</v>
      </c>
      <c r="E1046">
        <v>20120703</v>
      </c>
      <c r="G1046">
        <v>87284</v>
      </c>
      <c r="H1046">
        <v>25</v>
      </c>
      <c r="I1046">
        <v>0</v>
      </c>
      <c r="J1046">
        <v>0</v>
      </c>
      <c r="K1046">
        <v>0</v>
      </c>
    </row>
    <row r="1047" spans="1:11" x14ac:dyDescent="0.25">
      <c r="A1047">
        <v>-53</v>
      </c>
      <c r="B1047" t="s">
        <v>87</v>
      </c>
      <c r="C1047">
        <v>40.658000000000001</v>
      </c>
      <c r="D1047">
        <v>-105.357</v>
      </c>
      <c r="E1047">
        <v>20120704</v>
      </c>
      <c r="G1047">
        <v>87284</v>
      </c>
      <c r="H1047">
        <v>26</v>
      </c>
      <c r="I1047">
        <v>0</v>
      </c>
      <c r="J1047">
        <v>0</v>
      </c>
      <c r="K1047">
        <v>0</v>
      </c>
    </row>
    <row r="1049" spans="1:11" x14ac:dyDescent="0.25">
      <c r="A1049">
        <v>-54</v>
      </c>
      <c r="B1049" t="s">
        <v>88</v>
      </c>
      <c r="C1049">
        <v>35.738</v>
      </c>
      <c r="D1049">
        <v>-121.075</v>
      </c>
      <c r="E1049">
        <v>20160813</v>
      </c>
      <c r="G1049">
        <v>0</v>
      </c>
      <c r="H1049">
        <v>1</v>
      </c>
      <c r="I1049">
        <v>0</v>
      </c>
      <c r="J1049">
        <v>0</v>
      </c>
      <c r="K1049">
        <v>0</v>
      </c>
    </row>
    <row r="1050" spans="1:11" x14ac:dyDescent="0.25">
      <c r="A1050">
        <v>-54</v>
      </c>
      <c r="B1050" t="s">
        <v>88</v>
      </c>
      <c r="C1050">
        <v>35.738</v>
      </c>
      <c r="D1050">
        <v>-121.075</v>
      </c>
      <c r="E1050">
        <v>20160814</v>
      </c>
      <c r="G1050">
        <v>1000</v>
      </c>
      <c r="H1050">
        <v>2</v>
      </c>
      <c r="I1050">
        <v>3.2519999999999998</v>
      </c>
      <c r="J1050">
        <v>1000</v>
      </c>
      <c r="K1050">
        <v>0.40699999999999997</v>
      </c>
    </row>
    <row r="1051" spans="1:11" x14ac:dyDescent="0.25">
      <c r="A1051">
        <v>-54</v>
      </c>
      <c r="B1051" t="s">
        <v>88</v>
      </c>
      <c r="C1051">
        <v>35.738</v>
      </c>
      <c r="D1051">
        <v>-121.075</v>
      </c>
      <c r="E1051">
        <v>20160815</v>
      </c>
      <c r="G1051">
        <v>10464</v>
      </c>
      <c r="H1051">
        <v>3</v>
      </c>
      <c r="I1051">
        <v>7.2679999999999998</v>
      </c>
      <c r="J1051">
        <v>9464</v>
      </c>
      <c r="K1051">
        <v>3.8519999999999999</v>
      </c>
    </row>
    <row r="1052" spans="1:11" x14ac:dyDescent="0.25">
      <c r="A1052">
        <v>-54</v>
      </c>
      <c r="B1052" t="s">
        <v>88</v>
      </c>
      <c r="C1052">
        <v>35.738</v>
      </c>
      <c r="D1052">
        <v>-121.075</v>
      </c>
      <c r="E1052">
        <v>20160816</v>
      </c>
      <c r="G1052">
        <v>16227</v>
      </c>
      <c r="H1052">
        <v>4</v>
      </c>
      <c r="I1052">
        <v>2.58</v>
      </c>
      <c r="J1052">
        <v>5763</v>
      </c>
      <c r="K1052">
        <v>2.3460000000000001</v>
      </c>
    </row>
    <row r="1053" spans="1:11" x14ac:dyDescent="0.25">
      <c r="A1053">
        <v>-54</v>
      </c>
      <c r="B1053" t="s">
        <v>88</v>
      </c>
      <c r="C1053">
        <v>35.738</v>
      </c>
      <c r="D1053">
        <v>-121.075</v>
      </c>
      <c r="E1053">
        <v>20160817</v>
      </c>
      <c r="G1053">
        <v>25788</v>
      </c>
      <c r="H1053">
        <v>5</v>
      </c>
      <c r="I1053">
        <v>3.4140000000000001</v>
      </c>
      <c r="J1053">
        <v>9561</v>
      </c>
      <c r="K1053">
        <v>3.8919999999999999</v>
      </c>
    </row>
    <row r="1054" spans="1:11" x14ac:dyDescent="0.25">
      <c r="A1054">
        <v>-54</v>
      </c>
      <c r="B1054" t="s">
        <v>88</v>
      </c>
      <c r="C1054">
        <v>35.738</v>
      </c>
      <c r="D1054">
        <v>-121.075</v>
      </c>
      <c r="E1054">
        <v>20160818</v>
      </c>
      <c r="G1054">
        <v>32104</v>
      </c>
      <c r="H1054">
        <v>6</v>
      </c>
      <c r="I1054">
        <v>1.9119999999999999</v>
      </c>
      <c r="J1054">
        <v>6316</v>
      </c>
      <c r="K1054">
        <v>2.5710000000000002</v>
      </c>
    </row>
    <row r="1055" spans="1:11" x14ac:dyDescent="0.25">
      <c r="A1055">
        <v>-54</v>
      </c>
      <c r="B1055" t="s">
        <v>88</v>
      </c>
      <c r="C1055">
        <v>35.738</v>
      </c>
      <c r="D1055">
        <v>-121.075</v>
      </c>
      <c r="E1055">
        <v>20160819</v>
      </c>
      <c r="G1055">
        <v>35287</v>
      </c>
      <c r="H1055">
        <v>7</v>
      </c>
      <c r="I1055">
        <v>0.89200000000000002</v>
      </c>
      <c r="J1055">
        <v>3183</v>
      </c>
      <c r="K1055">
        <v>1.296</v>
      </c>
    </row>
    <row r="1056" spans="1:11" x14ac:dyDescent="0.25">
      <c r="A1056">
        <v>-54</v>
      </c>
      <c r="B1056" t="s">
        <v>88</v>
      </c>
      <c r="C1056">
        <v>35.738</v>
      </c>
      <c r="D1056">
        <v>-121.075</v>
      </c>
      <c r="E1056">
        <v>20160820</v>
      </c>
      <c r="G1056">
        <v>40272</v>
      </c>
      <c r="H1056">
        <v>8</v>
      </c>
      <c r="I1056">
        <v>1.319</v>
      </c>
      <c r="J1056">
        <v>4985</v>
      </c>
      <c r="K1056">
        <v>2.0289999999999999</v>
      </c>
    </row>
    <row r="1057" spans="1:11" x14ac:dyDescent="0.25">
      <c r="A1057">
        <v>-54</v>
      </c>
      <c r="B1057" t="s">
        <v>88</v>
      </c>
      <c r="C1057">
        <v>35.738</v>
      </c>
      <c r="D1057">
        <v>-121.075</v>
      </c>
      <c r="E1057">
        <v>20160821</v>
      </c>
      <c r="G1057">
        <v>46525</v>
      </c>
      <c r="H1057">
        <v>9</v>
      </c>
      <c r="I1057">
        <v>1.544</v>
      </c>
      <c r="J1057">
        <v>6253</v>
      </c>
      <c r="K1057">
        <v>2.5449999999999999</v>
      </c>
    </row>
    <row r="1058" spans="1:11" x14ac:dyDescent="0.25">
      <c r="A1058">
        <v>-54</v>
      </c>
      <c r="B1058" t="s">
        <v>88</v>
      </c>
      <c r="C1058">
        <v>35.738</v>
      </c>
      <c r="D1058">
        <v>-121.075</v>
      </c>
      <c r="E1058">
        <v>20160822</v>
      </c>
      <c r="G1058">
        <v>50144</v>
      </c>
      <c r="H1058">
        <v>10</v>
      </c>
      <c r="I1058">
        <v>0.84699999999999998</v>
      </c>
      <c r="J1058">
        <v>3619</v>
      </c>
      <c r="K1058">
        <v>1.4730000000000001</v>
      </c>
    </row>
    <row r="1059" spans="1:11" x14ac:dyDescent="0.25">
      <c r="A1059">
        <v>-54</v>
      </c>
      <c r="B1059" t="s">
        <v>88</v>
      </c>
      <c r="C1059">
        <v>35.738</v>
      </c>
      <c r="D1059">
        <v>-121.075</v>
      </c>
      <c r="E1059">
        <v>20160823</v>
      </c>
      <c r="G1059">
        <v>54859</v>
      </c>
      <c r="H1059">
        <v>11</v>
      </c>
      <c r="I1059">
        <v>1.0580000000000001</v>
      </c>
      <c r="J1059">
        <v>4715</v>
      </c>
      <c r="K1059">
        <v>1.919</v>
      </c>
    </row>
    <row r="1060" spans="1:11" x14ac:dyDescent="0.25">
      <c r="A1060">
        <v>-54</v>
      </c>
      <c r="B1060" t="s">
        <v>88</v>
      </c>
      <c r="C1060">
        <v>35.738</v>
      </c>
      <c r="D1060">
        <v>-121.075</v>
      </c>
      <c r="E1060">
        <v>20160824</v>
      </c>
      <c r="G1060">
        <v>56185</v>
      </c>
      <c r="H1060">
        <v>12</v>
      </c>
      <c r="I1060">
        <v>0.28899999999999998</v>
      </c>
      <c r="J1060">
        <v>1326</v>
      </c>
      <c r="K1060">
        <v>0.54</v>
      </c>
    </row>
    <row r="1061" spans="1:11" x14ac:dyDescent="0.25">
      <c r="A1061">
        <v>-54</v>
      </c>
      <c r="B1061" t="s">
        <v>88</v>
      </c>
      <c r="C1061">
        <v>35.738</v>
      </c>
      <c r="D1061">
        <v>-121.075</v>
      </c>
      <c r="E1061">
        <v>20160825</v>
      </c>
      <c r="G1061">
        <v>56695</v>
      </c>
      <c r="H1061">
        <v>13</v>
      </c>
      <c r="I1061">
        <v>0.11</v>
      </c>
      <c r="J1061">
        <v>510</v>
      </c>
      <c r="K1061">
        <v>0.20799999999999999</v>
      </c>
    </row>
    <row r="1062" spans="1:11" x14ac:dyDescent="0.25">
      <c r="A1062">
        <v>-54</v>
      </c>
      <c r="B1062" t="s">
        <v>88</v>
      </c>
      <c r="C1062">
        <v>35.738</v>
      </c>
      <c r="D1062">
        <v>-121.075</v>
      </c>
      <c r="E1062">
        <v>20160826</v>
      </c>
      <c r="G1062">
        <v>57371</v>
      </c>
      <c r="H1062">
        <v>14</v>
      </c>
      <c r="I1062">
        <v>0.14599999999999999</v>
      </c>
      <c r="J1062">
        <v>676</v>
      </c>
      <c r="K1062">
        <v>0.27500000000000002</v>
      </c>
    </row>
    <row r="1063" spans="1:11" x14ac:dyDescent="0.25">
      <c r="A1063">
        <v>-54</v>
      </c>
      <c r="B1063" t="s">
        <v>88</v>
      </c>
      <c r="C1063">
        <v>35.738</v>
      </c>
      <c r="D1063">
        <v>-121.075</v>
      </c>
      <c r="E1063">
        <v>20160827</v>
      </c>
      <c r="G1063">
        <v>58218</v>
      </c>
      <c r="H1063">
        <v>15</v>
      </c>
      <c r="I1063">
        <v>0.18099999999999999</v>
      </c>
      <c r="J1063">
        <v>847</v>
      </c>
      <c r="K1063">
        <v>0.34499999999999997</v>
      </c>
    </row>
    <row r="1064" spans="1:11" x14ac:dyDescent="0.25">
      <c r="A1064">
        <v>-54</v>
      </c>
      <c r="B1064" t="s">
        <v>88</v>
      </c>
      <c r="C1064">
        <v>35.738</v>
      </c>
      <c r="D1064">
        <v>-121.075</v>
      </c>
      <c r="E1064">
        <v>20160828</v>
      </c>
      <c r="G1064">
        <v>58092</v>
      </c>
      <c r="H1064">
        <v>16</v>
      </c>
      <c r="I1064">
        <v>-2.7E-2</v>
      </c>
      <c r="J1064">
        <v>-126</v>
      </c>
      <c r="K1064">
        <v>-5.0999999999999997E-2</v>
      </c>
    </row>
    <row r="1065" spans="1:11" x14ac:dyDescent="0.25">
      <c r="A1065">
        <v>-54</v>
      </c>
      <c r="B1065" t="s">
        <v>88</v>
      </c>
      <c r="C1065">
        <v>35.738</v>
      </c>
      <c r="D1065">
        <v>-121.075</v>
      </c>
      <c r="E1065">
        <v>20160829</v>
      </c>
      <c r="G1065">
        <v>58330</v>
      </c>
      <c r="H1065">
        <v>17</v>
      </c>
      <c r="I1065">
        <v>5.0999999999999997E-2</v>
      </c>
      <c r="J1065">
        <v>238</v>
      </c>
      <c r="K1065">
        <v>9.7000000000000003E-2</v>
      </c>
    </row>
    <row r="1066" spans="1:11" x14ac:dyDescent="0.25">
      <c r="A1066">
        <v>-54</v>
      </c>
      <c r="B1066" t="s">
        <v>88</v>
      </c>
      <c r="C1066">
        <v>35.738</v>
      </c>
      <c r="D1066">
        <v>-121.075</v>
      </c>
      <c r="E1066">
        <v>20160830</v>
      </c>
      <c r="G1066">
        <v>58330</v>
      </c>
      <c r="H1066">
        <v>18</v>
      </c>
      <c r="I1066">
        <v>0</v>
      </c>
      <c r="J1066">
        <v>0</v>
      </c>
      <c r="K1066">
        <v>0</v>
      </c>
    </row>
    <row r="1067" spans="1:11" x14ac:dyDescent="0.25">
      <c r="A1067">
        <v>-54</v>
      </c>
      <c r="B1067" t="s">
        <v>88</v>
      </c>
      <c r="C1067">
        <v>35.738</v>
      </c>
      <c r="D1067">
        <v>-121.075</v>
      </c>
      <c r="E1067">
        <v>20160830</v>
      </c>
      <c r="G1067">
        <v>58761</v>
      </c>
      <c r="H1067">
        <v>19</v>
      </c>
      <c r="I1067">
        <v>9.1999999999999998E-2</v>
      </c>
      <c r="J1067">
        <v>431</v>
      </c>
      <c r="K1067">
        <v>0.17499999999999999</v>
      </c>
    </row>
    <row r="1068" spans="1:11" x14ac:dyDescent="0.25">
      <c r="A1068">
        <v>-54</v>
      </c>
      <c r="B1068" t="s">
        <v>88</v>
      </c>
      <c r="C1068">
        <v>35.738</v>
      </c>
      <c r="D1068">
        <v>-121.075</v>
      </c>
      <c r="E1068">
        <v>20160901</v>
      </c>
      <c r="G1068">
        <v>58761</v>
      </c>
      <c r="H1068">
        <v>20</v>
      </c>
      <c r="I1068">
        <v>0</v>
      </c>
      <c r="J1068">
        <v>0</v>
      </c>
      <c r="K1068">
        <v>0</v>
      </c>
    </row>
    <row r="1069" spans="1:11" x14ac:dyDescent="0.25">
      <c r="A1069">
        <v>-54</v>
      </c>
      <c r="B1069" t="s">
        <v>88</v>
      </c>
      <c r="C1069">
        <v>35.738</v>
      </c>
      <c r="D1069">
        <v>-121.075</v>
      </c>
      <c r="E1069">
        <v>20160902</v>
      </c>
      <c r="G1069">
        <v>58892</v>
      </c>
      <c r="H1069">
        <v>21</v>
      </c>
      <c r="I1069">
        <v>2.8000000000000001E-2</v>
      </c>
      <c r="J1069">
        <v>131</v>
      </c>
      <c r="K1069">
        <v>5.2999999999999999E-2</v>
      </c>
    </row>
    <row r="1070" spans="1:11" x14ac:dyDescent="0.25">
      <c r="A1070">
        <v>-54</v>
      </c>
      <c r="B1070" t="s">
        <v>88</v>
      </c>
      <c r="C1070">
        <v>35.738</v>
      </c>
      <c r="D1070">
        <v>-121.075</v>
      </c>
      <c r="E1070">
        <v>20160903</v>
      </c>
      <c r="G1070">
        <v>58892</v>
      </c>
      <c r="H1070">
        <v>22</v>
      </c>
      <c r="I1070">
        <v>0</v>
      </c>
      <c r="J1070">
        <v>0</v>
      </c>
      <c r="K1070">
        <v>0</v>
      </c>
    </row>
    <row r="1071" spans="1:11" x14ac:dyDescent="0.25">
      <c r="A1071">
        <v>-54</v>
      </c>
      <c r="B1071" t="s">
        <v>88</v>
      </c>
      <c r="C1071">
        <v>35.738</v>
      </c>
      <c r="D1071">
        <v>-121.075</v>
      </c>
      <c r="E1071">
        <v>20160904</v>
      </c>
      <c r="G1071">
        <v>58892</v>
      </c>
      <c r="H1071">
        <v>23</v>
      </c>
      <c r="I1071">
        <v>0</v>
      </c>
      <c r="J1071">
        <v>0</v>
      </c>
      <c r="K1071">
        <v>0</v>
      </c>
    </row>
    <row r="1072" spans="1:11" x14ac:dyDescent="0.25">
      <c r="A1072">
        <v>-54</v>
      </c>
      <c r="B1072" t="s">
        <v>88</v>
      </c>
      <c r="C1072">
        <v>35.738</v>
      </c>
      <c r="D1072">
        <v>-121.075</v>
      </c>
      <c r="E1072">
        <v>20160905</v>
      </c>
      <c r="G1072">
        <v>58961</v>
      </c>
      <c r="H1072">
        <v>24</v>
      </c>
      <c r="I1072">
        <v>1.4999999999999999E-2</v>
      </c>
      <c r="J1072">
        <v>69</v>
      </c>
      <c r="K1072">
        <v>2.8000000000000001E-2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2025-02-06T04:31:48Z</dcterms:created>
  <dcterms:modified xsi:type="dcterms:W3CDTF">2025-09-16T05:04:05Z</dcterms:modified>
</cp:coreProperties>
</file>