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13_ncr:1_{4DED189B-C479-404D-AE1D-2D9A37FDC9AE}" xr6:coauthVersionLast="47" xr6:coauthVersionMax="47" xr10:uidLastSave="{00000000-0000-0000-0000-000000000000}"/>
  <bookViews>
    <workbookView xWindow="28680" yWindow="-120" windowWidth="29040" windowHeight="15720" xr2:uid="{BE0CE23E-225C-432D-9221-6EB41E5A525B}"/>
  </bookViews>
  <sheets>
    <sheet name="MesaLF(8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2" i="1"/>
  <c r="P2" i="1"/>
  <c r="S2" i="1"/>
  <c r="T2" i="1"/>
  <c r="N3" i="1"/>
  <c r="O3" i="1"/>
  <c r="P3" i="1"/>
  <c r="S3" i="1"/>
  <c r="T3" i="1" s="1"/>
  <c r="O4" i="1"/>
  <c r="N4" i="1" s="1"/>
  <c r="P4" i="1"/>
  <c r="S4" i="1"/>
  <c r="T4" i="1"/>
  <c r="N5" i="1"/>
  <c r="O5" i="1"/>
  <c r="P5" i="1"/>
  <c r="S5" i="1"/>
  <c r="T5" i="1"/>
  <c r="N6" i="1"/>
  <c r="O6" i="1"/>
  <c r="P6" i="1"/>
  <c r="S6" i="1"/>
  <c r="T6" i="1"/>
  <c r="O7" i="1"/>
  <c r="N7" i="1" s="1"/>
  <c r="P7" i="1"/>
  <c r="S7" i="1"/>
  <c r="T7" i="1"/>
  <c r="N8" i="1"/>
  <c r="O8" i="1"/>
  <c r="P8" i="1"/>
  <c r="S8" i="1"/>
  <c r="T8" i="1" s="1"/>
  <c r="O9" i="1"/>
  <c r="N9" i="1" s="1"/>
  <c r="P9" i="1"/>
  <c r="S9" i="1"/>
  <c r="T9" i="1"/>
  <c r="O10" i="1"/>
  <c r="N10" i="1" s="1"/>
  <c r="P10" i="1"/>
  <c r="S10" i="1"/>
  <c r="T10" i="1" s="1"/>
  <c r="O11" i="1"/>
  <c r="N11" i="1" s="1"/>
  <c r="P11" i="1"/>
  <c r="S11" i="1"/>
  <c r="T11" i="1" s="1"/>
  <c r="O12" i="1"/>
  <c r="N12" i="1" s="1"/>
  <c r="P12" i="1"/>
  <c r="S12" i="1"/>
  <c r="T12" i="1" s="1"/>
  <c r="N13" i="1"/>
  <c r="O13" i="1"/>
  <c r="P13" i="1"/>
  <c r="S13" i="1"/>
  <c r="T13" i="1"/>
  <c r="M14" i="1"/>
  <c r="O14" i="1"/>
  <c r="N14" i="1" s="1"/>
  <c r="P14" i="1"/>
  <c r="S14" i="1"/>
  <c r="T14" i="1" s="1"/>
  <c r="N15" i="1"/>
  <c r="O15" i="1"/>
  <c r="P15" i="1"/>
  <c r="S15" i="1"/>
  <c r="T15" i="1"/>
  <c r="N16" i="1"/>
  <c r="O16" i="1"/>
  <c r="P16" i="1"/>
  <c r="S16" i="1"/>
  <c r="T16" i="1" s="1"/>
  <c r="O17" i="1"/>
  <c r="N17" i="1" s="1"/>
  <c r="P17" i="1"/>
  <c r="S17" i="1"/>
  <c r="T17" i="1"/>
  <c r="N18" i="1"/>
  <c r="O18" i="1"/>
  <c r="P18" i="1"/>
  <c r="S18" i="1"/>
  <c r="T18" i="1"/>
  <c r="N19" i="1"/>
  <c r="O19" i="1"/>
  <c r="P19" i="1"/>
  <c r="S19" i="1"/>
  <c r="T19" i="1"/>
  <c r="O20" i="1"/>
  <c r="N20" i="1" s="1"/>
  <c r="S20" i="1"/>
  <c r="T20" i="1" s="1"/>
  <c r="O21" i="1"/>
  <c r="N21" i="1" s="1"/>
  <c r="S21" i="1"/>
  <c r="T21" i="1" s="1"/>
  <c r="N22" i="1"/>
  <c r="O22" i="1"/>
  <c r="S22" i="1"/>
  <c r="T22" i="1"/>
  <c r="N23" i="1"/>
  <c r="O23" i="1"/>
  <c r="S23" i="1"/>
  <c r="T23" i="1"/>
  <c r="O24" i="1"/>
  <c r="N24" i="1" s="1"/>
  <c r="S24" i="1"/>
  <c r="T24" i="1" s="1"/>
  <c r="O25" i="1"/>
  <c r="N25" i="1" s="1"/>
  <c r="S25" i="1"/>
  <c r="T25" i="1"/>
  <c r="N26" i="1"/>
  <c r="O26" i="1"/>
  <c r="S26" i="1"/>
  <c r="T26" i="1"/>
  <c r="N27" i="1"/>
  <c r="O27" i="1"/>
  <c r="S27" i="1"/>
  <c r="T27" i="1" s="1"/>
  <c r="O28" i="1"/>
  <c r="N28" i="1" s="1"/>
  <c r="S28" i="1"/>
  <c r="T28" i="1" s="1"/>
  <c r="O29" i="1"/>
  <c r="N29" i="1" s="1"/>
  <c r="S29" i="1"/>
  <c r="T29" i="1"/>
  <c r="N30" i="1"/>
  <c r="O30" i="1"/>
  <c r="S30" i="1"/>
  <c r="T30" i="1"/>
  <c r="O31" i="1"/>
  <c r="N31" i="1" s="1"/>
  <c r="S31" i="1"/>
  <c r="T31" i="1" s="1"/>
  <c r="O32" i="1"/>
  <c r="N32" i="1" s="1"/>
  <c r="S32" i="1"/>
  <c r="T32" i="1" s="1"/>
</calcChain>
</file>

<file path=xl/sharedStrings.xml><?xml version="1.0" encoding="utf-8"?>
<sst xmlns="http://schemas.openxmlformats.org/spreadsheetml/2006/main" count="24" uniqueCount="19">
  <si>
    <t>As</t>
  </si>
  <si>
    <t>Ls</t>
  </si>
  <si>
    <t>ScaledSumCPD</t>
  </si>
  <si>
    <t>ScaledCPD</t>
  </si>
  <si>
    <t>Cost per day per acre</t>
  </si>
  <si>
    <t>Real Cost (Adjusted for Inflation)</t>
  </si>
  <si>
    <t>ICS209 Cost</t>
  </si>
  <si>
    <t>Best</t>
  </si>
  <si>
    <t>Ls_Growth</t>
  </si>
  <si>
    <t>Growth</t>
  </si>
  <si>
    <t>IR infrared data - daily acres</t>
  </si>
  <si>
    <t>Prog_0812</t>
  </si>
  <si>
    <t>Prog_</t>
  </si>
  <si>
    <t>Prog_ progression map &amp; date</t>
  </si>
  <si>
    <t>IMSR cost</t>
  </si>
  <si>
    <t>IMSR daily acres</t>
  </si>
  <si>
    <t>ICS209 daily acres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</si>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</sst>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1" fillId="4" borderId="0" xfId="0" applyNumberFormat="1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right" wrapText="1"/>
    </xf>
    <xf numFmtId="164" fontId="2" fillId="2" borderId="0" xfId="0" applyNumberFormat="1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164" fontId="2" fillId="4" borderId="0" xfId="0" applyNumberFormat="1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horizontal="right" wrapText="1"/>
    </xf>
    <xf numFmtId="0" fontId="2" fillId="5" borderId="0" xfId="0" applyFont="1" applyFill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0" borderId="0" xfId="0" applyFont="1"/>
    <xf numFmtId="164" fontId="2" fillId="2" borderId="0" xfId="0" applyNumberFormat="1" applyFont="1" applyFill="1"/>
    <xf numFmtId="164" fontId="2" fillId="3" borderId="0" xfId="0" applyNumberFormat="1" applyFont="1" applyFill="1"/>
    <xf numFmtId="164" fontId="2" fillId="4" borderId="0" xfId="0" applyNumberFormat="1" applyFont="1" applyFill="1"/>
    <xf numFmtId="0" fontId="2" fillId="4" borderId="0" xfId="0" applyFont="1" applyFill="1"/>
    <xf numFmtId="0" fontId="2" fillId="5" borderId="0" xfId="0" applyFont="1" applyFill="1"/>
    <xf numFmtId="164" fontId="2" fillId="0" borderId="0" xfId="0" applyNumberFormat="1" applyFont="1"/>
    <xf numFmtId="14" fontId="2" fillId="0" borderId="0" xfId="0" applyNumberFormat="1" applyFont="1"/>
    <xf numFmtId="0" fontId="0" fillId="6" borderId="0" xfId="0" applyFill="1"/>
    <xf numFmtId="0" fontId="2" fillId="6" borderId="0" xfId="0" applyFont="1" applyFill="1"/>
    <xf numFmtId="164" fontId="2" fillId="7" borderId="0" xfId="0" applyNumberFormat="1" applyFont="1" applyFill="1"/>
    <xf numFmtId="164" fontId="2" fillId="8" borderId="0" xfId="0" applyNumberFormat="1" applyFont="1" applyFill="1"/>
    <xf numFmtId="164" fontId="2" fillId="9" borderId="0" xfId="0" applyNumberFormat="1" applyFont="1" applyFill="1"/>
    <xf numFmtId="0" fontId="2" fillId="9" borderId="0" xfId="0" applyFont="1" applyFill="1"/>
    <xf numFmtId="0" fontId="2" fillId="10" borderId="0" xfId="0" applyFont="1" applyFill="1"/>
    <xf numFmtId="164" fontId="2" fillId="6" borderId="0" xfId="0" applyNumberFormat="1" applyFont="1" applyFill="1"/>
    <xf numFmtId="0" fontId="2" fillId="6" borderId="0" xfId="0" applyFont="1" applyFill="1" applyAlignment="1">
      <alignment horizontal="right"/>
    </xf>
    <xf numFmtId="14" fontId="2" fillId="6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2" fillId="11" borderId="0" xfId="0" applyFont="1" applyFill="1"/>
    <xf numFmtId="164" fontId="2" fillId="11" borderId="0" xfId="0" applyNumberFormat="1" applyFont="1" applyFill="1"/>
    <xf numFmtId="164" fontId="1" fillId="11" borderId="0" xfId="0" applyNumberFormat="1" applyFont="1" applyFill="1"/>
    <xf numFmtId="0" fontId="2" fillId="11" borderId="0" xfId="0" applyFont="1" applyFill="1" applyAlignment="1">
      <alignment horizontal="right"/>
    </xf>
    <xf numFmtId="0" fontId="1" fillId="11" borderId="0" xfId="0" applyFont="1" applyFill="1"/>
    <xf numFmtId="14" fontId="2" fillId="11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JohnsonXLF(3)"/>
    </sheetNames>
    <sheetDataSet>
      <sheetData sheetId="0"/>
      <sheetData sheetId="1">
        <row r="2">
          <cell r="F2">
            <v>1.1928852932198402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19E48-31B2-4CC9-AF9E-51824801AE21}">
  <sheetPr>
    <outlinePr summaryBelow="0" summaryRight="0"/>
  </sheetPr>
  <dimension ref="A1:AC999"/>
  <sheetViews>
    <sheetView tabSelected="1" workbookViewId="0">
      <selection activeCell="J13" sqref="J13"/>
    </sheetView>
  </sheetViews>
  <sheetFormatPr defaultColWidth="12.5703125" defaultRowHeight="15" customHeight="1" x14ac:dyDescent="0.25"/>
  <sheetData>
    <row r="1" spans="1:29" ht="15" customHeight="1" x14ac:dyDescent="0.25">
      <c r="A1" s="14" t="s">
        <v>18</v>
      </c>
      <c r="B1" s="14" t="s">
        <v>17</v>
      </c>
      <c r="C1" s="14" t="s">
        <v>16</v>
      </c>
      <c r="D1" s="15" t="s">
        <v>6</v>
      </c>
      <c r="E1" s="14" t="s">
        <v>15</v>
      </c>
      <c r="F1" s="15" t="s">
        <v>14</v>
      </c>
      <c r="G1" s="14" t="s">
        <v>13</v>
      </c>
      <c r="H1" s="14" t="s">
        <v>12</v>
      </c>
      <c r="I1" s="14" t="s">
        <v>12</v>
      </c>
      <c r="J1" s="14" t="s">
        <v>12</v>
      </c>
      <c r="K1" s="14" t="s">
        <v>12</v>
      </c>
      <c r="L1" s="14" t="s">
        <v>11</v>
      </c>
      <c r="M1" s="14" t="s">
        <v>10</v>
      </c>
      <c r="N1" s="13" t="s">
        <v>0</v>
      </c>
      <c r="O1" s="13" t="s">
        <v>9</v>
      </c>
      <c r="P1" s="13" t="s">
        <v>8</v>
      </c>
      <c r="Q1" s="12" t="s">
        <v>7</v>
      </c>
      <c r="R1" s="11" t="s">
        <v>6</v>
      </c>
      <c r="S1" s="10" t="s">
        <v>5</v>
      </c>
      <c r="T1" s="9" t="s">
        <v>4</v>
      </c>
      <c r="U1" s="14" t="s">
        <v>3</v>
      </c>
      <c r="V1" s="6" t="s">
        <v>2</v>
      </c>
      <c r="W1" s="14" t="s">
        <v>1</v>
      </c>
      <c r="X1" s="14"/>
      <c r="Y1" s="14" t="s">
        <v>0</v>
      </c>
    </row>
    <row r="2" spans="1:29" ht="15" customHeight="1" x14ac:dyDescent="0.25">
      <c r="A2" s="39">
        <v>43307</v>
      </c>
      <c r="B2" s="38">
        <v>1</v>
      </c>
      <c r="C2" s="38">
        <v>6000</v>
      </c>
      <c r="D2" s="7">
        <v>200000</v>
      </c>
      <c r="G2" s="19"/>
      <c r="H2" s="19"/>
      <c r="I2" s="19"/>
      <c r="J2" s="19"/>
      <c r="K2" s="19"/>
      <c r="L2" s="19"/>
      <c r="M2" s="19"/>
      <c r="N2" s="24">
        <f>31/$Q$32*(O2)</f>
        <v>5.3572971571761858</v>
      </c>
      <c r="O2" s="24">
        <f>Q2</f>
        <v>6000</v>
      </c>
      <c r="P2" s="24">
        <f>$B$19/SQRT($Q$19)*(SQRT(Q3)-SQRT(Q2))</f>
        <v>4.2860562213581677</v>
      </c>
      <c r="Q2" s="37">
        <v>6000</v>
      </c>
      <c r="R2" s="3">
        <v>200000</v>
      </c>
      <c r="S2" s="21">
        <f>R2*'[1]Inflation Rates by Year'!$F$2</f>
        <v>238577.05864396802</v>
      </c>
      <c r="T2" s="20">
        <f>S2/Q2</f>
        <v>39.762843107328003</v>
      </c>
      <c r="U2" s="19"/>
      <c r="V2" s="19"/>
      <c r="W2" s="19"/>
      <c r="X2" s="19"/>
      <c r="Y2" s="19"/>
      <c r="Z2" s="19"/>
      <c r="AA2" s="19"/>
      <c r="AB2" s="19"/>
      <c r="AC2" s="19"/>
    </row>
    <row r="3" spans="1:29" ht="15" customHeight="1" x14ac:dyDescent="0.25">
      <c r="A3" s="39">
        <v>43308</v>
      </c>
      <c r="B3" s="38">
        <v>2</v>
      </c>
      <c r="C3" s="38">
        <v>14000</v>
      </c>
      <c r="D3" s="7">
        <v>300000</v>
      </c>
      <c r="G3" s="19"/>
      <c r="H3" s="19"/>
      <c r="I3" s="19"/>
      <c r="J3" s="19"/>
      <c r="K3" s="19"/>
      <c r="L3" s="19"/>
      <c r="M3" s="38">
        <v>14839</v>
      </c>
      <c r="N3" s="24">
        <f>31/$Q$32*(O3)</f>
        <v>7.8921915953800514</v>
      </c>
      <c r="O3" s="24">
        <f>Q3-Q2</f>
        <v>8839</v>
      </c>
      <c r="P3" s="24">
        <f>$B$19/SQRT($Q$19)*(SQRT(Q4)-SQRT(Q3))</f>
        <v>3.6827920387697581</v>
      </c>
      <c r="Q3" s="37">
        <v>14839</v>
      </c>
      <c r="R3" s="3">
        <v>300000</v>
      </c>
      <c r="S3" s="21">
        <f>R3*'[1]Inflation Rates by Year'!$F$2</f>
        <v>357865.58796595206</v>
      </c>
      <c r="T3" s="20">
        <f>S3/Q3</f>
        <v>24.11655690854856</v>
      </c>
      <c r="U3" s="19"/>
      <c r="V3" s="19"/>
      <c r="W3" s="19"/>
      <c r="X3" s="19"/>
      <c r="Y3" s="19"/>
      <c r="Z3" s="19"/>
      <c r="AA3" s="19"/>
      <c r="AB3" s="19"/>
      <c r="AC3" s="19"/>
    </row>
    <row r="4" spans="1:29" ht="15" customHeight="1" x14ac:dyDescent="0.25">
      <c r="A4" s="39">
        <v>43309</v>
      </c>
      <c r="B4" s="38">
        <v>3</v>
      </c>
      <c r="C4" s="38">
        <v>20000</v>
      </c>
      <c r="D4" s="7">
        <v>400000</v>
      </c>
      <c r="G4" s="19"/>
      <c r="H4" s="19"/>
      <c r="I4" s="19"/>
      <c r="J4" s="19"/>
      <c r="K4" s="19"/>
      <c r="L4" s="38">
        <v>14839</v>
      </c>
      <c r="M4" s="38">
        <v>25577</v>
      </c>
      <c r="N4" s="24">
        <f>31/$Q$32*(O4)</f>
        <v>9.5877761456263144</v>
      </c>
      <c r="O4" s="24">
        <f>Q4-Q3</f>
        <v>10738</v>
      </c>
      <c r="P4" s="24">
        <f>$B$19/SQRT($Q$19)*(SQRT(Q5)-SQRT(Q4))</f>
        <v>0.45315456865255621</v>
      </c>
      <c r="Q4" s="37">
        <v>25577</v>
      </c>
      <c r="R4" s="3">
        <v>400000</v>
      </c>
      <c r="S4" s="21">
        <f>R4*'[1]Inflation Rates by Year'!$F$2</f>
        <v>477154.11728793604</v>
      </c>
      <c r="T4" s="20">
        <f>S4/Q4</f>
        <v>18.655593591427298</v>
      </c>
      <c r="U4" s="19"/>
      <c r="V4" s="19"/>
      <c r="W4" s="19"/>
      <c r="X4" s="19"/>
      <c r="Y4" s="19"/>
      <c r="Z4" s="19"/>
      <c r="AA4" s="19"/>
      <c r="AB4" s="19"/>
      <c r="AC4" s="19"/>
    </row>
    <row r="5" spans="1:29" ht="15" customHeight="1" x14ac:dyDescent="0.25">
      <c r="A5" s="39">
        <v>43310</v>
      </c>
      <c r="B5" s="38">
        <v>4</v>
      </c>
      <c r="C5" s="19"/>
      <c r="D5" s="7"/>
      <c r="G5" s="19"/>
      <c r="H5" s="19"/>
      <c r="I5" s="19"/>
      <c r="J5" s="19"/>
      <c r="K5" s="19"/>
      <c r="L5" s="38">
        <v>25777</v>
      </c>
      <c r="M5" s="38">
        <v>27099</v>
      </c>
      <c r="N5" s="24">
        <f>31/$Q$32*(O5)</f>
        <v>1.3589677122036925</v>
      </c>
      <c r="O5" s="24">
        <f>Q5-Q4</f>
        <v>1522</v>
      </c>
      <c r="P5" s="24">
        <f>$B$19/SQRT($Q$19)*(SQRT(Q6)-SQRT(Q5))</f>
        <v>0.79767741474049114</v>
      </c>
      <c r="Q5" s="37">
        <v>27099</v>
      </c>
      <c r="R5" s="3"/>
      <c r="S5" s="21">
        <f>R5*'[1]Inflation Rates by Year'!$F$2</f>
        <v>0</v>
      </c>
      <c r="T5" s="20">
        <f>S5/Q5</f>
        <v>0</v>
      </c>
      <c r="U5" s="19"/>
      <c r="V5" s="19"/>
      <c r="W5" s="19"/>
      <c r="X5" s="19"/>
      <c r="Y5" s="19"/>
      <c r="Z5" s="19"/>
      <c r="AA5" s="19"/>
      <c r="AB5" s="19"/>
      <c r="AC5" s="19"/>
    </row>
    <row r="6" spans="1:29" ht="15" customHeight="1" x14ac:dyDescent="0.25">
      <c r="A6" s="39">
        <v>43311</v>
      </c>
      <c r="B6" s="38">
        <v>5</v>
      </c>
      <c r="C6" s="38">
        <v>27099</v>
      </c>
      <c r="D6" s="7">
        <v>2100000</v>
      </c>
      <c r="G6" s="19"/>
      <c r="H6" s="19"/>
      <c r="I6" s="19"/>
      <c r="J6" s="19"/>
      <c r="K6" s="19"/>
      <c r="L6" s="38">
        <v>27099</v>
      </c>
      <c r="M6" s="38">
        <v>29885</v>
      </c>
      <c r="N6" s="24">
        <f>31/$Q$32*(O6)</f>
        <v>2.4875716466488091</v>
      </c>
      <c r="O6" s="24">
        <f>Q6-Q5</f>
        <v>2786</v>
      </c>
      <c r="P6" s="24">
        <f>$B$19/SQRT($Q$19)*(SQRT(Q7)-SQRT(Q6))</f>
        <v>0.57262227802291021</v>
      </c>
      <c r="Q6" s="37">
        <v>29885</v>
      </c>
      <c r="R6" s="3">
        <v>2100000</v>
      </c>
      <c r="S6" s="21">
        <f>R6*'[1]Inflation Rates by Year'!$F$2</f>
        <v>2505059.1157616642</v>
      </c>
      <c r="T6" s="20">
        <f>S6/Q6</f>
        <v>83.823293149127124</v>
      </c>
      <c r="U6" s="19"/>
      <c r="V6" s="19"/>
      <c r="W6" s="19"/>
      <c r="X6" s="19"/>
      <c r="Y6" s="19"/>
      <c r="Z6" s="19"/>
      <c r="AA6" s="19"/>
      <c r="AB6" s="19"/>
      <c r="AC6" s="19"/>
    </row>
    <row r="7" spans="1:29" ht="15" customHeight="1" x14ac:dyDescent="0.25">
      <c r="A7" s="39">
        <v>43312</v>
      </c>
      <c r="B7" s="38">
        <v>6</v>
      </c>
      <c r="C7" s="38">
        <v>29885</v>
      </c>
      <c r="D7" s="7">
        <v>3324706</v>
      </c>
      <c r="G7" s="19"/>
      <c r="H7" s="19"/>
      <c r="I7" s="19"/>
      <c r="J7" s="19"/>
      <c r="K7" s="19"/>
      <c r="L7" s="38">
        <v>29885</v>
      </c>
      <c r="M7" s="38">
        <v>31969</v>
      </c>
      <c r="N7" s="24">
        <f>31/$Q$32*(O7)</f>
        <v>1.8607678792591953</v>
      </c>
      <c r="O7" s="24">
        <f>Q7-Q6</f>
        <v>2084</v>
      </c>
      <c r="P7" s="24">
        <f>$B$19/SQRT($Q$19)*(SQRT(Q8)-SQRT(Q7))</f>
        <v>0.10479672422919992</v>
      </c>
      <c r="Q7" s="37">
        <v>31969</v>
      </c>
      <c r="R7" s="3">
        <v>3324706</v>
      </c>
      <c r="S7" s="21">
        <f>R7*'[1]Inflation Rates by Year'!$F$2</f>
        <v>3965992.8916797619</v>
      </c>
      <c r="T7" s="20">
        <f>S7/Q7</f>
        <v>124.05745852794151</v>
      </c>
      <c r="U7" s="19"/>
      <c r="V7" s="19"/>
      <c r="W7" s="19"/>
      <c r="X7" s="19"/>
      <c r="Y7" s="19"/>
      <c r="Z7" s="19"/>
      <c r="AA7" s="19"/>
      <c r="AB7" s="19"/>
      <c r="AC7" s="19"/>
    </row>
    <row r="8" spans="1:29" ht="15" customHeight="1" x14ac:dyDescent="0.25">
      <c r="A8" s="39">
        <v>43313</v>
      </c>
      <c r="B8" s="38">
        <v>7</v>
      </c>
      <c r="C8" s="38">
        <v>31969</v>
      </c>
      <c r="D8" s="7">
        <v>4240938.84</v>
      </c>
      <c r="G8" s="19"/>
      <c r="H8" s="19"/>
      <c r="I8" s="19"/>
      <c r="J8" s="19"/>
      <c r="K8" s="19"/>
      <c r="L8" s="38">
        <v>31969</v>
      </c>
      <c r="M8" s="19"/>
      <c r="N8" s="24">
        <f>31/$Q$32*(O8)</f>
        <v>0.34733143235692271</v>
      </c>
      <c r="O8" s="24">
        <f>Q8-Q7</f>
        <v>389</v>
      </c>
      <c r="P8" s="24">
        <f>$B$19/SQRT($Q$19)*(SQRT(Q9)-SQRT(Q8))</f>
        <v>0.23424210122396913</v>
      </c>
      <c r="Q8" s="37">
        <v>32358</v>
      </c>
      <c r="R8" s="3">
        <v>4240938.84</v>
      </c>
      <c r="S8" s="21">
        <f>R8*'[1]Inflation Rates by Year'!$F$2</f>
        <v>5058953.5716808084</v>
      </c>
      <c r="T8" s="20">
        <f>S8/Q8</f>
        <v>156.34320945920047</v>
      </c>
      <c r="U8" s="19"/>
      <c r="V8" s="19"/>
      <c r="W8" s="19"/>
      <c r="X8" s="19"/>
      <c r="Y8" s="19"/>
      <c r="Z8" s="19"/>
      <c r="AA8" s="19"/>
      <c r="AB8" s="19"/>
      <c r="AC8" s="19"/>
    </row>
    <row r="9" spans="1:29" ht="15" customHeight="1" x14ac:dyDescent="0.25">
      <c r="A9" s="39">
        <v>43314</v>
      </c>
      <c r="B9" s="38">
        <v>8</v>
      </c>
      <c r="C9" s="38">
        <v>32358</v>
      </c>
      <c r="D9" s="7">
        <v>5007572</v>
      </c>
      <c r="G9" s="19"/>
      <c r="H9" s="19"/>
      <c r="I9" s="19"/>
      <c r="J9" s="19"/>
      <c r="K9" s="19"/>
      <c r="L9" s="38">
        <v>32358</v>
      </c>
      <c r="M9" s="38">
        <v>33236</v>
      </c>
      <c r="N9" s="24">
        <f>31/$Q$32*(O9)</f>
        <v>0.78395115066678189</v>
      </c>
      <c r="O9" s="24">
        <f>Q9-Q8</f>
        <v>878</v>
      </c>
      <c r="P9" s="24">
        <f>$B$19/SQRT($Q$19)*(SQRT(Q10)-SQRT(Q9))</f>
        <v>4.4202348701555143E-2</v>
      </c>
      <c r="Q9" s="37">
        <v>33236</v>
      </c>
      <c r="R9" s="3">
        <v>5007572</v>
      </c>
      <c r="S9" s="21">
        <f>R9*'[1]Inflation Rates by Year'!$F$2</f>
        <v>5973458.9935394619</v>
      </c>
      <c r="T9" s="20">
        <f>S9/Q9</f>
        <v>179.72857725175899</v>
      </c>
      <c r="U9" s="19"/>
      <c r="V9" s="19"/>
      <c r="W9" s="19"/>
      <c r="X9" s="19"/>
      <c r="Y9" s="19"/>
      <c r="Z9" s="19"/>
      <c r="AA9" s="19"/>
      <c r="AB9" s="19"/>
      <c r="AC9" s="19"/>
    </row>
    <row r="10" spans="1:29" ht="15" customHeight="1" x14ac:dyDescent="0.25">
      <c r="A10" s="39">
        <v>43315</v>
      </c>
      <c r="B10" s="38">
        <v>9</v>
      </c>
      <c r="C10" s="38">
        <v>33236</v>
      </c>
      <c r="D10" s="7">
        <v>5969956</v>
      </c>
      <c r="G10" s="19"/>
      <c r="H10" s="19"/>
      <c r="I10" s="19"/>
      <c r="J10" s="19"/>
      <c r="K10" s="19"/>
      <c r="L10" s="38">
        <v>33236</v>
      </c>
      <c r="M10" s="38">
        <v>33403</v>
      </c>
      <c r="N10" s="24">
        <f>31/$Q$32*(O10)</f>
        <v>0.14911143754140385</v>
      </c>
      <c r="O10" s="24">
        <f>Q10-Q9</f>
        <v>167</v>
      </c>
      <c r="P10" s="24">
        <f>$B$19/SQRT($Q$19)*(SQRT(Q11)-SQRT(Q10))</f>
        <v>0.15292724918416567</v>
      </c>
      <c r="Q10" s="37">
        <v>33403</v>
      </c>
      <c r="R10" s="3">
        <v>5969956</v>
      </c>
      <c r="S10" s="21">
        <f>R10*'[1]Inflation Rates by Year'!$F$2</f>
        <v>7121472.7135695443</v>
      </c>
      <c r="T10" s="20">
        <f>S10/Q10</f>
        <v>213.19859634073418</v>
      </c>
      <c r="U10" s="19"/>
      <c r="V10" s="19"/>
      <c r="W10" s="19"/>
      <c r="X10" s="19"/>
      <c r="Y10" s="19"/>
      <c r="Z10" s="19"/>
      <c r="AA10" s="19"/>
      <c r="AB10" s="19"/>
      <c r="AC10" s="19"/>
    </row>
    <row r="11" spans="1:29" ht="15" customHeight="1" x14ac:dyDescent="0.25">
      <c r="A11" s="39">
        <v>43316</v>
      </c>
      <c r="B11" s="38">
        <v>10</v>
      </c>
      <c r="C11" s="38">
        <v>33989</v>
      </c>
      <c r="D11" s="7">
        <v>6760447</v>
      </c>
      <c r="G11" s="19"/>
      <c r="H11" s="19"/>
      <c r="I11" s="19"/>
      <c r="J11" s="19"/>
      <c r="K11" s="19"/>
      <c r="L11" s="38">
        <v>33984</v>
      </c>
      <c r="M11" s="19"/>
      <c r="N11" s="24">
        <f>31/$Q$32*(O11)</f>
        <v>0.51876494138656071</v>
      </c>
      <c r="O11" s="24">
        <f>Q11-Q10</f>
        <v>581</v>
      </c>
      <c r="P11" s="24">
        <f>$B$19/SQRT($Q$19)*(SQRT(Q12)-SQRT(Q11))</f>
        <v>1.3103718520982954E-3</v>
      </c>
      <c r="Q11" s="37">
        <v>33984</v>
      </c>
      <c r="R11" s="3">
        <v>6760447</v>
      </c>
      <c r="S11" s="21">
        <f>R11*'[1]Inflation Rates by Year'!$F$2</f>
        <v>8064437.8018921884</v>
      </c>
      <c r="T11" s="20">
        <f>S11/Q11</f>
        <v>237.30101818185582</v>
      </c>
      <c r="U11" s="19"/>
      <c r="V11" s="19"/>
      <c r="W11" s="19"/>
      <c r="X11" s="19"/>
      <c r="Y11" s="19"/>
      <c r="Z11" s="19"/>
      <c r="AA11" s="19"/>
      <c r="AB11" s="19"/>
      <c r="AC11" s="19"/>
    </row>
    <row r="12" spans="1:29" ht="15" customHeight="1" x14ac:dyDescent="0.25">
      <c r="A12" s="39">
        <v>43317</v>
      </c>
      <c r="B12" s="38">
        <v>11</v>
      </c>
      <c r="C12" s="38">
        <v>33989</v>
      </c>
      <c r="D12" s="7">
        <v>7418123</v>
      </c>
      <c r="G12" s="19"/>
      <c r="H12" s="19"/>
      <c r="I12" s="19"/>
      <c r="J12" s="19"/>
      <c r="K12" s="19"/>
      <c r="L12" s="19"/>
      <c r="M12" s="38">
        <v>33989</v>
      </c>
      <c r="N12" s="24">
        <f>31/$Q$32*(O12)</f>
        <v>4.464414297646822E-3</v>
      </c>
      <c r="O12" s="24">
        <f>Q12-Q11</f>
        <v>5</v>
      </c>
      <c r="P12" s="24">
        <f>$B$19/SQRT($Q$19)*(SQRT(Q13)-SQRT(Q12))</f>
        <v>-1.3103718520982954E-3</v>
      </c>
      <c r="Q12" s="37">
        <v>33989</v>
      </c>
      <c r="R12" s="3">
        <v>7418123</v>
      </c>
      <c r="S12" s="21">
        <f>R12*'[1]Inflation Rates by Year'!$F$2</f>
        <v>8848969.8299958408</v>
      </c>
      <c r="T12" s="20">
        <f>S12/Q12</f>
        <v>260.34804878036545</v>
      </c>
      <c r="U12" s="19"/>
      <c r="V12" s="19"/>
      <c r="W12" s="19"/>
      <c r="X12" s="19"/>
      <c r="Y12" s="19"/>
      <c r="Z12" s="19"/>
      <c r="AA12" s="19"/>
      <c r="AB12" s="19"/>
      <c r="AC12" s="19"/>
    </row>
    <row r="13" spans="1:29" ht="15" customHeight="1" x14ac:dyDescent="0.25">
      <c r="A13" s="39">
        <v>43318</v>
      </c>
      <c r="B13" s="38">
        <v>12</v>
      </c>
      <c r="C13" s="38">
        <v>33989</v>
      </c>
      <c r="D13" s="7">
        <v>8300000</v>
      </c>
      <c r="G13" s="19"/>
      <c r="H13" s="19"/>
      <c r="I13" s="19"/>
      <c r="J13" s="19"/>
      <c r="K13" s="19"/>
      <c r="L13" s="19"/>
      <c r="M13" s="38">
        <v>33984</v>
      </c>
      <c r="N13" s="24">
        <f>31/$Q$32*(O13)</f>
        <v>-4.464414297646822E-3</v>
      </c>
      <c r="O13" s="24">
        <f>Q13-Q12</f>
        <v>-5</v>
      </c>
      <c r="P13" s="24">
        <f>$B$19/SQRT($Q$19)*(SQRT(Q14)-SQRT(Q13))</f>
        <v>-0.10514391207586787</v>
      </c>
      <c r="Q13" s="37">
        <v>33984</v>
      </c>
      <c r="R13" s="3">
        <v>8300000</v>
      </c>
      <c r="S13" s="21">
        <f>R13*'[1]Inflation Rates by Year'!$F$2</f>
        <v>9900947.9337246735</v>
      </c>
      <c r="T13" s="20">
        <f>S13/Q13</f>
        <v>291.34145285206785</v>
      </c>
      <c r="U13" s="19"/>
      <c r="V13" s="19"/>
      <c r="W13" s="19"/>
      <c r="X13" s="19"/>
      <c r="Y13" s="19"/>
      <c r="Z13" s="19"/>
      <c r="AA13" s="19"/>
      <c r="AB13" s="19"/>
      <c r="AC13" s="19"/>
    </row>
    <row r="14" spans="1:29" ht="15" customHeight="1" x14ac:dyDescent="0.25">
      <c r="A14" s="39">
        <v>43319</v>
      </c>
      <c r="B14" s="38">
        <v>13</v>
      </c>
      <c r="C14" s="38">
        <v>33989</v>
      </c>
      <c r="D14" s="7">
        <v>9000000</v>
      </c>
      <c r="G14" s="19"/>
      <c r="H14" s="19"/>
      <c r="I14" s="19"/>
      <c r="J14" s="19"/>
      <c r="K14" s="19"/>
      <c r="L14" s="19"/>
      <c r="M14" s="38">
        <f>33919-335</f>
        <v>33584</v>
      </c>
      <c r="N14" s="24">
        <f>31/$Q$32*(O14)</f>
        <v>-0.35715314381174573</v>
      </c>
      <c r="O14" s="24">
        <f>Q14-Q13</f>
        <v>-400</v>
      </c>
      <c r="P14" s="24">
        <f>$B$19/SQRT($Q$19)*(SQRT(Q15)-SQRT(Q14))</f>
        <v>8.8100297865283492E-2</v>
      </c>
      <c r="Q14" s="37">
        <v>33584</v>
      </c>
      <c r="R14" s="3">
        <v>9000000</v>
      </c>
      <c r="S14" s="21">
        <f>R14*'[1]Inflation Rates by Year'!$F$2</f>
        <v>10735967.638978561</v>
      </c>
      <c r="T14" s="20">
        <f>S14/Q14</f>
        <v>319.67507262323016</v>
      </c>
      <c r="U14" s="19"/>
      <c r="V14" s="19"/>
      <c r="W14" s="19"/>
      <c r="X14" s="19"/>
      <c r="Y14" s="19"/>
      <c r="Z14" s="19"/>
      <c r="AA14" s="19"/>
      <c r="AB14" s="19"/>
      <c r="AC14" s="19"/>
    </row>
    <row r="15" spans="1:29" ht="15" customHeight="1" x14ac:dyDescent="0.25">
      <c r="A15" s="39">
        <v>43320</v>
      </c>
      <c r="B15" s="38">
        <v>14</v>
      </c>
      <c r="C15" s="38">
        <v>33989</v>
      </c>
      <c r="D15" s="7">
        <v>9600000</v>
      </c>
      <c r="G15" s="19"/>
      <c r="H15" s="19"/>
      <c r="I15" s="19"/>
      <c r="J15" s="19"/>
      <c r="K15" s="19"/>
      <c r="L15" s="19"/>
      <c r="M15" s="38">
        <v>33919</v>
      </c>
      <c r="N15" s="24">
        <f>31/$Q$32*(O15)</f>
        <v>0.29911575794233708</v>
      </c>
      <c r="O15" s="24">
        <f>Q15-Q14</f>
        <v>335</v>
      </c>
      <c r="P15" s="24">
        <f>$B$19/SQRT($Q$19)*(SQRT(Q16)-SQRT(Q15))</f>
        <v>7.7482488850362782E-2</v>
      </c>
      <c r="Q15" s="37">
        <v>33919</v>
      </c>
      <c r="R15" s="3">
        <v>9600000</v>
      </c>
      <c r="S15" s="21">
        <f>R15*'[1]Inflation Rates by Year'!$F$2</f>
        <v>11451698.814910466</v>
      </c>
      <c r="T15" s="20">
        <f>S15/Q15</f>
        <v>337.61899864118828</v>
      </c>
      <c r="U15" s="19"/>
      <c r="V15" s="19"/>
      <c r="W15" s="19"/>
      <c r="X15" s="19"/>
      <c r="Y15" s="19"/>
      <c r="Z15" s="19"/>
      <c r="AA15" s="19"/>
      <c r="AB15" s="19"/>
      <c r="AC15" s="19"/>
    </row>
    <row r="16" spans="1:29" ht="15" customHeight="1" x14ac:dyDescent="0.25">
      <c r="A16" s="39">
        <v>43321</v>
      </c>
      <c r="B16" s="38">
        <v>15</v>
      </c>
      <c r="C16" s="38">
        <v>34022</v>
      </c>
      <c r="D16" s="7">
        <v>10200000</v>
      </c>
      <c r="G16" s="19"/>
      <c r="H16" s="19"/>
      <c r="I16" s="19"/>
      <c r="J16" s="19"/>
      <c r="K16" s="19"/>
      <c r="L16" s="38">
        <v>34022</v>
      </c>
      <c r="M16" s="38">
        <v>34215</v>
      </c>
      <c r="N16" s="24">
        <f>31/$Q$32*(O16)</f>
        <v>0.26429332642069187</v>
      </c>
      <c r="O16" s="24">
        <f>Q16-Q15</f>
        <v>296</v>
      </c>
      <c r="P16" s="24">
        <f>$B$19/SQRT($Q$19)*(SQRT(Q17)-SQRT(Q16))</f>
        <v>1.4882078524582038E-2</v>
      </c>
      <c r="Q16" s="37">
        <v>34215</v>
      </c>
      <c r="R16" s="3">
        <v>10200000</v>
      </c>
      <c r="S16" s="21">
        <f>R16*'[1]Inflation Rates by Year'!$F$2</f>
        <v>12167429.99084237</v>
      </c>
      <c r="T16" s="20">
        <f>S16/Q16</f>
        <v>355.61683445396375</v>
      </c>
      <c r="U16" s="19"/>
      <c r="V16" s="19"/>
      <c r="W16" s="19"/>
      <c r="X16" s="19"/>
      <c r="Y16" s="19"/>
      <c r="Z16" s="19"/>
      <c r="AA16" s="19"/>
      <c r="AB16" s="19"/>
      <c r="AC16" s="19"/>
    </row>
    <row r="17" spans="1:29" ht="15" customHeight="1" x14ac:dyDescent="0.25">
      <c r="A17" s="39">
        <v>43322</v>
      </c>
      <c r="B17" s="38">
        <v>16</v>
      </c>
      <c r="C17" s="38">
        <v>34378</v>
      </c>
      <c r="D17" s="7">
        <v>10900000</v>
      </c>
      <c r="G17" s="19"/>
      <c r="H17" s="19"/>
      <c r="I17" s="19"/>
      <c r="J17" s="19"/>
      <c r="K17" s="19"/>
      <c r="L17" s="38">
        <v>34378</v>
      </c>
      <c r="M17" s="38">
        <v>34272</v>
      </c>
      <c r="N17" s="24">
        <f>31/$Q$32*(O17)</f>
        <v>5.0894322993173771E-2</v>
      </c>
      <c r="O17" s="24">
        <f>Q17-Q16</f>
        <v>57</v>
      </c>
      <c r="P17" s="24">
        <f>$B$19/SQRT($Q$19)*(SQRT(Q18)-SQRT(Q17))</f>
        <v>5.576291280334509E-2</v>
      </c>
      <c r="Q17" s="37">
        <v>34272</v>
      </c>
      <c r="R17" s="3">
        <v>10900000</v>
      </c>
      <c r="S17" s="21">
        <f>R17*'[1]Inflation Rates by Year'!$F$2</f>
        <v>13002449.696096258</v>
      </c>
      <c r="T17" s="20">
        <f>S17/Q17</f>
        <v>379.38987208497485</v>
      </c>
      <c r="U17" s="19"/>
      <c r="V17" s="19"/>
      <c r="W17" s="19"/>
      <c r="X17" s="19"/>
      <c r="Y17" s="19"/>
      <c r="Z17" s="19"/>
      <c r="AA17" s="19"/>
      <c r="AB17" s="19"/>
      <c r="AC17" s="19"/>
    </row>
    <row r="18" spans="1:29" ht="15" customHeight="1" x14ac:dyDescent="0.25">
      <c r="A18" s="39">
        <v>43323</v>
      </c>
      <c r="B18" s="38">
        <v>17</v>
      </c>
      <c r="C18" s="38">
        <v>34486</v>
      </c>
      <c r="D18" s="7">
        <v>11600000</v>
      </c>
      <c r="G18" s="19"/>
      <c r="H18" s="19"/>
      <c r="I18" s="19"/>
      <c r="J18" s="19"/>
      <c r="K18" s="19"/>
      <c r="L18" s="38">
        <v>34486</v>
      </c>
      <c r="M18" s="19"/>
      <c r="N18" s="24">
        <f>31/$Q$32*(O18)</f>
        <v>0.19107693193928396</v>
      </c>
      <c r="O18" s="24">
        <f>Q18-Q17</f>
        <v>214</v>
      </c>
      <c r="P18" s="24">
        <f>$B$19/SQRT($Q$19)*(SQRT(Q19)-SQRT(Q18))</f>
        <v>5.5590163496503323E-2</v>
      </c>
      <c r="Q18" s="37">
        <v>34486</v>
      </c>
      <c r="R18" s="3">
        <v>11600000</v>
      </c>
      <c r="S18" s="21">
        <f>R18*'[1]Inflation Rates by Year'!$F$2</f>
        <v>13837469.401350146</v>
      </c>
      <c r="T18" s="20">
        <f>S18/Q18</f>
        <v>401.24889524300141</v>
      </c>
      <c r="U18" s="19"/>
      <c r="V18" s="19"/>
      <c r="W18" s="19"/>
      <c r="X18" s="19"/>
      <c r="Y18" s="19"/>
      <c r="Z18" s="19"/>
      <c r="AA18" s="19"/>
      <c r="AB18" s="19"/>
      <c r="AC18" s="19"/>
    </row>
    <row r="19" spans="1:29" ht="15" customHeight="1" x14ac:dyDescent="0.25">
      <c r="A19" s="45">
        <v>43324</v>
      </c>
      <c r="B19" s="43">
        <v>18</v>
      </c>
      <c r="C19" s="40"/>
      <c r="D19" s="42"/>
      <c r="E19" s="44"/>
      <c r="F19" s="44"/>
      <c r="G19" s="40"/>
      <c r="H19" s="40"/>
      <c r="I19" s="40"/>
      <c r="J19" s="40"/>
      <c r="K19" s="40"/>
      <c r="L19" s="43">
        <v>34700</v>
      </c>
      <c r="M19" s="40"/>
      <c r="N19" s="24">
        <f>31/$Q$32*(O19)</f>
        <v>0.19107693193928396</v>
      </c>
      <c r="O19" s="24">
        <f>Q19-Q18</f>
        <v>214</v>
      </c>
      <c r="P19" s="40">
        <f>$B$19/SQRT($Q$19)*(SQRT(Q20)-SQRT(Q19))</f>
        <v>0</v>
      </c>
      <c r="Q19" s="43">
        <v>34700</v>
      </c>
      <c r="R19" s="42"/>
      <c r="S19" s="41">
        <f>R19*'[1]Inflation Rates by Year'!$F$2</f>
        <v>0</v>
      </c>
      <c r="T19" s="41">
        <f>S19/Q19</f>
        <v>0</v>
      </c>
      <c r="U19" s="40"/>
      <c r="V19" s="40"/>
      <c r="W19" s="40"/>
      <c r="X19" s="40"/>
      <c r="Y19" s="40"/>
      <c r="Z19" s="40"/>
      <c r="AA19" s="40"/>
      <c r="AB19" s="40"/>
      <c r="AC19" s="40"/>
    </row>
    <row r="20" spans="1:29" ht="15" customHeight="1" x14ac:dyDescent="0.25">
      <c r="A20" s="39">
        <v>43325</v>
      </c>
      <c r="B20" s="38">
        <v>19</v>
      </c>
      <c r="C20" s="38">
        <v>34700</v>
      </c>
      <c r="D20" s="7">
        <v>13500000</v>
      </c>
      <c r="G20" s="19"/>
      <c r="H20" s="19"/>
      <c r="I20" s="19"/>
      <c r="J20" s="19"/>
      <c r="K20" s="19"/>
      <c r="L20" s="19"/>
      <c r="M20" s="19"/>
      <c r="N20" s="24">
        <f>31/$Q$32*(O20)</f>
        <v>0</v>
      </c>
      <c r="O20" s="24">
        <f>Q20-Q19</f>
        <v>0</v>
      </c>
      <c r="P20" s="24"/>
      <c r="Q20" s="37">
        <v>34700</v>
      </c>
      <c r="R20" s="3">
        <v>13500000</v>
      </c>
      <c r="S20" s="21">
        <f>R20*'[1]Inflation Rates by Year'!$F$2</f>
        <v>16103951.458467843</v>
      </c>
      <c r="T20" s="20">
        <f>S20/Q20</f>
        <v>464.09082012875626</v>
      </c>
      <c r="U20" s="19"/>
      <c r="V20" s="19"/>
      <c r="W20" s="19"/>
      <c r="X20" s="19"/>
      <c r="Y20" s="19"/>
      <c r="Z20" s="19"/>
      <c r="AA20" s="19"/>
      <c r="AB20" s="19"/>
      <c r="AC20" s="19"/>
    </row>
    <row r="21" spans="1:29" ht="15" customHeight="1" x14ac:dyDescent="0.25">
      <c r="A21" s="39">
        <v>43326</v>
      </c>
      <c r="B21" s="38">
        <v>20</v>
      </c>
      <c r="C21" s="38">
        <v>34700</v>
      </c>
      <c r="D21" s="7">
        <v>13900000</v>
      </c>
      <c r="G21" s="19"/>
      <c r="H21" s="19"/>
      <c r="I21" s="19"/>
      <c r="J21" s="19"/>
      <c r="K21" s="19"/>
      <c r="L21" s="19"/>
      <c r="M21" s="19"/>
      <c r="N21" s="24">
        <f>31/$Q$32*(O21)</f>
        <v>0</v>
      </c>
      <c r="O21" s="24">
        <f>Q21-Q20</f>
        <v>0</v>
      </c>
      <c r="P21" s="24"/>
      <c r="Q21" s="37">
        <v>34700</v>
      </c>
      <c r="R21" s="3">
        <v>13900000</v>
      </c>
      <c r="S21" s="21">
        <f>R21*'[1]Inflation Rates by Year'!$F$2</f>
        <v>16581105.575755779</v>
      </c>
      <c r="T21" s="20">
        <f>S21/Q21</f>
        <v>477.84165924368239</v>
      </c>
      <c r="U21" s="19"/>
      <c r="V21" s="19"/>
      <c r="W21" s="19"/>
      <c r="X21" s="19"/>
      <c r="Y21" s="19"/>
      <c r="Z21" s="19"/>
      <c r="AA21" s="19"/>
      <c r="AB21" s="19"/>
      <c r="AC21" s="19"/>
    </row>
    <row r="22" spans="1:29" ht="15" customHeight="1" x14ac:dyDescent="0.25">
      <c r="A22" s="39">
        <v>43327</v>
      </c>
      <c r="B22" s="38">
        <v>21</v>
      </c>
      <c r="C22" s="38">
        <v>34719</v>
      </c>
      <c r="D22" s="7">
        <v>14200000</v>
      </c>
      <c r="G22" s="19"/>
      <c r="H22" s="19"/>
      <c r="I22" s="19"/>
      <c r="J22" s="19"/>
      <c r="K22" s="19"/>
      <c r="L22" s="19"/>
      <c r="M22" s="19"/>
      <c r="N22" s="24">
        <f>31/$Q$32*(O22)</f>
        <v>1.6964774331057923E-2</v>
      </c>
      <c r="O22" s="24">
        <f>Q22-Q21</f>
        <v>19</v>
      </c>
      <c r="P22" s="24"/>
      <c r="Q22" s="37">
        <v>34719</v>
      </c>
      <c r="R22" s="3">
        <v>14200000</v>
      </c>
      <c r="S22" s="21">
        <f>R22*'[1]Inflation Rates by Year'!$F$2</f>
        <v>16938971.163721729</v>
      </c>
      <c r="T22" s="20">
        <f>S22/Q22</f>
        <v>487.88764548868716</v>
      </c>
      <c r="U22" s="19"/>
      <c r="V22" s="19"/>
      <c r="W22" s="19"/>
      <c r="X22" s="19"/>
      <c r="Y22" s="19"/>
      <c r="Z22" s="19"/>
      <c r="AA22" s="19"/>
      <c r="AB22" s="19"/>
      <c r="AC22" s="19"/>
    </row>
    <row r="23" spans="1:29" ht="15" customHeight="1" x14ac:dyDescent="0.25">
      <c r="A23" s="39">
        <v>43328</v>
      </c>
      <c r="B23" s="38">
        <v>22</v>
      </c>
      <c r="C23" s="38">
        <v>34719</v>
      </c>
      <c r="D23" s="25">
        <v>14500000</v>
      </c>
      <c r="E23" s="19"/>
      <c r="F23" s="19"/>
      <c r="G23" s="19"/>
      <c r="H23" s="19"/>
      <c r="I23" s="19"/>
      <c r="J23" s="19"/>
      <c r="K23" s="19"/>
      <c r="L23" s="19"/>
      <c r="M23" s="19"/>
      <c r="N23" s="24">
        <f>31/$Q$32*(O23)</f>
        <v>0</v>
      </c>
      <c r="O23" s="24">
        <f>Q23-Q22</f>
        <v>0</v>
      </c>
      <c r="P23" s="24"/>
      <c r="Q23" s="37">
        <v>34719</v>
      </c>
      <c r="R23" s="22">
        <v>14500000</v>
      </c>
      <c r="S23" s="21">
        <f>R23*'[1]Inflation Rates by Year'!$F$2</f>
        <v>17296836.751687683</v>
      </c>
      <c r="T23" s="20">
        <f>S23/Q23</f>
        <v>498.19513095675808</v>
      </c>
      <c r="U23" s="19"/>
      <c r="V23" s="19"/>
      <c r="W23" s="19"/>
      <c r="X23" s="19"/>
      <c r="Y23" s="19"/>
      <c r="Z23" s="19"/>
      <c r="AA23" s="19"/>
      <c r="AB23" s="19"/>
      <c r="AC23" s="19"/>
    </row>
    <row r="24" spans="1:29" ht="15" customHeight="1" x14ac:dyDescent="0.25">
      <c r="A24" s="39">
        <v>43329</v>
      </c>
      <c r="B24" s="38">
        <v>23</v>
      </c>
      <c r="C24" s="38">
        <v>34719</v>
      </c>
      <c r="D24" s="25">
        <v>14762219</v>
      </c>
      <c r="E24" s="19"/>
      <c r="F24" s="25"/>
      <c r="G24" s="19"/>
      <c r="H24" s="19"/>
      <c r="I24" s="19"/>
      <c r="J24" s="19"/>
      <c r="K24" s="19"/>
      <c r="L24" s="19"/>
      <c r="M24" s="19"/>
      <c r="N24" s="24">
        <f>31/$Q$32*(O24)</f>
        <v>0</v>
      </c>
      <c r="O24" s="24">
        <f>Q24-Q23</f>
        <v>0</v>
      </c>
      <c r="P24" s="24"/>
      <c r="Q24" s="37">
        <v>34719</v>
      </c>
      <c r="R24" s="22">
        <v>14762219</v>
      </c>
      <c r="S24" s="21">
        <f>R24*'[1]Inflation Rates by Year'!$F$2</f>
        <v>17609633.940390494</v>
      </c>
      <c r="T24" s="20">
        <f>S24/Q24</f>
        <v>507.20452606326489</v>
      </c>
      <c r="U24" s="19"/>
      <c r="V24" s="19"/>
      <c r="W24" s="19"/>
      <c r="X24" s="19"/>
      <c r="Y24" s="19"/>
      <c r="Z24" s="19"/>
      <c r="AA24" s="19"/>
      <c r="AB24" s="19"/>
      <c r="AC24" s="19"/>
    </row>
    <row r="25" spans="1:29" ht="15" customHeight="1" x14ac:dyDescent="0.25">
      <c r="A25" s="39">
        <v>43330</v>
      </c>
      <c r="B25" s="38">
        <v>24</v>
      </c>
      <c r="C25" s="38">
        <v>34719</v>
      </c>
      <c r="D25" s="25">
        <v>14300000</v>
      </c>
      <c r="E25" s="19"/>
      <c r="F25" s="25"/>
      <c r="G25" s="19"/>
      <c r="H25" s="19"/>
      <c r="I25" s="19"/>
      <c r="J25" s="19"/>
      <c r="K25" s="19"/>
      <c r="L25" s="19"/>
      <c r="M25" s="19"/>
      <c r="N25" s="24">
        <f>31/$Q$32*(O25)</f>
        <v>0</v>
      </c>
      <c r="O25" s="24">
        <f>Q25-Q24</f>
        <v>0</v>
      </c>
      <c r="P25" s="24"/>
      <c r="Q25" s="37">
        <v>34719</v>
      </c>
      <c r="R25" s="22">
        <v>14300000</v>
      </c>
      <c r="S25" s="21">
        <f>R25*'[1]Inflation Rates by Year'!$F$2</f>
        <v>17058259.693043713</v>
      </c>
      <c r="T25" s="20">
        <f>S25/Q25</f>
        <v>491.32347397804409</v>
      </c>
      <c r="U25" s="19"/>
      <c r="V25" s="19"/>
      <c r="W25" s="19"/>
      <c r="X25" s="19"/>
      <c r="Y25" s="19"/>
      <c r="Z25" s="19"/>
      <c r="AA25" s="19"/>
      <c r="AB25" s="19"/>
      <c r="AC25" s="19"/>
    </row>
    <row r="26" spans="1:29" ht="15" customHeight="1" x14ac:dyDescent="0.25">
      <c r="A26" s="39">
        <v>43331</v>
      </c>
      <c r="B26" s="38">
        <v>25</v>
      </c>
      <c r="C26" s="38">
        <v>34719</v>
      </c>
      <c r="D26" s="25">
        <v>14500000</v>
      </c>
      <c r="E26" s="19"/>
      <c r="F26" s="25"/>
      <c r="G26" s="19"/>
      <c r="H26" s="19"/>
      <c r="I26" s="19"/>
      <c r="J26" s="19"/>
      <c r="K26" s="19"/>
      <c r="L26" s="19"/>
      <c r="M26" s="19"/>
      <c r="N26" s="24">
        <f>31/$Q$32*(O26)</f>
        <v>0</v>
      </c>
      <c r="O26" s="24">
        <f>Q26-Q25</f>
        <v>0</v>
      </c>
      <c r="P26" s="24"/>
      <c r="Q26" s="37">
        <v>34719</v>
      </c>
      <c r="R26" s="22">
        <v>14500000</v>
      </c>
      <c r="S26" s="21">
        <f>R26*'[1]Inflation Rates by Year'!$F$2</f>
        <v>17296836.751687683</v>
      </c>
      <c r="T26" s="20">
        <f>S26/Q26</f>
        <v>498.19513095675808</v>
      </c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5" customHeight="1" x14ac:dyDescent="0.25">
      <c r="A27" s="39">
        <v>43332</v>
      </c>
      <c r="B27" s="38">
        <v>26</v>
      </c>
      <c r="C27" s="38">
        <v>34719</v>
      </c>
      <c r="D27" s="25">
        <v>14724409</v>
      </c>
      <c r="E27" s="19"/>
      <c r="F27" s="25"/>
      <c r="G27" s="19"/>
      <c r="H27" s="19"/>
      <c r="I27" s="19"/>
      <c r="J27" s="19"/>
      <c r="K27" s="19"/>
      <c r="L27" s="19"/>
      <c r="M27" s="19"/>
      <c r="N27" s="24">
        <f>31/$Q$32*(O27)</f>
        <v>0</v>
      </c>
      <c r="O27" s="24">
        <f>Q27-Q26</f>
        <v>0</v>
      </c>
      <c r="P27" s="24"/>
      <c r="Q27" s="37">
        <v>34719</v>
      </c>
      <c r="R27" s="22">
        <v>14724409</v>
      </c>
      <c r="S27" s="21">
        <f>R27*'[1]Inflation Rates by Year'!$F$2</f>
        <v>17564530.947453853</v>
      </c>
      <c r="T27" s="20">
        <f>S27/Q27</f>
        <v>505.90543931143907</v>
      </c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15" customHeight="1" x14ac:dyDescent="0.25">
      <c r="A28" s="39">
        <v>43333</v>
      </c>
      <c r="B28" s="38">
        <v>27</v>
      </c>
      <c r="C28" s="38">
        <v>34719</v>
      </c>
      <c r="D28" s="25">
        <v>14850000</v>
      </c>
      <c r="E28" s="19"/>
      <c r="F28" s="25"/>
      <c r="G28" s="19"/>
      <c r="H28" s="19"/>
      <c r="I28" s="19"/>
      <c r="J28" s="19"/>
      <c r="K28" s="19"/>
      <c r="L28" s="19"/>
      <c r="M28" s="19"/>
      <c r="N28" s="24">
        <f>31/$Q$32*(O28)</f>
        <v>0</v>
      </c>
      <c r="O28" s="24">
        <f>Q28-Q27</f>
        <v>0</v>
      </c>
      <c r="P28" s="24"/>
      <c r="Q28" s="37">
        <v>34719</v>
      </c>
      <c r="R28" s="22">
        <v>14850000</v>
      </c>
      <c r="S28" s="21">
        <f>R28*'[1]Inflation Rates by Year'!$F$2</f>
        <v>17714346.604314625</v>
      </c>
      <c r="T28" s="20">
        <f>S28/Q28</f>
        <v>510.22053066950735</v>
      </c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15" customHeight="1" x14ac:dyDescent="0.25">
      <c r="A29" s="39">
        <v>43334</v>
      </c>
      <c r="B29" s="38">
        <v>28</v>
      </c>
      <c r="C29" s="38">
        <v>34719</v>
      </c>
      <c r="D29" s="25">
        <v>15000000</v>
      </c>
      <c r="E29" s="19"/>
      <c r="F29" s="25"/>
      <c r="G29" s="19"/>
      <c r="H29" s="19"/>
      <c r="I29" s="19"/>
      <c r="J29" s="19"/>
      <c r="K29" s="19"/>
      <c r="L29" s="19"/>
      <c r="M29" s="19"/>
      <c r="N29" s="24">
        <f>31/$Q$32*(O29)</f>
        <v>0</v>
      </c>
      <c r="O29" s="24">
        <f>Q29-Q28</f>
        <v>0</v>
      </c>
      <c r="P29" s="24"/>
      <c r="Q29" s="37">
        <v>34719</v>
      </c>
      <c r="R29" s="22">
        <v>15000000</v>
      </c>
      <c r="S29" s="21">
        <f>R29*'[1]Inflation Rates by Year'!$F$2</f>
        <v>17893279.398297604</v>
      </c>
      <c r="T29" s="20">
        <f>S29/Q29</f>
        <v>515.37427340354282</v>
      </c>
      <c r="U29" s="19"/>
      <c r="V29" s="19"/>
      <c r="W29" s="19"/>
      <c r="X29" s="19"/>
      <c r="Y29" s="19"/>
      <c r="Z29" s="19"/>
      <c r="AA29" s="19"/>
      <c r="AB29" s="19"/>
      <c r="AC29" s="19"/>
    </row>
    <row r="30" spans="1:29" ht="15" customHeight="1" x14ac:dyDescent="0.25">
      <c r="A30" s="39">
        <v>43335</v>
      </c>
      <c r="B30" s="38">
        <v>29</v>
      </c>
      <c r="C30" s="38">
        <v>34719</v>
      </c>
      <c r="D30" s="25">
        <v>15093000</v>
      </c>
      <c r="E30" s="19"/>
      <c r="F30" s="25"/>
      <c r="G30" s="19"/>
      <c r="H30" s="19"/>
      <c r="I30" s="19"/>
      <c r="J30" s="19"/>
      <c r="K30" s="19"/>
      <c r="L30" s="19"/>
      <c r="M30" s="19"/>
      <c r="N30" s="24">
        <f>31/$Q$32*(O30)</f>
        <v>0</v>
      </c>
      <c r="O30" s="24">
        <f>Q30-Q29</f>
        <v>0</v>
      </c>
      <c r="P30" s="24"/>
      <c r="Q30" s="37">
        <v>34719</v>
      </c>
      <c r="R30" s="22">
        <v>15093000</v>
      </c>
      <c r="S30" s="21">
        <f>R30*'[1]Inflation Rates by Year'!$F$2</f>
        <v>18004217.730567049</v>
      </c>
      <c r="T30" s="20">
        <f>S30/Q30</f>
        <v>518.56959389864483</v>
      </c>
      <c r="U30" s="19"/>
      <c r="V30" s="19"/>
      <c r="W30" s="19"/>
      <c r="X30" s="19"/>
      <c r="Y30" s="19"/>
      <c r="Z30" s="19"/>
      <c r="AA30" s="19"/>
      <c r="AB30" s="19"/>
      <c r="AC30" s="19"/>
    </row>
    <row r="31" spans="1:29" ht="15" customHeight="1" x14ac:dyDescent="0.25">
      <c r="A31" s="39">
        <v>43336</v>
      </c>
      <c r="B31" s="38">
        <v>30</v>
      </c>
      <c r="C31" s="38">
        <v>34719</v>
      </c>
      <c r="D31" s="25">
        <v>15138981</v>
      </c>
      <c r="E31" s="19"/>
      <c r="F31" s="25"/>
      <c r="G31" s="19"/>
      <c r="H31" s="19"/>
      <c r="I31" s="19"/>
      <c r="J31" s="19"/>
      <c r="K31" s="19"/>
      <c r="L31" s="19"/>
      <c r="M31" s="19"/>
      <c r="N31" s="24">
        <f>31/$Q$32*(O31)</f>
        <v>0</v>
      </c>
      <c r="O31" s="24">
        <f>Q31-Q30</f>
        <v>0</v>
      </c>
      <c r="P31" s="24"/>
      <c r="Q31" s="37">
        <v>34719</v>
      </c>
      <c r="R31" s="22">
        <v>15138981</v>
      </c>
      <c r="S31" s="21">
        <f>R31*'[1]Inflation Rates by Year'!$F$2</f>
        <v>18059067.78923459</v>
      </c>
      <c r="T31" s="20">
        <f>S31/Q31</f>
        <v>520.14942219633599</v>
      </c>
      <c r="U31" s="19"/>
      <c r="V31" s="19"/>
      <c r="W31" s="19"/>
      <c r="X31" s="19"/>
      <c r="Y31" s="19"/>
      <c r="Z31" s="19"/>
      <c r="AA31" s="19"/>
      <c r="AB31" s="19"/>
      <c r="AC31" s="19"/>
    </row>
    <row r="32" spans="1:29" s="27" customFormat="1" ht="15" customHeight="1" x14ac:dyDescent="0.25">
      <c r="A32" s="36">
        <v>43337</v>
      </c>
      <c r="B32" s="35">
        <v>31</v>
      </c>
      <c r="C32" s="28">
        <v>34719</v>
      </c>
      <c r="D32" s="34">
        <v>15200000</v>
      </c>
      <c r="E32" s="28"/>
      <c r="F32" s="34"/>
      <c r="G32" s="28"/>
      <c r="H32" s="28"/>
      <c r="I32" s="28"/>
      <c r="J32" s="28"/>
      <c r="K32" s="28"/>
      <c r="L32" s="28"/>
      <c r="M32" s="28"/>
      <c r="N32" s="24">
        <f>31/$Q$32*(O32)</f>
        <v>0</v>
      </c>
      <c r="O32" s="24">
        <f>Q32-Q31</f>
        <v>0</v>
      </c>
      <c r="P32" s="33"/>
      <c r="Q32" s="32">
        <v>34719</v>
      </c>
      <c r="R32" s="31">
        <v>15200000</v>
      </c>
      <c r="S32" s="30">
        <f>R32*'[1]Inflation Rates by Year'!$F$2</f>
        <v>18131856.456941571</v>
      </c>
      <c r="T32" s="29">
        <f>S32/Q32</f>
        <v>522.24593038225669</v>
      </c>
      <c r="U32" s="28"/>
      <c r="V32" s="28"/>
      <c r="W32" s="28"/>
      <c r="X32" s="28"/>
      <c r="Y32" s="28"/>
      <c r="Z32" s="28"/>
      <c r="AA32" s="28"/>
      <c r="AB32" s="28"/>
      <c r="AC32" s="28"/>
    </row>
    <row r="33" spans="1:29" ht="15" customHeight="1" x14ac:dyDescent="0.25">
      <c r="A33" s="26"/>
      <c r="B33" s="19"/>
      <c r="C33" s="19"/>
      <c r="D33" s="25"/>
      <c r="E33" s="19"/>
      <c r="F33" s="25"/>
      <c r="G33" s="19"/>
      <c r="H33" s="19"/>
      <c r="I33" s="19"/>
      <c r="J33" s="19"/>
      <c r="K33" s="19"/>
      <c r="L33" s="19"/>
      <c r="M33" s="19"/>
      <c r="N33" s="24"/>
      <c r="O33" s="24"/>
      <c r="P33" s="24"/>
      <c r="Q33" s="23"/>
      <c r="R33" s="22"/>
      <c r="S33" s="21"/>
      <c r="T33" s="20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 ht="15" customHeight="1" x14ac:dyDescent="0.25">
      <c r="A34" s="26"/>
      <c r="B34" s="19"/>
      <c r="C34" s="19"/>
      <c r="D34" s="25"/>
      <c r="E34" s="19"/>
      <c r="F34" s="25"/>
      <c r="G34" s="19"/>
      <c r="H34" s="19"/>
      <c r="I34" s="19"/>
      <c r="J34" s="19"/>
      <c r="K34" s="19"/>
      <c r="L34" s="19"/>
      <c r="M34" s="19"/>
      <c r="N34" s="24"/>
      <c r="O34" s="24"/>
      <c r="P34" s="24"/>
      <c r="Q34" s="23"/>
      <c r="R34" s="22"/>
      <c r="S34" s="21"/>
      <c r="T34" s="20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 ht="15" customHeight="1" x14ac:dyDescent="0.25">
      <c r="A35" s="26"/>
      <c r="B35" s="19"/>
      <c r="C35" s="19"/>
      <c r="D35" s="25"/>
      <c r="E35" s="19"/>
      <c r="F35" s="25"/>
      <c r="G35" s="19"/>
      <c r="H35" s="19"/>
      <c r="I35" s="19"/>
      <c r="J35" s="19"/>
      <c r="K35" s="19"/>
      <c r="L35" s="19"/>
      <c r="M35" s="19"/>
      <c r="N35" s="24"/>
      <c r="O35" s="24"/>
      <c r="P35" s="24"/>
      <c r="Q35" s="23"/>
      <c r="R35" s="22"/>
      <c r="S35" s="21"/>
      <c r="T35" s="20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 ht="15" customHeight="1" x14ac:dyDescent="0.25">
      <c r="A36" s="26"/>
      <c r="B36" s="19"/>
      <c r="C36" s="19"/>
      <c r="D36" s="25"/>
      <c r="E36" s="19"/>
      <c r="F36" s="25"/>
      <c r="G36" s="19"/>
      <c r="H36" s="19"/>
      <c r="I36" s="19"/>
      <c r="J36" s="19"/>
      <c r="K36" s="19"/>
      <c r="L36" s="19"/>
      <c r="M36" s="19"/>
      <c r="N36" s="24"/>
      <c r="O36" s="24"/>
      <c r="P36" s="24"/>
      <c r="Q36" s="23"/>
      <c r="R36" s="22"/>
      <c r="S36" s="21"/>
      <c r="T36" s="20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 ht="15" customHeight="1" x14ac:dyDescent="0.25">
      <c r="A37" s="26"/>
      <c r="B37" s="19"/>
      <c r="C37" s="19"/>
      <c r="D37" s="25"/>
      <c r="E37" s="19"/>
      <c r="F37" s="25"/>
      <c r="G37" s="19"/>
      <c r="H37" s="19"/>
      <c r="I37" s="19"/>
      <c r="J37" s="19"/>
      <c r="K37" s="19"/>
      <c r="L37" s="19"/>
      <c r="M37" s="19"/>
      <c r="N37" s="24"/>
      <c r="O37" s="24"/>
      <c r="P37" s="24"/>
      <c r="Q37" s="23"/>
      <c r="R37" s="22"/>
      <c r="S37" s="21"/>
      <c r="T37" s="20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 ht="15" customHeight="1" x14ac:dyDescent="0.25">
      <c r="A38" s="26"/>
      <c r="B38" s="19"/>
      <c r="C38" s="19"/>
      <c r="D38" s="25"/>
      <c r="E38" s="19"/>
      <c r="F38" s="25"/>
      <c r="G38" s="19"/>
      <c r="H38" s="19"/>
      <c r="I38" s="19"/>
      <c r="J38" s="19"/>
      <c r="K38" s="19"/>
      <c r="L38" s="19"/>
      <c r="M38" s="19"/>
      <c r="N38" s="24"/>
      <c r="O38" s="24"/>
      <c r="P38" s="24"/>
      <c r="Q38" s="23"/>
      <c r="R38" s="22"/>
      <c r="S38" s="21"/>
      <c r="T38" s="20"/>
      <c r="U38" s="19"/>
      <c r="V38" s="19"/>
      <c r="W38" s="19"/>
      <c r="X38" s="19"/>
      <c r="Y38" s="19"/>
      <c r="Z38" s="19"/>
      <c r="AA38" s="19"/>
      <c r="AB38" s="19"/>
      <c r="AC38" s="19"/>
    </row>
    <row r="39" spans="1:29" ht="13.5" x14ac:dyDescent="0.25">
      <c r="A39" s="16"/>
      <c r="B39" s="8"/>
      <c r="C39" s="14"/>
      <c r="D39" s="15"/>
      <c r="E39" s="8"/>
      <c r="F39" s="18"/>
      <c r="G39" s="14"/>
      <c r="H39" s="8"/>
      <c r="I39" s="8"/>
      <c r="J39" s="8"/>
      <c r="K39" s="8"/>
      <c r="L39" s="8"/>
      <c r="M39" s="8"/>
      <c r="N39" s="17"/>
      <c r="O39" s="17"/>
      <c r="P39" s="17"/>
      <c r="Q39" s="12"/>
      <c r="R39" s="11"/>
      <c r="S39" s="10"/>
      <c r="T39" s="9"/>
      <c r="U39" s="8"/>
      <c r="V39" s="8"/>
      <c r="W39" s="8"/>
      <c r="X39" s="8"/>
      <c r="Y39" s="8"/>
    </row>
    <row r="40" spans="1:29" ht="13.5" x14ac:dyDescent="0.25">
      <c r="A40" s="16"/>
      <c r="B40" s="14"/>
      <c r="C40" s="14"/>
      <c r="D40" s="15"/>
      <c r="E40" s="8"/>
      <c r="F40" s="18"/>
      <c r="G40" s="14"/>
      <c r="H40" s="14"/>
      <c r="I40" s="14"/>
      <c r="J40" s="14"/>
      <c r="K40" s="14"/>
      <c r="L40" s="14"/>
      <c r="M40" s="8"/>
      <c r="N40" s="17"/>
      <c r="O40" s="17"/>
      <c r="P40" s="17"/>
      <c r="Q40" s="12"/>
      <c r="R40" s="11"/>
      <c r="S40" s="10"/>
      <c r="T40" s="9"/>
      <c r="U40" s="8"/>
      <c r="V40" s="8"/>
      <c r="W40" s="8"/>
      <c r="X40" s="8"/>
      <c r="Y40" s="8"/>
    </row>
    <row r="41" spans="1:29" ht="13.5" x14ac:dyDescent="0.25">
      <c r="A41" s="16"/>
      <c r="B41" s="8"/>
      <c r="C41" s="14"/>
      <c r="D41" s="15"/>
      <c r="E41" s="8"/>
      <c r="F41" s="18"/>
      <c r="G41" s="14"/>
      <c r="H41" s="14"/>
      <c r="I41" s="14"/>
      <c r="J41" s="14"/>
      <c r="K41" s="14"/>
      <c r="L41" s="14"/>
      <c r="M41" s="8"/>
      <c r="N41" s="17"/>
      <c r="O41" s="17"/>
      <c r="P41" s="17"/>
      <c r="Q41" s="12"/>
      <c r="R41" s="11"/>
      <c r="S41" s="10"/>
      <c r="T41" s="9"/>
      <c r="U41" s="8"/>
      <c r="V41" s="8"/>
      <c r="W41" s="8"/>
      <c r="X41" s="8"/>
      <c r="Y41" s="8"/>
    </row>
    <row r="42" spans="1:29" ht="13.5" x14ac:dyDescent="0.25">
      <c r="A42" s="16"/>
      <c r="B42" s="8"/>
      <c r="C42" s="14"/>
      <c r="D42" s="15"/>
      <c r="E42" s="8"/>
      <c r="F42" s="18"/>
      <c r="G42" s="14"/>
      <c r="H42" s="14"/>
      <c r="I42" s="14"/>
      <c r="J42" s="14"/>
      <c r="K42" s="14"/>
      <c r="L42" s="14"/>
      <c r="M42" s="8"/>
      <c r="N42" s="17"/>
      <c r="O42" s="17"/>
      <c r="P42" s="17"/>
      <c r="Q42" s="12"/>
      <c r="R42" s="11"/>
      <c r="S42" s="10"/>
      <c r="T42" s="9"/>
      <c r="U42" s="8"/>
      <c r="V42" s="8"/>
      <c r="W42" s="8"/>
      <c r="X42" s="8"/>
      <c r="Y42" s="8"/>
    </row>
    <row r="43" spans="1:29" ht="13.5" x14ac:dyDescent="0.25">
      <c r="A43" s="16"/>
      <c r="B43" s="14"/>
      <c r="C43" s="14"/>
      <c r="D43" s="15"/>
      <c r="E43" s="8"/>
      <c r="F43" s="18"/>
      <c r="G43" s="14"/>
      <c r="H43" s="14"/>
      <c r="I43" s="14"/>
      <c r="J43" s="14"/>
      <c r="K43" s="14"/>
      <c r="L43" s="14"/>
      <c r="M43" s="8"/>
      <c r="N43" s="17"/>
      <c r="O43" s="17"/>
      <c r="P43" s="17"/>
      <c r="Q43" s="12"/>
      <c r="R43" s="11"/>
      <c r="S43" s="10"/>
      <c r="T43" s="9"/>
      <c r="U43" s="8"/>
      <c r="V43" s="8"/>
      <c r="W43" s="8"/>
      <c r="X43" s="8"/>
      <c r="Y43" s="8"/>
    </row>
    <row r="44" spans="1:29" ht="13.5" x14ac:dyDescent="0.25">
      <c r="A44" s="16"/>
      <c r="B44" s="8"/>
      <c r="C44" s="14"/>
      <c r="D44" s="15"/>
      <c r="E44" s="8"/>
      <c r="F44" s="18"/>
      <c r="G44" s="14"/>
      <c r="H44" s="14"/>
      <c r="I44" s="14"/>
      <c r="J44" s="14"/>
      <c r="K44" s="14"/>
      <c r="L44" s="14"/>
      <c r="M44" s="8"/>
      <c r="N44" s="17"/>
      <c r="O44" s="17"/>
      <c r="P44" s="17"/>
      <c r="Q44" s="12"/>
      <c r="R44" s="11"/>
      <c r="S44" s="10"/>
      <c r="T44" s="9"/>
      <c r="U44" s="8"/>
      <c r="V44" s="8"/>
      <c r="W44" s="8"/>
      <c r="X44" s="8"/>
      <c r="Y44" s="8"/>
    </row>
    <row r="45" spans="1:29" ht="13.5" x14ac:dyDescent="0.25">
      <c r="A45" s="16"/>
      <c r="B45" s="8"/>
      <c r="C45" s="14"/>
      <c r="D45" s="15"/>
      <c r="E45" s="8"/>
      <c r="F45" s="18"/>
      <c r="G45" s="14"/>
      <c r="H45" s="14"/>
      <c r="I45" s="14"/>
      <c r="J45" s="14"/>
      <c r="K45" s="14"/>
      <c r="L45" s="14"/>
      <c r="M45" s="8"/>
      <c r="N45" s="17"/>
      <c r="O45" s="17"/>
      <c r="P45" s="17"/>
      <c r="Q45" s="12"/>
      <c r="R45" s="11"/>
      <c r="S45" s="10"/>
      <c r="T45" s="9"/>
      <c r="U45" s="8"/>
      <c r="V45" s="8"/>
      <c r="W45" s="8"/>
      <c r="X45" s="8"/>
      <c r="Y45" s="8"/>
    </row>
    <row r="46" spans="1:29" ht="13.5" x14ac:dyDescent="0.25">
      <c r="A46" s="16"/>
      <c r="B46" s="14"/>
      <c r="C46" s="14"/>
      <c r="D46" s="15"/>
      <c r="E46" s="8"/>
      <c r="F46" s="18"/>
      <c r="G46" s="14"/>
      <c r="H46" s="14"/>
      <c r="I46" s="14"/>
      <c r="J46" s="14"/>
      <c r="K46" s="14"/>
      <c r="L46" s="14"/>
      <c r="M46" s="8"/>
      <c r="N46" s="17"/>
      <c r="O46" s="17"/>
      <c r="P46" s="17"/>
      <c r="Q46" s="12"/>
      <c r="R46" s="11"/>
      <c r="S46" s="10"/>
      <c r="T46" s="9"/>
      <c r="U46" s="8"/>
      <c r="V46" s="8"/>
      <c r="W46" s="8"/>
      <c r="X46" s="8"/>
      <c r="Y46" s="8"/>
    </row>
    <row r="47" spans="1:29" ht="13.5" x14ac:dyDescent="0.25">
      <c r="A47" s="16"/>
      <c r="B47" s="8"/>
      <c r="C47" s="14"/>
      <c r="D47" s="15"/>
      <c r="E47" s="8"/>
      <c r="F47" s="18"/>
      <c r="G47" s="14"/>
      <c r="H47" s="14"/>
      <c r="I47" s="14"/>
      <c r="J47" s="14"/>
      <c r="K47" s="14"/>
      <c r="L47" s="14"/>
      <c r="M47" s="8"/>
      <c r="N47" s="17"/>
      <c r="O47" s="17"/>
      <c r="P47" s="17"/>
      <c r="Q47" s="12"/>
      <c r="R47" s="11"/>
      <c r="S47" s="10"/>
      <c r="T47" s="9"/>
      <c r="U47" s="8"/>
      <c r="V47" s="8"/>
      <c r="W47" s="8"/>
      <c r="X47" s="8"/>
      <c r="Y47" s="8"/>
    </row>
    <row r="48" spans="1:29" ht="13.5" x14ac:dyDescent="0.25">
      <c r="A48" s="16"/>
      <c r="B48" s="8"/>
      <c r="D48" s="15"/>
      <c r="E48" s="8"/>
      <c r="F48" s="18"/>
      <c r="G48" s="14"/>
      <c r="H48" s="14"/>
      <c r="I48" s="14"/>
      <c r="J48" s="14"/>
      <c r="K48" s="14"/>
      <c r="L48" s="14"/>
      <c r="M48" s="8"/>
      <c r="N48" s="17"/>
      <c r="O48" s="17"/>
      <c r="P48" s="17"/>
      <c r="Q48" s="12"/>
      <c r="R48" s="11"/>
      <c r="S48" s="10"/>
      <c r="T48" s="9"/>
      <c r="U48" s="8"/>
      <c r="V48" s="8"/>
      <c r="W48" s="8"/>
      <c r="X48" s="8"/>
      <c r="Y48" s="8"/>
    </row>
    <row r="49" spans="1:25" ht="13.5" x14ac:dyDescent="0.25">
      <c r="A49" s="16"/>
      <c r="B49" s="14"/>
      <c r="C49" s="14"/>
      <c r="D49" s="15"/>
      <c r="E49" s="8"/>
      <c r="F49" s="18"/>
      <c r="G49" s="14"/>
      <c r="H49" s="14"/>
      <c r="I49" s="14"/>
      <c r="J49" s="14"/>
      <c r="K49" s="14"/>
      <c r="L49" s="14"/>
      <c r="M49" s="8"/>
      <c r="N49" s="17"/>
      <c r="O49" s="17"/>
      <c r="P49" s="17"/>
      <c r="Q49" s="12"/>
      <c r="R49" s="11"/>
      <c r="S49" s="10"/>
      <c r="T49" s="9"/>
      <c r="U49" s="8"/>
      <c r="V49" s="8"/>
      <c r="W49" s="8"/>
      <c r="X49" s="8"/>
      <c r="Y49" s="8"/>
    </row>
    <row r="50" spans="1:25" ht="13.5" x14ac:dyDescent="0.25">
      <c r="A50" s="16"/>
      <c r="B50" s="8"/>
      <c r="C50" s="14"/>
      <c r="D50" s="15"/>
      <c r="E50" s="8"/>
      <c r="F50" s="18"/>
      <c r="G50" s="14"/>
      <c r="H50" s="14"/>
      <c r="I50" s="14"/>
      <c r="J50" s="14"/>
      <c r="K50" s="14"/>
      <c r="L50" s="14"/>
      <c r="M50" s="8"/>
      <c r="N50" s="17"/>
      <c r="O50" s="17"/>
      <c r="P50" s="17"/>
      <c r="Q50" s="12"/>
      <c r="R50" s="11"/>
      <c r="S50" s="10"/>
      <c r="T50" s="9"/>
      <c r="U50" s="8"/>
      <c r="V50" s="8"/>
      <c r="W50" s="8"/>
      <c r="X50" s="8"/>
      <c r="Y50" s="8"/>
    </row>
    <row r="51" spans="1:25" ht="13.5" x14ac:dyDescent="0.25">
      <c r="A51" s="16"/>
      <c r="B51" s="8"/>
      <c r="C51" s="14"/>
      <c r="D51" s="15"/>
      <c r="E51" s="8"/>
      <c r="F51" s="18"/>
      <c r="G51" s="14"/>
      <c r="H51" s="14"/>
      <c r="I51" s="14"/>
      <c r="J51" s="14"/>
      <c r="K51" s="14"/>
      <c r="L51" s="14"/>
      <c r="M51" s="8"/>
      <c r="N51" s="17"/>
      <c r="O51" s="17"/>
      <c r="P51" s="17"/>
      <c r="Q51" s="12"/>
      <c r="R51" s="11"/>
      <c r="S51" s="10"/>
      <c r="T51" s="9"/>
      <c r="U51" s="8"/>
      <c r="V51" s="8"/>
      <c r="W51" s="8"/>
      <c r="X51" s="8"/>
      <c r="Y51" s="8"/>
    </row>
    <row r="52" spans="1:25" ht="13.5" x14ac:dyDescent="0.25">
      <c r="A52" s="16"/>
      <c r="B52" s="14"/>
      <c r="C52" s="14"/>
      <c r="D52" s="15"/>
      <c r="E52" s="8"/>
      <c r="F52" s="18"/>
      <c r="G52" s="14"/>
      <c r="H52" s="14"/>
      <c r="I52" s="14"/>
      <c r="J52" s="14"/>
      <c r="K52" s="14"/>
      <c r="L52" s="14"/>
      <c r="M52" s="8"/>
      <c r="N52" s="17"/>
      <c r="O52" s="17"/>
      <c r="P52" s="17"/>
      <c r="Q52" s="12"/>
      <c r="R52" s="11"/>
      <c r="S52" s="10"/>
      <c r="T52" s="9"/>
      <c r="U52" s="8"/>
      <c r="V52" s="8"/>
      <c r="W52" s="8"/>
      <c r="X52" s="8"/>
      <c r="Y52" s="8"/>
    </row>
    <row r="53" spans="1:25" ht="13.5" x14ac:dyDescent="0.25">
      <c r="A53" s="16"/>
      <c r="B53" s="8"/>
      <c r="C53" s="14"/>
      <c r="D53" s="15"/>
      <c r="E53" s="8"/>
      <c r="F53" s="18"/>
      <c r="G53" s="14"/>
      <c r="H53" s="14"/>
      <c r="I53" s="14"/>
      <c r="J53" s="14"/>
      <c r="K53" s="14"/>
      <c r="L53" s="14"/>
      <c r="M53" s="8"/>
      <c r="N53" s="17"/>
      <c r="O53" s="17"/>
      <c r="P53" s="17"/>
      <c r="Q53" s="12"/>
      <c r="R53" s="11"/>
      <c r="S53" s="10"/>
      <c r="T53" s="9"/>
      <c r="U53" s="8"/>
      <c r="V53" s="8"/>
      <c r="W53" s="8"/>
      <c r="X53" s="8"/>
      <c r="Y53" s="8"/>
    </row>
    <row r="54" spans="1:25" ht="13.5" x14ac:dyDescent="0.25">
      <c r="A54" s="16"/>
      <c r="B54" s="8"/>
      <c r="C54" s="14"/>
      <c r="D54" s="15"/>
      <c r="E54" s="8"/>
      <c r="F54" s="18"/>
      <c r="G54" s="14"/>
      <c r="H54" s="14"/>
      <c r="I54" s="14"/>
      <c r="J54" s="14"/>
      <c r="K54" s="14"/>
      <c r="L54" s="14"/>
      <c r="M54" s="8"/>
      <c r="N54" s="17"/>
      <c r="O54" s="17"/>
      <c r="P54" s="17"/>
      <c r="Q54" s="12"/>
      <c r="R54" s="11"/>
      <c r="S54" s="10"/>
      <c r="T54" s="9"/>
      <c r="U54" s="8"/>
      <c r="V54" s="8"/>
      <c r="W54" s="8"/>
      <c r="X54" s="8"/>
      <c r="Y54" s="8"/>
    </row>
    <row r="55" spans="1:25" ht="13.5" x14ac:dyDescent="0.25">
      <c r="A55" s="16"/>
      <c r="B55" s="14"/>
      <c r="C55" s="14"/>
      <c r="D55" s="15"/>
      <c r="E55" s="14"/>
      <c r="F55" s="15"/>
      <c r="G55" s="14"/>
      <c r="H55" s="14"/>
      <c r="I55" s="14"/>
      <c r="J55" s="14"/>
      <c r="K55" s="14"/>
      <c r="L55" s="14"/>
      <c r="M55" s="8"/>
      <c r="N55" s="17"/>
      <c r="O55" s="17"/>
      <c r="P55" s="17"/>
      <c r="Q55" s="12"/>
      <c r="R55" s="11"/>
      <c r="S55" s="10"/>
      <c r="T55" s="9"/>
      <c r="U55" s="8"/>
      <c r="V55" s="8"/>
      <c r="W55" s="8"/>
      <c r="X55" s="8"/>
      <c r="Y55" s="8"/>
    </row>
    <row r="56" spans="1:25" ht="13.5" x14ac:dyDescent="0.25">
      <c r="A56" s="16"/>
      <c r="B56" s="8"/>
      <c r="C56" s="14"/>
      <c r="D56" s="15"/>
      <c r="E56" s="14"/>
      <c r="F56" s="15"/>
      <c r="G56" s="14"/>
      <c r="H56" s="14"/>
      <c r="I56" s="14"/>
      <c r="J56" s="14"/>
      <c r="K56" s="14"/>
      <c r="L56" s="14"/>
      <c r="M56" s="14"/>
      <c r="N56" s="13"/>
      <c r="O56" s="13"/>
      <c r="P56" s="13"/>
      <c r="Q56" s="12"/>
      <c r="R56" s="11"/>
      <c r="S56" s="10"/>
      <c r="T56" s="9"/>
      <c r="U56" s="8"/>
      <c r="V56" s="8"/>
      <c r="W56" s="8"/>
      <c r="X56" s="8"/>
      <c r="Y56" s="8"/>
    </row>
    <row r="57" spans="1:25" ht="13.5" x14ac:dyDescent="0.25">
      <c r="A57" s="16"/>
      <c r="B57" s="8"/>
      <c r="C57" s="14"/>
      <c r="D57" s="15"/>
      <c r="E57" s="14"/>
      <c r="F57" s="15"/>
      <c r="G57" s="14"/>
      <c r="H57" s="14"/>
      <c r="I57" s="14"/>
      <c r="J57" s="14"/>
      <c r="K57" s="14"/>
      <c r="L57" s="14"/>
      <c r="M57" s="14"/>
      <c r="N57" s="13"/>
      <c r="O57" s="13"/>
      <c r="P57" s="13"/>
      <c r="Q57" s="12"/>
      <c r="R57" s="11"/>
      <c r="S57" s="10"/>
      <c r="T57" s="9"/>
      <c r="U57" s="8"/>
      <c r="V57" s="8"/>
      <c r="W57" s="8"/>
      <c r="X57" s="8"/>
      <c r="Y57" s="8"/>
    </row>
    <row r="58" spans="1:25" ht="13.5" x14ac:dyDescent="0.25">
      <c r="A58" s="16"/>
      <c r="B58" s="14"/>
      <c r="C58" s="14"/>
      <c r="D58" s="15"/>
      <c r="E58" s="14"/>
      <c r="F58" s="15"/>
      <c r="G58" s="14"/>
      <c r="H58" s="14"/>
      <c r="I58" s="14"/>
      <c r="J58" s="14"/>
      <c r="K58" s="14"/>
      <c r="L58" s="14"/>
      <c r="M58" s="14"/>
      <c r="N58" s="13"/>
      <c r="O58" s="13"/>
      <c r="P58" s="13"/>
      <c r="Q58" s="12"/>
      <c r="R58" s="11"/>
      <c r="S58" s="10"/>
      <c r="T58" s="9"/>
      <c r="U58" s="8"/>
      <c r="V58" s="8"/>
      <c r="W58" s="8"/>
      <c r="X58" s="8"/>
      <c r="Y58" s="8"/>
    </row>
    <row r="59" spans="1:25" ht="13.5" x14ac:dyDescent="0.25">
      <c r="A59" s="16"/>
      <c r="B59" s="8"/>
      <c r="C59" s="14"/>
      <c r="D59" s="15"/>
      <c r="E59" s="14"/>
      <c r="F59" s="15"/>
      <c r="G59" s="14"/>
      <c r="H59" s="14"/>
      <c r="I59" s="14"/>
      <c r="J59" s="14"/>
      <c r="K59" s="14"/>
      <c r="L59" s="14"/>
      <c r="M59" s="14"/>
      <c r="N59" s="13"/>
      <c r="O59" s="13"/>
      <c r="P59" s="13"/>
      <c r="Q59" s="12"/>
      <c r="R59" s="11"/>
      <c r="S59" s="10"/>
      <c r="T59" s="9"/>
      <c r="U59" s="8"/>
      <c r="V59" s="8"/>
      <c r="W59" s="8"/>
      <c r="X59" s="8"/>
      <c r="Y59" s="8"/>
    </row>
    <row r="60" spans="1:25" ht="13.5" x14ac:dyDescent="0.25">
      <c r="A60" s="16"/>
      <c r="B60" s="8"/>
      <c r="C60" s="14"/>
      <c r="D60" s="15"/>
      <c r="E60" s="14"/>
      <c r="F60" s="15"/>
      <c r="G60" s="14"/>
      <c r="H60" s="14"/>
      <c r="I60" s="14"/>
      <c r="J60" s="14"/>
      <c r="K60" s="14"/>
      <c r="L60" s="14"/>
      <c r="M60" s="14"/>
      <c r="N60" s="13"/>
      <c r="O60" s="13"/>
      <c r="P60" s="13"/>
      <c r="Q60" s="12"/>
      <c r="R60" s="11"/>
      <c r="S60" s="10"/>
      <c r="T60" s="9"/>
      <c r="U60" s="8"/>
      <c r="V60" s="8"/>
      <c r="W60" s="8"/>
      <c r="X60" s="8"/>
      <c r="Y60" s="8"/>
    </row>
    <row r="61" spans="1:25" ht="13.5" x14ac:dyDescent="0.25">
      <c r="A61" s="16"/>
      <c r="B61" s="14"/>
      <c r="C61" s="14"/>
      <c r="D61" s="15"/>
      <c r="E61" s="14"/>
      <c r="F61" s="15"/>
      <c r="G61" s="14"/>
      <c r="H61" s="14"/>
      <c r="I61" s="14"/>
      <c r="J61" s="14"/>
      <c r="K61" s="14"/>
      <c r="L61" s="14"/>
      <c r="M61" s="14"/>
      <c r="N61" s="13"/>
      <c r="O61" s="13"/>
      <c r="P61" s="13"/>
      <c r="Q61" s="12"/>
      <c r="R61" s="11"/>
      <c r="S61" s="10"/>
      <c r="T61" s="9"/>
      <c r="U61" s="8"/>
      <c r="V61" s="8"/>
      <c r="W61" s="8"/>
      <c r="X61" s="8"/>
      <c r="Y61" s="8"/>
    </row>
    <row r="62" spans="1:25" ht="13.5" x14ac:dyDescent="0.25">
      <c r="A62" s="16"/>
      <c r="B62" s="8"/>
      <c r="C62" s="14"/>
      <c r="D62" s="15"/>
      <c r="E62" s="14"/>
      <c r="F62" s="15"/>
      <c r="G62" s="14"/>
      <c r="H62" s="14"/>
      <c r="I62" s="14"/>
      <c r="J62" s="14"/>
      <c r="K62" s="14"/>
      <c r="L62" s="14"/>
      <c r="M62" s="14"/>
      <c r="N62" s="13"/>
      <c r="O62" s="13"/>
      <c r="P62" s="13"/>
      <c r="Q62" s="12"/>
      <c r="R62" s="11"/>
      <c r="S62" s="10"/>
      <c r="T62" s="9"/>
      <c r="U62" s="8"/>
      <c r="V62" s="8"/>
      <c r="W62" s="8"/>
      <c r="X62" s="8"/>
      <c r="Y62" s="8"/>
    </row>
    <row r="63" spans="1:25" ht="13.5" x14ac:dyDescent="0.25">
      <c r="A63" s="16"/>
      <c r="B63" s="8"/>
      <c r="C63" s="14"/>
      <c r="D63" s="15"/>
      <c r="E63" s="14"/>
      <c r="F63" s="15"/>
      <c r="G63" s="14"/>
      <c r="H63" s="14"/>
      <c r="I63" s="14"/>
      <c r="J63" s="14"/>
      <c r="K63" s="14"/>
      <c r="L63" s="14"/>
      <c r="M63" s="14"/>
      <c r="N63" s="13"/>
      <c r="O63" s="13"/>
      <c r="P63" s="13"/>
      <c r="Q63" s="12"/>
      <c r="R63" s="11"/>
      <c r="S63" s="10"/>
      <c r="T63" s="9"/>
      <c r="U63" s="8"/>
      <c r="V63" s="8"/>
      <c r="W63" s="8"/>
      <c r="X63" s="8"/>
      <c r="Y63" s="8"/>
    </row>
    <row r="64" spans="1:25" ht="13.5" x14ac:dyDescent="0.25">
      <c r="A64" s="16"/>
      <c r="B64" s="14"/>
      <c r="C64" s="14"/>
      <c r="D64" s="15"/>
      <c r="E64" s="14"/>
      <c r="F64" s="15"/>
      <c r="G64" s="14"/>
      <c r="H64" s="14"/>
      <c r="I64" s="14"/>
      <c r="J64" s="14"/>
      <c r="K64" s="14"/>
      <c r="L64" s="14"/>
      <c r="M64" s="14"/>
      <c r="N64" s="13"/>
      <c r="O64" s="13"/>
      <c r="P64" s="13"/>
      <c r="Q64" s="12"/>
      <c r="R64" s="11"/>
      <c r="S64" s="10"/>
      <c r="T64" s="9"/>
      <c r="U64" s="8"/>
      <c r="V64" s="8"/>
      <c r="W64" s="8"/>
      <c r="X64" s="8"/>
      <c r="Y64" s="8"/>
    </row>
    <row r="65" spans="1:25" ht="13.5" x14ac:dyDescent="0.25">
      <c r="A65" s="16"/>
      <c r="B65" s="8"/>
      <c r="C65" s="14"/>
      <c r="D65" s="15"/>
      <c r="E65" s="14"/>
      <c r="F65" s="15"/>
      <c r="G65" s="14"/>
      <c r="H65" s="14"/>
      <c r="I65" s="14"/>
      <c r="J65" s="14"/>
      <c r="K65" s="14"/>
      <c r="L65" s="14"/>
      <c r="M65" s="14"/>
      <c r="N65" s="13"/>
      <c r="O65" s="13"/>
      <c r="P65" s="13"/>
      <c r="Q65" s="12"/>
      <c r="R65" s="11"/>
      <c r="S65" s="10"/>
      <c r="T65" s="9"/>
      <c r="U65" s="8"/>
      <c r="V65" s="8"/>
      <c r="W65" s="8"/>
      <c r="X65" s="8"/>
      <c r="Y65" s="8"/>
    </row>
    <row r="66" spans="1:25" ht="13.5" x14ac:dyDescent="0.25">
      <c r="A66" s="16"/>
      <c r="B66" s="8"/>
      <c r="C66" s="14"/>
      <c r="D66" s="15"/>
      <c r="E66" s="14"/>
      <c r="F66" s="15"/>
      <c r="G66" s="14"/>
      <c r="H66" s="14"/>
      <c r="I66" s="14"/>
      <c r="J66" s="14"/>
      <c r="K66" s="14"/>
      <c r="L66" s="14"/>
      <c r="M66" s="14"/>
      <c r="N66" s="13"/>
      <c r="O66" s="13"/>
      <c r="P66" s="13"/>
      <c r="Q66" s="12"/>
      <c r="R66" s="11"/>
      <c r="S66" s="10"/>
      <c r="T66" s="9"/>
      <c r="U66" s="8"/>
      <c r="V66" s="8"/>
      <c r="W66" s="8"/>
      <c r="X66" s="8"/>
      <c r="Y66" s="8"/>
    </row>
    <row r="67" spans="1:25" ht="13.5" x14ac:dyDescent="0.25">
      <c r="A67" s="16"/>
      <c r="B67" s="14"/>
      <c r="C67" s="14"/>
      <c r="D67" s="15"/>
      <c r="E67" s="14"/>
      <c r="F67" s="15"/>
      <c r="G67" s="14"/>
      <c r="H67" s="14"/>
      <c r="I67" s="14"/>
      <c r="J67" s="14"/>
      <c r="K67" s="14"/>
      <c r="L67" s="14"/>
      <c r="M67" s="14"/>
      <c r="N67" s="13"/>
      <c r="O67" s="13"/>
      <c r="P67" s="13"/>
      <c r="Q67" s="12"/>
      <c r="R67" s="11"/>
      <c r="S67" s="10"/>
      <c r="T67" s="9"/>
      <c r="U67" s="8"/>
      <c r="V67" s="8"/>
      <c r="W67" s="8"/>
      <c r="X67" s="8"/>
      <c r="Y67" s="8"/>
    </row>
    <row r="68" spans="1:25" ht="13.5" x14ac:dyDescent="0.25">
      <c r="A68" s="16"/>
      <c r="B68" s="8"/>
      <c r="C68" s="14"/>
      <c r="D68" s="15"/>
      <c r="E68" s="14"/>
      <c r="F68" s="15"/>
      <c r="G68" s="14"/>
      <c r="H68" s="14"/>
      <c r="I68" s="14"/>
      <c r="J68" s="14"/>
      <c r="K68" s="14"/>
      <c r="L68" s="14"/>
      <c r="M68" s="14"/>
      <c r="N68" s="13"/>
      <c r="O68" s="13"/>
      <c r="P68" s="13"/>
      <c r="Q68" s="12"/>
      <c r="R68" s="11"/>
      <c r="S68" s="10"/>
      <c r="T68" s="9"/>
      <c r="U68" s="8"/>
      <c r="V68" s="8"/>
      <c r="W68" s="8"/>
      <c r="X68" s="8"/>
      <c r="Y68" s="8"/>
    </row>
    <row r="69" spans="1:25" ht="13.5" x14ac:dyDescent="0.25">
      <c r="A69" s="16"/>
      <c r="B69" s="8"/>
      <c r="C69" s="14"/>
      <c r="D69" s="15"/>
      <c r="E69" s="14"/>
      <c r="F69" s="15"/>
      <c r="G69" s="14"/>
      <c r="H69" s="14"/>
      <c r="I69" s="14"/>
      <c r="J69" s="14"/>
      <c r="K69" s="14"/>
      <c r="L69" s="14"/>
      <c r="M69" s="14"/>
      <c r="N69" s="13"/>
      <c r="O69" s="13"/>
      <c r="P69" s="13"/>
      <c r="Q69" s="12"/>
      <c r="R69" s="11"/>
      <c r="S69" s="10"/>
      <c r="T69" s="9"/>
      <c r="U69" s="8"/>
      <c r="V69" s="8"/>
      <c r="W69" s="8"/>
      <c r="X69" s="8"/>
      <c r="Y69" s="8"/>
    </row>
    <row r="70" spans="1:25" ht="13.5" x14ac:dyDescent="0.25">
      <c r="A70" s="16"/>
      <c r="B70" s="14"/>
      <c r="C70" s="14"/>
      <c r="D70" s="15"/>
      <c r="E70" s="14"/>
      <c r="F70" s="15"/>
      <c r="G70" s="14"/>
      <c r="H70" s="14"/>
      <c r="I70" s="14"/>
      <c r="J70" s="14"/>
      <c r="K70" s="14"/>
      <c r="L70" s="14"/>
      <c r="M70" s="14"/>
      <c r="N70" s="13"/>
      <c r="O70" s="13"/>
      <c r="P70" s="13"/>
      <c r="Q70" s="12"/>
      <c r="R70" s="11"/>
      <c r="S70" s="10"/>
      <c r="T70" s="9"/>
      <c r="U70" s="8"/>
      <c r="V70" s="8"/>
      <c r="W70" s="8"/>
      <c r="X70" s="8"/>
      <c r="Y70" s="8"/>
    </row>
    <row r="71" spans="1:25" ht="13.5" x14ac:dyDescent="0.25">
      <c r="A71" s="16"/>
      <c r="B71" s="8"/>
      <c r="C71" s="14"/>
      <c r="D71" s="15"/>
      <c r="E71" s="14"/>
      <c r="F71" s="15"/>
      <c r="G71" s="14"/>
      <c r="H71" s="14"/>
      <c r="I71" s="14"/>
      <c r="J71" s="14"/>
      <c r="K71" s="14"/>
      <c r="L71" s="14"/>
      <c r="M71" s="14"/>
      <c r="N71" s="13"/>
      <c r="O71" s="13"/>
      <c r="P71" s="13"/>
      <c r="Q71" s="12"/>
      <c r="R71" s="11"/>
      <c r="S71" s="10"/>
      <c r="T71" s="9"/>
      <c r="U71" s="8"/>
      <c r="V71" s="8"/>
      <c r="W71" s="8"/>
      <c r="X71" s="8"/>
      <c r="Y71" s="8"/>
    </row>
    <row r="72" spans="1:25" ht="13.5" x14ac:dyDescent="0.25">
      <c r="A72" s="16"/>
      <c r="B72" s="8"/>
      <c r="C72" s="14"/>
      <c r="D72" s="15"/>
      <c r="E72" s="14"/>
      <c r="F72" s="15"/>
      <c r="G72" s="14"/>
      <c r="H72" s="14"/>
      <c r="I72" s="14"/>
      <c r="J72" s="14"/>
      <c r="K72" s="14"/>
      <c r="L72" s="14"/>
      <c r="M72" s="14"/>
      <c r="N72" s="13"/>
      <c r="O72" s="13"/>
      <c r="P72" s="13"/>
      <c r="Q72" s="12"/>
      <c r="R72" s="11"/>
      <c r="S72" s="10"/>
      <c r="T72" s="9"/>
      <c r="U72" s="8"/>
      <c r="V72" s="8"/>
      <c r="W72" s="8"/>
      <c r="X72" s="8"/>
      <c r="Y72" s="8"/>
    </row>
    <row r="73" spans="1:25" ht="13.5" x14ac:dyDescent="0.25">
      <c r="A73" s="16"/>
      <c r="B73" s="14"/>
      <c r="C73" s="14"/>
      <c r="D73" s="15"/>
      <c r="E73" s="14"/>
      <c r="F73" s="15"/>
      <c r="G73" s="14"/>
      <c r="H73" s="14"/>
      <c r="I73" s="14"/>
      <c r="J73" s="14"/>
      <c r="K73" s="14"/>
      <c r="L73" s="14"/>
      <c r="M73" s="14"/>
      <c r="N73" s="13"/>
      <c r="O73" s="13"/>
      <c r="P73" s="13"/>
      <c r="Q73" s="12"/>
      <c r="R73" s="11"/>
      <c r="S73" s="10"/>
      <c r="T73" s="9"/>
      <c r="U73" s="8"/>
      <c r="V73" s="8"/>
      <c r="W73" s="8"/>
      <c r="X73" s="8"/>
      <c r="Y73" s="8"/>
    </row>
    <row r="74" spans="1:25" ht="13.5" x14ac:dyDescent="0.25">
      <c r="A74" s="16"/>
      <c r="B74" s="8"/>
      <c r="C74" s="14"/>
      <c r="D74" s="15"/>
      <c r="E74" s="14"/>
      <c r="F74" s="15"/>
      <c r="G74" s="14"/>
      <c r="H74" s="14"/>
      <c r="I74" s="14"/>
      <c r="J74" s="14"/>
      <c r="K74" s="14"/>
      <c r="L74" s="14"/>
      <c r="M74" s="14"/>
      <c r="N74" s="13"/>
      <c r="O74" s="13"/>
      <c r="P74" s="13"/>
      <c r="Q74" s="12"/>
      <c r="R74" s="11"/>
      <c r="S74" s="10"/>
      <c r="T74" s="9"/>
      <c r="U74" s="8"/>
      <c r="V74" s="8"/>
      <c r="W74" s="8"/>
      <c r="X74" s="8"/>
      <c r="Y74" s="8"/>
    </row>
    <row r="75" spans="1:25" ht="13.5" x14ac:dyDescent="0.25">
      <c r="A75" s="16"/>
      <c r="B75" s="8"/>
      <c r="C75" s="14"/>
      <c r="D75" s="15"/>
      <c r="E75" s="14"/>
      <c r="F75" s="15"/>
      <c r="G75" s="14"/>
      <c r="H75" s="14"/>
      <c r="I75" s="14"/>
      <c r="J75" s="14"/>
      <c r="K75" s="14"/>
      <c r="L75" s="14"/>
      <c r="M75" s="14"/>
      <c r="N75" s="13"/>
      <c r="O75" s="13"/>
      <c r="P75" s="13"/>
      <c r="Q75" s="12"/>
      <c r="R75" s="11"/>
      <c r="S75" s="10"/>
      <c r="T75" s="9"/>
      <c r="U75" s="8"/>
      <c r="V75" s="8"/>
      <c r="W75" s="8"/>
      <c r="X75" s="8"/>
      <c r="Y75" s="8"/>
    </row>
    <row r="76" spans="1:25" ht="13.5" x14ac:dyDescent="0.25">
      <c r="A76" s="16"/>
      <c r="B76" s="14"/>
      <c r="C76" s="14"/>
      <c r="D76" s="15"/>
      <c r="E76" s="14"/>
      <c r="F76" s="15"/>
      <c r="G76" s="14"/>
      <c r="H76" s="14"/>
      <c r="I76" s="14"/>
      <c r="J76" s="14"/>
      <c r="K76" s="14"/>
      <c r="L76" s="14"/>
      <c r="M76" s="14"/>
      <c r="N76" s="13"/>
      <c r="O76" s="13"/>
      <c r="P76" s="13"/>
      <c r="Q76" s="12"/>
      <c r="R76" s="11"/>
      <c r="S76" s="10"/>
      <c r="T76" s="9"/>
      <c r="U76" s="8"/>
      <c r="V76" s="8"/>
      <c r="W76" s="8"/>
      <c r="X76" s="8"/>
      <c r="Y76" s="8"/>
    </row>
    <row r="77" spans="1:25" ht="13.5" x14ac:dyDescent="0.25">
      <c r="A77" s="16"/>
      <c r="B77" s="8"/>
      <c r="C77" s="14"/>
      <c r="D77" s="15"/>
      <c r="E77" s="14"/>
      <c r="F77" s="15"/>
      <c r="G77" s="14"/>
      <c r="H77" s="14"/>
      <c r="I77" s="14"/>
      <c r="J77" s="14"/>
      <c r="K77" s="14"/>
      <c r="L77" s="14"/>
      <c r="M77" s="14"/>
      <c r="N77" s="13"/>
      <c r="O77" s="13"/>
      <c r="P77" s="13"/>
      <c r="Q77" s="12"/>
      <c r="R77" s="11"/>
      <c r="S77" s="10"/>
      <c r="T77" s="9"/>
      <c r="U77" s="8"/>
      <c r="V77" s="8"/>
      <c r="W77" s="8"/>
      <c r="X77" s="8"/>
      <c r="Y77" s="8"/>
    </row>
    <row r="78" spans="1:25" ht="13.5" x14ac:dyDescent="0.25">
      <c r="A78" s="16"/>
      <c r="B78" s="8"/>
      <c r="C78" s="14"/>
      <c r="D78" s="15"/>
      <c r="E78" s="14"/>
      <c r="F78" s="15"/>
      <c r="G78" s="14"/>
      <c r="H78" s="14"/>
      <c r="I78" s="14"/>
      <c r="J78" s="14"/>
      <c r="K78" s="14"/>
      <c r="L78" s="14"/>
      <c r="M78" s="14"/>
      <c r="N78" s="13"/>
      <c r="O78" s="13"/>
      <c r="P78" s="13"/>
      <c r="Q78" s="12"/>
      <c r="R78" s="11"/>
      <c r="S78" s="10"/>
      <c r="T78" s="9"/>
      <c r="U78" s="8"/>
      <c r="V78" s="8"/>
      <c r="W78" s="8"/>
      <c r="X78" s="8"/>
      <c r="Y78" s="8"/>
    </row>
    <row r="79" spans="1:25" ht="13.5" x14ac:dyDescent="0.25">
      <c r="A79" s="16"/>
      <c r="B79" s="14"/>
      <c r="D79" s="15"/>
      <c r="E79" s="14"/>
      <c r="F79" s="15"/>
      <c r="G79" s="14"/>
      <c r="H79" s="14"/>
      <c r="I79" s="14"/>
      <c r="J79" s="14"/>
      <c r="K79" s="14"/>
      <c r="L79" s="14"/>
      <c r="M79" s="14"/>
      <c r="N79" s="13"/>
      <c r="O79" s="13"/>
      <c r="P79" s="13"/>
      <c r="Q79" s="12"/>
      <c r="R79" s="11"/>
      <c r="S79" s="10"/>
      <c r="T79" s="9"/>
      <c r="U79" s="8"/>
      <c r="V79" s="8"/>
      <c r="W79" s="8"/>
      <c r="X79" s="8"/>
      <c r="Y79" s="8"/>
    </row>
    <row r="80" spans="1:25" ht="13.5" x14ac:dyDescent="0.25">
      <c r="A80" s="16"/>
      <c r="B80" s="8"/>
      <c r="C80" s="14"/>
      <c r="D80" s="15"/>
      <c r="E80" s="14"/>
      <c r="F80" s="15"/>
      <c r="G80" s="14"/>
      <c r="H80" s="14"/>
      <c r="I80" s="14"/>
      <c r="J80" s="14"/>
      <c r="K80" s="14"/>
      <c r="L80" s="14"/>
      <c r="M80" s="14"/>
      <c r="N80" s="13"/>
      <c r="O80" s="13"/>
      <c r="P80" s="13"/>
      <c r="Q80" s="12"/>
      <c r="R80" s="11"/>
      <c r="S80" s="10"/>
      <c r="T80" s="9"/>
      <c r="U80" s="8"/>
      <c r="V80" s="8"/>
      <c r="W80" s="8"/>
      <c r="X80" s="8"/>
      <c r="Y80" s="8"/>
    </row>
    <row r="81" spans="1:25" ht="13.5" x14ac:dyDescent="0.25">
      <c r="A81" s="16"/>
      <c r="B81" s="8"/>
      <c r="C81" s="14"/>
      <c r="D81" s="15"/>
      <c r="E81" s="14"/>
      <c r="F81" s="15"/>
      <c r="G81" s="14"/>
      <c r="H81" s="14"/>
      <c r="I81" s="14"/>
      <c r="J81" s="14"/>
      <c r="K81" s="14"/>
      <c r="L81" s="14"/>
      <c r="M81" s="14"/>
      <c r="N81" s="13"/>
      <c r="O81" s="13"/>
      <c r="P81" s="13"/>
      <c r="Q81" s="12"/>
      <c r="R81" s="11"/>
      <c r="S81" s="10"/>
      <c r="T81" s="9"/>
      <c r="U81" s="8"/>
      <c r="V81" s="8"/>
      <c r="W81" s="8"/>
      <c r="X81" s="8"/>
      <c r="Y81" s="8"/>
    </row>
    <row r="82" spans="1:25" ht="13.5" x14ac:dyDescent="0.25">
      <c r="A82" s="16"/>
      <c r="B82" s="14"/>
      <c r="C82" s="14"/>
      <c r="D82" s="15"/>
      <c r="E82" s="14"/>
      <c r="F82" s="15"/>
      <c r="G82" s="14"/>
      <c r="H82" s="14"/>
      <c r="I82" s="14"/>
      <c r="J82" s="14"/>
      <c r="K82" s="14"/>
      <c r="L82" s="14"/>
      <c r="M82" s="14"/>
      <c r="N82" s="13"/>
      <c r="O82" s="13"/>
      <c r="P82" s="13"/>
      <c r="Q82" s="12"/>
      <c r="R82" s="11"/>
      <c r="S82" s="10"/>
      <c r="T82" s="9"/>
      <c r="U82" s="8"/>
      <c r="V82" s="8"/>
      <c r="W82" s="8"/>
      <c r="X82" s="8"/>
      <c r="Y82" s="8"/>
    </row>
    <row r="83" spans="1:25" ht="13.5" x14ac:dyDescent="0.25">
      <c r="A83" s="16"/>
      <c r="B83" s="8"/>
      <c r="C83" s="14"/>
      <c r="D83" s="15"/>
      <c r="E83" s="14"/>
      <c r="F83" s="15"/>
      <c r="G83" s="14"/>
      <c r="H83" s="14"/>
      <c r="I83" s="14"/>
      <c r="J83" s="14"/>
      <c r="K83" s="14"/>
      <c r="L83" s="14"/>
      <c r="M83" s="14"/>
      <c r="N83" s="13"/>
      <c r="O83" s="13"/>
      <c r="P83" s="13"/>
      <c r="Q83" s="12"/>
      <c r="R83" s="11"/>
      <c r="S83" s="10"/>
      <c r="T83" s="9"/>
      <c r="U83" s="8"/>
      <c r="V83" s="8"/>
      <c r="W83" s="8"/>
      <c r="X83" s="8"/>
      <c r="Y83" s="8"/>
    </row>
    <row r="84" spans="1:25" ht="13.5" x14ac:dyDescent="0.25">
      <c r="A84" s="16"/>
      <c r="B84" s="8"/>
      <c r="C84" s="14"/>
      <c r="D84" s="15"/>
      <c r="E84" s="14"/>
      <c r="F84" s="15"/>
      <c r="G84" s="14"/>
      <c r="H84" s="14"/>
      <c r="I84" s="14"/>
      <c r="J84" s="14"/>
      <c r="K84" s="14"/>
      <c r="L84" s="14"/>
      <c r="M84" s="14"/>
      <c r="N84" s="13"/>
      <c r="O84" s="13"/>
      <c r="P84" s="13"/>
      <c r="Q84" s="12"/>
      <c r="R84" s="11"/>
      <c r="S84" s="10"/>
      <c r="T84" s="9"/>
      <c r="U84" s="8"/>
      <c r="V84" s="8"/>
      <c r="W84" s="8"/>
      <c r="X84" s="8"/>
      <c r="Y84" s="8"/>
    </row>
    <row r="85" spans="1:25" ht="13.5" x14ac:dyDescent="0.25">
      <c r="A85" s="16"/>
      <c r="B85" s="14"/>
      <c r="C85" s="14"/>
      <c r="D85" s="15"/>
      <c r="E85" s="14"/>
      <c r="F85" s="15"/>
      <c r="G85" s="14"/>
      <c r="H85" s="14"/>
      <c r="I85" s="14"/>
      <c r="J85" s="14"/>
      <c r="K85" s="14"/>
      <c r="L85" s="14"/>
      <c r="M85" s="14"/>
      <c r="N85" s="13"/>
      <c r="O85" s="13"/>
      <c r="P85" s="13"/>
      <c r="Q85" s="12"/>
      <c r="R85" s="11"/>
      <c r="S85" s="10"/>
      <c r="T85" s="9"/>
      <c r="U85" s="8"/>
      <c r="V85" s="8"/>
      <c r="W85" s="8"/>
      <c r="X85" s="8"/>
      <c r="Y85" s="8"/>
    </row>
    <row r="86" spans="1:25" ht="13.5" x14ac:dyDescent="0.25">
      <c r="A86" s="16"/>
      <c r="B86" s="8"/>
      <c r="C86" s="14"/>
      <c r="D86" s="15"/>
      <c r="E86" s="14"/>
      <c r="F86" s="15"/>
      <c r="G86" s="14"/>
      <c r="H86" s="14"/>
      <c r="I86" s="14"/>
      <c r="J86" s="14"/>
      <c r="K86" s="14"/>
      <c r="L86" s="14"/>
      <c r="M86" s="14"/>
      <c r="N86" s="13"/>
      <c r="O86" s="13"/>
      <c r="P86" s="13"/>
      <c r="Q86" s="12"/>
      <c r="R86" s="11"/>
      <c r="S86" s="10"/>
      <c r="T86" s="9"/>
      <c r="U86" s="8"/>
      <c r="V86" s="8"/>
      <c r="W86" s="8"/>
      <c r="X86" s="8"/>
      <c r="Y86" s="8"/>
    </row>
    <row r="87" spans="1:25" ht="13.5" x14ac:dyDescent="0.25">
      <c r="A87" s="16"/>
      <c r="B87" s="8"/>
      <c r="C87" s="14"/>
      <c r="D87" s="15"/>
      <c r="E87" s="14"/>
      <c r="F87" s="15"/>
      <c r="G87" s="14"/>
      <c r="H87" s="14"/>
      <c r="I87" s="14"/>
      <c r="J87" s="14"/>
      <c r="K87" s="14"/>
      <c r="L87" s="14"/>
      <c r="M87" s="14"/>
      <c r="N87" s="13"/>
      <c r="O87" s="13"/>
      <c r="P87" s="13"/>
      <c r="Q87" s="12"/>
      <c r="R87" s="11"/>
      <c r="S87" s="10"/>
      <c r="T87" s="9"/>
      <c r="U87" s="8"/>
      <c r="V87" s="8"/>
      <c r="W87" s="8"/>
      <c r="X87" s="8"/>
      <c r="Y87" s="8"/>
    </row>
    <row r="88" spans="1:25" ht="13.5" x14ac:dyDescent="0.25">
      <c r="A88" s="16"/>
      <c r="B88" s="14"/>
      <c r="C88" s="14"/>
      <c r="D88" s="15"/>
      <c r="E88" s="14"/>
      <c r="F88" s="15"/>
      <c r="G88" s="14"/>
      <c r="H88" s="14"/>
      <c r="I88" s="14"/>
      <c r="J88" s="14"/>
      <c r="K88" s="14"/>
      <c r="L88" s="14"/>
      <c r="M88" s="14"/>
      <c r="N88" s="13"/>
      <c r="O88" s="13"/>
      <c r="P88" s="13"/>
      <c r="Q88" s="12"/>
      <c r="R88" s="11"/>
      <c r="S88" s="10"/>
      <c r="T88" s="9"/>
      <c r="U88" s="8"/>
      <c r="V88" s="8"/>
      <c r="W88" s="8"/>
      <c r="X88" s="8"/>
      <c r="Y88" s="8"/>
    </row>
    <row r="89" spans="1:25" ht="13.5" x14ac:dyDescent="0.25">
      <c r="A89" s="16"/>
      <c r="B89" s="8"/>
      <c r="C89" s="14"/>
      <c r="D89" s="15"/>
      <c r="E89" s="14"/>
      <c r="F89" s="15"/>
      <c r="G89" s="14"/>
      <c r="H89" s="14"/>
      <c r="I89" s="14"/>
      <c r="J89" s="14"/>
      <c r="K89" s="14"/>
      <c r="L89" s="14"/>
      <c r="M89" s="14"/>
      <c r="N89" s="13"/>
      <c r="O89" s="13"/>
      <c r="P89" s="13"/>
      <c r="Q89" s="12"/>
      <c r="R89" s="11"/>
      <c r="S89" s="10"/>
      <c r="T89" s="9"/>
      <c r="U89" s="8"/>
      <c r="V89" s="8"/>
      <c r="W89" s="8"/>
      <c r="X89" s="8"/>
      <c r="Y89" s="8"/>
    </row>
    <row r="90" spans="1:25" ht="13.5" x14ac:dyDescent="0.25">
      <c r="A90" s="16"/>
      <c r="B90" s="8"/>
      <c r="C90" s="14"/>
      <c r="D90" s="15"/>
      <c r="E90" s="14"/>
      <c r="F90" s="15"/>
      <c r="G90" s="14"/>
      <c r="H90" s="14"/>
      <c r="I90" s="14"/>
      <c r="J90" s="14"/>
      <c r="K90" s="14"/>
      <c r="L90" s="14"/>
      <c r="M90" s="14"/>
      <c r="N90" s="13"/>
      <c r="O90" s="13"/>
      <c r="P90" s="13"/>
      <c r="Q90" s="12"/>
      <c r="R90" s="11"/>
      <c r="S90" s="10"/>
      <c r="T90" s="9"/>
      <c r="U90" s="8"/>
      <c r="V90" s="8"/>
      <c r="W90" s="8"/>
      <c r="X90" s="8"/>
      <c r="Y90" s="8"/>
    </row>
    <row r="91" spans="1:25" ht="13.5" x14ac:dyDescent="0.25">
      <c r="A91" s="16"/>
      <c r="B91" s="14"/>
      <c r="C91" s="14"/>
      <c r="D91" s="15"/>
      <c r="E91" s="14"/>
      <c r="F91" s="15"/>
      <c r="G91" s="14"/>
      <c r="H91" s="14"/>
      <c r="I91" s="14"/>
      <c r="J91" s="14"/>
      <c r="K91" s="14"/>
      <c r="L91" s="14"/>
      <c r="M91" s="14"/>
      <c r="N91" s="13"/>
      <c r="O91" s="13"/>
      <c r="P91" s="13"/>
      <c r="Q91" s="12"/>
      <c r="R91" s="11"/>
      <c r="S91" s="10"/>
      <c r="T91" s="9"/>
      <c r="U91" s="8"/>
      <c r="V91" s="8"/>
      <c r="W91" s="8"/>
      <c r="X91" s="8"/>
      <c r="Y91" s="8"/>
    </row>
    <row r="92" spans="1:25" ht="13.5" x14ac:dyDescent="0.25">
      <c r="A92" s="16"/>
      <c r="B92" s="8"/>
      <c r="C92" s="14"/>
      <c r="D92" s="15"/>
      <c r="E92" s="14"/>
      <c r="F92" s="15"/>
      <c r="G92" s="14"/>
      <c r="H92" s="14"/>
      <c r="I92" s="14"/>
      <c r="J92" s="14"/>
      <c r="K92" s="14"/>
      <c r="L92" s="14"/>
      <c r="M92" s="14"/>
      <c r="N92" s="13"/>
      <c r="O92" s="13"/>
      <c r="P92" s="13"/>
      <c r="Q92" s="12"/>
      <c r="R92" s="11"/>
      <c r="S92" s="10"/>
      <c r="T92" s="9"/>
      <c r="U92" s="8"/>
      <c r="V92" s="8"/>
      <c r="W92" s="8"/>
      <c r="X92" s="8"/>
      <c r="Y92" s="8"/>
    </row>
    <row r="93" spans="1:25" ht="13.5" x14ac:dyDescent="0.25">
      <c r="A93" s="16"/>
      <c r="B93" s="8"/>
      <c r="C93" s="14"/>
      <c r="D93" s="15"/>
      <c r="E93" s="14"/>
      <c r="F93" s="15"/>
      <c r="G93" s="14"/>
      <c r="H93" s="14"/>
      <c r="I93" s="14"/>
      <c r="J93" s="14"/>
      <c r="K93" s="14"/>
      <c r="L93" s="14"/>
      <c r="M93" s="14"/>
      <c r="N93" s="13"/>
      <c r="O93" s="13"/>
      <c r="P93" s="13"/>
      <c r="Q93" s="12"/>
      <c r="R93" s="11"/>
      <c r="S93" s="10"/>
      <c r="T93" s="9"/>
      <c r="U93" s="8"/>
      <c r="V93" s="8"/>
      <c r="W93" s="8"/>
      <c r="X93" s="8"/>
      <c r="Y93" s="8"/>
    </row>
    <row r="94" spans="1:25" ht="13.5" x14ac:dyDescent="0.25">
      <c r="A94" s="16"/>
      <c r="B94" s="14"/>
      <c r="C94" s="14"/>
      <c r="D94" s="15"/>
      <c r="E94" s="14"/>
      <c r="F94" s="15"/>
      <c r="G94" s="14"/>
      <c r="H94" s="14"/>
      <c r="I94" s="14"/>
      <c r="J94" s="14"/>
      <c r="K94" s="14"/>
      <c r="L94" s="14"/>
      <c r="M94" s="14"/>
      <c r="N94" s="13"/>
      <c r="O94" s="13"/>
      <c r="P94" s="13"/>
      <c r="Q94" s="12"/>
      <c r="R94" s="11"/>
      <c r="S94" s="10"/>
      <c r="T94" s="9"/>
      <c r="U94" s="8"/>
      <c r="V94" s="8"/>
      <c r="W94" s="8"/>
      <c r="X94" s="8"/>
      <c r="Y94" s="8"/>
    </row>
    <row r="95" spans="1:25" ht="13.5" x14ac:dyDescent="0.25">
      <c r="A95" s="16"/>
      <c r="B95" s="8"/>
      <c r="C95" s="14"/>
      <c r="D95" s="15"/>
      <c r="E95" s="14"/>
      <c r="F95" s="15"/>
      <c r="G95" s="14"/>
      <c r="H95" s="14"/>
      <c r="I95" s="14"/>
      <c r="J95" s="14"/>
      <c r="K95" s="14"/>
      <c r="L95" s="14"/>
      <c r="M95" s="14"/>
      <c r="N95" s="13"/>
      <c r="O95" s="13"/>
      <c r="P95" s="13"/>
      <c r="Q95" s="12"/>
      <c r="R95" s="11"/>
      <c r="S95" s="10"/>
      <c r="T95" s="9"/>
      <c r="U95" s="8"/>
      <c r="V95" s="8"/>
      <c r="W95" s="8"/>
      <c r="X95" s="8"/>
      <c r="Y95" s="8"/>
    </row>
    <row r="96" spans="1:25" ht="13.5" x14ac:dyDescent="0.25">
      <c r="A96" s="16"/>
      <c r="B96" s="8"/>
      <c r="C96" s="14"/>
      <c r="D96" s="15"/>
      <c r="E96" s="14"/>
      <c r="F96" s="15"/>
      <c r="G96" s="14"/>
      <c r="H96" s="14"/>
      <c r="I96" s="14"/>
      <c r="J96" s="14"/>
      <c r="K96" s="14"/>
      <c r="L96" s="14"/>
      <c r="M96" s="14"/>
      <c r="N96" s="13"/>
      <c r="O96" s="13"/>
      <c r="P96" s="13"/>
      <c r="Q96" s="12"/>
      <c r="R96" s="11"/>
      <c r="S96" s="10"/>
      <c r="T96" s="9"/>
      <c r="U96" s="8"/>
      <c r="V96" s="8"/>
      <c r="W96" s="8"/>
      <c r="X96" s="8"/>
      <c r="Y96" s="8"/>
    </row>
    <row r="97" spans="1:25" ht="13.5" x14ac:dyDescent="0.25">
      <c r="A97" s="16"/>
      <c r="B97" s="14"/>
      <c r="C97" s="14"/>
      <c r="D97" s="15"/>
      <c r="E97" s="14"/>
      <c r="F97" s="15"/>
      <c r="G97" s="14"/>
      <c r="H97" s="14"/>
      <c r="I97" s="14"/>
      <c r="J97" s="14"/>
      <c r="K97" s="14"/>
      <c r="L97" s="14"/>
      <c r="M97" s="14"/>
      <c r="N97" s="13"/>
      <c r="O97" s="13"/>
      <c r="P97" s="13"/>
      <c r="Q97" s="12"/>
      <c r="R97" s="11"/>
      <c r="S97" s="10"/>
      <c r="T97" s="9"/>
      <c r="U97" s="8"/>
      <c r="V97" s="8"/>
      <c r="W97" s="8"/>
      <c r="X97" s="8"/>
      <c r="Y97" s="8"/>
    </row>
    <row r="98" spans="1:25" ht="13.5" x14ac:dyDescent="0.25">
      <c r="A98" s="16"/>
      <c r="B98" s="8"/>
      <c r="C98" s="14"/>
      <c r="D98" s="15"/>
      <c r="E98" s="14"/>
      <c r="F98" s="15"/>
      <c r="G98" s="14"/>
      <c r="H98" s="14"/>
      <c r="I98" s="14"/>
      <c r="J98" s="14"/>
      <c r="K98" s="14"/>
      <c r="L98" s="14"/>
      <c r="M98" s="14"/>
      <c r="N98" s="13"/>
      <c r="O98" s="13"/>
      <c r="P98" s="13"/>
      <c r="Q98" s="12"/>
      <c r="R98" s="11"/>
      <c r="S98" s="10"/>
      <c r="T98" s="9"/>
      <c r="U98" s="8"/>
      <c r="V98" s="8"/>
      <c r="W98" s="8"/>
      <c r="X98" s="8"/>
      <c r="Y98" s="8"/>
    </row>
    <row r="99" spans="1:25" ht="13.5" x14ac:dyDescent="0.25">
      <c r="A99" s="16"/>
      <c r="B99" s="8"/>
      <c r="C99" s="14"/>
      <c r="D99" s="15"/>
      <c r="E99" s="14"/>
      <c r="F99" s="15"/>
      <c r="G99" s="14"/>
      <c r="H99" s="14"/>
      <c r="I99" s="14"/>
      <c r="J99" s="14"/>
      <c r="K99" s="14"/>
      <c r="L99" s="14"/>
      <c r="M99" s="14"/>
      <c r="N99" s="13"/>
      <c r="O99" s="13"/>
      <c r="P99" s="13"/>
      <c r="Q99" s="12"/>
      <c r="R99" s="11"/>
      <c r="S99" s="10"/>
      <c r="T99" s="9"/>
      <c r="U99" s="8"/>
      <c r="V99" s="8"/>
      <c r="W99" s="8"/>
      <c r="X99" s="8"/>
      <c r="Y99" s="8"/>
    </row>
    <row r="100" spans="1:25" ht="13.5" x14ac:dyDescent="0.25">
      <c r="A100" s="16"/>
      <c r="B100" s="14"/>
      <c r="C100" s="14"/>
      <c r="D100" s="15"/>
      <c r="E100" s="14"/>
      <c r="F100" s="15"/>
      <c r="G100" s="14"/>
      <c r="H100" s="14"/>
      <c r="I100" s="14"/>
      <c r="J100" s="14"/>
      <c r="K100" s="14"/>
      <c r="L100" s="14"/>
      <c r="M100" s="14"/>
      <c r="N100" s="13"/>
      <c r="O100" s="13"/>
      <c r="P100" s="13"/>
      <c r="Q100" s="12"/>
      <c r="R100" s="11"/>
      <c r="S100" s="10"/>
      <c r="T100" s="9"/>
      <c r="U100" s="8"/>
      <c r="V100" s="8"/>
      <c r="W100" s="8"/>
      <c r="X100" s="8"/>
      <c r="Y100" s="8"/>
    </row>
    <row r="101" spans="1:25" ht="13.5" x14ac:dyDescent="0.25">
      <c r="A101" s="16"/>
      <c r="B101" s="8"/>
      <c r="C101" s="14"/>
      <c r="D101" s="15"/>
      <c r="E101" s="14"/>
      <c r="F101" s="15"/>
      <c r="G101" s="14"/>
      <c r="H101" s="14"/>
      <c r="I101" s="14"/>
      <c r="J101" s="14"/>
      <c r="K101" s="14"/>
      <c r="L101" s="14"/>
      <c r="M101" s="14"/>
      <c r="N101" s="13"/>
      <c r="O101" s="13"/>
      <c r="P101" s="13"/>
      <c r="Q101" s="12"/>
      <c r="R101" s="11"/>
      <c r="S101" s="10"/>
      <c r="T101" s="9"/>
      <c r="U101" s="8"/>
      <c r="V101" s="8"/>
      <c r="W101" s="8"/>
      <c r="X101" s="8"/>
      <c r="Y101" s="8"/>
    </row>
    <row r="102" spans="1:25" ht="13.5" x14ac:dyDescent="0.25">
      <c r="A102" s="16"/>
      <c r="B102" s="8"/>
      <c r="C102" s="14"/>
      <c r="D102" s="15"/>
      <c r="E102" s="14"/>
      <c r="F102" s="15"/>
      <c r="G102" s="14"/>
      <c r="H102" s="14"/>
      <c r="I102" s="14"/>
      <c r="J102" s="14"/>
      <c r="K102" s="14"/>
      <c r="L102" s="14"/>
      <c r="M102" s="14"/>
      <c r="N102" s="13"/>
      <c r="O102" s="13"/>
      <c r="P102" s="13"/>
      <c r="Q102" s="12"/>
      <c r="R102" s="11"/>
      <c r="S102" s="10"/>
      <c r="T102" s="9"/>
      <c r="U102" s="8"/>
      <c r="V102" s="8"/>
      <c r="W102" s="8"/>
      <c r="X102" s="8"/>
      <c r="Y102" s="8"/>
    </row>
    <row r="103" spans="1:25" ht="13.5" x14ac:dyDescent="0.25">
      <c r="A103" s="16"/>
      <c r="B103" s="14"/>
      <c r="C103" s="14"/>
      <c r="D103" s="15"/>
      <c r="E103" s="14"/>
      <c r="F103" s="15"/>
      <c r="G103" s="14"/>
      <c r="H103" s="14"/>
      <c r="I103" s="14"/>
      <c r="J103" s="14"/>
      <c r="K103" s="14"/>
      <c r="L103" s="14"/>
      <c r="M103" s="14"/>
      <c r="N103" s="13"/>
      <c r="O103" s="13"/>
      <c r="P103" s="13"/>
      <c r="Q103" s="12"/>
      <c r="R103" s="11"/>
      <c r="S103" s="10"/>
      <c r="T103" s="9"/>
      <c r="U103" s="8"/>
      <c r="V103" s="8"/>
      <c r="W103" s="8"/>
      <c r="X103" s="8"/>
      <c r="Y103" s="8"/>
    </row>
    <row r="104" spans="1:25" ht="13.5" x14ac:dyDescent="0.25">
      <c r="A104" s="16"/>
      <c r="B104" s="8"/>
      <c r="C104" s="14"/>
      <c r="D104" s="15"/>
      <c r="E104" s="14"/>
      <c r="F104" s="15"/>
      <c r="G104" s="14"/>
      <c r="H104" s="14"/>
      <c r="I104" s="14"/>
      <c r="J104" s="14"/>
      <c r="K104" s="14"/>
      <c r="L104" s="14"/>
      <c r="M104" s="14"/>
      <c r="N104" s="13"/>
      <c r="O104" s="13"/>
      <c r="P104" s="13"/>
      <c r="Q104" s="12"/>
      <c r="R104" s="11"/>
      <c r="S104" s="10"/>
      <c r="T104" s="9"/>
      <c r="U104" s="8"/>
      <c r="V104" s="8"/>
      <c r="W104" s="8"/>
      <c r="X104" s="8"/>
      <c r="Y104" s="8"/>
    </row>
    <row r="105" spans="1:25" ht="13.5" x14ac:dyDescent="0.25">
      <c r="A105" s="16"/>
      <c r="B105" s="8"/>
      <c r="C105" s="14"/>
      <c r="D105" s="15"/>
      <c r="E105" s="14"/>
      <c r="F105" s="15"/>
      <c r="G105" s="14"/>
      <c r="H105" s="14"/>
      <c r="I105" s="14"/>
      <c r="J105" s="14"/>
      <c r="K105" s="14"/>
      <c r="L105" s="14"/>
      <c r="M105" s="14"/>
      <c r="N105" s="13"/>
      <c r="O105" s="13"/>
      <c r="P105" s="13"/>
      <c r="Q105" s="12"/>
      <c r="R105" s="11"/>
      <c r="S105" s="10"/>
      <c r="T105" s="9"/>
      <c r="U105" s="8"/>
      <c r="V105" s="8"/>
      <c r="W105" s="8"/>
      <c r="X105" s="8"/>
      <c r="Y105" s="8"/>
    </row>
    <row r="106" spans="1:25" ht="13.5" x14ac:dyDescent="0.25">
      <c r="A106" s="16"/>
      <c r="B106" s="14"/>
      <c r="C106" s="14"/>
      <c r="D106" s="15"/>
      <c r="E106" s="14"/>
      <c r="F106" s="15"/>
      <c r="G106" s="14"/>
      <c r="H106" s="14"/>
      <c r="I106" s="14"/>
      <c r="J106" s="14"/>
      <c r="K106" s="14"/>
      <c r="L106" s="14"/>
      <c r="M106" s="14"/>
      <c r="N106" s="13"/>
      <c r="O106" s="13"/>
      <c r="P106" s="13"/>
      <c r="Q106" s="12"/>
      <c r="R106" s="11"/>
      <c r="S106" s="10"/>
      <c r="T106" s="9"/>
      <c r="U106" s="8"/>
      <c r="V106" s="8"/>
      <c r="W106" s="8"/>
      <c r="X106" s="8"/>
      <c r="Y106" s="8"/>
    </row>
    <row r="107" spans="1:25" ht="13.5" x14ac:dyDescent="0.25">
      <c r="A107" s="16"/>
      <c r="B107" s="8"/>
      <c r="C107" s="14"/>
      <c r="D107" s="15"/>
      <c r="E107" s="14"/>
      <c r="F107" s="15"/>
      <c r="G107" s="14"/>
      <c r="H107" s="14"/>
      <c r="I107" s="14"/>
      <c r="J107" s="14"/>
      <c r="K107" s="14"/>
      <c r="L107" s="14"/>
      <c r="M107" s="14"/>
      <c r="N107" s="13"/>
      <c r="O107" s="13"/>
      <c r="P107" s="13"/>
      <c r="Q107" s="12"/>
      <c r="R107" s="11"/>
      <c r="S107" s="10"/>
      <c r="T107" s="9"/>
      <c r="U107" s="8"/>
      <c r="V107" s="8"/>
      <c r="W107" s="8"/>
      <c r="X107" s="8"/>
      <c r="Y107" s="8"/>
    </row>
    <row r="108" spans="1:25" ht="13.5" x14ac:dyDescent="0.25">
      <c r="A108" s="16"/>
      <c r="B108" s="8"/>
      <c r="C108" s="14"/>
      <c r="D108" s="15"/>
      <c r="E108" s="14"/>
      <c r="F108" s="15"/>
      <c r="G108" s="14"/>
      <c r="H108" s="14"/>
      <c r="I108" s="14"/>
      <c r="J108" s="14"/>
      <c r="K108" s="14"/>
      <c r="L108" s="14"/>
      <c r="M108" s="14"/>
      <c r="N108" s="13"/>
      <c r="O108" s="13"/>
      <c r="P108" s="13"/>
      <c r="Q108" s="12"/>
      <c r="R108" s="11"/>
      <c r="S108" s="10"/>
      <c r="T108" s="9"/>
      <c r="U108" s="8"/>
      <c r="V108" s="8"/>
      <c r="W108" s="8"/>
      <c r="X108" s="8"/>
      <c r="Y108" s="8"/>
    </row>
    <row r="109" spans="1:25" ht="13.5" x14ac:dyDescent="0.25">
      <c r="A109" s="16"/>
      <c r="B109" s="14"/>
      <c r="C109" s="14"/>
      <c r="D109" s="15"/>
      <c r="E109" s="14"/>
      <c r="F109" s="15"/>
      <c r="G109" s="14"/>
      <c r="H109" s="14"/>
      <c r="I109" s="14"/>
      <c r="J109" s="14"/>
      <c r="K109" s="14"/>
      <c r="L109" s="14"/>
      <c r="M109" s="14"/>
      <c r="N109" s="13"/>
      <c r="O109" s="13"/>
      <c r="P109" s="13"/>
      <c r="Q109" s="12"/>
      <c r="R109" s="11"/>
      <c r="S109" s="10"/>
      <c r="T109" s="9"/>
      <c r="U109" s="8"/>
      <c r="V109" s="8"/>
      <c r="W109" s="8"/>
      <c r="X109" s="8"/>
      <c r="Y109" s="8"/>
    </row>
    <row r="110" spans="1:25" ht="13.5" x14ac:dyDescent="0.25">
      <c r="A110" s="16"/>
      <c r="B110" s="8"/>
      <c r="C110" s="14"/>
      <c r="D110" s="15"/>
      <c r="E110" s="14"/>
      <c r="F110" s="15"/>
      <c r="G110" s="14"/>
      <c r="H110" s="14"/>
      <c r="I110" s="14"/>
      <c r="J110" s="14"/>
      <c r="K110" s="14"/>
      <c r="L110" s="14"/>
      <c r="M110" s="14"/>
      <c r="N110" s="13"/>
      <c r="O110" s="13"/>
      <c r="P110" s="13"/>
      <c r="Q110" s="12"/>
      <c r="R110" s="11"/>
      <c r="S110" s="10"/>
      <c r="T110" s="9"/>
      <c r="U110" s="8"/>
      <c r="V110" s="8"/>
      <c r="W110" s="8"/>
      <c r="X110" s="8"/>
      <c r="Y110" s="8"/>
    </row>
    <row r="111" spans="1:25" ht="13.5" x14ac:dyDescent="0.25">
      <c r="A111" s="16"/>
      <c r="B111" s="8"/>
      <c r="C111" s="14"/>
      <c r="D111" s="15"/>
      <c r="E111" s="14"/>
      <c r="F111" s="15"/>
      <c r="G111" s="14"/>
      <c r="H111" s="14"/>
      <c r="I111" s="14"/>
      <c r="J111" s="14"/>
      <c r="K111" s="14"/>
      <c r="L111" s="14"/>
      <c r="M111" s="14"/>
      <c r="N111" s="13"/>
      <c r="O111" s="13"/>
      <c r="P111" s="13"/>
      <c r="Q111" s="12"/>
      <c r="R111" s="11"/>
      <c r="S111" s="10"/>
      <c r="T111" s="9"/>
      <c r="U111" s="8"/>
      <c r="V111" s="8"/>
      <c r="W111" s="8"/>
      <c r="X111" s="8"/>
      <c r="Y111" s="8"/>
    </row>
    <row r="112" spans="1:25" ht="13.5" x14ac:dyDescent="0.25">
      <c r="A112" s="16"/>
      <c r="B112" s="14"/>
      <c r="C112" s="14"/>
      <c r="D112" s="15"/>
      <c r="E112" s="14"/>
      <c r="F112" s="15"/>
      <c r="G112" s="14"/>
      <c r="H112" s="14"/>
      <c r="I112" s="14"/>
      <c r="J112" s="14"/>
      <c r="K112" s="14"/>
      <c r="L112" s="14"/>
      <c r="M112" s="14"/>
      <c r="N112" s="13"/>
      <c r="O112" s="13"/>
      <c r="P112" s="13"/>
      <c r="Q112" s="12"/>
      <c r="R112" s="11"/>
      <c r="S112" s="10"/>
      <c r="T112" s="9"/>
      <c r="U112" s="8"/>
      <c r="V112" s="8"/>
      <c r="W112" s="8"/>
      <c r="X112" s="8"/>
      <c r="Y112" s="8"/>
    </row>
    <row r="113" spans="1:25" ht="13.5" x14ac:dyDescent="0.25">
      <c r="A113" s="16"/>
      <c r="B113" s="8"/>
      <c r="C113" s="14"/>
      <c r="D113" s="15"/>
      <c r="E113" s="14"/>
      <c r="F113" s="15"/>
      <c r="G113" s="14"/>
      <c r="H113" s="14"/>
      <c r="I113" s="14"/>
      <c r="J113" s="14"/>
      <c r="K113" s="14"/>
      <c r="L113" s="14"/>
      <c r="M113" s="14"/>
      <c r="N113" s="13"/>
      <c r="O113" s="13"/>
      <c r="P113" s="13"/>
      <c r="Q113" s="12"/>
      <c r="R113" s="11"/>
      <c r="S113" s="10"/>
      <c r="T113" s="9"/>
      <c r="U113" s="8"/>
      <c r="V113" s="8"/>
      <c r="W113" s="8"/>
      <c r="X113" s="8"/>
      <c r="Y113" s="8"/>
    </row>
    <row r="114" spans="1:25" ht="13.5" x14ac:dyDescent="0.25">
      <c r="A114" s="16"/>
      <c r="B114" s="8"/>
      <c r="C114" s="14"/>
      <c r="D114" s="15"/>
      <c r="E114" s="14"/>
      <c r="F114" s="15"/>
      <c r="G114" s="14"/>
      <c r="H114" s="14"/>
      <c r="I114" s="14"/>
      <c r="J114" s="14"/>
      <c r="K114" s="14"/>
      <c r="L114" s="14"/>
      <c r="M114" s="14"/>
      <c r="N114" s="13"/>
      <c r="O114" s="13"/>
      <c r="P114" s="13"/>
      <c r="Q114" s="12"/>
      <c r="R114" s="11"/>
      <c r="S114" s="10"/>
      <c r="T114" s="9"/>
      <c r="U114" s="8"/>
      <c r="V114" s="8"/>
      <c r="W114" s="8"/>
      <c r="X114" s="8"/>
      <c r="Y114" s="8"/>
    </row>
    <row r="115" spans="1:25" ht="13.5" x14ac:dyDescent="0.25">
      <c r="A115" s="16"/>
      <c r="B115" s="14"/>
      <c r="C115" s="14"/>
      <c r="D115" s="15"/>
      <c r="E115" s="14"/>
      <c r="F115" s="15"/>
      <c r="G115" s="14"/>
      <c r="H115" s="14"/>
      <c r="I115" s="14"/>
      <c r="J115" s="14"/>
      <c r="K115" s="14"/>
      <c r="L115" s="14"/>
      <c r="M115" s="14"/>
      <c r="N115" s="13"/>
      <c r="O115" s="13"/>
      <c r="P115" s="13"/>
      <c r="Q115" s="12"/>
      <c r="R115" s="11"/>
      <c r="S115" s="10"/>
      <c r="T115" s="9"/>
      <c r="U115" s="8"/>
      <c r="V115" s="8"/>
      <c r="W115" s="8"/>
      <c r="X115" s="8"/>
      <c r="Y115" s="8"/>
    </row>
    <row r="116" spans="1:25" ht="13.5" x14ac:dyDescent="0.25">
      <c r="D116" s="7"/>
      <c r="L116" s="6"/>
      <c r="N116" s="5"/>
      <c r="O116" s="5"/>
      <c r="P116" s="5"/>
      <c r="Q116" s="4"/>
      <c r="R116" s="3"/>
      <c r="S116" s="2"/>
      <c r="T116" s="1"/>
    </row>
    <row r="117" spans="1:25" ht="13.5" x14ac:dyDescent="0.25">
      <c r="D117" s="7"/>
      <c r="L117" s="6"/>
      <c r="N117" s="5"/>
      <c r="O117" s="5"/>
      <c r="P117" s="5"/>
      <c r="Q117" s="4"/>
      <c r="R117" s="3"/>
      <c r="S117" s="2"/>
      <c r="T117" s="1"/>
    </row>
    <row r="118" spans="1:25" ht="13.5" x14ac:dyDescent="0.25">
      <c r="D118" s="7"/>
      <c r="L118" s="6"/>
      <c r="N118" s="5"/>
      <c r="O118" s="5"/>
      <c r="P118" s="5"/>
      <c r="Q118" s="4"/>
      <c r="R118" s="3"/>
      <c r="S118" s="2"/>
      <c r="T118" s="1"/>
    </row>
    <row r="119" spans="1:25" ht="13.5" x14ac:dyDescent="0.25">
      <c r="D119" s="7"/>
      <c r="L119" s="6"/>
      <c r="N119" s="5"/>
      <c r="O119" s="5"/>
      <c r="P119" s="5"/>
      <c r="Q119" s="4"/>
      <c r="R119" s="3"/>
      <c r="S119" s="2"/>
      <c r="T119" s="1"/>
    </row>
    <row r="120" spans="1:25" ht="13.5" x14ac:dyDescent="0.25">
      <c r="D120" s="7"/>
      <c r="L120" s="6"/>
      <c r="N120" s="5"/>
      <c r="O120" s="5"/>
      <c r="P120" s="5"/>
      <c r="Q120" s="4"/>
      <c r="R120" s="3"/>
      <c r="S120" s="2"/>
      <c r="T120" s="1"/>
    </row>
    <row r="121" spans="1:25" ht="13.5" x14ac:dyDescent="0.25">
      <c r="D121" s="7"/>
      <c r="L121" s="6"/>
      <c r="N121" s="5"/>
      <c r="O121" s="5"/>
      <c r="P121" s="5"/>
      <c r="Q121" s="4"/>
      <c r="R121" s="3"/>
      <c r="S121" s="2"/>
      <c r="T121" s="1"/>
    </row>
    <row r="122" spans="1:25" ht="13.5" x14ac:dyDescent="0.25">
      <c r="D122" s="7"/>
      <c r="L122" s="6"/>
      <c r="N122" s="5"/>
      <c r="O122" s="5"/>
      <c r="P122" s="5"/>
      <c r="Q122" s="4"/>
      <c r="R122" s="3"/>
      <c r="S122" s="2"/>
      <c r="T122" s="1"/>
    </row>
    <row r="123" spans="1:25" ht="13.5" x14ac:dyDescent="0.25">
      <c r="D123" s="7"/>
      <c r="L123" s="6"/>
      <c r="N123" s="5"/>
      <c r="O123" s="5"/>
      <c r="P123" s="5"/>
      <c r="Q123" s="4"/>
      <c r="R123" s="3"/>
      <c r="S123" s="2"/>
      <c r="T123" s="1"/>
    </row>
    <row r="124" spans="1:25" ht="13.5" x14ac:dyDescent="0.25">
      <c r="D124" s="7"/>
      <c r="L124" s="6"/>
      <c r="N124" s="5"/>
      <c r="O124" s="5"/>
      <c r="P124" s="5"/>
      <c r="Q124" s="4"/>
      <c r="R124" s="3"/>
      <c r="S124" s="2"/>
      <c r="T124" s="1"/>
    </row>
    <row r="125" spans="1:25" ht="13.5" x14ac:dyDescent="0.25">
      <c r="D125" s="7"/>
      <c r="L125" s="6"/>
      <c r="N125" s="5"/>
      <c r="O125" s="5"/>
      <c r="P125" s="5"/>
      <c r="Q125" s="4"/>
      <c r="R125" s="3"/>
      <c r="S125" s="2"/>
      <c r="T125" s="1"/>
    </row>
    <row r="126" spans="1:25" ht="13.5" x14ac:dyDescent="0.25">
      <c r="D126" s="7"/>
      <c r="L126" s="6"/>
      <c r="N126" s="5"/>
      <c r="O126" s="5"/>
      <c r="P126" s="5"/>
      <c r="Q126" s="4"/>
      <c r="R126" s="3"/>
      <c r="S126" s="2"/>
      <c r="T126" s="1"/>
    </row>
    <row r="127" spans="1:25" ht="13.5" x14ac:dyDescent="0.25">
      <c r="D127" s="7"/>
      <c r="L127" s="6"/>
      <c r="N127" s="5"/>
      <c r="O127" s="5"/>
      <c r="P127" s="5"/>
      <c r="Q127" s="4"/>
      <c r="R127" s="3"/>
      <c r="S127" s="2"/>
      <c r="T127" s="1"/>
    </row>
    <row r="128" spans="1:25" ht="13.5" x14ac:dyDescent="0.25">
      <c r="D128" s="7"/>
      <c r="L128" s="6"/>
      <c r="N128" s="5"/>
      <c r="O128" s="5"/>
      <c r="P128" s="5"/>
      <c r="Q128" s="4"/>
      <c r="R128" s="3"/>
      <c r="S128" s="2"/>
      <c r="T128" s="1"/>
    </row>
    <row r="129" spans="4:20" ht="13.5" x14ac:dyDescent="0.25">
      <c r="D129" s="7"/>
      <c r="L129" s="6"/>
      <c r="N129" s="5"/>
      <c r="O129" s="5"/>
      <c r="P129" s="5"/>
      <c r="Q129" s="4"/>
      <c r="R129" s="3"/>
      <c r="S129" s="2"/>
      <c r="T129" s="1"/>
    </row>
    <row r="130" spans="4:20" ht="13.5" x14ac:dyDescent="0.25">
      <c r="D130" s="7"/>
      <c r="L130" s="6"/>
      <c r="N130" s="5"/>
      <c r="O130" s="5"/>
      <c r="P130" s="5"/>
      <c r="Q130" s="4"/>
      <c r="R130" s="3"/>
      <c r="S130" s="2"/>
      <c r="T130" s="1"/>
    </row>
    <row r="131" spans="4:20" ht="13.5" x14ac:dyDescent="0.25">
      <c r="D131" s="7"/>
      <c r="L131" s="6"/>
      <c r="N131" s="5"/>
      <c r="O131" s="5"/>
      <c r="P131" s="5"/>
      <c r="Q131" s="4"/>
      <c r="R131" s="3"/>
      <c r="S131" s="2"/>
      <c r="T131" s="1"/>
    </row>
    <row r="132" spans="4:20" ht="13.5" x14ac:dyDescent="0.25">
      <c r="D132" s="7"/>
      <c r="L132" s="6"/>
      <c r="N132" s="5"/>
      <c r="O132" s="5"/>
      <c r="P132" s="5"/>
      <c r="Q132" s="4"/>
      <c r="R132" s="3"/>
      <c r="S132" s="2"/>
      <c r="T132" s="1"/>
    </row>
    <row r="133" spans="4:20" ht="13.5" x14ac:dyDescent="0.25">
      <c r="D133" s="7"/>
      <c r="L133" s="6"/>
      <c r="N133" s="5"/>
      <c r="O133" s="5"/>
      <c r="P133" s="5"/>
      <c r="Q133" s="4"/>
      <c r="R133" s="3"/>
      <c r="S133" s="2"/>
      <c r="T133" s="1"/>
    </row>
    <row r="134" spans="4:20" ht="13.5" x14ac:dyDescent="0.25">
      <c r="D134" s="7"/>
      <c r="L134" s="6"/>
      <c r="N134" s="5"/>
      <c r="O134" s="5"/>
      <c r="P134" s="5"/>
      <c r="Q134" s="4"/>
      <c r="R134" s="3"/>
      <c r="S134" s="2"/>
      <c r="T134" s="1"/>
    </row>
    <row r="135" spans="4:20" ht="13.5" x14ac:dyDescent="0.25">
      <c r="D135" s="7"/>
      <c r="L135" s="6"/>
      <c r="N135" s="5"/>
      <c r="O135" s="5"/>
      <c r="P135" s="5"/>
      <c r="Q135" s="4"/>
      <c r="R135" s="3"/>
      <c r="S135" s="2"/>
      <c r="T135" s="1"/>
    </row>
    <row r="136" spans="4:20" ht="13.5" x14ac:dyDescent="0.25">
      <c r="D136" s="7"/>
      <c r="L136" s="6"/>
      <c r="N136" s="5"/>
      <c r="O136" s="5"/>
      <c r="P136" s="5"/>
      <c r="Q136" s="4"/>
      <c r="R136" s="3"/>
      <c r="S136" s="2"/>
      <c r="T136" s="1"/>
    </row>
    <row r="137" spans="4:20" ht="13.5" x14ac:dyDescent="0.25">
      <c r="D137" s="7"/>
      <c r="L137" s="6"/>
      <c r="N137" s="5"/>
      <c r="O137" s="5"/>
      <c r="P137" s="5"/>
      <c r="Q137" s="4"/>
      <c r="R137" s="3"/>
      <c r="S137" s="2"/>
      <c r="T137" s="1"/>
    </row>
    <row r="138" spans="4:20" ht="13.5" x14ac:dyDescent="0.25">
      <c r="D138" s="7"/>
      <c r="L138" s="6"/>
      <c r="N138" s="5"/>
      <c r="O138" s="5"/>
      <c r="P138" s="5"/>
      <c r="Q138" s="4"/>
      <c r="R138" s="3"/>
      <c r="S138" s="2"/>
      <c r="T138" s="1"/>
    </row>
    <row r="139" spans="4:20" ht="13.5" x14ac:dyDescent="0.25">
      <c r="D139" s="7"/>
      <c r="L139" s="6"/>
      <c r="N139" s="5"/>
      <c r="O139" s="5"/>
      <c r="P139" s="5"/>
      <c r="Q139" s="4"/>
      <c r="R139" s="3"/>
      <c r="S139" s="2"/>
      <c r="T139" s="1"/>
    </row>
    <row r="140" spans="4:20" ht="13.5" x14ac:dyDescent="0.25">
      <c r="D140" s="7"/>
      <c r="L140" s="6"/>
      <c r="N140" s="5"/>
      <c r="O140" s="5"/>
      <c r="P140" s="5"/>
      <c r="Q140" s="4"/>
      <c r="R140" s="3"/>
      <c r="S140" s="2"/>
      <c r="T140" s="1"/>
    </row>
    <row r="141" spans="4:20" ht="13.5" x14ac:dyDescent="0.25">
      <c r="D141" s="7"/>
      <c r="L141" s="6"/>
      <c r="N141" s="5"/>
      <c r="O141" s="5"/>
      <c r="P141" s="5"/>
      <c r="Q141" s="4"/>
      <c r="R141" s="3"/>
      <c r="S141" s="2"/>
      <c r="T141" s="1"/>
    </row>
    <row r="142" spans="4:20" ht="13.5" x14ac:dyDescent="0.25">
      <c r="D142" s="7"/>
      <c r="L142" s="6"/>
      <c r="N142" s="5"/>
      <c r="O142" s="5"/>
      <c r="P142" s="5"/>
      <c r="Q142" s="4"/>
      <c r="R142" s="3"/>
      <c r="S142" s="2"/>
      <c r="T142" s="1"/>
    </row>
    <row r="143" spans="4:20" ht="13.5" x14ac:dyDescent="0.25">
      <c r="D143" s="7"/>
      <c r="L143" s="6"/>
      <c r="N143" s="5"/>
      <c r="O143" s="5"/>
      <c r="P143" s="5"/>
      <c r="Q143" s="4"/>
      <c r="R143" s="3"/>
      <c r="S143" s="2"/>
      <c r="T143" s="1"/>
    </row>
    <row r="144" spans="4:20" ht="13.5" x14ac:dyDescent="0.25">
      <c r="D144" s="7"/>
      <c r="L144" s="6"/>
      <c r="N144" s="5"/>
      <c r="O144" s="5"/>
      <c r="P144" s="5"/>
      <c r="Q144" s="4"/>
      <c r="R144" s="3"/>
      <c r="S144" s="2"/>
      <c r="T144" s="1"/>
    </row>
    <row r="145" spans="4:20" ht="13.5" x14ac:dyDescent="0.25">
      <c r="D145" s="7"/>
      <c r="L145" s="6"/>
      <c r="N145" s="5"/>
      <c r="O145" s="5"/>
      <c r="P145" s="5"/>
      <c r="Q145" s="4"/>
      <c r="R145" s="3"/>
      <c r="S145" s="2"/>
      <c r="T145" s="1"/>
    </row>
    <row r="146" spans="4:20" ht="13.5" x14ac:dyDescent="0.25">
      <c r="D146" s="7"/>
      <c r="L146" s="6"/>
      <c r="N146" s="5"/>
      <c r="O146" s="5"/>
      <c r="P146" s="5"/>
      <c r="Q146" s="4"/>
      <c r="R146" s="3"/>
      <c r="S146" s="2"/>
      <c r="T146" s="1"/>
    </row>
    <row r="147" spans="4:20" ht="13.5" x14ac:dyDescent="0.25">
      <c r="D147" s="7"/>
      <c r="L147" s="6"/>
      <c r="N147" s="5"/>
      <c r="O147" s="5"/>
      <c r="P147" s="5"/>
      <c r="Q147" s="4"/>
      <c r="R147" s="3"/>
      <c r="S147" s="2"/>
      <c r="T147" s="1"/>
    </row>
    <row r="148" spans="4:20" ht="13.5" x14ac:dyDescent="0.25">
      <c r="D148" s="7"/>
      <c r="L148" s="6"/>
      <c r="N148" s="5"/>
      <c r="O148" s="5"/>
      <c r="P148" s="5"/>
      <c r="Q148" s="4"/>
      <c r="R148" s="3"/>
      <c r="S148" s="2"/>
      <c r="T148" s="1"/>
    </row>
    <row r="149" spans="4:20" ht="13.5" x14ac:dyDescent="0.25">
      <c r="D149" s="7"/>
      <c r="L149" s="6"/>
      <c r="N149" s="5"/>
      <c r="O149" s="5"/>
      <c r="P149" s="5"/>
      <c r="Q149" s="4"/>
      <c r="R149" s="3"/>
      <c r="S149" s="2"/>
      <c r="T149" s="1"/>
    </row>
    <row r="150" spans="4:20" ht="13.5" x14ac:dyDescent="0.25">
      <c r="D150" s="7"/>
      <c r="L150" s="6"/>
      <c r="N150" s="5"/>
      <c r="O150" s="5"/>
      <c r="P150" s="5"/>
      <c r="Q150" s="4"/>
      <c r="R150" s="3"/>
      <c r="S150" s="2"/>
      <c r="T150" s="1"/>
    </row>
    <row r="151" spans="4:20" ht="13.5" x14ac:dyDescent="0.25">
      <c r="D151" s="7"/>
      <c r="L151" s="6"/>
      <c r="N151" s="5"/>
      <c r="O151" s="5"/>
      <c r="P151" s="5"/>
      <c r="Q151" s="4"/>
      <c r="R151" s="3"/>
      <c r="S151" s="2"/>
      <c r="T151" s="1"/>
    </row>
    <row r="152" spans="4:20" ht="13.5" x14ac:dyDescent="0.25">
      <c r="D152" s="7"/>
      <c r="L152" s="6"/>
      <c r="N152" s="5"/>
      <c r="O152" s="5"/>
      <c r="P152" s="5"/>
      <c r="Q152" s="4"/>
      <c r="R152" s="3"/>
      <c r="S152" s="2"/>
      <c r="T152" s="1"/>
    </row>
    <row r="153" spans="4:20" ht="13.5" x14ac:dyDescent="0.25">
      <c r="D153" s="7"/>
      <c r="L153" s="6"/>
      <c r="N153" s="5"/>
      <c r="O153" s="5"/>
      <c r="P153" s="5"/>
      <c r="Q153" s="4"/>
      <c r="R153" s="3"/>
      <c r="S153" s="2"/>
      <c r="T153" s="1"/>
    </row>
    <row r="154" spans="4:20" ht="13.5" x14ac:dyDescent="0.25">
      <c r="D154" s="7"/>
      <c r="L154" s="6"/>
      <c r="N154" s="5"/>
      <c r="O154" s="5"/>
      <c r="P154" s="5"/>
      <c r="Q154" s="4"/>
      <c r="R154" s="3"/>
      <c r="S154" s="2"/>
      <c r="T154" s="1"/>
    </row>
    <row r="155" spans="4:20" ht="13.5" x14ac:dyDescent="0.25">
      <c r="D155" s="7"/>
      <c r="L155" s="6"/>
      <c r="N155" s="5"/>
      <c r="O155" s="5"/>
      <c r="P155" s="5"/>
      <c r="Q155" s="4"/>
      <c r="R155" s="3"/>
      <c r="S155" s="2"/>
      <c r="T155" s="1"/>
    </row>
    <row r="156" spans="4:20" ht="13.5" x14ac:dyDescent="0.25">
      <c r="D156" s="7"/>
      <c r="L156" s="6"/>
      <c r="N156" s="5"/>
      <c r="O156" s="5"/>
      <c r="P156" s="5"/>
      <c r="Q156" s="4"/>
      <c r="R156" s="3"/>
      <c r="S156" s="2"/>
      <c r="T156" s="1"/>
    </row>
    <row r="157" spans="4:20" ht="13.5" x14ac:dyDescent="0.25">
      <c r="D157" s="7"/>
      <c r="L157" s="6"/>
      <c r="N157" s="5"/>
      <c r="O157" s="5"/>
      <c r="P157" s="5"/>
      <c r="Q157" s="4"/>
      <c r="R157" s="3"/>
      <c r="S157" s="2"/>
      <c r="T157" s="1"/>
    </row>
    <row r="158" spans="4:20" ht="13.5" x14ac:dyDescent="0.25">
      <c r="D158" s="7"/>
      <c r="L158" s="6"/>
      <c r="N158" s="5"/>
      <c r="O158" s="5"/>
      <c r="P158" s="5"/>
      <c r="Q158" s="4"/>
      <c r="R158" s="3"/>
      <c r="S158" s="2"/>
      <c r="T158" s="1"/>
    </row>
    <row r="159" spans="4:20" ht="13.5" x14ac:dyDescent="0.25">
      <c r="D159" s="7"/>
      <c r="L159" s="6"/>
      <c r="N159" s="5"/>
      <c r="O159" s="5"/>
      <c r="P159" s="5"/>
      <c r="Q159" s="4"/>
      <c r="R159" s="3"/>
      <c r="S159" s="2"/>
      <c r="T159" s="1"/>
    </row>
    <row r="160" spans="4:20" ht="13.5" x14ac:dyDescent="0.25">
      <c r="D160" s="7"/>
      <c r="L160" s="6"/>
      <c r="N160" s="5"/>
      <c r="O160" s="5"/>
      <c r="P160" s="5"/>
      <c r="Q160" s="4"/>
      <c r="R160" s="3"/>
      <c r="S160" s="2"/>
      <c r="T160" s="1"/>
    </row>
    <row r="161" spans="4:20" ht="13.5" x14ac:dyDescent="0.25">
      <c r="D161" s="7"/>
      <c r="L161" s="6"/>
      <c r="N161" s="5"/>
      <c r="O161" s="5"/>
      <c r="P161" s="5"/>
      <c r="Q161" s="4"/>
      <c r="R161" s="3"/>
      <c r="S161" s="2"/>
      <c r="T161" s="1"/>
    </row>
    <row r="162" spans="4:20" ht="13.5" x14ac:dyDescent="0.25">
      <c r="D162" s="7"/>
      <c r="L162" s="6"/>
      <c r="N162" s="5"/>
      <c r="O162" s="5"/>
      <c r="P162" s="5"/>
      <c r="Q162" s="4"/>
      <c r="R162" s="3"/>
      <c r="S162" s="2"/>
      <c r="T162" s="1"/>
    </row>
    <row r="163" spans="4:20" ht="13.5" x14ac:dyDescent="0.25">
      <c r="D163" s="7"/>
      <c r="L163" s="6"/>
      <c r="N163" s="5"/>
      <c r="O163" s="5"/>
      <c r="P163" s="5"/>
      <c r="Q163" s="4"/>
      <c r="R163" s="3"/>
      <c r="S163" s="2"/>
      <c r="T163" s="1"/>
    </row>
    <row r="164" spans="4:20" ht="13.5" x14ac:dyDescent="0.25">
      <c r="D164" s="7"/>
      <c r="L164" s="6"/>
      <c r="N164" s="5"/>
      <c r="O164" s="5"/>
      <c r="P164" s="5"/>
      <c r="Q164" s="4"/>
      <c r="R164" s="3"/>
      <c r="S164" s="2"/>
      <c r="T164" s="1"/>
    </row>
    <row r="165" spans="4:20" ht="13.5" x14ac:dyDescent="0.25">
      <c r="D165" s="7"/>
      <c r="L165" s="6"/>
      <c r="N165" s="5"/>
      <c r="O165" s="5"/>
      <c r="P165" s="5"/>
      <c r="Q165" s="4"/>
      <c r="R165" s="3"/>
      <c r="S165" s="2"/>
      <c r="T165" s="1"/>
    </row>
    <row r="166" spans="4:20" ht="13.5" x14ac:dyDescent="0.25">
      <c r="D166" s="7"/>
      <c r="L166" s="6"/>
      <c r="N166" s="5"/>
      <c r="O166" s="5"/>
      <c r="P166" s="5"/>
      <c r="Q166" s="4"/>
      <c r="R166" s="3"/>
      <c r="S166" s="2"/>
      <c r="T166" s="1"/>
    </row>
    <row r="167" spans="4:20" ht="13.5" x14ac:dyDescent="0.25">
      <c r="D167" s="7"/>
      <c r="L167" s="6"/>
      <c r="N167" s="5"/>
      <c r="O167" s="5"/>
      <c r="P167" s="5"/>
      <c r="Q167" s="4"/>
      <c r="R167" s="3"/>
      <c r="S167" s="2"/>
      <c r="T167" s="1"/>
    </row>
    <row r="168" spans="4:20" ht="13.5" x14ac:dyDescent="0.25">
      <c r="D168" s="7"/>
      <c r="L168" s="6"/>
      <c r="N168" s="5"/>
      <c r="O168" s="5"/>
      <c r="P168" s="5"/>
      <c r="Q168" s="4"/>
      <c r="R168" s="3"/>
      <c r="S168" s="2"/>
      <c r="T168" s="1"/>
    </row>
    <row r="169" spans="4:20" ht="13.5" x14ac:dyDescent="0.25">
      <c r="D169" s="7"/>
      <c r="L169" s="6"/>
      <c r="N169" s="5"/>
      <c r="O169" s="5"/>
      <c r="P169" s="5"/>
      <c r="Q169" s="4"/>
      <c r="R169" s="3"/>
      <c r="S169" s="2"/>
      <c r="T169" s="1"/>
    </row>
    <row r="170" spans="4:20" ht="13.5" x14ac:dyDescent="0.25">
      <c r="D170" s="7"/>
      <c r="L170" s="6"/>
      <c r="N170" s="5"/>
      <c r="O170" s="5"/>
      <c r="P170" s="5"/>
      <c r="Q170" s="4"/>
      <c r="R170" s="3"/>
      <c r="S170" s="2"/>
      <c r="T170" s="1"/>
    </row>
    <row r="171" spans="4:20" ht="13.5" x14ac:dyDescent="0.25">
      <c r="D171" s="7"/>
      <c r="L171" s="6"/>
      <c r="N171" s="5"/>
      <c r="O171" s="5"/>
      <c r="P171" s="5"/>
      <c r="Q171" s="4"/>
      <c r="R171" s="3"/>
      <c r="S171" s="2"/>
      <c r="T171" s="1"/>
    </row>
    <row r="172" spans="4:20" ht="13.5" x14ac:dyDescent="0.25">
      <c r="D172" s="7"/>
      <c r="L172" s="6"/>
      <c r="N172" s="5"/>
      <c r="O172" s="5"/>
      <c r="P172" s="5"/>
      <c r="Q172" s="4"/>
      <c r="R172" s="3"/>
      <c r="S172" s="2"/>
      <c r="T172" s="1"/>
    </row>
    <row r="173" spans="4:20" ht="13.5" x14ac:dyDescent="0.25">
      <c r="D173" s="7"/>
      <c r="L173" s="6"/>
      <c r="N173" s="5"/>
      <c r="O173" s="5"/>
      <c r="P173" s="5"/>
      <c r="Q173" s="4"/>
      <c r="R173" s="3"/>
      <c r="S173" s="2"/>
      <c r="T173" s="1"/>
    </row>
    <row r="174" spans="4:20" ht="13.5" x14ac:dyDescent="0.25">
      <c r="D174" s="7"/>
      <c r="L174" s="6"/>
      <c r="N174" s="5"/>
      <c r="O174" s="5"/>
      <c r="P174" s="5"/>
      <c r="Q174" s="4"/>
      <c r="R174" s="3"/>
      <c r="S174" s="2"/>
      <c r="T174" s="1"/>
    </row>
    <row r="175" spans="4:20" ht="13.5" x14ac:dyDescent="0.25">
      <c r="D175" s="7"/>
      <c r="L175" s="6"/>
      <c r="N175" s="5"/>
      <c r="O175" s="5"/>
      <c r="P175" s="5"/>
      <c r="Q175" s="4"/>
      <c r="R175" s="3"/>
      <c r="S175" s="2"/>
      <c r="T175" s="1"/>
    </row>
    <row r="176" spans="4:20" ht="13.5" x14ac:dyDescent="0.25">
      <c r="D176" s="7"/>
      <c r="L176" s="6"/>
      <c r="N176" s="5"/>
      <c r="O176" s="5"/>
      <c r="P176" s="5"/>
      <c r="Q176" s="4"/>
      <c r="R176" s="3"/>
      <c r="S176" s="2"/>
      <c r="T176" s="1"/>
    </row>
    <row r="177" spans="4:20" ht="13.5" x14ac:dyDescent="0.25">
      <c r="D177" s="7"/>
      <c r="L177" s="6"/>
      <c r="N177" s="5"/>
      <c r="O177" s="5"/>
      <c r="P177" s="5"/>
      <c r="Q177" s="4"/>
      <c r="R177" s="3"/>
      <c r="S177" s="2"/>
      <c r="T177" s="1"/>
    </row>
    <row r="178" spans="4:20" ht="13.5" x14ac:dyDescent="0.25">
      <c r="D178" s="7"/>
      <c r="L178" s="6"/>
      <c r="N178" s="5"/>
      <c r="O178" s="5"/>
      <c r="P178" s="5"/>
      <c r="Q178" s="4"/>
      <c r="R178" s="3"/>
      <c r="S178" s="2"/>
      <c r="T178" s="1"/>
    </row>
    <row r="179" spans="4:20" ht="13.5" x14ac:dyDescent="0.25">
      <c r="D179" s="7"/>
      <c r="L179" s="6"/>
      <c r="N179" s="5"/>
      <c r="O179" s="5"/>
      <c r="P179" s="5"/>
      <c r="Q179" s="4"/>
      <c r="R179" s="3"/>
      <c r="S179" s="2"/>
      <c r="T179" s="1"/>
    </row>
    <row r="180" spans="4:20" ht="13.5" x14ac:dyDescent="0.25">
      <c r="D180" s="7"/>
      <c r="L180" s="6"/>
      <c r="N180" s="5"/>
      <c r="O180" s="5"/>
      <c r="P180" s="5"/>
      <c r="Q180" s="4"/>
      <c r="R180" s="3"/>
      <c r="S180" s="2"/>
      <c r="T180" s="1"/>
    </row>
    <row r="181" spans="4:20" ht="13.5" x14ac:dyDescent="0.25">
      <c r="D181" s="7"/>
      <c r="L181" s="6"/>
      <c r="N181" s="5"/>
      <c r="O181" s="5"/>
      <c r="P181" s="5"/>
      <c r="Q181" s="4"/>
      <c r="R181" s="3"/>
      <c r="S181" s="2"/>
      <c r="T181" s="1"/>
    </row>
    <row r="182" spans="4:20" ht="13.5" x14ac:dyDescent="0.25">
      <c r="D182" s="7"/>
      <c r="L182" s="6"/>
      <c r="N182" s="5"/>
      <c r="O182" s="5"/>
      <c r="P182" s="5"/>
      <c r="Q182" s="4"/>
      <c r="R182" s="3"/>
      <c r="S182" s="2"/>
      <c r="T182" s="1"/>
    </row>
    <row r="183" spans="4:20" ht="13.5" x14ac:dyDescent="0.25">
      <c r="D183" s="7"/>
      <c r="L183" s="6"/>
      <c r="N183" s="5"/>
      <c r="O183" s="5"/>
      <c r="P183" s="5"/>
      <c r="Q183" s="4"/>
      <c r="R183" s="3"/>
      <c r="S183" s="2"/>
      <c r="T183" s="1"/>
    </row>
    <row r="184" spans="4:20" ht="13.5" x14ac:dyDescent="0.25">
      <c r="D184" s="7"/>
      <c r="L184" s="6"/>
      <c r="N184" s="5"/>
      <c r="O184" s="5"/>
      <c r="P184" s="5"/>
      <c r="Q184" s="4"/>
      <c r="R184" s="3"/>
      <c r="S184" s="2"/>
      <c r="T184" s="1"/>
    </row>
    <row r="185" spans="4:20" ht="13.5" x14ac:dyDescent="0.25">
      <c r="D185" s="7"/>
      <c r="L185" s="6"/>
      <c r="N185" s="5"/>
      <c r="O185" s="5"/>
      <c r="P185" s="5"/>
      <c r="Q185" s="4"/>
      <c r="R185" s="3"/>
      <c r="S185" s="2"/>
      <c r="T185" s="1"/>
    </row>
    <row r="186" spans="4:20" ht="13.5" x14ac:dyDescent="0.25">
      <c r="D186" s="7"/>
      <c r="L186" s="6"/>
      <c r="N186" s="5"/>
      <c r="O186" s="5"/>
      <c r="P186" s="5"/>
      <c r="Q186" s="4"/>
      <c r="R186" s="3"/>
      <c r="S186" s="2"/>
      <c r="T186" s="1"/>
    </row>
    <row r="187" spans="4:20" ht="13.5" x14ac:dyDescent="0.25">
      <c r="D187" s="7"/>
      <c r="L187" s="6"/>
      <c r="N187" s="5"/>
      <c r="O187" s="5"/>
      <c r="P187" s="5"/>
      <c r="Q187" s="4"/>
      <c r="R187" s="3"/>
      <c r="S187" s="2"/>
      <c r="T187" s="1"/>
    </row>
    <row r="188" spans="4:20" ht="13.5" x14ac:dyDescent="0.25">
      <c r="D188" s="7"/>
      <c r="L188" s="6"/>
      <c r="N188" s="5"/>
      <c r="O188" s="5"/>
      <c r="P188" s="5"/>
      <c r="Q188" s="4"/>
      <c r="R188" s="3"/>
      <c r="S188" s="2"/>
      <c r="T188" s="1"/>
    </row>
    <row r="189" spans="4:20" ht="13.5" x14ac:dyDescent="0.25">
      <c r="D189" s="7"/>
      <c r="L189" s="6"/>
      <c r="N189" s="5"/>
      <c r="O189" s="5"/>
      <c r="P189" s="5"/>
      <c r="Q189" s="4"/>
      <c r="R189" s="3"/>
      <c r="S189" s="2"/>
      <c r="T189" s="1"/>
    </row>
    <row r="190" spans="4:20" ht="13.5" x14ac:dyDescent="0.25">
      <c r="D190" s="7"/>
      <c r="L190" s="6"/>
      <c r="N190" s="5"/>
      <c r="O190" s="5"/>
      <c r="P190" s="5"/>
      <c r="Q190" s="4"/>
      <c r="R190" s="3"/>
      <c r="S190" s="2"/>
      <c r="T190" s="1"/>
    </row>
    <row r="191" spans="4:20" ht="13.5" x14ac:dyDescent="0.25">
      <c r="D191" s="7"/>
      <c r="L191" s="6"/>
      <c r="N191" s="5"/>
      <c r="O191" s="5"/>
      <c r="P191" s="5"/>
      <c r="Q191" s="4"/>
      <c r="R191" s="3"/>
      <c r="S191" s="2"/>
      <c r="T191" s="1"/>
    </row>
    <row r="192" spans="4:20" ht="13.5" x14ac:dyDescent="0.25">
      <c r="D192" s="7"/>
      <c r="L192" s="6"/>
      <c r="N192" s="5"/>
      <c r="O192" s="5"/>
      <c r="P192" s="5"/>
      <c r="Q192" s="4"/>
      <c r="R192" s="3"/>
      <c r="S192" s="2"/>
      <c r="T192" s="1"/>
    </row>
    <row r="193" spans="4:20" ht="13.5" x14ac:dyDescent="0.25">
      <c r="D193" s="7"/>
      <c r="L193" s="6"/>
      <c r="N193" s="5"/>
      <c r="O193" s="5"/>
      <c r="P193" s="5"/>
      <c r="Q193" s="4"/>
      <c r="R193" s="3"/>
      <c r="S193" s="2"/>
      <c r="T193" s="1"/>
    </row>
    <row r="194" spans="4:20" ht="13.5" x14ac:dyDescent="0.25">
      <c r="D194" s="7"/>
      <c r="L194" s="6"/>
      <c r="N194" s="5"/>
      <c r="O194" s="5"/>
      <c r="P194" s="5"/>
      <c r="Q194" s="4"/>
      <c r="R194" s="3"/>
      <c r="S194" s="2"/>
      <c r="T194" s="1"/>
    </row>
    <row r="195" spans="4:20" ht="13.5" x14ac:dyDescent="0.25">
      <c r="D195" s="7"/>
      <c r="L195" s="6"/>
      <c r="N195" s="5"/>
      <c r="O195" s="5"/>
      <c r="P195" s="5"/>
      <c r="Q195" s="4"/>
      <c r="R195" s="3"/>
      <c r="S195" s="2"/>
      <c r="T195" s="1"/>
    </row>
    <row r="196" spans="4:20" ht="13.5" x14ac:dyDescent="0.25">
      <c r="D196" s="7"/>
      <c r="L196" s="6"/>
      <c r="N196" s="5"/>
      <c r="O196" s="5"/>
      <c r="P196" s="5"/>
      <c r="Q196" s="4"/>
      <c r="R196" s="3"/>
      <c r="S196" s="2"/>
      <c r="T196" s="1"/>
    </row>
    <row r="197" spans="4:20" ht="13.5" x14ac:dyDescent="0.25">
      <c r="D197" s="7"/>
      <c r="L197" s="6"/>
      <c r="N197" s="5"/>
      <c r="O197" s="5"/>
      <c r="P197" s="5"/>
      <c r="Q197" s="4"/>
      <c r="R197" s="3"/>
      <c r="S197" s="2"/>
      <c r="T197" s="1"/>
    </row>
    <row r="198" spans="4:20" ht="13.5" x14ac:dyDescent="0.25">
      <c r="D198" s="7"/>
      <c r="L198" s="6"/>
      <c r="N198" s="5"/>
      <c r="O198" s="5"/>
      <c r="P198" s="5"/>
      <c r="Q198" s="4"/>
      <c r="R198" s="3"/>
      <c r="S198" s="2"/>
      <c r="T198" s="1"/>
    </row>
    <row r="199" spans="4:20" ht="13.5" x14ac:dyDescent="0.25">
      <c r="D199" s="7"/>
      <c r="L199" s="6"/>
      <c r="N199" s="5"/>
      <c r="O199" s="5"/>
      <c r="P199" s="5"/>
      <c r="Q199" s="4"/>
      <c r="R199" s="3"/>
      <c r="S199" s="2"/>
      <c r="T199" s="1"/>
    </row>
    <row r="200" spans="4:20" ht="13.5" x14ac:dyDescent="0.25">
      <c r="D200" s="7"/>
      <c r="L200" s="6"/>
      <c r="N200" s="5"/>
      <c r="O200" s="5"/>
      <c r="P200" s="5"/>
      <c r="Q200" s="4"/>
      <c r="R200" s="3"/>
      <c r="S200" s="2"/>
      <c r="T200" s="1"/>
    </row>
    <row r="201" spans="4:20" ht="13.5" x14ac:dyDescent="0.25">
      <c r="D201" s="7"/>
      <c r="L201" s="6"/>
      <c r="N201" s="5"/>
      <c r="O201" s="5"/>
      <c r="P201" s="5"/>
      <c r="Q201" s="4"/>
      <c r="R201" s="3"/>
      <c r="S201" s="2"/>
      <c r="T201" s="1"/>
    </row>
    <row r="202" spans="4:20" ht="13.5" x14ac:dyDescent="0.25">
      <c r="D202" s="7"/>
      <c r="L202" s="6"/>
      <c r="N202" s="5"/>
      <c r="O202" s="5"/>
      <c r="P202" s="5"/>
      <c r="Q202" s="4"/>
      <c r="R202" s="3"/>
      <c r="S202" s="2"/>
      <c r="T202" s="1"/>
    </row>
    <row r="203" spans="4:20" ht="13.5" x14ac:dyDescent="0.25">
      <c r="D203" s="7"/>
      <c r="L203" s="6"/>
      <c r="N203" s="5"/>
      <c r="O203" s="5"/>
      <c r="P203" s="5"/>
      <c r="Q203" s="4"/>
      <c r="R203" s="3"/>
      <c r="S203" s="2"/>
      <c r="T203" s="1"/>
    </row>
    <row r="204" spans="4:20" ht="13.5" x14ac:dyDescent="0.25">
      <c r="D204" s="7"/>
      <c r="L204" s="6"/>
      <c r="N204" s="5"/>
      <c r="O204" s="5"/>
      <c r="P204" s="5"/>
      <c r="Q204" s="4"/>
      <c r="R204" s="3"/>
      <c r="S204" s="2"/>
      <c r="T204" s="1"/>
    </row>
    <row r="205" spans="4:20" ht="13.5" x14ac:dyDescent="0.25">
      <c r="D205" s="7"/>
      <c r="L205" s="6"/>
      <c r="N205" s="5"/>
      <c r="O205" s="5"/>
      <c r="P205" s="5"/>
      <c r="Q205" s="4"/>
      <c r="R205" s="3"/>
      <c r="S205" s="2"/>
      <c r="T205" s="1"/>
    </row>
    <row r="206" spans="4:20" ht="13.5" x14ac:dyDescent="0.25">
      <c r="D206" s="7"/>
      <c r="L206" s="6"/>
      <c r="N206" s="5"/>
      <c r="O206" s="5"/>
      <c r="P206" s="5"/>
      <c r="Q206" s="4"/>
      <c r="R206" s="3"/>
      <c r="S206" s="2"/>
      <c r="T206" s="1"/>
    </row>
    <row r="207" spans="4:20" ht="13.5" x14ac:dyDescent="0.25">
      <c r="D207" s="7"/>
      <c r="L207" s="6"/>
      <c r="N207" s="5"/>
      <c r="O207" s="5"/>
      <c r="P207" s="5"/>
      <c r="Q207" s="4"/>
      <c r="R207" s="3"/>
      <c r="S207" s="2"/>
      <c r="T207" s="1"/>
    </row>
    <row r="208" spans="4:20" ht="13.5" x14ac:dyDescent="0.25">
      <c r="D208" s="7"/>
      <c r="L208" s="6"/>
      <c r="N208" s="5"/>
      <c r="O208" s="5"/>
      <c r="P208" s="5"/>
      <c r="Q208" s="4"/>
      <c r="R208" s="3"/>
      <c r="S208" s="2"/>
      <c r="T208" s="1"/>
    </row>
    <row r="209" spans="4:20" ht="13.5" x14ac:dyDescent="0.25">
      <c r="D209" s="7"/>
      <c r="L209" s="6"/>
      <c r="N209" s="5"/>
      <c r="O209" s="5"/>
      <c r="P209" s="5"/>
      <c r="Q209" s="4"/>
      <c r="R209" s="3"/>
      <c r="S209" s="2"/>
      <c r="T209" s="1"/>
    </row>
    <row r="210" spans="4:20" ht="13.5" x14ac:dyDescent="0.25">
      <c r="D210" s="7"/>
      <c r="L210" s="6"/>
      <c r="N210" s="5"/>
      <c r="O210" s="5"/>
      <c r="P210" s="5"/>
      <c r="Q210" s="4"/>
      <c r="R210" s="3"/>
      <c r="S210" s="2"/>
      <c r="T210" s="1"/>
    </row>
    <row r="211" spans="4:20" ht="13.5" x14ac:dyDescent="0.25">
      <c r="D211" s="7"/>
      <c r="L211" s="6"/>
      <c r="N211" s="5"/>
      <c r="O211" s="5"/>
      <c r="P211" s="5"/>
      <c r="Q211" s="4"/>
      <c r="R211" s="3"/>
      <c r="S211" s="2"/>
      <c r="T211" s="1"/>
    </row>
    <row r="212" spans="4:20" ht="13.5" x14ac:dyDescent="0.25">
      <c r="D212" s="7"/>
      <c r="L212" s="6"/>
      <c r="N212" s="5"/>
      <c r="O212" s="5"/>
      <c r="P212" s="5"/>
      <c r="Q212" s="4"/>
      <c r="R212" s="3"/>
      <c r="S212" s="2"/>
      <c r="T212" s="1"/>
    </row>
    <row r="213" spans="4:20" ht="13.5" x14ac:dyDescent="0.25">
      <c r="D213" s="7"/>
      <c r="L213" s="6"/>
      <c r="N213" s="5"/>
      <c r="O213" s="5"/>
      <c r="P213" s="5"/>
      <c r="Q213" s="4"/>
      <c r="R213" s="3"/>
      <c r="S213" s="2"/>
      <c r="T213" s="1"/>
    </row>
    <row r="214" spans="4:20" ht="13.5" x14ac:dyDescent="0.25">
      <c r="D214" s="7"/>
      <c r="L214" s="6"/>
      <c r="N214" s="5"/>
      <c r="O214" s="5"/>
      <c r="P214" s="5"/>
      <c r="Q214" s="4"/>
      <c r="R214" s="3"/>
      <c r="S214" s="2"/>
      <c r="T214" s="1"/>
    </row>
    <row r="215" spans="4:20" ht="13.5" x14ac:dyDescent="0.25">
      <c r="D215" s="7"/>
      <c r="L215" s="6"/>
      <c r="N215" s="5"/>
      <c r="O215" s="5"/>
      <c r="P215" s="5"/>
      <c r="Q215" s="4"/>
      <c r="R215" s="3"/>
      <c r="S215" s="2"/>
      <c r="T215" s="1"/>
    </row>
    <row r="216" spans="4:20" ht="13.5" x14ac:dyDescent="0.25">
      <c r="D216" s="7"/>
      <c r="L216" s="6"/>
      <c r="N216" s="5"/>
      <c r="O216" s="5"/>
      <c r="P216" s="5"/>
      <c r="Q216" s="4"/>
      <c r="R216" s="3"/>
      <c r="S216" s="2"/>
      <c r="T216" s="1"/>
    </row>
    <row r="217" spans="4:20" ht="13.5" x14ac:dyDescent="0.25">
      <c r="D217" s="7"/>
      <c r="L217" s="6"/>
      <c r="N217" s="5"/>
      <c r="O217" s="5"/>
      <c r="P217" s="5"/>
      <c r="Q217" s="4"/>
      <c r="R217" s="3"/>
      <c r="S217" s="2"/>
      <c r="T217" s="1"/>
    </row>
    <row r="218" spans="4:20" ht="13.5" x14ac:dyDescent="0.25">
      <c r="D218" s="7"/>
      <c r="L218" s="6"/>
      <c r="N218" s="5"/>
      <c r="O218" s="5"/>
      <c r="P218" s="5"/>
      <c r="Q218" s="4"/>
      <c r="R218" s="3"/>
      <c r="S218" s="2"/>
      <c r="T218" s="1"/>
    </row>
    <row r="219" spans="4:20" ht="13.5" x14ac:dyDescent="0.25">
      <c r="D219" s="7"/>
      <c r="L219" s="6"/>
      <c r="N219" s="5"/>
      <c r="O219" s="5"/>
      <c r="P219" s="5"/>
      <c r="Q219" s="4"/>
      <c r="R219" s="3"/>
      <c r="S219" s="2"/>
      <c r="T219" s="1"/>
    </row>
    <row r="220" spans="4:20" ht="13.5" x14ac:dyDescent="0.25">
      <c r="D220" s="7"/>
      <c r="L220" s="6"/>
      <c r="N220" s="5"/>
      <c r="O220" s="5"/>
      <c r="P220" s="5"/>
      <c r="Q220" s="4"/>
      <c r="R220" s="3"/>
      <c r="S220" s="2"/>
      <c r="T220" s="1"/>
    </row>
    <row r="221" spans="4:20" ht="13.5" x14ac:dyDescent="0.25">
      <c r="D221" s="7"/>
      <c r="L221" s="6"/>
      <c r="N221" s="5"/>
      <c r="O221" s="5"/>
      <c r="P221" s="5"/>
      <c r="Q221" s="4"/>
      <c r="R221" s="3"/>
      <c r="S221" s="2"/>
      <c r="T221" s="1"/>
    </row>
    <row r="222" spans="4:20" ht="13.5" x14ac:dyDescent="0.25">
      <c r="D222" s="7"/>
      <c r="L222" s="6"/>
      <c r="N222" s="5"/>
      <c r="O222" s="5"/>
      <c r="P222" s="5"/>
      <c r="Q222" s="4"/>
      <c r="R222" s="3"/>
      <c r="S222" s="2"/>
      <c r="T222" s="1"/>
    </row>
    <row r="223" spans="4:20" ht="13.5" x14ac:dyDescent="0.25">
      <c r="D223" s="7"/>
      <c r="L223" s="6"/>
      <c r="N223" s="5"/>
      <c r="O223" s="5"/>
      <c r="P223" s="5"/>
      <c r="Q223" s="4"/>
      <c r="R223" s="3"/>
      <c r="S223" s="2"/>
      <c r="T223" s="1"/>
    </row>
    <row r="224" spans="4:20" ht="13.5" x14ac:dyDescent="0.25">
      <c r="D224" s="7"/>
      <c r="L224" s="6"/>
      <c r="N224" s="5"/>
      <c r="O224" s="5"/>
      <c r="P224" s="5"/>
      <c r="Q224" s="4"/>
      <c r="R224" s="3"/>
      <c r="S224" s="2"/>
      <c r="T224" s="1"/>
    </row>
    <row r="225" spans="4:20" ht="13.5" x14ac:dyDescent="0.25">
      <c r="D225" s="7"/>
      <c r="L225" s="6"/>
      <c r="N225" s="5"/>
      <c r="O225" s="5"/>
      <c r="P225" s="5"/>
      <c r="Q225" s="4"/>
      <c r="R225" s="3"/>
      <c r="S225" s="2"/>
      <c r="T225" s="1"/>
    </row>
    <row r="226" spans="4:20" ht="13.5" x14ac:dyDescent="0.25">
      <c r="D226" s="7"/>
      <c r="L226" s="6"/>
      <c r="N226" s="5"/>
      <c r="O226" s="5"/>
      <c r="P226" s="5"/>
      <c r="Q226" s="4"/>
      <c r="R226" s="3"/>
      <c r="S226" s="2"/>
      <c r="T226" s="1"/>
    </row>
    <row r="227" spans="4:20" ht="13.5" x14ac:dyDescent="0.25">
      <c r="D227" s="7"/>
      <c r="L227" s="6"/>
      <c r="N227" s="5"/>
      <c r="O227" s="5"/>
      <c r="P227" s="5"/>
      <c r="Q227" s="4"/>
      <c r="R227" s="3"/>
      <c r="S227" s="2"/>
      <c r="T227" s="1"/>
    </row>
    <row r="228" spans="4:20" ht="13.5" x14ac:dyDescent="0.25">
      <c r="D228" s="7"/>
      <c r="L228" s="6"/>
      <c r="N228" s="5"/>
      <c r="O228" s="5"/>
      <c r="P228" s="5"/>
      <c r="Q228" s="4"/>
      <c r="R228" s="3"/>
      <c r="S228" s="2"/>
      <c r="T228" s="1"/>
    </row>
    <row r="229" spans="4:20" ht="13.5" x14ac:dyDescent="0.25">
      <c r="D229" s="7"/>
      <c r="L229" s="6"/>
      <c r="N229" s="5"/>
      <c r="O229" s="5"/>
      <c r="P229" s="5"/>
      <c r="Q229" s="4"/>
      <c r="R229" s="3"/>
      <c r="S229" s="2"/>
      <c r="T229" s="1"/>
    </row>
    <row r="230" spans="4:20" ht="13.5" x14ac:dyDescent="0.25">
      <c r="D230" s="7"/>
      <c r="L230" s="6"/>
      <c r="N230" s="5"/>
      <c r="O230" s="5"/>
      <c r="P230" s="5"/>
      <c r="Q230" s="4"/>
      <c r="R230" s="3"/>
      <c r="S230" s="2"/>
      <c r="T230" s="1"/>
    </row>
    <row r="231" spans="4:20" ht="13.5" x14ac:dyDescent="0.25">
      <c r="D231" s="7"/>
      <c r="L231" s="6"/>
      <c r="N231" s="5"/>
      <c r="O231" s="5"/>
      <c r="P231" s="5"/>
      <c r="Q231" s="4"/>
      <c r="R231" s="3"/>
      <c r="S231" s="2"/>
      <c r="T231" s="1"/>
    </row>
    <row r="232" spans="4:20" ht="13.5" x14ac:dyDescent="0.25">
      <c r="D232" s="7"/>
      <c r="L232" s="6"/>
      <c r="N232" s="5"/>
      <c r="O232" s="5"/>
      <c r="P232" s="5"/>
      <c r="Q232" s="4"/>
      <c r="R232" s="3"/>
      <c r="S232" s="2"/>
      <c r="T232" s="1"/>
    </row>
    <row r="233" spans="4:20" ht="13.5" x14ac:dyDescent="0.25">
      <c r="D233" s="7"/>
      <c r="L233" s="6"/>
      <c r="N233" s="5"/>
      <c r="O233" s="5"/>
      <c r="P233" s="5"/>
      <c r="Q233" s="4"/>
      <c r="R233" s="3"/>
      <c r="S233" s="2"/>
      <c r="T233" s="1"/>
    </row>
    <row r="234" spans="4:20" ht="13.5" x14ac:dyDescent="0.25">
      <c r="D234" s="7"/>
      <c r="L234" s="6"/>
      <c r="N234" s="5"/>
      <c r="O234" s="5"/>
      <c r="P234" s="5"/>
      <c r="Q234" s="4"/>
      <c r="R234" s="3"/>
      <c r="S234" s="2"/>
      <c r="T234" s="1"/>
    </row>
    <row r="235" spans="4:20" ht="13.5" x14ac:dyDescent="0.25">
      <c r="D235" s="7"/>
      <c r="L235" s="6"/>
      <c r="N235" s="5"/>
      <c r="O235" s="5"/>
      <c r="P235" s="5"/>
      <c r="Q235" s="4"/>
      <c r="R235" s="3"/>
      <c r="S235" s="2"/>
      <c r="T235" s="1"/>
    </row>
    <row r="236" spans="4:20" ht="13.5" x14ac:dyDescent="0.25">
      <c r="D236" s="7"/>
      <c r="L236" s="6"/>
      <c r="N236" s="5"/>
      <c r="O236" s="5"/>
      <c r="P236" s="5"/>
      <c r="Q236" s="4"/>
      <c r="R236" s="3"/>
      <c r="S236" s="2"/>
      <c r="T236" s="1"/>
    </row>
    <row r="237" spans="4:20" ht="13.5" x14ac:dyDescent="0.25">
      <c r="D237" s="7"/>
      <c r="L237" s="6"/>
      <c r="N237" s="5"/>
      <c r="O237" s="5"/>
      <c r="P237" s="5"/>
      <c r="Q237" s="4"/>
      <c r="R237" s="3"/>
      <c r="S237" s="2"/>
      <c r="T237" s="1"/>
    </row>
    <row r="238" spans="4:20" ht="13.5" x14ac:dyDescent="0.25">
      <c r="D238" s="7"/>
      <c r="L238" s="6"/>
      <c r="N238" s="5"/>
      <c r="O238" s="5"/>
      <c r="P238" s="5"/>
      <c r="Q238" s="4"/>
      <c r="R238" s="3"/>
      <c r="S238" s="2"/>
      <c r="T238" s="1"/>
    </row>
    <row r="239" spans="4:20" ht="13.5" x14ac:dyDescent="0.25">
      <c r="D239" s="7"/>
      <c r="L239" s="6"/>
      <c r="N239" s="5"/>
      <c r="O239" s="5"/>
      <c r="P239" s="5"/>
      <c r="Q239" s="4"/>
      <c r="R239" s="3"/>
      <c r="S239" s="2"/>
      <c r="T239" s="1"/>
    </row>
    <row r="240" spans="4:20" ht="13.5" x14ac:dyDescent="0.25">
      <c r="D240" s="7"/>
      <c r="L240" s="6"/>
      <c r="N240" s="5"/>
      <c r="O240" s="5"/>
      <c r="P240" s="5"/>
      <c r="Q240" s="4"/>
      <c r="R240" s="3"/>
      <c r="S240" s="2"/>
      <c r="T240" s="1"/>
    </row>
    <row r="241" spans="4:20" ht="13.5" x14ac:dyDescent="0.25">
      <c r="D241" s="7"/>
      <c r="L241" s="6"/>
      <c r="N241" s="5"/>
      <c r="O241" s="5"/>
      <c r="P241" s="5"/>
      <c r="Q241" s="4"/>
      <c r="R241" s="3"/>
      <c r="S241" s="2"/>
      <c r="T241" s="1"/>
    </row>
    <row r="242" spans="4:20" ht="13.5" x14ac:dyDescent="0.25">
      <c r="D242" s="7"/>
      <c r="L242" s="6"/>
      <c r="N242" s="5"/>
      <c r="O242" s="5"/>
      <c r="P242" s="5"/>
      <c r="Q242" s="4"/>
      <c r="R242" s="3"/>
      <c r="S242" s="2"/>
      <c r="T242" s="1"/>
    </row>
    <row r="243" spans="4:20" ht="13.5" x14ac:dyDescent="0.25">
      <c r="D243" s="7"/>
      <c r="L243" s="6"/>
      <c r="N243" s="5"/>
      <c r="O243" s="5"/>
      <c r="P243" s="5"/>
      <c r="Q243" s="4"/>
      <c r="R243" s="3"/>
      <c r="S243" s="2"/>
      <c r="T243" s="1"/>
    </row>
    <row r="244" spans="4:20" ht="13.5" x14ac:dyDescent="0.25">
      <c r="D244" s="7"/>
      <c r="L244" s="6"/>
      <c r="N244" s="5"/>
      <c r="O244" s="5"/>
      <c r="P244" s="5"/>
      <c r="Q244" s="4"/>
      <c r="R244" s="3"/>
      <c r="S244" s="2"/>
      <c r="T244" s="1"/>
    </row>
    <row r="245" spans="4:20" ht="13.5" x14ac:dyDescent="0.25">
      <c r="D245" s="7"/>
      <c r="L245" s="6"/>
      <c r="N245" s="5"/>
      <c r="O245" s="5"/>
      <c r="P245" s="5"/>
      <c r="Q245" s="4"/>
      <c r="R245" s="3"/>
      <c r="S245" s="2"/>
      <c r="T245" s="1"/>
    </row>
    <row r="246" spans="4:20" ht="13.5" x14ac:dyDescent="0.25">
      <c r="D246" s="7"/>
      <c r="L246" s="6"/>
      <c r="N246" s="5"/>
      <c r="O246" s="5"/>
      <c r="P246" s="5"/>
      <c r="Q246" s="4"/>
      <c r="R246" s="3"/>
      <c r="S246" s="2"/>
      <c r="T246" s="1"/>
    </row>
    <row r="247" spans="4:20" ht="13.5" x14ac:dyDescent="0.25">
      <c r="D247" s="7"/>
      <c r="L247" s="6"/>
      <c r="N247" s="5"/>
      <c r="O247" s="5"/>
      <c r="P247" s="5"/>
      <c r="Q247" s="4"/>
      <c r="R247" s="3"/>
      <c r="S247" s="2"/>
      <c r="T247" s="1"/>
    </row>
    <row r="248" spans="4:20" ht="13.5" x14ac:dyDescent="0.25">
      <c r="D248" s="7"/>
      <c r="L248" s="6"/>
      <c r="N248" s="5"/>
      <c r="O248" s="5"/>
      <c r="P248" s="5"/>
      <c r="Q248" s="4"/>
      <c r="R248" s="3"/>
      <c r="S248" s="2"/>
      <c r="T248" s="1"/>
    </row>
    <row r="249" spans="4:20" ht="13.5" x14ac:dyDescent="0.25">
      <c r="D249" s="7"/>
      <c r="L249" s="6"/>
      <c r="N249" s="5"/>
      <c r="O249" s="5"/>
      <c r="P249" s="5"/>
      <c r="Q249" s="4"/>
      <c r="R249" s="3"/>
      <c r="S249" s="2"/>
      <c r="T249" s="1"/>
    </row>
    <row r="250" spans="4:20" ht="13.5" x14ac:dyDescent="0.25">
      <c r="D250" s="7"/>
      <c r="L250" s="6"/>
      <c r="N250" s="5"/>
      <c r="O250" s="5"/>
      <c r="P250" s="5"/>
      <c r="Q250" s="4"/>
      <c r="R250" s="3"/>
      <c r="S250" s="2"/>
      <c r="T250" s="1"/>
    </row>
    <row r="251" spans="4:20" ht="13.5" x14ac:dyDescent="0.25">
      <c r="D251" s="7"/>
      <c r="L251" s="6"/>
      <c r="N251" s="5"/>
      <c r="O251" s="5"/>
      <c r="P251" s="5"/>
      <c r="Q251" s="4"/>
      <c r="R251" s="3"/>
      <c r="S251" s="2"/>
      <c r="T251" s="1"/>
    </row>
    <row r="252" spans="4:20" ht="13.5" x14ac:dyDescent="0.25">
      <c r="D252" s="7"/>
      <c r="L252" s="6"/>
      <c r="N252" s="5"/>
      <c r="O252" s="5"/>
      <c r="P252" s="5"/>
      <c r="Q252" s="4"/>
      <c r="R252" s="3"/>
      <c r="S252" s="2"/>
      <c r="T252" s="1"/>
    </row>
    <row r="253" spans="4:20" ht="13.5" x14ac:dyDescent="0.25">
      <c r="D253" s="7"/>
      <c r="L253" s="6"/>
      <c r="N253" s="5"/>
      <c r="O253" s="5"/>
      <c r="P253" s="5"/>
      <c r="Q253" s="4"/>
      <c r="R253" s="3"/>
      <c r="S253" s="2"/>
      <c r="T253" s="1"/>
    </row>
    <row r="254" spans="4:20" ht="13.5" x14ac:dyDescent="0.25">
      <c r="D254" s="7"/>
      <c r="L254" s="6"/>
      <c r="N254" s="5"/>
      <c r="O254" s="5"/>
      <c r="P254" s="5"/>
      <c r="Q254" s="4"/>
      <c r="R254" s="3"/>
      <c r="S254" s="2"/>
      <c r="T254" s="1"/>
    </row>
    <row r="255" spans="4:20" ht="13.5" x14ac:dyDescent="0.25">
      <c r="D255" s="7"/>
      <c r="L255" s="6"/>
      <c r="N255" s="5"/>
      <c r="O255" s="5"/>
      <c r="P255" s="5"/>
      <c r="Q255" s="4"/>
      <c r="R255" s="3"/>
      <c r="S255" s="2"/>
      <c r="T255" s="1"/>
    </row>
    <row r="256" spans="4:20" ht="13.5" x14ac:dyDescent="0.25">
      <c r="D256" s="7"/>
      <c r="L256" s="6"/>
      <c r="N256" s="5"/>
      <c r="O256" s="5"/>
      <c r="P256" s="5"/>
      <c r="Q256" s="4"/>
      <c r="R256" s="3"/>
      <c r="S256" s="2"/>
      <c r="T256" s="1"/>
    </row>
    <row r="257" spans="4:20" ht="13.5" x14ac:dyDescent="0.25">
      <c r="D257" s="7"/>
      <c r="L257" s="6"/>
      <c r="N257" s="5"/>
      <c r="O257" s="5"/>
      <c r="P257" s="5"/>
      <c r="Q257" s="4"/>
      <c r="R257" s="3"/>
      <c r="S257" s="2"/>
      <c r="T257" s="1"/>
    </row>
    <row r="258" spans="4:20" ht="13.5" x14ac:dyDescent="0.25">
      <c r="D258" s="7"/>
      <c r="L258" s="6"/>
      <c r="N258" s="5"/>
      <c r="O258" s="5"/>
      <c r="P258" s="5"/>
      <c r="Q258" s="4"/>
      <c r="R258" s="3"/>
      <c r="S258" s="2"/>
      <c r="T258" s="1"/>
    </row>
    <row r="259" spans="4:20" ht="13.5" x14ac:dyDescent="0.25">
      <c r="D259" s="7"/>
      <c r="L259" s="6"/>
      <c r="N259" s="5"/>
      <c r="O259" s="5"/>
      <c r="P259" s="5"/>
      <c r="Q259" s="4"/>
      <c r="R259" s="3"/>
      <c r="S259" s="2"/>
      <c r="T259" s="1"/>
    </row>
    <row r="260" spans="4:20" ht="13.5" x14ac:dyDescent="0.25">
      <c r="D260" s="7"/>
      <c r="L260" s="6"/>
      <c r="N260" s="5"/>
      <c r="O260" s="5"/>
      <c r="P260" s="5"/>
      <c r="Q260" s="4"/>
      <c r="R260" s="3"/>
      <c r="S260" s="2"/>
      <c r="T260" s="1"/>
    </row>
    <row r="261" spans="4:20" ht="13.5" x14ac:dyDescent="0.25">
      <c r="D261" s="7"/>
      <c r="L261" s="6"/>
      <c r="N261" s="5"/>
      <c r="O261" s="5"/>
      <c r="P261" s="5"/>
      <c r="Q261" s="4"/>
      <c r="R261" s="3"/>
      <c r="S261" s="2"/>
      <c r="T261" s="1"/>
    </row>
    <row r="262" spans="4:20" ht="13.5" x14ac:dyDescent="0.25">
      <c r="D262" s="7"/>
      <c r="L262" s="6"/>
      <c r="N262" s="5"/>
      <c r="O262" s="5"/>
      <c r="P262" s="5"/>
      <c r="Q262" s="4"/>
      <c r="R262" s="3"/>
      <c r="S262" s="2"/>
      <c r="T262" s="1"/>
    </row>
    <row r="263" spans="4:20" ht="13.5" x14ac:dyDescent="0.25">
      <c r="D263" s="7"/>
      <c r="L263" s="6"/>
      <c r="N263" s="5"/>
      <c r="O263" s="5"/>
      <c r="P263" s="5"/>
      <c r="Q263" s="4"/>
      <c r="R263" s="3"/>
      <c r="S263" s="2"/>
      <c r="T263" s="1"/>
    </row>
    <row r="264" spans="4:20" ht="13.5" x14ac:dyDescent="0.25">
      <c r="D264" s="7"/>
      <c r="L264" s="6"/>
      <c r="N264" s="5"/>
      <c r="O264" s="5"/>
      <c r="P264" s="5"/>
      <c r="Q264" s="4"/>
      <c r="R264" s="3"/>
      <c r="S264" s="2"/>
      <c r="T264" s="1"/>
    </row>
    <row r="265" spans="4:20" ht="13.5" x14ac:dyDescent="0.25">
      <c r="D265" s="7"/>
      <c r="L265" s="6"/>
      <c r="N265" s="5"/>
      <c r="O265" s="5"/>
      <c r="P265" s="5"/>
      <c r="Q265" s="4"/>
      <c r="R265" s="3"/>
      <c r="S265" s="2"/>
      <c r="T265" s="1"/>
    </row>
    <row r="266" spans="4:20" ht="13.5" x14ac:dyDescent="0.25">
      <c r="D266" s="7"/>
      <c r="L266" s="6"/>
      <c r="N266" s="5"/>
      <c r="O266" s="5"/>
      <c r="P266" s="5"/>
      <c r="Q266" s="4"/>
      <c r="R266" s="3"/>
      <c r="S266" s="2"/>
      <c r="T266" s="1"/>
    </row>
    <row r="267" spans="4:20" ht="13.5" x14ac:dyDescent="0.25">
      <c r="D267" s="7"/>
      <c r="L267" s="6"/>
      <c r="N267" s="5"/>
      <c r="O267" s="5"/>
      <c r="P267" s="5"/>
      <c r="Q267" s="4"/>
      <c r="R267" s="3"/>
      <c r="S267" s="2"/>
      <c r="T267" s="1"/>
    </row>
    <row r="268" spans="4:20" ht="13.5" x14ac:dyDescent="0.25">
      <c r="D268" s="7"/>
      <c r="L268" s="6"/>
      <c r="N268" s="5"/>
      <c r="O268" s="5"/>
      <c r="P268" s="5"/>
      <c r="Q268" s="4"/>
      <c r="R268" s="3"/>
      <c r="S268" s="2"/>
      <c r="T268" s="1"/>
    </row>
    <row r="269" spans="4:20" ht="13.5" x14ac:dyDescent="0.25">
      <c r="D269" s="7"/>
      <c r="L269" s="6"/>
      <c r="N269" s="5"/>
      <c r="O269" s="5"/>
      <c r="P269" s="5"/>
      <c r="Q269" s="4"/>
      <c r="R269" s="3"/>
      <c r="S269" s="2"/>
      <c r="T269" s="1"/>
    </row>
    <row r="270" spans="4:20" ht="13.5" x14ac:dyDescent="0.25">
      <c r="D270" s="7"/>
      <c r="L270" s="6"/>
      <c r="N270" s="5"/>
      <c r="O270" s="5"/>
      <c r="P270" s="5"/>
      <c r="Q270" s="4"/>
      <c r="R270" s="3"/>
      <c r="S270" s="2"/>
      <c r="T270" s="1"/>
    </row>
    <row r="271" spans="4:20" ht="13.5" x14ac:dyDescent="0.25">
      <c r="D271" s="7"/>
      <c r="L271" s="6"/>
      <c r="N271" s="5"/>
      <c r="O271" s="5"/>
      <c r="P271" s="5"/>
      <c r="Q271" s="4"/>
      <c r="R271" s="3"/>
      <c r="S271" s="2"/>
      <c r="T271" s="1"/>
    </row>
    <row r="272" spans="4:20" ht="13.5" x14ac:dyDescent="0.25">
      <c r="D272" s="7"/>
      <c r="L272" s="6"/>
      <c r="N272" s="5"/>
      <c r="O272" s="5"/>
      <c r="P272" s="5"/>
      <c r="Q272" s="4"/>
      <c r="R272" s="3"/>
      <c r="S272" s="2"/>
      <c r="T272" s="1"/>
    </row>
    <row r="273" spans="4:20" ht="13.5" x14ac:dyDescent="0.25">
      <c r="D273" s="7"/>
      <c r="L273" s="6"/>
      <c r="N273" s="5"/>
      <c r="O273" s="5"/>
      <c r="P273" s="5"/>
      <c r="Q273" s="4"/>
      <c r="R273" s="3"/>
      <c r="S273" s="2"/>
      <c r="T273" s="1"/>
    </row>
    <row r="274" spans="4:20" ht="13.5" x14ac:dyDescent="0.25">
      <c r="D274" s="7"/>
      <c r="L274" s="6"/>
      <c r="N274" s="5"/>
      <c r="O274" s="5"/>
      <c r="P274" s="5"/>
      <c r="Q274" s="4"/>
      <c r="R274" s="3"/>
      <c r="S274" s="2"/>
      <c r="T274" s="1"/>
    </row>
    <row r="275" spans="4:20" ht="13.5" x14ac:dyDescent="0.25">
      <c r="D275" s="7"/>
      <c r="L275" s="6"/>
      <c r="N275" s="5"/>
      <c r="O275" s="5"/>
      <c r="P275" s="5"/>
      <c r="Q275" s="4"/>
      <c r="R275" s="3"/>
      <c r="S275" s="2"/>
      <c r="T275" s="1"/>
    </row>
    <row r="276" spans="4:20" ht="13.5" x14ac:dyDescent="0.25">
      <c r="D276" s="7"/>
      <c r="L276" s="6"/>
      <c r="N276" s="5"/>
      <c r="O276" s="5"/>
      <c r="P276" s="5"/>
      <c r="Q276" s="4"/>
      <c r="R276" s="3"/>
      <c r="S276" s="2"/>
      <c r="T276" s="1"/>
    </row>
    <row r="277" spans="4:20" ht="13.5" x14ac:dyDescent="0.25">
      <c r="D277" s="7"/>
      <c r="L277" s="6"/>
      <c r="N277" s="5"/>
      <c r="O277" s="5"/>
      <c r="P277" s="5"/>
      <c r="Q277" s="4"/>
      <c r="R277" s="3"/>
      <c r="S277" s="2"/>
      <c r="T277" s="1"/>
    </row>
    <row r="278" spans="4:20" ht="13.5" x14ac:dyDescent="0.25">
      <c r="D278" s="7"/>
      <c r="L278" s="6"/>
      <c r="N278" s="5"/>
      <c r="O278" s="5"/>
      <c r="P278" s="5"/>
      <c r="Q278" s="4"/>
      <c r="R278" s="3"/>
      <c r="S278" s="2"/>
      <c r="T278" s="1"/>
    </row>
    <row r="279" spans="4:20" ht="13.5" x14ac:dyDescent="0.25">
      <c r="D279" s="7"/>
      <c r="L279" s="6"/>
      <c r="N279" s="5"/>
      <c r="O279" s="5"/>
      <c r="P279" s="5"/>
      <c r="Q279" s="4"/>
      <c r="R279" s="3"/>
      <c r="S279" s="2"/>
      <c r="T279" s="1"/>
    </row>
    <row r="280" spans="4:20" ht="13.5" x14ac:dyDescent="0.25">
      <c r="D280" s="7"/>
      <c r="L280" s="6"/>
      <c r="N280" s="5"/>
      <c r="O280" s="5"/>
      <c r="P280" s="5"/>
      <c r="Q280" s="4"/>
      <c r="R280" s="3"/>
      <c r="S280" s="2"/>
      <c r="T280" s="1"/>
    </row>
    <row r="281" spans="4:20" ht="13.5" x14ac:dyDescent="0.25">
      <c r="D281" s="7"/>
      <c r="L281" s="6"/>
      <c r="N281" s="5"/>
      <c r="O281" s="5"/>
      <c r="P281" s="5"/>
      <c r="Q281" s="4"/>
      <c r="R281" s="3"/>
      <c r="S281" s="2"/>
      <c r="T281" s="1"/>
    </row>
    <row r="282" spans="4:20" ht="13.5" x14ac:dyDescent="0.25">
      <c r="D282" s="7"/>
      <c r="L282" s="6"/>
      <c r="N282" s="5"/>
      <c r="O282" s="5"/>
      <c r="P282" s="5"/>
      <c r="Q282" s="4"/>
      <c r="R282" s="3"/>
      <c r="S282" s="2"/>
      <c r="T282" s="1"/>
    </row>
    <row r="283" spans="4:20" ht="13.5" x14ac:dyDescent="0.25">
      <c r="D283" s="7"/>
      <c r="L283" s="6"/>
      <c r="N283" s="5"/>
      <c r="O283" s="5"/>
      <c r="P283" s="5"/>
      <c r="Q283" s="4"/>
      <c r="R283" s="3"/>
      <c r="S283" s="2"/>
      <c r="T283" s="1"/>
    </row>
    <row r="284" spans="4:20" ht="13.5" x14ac:dyDescent="0.25">
      <c r="D284" s="7"/>
      <c r="L284" s="6"/>
      <c r="N284" s="5"/>
      <c r="O284" s="5"/>
      <c r="P284" s="5"/>
      <c r="Q284" s="4"/>
      <c r="R284" s="3"/>
      <c r="S284" s="2"/>
      <c r="T284" s="1"/>
    </row>
    <row r="285" spans="4:20" ht="13.5" x14ac:dyDescent="0.25">
      <c r="D285" s="7"/>
      <c r="L285" s="6"/>
      <c r="N285" s="5"/>
      <c r="O285" s="5"/>
      <c r="P285" s="5"/>
      <c r="Q285" s="4"/>
      <c r="R285" s="3"/>
      <c r="S285" s="2"/>
      <c r="T285" s="1"/>
    </row>
    <row r="286" spans="4:20" ht="13.5" x14ac:dyDescent="0.25">
      <c r="D286" s="7"/>
      <c r="L286" s="6"/>
      <c r="N286" s="5"/>
      <c r="O286" s="5"/>
      <c r="P286" s="5"/>
      <c r="Q286" s="4"/>
      <c r="R286" s="3"/>
      <c r="S286" s="2"/>
      <c r="T286" s="1"/>
    </row>
    <row r="287" spans="4:20" ht="13.5" x14ac:dyDescent="0.25">
      <c r="D287" s="7"/>
      <c r="L287" s="6"/>
      <c r="N287" s="5"/>
      <c r="O287" s="5"/>
      <c r="P287" s="5"/>
      <c r="Q287" s="4"/>
      <c r="R287" s="3"/>
      <c r="S287" s="2"/>
      <c r="T287" s="1"/>
    </row>
    <row r="288" spans="4:20" ht="13.5" x14ac:dyDescent="0.25">
      <c r="D288" s="7"/>
      <c r="L288" s="6"/>
      <c r="N288" s="5"/>
      <c r="O288" s="5"/>
      <c r="P288" s="5"/>
      <c r="Q288" s="4"/>
      <c r="R288" s="3"/>
      <c r="S288" s="2"/>
      <c r="T288" s="1"/>
    </row>
    <row r="289" spans="4:20" ht="13.5" x14ac:dyDescent="0.25">
      <c r="D289" s="7"/>
      <c r="L289" s="6"/>
      <c r="N289" s="5"/>
      <c r="O289" s="5"/>
      <c r="P289" s="5"/>
      <c r="Q289" s="4"/>
      <c r="R289" s="3"/>
      <c r="S289" s="2"/>
      <c r="T289" s="1"/>
    </row>
    <row r="290" spans="4:20" ht="13.5" x14ac:dyDescent="0.25">
      <c r="D290" s="7"/>
      <c r="L290" s="6"/>
      <c r="N290" s="5"/>
      <c r="O290" s="5"/>
      <c r="P290" s="5"/>
      <c r="Q290" s="4"/>
      <c r="R290" s="3"/>
      <c r="S290" s="2"/>
      <c r="T290" s="1"/>
    </row>
    <row r="291" spans="4:20" ht="13.5" x14ac:dyDescent="0.25">
      <c r="D291" s="7"/>
      <c r="L291" s="6"/>
      <c r="N291" s="5"/>
      <c r="O291" s="5"/>
      <c r="P291" s="5"/>
      <c r="Q291" s="4"/>
      <c r="R291" s="3"/>
      <c r="S291" s="2"/>
      <c r="T291" s="1"/>
    </row>
    <row r="292" spans="4:20" ht="13.5" x14ac:dyDescent="0.25">
      <c r="D292" s="7"/>
      <c r="L292" s="6"/>
      <c r="N292" s="5"/>
      <c r="O292" s="5"/>
      <c r="P292" s="5"/>
      <c r="Q292" s="4"/>
      <c r="R292" s="3"/>
      <c r="S292" s="2"/>
      <c r="T292" s="1"/>
    </row>
    <row r="293" spans="4:20" ht="13.5" x14ac:dyDescent="0.25">
      <c r="D293" s="7"/>
      <c r="L293" s="6"/>
      <c r="N293" s="5"/>
      <c r="O293" s="5"/>
      <c r="P293" s="5"/>
      <c r="Q293" s="4"/>
      <c r="R293" s="3"/>
      <c r="S293" s="2"/>
      <c r="T293" s="1"/>
    </row>
    <row r="294" spans="4:20" ht="13.5" x14ac:dyDescent="0.25">
      <c r="D294" s="7"/>
      <c r="L294" s="6"/>
      <c r="N294" s="5"/>
      <c r="O294" s="5"/>
      <c r="P294" s="5"/>
      <c r="Q294" s="4"/>
      <c r="R294" s="3"/>
      <c r="S294" s="2"/>
      <c r="T294" s="1"/>
    </row>
    <row r="295" spans="4:20" ht="13.5" x14ac:dyDescent="0.25">
      <c r="D295" s="7"/>
      <c r="L295" s="6"/>
      <c r="N295" s="5"/>
      <c r="O295" s="5"/>
      <c r="P295" s="5"/>
      <c r="Q295" s="4"/>
      <c r="R295" s="3"/>
      <c r="S295" s="2"/>
      <c r="T295" s="1"/>
    </row>
    <row r="296" spans="4:20" ht="13.5" x14ac:dyDescent="0.25">
      <c r="D296" s="7"/>
      <c r="L296" s="6"/>
      <c r="N296" s="5"/>
      <c r="O296" s="5"/>
      <c r="P296" s="5"/>
      <c r="Q296" s="4"/>
      <c r="R296" s="3"/>
      <c r="S296" s="2"/>
      <c r="T296" s="1"/>
    </row>
    <row r="297" spans="4:20" ht="13.5" x14ac:dyDescent="0.25">
      <c r="D297" s="7"/>
      <c r="L297" s="6"/>
      <c r="N297" s="5"/>
      <c r="O297" s="5"/>
      <c r="P297" s="5"/>
      <c r="Q297" s="4"/>
      <c r="R297" s="3"/>
      <c r="S297" s="2"/>
      <c r="T297" s="1"/>
    </row>
    <row r="298" spans="4:20" ht="13.5" x14ac:dyDescent="0.25">
      <c r="D298" s="7"/>
      <c r="L298" s="6"/>
      <c r="N298" s="5"/>
      <c r="O298" s="5"/>
      <c r="P298" s="5"/>
      <c r="Q298" s="4"/>
      <c r="R298" s="3"/>
      <c r="S298" s="2"/>
      <c r="T298" s="1"/>
    </row>
    <row r="299" spans="4:20" ht="13.5" x14ac:dyDescent="0.25">
      <c r="D299" s="7"/>
      <c r="L299" s="6"/>
      <c r="N299" s="5"/>
      <c r="O299" s="5"/>
      <c r="P299" s="5"/>
      <c r="Q299" s="4"/>
      <c r="R299" s="3"/>
      <c r="S299" s="2"/>
      <c r="T299" s="1"/>
    </row>
    <row r="300" spans="4:20" ht="13.5" x14ac:dyDescent="0.25">
      <c r="D300" s="7"/>
      <c r="L300" s="6"/>
      <c r="N300" s="5"/>
      <c r="O300" s="5"/>
      <c r="P300" s="5"/>
      <c r="Q300" s="4"/>
      <c r="R300" s="3"/>
      <c r="S300" s="2"/>
      <c r="T300" s="1"/>
    </row>
    <row r="301" spans="4:20" ht="13.5" x14ac:dyDescent="0.25">
      <c r="D301" s="7"/>
      <c r="L301" s="6"/>
      <c r="N301" s="5"/>
      <c r="O301" s="5"/>
      <c r="P301" s="5"/>
      <c r="Q301" s="4"/>
      <c r="R301" s="3"/>
      <c r="S301" s="2"/>
      <c r="T301" s="1"/>
    </row>
    <row r="302" spans="4:20" ht="13.5" x14ac:dyDescent="0.25">
      <c r="D302" s="7"/>
      <c r="L302" s="6"/>
      <c r="N302" s="5"/>
      <c r="O302" s="5"/>
      <c r="P302" s="5"/>
      <c r="Q302" s="4"/>
      <c r="R302" s="3"/>
      <c r="S302" s="2"/>
      <c r="T302" s="1"/>
    </row>
    <row r="303" spans="4:20" ht="13.5" x14ac:dyDescent="0.25">
      <c r="D303" s="7"/>
      <c r="L303" s="6"/>
      <c r="N303" s="5"/>
      <c r="O303" s="5"/>
      <c r="P303" s="5"/>
      <c r="Q303" s="4"/>
      <c r="R303" s="3"/>
      <c r="S303" s="2"/>
      <c r="T303" s="1"/>
    </row>
    <row r="304" spans="4:20" ht="13.5" x14ac:dyDescent="0.25">
      <c r="D304" s="7"/>
      <c r="L304" s="6"/>
      <c r="N304" s="5"/>
      <c r="O304" s="5"/>
      <c r="P304" s="5"/>
      <c r="Q304" s="4"/>
      <c r="R304" s="3"/>
      <c r="S304" s="2"/>
      <c r="T304" s="1"/>
    </row>
    <row r="305" spans="4:20" ht="13.5" x14ac:dyDescent="0.25">
      <c r="D305" s="7"/>
      <c r="L305" s="6"/>
      <c r="N305" s="5"/>
      <c r="O305" s="5"/>
      <c r="P305" s="5"/>
      <c r="Q305" s="4"/>
      <c r="R305" s="3"/>
      <c r="S305" s="2"/>
      <c r="T305" s="1"/>
    </row>
    <row r="306" spans="4:20" ht="13.5" x14ac:dyDescent="0.25">
      <c r="D306" s="7"/>
      <c r="L306" s="6"/>
      <c r="N306" s="5"/>
      <c r="O306" s="5"/>
      <c r="P306" s="5"/>
      <c r="Q306" s="4"/>
      <c r="R306" s="3"/>
      <c r="S306" s="2"/>
      <c r="T306" s="1"/>
    </row>
    <row r="307" spans="4:20" ht="13.5" x14ac:dyDescent="0.25">
      <c r="D307" s="7"/>
      <c r="L307" s="6"/>
      <c r="N307" s="5"/>
      <c r="O307" s="5"/>
      <c r="P307" s="5"/>
      <c r="Q307" s="4"/>
      <c r="R307" s="3"/>
      <c r="S307" s="2"/>
      <c r="T307" s="1"/>
    </row>
    <row r="308" spans="4:20" ht="13.5" x14ac:dyDescent="0.25">
      <c r="D308" s="7"/>
      <c r="L308" s="6"/>
      <c r="N308" s="5"/>
      <c r="O308" s="5"/>
      <c r="P308" s="5"/>
      <c r="Q308" s="4"/>
      <c r="R308" s="3"/>
      <c r="S308" s="2"/>
      <c r="T308" s="1"/>
    </row>
    <row r="309" spans="4:20" ht="13.5" x14ac:dyDescent="0.25">
      <c r="D309" s="7"/>
      <c r="L309" s="6"/>
      <c r="N309" s="5"/>
      <c r="O309" s="5"/>
      <c r="P309" s="5"/>
      <c r="Q309" s="4"/>
      <c r="R309" s="3"/>
      <c r="S309" s="2"/>
      <c r="T309" s="1"/>
    </row>
    <row r="310" spans="4:20" ht="13.5" x14ac:dyDescent="0.25">
      <c r="D310" s="7"/>
      <c r="L310" s="6"/>
      <c r="N310" s="5"/>
      <c r="O310" s="5"/>
      <c r="P310" s="5"/>
      <c r="Q310" s="4"/>
      <c r="R310" s="3"/>
      <c r="S310" s="2"/>
      <c r="T310" s="1"/>
    </row>
    <row r="311" spans="4:20" ht="13.5" x14ac:dyDescent="0.25">
      <c r="D311" s="7"/>
      <c r="L311" s="6"/>
      <c r="N311" s="5"/>
      <c r="O311" s="5"/>
      <c r="P311" s="5"/>
      <c r="Q311" s="4"/>
      <c r="R311" s="3"/>
      <c r="S311" s="2"/>
      <c r="T311" s="1"/>
    </row>
    <row r="312" spans="4:20" ht="13.5" x14ac:dyDescent="0.25">
      <c r="D312" s="7"/>
      <c r="L312" s="6"/>
      <c r="N312" s="5"/>
      <c r="O312" s="5"/>
      <c r="P312" s="5"/>
      <c r="Q312" s="4"/>
      <c r="R312" s="3"/>
      <c r="S312" s="2"/>
      <c r="T312" s="1"/>
    </row>
    <row r="313" spans="4:20" ht="13.5" x14ac:dyDescent="0.25">
      <c r="D313" s="7"/>
      <c r="L313" s="6"/>
      <c r="N313" s="5"/>
      <c r="O313" s="5"/>
      <c r="P313" s="5"/>
      <c r="Q313" s="4"/>
      <c r="R313" s="3"/>
      <c r="S313" s="2"/>
      <c r="T313" s="1"/>
    </row>
    <row r="314" spans="4:20" ht="13.5" x14ac:dyDescent="0.25">
      <c r="D314" s="7"/>
      <c r="L314" s="6"/>
      <c r="N314" s="5"/>
      <c r="O314" s="5"/>
      <c r="P314" s="5"/>
      <c r="Q314" s="4"/>
      <c r="R314" s="3"/>
      <c r="S314" s="2"/>
      <c r="T314" s="1"/>
    </row>
    <row r="315" spans="4:20" ht="13.5" x14ac:dyDescent="0.25">
      <c r="D315" s="7"/>
      <c r="L315" s="6"/>
      <c r="N315" s="5"/>
      <c r="O315" s="5"/>
      <c r="P315" s="5"/>
      <c r="Q315" s="4"/>
      <c r="R315" s="3"/>
      <c r="S315" s="2"/>
      <c r="T315" s="1"/>
    </row>
    <row r="316" spans="4:20" ht="13.5" x14ac:dyDescent="0.25">
      <c r="D316" s="7"/>
      <c r="L316" s="6"/>
      <c r="N316" s="5"/>
      <c r="O316" s="5"/>
      <c r="P316" s="5"/>
      <c r="Q316" s="4"/>
      <c r="R316" s="3"/>
      <c r="S316" s="2"/>
      <c r="T316" s="1"/>
    </row>
    <row r="317" spans="4:20" ht="13.5" x14ac:dyDescent="0.25">
      <c r="D317" s="7"/>
      <c r="L317" s="6"/>
      <c r="N317" s="5"/>
      <c r="O317" s="5"/>
      <c r="P317" s="5"/>
      <c r="Q317" s="4"/>
      <c r="R317" s="3"/>
      <c r="S317" s="2"/>
      <c r="T317" s="1"/>
    </row>
    <row r="318" spans="4:20" ht="13.5" x14ac:dyDescent="0.25">
      <c r="D318" s="7"/>
      <c r="L318" s="6"/>
      <c r="N318" s="5"/>
      <c r="O318" s="5"/>
      <c r="P318" s="5"/>
      <c r="Q318" s="4"/>
      <c r="R318" s="3"/>
      <c r="S318" s="2"/>
      <c r="T318" s="1"/>
    </row>
    <row r="319" spans="4:20" ht="13.5" x14ac:dyDescent="0.25">
      <c r="D319" s="7"/>
      <c r="L319" s="6"/>
      <c r="N319" s="5"/>
      <c r="O319" s="5"/>
      <c r="P319" s="5"/>
      <c r="Q319" s="4"/>
      <c r="R319" s="3"/>
      <c r="S319" s="2"/>
      <c r="T319" s="1"/>
    </row>
    <row r="320" spans="4:20" ht="13.5" x14ac:dyDescent="0.25">
      <c r="D320" s="7"/>
      <c r="L320" s="6"/>
      <c r="N320" s="5"/>
      <c r="O320" s="5"/>
      <c r="P320" s="5"/>
      <c r="Q320" s="4"/>
      <c r="R320" s="3"/>
      <c r="S320" s="2"/>
      <c r="T320" s="1"/>
    </row>
    <row r="321" spans="4:20" ht="13.5" x14ac:dyDescent="0.25">
      <c r="D321" s="7"/>
      <c r="L321" s="6"/>
      <c r="N321" s="5"/>
      <c r="O321" s="5"/>
      <c r="P321" s="5"/>
      <c r="Q321" s="4"/>
      <c r="R321" s="3"/>
      <c r="S321" s="2"/>
      <c r="T321" s="1"/>
    </row>
    <row r="322" spans="4:20" ht="13.5" x14ac:dyDescent="0.25">
      <c r="D322" s="7"/>
      <c r="L322" s="6"/>
      <c r="N322" s="5"/>
      <c r="O322" s="5"/>
      <c r="P322" s="5"/>
      <c r="Q322" s="4"/>
      <c r="R322" s="3"/>
      <c r="S322" s="2"/>
      <c r="T322" s="1"/>
    </row>
    <row r="323" spans="4:20" ht="13.5" x14ac:dyDescent="0.25">
      <c r="D323" s="7"/>
      <c r="L323" s="6"/>
      <c r="N323" s="5"/>
      <c r="O323" s="5"/>
      <c r="P323" s="5"/>
      <c r="Q323" s="4"/>
      <c r="R323" s="3"/>
      <c r="S323" s="2"/>
      <c r="T323" s="1"/>
    </row>
    <row r="324" spans="4:20" ht="13.5" x14ac:dyDescent="0.25">
      <c r="D324" s="7"/>
      <c r="L324" s="6"/>
      <c r="N324" s="5"/>
      <c r="O324" s="5"/>
      <c r="P324" s="5"/>
      <c r="Q324" s="4"/>
      <c r="R324" s="3"/>
      <c r="S324" s="2"/>
      <c r="T324" s="1"/>
    </row>
    <row r="325" spans="4:20" ht="13.5" x14ac:dyDescent="0.25">
      <c r="D325" s="7"/>
      <c r="L325" s="6"/>
      <c r="N325" s="5"/>
      <c r="O325" s="5"/>
      <c r="P325" s="5"/>
      <c r="Q325" s="4"/>
      <c r="R325" s="3"/>
      <c r="S325" s="2"/>
      <c r="T325" s="1"/>
    </row>
    <row r="326" spans="4:20" ht="13.5" x14ac:dyDescent="0.25">
      <c r="D326" s="7"/>
      <c r="L326" s="6"/>
      <c r="N326" s="5"/>
      <c r="O326" s="5"/>
      <c r="P326" s="5"/>
      <c r="Q326" s="4"/>
      <c r="R326" s="3"/>
      <c r="S326" s="2"/>
      <c r="T326" s="1"/>
    </row>
    <row r="327" spans="4:20" ht="13.5" x14ac:dyDescent="0.25">
      <c r="D327" s="7"/>
      <c r="L327" s="6"/>
      <c r="N327" s="5"/>
      <c r="O327" s="5"/>
      <c r="P327" s="5"/>
      <c r="Q327" s="4"/>
      <c r="R327" s="3"/>
      <c r="S327" s="2"/>
      <c r="T327" s="1"/>
    </row>
    <row r="328" spans="4:20" ht="13.5" x14ac:dyDescent="0.25">
      <c r="D328" s="7"/>
      <c r="L328" s="6"/>
      <c r="N328" s="5"/>
      <c r="O328" s="5"/>
      <c r="P328" s="5"/>
      <c r="Q328" s="4"/>
      <c r="R328" s="3"/>
      <c r="S328" s="2"/>
      <c r="T328" s="1"/>
    </row>
    <row r="329" spans="4:20" ht="13.5" x14ac:dyDescent="0.25">
      <c r="D329" s="7"/>
      <c r="L329" s="6"/>
      <c r="N329" s="5"/>
      <c r="O329" s="5"/>
      <c r="P329" s="5"/>
      <c r="Q329" s="4"/>
      <c r="R329" s="3"/>
      <c r="S329" s="2"/>
      <c r="T329" s="1"/>
    </row>
    <row r="330" spans="4:20" ht="13.5" x14ac:dyDescent="0.25">
      <c r="D330" s="7"/>
      <c r="L330" s="6"/>
      <c r="N330" s="5"/>
      <c r="O330" s="5"/>
      <c r="P330" s="5"/>
      <c r="Q330" s="4"/>
      <c r="R330" s="3"/>
      <c r="S330" s="2"/>
      <c r="T330" s="1"/>
    </row>
    <row r="331" spans="4:20" ht="13.5" x14ac:dyDescent="0.25">
      <c r="D331" s="7"/>
      <c r="L331" s="6"/>
      <c r="N331" s="5"/>
      <c r="O331" s="5"/>
      <c r="P331" s="5"/>
      <c r="Q331" s="4"/>
      <c r="R331" s="3"/>
      <c r="S331" s="2"/>
      <c r="T331" s="1"/>
    </row>
    <row r="332" spans="4:20" ht="13.5" x14ac:dyDescent="0.25">
      <c r="D332" s="7"/>
      <c r="L332" s="6"/>
      <c r="N332" s="5"/>
      <c r="O332" s="5"/>
      <c r="P332" s="5"/>
      <c r="Q332" s="4"/>
      <c r="R332" s="3"/>
      <c r="S332" s="2"/>
      <c r="T332" s="1"/>
    </row>
    <row r="333" spans="4:20" ht="13.5" x14ac:dyDescent="0.25">
      <c r="D333" s="7"/>
      <c r="L333" s="6"/>
      <c r="N333" s="5"/>
      <c r="O333" s="5"/>
      <c r="P333" s="5"/>
      <c r="Q333" s="4"/>
      <c r="R333" s="3"/>
      <c r="S333" s="2"/>
      <c r="T333" s="1"/>
    </row>
    <row r="334" spans="4:20" ht="13.5" x14ac:dyDescent="0.25">
      <c r="D334" s="7"/>
      <c r="L334" s="6"/>
      <c r="N334" s="5"/>
      <c r="O334" s="5"/>
      <c r="P334" s="5"/>
      <c r="Q334" s="4"/>
      <c r="R334" s="3"/>
      <c r="S334" s="2"/>
      <c r="T334" s="1"/>
    </row>
    <row r="335" spans="4:20" ht="13.5" x14ac:dyDescent="0.25">
      <c r="D335" s="7"/>
      <c r="L335" s="6"/>
      <c r="N335" s="5"/>
      <c r="O335" s="5"/>
      <c r="P335" s="5"/>
      <c r="Q335" s="4"/>
      <c r="R335" s="3"/>
      <c r="S335" s="2"/>
      <c r="T335" s="1"/>
    </row>
    <row r="336" spans="4:20" ht="13.5" x14ac:dyDescent="0.25">
      <c r="D336" s="7"/>
      <c r="L336" s="6"/>
      <c r="N336" s="5"/>
      <c r="O336" s="5"/>
      <c r="P336" s="5"/>
      <c r="Q336" s="4"/>
      <c r="R336" s="3"/>
      <c r="S336" s="2"/>
      <c r="T336" s="1"/>
    </row>
    <row r="337" spans="4:20" ht="13.5" x14ac:dyDescent="0.25">
      <c r="D337" s="7"/>
      <c r="L337" s="6"/>
      <c r="N337" s="5"/>
      <c r="O337" s="5"/>
      <c r="P337" s="5"/>
      <c r="Q337" s="4"/>
      <c r="R337" s="3"/>
      <c r="S337" s="2"/>
      <c r="T337" s="1"/>
    </row>
    <row r="338" spans="4:20" ht="13.5" x14ac:dyDescent="0.25">
      <c r="D338" s="7"/>
      <c r="L338" s="6"/>
      <c r="N338" s="5"/>
      <c r="O338" s="5"/>
      <c r="P338" s="5"/>
      <c r="Q338" s="4"/>
      <c r="R338" s="3"/>
      <c r="S338" s="2"/>
      <c r="T338" s="1"/>
    </row>
    <row r="339" spans="4:20" ht="13.5" x14ac:dyDescent="0.25">
      <c r="D339" s="7"/>
      <c r="L339" s="6"/>
      <c r="N339" s="5"/>
      <c r="O339" s="5"/>
      <c r="P339" s="5"/>
      <c r="Q339" s="4"/>
      <c r="R339" s="3"/>
      <c r="S339" s="2"/>
      <c r="T339" s="1"/>
    </row>
    <row r="340" spans="4:20" ht="13.5" x14ac:dyDescent="0.25">
      <c r="D340" s="7"/>
      <c r="L340" s="6"/>
      <c r="N340" s="5"/>
      <c r="O340" s="5"/>
      <c r="P340" s="5"/>
      <c r="Q340" s="4"/>
      <c r="R340" s="3"/>
      <c r="S340" s="2"/>
      <c r="T340" s="1"/>
    </row>
    <row r="341" spans="4:20" ht="13.5" x14ac:dyDescent="0.25">
      <c r="D341" s="7"/>
      <c r="L341" s="6"/>
      <c r="N341" s="5"/>
      <c r="O341" s="5"/>
      <c r="P341" s="5"/>
      <c r="Q341" s="4"/>
      <c r="R341" s="3"/>
      <c r="S341" s="2"/>
      <c r="T341" s="1"/>
    </row>
    <row r="342" spans="4:20" ht="13.5" x14ac:dyDescent="0.25">
      <c r="D342" s="7"/>
      <c r="L342" s="6"/>
      <c r="N342" s="5"/>
      <c r="O342" s="5"/>
      <c r="P342" s="5"/>
      <c r="Q342" s="4"/>
      <c r="R342" s="3"/>
      <c r="S342" s="2"/>
      <c r="T342" s="1"/>
    </row>
    <row r="343" spans="4:20" ht="13.5" x14ac:dyDescent="0.25">
      <c r="D343" s="7"/>
      <c r="L343" s="6"/>
      <c r="N343" s="5"/>
      <c r="O343" s="5"/>
      <c r="P343" s="5"/>
      <c r="Q343" s="4"/>
      <c r="R343" s="3"/>
      <c r="S343" s="2"/>
      <c r="T343" s="1"/>
    </row>
    <row r="344" spans="4:20" ht="13.5" x14ac:dyDescent="0.25">
      <c r="D344" s="7"/>
      <c r="L344" s="6"/>
      <c r="N344" s="5"/>
      <c r="O344" s="5"/>
      <c r="P344" s="5"/>
      <c r="Q344" s="4"/>
      <c r="R344" s="3"/>
      <c r="S344" s="2"/>
      <c r="T344" s="1"/>
    </row>
    <row r="345" spans="4:20" ht="13.5" x14ac:dyDescent="0.25">
      <c r="D345" s="7"/>
      <c r="L345" s="6"/>
      <c r="N345" s="5"/>
      <c r="O345" s="5"/>
      <c r="P345" s="5"/>
      <c r="Q345" s="4"/>
      <c r="R345" s="3"/>
      <c r="S345" s="2"/>
      <c r="T345" s="1"/>
    </row>
    <row r="346" spans="4:20" ht="13.5" x14ac:dyDescent="0.25">
      <c r="D346" s="7"/>
      <c r="L346" s="6"/>
      <c r="N346" s="5"/>
      <c r="O346" s="5"/>
      <c r="P346" s="5"/>
      <c r="Q346" s="4"/>
      <c r="R346" s="3"/>
      <c r="S346" s="2"/>
      <c r="T346" s="1"/>
    </row>
    <row r="347" spans="4:20" ht="13.5" x14ac:dyDescent="0.25">
      <c r="D347" s="7"/>
      <c r="L347" s="6"/>
      <c r="N347" s="5"/>
      <c r="O347" s="5"/>
      <c r="P347" s="5"/>
      <c r="Q347" s="4"/>
      <c r="R347" s="3"/>
      <c r="S347" s="2"/>
      <c r="T347" s="1"/>
    </row>
    <row r="348" spans="4:20" ht="13.5" x14ac:dyDescent="0.25">
      <c r="D348" s="7"/>
      <c r="L348" s="6"/>
      <c r="N348" s="5"/>
      <c r="O348" s="5"/>
      <c r="P348" s="5"/>
      <c r="Q348" s="4"/>
      <c r="R348" s="3"/>
      <c r="S348" s="2"/>
      <c r="T348" s="1"/>
    </row>
    <row r="349" spans="4:20" ht="13.5" x14ac:dyDescent="0.25">
      <c r="D349" s="7"/>
      <c r="L349" s="6"/>
      <c r="N349" s="5"/>
      <c r="O349" s="5"/>
      <c r="P349" s="5"/>
      <c r="Q349" s="4"/>
      <c r="R349" s="3"/>
      <c r="S349" s="2"/>
      <c r="T349" s="1"/>
    </row>
    <row r="350" spans="4:20" ht="13.5" x14ac:dyDescent="0.25">
      <c r="D350" s="7"/>
      <c r="L350" s="6"/>
      <c r="N350" s="5"/>
      <c r="O350" s="5"/>
      <c r="P350" s="5"/>
      <c r="Q350" s="4"/>
      <c r="R350" s="3"/>
      <c r="S350" s="2"/>
      <c r="T350" s="1"/>
    </row>
    <row r="351" spans="4:20" ht="13.5" x14ac:dyDescent="0.25">
      <c r="D351" s="7"/>
      <c r="L351" s="6"/>
      <c r="N351" s="5"/>
      <c r="O351" s="5"/>
      <c r="P351" s="5"/>
      <c r="Q351" s="4"/>
      <c r="R351" s="3"/>
      <c r="S351" s="2"/>
      <c r="T351" s="1"/>
    </row>
    <row r="352" spans="4:20" ht="13.5" x14ac:dyDescent="0.25">
      <c r="D352" s="7"/>
      <c r="L352" s="6"/>
      <c r="N352" s="5"/>
      <c r="O352" s="5"/>
      <c r="P352" s="5"/>
      <c r="Q352" s="4"/>
      <c r="R352" s="3"/>
      <c r="S352" s="2"/>
      <c r="T352" s="1"/>
    </row>
    <row r="353" spans="4:20" ht="13.5" x14ac:dyDescent="0.25">
      <c r="D353" s="7"/>
      <c r="L353" s="6"/>
      <c r="N353" s="5"/>
      <c r="O353" s="5"/>
      <c r="P353" s="5"/>
      <c r="Q353" s="4"/>
      <c r="R353" s="3"/>
      <c r="S353" s="2"/>
      <c r="T353" s="1"/>
    </row>
    <row r="354" spans="4:20" ht="13.5" x14ac:dyDescent="0.25">
      <c r="D354" s="7"/>
      <c r="L354" s="6"/>
      <c r="N354" s="5"/>
      <c r="O354" s="5"/>
      <c r="P354" s="5"/>
      <c r="Q354" s="4"/>
      <c r="R354" s="3"/>
      <c r="S354" s="2"/>
      <c r="T354" s="1"/>
    </row>
    <row r="355" spans="4:20" ht="13.5" x14ac:dyDescent="0.25">
      <c r="D355" s="7"/>
      <c r="L355" s="6"/>
      <c r="N355" s="5"/>
      <c r="O355" s="5"/>
      <c r="P355" s="5"/>
      <c r="Q355" s="4"/>
      <c r="R355" s="3"/>
      <c r="S355" s="2"/>
      <c r="T355" s="1"/>
    </row>
    <row r="356" spans="4:20" ht="13.5" x14ac:dyDescent="0.25">
      <c r="D356" s="7"/>
      <c r="L356" s="6"/>
      <c r="N356" s="5"/>
      <c r="O356" s="5"/>
      <c r="P356" s="5"/>
      <c r="Q356" s="4"/>
      <c r="R356" s="3"/>
      <c r="S356" s="2"/>
      <c r="T356" s="1"/>
    </row>
    <row r="357" spans="4:20" ht="13.5" x14ac:dyDescent="0.25">
      <c r="D357" s="7"/>
      <c r="L357" s="6"/>
      <c r="N357" s="5"/>
      <c r="O357" s="5"/>
      <c r="P357" s="5"/>
      <c r="Q357" s="4"/>
      <c r="R357" s="3"/>
      <c r="S357" s="2"/>
      <c r="T357" s="1"/>
    </row>
    <row r="358" spans="4:20" ht="13.5" x14ac:dyDescent="0.25">
      <c r="D358" s="7"/>
      <c r="L358" s="6"/>
      <c r="N358" s="5"/>
      <c r="O358" s="5"/>
      <c r="P358" s="5"/>
      <c r="Q358" s="4"/>
      <c r="R358" s="3"/>
      <c r="S358" s="2"/>
      <c r="T358" s="1"/>
    </row>
    <row r="359" spans="4:20" ht="13.5" x14ac:dyDescent="0.25">
      <c r="D359" s="7"/>
      <c r="L359" s="6"/>
      <c r="N359" s="5"/>
      <c r="O359" s="5"/>
      <c r="P359" s="5"/>
      <c r="Q359" s="4"/>
      <c r="R359" s="3"/>
      <c r="S359" s="2"/>
      <c r="T359" s="1"/>
    </row>
    <row r="360" spans="4:20" ht="13.5" x14ac:dyDescent="0.25">
      <c r="D360" s="7"/>
      <c r="L360" s="6"/>
      <c r="N360" s="5"/>
      <c r="O360" s="5"/>
      <c r="P360" s="5"/>
      <c r="Q360" s="4"/>
      <c r="R360" s="3"/>
      <c r="S360" s="2"/>
      <c r="T360" s="1"/>
    </row>
    <row r="361" spans="4:20" ht="13.5" x14ac:dyDescent="0.25">
      <c r="D361" s="7"/>
      <c r="L361" s="6"/>
      <c r="N361" s="5"/>
      <c r="O361" s="5"/>
      <c r="P361" s="5"/>
      <c r="Q361" s="4"/>
      <c r="R361" s="3"/>
      <c r="S361" s="2"/>
      <c r="T361" s="1"/>
    </row>
    <row r="362" spans="4:20" ht="13.5" x14ac:dyDescent="0.25">
      <c r="D362" s="7"/>
      <c r="L362" s="6"/>
      <c r="N362" s="5"/>
      <c r="O362" s="5"/>
      <c r="P362" s="5"/>
      <c r="Q362" s="4"/>
      <c r="R362" s="3"/>
      <c r="S362" s="2"/>
      <c r="T362" s="1"/>
    </row>
    <row r="363" spans="4:20" ht="13.5" x14ac:dyDescent="0.25">
      <c r="D363" s="7"/>
      <c r="L363" s="6"/>
      <c r="N363" s="5"/>
      <c r="O363" s="5"/>
      <c r="P363" s="5"/>
      <c r="Q363" s="4"/>
      <c r="R363" s="3"/>
      <c r="S363" s="2"/>
      <c r="T363" s="1"/>
    </row>
    <row r="364" spans="4:20" ht="13.5" x14ac:dyDescent="0.25">
      <c r="D364" s="7"/>
      <c r="L364" s="6"/>
      <c r="N364" s="5"/>
      <c r="O364" s="5"/>
      <c r="P364" s="5"/>
      <c r="Q364" s="4"/>
      <c r="R364" s="3"/>
      <c r="S364" s="2"/>
      <c r="T364" s="1"/>
    </row>
    <row r="365" spans="4:20" ht="13.5" x14ac:dyDescent="0.25">
      <c r="D365" s="7"/>
      <c r="L365" s="6"/>
      <c r="N365" s="5"/>
      <c r="O365" s="5"/>
      <c r="P365" s="5"/>
      <c r="Q365" s="4"/>
      <c r="R365" s="3"/>
      <c r="S365" s="2"/>
      <c r="T365" s="1"/>
    </row>
    <row r="366" spans="4:20" ht="13.5" x14ac:dyDescent="0.25">
      <c r="D366" s="7"/>
      <c r="L366" s="6"/>
      <c r="N366" s="5"/>
      <c r="O366" s="5"/>
      <c r="P366" s="5"/>
      <c r="Q366" s="4"/>
      <c r="R366" s="3"/>
      <c r="S366" s="2"/>
      <c r="T366" s="1"/>
    </row>
    <row r="367" spans="4:20" ht="13.5" x14ac:dyDescent="0.25">
      <c r="D367" s="7"/>
      <c r="L367" s="6"/>
      <c r="N367" s="5"/>
      <c r="O367" s="5"/>
      <c r="P367" s="5"/>
      <c r="Q367" s="4"/>
      <c r="R367" s="3"/>
      <c r="S367" s="2"/>
      <c r="T367" s="1"/>
    </row>
    <row r="368" spans="4:20" ht="13.5" x14ac:dyDescent="0.25">
      <c r="D368" s="7"/>
      <c r="L368" s="6"/>
      <c r="N368" s="5"/>
      <c r="O368" s="5"/>
      <c r="P368" s="5"/>
      <c r="Q368" s="4"/>
      <c r="R368" s="3"/>
      <c r="S368" s="2"/>
      <c r="T368" s="1"/>
    </row>
    <row r="369" spans="4:20" ht="13.5" x14ac:dyDescent="0.25">
      <c r="D369" s="7"/>
      <c r="L369" s="6"/>
      <c r="N369" s="5"/>
      <c r="O369" s="5"/>
      <c r="P369" s="5"/>
      <c r="Q369" s="4"/>
      <c r="R369" s="3"/>
      <c r="S369" s="2"/>
      <c r="T369" s="1"/>
    </row>
    <row r="370" spans="4:20" ht="13.5" x14ac:dyDescent="0.25">
      <c r="D370" s="7"/>
      <c r="L370" s="6"/>
      <c r="N370" s="5"/>
      <c r="O370" s="5"/>
      <c r="P370" s="5"/>
      <c r="Q370" s="4"/>
      <c r="R370" s="3"/>
      <c r="S370" s="2"/>
      <c r="T370" s="1"/>
    </row>
    <row r="371" spans="4:20" ht="13.5" x14ac:dyDescent="0.25">
      <c r="D371" s="7"/>
      <c r="L371" s="6"/>
      <c r="N371" s="5"/>
      <c r="O371" s="5"/>
      <c r="P371" s="5"/>
      <c r="Q371" s="4"/>
      <c r="R371" s="3"/>
      <c r="S371" s="2"/>
      <c r="T371" s="1"/>
    </row>
    <row r="372" spans="4:20" ht="13.5" x14ac:dyDescent="0.25">
      <c r="D372" s="7"/>
      <c r="L372" s="6"/>
      <c r="N372" s="5"/>
      <c r="O372" s="5"/>
      <c r="P372" s="5"/>
      <c r="Q372" s="4"/>
      <c r="R372" s="3"/>
      <c r="S372" s="2"/>
      <c r="T372" s="1"/>
    </row>
    <row r="373" spans="4:20" ht="13.5" x14ac:dyDescent="0.25">
      <c r="D373" s="7"/>
      <c r="L373" s="6"/>
      <c r="N373" s="5"/>
      <c r="O373" s="5"/>
      <c r="P373" s="5"/>
      <c r="Q373" s="4"/>
      <c r="R373" s="3"/>
      <c r="S373" s="2"/>
      <c r="T373" s="1"/>
    </row>
    <row r="374" spans="4:20" ht="13.5" x14ac:dyDescent="0.25">
      <c r="D374" s="7"/>
      <c r="L374" s="6"/>
      <c r="N374" s="5"/>
      <c r="O374" s="5"/>
      <c r="P374" s="5"/>
      <c r="Q374" s="4"/>
      <c r="R374" s="3"/>
      <c r="S374" s="2"/>
      <c r="T374" s="1"/>
    </row>
    <row r="375" spans="4:20" ht="13.5" x14ac:dyDescent="0.25">
      <c r="D375" s="7"/>
      <c r="L375" s="6"/>
      <c r="N375" s="5"/>
      <c r="O375" s="5"/>
      <c r="P375" s="5"/>
      <c r="Q375" s="4"/>
      <c r="R375" s="3"/>
      <c r="S375" s="2"/>
      <c r="T375" s="1"/>
    </row>
    <row r="376" spans="4:20" ht="13.5" x14ac:dyDescent="0.25">
      <c r="D376" s="7"/>
      <c r="L376" s="6"/>
      <c r="N376" s="5"/>
      <c r="O376" s="5"/>
      <c r="P376" s="5"/>
      <c r="Q376" s="4"/>
      <c r="R376" s="3"/>
      <c r="S376" s="2"/>
      <c r="T376" s="1"/>
    </row>
    <row r="377" spans="4:20" ht="13.5" x14ac:dyDescent="0.25">
      <c r="D377" s="7"/>
      <c r="L377" s="6"/>
      <c r="N377" s="5"/>
      <c r="O377" s="5"/>
      <c r="P377" s="5"/>
      <c r="Q377" s="4"/>
      <c r="R377" s="3"/>
      <c r="S377" s="2"/>
      <c r="T377" s="1"/>
    </row>
    <row r="378" spans="4:20" ht="13.5" x14ac:dyDescent="0.25">
      <c r="D378" s="7"/>
      <c r="L378" s="6"/>
      <c r="N378" s="5"/>
      <c r="O378" s="5"/>
      <c r="P378" s="5"/>
      <c r="Q378" s="4"/>
      <c r="R378" s="3"/>
      <c r="S378" s="2"/>
      <c r="T378" s="1"/>
    </row>
    <row r="379" spans="4:20" ht="13.5" x14ac:dyDescent="0.25">
      <c r="D379" s="7"/>
      <c r="L379" s="6"/>
      <c r="N379" s="5"/>
      <c r="O379" s="5"/>
      <c r="P379" s="5"/>
      <c r="Q379" s="4"/>
      <c r="R379" s="3"/>
      <c r="S379" s="2"/>
      <c r="T379" s="1"/>
    </row>
    <row r="380" spans="4:20" ht="13.5" x14ac:dyDescent="0.25">
      <c r="D380" s="7"/>
      <c r="L380" s="6"/>
      <c r="N380" s="5"/>
      <c r="O380" s="5"/>
      <c r="P380" s="5"/>
      <c r="Q380" s="4"/>
      <c r="R380" s="3"/>
      <c r="S380" s="2"/>
      <c r="T380" s="1"/>
    </row>
    <row r="381" spans="4:20" ht="13.5" x14ac:dyDescent="0.25">
      <c r="D381" s="7"/>
      <c r="L381" s="6"/>
      <c r="N381" s="5"/>
      <c r="O381" s="5"/>
      <c r="P381" s="5"/>
      <c r="Q381" s="4"/>
      <c r="R381" s="3"/>
      <c r="S381" s="2"/>
      <c r="T381" s="1"/>
    </row>
    <row r="382" spans="4:20" ht="13.5" x14ac:dyDescent="0.25">
      <c r="D382" s="7"/>
      <c r="L382" s="6"/>
      <c r="N382" s="5"/>
      <c r="O382" s="5"/>
      <c r="P382" s="5"/>
      <c r="Q382" s="4"/>
      <c r="R382" s="3"/>
      <c r="S382" s="2"/>
      <c r="T382" s="1"/>
    </row>
    <row r="383" spans="4:20" ht="13.5" x14ac:dyDescent="0.25">
      <c r="D383" s="7"/>
      <c r="L383" s="6"/>
      <c r="N383" s="5"/>
      <c r="O383" s="5"/>
      <c r="P383" s="5"/>
      <c r="Q383" s="4"/>
      <c r="R383" s="3"/>
      <c r="S383" s="2"/>
      <c r="T383" s="1"/>
    </row>
    <row r="384" spans="4:20" ht="13.5" x14ac:dyDescent="0.25">
      <c r="D384" s="7"/>
      <c r="L384" s="6"/>
      <c r="N384" s="5"/>
      <c r="O384" s="5"/>
      <c r="P384" s="5"/>
      <c r="Q384" s="4"/>
      <c r="R384" s="3"/>
      <c r="S384" s="2"/>
      <c r="T384" s="1"/>
    </row>
    <row r="385" spans="4:20" ht="13.5" x14ac:dyDescent="0.25">
      <c r="D385" s="7"/>
      <c r="L385" s="6"/>
      <c r="N385" s="5"/>
      <c r="O385" s="5"/>
      <c r="P385" s="5"/>
      <c r="Q385" s="4"/>
      <c r="R385" s="3"/>
      <c r="S385" s="2"/>
      <c r="T385" s="1"/>
    </row>
    <row r="386" spans="4:20" ht="13.5" x14ac:dyDescent="0.25">
      <c r="D386" s="7"/>
      <c r="L386" s="6"/>
      <c r="N386" s="5"/>
      <c r="O386" s="5"/>
      <c r="P386" s="5"/>
      <c r="Q386" s="4"/>
      <c r="R386" s="3"/>
      <c r="S386" s="2"/>
      <c r="T386" s="1"/>
    </row>
    <row r="387" spans="4:20" ht="13.5" x14ac:dyDescent="0.25">
      <c r="D387" s="7"/>
      <c r="L387" s="6"/>
      <c r="N387" s="5"/>
      <c r="O387" s="5"/>
      <c r="P387" s="5"/>
      <c r="Q387" s="4"/>
      <c r="R387" s="3"/>
      <c r="S387" s="2"/>
      <c r="T387" s="1"/>
    </row>
    <row r="388" spans="4:20" ht="13.5" x14ac:dyDescent="0.25">
      <c r="D388" s="7"/>
      <c r="L388" s="6"/>
      <c r="N388" s="5"/>
      <c r="O388" s="5"/>
      <c r="P388" s="5"/>
      <c r="Q388" s="4"/>
      <c r="R388" s="3"/>
      <c r="S388" s="2"/>
      <c r="T388" s="1"/>
    </row>
    <row r="389" spans="4:20" ht="13.5" x14ac:dyDescent="0.25">
      <c r="D389" s="7"/>
      <c r="L389" s="6"/>
      <c r="N389" s="5"/>
      <c r="O389" s="5"/>
      <c r="P389" s="5"/>
      <c r="Q389" s="4"/>
      <c r="R389" s="3"/>
      <c r="S389" s="2"/>
      <c r="T389" s="1"/>
    </row>
    <row r="390" spans="4:20" ht="13.5" x14ac:dyDescent="0.25">
      <c r="D390" s="7"/>
      <c r="L390" s="6"/>
      <c r="N390" s="5"/>
      <c r="O390" s="5"/>
      <c r="P390" s="5"/>
      <c r="Q390" s="4"/>
      <c r="R390" s="3"/>
      <c r="S390" s="2"/>
      <c r="T390" s="1"/>
    </row>
    <row r="391" spans="4:20" ht="13.5" x14ac:dyDescent="0.25">
      <c r="D391" s="7"/>
      <c r="L391" s="6"/>
      <c r="N391" s="5"/>
      <c r="O391" s="5"/>
      <c r="P391" s="5"/>
      <c r="Q391" s="4"/>
      <c r="R391" s="3"/>
      <c r="S391" s="2"/>
      <c r="T391" s="1"/>
    </row>
    <row r="392" spans="4:20" ht="13.5" x14ac:dyDescent="0.25">
      <c r="D392" s="7"/>
      <c r="L392" s="6"/>
      <c r="N392" s="5"/>
      <c r="O392" s="5"/>
      <c r="P392" s="5"/>
      <c r="Q392" s="4"/>
      <c r="R392" s="3"/>
      <c r="S392" s="2"/>
      <c r="T392" s="1"/>
    </row>
    <row r="393" spans="4:20" ht="13.5" x14ac:dyDescent="0.25">
      <c r="D393" s="7"/>
      <c r="L393" s="6"/>
      <c r="N393" s="5"/>
      <c r="O393" s="5"/>
      <c r="P393" s="5"/>
      <c r="Q393" s="4"/>
      <c r="R393" s="3"/>
      <c r="S393" s="2"/>
      <c r="T393" s="1"/>
    </row>
    <row r="394" spans="4:20" ht="13.5" x14ac:dyDescent="0.25">
      <c r="D394" s="7"/>
      <c r="L394" s="6"/>
      <c r="N394" s="5"/>
      <c r="O394" s="5"/>
      <c r="P394" s="5"/>
      <c r="Q394" s="4"/>
      <c r="R394" s="3"/>
      <c r="S394" s="2"/>
      <c r="T394" s="1"/>
    </row>
    <row r="395" spans="4:20" ht="13.5" x14ac:dyDescent="0.25">
      <c r="D395" s="7"/>
      <c r="L395" s="6"/>
      <c r="N395" s="5"/>
      <c r="O395" s="5"/>
      <c r="P395" s="5"/>
      <c r="Q395" s="4"/>
      <c r="R395" s="3"/>
      <c r="S395" s="2"/>
      <c r="T395" s="1"/>
    </row>
    <row r="396" spans="4:20" ht="13.5" x14ac:dyDescent="0.25">
      <c r="D396" s="7"/>
      <c r="L396" s="6"/>
      <c r="N396" s="5"/>
      <c r="O396" s="5"/>
      <c r="P396" s="5"/>
      <c r="Q396" s="4"/>
      <c r="R396" s="3"/>
      <c r="S396" s="2"/>
      <c r="T396" s="1"/>
    </row>
    <row r="397" spans="4:20" ht="13.5" x14ac:dyDescent="0.25">
      <c r="D397" s="7"/>
      <c r="L397" s="6"/>
      <c r="N397" s="5"/>
      <c r="O397" s="5"/>
      <c r="P397" s="5"/>
      <c r="Q397" s="4"/>
      <c r="R397" s="3"/>
      <c r="S397" s="2"/>
      <c r="T397" s="1"/>
    </row>
    <row r="398" spans="4:20" ht="13.5" x14ac:dyDescent="0.25">
      <c r="D398" s="7"/>
      <c r="L398" s="6"/>
      <c r="N398" s="5"/>
      <c r="O398" s="5"/>
      <c r="P398" s="5"/>
      <c r="Q398" s="4"/>
      <c r="R398" s="3"/>
      <c r="S398" s="2"/>
      <c r="T398" s="1"/>
    </row>
    <row r="399" spans="4:20" ht="13.5" x14ac:dyDescent="0.25">
      <c r="D399" s="7"/>
      <c r="L399" s="6"/>
      <c r="N399" s="5"/>
      <c r="O399" s="5"/>
      <c r="P399" s="5"/>
      <c r="Q399" s="4"/>
      <c r="R399" s="3"/>
      <c r="S399" s="2"/>
      <c r="T399" s="1"/>
    </row>
    <row r="400" spans="4:20" ht="13.5" x14ac:dyDescent="0.25">
      <c r="D400" s="7"/>
      <c r="L400" s="6"/>
      <c r="N400" s="5"/>
      <c r="O400" s="5"/>
      <c r="P400" s="5"/>
      <c r="Q400" s="4"/>
      <c r="R400" s="3"/>
      <c r="S400" s="2"/>
      <c r="T400" s="1"/>
    </row>
    <row r="401" spans="4:20" ht="13.5" x14ac:dyDescent="0.25">
      <c r="D401" s="7"/>
      <c r="L401" s="6"/>
      <c r="N401" s="5"/>
      <c r="O401" s="5"/>
      <c r="P401" s="5"/>
      <c r="Q401" s="4"/>
      <c r="R401" s="3"/>
      <c r="S401" s="2"/>
      <c r="T401" s="1"/>
    </row>
    <row r="402" spans="4:20" ht="13.5" x14ac:dyDescent="0.25">
      <c r="D402" s="7"/>
      <c r="L402" s="6"/>
      <c r="N402" s="5"/>
      <c r="O402" s="5"/>
      <c r="P402" s="5"/>
      <c r="Q402" s="4"/>
      <c r="R402" s="3"/>
      <c r="S402" s="2"/>
      <c r="T402" s="1"/>
    </row>
    <row r="403" spans="4:20" ht="13.5" x14ac:dyDescent="0.25">
      <c r="D403" s="7"/>
      <c r="L403" s="6"/>
      <c r="N403" s="5"/>
      <c r="O403" s="5"/>
      <c r="P403" s="5"/>
      <c r="Q403" s="4"/>
      <c r="R403" s="3"/>
      <c r="S403" s="2"/>
      <c r="T403" s="1"/>
    </row>
    <row r="404" spans="4:20" ht="13.5" x14ac:dyDescent="0.25">
      <c r="D404" s="7"/>
      <c r="L404" s="6"/>
      <c r="N404" s="5"/>
      <c r="O404" s="5"/>
      <c r="P404" s="5"/>
      <c r="Q404" s="4"/>
      <c r="R404" s="3"/>
      <c r="S404" s="2"/>
      <c r="T404" s="1"/>
    </row>
    <row r="405" spans="4:20" ht="13.5" x14ac:dyDescent="0.25">
      <c r="D405" s="7"/>
      <c r="L405" s="6"/>
      <c r="N405" s="5"/>
      <c r="O405" s="5"/>
      <c r="P405" s="5"/>
      <c r="Q405" s="4"/>
      <c r="R405" s="3"/>
      <c r="S405" s="2"/>
      <c r="T405" s="1"/>
    </row>
    <row r="406" spans="4:20" ht="13.5" x14ac:dyDescent="0.25">
      <c r="D406" s="7"/>
      <c r="L406" s="6"/>
      <c r="N406" s="5"/>
      <c r="O406" s="5"/>
      <c r="P406" s="5"/>
      <c r="Q406" s="4"/>
      <c r="R406" s="3"/>
      <c r="S406" s="2"/>
      <c r="T406" s="1"/>
    </row>
    <row r="407" spans="4:20" ht="13.5" x14ac:dyDescent="0.25">
      <c r="D407" s="7"/>
      <c r="L407" s="6"/>
      <c r="N407" s="5"/>
      <c r="O407" s="5"/>
      <c r="P407" s="5"/>
      <c r="Q407" s="4"/>
      <c r="R407" s="3"/>
      <c r="S407" s="2"/>
      <c r="T407" s="1"/>
    </row>
    <row r="408" spans="4:20" ht="13.5" x14ac:dyDescent="0.25">
      <c r="D408" s="7"/>
      <c r="L408" s="6"/>
      <c r="N408" s="5"/>
      <c r="O408" s="5"/>
      <c r="P408" s="5"/>
      <c r="Q408" s="4"/>
      <c r="R408" s="3"/>
      <c r="S408" s="2"/>
      <c r="T408" s="1"/>
    </row>
    <row r="409" spans="4:20" ht="13.5" x14ac:dyDescent="0.25">
      <c r="D409" s="7"/>
      <c r="L409" s="6"/>
      <c r="N409" s="5"/>
      <c r="O409" s="5"/>
      <c r="P409" s="5"/>
      <c r="Q409" s="4"/>
      <c r="R409" s="3"/>
      <c r="S409" s="2"/>
      <c r="T409" s="1"/>
    </row>
    <row r="410" spans="4:20" ht="13.5" x14ac:dyDescent="0.25">
      <c r="D410" s="7"/>
      <c r="L410" s="6"/>
      <c r="N410" s="5"/>
      <c r="O410" s="5"/>
      <c r="P410" s="5"/>
      <c r="Q410" s="4"/>
      <c r="R410" s="3"/>
      <c r="S410" s="2"/>
      <c r="T410" s="1"/>
    </row>
    <row r="411" spans="4:20" ht="13.5" x14ac:dyDescent="0.25">
      <c r="D411" s="7"/>
      <c r="L411" s="6"/>
      <c r="N411" s="5"/>
      <c r="O411" s="5"/>
      <c r="P411" s="5"/>
      <c r="Q411" s="4"/>
      <c r="R411" s="3"/>
      <c r="S411" s="2"/>
      <c r="T411" s="1"/>
    </row>
    <row r="412" spans="4:20" ht="13.5" x14ac:dyDescent="0.25">
      <c r="D412" s="7"/>
      <c r="L412" s="6"/>
      <c r="N412" s="5"/>
      <c r="O412" s="5"/>
      <c r="P412" s="5"/>
      <c r="Q412" s="4"/>
      <c r="R412" s="3"/>
      <c r="S412" s="2"/>
      <c r="T412" s="1"/>
    </row>
    <row r="413" spans="4:20" ht="13.5" x14ac:dyDescent="0.25">
      <c r="D413" s="7"/>
      <c r="L413" s="6"/>
      <c r="N413" s="5"/>
      <c r="O413" s="5"/>
      <c r="P413" s="5"/>
      <c r="Q413" s="4"/>
      <c r="R413" s="3"/>
      <c r="S413" s="2"/>
      <c r="T413" s="1"/>
    </row>
    <row r="414" spans="4:20" ht="13.5" x14ac:dyDescent="0.25">
      <c r="D414" s="7"/>
      <c r="L414" s="6"/>
      <c r="N414" s="5"/>
      <c r="O414" s="5"/>
      <c r="P414" s="5"/>
      <c r="Q414" s="4"/>
      <c r="R414" s="3"/>
      <c r="S414" s="2"/>
      <c r="T414" s="1"/>
    </row>
    <row r="415" spans="4:20" ht="13.5" x14ac:dyDescent="0.25">
      <c r="D415" s="7"/>
      <c r="L415" s="6"/>
      <c r="N415" s="5"/>
      <c r="O415" s="5"/>
      <c r="P415" s="5"/>
      <c r="Q415" s="4"/>
      <c r="R415" s="3"/>
      <c r="S415" s="2"/>
      <c r="T415" s="1"/>
    </row>
    <row r="416" spans="4:20" ht="13.5" x14ac:dyDescent="0.25">
      <c r="D416" s="7"/>
      <c r="L416" s="6"/>
      <c r="N416" s="5"/>
      <c r="O416" s="5"/>
      <c r="P416" s="5"/>
      <c r="Q416" s="4"/>
      <c r="R416" s="3"/>
      <c r="S416" s="2"/>
      <c r="T416" s="1"/>
    </row>
    <row r="417" spans="4:20" ht="13.5" x14ac:dyDescent="0.25">
      <c r="D417" s="7"/>
      <c r="L417" s="6"/>
      <c r="N417" s="5"/>
      <c r="O417" s="5"/>
      <c r="P417" s="5"/>
      <c r="Q417" s="4"/>
      <c r="R417" s="3"/>
      <c r="S417" s="2"/>
      <c r="T417" s="1"/>
    </row>
    <row r="418" spans="4:20" ht="13.5" x14ac:dyDescent="0.25">
      <c r="D418" s="7"/>
      <c r="L418" s="6"/>
      <c r="N418" s="5"/>
      <c r="O418" s="5"/>
      <c r="P418" s="5"/>
      <c r="Q418" s="4"/>
      <c r="R418" s="3"/>
      <c r="S418" s="2"/>
      <c r="T418" s="1"/>
    </row>
    <row r="419" spans="4:20" ht="13.5" x14ac:dyDescent="0.25">
      <c r="D419" s="7"/>
      <c r="L419" s="6"/>
      <c r="N419" s="5"/>
      <c r="O419" s="5"/>
      <c r="P419" s="5"/>
      <c r="Q419" s="4"/>
      <c r="R419" s="3"/>
      <c r="S419" s="2"/>
      <c r="T419" s="1"/>
    </row>
    <row r="420" spans="4:20" ht="13.5" x14ac:dyDescent="0.25">
      <c r="D420" s="7"/>
      <c r="L420" s="6"/>
      <c r="N420" s="5"/>
      <c r="O420" s="5"/>
      <c r="P420" s="5"/>
      <c r="Q420" s="4"/>
      <c r="R420" s="3"/>
      <c r="S420" s="2"/>
      <c r="T420" s="1"/>
    </row>
    <row r="421" spans="4:20" ht="13.5" x14ac:dyDescent="0.25">
      <c r="D421" s="7"/>
      <c r="L421" s="6"/>
      <c r="N421" s="5"/>
      <c r="O421" s="5"/>
      <c r="P421" s="5"/>
      <c r="Q421" s="4"/>
      <c r="R421" s="3"/>
      <c r="S421" s="2"/>
      <c r="T421" s="1"/>
    </row>
    <row r="422" spans="4:20" ht="13.5" x14ac:dyDescent="0.25">
      <c r="D422" s="7"/>
      <c r="L422" s="6"/>
      <c r="N422" s="5"/>
      <c r="O422" s="5"/>
      <c r="P422" s="5"/>
      <c r="Q422" s="4"/>
      <c r="R422" s="3"/>
      <c r="S422" s="2"/>
      <c r="T422" s="1"/>
    </row>
    <row r="423" spans="4:20" ht="13.5" x14ac:dyDescent="0.25">
      <c r="D423" s="7"/>
      <c r="L423" s="6"/>
      <c r="N423" s="5"/>
      <c r="O423" s="5"/>
      <c r="P423" s="5"/>
      <c r="Q423" s="4"/>
      <c r="R423" s="3"/>
      <c r="S423" s="2"/>
      <c r="T423" s="1"/>
    </row>
    <row r="424" spans="4:20" ht="13.5" x14ac:dyDescent="0.25">
      <c r="D424" s="7"/>
      <c r="L424" s="6"/>
      <c r="N424" s="5"/>
      <c r="O424" s="5"/>
      <c r="P424" s="5"/>
      <c r="Q424" s="4"/>
      <c r="R424" s="3"/>
      <c r="S424" s="2"/>
      <c r="T424" s="1"/>
    </row>
    <row r="425" spans="4:20" ht="13.5" x14ac:dyDescent="0.25">
      <c r="D425" s="7"/>
      <c r="L425" s="6"/>
      <c r="N425" s="5"/>
      <c r="O425" s="5"/>
      <c r="P425" s="5"/>
      <c r="Q425" s="4"/>
      <c r="R425" s="3"/>
      <c r="S425" s="2"/>
      <c r="T425" s="1"/>
    </row>
    <row r="426" spans="4:20" ht="13.5" x14ac:dyDescent="0.25">
      <c r="D426" s="7"/>
      <c r="L426" s="6"/>
      <c r="N426" s="5"/>
      <c r="O426" s="5"/>
      <c r="P426" s="5"/>
      <c r="Q426" s="4"/>
      <c r="R426" s="3"/>
      <c r="S426" s="2"/>
      <c r="T426" s="1"/>
    </row>
    <row r="427" spans="4:20" ht="13.5" x14ac:dyDescent="0.25">
      <c r="D427" s="7"/>
      <c r="L427" s="6"/>
      <c r="N427" s="5"/>
      <c r="O427" s="5"/>
      <c r="P427" s="5"/>
      <c r="Q427" s="4"/>
      <c r="R427" s="3"/>
      <c r="S427" s="2"/>
      <c r="T427" s="1"/>
    </row>
    <row r="428" spans="4:20" ht="13.5" x14ac:dyDescent="0.25">
      <c r="D428" s="7"/>
      <c r="L428" s="6"/>
      <c r="N428" s="5"/>
      <c r="O428" s="5"/>
      <c r="P428" s="5"/>
      <c r="Q428" s="4"/>
      <c r="R428" s="3"/>
      <c r="S428" s="2"/>
      <c r="T428" s="1"/>
    </row>
    <row r="429" spans="4:20" ht="13.5" x14ac:dyDescent="0.25">
      <c r="D429" s="7"/>
      <c r="L429" s="6"/>
      <c r="N429" s="5"/>
      <c r="O429" s="5"/>
      <c r="P429" s="5"/>
      <c r="Q429" s="4"/>
      <c r="R429" s="3"/>
      <c r="S429" s="2"/>
      <c r="T429" s="1"/>
    </row>
    <row r="430" spans="4:20" ht="13.5" x14ac:dyDescent="0.25">
      <c r="D430" s="7"/>
      <c r="L430" s="6"/>
      <c r="N430" s="5"/>
      <c r="O430" s="5"/>
      <c r="P430" s="5"/>
      <c r="Q430" s="4"/>
      <c r="R430" s="3"/>
      <c r="S430" s="2"/>
      <c r="T430" s="1"/>
    </row>
    <row r="431" spans="4:20" ht="13.5" x14ac:dyDescent="0.25">
      <c r="D431" s="7"/>
      <c r="L431" s="6"/>
      <c r="N431" s="5"/>
      <c r="O431" s="5"/>
      <c r="P431" s="5"/>
      <c r="Q431" s="4"/>
      <c r="R431" s="3"/>
      <c r="S431" s="2"/>
      <c r="T431" s="1"/>
    </row>
    <row r="432" spans="4:20" ht="13.5" x14ac:dyDescent="0.25">
      <c r="D432" s="7"/>
      <c r="L432" s="6"/>
      <c r="N432" s="5"/>
      <c r="O432" s="5"/>
      <c r="P432" s="5"/>
      <c r="Q432" s="4"/>
      <c r="R432" s="3"/>
      <c r="S432" s="2"/>
      <c r="T432" s="1"/>
    </row>
    <row r="433" spans="4:20" ht="13.5" x14ac:dyDescent="0.25">
      <c r="D433" s="7"/>
      <c r="L433" s="6"/>
      <c r="N433" s="5"/>
      <c r="O433" s="5"/>
      <c r="P433" s="5"/>
      <c r="Q433" s="4"/>
      <c r="R433" s="3"/>
      <c r="S433" s="2"/>
      <c r="T433" s="1"/>
    </row>
    <row r="434" spans="4:20" ht="13.5" x14ac:dyDescent="0.25">
      <c r="D434" s="7"/>
      <c r="L434" s="6"/>
      <c r="N434" s="5"/>
      <c r="O434" s="5"/>
      <c r="P434" s="5"/>
      <c r="Q434" s="4"/>
      <c r="R434" s="3"/>
      <c r="S434" s="2"/>
      <c r="T434" s="1"/>
    </row>
    <row r="435" spans="4:20" ht="13.5" x14ac:dyDescent="0.25">
      <c r="D435" s="7"/>
      <c r="L435" s="6"/>
      <c r="N435" s="5"/>
      <c r="O435" s="5"/>
      <c r="P435" s="5"/>
      <c r="Q435" s="4"/>
      <c r="R435" s="3"/>
      <c r="S435" s="2"/>
      <c r="T435" s="1"/>
    </row>
    <row r="436" spans="4:20" ht="13.5" x14ac:dyDescent="0.25">
      <c r="D436" s="7"/>
      <c r="L436" s="6"/>
      <c r="N436" s="5"/>
      <c r="O436" s="5"/>
      <c r="P436" s="5"/>
      <c r="Q436" s="4"/>
      <c r="R436" s="3"/>
      <c r="S436" s="2"/>
      <c r="T436" s="1"/>
    </row>
    <row r="437" spans="4:20" ht="13.5" x14ac:dyDescent="0.25">
      <c r="D437" s="7"/>
      <c r="L437" s="6"/>
      <c r="N437" s="5"/>
      <c r="O437" s="5"/>
      <c r="P437" s="5"/>
      <c r="Q437" s="4"/>
      <c r="R437" s="3"/>
      <c r="S437" s="2"/>
      <c r="T437" s="1"/>
    </row>
    <row r="438" spans="4:20" ht="13.5" x14ac:dyDescent="0.25">
      <c r="D438" s="7"/>
      <c r="L438" s="6"/>
      <c r="N438" s="5"/>
      <c r="O438" s="5"/>
      <c r="P438" s="5"/>
      <c r="Q438" s="4"/>
      <c r="R438" s="3"/>
      <c r="S438" s="2"/>
      <c r="T438" s="1"/>
    </row>
    <row r="439" spans="4:20" ht="13.5" x14ac:dyDescent="0.25">
      <c r="D439" s="7"/>
      <c r="L439" s="6"/>
      <c r="N439" s="5"/>
      <c r="O439" s="5"/>
      <c r="P439" s="5"/>
      <c r="Q439" s="4"/>
      <c r="R439" s="3"/>
      <c r="S439" s="2"/>
      <c r="T439" s="1"/>
    </row>
    <row r="440" spans="4:20" ht="13.5" x14ac:dyDescent="0.25">
      <c r="D440" s="7"/>
      <c r="L440" s="6"/>
      <c r="N440" s="5"/>
      <c r="O440" s="5"/>
      <c r="P440" s="5"/>
      <c r="Q440" s="4"/>
      <c r="R440" s="3"/>
      <c r="S440" s="2"/>
      <c r="T440" s="1"/>
    </row>
    <row r="441" spans="4:20" ht="13.5" x14ac:dyDescent="0.25">
      <c r="D441" s="7"/>
      <c r="L441" s="6"/>
      <c r="N441" s="5"/>
      <c r="O441" s="5"/>
      <c r="P441" s="5"/>
      <c r="Q441" s="4"/>
      <c r="R441" s="3"/>
      <c r="S441" s="2"/>
      <c r="T441" s="1"/>
    </row>
    <row r="442" spans="4:20" ht="13.5" x14ac:dyDescent="0.25">
      <c r="D442" s="7"/>
      <c r="L442" s="6"/>
      <c r="N442" s="5"/>
      <c r="O442" s="5"/>
      <c r="P442" s="5"/>
      <c r="Q442" s="4"/>
      <c r="R442" s="3"/>
      <c r="S442" s="2"/>
      <c r="T442" s="1"/>
    </row>
    <row r="443" spans="4:20" ht="13.5" x14ac:dyDescent="0.25">
      <c r="D443" s="7"/>
      <c r="L443" s="6"/>
      <c r="N443" s="5"/>
      <c r="O443" s="5"/>
      <c r="P443" s="5"/>
      <c r="Q443" s="4"/>
      <c r="R443" s="3"/>
      <c r="S443" s="2"/>
      <c r="T443" s="1"/>
    </row>
    <row r="444" spans="4:20" ht="13.5" x14ac:dyDescent="0.25">
      <c r="D444" s="7"/>
      <c r="L444" s="6"/>
      <c r="N444" s="5"/>
      <c r="O444" s="5"/>
      <c r="P444" s="5"/>
      <c r="Q444" s="4"/>
      <c r="R444" s="3"/>
      <c r="S444" s="2"/>
      <c r="T444" s="1"/>
    </row>
    <row r="445" spans="4:20" ht="13.5" x14ac:dyDescent="0.25">
      <c r="D445" s="7"/>
      <c r="L445" s="6"/>
      <c r="N445" s="5"/>
      <c r="O445" s="5"/>
      <c r="P445" s="5"/>
      <c r="Q445" s="4"/>
      <c r="R445" s="3"/>
      <c r="S445" s="2"/>
      <c r="T445" s="1"/>
    </row>
    <row r="446" spans="4:20" ht="13.5" x14ac:dyDescent="0.25">
      <c r="D446" s="7"/>
      <c r="L446" s="6"/>
      <c r="N446" s="5"/>
      <c r="O446" s="5"/>
      <c r="P446" s="5"/>
      <c r="Q446" s="4"/>
      <c r="R446" s="3"/>
      <c r="S446" s="2"/>
      <c r="T446" s="1"/>
    </row>
    <row r="447" spans="4:20" ht="13.5" x14ac:dyDescent="0.25">
      <c r="D447" s="7"/>
      <c r="L447" s="6"/>
      <c r="N447" s="5"/>
      <c r="O447" s="5"/>
      <c r="P447" s="5"/>
      <c r="Q447" s="4"/>
      <c r="R447" s="3"/>
      <c r="S447" s="2"/>
      <c r="T447" s="1"/>
    </row>
    <row r="448" spans="4:20" ht="13.5" x14ac:dyDescent="0.25">
      <c r="D448" s="7"/>
      <c r="L448" s="6"/>
      <c r="N448" s="5"/>
      <c r="O448" s="5"/>
      <c r="P448" s="5"/>
      <c r="Q448" s="4"/>
      <c r="R448" s="3"/>
      <c r="S448" s="2"/>
      <c r="T448" s="1"/>
    </row>
    <row r="449" spans="4:20" ht="13.5" x14ac:dyDescent="0.25">
      <c r="D449" s="7"/>
      <c r="L449" s="6"/>
      <c r="N449" s="5"/>
      <c r="O449" s="5"/>
      <c r="P449" s="5"/>
      <c r="Q449" s="4"/>
      <c r="R449" s="3"/>
      <c r="S449" s="2"/>
      <c r="T449" s="1"/>
    </row>
    <row r="450" spans="4:20" ht="13.5" x14ac:dyDescent="0.25">
      <c r="D450" s="7"/>
      <c r="L450" s="6"/>
      <c r="N450" s="5"/>
      <c r="O450" s="5"/>
      <c r="P450" s="5"/>
      <c r="Q450" s="4"/>
      <c r="R450" s="3"/>
      <c r="S450" s="2"/>
      <c r="T450" s="1"/>
    </row>
    <row r="451" spans="4:20" ht="13.5" x14ac:dyDescent="0.25">
      <c r="D451" s="7"/>
      <c r="L451" s="6"/>
      <c r="N451" s="5"/>
      <c r="O451" s="5"/>
      <c r="P451" s="5"/>
      <c r="Q451" s="4"/>
      <c r="R451" s="3"/>
      <c r="S451" s="2"/>
      <c r="T451" s="1"/>
    </row>
    <row r="452" spans="4:20" ht="13.5" x14ac:dyDescent="0.25">
      <c r="D452" s="7"/>
      <c r="L452" s="6"/>
      <c r="N452" s="5"/>
      <c r="O452" s="5"/>
      <c r="P452" s="5"/>
      <c r="Q452" s="4"/>
      <c r="R452" s="3"/>
      <c r="S452" s="2"/>
      <c r="T452" s="1"/>
    </row>
    <row r="453" spans="4:20" ht="13.5" x14ac:dyDescent="0.25">
      <c r="D453" s="7"/>
      <c r="L453" s="6"/>
      <c r="N453" s="5"/>
      <c r="O453" s="5"/>
      <c r="P453" s="5"/>
      <c r="Q453" s="4"/>
      <c r="R453" s="3"/>
      <c r="S453" s="2"/>
      <c r="T453" s="1"/>
    </row>
    <row r="454" spans="4:20" ht="13.5" x14ac:dyDescent="0.25">
      <c r="D454" s="7"/>
      <c r="L454" s="6"/>
      <c r="N454" s="5"/>
      <c r="O454" s="5"/>
      <c r="P454" s="5"/>
      <c r="Q454" s="4"/>
      <c r="R454" s="3"/>
      <c r="S454" s="2"/>
      <c r="T454" s="1"/>
    </row>
    <row r="455" spans="4:20" ht="13.5" x14ac:dyDescent="0.25">
      <c r="D455" s="7"/>
      <c r="L455" s="6"/>
      <c r="N455" s="5"/>
      <c r="O455" s="5"/>
      <c r="P455" s="5"/>
      <c r="Q455" s="4"/>
      <c r="R455" s="3"/>
      <c r="S455" s="2"/>
      <c r="T455" s="1"/>
    </row>
    <row r="456" spans="4:20" ht="13.5" x14ac:dyDescent="0.25">
      <c r="D456" s="7"/>
      <c r="L456" s="6"/>
      <c r="N456" s="5"/>
      <c r="O456" s="5"/>
      <c r="P456" s="5"/>
      <c r="Q456" s="4"/>
      <c r="R456" s="3"/>
      <c r="S456" s="2"/>
      <c r="T456" s="1"/>
    </row>
    <row r="457" spans="4:20" ht="13.5" x14ac:dyDescent="0.25">
      <c r="D457" s="7"/>
      <c r="L457" s="6"/>
      <c r="N457" s="5"/>
      <c r="O457" s="5"/>
      <c r="P457" s="5"/>
      <c r="Q457" s="4"/>
      <c r="R457" s="3"/>
      <c r="S457" s="2"/>
      <c r="T457" s="1"/>
    </row>
    <row r="458" spans="4:20" ht="13.5" x14ac:dyDescent="0.25">
      <c r="D458" s="7"/>
      <c r="L458" s="6"/>
      <c r="N458" s="5"/>
      <c r="O458" s="5"/>
      <c r="P458" s="5"/>
      <c r="Q458" s="4"/>
      <c r="R458" s="3"/>
      <c r="S458" s="2"/>
      <c r="T458" s="1"/>
    </row>
    <row r="459" spans="4:20" ht="13.5" x14ac:dyDescent="0.25">
      <c r="D459" s="7"/>
      <c r="L459" s="6"/>
      <c r="N459" s="5"/>
      <c r="O459" s="5"/>
      <c r="P459" s="5"/>
      <c r="Q459" s="4"/>
      <c r="R459" s="3"/>
      <c r="S459" s="2"/>
      <c r="T459" s="1"/>
    </row>
    <row r="460" spans="4:20" ht="13.5" x14ac:dyDescent="0.25">
      <c r="D460" s="7"/>
      <c r="L460" s="6"/>
      <c r="N460" s="5"/>
      <c r="O460" s="5"/>
      <c r="P460" s="5"/>
      <c r="Q460" s="4"/>
      <c r="R460" s="3"/>
      <c r="S460" s="2"/>
      <c r="T460" s="1"/>
    </row>
    <row r="461" spans="4:20" ht="13.5" x14ac:dyDescent="0.25">
      <c r="D461" s="7"/>
      <c r="L461" s="6"/>
      <c r="N461" s="5"/>
      <c r="O461" s="5"/>
      <c r="P461" s="5"/>
      <c r="Q461" s="4"/>
      <c r="R461" s="3"/>
      <c r="S461" s="2"/>
      <c r="T461" s="1"/>
    </row>
    <row r="462" spans="4:20" ht="13.5" x14ac:dyDescent="0.25">
      <c r="D462" s="7"/>
      <c r="L462" s="6"/>
      <c r="N462" s="5"/>
      <c r="O462" s="5"/>
      <c r="P462" s="5"/>
      <c r="Q462" s="4"/>
      <c r="R462" s="3"/>
      <c r="S462" s="2"/>
      <c r="T462" s="1"/>
    </row>
    <row r="463" spans="4:20" ht="13.5" x14ac:dyDescent="0.25">
      <c r="D463" s="7"/>
      <c r="L463" s="6"/>
      <c r="N463" s="5"/>
      <c r="O463" s="5"/>
      <c r="P463" s="5"/>
      <c r="Q463" s="4"/>
      <c r="R463" s="3"/>
      <c r="S463" s="2"/>
      <c r="T463" s="1"/>
    </row>
    <row r="464" spans="4:20" ht="13.5" x14ac:dyDescent="0.25">
      <c r="D464" s="7"/>
      <c r="L464" s="6"/>
      <c r="N464" s="5"/>
      <c r="O464" s="5"/>
      <c r="P464" s="5"/>
      <c r="Q464" s="4"/>
      <c r="R464" s="3"/>
      <c r="S464" s="2"/>
      <c r="T464" s="1"/>
    </row>
    <row r="465" spans="4:20" ht="13.5" x14ac:dyDescent="0.25">
      <c r="D465" s="7"/>
      <c r="L465" s="6"/>
      <c r="N465" s="5"/>
      <c r="O465" s="5"/>
      <c r="P465" s="5"/>
      <c r="Q465" s="4"/>
      <c r="R465" s="3"/>
      <c r="S465" s="2"/>
      <c r="T465" s="1"/>
    </row>
    <row r="466" spans="4:20" ht="13.5" x14ac:dyDescent="0.25">
      <c r="D466" s="7"/>
      <c r="L466" s="6"/>
      <c r="N466" s="5"/>
      <c r="O466" s="5"/>
      <c r="P466" s="5"/>
      <c r="Q466" s="4"/>
      <c r="R466" s="3"/>
      <c r="S466" s="2"/>
      <c r="T466" s="1"/>
    </row>
    <row r="467" spans="4:20" ht="13.5" x14ac:dyDescent="0.25">
      <c r="D467" s="7"/>
      <c r="L467" s="6"/>
      <c r="N467" s="5"/>
      <c r="O467" s="5"/>
      <c r="P467" s="5"/>
      <c r="Q467" s="4"/>
      <c r="R467" s="3"/>
      <c r="S467" s="2"/>
      <c r="T467" s="1"/>
    </row>
    <row r="468" spans="4:20" ht="13.5" x14ac:dyDescent="0.25">
      <c r="D468" s="7"/>
      <c r="L468" s="6"/>
      <c r="N468" s="5"/>
      <c r="O468" s="5"/>
      <c r="P468" s="5"/>
      <c r="Q468" s="4"/>
      <c r="R468" s="3"/>
      <c r="S468" s="2"/>
      <c r="T468" s="1"/>
    </row>
    <row r="469" spans="4:20" ht="13.5" x14ac:dyDescent="0.25">
      <c r="D469" s="7"/>
      <c r="L469" s="6"/>
      <c r="N469" s="5"/>
      <c r="O469" s="5"/>
      <c r="P469" s="5"/>
      <c r="Q469" s="4"/>
      <c r="R469" s="3"/>
      <c r="S469" s="2"/>
      <c r="T469" s="1"/>
    </row>
    <row r="470" spans="4:20" ht="13.5" x14ac:dyDescent="0.25">
      <c r="D470" s="7"/>
      <c r="L470" s="6"/>
      <c r="N470" s="5"/>
      <c r="O470" s="5"/>
      <c r="P470" s="5"/>
      <c r="Q470" s="4"/>
      <c r="R470" s="3"/>
      <c r="S470" s="2"/>
      <c r="T470" s="1"/>
    </row>
    <row r="471" spans="4:20" ht="13.5" x14ac:dyDescent="0.25">
      <c r="D471" s="7"/>
      <c r="L471" s="6"/>
      <c r="N471" s="5"/>
      <c r="O471" s="5"/>
      <c r="P471" s="5"/>
      <c r="Q471" s="4"/>
      <c r="R471" s="3"/>
      <c r="S471" s="2"/>
      <c r="T471" s="1"/>
    </row>
    <row r="472" spans="4:20" ht="13.5" x14ac:dyDescent="0.25">
      <c r="D472" s="7"/>
      <c r="L472" s="6"/>
      <c r="N472" s="5"/>
      <c r="O472" s="5"/>
      <c r="P472" s="5"/>
      <c r="Q472" s="4"/>
      <c r="R472" s="3"/>
      <c r="S472" s="2"/>
      <c r="T472" s="1"/>
    </row>
    <row r="473" spans="4:20" ht="13.5" x14ac:dyDescent="0.25">
      <c r="D473" s="7"/>
      <c r="L473" s="6"/>
      <c r="N473" s="5"/>
      <c r="O473" s="5"/>
      <c r="P473" s="5"/>
      <c r="Q473" s="4"/>
      <c r="R473" s="3"/>
      <c r="S473" s="2"/>
      <c r="T473" s="1"/>
    </row>
    <row r="474" spans="4:20" ht="13.5" x14ac:dyDescent="0.25">
      <c r="D474" s="7"/>
      <c r="L474" s="6"/>
      <c r="N474" s="5"/>
      <c r="O474" s="5"/>
      <c r="P474" s="5"/>
      <c r="Q474" s="4"/>
      <c r="R474" s="3"/>
      <c r="S474" s="2"/>
      <c r="T474" s="1"/>
    </row>
    <row r="475" spans="4:20" ht="13.5" x14ac:dyDescent="0.25">
      <c r="D475" s="7"/>
      <c r="L475" s="6"/>
      <c r="N475" s="5"/>
      <c r="O475" s="5"/>
      <c r="P475" s="5"/>
      <c r="Q475" s="4"/>
      <c r="R475" s="3"/>
      <c r="S475" s="2"/>
      <c r="T475" s="1"/>
    </row>
    <row r="476" spans="4:20" ht="13.5" x14ac:dyDescent="0.25">
      <c r="D476" s="7"/>
      <c r="L476" s="6"/>
      <c r="N476" s="5"/>
      <c r="O476" s="5"/>
      <c r="P476" s="5"/>
      <c r="Q476" s="4"/>
      <c r="R476" s="3"/>
      <c r="S476" s="2"/>
      <c r="T476" s="1"/>
    </row>
    <row r="477" spans="4:20" ht="13.5" x14ac:dyDescent="0.25">
      <c r="D477" s="7"/>
      <c r="L477" s="6"/>
      <c r="N477" s="5"/>
      <c r="O477" s="5"/>
      <c r="P477" s="5"/>
      <c r="Q477" s="4"/>
      <c r="R477" s="3"/>
      <c r="S477" s="2"/>
      <c r="T477" s="1"/>
    </row>
    <row r="478" spans="4:20" ht="13.5" x14ac:dyDescent="0.25">
      <c r="D478" s="7"/>
      <c r="L478" s="6"/>
      <c r="N478" s="5"/>
      <c r="O478" s="5"/>
      <c r="P478" s="5"/>
      <c r="Q478" s="4"/>
      <c r="R478" s="3"/>
      <c r="S478" s="2"/>
      <c r="T478" s="1"/>
    </row>
    <row r="479" spans="4:20" ht="13.5" x14ac:dyDescent="0.25">
      <c r="D479" s="7"/>
      <c r="L479" s="6"/>
      <c r="N479" s="5"/>
      <c r="O479" s="5"/>
      <c r="P479" s="5"/>
      <c r="Q479" s="4"/>
      <c r="R479" s="3"/>
      <c r="S479" s="2"/>
      <c r="T479" s="1"/>
    </row>
    <row r="480" spans="4:20" ht="13.5" x14ac:dyDescent="0.25">
      <c r="D480" s="7"/>
      <c r="L480" s="6"/>
      <c r="N480" s="5"/>
      <c r="O480" s="5"/>
      <c r="P480" s="5"/>
      <c r="Q480" s="4"/>
      <c r="R480" s="3"/>
      <c r="S480" s="2"/>
      <c r="T480" s="1"/>
    </row>
    <row r="481" spans="4:20" ht="13.5" x14ac:dyDescent="0.25">
      <c r="D481" s="7"/>
      <c r="L481" s="6"/>
      <c r="N481" s="5"/>
      <c r="O481" s="5"/>
      <c r="P481" s="5"/>
      <c r="Q481" s="4"/>
      <c r="R481" s="3"/>
      <c r="S481" s="2"/>
      <c r="T481" s="1"/>
    </row>
    <row r="482" spans="4:20" ht="13.5" x14ac:dyDescent="0.25">
      <c r="D482" s="7"/>
      <c r="L482" s="6"/>
      <c r="N482" s="5"/>
      <c r="O482" s="5"/>
      <c r="P482" s="5"/>
      <c r="Q482" s="4"/>
      <c r="R482" s="3"/>
      <c r="S482" s="2"/>
      <c r="T482" s="1"/>
    </row>
    <row r="483" spans="4:20" ht="13.5" x14ac:dyDescent="0.25">
      <c r="D483" s="7"/>
      <c r="L483" s="6"/>
      <c r="N483" s="5"/>
      <c r="O483" s="5"/>
      <c r="P483" s="5"/>
      <c r="Q483" s="4"/>
      <c r="R483" s="3"/>
      <c r="S483" s="2"/>
      <c r="T483" s="1"/>
    </row>
    <row r="484" spans="4:20" ht="13.5" x14ac:dyDescent="0.25">
      <c r="D484" s="7"/>
      <c r="L484" s="6"/>
      <c r="N484" s="5"/>
      <c r="O484" s="5"/>
      <c r="P484" s="5"/>
      <c r="Q484" s="4"/>
      <c r="R484" s="3"/>
      <c r="S484" s="2"/>
      <c r="T484" s="1"/>
    </row>
    <row r="485" spans="4:20" ht="13.5" x14ac:dyDescent="0.25">
      <c r="D485" s="7"/>
      <c r="L485" s="6"/>
      <c r="N485" s="5"/>
      <c r="O485" s="5"/>
      <c r="P485" s="5"/>
      <c r="Q485" s="4"/>
      <c r="R485" s="3"/>
      <c r="S485" s="2"/>
      <c r="T485" s="1"/>
    </row>
    <row r="486" spans="4:20" ht="13.5" x14ac:dyDescent="0.25">
      <c r="D486" s="7"/>
      <c r="L486" s="6"/>
      <c r="N486" s="5"/>
      <c r="O486" s="5"/>
      <c r="P486" s="5"/>
      <c r="Q486" s="4"/>
      <c r="R486" s="3"/>
      <c r="S486" s="2"/>
      <c r="T486" s="1"/>
    </row>
    <row r="487" spans="4:20" ht="13.5" x14ac:dyDescent="0.25">
      <c r="D487" s="7"/>
      <c r="L487" s="6"/>
      <c r="N487" s="5"/>
      <c r="O487" s="5"/>
      <c r="P487" s="5"/>
      <c r="Q487" s="4"/>
      <c r="R487" s="3"/>
      <c r="S487" s="2"/>
      <c r="T487" s="1"/>
    </row>
    <row r="488" spans="4:20" ht="13.5" x14ac:dyDescent="0.25">
      <c r="D488" s="7"/>
      <c r="L488" s="6"/>
      <c r="N488" s="5"/>
      <c r="O488" s="5"/>
      <c r="P488" s="5"/>
      <c r="Q488" s="4"/>
      <c r="R488" s="3"/>
      <c r="S488" s="2"/>
      <c r="T488" s="1"/>
    </row>
    <row r="489" spans="4:20" ht="13.5" x14ac:dyDescent="0.25">
      <c r="D489" s="7"/>
      <c r="L489" s="6"/>
      <c r="N489" s="5"/>
      <c r="O489" s="5"/>
      <c r="P489" s="5"/>
      <c r="Q489" s="4"/>
      <c r="R489" s="3"/>
      <c r="S489" s="2"/>
      <c r="T489" s="1"/>
    </row>
    <row r="490" spans="4:20" ht="13.5" x14ac:dyDescent="0.25">
      <c r="D490" s="7"/>
      <c r="L490" s="6"/>
      <c r="N490" s="5"/>
      <c r="O490" s="5"/>
      <c r="P490" s="5"/>
      <c r="Q490" s="4"/>
      <c r="R490" s="3"/>
      <c r="S490" s="2"/>
      <c r="T490" s="1"/>
    </row>
    <row r="491" spans="4:20" ht="13.5" x14ac:dyDescent="0.25">
      <c r="D491" s="7"/>
      <c r="L491" s="6"/>
      <c r="N491" s="5"/>
      <c r="O491" s="5"/>
      <c r="P491" s="5"/>
      <c r="Q491" s="4"/>
      <c r="R491" s="3"/>
      <c r="S491" s="2"/>
      <c r="T491" s="1"/>
    </row>
    <row r="492" spans="4:20" ht="13.5" x14ac:dyDescent="0.25">
      <c r="D492" s="7"/>
      <c r="L492" s="6"/>
      <c r="N492" s="5"/>
      <c r="O492" s="5"/>
      <c r="P492" s="5"/>
      <c r="Q492" s="4"/>
      <c r="R492" s="3"/>
      <c r="S492" s="2"/>
      <c r="T492" s="1"/>
    </row>
    <row r="493" spans="4:20" ht="13.5" x14ac:dyDescent="0.25">
      <c r="D493" s="7"/>
      <c r="L493" s="6"/>
      <c r="N493" s="5"/>
      <c r="O493" s="5"/>
      <c r="P493" s="5"/>
      <c r="Q493" s="4"/>
      <c r="R493" s="3"/>
      <c r="S493" s="2"/>
      <c r="T493" s="1"/>
    </row>
    <row r="494" spans="4:20" ht="13.5" x14ac:dyDescent="0.25">
      <c r="D494" s="7"/>
      <c r="L494" s="6"/>
      <c r="N494" s="5"/>
      <c r="O494" s="5"/>
      <c r="P494" s="5"/>
      <c r="Q494" s="4"/>
      <c r="R494" s="3"/>
      <c r="S494" s="2"/>
      <c r="T494" s="1"/>
    </row>
    <row r="495" spans="4:20" ht="13.5" x14ac:dyDescent="0.25">
      <c r="D495" s="7"/>
      <c r="L495" s="6"/>
      <c r="N495" s="5"/>
      <c r="O495" s="5"/>
      <c r="P495" s="5"/>
      <c r="Q495" s="4"/>
      <c r="R495" s="3"/>
      <c r="S495" s="2"/>
      <c r="T495" s="1"/>
    </row>
    <row r="496" spans="4:20" ht="13.5" x14ac:dyDescent="0.25">
      <c r="D496" s="7"/>
      <c r="L496" s="6"/>
      <c r="N496" s="5"/>
      <c r="O496" s="5"/>
      <c r="P496" s="5"/>
      <c r="Q496" s="4"/>
      <c r="R496" s="3"/>
      <c r="S496" s="2"/>
      <c r="T496" s="1"/>
    </row>
    <row r="497" spans="4:20" ht="13.5" x14ac:dyDescent="0.25">
      <c r="D497" s="7"/>
      <c r="L497" s="6"/>
      <c r="N497" s="5"/>
      <c r="O497" s="5"/>
      <c r="P497" s="5"/>
      <c r="Q497" s="4"/>
      <c r="R497" s="3"/>
      <c r="S497" s="2"/>
      <c r="T497" s="1"/>
    </row>
    <row r="498" spans="4:20" ht="13.5" x14ac:dyDescent="0.25">
      <c r="D498" s="7"/>
      <c r="L498" s="6"/>
      <c r="N498" s="5"/>
      <c r="O498" s="5"/>
      <c r="P498" s="5"/>
      <c r="Q498" s="4"/>
      <c r="R498" s="3"/>
      <c r="S498" s="2"/>
      <c r="T498" s="1"/>
    </row>
    <row r="499" spans="4:20" ht="13.5" x14ac:dyDescent="0.25">
      <c r="D499" s="7"/>
      <c r="L499" s="6"/>
      <c r="N499" s="5"/>
      <c r="O499" s="5"/>
      <c r="P499" s="5"/>
      <c r="Q499" s="4"/>
      <c r="R499" s="3"/>
      <c r="S499" s="2"/>
      <c r="T499" s="1"/>
    </row>
    <row r="500" spans="4:20" ht="13.5" x14ac:dyDescent="0.25">
      <c r="D500" s="7"/>
      <c r="L500" s="6"/>
      <c r="N500" s="5"/>
      <c r="O500" s="5"/>
      <c r="P500" s="5"/>
      <c r="Q500" s="4"/>
      <c r="R500" s="3"/>
      <c r="S500" s="2"/>
      <c r="T500" s="1"/>
    </row>
    <row r="501" spans="4:20" ht="13.5" x14ac:dyDescent="0.25">
      <c r="D501" s="7"/>
      <c r="L501" s="6"/>
      <c r="N501" s="5"/>
      <c r="O501" s="5"/>
      <c r="P501" s="5"/>
      <c r="Q501" s="4"/>
      <c r="R501" s="3"/>
      <c r="S501" s="2"/>
      <c r="T501" s="1"/>
    </row>
    <row r="502" spans="4:20" ht="13.5" x14ac:dyDescent="0.25">
      <c r="D502" s="7"/>
      <c r="L502" s="6"/>
      <c r="N502" s="5"/>
      <c r="O502" s="5"/>
      <c r="P502" s="5"/>
      <c r="Q502" s="4"/>
      <c r="R502" s="3"/>
      <c r="S502" s="2"/>
      <c r="T502" s="1"/>
    </row>
    <row r="503" spans="4:20" ht="13.5" x14ac:dyDescent="0.25">
      <c r="D503" s="7"/>
      <c r="L503" s="6"/>
      <c r="N503" s="5"/>
      <c r="O503" s="5"/>
      <c r="P503" s="5"/>
      <c r="Q503" s="4"/>
      <c r="R503" s="3"/>
      <c r="S503" s="2"/>
      <c r="T503" s="1"/>
    </row>
    <row r="504" spans="4:20" ht="13.5" x14ac:dyDescent="0.25">
      <c r="D504" s="7"/>
      <c r="L504" s="6"/>
      <c r="N504" s="5"/>
      <c r="O504" s="5"/>
      <c r="P504" s="5"/>
      <c r="Q504" s="4"/>
      <c r="R504" s="3"/>
      <c r="S504" s="2"/>
      <c r="T504" s="1"/>
    </row>
    <row r="505" spans="4:20" ht="13.5" x14ac:dyDescent="0.25">
      <c r="D505" s="7"/>
      <c r="L505" s="6"/>
      <c r="N505" s="5"/>
      <c r="O505" s="5"/>
      <c r="P505" s="5"/>
      <c r="Q505" s="4"/>
      <c r="R505" s="3"/>
      <c r="S505" s="2"/>
      <c r="T505" s="1"/>
    </row>
    <row r="506" spans="4:20" ht="13.5" x14ac:dyDescent="0.25">
      <c r="D506" s="7"/>
      <c r="L506" s="6"/>
      <c r="N506" s="5"/>
      <c r="O506" s="5"/>
      <c r="P506" s="5"/>
      <c r="Q506" s="4"/>
      <c r="R506" s="3"/>
      <c r="S506" s="2"/>
      <c r="T506" s="1"/>
    </row>
    <row r="507" spans="4:20" ht="13.5" x14ac:dyDescent="0.25">
      <c r="D507" s="7"/>
      <c r="L507" s="6"/>
      <c r="N507" s="5"/>
      <c r="O507" s="5"/>
      <c r="P507" s="5"/>
      <c r="Q507" s="4"/>
      <c r="R507" s="3"/>
      <c r="S507" s="2"/>
      <c r="T507" s="1"/>
    </row>
    <row r="508" spans="4:20" ht="13.5" x14ac:dyDescent="0.25">
      <c r="D508" s="7"/>
      <c r="L508" s="6"/>
      <c r="N508" s="5"/>
      <c r="O508" s="5"/>
      <c r="P508" s="5"/>
      <c r="Q508" s="4"/>
      <c r="R508" s="3"/>
      <c r="S508" s="2"/>
      <c r="T508" s="1"/>
    </row>
    <row r="509" spans="4:20" ht="13.5" x14ac:dyDescent="0.25">
      <c r="D509" s="7"/>
      <c r="L509" s="6"/>
      <c r="N509" s="5"/>
      <c r="O509" s="5"/>
      <c r="P509" s="5"/>
      <c r="Q509" s="4"/>
      <c r="R509" s="3"/>
      <c r="S509" s="2"/>
      <c r="T509" s="1"/>
    </row>
    <row r="510" spans="4:20" ht="13.5" x14ac:dyDescent="0.25">
      <c r="D510" s="7"/>
      <c r="L510" s="6"/>
      <c r="N510" s="5"/>
      <c r="O510" s="5"/>
      <c r="P510" s="5"/>
      <c r="Q510" s="4"/>
      <c r="R510" s="3"/>
      <c r="S510" s="2"/>
      <c r="T510" s="1"/>
    </row>
    <row r="511" spans="4:20" ht="13.5" x14ac:dyDescent="0.25">
      <c r="D511" s="7"/>
      <c r="L511" s="6"/>
      <c r="N511" s="5"/>
      <c r="O511" s="5"/>
      <c r="P511" s="5"/>
      <c r="Q511" s="4"/>
      <c r="R511" s="3"/>
      <c r="S511" s="2"/>
      <c r="T511" s="1"/>
    </row>
    <row r="512" spans="4:20" ht="13.5" x14ac:dyDescent="0.25">
      <c r="D512" s="7"/>
      <c r="L512" s="6"/>
      <c r="N512" s="5"/>
      <c r="O512" s="5"/>
      <c r="P512" s="5"/>
      <c r="Q512" s="4"/>
      <c r="R512" s="3"/>
      <c r="S512" s="2"/>
      <c r="T512" s="1"/>
    </row>
    <row r="513" spans="4:20" ht="13.5" x14ac:dyDescent="0.25">
      <c r="D513" s="7"/>
      <c r="L513" s="6"/>
      <c r="N513" s="5"/>
      <c r="O513" s="5"/>
      <c r="P513" s="5"/>
      <c r="Q513" s="4"/>
      <c r="R513" s="3"/>
      <c r="S513" s="2"/>
      <c r="T513" s="1"/>
    </row>
    <row r="514" spans="4:20" ht="13.5" x14ac:dyDescent="0.25">
      <c r="D514" s="7"/>
      <c r="L514" s="6"/>
      <c r="N514" s="5"/>
      <c r="O514" s="5"/>
      <c r="P514" s="5"/>
      <c r="Q514" s="4"/>
      <c r="R514" s="3"/>
      <c r="S514" s="2"/>
      <c r="T514" s="1"/>
    </row>
    <row r="515" spans="4:20" ht="13.5" x14ac:dyDescent="0.25">
      <c r="D515" s="7"/>
      <c r="L515" s="6"/>
      <c r="N515" s="5"/>
      <c r="O515" s="5"/>
      <c r="P515" s="5"/>
      <c r="Q515" s="4"/>
      <c r="R515" s="3"/>
      <c r="S515" s="2"/>
      <c r="T515" s="1"/>
    </row>
    <row r="516" spans="4:20" ht="13.5" x14ac:dyDescent="0.25">
      <c r="D516" s="7"/>
      <c r="L516" s="6"/>
      <c r="N516" s="5"/>
      <c r="O516" s="5"/>
      <c r="P516" s="5"/>
      <c r="Q516" s="4"/>
      <c r="R516" s="3"/>
      <c r="S516" s="2"/>
      <c r="T516" s="1"/>
    </row>
    <row r="517" spans="4:20" ht="13.5" x14ac:dyDescent="0.25">
      <c r="D517" s="7"/>
      <c r="L517" s="6"/>
      <c r="N517" s="5"/>
      <c r="O517" s="5"/>
      <c r="P517" s="5"/>
      <c r="Q517" s="4"/>
      <c r="R517" s="3"/>
      <c r="S517" s="2"/>
      <c r="T517" s="1"/>
    </row>
    <row r="518" spans="4:20" ht="13.5" x14ac:dyDescent="0.25">
      <c r="D518" s="7"/>
      <c r="L518" s="6"/>
      <c r="N518" s="5"/>
      <c r="O518" s="5"/>
      <c r="P518" s="5"/>
      <c r="Q518" s="4"/>
      <c r="R518" s="3"/>
      <c r="S518" s="2"/>
      <c r="T518" s="1"/>
    </row>
    <row r="519" spans="4:20" ht="13.5" x14ac:dyDescent="0.25">
      <c r="D519" s="7"/>
      <c r="L519" s="6"/>
      <c r="N519" s="5"/>
      <c r="O519" s="5"/>
      <c r="P519" s="5"/>
      <c r="Q519" s="4"/>
      <c r="R519" s="3"/>
      <c r="S519" s="2"/>
      <c r="T519" s="1"/>
    </row>
    <row r="520" spans="4:20" ht="13.5" x14ac:dyDescent="0.25">
      <c r="D520" s="7"/>
      <c r="L520" s="6"/>
      <c r="N520" s="5"/>
      <c r="O520" s="5"/>
      <c r="P520" s="5"/>
      <c r="Q520" s="4"/>
      <c r="R520" s="3"/>
      <c r="S520" s="2"/>
      <c r="T520" s="1"/>
    </row>
    <row r="521" spans="4:20" ht="13.5" x14ac:dyDescent="0.25">
      <c r="D521" s="7"/>
      <c r="L521" s="6"/>
      <c r="N521" s="5"/>
      <c r="O521" s="5"/>
      <c r="P521" s="5"/>
      <c r="Q521" s="4"/>
      <c r="R521" s="3"/>
      <c r="S521" s="2"/>
      <c r="T521" s="1"/>
    </row>
    <row r="522" spans="4:20" ht="13.5" x14ac:dyDescent="0.25">
      <c r="D522" s="7"/>
      <c r="L522" s="6"/>
      <c r="N522" s="5"/>
      <c r="O522" s="5"/>
      <c r="P522" s="5"/>
      <c r="Q522" s="4"/>
      <c r="R522" s="3"/>
      <c r="S522" s="2"/>
      <c r="T522" s="1"/>
    </row>
    <row r="523" spans="4:20" ht="13.5" x14ac:dyDescent="0.25">
      <c r="D523" s="7"/>
      <c r="L523" s="6"/>
      <c r="N523" s="5"/>
      <c r="O523" s="5"/>
      <c r="P523" s="5"/>
      <c r="Q523" s="4"/>
      <c r="R523" s="3"/>
      <c r="S523" s="2"/>
      <c r="T523" s="1"/>
    </row>
    <row r="524" spans="4:20" ht="13.5" x14ac:dyDescent="0.25">
      <c r="D524" s="7"/>
      <c r="L524" s="6"/>
      <c r="N524" s="5"/>
      <c r="O524" s="5"/>
      <c r="P524" s="5"/>
      <c r="Q524" s="4"/>
      <c r="R524" s="3"/>
      <c r="S524" s="2"/>
      <c r="T524" s="1"/>
    </row>
    <row r="525" spans="4:20" ht="13.5" x14ac:dyDescent="0.25">
      <c r="D525" s="7"/>
      <c r="L525" s="6"/>
      <c r="N525" s="5"/>
      <c r="O525" s="5"/>
      <c r="P525" s="5"/>
      <c r="Q525" s="4"/>
      <c r="R525" s="3"/>
      <c r="S525" s="2"/>
      <c r="T525" s="1"/>
    </row>
    <row r="526" spans="4:20" ht="13.5" x14ac:dyDescent="0.25">
      <c r="D526" s="7"/>
      <c r="L526" s="6"/>
      <c r="N526" s="5"/>
      <c r="O526" s="5"/>
      <c r="P526" s="5"/>
      <c r="Q526" s="4"/>
      <c r="R526" s="3"/>
      <c r="S526" s="2"/>
      <c r="T526" s="1"/>
    </row>
    <row r="527" spans="4:20" ht="13.5" x14ac:dyDescent="0.25">
      <c r="D527" s="7"/>
      <c r="L527" s="6"/>
      <c r="N527" s="5"/>
      <c r="O527" s="5"/>
      <c r="P527" s="5"/>
      <c r="Q527" s="4"/>
      <c r="R527" s="3"/>
      <c r="S527" s="2"/>
      <c r="T527" s="1"/>
    </row>
    <row r="528" spans="4:20" ht="13.5" x14ac:dyDescent="0.25">
      <c r="D528" s="7"/>
      <c r="L528" s="6"/>
      <c r="N528" s="5"/>
      <c r="O528" s="5"/>
      <c r="P528" s="5"/>
      <c r="Q528" s="4"/>
      <c r="R528" s="3"/>
      <c r="S528" s="2"/>
      <c r="T528" s="1"/>
    </row>
    <row r="529" spans="4:20" ht="13.5" x14ac:dyDescent="0.25">
      <c r="D529" s="7"/>
      <c r="L529" s="6"/>
      <c r="N529" s="5"/>
      <c r="O529" s="5"/>
      <c r="P529" s="5"/>
      <c r="Q529" s="4"/>
      <c r="R529" s="3"/>
      <c r="S529" s="2"/>
      <c r="T529" s="1"/>
    </row>
    <row r="530" spans="4:20" ht="13.5" x14ac:dyDescent="0.25">
      <c r="D530" s="7"/>
      <c r="L530" s="6"/>
      <c r="N530" s="5"/>
      <c r="O530" s="5"/>
      <c r="P530" s="5"/>
      <c r="Q530" s="4"/>
      <c r="R530" s="3"/>
      <c r="S530" s="2"/>
      <c r="T530" s="1"/>
    </row>
    <row r="531" spans="4:20" ht="13.5" x14ac:dyDescent="0.25">
      <c r="D531" s="7"/>
      <c r="L531" s="6"/>
      <c r="N531" s="5"/>
      <c r="O531" s="5"/>
      <c r="P531" s="5"/>
      <c r="Q531" s="4"/>
      <c r="R531" s="3"/>
      <c r="S531" s="2"/>
      <c r="T531" s="1"/>
    </row>
    <row r="532" spans="4:20" ht="13.5" x14ac:dyDescent="0.25">
      <c r="D532" s="7"/>
      <c r="L532" s="6"/>
      <c r="N532" s="5"/>
      <c r="O532" s="5"/>
      <c r="P532" s="5"/>
      <c r="Q532" s="4"/>
      <c r="R532" s="3"/>
      <c r="S532" s="2"/>
      <c r="T532" s="1"/>
    </row>
    <row r="533" spans="4:20" ht="13.5" x14ac:dyDescent="0.25">
      <c r="D533" s="7"/>
      <c r="L533" s="6"/>
      <c r="N533" s="5"/>
      <c r="O533" s="5"/>
      <c r="P533" s="5"/>
      <c r="Q533" s="4"/>
      <c r="R533" s="3"/>
      <c r="S533" s="2"/>
      <c r="T533" s="1"/>
    </row>
    <row r="534" spans="4:20" ht="13.5" x14ac:dyDescent="0.25">
      <c r="D534" s="7"/>
      <c r="L534" s="6"/>
      <c r="N534" s="5"/>
      <c r="O534" s="5"/>
      <c r="P534" s="5"/>
      <c r="Q534" s="4"/>
      <c r="R534" s="3"/>
      <c r="S534" s="2"/>
      <c r="T534" s="1"/>
    </row>
    <row r="535" spans="4:20" ht="13.5" x14ac:dyDescent="0.25">
      <c r="D535" s="7"/>
      <c r="L535" s="6"/>
      <c r="N535" s="5"/>
      <c r="O535" s="5"/>
      <c r="P535" s="5"/>
      <c r="Q535" s="4"/>
      <c r="R535" s="3"/>
      <c r="S535" s="2"/>
      <c r="T535" s="1"/>
    </row>
    <row r="536" spans="4:20" ht="13.5" x14ac:dyDescent="0.25">
      <c r="D536" s="7"/>
      <c r="L536" s="6"/>
      <c r="N536" s="5"/>
      <c r="O536" s="5"/>
      <c r="P536" s="5"/>
      <c r="Q536" s="4"/>
      <c r="R536" s="3"/>
      <c r="S536" s="2"/>
      <c r="T536" s="1"/>
    </row>
    <row r="537" spans="4:20" ht="13.5" x14ac:dyDescent="0.25">
      <c r="D537" s="7"/>
      <c r="L537" s="6"/>
      <c r="N537" s="5"/>
      <c r="O537" s="5"/>
      <c r="P537" s="5"/>
      <c r="Q537" s="4"/>
      <c r="R537" s="3"/>
      <c r="S537" s="2"/>
      <c r="T537" s="1"/>
    </row>
    <row r="538" spans="4:20" ht="13.5" x14ac:dyDescent="0.25">
      <c r="D538" s="7"/>
      <c r="L538" s="6"/>
      <c r="N538" s="5"/>
      <c r="O538" s="5"/>
      <c r="P538" s="5"/>
      <c r="Q538" s="4"/>
      <c r="R538" s="3"/>
      <c r="S538" s="2"/>
      <c r="T538" s="1"/>
    </row>
    <row r="539" spans="4:20" ht="13.5" x14ac:dyDescent="0.25">
      <c r="D539" s="7"/>
      <c r="L539" s="6"/>
      <c r="N539" s="5"/>
      <c r="O539" s="5"/>
      <c r="P539" s="5"/>
      <c r="Q539" s="4"/>
      <c r="R539" s="3"/>
      <c r="S539" s="2"/>
      <c r="T539" s="1"/>
    </row>
    <row r="540" spans="4:20" ht="13.5" x14ac:dyDescent="0.25">
      <c r="D540" s="7"/>
      <c r="L540" s="6"/>
      <c r="N540" s="5"/>
      <c r="O540" s="5"/>
      <c r="P540" s="5"/>
      <c r="Q540" s="4"/>
      <c r="R540" s="3"/>
      <c r="S540" s="2"/>
      <c r="T540" s="1"/>
    </row>
    <row r="541" spans="4:20" ht="13.5" x14ac:dyDescent="0.25">
      <c r="D541" s="7"/>
      <c r="L541" s="6"/>
      <c r="N541" s="5"/>
      <c r="O541" s="5"/>
      <c r="P541" s="5"/>
      <c r="Q541" s="4"/>
      <c r="R541" s="3"/>
      <c r="S541" s="2"/>
      <c r="T541" s="1"/>
    </row>
    <row r="542" spans="4:20" ht="13.5" x14ac:dyDescent="0.25">
      <c r="D542" s="7"/>
      <c r="L542" s="6"/>
      <c r="N542" s="5"/>
      <c r="O542" s="5"/>
      <c r="P542" s="5"/>
      <c r="Q542" s="4"/>
      <c r="R542" s="3"/>
      <c r="S542" s="2"/>
      <c r="T542" s="1"/>
    </row>
    <row r="543" spans="4:20" ht="13.5" x14ac:dyDescent="0.25">
      <c r="D543" s="7"/>
      <c r="L543" s="6"/>
      <c r="N543" s="5"/>
      <c r="O543" s="5"/>
      <c r="P543" s="5"/>
      <c r="Q543" s="4"/>
      <c r="R543" s="3"/>
      <c r="S543" s="2"/>
      <c r="T543" s="1"/>
    </row>
    <row r="544" spans="4:20" ht="13.5" x14ac:dyDescent="0.25">
      <c r="D544" s="7"/>
      <c r="L544" s="6"/>
      <c r="N544" s="5"/>
      <c r="O544" s="5"/>
      <c r="P544" s="5"/>
      <c r="Q544" s="4"/>
      <c r="R544" s="3"/>
      <c r="S544" s="2"/>
      <c r="T544" s="1"/>
    </row>
    <row r="545" spans="4:20" ht="13.5" x14ac:dyDescent="0.25">
      <c r="D545" s="7"/>
      <c r="L545" s="6"/>
      <c r="N545" s="5"/>
      <c r="O545" s="5"/>
      <c r="P545" s="5"/>
      <c r="Q545" s="4"/>
      <c r="R545" s="3"/>
      <c r="S545" s="2"/>
      <c r="T545" s="1"/>
    </row>
    <row r="546" spans="4:20" ht="13.5" x14ac:dyDescent="0.25">
      <c r="D546" s="7"/>
      <c r="L546" s="6"/>
      <c r="N546" s="5"/>
      <c r="O546" s="5"/>
      <c r="P546" s="5"/>
      <c r="Q546" s="4"/>
      <c r="R546" s="3"/>
      <c r="S546" s="2"/>
      <c r="T546" s="1"/>
    </row>
    <row r="547" spans="4:20" ht="13.5" x14ac:dyDescent="0.25">
      <c r="D547" s="7"/>
      <c r="L547" s="6"/>
      <c r="N547" s="5"/>
      <c r="O547" s="5"/>
      <c r="P547" s="5"/>
      <c r="Q547" s="4"/>
      <c r="R547" s="3"/>
      <c r="S547" s="2"/>
      <c r="T547" s="1"/>
    </row>
    <row r="548" spans="4:20" ht="13.5" x14ac:dyDescent="0.25">
      <c r="D548" s="7"/>
      <c r="L548" s="6"/>
      <c r="N548" s="5"/>
      <c r="O548" s="5"/>
      <c r="P548" s="5"/>
      <c r="Q548" s="4"/>
      <c r="R548" s="3"/>
      <c r="S548" s="2"/>
      <c r="T548" s="1"/>
    </row>
    <row r="549" spans="4:20" ht="13.5" x14ac:dyDescent="0.25">
      <c r="D549" s="7"/>
      <c r="L549" s="6"/>
      <c r="N549" s="5"/>
      <c r="O549" s="5"/>
      <c r="P549" s="5"/>
      <c r="Q549" s="4"/>
      <c r="R549" s="3"/>
      <c r="S549" s="2"/>
      <c r="T549" s="1"/>
    </row>
    <row r="550" spans="4:20" ht="13.5" x14ac:dyDescent="0.25">
      <c r="D550" s="7"/>
      <c r="L550" s="6"/>
      <c r="N550" s="5"/>
      <c r="O550" s="5"/>
      <c r="P550" s="5"/>
      <c r="Q550" s="4"/>
      <c r="R550" s="3"/>
      <c r="S550" s="2"/>
      <c r="T550" s="1"/>
    </row>
    <row r="551" spans="4:20" ht="13.5" x14ac:dyDescent="0.25">
      <c r="D551" s="7"/>
      <c r="L551" s="6"/>
      <c r="N551" s="5"/>
      <c r="O551" s="5"/>
      <c r="P551" s="5"/>
      <c r="Q551" s="4"/>
      <c r="R551" s="3"/>
      <c r="S551" s="2"/>
      <c r="T551" s="1"/>
    </row>
    <row r="552" spans="4:20" ht="13.5" x14ac:dyDescent="0.25">
      <c r="D552" s="7"/>
      <c r="L552" s="6"/>
      <c r="N552" s="5"/>
      <c r="O552" s="5"/>
      <c r="P552" s="5"/>
      <c r="Q552" s="4"/>
      <c r="R552" s="3"/>
      <c r="S552" s="2"/>
      <c r="T552" s="1"/>
    </row>
    <row r="553" spans="4:20" ht="13.5" x14ac:dyDescent="0.25">
      <c r="D553" s="7"/>
      <c r="L553" s="6"/>
      <c r="N553" s="5"/>
      <c r="O553" s="5"/>
      <c r="P553" s="5"/>
      <c r="Q553" s="4"/>
      <c r="R553" s="3"/>
      <c r="S553" s="2"/>
      <c r="T553" s="1"/>
    </row>
    <row r="554" spans="4:20" ht="13.5" x14ac:dyDescent="0.25">
      <c r="D554" s="7"/>
      <c r="L554" s="6"/>
      <c r="N554" s="5"/>
      <c r="O554" s="5"/>
      <c r="P554" s="5"/>
      <c r="Q554" s="4"/>
      <c r="R554" s="3"/>
      <c r="S554" s="2"/>
      <c r="T554" s="1"/>
    </row>
    <row r="555" spans="4:20" ht="13.5" x14ac:dyDescent="0.25">
      <c r="D555" s="7"/>
      <c r="L555" s="6"/>
      <c r="N555" s="5"/>
      <c r="O555" s="5"/>
      <c r="P555" s="5"/>
      <c r="Q555" s="4"/>
      <c r="R555" s="3"/>
      <c r="S555" s="2"/>
      <c r="T555" s="1"/>
    </row>
    <row r="556" spans="4:20" ht="13.5" x14ac:dyDescent="0.25">
      <c r="D556" s="7"/>
      <c r="L556" s="6"/>
      <c r="N556" s="5"/>
      <c r="O556" s="5"/>
      <c r="P556" s="5"/>
      <c r="Q556" s="4"/>
      <c r="R556" s="3"/>
      <c r="S556" s="2"/>
      <c r="T556" s="1"/>
    </row>
    <row r="557" spans="4:20" ht="13.5" x14ac:dyDescent="0.25">
      <c r="D557" s="7"/>
      <c r="L557" s="6"/>
      <c r="N557" s="5"/>
      <c r="O557" s="5"/>
      <c r="P557" s="5"/>
      <c r="Q557" s="4"/>
      <c r="R557" s="3"/>
      <c r="S557" s="2"/>
      <c r="T557" s="1"/>
    </row>
    <row r="558" spans="4:20" ht="13.5" x14ac:dyDescent="0.25">
      <c r="D558" s="7"/>
      <c r="L558" s="6"/>
      <c r="N558" s="5"/>
      <c r="O558" s="5"/>
      <c r="P558" s="5"/>
      <c r="Q558" s="4"/>
      <c r="R558" s="3"/>
      <c r="S558" s="2"/>
      <c r="T558" s="1"/>
    </row>
    <row r="559" spans="4:20" ht="13.5" x14ac:dyDescent="0.25">
      <c r="D559" s="7"/>
      <c r="L559" s="6"/>
      <c r="N559" s="5"/>
      <c r="O559" s="5"/>
      <c r="P559" s="5"/>
      <c r="Q559" s="4"/>
      <c r="R559" s="3"/>
      <c r="S559" s="2"/>
      <c r="T559" s="1"/>
    </row>
    <row r="560" spans="4:20" ht="13.5" x14ac:dyDescent="0.25">
      <c r="D560" s="7"/>
      <c r="L560" s="6"/>
      <c r="N560" s="5"/>
      <c r="O560" s="5"/>
      <c r="P560" s="5"/>
      <c r="Q560" s="4"/>
      <c r="R560" s="3"/>
      <c r="S560" s="2"/>
      <c r="T560" s="1"/>
    </row>
    <row r="561" spans="4:20" ht="13.5" x14ac:dyDescent="0.25">
      <c r="D561" s="7"/>
      <c r="L561" s="6"/>
      <c r="N561" s="5"/>
      <c r="O561" s="5"/>
      <c r="P561" s="5"/>
      <c r="Q561" s="4"/>
      <c r="R561" s="3"/>
      <c r="S561" s="2"/>
      <c r="T561" s="1"/>
    </row>
    <row r="562" spans="4:20" ht="13.5" x14ac:dyDescent="0.25">
      <c r="D562" s="7"/>
      <c r="L562" s="6"/>
      <c r="N562" s="5"/>
      <c r="O562" s="5"/>
      <c r="P562" s="5"/>
      <c r="Q562" s="4"/>
      <c r="R562" s="3"/>
      <c r="S562" s="2"/>
      <c r="T562" s="1"/>
    </row>
    <row r="563" spans="4:20" ht="13.5" x14ac:dyDescent="0.25">
      <c r="D563" s="7"/>
      <c r="L563" s="6"/>
      <c r="N563" s="5"/>
      <c r="O563" s="5"/>
      <c r="P563" s="5"/>
      <c r="Q563" s="4"/>
      <c r="R563" s="3"/>
      <c r="S563" s="2"/>
      <c r="T563" s="1"/>
    </row>
    <row r="564" spans="4:20" ht="13.5" x14ac:dyDescent="0.25">
      <c r="D564" s="7"/>
      <c r="L564" s="6"/>
      <c r="N564" s="5"/>
      <c r="O564" s="5"/>
      <c r="P564" s="5"/>
      <c r="Q564" s="4"/>
      <c r="R564" s="3"/>
      <c r="S564" s="2"/>
      <c r="T564" s="1"/>
    </row>
    <row r="565" spans="4:20" ht="13.5" x14ac:dyDescent="0.25">
      <c r="D565" s="7"/>
      <c r="L565" s="6"/>
      <c r="N565" s="5"/>
      <c r="O565" s="5"/>
      <c r="P565" s="5"/>
      <c r="Q565" s="4"/>
      <c r="R565" s="3"/>
      <c r="S565" s="2"/>
      <c r="T565" s="1"/>
    </row>
    <row r="566" spans="4:20" ht="13.5" x14ac:dyDescent="0.25">
      <c r="D566" s="7"/>
      <c r="L566" s="6"/>
      <c r="N566" s="5"/>
      <c r="O566" s="5"/>
      <c r="P566" s="5"/>
      <c r="Q566" s="4"/>
      <c r="R566" s="3"/>
      <c r="S566" s="2"/>
      <c r="T566" s="1"/>
    </row>
    <row r="567" spans="4:20" ht="13.5" x14ac:dyDescent="0.25">
      <c r="D567" s="7"/>
      <c r="L567" s="6"/>
      <c r="N567" s="5"/>
      <c r="O567" s="5"/>
      <c r="P567" s="5"/>
      <c r="Q567" s="4"/>
      <c r="R567" s="3"/>
      <c r="S567" s="2"/>
      <c r="T567" s="1"/>
    </row>
    <row r="568" spans="4:20" ht="13.5" x14ac:dyDescent="0.25">
      <c r="D568" s="7"/>
      <c r="L568" s="6"/>
      <c r="N568" s="5"/>
      <c r="O568" s="5"/>
      <c r="P568" s="5"/>
      <c r="Q568" s="4"/>
      <c r="R568" s="3"/>
      <c r="S568" s="2"/>
      <c r="T568" s="1"/>
    </row>
    <row r="569" spans="4:20" ht="13.5" x14ac:dyDescent="0.25">
      <c r="D569" s="7"/>
      <c r="L569" s="6"/>
      <c r="N569" s="5"/>
      <c r="O569" s="5"/>
      <c r="P569" s="5"/>
      <c r="Q569" s="4"/>
      <c r="R569" s="3"/>
      <c r="S569" s="2"/>
      <c r="T569" s="1"/>
    </row>
    <row r="570" spans="4:20" ht="13.5" x14ac:dyDescent="0.25">
      <c r="D570" s="7"/>
      <c r="L570" s="6"/>
      <c r="N570" s="5"/>
      <c r="O570" s="5"/>
      <c r="P570" s="5"/>
      <c r="Q570" s="4"/>
      <c r="R570" s="3"/>
      <c r="S570" s="2"/>
      <c r="T570" s="1"/>
    </row>
    <row r="571" spans="4:20" ht="13.5" x14ac:dyDescent="0.25">
      <c r="D571" s="7"/>
      <c r="L571" s="6"/>
      <c r="N571" s="5"/>
      <c r="O571" s="5"/>
      <c r="P571" s="5"/>
      <c r="Q571" s="4"/>
      <c r="R571" s="3"/>
      <c r="S571" s="2"/>
      <c r="T571" s="1"/>
    </row>
    <row r="572" spans="4:20" ht="13.5" x14ac:dyDescent="0.25">
      <c r="D572" s="7"/>
      <c r="L572" s="6"/>
      <c r="N572" s="5"/>
      <c r="O572" s="5"/>
      <c r="P572" s="5"/>
      <c r="Q572" s="4"/>
      <c r="R572" s="3"/>
      <c r="S572" s="2"/>
      <c r="T572" s="1"/>
    </row>
    <row r="573" spans="4:20" ht="13.5" x14ac:dyDescent="0.25">
      <c r="D573" s="7"/>
      <c r="L573" s="6"/>
      <c r="N573" s="5"/>
      <c r="O573" s="5"/>
      <c r="P573" s="5"/>
      <c r="Q573" s="4"/>
      <c r="R573" s="3"/>
      <c r="S573" s="2"/>
      <c r="T573" s="1"/>
    </row>
    <row r="574" spans="4:20" ht="13.5" x14ac:dyDescent="0.25">
      <c r="D574" s="7"/>
      <c r="L574" s="6"/>
      <c r="N574" s="5"/>
      <c r="O574" s="5"/>
      <c r="P574" s="5"/>
      <c r="Q574" s="4"/>
      <c r="R574" s="3"/>
      <c r="S574" s="2"/>
      <c r="T574" s="1"/>
    </row>
    <row r="575" spans="4:20" ht="13.5" x14ac:dyDescent="0.25">
      <c r="D575" s="7"/>
      <c r="L575" s="6"/>
      <c r="N575" s="5"/>
      <c r="O575" s="5"/>
      <c r="P575" s="5"/>
      <c r="Q575" s="4"/>
      <c r="R575" s="3"/>
      <c r="S575" s="2"/>
      <c r="T575" s="1"/>
    </row>
    <row r="576" spans="4:20" ht="13.5" x14ac:dyDescent="0.25">
      <c r="D576" s="7"/>
      <c r="L576" s="6"/>
      <c r="N576" s="5"/>
      <c r="O576" s="5"/>
      <c r="P576" s="5"/>
      <c r="Q576" s="4"/>
      <c r="R576" s="3"/>
      <c r="S576" s="2"/>
      <c r="T576" s="1"/>
    </row>
    <row r="577" spans="4:20" ht="13.5" x14ac:dyDescent="0.25">
      <c r="D577" s="7"/>
      <c r="L577" s="6"/>
      <c r="N577" s="5"/>
      <c r="O577" s="5"/>
      <c r="P577" s="5"/>
      <c r="Q577" s="4"/>
      <c r="R577" s="3"/>
      <c r="S577" s="2"/>
      <c r="T577" s="1"/>
    </row>
    <row r="578" spans="4:20" ht="13.5" x14ac:dyDescent="0.25">
      <c r="D578" s="7"/>
      <c r="L578" s="6"/>
      <c r="N578" s="5"/>
      <c r="O578" s="5"/>
      <c r="P578" s="5"/>
      <c r="Q578" s="4"/>
      <c r="R578" s="3"/>
      <c r="S578" s="2"/>
      <c r="T578" s="1"/>
    </row>
    <row r="579" spans="4:20" ht="13.5" x14ac:dyDescent="0.25">
      <c r="D579" s="7"/>
      <c r="L579" s="6"/>
      <c r="N579" s="5"/>
      <c r="O579" s="5"/>
      <c r="P579" s="5"/>
      <c r="Q579" s="4"/>
      <c r="R579" s="3"/>
      <c r="S579" s="2"/>
      <c r="T579" s="1"/>
    </row>
    <row r="580" spans="4:20" ht="13.5" x14ac:dyDescent="0.25">
      <c r="D580" s="7"/>
      <c r="L580" s="6"/>
      <c r="N580" s="5"/>
      <c r="O580" s="5"/>
      <c r="P580" s="5"/>
      <c r="Q580" s="4"/>
      <c r="R580" s="3"/>
      <c r="S580" s="2"/>
      <c r="T580" s="1"/>
    </row>
    <row r="581" spans="4:20" ht="13.5" x14ac:dyDescent="0.25">
      <c r="D581" s="7"/>
      <c r="L581" s="6"/>
      <c r="N581" s="5"/>
      <c r="O581" s="5"/>
      <c r="P581" s="5"/>
      <c r="Q581" s="4"/>
      <c r="R581" s="3"/>
      <c r="S581" s="2"/>
      <c r="T581" s="1"/>
    </row>
    <row r="582" spans="4:20" ht="13.5" x14ac:dyDescent="0.25">
      <c r="D582" s="7"/>
      <c r="L582" s="6"/>
      <c r="N582" s="5"/>
      <c r="O582" s="5"/>
      <c r="P582" s="5"/>
      <c r="Q582" s="4"/>
      <c r="R582" s="3"/>
      <c r="S582" s="2"/>
      <c r="T582" s="1"/>
    </row>
    <row r="583" spans="4:20" ht="13.5" x14ac:dyDescent="0.25">
      <c r="D583" s="7"/>
      <c r="L583" s="6"/>
      <c r="N583" s="5"/>
      <c r="O583" s="5"/>
      <c r="P583" s="5"/>
      <c r="Q583" s="4"/>
      <c r="R583" s="3"/>
      <c r="S583" s="2"/>
      <c r="T583" s="1"/>
    </row>
    <row r="584" spans="4:20" ht="13.5" x14ac:dyDescent="0.25">
      <c r="D584" s="7"/>
      <c r="L584" s="6"/>
      <c r="N584" s="5"/>
      <c r="O584" s="5"/>
      <c r="P584" s="5"/>
      <c r="Q584" s="4"/>
      <c r="R584" s="3"/>
      <c r="S584" s="2"/>
      <c r="T584" s="1"/>
    </row>
    <row r="585" spans="4:20" ht="13.5" x14ac:dyDescent="0.25">
      <c r="D585" s="7"/>
      <c r="L585" s="6"/>
      <c r="N585" s="5"/>
      <c r="O585" s="5"/>
      <c r="P585" s="5"/>
      <c r="Q585" s="4"/>
      <c r="R585" s="3"/>
      <c r="S585" s="2"/>
      <c r="T585" s="1"/>
    </row>
    <row r="586" spans="4:20" ht="13.5" x14ac:dyDescent="0.25">
      <c r="D586" s="7"/>
      <c r="L586" s="6"/>
      <c r="N586" s="5"/>
      <c r="O586" s="5"/>
      <c r="P586" s="5"/>
      <c r="Q586" s="4"/>
      <c r="R586" s="3"/>
      <c r="S586" s="2"/>
      <c r="T586" s="1"/>
    </row>
    <row r="587" spans="4:20" ht="13.5" x14ac:dyDescent="0.25">
      <c r="D587" s="7"/>
      <c r="L587" s="6"/>
      <c r="N587" s="5"/>
      <c r="O587" s="5"/>
      <c r="P587" s="5"/>
      <c r="Q587" s="4"/>
      <c r="R587" s="3"/>
      <c r="S587" s="2"/>
      <c r="T587" s="1"/>
    </row>
    <row r="588" spans="4:20" ht="13.5" x14ac:dyDescent="0.25">
      <c r="D588" s="7"/>
      <c r="L588" s="6"/>
      <c r="N588" s="5"/>
      <c r="O588" s="5"/>
      <c r="P588" s="5"/>
      <c r="Q588" s="4"/>
      <c r="R588" s="3"/>
      <c r="S588" s="2"/>
      <c r="T588" s="1"/>
    </row>
    <row r="589" spans="4:20" ht="13.5" x14ac:dyDescent="0.25">
      <c r="D589" s="7"/>
      <c r="L589" s="6"/>
      <c r="N589" s="5"/>
      <c r="O589" s="5"/>
      <c r="P589" s="5"/>
      <c r="Q589" s="4"/>
      <c r="R589" s="3"/>
      <c r="S589" s="2"/>
      <c r="T589" s="1"/>
    </row>
    <row r="590" spans="4:20" ht="13.5" x14ac:dyDescent="0.25">
      <c r="D590" s="7"/>
      <c r="L590" s="6"/>
      <c r="N590" s="5"/>
      <c r="O590" s="5"/>
      <c r="P590" s="5"/>
      <c r="Q590" s="4"/>
      <c r="R590" s="3"/>
      <c r="S590" s="2"/>
      <c r="T590" s="1"/>
    </row>
    <row r="591" spans="4:20" ht="13.5" x14ac:dyDescent="0.25">
      <c r="D591" s="7"/>
      <c r="L591" s="6"/>
      <c r="N591" s="5"/>
      <c r="O591" s="5"/>
      <c r="P591" s="5"/>
      <c r="Q591" s="4"/>
      <c r="R591" s="3"/>
      <c r="S591" s="2"/>
      <c r="T591" s="1"/>
    </row>
    <row r="592" spans="4:20" ht="13.5" x14ac:dyDescent="0.25">
      <c r="D592" s="7"/>
      <c r="L592" s="6"/>
      <c r="N592" s="5"/>
      <c r="O592" s="5"/>
      <c r="P592" s="5"/>
      <c r="Q592" s="4"/>
      <c r="R592" s="3"/>
      <c r="S592" s="2"/>
      <c r="T592" s="1"/>
    </row>
    <row r="593" spans="4:20" ht="13.5" x14ac:dyDescent="0.25">
      <c r="D593" s="7"/>
      <c r="L593" s="6"/>
      <c r="N593" s="5"/>
      <c r="O593" s="5"/>
      <c r="P593" s="5"/>
      <c r="Q593" s="4"/>
      <c r="R593" s="3"/>
      <c r="S593" s="2"/>
      <c r="T593" s="1"/>
    </row>
    <row r="594" spans="4:20" ht="13.5" x14ac:dyDescent="0.25">
      <c r="D594" s="7"/>
      <c r="L594" s="6"/>
      <c r="N594" s="5"/>
      <c r="O594" s="5"/>
      <c r="P594" s="5"/>
      <c r="Q594" s="4"/>
      <c r="R594" s="3"/>
      <c r="S594" s="2"/>
      <c r="T594" s="1"/>
    </row>
    <row r="595" spans="4:20" ht="13.5" x14ac:dyDescent="0.25">
      <c r="D595" s="7"/>
      <c r="L595" s="6"/>
      <c r="N595" s="5"/>
      <c r="O595" s="5"/>
      <c r="P595" s="5"/>
      <c r="Q595" s="4"/>
      <c r="R595" s="3"/>
      <c r="S595" s="2"/>
      <c r="T595" s="1"/>
    </row>
    <row r="596" spans="4:20" ht="13.5" x14ac:dyDescent="0.25">
      <c r="D596" s="7"/>
      <c r="L596" s="6"/>
      <c r="N596" s="5"/>
      <c r="O596" s="5"/>
      <c r="P596" s="5"/>
      <c r="Q596" s="4"/>
      <c r="R596" s="3"/>
      <c r="S596" s="2"/>
      <c r="T596" s="1"/>
    </row>
    <row r="597" spans="4:20" ht="13.5" x14ac:dyDescent="0.25">
      <c r="D597" s="7"/>
      <c r="L597" s="6"/>
      <c r="N597" s="5"/>
      <c r="O597" s="5"/>
      <c r="P597" s="5"/>
      <c r="Q597" s="4"/>
      <c r="R597" s="3"/>
      <c r="S597" s="2"/>
      <c r="T597" s="1"/>
    </row>
    <row r="598" spans="4:20" ht="13.5" x14ac:dyDescent="0.25">
      <c r="D598" s="7"/>
      <c r="L598" s="6"/>
      <c r="N598" s="5"/>
      <c r="O598" s="5"/>
      <c r="P598" s="5"/>
      <c r="Q598" s="4"/>
      <c r="R598" s="3"/>
      <c r="S598" s="2"/>
      <c r="T598" s="1"/>
    </row>
    <row r="599" spans="4:20" ht="13.5" x14ac:dyDescent="0.25">
      <c r="D599" s="7"/>
      <c r="L599" s="6"/>
      <c r="N599" s="5"/>
      <c r="O599" s="5"/>
      <c r="P599" s="5"/>
      <c r="Q599" s="4"/>
      <c r="R599" s="3"/>
      <c r="S599" s="2"/>
      <c r="T599" s="1"/>
    </row>
    <row r="600" spans="4:20" ht="13.5" x14ac:dyDescent="0.25">
      <c r="D600" s="7"/>
      <c r="L600" s="6"/>
      <c r="N600" s="5"/>
      <c r="O600" s="5"/>
      <c r="P600" s="5"/>
      <c r="Q600" s="4"/>
      <c r="R600" s="3"/>
      <c r="S600" s="2"/>
      <c r="T600" s="1"/>
    </row>
    <row r="601" spans="4:20" ht="13.5" x14ac:dyDescent="0.25">
      <c r="D601" s="7"/>
      <c r="L601" s="6"/>
      <c r="N601" s="5"/>
      <c r="O601" s="5"/>
      <c r="P601" s="5"/>
      <c r="Q601" s="4"/>
      <c r="R601" s="3"/>
      <c r="S601" s="2"/>
      <c r="T601" s="1"/>
    </row>
    <row r="602" spans="4:20" ht="13.5" x14ac:dyDescent="0.25">
      <c r="D602" s="7"/>
      <c r="L602" s="6"/>
      <c r="N602" s="5"/>
      <c r="O602" s="5"/>
      <c r="P602" s="5"/>
      <c r="Q602" s="4"/>
      <c r="R602" s="3"/>
      <c r="S602" s="2"/>
      <c r="T602" s="1"/>
    </row>
    <row r="603" spans="4:20" ht="13.5" x14ac:dyDescent="0.25">
      <c r="D603" s="7"/>
      <c r="L603" s="6"/>
      <c r="N603" s="5"/>
      <c r="O603" s="5"/>
      <c r="P603" s="5"/>
      <c r="Q603" s="4"/>
      <c r="R603" s="3"/>
      <c r="S603" s="2"/>
      <c r="T603" s="1"/>
    </row>
    <row r="604" spans="4:20" ht="13.5" x14ac:dyDescent="0.25">
      <c r="D604" s="7"/>
      <c r="L604" s="6"/>
      <c r="N604" s="5"/>
      <c r="O604" s="5"/>
      <c r="P604" s="5"/>
      <c r="Q604" s="4"/>
      <c r="R604" s="3"/>
      <c r="S604" s="2"/>
      <c r="T604" s="1"/>
    </row>
    <row r="605" spans="4:20" ht="13.5" x14ac:dyDescent="0.25">
      <c r="D605" s="7"/>
      <c r="L605" s="6"/>
      <c r="N605" s="5"/>
      <c r="O605" s="5"/>
      <c r="P605" s="5"/>
      <c r="Q605" s="4"/>
      <c r="R605" s="3"/>
      <c r="S605" s="2"/>
      <c r="T605" s="1"/>
    </row>
    <row r="606" spans="4:20" ht="13.5" x14ac:dyDescent="0.25">
      <c r="D606" s="7"/>
      <c r="L606" s="6"/>
      <c r="N606" s="5"/>
      <c r="O606" s="5"/>
      <c r="P606" s="5"/>
      <c r="Q606" s="4"/>
      <c r="R606" s="3"/>
      <c r="S606" s="2"/>
      <c r="T606" s="1"/>
    </row>
    <row r="607" spans="4:20" ht="13.5" x14ac:dyDescent="0.25">
      <c r="D607" s="7"/>
      <c r="L607" s="6"/>
      <c r="N607" s="5"/>
      <c r="O607" s="5"/>
      <c r="P607" s="5"/>
      <c r="Q607" s="4"/>
      <c r="R607" s="3"/>
      <c r="S607" s="2"/>
      <c r="T607" s="1"/>
    </row>
    <row r="608" spans="4:20" ht="13.5" x14ac:dyDescent="0.25">
      <c r="D608" s="7"/>
      <c r="L608" s="6"/>
      <c r="N608" s="5"/>
      <c r="O608" s="5"/>
      <c r="P608" s="5"/>
      <c r="Q608" s="4"/>
      <c r="R608" s="3"/>
      <c r="S608" s="2"/>
      <c r="T608" s="1"/>
    </row>
    <row r="609" spans="4:20" ht="13.5" x14ac:dyDescent="0.25">
      <c r="D609" s="7"/>
      <c r="L609" s="6"/>
      <c r="N609" s="5"/>
      <c r="O609" s="5"/>
      <c r="P609" s="5"/>
      <c r="Q609" s="4"/>
      <c r="R609" s="3"/>
      <c r="S609" s="2"/>
      <c r="T609" s="1"/>
    </row>
    <row r="610" spans="4:20" ht="13.5" x14ac:dyDescent="0.25">
      <c r="D610" s="7"/>
      <c r="L610" s="6"/>
      <c r="N610" s="5"/>
      <c r="O610" s="5"/>
      <c r="P610" s="5"/>
      <c r="Q610" s="4"/>
      <c r="R610" s="3"/>
      <c r="S610" s="2"/>
      <c r="T610" s="1"/>
    </row>
    <row r="611" spans="4:20" ht="13.5" x14ac:dyDescent="0.25">
      <c r="D611" s="7"/>
      <c r="L611" s="6"/>
      <c r="N611" s="5"/>
      <c r="O611" s="5"/>
      <c r="P611" s="5"/>
      <c r="Q611" s="4"/>
      <c r="R611" s="3"/>
      <c r="S611" s="2"/>
      <c r="T611" s="1"/>
    </row>
    <row r="612" spans="4:20" ht="13.5" x14ac:dyDescent="0.25">
      <c r="D612" s="7"/>
      <c r="L612" s="6"/>
      <c r="N612" s="5"/>
      <c r="O612" s="5"/>
      <c r="P612" s="5"/>
      <c r="Q612" s="4"/>
      <c r="R612" s="3"/>
      <c r="S612" s="2"/>
      <c r="T612" s="1"/>
    </row>
    <row r="613" spans="4:20" ht="13.5" x14ac:dyDescent="0.25">
      <c r="D613" s="7"/>
      <c r="L613" s="6"/>
      <c r="N613" s="5"/>
      <c r="O613" s="5"/>
      <c r="P613" s="5"/>
      <c r="Q613" s="4"/>
      <c r="R613" s="3"/>
      <c r="S613" s="2"/>
      <c r="T613" s="1"/>
    </row>
    <row r="614" spans="4:20" ht="13.5" x14ac:dyDescent="0.25">
      <c r="D614" s="7"/>
      <c r="L614" s="6"/>
      <c r="N614" s="5"/>
      <c r="O614" s="5"/>
      <c r="P614" s="5"/>
      <c r="Q614" s="4"/>
      <c r="R614" s="3"/>
      <c r="S614" s="2"/>
      <c r="T614" s="1"/>
    </row>
    <row r="615" spans="4:20" ht="13.5" x14ac:dyDescent="0.25">
      <c r="D615" s="7"/>
      <c r="L615" s="6"/>
      <c r="N615" s="5"/>
      <c r="O615" s="5"/>
      <c r="P615" s="5"/>
      <c r="Q615" s="4"/>
      <c r="R615" s="3"/>
      <c r="S615" s="2"/>
      <c r="T615" s="1"/>
    </row>
    <row r="616" spans="4:20" ht="13.5" x14ac:dyDescent="0.25">
      <c r="D616" s="7"/>
      <c r="L616" s="6"/>
      <c r="N616" s="5"/>
      <c r="O616" s="5"/>
      <c r="P616" s="5"/>
      <c r="Q616" s="4"/>
      <c r="R616" s="3"/>
      <c r="S616" s="2"/>
      <c r="T616" s="1"/>
    </row>
    <row r="617" spans="4:20" ht="13.5" x14ac:dyDescent="0.25">
      <c r="D617" s="7"/>
      <c r="L617" s="6"/>
      <c r="N617" s="5"/>
      <c r="O617" s="5"/>
      <c r="P617" s="5"/>
      <c r="Q617" s="4"/>
      <c r="R617" s="3"/>
      <c r="S617" s="2"/>
      <c r="T617" s="1"/>
    </row>
    <row r="618" spans="4:20" ht="13.5" x14ac:dyDescent="0.25">
      <c r="D618" s="7"/>
      <c r="L618" s="6"/>
      <c r="N618" s="5"/>
      <c r="O618" s="5"/>
      <c r="P618" s="5"/>
      <c r="Q618" s="4"/>
      <c r="R618" s="3"/>
      <c r="S618" s="2"/>
      <c r="T618" s="1"/>
    </row>
    <row r="619" spans="4:20" ht="13.5" x14ac:dyDescent="0.25">
      <c r="D619" s="7"/>
      <c r="L619" s="6"/>
      <c r="N619" s="5"/>
      <c r="O619" s="5"/>
      <c r="P619" s="5"/>
      <c r="Q619" s="4"/>
      <c r="R619" s="3"/>
      <c r="S619" s="2"/>
      <c r="T619" s="1"/>
    </row>
    <row r="620" spans="4:20" ht="13.5" x14ac:dyDescent="0.25">
      <c r="D620" s="7"/>
      <c r="L620" s="6"/>
      <c r="N620" s="5"/>
      <c r="O620" s="5"/>
      <c r="P620" s="5"/>
      <c r="Q620" s="4"/>
      <c r="R620" s="3"/>
      <c r="S620" s="2"/>
      <c r="T620" s="1"/>
    </row>
    <row r="621" spans="4:20" ht="13.5" x14ac:dyDescent="0.25">
      <c r="D621" s="7"/>
      <c r="L621" s="6"/>
      <c r="N621" s="5"/>
      <c r="O621" s="5"/>
      <c r="P621" s="5"/>
      <c r="Q621" s="4"/>
      <c r="R621" s="3"/>
      <c r="S621" s="2"/>
      <c r="T621" s="1"/>
    </row>
    <row r="622" spans="4:20" ht="13.5" x14ac:dyDescent="0.25">
      <c r="D622" s="7"/>
      <c r="L622" s="6"/>
      <c r="N622" s="5"/>
      <c r="O622" s="5"/>
      <c r="P622" s="5"/>
      <c r="Q622" s="4"/>
      <c r="R622" s="3"/>
      <c r="S622" s="2"/>
      <c r="T622" s="1"/>
    </row>
    <row r="623" spans="4:20" ht="13.5" x14ac:dyDescent="0.25">
      <c r="D623" s="7"/>
      <c r="L623" s="6"/>
      <c r="N623" s="5"/>
      <c r="O623" s="5"/>
      <c r="P623" s="5"/>
      <c r="Q623" s="4"/>
      <c r="R623" s="3"/>
      <c r="S623" s="2"/>
      <c r="T623" s="1"/>
    </row>
    <row r="624" spans="4:20" ht="13.5" x14ac:dyDescent="0.25">
      <c r="D624" s="7"/>
      <c r="L624" s="6"/>
      <c r="N624" s="5"/>
      <c r="O624" s="5"/>
      <c r="P624" s="5"/>
      <c r="Q624" s="4"/>
      <c r="R624" s="3"/>
      <c r="S624" s="2"/>
      <c r="T624" s="1"/>
    </row>
    <row r="625" spans="4:20" ht="13.5" x14ac:dyDescent="0.25">
      <c r="D625" s="7"/>
      <c r="L625" s="6"/>
      <c r="N625" s="5"/>
      <c r="O625" s="5"/>
      <c r="P625" s="5"/>
      <c r="Q625" s="4"/>
      <c r="R625" s="3"/>
      <c r="S625" s="2"/>
      <c r="T625" s="1"/>
    </row>
    <row r="626" spans="4:20" ht="13.5" x14ac:dyDescent="0.25">
      <c r="D626" s="7"/>
      <c r="L626" s="6"/>
      <c r="N626" s="5"/>
      <c r="O626" s="5"/>
      <c r="P626" s="5"/>
      <c r="Q626" s="4"/>
      <c r="R626" s="3"/>
      <c r="S626" s="2"/>
      <c r="T626" s="1"/>
    </row>
    <row r="627" spans="4:20" ht="13.5" x14ac:dyDescent="0.25">
      <c r="D627" s="7"/>
      <c r="L627" s="6"/>
      <c r="N627" s="5"/>
      <c r="O627" s="5"/>
      <c r="P627" s="5"/>
      <c r="Q627" s="4"/>
      <c r="R627" s="3"/>
      <c r="S627" s="2"/>
      <c r="T627" s="1"/>
    </row>
    <row r="628" spans="4:20" ht="13.5" x14ac:dyDescent="0.25">
      <c r="D628" s="7"/>
      <c r="L628" s="6"/>
      <c r="N628" s="5"/>
      <c r="O628" s="5"/>
      <c r="P628" s="5"/>
      <c r="Q628" s="4"/>
      <c r="R628" s="3"/>
      <c r="S628" s="2"/>
      <c r="T628" s="1"/>
    </row>
    <row r="629" spans="4:20" ht="13.5" x14ac:dyDescent="0.25">
      <c r="D629" s="7"/>
      <c r="L629" s="6"/>
      <c r="N629" s="5"/>
      <c r="O629" s="5"/>
      <c r="P629" s="5"/>
      <c r="Q629" s="4"/>
      <c r="R629" s="3"/>
      <c r="S629" s="2"/>
      <c r="T629" s="1"/>
    </row>
    <row r="630" spans="4:20" ht="13.5" x14ac:dyDescent="0.25">
      <c r="D630" s="7"/>
      <c r="L630" s="6"/>
      <c r="N630" s="5"/>
      <c r="O630" s="5"/>
      <c r="P630" s="5"/>
      <c r="Q630" s="4"/>
      <c r="R630" s="3"/>
      <c r="S630" s="2"/>
      <c r="T630" s="1"/>
    </row>
    <row r="631" spans="4:20" ht="13.5" x14ac:dyDescent="0.25">
      <c r="D631" s="7"/>
      <c r="L631" s="6"/>
      <c r="N631" s="5"/>
      <c r="O631" s="5"/>
      <c r="P631" s="5"/>
      <c r="Q631" s="4"/>
      <c r="R631" s="3"/>
      <c r="S631" s="2"/>
      <c r="T631" s="1"/>
    </row>
    <row r="632" spans="4:20" ht="13.5" x14ac:dyDescent="0.25">
      <c r="D632" s="7"/>
      <c r="L632" s="6"/>
      <c r="N632" s="5"/>
      <c r="O632" s="5"/>
      <c r="P632" s="5"/>
      <c r="Q632" s="4"/>
      <c r="R632" s="3"/>
      <c r="S632" s="2"/>
      <c r="T632" s="1"/>
    </row>
    <row r="633" spans="4:20" ht="13.5" x14ac:dyDescent="0.25">
      <c r="D633" s="7"/>
      <c r="L633" s="6"/>
      <c r="N633" s="5"/>
      <c r="O633" s="5"/>
      <c r="P633" s="5"/>
      <c r="Q633" s="4"/>
      <c r="R633" s="3"/>
      <c r="S633" s="2"/>
      <c r="T633" s="1"/>
    </row>
    <row r="634" spans="4:20" ht="13.5" x14ac:dyDescent="0.25">
      <c r="D634" s="7"/>
      <c r="L634" s="6"/>
      <c r="N634" s="5"/>
      <c r="O634" s="5"/>
      <c r="P634" s="5"/>
      <c r="Q634" s="4"/>
      <c r="R634" s="3"/>
      <c r="S634" s="2"/>
      <c r="T634" s="1"/>
    </row>
    <row r="635" spans="4:20" ht="13.5" x14ac:dyDescent="0.25">
      <c r="D635" s="7"/>
      <c r="L635" s="6"/>
      <c r="N635" s="5"/>
      <c r="O635" s="5"/>
      <c r="P635" s="5"/>
      <c r="Q635" s="4"/>
      <c r="R635" s="3"/>
      <c r="S635" s="2"/>
      <c r="T635" s="1"/>
    </row>
    <row r="636" spans="4:20" ht="13.5" x14ac:dyDescent="0.25">
      <c r="D636" s="7"/>
      <c r="L636" s="6"/>
      <c r="N636" s="5"/>
      <c r="O636" s="5"/>
      <c r="P636" s="5"/>
      <c r="Q636" s="4"/>
      <c r="R636" s="3"/>
      <c r="S636" s="2"/>
      <c r="T636" s="1"/>
    </row>
    <row r="637" spans="4:20" ht="13.5" x14ac:dyDescent="0.25">
      <c r="D637" s="7"/>
      <c r="L637" s="6"/>
      <c r="N637" s="5"/>
      <c r="O637" s="5"/>
      <c r="P637" s="5"/>
      <c r="Q637" s="4"/>
      <c r="R637" s="3"/>
      <c r="S637" s="2"/>
      <c r="T637" s="1"/>
    </row>
    <row r="638" spans="4:20" ht="13.5" x14ac:dyDescent="0.25">
      <c r="D638" s="7"/>
      <c r="L638" s="6"/>
      <c r="N638" s="5"/>
      <c r="O638" s="5"/>
      <c r="P638" s="5"/>
      <c r="Q638" s="4"/>
      <c r="R638" s="3"/>
      <c r="S638" s="2"/>
      <c r="T638" s="1"/>
    </row>
    <row r="639" spans="4:20" ht="13.5" x14ac:dyDescent="0.25">
      <c r="D639" s="7"/>
      <c r="L639" s="6"/>
      <c r="N639" s="5"/>
      <c r="O639" s="5"/>
      <c r="P639" s="5"/>
      <c r="Q639" s="4"/>
      <c r="R639" s="3"/>
      <c r="S639" s="2"/>
      <c r="T639" s="1"/>
    </row>
    <row r="640" spans="4:20" ht="13.5" x14ac:dyDescent="0.25">
      <c r="D640" s="7"/>
      <c r="L640" s="6"/>
      <c r="N640" s="5"/>
      <c r="O640" s="5"/>
      <c r="P640" s="5"/>
      <c r="Q640" s="4"/>
      <c r="R640" s="3"/>
      <c r="S640" s="2"/>
      <c r="T640" s="1"/>
    </row>
    <row r="641" spans="4:20" ht="13.5" x14ac:dyDescent="0.25">
      <c r="D641" s="7"/>
      <c r="L641" s="6"/>
      <c r="N641" s="5"/>
      <c r="O641" s="5"/>
      <c r="P641" s="5"/>
      <c r="Q641" s="4"/>
      <c r="R641" s="3"/>
      <c r="S641" s="2"/>
      <c r="T641" s="1"/>
    </row>
    <row r="642" spans="4:20" ht="13.5" x14ac:dyDescent="0.25">
      <c r="D642" s="7"/>
      <c r="L642" s="6"/>
      <c r="N642" s="5"/>
      <c r="O642" s="5"/>
      <c r="P642" s="5"/>
      <c r="Q642" s="4"/>
      <c r="R642" s="3"/>
      <c r="S642" s="2"/>
      <c r="T642" s="1"/>
    </row>
    <row r="643" spans="4:20" ht="13.5" x14ac:dyDescent="0.25">
      <c r="D643" s="7"/>
      <c r="L643" s="6"/>
      <c r="N643" s="5"/>
      <c r="O643" s="5"/>
      <c r="P643" s="5"/>
      <c r="Q643" s="4"/>
      <c r="R643" s="3"/>
      <c r="S643" s="2"/>
      <c r="T643" s="1"/>
    </row>
    <row r="644" spans="4:20" ht="13.5" x14ac:dyDescent="0.25">
      <c r="D644" s="7"/>
      <c r="L644" s="6"/>
      <c r="N644" s="5"/>
      <c r="O644" s="5"/>
      <c r="P644" s="5"/>
      <c r="Q644" s="4"/>
      <c r="R644" s="3"/>
      <c r="S644" s="2"/>
      <c r="T644" s="1"/>
    </row>
    <row r="645" spans="4:20" ht="13.5" x14ac:dyDescent="0.25">
      <c r="D645" s="7"/>
      <c r="L645" s="6"/>
      <c r="N645" s="5"/>
      <c r="O645" s="5"/>
      <c r="P645" s="5"/>
      <c r="Q645" s="4"/>
      <c r="R645" s="3"/>
      <c r="S645" s="2"/>
      <c r="T645" s="1"/>
    </row>
    <row r="646" spans="4:20" ht="13.5" x14ac:dyDescent="0.25">
      <c r="D646" s="7"/>
      <c r="L646" s="6"/>
      <c r="N646" s="5"/>
      <c r="O646" s="5"/>
      <c r="P646" s="5"/>
      <c r="Q646" s="4"/>
      <c r="R646" s="3"/>
      <c r="S646" s="2"/>
      <c r="T646" s="1"/>
    </row>
    <row r="647" spans="4:20" ht="13.5" x14ac:dyDescent="0.25">
      <c r="D647" s="7"/>
      <c r="L647" s="6"/>
      <c r="N647" s="5"/>
      <c r="O647" s="5"/>
      <c r="P647" s="5"/>
      <c r="Q647" s="4"/>
      <c r="R647" s="3"/>
      <c r="S647" s="2"/>
      <c r="T647" s="1"/>
    </row>
    <row r="648" spans="4:20" ht="13.5" x14ac:dyDescent="0.25">
      <c r="D648" s="7"/>
      <c r="L648" s="6"/>
      <c r="N648" s="5"/>
      <c r="O648" s="5"/>
      <c r="P648" s="5"/>
      <c r="Q648" s="4"/>
      <c r="R648" s="3"/>
      <c r="S648" s="2"/>
      <c r="T648" s="1"/>
    </row>
    <row r="649" spans="4:20" ht="13.5" x14ac:dyDescent="0.25">
      <c r="D649" s="7"/>
      <c r="L649" s="6"/>
      <c r="N649" s="5"/>
      <c r="O649" s="5"/>
      <c r="P649" s="5"/>
      <c r="Q649" s="4"/>
      <c r="R649" s="3"/>
      <c r="S649" s="2"/>
      <c r="T649" s="1"/>
    </row>
    <row r="650" spans="4:20" ht="13.5" x14ac:dyDescent="0.25">
      <c r="D650" s="7"/>
      <c r="L650" s="6"/>
      <c r="N650" s="5"/>
      <c r="O650" s="5"/>
      <c r="P650" s="5"/>
      <c r="Q650" s="4"/>
      <c r="R650" s="3"/>
      <c r="S650" s="2"/>
      <c r="T650" s="1"/>
    </row>
    <row r="651" spans="4:20" ht="13.5" x14ac:dyDescent="0.25">
      <c r="D651" s="7"/>
      <c r="L651" s="6"/>
      <c r="N651" s="5"/>
      <c r="O651" s="5"/>
      <c r="P651" s="5"/>
      <c r="Q651" s="4"/>
      <c r="R651" s="3"/>
      <c r="S651" s="2"/>
      <c r="T651" s="1"/>
    </row>
    <row r="652" spans="4:20" ht="13.5" x14ac:dyDescent="0.25">
      <c r="D652" s="7"/>
      <c r="L652" s="6"/>
      <c r="N652" s="5"/>
      <c r="O652" s="5"/>
      <c r="P652" s="5"/>
      <c r="Q652" s="4"/>
      <c r="R652" s="3"/>
      <c r="S652" s="2"/>
      <c r="T652" s="1"/>
    </row>
    <row r="653" spans="4:20" ht="13.5" x14ac:dyDescent="0.25">
      <c r="D653" s="7"/>
      <c r="L653" s="6"/>
      <c r="N653" s="5"/>
      <c r="O653" s="5"/>
      <c r="P653" s="5"/>
      <c r="Q653" s="4"/>
      <c r="R653" s="3"/>
      <c r="S653" s="2"/>
      <c r="T653" s="1"/>
    </row>
    <row r="654" spans="4:20" ht="13.5" x14ac:dyDescent="0.25">
      <c r="D654" s="7"/>
      <c r="L654" s="6"/>
      <c r="N654" s="5"/>
      <c r="O654" s="5"/>
      <c r="P654" s="5"/>
      <c r="Q654" s="4"/>
      <c r="R654" s="3"/>
      <c r="S654" s="2"/>
      <c r="T654" s="1"/>
    </row>
    <row r="655" spans="4:20" ht="13.5" x14ac:dyDescent="0.25">
      <c r="D655" s="7"/>
      <c r="L655" s="6"/>
      <c r="N655" s="5"/>
      <c r="O655" s="5"/>
      <c r="P655" s="5"/>
      <c r="Q655" s="4"/>
      <c r="R655" s="3"/>
      <c r="S655" s="2"/>
      <c r="T655" s="1"/>
    </row>
    <row r="656" spans="4:20" ht="13.5" x14ac:dyDescent="0.25">
      <c r="D656" s="7"/>
      <c r="L656" s="6"/>
      <c r="N656" s="5"/>
      <c r="O656" s="5"/>
      <c r="P656" s="5"/>
      <c r="Q656" s="4"/>
      <c r="R656" s="3"/>
      <c r="S656" s="2"/>
      <c r="T656" s="1"/>
    </row>
    <row r="657" spans="4:20" ht="13.5" x14ac:dyDescent="0.25">
      <c r="D657" s="7"/>
      <c r="L657" s="6"/>
      <c r="N657" s="5"/>
      <c r="O657" s="5"/>
      <c r="P657" s="5"/>
      <c r="Q657" s="4"/>
      <c r="R657" s="3"/>
      <c r="S657" s="2"/>
      <c r="T657" s="1"/>
    </row>
    <row r="658" spans="4:20" ht="13.5" x14ac:dyDescent="0.25">
      <c r="D658" s="7"/>
      <c r="L658" s="6"/>
      <c r="N658" s="5"/>
      <c r="O658" s="5"/>
      <c r="P658" s="5"/>
      <c r="Q658" s="4"/>
      <c r="R658" s="3"/>
      <c r="S658" s="2"/>
      <c r="T658" s="1"/>
    </row>
    <row r="659" spans="4:20" ht="13.5" x14ac:dyDescent="0.25">
      <c r="D659" s="7"/>
      <c r="L659" s="6"/>
      <c r="N659" s="5"/>
      <c r="O659" s="5"/>
      <c r="P659" s="5"/>
      <c r="Q659" s="4"/>
      <c r="R659" s="3"/>
      <c r="S659" s="2"/>
      <c r="T659" s="1"/>
    </row>
    <row r="660" spans="4:20" ht="13.5" x14ac:dyDescent="0.25">
      <c r="D660" s="7"/>
      <c r="L660" s="6"/>
      <c r="N660" s="5"/>
      <c r="O660" s="5"/>
      <c r="P660" s="5"/>
      <c r="Q660" s="4"/>
      <c r="R660" s="3"/>
      <c r="S660" s="2"/>
      <c r="T660" s="1"/>
    </row>
    <row r="661" spans="4:20" ht="13.5" x14ac:dyDescent="0.25">
      <c r="D661" s="7"/>
      <c r="L661" s="6"/>
      <c r="N661" s="5"/>
      <c r="O661" s="5"/>
      <c r="P661" s="5"/>
      <c r="Q661" s="4"/>
      <c r="R661" s="3"/>
      <c r="S661" s="2"/>
      <c r="T661" s="1"/>
    </row>
    <row r="662" spans="4:20" ht="13.5" x14ac:dyDescent="0.25">
      <c r="D662" s="7"/>
      <c r="L662" s="6"/>
      <c r="N662" s="5"/>
      <c r="O662" s="5"/>
      <c r="P662" s="5"/>
      <c r="Q662" s="4"/>
      <c r="R662" s="3"/>
      <c r="S662" s="2"/>
      <c r="T662" s="1"/>
    </row>
    <row r="663" spans="4:20" ht="13.5" x14ac:dyDescent="0.25">
      <c r="D663" s="7"/>
      <c r="L663" s="6"/>
      <c r="N663" s="5"/>
      <c r="O663" s="5"/>
      <c r="P663" s="5"/>
      <c r="Q663" s="4"/>
      <c r="R663" s="3"/>
      <c r="S663" s="2"/>
      <c r="T663" s="1"/>
    </row>
    <row r="664" spans="4:20" ht="13.5" x14ac:dyDescent="0.25">
      <c r="D664" s="7"/>
      <c r="L664" s="6"/>
      <c r="N664" s="5"/>
      <c r="O664" s="5"/>
      <c r="P664" s="5"/>
      <c r="Q664" s="4"/>
      <c r="R664" s="3"/>
      <c r="S664" s="2"/>
      <c r="T664" s="1"/>
    </row>
    <row r="665" spans="4:20" ht="13.5" x14ac:dyDescent="0.25">
      <c r="D665" s="7"/>
      <c r="L665" s="6"/>
      <c r="N665" s="5"/>
      <c r="O665" s="5"/>
      <c r="P665" s="5"/>
      <c r="Q665" s="4"/>
      <c r="R665" s="3"/>
      <c r="S665" s="2"/>
      <c r="T665" s="1"/>
    </row>
    <row r="666" spans="4:20" ht="13.5" x14ac:dyDescent="0.25">
      <c r="D666" s="7"/>
      <c r="L666" s="6"/>
      <c r="N666" s="5"/>
      <c r="O666" s="5"/>
      <c r="P666" s="5"/>
      <c r="Q666" s="4"/>
      <c r="R666" s="3"/>
      <c r="S666" s="2"/>
      <c r="T666" s="1"/>
    </row>
    <row r="667" spans="4:20" ht="13.5" x14ac:dyDescent="0.25">
      <c r="D667" s="7"/>
      <c r="L667" s="6"/>
      <c r="N667" s="5"/>
      <c r="O667" s="5"/>
      <c r="P667" s="5"/>
      <c r="Q667" s="4"/>
      <c r="R667" s="3"/>
      <c r="S667" s="2"/>
      <c r="T667" s="1"/>
    </row>
    <row r="668" spans="4:20" ht="13.5" x14ac:dyDescent="0.25">
      <c r="D668" s="7"/>
      <c r="L668" s="6"/>
      <c r="N668" s="5"/>
      <c r="O668" s="5"/>
      <c r="P668" s="5"/>
      <c r="Q668" s="4"/>
      <c r="R668" s="3"/>
      <c r="S668" s="2"/>
      <c r="T668" s="1"/>
    </row>
    <row r="669" spans="4:20" ht="13.5" x14ac:dyDescent="0.25">
      <c r="D669" s="7"/>
      <c r="L669" s="6"/>
      <c r="N669" s="5"/>
      <c r="O669" s="5"/>
      <c r="P669" s="5"/>
      <c r="Q669" s="4"/>
      <c r="R669" s="3"/>
      <c r="S669" s="2"/>
      <c r="T669" s="1"/>
    </row>
    <row r="670" spans="4:20" ht="13.5" x14ac:dyDescent="0.25">
      <c r="D670" s="7"/>
      <c r="L670" s="6"/>
      <c r="N670" s="5"/>
      <c r="O670" s="5"/>
      <c r="P670" s="5"/>
      <c r="Q670" s="4"/>
      <c r="R670" s="3"/>
      <c r="S670" s="2"/>
      <c r="T670" s="1"/>
    </row>
    <row r="671" spans="4:20" ht="13.5" x14ac:dyDescent="0.25">
      <c r="D671" s="7"/>
      <c r="L671" s="6"/>
      <c r="N671" s="5"/>
      <c r="O671" s="5"/>
      <c r="P671" s="5"/>
      <c r="Q671" s="4"/>
      <c r="R671" s="3"/>
      <c r="S671" s="2"/>
      <c r="T671" s="1"/>
    </row>
    <row r="672" spans="4:20" ht="13.5" x14ac:dyDescent="0.25">
      <c r="D672" s="7"/>
      <c r="L672" s="6"/>
      <c r="N672" s="5"/>
      <c r="O672" s="5"/>
      <c r="P672" s="5"/>
      <c r="Q672" s="4"/>
      <c r="R672" s="3"/>
      <c r="S672" s="2"/>
      <c r="T672" s="1"/>
    </row>
    <row r="673" spans="4:20" ht="13.5" x14ac:dyDescent="0.25">
      <c r="D673" s="7"/>
      <c r="L673" s="6"/>
      <c r="N673" s="5"/>
      <c r="O673" s="5"/>
      <c r="P673" s="5"/>
      <c r="Q673" s="4"/>
      <c r="R673" s="3"/>
      <c r="S673" s="2"/>
      <c r="T673" s="1"/>
    </row>
    <row r="674" spans="4:20" ht="13.5" x14ac:dyDescent="0.25">
      <c r="D674" s="7"/>
      <c r="L674" s="6"/>
      <c r="N674" s="5"/>
      <c r="O674" s="5"/>
      <c r="P674" s="5"/>
      <c r="Q674" s="4"/>
      <c r="R674" s="3"/>
      <c r="S674" s="2"/>
      <c r="T674" s="1"/>
    </row>
    <row r="675" spans="4:20" ht="13.5" x14ac:dyDescent="0.25">
      <c r="D675" s="7"/>
      <c r="L675" s="6"/>
      <c r="N675" s="5"/>
      <c r="O675" s="5"/>
      <c r="P675" s="5"/>
      <c r="Q675" s="4"/>
      <c r="R675" s="3"/>
      <c r="S675" s="2"/>
      <c r="T675" s="1"/>
    </row>
    <row r="676" spans="4:20" ht="13.5" x14ac:dyDescent="0.25">
      <c r="D676" s="7"/>
      <c r="L676" s="6"/>
      <c r="N676" s="5"/>
      <c r="O676" s="5"/>
      <c r="P676" s="5"/>
      <c r="Q676" s="4"/>
      <c r="R676" s="3"/>
      <c r="S676" s="2"/>
      <c r="T676" s="1"/>
    </row>
    <row r="677" spans="4:20" ht="13.5" x14ac:dyDescent="0.25">
      <c r="D677" s="7"/>
      <c r="L677" s="6"/>
      <c r="N677" s="5"/>
      <c r="O677" s="5"/>
      <c r="P677" s="5"/>
      <c r="Q677" s="4"/>
      <c r="R677" s="3"/>
      <c r="S677" s="2"/>
      <c r="T677" s="1"/>
    </row>
    <row r="678" spans="4:20" ht="13.5" x14ac:dyDescent="0.25">
      <c r="D678" s="7"/>
      <c r="L678" s="6"/>
      <c r="N678" s="5"/>
      <c r="O678" s="5"/>
      <c r="P678" s="5"/>
      <c r="Q678" s="4"/>
      <c r="R678" s="3"/>
      <c r="S678" s="2"/>
      <c r="T678" s="1"/>
    </row>
    <row r="679" spans="4:20" ht="13.5" x14ac:dyDescent="0.25">
      <c r="D679" s="7"/>
      <c r="L679" s="6"/>
      <c r="N679" s="5"/>
      <c r="O679" s="5"/>
      <c r="P679" s="5"/>
      <c r="Q679" s="4"/>
      <c r="R679" s="3"/>
      <c r="S679" s="2"/>
      <c r="T679" s="1"/>
    </row>
    <row r="680" spans="4:20" ht="13.5" x14ac:dyDescent="0.25">
      <c r="D680" s="7"/>
      <c r="L680" s="6"/>
      <c r="N680" s="5"/>
      <c r="O680" s="5"/>
      <c r="P680" s="5"/>
      <c r="Q680" s="4"/>
      <c r="R680" s="3"/>
      <c r="S680" s="2"/>
      <c r="T680" s="1"/>
    </row>
    <row r="681" spans="4:20" ht="13.5" x14ac:dyDescent="0.25">
      <c r="D681" s="7"/>
      <c r="L681" s="6"/>
      <c r="N681" s="5"/>
      <c r="O681" s="5"/>
      <c r="P681" s="5"/>
      <c r="Q681" s="4"/>
      <c r="R681" s="3"/>
      <c r="S681" s="2"/>
      <c r="T681" s="1"/>
    </row>
    <row r="682" spans="4:20" ht="13.5" x14ac:dyDescent="0.25">
      <c r="D682" s="7"/>
      <c r="L682" s="6"/>
      <c r="N682" s="5"/>
      <c r="O682" s="5"/>
      <c r="P682" s="5"/>
      <c r="Q682" s="4"/>
      <c r="R682" s="3"/>
      <c r="S682" s="2"/>
      <c r="T682" s="1"/>
    </row>
    <row r="683" spans="4:20" ht="13.5" x14ac:dyDescent="0.25">
      <c r="D683" s="7"/>
      <c r="L683" s="6"/>
      <c r="N683" s="5"/>
      <c r="O683" s="5"/>
      <c r="P683" s="5"/>
      <c r="Q683" s="4"/>
      <c r="R683" s="3"/>
      <c r="S683" s="2"/>
      <c r="T683" s="1"/>
    </row>
    <row r="684" spans="4:20" ht="13.5" x14ac:dyDescent="0.25">
      <c r="D684" s="7"/>
      <c r="L684" s="6"/>
      <c r="N684" s="5"/>
      <c r="O684" s="5"/>
      <c r="P684" s="5"/>
      <c r="Q684" s="4"/>
      <c r="R684" s="3"/>
      <c r="S684" s="2"/>
      <c r="T684" s="1"/>
    </row>
    <row r="685" spans="4:20" ht="13.5" x14ac:dyDescent="0.25">
      <c r="D685" s="7"/>
      <c r="L685" s="6"/>
      <c r="N685" s="5"/>
      <c r="O685" s="5"/>
      <c r="P685" s="5"/>
      <c r="Q685" s="4"/>
      <c r="R685" s="3"/>
      <c r="S685" s="2"/>
      <c r="T685" s="1"/>
    </row>
    <row r="686" spans="4:20" ht="13.5" x14ac:dyDescent="0.25">
      <c r="D686" s="7"/>
      <c r="L686" s="6"/>
      <c r="N686" s="5"/>
      <c r="O686" s="5"/>
      <c r="P686" s="5"/>
      <c r="Q686" s="4"/>
      <c r="R686" s="3"/>
      <c r="S686" s="2"/>
      <c r="T686" s="1"/>
    </row>
    <row r="687" spans="4:20" ht="13.5" x14ac:dyDescent="0.25">
      <c r="D687" s="7"/>
      <c r="L687" s="6"/>
      <c r="N687" s="5"/>
      <c r="O687" s="5"/>
      <c r="P687" s="5"/>
      <c r="Q687" s="4"/>
      <c r="R687" s="3"/>
      <c r="S687" s="2"/>
      <c r="T687" s="1"/>
    </row>
    <row r="688" spans="4:20" ht="13.5" x14ac:dyDescent="0.25">
      <c r="D688" s="7"/>
      <c r="L688" s="6"/>
      <c r="N688" s="5"/>
      <c r="O688" s="5"/>
      <c r="P688" s="5"/>
      <c r="Q688" s="4"/>
      <c r="R688" s="3"/>
      <c r="S688" s="2"/>
      <c r="T688" s="1"/>
    </row>
    <row r="689" spans="4:20" ht="13.5" x14ac:dyDescent="0.25">
      <c r="D689" s="7"/>
      <c r="L689" s="6"/>
      <c r="N689" s="5"/>
      <c r="O689" s="5"/>
      <c r="P689" s="5"/>
      <c r="Q689" s="4"/>
      <c r="R689" s="3"/>
      <c r="S689" s="2"/>
      <c r="T689" s="1"/>
    </row>
    <row r="690" spans="4:20" ht="13.5" x14ac:dyDescent="0.25">
      <c r="D690" s="7"/>
      <c r="L690" s="6"/>
      <c r="N690" s="5"/>
      <c r="O690" s="5"/>
      <c r="P690" s="5"/>
      <c r="Q690" s="4"/>
      <c r="R690" s="3"/>
      <c r="S690" s="2"/>
      <c r="T690" s="1"/>
    </row>
    <row r="691" spans="4:20" ht="13.5" x14ac:dyDescent="0.25">
      <c r="D691" s="7"/>
      <c r="L691" s="6"/>
      <c r="N691" s="5"/>
      <c r="O691" s="5"/>
      <c r="P691" s="5"/>
      <c r="Q691" s="4"/>
      <c r="R691" s="3"/>
      <c r="S691" s="2"/>
      <c r="T691" s="1"/>
    </row>
    <row r="692" spans="4:20" ht="13.5" x14ac:dyDescent="0.25">
      <c r="D692" s="7"/>
      <c r="L692" s="6"/>
      <c r="N692" s="5"/>
      <c r="O692" s="5"/>
      <c r="P692" s="5"/>
      <c r="Q692" s="4"/>
      <c r="R692" s="3"/>
      <c r="S692" s="2"/>
      <c r="T692" s="1"/>
    </row>
    <row r="693" spans="4:20" ht="13.5" x14ac:dyDescent="0.25">
      <c r="D693" s="7"/>
      <c r="L693" s="6"/>
      <c r="N693" s="5"/>
      <c r="O693" s="5"/>
      <c r="P693" s="5"/>
      <c r="Q693" s="4"/>
      <c r="R693" s="3"/>
      <c r="S693" s="2"/>
      <c r="T693" s="1"/>
    </row>
    <row r="694" spans="4:20" ht="13.5" x14ac:dyDescent="0.25">
      <c r="D694" s="7"/>
      <c r="L694" s="6"/>
      <c r="N694" s="5"/>
      <c r="O694" s="5"/>
      <c r="P694" s="5"/>
      <c r="Q694" s="4"/>
      <c r="R694" s="3"/>
      <c r="S694" s="2"/>
      <c r="T694" s="1"/>
    </row>
    <row r="695" spans="4:20" ht="13.5" x14ac:dyDescent="0.25">
      <c r="D695" s="7"/>
      <c r="L695" s="6"/>
      <c r="N695" s="5"/>
      <c r="O695" s="5"/>
      <c r="P695" s="5"/>
      <c r="Q695" s="4"/>
      <c r="R695" s="3"/>
      <c r="S695" s="2"/>
      <c r="T695" s="1"/>
    </row>
    <row r="696" spans="4:20" ht="13.5" x14ac:dyDescent="0.25">
      <c r="D696" s="7"/>
      <c r="L696" s="6"/>
      <c r="N696" s="5"/>
      <c r="O696" s="5"/>
      <c r="P696" s="5"/>
      <c r="Q696" s="4"/>
      <c r="R696" s="3"/>
      <c r="S696" s="2"/>
      <c r="T696" s="1"/>
    </row>
    <row r="697" spans="4:20" ht="13.5" x14ac:dyDescent="0.25">
      <c r="D697" s="7"/>
      <c r="L697" s="6"/>
      <c r="N697" s="5"/>
      <c r="O697" s="5"/>
      <c r="P697" s="5"/>
      <c r="Q697" s="4"/>
      <c r="R697" s="3"/>
      <c r="S697" s="2"/>
      <c r="T697" s="1"/>
    </row>
    <row r="698" spans="4:20" ht="13.5" x14ac:dyDescent="0.25">
      <c r="D698" s="7"/>
      <c r="L698" s="6"/>
      <c r="N698" s="5"/>
      <c r="O698" s="5"/>
      <c r="P698" s="5"/>
      <c r="Q698" s="4"/>
      <c r="R698" s="3"/>
      <c r="S698" s="2"/>
      <c r="T698" s="1"/>
    </row>
    <row r="699" spans="4:20" ht="13.5" x14ac:dyDescent="0.25">
      <c r="D699" s="7"/>
      <c r="L699" s="6"/>
      <c r="N699" s="5"/>
      <c r="O699" s="5"/>
      <c r="P699" s="5"/>
      <c r="Q699" s="4"/>
      <c r="R699" s="3"/>
      <c r="S699" s="2"/>
      <c r="T699" s="1"/>
    </row>
    <row r="700" spans="4:20" ht="13.5" x14ac:dyDescent="0.25">
      <c r="D700" s="7"/>
      <c r="L700" s="6"/>
      <c r="N700" s="5"/>
      <c r="O700" s="5"/>
      <c r="P700" s="5"/>
      <c r="Q700" s="4"/>
      <c r="R700" s="3"/>
      <c r="S700" s="2"/>
      <c r="T700" s="1"/>
    </row>
    <row r="701" spans="4:20" ht="13.5" x14ac:dyDescent="0.25">
      <c r="D701" s="7"/>
      <c r="L701" s="6"/>
      <c r="N701" s="5"/>
      <c r="O701" s="5"/>
      <c r="P701" s="5"/>
      <c r="Q701" s="4"/>
      <c r="R701" s="3"/>
      <c r="S701" s="2"/>
      <c r="T701" s="1"/>
    </row>
    <row r="702" spans="4:20" ht="13.5" x14ac:dyDescent="0.25">
      <c r="D702" s="7"/>
      <c r="L702" s="6"/>
      <c r="N702" s="5"/>
      <c r="O702" s="5"/>
      <c r="P702" s="5"/>
      <c r="Q702" s="4"/>
      <c r="R702" s="3"/>
      <c r="S702" s="2"/>
      <c r="T702" s="1"/>
    </row>
    <row r="703" spans="4:20" ht="13.5" x14ac:dyDescent="0.25">
      <c r="D703" s="7"/>
      <c r="L703" s="6"/>
      <c r="N703" s="5"/>
      <c r="O703" s="5"/>
      <c r="P703" s="5"/>
      <c r="Q703" s="4"/>
      <c r="R703" s="3"/>
      <c r="S703" s="2"/>
      <c r="T703" s="1"/>
    </row>
    <row r="704" spans="4:20" ht="13.5" x14ac:dyDescent="0.25">
      <c r="D704" s="7"/>
      <c r="L704" s="6"/>
      <c r="N704" s="5"/>
      <c r="O704" s="5"/>
      <c r="P704" s="5"/>
      <c r="Q704" s="4"/>
      <c r="R704" s="3"/>
      <c r="S704" s="2"/>
      <c r="T704" s="1"/>
    </row>
    <row r="705" spans="4:20" ht="13.5" x14ac:dyDescent="0.25">
      <c r="D705" s="7"/>
      <c r="L705" s="6"/>
      <c r="N705" s="5"/>
      <c r="O705" s="5"/>
      <c r="P705" s="5"/>
      <c r="Q705" s="4"/>
      <c r="R705" s="3"/>
      <c r="S705" s="2"/>
      <c r="T705" s="1"/>
    </row>
    <row r="706" spans="4:20" ht="13.5" x14ac:dyDescent="0.25">
      <c r="D706" s="7"/>
      <c r="L706" s="6"/>
      <c r="N706" s="5"/>
      <c r="O706" s="5"/>
      <c r="P706" s="5"/>
      <c r="Q706" s="4"/>
      <c r="R706" s="3"/>
      <c r="S706" s="2"/>
      <c r="T706" s="1"/>
    </row>
    <row r="707" spans="4:20" ht="13.5" x14ac:dyDescent="0.25">
      <c r="D707" s="7"/>
      <c r="L707" s="6"/>
      <c r="N707" s="5"/>
      <c r="O707" s="5"/>
      <c r="P707" s="5"/>
      <c r="Q707" s="4"/>
      <c r="R707" s="3"/>
      <c r="S707" s="2"/>
      <c r="T707" s="1"/>
    </row>
    <row r="708" spans="4:20" ht="13.5" x14ac:dyDescent="0.25">
      <c r="D708" s="7"/>
      <c r="L708" s="6"/>
      <c r="N708" s="5"/>
      <c r="O708" s="5"/>
      <c r="P708" s="5"/>
      <c r="Q708" s="4"/>
      <c r="R708" s="3"/>
      <c r="S708" s="2"/>
      <c r="T708" s="1"/>
    </row>
    <row r="709" spans="4:20" ht="13.5" x14ac:dyDescent="0.25">
      <c r="D709" s="7"/>
      <c r="L709" s="6"/>
      <c r="N709" s="5"/>
      <c r="O709" s="5"/>
      <c r="P709" s="5"/>
      <c r="Q709" s="4"/>
      <c r="R709" s="3"/>
      <c r="S709" s="2"/>
      <c r="T709" s="1"/>
    </row>
    <row r="710" spans="4:20" ht="13.5" x14ac:dyDescent="0.25">
      <c r="D710" s="7"/>
      <c r="L710" s="6"/>
      <c r="N710" s="5"/>
      <c r="O710" s="5"/>
      <c r="P710" s="5"/>
      <c r="Q710" s="4"/>
      <c r="R710" s="3"/>
      <c r="S710" s="2"/>
      <c r="T710" s="1"/>
    </row>
    <row r="711" spans="4:20" ht="13.5" x14ac:dyDescent="0.25">
      <c r="D711" s="7"/>
      <c r="L711" s="6"/>
      <c r="N711" s="5"/>
      <c r="O711" s="5"/>
      <c r="P711" s="5"/>
      <c r="Q711" s="4"/>
      <c r="R711" s="3"/>
      <c r="S711" s="2"/>
      <c r="T711" s="1"/>
    </row>
    <row r="712" spans="4:20" ht="13.5" x14ac:dyDescent="0.25">
      <c r="D712" s="7"/>
      <c r="L712" s="6"/>
      <c r="N712" s="5"/>
      <c r="O712" s="5"/>
      <c r="P712" s="5"/>
      <c r="Q712" s="4"/>
      <c r="R712" s="3"/>
      <c r="S712" s="2"/>
      <c r="T712" s="1"/>
    </row>
    <row r="713" spans="4:20" ht="13.5" x14ac:dyDescent="0.25">
      <c r="D713" s="7"/>
      <c r="L713" s="6"/>
      <c r="N713" s="5"/>
      <c r="O713" s="5"/>
      <c r="P713" s="5"/>
      <c r="Q713" s="4"/>
      <c r="R713" s="3"/>
      <c r="S713" s="2"/>
      <c r="T713" s="1"/>
    </row>
    <row r="714" spans="4:20" ht="13.5" x14ac:dyDescent="0.25">
      <c r="D714" s="7"/>
      <c r="L714" s="6"/>
      <c r="N714" s="5"/>
      <c r="O714" s="5"/>
      <c r="P714" s="5"/>
      <c r="Q714" s="4"/>
      <c r="R714" s="3"/>
      <c r="S714" s="2"/>
      <c r="T714" s="1"/>
    </row>
    <row r="715" spans="4:20" ht="13.5" x14ac:dyDescent="0.25">
      <c r="D715" s="7"/>
      <c r="L715" s="6"/>
      <c r="N715" s="5"/>
      <c r="O715" s="5"/>
      <c r="P715" s="5"/>
      <c r="Q715" s="4"/>
      <c r="R715" s="3"/>
      <c r="S715" s="2"/>
      <c r="T715" s="1"/>
    </row>
    <row r="716" spans="4:20" ht="13.5" x14ac:dyDescent="0.25">
      <c r="D716" s="7"/>
      <c r="L716" s="6"/>
      <c r="N716" s="5"/>
      <c r="O716" s="5"/>
      <c r="P716" s="5"/>
      <c r="Q716" s="4"/>
      <c r="R716" s="3"/>
      <c r="S716" s="2"/>
      <c r="T716" s="1"/>
    </row>
    <row r="717" spans="4:20" ht="13.5" x14ac:dyDescent="0.25">
      <c r="D717" s="7"/>
      <c r="L717" s="6"/>
      <c r="N717" s="5"/>
      <c r="O717" s="5"/>
      <c r="P717" s="5"/>
      <c r="Q717" s="4"/>
      <c r="R717" s="3"/>
      <c r="S717" s="2"/>
      <c r="T717" s="1"/>
    </row>
    <row r="718" spans="4:20" ht="13.5" x14ac:dyDescent="0.25">
      <c r="D718" s="7"/>
      <c r="L718" s="6"/>
      <c r="N718" s="5"/>
      <c r="O718" s="5"/>
      <c r="P718" s="5"/>
      <c r="Q718" s="4"/>
      <c r="R718" s="3"/>
      <c r="S718" s="2"/>
      <c r="T718" s="1"/>
    </row>
    <row r="719" spans="4:20" ht="13.5" x14ac:dyDescent="0.25">
      <c r="D719" s="7"/>
      <c r="L719" s="6"/>
      <c r="N719" s="5"/>
      <c r="O719" s="5"/>
      <c r="P719" s="5"/>
      <c r="Q719" s="4"/>
      <c r="R719" s="3"/>
      <c r="S719" s="2"/>
      <c r="T719" s="1"/>
    </row>
    <row r="720" spans="4:20" ht="13.5" x14ac:dyDescent="0.25">
      <c r="D720" s="7"/>
      <c r="L720" s="6"/>
      <c r="N720" s="5"/>
      <c r="O720" s="5"/>
      <c r="P720" s="5"/>
      <c r="Q720" s="4"/>
      <c r="R720" s="3"/>
      <c r="S720" s="2"/>
      <c r="T720" s="1"/>
    </row>
    <row r="721" spans="4:20" ht="13.5" x14ac:dyDescent="0.25">
      <c r="D721" s="7"/>
      <c r="L721" s="6"/>
      <c r="N721" s="5"/>
      <c r="O721" s="5"/>
      <c r="P721" s="5"/>
      <c r="Q721" s="4"/>
      <c r="R721" s="3"/>
      <c r="S721" s="2"/>
      <c r="T721" s="1"/>
    </row>
    <row r="722" spans="4:20" ht="13.5" x14ac:dyDescent="0.25">
      <c r="D722" s="7"/>
      <c r="L722" s="6"/>
      <c r="N722" s="5"/>
      <c r="O722" s="5"/>
      <c r="P722" s="5"/>
      <c r="Q722" s="4"/>
      <c r="R722" s="3"/>
      <c r="S722" s="2"/>
      <c r="T722" s="1"/>
    </row>
    <row r="723" spans="4:20" ht="13.5" x14ac:dyDescent="0.25">
      <c r="D723" s="7"/>
      <c r="L723" s="6"/>
      <c r="N723" s="5"/>
      <c r="O723" s="5"/>
      <c r="P723" s="5"/>
      <c r="Q723" s="4"/>
      <c r="R723" s="3"/>
      <c r="S723" s="2"/>
      <c r="T723" s="1"/>
    </row>
    <row r="724" spans="4:20" ht="13.5" x14ac:dyDescent="0.25">
      <c r="D724" s="7"/>
      <c r="L724" s="6"/>
      <c r="N724" s="5"/>
      <c r="O724" s="5"/>
      <c r="P724" s="5"/>
      <c r="Q724" s="4"/>
      <c r="R724" s="3"/>
      <c r="S724" s="2"/>
      <c r="T724" s="1"/>
    </row>
    <row r="725" spans="4:20" ht="13.5" x14ac:dyDescent="0.25">
      <c r="D725" s="7"/>
      <c r="L725" s="6"/>
      <c r="N725" s="5"/>
      <c r="O725" s="5"/>
      <c r="P725" s="5"/>
      <c r="Q725" s="4"/>
      <c r="R725" s="3"/>
      <c r="S725" s="2"/>
      <c r="T725" s="1"/>
    </row>
    <row r="726" spans="4:20" ht="13.5" x14ac:dyDescent="0.25">
      <c r="D726" s="7"/>
      <c r="L726" s="6"/>
      <c r="N726" s="5"/>
      <c r="O726" s="5"/>
      <c r="P726" s="5"/>
      <c r="Q726" s="4"/>
      <c r="R726" s="3"/>
      <c r="S726" s="2"/>
      <c r="T726" s="1"/>
    </row>
    <row r="727" spans="4:20" ht="13.5" x14ac:dyDescent="0.25">
      <c r="D727" s="7"/>
      <c r="L727" s="6"/>
      <c r="N727" s="5"/>
      <c r="O727" s="5"/>
      <c r="P727" s="5"/>
      <c r="Q727" s="4"/>
      <c r="R727" s="3"/>
      <c r="S727" s="2"/>
      <c r="T727" s="1"/>
    </row>
    <row r="728" spans="4:20" ht="13.5" x14ac:dyDescent="0.25">
      <c r="D728" s="7"/>
      <c r="L728" s="6"/>
      <c r="N728" s="5"/>
      <c r="O728" s="5"/>
      <c r="P728" s="5"/>
      <c r="Q728" s="4"/>
      <c r="R728" s="3"/>
      <c r="S728" s="2"/>
      <c r="T728" s="1"/>
    </row>
    <row r="729" spans="4:20" ht="13.5" x14ac:dyDescent="0.25">
      <c r="D729" s="7"/>
      <c r="L729" s="6"/>
      <c r="N729" s="5"/>
      <c r="O729" s="5"/>
      <c r="P729" s="5"/>
      <c r="Q729" s="4"/>
      <c r="R729" s="3"/>
      <c r="S729" s="2"/>
      <c r="T729" s="1"/>
    </row>
    <row r="730" spans="4:20" ht="13.5" x14ac:dyDescent="0.25">
      <c r="D730" s="7"/>
      <c r="L730" s="6"/>
      <c r="N730" s="5"/>
      <c r="O730" s="5"/>
      <c r="P730" s="5"/>
      <c r="Q730" s="4"/>
      <c r="R730" s="3"/>
      <c r="S730" s="2"/>
      <c r="T730" s="1"/>
    </row>
    <row r="731" spans="4:20" ht="13.5" x14ac:dyDescent="0.25">
      <c r="D731" s="7"/>
      <c r="L731" s="6"/>
      <c r="N731" s="5"/>
      <c r="O731" s="5"/>
      <c r="P731" s="5"/>
      <c r="Q731" s="4"/>
      <c r="R731" s="3"/>
      <c r="S731" s="2"/>
      <c r="T731" s="1"/>
    </row>
    <row r="732" spans="4:20" ht="13.5" x14ac:dyDescent="0.25">
      <c r="D732" s="7"/>
      <c r="L732" s="6"/>
      <c r="N732" s="5"/>
      <c r="O732" s="5"/>
      <c r="P732" s="5"/>
      <c r="Q732" s="4"/>
      <c r="R732" s="3"/>
      <c r="S732" s="2"/>
      <c r="T732" s="1"/>
    </row>
    <row r="733" spans="4:20" ht="13.5" x14ac:dyDescent="0.25">
      <c r="D733" s="7"/>
      <c r="L733" s="6"/>
      <c r="N733" s="5"/>
      <c r="O733" s="5"/>
      <c r="P733" s="5"/>
      <c r="Q733" s="4"/>
      <c r="R733" s="3"/>
      <c r="S733" s="2"/>
      <c r="T733" s="1"/>
    </row>
    <row r="734" spans="4:20" ht="13.5" x14ac:dyDescent="0.25">
      <c r="D734" s="7"/>
      <c r="L734" s="6"/>
      <c r="N734" s="5"/>
      <c r="O734" s="5"/>
      <c r="P734" s="5"/>
      <c r="Q734" s="4"/>
      <c r="R734" s="3"/>
      <c r="S734" s="2"/>
      <c r="T734" s="1"/>
    </row>
    <row r="735" spans="4:20" ht="13.5" x14ac:dyDescent="0.25">
      <c r="D735" s="7"/>
      <c r="L735" s="6"/>
      <c r="N735" s="5"/>
      <c r="O735" s="5"/>
      <c r="P735" s="5"/>
      <c r="Q735" s="4"/>
      <c r="R735" s="3"/>
      <c r="S735" s="2"/>
      <c r="T735" s="1"/>
    </row>
    <row r="736" spans="4:20" ht="13.5" x14ac:dyDescent="0.25">
      <c r="D736" s="7"/>
      <c r="L736" s="6"/>
      <c r="N736" s="5"/>
      <c r="O736" s="5"/>
      <c r="P736" s="5"/>
      <c r="Q736" s="4"/>
      <c r="R736" s="3"/>
      <c r="S736" s="2"/>
      <c r="T736" s="1"/>
    </row>
    <row r="737" spans="4:20" ht="13.5" x14ac:dyDescent="0.25">
      <c r="D737" s="7"/>
      <c r="L737" s="6"/>
      <c r="N737" s="5"/>
      <c r="O737" s="5"/>
      <c r="P737" s="5"/>
      <c r="Q737" s="4"/>
      <c r="R737" s="3"/>
      <c r="S737" s="2"/>
      <c r="T737" s="1"/>
    </row>
    <row r="738" spans="4:20" ht="13.5" x14ac:dyDescent="0.25">
      <c r="D738" s="7"/>
      <c r="L738" s="6"/>
      <c r="N738" s="5"/>
      <c r="O738" s="5"/>
      <c r="P738" s="5"/>
      <c r="Q738" s="4"/>
      <c r="R738" s="3"/>
      <c r="S738" s="2"/>
      <c r="T738" s="1"/>
    </row>
    <row r="739" spans="4:20" ht="13.5" x14ac:dyDescent="0.25">
      <c r="D739" s="7"/>
      <c r="L739" s="6"/>
      <c r="N739" s="5"/>
      <c r="O739" s="5"/>
      <c r="P739" s="5"/>
      <c r="Q739" s="4"/>
      <c r="R739" s="3"/>
      <c r="S739" s="2"/>
      <c r="T739" s="1"/>
    </row>
    <row r="740" spans="4:20" ht="13.5" x14ac:dyDescent="0.25">
      <c r="D740" s="7"/>
      <c r="L740" s="6"/>
      <c r="N740" s="5"/>
      <c r="O740" s="5"/>
      <c r="P740" s="5"/>
      <c r="Q740" s="4"/>
      <c r="R740" s="3"/>
      <c r="S740" s="2"/>
      <c r="T740" s="1"/>
    </row>
    <row r="741" spans="4:20" ht="13.5" x14ac:dyDescent="0.25">
      <c r="D741" s="7"/>
      <c r="L741" s="6"/>
      <c r="N741" s="5"/>
      <c r="O741" s="5"/>
      <c r="P741" s="5"/>
      <c r="Q741" s="4"/>
      <c r="R741" s="3"/>
      <c r="S741" s="2"/>
      <c r="T741" s="1"/>
    </row>
    <row r="742" spans="4:20" ht="13.5" x14ac:dyDescent="0.25">
      <c r="D742" s="7"/>
      <c r="L742" s="6"/>
      <c r="N742" s="5"/>
      <c r="O742" s="5"/>
      <c r="P742" s="5"/>
      <c r="Q742" s="4"/>
      <c r="R742" s="3"/>
      <c r="S742" s="2"/>
      <c r="T742" s="1"/>
    </row>
    <row r="743" spans="4:20" ht="13.5" x14ac:dyDescent="0.25">
      <c r="D743" s="7"/>
      <c r="L743" s="6"/>
      <c r="N743" s="5"/>
      <c r="O743" s="5"/>
      <c r="P743" s="5"/>
      <c r="Q743" s="4"/>
      <c r="R743" s="3"/>
      <c r="S743" s="2"/>
      <c r="T743" s="1"/>
    </row>
    <row r="744" spans="4:20" ht="13.5" x14ac:dyDescent="0.25">
      <c r="D744" s="7"/>
      <c r="L744" s="6"/>
      <c r="N744" s="5"/>
      <c r="O744" s="5"/>
      <c r="P744" s="5"/>
      <c r="Q744" s="4"/>
      <c r="R744" s="3"/>
      <c r="S744" s="2"/>
      <c r="T744" s="1"/>
    </row>
    <row r="745" spans="4:20" ht="13.5" x14ac:dyDescent="0.25">
      <c r="D745" s="7"/>
      <c r="L745" s="6"/>
      <c r="N745" s="5"/>
      <c r="O745" s="5"/>
      <c r="P745" s="5"/>
      <c r="Q745" s="4"/>
      <c r="R745" s="3"/>
      <c r="S745" s="2"/>
      <c r="T745" s="1"/>
    </row>
    <row r="746" spans="4:20" ht="13.5" x14ac:dyDescent="0.25">
      <c r="D746" s="7"/>
      <c r="L746" s="6"/>
      <c r="N746" s="5"/>
      <c r="O746" s="5"/>
      <c r="P746" s="5"/>
      <c r="Q746" s="4"/>
      <c r="R746" s="3"/>
      <c r="S746" s="2"/>
      <c r="T746" s="1"/>
    </row>
    <row r="747" spans="4:20" ht="13.5" x14ac:dyDescent="0.25">
      <c r="D747" s="7"/>
      <c r="L747" s="6"/>
      <c r="N747" s="5"/>
      <c r="O747" s="5"/>
      <c r="P747" s="5"/>
      <c r="Q747" s="4"/>
      <c r="R747" s="3"/>
      <c r="S747" s="2"/>
      <c r="T747" s="1"/>
    </row>
    <row r="748" spans="4:20" ht="13.5" x14ac:dyDescent="0.25">
      <c r="D748" s="7"/>
      <c r="L748" s="6"/>
      <c r="N748" s="5"/>
      <c r="O748" s="5"/>
      <c r="P748" s="5"/>
      <c r="Q748" s="4"/>
      <c r="R748" s="3"/>
      <c r="S748" s="2"/>
      <c r="T748" s="1"/>
    </row>
    <row r="749" spans="4:20" ht="13.5" x14ac:dyDescent="0.25">
      <c r="D749" s="7"/>
      <c r="L749" s="6"/>
      <c r="N749" s="5"/>
      <c r="O749" s="5"/>
      <c r="P749" s="5"/>
      <c r="Q749" s="4"/>
      <c r="R749" s="3"/>
      <c r="S749" s="2"/>
      <c r="T749" s="1"/>
    </row>
    <row r="750" spans="4:20" ht="13.5" x14ac:dyDescent="0.25">
      <c r="D750" s="7"/>
      <c r="L750" s="6"/>
      <c r="N750" s="5"/>
      <c r="O750" s="5"/>
      <c r="P750" s="5"/>
      <c r="Q750" s="4"/>
      <c r="R750" s="3"/>
      <c r="S750" s="2"/>
      <c r="T750" s="1"/>
    </row>
    <row r="751" spans="4:20" ht="13.5" x14ac:dyDescent="0.25">
      <c r="D751" s="7"/>
      <c r="L751" s="6"/>
      <c r="N751" s="5"/>
      <c r="O751" s="5"/>
      <c r="P751" s="5"/>
      <c r="Q751" s="4"/>
      <c r="R751" s="3"/>
      <c r="S751" s="2"/>
      <c r="T751" s="1"/>
    </row>
    <row r="752" spans="4:20" ht="13.5" x14ac:dyDescent="0.25">
      <c r="D752" s="7"/>
      <c r="L752" s="6"/>
      <c r="N752" s="5"/>
      <c r="O752" s="5"/>
      <c r="P752" s="5"/>
      <c r="Q752" s="4"/>
      <c r="R752" s="3"/>
      <c r="S752" s="2"/>
      <c r="T752" s="1"/>
    </row>
    <row r="753" spans="4:20" ht="13.5" x14ac:dyDescent="0.25">
      <c r="D753" s="7"/>
      <c r="L753" s="6"/>
      <c r="N753" s="5"/>
      <c r="O753" s="5"/>
      <c r="P753" s="5"/>
      <c r="Q753" s="4"/>
      <c r="R753" s="3"/>
      <c r="S753" s="2"/>
      <c r="T753" s="1"/>
    </row>
    <row r="754" spans="4:20" ht="13.5" x14ac:dyDescent="0.25">
      <c r="D754" s="7"/>
      <c r="L754" s="6"/>
      <c r="N754" s="5"/>
      <c r="O754" s="5"/>
      <c r="P754" s="5"/>
      <c r="Q754" s="4"/>
      <c r="R754" s="3"/>
      <c r="S754" s="2"/>
      <c r="T754" s="1"/>
    </row>
    <row r="755" spans="4:20" ht="13.5" x14ac:dyDescent="0.25">
      <c r="D755" s="7"/>
      <c r="L755" s="6"/>
      <c r="N755" s="5"/>
      <c r="O755" s="5"/>
      <c r="P755" s="5"/>
      <c r="Q755" s="4"/>
      <c r="R755" s="3"/>
      <c r="S755" s="2"/>
      <c r="T755" s="1"/>
    </row>
    <row r="756" spans="4:20" ht="13.5" x14ac:dyDescent="0.25">
      <c r="D756" s="7"/>
      <c r="L756" s="6"/>
      <c r="N756" s="5"/>
      <c r="O756" s="5"/>
      <c r="P756" s="5"/>
      <c r="Q756" s="4"/>
      <c r="R756" s="3"/>
      <c r="S756" s="2"/>
      <c r="T756" s="1"/>
    </row>
    <row r="757" spans="4:20" ht="13.5" x14ac:dyDescent="0.25">
      <c r="D757" s="7"/>
      <c r="L757" s="6"/>
      <c r="N757" s="5"/>
      <c r="O757" s="5"/>
      <c r="P757" s="5"/>
      <c r="Q757" s="4"/>
      <c r="R757" s="3"/>
      <c r="S757" s="2"/>
      <c r="T757" s="1"/>
    </row>
    <row r="758" spans="4:20" ht="13.5" x14ac:dyDescent="0.25">
      <c r="D758" s="7"/>
      <c r="L758" s="6"/>
      <c r="N758" s="5"/>
      <c r="O758" s="5"/>
      <c r="P758" s="5"/>
      <c r="Q758" s="4"/>
      <c r="R758" s="3"/>
      <c r="S758" s="2"/>
      <c r="T758" s="1"/>
    </row>
    <row r="759" spans="4:20" ht="13.5" x14ac:dyDescent="0.25">
      <c r="D759" s="7"/>
      <c r="L759" s="6"/>
      <c r="N759" s="5"/>
      <c r="O759" s="5"/>
      <c r="P759" s="5"/>
      <c r="Q759" s="4"/>
      <c r="R759" s="3"/>
      <c r="S759" s="2"/>
      <c r="T759" s="1"/>
    </row>
    <row r="760" spans="4:20" ht="13.5" x14ac:dyDescent="0.25">
      <c r="D760" s="7"/>
      <c r="L760" s="6"/>
      <c r="N760" s="5"/>
      <c r="O760" s="5"/>
      <c r="P760" s="5"/>
      <c r="Q760" s="4"/>
      <c r="R760" s="3"/>
      <c r="S760" s="2"/>
      <c r="T760" s="1"/>
    </row>
    <row r="761" spans="4:20" ht="13.5" x14ac:dyDescent="0.25">
      <c r="D761" s="7"/>
      <c r="L761" s="6"/>
      <c r="N761" s="5"/>
      <c r="O761" s="5"/>
      <c r="P761" s="5"/>
      <c r="Q761" s="4"/>
      <c r="R761" s="3"/>
      <c r="S761" s="2"/>
      <c r="T761" s="1"/>
    </row>
    <row r="762" spans="4:20" ht="13.5" x14ac:dyDescent="0.25">
      <c r="D762" s="7"/>
      <c r="L762" s="6"/>
      <c r="N762" s="5"/>
      <c r="O762" s="5"/>
      <c r="P762" s="5"/>
      <c r="Q762" s="4"/>
      <c r="R762" s="3"/>
      <c r="S762" s="2"/>
      <c r="T762" s="1"/>
    </row>
    <row r="763" spans="4:20" ht="13.5" x14ac:dyDescent="0.25">
      <c r="D763" s="7"/>
      <c r="L763" s="6"/>
      <c r="N763" s="5"/>
      <c r="O763" s="5"/>
      <c r="P763" s="5"/>
      <c r="Q763" s="4"/>
      <c r="R763" s="3"/>
      <c r="S763" s="2"/>
      <c r="T763" s="1"/>
    </row>
    <row r="764" spans="4:20" ht="13.5" x14ac:dyDescent="0.25">
      <c r="D764" s="7"/>
      <c r="L764" s="6"/>
      <c r="N764" s="5"/>
      <c r="O764" s="5"/>
      <c r="P764" s="5"/>
      <c r="Q764" s="4"/>
      <c r="R764" s="3"/>
      <c r="S764" s="2"/>
      <c r="T764" s="1"/>
    </row>
    <row r="765" spans="4:20" ht="13.5" x14ac:dyDescent="0.25">
      <c r="D765" s="7"/>
      <c r="L765" s="6"/>
      <c r="N765" s="5"/>
      <c r="O765" s="5"/>
      <c r="P765" s="5"/>
      <c r="Q765" s="4"/>
      <c r="R765" s="3"/>
      <c r="S765" s="2"/>
      <c r="T765" s="1"/>
    </row>
    <row r="766" spans="4:20" ht="13.5" x14ac:dyDescent="0.25">
      <c r="D766" s="7"/>
      <c r="L766" s="6"/>
      <c r="N766" s="5"/>
      <c r="O766" s="5"/>
      <c r="P766" s="5"/>
      <c r="Q766" s="4"/>
      <c r="R766" s="3"/>
      <c r="S766" s="2"/>
      <c r="T766" s="1"/>
    </row>
    <row r="767" spans="4:20" ht="13.5" x14ac:dyDescent="0.25">
      <c r="D767" s="7"/>
      <c r="L767" s="6"/>
      <c r="N767" s="5"/>
      <c r="O767" s="5"/>
      <c r="P767" s="5"/>
      <c r="Q767" s="4"/>
      <c r="R767" s="3"/>
      <c r="S767" s="2"/>
      <c r="T767" s="1"/>
    </row>
    <row r="768" spans="4:20" ht="13.5" x14ac:dyDescent="0.25">
      <c r="D768" s="7"/>
      <c r="L768" s="6"/>
      <c r="N768" s="5"/>
      <c r="O768" s="5"/>
      <c r="P768" s="5"/>
      <c r="Q768" s="4"/>
      <c r="R768" s="3"/>
      <c r="S768" s="2"/>
      <c r="T768" s="1"/>
    </row>
    <row r="769" spans="4:20" ht="13.5" x14ac:dyDescent="0.25">
      <c r="D769" s="7"/>
      <c r="L769" s="6"/>
      <c r="N769" s="5"/>
      <c r="O769" s="5"/>
      <c r="P769" s="5"/>
      <c r="Q769" s="4"/>
      <c r="R769" s="3"/>
      <c r="S769" s="2"/>
      <c r="T769" s="1"/>
    </row>
    <row r="770" spans="4:20" ht="13.5" x14ac:dyDescent="0.25">
      <c r="D770" s="7"/>
      <c r="L770" s="6"/>
      <c r="N770" s="5"/>
      <c r="O770" s="5"/>
      <c r="P770" s="5"/>
      <c r="Q770" s="4"/>
      <c r="R770" s="3"/>
      <c r="S770" s="2"/>
      <c r="T770" s="1"/>
    </row>
    <row r="771" spans="4:20" ht="13.5" x14ac:dyDescent="0.25">
      <c r="D771" s="7"/>
      <c r="L771" s="6"/>
      <c r="N771" s="5"/>
      <c r="O771" s="5"/>
      <c r="P771" s="5"/>
      <c r="Q771" s="4"/>
      <c r="R771" s="3"/>
      <c r="S771" s="2"/>
      <c r="T771" s="1"/>
    </row>
    <row r="772" spans="4:20" ht="13.5" x14ac:dyDescent="0.25">
      <c r="D772" s="7"/>
      <c r="L772" s="6"/>
      <c r="N772" s="5"/>
      <c r="O772" s="5"/>
      <c r="P772" s="5"/>
      <c r="Q772" s="4"/>
      <c r="R772" s="3"/>
      <c r="S772" s="2"/>
      <c r="T772" s="1"/>
    </row>
    <row r="773" spans="4:20" ht="13.5" x14ac:dyDescent="0.25">
      <c r="D773" s="7"/>
      <c r="L773" s="6"/>
      <c r="N773" s="5"/>
      <c r="O773" s="5"/>
      <c r="P773" s="5"/>
      <c r="Q773" s="4"/>
      <c r="R773" s="3"/>
      <c r="S773" s="2"/>
      <c r="T773" s="1"/>
    </row>
    <row r="774" spans="4:20" ht="13.5" x14ac:dyDescent="0.25">
      <c r="D774" s="7"/>
      <c r="L774" s="6"/>
      <c r="N774" s="5"/>
      <c r="O774" s="5"/>
      <c r="P774" s="5"/>
      <c r="Q774" s="4"/>
      <c r="R774" s="3"/>
      <c r="S774" s="2"/>
      <c r="T774" s="1"/>
    </row>
    <row r="775" spans="4:20" ht="13.5" x14ac:dyDescent="0.25">
      <c r="D775" s="7"/>
      <c r="L775" s="6"/>
      <c r="N775" s="5"/>
      <c r="O775" s="5"/>
      <c r="P775" s="5"/>
      <c r="Q775" s="4"/>
      <c r="R775" s="3"/>
      <c r="S775" s="2"/>
      <c r="T775" s="1"/>
    </row>
    <row r="776" spans="4:20" ht="13.5" x14ac:dyDescent="0.25">
      <c r="D776" s="7"/>
      <c r="L776" s="6"/>
      <c r="N776" s="5"/>
      <c r="O776" s="5"/>
      <c r="P776" s="5"/>
      <c r="Q776" s="4"/>
      <c r="R776" s="3"/>
      <c r="S776" s="2"/>
      <c r="T776" s="1"/>
    </row>
    <row r="777" spans="4:20" ht="13.5" x14ac:dyDescent="0.25">
      <c r="D777" s="7"/>
      <c r="L777" s="6"/>
      <c r="N777" s="5"/>
      <c r="O777" s="5"/>
      <c r="P777" s="5"/>
      <c r="Q777" s="4"/>
      <c r="R777" s="3"/>
      <c r="S777" s="2"/>
      <c r="T777" s="1"/>
    </row>
    <row r="778" spans="4:20" ht="13.5" x14ac:dyDescent="0.25">
      <c r="D778" s="7"/>
      <c r="L778" s="6"/>
      <c r="N778" s="5"/>
      <c r="O778" s="5"/>
      <c r="P778" s="5"/>
      <c r="Q778" s="4"/>
      <c r="R778" s="3"/>
      <c r="S778" s="2"/>
      <c r="T778" s="1"/>
    </row>
    <row r="779" spans="4:20" ht="13.5" x14ac:dyDescent="0.25">
      <c r="D779" s="7"/>
      <c r="L779" s="6"/>
      <c r="N779" s="5"/>
      <c r="O779" s="5"/>
      <c r="P779" s="5"/>
      <c r="Q779" s="4"/>
      <c r="R779" s="3"/>
      <c r="S779" s="2"/>
      <c r="T779" s="1"/>
    </row>
    <row r="780" spans="4:20" ht="13.5" x14ac:dyDescent="0.25">
      <c r="D780" s="7"/>
      <c r="L780" s="6"/>
      <c r="N780" s="5"/>
      <c r="O780" s="5"/>
      <c r="P780" s="5"/>
      <c r="Q780" s="4"/>
      <c r="R780" s="3"/>
      <c r="S780" s="2"/>
      <c r="T780" s="1"/>
    </row>
    <row r="781" spans="4:20" ht="13.5" x14ac:dyDescent="0.25">
      <c r="D781" s="7"/>
      <c r="L781" s="6"/>
      <c r="N781" s="5"/>
      <c r="O781" s="5"/>
      <c r="P781" s="5"/>
      <c r="Q781" s="4"/>
      <c r="R781" s="3"/>
      <c r="S781" s="2"/>
      <c r="T781" s="1"/>
    </row>
    <row r="782" spans="4:20" ht="13.5" x14ac:dyDescent="0.25">
      <c r="D782" s="7"/>
      <c r="L782" s="6"/>
      <c r="N782" s="5"/>
      <c r="O782" s="5"/>
      <c r="P782" s="5"/>
      <c r="Q782" s="4"/>
      <c r="R782" s="3"/>
      <c r="S782" s="2"/>
      <c r="T782" s="1"/>
    </row>
    <row r="783" spans="4:20" ht="13.5" x14ac:dyDescent="0.25">
      <c r="D783" s="7"/>
      <c r="L783" s="6"/>
      <c r="N783" s="5"/>
      <c r="O783" s="5"/>
      <c r="P783" s="5"/>
      <c r="Q783" s="4"/>
      <c r="R783" s="3"/>
      <c r="S783" s="2"/>
      <c r="T783" s="1"/>
    </row>
    <row r="784" spans="4:20" ht="13.5" x14ac:dyDescent="0.25">
      <c r="D784" s="7"/>
      <c r="L784" s="6"/>
      <c r="N784" s="5"/>
      <c r="O784" s="5"/>
      <c r="P784" s="5"/>
      <c r="Q784" s="4"/>
      <c r="R784" s="3"/>
      <c r="S784" s="2"/>
      <c r="T784" s="1"/>
    </row>
    <row r="785" spans="4:20" ht="13.5" x14ac:dyDescent="0.25">
      <c r="D785" s="7"/>
      <c r="L785" s="6"/>
      <c r="N785" s="5"/>
      <c r="O785" s="5"/>
      <c r="P785" s="5"/>
      <c r="Q785" s="4"/>
      <c r="R785" s="3"/>
      <c r="S785" s="2"/>
      <c r="T785" s="1"/>
    </row>
    <row r="786" spans="4:20" ht="13.5" x14ac:dyDescent="0.25">
      <c r="D786" s="7"/>
      <c r="L786" s="6"/>
      <c r="N786" s="5"/>
      <c r="O786" s="5"/>
      <c r="P786" s="5"/>
      <c r="Q786" s="4"/>
      <c r="R786" s="3"/>
      <c r="S786" s="2"/>
      <c r="T786" s="1"/>
    </row>
    <row r="787" spans="4:20" ht="13.5" x14ac:dyDescent="0.25">
      <c r="D787" s="7"/>
      <c r="L787" s="6"/>
      <c r="N787" s="5"/>
      <c r="O787" s="5"/>
      <c r="P787" s="5"/>
      <c r="Q787" s="4"/>
      <c r="R787" s="3"/>
      <c r="S787" s="2"/>
      <c r="T787" s="1"/>
    </row>
    <row r="788" spans="4:20" ht="13.5" x14ac:dyDescent="0.25">
      <c r="D788" s="7"/>
      <c r="L788" s="6"/>
      <c r="N788" s="5"/>
      <c r="O788" s="5"/>
      <c r="P788" s="5"/>
      <c r="Q788" s="4"/>
      <c r="R788" s="3"/>
      <c r="S788" s="2"/>
      <c r="T788" s="1"/>
    </row>
    <row r="789" spans="4:20" ht="13.5" x14ac:dyDescent="0.25">
      <c r="D789" s="7"/>
      <c r="L789" s="6"/>
      <c r="N789" s="5"/>
      <c r="O789" s="5"/>
      <c r="P789" s="5"/>
      <c r="Q789" s="4"/>
      <c r="R789" s="3"/>
      <c r="S789" s="2"/>
      <c r="T789" s="1"/>
    </row>
    <row r="790" spans="4:20" ht="13.5" x14ac:dyDescent="0.25">
      <c r="D790" s="7"/>
      <c r="L790" s="6"/>
      <c r="N790" s="5"/>
      <c r="O790" s="5"/>
      <c r="P790" s="5"/>
      <c r="Q790" s="4"/>
      <c r="R790" s="3"/>
      <c r="S790" s="2"/>
      <c r="T790" s="1"/>
    </row>
    <row r="791" spans="4:20" ht="13.5" x14ac:dyDescent="0.25">
      <c r="D791" s="7"/>
      <c r="L791" s="6"/>
      <c r="N791" s="5"/>
      <c r="O791" s="5"/>
      <c r="P791" s="5"/>
      <c r="Q791" s="4"/>
      <c r="R791" s="3"/>
      <c r="S791" s="2"/>
      <c r="T791" s="1"/>
    </row>
    <row r="792" spans="4:20" ht="13.5" x14ac:dyDescent="0.25">
      <c r="D792" s="7"/>
      <c r="L792" s="6"/>
      <c r="N792" s="5"/>
      <c r="O792" s="5"/>
      <c r="P792" s="5"/>
      <c r="Q792" s="4"/>
      <c r="R792" s="3"/>
      <c r="S792" s="2"/>
      <c r="T792" s="1"/>
    </row>
    <row r="793" spans="4:20" ht="13.5" x14ac:dyDescent="0.25">
      <c r="D793" s="7"/>
      <c r="L793" s="6"/>
      <c r="N793" s="5"/>
      <c r="O793" s="5"/>
      <c r="P793" s="5"/>
      <c r="Q793" s="4"/>
      <c r="R793" s="3"/>
      <c r="S793" s="2"/>
      <c r="T793" s="1"/>
    </row>
    <row r="794" spans="4:20" ht="13.5" x14ac:dyDescent="0.25">
      <c r="D794" s="7"/>
      <c r="L794" s="6"/>
      <c r="N794" s="5"/>
      <c r="O794" s="5"/>
      <c r="P794" s="5"/>
      <c r="Q794" s="4"/>
      <c r="R794" s="3"/>
      <c r="S794" s="2"/>
      <c r="T794" s="1"/>
    </row>
    <row r="795" spans="4:20" ht="13.5" x14ac:dyDescent="0.25">
      <c r="D795" s="7"/>
      <c r="L795" s="6"/>
      <c r="N795" s="5"/>
      <c r="O795" s="5"/>
      <c r="P795" s="5"/>
      <c r="Q795" s="4"/>
      <c r="R795" s="3"/>
      <c r="S795" s="2"/>
      <c r="T795" s="1"/>
    </row>
    <row r="796" spans="4:20" ht="13.5" x14ac:dyDescent="0.25">
      <c r="D796" s="7"/>
      <c r="L796" s="6"/>
      <c r="N796" s="5"/>
      <c r="O796" s="5"/>
      <c r="P796" s="5"/>
      <c r="Q796" s="4"/>
      <c r="R796" s="3"/>
      <c r="S796" s="2"/>
      <c r="T796" s="1"/>
    </row>
    <row r="797" spans="4:20" ht="13.5" x14ac:dyDescent="0.25">
      <c r="D797" s="7"/>
      <c r="L797" s="6"/>
      <c r="N797" s="5"/>
      <c r="O797" s="5"/>
      <c r="P797" s="5"/>
      <c r="Q797" s="4"/>
      <c r="R797" s="3"/>
      <c r="S797" s="2"/>
      <c r="T797" s="1"/>
    </row>
    <row r="798" spans="4:20" ht="13.5" x14ac:dyDescent="0.25">
      <c r="D798" s="7"/>
      <c r="L798" s="6"/>
      <c r="N798" s="5"/>
      <c r="O798" s="5"/>
      <c r="P798" s="5"/>
      <c r="Q798" s="4"/>
      <c r="R798" s="3"/>
      <c r="S798" s="2"/>
      <c r="T798" s="1"/>
    </row>
    <row r="799" spans="4:20" ht="13.5" x14ac:dyDescent="0.25">
      <c r="D799" s="7"/>
      <c r="L799" s="6"/>
      <c r="N799" s="5"/>
      <c r="O799" s="5"/>
      <c r="P799" s="5"/>
      <c r="Q799" s="4"/>
      <c r="R799" s="3"/>
      <c r="S799" s="2"/>
      <c r="T799" s="1"/>
    </row>
    <row r="800" spans="4:20" ht="13.5" x14ac:dyDescent="0.25">
      <c r="D800" s="7"/>
      <c r="L800" s="6"/>
      <c r="N800" s="5"/>
      <c r="O800" s="5"/>
      <c r="P800" s="5"/>
      <c r="Q800" s="4"/>
      <c r="R800" s="3"/>
      <c r="S800" s="2"/>
      <c r="T800" s="1"/>
    </row>
    <row r="801" spans="4:20" ht="13.5" x14ac:dyDescent="0.25">
      <c r="D801" s="7"/>
      <c r="L801" s="6"/>
      <c r="N801" s="5"/>
      <c r="O801" s="5"/>
      <c r="P801" s="5"/>
      <c r="Q801" s="4"/>
      <c r="R801" s="3"/>
      <c r="S801" s="2"/>
      <c r="T801" s="1"/>
    </row>
    <row r="802" spans="4:20" ht="13.5" x14ac:dyDescent="0.25">
      <c r="D802" s="7"/>
      <c r="L802" s="6"/>
      <c r="N802" s="5"/>
      <c r="O802" s="5"/>
      <c r="P802" s="5"/>
      <c r="Q802" s="4"/>
      <c r="R802" s="3"/>
      <c r="S802" s="2"/>
      <c r="T802" s="1"/>
    </row>
    <row r="803" spans="4:20" ht="13.5" x14ac:dyDescent="0.25">
      <c r="D803" s="7"/>
      <c r="L803" s="6"/>
      <c r="N803" s="5"/>
      <c r="O803" s="5"/>
      <c r="P803" s="5"/>
      <c r="Q803" s="4"/>
      <c r="R803" s="3"/>
      <c r="S803" s="2"/>
      <c r="T803" s="1"/>
    </row>
    <row r="804" spans="4:20" ht="13.5" x14ac:dyDescent="0.25">
      <c r="D804" s="7"/>
      <c r="L804" s="6"/>
      <c r="N804" s="5"/>
      <c r="O804" s="5"/>
      <c r="P804" s="5"/>
      <c r="Q804" s="4"/>
      <c r="R804" s="3"/>
      <c r="S804" s="2"/>
      <c r="T804" s="1"/>
    </row>
    <row r="805" spans="4:20" ht="13.5" x14ac:dyDescent="0.25">
      <c r="D805" s="7"/>
      <c r="L805" s="6"/>
      <c r="N805" s="5"/>
      <c r="O805" s="5"/>
      <c r="P805" s="5"/>
      <c r="Q805" s="4"/>
      <c r="R805" s="3"/>
      <c r="S805" s="2"/>
      <c r="T805" s="1"/>
    </row>
    <row r="806" spans="4:20" ht="13.5" x14ac:dyDescent="0.25">
      <c r="D806" s="7"/>
      <c r="L806" s="6"/>
      <c r="N806" s="5"/>
      <c r="O806" s="5"/>
      <c r="P806" s="5"/>
      <c r="Q806" s="4"/>
      <c r="R806" s="3"/>
      <c r="S806" s="2"/>
      <c r="T806" s="1"/>
    </row>
    <row r="807" spans="4:20" ht="13.5" x14ac:dyDescent="0.25">
      <c r="D807" s="7"/>
      <c r="L807" s="6"/>
      <c r="N807" s="5"/>
      <c r="O807" s="5"/>
      <c r="P807" s="5"/>
      <c r="Q807" s="4"/>
      <c r="R807" s="3"/>
      <c r="S807" s="2"/>
      <c r="T807" s="1"/>
    </row>
    <row r="808" spans="4:20" ht="13.5" x14ac:dyDescent="0.25">
      <c r="D808" s="7"/>
      <c r="L808" s="6"/>
      <c r="N808" s="5"/>
      <c r="O808" s="5"/>
      <c r="P808" s="5"/>
      <c r="Q808" s="4"/>
      <c r="R808" s="3"/>
      <c r="S808" s="2"/>
      <c r="T808" s="1"/>
    </row>
    <row r="809" spans="4:20" ht="13.5" x14ac:dyDescent="0.25">
      <c r="D809" s="7"/>
      <c r="L809" s="6"/>
      <c r="N809" s="5"/>
      <c r="O809" s="5"/>
      <c r="P809" s="5"/>
      <c r="Q809" s="4"/>
      <c r="R809" s="3"/>
      <c r="S809" s="2"/>
      <c r="T809" s="1"/>
    </row>
    <row r="810" spans="4:20" ht="13.5" x14ac:dyDescent="0.25">
      <c r="D810" s="7"/>
      <c r="L810" s="6"/>
      <c r="N810" s="5"/>
      <c r="O810" s="5"/>
      <c r="P810" s="5"/>
      <c r="Q810" s="4"/>
      <c r="R810" s="3"/>
      <c r="S810" s="2"/>
      <c r="T810" s="1"/>
    </row>
    <row r="811" spans="4:20" ht="13.5" x14ac:dyDescent="0.25">
      <c r="D811" s="7"/>
      <c r="L811" s="6"/>
      <c r="N811" s="5"/>
      <c r="O811" s="5"/>
      <c r="P811" s="5"/>
      <c r="Q811" s="4"/>
      <c r="R811" s="3"/>
      <c r="S811" s="2"/>
      <c r="T811" s="1"/>
    </row>
    <row r="812" spans="4:20" ht="13.5" x14ac:dyDescent="0.25">
      <c r="D812" s="7"/>
      <c r="L812" s="6"/>
      <c r="N812" s="5"/>
      <c r="O812" s="5"/>
      <c r="P812" s="5"/>
      <c r="Q812" s="4"/>
      <c r="R812" s="3"/>
      <c r="S812" s="2"/>
      <c r="T812" s="1"/>
    </row>
    <row r="813" spans="4:20" ht="13.5" x14ac:dyDescent="0.25">
      <c r="D813" s="7"/>
      <c r="L813" s="6"/>
      <c r="N813" s="5"/>
      <c r="O813" s="5"/>
      <c r="P813" s="5"/>
      <c r="Q813" s="4"/>
      <c r="R813" s="3"/>
      <c r="S813" s="2"/>
      <c r="T813" s="1"/>
    </row>
    <row r="814" spans="4:20" ht="13.5" x14ac:dyDescent="0.25">
      <c r="D814" s="7"/>
      <c r="L814" s="6"/>
      <c r="N814" s="5"/>
      <c r="O814" s="5"/>
      <c r="P814" s="5"/>
      <c r="Q814" s="4"/>
      <c r="R814" s="3"/>
      <c r="S814" s="2"/>
      <c r="T814" s="1"/>
    </row>
    <row r="815" spans="4:20" ht="13.5" x14ac:dyDescent="0.25">
      <c r="D815" s="7"/>
      <c r="L815" s="6"/>
      <c r="N815" s="5"/>
      <c r="O815" s="5"/>
      <c r="P815" s="5"/>
      <c r="Q815" s="4"/>
      <c r="R815" s="3"/>
      <c r="S815" s="2"/>
      <c r="T815" s="1"/>
    </row>
    <row r="816" spans="4:20" ht="13.5" x14ac:dyDescent="0.25">
      <c r="D816" s="7"/>
      <c r="L816" s="6"/>
      <c r="N816" s="5"/>
      <c r="O816" s="5"/>
      <c r="P816" s="5"/>
      <c r="Q816" s="4"/>
      <c r="R816" s="3"/>
      <c r="S816" s="2"/>
      <c r="T816" s="1"/>
    </row>
    <row r="817" spans="4:20" ht="13.5" x14ac:dyDescent="0.25">
      <c r="D817" s="7"/>
      <c r="L817" s="6"/>
      <c r="N817" s="5"/>
      <c r="O817" s="5"/>
      <c r="P817" s="5"/>
      <c r="Q817" s="4"/>
      <c r="R817" s="3"/>
      <c r="S817" s="2"/>
      <c r="T817" s="1"/>
    </row>
    <row r="818" spans="4:20" ht="13.5" x14ac:dyDescent="0.25">
      <c r="D818" s="7"/>
      <c r="L818" s="6"/>
      <c r="N818" s="5"/>
      <c r="O818" s="5"/>
      <c r="P818" s="5"/>
      <c r="Q818" s="4"/>
      <c r="R818" s="3"/>
      <c r="S818" s="2"/>
      <c r="T818" s="1"/>
    </row>
    <row r="819" spans="4:20" ht="13.5" x14ac:dyDescent="0.25">
      <c r="D819" s="7"/>
      <c r="L819" s="6"/>
      <c r="N819" s="5"/>
      <c r="O819" s="5"/>
      <c r="P819" s="5"/>
      <c r="Q819" s="4"/>
      <c r="R819" s="3"/>
      <c r="S819" s="2"/>
      <c r="T819" s="1"/>
    </row>
    <row r="820" spans="4:20" ht="13.5" x14ac:dyDescent="0.25">
      <c r="D820" s="7"/>
      <c r="L820" s="6"/>
      <c r="N820" s="5"/>
      <c r="O820" s="5"/>
      <c r="P820" s="5"/>
      <c r="Q820" s="4"/>
      <c r="R820" s="3"/>
      <c r="S820" s="2"/>
      <c r="T820" s="1"/>
    </row>
    <row r="821" spans="4:20" ht="13.5" x14ac:dyDescent="0.25">
      <c r="D821" s="7"/>
      <c r="L821" s="6"/>
      <c r="N821" s="5"/>
      <c r="O821" s="5"/>
      <c r="P821" s="5"/>
      <c r="Q821" s="4"/>
      <c r="R821" s="3"/>
      <c r="S821" s="2"/>
      <c r="T821" s="1"/>
    </row>
    <row r="822" spans="4:20" ht="13.5" x14ac:dyDescent="0.25">
      <c r="D822" s="7"/>
      <c r="L822" s="6"/>
      <c r="N822" s="5"/>
      <c r="O822" s="5"/>
      <c r="P822" s="5"/>
      <c r="Q822" s="4"/>
      <c r="R822" s="3"/>
      <c r="S822" s="2"/>
      <c r="T822" s="1"/>
    </row>
    <row r="823" spans="4:20" ht="13.5" x14ac:dyDescent="0.25">
      <c r="D823" s="7"/>
      <c r="L823" s="6"/>
      <c r="N823" s="5"/>
      <c r="O823" s="5"/>
      <c r="P823" s="5"/>
      <c r="Q823" s="4"/>
      <c r="R823" s="3"/>
      <c r="S823" s="2"/>
      <c r="T823" s="1"/>
    </row>
    <row r="824" spans="4:20" ht="13.5" x14ac:dyDescent="0.25">
      <c r="D824" s="7"/>
      <c r="L824" s="6"/>
      <c r="N824" s="5"/>
      <c r="O824" s="5"/>
      <c r="P824" s="5"/>
      <c r="Q824" s="4"/>
      <c r="R824" s="3"/>
      <c r="S824" s="2"/>
      <c r="T824" s="1"/>
    </row>
    <row r="825" spans="4:20" ht="13.5" x14ac:dyDescent="0.25">
      <c r="D825" s="7"/>
      <c r="L825" s="6"/>
      <c r="N825" s="5"/>
      <c r="O825" s="5"/>
      <c r="P825" s="5"/>
      <c r="Q825" s="4"/>
      <c r="R825" s="3"/>
      <c r="S825" s="2"/>
      <c r="T825" s="1"/>
    </row>
    <row r="826" spans="4:20" ht="13.5" x14ac:dyDescent="0.25">
      <c r="D826" s="7"/>
      <c r="L826" s="6"/>
      <c r="N826" s="5"/>
      <c r="O826" s="5"/>
      <c r="P826" s="5"/>
      <c r="Q826" s="4"/>
      <c r="R826" s="3"/>
      <c r="S826" s="2"/>
      <c r="T826" s="1"/>
    </row>
    <row r="827" spans="4:20" ht="13.5" x14ac:dyDescent="0.25">
      <c r="D827" s="7"/>
      <c r="L827" s="6"/>
      <c r="N827" s="5"/>
      <c r="O827" s="5"/>
      <c r="P827" s="5"/>
      <c r="Q827" s="4"/>
      <c r="R827" s="3"/>
      <c r="S827" s="2"/>
      <c r="T827" s="1"/>
    </row>
    <row r="828" spans="4:20" ht="13.5" x14ac:dyDescent="0.25">
      <c r="D828" s="7"/>
      <c r="L828" s="6"/>
      <c r="N828" s="5"/>
      <c r="O828" s="5"/>
      <c r="P828" s="5"/>
      <c r="Q828" s="4"/>
      <c r="R828" s="3"/>
      <c r="S828" s="2"/>
      <c r="T828" s="1"/>
    </row>
    <row r="829" spans="4:20" ht="13.5" x14ac:dyDescent="0.25">
      <c r="D829" s="7"/>
      <c r="L829" s="6"/>
      <c r="N829" s="5"/>
      <c r="O829" s="5"/>
      <c r="P829" s="5"/>
      <c r="Q829" s="4"/>
      <c r="R829" s="3"/>
      <c r="S829" s="2"/>
      <c r="T829" s="1"/>
    </row>
    <row r="830" spans="4:20" ht="13.5" x14ac:dyDescent="0.25">
      <c r="D830" s="7"/>
      <c r="L830" s="6"/>
      <c r="N830" s="5"/>
      <c r="O830" s="5"/>
      <c r="P830" s="5"/>
      <c r="Q830" s="4"/>
      <c r="R830" s="3"/>
      <c r="S830" s="2"/>
      <c r="T830" s="1"/>
    </row>
    <row r="831" spans="4:20" ht="13.5" x14ac:dyDescent="0.25">
      <c r="D831" s="7"/>
      <c r="L831" s="6"/>
      <c r="N831" s="5"/>
      <c r="O831" s="5"/>
      <c r="P831" s="5"/>
      <c r="Q831" s="4"/>
      <c r="R831" s="3"/>
      <c r="S831" s="2"/>
      <c r="T831" s="1"/>
    </row>
    <row r="832" spans="4:20" ht="13.5" x14ac:dyDescent="0.25">
      <c r="D832" s="7"/>
      <c r="L832" s="6"/>
      <c r="N832" s="5"/>
      <c r="O832" s="5"/>
      <c r="P832" s="5"/>
      <c r="Q832" s="4"/>
      <c r="R832" s="3"/>
      <c r="S832" s="2"/>
      <c r="T832" s="1"/>
    </row>
    <row r="833" spans="4:20" ht="13.5" x14ac:dyDescent="0.25">
      <c r="D833" s="7"/>
      <c r="L833" s="6"/>
      <c r="N833" s="5"/>
      <c r="O833" s="5"/>
      <c r="P833" s="5"/>
      <c r="Q833" s="4"/>
      <c r="R833" s="3"/>
      <c r="S833" s="2"/>
      <c r="T833" s="1"/>
    </row>
    <row r="834" spans="4:20" ht="13.5" x14ac:dyDescent="0.25">
      <c r="D834" s="7"/>
      <c r="L834" s="6"/>
      <c r="N834" s="5"/>
      <c r="O834" s="5"/>
      <c r="P834" s="5"/>
      <c r="Q834" s="4"/>
      <c r="R834" s="3"/>
      <c r="S834" s="2"/>
      <c r="T834" s="1"/>
    </row>
    <row r="835" spans="4:20" ht="13.5" x14ac:dyDescent="0.25">
      <c r="D835" s="7"/>
      <c r="L835" s="6"/>
      <c r="N835" s="5"/>
      <c r="O835" s="5"/>
      <c r="P835" s="5"/>
      <c r="Q835" s="4"/>
      <c r="R835" s="3"/>
      <c r="S835" s="2"/>
      <c r="T835" s="1"/>
    </row>
    <row r="836" spans="4:20" ht="13.5" x14ac:dyDescent="0.25">
      <c r="D836" s="7"/>
      <c r="L836" s="6"/>
      <c r="N836" s="5"/>
      <c r="O836" s="5"/>
      <c r="P836" s="5"/>
      <c r="Q836" s="4"/>
      <c r="R836" s="3"/>
      <c r="S836" s="2"/>
      <c r="T836" s="1"/>
    </row>
    <row r="837" spans="4:20" ht="13.5" x14ac:dyDescent="0.25">
      <c r="D837" s="7"/>
      <c r="L837" s="6"/>
      <c r="N837" s="5"/>
      <c r="O837" s="5"/>
      <c r="P837" s="5"/>
      <c r="Q837" s="4"/>
      <c r="R837" s="3"/>
      <c r="S837" s="2"/>
      <c r="T837" s="1"/>
    </row>
    <row r="838" spans="4:20" ht="13.5" x14ac:dyDescent="0.25">
      <c r="D838" s="7"/>
      <c r="L838" s="6"/>
      <c r="N838" s="5"/>
      <c r="O838" s="5"/>
      <c r="P838" s="5"/>
      <c r="Q838" s="4"/>
      <c r="R838" s="3"/>
      <c r="S838" s="2"/>
      <c r="T838" s="1"/>
    </row>
    <row r="839" spans="4:20" ht="13.5" x14ac:dyDescent="0.25">
      <c r="D839" s="7"/>
      <c r="L839" s="6"/>
      <c r="N839" s="5"/>
      <c r="O839" s="5"/>
      <c r="P839" s="5"/>
      <c r="Q839" s="4"/>
      <c r="R839" s="3"/>
      <c r="S839" s="2"/>
      <c r="T839" s="1"/>
    </row>
    <row r="840" spans="4:20" ht="13.5" x14ac:dyDescent="0.25">
      <c r="D840" s="7"/>
      <c r="L840" s="6"/>
      <c r="N840" s="5"/>
      <c r="O840" s="5"/>
      <c r="P840" s="5"/>
      <c r="Q840" s="4"/>
      <c r="R840" s="3"/>
      <c r="S840" s="2"/>
      <c r="T840" s="1"/>
    </row>
    <row r="841" spans="4:20" ht="13.5" x14ac:dyDescent="0.25">
      <c r="D841" s="7"/>
      <c r="L841" s="6"/>
      <c r="N841" s="5"/>
      <c r="O841" s="5"/>
      <c r="P841" s="5"/>
      <c r="Q841" s="4"/>
      <c r="R841" s="3"/>
      <c r="S841" s="2"/>
      <c r="T841" s="1"/>
    </row>
    <row r="842" spans="4:20" ht="13.5" x14ac:dyDescent="0.25">
      <c r="D842" s="7"/>
      <c r="L842" s="6"/>
      <c r="N842" s="5"/>
      <c r="O842" s="5"/>
      <c r="P842" s="5"/>
      <c r="Q842" s="4"/>
      <c r="R842" s="3"/>
      <c r="S842" s="2"/>
      <c r="T842" s="1"/>
    </row>
    <row r="843" spans="4:20" ht="13.5" x14ac:dyDescent="0.25">
      <c r="D843" s="7"/>
      <c r="L843" s="6"/>
      <c r="N843" s="5"/>
      <c r="O843" s="5"/>
      <c r="P843" s="5"/>
      <c r="Q843" s="4"/>
      <c r="R843" s="3"/>
      <c r="S843" s="2"/>
      <c r="T843" s="1"/>
    </row>
    <row r="844" spans="4:20" ht="13.5" x14ac:dyDescent="0.25">
      <c r="D844" s="7"/>
      <c r="L844" s="6"/>
      <c r="N844" s="5"/>
      <c r="O844" s="5"/>
      <c r="P844" s="5"/>
      <c r="Q844" s="4"/>
      <c r="R844" s="3"/>
      <c r="S844" s="2"/>
      <c r="T844" s="1"/>
    </row>
    <row r="845" spans="4:20" ht="13.5" x14ac:dyDescent="0.25">
      <c r="D845" s="7"/>
      <c r="L845" s="6"/>
      <c r="N845" s="5"/>
      <c r="O845" s="5"/>
      <c r="P845" s="5"/>
      <c r="Q845" s="4"/>
      <c r="R845" s="3"/>
      <c r="S845" s="2"/>
      <c r="T845" s="1"/>
    </row>
    <row r="846" spans="4:20" ht="13.5" x14ac:dyDescent="0.25">
      <c r="D846" s="7"/>
      <c r="L846" s="6"/>
      <c r="N846" s="5"/>
      <c r="O846" s="5"/>
      <c r="P846" s="5"/>
      <c r="Q846" s="4"/>
      <c r="R846" s="3"/>
      <c r="S846" s="2"/>
      <c r="T846" s="1"/>
    </row>
    <row r="847" spans="4:20" ht="13.5" x14ac:dyDescent="0.25">
      <c r="D847" s="7"/>
      <c r="L847" s="6"/>
      <c r="N847" s="5"/>
      <c r="O847" s="5"/>
      <c r="P847" s="5"/>
      <c r="Q847" s="4"/>
      <c r="R847" s="3"/>
      <c r="S847" s="2"/>
      <c r="T847" s="1"/>
    </row>
    <row r="848" spans="4:20" ht="13.5" x14ac:dyDescent="0.25">
      <c r="D848" s="7"/>
      <c r="L848" s="6"/>
      <c r="N848" s="5"/>
      <c r="O848" s="5"/>
      <c r="P848" s="5"/>
      <c r="Q848" s="4"/>
      <c r="R848" s="3"/>
      <c r="S848" s="2"/>
      <c r="T848" s="1"/>
    </row>
    <row r="849" spans="4:20" ht="13.5" x14ac:dyDescent="0.25">
      <c r="D849" s="7"/>
      <c r="L849" s="6"/>
      <c r="N849" s="5"/>
      <c r="O849" s="5"/>
      <c r="P849" s="5"/>
      <c r="Q849" s="4"/>
      <c r="R849" s="3"/>
      <c r="S849" s="2"/>
      <c r="T849" s="1"/>
    </row>
    <row r="850" spans="4:20" ht="13.5" x14ac:dyDescent="0.25">
      <c r="D850" s="7"/>
      <c r="L850" s="6"/>
      <c r="N850" s="5"/>
      <c r="O850" s="5"/>
      <c r="P850" s="5"/>
      <c r="Q850" s="4"/>
      <c r="R850" s="3"/>
      <c r="S850" s="2"/>
      <c r="T850" s="1"/>
    </row>
    <row r="851" spans="4:20" ht="13.5" x14ac:dyDescent="0.25">
      <c r="D851" s="7"/>
      <c r="L851" s="6"/>
      <c r="N851" s="5"/>
      <c r="O851" s="5"/>
      <c r="P851" s="5"/>
      <c r="Q851" s="4"/>
      <c r="R851" s="3"/>
      <c r="S851" s="2"/>
      <c r="T851" s="1"/>
    </row>
    <row r="852" spans="4:20" ht="13.5" x14ac:dyDescent="0.25">
      <c r="D852" s="7"/>
      <c r="L852" s="6"/>
      <c r="N852" s="5"/>
      <c r="O852" s="5"/>
      <c r="P852" s="5"/>
      <c r="Q852" s="4"/>
      <c r="R852" s="3"/>
      <c r="S852" s="2"/>
      <c r="T852" s="1"/>
    </row>
    <row r="853" spans="4:20" ht="13.5" x14ac:dyDescent="0.25">
      <c r="D853" s="7"/>
      <c r="L853" s="6"/>
      <c r="N853" s="5"/>
      <c r="O853" s="5"/>
      <c r="P853" s="5"/>
      <c r="Q853" s="4"/>
      <c r="R853" s="3"/>
      <c r="S853" s="2"/>
      <c r="T853" s="1"/>
    </row>
    <row r="854" spans="4:20" ht="13.5" x14ac:dyDescent="0.25">
      <c r="D854" s="7"/>
      <c r="L854" s="6"/>
      <c r="N854" s="5"/>
      <c r="O854" s="5"/>
      <c r="P854" s="5"/>
      <c r="Q854" s="4"/>
      <c r="R854" s="3"/>
      <c r="S854" s="2"/>
      <c r="T854" s="1"/>
    </row>
    <row r="855" spans="4:20" ht="13.5" x14ac:dyDescent="0.25">
      <c r="D855" s="7"/>
      <c r="L855" s="6"/>
      <c r="N855" s="5"/>
      <c r="O855" s="5"/>
      <c r="P855" s="5"/>
      <c r="Q855" s="4"/>
      <c r="R855" s="3"/>
      <c r="S855" s="2"/>
      <c r="T855" s="1"/>
    </row>
    <row r="856" spans="4:20" ht="13.5" x14ac:dyDescent="0.25">
      <c r="D856" s="7"/>
      <c r="L856" s="6"/>
      <c r="N856" s="5"/>
      <c r="O856" s="5"/>
      <c r="P856" s="5"/>
      <c r="Q856" s="4"/>
      <c r="R856" s="3"/>
      <c r="S856" s="2"/>
      <c r="T856" s="1"/>
    </row>
    <row r="857" spans="4:20" ht="13.5" x14ac:dyDescent="0.25">
      <c r="D857" s="7"/>
      <c r="L857" s="6"/>
      <c r="N857" s="5"/>
      <c r="O857" s="5"/>
      <c r="P857" s="5"/>
      <c r="Q857" s="4"/>
      <c r="R857" s="3"/>
      <c r="S857" s="2"/>
      <c r="T857" s="1"/>
    </row>
    <row r="858" spans="4:20" ht="13.5" x14ac:dyDescent="0.25">
      <c r="D858" s="7"/>
      <c r="L858" s="6"/>
      <c r="N858" s="5"/>
      <c r="O858" s="5"/>
      <c r="P858" s="5"/>
      <c r="Q858" s="4"/>
      <c r="R858" s="3"/>
      <c r="S858" s="2"/>
      <c r="T858" s="1"/>
    </row>
    <row r="859" spans="4:20" ht="13.5" x14ac:dyDescent="0.25">
      <c r="D859" s="7"/>
      <c r="L859" s="6"/>
      <c r="N859" s="5"/>
      <c r="O859" s="5"/>
      <c r="P859" s="5"/>
      <c r="Q859" s="4"/>
      <c r="R859" s="3"/>
      <c r="S859" s="2"/>
      <c r="T859" s="1"/>
    </row>
    <row r="860" spans="4:20" ht="13.5" x14ac:dyDescent="0.25">
      <c r="D860" s="7"/>
      <c r="L860" s="6"/>
      <c r="N860" s="5"/>
      <c r="O860" s="5"/>
      <c r="P860" s="5"/>
      <c r="Q860" s="4"/>
      <c r="R860" s="3"/>
      <c r="S860" s="2"/>
      <c r="T860" s="1"/>
    </row>
    <row r="861" spans="4:20" ht="13.5" x14ac:dyDescent="0.25">
      <c r="D861" s="7"/>
      <c r="L861" s="6"/>
      <c r="N861" s="5"/>
      <c r="O861" s="5"/>
      <c r="P861" s="5"/>
      <c r="Q861" s="4"/>
      <c r="R861" s="3"/>
      <c r="S861" s="2"/>
      <c r="T861" s="1"/>
    </row>
    <row r="862" spans="4:20" ht="13.5" x14ac:dyDescent="0.25">
      <c r="D862" s="7"/>
      <c r="L862" s="6"/>
      <c r="N862" s="5"/>
      <c r="O862" s="5"/>
      <c r="P862" s="5"/>
      <c r="Q862" s="4"/>
      <c r="R862" s="3"/>
      <c r="S862" s="2"/>
      <c r="T862" s="1"/>
    </row>
    <row r="863" spans="4:20" ht="13.5" x14ac:dyDescent="0.25">
      <c r="D863" s="7"/>
      <c r="L863" s="6"/>
      <c r="N863" s="5"/>
      <c r="O863" s="5"/>
      <c r="P863" s="5"/>
      <c r="Q863" s="4"/>
      <c r="R863" s="3"/>
      <c r="S863" s="2"/>
      <c r="T863" s="1"/>
    </row>
    <row r="864" spans="4:20" ht="13.5" x14ac:dyDescent="0.25">
      <c r="D864" s="7"/>
      <c r="L864" s="6"/>
      <c r="N864" s="5"/>
      <c r="O864" s="5"/>
      <c r="P864" s="5"/>
      <c r="Q864" s="4"/>
      <c r="R864" s="3"/>
      <c r="S864" s="2"/>
      <c r="T864" s="1"/>
    </row>
    <row r="865" spans="4:20" ht="13.5" x14ac:dyDescent="0.25">
      <c r="D865" s="7"/>
      <c r="L865" s="6"/>
      <c r="N865" s="5"/>
      <c r="O865" s="5"/>
      <c r="P865" s="5"/>
      <c r="Q865" s="4"/>
      <c r="R865" s="3"/>
      <c r="S865" s="2"/>
      <c r="T865" s="1"/>
    </row>
    <row r="866" spans="4:20" ht="13.5" x14ac:dyDescent="0.25">
      <c r="D866" s="7"/>
      <c r="L866" s="6"/>
      <c r="N866" s="5"/>
      <c r="O866" s="5"/>
      <c r="P866" s="5"/>
      <c r="Q866" s="4"/>
      <c r="R866" s="3"/>
      <c r="S866" s="2"/>
      <c r="T866" s="1"/>
    </row>
    <row r="867" spans="4:20" ht="13.5" x14ac:dyDescent="0.25">
      <c r="D867" s="7"/>
      <c r="L867" s="6"/>
      <c r="N867" s="5"/>
      <c r="O867" s="5"/>
      <c r="P867" s="5"/>
      <c r="Q867" s="4"/>
      <c r="R867" s="3"/>
      <c r="S867" s="2"/>
      <c r="T867" s="1"/>
    </row>
    <row r="868" spans="4:20" ht="13.5" x14ac:dyDescent="0.25">
      <c r="D868" s="7"/>
      <c r="L868" s="6"/>
      <c r="N868" s="5"/>
      <c r="O868" s="5"/>
      <c r="P868" s="5"/>
      <c r="Q868" s="4"/>
      <c r="R868" s="3"/>
      <c r="S868" s="2"/>
      <c r="T868" s="1"/>
    </row>
    <row r="869" spans="4:20" ht="13.5" x14ac:dyDescent="0.25">
      <c r="D869" s="7"/>
      <c r="L869" s="6"/>
      <c r="N869" s="5"/>
      <c r="O869" s="5"/>
      <c r="P869" s="5"/>
      <c r="Q869" s="4"/>
      <c r="R869" s="3"/>
      <c r="S869" s="2"/>
      <c r="T869" s="1"/>
    </row>
    <row r="870" spans="4:20" ht="13.5" x14ac:dyDescent="0.25">
      <c r="D870" s="7"/>
      <c r="L870" s="6"/>
      <c r="N870" s="5"/>
      <c r="O870" s="5"/>
      <c r="P870" s="5"/>
      <c r="Q870" s="4"/>
      <c r="R870" s="3"/>
      <c r="S870" s="2"/>
      <c r="T870" s="1"/>
    </row>
    <row r="871" spans="4:20" ht="13.5" x14ac:dyDescent="0.25">
      <c r="D871" s="7"/>
      <c r="L871" s="6"/>
      <c r="N871" s="5"/>
      <c r="O871" s="5"/>
      <c r="P871" s="5"/>
      <c r="Q871" s="4"/>
      <c r="R871" s="3"/>
      <c r="S871" s="2"/>
      <c r="T871" s="1"/>
    </row>
    <row r="872" spans="4:20" ht="13.5" x14ac:dyDescent="0.25">
      <c r="D872" s="7"/>
      <c r="L872" s="6"/>
      <c r="N872" s="5"/>
      <c r="O872" s="5"/>
      <c r="P872" s="5"/>
      <c r="Q872" s="4"/>
      <c r="R872" s="3"/>
      <c r="S872" s="2"/>
      <c r="T872" s="1"/>
    </row>
    <row r="873" spans="4:20" ht="13.5" x14ac:dyDescent="0.25">
      <c r="D873" s="7"/>
      <c r="L873" s="6"/>
      <c r="N873" s="5"/>
      <c r="O873" s="5"/>
      <c r="P873" s="5"/>
      <c r="Q873" s="4"/>
      <c r="R873" s="3"/>
      <c r="S873" s="2"/>
      <c r="T873" s="1"/>
    </row>
    <row r="874" spans="4:20" ht="13.5" x14ac:dyDescent="0.25">
      <c r="D874" s="7"/>
      <c r="L874" s="6"/>
      <c r="N874" s="5"/>
      <c r="O874" s="5"/>
      <c r="P874" s="5"/>
      <c r="Q874" s="4"/>
      <c r="R874" s="3"/>
      <c r="S874" s="2"/>
      <c r="T874" s="1"/>
    </row>
    <row r="875" spans="4:20" ht="13.5" x14ac:dyDescent="0.25">
      <c r="D875" s="7"/>
      <c r="L875" s="6"/>
      <c r="N875" s="5"/>
      <c r="O875" s="5"/>
      <c r="P875" s="5"/>
      <c r="Q875" s="4"/>
      <c r="R875" s="3"/>
      <c r="S875" s="2"/>
      <c r="T875" s="1"/>
    </row>
    <row r="876" spans="4:20" ht="13.5" x14ac:dyDescent="0.25">
      <c r="D876" s="7"/>
      <c r="L876" s="6"/>
      <c r="N876" s="5"/>
      <c r="O876" s="5"/>
      <c r="P876" s="5"/>
      <c r="Q876" s="4"/>
      <c r="R876" s="3"/>
      <c r="S876" s="2"/>
      <c r="T876" s="1"/>
    </row>
    <row r="877" spans="4:20" ht="13.5" x14ac:dyDescent="0.25">
      <c r="D877" s="7"/>
      <c r="L877" s="6"/>
      <c r="N877" s="5"/>
      <c r="O877" s="5"/>
      <c r="P877" s="5"/>
      <c r="Q877" s="4"/>
      <c r="R877" s="3"/>
      <c r="S877" s="2"/>
      <c r="T877" s="1"/>
    </row>
    <row r="878" spans="4:20" ht="13.5" x14ac:dyDescent="0.25">
      <c r="D878" s="7"/>
      <c r="L878" s="6"/>
      <c r="N878" s="5"/>
      <c r="O878" s="5"/>
      <c r="P878" s="5"/>
      <c r="Q878" s="4"/>
      <c r="R878" s="3"/>
      <c r="S878" s="2"/>
      <c r="T878" s="1"/>
    </row>
    <row r="879" spans="4:20" ht="13.5" x14ac:dyDescent="0.25">
      <c r="D879" s="7"/>
      <c r="L879" s="6"/>
      <c r="N879" s="5"/>
      <c r="O879" s="5"/>
      <c r="P879" s="5"/>
      <c r="Q879" s="4"/>
      <c r="R879" s="3"/>
      <c r="S879" s="2"/>
      <c r="T879" s="1"/>
    </row>
    <row r="880" spans="4:20" ht="13.5" x14ac:dyDescent="0.25">
      <c r="D880" s="7"/>
      <c r="L880" s="6"/>
      <c r="N880" s="5"/>
      <c r="O880" s="5"/>
      <c r="P880" s="5"/>
      <c r="Q880" s="4"/>
      <c r="R880" s="3"/>
      <c r="S880" s="2"/>
      <c r="T880" s="1"/>
    </row>
    <row r="881" spans="4:20" ht="13.5" x14ac:dyDescent="0.25">
      <c r="D881" s="7"/>
      <c r="L881" s="6"/>
      <c r="N881" s="5"/>
      <c r="O881" s="5"/>
      <c r="P881" s="5"/>
      <c r="Q881" s="4"/>
      <c r="R881" s="3"/>
      <c r="S881" s="2"/>
      <c r="T881" s="1"/>
    </row>
    <row r="882" spans="4:20" ht="13.5" x14ac:dyDescent="0.25">
      <c r="D882" s="7"/>
      <c r="L882" s="6"/>
      <c r="N882" s="5"/>
      <c r="O882" s="5"/>
      <c r="P882" s="5"/>
      <c r="Q882" s="4"/>
      <c r="R882" s="3"/>
      <c r="S882" s="2"/>
      <c r="T882" s="1"/>
    </row>
    <row r="883" spans="4:20" ht="13.5" x14ac:dyDescent="0.25">
      <c r="D883" s="7"/>
      <c r="L883" s="6"/>
      <c r="N883" s="5"/>
      <c r="O883" s="5"/>
      <c r="P883" s="5"/>
      <c r="Q883" s="4"/>
      <c r="R883" s="3"/>
      <c r="S883" s="2"/>
      <c r="T883" s="1"/>
    </row>
    <row r="884" spans="4:20" ht="13.5" x14ac:dyDescent="0.25">
      <c r="D884" s="7"/>
      <c r="L884" s="6"/>
      <c r="N884" s="5"/>
      <c r="O884" s="5"/>
      <c r="P884" s="5"/>
      <c r="Q884" s="4"/>
      <c r="R884" s="3"/>
      <c r="S884" s="2"/>
      <c r="T884" s="1"/>
    </row>
    <row r="885" spans="4:20" ht="13.5" x14ac:dyDescent="0.25">
      <c r="D885" s="7"/>
      <c r="L885" s="6"/>
      <c r="N885" s="5"/>
      <c r="O885" s="5"/>
      <c r="P885" s="5"/>
      <c r="Q885" s="4"/>
      <c r="R885" s="3"/>
      <c r="S885" s="2"/>
      <c r="T885" s="1"/>
    </row>
    <row r="886" spans="4:20" ht="13.5" x14ac:dyDescent="0.25">
      <c r="D886" s="7"/>
      <c r="L886" s="6"/>
      <c r="N886" s="5"/>
      <c r="O886" s="5"/>
      <c r="P886" s="5"/>
      <c r="Q886" s="4"/>
      <c r="R886" s="3"/>
      <c r="S886" s="2"/>
      <c r="T886" s="1"/>
    </row>
    <row r="887" spans="4:20" ht="13.5" x14ac:dyDescent="0.25">
      <c r="D887" s="7"/>
      <c r="L887" s="6"/>
      <c r="N887" s="5"/>
      <c r="O887" s="5"/>
      <c r="P887" s="5"/>
      <c r="Q887" s="4"/>
      <c r="R887" s="3"/>
      <c r="S887" s="2"/>
      <c r="T887" s="1"/>
    </row>
    <row r="888" spans="4:20" ht="13.5" x14ac:dyDescent="0.25">
      <c r="D888" s="7"/>
      <c r="L888" s="6"/>
      <c r="N888" s="5"/>
      <c r="O888" s="5"/>
      <c r="P888" s="5"/>
      <c r="Q888" s="4"/>
      <c r="R888" s="3"/>
      <c r="S888" s="2"/>
      <c r="T888" s="1"/>
    </row>
    <row r="889" spans="4:20" ht="13.5" x14ac:dyDescent="0.25">
      <c r="D889" s="7"/>
      <c r="L889" s="6"/>
      <c r="N889" s="5"/>
      <c r="O889" s="5"/>
      <c r="P889" s="5"/>
      <c r="Q889" s="4"/>
      <c r="R889" s="3"/>
      <c r="S889" s="2"/>
      <c r="T889" s="1"/>
    </row>
    <row r="890" spans="4:20" ht="13.5" x14ac:dyDescent="0.25">
      <c r="D890" s="7"/>
      <c r="L890" s="6"/>
      <c r="N890" s="5"/>
      <c r="O890" s="5"/>
      <c r="P890" s="5"/>
      <c r="Q890" s="4"/>
      <c r="R890" s="3"/>
      <c r="S890" s="2"/>
      <c r="T890" s="1"/>
    </row>
    <row r="891" spans="4:20" ht="13.5" x14ac:dyDescent="0.25">
      <c r="D891" s="7"/>
      <c r="L891" s="6"/>
      <c r="N891" s="5"/>
      <c r="O891" s="5"/>
      <c r="P891" s="5"/>
      <c r="Q891" s="4"/>
      <c r="R891" s="3"/>
      <c r="S891" s="2"/>
      <c r="T891" s="1"/>
    </row>
    <row r="892" spans="4:20" ht="13.5" x14ac:dyDescent="0.25">
      <c r="D892" s="7"/>
      <c r="L892" s="6"/>
      <c r="N892" s="5"/>
      <c r="O892" s="5"/>
      <c r="P892" s="5"/>
      <c r="Q892" s="4"/>
      <c r="R892" s="3"/>
      <c r="S892" s="2"/>
      <c r="T892" s="1"/>
    </row>
    <row r="893" spans="4:20" ht="13.5" x14ac:dyDescent="0.25">
      <c r="D893" s="7"/>
      <c r="L893" s="6"/>
      <c r="N893" s="5"/>
      <c r="O893" s="5"/>
      <c r="P893" s="5"/>
      <c r="Q893" s="4"/>
      <c r="R893" s="3"/>
      <c r="S893" s="2"/>
      <c r="T893" s="1"/>
    </row>
    <row r="894" spans="4:20" ht="13.5" x14ac:dyDescent="0.25">
      <c r="D894" s="7"/>
      <c r="L894" s="6"/>
      <c r="N894" s="5"/>
      <c r="O894" s="5"/>
      <c r="P894" s="5"/>
      <c r="Q894" s="4"/>
      <c r="R894" s="3"/>
      <c r="S894" s="2"/>
      <c r="T894" s="1"/>
    </row>
    <row r="895" spans="4:20" ht="13.5" x14ac:dyDescent="0.25">
      <c r="D895" s="7"/>
      <c r="L895" s="6"/>
      <c r="N895" s="5"/>
      <c r="O895" s="5"/>
      <c r="P895" s="5"/>
      <c r="Q895" s="4"/>
      <c r="R895" s="3"/>
      <c r="S895" s="2"/>
      <c r="T895" s="1"/>
    </row>
    <row r="896" spans="4:20" ht="13.5" x14ac:dyDescent="0.25">
      <c r="D896" s="7"/>
      <c r="L896" s="6"/>
      <c r="N896" s="5"/>
      <c r="O896" s="5"/>
      <c r="P896" s="5"/>
      <c r="Q896" s="4"/>
      <c r="R896" s="3"/>
      <c r="S896" s="2"/>
      <c r="T896" s="1"/>
    </row>
    <row r="897" spans="4:20" ht="13.5" x14ac:dyDescent="0.25">
      <c r="D897" s="7"/>
      <c r="L897" s="6"/>
      <c r="N897" s="5"/>
      <c r="O897" s="5"/>
      <c r="P897" s="5"/>
      <c r="Q897" s="4"/>
      <c r="R897" s="3"/>
      <c r="S897" s="2"/>
      <c r="T897" s="1"/>
    </row>
    <row r="898" spans="4:20" ht="13.5" x14ac:dyDescent="0.25">
      <c r="D898" s="7"/>
      <c r="L898" s="6"/>
      <c r="N898" s="5"/>
      <c r="O898" s="5"/>
      <c r="P898" s="5"/>
      <c r="Q898" s="4"/>
      <c r="R898" s="3"/>
      <c r="S898" s="2"/>
      <c r="T898" s="1"/>
    </row>
    <row r="899" spans="4:20" ht="13.5" x14ac:dyDescent="0.25">
      <c r="D899" s="7"/>
      <c r="L899" s="6"/>
      <c r="N899" s="5"/>
      <c r="O899" s="5"/>
      <c r="P899" s="5"/>
      <c r="Q899" s="4"/>
      <c r="R899" s="3"/>
      <c r="S899" s="2"/>
      <c r="T899" s="1"/>
    </row>
    <row r="900" spans="4:20" ht="13.5" x14ac:dyDescent="0.25">
      <c r="D900" s="7"/>
      <c r="L900" s="6"/>
      <c r="N900" s="5"/>
      <c r="O900" s="5"/>
      <c r="P900" s="5"/>
      <c r="Q900" s="4"/>
      <c r="R900" s="3"/>
      <c r="S900" s="2"/>
      <c r="T900" s="1"/>
    </row>
    <row r="901" spans="4:20" ht="13.5" x14ac:dyDescent="0.25">
      <c r="D901" s="7"/>
      <c r="L901" s="6"/>
      <c r="N901" s="5"/>
      <c r="O901" s="5"/>
      <c r="P901" s="5"/>
      <c r="Q901" s="4"/>
      <c r="R901" s="3"/>
      <c r="S901" s="2"/>
      <c r="T901" s="1"/>
    </row>
    <row r="902" spans="4:20" ht="13.5" x14ac:dyDescent="0.25">
      <c r="D902" s="7"/>
      <c r="L902" s="6"/>
      <c r="N902" s="5"/>
      <c r="O902" s="5"/>
      <c r="P902" s="5"/>
      <c r="Q902" s="4"/>
      <c r="R902" s="3"/>
      <c r="S902" s="2"/>
      <c r="T902" s="1"/>
    </row>
    <row r="903" spans="4:20" ht="13.5" x14ac:dyDescent="0.25">
      <c r="D903" s="7"/>
      <c r="L903" s="6"/>
      <c r="N903" s="5"/>
      <c r="O903" s="5"/>
      <c r="P903" s="5"/>
      <c r="Q903" s="4"/>
      <c r="R903" s="3"/>
      <c r="S903" s="2"/>
      <c r="T903" s="1"/>
    </row>
    <row r="904" spans="4:20" ht="13.5" x14ac:dyDescent="0.25">
      <c r="D904" s="7"/>
      <c r="L904" s="6"/>
      <c r="N904" s="5"/>
      <c r="O904" s="5"/>
      <c r="P904" s="5"/>
      <c r="Q904" s="4"/>
      <c r="R904" s="3"/>
      <c r="S904" s="2"/>
      <c r="T904" s="1"/>
    </row>
    <row r="905" spans="4:20" ht="13.5" x14ac:dyDescent="0.25">
      <c r="D905" s="7"/>
      <c r="L905" s="6"/>
      <c r="N905" s="5"/>
      <c r="O905" s="5"/>
      <c r="P905" s="5"/>
      <c r="Q905" s="4"/>
      <c r="R905" s="3"/>
      <c r="S905" s="2"/>
      <c r="T905" s="1"/>
    </row>
    <row r="906" spans="4:20" ht="13.5" x14ac:dyDescent="0.25">
      <c r="D906" s="7"/>
      <c r="L906" s="6"/>
      <c r="N906" s="5"/>
      <c r="O906" s="5"/>
      <c r="P906" s="5"/>
      <c r="Q906" s="4"/>
      <c r="R906" s="3"/>
      <c r="S906" s="2"/>
      <c r="T906" s="1"/>
    </row>
    <row r="907" spans="4:20" ht="13.5" x14ac:dyDescent="0.25">
      <c r="D907" s="7"/>
      <c r="L907" s="6"/>
      <c r="N907" s="5"/>
      <c r="O907" s="5"/>
      <c r="P907" s="5"/>
      <c r="Q907" s="4"/>
      <c r="R907" s="3"/>
      <c r="S907" s="2"/>
      <c r="T907" s="1"/>
    </row>
    <row r="908" spans="4:20" ht="13.5" x14ac:dyDescent="0.25">
      <c r="D908" s="7"/>
      <c r="L908" s="6"/>
      <c r="N908" s="5"/>
      <c r="O908" s="5"/>
      <c r="P908" s="5"/>
      <c r="Q908" s="4"/>
      <c r="R908" s="3"/>
      <c r="S908" s="2"/>
      <c r="T908" s="1"/>
    </row>
    <row r="909" spans="4:20" ht="13.5" x14ac:dyDescent="0.25">
      <c r="D909" s="7"/>
      <c r="L909" s="6"/>
      <c r="N909" s="5"/>
      <c r="O909" s="5"/>
      <c r="P909" s="5"/>
      <c r="Q909" s="4"/>
      <c r="R909" s="3"/>
      <c r="S909" s="2"/>
      <c r="T909" s="1"/>
    </row>
    <row r="910" spans="4:20" ht="13.5" x14ac:dyDescent="0.25">
      <c r="D910" s="7"/>
      <c r="L910" s="6"/>
      <c r="N910" s="5"/>
      <c r="O910" s="5"/>
      <c r="P910" s="5"/>
      <c r="Q910" s="4"/>
      <c r="R910" s="3"/>
      <c r="S910" s="2"/>
      <c r="T910" s="1"/>
    </row>
    <row r="911" spans="4:20" ht="13.5" x14ac:dyDescent="0.25">
      <c r="D911" s="7"/>
      <c r="L911" s="6"/>
      <c r="N911" s="5"/>
      <c r="O911" s="5"/>
      <c r="P911" s="5"/>
      <c r="Q911" s="4"/>
      <c r="R911" s="3"/>
      <c r="S911" s="2"/>
      <c r="T911" s="1"/>
    </row>
    <row r="912" spans="4:20" ht="13.5" x14ac:dyDescent="0.25">
      <c r="D912" s="7"/>
      <c r="L912" s="6"/>
      <c r="N912" s="5"/>
      <c r="O912" s="5"/>
      <c r="P912" s="5"/>
      <c r="Q912" s="4"/>
      <c r="R912" s="3"/>
      <c r="S912" s="2"/>
      <c r="T912" s="1"/>
    </row>
    <row r="913" spans="4:20" ht="13.5" x14ac:dyDescent="0.25">
      <c r="D913" s="7"/>
      <c r="L913" s="6"/>
      <c r="N913" s="5"/>
      <c r="O913" s="5"/>
      <c r="P913" s="5"/>
      <c r="Q913" s="4"/>
      <c r="R913" s="3"/>
      <c r="S913" s="2"/>
      <c r="T913" s="1"/>
    </row>
    <row r="914" spans="4:20" ht="13.5" x14ac:dyDescent="0.25">
      <c r="D914" s="7"/>
      <c r="L914" s="6"/>
      <c r="N914" s="5"/>
      <c r="O914" s="5"/>
      <c r="P914" s="5"/>
      <c r="Q914" s="4"/>
      <c r="R914" s="3"/>
      <c r="S914" s="2"/>
      <c r="T914" s="1"/>
    </row>
    <row r="915" spans="4:20" ht="13.5" x14ac:dyDescent="0.25">
      <c r="D915" s="7"/>
      <c r="L915" s="6"/>
      <c r="N915" s="5"/>
      <c r="O915" s="5"/>
      <c r="P915" s="5"/>
      <c r="Q915" s="4"/>
      <c r="R915" s="3"/>
      <c r="S915" s="2"/>
      <c r="T915" s="1"/>
    </row>
    <row r="916" spans="4:20" ht="13.5" x14ac:dyDescent="0.25">
      <c r="D916" s="7"/>
      <c r="L916" s="6"/>
      <c r="N916" s="5"/>
      <c r="O916" s="5"/>
      <c r="P916" s="5"/>
      <c r="Q916" s="4"/>
      <c r="R916" s="3"/>
      <c r="S916" s="2"/>
      <c r="T916" s="1"/>
    </row>
    <row r="917" spans="4:20" ht="13.5" x14ac:dyDescent="0.25">
      <c r="D917" s="7"/>
      <c r="L917" s="6"/>
      <c r="N917" s="5"/>
      <c r="O917" s="5"/>
      <c r="P917" s="5"/>
      <c r="Q917" s="4"/>
      <c r="R917" s="3"/>
      <c r="S917" s="2"/>
      <c r="T917" s="1"/>
    </row>
    <row r="918" spans="4:20" ht="13.5" x14ac:dyDescent="0.25">
      <c r="D918" s="7"/>
      <c r="L918" s="6"/>
      <c r="N918" s="5"/>
      <c r="O918" s="5"/>
      <c r="P918" s="5"/>
      <c r="Q918" s="4"/>
      <c r="R918" s="3"/>
      <c r="S918" s="2"/>
      <c r="T918" s="1"/>
    </row>
    <row r="919" spans="4:20" ht="13.5" x14ac:dyDescent="0.25">
      <c r="D919" s="7"/>
      <c r="L919" s="6"/>
      <c r="N919" s="5"/>
      <c r="O919" s="5"/>
      <c r="P919" s="5"/>
      <c r="Q919" s="4"/>
      <c r="R919" s="3"/>
      <c r="S919" s="2"/>
      <c r="T919" s="1"/>
    </row>
    <row r="920" spans="4:20" ht="13.5" x14ac:dyDescent="0.25">
      <c r="D920" s="7"/>
      <c r="L920" s="6"/>
      <c r="N920" s="5"/>
      <c r="O920" s="5"/>
      <c r="P920" s="5"/>
      <c r="Q920" s="4"/>
      <c r="R920" s="3"/>
      <c r="S920" s="2"/>
      <c r="T920" s="1"/>
    </row>
    <row r="921" spans="4:20" ht="13.5" x14ac:dyDescent="0.25">
      <c r="D921" s="7"/>
      <c r="L921" s="6"/>
      <c r="N921" s="5"/>
      <c r="O921" s="5"/>
      <c r="P921" s="5"/>
      <c r="Q921" s="4"/>
      <c r="R921" s="3"/>
      <c r="S921" s="2"/>
      <c r="T921" s="1"/>
    </row>
    <row r="922" spans="4:20" ht="13.5" x14ac:dyDescent="0.25">
      <c r="D922" s="7"/>
      <c r="L922" s="6"/>
      <c r="N922" s="5"/>
      <c r="O922" s="5"/>
      <c r="P922" s="5"/>
      <c r="Q922" s="4"/>
      <c r="R922" s="3"/>
      <c r="S922" s="2"/>
      <c r="T922" s="1"/>
    </row>
    <row r="923" spans="4:20" ht="13.5" x14ac:dyDescent="0.25">
      <c r="D923" s="7"/>
      <c r="L923" s="6"/>
      <c r="N923" s="5"/>
      <c r="O923" s="5"/>
      <c r="P923" s="5"/>
      <c r="Q923" s="4"/>
      <c r="R923" s="3"/>
      <c r="S923" s="2"/>
      <c r="T923" s="1"/>
    </row>
    <row r="924" spans="4:20" ht="13.5" x14ac:dyDescent="0.25">
      <c r="D924" s="7"/>
      <c r="L924" s="6"/>
      <c r="N924" s="5"/>
      <c r="O924" s="5"/>
      <c r="P924" s="5"/>
      <c r="Q924" s="4"/>
      <c r="R924" s="3"/>
      <c r="S924" s="2"/>
      <c r="T924" s="1"/>
    </row>
    <row r="925" spans="4:20" ht="13.5" x14ac:dyDescent="0.25">
      <c r="D925" s="7"/>
      <c r="L925" s="6"/>
      <c r="N925" s="5"/>
      <c r="O925" s="5"/>
      <c r="P925" s="5"/>
      <c r="Q925" s="4"/>
      <c r="R925" s="3"/>
      <c r="S925" s="2"/>
      <c r="T925" s="1"/>
    </row>
    <row r="926" spans="4:20" ht="13.5" x14ac:dyDescent="0.25">
      <c r="D926" s="7"/>
      <c r="L926" s="6"/>
      <c r="N926" s="5"/>
      <c r="O926" s="5"/>
      <c r="P926" s="5"/>
      <c r="Q926" s="4"/>
      <c r="R926" s="3"/>
      <c r="S926" s="2"/>
      <c r="T926" s="1"/>
    </row>
    <row r="927" spans="4:20" ht="13.5" x14ac:dyDescent="0.25">
      <c r="D927" s="7"/>
      <c r="L927" s="6"/>
      <c r="N927" s="5"/>
      <c r="O927" s="5"/>
      <c r="P927" s="5"/>
      <c r="Q927" s="4"/>
      <c r="R927" s="3"/>
      <c r="S927" s="2"/>
      <c r="T927" s="1"/>
    </row>
    <row r="928" spans="4:20" ht="13.5" x14ac:dyDescent="0.25">
      <c r="D928" s="7"/>
      <c r="L928" s="6"/>
      <c r="N928" s="5"/>
      <c r="O928" s="5"/>
      <c r="P928" s="5"/>
      <c r="Q928" s="4"/>
      <c r="R928" s="3"/>
      <c r="S928" s="2"/>
      <c r="T928" s="1"/>
    </row>
    <row r="929" spans="4:20" ht="13.5" x14ac:dyDescent="0.25">
      <c r="D929" s="7"/>
      <c r="L929" s="6"/>
      <c r="N929" s="5"/>
      <c r="O929" s="5"/>
      <c r="P929" s="5"/>
      <c r="Q929" s="4"/>
      <c r="R929" s="3"/>
      <c r="S929" s="2"/>
      <c r="T929" s="1"/>
    </row>
    <row r="930" spans="4:20" ht="13.5" x14ac:dyDescent="0.25">
      <c r="D930" s="7"/>
      <c r="L930" s="6"/>
      <c r="N930" s="5"/>
      <c r="O930" s="5"/>
      <c r="P930" s="5"/>
      <c r="Q930" s="4"/>
      <c r="R930" s="3"/>
      <c r="S930" s="2"/>
      <c r="T930" s="1"/>
    </row>
    <row r="931" spans="4:20" ht="13.5" x14ac:dyDescent="0.25">
      <c r="D931" s="7"/>
      <c r="L931" s="6"/>
      <c r="N931" s="5"/>
      <c r="O931" s="5"/>
      <c r="P931" s="5"/>
      <c r="Q931" s="4"/>
      <c r="R931" s="3"/>
      <c r="S931" s="2"/>
      <c r="T931" s="1"/>
    </row>
    <row r="932" spans="4:20" ht="13.5" x14ac:dyDescent="0.25">
      <c r="D932" s="7"/>
      <c r="L932" s="6"/>
      <c r="N932" s="5"/>
      <c r="O932" s="5"/>
      <c r="P932" s="5"/>
      <c r="Q932" s="4"/>
      <c r="R932" s="3"/>
      <c r="S932" s="2"/>
      <c r="T932" s="1"/>
    </row>
    <row r="933" spans="4:20" ht="13.5" x14ac:dyDescent="0.25">
      <c r="D933" s="7"/>
      <c r="L933" s="6"/>
      <c r="N933" s="5"/>
      <c r="O933" s="5"/>
      <c r="P933" s="5"/>
      <c r="Q933" s="4"/>
      <c r="R933" s="3"/>
      <c r="S933" s="2"/>
      <c r="T933" s="1"/>
    </row>
    <row r="934" spans="4:20" ht="13.5" x14ac:dyDescent="0.25">
      <c r="D934" s="7"/>
      <c r="L934" s="6"/>
      <c r="N934" s="5"/>
      <c r="O934" s="5"/>
      <c r="P934" s="5"/>
      <c r="Q934" s="4"/>
      <c r="R934" s="3"/>
      <c r="S934" s="2"/>
      <c r="T934" s="1"/>
    </row>
    <row r="935" spans="4:20" ht="13.5" x14ac:dyDescent="0.25">
      <c r="D935" s="7"/>
      <c r="L935" s="6"/>
      <c r="N935" s="5"/>
      <c r="O935" s="5"/>
      <c r="P935" s="5"/>
      <c r="Q935" s="4"/>
      <c r="R935" s="3"/>
      <c r="S935" s="2"/>
      <c r="T935" s="1"/>
    </row>
    <row r="936" spans="4:20" ht="13.5" x14ac:dyDescent="0.25">
      <c r="D936" s="7"/>
      <c r="L936" s="6"/>
      <c r="N936" s="5"/>
      <c r="O936" s="5"/>
      <c r="P936" s="5"/>
      <c r="Q936" s="4"/>
      <c r="R936" s="3"/>
      <c r="S936" s="2"/>
      <c r="T936" s="1"/>
    </row>
    <row r="937" spans="4:20" ht="13.5" x14ac:dyDescent="0.25">
      <c r="D937" s="7"/>
      <c r="L937" s="6"/>
      <c r="N937" s="5"/>
      <c r="O937" s="5"/>
      <c r="P937" s="5"/>
      <c r="Q937" s="4"/>
      <c r="R937" s="3"/>
      <c r="S937" s="2"/>
      <c r="T937" s="1"/>
    </row>
    <row r="938" spans="4:20" ht="13.5" x14ac:dyDescent="0.25">
      <c r="D938" s="7"/>
      <c r="L938" s="6"/>
      <c r="N938" s="5"/>
      <c r="O938" s="5"/>
      <c r="P938" s="5"/>
      <c r="Q938" s="4"/>
      <c r="R938" s="3"/>
      <c r="S938" s="2"/>
      <c r="T938" s="1"/>
    </row>
    <row r="939" spans="4:20" ht="13.5" x14ac:dyDescent="0.25">
      <c r="D939" s="7"/>
      <c r="L939" s="6"/>
      <c r="N939" s="5"/>
      <c r="O939" s="5"/>
      <c r="P939" s="5"/>
      <c r="Q939" s="4"/>
      <c r="R939" s="3"/>
      <c r="S939" s="2"/>
      <c r="T939" s="1"/>
    </row>
    <row r="940" spans="4:20" ht="13.5" x14ac:dyDescent="0.25">
      <c r="D940" s="7"/>
      <c r="L940" s="6"/>
      <c r="N940" s="5"/>
      <c r="O940" s="5"/>
      <c r="P940" s="5"/>
      <c r="Q940" s="4"/>
      <c r="R940" s="3"/>
      <c r="S940" s="2"/>
      <c r="T940" s="1"/>
    </row>
    <row r="941" spans="4:20" ht="13.5" x14ac:dyDescent="0.25">
      <c r="D941" s="7"/>
      <c r="L941" s="6"/>
      <c r="N941" s="5"/>
      <c r="O941" s="5"/>
      <c r="P941" s="5"/>
      <c r="Q941" s="4"/>
      <c r="R941" s="3"/>
      <c r="S941" s="2"/>
      <c r="T941" s="1"/>
    </row>
    <row r="942" spans="4:20" ht="13.5" x14ac:dyDescent="0.25">
      <c r="D942" s="7"/>
      <c r="L942" s="6"/>
      <c r="N942" s="5"/>
      <c r="O942" s="5"/>
      <c r="P942" s="5"/>
      <c r="Q942" s="4"/>
      <c r="R942" s="3"/>
      <c r="S942" s="2"/>
      <c r="T942" s="1"/>
    </row>
    <row r="943" spans="4:20" ht="13.5" x14ac:dyDescent="0.25">
      <c r="D943" s="7"/>
      <c r="L943" s="6"/>
      <c r="N943" s="5"/>
      <c r="O943" s="5"/>
      <c r="P943" s="5"/>
      <c r="Q943" s="4"/>
      <c r="R943" s="3"/>
      <c r="S943" s="2"/>
      <c r="T943" s="1"/>
    </row>
    <row r="944" spans="4:20" ht="13.5" x14ac:dyDescent="0.25">
      <c r="D944" s="7"/>
      <c r="L944" s="6"/>
      <c r="N944" s="5"/>
      <c r="O944" s="5"/>
      <c r="P944" s="5"/>
      <c r="Q944" s="4"/>
      <c r="R944" s="3"/>
      <c r="S944" s="2"/>
      <c r="T944" s="1"/>
    </row>
    <row r="945" spans="4:20" ht="13.5" x14ac:dyDescent="0.25">
      <c r="D945" s="7"/>
      <c r="L945" s="6"/>
      <c r="N945" s="5"/>
      <c r="O945" s="5"/>
      <c r="P945" s="5"/>
      <c r="Q945" s="4"/>
      <c r="R945" s="3"/>
      <c r="S945" s="2"/>
      <c r="T945" s="1"/>
    </row>
    <row r="946" spans="4:20" ht="13.5" x14ac:dyDescent="0.25">
      <c r="D946" s="7"/>
      <c r="L946" s="6"/>
      <c r="N946" s="5"/>
      <c r="O946" s="5"/>
      <c r="P946" s="5"/>
      <c r="Q946" s="4"/>
      <c r="R946" s="3"/>
      <c r="S946" s="2"/>
      <c r="T946" s="1"/>
    </row>
    <row r="947" spans="4:20" ht="13.5" x14ac:dyDescent="0.25">
      <c r="D947" s="7"/>
      <c r="L947" s="6"/>
      <c r="N947" s="5"/>
      <c r="O947" s="5"/>
      <c r="P947" s="5"/>
      <c r="Q947" s="4"/>
      <c r="R947" s="3"/>
      <c r="S947" s="2"/>
      <c r="T947" s="1"/>
    </row>
    <row r="948" spans="4:20" ht="13.5" x14ac:dyDescent="0.25">
      <c r="D948" s="7"/>
      <c r="L948" s="6"/>
      <c r="N948" s="5"/>
      <c r="O948" s="5"/>
      <c r="P948" s="5"/>
      <c r="Q948" s="4"/>
      <c r="R948" s="3"/>
      <c r="S948" s="2"/>
      <c r="T948" s="1"/>
    </row>
    <row r="949" spans="4:20" ht="13.5" x14ac:dyDescent="0.25">
      <c r="D949" s="7"/>
      <c r="L949" s="6"/>
      <c r="N949" s="5"/>
      <c r="O949" s="5"/>
      <c r="P949" s="5"/>
      <c r="Q949" s="4"/>
      <c r="R949" s="3"/>
      <c r="S949" s="2"/>
      <c r="T949" s="1"/>
    </row>
    <row r="950" spans="4:20" ht="13.5" x14ac:dyDescent="0.25">
      <c r="D950" s="7"/>
      <c r="L950" s="6"/>
      <c r="N950" s="5"/>
      <c r="O950" s="5"/>
      <c r="P950" s="5"/>
      <c r="Q950" s="4"/>
      <c r="R950" s="3"/>
      <c r="S950" s="2"/>
      <c r="T950" s="1"/>
    </row>
    <row r="951" spans="4:20" ht="13.5" x14ac:dyDescent="0.25">
      <c r="D951" s="7"/>
      <c r="L951" s="6"/>
      <c r="N951" s="5"/>
      <c r="O951" s="5"/>
      <c r="P951" s="5"/>
      <c r="Q951" s="4"/>
      <c r="R951" s="3"/>
      <c r="S951" s="2"/>
      <c r="T951" s="1"/>
    </row>
    <row r="952" spans="4:20" ht="13.5" x14ac:dyDescent="0.25">
      <c r="D952" s="7"/>
      <c r="L952" s="6"/>
      <c r="N952" s="5"/>
      <c r="O952" s="5"/>
      <c r="P952" s="5"/>
      <c r="Q952" s="4"/>
      <c r="R952" s="3"/>
      <c r="S952" s="2"/>
      <c r="T952" s="1"/>
    </row>
    <row r="953" spans="4:20" ht="13.5" x14ac:dyDescent="0.25">
      <c r="D953" s="7"/>
      <c r="L953" s="6"/>
      <c r="N953" s="5"/>
      <c r="O953" s="5"/>
      <c r="P953" s="5"/>
      <c r="Q953" s="4"/>
      <c r="R953" s="3"/>
      <c r="S953" s="2"/>
      <c r="T953" s="1"/>
    </row>
    <row r="954" spans="4:20" ht="13.5" x14ac:dyDescent="0.25">
      <c r="D954" s="7"/>
      <c r="L954" s="6"/>
      <c r="N954" s="5"/>
      <c r="O954" s="5"/>
      <c r="P954" s="5"/>
      <c r="Q954" s="4"/>
      <c r="R954" s="3"/>
      <c r="S954" s="2"/>
      <c r="T954" s="1"/>
    </row>
    <row r="955" spans="4:20" ht="13.5" x14ac:dyDescent="0.25">
      <c r="D955" s="7"/>
      <c r="L955" s="6"/>
      <c r="N955" s="5"/>
      <c r="O955" s="5"/>
      <c r="P955" s="5"/>
      <c r="Q955" s="4"/>
      <c r="R955" s="3"/>
      <c r="S955" s="2"/>
      <c r="T955" s="1"/>
    </row>
    <row r="956" spans="4:20" ht="13.5" x14ac:dyDescent="0.25">
      <c r="D956" s="7"/>
      <c r="L956" s="6"/>
      <c r="N956" s="5"/>
      <c r="O956" s="5"/>
      <c r="P956" s="5"/>
      <c r="Q956" s="4"/>
      <c r="R956" s="3"/>
      <c r="S956" s="2"/>
      <c r="T956" s="1"/>
    </row>
    <row r="957" spans="4:20" ht="13.5" x14ac:dyDescent="0.25">
      <c r="D957" s="7"/>
      <c r="L957" s="6"/>
      <c r="N957" s="5"/>
      <c r="O957" s="5"/>
      <c r="P957" s="5"/>
      <c r="Q957" s="4"/>
      <c r="R957" s="3"/>
      <c r="S957" s="2"/>
      <c r="T957" s="1"/>
    </row>
    <row r="958" spans="4:20" ht="13.5" x14ac:dyDescent="0.25">
      <c r="D958" s="7"/>
      <c r="L958" s="6"/>
      <c r="N958" s="5"/>
      <c r="O958" s="5"/>
      <c r="P958" s="5"/>
      <c r="Q958" s="4"/>
      <c r="R958" s="3"/>
      <c r="S958" s="2"/>
      <c r="T958" s="1"/>
    </row>
    <row r="959" spans="4:20" ht="13.5" x14ac:dyDescent="0.25">
      <c r="D959" s="7"/>
      <c r="L959" s="6"/>
      <c r="N959" s="5"/>
      <c r="O959" s="5"/>
      <c r="P959" s="5"/>
      <c r="Q959" s="4"/>
      <c r="R959" s="3"/>
      <c r="S959" s="2"/>
      <c r="T959" s="1"/>
    </row>
    <row r="960" spans="4:20" ht="13.5" x14ac:dyDescent="0.25">
      <c r="D960" s="7"/>
      <c r="L960" s="6"/>
      <c r="N960" s="5"/>
      <c r="O960" s="5"/>
      <c r="P960" s="5"/>
      <c r="Q960" s="4"/>
      <c r="R960" s="3"/>
      <c r="S960" s="2"/>
      <c r="T960" s="1"/>
    </row>
    <row r="961" spans="4:20" ht="13.5" x14ac:dyDescent="0.25">
      <c r="D961" s="7"/>
      <c r="L961" s="6"/>
      <c r="N961" s="5"/>
      <c r="O961" s="5"/>
      <c r="P961" s="5"/>
      <c r="Q961" s="4"/>
      <c r="R961" s="3"/>
      <c r="S961" s="2"/>
      <c r="T961" s="1"/>
    </row>
    <row r="962" spans="4:20" ht="13.5" x14ac:dyDescent="0.25">
      <c r="D962" s="7"/>
      <c r="L962" s="6"/>
      <c r="N962" s="5"/>
      <c r="O962" s="5"/>
      <c r="P962" s="5"/>
      <c r="Q962" s="4"/>
      <c r="R962" s="3"/>
      <c r="S962" s="2"/>
      <c r="T962" s="1"/>
    </row>
    <row r="963" spans="4:20" ht="13.5" x14ac:dyDescent="0.25">
      <c r="D963" s="7"/>
      <c r="L963" s="6"/>
      <c r="N963" s="5"/>
      <c r="O963" s="5"/>
      <c r="P963" s="5"/>
      <c r="Q963" s="4"/>
      <c r="R963" s="3"/>
      <c r="S963" s="2"/>
      <c r="T963" s="1"/>
    </row>
    <row r="964" spans="4:20" ht="13.5" x14ac:dyDescent="0.25">
      <c r="D964" s="7"/>
      <c r="L964" s="6"/>
      <c r="N964" s="5"/>
      <c r="O964" s="5"/>
      <c r="P964" s="5"/>
      <c r="Q964" s="4"/>
      <c r="R964" s="3"/>
      <c r="S964" s="2"/>
      <c r="T964" s="1"/>
    </row>
    <row r="965" spans="4:20" ht="13.5" x14ac:dyDescent="0.25">
      <c r="D965" s="7"/>
      <c r="L965" s="6"/>
      <c r="N965" s="5"/>
      <c r="O965" s="5"/>
      <c r="P965" s="5"/>
      <c r="Q965" s="4"/>
      <c r="R965" s="3"/>
      <c r="S965" s="2"/>
      <c r="T965" s="1"/>
    </row>
    <row r="966" spans="4:20" ht="13.5" x14ac:dyDescent="0.25">
      <c r="D966" s="7"/>
      <c r="L966" s="6"/>
      <c r="N966" s="5"/>
      <c r="O966" s="5"/>
      <c r="P966" s="5"/>
      <c r="Q966" s="4"/>
      <c r="R966" s="3"/>
      <c r="S966" s="2"/>
      <c r="T966" s="1"/>
    </row>
    <row r="967" spans="4:20" ht="13.5" x14ac:dyDescent="0.25">
      <c r="D967" s="7"/>
      <c r="L967" s="6"/>
      <c r="N967" s="5"/>
      <c r="O967" s="5"/>
      <c r="P967" s="5"/>
      <c r="Q967" s="4"/>
      <c r="R967" s="3"/>
      <c r="S967" s="2"/>
      <c r="T967" s="1"/>
    </row>
    <row r="968" spans="4:20" ht="13.5" x14ac:dyDescent="0.25">
      <c r="D968" s="7"/>
      <c r="L968" s="6"/>
      <c r="N968" s="5"/>
      <c r="O968" s="5"/>
      <c r="P968" s="5"/>
      <c r="Q968" s="4"/>
      <c r="R968" s="3"/>
      <c r="S968" s="2"/>
      <c r="T968" s="1"/>
    </row>
    <row r="969" spans="4:20" ht="13.5" x14ac:dyDescent="0.25">
      <c r="D969" s="7"/>
      <c r="L969" s="6"/>
      <c r="N969" s="5"/>
      <c r="O969" s="5"/>
      <c r="P969" s="5"/>
      <c r="Q969" s="4"/>
      <c r="R969" s="3"/>
      <c r="S969" s="2"/>
      <c r="T969" s="1"/>
    </row>
    <row r="970" spans="4:20" ht="13.5" x14ac:dyDescent="0.25">
      <c r="D970" s="7"/>
      <c r="L970" s="6"/>
      <c r="N970" s="5"/>
      <c r="O970" s="5"/>
      <c r="P970" s="5"/>
      <c r="Q970" s="4"/>
      <c r="R970" s="3"/>
      <c r="S970" s="2"/>
      <c r="T970" s="1"/>
    </row>
    <row r="971" spans="4:20" ht="13.5" x14ac:dyDescent="0.25">
      <c r="D971" s="7"/>
      <c r="L971" s="6"/>
      <c r="N971" s="5"/>
      <c r="O971" s="5"/>
      <c r="P971" s="5"/>
      <c r="Q971" s="4"/>
      <c r="R971" s="3"/>
      <c r="S971" s="2"/>
      <c r="T971" s="1"/>
    </row>
    <row r="972" spans="4:20" ht="13.5" x14ac:dyDescent="0.25">
      <c r="D972" s="7"/>
      <c r="L972" s="6"/>
      <c r="N972" s="5"/>
      <c r="O972" s="5"/>
      <c r="P972" s="5"/>
      <c r="Q972" s="4"/>
      <c r="R972" s="3"/>
      <c r="S972" s="2"/>
      <c r="T972" s="1"/>
    </row>
    <row r="973" spans="4:20" ht="13.5" x14ac:dyDescent="0.25">
      <c r="D973" s="7"/>
      <c r="L973" s="6"/>
      <c r="N973" s="5"/>
      <c r="O973" s="5"/>
      <c r="P973" s="5"/>
      <c r="Q973" s="4"/>
      <c r="R973" s="3"/>
      <c r="S973" s="2"/>
      <c r="T973" s="1"/>
    </row>
    <row r="974" spans="4:20" ht="13.5" x14ac:dyDescent="0.25">
      <c r="D974" s="7"/>
      <c r="L974" s="6"/>
      <c r="N974" s="5"/>
      <c r="O974" s="5"/>
      <c r="P974" s="5"/>
      <c r="Q974" s="4"/>
      <c r="R974" s="3"/>
      <c r="S974" s="2"/>
      <c r="T974" s="1"/>
    </row>
    <row r="975" spans="4:20" ht="13.5" x14ac:dyDescent="0.25">
      <c r="D975" s="7"/>
      <c r="L975" s="6"/>
      <c r="N975" s="5"/>
      <c r="O975" s="5"/>
      <c r="P975" s="5"/>
      <c r="Q975" s="4"/>
      <c r="R975" s="3"/>
      <c r="S975" s="2"/>
      <c r="T975" s="1"/>
    </row>
    <row r="976" spans="4:20" ht="13.5" x14ac:dyDescent="0.25">
      <c r="D976" s="7"/>
      <c r="L976" s="6"/>
      <c r="N976" s="5"/>
      <c r="O976" s="5"/>
      <c r="P976" s="5"/>
      <c r="Q976" s="4"/>
      <c r="R976" s="3"/>
      <c r="S976" s="2"/>
      <c r="T976" s="1"/>
    </row>
    <row r="977" spans="4:20" ht="13.5" x14ac:dyDescent="0.25">
      <c r="D977" s="7"/>
      <c r="L977" s="6"/>
      <c r="N977" s="5"/>
      <c r="O977" s="5"/>
      <c r="P977" s="5"/>
      <c r="Q977" s="4"/>
      <c r="R977" s="3"/>
      <c r="S977" s="2"/>
      <c r="T977" s="1"/>
    </row>
    <row r="978" spans="4:20" ht="13.5" x14ac:dyDescent="0.25">
      <c r="D978" s="7"/>
      <c r="L978" s="6"/>
      <c r="N978" s="5"/>
      <c r="O978" s="5"/>
      <c r="P978" s="5"/>
      <c r="Q978" s="4"/>
      <c r="R978" s="3"/>
      <c r="S978" s="2"/>
      <c r="T978" s="1"/>
    </row>
    <row r="979" spans="4:20" ht="13.5" x14ac:dyDescent="0.25">
      <c r="D979" s="7"/>
      <c r="L979" s="6"/>
      <c r="N979" s="5"/>
      <c r="O979" s="5"/>
      <c r="P979" s="5"/>
      <c r="Q979" s="4"/>
      <c r="R979" s="3"/>
      <c r="S979" s="2"/>
      <c r="T979" s="1"/>
    </row>
    <row r="980" spans="4:20" ht="13.5" x14ac:dyDescent="0.25">
      <c r="D980" s="7"/>
      <c r="L980" s="6"/>
      <c r="N980" s="5"/>
      <c r="O980" s="5"/>
      <c r="P980" s="5"/>
      <c r="Q980" s="4"/>
      <c r="R980" s="3"/>
      <c r="S980" s="2"/>
      <c r="T980" s="1"/>
    </row>
    <row r="981" spans="4:20" ht="13.5" x14ac:dyDescent="0.25">
      <c r="D981" s="7"/>
      <c r="L981" s="6"/>
      <c r="N981" s="5"/>
      <c r="O981" s="5"/>
      <c r="P981" s="5"/>
      <c r="Q981" s="4"/>
      <c r="R981" s="3"/>
      <c r="S981" s="2"/>
      <c r="T981" s="1"/>
    </row>
    <row r="982" spans="4:20" ht="13.5" x14ac:dyDescent="0.25">
      <c r="D982" s="7"/>
      <c r="L982" s="6"/>
      <c r="N982" s="5"/>
      <c r="O982" s="5"/>
      <c r="P982" s="5"/>
      <c r="Q982" s="4"/>
      <c r="R982" s="3"/>
      <c r="S982" s="2"/>
      <c r="T982" s="1"/>
    </row>
    <row r="983" spans="4:20" ht="13.5" x14ac:dyDescent="0.25">
      <c r="D983" s="7"/>
      <c r="L983" s="6"/>
      <c r="N983" s="5"/>
      <c r="O983" s="5"/>
      <c r="P983" s="5"/>
      <c r="Q983" s="4"/>
      <c r="R983" s="3"/>
      <c r="S983" s="2"/>
      <c r="T983" s="1"/>
    </row>
    <row r="984" spans="4:20" ht="13.5" x14ac:dyDescent="0.25">
      <c r="D984" s="7"/>
      <c r="L984" s="6"/>
      <c r="N984" s="5"/>
      <c r="O984" s="5"/>
      <c r="P984" s="5"/>
      <c r="Q984" s="4"/>
      <c r="R984" s="3"/>
      <c r="S984" s="2"/>
      <c r="T984" s="1"/>
    </row>
    <row r="985" spans="4:20" ht="13.5" x14ac:dyDescent="0.25">
      <c r="D985" s="7"/>
      <c r="L985" s="6"/>
      <c r="N985" s="5"/>
      <c r="O985" s="5"/>
      <c r="P985" s="5"/>
      <c r="Q985" s="4"/>
      <c r="R985" s="3"/>
      <c r="S985" s="2"/>
      <c r="T985" s="1"/>
    </row>
    <row r="986" spans="4:20" ht="13.5" x14ac:dyDescent="0.25">
      <c r="D986" s="7"/>
      <c r="L986" s="6"/>
      <c r="N986" s="5"/>
      <c r="O986" s="5"/>
      <c r="P986" s="5"/>
      <c r="Q986" s="4"/>
      <c r="R986" s="3"/>
      <c r="S986" s="2"/>
      <c r="T986" s="1"/>
    </row>
    <row r="987" spans="4:20" ht="13.5" x14ac:dyDescent="0.25">
      <c r="D987" s="7"/>
      <c r="L987" s="6"/>
      <c r="N987" s="5"/>
      <c r="O987" s="5"/>
      <c r="P987" s="5"/>
      <c r="Q987" s="4"/>
      <c r="R987" s="3"/>
      <c r="S987" s="2"/>
      <c r="T987" s="1"/>
    </row>
    <row r="988" spans="4:20" ht="13.5" x14ac:dyDescent="0.25">
      <c r="D988" s="7"/>
      <c r="L988" s="6"/>
      <c r="N988" s="5"/>
      <c r="O988" s="5"/>
      <c r="P988" s="5"/>
      <c r="Q988" s="4"/>
      <c r="R988" s="3"/>
      <c r="S988" s="2"/>
      <c r="T988" s="1"/>
    </row>
    <row r="989" spans="4:20" ht="13.5" x14ac:dyDescent="0.25">
      <c r="D989" s="7"/>
      <c r="L989" s="6"/>
      <c r="N989" s="5"/>
      <c r="O989" s="5"/>
      <c r="P989" s="5"/>
      <c r="Q989" s="4"/>
      <c r="R989" s="3"/>
      <c r="S989" s="2"/>
      <c r="T989" s="1"/>
    </row>
    <row r="990" spans="4:20" ht="13.5" x14ac:dyDescent="0.25">
      <c r="D990" s="7"/>
      <c r="L990" s="6"/>
      <c r="N990" s="5"/>
      <c r="O990" s="5"/>
      <c r="P990" s="5"/>
      <c r="Q990" s="4"/>
      <c r="R990" s="3"/>
      <c r="S990" s="2"/>
      <c r="T990" s="1"/>
    </row>
    <row r="991" spans="4:20" ht="13.5" x14ac:dyDescent="0.25">
      <c r="D991" s="7"/>
      <c r="L991" s="6"/>
      <c r="N991" s="5"/>
      <c r="O991" s="5"/>
      <c r="P991" s="5"/>
      <c r="Q991" s="4"/>
      <c r="R991" s="3"/>
      <c r="S991" s="2"/>
      <c r="T991" s="1"/>
    </row>
    <row r="992" spans="4:20" ht="13.5" x14ac:dyDescent="0.25">
      <c r="D992" s="7"/>
      <c r="L992" s="6"/>
      <c r="N992" s="5"/>
      <c r="O992" s="5"/>
      <c r="P992" s="5"/>
      <c r="Q992" s="4"/>
      <c r="R992" s="3"/>
      <c r="S992" s="2"/>
      <c r="T992" s="1"/>
    </row>
    <row r="993" spans="4:20" ht="13.5" x14ac:dyDescent="0.25">
      <c r="D993" s="7"/>
      <c r="L993" s="6"/>
      <c r="N993" s="5"/>
      <c r="O993" s="5"/>
      <c r="P993" s="5"/>
      <c r="Q993" s="4"/>
      <c r="R993" s="3"/>
      <c r="S993" s="2"/>
      <c r="T993" s="1"/>
    </row>
    <row r="994" spans="4:20" ht="13.5" x14ac:dyDescent="0.25">
      <c r="D994" s="7"/>
      <c r="L994" s="6"/>
      <c r="N994" s="5"/>
      <c r="O994" s="5"/>
      <c r="P994" s="5"/>
      <c r="Q994" s="4"/>
      <c r="R994" s="3"/>
      <c r="S994" s="2"/>
      <c r="T994" s="1"/>
    </row>
    <row r="995" spans="4:20" ht="13.5" x14ac:dyDescent="0.25">
      <c r="D995" s="7"/>
      <c r="L995" s="6"/>
      <c r="N995" s="5"/>
      <c r="O995" s="5"/>
      <c r="P995" s="5"/>
      <c r="Q995" s="4"/>
      <c r="R995" s="3"/>
      <c r="S995" s="2"/>
      <c r="T995" s="1"/>
    </row>
    <row r="996" spans="4:20" ht="13.5" x14ac:dyDescent="0.25">
      <c r="D996" s="7"/>
      <c r="L996" s="6"/>
      <c r="N996" s="5"/>
      <c r="O996" s="5"/>
      <c r="P996" s="5"/>
      <c r="Q996" s="4"/>
      <c r="R996" s="3"/>
      <c r="S996" s="2"/>
      <c r="T996" s="1"/>
    </row>
    <row r="997" spans="4:20" ht="13.5" x14ac:dyDescent="0.25">
      <c r="D997" s="7"/>
      <c r="L997" s="6"/>
      <c r="N997" s="5"/>
      <c r="O997" s="5"/>
      <c r="P997" s="5"/>
      <c r="Q997" s="4"/>
      <c r="R997" s="3"/>
      <c r="S997" s="2"/>
      <c r="T997" s="1"/>
    </row>
    <row r="998" spans="4:20" ht="13.5" x14ac:dyDescent="0.25">
      <c r="D998" s="7"/>
      <c r="L998" s="6"/>
      <c r="N998" s="5"/>
      <c r="O998" s="5"/>
      <c r="P998" s="5"/>
      <c r="Q998" s="4"/>
      <c r="R998" s="3"/>
      <c r="S998" s="2"/>
      <c r="T998" s="1"/>
    </row>
    <row r="999" spans="4:20" ht="13.5" x14ac:dyDescent="0.25">
      <c r="D999" s="7"/>
      <c r="L999" s="6"/>
      <c r="N999" s="5"/>
      <c r="O999" s="5"/>
      <c r="P999" s="5"/>
      <c r="Q999" s="4"/>
      <c r="R999" s="3"/>
      <c r="S999" s="2"/>
      <c r="T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MesaLF(8)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2025-08-18T00:17:49Z</dcterms:created>
  <dcterms:modified xsi:type="dcterms:W3CDTF">2025-08-18T00:18:17Z</dcterms:modified>
</cp:coreProperties>
</file>